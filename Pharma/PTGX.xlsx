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Protagonist Therapeutics, Inc.</t>
        </is>
      </c>
      <c r="C2" s="10" t="n"/>
    </row>
    <row r="3">
      <c r="B3" t="inlineStr">
        <is>
          <t>Price</t>
        </is>
      </c>
      <c r="C3" s="11">
        <f>INDEX([1]Pharma!$F$1:$F$1000,MATCH("PTGX",[1]Pharma!$B$1:$B$1000,0))</f>
        <v>137.99</v>
      </c>
      <c r="F3" s="1" t="n"/>
    </row>
    <row r="4">
      <c r="B4" t="inlineStr">
        <is>
          <t>Shares</t>
        </is>
      </c>
      <c r="C4" s="21" t="n">
        <v>64.708285</v>
      </c>
      <c r="F4" s="1" t="n"/>
    </row>
    <row r="5">
      <c r="B5" t="inlineStr">
        <is>
          <t>Market Cap.</t>
        </is>
      </c>
      <c r="C5" s="13">
        <f>C3*C4</f>
        <v>8929.09624715</v>
      </c>
      <c r="F5" s="1" t="n"/>
    </row>
    <row r="6"/>
    <row r="7">
      <c r="B7" t="inlineStr">
        <is>
          <t>Cash</t>
        </is>
      </c>
      <c r="C7" s="21">
        <f>420.078+362.498</f>
        <v>782.576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8146.520247150001</v>
      </c>
    </row>
    <row r="10"/>
    <row r="11">
      <c r="B11" s="14" t="inlineStr">
        <is>
          <t>Net Cash / Share</t>
        </is>
      </c>
      <c r="C11" s="11">
        <f>(C7-C8)/C4</f>
        <v>12.093907294869583</v>
      </c>
    </row>
    <row r="12">
      <c r="B12" s="14" t="inlineStr">
        <is>
          <t>Upside</t>
        </is>
      </c>
      <c r="C12" s="15">
        <f>IFERROR(C11/C3-1,"")</f>
        <v>-0.9123566396487457</v>
      </c>
    </row>
    <row r="13">
      <c r="B13" s="14" t="inlineStr">
        <is>
          <t>Cash / Share</t>
        </is>
      </c>
      <c r="C13" s="11">
        <f>IFERROR((C7-C8)/C4,"")</f>
        <v>12.093907294869583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131.197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8146.520247150001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20.063</v>
      </c>
      <c r="F2" s="23" t="n">
        <v>30.925</v>
      </c>
      <c r="G2" s="23" t="n">
        <v>0.231</v>
      </c>
      <c r="H2" s="23" t="n">
        <v>28.628</v>
      </c>
      <c r="I2" s="23" t="n">
        <v>27.357</v>
      </c>
      <c r="J2" s="23" t="n">
        <v>26.581</v>
      </c>
      <c r="K2" s="23" t="n">
        <v>60</v>
      </c>
      <c r="L2" s="23" t="n">
        <v>434.433</v>
      </c>
      <c r="M2" s="23" t="n">
        <v>46.016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20.063</v>
      </c>
      <c r="F4" s="23">
        <f>F2-F3</f>
        <v>30.925</v>
      </c>
      <c r="G4" s="23">
        <f>G2-G3</f>
        <v>0.231</v>
      </c>
      <c r="H4" s="23">
        <f>H2-H3</f>
        <v>28.628</v>
      </c>
      <c r="I4" s="23">
        <f>I2-I3</f>
        <v>27.357</v>
      </c>
      <c r="J4" s="23">
        <f>J2-J3</f>
        <v>26.581</v>
      </c>
      <c r="K4" s="23">
        <f>K2-K3</f>
        <v>60.0</v>
      </c>
      <c r="L4" s="23">
        <f>L2-L3</f>
        <v>434.433</v>
      </c>
      <c r="M4" s="23">
        <f>M2-M3</f>
        <v>46.016</v>
      </c>
    </row>
    <row r="5">
      <c r="A5" s="2" t="inlineStr">
        <is>
          <t>Research &amp; Dev.</t>
        </is>
      </c>
      <c r="B5" s="23" t="n">
        <v>7.459</v>
      </c>
      <c r="C5" s="23" t="n">
        <v>11.831</v>
      </c>
      <c r="D5" s="23" t="n">
        <v>25.705</v>
      </c>
      <c r="E5" s="23" t="n">
        <v>46.181</v>
      </c>
      <c r="F5" s="23" t="n">
        <v>59.497</v>
      </c>
      <c r="G5" s="23" t="n">
        <v>65.003</v>
      </c>
      <c r="H5" s="23" t="n">
        <v>74.506</v>
      </c>
      <c r="I5" s="23" t="n">
        <v>126.006</v>
      </c>
      <c r="J5" s="23" t="n">
        <v>126.215</v>
      </c>
      <c r="K5" s="23" t="n">
        <v>120.161</v>
      </c>
      <c r="L5" s="23" t="n">
        <v>138.128</v>
      </c>
      <c r="M5" s="23" t="n">
        <v>159.29</v>
      </c>
    </row>
    <row r="6">
      <c r="A6" s="19" t="inlineStr">
        <is>
          <t>SG&amp;A &amp; Other</t>
        </is>
      </c>
      <c r="B6" s="23" t="n">
        <v>1.86</v>
      </c>
      <c r="C6" s="23" t="n">
        <v>2.963</v>
      </c>
      <c r="D6" s="23" t="n">
        <v>6.961</v>
      </c>
      <c r="E6" s="23" t="n">
        <v>11.779</v>
      </c>
      <c r="F6" s="23" t="n">
        <v>13.697</v>
      </c>
      <c r="G6" s="23" t="n">
        <v>15.749</v>
      </c>
      <c r="H6" s="23" t="n">
        <v>18.638</v>
      </c>
      <c r="I6" s="23" t="n">
        <v>27.196</v>
      </c>
      <c r="J6" s="23" t="n">
        <v>31.739</v>
      </c>
      <c r="K6" s="23" t="n">
        <v>33.491</v>
      </c>
      <c r="L6" s="23" t="n">
        <v>43.462</v>
      </c>
      <c r="M6" s="23" t="n">
        <v>44.853</v>
      </c>
    </row>
    <row r="7">
      <c r="A7" s="2" t="inlineStr">
        <is>
          <t>Operating Expense</t>
        </is>
      </c>
      <c r="B7" s="23">
        <f>SUM(B5:B6)</f>
        <v>9.318999999999999</v>
      </c>
      <c r="C7" s="23">
        <f>SUM(C5:C6)</f>
        <v>14.794</v>
      </c>
      <c r="D7" s="23">
        <f>SUM(D5:D6)</f>
        <v>32.666</v>
      </c>
      <c r="E7" s="23">
        <f>SUM(E5:E6)</f>
        <v>57.959999999999994</v>
      </c>
      <c r="F7" s="23">
        <f>SUM(F5:F6)</f>
        <v>73.194</v>
      </c>
      <c r="G7" s="23">
        <f>SUM(G5:G6)</f>
        <v>80.752</v>
      </c>
      <c r="H7" s="23">
        <f>SUM(H5:H6)</f>
        <v>93.144</v>
      </c>
      <c r="I7" s="23">
        <f>SUM(I5:I6)</f>
        <v>153.202</v>
      </c>
      <c r="J7" s="23">
        <f>SUM(J5:J6)</f>
        <v>157.954</v>
      </c>
      <c r="K7" s="23">
        <f>SUM(K5:K6)</f>
        <v>153.652</v>
      </c>
      <c r="L7" s="23">
        <f>SUM(L5:L6)</f>
        <v>181.58999999999997</v>
      </c>
      <c r="M7" s="23">
        <f>SUM(M5:M6)</f>
        <v>204.143</v>
      </c>
    </row>
    <row r="8">
      <c r="A8" s="2" t="inlineStr">
        <is>
          <t>Operating Income</t>
        </is>
      </c>
      <c r="B8" s="23">
        <f>B4-B7</f>
        <v>-9.318999999999999</v>
      </c>
      <c r="C8" s="23">
        <f>C4-C7</f>
        <v>-14.794</v>
      </c>
      <c r="D8" s="23">
        <f>D4-D7</f>
        <v>-32.666</v>
      </c>
      <c r="E8" s="23">
        <f>E4-E7</f>
        <v>-37.89699999999999</v>
      </c>
      <c r="F8" s="23">
        <f>F4-F7</f>
        <v>-42.269000000000005</v>
      </c>
      <c r="G8" s="23">
        <f>G4-G7</f>
        <v>-80.521</v>
      </c>
      <c r="H8" s="23">
        <f>H4-H7</f>
        <v>-64.516</v>
      </c>
      <c r="I8" s="23">
        <f>I4-I7</f>
        <v>-125.845</v>
      </c>
      <c r="J8" s="23">
        <f>J4-J7</f>
        <v>-131.37300000000002</v>
      </c>
      <c r="K8" s="23">
        <f>K4-K7</f>
        <v>-93.65199999999999</v>
      </c>
      <c r="L8" s="23">
        <f>L4-L7</f>
        <v>252.84300000000002</v>
      </c>
      <c r="M8" s="23">
        <f>M4-M7</f>
        <v>-158.127</v>
      </c>
    </row>
    <row r="9">
      <c r="A9" s="19" t="inlineStr">
        <is>
          <t>Interest &amp; Other</t>
        </is>
      </c>
      <c r="B9" s="23" t="n">
        <v>-1.753</v>
      </c>
      <c r="C9" s="23" t="n">
        <v>-0.064</v>
      </c>
      <c r="D9" s="23" t="n">
        <v>-4.511</v>
      </c>
      <c r="E9" s="23" t="n">
        <v>0.9399999999999999</v>
      </c>
      <c r="F9" s="23" t="n">
        <v>2.546</v>
      </c>
      <c r="G9" s="23" t="n">
        <v>2.643</v>
      </c>
      <c r="H9" s="23" t="n">
        <v>-0.329</v>
      </c>
      <c r="I9" s="23" t="n">
        <v>0.294</v>
      </c>
      <c r="J9" s="23" t="n">
        <v>3.98</v>
      </c>
      <c r="K9" s="23" t="n">
        <v>14.697</v>
      </c>
      <c r="L9" s="23" t="n">
        <v>26.565</v>
      </c>
      <c r="M9" s="23" t="n">
        <v>28.816</v>
      </c>
    </row>
    <row r="10">
      <c r="A10" s="2" t="inlineStr">
        <is>
          <t>Pretax</t>
        </is>
      </c>
      <c r="B10" s="23">
        <f>B8+B9</f>
        <v>-11.072</v>
      </c>
      <c r="C10" s="23">
        <f>C8+C9</f>
        <v>-14.858</v>
      </c>
      <c r="D10" s="23">
        <f>D8+D9</f>
        <v>-37.177</v>
      </c>
      <c r="E10" s="23">
        <f>E8+E9</f>
        <v>-36.956999999999994</v>
      </c>
      <c r="F10" s="23">
        <f>F8+F9</f>
        <v>-39.723000000000006</v>
      </c>
      <c r="G10" s="23">
        <f>G8+G9</f>
        <v>-77.878</v>
      </c>
      <c r="H10" s="23">
        <f>H8+H9</f>
        <v>-64.845</v>
      </c>
      <c r="I10" s="23">
        <f>I8+I9</f>
        <v>-125.551</v>
      </c>
      <c r="J10" s="23">
        <f>J8+J9</f>
        <v>-127.39300000000001</v>
      </c>
      <c r="K10" s="23">
        <f>K8+K9</f>
        <v>-78.95499999999998</v>
      </c>
      <c r="L10" s="23">
        <f>L8+L9</f>
        <v>279.408</v>
      </c>
      <c r="M10" s="23">
        <f>M8+M9</f>
        <v>-129.311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-0.799</v>
      </c>
      <c r="G11" s="23" t="n">
        <v>-0.6909999999999999</v>
      </c>
      <c r="H11" s="23" t="n">
        <v>1.305</v>
      </c>
      <c r="I11" s="23" t="n">
        <v>0</v>
      </c>
      <c r="J11" s="23" t="n">
        <v>0</v>
      </c>
      <c r="K11" s="23" t="n">
        <v>0</v>
      </c>
      <c r="L11" s="23" t="n">
        <v>4.22</v>
      </c>
      <c r="M11" s="23" t="n">
        <v>0.838</v>
      </c>
    </row>
    <row r="12">
      <c r="A12" s="2" t="inlineStr">
        <is>
          <t>Net Income</t>
        </is>
      </c>
      <c r="B12" s="23" t="n">
        <v>-11.072</v>
      </c>
      <c r="C12" s="23" t="n">
        <v>-14.858</v>
      </c>
      <c r="D12" s="23" t="n">
        <v>-37.177</v>
      </c>
      <c r="E12" s="23" t="n">
        <v>-36.957</v>
      </c>
      <c r="F12" s="23" t="n">
        <v>-38.924</v>
      </c>
      <c r="G12" s="23" t="n">
        <v>-77.187</v>
      </c>
      <c r="H12" s="23" t="n">
        <v>-66.15000000000001</v>
      </c>
      <c r="I12" s="23" t="n">
        <v>-125.551</v>
      </c>
      <c r="J12" s="23" t="n">
        <v>-127.393</v>
      </c>
      <c r="K12" s="23" t="n">
        <v>-78.955</v>
      </c>
      <c r="L12" s="23" t="n">
        <v>275.188</v>
      </c>
      <c r="M12" s="23" t="n">
        <v>-130.149</v>
      </c>
    </row>
    <row r="13">
      <c r="A13" s="2" t="inlineStr">
        <is>
          <t>Earnings per Share</t>
        </is>
      </c>
      <c r="B13" s="11">
        <f>IFERROR(B12/B14,0)</f>
        <v>-1.8743863213136955</v>
      </c>
      <c r="C13" s="11">
        <f>IFERROR(C12/C14,0)</f>
        <v>-2.27012987012987</v>
      </c>
      <c r="D13" s="11">
        <f>IFERROR(D12/D14,0)</f>
        <v>-5.717779144878499</v>
      </c>
      <c r="E13" s="11">
        <f>IFERROR(E12/E14,0)</f>
        <v>-2.08855608929076</v>
      </c>
      <c r="F13" s="11">
        <f>IFERROR(F12/F14,0)</f>
        <v>-1.7403979432148446</v>
      </c>
      <c r="G13" s="11">
        <f>IFERROR(G12/G14,0)</f>
        <v>-2.98088360237893</v>
      </c>
      <c r="H13" s="11">
        <f>IFERROR(H12/H14,0)</f>
        <v>-1.9231887428770789</v>
      </c>
      <c r="I13" s="11">
        <f>IFERROR(I12/I14,0)</f>
        <v>-2.7103382768818944</v>
      </c>
      <c r="J13" s="11">
        <f>IFERROR(J12/J14,0)</f>
        <v>-2.5976306023408506</v>
      </c>
      <c r="K13" s="11">
        <f>IFERROR(K12/K14,0)</f>
        <v>-1.390934395039109</v>
      </c>
      <c r="L13" s="11">
        <f>IFERROR(L12/L14,0)</f>
        <v>4.228587233781001</v>
      </c>
      <c r="M13" s="11">
        <f>IFERROR(M12/M14,0)</f>
        <v>-2.047237034590156</v>
      </c>
    </row>
    <row r="14">
      <c r="A14" s="2" t="inlineStr">
        <is>
          <t>Shares</t>
        </is>
      </c>
      <c r="B14" s="23" t="n">
        <v>5.907</v>
      </c>
      <c r="C14" s="23" t="n">
        <v>6.545</v>
      </c>
      <c r="D14" s="23" t="n">
        <v>6.502</v>
      </c>
      <c r="E14" s="23" t="n">
        <v>17.695</v>
      </c>
      <c r="F14" s="23" t="n">
        <v>22.365</v>
      </c>
      <c r="G14" s="23" t="n">
        <v>25.894</v>
      </c>
      <c r="H14" s="23" t="n">
        <v>34.396</v>
      </c>
      <c r="I14" s="23" t="n">
        <v>46.323</v>
      </c>
      <c r="J14" s="23" t="n">
        <v>49.042</v>
      </c>
      <c r="K14" s="23" t="n">
        <v>56.764</v>
      </c>
      <c r="L14" s="23" t="n">
        <v>65.078</v>
      </c>
      <c r="M14" s="23" t="n">
        <v>63.573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0.541394606987988</v>
      </c>
      <c r="G16" s="15">
        <f>IFERROR(G2/F2-1,"")</f>
        <v>-0.9925303152789006</v>
      </c>
      <c r="H16" s="15">
        <f>IFERROR(H2/G2-1,"")</f>
        <v>122.93073593073592</v>
      </c>
      <c r="I16" s="15">
        <f>IFERROR(I2/H2-1,"")</f>
        <v>-0.0443970937543664</v>
      </c>
      <c r="J16" s="15">
        <f>IFERROR(J2/I2-1,"")</f>
        <v>-0.028365683371714745</v>
      </c>
      <c r="K16" s="15">
        <f>IFERROR(K2/J2-1,"")</f>
        <v>1.2572514201873517</v>
      </c>
      <c r="L16" s="15">
        <f>IFERROR(L2/K2-1,"")</f>
        <v>6.24055</v>
      </c>
      <c r="M16" s="15">
        <f>IFERROR(M2/L2-1,"")</f>
        <v>-0.8940780281424293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-1.8888999651099034</v>
      </c>
      <c r="F18" s="15">
        <f>IFERROR(F8/F2,"")</f>
        <v>-1.3668229587712208</v>
      </c>
      <c r="G18" s="15">
        <f>IFERROR(G8/G2,"")</f>
        <v>-348.57575757575756</v>
      </c>
      <c r="H18" s="15">
        <f>IFERROR(H8/H2,"")</f>
        <v>-2.253597876205114</v>
      </c>
      <c r="I18" s="15">
        <f>IFERROR(I8/I2,"")</f>
        <v>-4.600102350403919</v>
      </c>
      <c r="J18" s="15">
        <f>IFERROR(J8/J2,"")</f>
        <v>-4.942364847071217</v>
      </c>
      <c r="K18" s="15">
        <f>IFERROR(K8/K2,"")</f>
        <v>-1.5608666666666664</v>
      </c>
      <c r="L18" s="15">
        <f>IFERROR(L8/L2,"")</f>
        <v>0.5820068917416495</v>
      </c>
      <c r="M18" s="15">
        <f>IFERROR(M8/M2,"")</f>
        <v>-3.4363482267037555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2026-10-21T01:03:57Z</dcterms:modified>
  <cp:lastModifiedBy>Wang, Eric</cp:lastModifiedBy>
</cp:coreProperties>
</file>