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China SXT Pharmaceuticals Inc</t>
        </is>
      </c>
      <c r="C2" s="10" t="n"/>
    </row>
    <row r="3">
      <c r="B3" t="inlineStr">
        <is>
          <t>Price</t>
        </is>
      </c>
      <c r="C3" s="11">
        <f>INDEX([1]Pharma!$F$1:$F$1000,MATCH("SXTC",[1]Pharma!$B$1:$B$1000,0))</f>
        <v>0.0653</v>
      </c>
      <c r="F3" s="1" t="n"/>
    </row>
    <row r="4">
      <c r="B4" t="inlineStr">
        <is>
          <t>Shares</t>
        </is>
      </c>
      <c r="C4" s="21" t="n">
        <v>0.958077</v>
      </c>
      <c r="F4" s="1" t="n"/>
    </row>
    <row r="5">
      <c r="B5" t="inlineStr">
        <is>
          <t>Market Cap.</t>
        </is>
      </c>
      <c r="C5" s="13">
        <f>C3*C4</f>
        <v>0.0625624281</v>
      </c>
      <c r="F5" s="1" t="n"/>
    </row>
    <row r="6"/>
    <row r="7">
      <c r="B7" t="inlineStr">
        <is>
          <t>Cash</t>
        </is>
      </c>
      <c r="C7" s="21" t="n">
        <v>28.175865</v>
      </c>
    </row>
    <row r="8">
      <c r="B8" t="inlineStr">
        <is>
          <t>Debt</t>
        </is>
      </c>
      <c r="C8" s="21">
        <f>0.355175+0.64439</f>
        <v>0.999565</v>
      </c>
    </row>
    <row r="9">
      <c r="B9" t="inlineStr">
        <is>
          <t>Enterprise V.</t>
        </is>
      </c>
      <c r="C9" s="13">
        <f>C5-C7+C8</f>
        <v>-27.1137375719</v>
      </c>
    </row>
    <row r="10"/>
    <row r="11">
      <c r="B11" s="14" t="inlineStr">
        <is>
          <t>Net Cash / Share</t>
        </is>
      </c>
      <c r="C11" s="11">
        <f>(C7-C8)/C4</f>
        <v>28.36546540622518</v>
      </c>
    </row>
    <row r="12">
      <c r="B12" s="14" t="inlineStr">
        <is>
          <t>Upside</t>
        </is>
      </c>
      <c r="C12" s="15">
        <f>IFERROR(C11/C3-1,"")</f>
        <v>433.38691280589865</v>
      </c>
    </row>
    <row r="13">
      <c r="B13" s="14" t="inlineStr">
        <is>
          <t>Cash / Share</t>
        </is>
      </c>
      <c r="C13" s="11">
        <f>IFERROR((C7-C8)/C4,"")</f>
        <v>28.36546540622518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-4.017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6.765322379885486</v>
      </c>
    </row>
    <row r="19">
      <c r="B19" s="14" t="inlineStr">
        <is>
          <t>Implied Pipeline Value</t>
        </is>
      </c>
      <c r="C19" s="13">
        <f>C9</f>
        <v>-27.1137375719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17" t="n">
        <v>2026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4.882</v>
      </c>
      <c r="C2" s="23" t="n">
        <v>7.019</v>
      </c>
      <c r="D2" s="23" t="n">
        <v>7.012</v>
      </c>
      <c r="E2" s="23" t="n">
        <v>5.162</v>
      </c>
      <c r="F2" s="23" t="n">
        <v>4.778</v>
      </c>
      <c r="G2" s="23" t="n">
        <v>2.602</v>
      </c>
      <c r="H2" s="23" t="n">
        <v>1.972</v>
      </c>
      <c r="I2" s="23" t="n">
        <v>1.928</v>
      </c>
      <c r="J2" s="23" t="n">
        <v>1.741</v>
      </c>
      <c r="K2" s="23" t="n">
        <v>1.138</v>
      </c>
    </row>
    <row r="3" customFormat="1" s="1">
      <c r="A3" s="5" t="inlineStr">
        <is>
          <t>Cost of Sales</t>
        </is>
      </c>
      <c r="B3" s="23" t="n">
        <v>2.57</v>
      </c>
      <c r="C3" s="23" t="n">
        <v>3.618</v>
      </c>
      <c r="D3" s="23" t="n">
        <v>2.4</v>
      </c>
      <c r="E3" s="23" t="n">
        <v>2.459</v>
      </c>
      <c r="F3" s="23" t="n">
        <v>1.938</v>
      </c>
      <c r="G3" s="23" t="n">
        <v>1.351</v>
      </c>
      <c r="H3" s="23" t="n">
        <v>1.545</v>
      </c>
      <c r="I3" s="23" t="n">
        <v>1.375</v>
      </c>
      <c r="J3" s="23" t="n">
        <v>1.373</v>
      </c>
      <c r="K3" s="23" t="n">
        <v>0.889</v>
      </c>
    </row>
    <row r="4" customFormat="1" s="1">
      <c r="A4" s="5" t="inlineStr">
        <is>
          <t>Gross Margin</t>
        </is>
      </c>
      <c r="B4" s="23">
        <f>B2-B3</f>
        <v>2.312</v>
      </c>
      <c r="C4" s="23">
        <f>C2-C3</f>
        <v>3.4010000000000002</v>
      </c>
      <c r="D4" s="23">
        <f>D2-D3</f>
        <v>4.612</v>
      </c>
      <c r="E4" s="23">
        <f>E2-E3</f>
        <v>2.703</v>
      </c>
      <c r="F4" s="23">
        <f>F2-F3</f>
        <v>2.84</v>
      </c>
      <c r="G4" s="23">
        <f>G2-G3</f>
        <v>1.251</v>
      </c>
      <c r="H4" s="23">
        <f>H2-H3</f>
        <v>0.42700000000000005</v>
      </c>
      <c r="I4" s="23">
        <f>I2-I3</f>
        <v>0.5529999999999999</v>
      </c>
      <c r="J4" s="23">
        <f>J2-J3</f>
        <v>0.3680000000000001</v>
      </c>
      <c r="K4" s="23">
        <f>K2-K3</f>
        <v>0.2489999999999999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0.367</v>
      </c>
      <c r="H5" s="23" t="n">
        <v>0.201</v>
      </c>
      <c r="I5" s="23" t="n">
        <v>0.184</v>
      </c>
      <c r="J5" s="23" t="n">
        <v>0</v>
      </c>
      <c r="K5" s="23" t="n">
        <v>0</v>
      </c>
    </row>
    <row r="6">
      <c r="A6" s="19" t="inlineStr">
        <is>
          <t>SG&amp;A &amp; Other</t>
        </is>
      </c>
      <c r="B6" s="23" t="n">
        <v>0.71</v>
      </c>
      <c r="C6" s="23" t="n">
        <v>1.769</v>
      </c>
      <c r="D6" s="23" t="n">
        <v>2.842</v>
      </c>
      <c r="E6" s="23" t="n">
        <v>4.045</v>
      </c>
      <c r="F6" s="23" t="n">
        <v>5.037</v>
      </c>
      <c r="G6" s="23" t="n">
        <v>6.074</v>
      </c>
      <c r="H6" s="23" t="n">
        <v>5.833</v>
      </c>
      <c r="I6" s="23" t="n">
        <v>2.885</v>
      </c>
      <c r="J6" s="23" t="n">
        <v>3.048</v>
      </c>
      <c r="K6" s="23" t="n">
        <v>7.372</v>
      </c>
    </row>
    <row r="7">
      <c r="A7" s="2" t="inlineStr">
        <is>
          <t>Operating Expense</t>
        </is>
      </c>
      <c r="B7" s="23">
        <f>SUM(B5:B6)</f>
        <v>0.71</v>
      </c>
      <c r="C7" s="23">
        <f>SUM(C5:C6)</f>
        <v>1.769</v>
      </c>
      <c r="D7" s="23">
        <f>SUM(D5:D6)</f>
        <v>2.842</v>
      </c>
      <c r="E7" s="23">
        <f>SUM(E5:E6)</f>
        <v>4.045</v>
      </c>
      <c r="F7" s="23">
        <f>SUM(F5:F6)</f>
        <v>5.037</v>
      </c>
      <c r="G7" s="23">
        <f>SUM(G5:G6)</f>
        <v>6.441</v>
      </c>
      <c r="H7" s="23">
        <f>SUM(H5:H6)</f>
        <v>6.034</v>
      </c>
      <c r="I7" s="23">
        <f>SUM(I5:I6)</f>
        <v>3.069</v>
      </c>
      <c r="J7" s="23">
        <f>SUM(J5:J6)</f>
        <v>3.048</v>
      </c>
      <c r="K7" s="23">
        <f>SUM(K5:K6)</f>
        <v>7.372</v>
      </c>
    </row>
    <row r="8">
      <c r="A8" s="2" t="inlineStr">
        <is>
          <t>Operating Income</t>
        </is>
      </c>
      <c r="B8" s="23">
        <f>B4-B7</f>
        <v>1.6019999999999999</v>
      </c>
      <c r="C8" s="23">
        <f>C4-C7</f>
        <v>1.6320000000000003</v>
      </c>
      <c r="D8" s="23">
        <f>D4-D7</f>
        <v>1.77</v>
      </c>
      <c r="E8" s="23">
        <f>E4-E7</f>
        <v>-1.342</v>
      </c>
      <c r="F8" s="23">
        <f>F4-F7</f>
        <v>-2.197</v>
      </c>
      <c r="G8" s="23">
        <f>G4-G7</f>
        <v>-5.1899999999999995</v>
      </c>
      <c r="H8" s="23">
        <f>H4-H7</f>
        <v>-5.606999999999999</v>
      </c>
      <c r="I8" s="23">
        <f>I4-I7</f>
        <v>-2.516</v>
      </c>
      <c r="J8" s="23">
        <f>J4-J7</f>
        <v>-2.6799999999999997</v>
      </c>
      <c r="K8" s="23">
        <f>K4-K7</f>
        <v>-7.123</v>
      </c>
    </row>
    <row r="9">
      <c r="A9" s="19" t="inlineStr">
        <is>
          <t>Interest &amp; Other</t>
        </is>
      </c>
      <c r="B9" s="23" t="n">
        <v>-0.022</v>
      </c>
      <c r="C9" s="23" t="n">
        <v>-0.005</v>
      </c>
      <c r="D9" s="23" t="n">
        <v>0.022</v>
      </c>
      <c r="E9" s="23" t="n">
        <v>-9.048</v>
      </c>
      <c r="F9" s="23" t="n">
        <v>-0.744</v>
      </c>
      <c r="G9" s="23" t="n">
        <v>-0.218</v>
      </c>
      <c r="H9" s="23" t="n">
        <v>-0.327</v>
      </c>
      <c r="I9" s="23" t="n">
        <v>-0.583</v>
      </c>
      <c r="J9" s="23" t="n">
        <v>-0.623</v>
      </c>
      <c r="K9" s="23" t="n">
        <v>0.918</v>
      </c>
    </row>
    <row r="10">
      <c r="A10" s="2" t="inlineStr">
        <is>
          <t>Pretax</t>
        </is>
      </c>
      <c r="B10" s="23">
        <f>B8+B9</f>
        <v>1.5799999999999998</v>
      </c>
      <c r="C10" s="23">
        <f>C8+C9</f>
        <v>1.6270000000000004</v>
      </c>
      <c r="D10" s="23">
        <f>D8+D9</f>
        <v>1.792</v>
      </c>
      <c r="E10" s="23">
        <f>E8+E9</f>
        <v>-10.39</v>
      </c>
      <c r="F10" s="23">
        <f>F8+F9</f>
        <v>-2.941</v>
      </c>
      <c r="G10" s="23">
        <f>G8+G9</f>
        <v>-5.4079999999999995</v>
      </c>
      <c r="H10" s="23">
        <f>H8+H9</f>
        <v>-5.933999999999999</v>
      </c>
      <c r="I10" s="23">
        <f>I8+I9</f>
        <v>-3.099</v>
      </c>
      <c r="J10" s="23">
        <f>J8+J9</f>
        <v>-3.303</v>
      </c>
      <c r="K10" s="23">
        <f>K8+K9</f>
        <v>-6.205</v>
      </c>
    </row>
    <row r="11">
      <c r="A11" s="2" t="inlineStr">
        <is>
          <t>Taxes</t>
        </is>
      </c>
      <c r="B11" s="23" t="n">
        <v>0.395</v>
      </c>
      <c r="C11" s="23" t="n">
        <v>0.44</v>
      </c>
      <c r="D11" s="23" t="n">
        <v>0.252</v>
      </c>
      <c r="E11" s="23" t="n">
        <v>-0.102</v>
      </c>
      <c r="F11" s="23" t="n">
        <v>-0.193</v>
      </c>
      <c r="G11" s="23" t="n">
        <v>0.328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1.185</v>
      </c>
      <c r="C12" s="23" t="n">
        <v>1.188</v>
      </c>
      <c r="D12" s="23" t="n">
        <v>1.539</v>
      </c>
      <c r="E12" s="23" t="n">
        <v>-10.288</v>
      </c>
      <c r="F12" s="23" t="n">
        <v>-2.748</v>
      </c>
      <c r="G12" s="23" t="n">
        <v>-5.736</v>
      </c>
      <c r="H12" s="23" t="n">
        <v>-5.935</v>
      </c>
      <c r="I12" s="23" t="n">
        <v>-3.099</v>
      </c>
      <c r="J12" s="23" t="n">
        <v>-3.304</v>
      </c>
      <c r="K12" s="23" t="n">
        <v>-6.205</v>
      </c>
    </row>
    <row r="13">
      <c r="A13" s="2" t="inlineStr">
        <is>
          <t>Earnings per Share</t>
        </is>
      </c>
      <c r="B13" s="11">
        <f>IFERROR(B12/B14,0)</f>
        <v>0.0483278955954323</v>
      </c>
      <c r="C13" s="11">
        <f>IFERROR(C12/C14,0)</f>
        <v>0.048450244698205545</v>
      </c>
      <c r="D13" s="11">
        <f>IFERROR(D12/D14,0)</f>
        <v>0.061030257366062574</v>
      </c>
      <c r="E13" s="11">
        <f>IFERROR(E12/E14,0)</f>
        <v>-1.3574350178123764</v>
      </c>
      <c r="F13" s="11">
        <f>IFERROR(F12/F14,0)</f>
        <v>-3.1156462585034017</v>
      </c>
      <c r="G13" s="11">
        <f>IFERROR(G12/G14,0)</f>
        <v>-6.615916955017301</v>
      </c>
      <c r="H13" s="11">
        <f>IFERROR(H12/H14,0)</f>
        <v>-8.527298850574713</v>
      </c>
      <c r="I13" s="11">
        <f>IFERROR(I12/I14,0)</f>
        <v>-4.524087591240876</v>
      </c>
      <c r="J13" s="11">
        <f>IFERROR(J12/J14,0)</f>
        <v>-4.837481698389458</v>
      </c>
      <c r="K13" s="11">
        <f>IFERROR(K12/K14,0)</f>
        <v>-9.125</v>
      </c>
    </row>
    <row r="14">
      <c r="A14" s="2" t="inlineStr">
        <is>
          <t>Shares</t>
        </is>
      </c>
      <c r="B14" s="23" t="n">
        <v>24.52</v>
      </c>
      <c r="C14" s="23" t="n">
        <v>24.52</v>
      </c>
      <c r="D14" s="23" t="n">
        <v>25.217</v>
      </c>
      <c r="E14" s="23" t="n">
        <v>7.579</v>
      </c>
      <c r="F14" s="23" t="n">
        <v>0.882</v>
      </c>
      <c r="G14" s="23" t="n">
        <v>0.867</v>
      </c>
      <c r="H14" s="23" t="n">
        <v>0.696</v>
      </c>
      <c r="I14" s="23" t="n">
        <v>0.6850000000000001</v>
      </c>
      <c r="J14" s="23" t="n">
        <v>0.6830000000000001</v>
      </c>
      <c r="K14" s="23" t="n">
        <v>0.68</v>
      </c>
    </row>
    <row r="15"/>
    <row r="16" customFormat="1" s="4">
      <c r="A16" s="3" t="inlineStr">
        <is>
          <t>Revenue Change</t>
        </is>
      </c>
      <c r="C16" s="15">
        <f>IFERROR(C2/B2-1,"")</f>
        <v>0.43773043834494074</v>
      </c>
      <c r="D16" s="15">
        <f>IFERROR(D2/C2-1,"")</f>
        <v>-0.0009972930616898301</v>
      </c>
      <c r="E16" s="15">
        <f>IFERROR(E2/D2-1,"")</f>
        <v>-0.2638334284084426</v>
      </c>
      <c r="F16" s="15">
        <f>IFERROR(F2/E2-1,"")</f>
        <v>-0.07438977140643166</v>
      </c>
      <c r="G16" s="15">
        <f>IFERROR(G2/F2-1,"")</f>
        <v>-0.4554206781079949</v>
      </c>
      <c r="H16" s="15">
        <f>IFERROR(H2/G2-1,"")</f>
        <v>-0.24212144504227517</v>
      </c>
      <c r="I16" s="15">
        <f>IFERROR(I2/H2-1,"")</f>
        <v>-0.022312373225152116</v>
      </c>
      <c r="J16" s="15">
        <f>IFERROR(J2/I2-1,"")</f>
        <v>-0.09699170124481316</v>
      </c>
      <c r="K16" s="15">
        <f>IFERROR(K2/J2-1,"")</f>
        <v>-0.3463526708788054</v>
      </c>
    </row>
    <row r="17" customFormat="1" s="4">
      <c r="A17" s="3" t="inlineStr">
        <is>
          <t>Gross Margin</t>
        </is>
      </c>
      <c r="B17" s="15">
        <f>IFERROR(B4/B2,"")</f>
        <v>0.4735764031134781</v>
      </c>
      <c r="C17" s="15">
        <f>IFERROR(C4/C2,"")</f>
        <v>0.4845419575438097</v>
      </c>
      <c r="D17" s="15">
        <f>IFERROR(D4/D2,"")</f>
        <v>0.6577296063890474</v>
      </c>
      <c r="E17" s="15">
        <f>IFERROR(E4/E2,"")</f>
        <v>0.523634250290585</v>
      </c>
      <c r="F17" s="15">
        <f>IFERROR(F4/F2,"")</f>
        <v>0.594390958560067</v>
      </c>
      <c r="G17" s="15">
        <f>IFERROR(G4/G2,"")</f>
        <v>0.4807840122982321</v>
      </c>
      <c r="H17" s="15">
        <f>IFERROR(H4/H2,"")</f>
        <v>0.21653144016227183</v>
      </c>
      <c r="I17" s="15">
        <f>IFERROR(I4/I2,"")</f>
        <v>0.2868257261410788</v>
      </c>
      <c r="J17" s="15">
        <f>IFERROR(J4/J2,"")</f>
        <v>0.21137277426766232</v>
      </c>
      <c r="K17" s="15">
        <f>IFERROR(K4/K2,"")</f>
        <v>0.21880492091388393</v>
      </c>
    </row>
    <row r="18">
      <c r="A18" s="14" t="inlineStr">
        <is>
          <t>Operating Margin</t>
        </is>
      </c>
      <c r="B18" s="15">
        <f>IFERROR(B8/B2,"")</f>
        <v>0.3281442031954117</v>
      </c>
      <c r="C18" s="15">
        <f>IFERROR(C8/C2,"")</f>
        <v>0.23251175381108424</v>
      </c>
      <c r="D18" s="15">
        <f>IFERROR(D8/D2,"")</f>
        <v>0.2524244152880776</v>
      </c>
      <c r="E18" s="15">
        <f>IFERROR(E8/E2,"")</f>
        <v>-0.2599767531964355</v>
      </c>
      <c r="F18" s="15">
        <f>IFERROR(F8/F2,"")</f>
        <v>-0.45981582251988284</v>
      </c>
      <c r="G18" s="15">
        <f>IFERROR(G8/G2,"")</f>
        <v>-1.994619523443505</v>
      </c>
      <c r="H18" s="15">
        <f>IFERROR(H8/H2,"")</f>
        <v>-2.843306288032454</v>
      </c>
      <c r="I18" s="15">
        <f>IFERROR(I8/I2,"")</f>
        <v>-1.3049792531120332</v>
      </c>
      <c r="J18" s="15">
        <f>IFERROR(J8/J2,"")</f>
        <v>-1.539345203905801</v>
      </c>
      <c r="K18" s="15">
        <f>IFERROR(K8/K2,"")</f>
        <v>-6.259226713532514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2026-10-21T01:06:56Z</dcterms:modified>
  <cp:lastModifiedBy>Wang, Eric</cp:lastModifiedBy>
</cp:coreProperties>
</file>