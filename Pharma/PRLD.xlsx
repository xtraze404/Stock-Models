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Prelude Therapeutics Incorporated</t>
        </is>
      </c>
      <c r="C2" s="10" t="n"/>
    </row>
    <row r="3">
      <c r="B3" t="inlineStr">
        <is>
          <t>Price</t>
        </is>
      </c>
      <c r="C3" s="11">
        <f>INDEX([1]Pharma!$F$1:$F$1000,MATCH("PRLD",[1]Pharma!$B$1:$B$1000,0))</f>
        <v>3.53</v>
      </c>
      <c r="F3" s="1" t="n"/>
    </row>
    <row r="4">
      <c r="B4" t="inlineStr">
        <is>
          <t>Shares</t>
        </is>
      </c>
      <c r="C4" s="21" t="n">
        <v>79.80348499999999</v>
      </c>
      <c r="F4" s="1" t="n"/>
    </row>
    <row r="5">
      <c r="B5" t="inlineStr">
        <is>
          <t>Market Cap.</t>
        </is>
      </c>
      <c r="C5" s="13">
        <f>C3*C4</f>
        <v>281.70630205</v>
      </c>
      <c r="F5" s="1" t="n"/>
    </row>
    <row r="6"/>
    <row r="7">
      <c r="B7" t="inlineStr">
        <is>
          <t>Cash</t>
        </is>
      </c>
      <c r="C7" s="21">
        <f>26.329+125.428</f>
        <v>151.757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129.94930204999997</v>
      </c>
    </row>
    <row r="10"/>
    <row r="11">
      <c r="B11" s="14" t="inlineStr">
        <is>
          <t>Net Cash / Share</t>
        </is>
      </c>
      <c r="C11" s="11">
        <f>(C7-C8)/C4</f>
        <v>1.9016337444411107</v>
      </c>
    </row>
    <row r="12">
      <c r="B12" s="14" t="inlineStr">
        <is>
          <t>Upside</t>
        </is>
      </c>
      <c r="C12" s="15">
        <f>IFERROR(C11/C3-1,"")</f>
        <v>-0.4612935568155494</v>
      </c>
    </row>
    <row r="13">
      <c r="B13" s="14" t="inlineStr">
        <is>
          <t>Cash / Share</t>
        </is>
      </c>
      <c r="C13" s="11">
        <f>IFERROR((C7-C8)/C4,"")</f>
        <v>1.9016337444411107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-33.255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4.563434070064652</v>
      </c>
    </row>
    <row r="19">
      <c r="B19" s="14" t="inlineStr">
        <is>
          <t>Implied Pipeline Value</t>
        </is>
      </c>
      <c r="C19" s="13">
        <f>C9</f>
        <v>129.94930204999997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7</v>
      </c>
      <c r="H2" s="23" t="n">
        <v>12.14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7.0</v>
      </c>
      <c r="H4" s="23">
        <f>H2-H3</f>
        <v>12.14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24.279</v>
      </c>
      <c r="C5" s="23" t="n">
        <v>48.177</v>
      </c>
      <c r="D5" s="23" t="n">
        <v>86.77800000000001</v>
      </c>
      <c r="E5" s="23" t="n">
        <v>92.889</v>
      </c>
      <c r="F5" s="23" t="n">
        <v>103.393</v>
      </c>
      <c r="G5" s="23" t="n">
        <v>117.995</v>
      </c>
      <c r="H5" s="23" t="n">
        <v>94.3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3.83</v>
      </c>
      <c r="C6" s="23" t="n">
        <v>10.586</v>
      </c>
      <c r="D6" s="23" t="n">
        <v>26.957</v>
      </c>
      <c r="E6" s="23" t="n">
        <v>30.651</v>
      </c>
      <c r="F6" s="23" t="n">
        <v>28.884</v>
      </c>
      <c r="G6" s="23" t="n">
        <v>28.719</v>
      </c>
      <c r="H6" s="23" t="n">
        <v>22.406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28.109</v>
      </c>
      <c r="C7" s="23">
        <f>SUM(C5:C6)</f>
        <v>58.763</v>
      </c>
      <c r="D7" s="23">
        <f>SUM(D5:D6)</f>
        <v>113.73500000000001</v>
      </c>
      <c r="E7" s="23">
        <f>SUM(E5:E6)</f>
        <v>123.53999999999999</v>
      </c>
      <c r="F7" s="23">
        <f>SUM(F5:F6)</f>
        <v>132.277</v>
      </c>
      <c r="G7" s="23">
        <f>SUM(G5:G6)</f>
        <v>146.714</v>
      </c>
      <c r="H7" s="23">
        <f>SUM(H5:H6)</f>
        <v>116.70599999999999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-28.109</v>
      </c>
      <c r="C8" s="23">
        <f>C4-C7</f>
        <v>-58.763</v>
      </c>
      <c r="D8" s="23">
        <f>D4-D7</f>
        <v>-113.73500000000001</v>
      </c>
      <c r="E8" s="23">
        <f>E4-E7</f>
        <v>-123.53999999999999</v>
      </c>
      <c r="F8" s="23">
        <f>F4-F7</f>
        <v>-132.277</v>
      </c>
      <c r="G8" s="23">
        <f>G4-G7</f>
        <v>-139.714</v>
      </c>
      <c r="H8" s="23">
        <f>H4-H7</f>
        <v>-104.56599999999999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0.539</v>
      </c>
      <c r="C9" s="23" t="n">
        <v>1.834</v>
      </c>
      <c r="D9" s="23" t="n">
        <v>2.041</v>
      </c>
      <c r="E9" s="23" t="n">
        <v>8.102</v>
      </c>
      <c r="F9" s="23" t="n">
        <v>10.445</v>
      </c>
      <c r="G9" s="23" t="n">
        <v>12.544</v>
      </c>
      <c r="H9" s="23" t="n">
        <v>5.066</v>
      </c>
    </row>
    <row r="10">
      <c r="A10" s="2" t="inlineStr">
        <is>
          <t>Pretax</t>
        </is>
      </c>
      <c r="B10" s="23">
        <f>B8+B9</f>
        <v>-27.57</v>
      </c>
      <c r="C10" s="23">
        <f>C8+C9</f>
        <v>-56.928999999999995</v>
      </c>
      <c r="D10" s="23">
        <f>D8+D9</f>
        <v>-111.69400000000002</v>
      </c>
      <c r="E10" s="23">
        <f>E8+E9</f>
        <v>-115.43799999999999</v>
      </c>
      <c r="F10" s="23">
        <f>F8+F9</f>
        <v>-121.832</v>
      </c>
      <c r="G10" s="23">
        <f>G8+G9</f>
        <v>-127.17</v>
      </c>
      <c r="H10" s="23">
        <f>H8+H9</f>
        <v>-99.49999999999999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-27.57</v>
      </c>
      <c r="C12" s="23" t="n">
        <v>-56.929</v>
      </c>
      <c r="D12" s="23" t="n">
        <v>-111.694</v>
      </c>
      <c r="E12" s="23" t="n">
        <v>-115.438</v>
      </c>
      <c r="F12" s="23" t="n">
        <v>-121.832</v>
      </c>
      <c r="G12" s="23" t="n">
        <v>-127.17</v>
      </c>
      <c r="H12" s="23" t="n">
        <v>-99.5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-16.51887357699221</v>
      </c>
      <c r="C13" s="11">
        <f>IFERROR(C12/C14,0)</f>
        <v>-4.562349735534541</v>
      </c>
      <c r="D13" s="11">
        <f>IFERROR(D12/D14,0)</f>
        <v>-2.425494028230185</v>
      </c>
      <c r="E13" s="11">
        <f>IFERROR(E12/E14,0)</f>
        <v>-2.436840327619691</v>
      </c>
      <c r="F13" s="11">
        <f>IFERROR(F12/F14,0)</f>
        <v>-2.0185231207647827</v>
      </c>
      <c r="G13" s="11">
        <f>IFERROR(G12/G14,0)</f>
        <v>-1.677571696171807</v>
      </c>
      <c r="H13" s="11">
        <f>IFERROR(H12/H14,0)</f>
        <v>-1.2929466188471335</v>
      </c>
    </row>
    <row r="14">
      <c r="A14" s="2" t="inlineStr">
        <is>
          <t>Shares</t>
        </is>
      </c>
      <c r="B14" s="23" t="n">
        <v>1.669</v>
      </c>
      <c r="C14" s="23" t="n">
        <v>12.478</v>
      </c>
      <c r="D14" s="23" t="n">
        <v>46.05</v>
      </c>
      <c r="E14" s="23" t="n">
        <v>47.372</v>
      </c>
      <c r="F14" s="23" t="n">
        <v>60.357</v>
      </c>
      <c r="G14" s="23" t="n">
        <v>75.806</v>
      </c>
      <c r="H14" s="23" t="n">
        <v>76.956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0.7342857142857144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-19.959142857142858</v>
      </c>
      <c r="H18" s="15">
        <f>IFERROR(H8/H2,"")</f>
        <v>-8.61334431630972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2026-10-21T01:05:28Z</dcterms:modified>
  <cp:lastModifiedBy>Wang, Eric</cp:lastModifiedBy>
</cp:coreProperties>
</file>