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Prelude Therapeutics Incorporated</t>
        </is>
      </c>
      <c r="C2" s="10" t="n"/>
    </row>
    <row r="3">
      <c r="B3" t="inlineStr">
        <is>
          <t>Price</t>
        </is>
      </c>
      <c r="C3" s="11">
        <f>INDEX([1]Pharma!$F$1:$F$1000,MATCH("PRLD",[1]Pharma!$B$1:$B$1000,0))</f>
        <v>3.53</v>
      </c>
      <c r="F3" s="1" t="n"/>
    </row>
    <row r="4">
      <c r="B4" t="inlineStr">
        <is>
          <t>Shares</t>
        </is>
      </c>
      <c r="C4" s="21" t="n">
        <v>79.80348499999999</v>
      </c>
      <c r="F4" s="1" t="n"/>
    </row>
    <row r="5">
      <c r="B5" t="inlineStr">
        <is>
          <t>Market Cap.</t>
        </is>
      </c>
      <c r="C5" s="13">
        <f>C3*C4</f>
        <v>281.70630205</v>
      </c>
      <c r="F5" s="1" t="n"/>
    </row>
    <row r="6"/>
    <row r="7">
      <c r="B7" t="inlineStr">
        <is>
          <t>Cash</t>
        </is>
      </c>
      <c r="C7" s="21">
        <f>26.329+125.428</f>
        <v>151.757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129.94930204999997</v>
      </c>
    </row>
    <row r="10"/>
    <row r="11">
      <c r="B11" s="14" t="inlineStr">
        <is>
          <t>rNPV / Share</t>
        </is>
      </c>
      <c r="C11" s="11">
        <f>NPV!B27</f>
        <v>1.5850180184454</v>
      </c>
    </row>
    <row r="12">
      <c r="B12" s="14" t="inlineStr">
        <is>
          <t>Upside</t>
        </is>
      </c>
      <c r="C12" s="15">
        <f>IFERROR(C11/C3-1,"")</f>
        <v>-0.5509863970409632</v>
      </c>
    </row>
    <row r="13">
      <c r="B13" s="14" t="inlineStr">
        <is>
          <t>Cash / Share</t>
        </is>
      </c>
      <c r="C13" s="11">
        <f>IFERROR((C7-C8)/C4,"")</f>
        <v>1.9016337444411107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-33.255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4.563434070064652</v>
      </c>
    </row>
    <row r="19">
      <c r="B19" s="14" t="inlineStr">
        <is>
          <t>Implied Pipeline Value</t>
        </is>
      </c>
      <c r="C19" s="13">
        <f>C9</f>
        <v>129.94930204999997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7</v>
      </c>
      <c r="H2" s="23" t="n">
        <v>12.14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7.0</v>
      </c>
      <c r="H4" s="23">
        <f>H2-H3</f>
        <v>12.14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24.279</v>
      </c>
      <c r="C5" s="23" t="n">
        <v>48.177</v>
      </c>
      <c r="D5" s="23" t="n">
        <v>86.77800000000001</v>
      </c>
      <c r="E5" s="23" t="n">
        <v>92.889</v>
      </c>
      <c r="F5" s="23" t="n">
        <v>103.393</v>
      </c>
      <c r="G5" s="23" t="n">
        <v>117.995</v>
      </c>
      <c r="H5" s="23" t="n">
        <v>94.3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3.83</v>
      </c>
      <c r="C6" s="23" t="n">
        <v>10.586</v>
      </c>
      <c r="D6" s="23" t="n">
        <v>26.957</v>
      </c>
      <c r="E6" s="23" t="n">
        <v>30.651</v>
      </c>
      <c r="F6" s="23" t="n">
        <v>28.884</v>
      </c>
      <c r="G6" s="23" t="n">
        <v>28.719</v>
      </c>
      <c r="H6" s="23" t="n">
        <v>22.406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28.109</v>
      </c>
      <c r="C7" s="23">
        <f>SUM(C5:C6)</f>
        <v>58.763</v>
      </c>
      <c r="D7" s="23">
        <f>SUM(D5:D6)</f>
        <v>113.73500000000001</v>
      </c>
      <c r="E7" s="23">
        <f>SUM(E5:E6)</f>
        <v>123.53999999999999</v>
      </c>
      <c r="F7" s="23">
        <f>SUM(F5:F6)</f>
        <v>132.277</v>
      </c>
      <c r="G7" s="23">
        <f>SUM(G5:G6)</f>
        <v>146.714</v>
      </c>
      <c r="H7" s="23">
        <f>SUM(H5:H6)</f>
        <v>116.70599999999999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-28.109</v>
      </c>
      <c r="C8" s="23">
        <f>C4-C7</f>
        <v>-58.763</v>
      </c>
      <c r="D8" s="23">
        <f>D4-D7</f>
        <v>-113.73500000000001</v>
      </c>
      <c r="E8" s="23">
        <f>E4-E7</f>
        <v>-123.53999999999999</v>
      </c>
      <c r="F8" s="23">
        <f>F4-F7</f>
        <v>-132.277</v>
      </c>
      <c r="G8" s="23">
        <f>G4-G7</f>
        <v>-139.714</v>
      </c>
      <c r="H8" s="23">
        <f>H4-H7</f>
        <v>-104.56599999999999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0.539</v>
      </c>
      <c r="C9" s="23" t="n">
        <v>1.834</v>
      </c>
      <c r="D9" s="23" t="n">
        <v>2.041</v>
      </c>
      <c r="E9" s="23" t="n">
        <v>8.102</v>
      </c>
      <c r="F9" s="23" t="n">
        <v>10.445</v>
      </c>
      <c r="G9" s="23" t="n">
        <v>12.544</v>
      </c>
      <c r="H9" s="23" t="n">
        <v>5.066</v>
      </c>
    </row>
    <row r="10">
      <c r="A10" s="2" t="inlineStr">
        <is>
          <t>Pretax</t>
        </is>
      </c>
      <c r="B10" s="23">
        <f>B8+B9</f>
        <v>-27.57</v>
      </c>
      <c r="C10" s="23">
        <f>C8+C9</f>
        <v>-56.928999999999995</v>
      </c>
      <c r="D10" s="23">
        <f>D8+D9</f>
        <v>-111.69400000000002</v>
      </c>
      <c r="E10" s="23">
        <f>E8+E9</f>
        <v>-115.43799999999999</v>
      </c>
      <c r="F10" s="23">
        <f>F8+F9</f>
        <v>-121.832</v>
      </c>
      <c r="G10" s="23">
        <f>G8+G9</f>
        <v>-127.17</v>
      </c>
      <c r="H10" s="23">
        <f>H8+H9</f>
        <v>-99.49999999999999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-27.57</v>
      </c>
      <c r="C12" s="23" t="n">
        <v>-56.929</v>
      </c>
      <c r="D12" s="23" t="n">
        <v>-111.694</v>
      </c>
      <c r="E12" s="23" t="n">
        <v>-115.438</v>
      </c>
      <c r="F12" s="23" t="n">
        <v>-121.832</v>
      </c>
      <c r="G12" s="23" t="n">
        <v>-127.17</v>
      </c>
      <c r="H12" s="23" t="n">
        <v>-99.5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-16.51887357699221</v>
      </c>
      <c r="C13" s="11">
        <f>IFERROR(C12/C14,0)</f>
        <v>-4.562349735534541</v>
      </c>
      <c r="D13" s="11">
        <f>IFERROR(D12/D14,0)</f>
        <v>-2.425494028230185</v>
      </c>
      <c r="E13" s="11">
        <f>IFERROR(E12/E14,0)</f>
        <v>-2.436840327619691</v>
      </c>
      <c r="F13" s="11">
        <f>IFERROR(F12/F14,0)</f>
        <v>-2.0185231207647827</v>
      </c>
      <c r="G13" s="11">
        <f>IFERROR(G12/G14,0)</f>
        <v>-1.677571696171807</v>
      </c>
      <c r="H13" s="11">
        <f>IFERROR(H12/H14,0)</f>
        <v>-1.2929466188471335</v>
      </c>
    </row>
    <row r="14">
      <c r="A14" s="2" t="inlineStr">
        <is>
          <t>Shares</t>
        </is>
      </c>
      <c r="B14" s="23" t="n">
        <v>1.669</v>
      </c>
      <c r="C14" s="23" t="n">
        <v>12.478</v>
      </c>
      <c r="D14" s="23" t="n">
        <v>46.05</v>
      </c>
      <c r="E14" s="23" t="n">
        <v>47.372</v>
      </c>
      <c r="F14" s="23" t="n">
        <v>60.357</v>
      </c>
      <c r="G14" s="23" t="n">
        <v>75.806</v>
      </c>
      <c r="H14" s="23" t="n">
        <v>76.956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0.7342857142857144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-19.959142857142858</v>
      </c>
      <c r="H18" s="15">
        <f>IFERROR(H8/H2,"")</f>
        <v>-8.61334431630972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Prelude Therapeutics Incorporated: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0.14991449318299988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67.39700000000001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660.1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-25.267038340262822</v>
      </c>
      <c r="C29" s="42">
        <f>NPV!B25</f>
        <v>126.48996165973719</v>
      </c>
      <c r="D29" s="43">
        <f>NPV!B27</f>
        <v>1.5850180184454</v>
      </c>
      <c r="E29" s="44">
        <f>NPV!B29</f>
        <v>-0.5509863970409632</v>
      </c>
    </row>
    <row r="30">
      <c r="A30" s="45" t="n">
        <v>1</v>
      </c>
      <c r="B30" s="46">
        <f t="dataTable" ref="B30:E32" r1="B4"/>
        <v>-129.2279014759692</v>
      </c>
      <c r="C30" s="46">
        <v>22.529098524030815</v>
      </c>
      <c r="D30" s="47">
        <v>0.2823072015467848</v>
      </c>
      <c r="E30" s="48">
        <v>-0.9200262885136588</v>
      </c>
    </row>
    <row r="31">
      <c r="A31" s="45" t="n">
        <v>2</v>
      </c>
      <c r="B31" s="46">
        <v>-25.267038340262822</v>
      </c>
      <c r="C31" s="46">
        <v>126.48996165973719</v>
      </c>
      <c r="D31" s="47">
        <v>1.5850180184454</v>
      </c>
      <c r="E31" s="48">
        <v>-0.5509863970409632</v>
      </c>
    </row>
    <row r="32">
      <c r="A32" s="45" t="n">
        <v>3</v>
      </c>
      <c r="B32" s="46">
        <v>140.06273197534205</v>
      </c>
      <c r="C32" s="46">
        <v>291.81973197534205</v>
      </c>
      <c r="D32" s="47">
        <v>3.6567291763679504</v>
      </c>
      <c r="E32" s="48">
        <v>0.03590061653483012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1.5850180184454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0.03880438929953974</v>
      </c>
      <c r="C37" s="47">
        <v>0.38576569237382785</v>
      </c>
      <c r="D37" s="47">
        <v>0.7327269954481159</v>
      </c>
      <c r="E37" s="47">
        <v>1.4266496015966916</v>
      </c>
      <c r="F37" s="47">
        <v>2.0952922455951017</v>
      </c>
    </row>
    <row r="38">
      <c r="A38" s="50" t="n">
        <v>0.8</v>
      </c>
      <c r="B38" s="47">
        <v>0.23324107329916802</v>
      </c>
      <c r="C38" s="47">
        <v>0.695856144064886</v>
      </c>
      <c r="D38" s="47">
        <v>1.1584712148306031</v>
      </c>
      <c r="E38" s="47">
        <v>2.061319091404495</v>
      </c>
      <c r="F38" s="47">
        <v>2.862430266476223</v>
      </c>
    </row>
    <row r="39">
      <c r="A39" s="50" t="n">
        <v>1</v>
      </c>
      <c r="B39" s="47">
        <v>0.4284803415311064</v>
      </c>
      <c r="C39" s="47">
        <v>1.0067491799882535</v>
      </c>
      <c r="D39" s="47">
        <v>1.5850180184454</v>
      </c>
      <c r="E39" s="47">
        <v>2.6318818729872993</v>
      </c>
      <c r="F39" s="47">
        <v>3.6100689945248967</v>
      </c>
    </row>
    <row r="40">
      <c r="A40" s="50" t="n">
        <v>1.2</v>
      </c>
      <c r="B40" s="47">
        <v>0.6245133624182551</v>
      </c>
      <c r="C40" s="47">
        <v>1.3184359685668312</v>
      </c>
      <c r="D40" s="47">
        <v>1.995583171827377</v>
      </c>
      <c r="E40" s="47">
        <v>3.191087807008296</v>
      </c>
      <c r="F40" s="47">
        <v>4.346833798455355</v>
      </c>
    </row>
    <row r="41">
      <c r="A41" s="50" t="n">
        <v>1.4</v>
      </c>
      <c r="B41" s="47">
        <v>0.8213313043835156</v>
      </c>
      <c r="C41" s="47">
        <v>1.6309076782235221</v>
      </c>
      <c r="D41" s="47">
        <v>2.3694939839971063</v>
      </c>
      <c r="E41" s="47">
        <v>3.7418868769806886</v>
      </c>
      <c r="F41" s="47">
        <v>5.077450494197019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Prelude Therapeutics Incorporated: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PRT543, PRT3789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69.22180286367352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7.904999999999999</v>
      </c>
      <c r="U4" s="23">
        <f>IF(U$3&lt;$I4,0,$G4*Assumptions!$E$11*INDEX(Assumptions!$B$24:$G$24,MIN(6,U$3-$I4+1))*IF(U$3&gt;$J4,(1-Assumptions!$B$26)^(U$3-$J4),1)*IF($H4&gt;=1,1,MIN(0.97,$H4*Assumptions!$E$12)))</f>
        <v>19.7625</v>
      </c>
      <c r="V4" s="23">
        <f>IF(V$3&lt;$I4,0,$G4*Assumptions!$E$11*INDEX(Assumptions!$B$24:$G$24,MIN(6,V$3-$I4+1))*IF(V$3&gt;$J4,(1-Assumptions!$B$26)^(V$3-$J4),1)*IF($H4&gt;=1,1,MIN(0.97,$H4*Assumptions!$E$12)))</f>
        <v>35.5725</v>
      </c>
      <c r="W4" s="23">
        <f>IF(W$3&lt;$I4,0,$G4*Assumptions!$E$11*INDEX(Assumptions!$B$24:$G$24,MIN(6,W$3-$I4+1))*IF(W$3&gt;$J4,(1-Assumptions!$B$26)^(W$3-$J4),1)*IF($H4&gt;=1,1,MIN(0.97,$H4*Assumptions!$E$12)))</f>
        <v>51.3825</v>
      </c>
      <c r="X4" s="23">
        <f>IF(X$3&lt;$I4,0,$G4*Assumptions!$E$11*INDEX(Assumptions!$B$24:$G$24,MIN(6,X$3-$I4+1))*IF(X$3&gt;$J4,(1-Assumptions!$B$26)^(X$3-$J4),1)*IF($H4&gt;=1,1,MIN(0.97,$H4*Assumptions!$E$12)))</f>
        <v>67.1925</v>
      </c>
      <c r="Y4" s="23">
        <f>IF(Y$3&lt;$I4,0,$G4*Assumptions!$E$11*INDEX(Assumptions!$B$24:$G$24,MIN(6,Y$3-$I4+1))*IF(Y$3&gt;$J4,(1-Assumptions!$B$26)^(Y$3-$J4),1)*IF($H4&gt;=1,1,MIN(0.97,$H4*Assumptions!$E$12)))</f>
        <v>79.05</v>
      </c>
      <c r="Z4" s="23">
        <f>IF(Z$3&lt;$I4,0,$G4*Assumptions!$E$11*INDEX(Assumptions!$B$24:$G$24,MIN(6,Z$3-$I4+1))*IF(Z$3&gt;$J4,(1-Assumptions!$B$26)^(Z$3-$J4),1)*IF($H4&gt;=1,1,MIN(0.97,$H4*Assumptions!$E$12)))</f>
        <v>79.05</v>
      </c>
      <c r="AA4" s="23">
        <f>IF(AA$3&lt;$I4,0,$G4*Assumptions!$E$11*INDEX(Assumptions!$B$24:$G$24,MIN(6,AA$3-$I4+1))*IF(AA$3&gt;$J4,(1-Assumptions!$B$26)^(AA$3-$J4),1)*IF($H4&gt;=1,1,MIN(0.97,$H4*Assumptions!$E$12)))</f>
        <v>79.05</v>
      </c>
      <c r="AB4" s="23">
        <f>IF(AB$3&lt;$I4,0,$G4*Assumptions!$E$11*INDEX(Assumptions!$B$24:$G$24,MIN(6,AB$3-$I4+1))*IF(AB$3&gt;$J4,(1-Assumptions!$B$26)^(AB$3-$J4),1)*IF($H4&gt;=1,1,MIN(0.97,$H4*Assumptions!$E$12)))</f>
        <v>79.05</v>
      </c>
      <c r="AC4" s="23">
        <f>IF(AC$3&lt;$I4,0,$G4*Assumptions!$E$11*INDEX(Assumptions!$B$24:$G$24,MIN(6,AC$3-$I4+1))*IF(AC$3&gt;$J4,(1-Assumptions!$B$26)^(AC$3-$J4),1)*IF($H4&gt;=1,1,MIN(0.97,$H4*Assumptions!$E$12)))</f>
        <v>79.05</v>
      </c>
      <c r="AD4" s="23">
        <f>IF(AD$3&lt;$I4,0,$G4*Assumptions!$E$11*INDEX(Assumptions!$B$24:$G$24,MIN(6,AD$3-$I4+1))*IF(AD$3&gt;$J4,(1-Assumptions!$B$26)^(AD$3-$J4),1)*IF($H4&gt;=1,1,MIN(0.97,$H4*Assumptions!$E$12)))</f>
        <v>79.05</v>
      </c>
      <c r="AE4" s="23">
        <f>IF(AE$3&lt;$I4,0,$G4*Assumptions!$E$11*INDEX(Assumptions!$B$24:$G$24,MIN(6,AE$3-$I4+1))*IF(AE$3&gt;$J4,(1-Assumptions!$B$26)^(AE$3-$J4),1)*IF($H4&gt;=1,1,MIN(0.97,$H4*Assumptions!$E$12)))</f>
        <v>79.05</v>
      </c>
      <c r="AF4" s="23">
        <f>IF(AF$3&lt;$I4,0,$G4*Assumptions!$E$11*INDEX(Assumptions!$B$24:$G$24,MIN(6,AF$3-$I4+1))*IF(AF$3&gt;$J4,(1-Assumptions!$B$26)^(AF$3-$J4),1)*IF($H4&gt;=1,1,MIN(0.97,$H4*Assumptions!$E$12)))</f>
        <v>79.05</v>
      </c>
      <c r="AG4" s="35">
        <f>IF(F4="Owned",1-IF(H4&gt;=1,1,MIN(0.97,H4*Assumptions!$E$12)),1)</f>
        <v>0.9473</v>
      </c>
    </row>
    <row r="5">
      <c r="A5" s="39" t="n">
        <v>2</v>
      </c>
      <c r="B5" s="14" t="inlineStr">
        <is>
          <t>Lymphoma</t>
        </is>
      </c>
      <c r="C5" s="14" t="inlineStr">
        <is>
          <t>PRT2527, Zanubrutinib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A6" s="39" t="n">
        <v>3</v>
      </c>
      <c r="B6" s="14" t="inlineStr">
        <is>
          <t>Myelofibrosis / MDS / MPN</t>
        </is>
      </c>
      <c r="C6" s="14" t="inlineStr">
        <is>
          <t>PRT12396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1000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46.14786857578234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5.27</v>
      </c>
      <c r="U6" s="23">
        <f>IF(U$3&lt;$I6,0,$G6*Assumptions!$E$11*INDEX(Assumptions!$B$24:$G$24,MIN(6,U$3-$I6+1))*IF(U$3&gt;$J6,(1-Assumptions!$B$26)^(U$3-$J6),1)*IF($H6&gt;=1,1,MIN(0.97,$H6*Assumptions!$E$12)))</f>
        <v>13.174999999999999</v>
      </c>
      <c r="V6" s="23">
        <f>IF(V$3&lt;$I6,0,$G6*Assumptions!$E$11*INDEX(Assumptions!$B$24:$G$24,MIN(6,V$3-$I6+1))*IF(V$3&gt;$J6,(1-Assumptions!$B$26)^(V$3-$J6),1)*IF($H6&gt;=1,1,MIN(0.97,$H6*Assumptions!$E$12)))</f>
        <v>23.715</v>
      </c>
      <c r="W6" s="23">
        <f>IF(W$3&lt;$I6,0,$G6*Assumptions!$E$11*INDEX(Assumptions!$B$24:$G$24,MIN(6,W$3-$I6+1))*IF(W$3&gt;$J6,(1-Assumptions!$B$26)^(W$3-$J6),1)*IF($H6&gt;=1,1,MIN(0.97,$H6*Assumptions!$E$12)))</f>
        <v>34.254999999999995</v>
      </c>
      <c r="X6" s="23">
        <f>IF(X$3&lt;$I6,0,$G6*Assumptions!$E$11*INDEX(Assumptions!$B$24:$G$24,MIN(6,X$3-$I6+1))*IF(X$3&gt;$J6,(1-Assumptions!$B$26)^(X$3-$J6),1)*IF($H6&gt;=1,1,MIN(0.97,$H6*Assumptions!$E$12)))</f>
        <v>44.794999999999995</v>
      </c>
      <c r="Y6" s="23">
        <f>IF(Y$3&lt;$I6,0,$G6*Assumptions!$E$11*INDEX(Assumptions!$B$24:$G$24,MIN(6,Y$3-$I6+1))*IF(Y$3&gt;$J6,(1-Assumptions!$B$26)^(Y$3-$J6),1)*IF($H6&gt;=1,1,MIN(0.97,$H6*Assumptions!$E$12)))</f>
        <v>52.699999999999996</v>
      </c>
      <c r="Z6" s="23">
        <f>IF(Z$3&lt;$I6,0,$G6*Assumptions!$E$11*INDEX(Assumptions!$B$24:$G$24,MIN(6,Z$3-$I6+1))*IF(Z$3&gt;$J6,(1-Assumptions!$B$26)^(Z$3-$J6),1)*IF($H6&gt;=1,1,MIN(0.97,$H6*Assumptions!$E$12)))</f>
        <v>52.699999999999996</v>
      </c>
      <c r="AA6" s="23">
        <f>IF(AA$3&lt;$I6,0,$G6*Assumptions!$E$11*INDEX(Assumptions!$B$24:$G$24,MIN(6,AA$3-$I6+1))*IF(AA$3&gt;$J6,(1-Assumptions!$B$26)^(AA$3-$J6),1)*IF($H6&gt;=1,1,MIN(0.97,$H6*Assumptions!$E$12)))</f>
        <v>52.699999999999996</v>
      </c>
      <c r="AB6" s="23">
        <f>IF(AB$3&lt;$I6,0,$G6*Assumptions!$E$11*INDEX(Assumptions!$B$24:$G$24,MIN(6,AB$3-$I6+1))*IF(AB$3&gt;$J6,(1-Assumptions!$B$26)^(AB$3-$J6),1)*IF($H6&gt;=1,1,MIN(0.97,$H6*Assumptions!$E$12)))</f>
        <v>52.699999999999996</v>
      </c>
      <c r="AC6" s="23">
        <f>IF(AC$3&lt;$I6,0,$G6*Assumptions!$E$11*INDEX(Assumptions!$B$24:$G$24,MIN(6,AC$3-$I6+1))*IF(AC$3&gt;$J6,(1-Assumptions!$B$26)^(AC$3-$J6),1)*IF($H6&gt;=1,1,MIN(0.97,$H6*Assumptions!$E$12)))</f>
        <v>52.699999999999996</v>
      </c>
      <c r="AD6" s="23">
        <f>IF(AD$3&lt;$I6,0,$G6*Assumptions!$E$11*INDEX(Assumptions!$B$24:$G$24,MIN(6,AD$3-$I6+1))*IF(AD$3&gt;$J6,(1-Assumptions!$B$26)^(AD$3-$J6),1)*IF($H6&gt;=1,1,MIN(0.97,$H6*Assumptions!$E$12)))</f>
        <v>52.699999999999996</v>
      </c>
      <c r="AE6" s="23">
        <f>IF(AE$3&lt;$I6,0,$G6*Assumptions!$E$11*INDEX(Assumptions!$B$24:$G$24,MIN(6,AE$3-$I6+1))*IF(AE$3&gt;$J6,(1-Assumptions!$B$26)^(AE$3-$J6),1)*IF($H6&gt;=1,1,MIN(0.97,$H6*Assumptions!$E$12)))</f>
        <v>52.699999999999996</v>
      </c>
      <c r="AF6" s="23">
        <f>IF(AF$3&lt;$I6,0,$G6*Assumptions!$E$11*INDEX(Assumptions!$B$24:$G$24,MIN(6,AF$3-$I6+1))*IF(AF$3&gt;$J6,(1-Assumptions!$B$26)^(AF$3-$J6),1)*IF($H6&gt;=1,1,MIN(0.97,$H6*Assumptions!$E$12)))</f>
        <v>52.699999999999996</v>
      </c>
      <c r="AG6" s="35">
        <f>IF(F6="Owned",1-IF(H6&gt;=1,1,MIN(0.97,H6*Assumptions!$E$12)),1)</f>
        <v>0.9473</v>
      </c>
    </row>
    <row r="7">
      <c r="B7" s="24" t="inlineStr">
        <is>
          <t>Risked revenue</t>
        </is>
      </c>
      <c r="L7" s="54">
        <f>SUM(L4:L6)</f>
        <v>184.59147430312936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0.0</v>
      </c>
      <c r="S7" s="54">
        <f>SUM(S4:S6)</f>
        <v>0.0</v>
      </c>
      <c r="T7" s="54">
        <f>SUM(T4:T6)</f>
        <v>21.08</v>
      </c>
      <c r="U7" s="54">
        <f>SUM(U4:U6)</f>
        <v>52.699999999999996</v>
      </c>
      <c r="V7" s="54">
        <f>SUM(V4:V6)</f>
        <v>94.86</v>
      </c>
      <c r="W7" s="54">
        <f>SUM(W4:W6)</f>
        <v>137.01999999999998</v>
      </c>
      <c r="X7" s="54">
        <f>SUM(X4:X6)</f>
        <v>179.17999999999998</v>
      </c>
      <c r="Y7" s="54">
        <f>SUM(Y4:Y6)</f>
        <v>210.79999999999998</v>
      </c>
      <c r="Z7" s="54">
        <f>SUM(Z4:Z6)</f>
        <v>210.79999999999998</v>
      </c>
      <c r="AA7" s="54">
        <f>SUM(AA4:AA6)</f>
        <v>210.79999999999998</v>
      </c>
      <c r="AB7" s="54">
        <f>SUM(AB4:AB6)</f>
        <v>210.79999999999998</v>
      </c>
      <c r="AC7" s="54">
        <f>SUM(AC4:AC6)</f>
        <v>210.79999999999998</v>
      </c>
      <c r="AD7" s="54">
        <f>SUM(AD4:AD6)</f>
        <v>210.79999999999998</v>
      </c>
      <c r="AE7" s="54">
        <f>SUM(AE4:AE6)</f>
        <v>210.79999999999998</v>
      </c>
      <c r="AF7" s="54">
        <f>SUM(AF4:AF6)</f>
        <v>210.79999999999998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0.0</v>
      </c>
      <c r="S8" s="55">
        <f>SUMPRODUCT(S4:S6,$K$4:$K$6)</f>
        <v>0.0</v>
      </c>
      <c r="T8" s="55">
        <f>SUMPRODUCT(T4:T6,$K$4:$K$6)</f>
        <v>8.432</v>
      </c>
      <c r="U8" s="55">
        <f>SUMPRODUCT(U4:U6,$K$4:$K$6)</f>
        <v>21.08</v>
      </c>
      <c r="V8" s="55">
        <f>SUMPRODUCT(V4:V6,$K$4:$K$6)</f>
        <v>37.944</v>
      </c>
      <c r="W8" s="55">
        <f>SUMPRODUCT(W4:W6,$K$4:$K$6)</f>
        <v>54.808</v>
      </c>
      <c r="X8" s="55">
        <f>SUMPRODUCT(X4:X6,$K$4:$K$6)</f>
        <v>71.672</v>
      </c>
      <c r="Y8" s="55">
        <f>SUMPRODUCT(Y4:Y6,$K$4:$K$6)</f>
        <v>84.32</v>
      </c>
      <c r="Z8" s="55">
        <f>SUMPRODUCT(Z4:Z6,$K$4:$K$6)</f>
        <v>84.32</v>
      </c>
      <c r="AA8" s="55">
        <f>SUMPRODUCT(AA4:AA6,$K$4:$K$6)</f>
        <v>84.32</v>
      </c>
      <c r="AB8" s="55">
        <f>SUMPRODUCT(AB4:AB6,$K$4:$K$6)</f>
        <v>84.32</v>
      </c>
      <c r="AC8" s="55">
        <f>SUMPRODUCT(AC4:AC6,$K$4:$K$6)</f>
        <v>84.32</v>
      </c>
      <c r="AD8" s="55">
        <f>SUMPRODUCT(AD4:AD6,$K$4:$K$6)</f>
        <v>84.32</v>
      </c>
      <c r="AE8" s="55">
        <f>SUMPRODUCT(AE4:AE6,$K$4:$K$6)</f>
        <v>84.32</v>
      </c>
      <c r="AF8" s="55">
        <f>SUMPRODUCT(AF4:AF6,$K$4:$K$6)</f>
        <v>84.32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Prelude Therapeutics Incorporated: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0.0</v>
      </c>
      <c r="I4" s="57">
        <f>Pipeline!S7</f>
        <v>0.0</v>
      </c>
      <c r="J4" s="57">
        <f>Pipeline!T7</f>
        <v>21.08</v>
      </c>
      <c r="K4" s="57">
        <f>Pipeline!U7</f>
        <v>52.699999999999996</v>
      </c>
      <c r="L4" s="57">
        <f>Pipeline!V7</f>
        <v>94.86</v>
      </c>
      <c r="M4" s="57">
        <f>Pipeline!W7</f>
        <v>137.01999999999998</v>
      </c>
      <c r="N4" s="57">
        <f>Pipeline!X7</f>
        <v>179.17999999999998</v>
      </c>
      <c r="O4" s="57">
        <f>Pipeline!Y7</f>
        <v>210.79999999999998</v>
      </c>
      <c r="P4" s="57">
        <f>Pipeline!Z7</f>
        <v>210.79999999999998</v>
      </c>
      <c r="Q4" s="57">
        <f>Pipeline!AA7</f>
        <v>210.79999999999998</v>
      </c>
      <c r="R4" s="57">
        <f>Pipeline!AB7</f>
        <v>210.79999999999998</v>
      </c>
      <c r="S4" s="57">
        <f>Pipeline!AC7</f>
        <v>210.79999999999998</v>
      </c>
      <c r="T4" s="57">
        <f>Pipeline!AD7</f>
        <v>210.79999999999998</v>
      </c>
      <c r="U4" s="57">
        <f>Pipeline!AE7</f>
        <v>210.79999999999998</v>
      </c>
      <c r="V4" s="57">
        <f>Pipeline!AF7</f>
        <v>210.79999999999998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0.0</v>
      </c>
      <c r="I5" s="57">
        <f>Pipeline!S8</f>
        <v>0.0</v>
      </c>
      <c r="J5" s="57">
        <f>Pipeline!T8</f>
        <v>8.432</v>
      </c>
      <c r="K5" s="57">
        <f>Pipeline!U8</f>
        <v>21.08</v>
      </c>
      <c r="L5" s="57">
        <f>Pipeline!V8</f>
        <v>37.944</v>
      </c>
      <c r="M5" s="57">
        <f>Pipeline!W8</f>
        <v>54.808</v>
      </c>
      <c r="N5" s="57">
        <f>Pipeline!X8</f>
        <v>71.672</v>
      </c>
      <c r="O5" s="57">
        <f>Pipeline!Y8</f>
        <v>84.32</v>
      </c>
      <c r="P5" s="57">
        <f>Pipeline!Z8</f>
        <v>84.32</v>
      </c>
      <c r="Q5" s="57">
        <f>Pipeline!AA8</f>
        <v>84.32</v>
      </c>
      <c r="R5" s="57">
        <f>Pipeline!AB8</f>
        <v>84.32</v>
      </c>
      <c r="S5" s="57">
        <f>Pipeline!AC8</f>
        <v>84.32</v>
      </c>
      <c r="T5" s="57">
        <f>Pipeline!AD8</f>
        <v>84.32</v>
      </c>
      <c r="U5" s="57">
        <f>Pipeline!AE8</f>
        <v>84.32</v>
      </c>
      <c r="V5" s="57">
        <f>Pipeline!AF8</f>
        <v>84.32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-67.397</v>
      </c>
      <c r="D6" s="23">
        <f>-IF(D3-2026&lt;Assumptions!$B$19,Assumptions!$B$18,Assumptions!$B$18*Assumptions!$B$20*Assumptions!$B$16)</f>
        <v>-67.397</v>
      </c>
      <c r="E6" s="23">
        <f>-IF(E3-2026&lt;Assumptions!$B$19,Assumptions!$B$18,Assumptions!$B$18*Assumptions!$B$20*Assumptions!$B$16)</f>
        <v>-67.397</v>
      </c>
      <c r="F6" s="23">
        <f>-IF(F3-2026&lt;Assumptions!$B$19,Assumptions!$B$18,Assumptions!$B$18*Assumptions!$B$20*Assumptions!$B$16)</f>
        <v>-67.397</v>
      </c>
      <c r="G6" s="23">
        <f>-IF(G3-2026&lt;Assumptions!$B$19,Assumptions!$B$18,Assumptions!$B$18*Assumptions!$B$20*Assumptions!$B$16)</f>
        <v>-3.0311361291163927</v>
      </c>
      <c r="H6" s="23">
        <f>-IF(H3-2026&lt;Assumptions!$B$19,Assumptions!$B$18,Assumptions!$B$18*Assumptions!$B$20*Assumptions!$B$16)</f>
        <v>-3.0311361291163927</v>
      </c>
      <c r="I6" s="23">
        <f>-IF(I3-2026&lt;Assumptions!$B$19,Assumptions!$B$18,Assumptions!$B$18*Assumptions!$B$20*Assumptions!$B$16)</f>
        <v>-3.0311361291163927</v>
      </c>
      <c r="J6" s="23">
        <f>-IF(J3-2026&lt;Assumptions!$B$19,Assumptions!$B$18,Assumptions!$B$18*Assumptions!$B$20*Assumptions!$B$16)</f>
        <v>-3.0311361291163927</v>
      </c>
      <c r="K6" s="23">
        <f>-IF(K3-2026&lt;Assumptions!$B$19,Assumptions!$B$18,Assumptions!$B$18*Assumptions!$B$20*Assumptions!$B$16)</f>
        <v>-3.0311361291163927</v>
      </c>
      <c r="L6" s="23">
        <f>-IF(L3-2026&lt;Assumptions!$B$19,Assumptions!$B$18,Assumptions!$B$18*Assumptions!$B$20*Assumptions!$B$16)</f>
        <v>-3.0311361291163927</v>
      </c>
      <c r="M6" s="23">
        <f>-IF(M3-2026&lt;Assumptions!$B$19,Assumptions!$B$18,Assumptions!$B$18*Assumptions!$B$20*Assumptions!$B$16)</f>
        <v>-3.0311361291163927</v>
      </c>
      <c r="N6" s="23">
        <f>-IF(N3-2026&lt;Assumptions!$B$19,Assumptions!$B$18,Assumptions!$B$18*Assumptions!$B$20*Assumptions!$B$16)</f>
        <v>-3.0311361291163927</v>
      </c>
      <c r="O6" s="23">
        <f>-IF(O3-2026&lt;Assumptions!$B$19,Assumptions!$B$18,Assumptions!$B$18*Assumptions!$B$20*Assumptions!$B$16)</f>
        <v>-3.0311361291163927</v>
      </c>
      <c r="P6" s="23">
        <f>-IF(P3-2026&lt;Assumptions!$B$19,Assumptions!$B$18,Assumptions!$B$18*Assumptions!$B$20*Assumptions!$B$16)</f>
        <v>-3.0311361291163927</v>
      </c>
      <c r="Q6" s="23">
        <f>-IF(Q3-2026&lt;Assumptions!$B$19,Assumptions!$B$18,Assumptions!$B$18*Assumptions!$B$20*Assumptions!$B$16)</f>
        <v>-3.0311361291163927</v>
      </c>
      <c r="R6" s="23">
        <f>-IF(R3-2026&lt;Assumptions!$B$19,Assumptions!$B$18,Assumptions!$B$18*Assumptions!$B$20*Assumptions!$B$16)</f>
        <v>-3.0311361291163927</v>
      </c>
      <c r="S6" s="23">
        <f>-IF(S3-2026&lt;Assumptions!$B$19,Assumptions!$B$18,Assumptions!$B$18*Assumptions!$B$20*Assumptions!$B$16)</f>
        <v>-3.0311361291163927</v>
      </c>
      <c r="T6" s="23">
        <f>-IF(T3-2026&lt;Assumptions!$B$19,Assumptions!$B$18,Assumptions!$B$18*Assumptions!$B$20*Assumptions!$B$16)</f>
        <v>-3.0311361291163927</v>
      </c>
      <c r="U6" s="23">
        <f>-IF(U3-2026&lt;Assumptions!$B$19,Assumptions!$B$18,Assumptions!$B$18*Assumptions!$B$20*Assumptions!$B$16)</f>
        <v>-3.0311361291163927</v>
      </c>
      <c r="V6" s="23">
        <f>-IF(V3-2026&lt;Assumptions!$B$19,Assumptions!$B$18,Assumptions!$B$18*Assumptions!$B$20*Assumptions!$B$16)</f>
        <v>-3.0311361291163927</v>
      </c>
    </row>
    <row r="7">
      <c r="A7" s="14" t="inlineStr">
        <is>
          <t>Pre-tax cash flow</t>
        </is>
      </c>
      <c r="C7" s="23">
        <f>C5+C6</f>
        <v>-67.397</v>
      </c>
      <c r="D7" s="23">
        <f>D5+D6</f>
        <v>-67.397</v>
      </c>
      <c r="E7" s="23">
        <f>E5+E6</f>
        <v>-67.397</v>
      </c>
      <c r="F7" s="23">
        <f>F5+F6</f>
        <v>-67.397</v>
      </c>
      <c r="G7" s="23">
        <f>G5+G6</f>
        <v>-3.0311361291163927</v>
      </c>
      <c r="H7" s="23">
        <f>H5+H6</f>
        <v>-3.0311361291163927</v>
      </c>
      <c r="I7" s="23">
        <f>I5+I6</f>
        <v>-3.0311361291163927</v>
      </c>
      <c r="J7" s="23">
        <f>J5+J6</f>
        <v>5.400863870883608</v>
      </c>
      <c r="K7" s="23">
        <f>K5+K6</f>
        <v>18.048863870883604</v>
      </c>
      <c r="L7" s="23">
        <f>L5+L6</f>
        <v>34.91286387088361</v>
      </c>
      <c r="M7" s="23">
        <f>M5+M6</f>
        <v>51.77686387088361</v>
      </c>
      <c r="N7" s="23">
        <f>N5+N6</f>
        <v>68.6408638708836</v>
      </c>
      <c r="O7" s="23">
        <f>O5+O6</f>
        <v>81.2888638708836</v>
      </c>
      <c r="P7" s="23">
        <f>P5+P6</f>
        <v>81.2888638708836</v>
      </c>
      <c r="Q7" s="23">
        <f>Q5+Q6</f>
        <v>81.2888638708836</v>
      </c>
      <c r="R7" s="23">
        <f>R5+R6</f>
        <v>81.2888638708836</v>
      </c>
      <c r="S7" s="23">
        <f>S5+S6</f>
        <v>81.2888638708836</v>
      </c>
      <c r="T7" s="23">
        <f>T5+T6</f>
        <v>81.2888638708836</v>
      </c>
      <c r="U7" s="23">
        <f>U5+U6</f>
        <v>81.2888638708836</v>
      </c>
      <c r="V7" s="23">
        <f>V5+V6</f>
        <v>81.2888638708836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5.400863870883608</v>
      </c>
      <c r="K8" s="23">
        <f>MIN(J17,MAX(0,K7))</f>
        <v>18.048863870883604</v>
      </c>
      <c r="L8" s="23">
        <f>MIN(K17,MAX(0,L7))</f>
        <v>34.91286387088361</v>
      </c>
      <c r="M8" s="23">
        <f>MIN(L17,MAX(0,M7))</f>
        <v>51.77686387088361</v>
      </c>
      <c r="N8" s="23">
        <f>MIN(M17,MAX(0,N7))</f>
        <v>68.6408638708836</v>
      </c>
      <c r="O8" s="23">
        <f>MIN(N17,MAX(0,O7))</f>
        <v>81.2888638708836</v>
      </c>
      <c r="P8" s="23">
        <f>MIN(O17,MAX(0,P7))</f>
        <v>81.2888638708836</v>
      </c>
      <c r="Q8" s="23">
        <f>MIN(P17,MAX(0,Q7))</f>
        <v>81.2888638708836</v>
      </c>
      <c r="R8" s="23">
        <f>MIN(Q17,MAX(0,R7))</f>
        <v>81.2888638708836</v>
      </c>
      <c r="S8" s="23">
        <f>MIN(R17,MAX(0,S7))</f>
        <v>81.2888638708836</v>
      </c>
      <c r="T8" s="23">
        <f>MIN(S17,MAX(0,T7))</f>
        <v>81.2888638708836</v>
      </c>
      <c r="U8" s="23">
        <f>MIN(T17,MAX(0,U7))</f>
        <v>81.2888638708836</v>
      </c>
      <c r="V8" s="23">
        <f>MIN(U17,MAX(0,V7))</f>
        <v>81.2888638708836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-67.397</v>
      </c>
      <c r="D11" s="55">
        <f>D7-D10</f>
        <v>-67.397</v>
      </c>
      <c r="E11" s="55">
        <f>E7-E10</f>
        <v>-67.397</v>
      </c>
      <c r="F11" s="55">
        <f>F7-F10</f>
        <v>-67.397</v>
      </c>
      <c r="G11" s="55">
        <f>G7-G10</f>
        <v>-3.0311361291163927</v>
      </c>
      <c r="H11" s="55">
        <f>H7-H10</f>
        <v>-3.0311361291163927</v>
      </c>
      <c r="I11" s="55">
        <f>I7-I10</f>
        <v>-3.0311361291163927</v>
      </c>
      <c r="J11" s="55">
        <f>J7-J10</f>
        <v>5.400863870883608</v>
      </c>
      <c r="K11" s="55">
        <f>K7-K10</f>
        <v>18.048863870883604</v>
      </c>
      <c r="L11" s="55">
        <f>L7-L10</f>
        <v>34.91286387088361</v>
      </c>
      <c r="M11" s="55">
        <f>M7-M10</f>
        <v>51.77686387088361</v>
      </c>
      <c r="N11" s="55">
        <f>N7-N10</f>
        <v>68.6408638708836</v>
      </c>
      <c r="O11" s="55">
        <f>O7-O10</f>
        <v>81.2888638708836</v>
      </c>
      <c r="P11" s="55">
        <f>P7-P10</f>
        <v>81.2888638708836</v>
      </c>
      <c r="Q11" s="55">
        <f>Q7-Q10</f>
        <v>81.2888638708836</v>
      </c>
      <c r="R11" s="55">
        <f>R7-R10</f>
        <v>81.2888638708836</v>
      </c>
      <c r="S11" s="55">
        <f>S7-S10</f>
        <v>81.2888638708836</v>
      </c>
      <c r="T11" s="55">
        <f>T7-T10</f>
        <v>81.2888638708836</v>
      </c>
      <c r="U11" s="55">
        <f>U7-U10</f>
        <v>81.2888638708836</v>
      </c>
      <c r="V11" s="55">
        <f>V7-V10</f>
        <v>81.2888638708836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-33.018083410541124</v>
      </c>
      <c r="D16" s="55">
        <f>D11*D15</f>
        <v>-60.14793876726515</v>
      </c>
      <c r="E16" s="55">
        <f>E11*E15</f>
        <v>-53.70351675648673</v>
      </c>
      <c r="F16" s="55">
        <f>F11*F15</f>
        <v>-47.94956853257744</v>
      </c>
      <c r="G16" s="55">
        <f>G11*G15</f>
        <v>-1.9254469459566599</v>
      </c>
      <c r="H16" s="55">
        <f>H11*H15</f>
        <v>-1.7191490588898748</v>
      </c>
      <c r="I16" s="55">
        <f>I11*I15</f>
        <v>-1.5349545168659593</v>
      </c>
      <c r="J16" s="55">
        <f>J11*J15</f>
        <v>2.4419416281496282</v>
      </c>
      <c r="K16" s="55">
        <f>K11*K15</f>
        <v>7.286247077581229</v>
      </c>
      <c r="L16" s="55">
        <f>L11*L15</f>
        <v>12.584080191230425</v>
      </c>
      <c r="M16" s="55">
        <f>M11*M15</f>
        <v>16.663020209482557</v>
      </c>
      <c r="N16" s="55">
        <f>N11*N15</f>
        <v>19.723441548158878</v>
      </c>
      <c r="O16" s="55">
        <f>O11*O15</f>
        <v>20.855134149616937</v>
      </c>
      <c r="P16" s="55">
        <f>P11*P15</f>
        <v>18.620655490729405</v>
      </c>
      <c r="Q16" s="55">
        <f>Q11*Q15</f>
        <v>16.625585259579825</v>
      </c>
      <c r="R16" s="55">
        <f>R11*R15</f>
        <v>14.844272553196273</v>
      </c>
      <c r="S16" s="55">
        <f>S11*S15</f>
        <v>13.253814779639526</v>
      </c>
      <c r="T16" s="55">
        <f>T11*T15</f>
        <v>11.83376319610672</v>
      </c>
      <c r="U16" s="55">
        <f>U11*U15</f>
        <v>10.565859996523857</v>
      </c>
      <c r="V16" s="55">
        <f>V11*V15</f>
        <v>9.433803568324869</v>
      </c>
    </row>
    <row r="17">
      <c r="A17" s="14" t="inlineStr">
        <is>
          <t>Tax-loss carryforward, end of year</t>
        </is>
      </c>
      <c r="C17" s="23">
        <f>Assumptions!$B$21-C8+MAX(0,-C7)</f>
        <v>727.4970000000001</v>
      </c>
      <c r="D17" s="23">
        <f>C17-D8+MAX(0,-D7)</f>
        <v>794.8940000000001</v>
      </c>
      <c r="E17" s="23">
        <f>D17-E8+MAX(0,-E7)</f>
        <v>862.2910000000002</v>
      </c>
      <c r="F17" s="23">
        <f>E17-F8+MAX(0,-F7)</f>
        <v>929.6880000000002</v>
      </c>
      <c r="G17" s="23">
        <f>F17-G8+MAX(0,-G7)</f>
        <v>932.7191361291166</v>
      </c>
      <c r="H17" s="23">
        <f>G17-H8+MAX(0,-H7)</f>
        <v>935.7502722582329</v>
      </c>
      <c r="I17" s="23">
        <f>H17-I8+MAX(0,-I7)</f>
        <v>938.7814083873493</v>
      </c>
      <c r="J17" s="23">
        <f>I17-J8+MAX(0,-J7)</f>
        <v>933.3805445164656</v>
      </c>
      <c r="K17" s="23">
        <f>J17-K8+MAX(0,-K7)</f>
        <v>915.3316806455821</v>
      </c>
      <c r="L17" s="23">
        <f>K17-L8+MAX(0,-L7)</f>
        <v>880.4188167746985</v>
      </c>
      <c r="M17" s="23">
        <f>L17-M8+MAX(0,-M7)</f>
        <v>828.6419529038149</v>
      </c>
      <c r="N17" s="23">
        <f>M17-N8+MAX(0,-N7)</f>
        <v>760.0010890329313</v>
      </c>
      <c r="O17" s="23">
        <f>N17-O8+MAX(0,-O7)</f>
        <v>678.7122251620477</v>
      </c>
      <c r="P17" s="23">
        <f>O17-P8+MAX(0,-P7)</f>
        <v>597.4233612911642</v>
      </c>
      <c r="Q17" s="23">
        <f>P17-Q8+MAX(0,-Q7)</f>
        <v>516.1344974202806</v>
      </c>
      <c r="R17" s="23">
        <f>Q17-R8+MAX(0,-R7)</f>
        <v>434.845633549397</v>
      </c>
      <c r="S17" s="23">
        <f>R17-S8+MAX(0,-S7)</f>
        <v>353.55676967851343</v>
      </c>
      <c r="T17" s="23">
        <f>S17-T8+MAX(0,-T7)</f>
        <v>272.26790580762986</v>
      </c>
      <c r="U17" s="23">
        <f>T17-U8+MAX(0,-U7)</f>
        <v>190.97904193674626</v>
      </c>
      <c r="V17" s="23">
        <f>U17-V8+MAX(0,-V7)</f>
        <v>109.69017806586265</v>
      </c>
    </row>
    <row r="19">
      <c r="A19" s="14" t="inlineStr">
        <is>
          <t>PV of risked pipeline contribution</t>
        </is>
      </c>
      <c r="B19" s="23">
        <f>SUMPRODUCT(C5:V5,C15:V15)</f>
        <v>184.5914743031293</v>
      </c>
    </row>
    <row r="20">
      <c r="A20" s="14" t="inlineStr">
        <is>
          <t>PV of corporate burn</t>
        </is>
      </c>
      <c r="B20" s="23">
        <f>SUMPRODUCT(C6:V6,C15:V15)</f>
        <v>-209.85851264339212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-25.267038340262822</v>
      </c>
    </row>
    <row r="23">
      <c r="A23" s="14" t="inlineStr">
        <is>
          <t>Cash &amp; investments</t>
        </is>
      </c>
      <c r="B23" s="57">
        <f>Main!C7</f>
        <v>151.757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126.48996165973719</v>
      </c>
    </row>
    <row r="26">
      <c r="A26" s="14" t="inlineStr">
        <is>
          <t>Shares (mm)</t>
        </is>
      </c>
      <c r="B26" s="57">
        <f>Main!C4</f>
        <v>79.803485</v>
      </c>
    </row>
    <row r="27">
      <c r="A27" s="24" t="inlineStr">
        <is>
          <t>rNPV / share</t>
        </is>
      </c>
      <c r="B27" s="60">
        <f>B25/B26</f>
        <v>1.5850180184454</v>
      </c>
    </row>
    <row r="28">
      <c r="A28" s="14" t="inlineStr">
        <is>
          <t>Price</t>
        </is>
      </c>
      <c r="B28" s="61">
        <f>Main!C3</f>
        <v>3.53</v>
      </c>
    </row>
    <row r="29">
      <c r="A29" s="14" t="inlineStr">
        <is>
          <t>Upside</t>
        </is>
      </c>
      <c r="B29" s="62">
        <f>B27/B28-1</f>
        <v>-0.5509863970409632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2026-10-21T06:26:14Z</dcterms:modified>
  <cp:lastModifiedBy>Wang, Eric</cp:lastModifiedBy>
</cp:coreProperties>
</file>