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Canton Strategic Holdings Inc</t>
        </is>
      </c>
      <c r="C2" s="10" t="n"/>
    </row>
    <row r="3">
      <c r="B3" t="inlineStr">
        <is>
          <t>Price</t>
        </is>
      </c>
      <c r="C3" s="11">
        <f>INDEX([1]Pharma!$F$1:$F$1000,MATCH("CNTN",[1]Pharma!$B$1:$B$1000,0))</f>
        <v>1.73</v>
      </c>
      <c r="F3" s="1" t="n"/>
    </row>
    <row r="4">
      <c r="B4" t="inlineStr">
        <is>
          <t>Shares</t>
        </is>
      </c>
      <c r="C4" s="21" t="n">
        <v>79.681361</v>
      </c>
      <c r="F4" s="1" t="n"/>
    </row>
    <row r="5">
      <c r="B5" t="inlineStr">
        <is>
          <t>Market Cap.</t>
        </is>
      </c>
      <c r="C5" s="13">
        <f>C3*C4</f>
        <v>137.84875452999998</v>
      </c>
      <c r="F5" s="1" t="n"/>
    </row>
    <row r="6"/>
    <row r="7">
      <c r="B7" t="inlineStr">
        <is>
          <t>Cash</t>
        </is>
      </c>
      <c r="C7" s="21" t="n">
        <v>37.241568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100.60718652999998</v>
      </c>
    </row>
    <row r="10"/>
    <row r="11">
      <c r="B11" s="14" t="inlineStr">
        <is>
          <t>Net Cash / Share</t>
        </is>
      </c>
      <c r="C11" s="11">
        <f>(C7-C8)/C4</f>
        <v>0.46738117337127316</v>
      </c>
    </row>
    <row r="12">
      <c r="B12" s="14" t="inlineStr">
        <is>
          <t>Upside</t>
        </is>
      </c>
      <c r="C12" s="15">
        <f>IFERROR(C11/C3-1,"")</f>
        <v>-0.7298374720397265</v>
      </c>
    </row>
    <row r="13">
      <c r="B13" s="14" t="inlineStr">
        <is>
          <t>Cash / Share</t>
        </is>
      </c>
      <c r="C13" s="11">
        <f>IFERROR((C7-C8)/C4,"")</f>
        <v>0.46738117337127316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-22.17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1.6798181326116373</v>
      </c>
    </row>
    <row r="19">
      <c r="B19" s="14" t="inlineStr">
        <is>
          <t>Implied Pipeline Value</t>
        </is>
      </c>
      <c r="C19" s="13">
        <f>C9</f>
        <v>100.60718652999998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0.847</v>
      </c>
      <c r="C5" s="23" t="n">
        <v>1.843</v>
      </c>
      <c r="D5" s="23" t="n">
        <v>2.278</v>
      </c>
      <c r="E5" s="23" t="n">
        <v>3.56</v>
      </c>
      <c r="F5" s="23" t="n">
        <v>6.392</v>
      </c>
      <c r="G5" s="23" t="n">
        <v>3.074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0.961</v>
      </c>
      <c r="C6" s="23" t="n">
        <v>1.365</v>
      </c>
      <c r="D6" s="23" t="n">
        <v>4.604</v>
      </c>
      <c r="E6" s="23" t="n">
        <v>5.896</v>
      </c>
      <c r="F6" s="23" t="n">
        <v>6.042</v>
      </c>
      <c r="G6" s="23" t="n">
        <v>17.032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1.8079999999999998</v>
      </c>
      <c r="C7" s="23">
        <f>SUM(C5:C6)</f>
        <v>3.208</v>
      </c>
      <c r="D7" s="23">
        <f>SUM(D5:D6)</f>
        <v>6.882</v>
      </c>
      <c r="E7" s="23">
        <f>SUM(E5:E6)</f>
        <v>9.456</v>
      </c>
      <c r="F7" s="23">
        <f>SUM(F5:F6)</f>
        <v>12.434000000000001</v>
      </c>
      <c r="G7" s="23">
        <f>SUM(G5:G6)</f>
        <v>20.106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-1.8079999999999998</v>
      </c>
      <c r="C8" s="23">
        <f>C4-C7</f>
        <v>-3.208</v>
      </c>
      <c r="D8" s="23">
        <f>D4-D7</f>
        <v>-6.882</v>
      </c>
      <c r="E8" s="23">
        <f>E4-E7</f>
        <v>-9.456</v>
      </c>
      <c r="F8" s="23">
        <f>F4-F7</f>
        <v>-12.434000000000001</v>
      </c>
      <c r="G8" s="23">
        <f>G4-G7</f>
        <v>-20.106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-0.609</v>
      </c>
      <c r="C9" s="23" t="n">
        <v>1.001</v>
      </c>
      <c r="D9" s="23" t="n">
        <v>-1.591</v>
      </c>
      <c r="E9" s="23" t="n">
        <v>0.136</v>
      </c>
      <c r="F9" s="23" t="n">
        <v>0.236</v>
      </c>
      <c r="G9" s="23" t="n">
        <v>-21.997</v>
      </c>
    </row>
    <row r="10">
      <c r="A10" s="2" t="inlineStr">
        <is>
          <t>Pretax</t>
        </is>
      </c>
      <c r="B10" s="23">
        <f>B8+B9</f>
        <v>-2.417</v>
      </c>
      <c r="C10" s="23">
        <f>C8+C9</f>
        <v>-2.2070000000000003</v>
      </c>
      <c r="D10" s="23">
        <f>D8+D9</f>
        <v>-8.472999999999999</v>
      </c>
      <c r="E10" s="23">
        <f>E8+E9</f>
        <v>-9.32</v>
      </c>
      <c r="F10" s="23">
        <f>F8+F9</f>
        <v>-12.198</v>
      </c>
      <c r="G10" s="23">
        <f>G8+G9</f>
        <v>-42.103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-6.187</v>
      </c>
    </row>
    <row r="12">
      <c r="A12" s="2" t="inlineStr">
        <is>
          <t>Net Income</t>
        </is>
      </c>
      <c r="B12" s="23" t="n">
        <v>-2.417</v>
      </c>
      <c r="C12" s="23" t="n">
        <v>-2.207</v>
      </c>
      <c r="D12" s="23" t="n">
        <v>-8.473000000000001</v>
      </c>
      <c r="E12" s="23" t="n">
        <v>-9.319000000000001</v>
      </c>
      <c r="F12" s="23" t="n">
        <v>-12.198</v>
      </c>
      <c r="G12" s="23" t="n">
        <v>-35.916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-0.07441502463054188</v>
      </c>
      <c r="C13" s="11">
        <f>IFERROR(C12/C14,0)</f>
        <v>-0.0678408951186524</v>
      </c>
      <c r="D13" s="11">
        <f>IFERROR(D12/D14,0)</f>
        <v>-0.2612623724214487</v>
      </c>
      <c r="E13" s="11">
        <f>IFERROR(E12/E14,0)</f>
        <v>-0.2868090606918627</v>
      </c>
      <c r="F13" s="11">
        <f>IFERROR(F12/F14,0)</f>
        <v>-0.37640016045916014</v>
      </c>
      <c r="G13" s="11">
        <f>IFERROR(G12/G14,0)</f>
        <v>-1.1206589909201534</v>
      </c>
    </row>
    <row r="14">
      <c r="A14" s="2" t="inlineStr">
        <is>
          <t>Shares</t>
        </is>
      </c>
      <c r="B14" s="23" t="n">
        <v>32.48</v>
      </c>
      <c r="C14" s="23" t="n">
        <v>32.532</v>
      </c>
      <c r="D14" s="23" t="n">
        <v>32.431</v>
      </c>
      <c r="E14" s="23" t="n">
        <v>32.492</v>
      </c>
      <c r="F14" s="23" t="n">
        <v>32.407</v>
      </c>
      <c r="G14" s="23" t="n">
        <v>32.049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2026-10-21T01:05:46Z</dcterms:modified>
  <cp:lastModifiedBy>Wang, Eric</cp:lastModifiedBy>
</cp:coreProperties>
</file>