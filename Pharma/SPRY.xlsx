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ARS Pharmaceuticals, Inc.</t>
        </is>
      </c>
      <c r="C2" s="10" t="n"/>
    </row>
    <row r="3">
      <c r="B3" t="inlineStr">
        <is>
          <t>Price</t>
        </is>
      </c>
      <c r="C3" s="11">
        <f>INDEX([1]Pharma!$F$1:$F$1000,MATCH("SPRY",[1]Pharma!$B$1:$B$1000,0))</f>
        <v>4.29</v>
      </c>
      <c r="F3" s="1" t="n"/>
    </row>
    <row r="4">
      <c r="B4" t="inlineStr">
        <is>
          <t>Shares</t>
        </is>
      </c>
      <c r="C4" s="51" t="n">
        <v>99.447343</v>
      </c>
      <c r="F4" s="1" t="n"/>
    </row>
    <row r="5">
      <c r="B5" t="inlineStr">
        <is>
          <t>Market Cap.</t>
        </is>
      </c>
      <c r="C5" s="13">
        <f>C3*C4</f>
        <v>426.62910147</v>
      </c>
      <c r="F5" s="1" t="n"/>
    </row>
    <row r="6"/>
    <row r="7">
      <c r="B7" t="inlineStr">
        <is>
          <t>Cash</t>
        </is>
      </c>
      <c r="C7" s="51">
        <f>8.163+135.682</f>
        <v>143.845</v>
      </c>
    </row>
    <row r="8">
      <c r="B8" t="inlineStr">
        <is>
          <t>Debt</t>
        </is>
      </c>
      <c r="C8" s="51" t="n">
        <v>96.676</v>
      </c>
    </row>
    <row r="9">
      <c r="B9" t="inlineStr">
        <is>
          <t>Enterprise V.</t>
        </is>
      </c>
      <c r="C9" s="13">
        <f>C5-C7+C8</f>
        <v>379.46010147</v>
      </c>
    </row>
    <row r="10"/>
    <row r="11">
      <c r="B11" s="14" t="inlineStr">
        <is>
          <t>NPV / Share</t>
        </is>
      </c>
      <c r="C11" s="11">
        <f>NPV!B28</f>
        <v>-5.410921914670249</v>
      </c>
    </row>
    <row r="12">
      <c r="B12" s="14" t="inlineStr">
        <is>
          <t>Upside</t>
        </is>
      </c>
      <c r="C12" s="15">
        <f>IFERROR(C11/C3-1,"")</f>
        <v>-2.2612871595967947</v>
      </c>
    </row>
    <row r="13">
      <c r="B13" s="14" t="inlineStr">
        <is>
          <t>Cash / Share</t>
        </is>
      </c>
      <c r="C13" s="11">
        <f>IFERROR((C7-C8)/C4,"")</f>
        <v>0.4743113146823842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2020</v>
      </c>
      <c r="C1" s="16" t="n">
        <v>2021</v>
      </c>
      <c r="D1" s="16" t="n">
        <v>2022</v>
      </c>
      <c r="E1" s="16" t="n">
        <v>2023</v>
      </c>
      <c r="F1" s="16" t="n">
        <v>2024</v>
      </c>
      <c r="G1" s="16" t="n">
        <v>2025</v>
      </c>
      <c r="H1" s="16" t="n">
        <v>2026</v>
      </c>
      <c r="I1" s="16" t="n">
        <v>2027</v>
      </c>
      <c r="J1" s="16" t="n">
        <v>2028</v>
      </c>
      <c r="K1" s="16" t="n">
        <v>2029</v>
      </c>
      <c r="L1" s="16" t="n">
        <v>2030</v>
      </c>
      <c r="M1" s="16" t="n">
        <v>2031</v>
      </c>
      <c r="N1" s="16" t="n">
        <v>2032</v>
      </c>
      <c r="O1" s="16" t="n">
        <v>2033</v>
      </c>
      <c r="P1" s="16" t="n">
        <v>2034</v>
      </c>
      <c r="Q1" s="16" t="n">
        <v>2035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5.506</v>
      </c>
      <c r="D2" s="52" t="n">
        <v>1.316</v>
      </c>
      <c r="E2" s="52" t="n">
        <v>0.03</v>
      </c>
      <c r="F2" s="52" t="n">
        <v>89.149</v>
      </c>
      <c r="G2" s="52" t="n">
        <v>84.27800000000001</v>
      </c>
      <c r="H2" s="52">
        <f>G2*(1+NPV!C5)</f>
        <v>113.77530000000002</v>
      </c>
      <c r="I2" s="52">
        <f>H2*(1+NPV!D5)</f>
        <v>149.48810250000002</v>
      </c>
      <c r="J2" s="52">
        <f>I2*(1+NPV!E5)</f>
        <v>191.0125754166667</v>
      </c>
      <c r="K2" s="52">
        <f>J2*(1+NPV!F5)</f>
        <v>237.17394780902782</v>
      </c>
      <c r="L2" s="52">
        <f>K2*(1+NPV!G5)</f>
        <v>285.9263704142169</v>
      </c>
      <c r="M2" s="52">
        <f>L2*(1+NPV!H5)</f>
        <v>334.3750054010703</v>
      </c>
      <c r="N2" s="52">
        <f>M2*(1+NPV!I5)</f>
        <v>378.9583394545464</v>
      </c>
      <c r="O2" s="52">
        <f>N2*(1+NPV!J5)</f>
        <v>415.80151134596065</v>
      </c>
      <c r="P2" s="52">
        <f>O2*(1+NPV!K5)</f>
        <v>441.2116037059916</v>
      </c>
      <c r="Q2" s="52">
        <f>P2*(1+NPV!L5)</f>
        <v>452.24189379864134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>
        <f>H2*(1-Assumptions!$B$19)</f>
        <v>0.0</v>
      </c>
      <c r="I3" s="52">
        <f>I2*(1-Assumptions!$B$19)</f>
        <v>0.0</v>
      </c>
      <c r="J3" s="52">
        <f>J2*(1-Assumptions!$B$19)</f>
        <v>0.0</v>
      </c>
      <c r="K3" s="52">
        <f>K2*(1-Assumptions!$B$19)</f>
        <v>0.0</v>
      </c>
      <c r="L3" s="52">
        <f>L2*(1-Assumptions!$B$19)</f>
        <v>0.0</v>
      </c>
      <c r="M3" s="52">
        <f>M2*(1-Assumptions!$B$19)</f>
        <v>0.0</v>
      </c>
      <c r="N3" s="52">
        <f>N2*(1-Assumptions!$B$19)</f>
        <v>0.0</v>
      </c>
      <c r="O3" s="52">
        <f>O2*(1-Assumptions!$B$19)</f>
        <v>0.0</v>
      </c>
      <c r="P3" s="52">
        <f>P2*(1-Assumptions!$B$19)</f>
        <v>0.0</v>
      </c>
      <c r="Q3" s="52">
        <f>Q2*(1-Assumptions!$B$19)</f>
        <v>0.0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5.506</v>
      </c>
      <c r="D4" s="52">
        <f>D2-D3</f>
        <v>1.316</v>
      </c>
      <c r="E4" s="52">
        <f>E2-E3</f>
        <v>0.03</v>
      </c>
      <c r="F4" s="52">
        <f>F2-F3</f>
        <v>89.149</v>
      </c>
      <c r="G4" s="52">
        <f>G2-G3</f>
        <v>84.278</v>
      </c>
      <c r="H4" s="52">
        <f>H2-H3</f>
        <v>113.77530000000002</v>
      </c>
      <c r="I4" s="52">
        <f>I2-I3</f>
        <v>149.48810250000002</v>
      </c>
      <c r="J4" s="52">
        <f>J2-J3</f>
        <v>191.0125754166667</v>
      </c>
      <c r="K4" s="52">
        <f>K2-K3</f>
        <v>237.17394780902782</v>
      </c>
      <c r="L4" s="52">
        <f>L2-L3</f>
        <v>285.9263704142169</v>
      </c>
      <c r="M4" s="52">
        <f>M2-M3</f>
        <v>334.3750054010703</v>
      </c>
      <c r="N4" s="52">
        <f>N2-N3</f>
        <v>378.9583394545464</v>
      </c>
      <c r="O4" s="52">
        <f>O2-O3</f>
        <v>415.80151134596065</v>
      </c>
      <c r="P4" s="52">
        <f>P2-P3</f>
        <v>441.2116037059916</v>
      </c>
      <c r="Q4" s="52">
        <f>Q2-Q3</f>
        <v>452.24189379864134</v>
      </c>
    </row>
    <row r="5">
      <c r="A5" s="2" t="inlineStr">
        <is>
          <t>Research &amp; Dev.</t>
        </is>
      </c>
      <c r="B5" s="52" t="n">
        <v>24.577</v>
      </c>
      <c r="C5" s="52" t="n">
        <v>20.273</v>
      </c>
      <c r="D5" s="52" t="n">
        <v>18.376</v>
      </c>
      <c r="E5" s="52" t="n">
        <v>20.266</v>
      </c>
      <c r="F5" s="52" t="n">
        <v>19.58</v>
      </c>
      <c r="G5" s="52" t="n">
        <v>13.181</v>
      </c>
      <c r="H5" s="52">
        <f>H7*Assumptions!$B$20</f>
        <v>13.25482245</v>
      </c>
      <c r="I5" s="52">
        <f>I7*Assumptions!$B$20</f>
        <v>16.144715070000004</v>
      </c>
      <c r="J5" s="52">
        <f>J7*Assumptions!$B$20</f>
        <v>19.005751253958334</v>
      </c>
      <c r="K5" s="52">
        <f>K7*Assumptions!$B$20</f>
        <v>21.582829250621533</v>
      </c>
      <c r="L5" s="52">
        <f>L7*Assumptions!$B$20</f>
        <v>23.588925559172893</v>
      </c>
      <c r="M5" s="52">
        <f>M7*Assumptions!$B$20</f>
        <v>24.743750399679204</v>
      </c>
      <c r="N5" s="52">
        <f>N7*Assumptions!$B$20</f>
        <v>24.821771234272788</v>
      </c>
      <c r="O5" s="52">
        <f>O7*Assumptions!$B$20</f>
        <v>23.70068614671976</v>
      </c>
      <c r="P5" s="52">
        <f>P7*Assumptions!$B$20</f>
        <v>21.398762779740597</v>
      </c>
      <c r="Q5" s="52">
        <f>Q7*Assumptions!$B$20</f>
        <v>18.089675751945656</v>
      </c>
    </row>
    <row r="6">
      <c r="A6" s="18" t="inlineStr">
        <is>
          <t>SG&amp;A &amp; Other</t>
        </is>
      </c>
      <c r="B6" s="52" t="n">
        <v>8.340999999999999</v>
      </c>
      <c r="C6" s="52" t="n">
        <v>4.687</v>
      </c>
      <c r="D6" s="52" t="n">
        <v>18.456</v>
      </c>
      <c r="E6" s="52" t="n">
        <v>47.284</v>
      </c>
      <c r="F6" s="52" t="n">
        <v>72.652</v>
      </c>
      <c r="G6" s="52" t="n">
        <v>250.545</v>
      </c>
      <c r="H6" s="52">
        <f>H7-H5</f>
        <v>251.84162655</v>
      </c>
      <c r="I6" s="52">
        <f>I7-I5</f>
        <v>306.74958633000006</v>
      </c>
      <c r="J6" s="52">
        <f>J7-J5</f>
        <v>361.10927382520833</v>
      </c>
      <c r="K6" s="52">
        <f>K7-K5</f>
        <v>410.0737557618091</v>
      </c>
      <c r="L6" s="52">
        <f>L7-L5</f>
        <v>448.189585624285</v>
      </c>
      <c r="M6" s="52">
        <f>M7-M5</f>
        <v>470.1312575939049</v>
      </c>
      <c r="N6" s="52">
        <f>N7-N5</f>
        <v>471.613653451183</v>
      </c>
      <c r="O6" s="52">
        <f>O7-O5</f>
        <v>450.31303678767546</v>
      </c>
      <c r="P6" s="52">
        <f>P7-P5</f>
        <v>406.57649281507133</v>
      </c>
      <c r="Q6" s="52">
        <f>Q7-Q5</f>
        <v>343.7038392869674</v>
      </c>
    </row>
    <row r="7">
      <c r="A7" s="2" t="inlineStr">
        <is>
          <t>Operating Expense</t>
        </is>
      </c>
      <c r="B7" s="52">
        <f>SUM(B5:B6)</f>
        <v>32.918</v>
      </c>
      <c r="C7" s="52">
        <f>SUM(C5:C6)</f>
        <v>24.96</v>
      </c>
      <c r="D7" s="52">
        <f>SUM(D5:D6)</f>
        <v>36.832</v>
      </c>
      <c r="E7" s="52">
        <f>SUM(E5:E6)</f>
        <v>67.55</v>
      </c>
      <c r="F7" s="52">
        <f>SUM(F5:F6)</f>
        <v>92.232</v>
      </c>
      <c r="G7" s="52">
        <f>SUM(G5:G6)</f>
        <v>263.726</v>
      </c>
      <c r="H7" s="52">
        <f>H4-H2*NPV!C6</f>
        <v>265.096449</v>
      </c>
      <c r="I7" s="52">
        <f>I4-I2*NPV!D6</f>
        <v>322.8943014000001</v>
      </c>
      <c r="J7" s="52">
        <f>J4-J2*NPV!E6</f>
        <v>380.1150250791667</v>
      </c>
      <c r="K7" s="52">
        <f>K4-K2*NPV!F6</f>
        <v>431.65658501243064</v>
      </c>
      <c r="L7" s="52">
        <f>L4-L2*NPV!G6</f>
        <v>471.77851118345785</v>
      </c>
      <c r="M7" s="52">
        <f>M4-M2*NPV!H6</f>
        <v>494.87500799358406</v>
      </c>
      <c r="N7" s="52">
        <f>N4-N2*NPV!I6</f>
        <v>496.43542468545576</v>
      </c>
      <c r="O7" s="52">
        <f>O4-O2*NPV!J6</f>
        <v>474.0137229343952</v>
      </c>
      <c r="P7" s="52">
        <f>P4-P2*NPV!K6</f>
        <v>427.9752555948119</v>
      </c>
      <c r="Q7" s="52">
        <f>Q4-Q2*NPV!L6</f>
        <v>361.7935150389131</v>
      </c>
    </row>
    <row r="8">
      <c r="A8" s="2" t="inlineStr">
        <is>
          <t>Operating Income</t>
        </is>
      </c>
      <c r="B8" s="52">
        <f>B4-B7</f>
        <v>-32.918</v>
      </c>
      <c r="C8" s="52">
        <f>C4-C7</f>
        <v>-19.454</v>
      </c>
      <c r="D8" s="52">
        <f>D4-D7</f>
        <v>-35.516</v>
      </c>
      <c r="E8" s="52">
        <f>E4-E7</f>
        <v>-67.52</v>
      </c>
      <c r="F8" s="52">
        <f>F4-F7</f>
        <v>-3.0829999999999984</v>
      </c>
      <c r="G8" s="52">
        <f>G4-G7</f>
        <v>-179.44799999999998</v>
      </c>
      <c r="H8" s="52">
        <f>H4-H7</f>
        <v>-151.321149</v>
      </c>
      <c r="I8" s="52">
        <f>I4-I7</f>
        <v>-173.40619890000005</v>
      </c>
      <c r="J8" s="52">
        <f>J4-J7</f>
        <v>-189.1024496625</v>
      </c>
      <c r="K8" s="52">
        <f>K4-K7</f>
        <v>-194.48263720340282</v>
      </c>
      <c r="L8" s="52">
        <f>L4-L7</f>
        <v>-185.85214076924098</v>
      </c>
      <c r="M8" s="52">
        <f>M4-M7</f>
        <v>-160.50000259251374</v>
      </c>
      <c r="N8" s="52">
        <f>N4-N7</f>
        <v>-117.47708523090938</v>
      </c>
      <c r="O8" s="52">
        <f>O4-O7</f>
        <v>-58.21221158843457</v>
      </c>
      <c r="P8" s="52">
        <f>P4-P7</f>
        <v>13.236348111179666</v>
      </c>
      <c r="Q8" s="52">
        <f>Q4-Q7</f>
        <v>90.44837875972826</v>
      </c>
    </row>
    <row r="9">
      <c r="A9" s="18" t="inlineStr">
        <is>
          <t>Interest &amp; Other</t>
        </is>
      </c>
      <c r="B9" s="52" t="n">
        <v>-0.029</v>
      </c>
      <c r="C9" s="52" t="n">
        <v>-0.789</v>
      </c>
      <c r="D9" s="52" t="n">
        <v>0.834</v>
      </c>
      <c r="E9" s="52" t="n">
        <v>13.155</v>
      </c>
      <c r="F9" s="52" t="n">
        <v>11.369</v>
      </c>
      <c r="G9" s="52" t="n">
        <v>8.07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</row>
    <row r="10">
      <c r="A10" s="2" t="inlineStr">
        <is>
          <t>Pretax</t>
        </is>
      </c>
      <c r="B10" s="52">
        <f>B8+B9</f>
        <v>-32.947</v>
      </c>
      <c r="C10" s="52">
        <f>C8+C9</f>
        <v>-20.243000000000002</v>
      </c>
      <c r="D10" s="52">
        <f>D8+D9</f>
        <v>-34.681999999999995</v>
      </c>
      <c r="E10" s="52">
        <f>E8+E9</f>
        <v>-54.364999999999995</v>
      </c>
      <c r="F10" s="52">
        <f>F8+F9</f>
        <v>8.286000000000001</v>
      </c>
      <c r="G10" s="52">
        <f>G8+G9</f>
        <v>-171.378</v>
      </c>
      <c r="H10" s="52">
        <f>H8+H9</f>
        <v>-151.321149</v>
      </c>
      <c r="I10" s="52">
        <f>I8+I9</f>
        <v>-173.40619890000005</v>
      </c>
      <c r="J10" s="52">
        <f>J8+J9</f>
        <v>-189.1024496625</v>
      </c>
      <c r="K10" s="52">
        <f>K8+K9</f>
        <v>-194.48263720340282</v>
      </c>
      <c r="L10" s="52">
        <f>L8+L9</f>
        <v>-185.85214076924098</v>
      </c>
      <c r="M10" s="52">
        <f>M8+M9</f>
        <v>-160.50000259251374</v>
      </c>
      <c r="N10" s="52">
        <f>N8+N9</f>
        <v>-117.47708523090938</v>
      </c>
      <c r="O10" s="52">
        <f>O8+O9</f>
        <v>-58.21221158843457</v>
      </c>
      <c r="P10" s="52">
        <f>P8+P9</f>
        <v>13.236348111179666</v>
      </c>
      <c r="Q10" s="52">
        <f>Q8+Q9</f>
        <v>90.44837875972826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0.288</v>
      </c>
      <c r="G11" s="52" t="n">
        <v>-0.08</v>
      </c>
      <c r="H11" s="52">
        <f>MAX(0,H10)*Assumptions!$E$14</f>
        <v>0.0</v>
      </c>
      <c r="I11" s="52">
        <f>MAX(0,I10)*Assumptions!$E$14</f>
        <v>0.0</v>
      </c>
      <c r="J11" s="52">
        <f>MAX(0,J10)*Assumptions!$E$14</f>
        <v>0.0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2.2501791789005434</v>
      </c>
      <c r="Q11" s="52">
        <f>MAX(0,Q10)*Assumptions!$E$14</f>
        <v>15.376224389153805</v>
      </c>
    </row>
    <row r="12">
      <c r="A12" s="2" t="inlineStr">
        <is>
          <t>Net Income</t>
        </is>
      </c>
      <c r="B12" s="52" t="n">
        <v>-32.947</v>
      </c>
      <c r="C12" s="52" t="n">
        <v>-20.243</v>
      </c>
      <c r="D12" s="52" t="n">
        <v>-34.682</v>
      </c>
      <c r="E12" s="52" t="n">
        <v>-54.365</v>
      </c>
      <c r="F12" s="52" t="n">
        <v>7.998</v>
      </c>
      <c r="G12" s="52" t="n">
        <v>-171.298</v>
      </c>
      <c r="H12" s="52">
        <f>H10-H11</f>
        <v>-151.321149</v>
      </c>
      <c r="I12" s="52">
        <f>I10-I11</f>
        <v>-173.40619890000005</v>
      </c>
      <c r="J12" s="52">
        <f>J10-J11</f>
        <v>-189.1024496625</v>
      </c>
      <c r="K12" s="52">
        <f>K10-K11</f>
        <v>-194.48263720340282</v>
      </c>
      <c r="L12" s="52">
        <f>L10-L11</f>
        <v>-185.85214076924098</v>
      </c>
      <c r="M12" s="52">
        <f>M10-M11</f>
        <v>-160.50000259251374</v>
      </c>
      <c r="N12" s="52">
        <f>N10-N11</f>
        <v>-117.47708523090938</v>
      </c>
      <c r="O12" s="52">
        <f>O10-O11</f>
        <v>-58.21221158843457</v>
      </c>
      <c r="P12" s="52">
        <f>P10-P11</f>
        <v>10.986168932279123</v>
      </c>
      <c r="Q12" s="52">
        <f>Q10-Q11</f>
        <v>75.07215437057445</v>
      </c>
    </row>
    <row r="13">
      <c r="A13" s="2" t="inlineStr">
        <is>
          <t>Earnings per Share</t>
        </is>
      </c>
      <c r="B13" s="11">
        <f>IFERROR(B12/B14,0)</f>
        <v>-1.1331728288907998</v>
      </c>
      <c r="C13" s="11">
        <f>IFERROR(C12/C14,0)</f>
        <v>-0.7011291216403436</v>
      </c>
      <c r="D13" s="11">
        <f>IFERROR(D12/D14,0)</f>
        <v>-0.8680048052858144</v>
      </c>
      <c r="E13" s="11">
        <f>IFERROR(E12/E14,0)</f>
        <v>-0.5709709604579111</v>
      </c>
      <c r="F13" s="11">
        <f>IFERROR(F12/F14,0)</f>
        <v>0.07811233409186354</v>
      </c>
      <c r="G13" s="11">
        <f>IFERROR(G12/G14,0)</f>
        <v>-1.73790150761926</v>
      </c>
      <c r="H13" s="11">
        <f>IFERROR(H12/H14,0)</f>
        <v>-1.5216208340528514</v>
      </c>
      <c r="I13" s="11">
        <f>IFERROR(I12/I14,0)</f>
        <v>-1.743698661712863</v>
      </c>
      <c r="J13" s="11">
        <f>IFERROR(J12/J14,0)</f>
        <v>-1.9015334543679059</v>
      </c>
      <c r="K13" s="11">
        <f>IFERROR(K12/K14,0)</f>
        <v>-1.9556343220090135</v>
      </c>
      <c r="L13" s="11">
        <f>IFERROR(L12/L14,0)</f>
        <v>-1.8688497365811068</v>
      </c>
      <c r="M13" s="11">
        <f>IFERROR(M12/M14,0)</f>
        <v>-1.6139194648218378</v>
      </c>
      <c r="N13" s="11">
        <f>IFERROR(N12/N14,0)</f>
        <v>-1.1812993860570953</v>
      </c>
      <c r="O13" s="11">
        <f>IFERROR(O12/O14,0)</f>
        <v>-0.5853571330551745</v>
      </c>
      <c r="P13" s="11">
        <f>IFERROR(P12/P14,0)</f>
        <v>0.11047222178956678</v>
      </c>
      <c r="Q13" s="11">
        <f>IFERROR(Q12/Q14,0)</f>
        <v>0.7548935155620442</v>
      </c>
    </row>
    <row r="14">
      <c r="A14" s="2" t="inlineStr">
        <is>
          <t>Shares</t>
        </is>
      </c>
      <c r="B14" s="52" t="n">
        <v>29.075</v>
      </c>
      <c r="C14" s="52" t="n">
        <v>28.872</v>
      </c>
      <c r="D14" s="52" t="n">
        <v>39.956</v>
      </c>
      <c r="E14" s="52" t="n">
        <v>95.215</v>
      </c>
      <c r="F14" s="52" t="n">
        <v>102.391</v>
      </c>
      <c r="G14" s="52" t="n">
        <v>98.566</v>
      </c>
      <c r="H14" s="52">
        <f>Main!$C$4</f>
        <v>99.447343</v>
      </c>
      <c r="I14" s="52">
        <f>Main!$C$4</f>
        <v>99.447343</v>
      </c>
      <c r="J14" s="52">
        <f>Main!$C$4</f>
        <v>99.447343</v>
      </c>
      <c r="K14" s="52">
        <f>Main!$C$4</f>
        <v>99.447343</v>
      </c>
      <c r="L14" s="52">
        <f>Main!$C$4</f>
        <v>99.447343</v>
      </c>
      <c r="M14" s="52">
        <f>Main!$C$4</f>
        <v>99.447343</v>
      </c>
      <c r="N14" s="52">
        <f>Main!$C$4</f>
        <v>99.447343</v>
      </c>
      <c r="O14" s="52">
        <f>Main!$C$4</f>
        <v>99.447343</v>
      </c>
      <c r="P14" s="52">
        <f>Main!$C$4</f>
        <v>99.447343</v>
      </c>
      <c r="Q14" s="52">
        <f>Main!$C$4</f>
        <v>99.447343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-0.7609880130766437</v>
      </c>
      <c r="E16" s="15">
        <f>IFERROR(E2/D2-1,"")</f>
        <v>-0.9772036474164134</v>
      </c>
      <c r="F16" s="15">
        <f>IFERROR(F2/E2-1,"")</f>
        <v>2970.6333333333337</v>
      </c>
      <c r="G16" s="15">
        <f>IFERROR(G2/F2-1,"")</f>
        <v>-0.054638863027067</v>
      </c>
      <c r="H16" s="15">
        <f>IFERROR(H2/G2-1,"")</f>
        <v>0.3500000000000001</v>
      </c>
      <c r="I16" s="15">
        <f>IFERROR(I2/H2-1,"")</f>
        <v>0.3138888888888889</v>
      </c>
      <c r="J16" s="15">
        <f>IFERROR(J2/I2-1,"")</f>
        <v>0.2777777777777777</v>
      </c>
      <c r="K16" s="15">
        <f>IFERROR(K2/J2-1,"")</f>
        <v>0.2416666666666667</v>
      </c>
      <c r="L16" s="15">
        <f>IFERROR(L2/K2-1,"")</f>
        <v>0.2055555555555555</v>
      </c>
      <c r="M16" s="15">
        <f>IFERROR(M2/L2-1,"")</f>
        <v>0.1694444444444445</v>
      </c>
      <c r="N16" s="15">
        <f>IFERROR(N2/M2-1,"")</f>
        <v>0.1333333333333333</v>
      </c>
      <c r="O16" s="15">
        <f>IFERROR(O2/N2-1,"")</f>
        <v>0.09722222222222232</v>
      </c>
      <c r="P16" s="15">
        <f>IFERROR(P2/O2-1,"")</f>
        <v>0.061111111111111116</v>
      </c>
      <c r="Q16" s="15">
        <f>IFERROR(Q2/P2-1,"")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-3.5332364693062113</v>
      </c>
      <c r="D18" s="15">
        <f>IFERROR(D8/D2,"")</f>
        <v>-26.98784194528875</v>
      </c>
      <c r="E18" s="15">
        <f>IFERROR(E8/E2,"")</f>
        <v>-2250.6666666666665</v>
      </c>
      <c r="F18" s="15">
        <f>IFERROR(F8/F2,"")</f>
        <v>-0.034582552804854776</v>
      </c>
      <c r="G18" s="15">
        <f>IFERROR(G8/G2,"")</f>
        <v>-2.1292389472934805</v>
      </c>
      <c r="H18" s="15">
        <f>IFERROR(H8/H2,"")</f>
        <v>-1.3299999999999998</v>
      </c>
      <c r="I18" s="15">
        <f>IFERROR(I8/I2,"")</f>
        <v>-1.1600000000000001</v>
      </c>
      <c r="J18" s="15">
        <f>IFERROR(J8/J2,"")</f>
        <v>-0.9899999999999999</v>
      </c>
      <c r="K18" s="15">
        <f>IFERROR(K8/K2,"")</f>
        <v>-0.8200000000000001</v>
      </c>
      <c r="L18" s="15">
        <f>IFERROR(L8/L2,"")</f>
        <v>-0.65</v>
      </c>
      <c r="M18" s="15">
        <f>IFERROR(M8/M2,"")</f>
        <v>-0.4799999999999999</v>
      </c>
      <c r="N18" s="15">
        <f>IFERROR(N8/N2,"")</f>
        <v>-0.31</v>
      </c>
      <c r="O18" s="15">
        <f>IFERROR(O8/O2,"")</f>
        <v>-0.14000000000000018</v>
      </c>
      <c r="P18" s="15">
        <f>IFERROR(P8/P2,"")</f>
        <v>0.029999999999999815</v>
      </c>
      <c r="Q18" s="15">
        <f>IFERROR(Q8/Q2,"")</f>
        <v>0.19999999999999998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E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ARS Pharmaceuticals,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-1.5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0.05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Model'!G2</f>
        <v>84.278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-585.270807594429</v>
      </c>
      <c r="C29" s="56">
        <f>NPV!B26</f>
        <v>-538.101807594429</v>
      </c>
      <c r="D29" s="35">
        <f>NPV!B28</f>
        <v>-5.410921914670249</v>
      </c>
      <c r="E29" s="57">
        <f>NPV!B30</f>
        <v>-2.2612871595967947</v>
      </c>
    </row>
    <row r="30">
      <c r="A30" s="58" t="n">
        <v>1</v>
      </c>
      <c r="B30" s="59">
        <f t="dataTable" ref="B30:E32" r1="B4"/>
        <v>-631.3604302394311</v>
      </c>
      <c r="C30" s="59">
        <v>-584.1914302394312</v>
      </c>
      <c r="D30" s="39">
        <v>-5.874379471751509</v>
      </c>
      <c r="E30" s="60">
        <v>-2.369319224184501</v>
      </c>
    </row>
    <row r="31">
      <c r="A31" s="58" t="n">
        <v>2</v>
      </c>
      <c r="B31" s="59">
        <v>-585.270807594429</v>
      </c>
      <c r="C31" s="59">
        <v>-538.101807594429</v>
      </c>
      <c r="D31" s="39">
        <v>-5.410921914670249</v>
      </c>
      <c r="E31" s="60">
        <v>-2.2612871595967947</v>
      </c>
    </row>
    <row r="32">
      <c r="A32" s="58" t="n">
        <v>3</v>
      </c>
      <c r="B32" s="59">
        <v>-420.8056199194035</v>
      </c>
      <c r="C32" s="59">
        <v>-373.6366199194035</v>
      </c>
      <c r="D32" s="39">
        <v>-3.7571302424782074</v>
      </c>
      <c r="E32" s="60">
        <v>-1.8757879353096054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-5.410921914670249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-5.114957041899976</v>
      </c>
      <c r="C37" s="39">
        <v>-4.901946196376961</v>
      </c>
      <c r="D37" s="39">
        <v>-4.65717007835982</v>
      </c>
      <c r="E37" s="39">
        <v>-4.374218493443912</v>
      </c>
      <c r="F37" s="39">
        <v>-4.044849151261682</v>
      </c>
    </row>
    <row r="38">
      <c r="A38" s="62" t="n">
        <v>0.115</v>
      </c>
      <c r="B38" s="39">
        <v>-5.438993514843243</v>
      </c>
      <c r="C38" s="39">
        <v>-5.283668870175887</v>
      </c>
      <c r="D38" s="39">
        <v>-5.106762080280615</v>
      </c>
      <c r="E38" s="39">
        <v>-4.904417185126358</v>
      </c>
      <c r="F38" s="39">
        <v>-4.671813733744495</v>
      </c>
    </row>
    <row r="39">
      <c r="A39" s="62" t="n">
        <v>0.125</v>
      </c>
      <c r="B39" s="39">
        <v>-5.655544146746536</v>
      </c>
      <c r="C39" s="39">
        <v>-5.540812878373499</v>
      </c>
      <c r="D39" s="39">
        <v>-5.410921914670249</v>
      </c>
      <c r="E39" s="39">
        <v>-5.2634378085440305</v>
      </c>
      <c r="F39" s="39">
        <v>-5.095385929968014</v>
      </c>
    </row>
    <row r="40">
      <c r="A40" s="62" t="n">
        <v>0.135</v>
      </c>
      <c r="B40" s="39">
        <v>-5.794851542077805</v>
      </c>
      <c r="C40" s="39">
        <v>-5.709461460053461</v>
      </c>
      <c r="D40" s="39">
        <v>-5.613131115746661</v>
      </c>
      <c r="E40" s="39">
        <v>-5.504263739960683</v>
      </c>
      <c r="F40" s="39">
        <v>-5.380942858098585</v>
      </c>
    </row>
    <row r="41">
      <c r="A41" s="62" t="n">
        <v>0.145</v>
      </c>
      <c r="B41" s="39">
        <v>-5.877585078000693</v>
      </c>
      <c r="C41" s="39">
        <v>-5.813867431888319</v>
      </c>
      <c r="D41" s="39">
        <v>-5.742076194685654</v>
      </c>
      <c r="E41" s="39">
        <v>-5.6611291814311295</v>
      </c>
      <c r="F41" s="39">
        <v>-5.569747146617293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ARS Pharmaceuticals, Inc.: free-cash-flow DCF ($mm)</t>
        </is>
      </c>
    </row>
    <row r="3">
      <c r="A3" s="20" t="inlineStr">
        <is>
          <t>Fiscal year</t>
        </is>
      </c>
      <c r="B3" s="43">
        <f>'Yearly Model'!G1</f>
        <v>2025</v>
      </c>
      <c r="C3" s="43">
        <f>'Yearly Model'!H1</f>
        <v>2026</v>
      </c>
      <c r="D3" s="43">
        <f>'Yearly Model'!I1</f>
        <v>2027</v>
      </c>
      <c r="E3" s="43">
        <f>'Yearly Model'!J1</f>
        <v>2028</v>
      </c>
      <c r="F3" s="43">
        <f>'Yearly Model'!K1</f>
        <v>2029</v>
      </c>
      <c r="G3" s="43">
        <f>'Yearly Model'!L1</f>
        <v>2030</v>
      </c>
      <c r="H3" s="43">
        <f>'Yearly Model'!M1</f>
        <v>2031</v>
      </c>
      <c r="I3" s="43">
        <f>'Yearly Model'!N1</f>
        <v>2032</v>
      </c>
      <c r="J3" s="43">
        <f>'Yearly Model'!O1</f>
        <v>2033</v>
      </c>
      <c r="K3" s="43">
        <f>'Yearly Model'!P1</f>
        <v>2034</v>
      </c>
      <c r="L3" s="43">
        <f>'Yearly Model'!Q1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-2.1292389472934805</v>
      </c>
      <c r="C6" s="63">
        <f>Assumptions!$B$18+(Assumptions!$E$13-Assumptions!$B$18)*C4/Assumptions!$B$21</f>
        <v>-1.33</v>
      </c>
      <c r="D6" s="63">
        <f>Assumptions!$B$18+(Assumptions!$E$13-Assumptions!$B$18)*D4/Assumptions!$B$21</f>
        <v>-1.1600000000000001</v>
      </c>
      <c r="E6" s="63">
        <f>Assumptions!$B$18+(Assumptions!$E$13-Assumptions!$B$18)*E4/Assumptions!$B$21</f>
        <v>-0.99</v>
      </c>
      <c r="F6" s="63">
        <f>Assumptions!$B$18+(Assumptions!$E$13-Assumptions!$B$18)*F4/Assumptions!$B$21</f>
        <v>-0.8200000000000001</v>
      </c>
      <c r="G6" s="63">
        <f>Assumptions!$B$18+(Assumptions!$E$13-Assumptions!$B$18)*G4/Assumptions!$B$21</f>
        <v>-0.65</v>
      </c>
      <c r="H6" s="63">
        <f>Assumptions!$B$18+(Assumptions!$E$13-Assumptions!$B$18)*H4/Assumptions!$B$21</f>
        <v>-0.48</v>
      </c>
      <c r="I6" s="63">
        <f>Assumptions!$B$18+(Assumptions!$E$13-Assumptions!$B$18)*I4/Assumptions!$B$21</f>
        <v>-0.31000000000000005</v>
      </c>
      <c r="J6" s="63">
        <f>Assumptions!$B$18+(Assumptions!$E$13-Assumptions!$B$18)*J4/Assumptions!$B$21</f>
        <v>-0.14000000000000012</v>
      </c>
      <c r="K6" s="63">
        <f>Assumptions!$B$18+(Assumptions!$E$13-Assumptions!$B$18)*K4/Assumptions!$B$21</f>
        <v>0.029999999999999805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Model'!G2</f>
        <v>84.278</v>
      </c>
      <c r="C7" s="55">
        <f>'Yearly Model'!H2</f>
        <v>113.77530000000002</v>
      </c>
      <c r="D7" s="55">
        <f>'Yearly Model'!I2</f>
        <v>149.48810250000002</v>
      </c>
      <c r="E7" s="55">
        <f>'Yearly Model'!J2</f>
        <v>191.0125754166667</v>
      </c>
      <c r="F7" s="55">
        <f>'Yearly Model'!K2</f>
        <v>237.17394780902782</v>
      </c>
      <c r="G7" s="55">
        <f>'Yearly Model'!L2</f>
        <v>285.9263704142169</v>
      </c>
      <c r="H7" s="55">
        <f>'Yearly Model'!M2</f>
        <v>334.3750054010703</v>
      </c>
      <c r="I7" s="55">
        <f>'Yearly Model'!N2</f>
        <v>378.9583394545464</v>
      </c>
      <c r="J7" s="55">
        <f>'Yearly Model'!O2</f>
        <v>415.80151134596065</v>
      </c>
      <c r="K7" s="55">
        <f>'Yearly Model'!P2</f>
        <v>441.2116037059916</v>
      </c>
      <c r="L7" s="55">
        <f>'Yearly Model'!Q2</f>
        <v>452.24189379864134</v>
      </c>
    </row>
    <row r="8">
      <c r="A8" s="14" t="inlineStr">
        <is>
          <t>Operating income</t>
        </is>
      </c>
      <c r="B8" s="55">
        <f>'Yearly Model'!G8</f>
        <v>-179.44799999999998</v>
      </c>
      <c r="C8" s="55">
        <f>'Yearly Model'!H8</f>
        <v>-151.321149</v>
      </c>
      <c r="D8" s="55">
        <f>'Yearly Model'!I8</f>
        <v>-173.40619890000005</v>
      </c>
      <c r="E8" s="55">
        <f>'Yearly Model'!J8</f>
        <v>-189.1024496625</v>
      </c>
      <c r="F8" s="55">
        <f>'Yearly Model'!K8</f>
        <v>-194.48263720340282</v>
      </c>
      <c r="G8" s="55">
        <f>'Yearly Model'!L8</f>
        <v>-185.85214076924098</v>
      </c>
      <c r="H8" s="55">
        <f>'Yearly Model'!M8</f>
        <v>-160.50000259251374</v>
      </c>
      <c r="I8" s="55">
        <f>'Yearly Model'!N8</f>
        <v>-117.47708523090938</v>
      </c>
      <c r="J8" s="55">
        <f>'Yearly Model'!O8</f>
        <v>-58.21221158843457</v>
      </c>
      <c r="K8" s="55">
        <f>'Yearly Model'!P8</f>
        <v>13.236348111179666</v>
      </c>
      <c r="L8" s="55">
        <f>'Yearly Model'!Q8</f>
        <v>90.44837875972826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2.2501791789005434</v>
      </c>
      <c r="L9" s="52">
        <f>MAX(0,L8)*Assumptions!$E$14</f>
        <v>15.376224389153805</v>
      </c>
    </row>
    <row r="10">
      <c r="A10" s="14" t="inlineStr">
        <is>
          <t>NOPAT</t>
        </is>
      </c>
      <c r="C10" s="52">
        <f>C8-C9</f>
        <v>-151.321149</v>
      </c>
      <c r="D10" s="52">
        <f>D8-D9</f>
        <v>-173.40619890000005</v>
      </c>
      <c r="E10" s="52">
        <f>E8-E9</f>
        <v>-189.1024496625</v>
      </c>
      <c r="F10" s="52">
        <f>F8-F9</f>
        <v>-194.48263720340282</v>
      </c>
      <c r="G10" s="52">
        <f>G8-G9</f>
        <v>-185.85214076924098</v>
      </c>
      <c r="H10" s="52">
        <f>H8-H9</f>
        <v>-160.50000259251374</v>
      </c>
      <c r="I10" s="52">
        <f>I8-I9</f>
        <v>-117.47708523090938</v>
      </c>
      <c r="J10" s="52">
        <f>J8-J9</f>
        <v>-58.21221158843457</v>
      </c>
      <c r="K10" s="52">
        <f>K8-K9</f>
        <v>10.986168932279123</v>
      </c>
      <c r="L10" s="52">
        <f>L8-L9</f>
        <v>75.07215437057445</v>
      </c>
    </row>
    <row r="11">
      <c r="A11" s="14" t="inlineStr">
        <is>
          <t>Reinvestment</t>
        </is>
      </c>
      <c r="C11" s="52">
        <f>(C7-B7)*Assumptions!$E$15</f>
        <v>7.3743250000000025</v>
      </c>
      <c r="D11" s="52">
        <f>(D7-C7)*Assumptions!$E$15</f>
        <v>8.928200625000002</v>
      </c>
      <c r="E11" s="52">
        <f>(E7-D7)*Assumptions!$E$15</f>
        <v>10.381118229166667</v>
      </c>
      <c r="F11" s="52">
        <f>(F7-E7)*Assumptions!$E$15</f>
        <v>11.540343098090283</v>
      </c>
      <c r="G11" s="52">
        <f>(G7-F7)*Assumptions!$E$15</f>
        <v>12.188105651297263</v>
      </c>
      <c r="H11" s="52">
        <f>(H7-G7)*Assumptions!$E$15</f>
        <v>12.112158746713362</v>
      </c>
      <c r="I11" s="52">
        <f>(I7-H7)*Assumptions!$E$15</f>
        <v>11.145833513369013</v>
      </c>
      <c r="J11" s="52">
        <f>(J7-I7)*Assumptions!$E$15</f>
        <v>9.210792972853568</v>
      </c>
      <c r="K11" s="52">
        <f>(K7-J7)*Assumptions!$E$15</f>
        <v>6.352523090007736</v>
      </c>
      <c r="L11" s="52">
        <f>(L7-K7)*Assumptions!$E$15</f>
        <v>2.7575725231624375</v>
      </c>
    </row>
    <row r="12">
      <c r="A12" s="20" t="inlineStr">
        <is>
          <t>Free cash flow</t>
        </is>
      </c>
      <c r="C12" s="64">
        <f>C10-C11</f>
        <v>-158.695474</v>
      </c>
      <c r="D12" s="64">
        <f>D10-D11</f>
        <v>-182.33439952500004</v>
      </c>
      <c r="E12" s="64">
        <f>E10-E11</f>
        <v>-199.48356789166667</v>
      </c>
      <c r="F12" s="64">
        <f>F10-F11</f>
        <v>-206.0229803014931</v>
      </c>
      <c r="G12" s="64">
        <f>G10-G11</f>
        <v>-198.04024642053824</v>
      </c>
      <c r="H12" s="64">
        <f>H10-H11</f>
        <v>-172.6121613392271</v>
      </c>
      <c r="I12" s="64">
        <f>I10-I11</f>
        <v>-128.6229187442784</v>
      </c>
      <c r="J12" s="64">
        <f>J10-J11</f>
        <v>-67.42300456128814</v>
      </c>
      <c r="K12" s="64">
        <f>K10-K11</f>
        <v>4.633645842271386</v>
      </c>
      <c r="L12" s="64">
        <f>L10-L11</f>
        <v>72.31458184741201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-77.65836539634402</v>
      </c>
      <c r="D16" s="64">
        <f>D12*D13*D15</f>
        <v>-161.99677297401453</v>
      </c>
      <c r="E16" s="64">
        <f>E12*E13*E15</f>
        <v>-157.54054988577013</v>
      </c>
      <c r="F16" s="64">
        <f>F12*F13*F15</f>
        <v>-144.626665294184</v>
      </c>
      <c r="G16" s="64">
        <f>G12*G13*G15</f>
        <v>-123.57586039696037</v>
      </c>
      <c r="H16" s="64">
        <f>H12*H13*H15</f>
        <v>-95.74124109961956</v>
      </c>
      <c r="I16" s="64">
        <f>I12*I13*I15</f>
        <v>-63.415219563207444</v>
      </c>
      <c r="J16" s="64">
        <f>J12*J13*J15</f>
        <v>-29.548178882426573</v>
      </c>
      <c r="K16" s="64">
        <f>K12*K13*K15</f>
        <v>1.805065359663233</v>
      </c>
      <c r="L16" s="64">
        <f>L12*L13*L15</f>
        <v>25.0405262598545</v>
      </c>
    </row>
    <row r="19">
      <c r="A19" s="14" t="inlineStr">
        <is>
          <t>PV of forecast free cash flow</t>
        </is>
      </c>
      <c r="B19" s="52">
        <f>SUM(C16:L16)</f>
        <v>-827.257261873009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74.1224463935973</v>
      </c>
    </row>
    <row r="21">
      <c r="A21" s="14" t="inlineStr">
        <is>
          <t>Terminal value</t>
        </is>
      </c>
      <c r="B21" s="52">
        <f>B20/(Assumptions!$E$10-Assumptions!$E$11)</f>
        <v>741.224463935973</v>
      </c>
    </row>
    <row r="22">
      <c r="A22" s="14" t="inlineStr">
        <is>
          <t>PV of terminal value</t>
        </is>
      </c>
      <c r="B22" s="52">
        <f>B21/(1+Assumptions!$E$10)^(L14+0.5)</f>
        <v>241.98645427858003</v>
      </c>
    </row>
    <row r="23">
      <c r="A23" s="20" t="inlineStr">
        <is>
          <t>Enterprise value</t>
        </is>
      </c>
      <c r="B23" s="66">
        <f>B19+B22</f>
        <v>-585.270807594429</v>
      </c>
    </row>
    <row r="24">
      <c r="A24" s="14" t="inlineStr">
        <is>
          <t>Cash &amp; investments</t>
        </is>
      </c>
      <c r="B24" s="55">
        <f>Main!C7</f>
        <v>143.845</v>
      </c>
    </row>
    <row r="25">
      <c r="A25" s="14" t="inlineStr">
        <is>
          <t>Debt</t>
        </is>
      </c>
      <c r="B25" s="55">
        <f>Main!C8</f>
        <v>96.676</v>
      </c>
    </row>
    <row r="26">
      <c r="A26" s="20" t="inlineStr">
        <is>
          <t>Equity value</t>
        </is>
      </c>
      <c r="B26" s="66">
        <f>B23+B24-B25</f>
        <v>-538.101807594429</v>
      </c>
    </row>
    <row r="27">
      <c r="A27" s="14" t="inlineStr">
        <is>
          <t>Shares (mm)</t>
        </is>
      </c>
      <c r="B27" s="55">
        <f>Main!C4</f>
        <v>99.447343</v>
      </c>
    </row>
    <row r="28">
      <c r="A28" s="20" t="inlineStr">
        <is>
          <t>NPV / share</t>
        </is>
      </c>
      <c r="B28" s="49">
        <f>B26/B27</f>
        <v>-5.410921914670249</v>
      </c>
    </row>
    <row r="29">
      <c r="A29" s="14" t="inlineStr">
        <is>
          <t>Price</t>
        </is>
      </c>
      <c r="B29" s="50">
        <f>Main!C3</f>
        <v>4.29</v>
      </c>
    </row>
    <row r="30">
      <c r="A30" s="14" t="inlineStr">
        <is>
          <t>Upside</t>
        </is>
      </c>
      <c r="B30" s="63">
        <f>B28/B29-1</f>
        <v>-2.2612871595967947</v>
      </c>
    </row>
    <row r="31">
      <c r="A31" s="14" t="inlineStr">
        <is>
          <t>Terminal value, % of EV</t>
        </is>
      </c>
      <c r="B31" s="63">
        <f>IFERROR(B22/B23,0)</f>
        <v>-0.41346065981522123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2026-10-21T06:25:33Z</dcterms:modified>
  <cp:lastModifiedBy>Wang, Eric</cp:lastModifiedBy>
</cp:coreProperties>
</file>