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Sonoma Pharmaceuticals Inc</t>
        </is>
      </c>
      <c r="C2" s="10" t="n"/>
    </row>
    <row r="3">
      <c r="B3" t="inlineStr">
        <is>
          <t>Price</t>
        </is>
      </c>
      <c r="C3" s="11">
        <f>INDEX([1]Pharma!$F$1:$F$1000,MATCH("SNOA",[1]Pharma!$B$1:$B$1000,0))</f>
        <v>1.15</v>
      </c>
      <c r="F3" s="1" t="n"/>
    </row>
    <row r="4">
      <c r="B4" t="inlineStr">
        <is>
          <t>Shares</t>
        </is>
      </c>
      <c r="C4" s="21" t="n">
        <v>4.788425</v>
      </c>
      <c r="F4" s="1" t="n"/>
    </row>
    <row r="5">
      <c r="B5" t="inlineStr">
        <is>
          <t>Market Cap.</t>
        </is>
      </c>
      <c r="C5" s="13">
        <f>C3*C4</f>
        <v>5.5066887499999995</v>
      </c>
      <c r="F5" s="1" t="n"/>
    </row>
    <row r="6"/>
    <row r="7">
      <c r="B7" t="inlineStr">
        <is>
          <t>Cash</t>
        </is>
      </c>
      <c r="C7" s="21" t="n">
        <v>5.338</v>
      </c>
    </row>
    <row r="8">
      <c r="B8" t="inlineStr">
        <is>
          <t>Debt</t>
        </is>
      </c>
      <c r="C8" s="21" t="n">
        <v>0.14</v>
      </c>
    </row>
    <row r="9">
      <c r="B9" t="inlineStr">
        <is>
          <t>Enterprise V.</t>
        </is>
      </c>
      <c r="C9" s="13">
        <f>C5-C7+C8</f>
        <v>0.3086887499999994</v>
      </c>
    </row>
    <row r="10"/>
    <row r="11">
      <c r="B11" s="14" t="inlineStr">
        <is>
          <t>Net Cash / Share</t>
        </is>
      </c>
      <c r="C11" s="11">
        <f>(C7-C8)/C4</f>
        <v>1.085534387611793</v>
      </c>
    </row>
    <row r="12">
      <c r="B12" s="14" t="inlineStr">
        <is>
          <t>Upside</t>
        </is>
      </c>
      <c r="C12" s="15">
        <f>IFERROR(C11/C3-1,"")</f>
        <v>-0.05605705425061458</v>
      </c>
    </row>
    <row r="13">
      <c r="B13" s="14" t="inlineStr">
        <is>
          <t>Cash / Share</t>
        </is>
      </c>
      <c r="C13" s="11">
        <f>IFERROR((C7-C8)/C4,"")</f>
        <v>1.085534387611793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-2.567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2.02493182703545</v>
      </c>
    </row>
    <row r="19">
      <c r="B19" s="14" t="inlineStr">
        <is>
          <t>Implied Pipeline Value</t>
        </is>
      </c>
      <c r="C19" s="13">
        <f>C9</f>
        <v>0.3086887499999994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17" t="n">
        <v>2026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9.754</v>
      </c>
      <c r="C2" s="23" t="n">
        <v>12.744</v>
      </c>
      <c r="D2" s="23" t="n">
        <v>15.452</v>
      </c>
      <c r="E2" s="23" t="n">
        <v>13.668</v>
      </c>
      <c r="F2" s="23" t="n">
        <v>13.854</v>
      </c>
      <c r="G2" s="23" t="n">
        <v>9.369</v>
      </c>
      <c r="H2" s="23" t="n">
        <v>12.825</v>
      </c>
      <c r="I2" s="23" t="n">
        <v>16.658</v>
      </c>
      <c r="J2" s="23" t="n">
        <v>18.97</v>
      </c>
      <c r="K2" s="23" t="n">
        <v>17.928</v>
      </c>
      <c r="L2" s="23" t="n">
        <v>18.629</v>
      </c>
      <c r="M2" s="23" t="n">
        <v>12.628</v>
      </c>
      <c r="N2" s="23" t="n">
        <v>13.272</v>
      </c>
      <c r="O2" s="23" t="n">
        <v>12.735</v>
      </c>
      <c r="P2" s="23" t="n">
        <v>14.288</v>
      </c>
      <c r="Q2" s="23" t="n">
        <v>19.529</v>
      </c>
    </row>
    <row r="3" customFormat="1" s="1">
      <c r="A3" s="5" t="inlineStr">
        <is>
          <t>Cost of Sales</t>
        </is>
      </c>
      <c r="B3" s="23" t="n">
        <v>3.613</v>
      </c>
      <c r="C3" s="23" t="n">
        <v>4.03</v>
      </c>
      <c r="D3" s="23" t="n">
        <v>4.709</v>
      </c>
      <c r="E3" s="23" t="n">
        <v>5.271</v>
      </c>
      <c r="F3" s="23" t="n">
        <v>6.566</v>
      </c>
      <c r="G3" s="23" t="n">
        <v>6.721</v>
      </c>
      <c r="H3" s="23" t="n">
        <v>7.157</v>
      </c>
      <c r="I3" s="23" t="n">
        <v>9.348000000000001</v>
      </c>
      <c r="J3" s="23" t="n">
        <v>10.09</v>
      </c>
      <c r="K3" s="23" t="n">
        <v>9.805999999999999</v>
      </c>
      <c r="L3" s="23" t="n">
        <v>12.07</v>
      </c>
      <c r="M3" s="23" t="n">
        <v>8.635</v>
      </c>
      <c r="N3" s="23" t="n">
        <v>8.795</v>
      </c>
      <c r="O3" s="23" t="n">
        <v>7.99</v>
      </c>
      <c r="P3" s="23" t="n">
        <v>8.823</v>
      </c>
      <c r="Q3" s="23" t="n">
        <v>12.114</v>
      </c>
    </row>
    <row r="4" customFormat="1" s="1">
      <c r="A4" s="5" t="inlineStr">
        <is>
          <t>Gross Margin</t>
        </is>
      </c>
      <c r="B4" s="23">
        <f>B2-B3</f>
        <v>6.141</v>
      </c>
      <c r="C4" s="23">
        <f>C2-C3</f>
        <v>8.713999999999999</v>
      </c>
      <c r="D4" s="23">
        <f>D2-D3</f>
        <v>10.743</v>
      </c>
      <c r="E4" s="23">
        <f>E2-E3</f>
        <v>8.396999999999998</v>
      </c>
      <c r="F4" s="23">
        <f>F2-F3</f>
        <v>7.287999999999999</v>
      </c>
      <c r="G4" s="23">
        <f>G2-G3</f>
        <v>2.6479999999999997</v>
      </c>
      <c r="H4" s="23">
        <f>H2-H3</f>
        <v>5.667999999999999</v>
      </c>
      <c r="I4" s="23">
        <f>I2-I3</f>
        <v>7.3100000000000005</v>
      </c>
      <c r="J4" s="23">
        <f>J2-J3</f>
        <v>8.879999999999999</v>
      </c>
      <c r="K4" s="23">
        <f>K2-K3</f>
        <v>8.122000000000002</v>
      </c>
      <c r="L4" s="23">
        <f>L2-L3</f>
        <v>6.559000000000001</v>
      </c>
      <c r="M4" s="23">
        <f>M2-M3</f>
        <v>3.9930000000000003</v>
      </c>
      <c r="N4" s="23">
        <f>N2-N3</f>
        <v>4.477</v>
      </c>
      <c r="O4" s="23">
        <f>O2-O3</f>
        <v>4.744999999999999</v>
      </c>
      <c r="P4" s="23">
        <f>P2-P3</f>
        <v>5.465</v>
      </c>
      <c r="Q4" s="23">
        <f>Q2-Q3</f>
        <v>7.414999999999999</v>
      </c>
    </row>
    <row r="5">
      <c r="A5" s="2" t="inlineStr">
        <is>
          <t>Research &amp; Dev.</t>
        </is>
      </c>
      <c r="B5" s="23" t="n">
        <v>2.046</v>
      </c>
      <c r="C5" s="23" t="n">
        <v>1.981</v>
      </c>
      <c r="D5" s="23" t="n">
        <v>2.223</v>
      </c>
      <c r="E5" s="23" t="n">
        <v>2.887</v>
      </c>
      <c r="F5" s="23" t="n">
        <v>1.533</v>
      </c>
      <c r="G5" s="23" t="n">
        <v>1.806</v>
      </c>
      <c r="H5" s="23" t="n">
        <v>1.576</v>
      </c>
      <c r="I5" s="23" t="n">
        <v>1.575</v>
      </c>
      <c r="J5" s="23" t="n">
        <v>1.518</v>
      </c>
      <c r="K5" s="23" t="n">
        <v>1.339</v>
      </c>
      <c r="L5" s="23" t="n">
        <v>0.555</v>
      </c>
      <c r="M5" s="23" t="n">
        <v>0.125</v>
      </c>
      <c r="N5" s="23" t="n">
        <v>0.207</v>
      </c>
      <c r="O5" s="23" t="n">
        <v>1.871</v>
      </c>
      <c r="P5" s="23" t="n">
        <v>1.814</v>
      </c>
      <c r="Q5" s="23" t="n">
        <v>2.271</v>
      </c>
    </row>
    <row r="6">
      <c r="A6" s="19" t="inlineStr">
        <is>
          <t>SG&amp;A &amp; Other</t>
        </is>
      </c>
      <c r="B6" s="23" t="n">
        <v>11.6</v>
      </c>
      <c r="C6" s="23" t="n">
        <v>13.2</v>
      </c>
      <c r="D6" s="23" t="n">
        <v>11.894</v>
      </c>
      <c r="E6" s="23" t="n">
        <v>11.561</v>
      </c>
      <c r="F6" s="23" t="n">
        <v>12.414</v>
      </c>
      <c r="G6" s="23" t="n">
        <v>15.556</v>
      </c>
      <c r="H6" s="23" t="n">
        <v>17.066</v>
      </c>
      <c r="I6" s="23" t="n">
        <v>19.924</v>
      </c>
      <c r="J6" s="23" t="n">
        <v>18.62</v>
      </c>
      <c r="K6" s="23" t="n">
        <v>14.173</v>
      </c>
      <c r="L6" s="23" t="n">
        <v>9.452999999999999</v>
      </c>
      <c r="M6" s="23" t="n">
        <v>9.755000000000001</v>
      </c>
      <c r="N6" s="23" t="n">
        <v>8.84</v>
      </c>
      <c r="O6" s="23" t="n">
        <v>7.575</v>
      </c>
      <c r="P6" s="23" t="n">
        <v>7.361</v>
      </c>
      <c r="Q6" s="23" t="n">
        <v>7.605</v>
      </c>
    </row>
    <row r="7">
      <c r="A7" s="2" t="inlineStr">
        <is>
          <t>Operating Expense</t>
        </is>
      </c>
      <c r="B7" s="23">
        <f>SUM(B5:B6)</f>
        <v>13.645999999999999</v>
      </c>
      <c r="C7" s="23">
        <f>SUM(C5:C6)</f>
        <v>15.181</v>
      </c>
      <c r="D7" s="23">
        <f>SUM(D5:D6)</f>
        <v>14.117</v>
      </c>
      <c r="E7" s="23">
        <f>SUM(E5:E6)</f>
        <v>14.448</v>
      </c>
      <c r="F7" s="23">
        <f>SUM(F5:F6)</f>
        <v>13.947</v>
      </c>
      <c r="G7" s="23">
        <f>SUM(G5:G6)</f>
        <v>17.362</v>
      </c>
      <c r="H7" s="23">
        <f>SUM(H5:H6)</f>
        <v>18.642</v>
      </c>
      <c r="I7" s="23">
        <f>SUM(I5:I6)</f>
        <v>21.499</v>
      </c>
      <c r="J7" s="23">
        <f>SUM(J5:J6)</f>
        <v>20.138</v>
      </c>
      <c r="K7" s="23">
        <f>SUM(K5:K6)</f>
        <v>15.512</v>
      </c>
      <c r="L7" s="23">
        <f>SUM(L5:L6)</f>
        <v>10.008</v>
      </c>
      <c r="M7" s="23">
        <f>SUM(M5:M6)</f>
        <v>9.88</v>
      </c>
      <c r="N7" s="23">
        <f>SUM(N5:N6)</f>
        <v>9.047</v>
      </c>
      <c r="O7" s="23">
        <f>SUM(O5:O6)</f>
        <v>9.446</v>
      </c>
      <c r="P7" s="23">
        <f>SUM(P5:P6)</f>
        <v>9.175</v>
      </c>
      <c r="Q7" s="23">
        <f>SUM(Q5:Q6)</f>
        <v>9.876000000000001</v>
      </c>
    </row>
    <row r="8">
      <c r="A8" s="2" t="inlineStr">
        <is>
          <t>Operating Income</t>
        </is>
      </c>
      <c r="B8" s="23">
        <f>B4-B7</f>
        <v>-7.504999999999999</v>
      </c>
      <c r="C8" s="23">
        <f>C4-C7</f>
        <v>-6.4670000000000005</v>
      </c>
      <c r="D8" s="23">
        <f>D4-D7</f>
        <v>-3.3740000000000006</v>
      </c>
      <c r="E8" s="23">
        <f>E4-E7</f>
        <v>-6.051000000000002</v>
      </c>
      <c r="F8" s="23">
        <f>F4-F7</f>
        <v>-6.659</v>
      </c>
      <c r="G8" s="23">
        <f>G4-G7</f>
        <v>-14.713999999999999</v>
      </c>
      <c r="H8" s="23">
        <f>H4-H7</f>
        <v>-12.974</v>
      </c>
      <c r="I8" s="23">
        <f>I4-I7</f>
        <v>-14.188999999999998</v>
      </c>
      <c r="J8" s="23">
        <f>J4-J7</f>
        <v>-11.258000000000003</v>
      </c>
      <c r="K8" s="23">
        <f>K4-K7</f>
        <v>-7.389999999999999</v>
      </c>
      <c r="L8" s="23">
        <f>L4-L7</f>
        <v>-3.448999999999998</v>
      </c>
      <c r="M8" s="23">
        <f>M4-M7</f>
        <v>-5.8870000000000005</v>
      </c>
      <c r="N8" s="23">
        <f>N4-N7</f>
        <v>-4.57</v>
      </c>
      <c r="O8" s="23">
        <f>O4-O7</f>
        <v>-4.7010000000000005</v>
      </c>
      <c r="P8" s="23">
        <f>P4-P7</f>
        <v>-3.710000000000001</v>
      </c>
      <c r="Q8" s="23">
        <f>Q4-Q7</f>
        <v>-2.461000000000002</v>
      </c>
    </row>
    <row r="9">
      <c r="A9" s="19" t="inlineStr">
        <is>
          <t>Interest &amp; Other</t>
        </is>
      </c>
      <c r="B9" s="23" t="n">
        <v>-0.443</v>
      </c>
      <c r="C9" s="23" t="n">
        <v>-1.961</v>
      </c>
      <c r="D9" s="23" t="n">
        <v>-2.057</v>
      </c>
      <c r="E9" s="23" t="n">
        <v>9.786</v>
      </c>
      <c r="F9" s="23" t="n">
        <v>-1.544</v>
      </c>
      <c r="G9" s="23" t="n">
        <v>4.552</v>
      </c>
      <c r="H9" s="23" t="n">
        <v>17.98</v>
      </c>
      <c r="I9" s="23" t="n">
        <v>-0.089</v>
      </c>
      <c r="J9" s="23" t="n">
        <v>-0.082</v>
      </c>
      <c r="K9" s="23" t="n">
        <v>4.111</v>
      </c>
      <c r="L9" s="23" t="n">
        <v>0.212</v>
      </c>
      <c r="M9" s="23" t="n">
        <v>0.469</v>
      </c>
      <c r="N9" s="23" t="n">
        <v>-0.614</v>
      </c>
      <c r="O9" s="23" t="n">
        <v>4.51</v>
      </c>
      <c r="P9" s="23" t="n">
        <v>4.263</v>
      </c>
      <c r="Q9" s="23" t="n">
        <v>2.22</v>
      </c>
    </row>
    <row r="10">
      <c r="A10" s="2" t="inlineStr">
        <is>
          <t>Pretax</t>
        </is>
      </c>
      <c r="B10" s="23">
        <f>B8+B9</f>
        <v>-7.947999999999999</v>
      </c>
      <c r="C10" s="23">
        <f>C8+C9</f>
        <v>-8.428</v>
      </c>
      <c r="D10" s="23">
        <f>D8+D9</f>
        <v>-5.431000000000001</v>
      </c>
      <c r="E10" s="23">
        <f>E8+E9</f>
        <v>3.7349999999999977</v>
      </c>
      <c r="F10" s="23">
        <f>F8+F9</f>
        <v>-8.203</v>
      </c>
      <c r="G10" s="23">
        <f>G8+G9</f>
        <v>-10.161999999999999</v>
      </c>
      <c r="H10" s="23">
        <f>H8+H9</f>
        <v>5.006</v>
      </c>
      <c r="I10" s="23">
        <f>I8+I9</f>
        <v>-14.277999999999999</v>
      </c>
      <c r="J10" s="23">
        <f>J8+J9</f>
        <v>-11.340000000000003</v>
      </c>
      <c r="K10" s="23">
        <f>K8+K9</f>
        <v>-3.278999999999999</v>
      </c>
      <c r="L10" s="23">
        <f>L8+L9</f>
        <v>-3.236999999999998</v>
      </c>
      <c r="M10" s="23">
        <f>M8+M9</f>
        <v>-5.418</v>
      </c>
      <c r="N10" s="23">
        <f>N8+N9</f>
        <v>-5.184</v>
      </c>
      <c r="O10" s="23">
        <f>O8+O9</f>
        <v>-0.19100000000000072</v>
      </c>
      <c r="P10" s="23">
        <f>P8+P9</f>
        <v>0.552999999999999</v>
      </c>
      <c r="Q10" s="23">
        <f>Q8+Q9</f>
        <v>-0.24100000000000188</v>
      </c>
    </row>
    <row r="11">
      <c r="A11" s="2" t="inlineStr">
        <is>
          <t>Taxes</t>
        </is>
      </c>
      <c r="B11" s="23" t="n">
        <v>0</v>
      </c>
      <c r="C11" s="23" t="n">
        <v>-1.099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-4.268</v>
      </c>
      <c r="I11" s="23" t="n">
        <v>0.05</v>
      </c>
      <c r="J11" s="23" t="n">
        <v>0.458</v>
      </c>
      <c r="K11" s="23" t="n">
        <v>0.029</v>
      </c>
      <c r="L11" s="23" t="n">
        <v>0.713</v>
      </c>
      <c r="M11" s="23" t="n">
        <v>-0.332</v>
      </c>
      <c r="N11" s="23" t="n">
        <v>-0.033</v>
      </c>
      <c r="O11" s="23" t="n">
        <v>-0.196</v>
      </c>
      <c r="P11" s="23" t="n">
        <v>0.55</v>
      </c>
      <c r="Q11" s="23" t="n">
        <v>-0.244</v>
      </c>
    </row>
    <row r="12">
      <c r="A12" s="2" t="inlineStr">
        <is>
          <t>Net Income</t>
        </is>
      </c>
      <c r="B12" s="23" t="n">
        <v>-7.948</v>
      </c>
      <c r="C12" s="23" t="n">
        <v>-7.329</v>
      </c>
      <c r="D12" s="23" t="n">
        <v>-5.431</v>
      </c>
      <c r="E12" s="23" t="n">
        <v>3.735</v>
      </c>
      <c r="F12" s="23" t="n">
        <v>-8.202999999999999</v>
      </c>
      <c r="G12" s="23" t="n">
        <v>-10.162</v>
      </c>
      <c r="H12" s="23" t="n">
        <v>9.273999999999999</v>
      </c>
      <c r="I12" s="23" t="n">
        <v>-14.328</v>
      </c>
      <c r="J12" s="23" t="n">
        <v>-11.798</v>
      </c>
      <c r="K12" s="23" t="n">
        <v>-3.308</v>
      </c>
      <c r="L12" s="23" t="n">
        <v>-3.95</v>
      </c>
      <c r="M12" s="23" t="n">
        <v>-5.086</v>
      </c>
      <c r="N12" s="23" t="n">
        <v>-5.151</v>
      </c>
      <c r="O12" s="23" t="n">
        <v>0.005</v>
      </c>
      <c r="P12" s="23" t="n">
        <v>0.003</v>
      </c>
      <c r="Q12" s="23" t="n">
        <v>0.003</v>
      </c>
    </row>
    <row r="13">
      <c r="A13" s="2" t="inlineStr">
        <is>
          <t>Earnings per Share</t>
        </is>
      </c>
      <c r="B13" s="11">
        <f>IFERROR(B12/B14,0)</f>
        <v>-0.3013573974368697</v>
      </c>
      <c r="C13" s="11">
        <f>IFERROR(C12/C14,0)</f>
        <v>-1.8734662576687116</v>
      </c>
      <c r="D13" s="11">
        <f>IFERROR(D12/D14,0)</f>
        <v>-1.091219610206952</v>
      </c>
      <c r="E13" s="11">
        <f>IFERROR(E12/E14,0)</f>
        <v>0.541461293128443</v>
      </c>
      <c r="F13" s="11">
        <f>IFERROR(F12/F14,0)</f>
        <v>-0.8494356425390908</v>
      </c>
      <c r="G13" s="11">
        <f>IFERROR(G12/G14,0)</f>
        <v>-3.0896929157798723</v>
      </c>
      <c r="H13" s="11">
        <f>IFERROR(H12/H14,0)</f>
        <v>2.195549242424242</v>
      </c>
      <c r="I13" s="11">
        <f>IFERROR(I12/I14,0)</f>
        <v>-28.485089463220675</v>
      </c>
      <c r="J13" s="11">
        <f>IFERROR(J12/J14,0)</f>
        <v>-12.768398268398268</v>
      </c>
      <c r="K13" s="11">
        <f>IFERROR(K12/K14,0)</f>
        <v>-2.2396750169262014</v>
      </c>
      <c r="L13" s="11">
        <f>IFERROR(L12/L14,0)</f>
        <v>-1.9789579158316635</v>
      </c>
      <c r="M13" s="11">
        <f>IFERROR(M12/M14,0)</f>
        <v>-1.9170750094232945</v>
      </c>
      <c r="N13" s="11">
        <f>IFERROR(N12/N14,0)</f>
        <v>-1.517678255745433</v>
      </c>
      <c r="O13" s="11">
        <f>IFERROR(O12/O14,0)</f>
        <v>0.010989010989010988</v>
      </c>
      <c r="P13" s="11">
        <f>IFERROR(P12/P14,0)</f>
        <v>0.0024174053182917</v>
      </c>
      <c r="Q13" s="11">
        <f>IFERROR(Q12/Q14,0)</f>
        <v>0.0017814726840855108</v>
      </c>
    </row>
    <row r="14">
      <c r="A14" s="2" t="inlineStr">
        <is>
          <t>Shares</t>
        </is>
      </c>
      <c r="B14" s="23" t="n">
        <v>26.374</v>
      </c>
      <c r="C14" s="23" t="n">
        <v>3.912</v>
      </c>
      <c r="D14" s="23" t="n">
        <v>4.977</v>
      </c>
      <c r="E14" s="23" t="n">
        <v>6.898</v>
      </c>
      <c r="F14" s="23" t="n">
        <v>9.657</v>
      </c>
      <c r="G14" s="23" t="n">
        <v>3.289</v>
      </c>
      <c r="H14" s="23" t="n">
        <v>4.224</v>
      </c>
      <c r="I14" s="23" t="n">
        <v>0.503</v>
      </c>
      <c r="J14" s="23" t="n">
        <v>0.924</v>
      </c>
      <c r="K14" s="23" t="n">
        <v>1.477</v>
      </c>
      <c r="L14" s="23" t="n">
        <v>1.996</v>
      </c>
      <c r="M14" s="23" t="n">
        <v>2.653</v>
      </c>
      <c r="N14" s="23" t="n">
        <v>3.394</v>
      </c>
      <c r="O14" s="23" t="n">
        <v>0.455</v>
      </c>
      <c r="P14" s="23" t="n">
        <v>1.241</v>
      </c>
      <c r="Q14" s="23" t="n">
        <v>1.684</v>
      </c>
    </row>
    <row r="15"/>
    <row r="16" customFormat="1" s="4">
      <c r="A16" s="3" t="inlineStr">
        <is>
          <t>Revenue Change</t>
        </is>
      </c>
      <c r="C16" s="15">
        <f>IFERROR(C2/B2-1,"")</f>
        <v>0.3065409062948534</v>
      </c>
      <c r="D16" s="15">
        <f>IFERROR(D2/C2-1,"")</f>
        <v>0.21249215317011938</v>
      </c>
      <c r="E16" s="15">
        <f>IFERROR(E2/D2-1,"")</f>
        <v>-0.11545431012166718</v>
      </c>
      <c r="F16" s="15">
        <f>IFERROR(F2/E2-1,"")</f>
        <v>0.013608428446005183</v>
      </c>
      <c r="G16" s="15">
        <f>IFERROR(G2/F2-1,"")</f>
        <v>-0.3237332178432222</v>
      </c>
      <c r="H16" s="15">
        <f>IFERROR(H2/G2-1,"")</f>
        <v>0.3688760806916427</v>
      </c>
      <c r="I16" s="15">
        <f>IFERROR(I2/H2-1,"")</f>
        <v>0.2988693957115012</v>
      </c>
      <c r="J16" s="15">
        <f>IFERROR(J2/I2-1,"")</f>
        <v>0.13879217192940319</v>
      </c>
      <c r="K16" s="15">
        <f>IFERROR(K2/J2-1,"")</f>
        <v>-0.05492883500263568</v>
      </c>
      <c r="L16" s="15">
        <f>IFERROR(L2/K2-1,"")</f>
        <v>0.03910084783578771</v>
      </c>
      <c r="M16" s="15">
        <f>IFERROR(M2/L2-1,"")</f>
        <v>-0.322132159536207</v>
      </c>
      <c r="N16" s="15">
        <f>IFERROR(N2/M2-1,"")</f>
        <v>0.0509977827050998</v>
      </c>
      <c r="O16" s="15">
        <f>IFERROR(O2/N2-1,"")</f>
        <v>-0.0404611211573237</v>
      </c>
      <c r="P16" s="15">
        <f>IFERROR(P2/O2-1,"")</f>
        <v>0.12194738908519831</v>
      </c>
      <c r="Q16" s="15">
        <f>IFERROR(Q2/P2-1,"")</f>
        <v>0.3668113101903696</v>
      </c>
    </row>
    <row r="17" customFormat="1" s="4">
      <c r="A17" s="3" t="inlineStr">
        <is>
          <t>Gross Margin</t>
        </is>
      </c>
      <c r="B17" s="15">
        <f>IFERROR(B4/B2,"")</f>
        <v>0.629587861390199</v>
      </c>
      <c r="C17" s="15">
        <f>IFERROR(C4/C2,"")</f>
        <v>0.683772755806654</v>
      </c>
      <c r="D17" s="15">
        <f>IFERROR(D4/D2,"")</f>
        <v>0.6952498058503753</v>
      </c>
      <c r="E17" s="15">
        <f>IFERROR(E4/E2,"")</f>
        <v>0.6143546971027216</v>
      </c>
      <c r="F17" s="15">
        <f>IFERROR(F4/F2,"")</f>
        <v>0.5260574563303017</v>
      </c>
      <c r="G17" s="15">
        <f>IFERROR(G4/G2,"")</f>
        <v>0.28263421923364285</v>
      </c>
      <c r="H17" s="15">
        <f>IFERROR(H4/H2,"")</f>
        <v>0.44194931773879137</v>
      </c>
      <c r="I17" s="15">
        <f>IFERROR(I4/I2,"")</f>
        <v>0.43882819065914275</v>
      </c>
      <c r="J17" s="15">
        <f>IFERROR(J4/J2,"")</f>
        <v>0.4681075382182393</v>
      </c>
      <c r="K17" s="15">
        <f>IFERROR(K4/K2,"")</f>
        <v>0.45303435966086575</v>
      </c>
      <c r="L17" s="15">
        <f>IFERROR(L4/L2,"")</f>
        <v>0.35208545815663755</v>
      </c>
      <c r="M17" s="15">
        <f>IFERROR(M4/M2,"")</f>
        <v>0.3162020905923345</v>
      </c>
      <c r="N17" s="15">
        <f>IFERROR(N4/N2,"")</f>
        <v>0.33732670283303196</v>
      </c>
      <c r="O17" s="15">
        <f>IFERROR(O4/O2,"")</f>
        <v>0.3725952100510404</v>
      </c>
      <c r="P17" s="15">
        <f>IFERROR(P4/P2,"")</f>
        <v>0.3824888017917133</v>
      </c>
      <c r="Q17" s="15">
        <f>IFERROR(Q4/Q2,"")</f>
        <v>0.37969174048850424</v>
      </c>
    </row>
    <row r="18">
      <c r="A18" s="14" t="inlineStr">
        <is>
          <t>Operating Margin</t>
        </is>
      </c>
      <c r="B18" s="15">
        <f>IFERROR(B8/B2,"")</f>
        <v>-0.7694279270043058</v>
      </c>
      <c r="C18" s="15">
        <f>IFERROR(C8/C2,"")</f>
        <v>-0.5074544883866918</v>
      </c>
      <c r="D18" s="15">
        <f>IFERROR(D8/D2,"")</f>
        <v>-0.2183536111830184</v>
      </c>
      <c r="E18" s="15">
        <f>IFERROR(E8/E2,"")</f>
        <v>-0.4427129060579457</v>
      </c>
      <c r="F18" s="15">
        <f>IFERROR(F8/F2,"")</f>
        <v>-0.48065540638082865</v>
      </c>
      <c r="G18" s="15">
        <f>IFERROR(G8/G2,"")</f>
        <v>-1.5704984523428327</v>
      </c>
      <c r="H18" s="15">
        <f>IFERROR(H8/H2,"")</f>
        <v>-1.011617933723197</v>
      </c>
      <c r="I18" s="15">
        <f>IFERROR(I8/I2,"")</f>
        <v>-0.8517829271221034</v>
      </c>
      <c r="J18" s="15">
        <f>IFERROR(J8/J2,"")</f>
        <v>-0.5934633632050608</v>
      </c>
      <c r="K18" s="15">
        <f>IFERROR(K8/K2,"")</f>
        <v>-0.41220437304774643</v>
      </c>
      <c r="L18" s="15">
        <f>IFERROR(L8/L2,"")</f>
        <v>-0.18514144613237413</v>
      </c>
      <c r="M18" s="15">
        <f>IFERROR(M8/M2,"")</f>
        <v>-0.4661862527716187</v>
      </c>
      <c r="N18" s="15">
        <f>IFERROR(N8/N2,"")</f>
        <v>-0.34433393610608803</v>
      </c>
      <c r="O18" s="15">
        <f>IFERROR(O8/O2,"")</f>
        <v>-0.3691401648998823</v>
      </c>
      <c r="P18" s="15">
        <f>IFERROR(P8/P2,"")</f>
        <v>-0.2596584546472565</v>
      </c>
      <c r="Q18" s="15">
        <f>IFERROR(Q8/Q2,"")</f>
        <v>-0.12601771724102628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2026-10-21T01:06:45Z</dcterms:modified>
  <cp:lastModifiedBy>Wang, Eric</cp:lastModifiedBy>
</cp:coreProperties>
</file>