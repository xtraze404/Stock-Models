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Biofrontera Inc</t>
        </is>
      </c>
      <c r="C2" s="10" t="n"/>
    </row>
    <row r="3">
      <c r="B3" t="inlineStr">
        <is>
          <t>Price</t>
        </is>
      </c>
      <c r="C3" s="11">
        <f>INDEX([1]Pharma!$F$1:$F$1000,MATCH("BFRI",[1]Pharma!$B$1:$B$1000,0))</f>
        <v>0.804</v>
      </c>
      <c r="F3" s="1" t="n"/>
    </row>
    <row r="4">
      <c r="B4" t="inlineStr">
        <is>
          <t>Shares</t>
        </is>
      </c>
      <c r="C4" s="21" t="n">
        <v>14.852359</v>
      </c>
      <c r="F4" s="1" t="n"/>
    </row>
    <row r="5">
      <c r="B5" t="inlineStr">
        <is>
          <t>Market Cap.</t>
        </is>
      </c>
      <c r="C5" s="13">
        <f>C3*C4</f>
        <v>11.941296636</v>
      </c>
      <c r="F5" s="1" t="n"/>
    </row>
    <row r="6"/>
    <row r="7">
      <c r="B7" t="inlineStr">
        <is>
          <t>Cash</t>
        </is>
      </c>
      <c r="C7" s="21" t="n">
        <v>4.659</v>
      </c>
    </row>
    <row r="8">
      <c r="B8" t="inlineStr">
        <is>
          <t>Debt</t>
        </is>
      </c>
      <c r="C8" s="21" t="n">
        <v>4.62</v>
      </c>
    </row>
    <row r="9">
      <c r="B9" t="inlineStr">
        <is>
          <t>Enterprise V.</t>
        </is>
      </c>
      <c r="C9" s="13">
        <f>C5-C7+C8</f>
        <v>11.902296636</v>
      </c>
    </row>
    <row r="10"/>
    <row r="11">
      <c r="B11" s="14" t="inlineStr">
        <is>
          <t>Net Cash / Share</t>
        </is>
      </c>
      <c r="C11" s="11">
        <f>(C7-C8)/C4</f>
        <v>0.0026258454970015</v>
      </c>
    </row>
    <row r="12">
      <c r="B12" s="14" t="inlineStr">
        <is>
          <t>Upside</t>
        </is>
      </c>
      <c r="C12" s="15">
        <f>IFERROR(C11/C3-1,"")</f>
        <v>-0.9967340230136797</v>
      </c>
    </row>
    <row r="13">
      <c r="B13" s="14" t="inlineStr">
        <is>
          <t>Cash / Share</t>
        </is>
      </c>
      <c r="C13" s="11">
        <f>IFERROR((C7-C8)/C4,"")</f>
        <v>0.0026258454970015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-7.927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0.004919894033051558</v>
      </c>
    </row>
    <row r="19">
      <c r="B19" s="14" t="inlineStr">
        <is>
          <t>Implied Pipeline Value</t>
        </is>
      </c>
      <c r="C19" s="13">
        <f>C9</f>
        <v>11.902296636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18.849</v>
      </c>
      <c r="C2" s="23" t="n">
        <v>24.1</v>
      </c>
      <c r="D2" s="23" t="n">
        <v>28.674</v>
      </c>
      <c r="E2" s="23" t="n">
        <v>34.071</v>
      </c>
      <c r="F2" s="23" t="n">
        <v>37.321</v>
      </c>
      <c r="G2" s="23" t="n">
        <v>41.705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18.849</v>
      </c>
      <c r="C4" s="23">
        <f>C2-C3</f>
        <v>24.1</v>
      </c>
      <c r="D4" s="23">
        <f>D2-D3</f>
        <v>28.674</v>
      </c>
      <c r="E4" s="23">
        <f>E2-E3</f>
        <v>34.071</v>
      </c>
      <c r="F4" s="23">
        <f>F2-F3</f>
        <v>37.321</v>
      </c>
      <c r="G4" s="23">
        <f>G2-G3</f>
        <v>41.705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0.077</v>
      </c>
      <c r="F5" s="23" t="n">
        <v>2.089</v>
      </c>
      <c r="G5" s="23" t="n">
        <v>3.719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28.455</v>
      </c>
      <c r="C6" s="23" t="n">
        <v>49.301</v>
      </c>
      <c r="D6" s="23" t="n">
        <v>47.255</v>
      </c>
      <c r="E6" s="23" t="n">
        <v>56.671</v>
      </c>
      <c r="F6" s="23" t="n">
        <v>52.442</v>
      </c>
      <c r="G6" s="23" t="n">
        <v>49.334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28.455</v>
      </c>
      <c r="C7" s="23">
        <f>SUM(C5:C6)</f>
        <v>49.301</v>
      </c>
      <c r="D7" s="23">
        <f>SUM(D5:D6)</f>
        <v>47.255</v>
      </c>
      <c r="E7" s="23">
        <f>SUM(E5:E6)</f>
        <v>56.748</v>
      </c>
      <c r="F7" s="23">
        <f>SUM(F5:F6)</f>
        <v>54.531</v>
      </c>
      <c r="G7" s="23">
        <f>SUM(G5:G6)</f>
        <v>53.053000000000004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-9.605999999999998</v>
      </c>
      <c r="C8" s="23">
        <f>C4-C7</f>
        <v>-25.201</v>
      </c>
      <c r="D8" s="23">
        <f>D4-D7</f>
        <v>-18.581000000000003</v>
      </c>
      <c r="E8" s="23">
        <f>E4-E7</f>
        <v>-22.677</v>
      </c>
      <c r="F8" s="23">
        <f>F4-F7</f>
        <v>-17.21</v>
      </c>
      <c r="G8" s="23">
        <f>G4-G7</f>
        <v>-11.348000000000006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-1.317</v>
      </c>
      <c r="C9" s="23" t="n">
        <v>-12.456</v>
      </c>
      <c r="D9" s="23" t="n">
        <v>17.973</v>
      </c>
      <c r="E9" s="23" t="n">
        <v>2.56</v>
      </c>
      <c r="F9" s="23" t="n">
        <v>-0.527</v>
      </c>
      <c r="G9" s="23" t="n">
        <v>0.837</v>
      </c>
    </row>
    <row r="10">
      <c r="A10" s="2" t="inlineStr">
        <is>
          <t>Pretax</t>
        </is>
      </c>
      <c r="B10" s="23">
        <f>B8+B9</f>
        <v>-10.922999999999998</v>
      </c>
      <c r="C10" s="23">
        <f>C8+C9</f>
        <v>-37.657</v>
      </c>
      <c r="D10" s="23">
        <f>D8+D9</f>
        <v>-0.6080000000000041</v>
      </c>
      <c r="E10" s="23">
        <f>E8+E9</f>
        <v>-20.117</v>
      </c>
      <c r="F10" s="23">
        <f>F8+F9</f>
        <v>-17.737000000000002</v>
      </c>
      <c r="G10" s="23">
        <f>G8+G9</f>
        <v>-10.511000000000006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0.064</v>
      </c>
      <c r="C11" s="23" t="n">
        <v>0.056</v>
      </c>
      <c r="D11" s="23" t="n">
        <v>0.032</v>
      </c>
      <c r="E11" s="23" t="n">
        <v>0.014</v>
      </c>
      <c r="F11" s="23" t="n">
        <v>0.022</v>
      </c>
      <c r="G11" s="23" t="n">
        <v>0.025</v>
      </c>
    </row>
    <row r="12">
      <c r="A12" s="2" t="inlineStr">
        <is>
          <t>Net Income</t>
        </is>
      </c>
      <c r="B12" s="23" t="n">
        <v>-10.987</v>
      </c>
      <c r="C12" s="23" t="n">
        <v>-37.713</v>
      </c>
      <c r="D12" s="23" t="n">
        <v>-0.64</v>
      </c>
      <c r="E12" s="23" t="n">
        <v>-20.131</v>
      </c>
      <c r="F12" s="23" t="n">
        <v>-17.759</v>
      </c>
      <c r="G12" s="23" t="n">
        <v>-10.536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-0.479467597643465</v>
      </c>
      <c r="C13" s="11">
        <f>IFERROR(C12/C14,0)</f>
        <v>-4.281675749318802</v>
      </c>
      <c r="D13" s="11">
        <f>IFERROR(D12/D14,0)</f>
        <v>-0.6054872280037843</v>
      </c>
      <c r="E13" s="11">
        <f>IFERROR(E12/E14,0)</f>
        <v>-13.021345407503233</v>
      </c>
      <c r="F13" s="11">
        <f>IFERROR(F12/F14,0)</f>
        <v>-3.219543147208122</v>
      </c>
      <c r="G13" s="11">
        <f>IFERROR(G12/G14,0)</f>
        <v>-1.0357845064883995</v>
      </c>
    </row>
    <row r="14">
      <c r="A14" s="2" t="inlineStr">
        <is>
          <t>Shares</t>
        </is>
      </c>
      <c r="B14" s="23" t="n">
        <v>22.915</v>
      </c>
      <c r="C14" s="23" t="n">
        <v>8.808</v>
      </c>
      <c r="D14" s="23" t="n">
        <v>1.057</v>
      </c>
      <c r="E14" s="23" t="n">
        <v>1.546</v>
      </c>
      <c r="F14" s="23" t="n">
        <v>5.516</v>
      </c>
      <c r="G14" s="23" t="n">
        <v>10.172</v>
      </c>
    </row>
    <row r="15"/>
    <row r="16" customFormat="1" s="4">
      <c r="A16" s="3" t="inlineStr">
        <is>
          <t>Revenue Change</t>
        </is>
      </c>
      <c r="C16" s="15">
        <f>IFERROR(C2/B2-1,"")</f>
        <v>0.27858241816541995</v>
      </c>
      <c r="D16" s="15">
        <f>IFERROR(D2/C2-1,"")</f>
        <v>0.1897925311203319</v>
      </c>
      <c r="E16" s="15">
        <f>IFERROR(E2/D2-1,"")</f>
        <v>0.18821929273906668</v>
      </c>
      <c r="F16" s="15">
        <f>IFERROR(F2/E2-1,"")</f>
        <v>0.09538904053300468</v>
      </c>
      <c r="G16" s="15">
        <f>IFERROR(G2/F2-1,"")</f>
        <v>0.11746737761581949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-0.5096291580455196</v>
      </c>
      <c r="C18" s="15">
        <f>IFERROR(C8/C2,"")</f>
        <v>-1.0456846473029044</v>
      </c>
      <c r="D18" s="15">
        <f>IFERROR(D8/D2,"")</f>
        <v>-0.6480086489502687</v>
      </c>
      <c r="E18" s="15">
        <f>IFERROR(E8/E2,"")</f>
        <v>-0.665580699128291</v>
      </c>
      <c r="F18" s="15">
        <f>IFERROR(F8/F2,"")</f>
        <v>-0.46113448192706524</v>
      </c>
      <c r="G18" s="15">
        <f>IFERROR(G8/G2,"")</f>
        <v>-0.27210166646685063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2026-10-21T01:06:33Z</dcterms:modified>
  <cp:lastModifiedBy>Wang, Eric</cp:lastModifiedBy>
</cp:coreProperties>
</file>