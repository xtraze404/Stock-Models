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Benitec Biopharma Inc</t>
        </is>
      </c>
      <c r="C2" s="10" t="n"/>
    </row>
    <row r="3">
      <c r="B3" t="inlineStr">
        <is>
          <t>Price</t>
        </is>
      </c>
      <c r="C3" s="11">
        <f>INDEX([1]Pharma!$F$1:$F$1000,MATCH("BNTC",[1]Pharma!$B$1:$B$1000,0))</f>
        <v>9.04</v>
      </c>
      <c r="F3" s="1" t="n"/>
    </row>
    <row r="4">
      <c r="B4" t="inlineStr">
        <is>
          <t>Shares</t>
        </is>
      </c>
      <c r="C4" s="21" t="n">
        <v>34.882726</v>
      </c>
      <c r="F4" s="1" t="n"/>
    </row>
    <row r="5">
      <c r="B5" t="inlineStr">
        <is>
          <t>Market Cap.</t>
        </is>
      </c>
      <c r="C5" s="13">
        <f>C3*C4</f>
        <v>315.33984303999995</v>
      </c>
      <c r="F5" s="1" t="n"/>
    </row>
    <row r="6"/>
    <row r="7">
      <c r="B7" t="inlineStr">
        <is>
          <t>Cash</t>
        </is>
      </c>
      <c r="C7" s="21" t="n">
        <v>179.972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135.36784303999994</v>
      </c>
    </row>
    <row r="10"/>
    <row r="11">
      <c r="B11" s="14" t="inlineStr">
        <is>
          <t>Net Cash / Share</t>
        </is>
      </c>
      <c r="C11" s="11">
        <f>(C7-C8)/C4</f>
        <v>5.159344484717164</v>
      </c>
    </row>
    <row r="12">
      <c r="B12" s="14" t="inlineStr">
        <is>
          <t>Upside</t>
        </is>
      </c>
      <c r="C12" s="15">
        <f>IFERROR(C11/C3-1,"")</f>
        <v>-0.4292760525755349</v>
      </c>
    </row>
    <row r="13">
      <c r="B13" s="14" t="inlineStr">
        <is>
          <t>Cash / Share</t>
        </is>
      </c>
      <c r="C13" s="11">
        <f>IFERROR((C7-C8)/C4,"")</f>
        <v>5.159344484717164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-16.518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10.895507930742221</v>
      </c>
    </row>
    <row r="19">
      <c r="B19" s="14" t="inlineStr">
        <is>
          <t>Implied Pipeline Value</t>
        </is>
      </c>
      <c r="C19" s="13">
        <f>C9</f>
        <v>135.36784303999994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17" t="n">
        <v>2026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12.199</v>
      </c>
      <c r="C2" s="23" t="n">
        <v>0.102</v>
      </c>
      <c r="D2" s="23" t="n">
        <v>0.059</v>
      </c>
      <c r="E2" s="23" t="n">
        <v>0.073</v>
      </c>
      <c r="F2" s="23" t="n">
        <v>0.075</v>
      </c>
      <c r="G2" s="23" t="n">
        <v>0</v>
      </c>
      <c r="H2" s="23" t="n">
        <v>0</v>
      </c>
      <c r="I2" s="23" t="n">
        <v>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12.199</v>
      </c>
      <c r="C4" s="23">
        <f>C2-C3</f>
        <v>0.102</v>
      </c>
      <c r="D4" s="23">
        <f>D2-D3</f>
        <v>0.059</v>
      </c>
      <c r="E4" s="23">
        <f>E2-E3</f>
        <v>0.073</v>
      </c>
      <c r="F4" s="23">
        <f>F2-F3</f>
        <v>0.075</v>
      </c>
      <c r="G4" s="23">
        <f>G2-G3</f>
        <v>0.0</v>
      </c>
      <c r="H4" s="23">
        <f>H2-H3</f>
        <v>0.0</v>
      </c>
      <c r="I4" s="23">
        <f>I2-I3</f>
        <v>0.0</v>
      </c>
      <c r="J4" s="1" t="n"/>
      <c r="K4" s="1" t="n"/>
    </row>
    <row r="5">
      <c r="A5" s="2" t="inlineStr">
        <is>
          <t>Research &amp; Dev.</t>
        </is>
      </c>
      <c r="B5" s="23" t="n">
        <v>4.567</v>
      </c>
      <c r="C5" s="23" t="n">
        <v>3.001</v>
      </c>
      <c r="D5" s="23" t="n">
        <v>7.02</v>
      </c>
      <c r="E5" s="23" t="n">
        <v>11.272</v>
      </c>
      <c r="F5" s="23" t="n">
        <v>12.774</v>
      </c>
      <c r="G5" s="23" t="n">
        <v>15.609</v>
      </c>
      <c r="H5" s="23" t="n">
        <v>18.332</v>
      </c>
      <c r="I5" s="23" t="n">
        <v>23.388</v>
      </c>
      <c r="J5" s="1" t="n"/>
      <c r="K5" s="1" t="n"/>
    </row>
    <row r="6">
      <c r="A6" s="19" t="inlineStr">
        <is>
          <t>SG&amp;A &amp; Other</t>
        </is>
      </c>
      <c r="B6" s="23" t="n">
        <v>5.049</v>
      </c>
      <c r="C6" s="23" t="n">
        <v>5.382</v>
      </c>
      <c r="D6" s="23" t="n">
        <v>6.635</v>
      </c>
      <c r="E6" s="23" t="n">
        <v>6.655</v>
      </c>
      <c r="F6" s="23" t="n">
        <v>6.382</v>
      </c>
      <c r="G6" s="23" t="n">
        <v>6.881</v>
      </c>
      <c r="H6" s="23" t="n">
        <v>23.433</v>
      </c>
      <c r="I6" s="23" t="n">
        <v>27.804</v>
      </c>
      <c r="J6" s="1" t="n"/>
      <c r="K6" s="1" t="n"/>
    </row>
    <row r="7">
      <c r="A7" s="2" t="inlineStr">
        <is>
          <t>Operating Expense</t>
        </is>
      </c>
      <c r="B7" s="23">
        <f>SUM(B5:B6)</f>
        <v>9.616</v>
      </c>
      <c r="C7" s="23">
        <f>SUM(C5:C6)</f>
        <v>8.383</v>
      </c>
      <c r="D7" s="23">
        <f>SUM(D5:D6)</f>
        <v>13.655</v>
      </c>
      <c r="E7" s="23">
        <f>SUM(E5:E6)</f>
        <v>17.927</v>
      </c>
      <c r="F7" s="23">
        <f>SUM(F5:F6)</f>
        <v>19.156</v>
      </c>
      <c r="G7" s="23">
        <f>SUM(G5:G6)</f>
        <v>22.490000000000002</v>
      </c>
      <c r="H7" s="23">
        <f>SUM(H5:H6)</f>
        <v>41.765</v>
      </c>
      <c r="I7" s="23">
        <f>SUM(I5:I6)</f>
        <v>51.192</v>
      </c>
      <c r="J7" s="1" t="n"/>
      <c r="K7" s="1" t="n"/>
    </row>
    <row r="8">
      <c r="A8" s="2" t="inlineStr">
        <is>
          <t>Operating Income</t>
        </is>
      </c>
      <c r="B8" s="23">
        <f>B4-B7</f>
        <v>2.583</v>
      </c>
      <c r="C8" s="23">
        <f>C4-C7</f>
        <v>-8.280999999999999</v>
      </c>
      <c r="D8" s="23">
        <f>D4-D7</f>
        <v>-13.596</v>
      </c>
      <c r="E8" s="23">
        <f>E4-E7</f>
        <v>-17.854</v>
      </c>
      <c r="F8" s="23">
        <f>F4-F7</f>
        <v>-19.081</v>
      </c>
      <c r="G8" s="23">
        <f>G4-G7</f>
        <v>-22.490000000000002</v>
      </c>
      <c r="H8" s="23">
        <f>H4-H7</f>
        <v>-41.765</v>
      </c>
      <c r="I8" s="23">
        <f>I4-I7</f>
        <v>-51.192</v>
      </c>
      <c r="J8" s="1" t="n"/>
      <c r="K8" s="1" t="n"/>
    </row>
    <row r="9">
      <c r="A9" s="19" t="inlineStr">
        <is>
          <t>Interest &amp; Other</t>
        </is>
      </c>
      <c r="B9" s="23" t="n">
        <v>0.026</v>
      </c>
      <c r="C9" s="23" t="n">
        <v>0.007</v>
      </c>
      <c r="D9" s="23" t="n">
        <v>-0.286</v>
      </c>
      <c r="E9" s="23" t="n">
        <v>-0.354</v>
      </c>
      <c r="F9" s="23" t="n">
        <v>-0.481</v>
      </c>
      <c r="G9" s="23" t="n">
        <v>0.676</v>
      </c>
      <c r="H9" s="23" t="n">
        <v>3.901</v>
      </c>
      <c r="I9" s="23" t="n">
        <v>5.522</v>
      </c>
    </row>
    <row r="10">
      <c r="A10" s="2" t="inlineStr">
        <is>
          <t>Pretax</t>
        </is>
      </c>
      <c r="B10" s="23">
        <f>B8+B9</f>
        <v>2.609</v>
      </c>
      <c r="C10" s="23">
        <f>C8+C9</f>
        <v>-8.274</v>
      </c>
      <c r="D10" s="23">
        <f>D8+D9</f>
        <v>-13.882</v>
      </c>
      <c r="E10" s="23">
        <f>E8+E9</f>
        <v>-18.208</v>
      </c>
      <c r="F10" s="23">
        <f>F8+F9</f>
        <v>-19.562</v>
      </c>
      <c r="G10" s="23">
        <f>G8+G9</f>
        <v>-21.814000000000004</v>
      </c>
      <c r="H10" s="23">
        <f>H8+H9</f>
        <v>-37.864000000000004</v>
      </c>
      <c r="I10" s="23">
        <f>I8+I9</f>
        <v>-45.67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2.609</v>
      </c>
      <c r="C12" s="23" t="n">
        <v>-8.273999999999999</v>
      </c>
      <c r="D12" s="23" t="n">
        <v>-13.882</v>
      </c>
      <c r="E12" s="23" t="n">
        <v>-18.208</v>
      </c>
      <c r="F12" s="23" t="n">
        <v>-19.562</v>
      </c>
      <c r="G12" s="23" t="n">
        <v>-21.814</v>
      </c>
      <c r="H12" s="23" t="n">
        <v>-37.864</v>
      </c>
      <c r="I12" s="23" t="n">
        <v>-45.67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1.054141414141414</v>
      </c>
      <c r="C13" s="11">
        <f>IFERROR(C12/C14,0)</f>
        <v>-2.804745762711864</v>
      </c>
      <c r="D13" s="11">
        <f>IFERROR(D12/D14,0)</f>
        <v>-1.1187041663308888</v>
      </c>
      <c r="E13" s="11">
        <f>IFERROR(E12/E14,0)</f>
        <v>-1.4568730996959514</v>
      </c>
      <c r="F13" s="11">
        <f>IFERROR(F12/F14,0)</f>
        <v>-0.5429213732619134</v>
      </c>
      <c r="G13" s="11">
        <f>IFERROR(G12/G14,0)</f>
        <v>-0.5939176127855373</v>
      </c>
      <c r="H13" s="11">
        <f>IFERROR(H12/H14,0)</f>
        <v>-1.0457068684581179</v>
      </c>
      <c r="I13" s="11">
        <f>IFERROR(I12/I14,0)</f>
        <v>-0.9809270157652821</v>
      </c>
    </row>
    <row r="14">
      <c r="A14" s="2" t="inlineStr">
        <is>
          <t>Shares</t>
        </is>
      </c>
      <c r="B14" s="23" t="n">
        <v>2.475</v>
      </c>
      <c r="C14" s="23" t="n">
        <v>2.95</v>
      </c>
      <c r="D14" s="23" t="n">
        <v>12.409</v>
      </c>
      <c r="E14" s="23" t="n">
        <v>12.498</v>
      </c>
      <c r="F14" s="23" t="n">
        <v>36.031</v>
      </c>
      <c r="G14" s="23" t="n">
        <v>36.729</v>
      </c>
      <c r="H14" s="23" t="n">
        <v>36.209</v>
      </c>
      <c r="I14" s="23" t="n">
        <v>46.558</v>
      </c>
    </row>
    <row r="15"/>
    <row r="16" customFormat="1" s="4">
      <c r="A16" s="3" t="inlineStr">
        <is>
          <t>Revenue Change</t>
        </is>
      </c>
      <c r="C16" s="15">
        <f>IFERROR(C2/B2-1,"")</f>
        <v>-0.9916386589064677</v>
      </c>
      <c r="D16" s="15">
        <f>IFERROR(D2/C2-1,"")</f>
        <v>-0.42156862745098034</v>
      </c>
      <c r="E16" s="15">
        <f>IFERROR(E2/D2-1,"")</f>
        <v>0.23728813559322037</v>
      </c>
      <c r="F16" s="15">
        <f>IFERROR(F2/E2-1,"")</f>
        <v>0.027397260273972712</v>
      </c>
      <c r="G16" s="15">
        <f>IFERROR(G2/F2-1,"")</f>
        <v>-1.0</v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/>
      </c>
      <c r="H17" s="15">
        <f>IFERROR(H4/H2,"")</f>
        <v/>
      </c>
      <c r="I17" s="15">
        <f>IFERROR(I4/I2,"")</f>
        <v/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>0.211738667103861</v>
      </c>
      <c r="C18" s="15">
        <f>IFERROR(C8/C2,"")</f>
        <v>-81.18627450980391</v>
      </c>
      <c r="D18" s="15">
        <f>IFERROR(D8/D2,"")</f>
        <v>-230.4406779661017</v>
      </c>
      <c r="E18" s="15">
        <f>IFERROR(E8/E2,"")</f>
        <v>-244.57534246575344</v>
      </c>
      <c r="F18" s="15">
        <f>IFERROR(F8/F2,"")</f>
        <v>-254.41333333333333</v>
      </c>
      <c r="G18" s="15">
        <f>IFERROR(G8/G2,"")</f>
        <v/>
      </c>
      <c r="H18" s="15">
        <f>IFERROR(H8/H2,"")</f>
        <v/>
      </c>
      <c r="I18" s="15">
        <f>IFERROR(I8/I2,"")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2026-10-21T01:05:24Z</dcterms:modified>
  <cp:lastModifiedBy>Wang, Eric</cp:lastModifiedBy>
</cp:coreProperties>
</file>