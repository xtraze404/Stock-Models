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Acrivon Therapeutics, Inc.</t>
        </is>
      </c>
      <c r="C2" s="10" t="n"/>
    </row>
    <row r="3">
      <c r="B3" t="inlineStr">
        <is>
          <t>Price</t>
        </is>
      </c>
      <c r="C3" s="11">
        <f>INDEX([1]Pharma!$F$1:$F$1000,MATCH("ACRV",[1]Pharma!$B$1:$B$1000,0))</f>
        <v>1.795</v>
      </c>
      <c r="F3" s="1" t="n"/>
    </row>
    <row r="4">
      <c r="B4" t="inlineStr">
        <is>
          <t>Shares</t>
        </is>
      </c>
      <c r="C4" s="21" t="n">
        <v>42.853362</v>
      </c>
      <c r="F4" s="1" t="n"/>
    </row>
    <row r="5">
      <c r="B5" t="inlineStr">
        <is>
          <t>Market Cap.</t>
        </is>
      </c>
      <c r="C5" s="13">
        <f>C3*C4</f>
        <v>76.92178478999999</v>
      </c>
      <c r="F5" s="1" t="n"/>
    </row>
    <row r="6"/>
    <row r="7">
      <c r="B7" t="inlineStr">
        <is>
          <t>Cash</t>
        </is>
      </c>
      <c r="C7" s="21">
        <f>41.417+48.542</f>
        <v>89.959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-13.037215210000014</v>
      </c>
    </row>
    <row r="10"/>
    <row r="11">
      <c r="B11" s="14" t="inlineStr">
        <is>
          <t>rNPV / Share</t>
        </is>
      </c>
      <c r="C11" s="11">
        <f>NPV!B27</f>
        <v>1.6109086330743339</v>
      </c>
    </row>
    <row r="12">
      <c r="B12" s="14" t="inlineStr">
        <is>
          <t>Upside</t>
        </is>
      </c>
      <c r="C12" s="15">
        <f>IFERROR(C11/C3-1,"")</f>
        <v>-0.10255786458254379</v>
      </c>
    </row>
    <row r="13">
      <c r="B13" s="14" t="inlineStr">
        <is>
          <t>Cash / Share</t>
        </is>
      </c>
      <c r="C13" s="11">
        <f>IFERROR((C7-C8)/C4,"")</f>
        <v>2.09922852727401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-62.92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1.4297361729179912</v>
      </c>
    </row>
    <row r="19">
      <c r="B19" s="14" t="inlineStr">
        <is>
          <t>Implied Pipeline Value</t>
        </is>
      </c>
      <c r="C19" s="13">
        <f>C9</f>
        <v>-13.037215210000014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</v>
      </c>
      <c r="C5" s="23" t="n">
        <v>23.949</v>
      </c>
      <c r="D5" s="23" t="n">
        <v>46.024</v>
      </c>
      <c r="E5" s="23" t="n">
        <v>63.992</v>
      </c>
      <c r="F5" s="23" t="n">
        <v>59.99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16.184</v>
      </c>
      <c r="C6" s="23" t="n">
        <v>8.708</v>
      </c>
      <c r="D6" s="23" t="n">
        <v>21.079</v>
      </c>
      <c r="E6" s="23" t="n">
        <v>25.207</v>
      </c>
      <c r="F6" s="23" t="n">
        <v>24.124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16.184</v>
      </c>
      <c r="C7" s="23">
        <f>SUM(C5:C6)</f>
        <v>32.657000000000004</v>
      </c>
      <c r="D7" s="23">
        <f>SUM(D5:D6)</f>
        <v>67.10300000000001</v>
      </c>
      <c r="E7" s="23">
        <f>SUM(E5:E6)</f>
        <v>89.199</v>
      </c>
      <c r="F7" s="23">
        <f>SUM(F5:F6)</f>
        <v>84.114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-16.184</v>
      </c>
      <c r="C8" s="23">
        <f>C4-C7</f>
        <v>-32.657000000000004</v>
      </c>
      <c r="D8" s="23">
        <f>D4-D7</f>
        <v>-67.10300000000001</v>
      </c>
      <c r="E8" s="23">
        <f>E4-E7</f>
        <v>-89.199</v>
      </c>
      <c r="F8" s="23">
        <f>F4-F7</f>
        <v>-84.114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-0.059</v>
      </c>
      <c r="C9" s="23" t="n">
        <v>1.49</v>
      </c>
      <c r="D9" s="23" t="n">
        <v>6.715</v>
      </c>
      <c r="E9" s="23" t="n">
        <v>8.643000000000001</v>
      </c>
      <c r="F9" s="23" t="n">
        <v>6.209</v>
      </c>
    </row>
    <row r="10">
      <c r="A10" s="2" t="inlineStr">
        <is>
          <t>Pretax</t>
        </is>
      </c>
      <c r="B10" s="23">
        <f>B8+B9</f>
        <v>-16.243000000000002</v>
      </c>
      <c r="C10" s="23">
        <f>C8+C9</f>
        <v>-31.167000000000005</v>
      </c>
      <c r="D10" s="23">
        <f>D8+D9</f>
        <v>-60.388000000000005</v>
      </c>
      <c r="E10" s="23">
        <f>E8+E9</f>
        <v>-80.556</v>
      </c>
      <c r="F10" s="23">
        <f>F8+F9</f>
        <v>-77.905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</row>
    <row r="12">
      <c r="A12" s="2" t="inlineStr">
        <is>
          <t>Net Income</t>
        </is>
      </c>
      <c r="B12" s="23" t="n">
        <v>-16.243</v>
      </c>
      <c r="C12" s="23" t="n">
        <v>-31.167</v>
      </c>
      <c r="D12" s="23" t="n">
        <v>-60.388</v>
      </c>
      <c r="E12" s="23" t="n">
        <v>-80.556</v>
      </c>
      <c r="F12" s="23" t="n">
        <v>-77.905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-9.31899024670109</v>
      </c>
      <c r="C13" s="11">
        <f>IFERROR(C12/C14,0)</f>
        <v>-7.56113537117904</v>
      </c>
      <c r="D13" s="11">
        <f>IFERROR(D12/D14,0)</f>
        <v>-2.7352115227828606</v>
      </c>
      <c r="E13" s="11">
        <f>IFERROR(E12/E14,0)</f>
        <v>-2.383877840909091</v>
      </c>
      <c r="F13" s="11">
        <f>IFERROR(F12/F14,0)</f>
        <v>-2.023033576566517</v>
      </c>
    </row>
    <row r="14">
      <c r="A14" s="2" t="inlineStr">
        <is>
          <t>Shares</t>
        </is>
      </c>
      <c r="B14" s="23" t="n">
        <v>1.743</v>
      </c>
      <c r="C14" s="23" t="n">
        <v>4.122</v>
      </c>
      <c r="D14" s="23" t="n">
        <v>22.078</v>
      </c>
      <c r="E14" s="23" t="n">
        <v>33.792</v>
      </c>
      <c r="F14" s="23" t="n">
        <v>38.509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Acrivon Therapeutics,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0.1752568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78.373</v>
      </c>
    </row>
    <row r="19">
      <c r="A19" s="14" t="inlineStr">
        <is>
          <t>Years of full burn (until the first launch, max 4)</t>
        </is>
      </c>
      <c r="B19" s="39">
        <f>MIN(4,MAX(1,MIN(Pipeline!I4:I5)-2026))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266.3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-20.926149197940404</v>
      </c>
      <c r="C29" s="42">
        <f>NPV!B25</f>
        <v>69.0328508020596</v>
      </c>
      <c r="D29" s="43">
        <f>NPV!B27</f>
        <v>1.6109086330743339</v>
      </c>
      <c r="E29" s="44">
        <f>NPV!B29</f>
        <v>-0.10255786458254379</v>
      </c>
    </row>
    <row r="30">
      <c r="A30" s="45" t="n">
        <v>1</v>
      </c>
      <c r="B30" s="46">
        <f t="dataTable" ref="B30:E32" r1="B4"/>
        <v>-141.91183363171936</v>
      </c>
      <c r="C30" s="46">
        <v>-51.95283363171936</v>
      </c>
      <c r="D30" s="47">
        <v>-1.2123397373517475</v>
      </c>
      <c r="E30" s="48">
        <v>-1.6753981823686614</v>
      </c>
    </row>
    <row r="31">
      <c r="A31" s="45" t="n">
        <v>2</v>
      </c>
      <c r="B31" s="46">
        <v>-20.926149197940404</v>
      </c>
      <c r="C31" s="46">
        <v>69.0328508020596</v>
      </c>
      <c r="D31" s="47">
        <v>1.6109086330743339</v>
      </c>
      <c r="E31" s="48">
        <v>-0.10255786458254379</v>
      </c>
    </row>
    <row r="32">
      <c r="A32" s="45" t="n">
        <v>3</v>
      </c>
      <c r="B32" s="46">
        <v>165.57849595576633</v>
      </c>
      <c r="C32" s="46">
        <v>255.53749595576633</v>
      </c>
      <c r="D32" s="47">
        <v>5.963067634127897</v>
      </c>
      <c r="E32" s="48">
        <v>2.322043250210528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1.6109086330743339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-1.825068745356534</v>
      </c>
      <c r="C37" s="47">
        <v>-0.998153095548733</v>
      </c>
      <c r="D37" s="47">
        <v>-0.1712374457409307</v>
      </c>
      <c r="E37" s="47">
        <v>1.3047606162816925</v>
      </c>
      <c r="F37" s="47">
        <v>2.7018179658641084</v>
      </c>
    </row>
    <row r="38">
      <c r="A38" s="50" t="n">
        <v>0.8</v>
      </c>
      <c r="B38" s="47">
        <v>-1.3674367924800332</v>
      </c>
      <c r="C38" s="47">
        <v>-0.26488259273629683</v>
      </c>
      <c r="D38" s="47">
        <v>0.7452054547558521</v>
      </c>
      <c r="E38" s="47">
        <v>2.620984720365971</v>
      </c>
      <c r="F38" s="47">
        <v>4.441842301324697</v>
      </c>
    </row>
    <row r="39">
      <c r="A39" s="50" t="n">
        <v>1</v>
      </c>
      <c r="B39" s="47">
        <v>-0.908031413349753</v>
      </c>
      <c r="C39" s="47">
        <v>0.4205345599262825</v>
      </c>
      <c r="D39" s="47">
        <v>1.6109086330743339</v>
      </c>
      <c r="E39" s="47">
        <v>3.9117070811384327</v>
      </c>
      <c r="F39" s="47">
        <v>6.16202897562896</v>
      </c>
    </row>
    <row r="40">
      <c r="A40" s="50" t="n">
        <v>1.2</v>
      </c>
      <c r="B40" s="47">
        <v>-0.4468526079656958</v>
      </c>
      <c r="C40" s="47">
        <v>1.0593905226031153</v>
      </c>
      <c r="D40" s="47">
        <v>2.4621713175044384</v>
      </c>
      <c r="E40" s="47">
        <v>5.190263078518295</v>
      </c>
      <c r="F40" s="47">
        <v>7.873099461977762</v>
      </c>
    </row>
    <row r="41">
      <c r="A41" s="50" t="n">
        <v>1.4</v>
      </c>
      <c r="B41" s="47">
        <v>0.012807932906360798</v>
      </c>
      <c r="C41" s="47">
        <v>1.6882741507614414</v>
      </c>
      <c r="D41" s="47">
        <v>3.3026684546473604</v>
      </c>
      <c r="E41" s="47">
        <v>6.4584845333515934</v>
      </c>
      <c r="F41" s="47">
        <v>9.573651438405419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Acrivon Therapeutics,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Gynecologic cancer</t>
        </is>
      </c>
      <c r="C4" s="14" t="inlineStr">
        <is>
          <t>ACR-368</t>
        </is>
      </c>
      <c r="D4" s="14" t="inlineStr">
        <is>
          <t>Phase 2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1000</v>
      </c>
      <c r="H4" s="27" t="n">
        <v>0.108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122.6926425359558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10.8</v>
      </c>
      <c r="S4" s="23">
        <f>IF(S$3&lt;$I4,0,$G4*Assumptions!$E$11*INDEX(Assumptions!$B$24:$G$24,MIN(6,S$3-$I4+1))*IF(S$3&gt;$J4,(1-Assumptions!$B$26)^(S$3-$J4),1)*IF($H4&gt;=1,1,MIN(0.97,$H4*Assumptions!$E$12)))</f>
        <v>27.0</v>
      </c>
      <c r="T4" s="23">
        <f>IF(T$3&lt;$I4,0,$G4*Assumptions!$E$11*INDEX(Assumptions!$B$24:$G$24,MIN(6,T$3-$I4+1))*IF(T$3&gt;$J4,(1-Assumptions!$B$26)^(T$3-$J4),1)*IF($H4&gt;=1,1,MIN(0.97,$H4*Assumptions!$E$12)))</f>
        <v>48.6</v>
      </c>
      <c r="U4" s="23">
        <f>IF(U$3&lt;$I4,0,$G4*Assumptions!$E$11*INDEX(Assumptions!$B$24:$G$24,MIN(6,U$3-$I4+1))*IF(U$3&gt;$J4,(1-Assumptions!$B$26)^(U$3-$J4),1)*IF($H4&gt;=1,1,MIN(0.97,$H4*Assumptions!$E$12)))</f>
        <v>70.2</v>
      </c>
      <c r="V4" s="23">
        <f>IF(V$3&lt;$I4,0,$G4*Assumptions!$E$11*INDEX(Assumptions!$B$24:$G$24,MIN(6,V$3-$I4+1))*IF(V$3&gt;$J4,(1-Assumptions!$B$26)^(V$3-$J4),1)*IF($H4&gt;=1,1,MIN(0.97,$H4*Assumptions!$E$12)))</f>
        <v>91.8</v>
      </c>
      <c r="W4" s="23">
        <f>IF(W$3&lt;$I4,0,$G4*Assumptions!$E$11*INDEX(Assumptions!$B$24:$G$24,MIN(6,W$3-$I4+1))*IF(W$3&gt;$J4,(1-Assumptions!$B$26)^(W$3-$J4),1)*IF($H4&gt;=1,1,MIN(0.97,$H4*Assumptions!$E$12)))</f>
        <v>108.0</v>
      </c>
      <c r="X4" s="23">
        <f>IF(X$3&lt;$I4,0,$G4*Assumptions!$E$11*INDEX(Assumptions!$B$24:$G$24,MIN(6,X$3-$I4+1))*IF(X$3&gt;$J4,(1-Assumptions!$B$26)^(X$3-$J4),1)*IF($H4&gt;=1,1,MIN(0.97,$H4*Assumptions!$E$12)))</f>
        <v>108.0</v>
      </c>
      <c r="Y4" s="23">
        <f>IF(Y$3&lt;$I4,0,$G4*Assumptions!$E$11*INDEX(Assumptions!$B$24:$G$24,MIN(6,Y$3-$I4+1))*IF(Y$3&gt;$J4,(1-Assumptions!$B$26)^(Y$3-$J4),1)*IF($H4&gt;=1,1,MIN(0.97,$H4*Assumptions!$E$12)))</f>
        <v>108.0</v>
      </c>
      <c r="Z4" s="23">
        <f>IF(Z$3&lt;$I4,0,$G4*Assumptions!$E$11*INDEX(Assumptions!$B$24:$G$24,MIN(6,Z$3-$I4+1))*IF(Z$3&gt;$J4,(1-Assumptions!$B$26)^(Z$3-$J4),1)*IF($H4&gt;=1,1,MIN(0.97,$H4*Assumptions!$E$12)))</f>
        <v>108.0</v>
      </c>
      <c r="AA4" s="23">
        <f>IF(AA$3&lt;$I4,0,$G4*Assumptions!$E$11*INDEX(Assumptions!$B$24:$G$24,MIN(6,AA$3-$I4+1))*IF(AA$3&gt;$J4,(1-Assumptions!$B$26)^(AA$3-$J4),1)*IF($H4&gt;=1,1,MIN(0.97,$H4*Assumptions!$E$12)))</f>
        <v>108.0</v>
      </c>
      <c r="AB4" s="23">
        <f>IF(AB$3&lt;$I4,0,$G4*Assumptions!$E$11*INDEX(Assumptions!$B$24:$G$24,MIN(6,AB$3-$I4+1))*IF(AB$3&gt;$J4,(1-Assumptions!$B$26)^(AB$3-$J4),1)*IF($H4&gt;=1,1,MIN(0.97,$H4*Assumptions!$E$12)))</f>
        <v>108.0</v>
      </c>
      <c r="AC4" s="23">
        <f>IF(AC$3&lt;$I4,0,$G4*Assumptions!$E$11*INDEX(Assumptions!$B$24:$G$24,MIN(6,AC$3-$I4+1))*IF(AC$3&gt;$J4,(1-Assumptions!$B$26)^(AC$3-$J4),1)*IF($H4&gt;=1,1,MIN(0.97,$H4*Assumptions!$E$12)))</f>
        <v>108.0</v>
      </c>
      <c r="AD4" s="23">
        <f>IF(AD$3&lt;$I4,0,$G4*Assumptions!$E$11*INDEX(Assumptions!$B$24:$G$24,MIN(6,AD$3-$I4+1))*IF(AD$3&gt;$J4,(1-Assumptions!$B$26)^(AD$3-$J4),1)*IF($H4&gt;=1,1,MIN(0.97,$H4*Assumptions!$E$12)))</f>
        <v>108.0</v>
      </c>
      <c r="AE4" s="23">
        <f>IF(AE$3&lt;$I4,0,$G4*Assumptions!$E$11*INDEX(Assumptions!$B$24:$G$24,MIN(6,AE$3-$I4+1))*IF(AE$3&gt;$J4,(1-Assumptions!$B$26)^(AE$3-$J4),1)*IF($H4&gt;=1,1,MIN(0.97,$H4*Assumptions!$E$12)))</f>
        <v>54.0</v>
      </c>
      <c r="AF4" s="23">
        <f>IF(AF$3&lt;$I4,0,$G4*Assumptions!$E$11*INDEX(Assumptions!$B$24:$G$24,MIN(6,AF$3-$I4+1))*IF(AF$3&gt;$J4,(1-Assumptions!$B$26)^(AF$3-$J4),1)*IF($H4&gt;=1,1,MIN(0.97,$H4*Assumptions!$E$12)))</f>
        <v>27.0</v>
      </c>
      <c r="AG4" s="35">
        <f>IF(F4="Owned",1-IF(H4&gt;=1,1,MIN(0.97,H4*Assumptions!$E$12)),1)</f>
        <v>0.892</v>
      </c>
    </row>
    <row r="5">
      <c r="A5" s="39" t="n">
        <v>2</v>
      </c>
      <c r="B5" s="14" t="inlineStr">
        <is>
          <t>Solid tumors (basket)</t>
        </is>
      </c>
      <c r="C5" s="14" t="inlineStr">
        <is>
          <t>ACR-2316</t>
        </is>
      </c>
      <c r="D5" s="14" t="inlineStr">
        <is>
          <t>Phase 1/2</t>
        </is>
      </c>
      <c r="E5" s="14" t="inlineStr">
        <is>
          <t>Oncology / area</t>
        </is>
      </c>
      <c r="F5" s="14" t="inlineStr">
        <is>
          <t>Owned</t>
        </is>
      </c>
      <c r="G5" s="40" t="n">
        <v>1500</v>
      </c>
      <c r="H5" s="27" t="n">
        <v>0.07539999999999999</v>
      </c>
      <c r="I5" s="26" t="n">
        <v>2032</v>
      </c>
      <c r="J5" s="39">
        <f>I5+Assumptions!$B$25</f>
        <v>2044.0</v>
      </c>
      <c r="K5" s="53">
        <f>Assumptions!$E$13</f>
        <v>0.4</v>
      </c>
      <c r="L5" s="23">
        <f>K5*SUMPRODUCT(M5:AF5,NPV!$C$15:$V$15)</f>
        <v>113.54812869523724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0</v>
      </c>
      <c r="S5" s="23">
        <f>IF(S$3&lt;$I5,0,$G5*Assumptions!$E$11*INDEX(Assumptions!$B$24:$G$24,MIN(6,S$3-$I5+1))*IF(S$3&gt;$J5,(1-Assumptions!$B$26)^(S$3-$J5),1)*IF($H5&gt;=1,1,MIN(0.97,$H5*Assumptions!$E$12)))</f>
        <v>11.309999999999999</v>
      </c>
      <c r="T5" s="23">
        <f>IF(T$3&lt;$I5,0,$G5*Assumptions!$E$11*INDEX(Assumptions!$B$24:$G$24,MIN(6,T$3-$I5+1))*IF(T$3&gt;$J5,(1-Assumptions!$B$26)^(T$3-$J5),1)*IF($H5&gt;=1,1,MIN(0.97,$H5*Assumptions!$E$12)))</f>
        <v>28.275</v>
      </c>
      <c r="U5" s="23">
        <f>IF(U$3&lt;$I5,0,$G5*Assumptions!$E$11*INDEX(Assumptions!$B$24:$G$24,MIN(6,U$3-$I5+1))*IF(U$3&gt;$J5,(1-Assumptions!$B$26)^(U$3-$J5),1)*IF($H5&gt;=1,1,MIN(0.97,$H5*Assumptions!$E$12)))</f>
        <v>50.894999999999996</v>
      </c>
      <c r="V5" s="23">
        <f>IF(V$3&lt;$I5,0,$G5*Assumptions!$E$11*INDEX(Assumptions!$B$24:$G$24,MIN(6,V$3-$I5+1))*IF(V$3&gt;$J5,(1-Assumptions!$B$26)^(V$3-$J5),1)*IF($H5&gt;=1,1,MIN(0.97,$H5*Assumptions!$E$12)))</f>
        <v>73.515</v>
      </c>
      <c r="W5" s="23">
        <f>IF(W$3&lt;$I5,0,$G5*Assumptions!$E$11*INDEX(Assumptions!$B$24:$G$24,MIN(6,W$3-$I5+1))*IF(W$3&gt;$J5,(1-Assumptions!$B$26)^(W$3-$J5),1)*IF($H5&gt;=1,1,MIN(0.97,$H5*Assumptions!$E$12)))</f>
        <v>96.13499999999999</v>
      </c>
      <c r="X5" s="23">
        <f>IF(X$3&lt;$I5,0,$G5*Assumptions!$E$11*INDEX(Assumptions!$B$24:$G$24,MIN(6,X$3-$I5+1))*IF(X$3&gt;$J5,(1-Assumptions!$B$26)^(X$3-$J5),1)*IF($H5&gt;=1,1,MIN(0.97,$H5*Assumptions!$E$12)))</f>
        <v>113.1</v>
      </c>
      <c r="Y5" s="23">
        <f>IF(Y$3&lt;$I5,0,$G5*Assumptions!$E$11*INDEX(Assumptions!$B$24:$G$24,MIN(6,Y$3-$I5+1))*IF(Y$3&gt;$J5,(1-Assumptions!$B$26)^(Y$3-$J5),1)*IF($H5&gt;=1,1,MIN(0.97,$H5*Assumptions!$E$12)))</f>
        <v>113.1</v>
      </c>
      <c r="Z5" s="23">
        <f>IF(Z$3&lt;$I5,0,$G5*Assumptions!$E$11*INDEX(Assumptions!$B$24:$G$24,MIN(6,Z$3-$I5+1))*IF(Z$3&gt;$J5,(1-Assumptions!$B$26)^(Z$3-$J5),1)*IF($H5&gt;=1,1,MIN(0.97,$H5*Assumptions!$E$12)))</f>
        <v>113.1</v>
      </c>
      <c r="AA5" s="23">
        <f>IF(AA$3&lt;$I5,0,$G5*Assumptions!$E$11*INDEX(Assumptions!$B$24:$G$24,MIN(6,AA$3-$I5+1))*IF(AA$3&gt;$J5,(1-Assumptions!$B$26)^(AA$3-$J5),1)*IF($H5&gt;=1,1,MIN(0.97,$H5*Assumptions!$E$12)))</f>
        <v>113.1</v>
      </c>
      <c r="AB5" s="23">
        <f>IF(AB$3&lt;$I5,0,$G5*Assumptions!$E$11*INDEX(Assumptions!$B$24:$G$24,MIN(6,AB$3-$I5+1))*IF(AB$3&gt;$J5,(1-Assumptions!$B$26)^(AB$3-$J5),1)*IF($H5&gt;=1,1,MIN(0.97,$H5*Assumptions!$E$12)))</f>
        <v>113.1</v>
      </c>
      <c r="AC5" s="23">
        <f>IF(AC$3&lt;$I5,0,$G5*Assumptions!$E$11*INDEX(Assumptions!$B$24:$G$24,MIN(6,AC$3-$I5+1))*IF(AC$3&gt;$J5,(1-Assumptions!$B$26)^(AC$3-$J5),1)*IF($H5&gt;=1,1,MIN(0.97,$H5*Assumptions!$E$12)))</f>
        <v>113.1</v>
      </c>
      <c r="AD5" s="23">
        <f>IF(AD$3&lt;$I5,0,$G5*Assumptions!$E$11*INDEX(Assumptions!$B$24:$G$24,MIN(6,AD$3-$I5+1))*IF(AD$3&gt;$J5,(1-Assumptions!$B$26)^(AD$3-$J5),1)*IF($H5&gt;=1,1,MIN(0.97,$H5*Assumptions!$E$12)))</f>
        <v>113.1</v>
      </c>
      <c r="AE5" s="23">
        <f>IF(AE$3&lt;$I5,0,$G5*Assumptions!$E$11*INDEX(Assumptions!$B$24:$G$24,MIN(6,AE$3-$I5+1))*IF(AE$3&gt;$J5,(1-Assumptions!$B$26)^(AE$3-$J5),1)*IF($H5&gt;=1,1,MIN(0.97,$H5*Assumptions!$E$12)))</f>
        <v>113.1</v>
      </c>
      <c r="AF5" s="23">
        <f>IF(AF$3&lt;$I5,0,$G5*Assumptions!$E$11*INDEX(Assumptions!$B$24:$G$24,MIN(6,AF$3-$I5+1))*IF(AF$3&gt;$J5,(1-Assumptions!$B$26)^(AF$3-$J5),1)*IF($H5&gt;=1,1,MIN(0.97,$H5*Assumptions!$E$12)))</f>
        <v>56.55</v>
      </c>
      <c r="AG5" s="35">
        <f>IF(F5="Owned",1-IF(H5&gt;=1,1,MIN(0.97,H5*Assumptions!$E$12)),1)</f>
        <v>0.9246</v>
      </c>
    </row>
    <row r="6">
      <c r="B6" s="24" t="inlineStr">
        <is>
          <t>Risked revenue</t>
        </is>
      </c>
      <c r="L6" s="54">
        <f>SUM(L4:L5)</f>
        <v>236.24077123119304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0.0</v>
      </c>
      <c r="Q6" s="54">
        <f>SUM(Q4:Q5)</f>
        <v>0.0</v>
      </c>
      <c r="R6" s="54">
        <f>SUM(R4:R5)</f>
        <v>10.8</v>
      </c>
      <c r="S6" s="54">
        <f>SUM(S4:S5)</f>
        <v>38.31</v>
      </c>
      <c r="T6" s="54">
        <f>SUM(T4:T5)</f>
        <v>76.875</v>
      </c>
      <c r="U6" s="54">
        <f>SUM(U4:U5)</f>
        <v>121.095</v>
      </c>
      <c r="V6" s="54">
        <f>SUM(V4:V5)</f>
        <v>165.315</v>
      </c>
      <c r="W6" s="54">
        <f>SUM(W4:W5)</f>
        <v>204.135</v>
      </c>
      <c r="X6" s="54">
        <f>SUM(X4:X5)</f>
        <v>221.1</v>
      </c>
      <c r="Y6" s="54">
        <f>SUM(Y4:Y5)</f>
        <v>221.1</v>
      </c>
      <c r="Z6" s="54">
        <f>SUM(Z4:Z5)</f>
        <v>221.1</v>
      </c>
      <c r="AA6" s="54">
        <f>SUM(AA4:AA5)</f>
        <v>221.1</v>
      </c>
      <c r="AB6" s="54">
        <f>SUM(AB4:AB5)</f>
        <v>221.1</v>
      </c>
      <c r="AC6" s="54">
        <f>SUM(AC4:AC5)</f>
        <v>221.1</v>
      </c>
      <c r="AD6" s="54">
        <f>SUM(AD4:AD5)</f>
        <v>221.1</v>
      </c>
      <c r="AE6" s="54">
        <f>SUM(AE4:AE5)</f>
        <v>167.1</v>
      </c>
      <c r="AF6" s="54">
        <f>SUM(AF4:AF5)</f>
        <v>83.55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0.0</v>
      </c>
      <c r="Q7" s="55">
        <f>SUMPRODUCT(Q4:Q5,$K$4:$K$5)</f>
        <v>0.0</v>
      </c>
      <c r="R7" s="55">
        <f>SUMPRODUCT(R4:R5,$K$4:$K$5)</f>
        <v>4.32</v>
      </c>
      <c r="S7" s="55">
        <f>SUMPRODUCT(S4:S5,$K$4:$K$5)</f>
        <v>15.324000000000002</v>
      </c>
      <c r="T7" s="55">
        <f>SUMPRODUCT(T4:T5,$K$4:$K$5)</f>
        <v>30.75</v>
      </c>
      <c r="U7" s="55">
        <f>SUMPRODUCT(U4:U5,$K$4:$K$5)</f>
        <v>48.438</v>
      </c>
      <c r="V7" s="55">
        <f>SUMPRODUCT(V4:V5,$K$4:$K$5)</f>
        <v>66.126</v>
      </c>
      <c r="W7" s="55">
        <f>SUMPRODUCT(W4:W5,$K$4:$K$5)</f>
        <v>81.654</v>
      </c>
      <c r="X7" s="55">
        <f>SUMPRODUCT(X4:X5,$K$4:$K$5)</f>
        <v>88.44</v>
      </c>
      <c r="Y7" s="55">
        <f>SUMPRODUCT(Y4:Y5,$K$4:$K$5)</f>
        <v>88.44</v>
      </c>
      <c r="Z7" s="55">
        <f>SUMPRODUCT(Z4:Z5,$K$4:$K$5)</f>
        <v>88.44</v>
      </c>
      <c r="AA7" s="55">
        <f>SUMPRODUCT(AA4:AA5,$K$4:$K$5)</f>
        <v>88.44</v>
      </c>
      <c r="AB7" s="55">
        <f>SUMPRODUCT(AB4:AB5,$K$4:$K$5)</f>
        <v>88.44</v>
      </c>
      <c r="AC7" s="55">
        <f>SUMPRODUCT(AC4:AC5,$K$4:$K$5)</f>
        <v>88.44</v>
      </c>
      <c r="AD7" s="55">
        <f>SUMPRODUCT(AD4:AD5,$K$4:$K$5)</f>
        <v>88.44</v>
      </c>
      <c r="AE7" s="55">
        <f>SUMPRODUCT(AE4:AE5,$K$4:$K$5)</f>
        <v>66.84</v>
      </c>
      <c r="AF7" s="55">
        <f>SUMPRODUCT(AF4:AF5,$K$4:$K$5)</f>
        <v>33.42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Acrivon Therapeutics,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0.0</v>
      </c>
      <c r="G4" s="57">
        <f>Pipeline!Q6</f>
        <v>0.0</v>
      </c>
      <c r="H4" s="57">
        <f>Pipeline!R6</f>
        <v>10.8</v>
      </c>
      <c r="I4" s="57">
        <f>Pipeline!S6</f>
        <v>38.31</v>
      </c>
      <c r="J4" s="57">
        <f>Pipeline!T6</f>
        <v>76.875</v>
      </c>
      <c r="K4" s="57">
        <f>Pipeline!U6</f>
        <v>121.095</v>
      </c>
      <c r="L4" s="57">
        <f>Pipeline!V6</f>
        <v>165.315</v>
      </c>
      <c r="M4" s="57">
        <f>Pipeline!W6</f>
        <v>204.135</v>
      </c>
      <c r="N4" s="57">
        <f>Pipeline!X6</f>
        <v>221.1</v>
      </c>
      <c r="O4" s="57">
        <f>Pipeline!Y6</f>
        <v>221.1</v>
      </c>
      <c r="P4" s="57">
        <f>Pipeline!Z6</f>
        <v>221.1</v>
      </c>
      <c r="Q4" s="57">
        <f>Pipeline!AA6</f>
        <v>221.1</v>
      </c>
      <c r="R4" s="57">
        <f>Pipeline!AB6</f>
        <v>221.1</v>
      </c>
      <c r="S4" s="57">
        <f>Pipeline!AC6</f>
        <v>221.1</v>
      </c>
      <c r="T4" s="57">
        <f>Pipeline!AD6</f>
        <v>221.1</v>
      </c>
      <c r="U4" s="57">
        <f>Pipeline!AE6</f>
        <v>167.1</v>
      </c>
      <c r="V4" s="57">
        <f>Pipeline!AF6</f>
        <v>83.55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0.0</v>
      </c>
      <c r="G5" s="57">
        <f>Pipeline!Q7</f>
        <v>0.0</v>
      </c>
      <c r="H5" s="57">
        <f>Pipeline!R7</f>
        <v>4.32</v>
      </c>
      <c r="I5" s="57">
        <f>Pipeline!S7</f>
        <v>15.324000000000002</v>
      </c>
      <c r="J5" s="57">
        <f>Pipeline!T7</f>
        <v>30.75</v>
      </c>
      <c r="K5" s="57">
        <f>Pipeline!U7</f>
        <v>48.438</v>
      </c>
      <c r="L5" s="57">
        <f>Pipeline!V7</f>
        <v>66.126</v>
      </c>
      <c r="M5" s="57">
        <f>Pipeline!W7</f>
        <v>81.654</v>
      </c>
      <c r="N5" s="57">
        <f>Pipeline!X7</f>
        <v>88.44</v>
      </c>
      <c r="O5" s="57">
        <f>Pipeline!Y7</f>
        <v>88.44</v>
      </c>
      <c r="P5" s="57">
        <f>Pipeline!Z7</f>
        <v>88.44</v>
      </c>
      <c r="Q5" s="57">
        <f>Pipeline!AA7</f>
        <v>88.44</v>
      </c>
      <c r="R5" s="57">
        <f>Pipeline!AB7</f>
        <v>88.44</v>
      </c>
      <c r="S5" s="57">
        <f>Pipeline!AC7</f>
        <v>88.44</v>
      </c>
      <c r="T5" s="57">
        <f>Pipeline!AD7</f>
        <v>88.44</v>
      </c>
      <c r="U5" s="57">
        <f>Pipeline!AE7</f>
        <v>66.84</v>
      </c>
      <c r="V5" s="57">
        <f>Pipeline!AF7</f>
        <v>33.42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-78.373</v>
      </c>
      <c r="D6" s="23">
        <f>-IF(D3-2026&lt;Assumptions!$B$19,Assumptions!$B$18,Assumptions!$B$18*Assumptions!$B$20*Assumptions!$B$16)</f>
        <v>-78.373</v>
      </c>
      <c r="E6" s="23">
        <f>-IF(E3-2026&lt;Assumptions!$B$19,Assumptions!$B$18,Assumptions!$B$18*Assumptions!$B$20*Assumptions!$B$16)</f>
        <v>-78.373</v>
      </c>
      <c r="F6" s="23">
        <f>-IF(F3-2026&lt;Assumptions!$B$19,Assumptions!$B$18,Assumptions!$B$18*Assumptions!$B$20*Assumptions!$B$16)</f>
        <v>-78.373</v>
      </c>
      <c r="G6" s="23">
        <f>-IF(G3-2026&lt;Assumptions!$B$19,Assumptions!$B$18,Assumptions!$B$18*Assumptions!$B$20*Assumptions!$B$16)</f>
        <v>-4.12062035592</v>
      </c>
      <c r="H6" s="23">
        <f>-IF(H3-2026&lt;Assumptions!$B$19,Assumptions!$B$18,Assumptions!$B$18*Assumptions!$B$20*Assumptions!$B$16)</f>
        <v>-4.12062035592</v>
      </c>
      <c r="I6" s="23">
        <f>-IF(I3-2026&lt;Assumptions!$B$19,Assumptions!$B$18,Assumptions!$B$18*Assumptions!$B$20*Assumptions!$B$16)</f>
        <v>-4.12062035592</v>
      </c>
      <c r="J6" s="23">
        <f>-IF(J3-2026&lt;Assumptions!$B$19,Assumptions!$B$18,Assumptions!$B$18*Assumptions!$B$20*Assumptions!$B$16)</f>
        <v>-4.12062035592</v>
      </c>
      <c r="K6" s="23">
        <f>-IF(K3-2026&lt;Assumptions!$B$19,Assumptions!$B$18,Assumptions!$B$18*Assumptions!$B$20*Assumptions!$B$16)</f>
        <v>-4.12062035592</v>
      </c>
      <c r="L6" s="23">
        <f>-IF(L3-2026&lt;Assumptions!$B$19,Assumptions!$B$18,Assumptions!$B$18*Assumptions!$B$20*Assumptions!$B$16)</f>
        <v>-4.12062035592</v>
      </c>
      <c r="M6" s="23">
        <f>-IF(M3-2026&lt;Assumptions!$B$19,Assumptions!$B$18,Assumptions!$B$18*Assumptions!$B$20*Assumptions!$B$16)</f>
        <v>-4.12062035592</v>
      </c>
      <c r="N6" s="23">
        <f>-IF(N3-2026&lt;Assumptions!$B$19,Assumptions!$B$18,Assumptions!$B$18*Assumptions!$B$20*Assumptions!$B$16)</f>
        <v>-4.12062035592</v>
      </c>
      <c r="O6" s="23">
        <f>-IF(O3-2026&lt;Assumptions!$B$19,Assumptions!$B$18,Assumptions!$B$18*Assumptions!$B$20*Assumptions!$B$16)</f>
        <v>-4.12062035592</v>
      </c>
      <c r="P6" s="23">
        <f>-IF(P3-2026&lt;Assumptions!$B$19,Assumptions!$B$18,Assumptions!$B$18*Assumptions!$B$20*Assumptions!$B$16)</f>
        <v>-4.12062035592</v>
      </c>
      <c r="Q6" s="23">
        <f>-IF(Q3-2026&lt;Assumptions!$B$19,Assumptions!$B$18,Assumptions!$B$18*Assumptions!$B$20*Assumptions!$B$16)</f>
        <v>-4.12062035592</v>
      </c>
      <c r="R6" s="23">
        <f>-IF(R3-2026&lt;Assumptions!$B$19,Assumptions!$B$18,Assumptions!$B$18*Assumptions!$B$20*Assumptions!$B$16)</f>
        <v>-4.12062035592</v>
      </c>
      <c r="S6" s="23">
        <f>-IF(S3-2026&lt;Assumptions!$B$19,Assumptions!$B$18,Assumptions!$B$18*Assumptions!$B$20*Assumptions!$B$16)</f>
        <v>-4.12062035592</v>
      </c>
      <c r="T6" s="23">
        <f>-IF(T3-2026&lt;Assumptions!$B$19,Assumptions!$B$18,Assumptions!$B$18*Assumptions!$B$20*Assumptions!$B$16)</f>
        <v>-4.12062035592</v>
      </c>
      <c r="U6" s="23">
        <f>-IF(U3-2026&lt;Assumptions!$B$19,Assumptions!$B$18,Assumptions!$B$18*Assumptions!$B$20*Assumptions!$B$16)</f>
        <v>-4.12062035592</v>
      </c>
      <c r="V6" s="23">
        <f>-IF(V3-2026&lt;Assumptions!$B$19,Assumptions!$B$18,Assumptions!$B$18*Assumptions!$B$20*Assumptions!$B$16)</f>
        <v>-4.12062035592</v>
      </c>
    </row>
    <row r="7">
      <c r="A7" s="14" t="inlineStr">
        <is>
          <t>Pre-tax cash flow</t>
        </is>
      </c>
      <c r="C7" s="23">
        <f>C5+C6</f>
        <v>-78.373</v>
      </c>
      <c r="D7" s="23">
        <f>D5+D6</f>
        <v>-78.373</v>
      </c>
      <c r="E7" s="23">
        <f>E5+E6</f>
        <v>-78.373</v>
      </c>
      <c r="F7" s="23">
        <f>F5+F6</f>
        <v>-78.373</v>
      </c>
      <c r="G7" s="23">
        <f>G5+G6</f>
        <v>-4.12062035592</v>
      </c>
      <c r="H7" s="23">
        <f>H5+H6</f>
        <v>0.19937964408000042</v>
      </c>
      <c r="I7" s="23">
        <f>I5+I6</f>
        <v>11.203379644080002</v>
      </c>
      <c r="J7" s="23">
        <f>J5+J6</f>
        <v>26.62937964408</v>
      </c>
      <c r="K7" s="23">
        <f>K5+K6</f>
        <v>44.317379644080006</v>
      </c>
      <c r="L7" s="23">
        <f>L5+L6</f>
        <v>62.00537964408001</v>
      </c>
      <c r="M7" s="23">
        <f>M5+M6</f>
        <v>77.53337964408</v>
      </c>
      <c r="N7" s="23">
        <f>N5+N6</f>
        <v>84.31937964408</v>
      </c>
      <c r="O7" s="23">
        <f>O5+O6</f>
        <v>84.31937964408</v>
      </c>
      <c r="P7" s="23">
        <f>P5+P6</f>
        <v>84.31937964408</v>
      </c>
      <c r="Q7" s="23">
        <f>Q5+Q6</f>
        <v>84.31937964408</v>
      </c>
      <c r="R7" s="23">
        <f>R5+R6</f>
        <v>84.31937964408</v>
      </c>
      <c r="S7" s="23">
        <f>S5+S6</f>
        <v>84.31937964408</v>
      </c>
      <c r="T7" s="23">
        <f>T5+T6</f>
        <v>84.31937964408</v>
      </c>
      <c r="U7" s="23">
        <f>U5+U6</f>
        <v>62.71937964408001</v>
      </c>
      <c r="V7" s="23">
        <f>V5+V6</f>
        <v>29.299379644080002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0.19937964408000042</v>
      </c>
      <c r="I8" s="23">
        <f>MIN(H17,MAX(0,I7))</f>
        <v>11.203379644080002</v>
      </c>
      <c r="J8" s="23">
        <f>MIN(I17,MAX(0,J7))</f>
        <v>26.62937964408</v>
      </c>
      <c r="K8" s="23">
        <f>MIN(J17,MAX(0,K7))</f>
        <v>44.317379644080006</v>
      </c>
      <c r="L8" s="23">
        <f>MIN(K17,MAX(0,L7))</f>
        <v>62.00537964408001</v>
      </c>
      <c r="M8" s="23">
        <f>MIN(L17,MAX(0,M7))</f>
        <v>77.53337964408</v>
      </c>
      <c r="N8" s="23">
        <f>MIN(M17,MAX(0,N7))</f>
        <v>84.31937964408</v>
      </c>
      <c r="O8" s="23">
        <f>MIN(N17,MAX(0,O7))</f>
        <v>84.31937964408</v>
      </c>
      <c r="P8" s="23">
        <f>MIN(O17,MAX(0,P7))</f>
        <v>84.31937964408</v>
      </c>
      <c r="Q8" s="23">
        <f>MIN(P17,MAX(0,Q7))</f>
        <v>84.31937964408</v>
      </c>
      <c r="R8" s="23">
        <f>MIN(Q17,MAX(0,R7))</f>
        <v>24.746823915120018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59.57255572895998</v>
      </c>
      <c r="S9" s="23">
        <f>MAX(0,S7)-S8</f>
        <v>84.31937964408</v>
      </c>
      <c r="T9" s="23">
        <f>MAX(0,T7)-T8</f>
        <v>84.31937964408</v>
      </c>
      <c r="U9" s="23">
        <f>MAX(0,U7)-U8</f>
        <v>62.71937964408001</v>
      </c>
      <c r="V9" s="23">
        <f>MAX(0,V7)-V8</f>
        <v>29.299379644080002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12.510236703081596</v>
      </c>
      <c r="S10" s="23">
        <f>S9*Assumptions!$E$15</f>
        <v>17.7070697252568</v>
      </c>
      <c r="T10" s="23">
        <f>T9*Assumptions!$E$15</f>
        <v>17.7070697252568</v>
      </c>
      <c r="U10" s="23">
        <f>U9*Assumptions!$E$15</f>
        <v>13.171069725256801</v>
      </c>
      <c r="V10" s="23">
        <f>V9*Assumptions!$E$15</f>
        <v>6.1528697252568</v>
      </c>
    </row>
    <row r="11">
      <c r="A11" s="24" t="inlineStr">
        <is>
          <t>Free cash flow</t>
        </is>
      </c>
      <c r="C11" s="55">
        <f>C7-C10</f>
        <v>-78.373</v>
      </c>
      <c r="D11" s="55">
        <f>D7-D10</f>
        <v>-78.373</v>
      </c>
      <c r="E11" s="55">
        <f>E7-E10</f>
        <v>-78.373</v>
      </c>
      <c r="F11" s="55">
        <f>F7-F10</f>
        <v>-78.373</v>
      </c>
      <c r="G11" s="55">
        <f>G7-G10</f>
        <v>-4.12062035592</v>
      </c>
      <c r="H11" s="55">
        <f>H7-H10</f>
        <v>0.19937964408000042</v>
      </c>
      <c r="I11" s="55">
        <f>I7-I10</f>
        <v>11.203379644080002</v>
      </c>
      <c r="J11" s="55">
        <f>J7-J10</f>
        <v>26.62937964408</v>
      </c>
      <c r="K11" s="55">
        <f>K7-K10</f>
        <v>44.317379644080006</v>
      </c>
      <c r="L11" s="55">
        <f>L7-L10</f>
        <v>62.00537964408001</v>
      </c>
      <c r="M11" s="55">
        <f>M7-M10</f>
        <v>77.53337964408</v>
      </c>
      <c r="N11" s="55">
        <f>N7-N10</f>
        <v>84.31937964408</v>
      </c>
      <c r="O11" s="55">
        <f>O7-O10</f>
        <v>84.31937964408</v>
      </c>
      <c r="P11" s="55">
        <f>P7-P10</f>
        <v>84.31937964408</v>
      </c>
      <c r="Q11" s="55">
        <f>Q7-Q10</f>
        <v>84.31937964408</v>
      </c>
      <c r="R11" s="55">
        <f>R7-R10</f>
        <v>71.80914294099841</v>
      </c>
      <c r="S11" s="55">
        <f>S7-S10</f>
        <v>66.6123099188232</v>
      </c>
      <c r="T11" s="55">
        <f>T7-T10</f>
        <v>66.6123099188232</v>
      </c>
      <c r="U11" s="55">
        <f>U7-U10</f>
        <v>49.54830991882321</v>
      </c>
      <c r="V11" s="55">
        <f>V7-V10</f>
        <v>23.146509918823202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-38.39527354532605</v>
      </c>
      <c r="D16" s="55">
        <f>D11*D15</f>
        <v>-69.94338627842295</v>
      </c>
      <c r="E16" s="55">
        <f>E11*E15</f>
        <v>-62.449452034306184</v>
      </c>
      <c r="F16" s="55">
        <f>F11*F15</f>
        <v>-55.75843931634481</v>
      </c>
      <c r="G16" s="55">
        <f>G11*G15</f>
        <v>-2.617512227029494</v>
      </c>
      <c r="H16" s="55">
        <f>H11*H15</f>
        <v>0.11308080959790148</v>
      </c>
      <c r="I16" s="55">
        <f>I11*I15</f>
        <v>5.67334407176815</v>
      </c>
      <c r="J16" s="55">
        <f>J11*J15</f>
        <v>12.040183244618696</v>
      </c>
      <c r="K16" s="55">
        <f>K11*K15</f>
        <v>17.89073152901604</v>
      </c>
      <c r="L16" s="55">
        <f>L11*L15</f>
        <v>22.349374506040526</v>
      </c>
      <c r="M16" s="55">
        <f>M11*M15</f>
        <v>24.952076571120852</v>
      </c>
      <c r="N16" s="55">
        <f>N11*N15</f>
        <v>24.228546408089095</v>
      </c>
      <c r="O16" s="55">
        <f>O11*O15</f>
        <v>21.632630721508118</v>
      </c>
      <c r="P16" s="55">
        <f>P11*P15</f>
        <v>19.314848858489388</v>
      </c>
      <c r="Q16" s="55">
        <f>Q11*Q15</f>
        <v>17.245400766508382</v>
      </c>
      <c r="R16" s="55">
        <f>R11*R15</f>
        <v>13.113167522192652</v>
      </c>
      <c r="S16" s="55">
        <f>S11*S15</f>
        <v>10.860863046509582</v>
      </c>
      <c r="T16" s="55">
        <f>T11*T15</f>
        <v>9.69719914866927</v>
      </c>
      <c r="U16" s="55">
        <f>U11*U15</f>
        <v>6.440248771322503</v>
      </c>
      <c r="V16" s="55">
        <f>V11*V15</f>
        <v>2.6862182280379283</v>
      </c>
    </row>
    <row r="17">
      <c r="A17" s="14" t="inlineStr">
        <is>
          <t>Tax-loss carryforward, end of year</t>
        </is>
      </c>
      <c r="C17" s="23">
        <f>Assumptions!$B$21-C8+MAX(0,-C7)</f>
        <v>344.673</v>
      </c>
      <c r="D17" s="23">
        <f>C17-D8+MAX(0,-D7)</f>
        <v>423.046</v>
      </c>
      <c r="E17" s="23">
        <f>D17-E8+MAX(0,-E7)</f>
        <v>501.419</v>
      </c>
      <c r="F17" s="23">
        <f>E17-F8+MAX(0,-F7)</f>
        <v>579.792</v>
      </c>
      <c r="G17" s="23">
        <f>F17-G8+MAX(0,-G7)</f>
        <v>583.91262035592</v>
      </c>
      <c r="H17" s="23">
        <f>G17-H8+MAX(0,-H7)</f>
        <v>583.7132407118401</v>
      </c>
      <c r="I17" s="23">
        <f>H17-I8+MAX(0,-I7)</f>
        <v>572.5098610677601</v>
      </c>
      <c r="J17" s="23">
        <f>I17-J8+MAX(0,-J7)</f>
        <v>545.8804814236801</v>
      </c>
      <c r="K17" s="23">
        <f>J17-K8+MAX(0,-K7)</f>
        <v>501.56310177960006</v>
      </c>
      <c r="L17" s="23">
        <f>K17-L8+MAX(0,-L7)</f>
        <v>439.55772213552007</v>
      </c>
      <c r="M17" s="23">
        <f>L17-M8+MAX(0,-M7)</f>
        <v>362.02434249144005</v>
      </c>
      <c r="N17" s="23">
        <f>M17-N8+MAX(0,-N7)</f>
        <v>277.70496284736004</v>
      </c>
      <c r="O17" s="23">
        <f>N17-O8+MAX(0,-O7)</f>
        <v>193.38558320328002</v>
      </c>
      <c r="P17" s="23">
        <f>O17-P8+MAX(0,-P7)</f>
        <v>109.06620355920002</v>
      </c>
      <c r="Q17" s="23">
        <f>P17-Q8+MAX(0,-Q7)</f>
        <v>24.746823915120018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236.24077123119304</v>
      </c>
    </row>
    <row r="20">
      <c r="A20" s="14" t="inlineStr">
        <is>
          <t>PV of corporate burn</t>
        </is>
      </c>
      <c r="B20" s="23">
        <f>SUMPRODUCT(C6:V6,C15:V15)</f>
        <v>-246.99158447924512</v>
      </c>
    </row>
    <row r="21">
      <c r="A21" s="14" t="inlineStr">
        <is>
          <t>PV of taxes</t>
        </is>
      </c>
      <c r="B21" s="23">
        <f>-SUMPRODUCT(C10:V10,C15:V15)</f>
        <v>-10.175335949888341</v>
      </c>
    </row>
    <row r="22">
      <c r="A22" s="24" t="inlineStr">
        <is>
          <t>Pipeline rNPV (operations)</t>
        </is>
      </c>
      <c r="B22" s="54">
        <f>SUM(C16:V16)</f>
        <v>-20.926149197940404</v>
      </c>
    </row>
    <row r="23">
      <c r="A23" s="14" t="inlineStr">
        <is>
          <t>Cash &amp; investments</t>
        </is>
      </c>
      <c r="B23" s="57">
        <f>Main!C7</f>
        <v>89.959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69.0328508020596</v>
      </c>
    </row>
    <row r="26">
      <c r="A26" s="14" t="inlineStr">
        <is>
          <t>Shares (mm)</t>
        </is>
      </c>
      <c r="B26" s="57">
        <f>Main!C4</f>
        <v>42.853362</v>
      </c>
    </row>
    <row r="27">
      <c r="A27" s="24" t="inlineStr">
        <is>
          <t>rNPV / share</t>
        </is>
      </c>
      <c r="B27" s="60">
        <f>B25/B26</f>
        <v>1.6109086330743339</v>
      </c>
    </row>
    <row r="28">
      <c r="A28" s="14" t="inlineStr">
        <is>
          <t>Price</t>
        </is>
      </c>
      <c r="B28" s="61">
        <f>Main!C3</f>
        <v>1.795</v>
      </c>
    </row>
    <row r="29">
      <c r="A29" s="14" t="inlineStr">
        <is>
          <t>Upside</t>
        </is>
      </c>
      <c r="B29" s="62">
        <f>B27/B28-1</f>
        <v>-0.10255786458254379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2026-10-21T06:28:40Z</dcterms:modified>
  <cp:lastModifiedBy>Wang, Eric</cp:lastModifiedBy>
</cp:coreProperties>
</file>