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Acrivon Therapeutics, Inc.</t>
        </is>
      </c>
      <c r="C2" s="10" t="n"/>
    </row>
    <row r="3">
      <c r="B3" t="inlineStr">
        <is>
          <t>Price</t>
        </is>
      </c>
      <c r="C3" s="11">
        <f>INDEX([1]Pharma!$F$1:$F$1000,MATCH("ACRV",[1]Pharma!$B$1:$B$1000,0))</f>
        <v>1.795</v>
      </c>
      <c r="F3" s="1" t="n"/>
    </row>
    <row r="4">
      <c r="B4" t="inlineStr">
        <is>
          <t>Shares</t>
        </is>
      </c>
      <c r="C4" s="21" t="n">
        <v>42.853362</v>
      </c>
      <c r="F4" s="1" t="n"/>
    </row>
    <row r="5">
      <c r="B5" t="inlineStr">
        <is>
          <t>Market Cap.</t>
        </is>
      </c>
      <c r="C5" s="13">
        <f>C3*C4</f>
        <v>76.92178478999999</v>
      </c>
      <c r="F5" s="1" t="n"/>
    </row>
    <row r="6"/>
    <row r="7">
      <c r="B7" t="inlineStr">
        <is>
          <t>Cash</t>
        </is>
      </c>
      <c r="C7" s="21">
        <f>41.417+48.542</f>
        <v>89.959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-13.037215210000014</v>
      </c>
    </row>
    <row r="10"/>
    <row r="11">
      <c r="B11" s="14" t="inlineStr">
        <is>
          <t>Net Cash / Share</t>
        </is>
      </c>
      <c r="C11" s="11">
        <f>(C7-C8)/C4</f>
        <v>2.09922852727401</v>
      </c>
    </row>
    <row r="12">
      <c r="B12" s="14" t="inlineStr">
        <is>
          <t>Upside</t>
        </is>
      </c>
      <c r="C12" s="15">
        <f>IFERROR(C11/C3-1,"")</f>
        <v>0.16948664472089692</v>
      </c>
    </row>
    <row r="13">
      <c r="B13" s="14" t="inlineStr">
        <is>
          <t>Cash / Share</t>
        </is>
      </c>
      <c r="C13" s="11">
        <f>IFERROR((C7-C8)/C4,"")</f>
        <v>2.09922852727401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-62.92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1.4297361729179912</v>
      </c>
    </row>
    <row r="19">
      <c r="B19" s="14" t="inlineStr">
        <is>
          <t>Implied Pipeline Value</t>
        </is>
      </c>
      <c r="C19" s="13">
        <f>C9</f>
        <v>-13.037215210000014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23.949</v>
      </c>
      <c r="D5" s="23" t="n">
        <v>46.024</v>
      </c>
      <c r="E5" s="23" t="n">
        <v>63.992</v>
      </c>
      <c r="F5" s="23" t="n">
        <v>59.99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16.184</v>
      </c>
      <c r="C6" s="23" t="n">
        <v>8.708</v>
      </c>
      <c r="D6" s="23" t="n">
        <v>21.079</v>
      </c>
      <c r="E6" s="23" t="n">
        <v>25.207</v>
      </c>
      <c r="F6" s="23" t="n">
        <v>24.124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16.184</v>
      </c>
      <c r="C7" s="23">
        <f>SUM(C5:C6)</f>
        <v>32.657000000000004</v>
      </c>
      <c r="D7" s="23">
        <f>SUM(D5:D6)</f>
        <v>67.10300000000001</v>
      </c>
      <c r="E7" s="23">
        <f>SUM(E5:E6)</f>
        <v>89.199</v>
      </c>
      <c r="F7" s="23">
        <f>SUM(F5:F6)</f>
        <v>84.114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-16.184</v>
      </c>
      <c r="C8" s="23">
        <f>C4-C7</f>
        <v>-32.657000000000004</v>
      </c>
      <c r="D8" s="23">
        <f>D4-D7</f>
        <v>-67.10300000000001</v>
      </c>
      <c r="E8" s="23">
        <f>E4-E7</f>
        <v>-89.199</v>
      </c>
      <c r="F8" s="23">
        <f>F4-F7</f>
        <v>-84.114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-0.059</v>
      </c>
      <c r="C9" s="23" t="n">
        <v>1.49</v>
      </c>
      <c r="D9" s="23" t="n">
        <v>6.715</v>
      </c>
      <c r="E9" s="23" t="n">
        <v>8.643000000000001</v>
      </c>
      <c r="F9" s="23" t="n">
        <v>6.209</v>
      </c>
    </row>
    <row r="10">
      <c r="A10" s="2" t="inlineStr">
        <is>
          <t>Pretax</t>
        </is>
      </c>
      <c r="B10" s="23">
        <f>B8+B9</f>
        <v>-16.243000000000002</v>
      </c>
      <c r="C10" s="23">
        <f>C8+C9</f>
        <v>-31.167000000000005</v>
      </c>
      <c r="D10" s="23">
        <f>D8+D9</f>
        <v>-60.388000000000005</v>
      </c>
      <c r="E10" s="23">
        <f>E8+E9</f>
        <v>-80.556</v>
      </c>
      <c r="F10" s="23">
        <f>F8+F9</f>
        <v>-77.905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-16.243</v>
      </c>
      <c r="C12" s="23" t="n">
        <v>-31.167</v>
      </c>
      <c r="D12" s="23" t="n">
        <v>-60.388</v>
      </c>
      <c r="E12" s="23" t="n">
        <v>-80.556</v>
      </c>
      <c r="F12" s="23" t="n">
        <v>-77.905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-9.31899024670109</v>
      </c>
      <c r="C13" s="11">
        <f>IFERROR(C12/C14,0)</f>
        <v>-7.56113537117904</v>
      </c>
      <c r="D13" s="11">
        <f>IFERROR(D12/D14,0)</f>
        <v>-2.7352115227828606</v>
      </c>
      <c r="E13" s="11">
        <f>IFERROR(E12/E14,0)</f>
        <v>-2.383877840909091</v>
      </c>
      <c r="F13" s="11">
        <f>IFERROR(F12/F14,0)</f>
        <v>-2.023033576566517</v>
      </c>
    </row>
    <row r="14">
      <c r="A14" s="2" t="inlineStr">
        <is>
          <t>Shares</t>
        </is>
      </c>
      <c r="B14" s="23" t="n">
        <v>1.743</v>
      </c>
      <c r="C14" s="23" t="n">
        <v>4.122</v>
      </c>
      <c r="D14" s="23" t="n">
        <v>22.078</v>
      </c>
      <c r="E14" s="23" t="n">
        <v>33.792</v>
      </c>
      <c r="F14" s="23" t="n">
        <v>38.509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2026-10-21T01:06:03Z</dcterms:modified>
  <cp:lastModifiedBy>Wang, Eric</cp:lastModifiedBy>
</cp:coreProperties>
</file>