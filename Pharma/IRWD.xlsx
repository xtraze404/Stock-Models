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Ironwood Pharmaceuticals, Inc.</t>
        </is>
      </c>
      <c r="C2" s="10" t="n"/>
    </row>
    <row r="3">
      <c r="B3" t="inlineStr">
        <is>
          <t>Price</t>
        </is>
      </c>
      <c r="C3" s="11">
        <f>INDEX([1]Pharma!$F$1:$F$1000,MATCH("IRWD",[1]Pharma!$B$1:$B$1000,0))</f>
        <v>3.63</v>
      </c>
      <c r="F3" s="1" t="n"/>
    </row>
    <row r="4">
      <c r="B4" t="inlineStr">
        <is>
          <t>Shares</t>
        </is>
      </c>
      <c r="C4" s="51" t="n">
        <v>165.239947</v>
      </c>
      <c r="F4" s="1" t="n"/>
    </row>
    <row r="5">
      <c r="B5" t="inlineStr">
        <is>
          <t>Market Cap.</t>
        </is>
      </c>
      <c r="C5" s="13">
        <f>C3*C4</f>
        <v>599.82100761</v>
      </c>
      <c r="F5" s="1" t="n"/>
    </row>
    <row r="6"/>
    <row r="7">
      <c r="B7" t="inlineStr">
        <is>
          <t>Cash</t>
        </is>
      </c>
      <c r="C7" s="51" t="n">
        <v>79.127</v>
      </c>
    </row>
    <row r="8">
      <c r="B8" t="inlineStr">
        <is>
          <t>Debt</t>
        </is>
      </c>
      <c r="C8" s="51" t="n">
        <v>385</v>
      </c>
    </row>
    <row r="9">
      <c r="B9" t="inlineStr">
        <is>
          <t>Enterprise V.</t>
        </is>
      </c>
      <c r="C9" s="13">
        <f>C5-C7+C8</f>
        <v>905.6940076100001</v>
      </c>
    </row>
    <row r="10"/>
    <row r="11">
      <c r="B11" s="14" t="inlineStr">
        <is>
          <t>NPV / Share</t>
        </is>
      </c>
      <c r="C11" s="11">
        <f>NPV!B28</f>
        <v>2.099404692109992</v>
      </c>
    </row>
    <row r="12">
      <c r="B12" s="14" t="inlineStr">
        <is>
          <t>Upside</t>
        </is>
      </c>
      <c r="C12" s="15">
        <f>IFERROR(C11/C3-1,"")</f>
        <v>-0.42165159996969925</v>
      </c>
    </row>
    <row r="13">
      <c r="B13" s="14" t="inlineStr">
        <is>
          <t>Cash / Share</t>
        </is>
      </c>
      <c r="C13" s="11">
        <f>IFERROR((C7-C8)/C4,"")</f>
        <v>-1.8510838665422713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34.321</v>
      </c>
      <c r="C2" s="52" t="n">
        <v>43.857</v>
      </c>
      <c r="D2" s="52" t="n">
        <v>65.871</v>
      </c>
      <c r="E2" s="52" t="n">
        <v>150.245</v>
      </c>
      <c r="F2" s="52" t="n">
        <v>22.881</v>
      </c>
      <c r="G2" s="52" t="n">
        <v>76.43600000000001</v>
      </c>
      <c r="H2" s="52" t="n">
        <v>149.555</v>
      </c>
      <c r="I2" s="52" t="n">
        <v>273.957</v>
      </c>
      <c r="J2" s="52" t="n">
        <v>298.276</v>
      </c>
      <c r="K2" s="52" t="n">
        <v>346.639</v>
      </c>
      <c r="L2" s="52" t="n">
        <v>428.413</v>
      </c>
      <c r="M2" s="52" t="n">
        <v>389.523</v>
      </c>
      <c r="N2" s="52" t="n">
        <v>413.753</v>
      </c>
      <c r="O2" s="52" t="n">
        <v>410.596</v>
      </c>
      <c r="P2" s="52" t="n">
        <v>442.735</v>
      </c>
      <c r="Q2" s="52" t="n">
        <v>351.41</v>
      </c>
      <c r="R2" s="52" t="n">
        <v>296.151</v>
      </c>
      <c r="S2" s="52">
        <f>R2*(1+NPV!C5)</f>
        <v>266.5359</v>
      </c>
      <c r="T2" s="52">
        <f>S2*(1+NPV!D5)</f>
        <v>243.58419750000002</v>
      </c>
      <c r="U2" s="52">
        <f>T2*(1+NPV!E5)</f>
        <v>225.99200545833335</v>
      </c>
      <c r="V2" s="52">
        <f>U2*(1+NPV!F5)</f>
        <v>212.8091384732639</v>
      </c>
      <c r="W2" s="52">
        <f>V2*(1+NPV!G5)</f>
        <v>203.35095454111882</v>
      </c>
      <c r="X2" s="52">
        <f>W2*(1+NPV!H5)</f>
        <v>197.1374531523624</v>
      </c>
      <c r="Y2" s="52">
        <f>X2*(1+NPV!I5)</f>
        <v>193.85182893315636</v>
      </c>
      <c r="Z2" s="52">
        <f>Y2*(1+NPV!J5)</f>
        <v>193.31335163056426</v>
      </c>
      <c r="AA2" s="52">
        <f>Z2*(1+NPV!K5)</f>
        <v>195.46127775979275</v>
      </c>
      <c r="AB2" s="52">
        <f>AA2*(1+NPV!L5)</f>
        <v>200.34780970378756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0.965</v>
      </c>
      <c r="F3" s="52" t="n">
        <v>7.203</v>
      </c>
      <c r="G3" s="52" t="n">
        <v>5.291</v>
      </c>
      <c r="H3" s="52" t="n">
        <v>0.012</v>
      </c>
      <c r="I3" s="52" t="n">
        <v>1.868</v>
      </c>
      <c r="J3" s="52" t="n">
        <v>19.097</v>
      </c>
      <c r="K3" s="52" t="n">
        <v>32.751</v>
      </c>
      <c r="L3" s="52" t="n">
        <v>23.875</v>
      </c>
      <c r="M3" s="52" t="n">
        <v>3.136</v>
      </c>
      <c r="N3" s="52" t="n">
        <v>0</v>
      </c>
      <c r="O3" s="52" t="n">
        <v>0</v>
      </c>
      <c r="P3" s="52" t="n">
        <v>0</v>
      </c>
      <c r="Q3" s="52" t="n">
        <v>0</v>
      </c>
      <c r="R3" s="52" t="n">
        <v>0</v>
      </c>
      <c r="S3" s="52">
        <f>S2*(1-Assumptions!$B$19)</f>
        <v>2.158940789999999</v>
      </c>
      <c r="T3" s="52">
        <f>T2*(1-Assumptions!$B$19)</f>
        <v>1.9730319997499992</v>
      </c>
      <c r="U3" s="52">
        <f>U2*(1-Assumptions!$B$19)</f>
        <v>1.8305352442124994</v>
      </c>
      <c r="V3" s="52">
        <f>V2*(1-Assumptions!$B$19)</f>
        <v>1.7237540216334368</v>
      </c>
      <c r="W3" s="52">
        <f>W2*(1-Assumptions!$B$19)</f>
        <v>1.6471427317830616</v>
      </c>
      <c r="X3" s="52">
        <f>X2*(1-Assumptions!$B$19)</f>
        <v>1.5968133705341347</v>
      </c>
      <c r="Y3" s="52">
        <f>Y2*(1-Assumptions!$B$19)</f>
        <v>1.5701998143585658</v>
      </c>
      <c r="Z3" s="52">
        <f>Z2*(1-Assumptions!$B$19)</f>
        <v>1.5658381482075696</v>
      </c>
      <c r="AA3" s="52">
        <f>AA2*(1-Assumptions!$B$19)</f>
        <v>1.5832363498543205</v>
      </c>
      <c r="AB3" s="52">
        <f>AB2*(1-Assumptions!$B$19)</f>
        <v>1.6228172586006784</v>
      </c>
    </row>
    <row r="4" customFormat="1" s="1">
      <c r="A4" s="5" t="inlineStr">
        <is>
          <t>Gross Margin</t>
        </is>
      </c>
      <c r="B4" s="52">
        <f>B2-B3</f>
        <v>34.321</v>
      </c>
      <c r="C4" s="52">
        <f>C2-C3</f>
        <v>43.857</v>
      </c>
      <c r="D4" s="52">
        <f>D2-D3</f>
        <v>65.871</v>
      </c>
      <c r="E4" s="52">
        <f>E2-E3</f>
        <v>149.28</v>
      </c>
      <c r="F4" s="52">
        <f>F2-F3</f>
        <v>15.678</v>
      </c>
      <c r="G4" s="52">
        <f>G2-G3</f>
        <v>71.14500000000001</v>
      </c>
      <c r="H4" s="52">
        <f>H2-H3</f>
        <v>149.543</v>
      </c>
      <c r="I4" s="52">
        <f>I2-I3</f>
        <v>272.089</v>
      </c>
      <c r="J4" s="52">
        <f>J2-J3</f>
        <v>279.17900000000003</v>
      </c>
      <c r="K4" s="52">
        <f>K2-K3</f>
        <v>313.88800000000003</v>
      </c>
      <c r="L4" s="52">
        <f>L2-L3</f>
        <v>404.538</v>
      </c>
      <c r="M4" s="52">
        <f>M2-M3</f>
        <v>386.387</v>
      </c>
      <c r="N4" s="52">
        <f>N2-N3</f>
        <v>413.753</v>
      </c>
      <c r="O4" s="52">
        <f>O2-O3</f>
        <v>410.596</v>
      </c>
      <c r="P4" s="52">
        <f>P2-P3</f>
        <v>442.735</v>
      </c>
      <c r="Q4" s="52">
        <f>Q2-Q3</f>
        <v>351.41</v>
      </c>
      <c r="R4" s="52">
        <f>R2-R3</f>
        <v>296.151</v>
      </c>
      <c r="S4" s="52">
        <f>S2-S3</f>
        <v>264.37695921000005</v>
      </c>
      <c r="T4" s="52">
        <f>T2-T3</f>
        <v>241.61116550025002</v>
      </c>
      <c r="U4" s="52">
        <f>U2-U3</f>
        <v>224.16147021412084</v>
      </c>
      <c r="V4" s="52">
        <f>V2-V3</f>
        <v>211.0853844516305</v>
      </c>
      <c r="W4" s="52">
        <f>W2-W3</f>
        <v>201.70381180933578</v>
      </c>
      <c r="X4" s="52">
        <f>X2-X3</f>
        <v>195.54063978182828</v>
      </c>
      <c r="Y4" s="52">
        <f>Y2-Y3</f>
        <v>192.28162911879778</v>
      </c>
      <c r="Z4" s="52">
        <f>Z2-Z3</f>
        <v>191.74751348235668</v>
      </c>
      <c r="AA4" s="52">
        <f>AA2-AA3</f>
        <v>193.87804140993842</v>
      </c>
      <c r="AB4" s="52">
        <f>AB2-AB3</f>
        <v>198.72499244518687</v>
      </c>
    </row>
    <row r="5">
      <c r="A5" s="2" t="inlineStr">
        <is>
          <t>Research &amp; Dev.</t>
        </is>
      </c>
      <c r="B5" s="52" t="n">
        <v>76.09999999999999</v>
      </c>
      <c r="C5" s="52" t="n">
        <v>77.45399999999999</v>
      </c>
      <c r="D5" s="52" t="n">
        <v>86.093</v>
      </c>
      <c r="E5" s="52" t="n">
        <v>113.474</v>
      </c>
      <c r="F5" s="52" t="n">
        <v>102.378</v>
      </c>
      <c r="G5" s="52" t="n">
        <v>101.89</v>
      </c>
      <c r="H5" s="52" t="n">
        <v>108.746</v>
      </c>
      <c r="I5" s="52" t="n">
        <v>139.492</v>
      </c>
      <c r="J5" s="52" t="n">
        <v>88.145</v>
      </c>
      <c r="K5" s="52" t="n">
        <v>101.06</v>
      </c>
      <c r="L5" s="52" t="n">
        <v>115.044</v>
      </c>
      <c r="M5" s="52" t="n">
        <v>88.062</v>
      </c>
      <c r="N5" s="52" t="n">
        <v>70.405</v>
      </c>
      <c r="O5" s="52" t="n">
        <v>44.265</v>
      </c>
      <c r="P5" s="52" t="n">
        <v>1100</v>
      </c>
      <c r="Q5" s="52" t="n">
        <v>111.421</v>
      </c>
      <c r="R5" s="52" t="n">
        <v>95.136</v>
      </c>
      <c r="S5" s="52">
        <f>S7*Assumptions!$B$20</f>
        <v>53.965116139608924</v>
      </c>
      <c r="T5" s="52">
        <f>T7*Assumptions!$B$20</f>
        <v>52.866886265338856</v>
      </c>
      <c r="U5" s="52">
        <f>U7*Assumptions!$B$20</f>
        <v>52.341188711200786</v>
      </c>
      <c r="V5" s="52">
        <f>V7*Assumptions!$B$20</f>
        <v>52.388358613816614</v>
      </c>
      <c r="W5" s="52">
        <f>W7*Assumptions!$B$20</f>
        <v>53.02259721238199</v>
      </c>
      <c r="X5" s="52">
        <f>X7*Assumptions!$B$20</f>
        <v>54.27454819280076</v>
      </c>
      <c r="Y5" s="52">
        <f>Y7*Assumptions!$B$20</f>
        <v>56.19419018657495</v>
      </c>
      <c r="Z5" s="52">
        <f>Z7*Assumptions!$B$20</f>
        <v>58.85446796138592</v>
      </c>
      <c r="AA5" s="52">
        <f>AA7*Assumptions!$B$20</f>
        <v>62.35607227237002</v>
      </c>
      <c r="AB5" s="52">
        <f>AB7*Assumptions!$B$20</f>
        <v>66.83383150171107</v>
      </c>
    </row>
    <row r="6">
      <c r="A6" s="18" t="inlineStr">
        <is>
          <t>SG&amp;A &amp; Other</t>
        </is>
      </c>
      <c r="B6" s="52" t="n">
        <v>19.037</v>
      </c>
      <c r="C6" s="52" t="n">
        <v>27.169</v>
      </c>
      <c r="D6" s="52" t="n">
        <v>45.92</v>
      </c>
      <c r="E6" s="52" t="n">
        <v>108.568</v>
      </c>
      <c r="F6" s="52" t="n">
        <v>165.302</v>
      </c>
      <c r="G6" s="52" t="n">
        <v>138.625</v>
      </c>
      <c r="H6" s="52" t="n">
        <v>142.885</v>
      </c>
      <c r="I6" s="52" t="n">
        <v>184.467</v>
      </c>
      <c r="J6" s="52" t="n">
        <v>206.397</v>
      </c>
      <c r="K6" s="52" t="n">
        <v>363.498</v>
      </c>
      <c r="L6" s="52" t="n">
        <v>169.371</v>
      </c>
      <c r="M6" s="52" t="n">
        <v>155.385</v>
      </c>
      <c r="N6" s="52" t="n">
        <v>111.089</v>
      </c>
      <c r="O6" s="52" t="n">
        <v>115.994</v>
      </c>
      <c r="P6" s="52" t="n">
        <v>288.165</v>
      </c>
      <c r="Q6" s="52" t="n">
        <v>146.865</v>
      </c>
      <c r="R6" s="52" t="n">
        <v>102.513</v>
      </c>
      <c r="S6" s="52">
        <f>S7-S5</f>
        <v>58.15854091339112</v>
      </c>
      <c r="T6" s="52">
        <f>T7-T5</f>
        <v>56.97497175531117</v>
      </c>
      <c r="U6" s="52">
        <f>U7-U5</f>
        <v>56.4084242354038</v>
      </c>
      <c r="V6" s="52">
        <f>V7-V5</f>
        <v>56.459259532488424</v>
      </c>
      <c r="W6" s="52">
        <f>W7-W5</f>
        <v>57.14278241026914</v>
      </c>
      <c r="X6" s="52">
        <f>X7-X5</f>
        <v>58.49201775941358</v>
      </c>
      <c r="Y6" s="52">
        <f>Y7-Y5</f>
        <v>60.56082786157578</v>
      </c>
      <c r="Z6" s="52">
        <f>Z7-Z5</f>
        <v>63.427825746043794</v>
      </c>
      <c r="AA6" s="52">
        <f>AA7-AA5</f>
        <v>67.20152646515339</v>
      </c>
      <c r="AB6" s="52">
        <f>AB7-AB5</f>
        <v>72.02723540398406</v>
      </c>
    </row>
    <row r="7">
      <c r="A7" s="2" t="inlineStr">
        <is>
          <t>Operating Expense</t>
        </is>
      </c>
      <c r="B7" s="52">
        <f>SUM(B5:B6)</f>
        <v>95.137</v>
      </c>
      <c r="C7" s="52">
        <f>SUM(C5:C6)</f>
        <v>104.62299999999999</v>
      </c>
      <c r="D7" s="52">
        <f>SUM(D5:D6)</f>
        <v>132.013</v>
      </c>
      <c r="E7" s="52">
        <f>SUM(E5:E6)</f>
        <v>222.042</v>
      </c>
      <c r="F7" s="52">
        <f>SUM(F5:F6)</f>
        <v>267.68</v>
      </c>
      <c r="G7" s="52">
        <f>SUM(G5:G6)</f>
        <v>240.515</v>
      </c>
      <c r="H7" s="52">
        <f>SUM(H5:H6)</f>
        <v>251.63099999999997</v>
      </c>
      <c r="I7" s="52">
        <f>SUM(I5:I6)</f>
        <v>323.959</v>
      </c>
      <c r="J7" s="52">
        <f>SUM(J5:J6)</f>
        <v>294.542</v>
      </c>
      <c r="K7" s="52">
        <f>SUM(K5:K6)</f>
        <v>464.558</v>
      </c>
      <c r="L7" s="52">
        <f>SUM(L5:L6)</f>
        <v>284.415</v>
      </c>
      <c r="M7" s="52">
        <f>SUM(M5:M6)</f>
        <v>243.447</v>
      </c>
      <c r="N7" s="52">
        <f>SUM(N5:N6)</f>
        <v>181.494</v>
      </c>
      <c r="O7" s="52">
        <f>SUM(O5:O6)</f>
        <v>160.25900000000001</v>
      </c>
      <c r="P7" s="52">
        <f>SUM(P5:P6)</f>
        <v>1388.165</v>
      </c>
      <c r="Q7" s="52">
        <f>SUM(Q5:Q6)</f>
        <v>258.286</v>
      </c>
      <c r="R7" s="52">
        <f>SUM(R5:R6)</f>
        <v>197.649</v>
      </c>
      <c r="S7" s="52">
        <f>S4-S2*NPV!C6</f>
        <v>112.12365705300004</v>
      </c>
      <c r="T7" s="52">
        <f>T4-T2*NPV!D6</f>
        <v>109.84185802065002</v>
      </c>
      <c r="U7" s="52">
        <f>U4-U2*NPV!E6</f>
        <v>108.74961294660459</v>
      </c>
      <c r="V7" s="52">
        <f>V4-V2*NPV!F6</f>
        <v>108.84761814630504</v>
      </c>
      <c r="W7" s="52">
        <f>W4-W2*NPV!G6</f>
        <v>110.16537962265113</v>
      </c>
      <c r="X7" s="52">
        <f>X4-X2*NPV!H6</f>
        <v>112.76656595221434</v>
      </c>
      <c r="Y7" s="52">
        <f>Y4-Y2*NPV!I6</f>
        <v>116.75501804815073</v>
      </c>
      <c r="Z7" s="52">
        <f>Z4-Z2*NPV!J6</f>
        <v>122.28229370742972</v>
      </c>
      <c r="AA7" s="52">
        <f>AA4-AA2*NPV!K6</f>
        <v>129.55759873752342</v>
      </c>
      <c r="AB7" s="52">
        <f>AB4-AB2*NPV!L6</f>
        <v>138.86106690569514</v>
      </c>
    </row>
    <row r="8">
      <c r="A8" s="2" t="inlineStr">
        <is>
          <t>Operating Income</t>
        </is>
      </c>
      <c r="B8" s="52">
        <f>B4-B7</f>
        <v>-60.816</v>
      </c>
      <c r="C8" s="52">
        <f>C4-C7</f>
        <v>-60.76599999999999</v>
      </c>
      <c r="D8" s="52">
        <f>D4-D7</f>
        <v>-66.14200000000001</v>
      </c>
      <c r="E8" s="52">
        <f>E4-E7</f>
        <v>-72.762</v>
      </c>
      <c r="F8" s="52">
        <f>F4-F7</f>
        <v>-252.002</v>
      </c>
      <c r="G8" s="52">
        <f>G4-G7</f>
        <v>-169.36999999999998</v>
      </c>
      <c r="H8" s="52">
        <f>H4-H7</f>
        <v>-102.08799999999997</v>
      </c>
      <c r="I8" s="52">
        <f>I4-I7</f>
        <v>-51.870000000000005</v>
      </c>
      <c r="J8" s="52">
        <f>J4-J7</f>
        <v>-15.362999999999943</v>
      </c>
      <c r="K8" s="52">
        <f>K4-K7</f>
        <v>-150.66999999999996</v>
      </c>
      <c r="L8" s="52">
        <f>L4-L7</f>
        <v>120.12299999999999</v>
      </c>
      <c r="M8" s="52">
        <f>M4-M7</f>
        <v>142.94</v>
      </c>
      <c r="N8" s="52">
        <f>N4-N7</f>
        <v>232.259</v>
      </c>
      <c r="O8" s="52">
        <f>O4-O7</f>
        <v>250.337</v>
      </c>
      <c r="P8" s="52">
        <f>P4-P7</f>
        <v>-945.43</v>
      </c>
      <c r="Q8" s="52">
        <f>Q4-Q7</f>
        <v>93.12400000000002</v>
      </c>
      <c r="R8" s="52">
        <f>R4-R7</f>
        <v>98.50200000000001</v>
      </c>
      <c r="S8" s="52">
        <f>S4-S7</f>
        <v>152.253302157</v>
      </c>
      <c r="T8" s="52">
        <f>T4-T7</f>
        <v>131.7693074796</v>
      </c>
      <c r="U8" s="52">
        <f>U4-U7</f>
        <v>115.41185726751625</v>
      </c>
      <c r="V8" s="52">
        <f>V4-V7</f>
        <v>102.23776630532545</v>
      </c>
      <c r="W8" s="52">
        <f>W4-W7</f>
        <v>91.53843218668464</v>
      </c>
      <c r="X8" s="52">
        <f>X4-X7</f>
        <v>82.77407382961394</v>
      </c>
      <c r="Y8" s="52">
        <f>Y4-Y7</f>
        <v>75.52661107064705</v>
      </c>
      <c r="Z8" s="52">
        <f>Z4-Z7</f>
        <v>69.46521977492696</v>
      </c>
      <c r="AA8" s="52">
        <f>AA4-AA7</f>
        <v>64.320442672415</v>
      </c>
      <c r="AB8" s="52">
        <f>AB4-AB7</f>
        <v>59.86392553949173</v>
      </c>
    </row>
    <row r="9">
      <c r="A9" s="18" t="inlineStr">
        <is>
          <t>Interest &amp; Other</t>
        </is>
      </c>
      <c r="B9" s="52" t="n">
        <v>-10.665</v>
      </c>
      <c r="C9" s="52" t="n">
        <v>4.841</v>
      </c>
      <c r="D9" s="52" t="n">
        <v>1.293</v>
      </c>
      <c r="E9" s="52" t="n">
        <v>0.138</v>
      </c>
      <c r="F9" s="52" t="n">
        <v>-20.81</v>
      </c>
      <c r="G9" s="52" t="n">
        <v>-20.248</v>
      </c>
      <c r="H9" s="52" t="n">
        <v>-40.581</v>
      </c>
      <c r="I9" s="52" t="n">
        <v>-29.838</v>
      </c>
      <c r="J9" s="52" t="n">
        <v>-101.574</v>
      </c>
      <c r="K9" s="52" t="n">
        <v>-131.698</v>
      </c>
      <c r="L9" s="52" t="n">
        <v>-98.61799999999999</v>
      </c>
      <c r="M9" s="52" t="n">
        <v>-34.079</v>
      </c>
      <c r="N9" s="52" t="n">
        <v>-31.602</v>
      </c>
      <c r="O9" s="52" t="n">
        <v>2.085</v>
      </c>
      <c r="P9" s="52" t="n">
        <v>-2.64</v>
      </c>
      <c r="Q9" s="52" t="n">
        <v>-27.926</v>
      </c>
      <c r="R9" s="52" t="n">
        <v>-28.474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-71.481</v>
      </c>
      <c r="C10" s="52">
        <f>C8+C9</f>
        <v>-55.92499999999999</v>
      </c>
      <c r="D10" s="52">
        <f>D8+D9</f>
        <v>-64.849</v>
      </c>
      <c r="E10" s="52">
        <f>E8+E9</f>
        <v>-72.624</v>
      </c>
      <c r="F10" s="52">
        <f>F8+F9</f>
        <v>-272.812</v>
      </c>
      <c r="G10" s="52">
        <f>G8+G9</f>
        <v>-189.61799999999997</v>
      </c>
      <c r="H10" s="52">
        <f>H8+H9</f>
        <v>-142.66899999999998</v>
      </c>
      <c r="I10" s="52">
        <f>I8+I9</f>
        <v>-81.708</v>
      </c>
      <c r="J10" s="52">
        <f>J8+J9</f>
        <v>-116.93699999999994</v>
      </c>
      <c r="K10" s="52">
        <f>K8+K9</f>
        <v>-282.36799999999994</v>
      </c>
      <c r="L10" s="52">
        <f>L8+L9</f>
        <v>21.504999999999995</v>
      </c>
      <c r="M10" s="52">
        <f>M8+M9</f>
        <v>108.86099999999999</v>
      </c>
      <c r="N10" s="52">
        <f>N8+N9</f>
        <v>200.65699999999998</v>
      </c>
      <c r="O10" s="52">
        <f>O8+O9</f>
        <v>252.422</v>
      </c>
      <c r="P10" s="52">
        <f>P8+P9</f>
        <v>-948.0699999999999</v>
      </c>
      <c r="Q10" s="52">
        <f>Q8+Q9</f>
        <v>65.19800000000002</v>
      </c>
      <c r="R10" s="52">
        <f>R8+R9</f>
        <v>70.028</v>
      </c>
      <c r="S10" s="52">
        <f>S8+S9</f>
        <v>152.253302157</v>
      </c>
      <c r="T10" s="52">
        <f>T8+T9</f>
        <v>131.7693074796</v>
      </c>
      <c r="U10" s="52">
        <f>U8+U9</f>
        <v>115.41185726751625</v>
      </c>
      <c r="V10" s="52">
        <f>V8+V9</f>
        <v>102.23776630532545</v>
      </c>
      <c r="W10" s="52">
        <f>W8+W9</f>
        <v>91.53843218668464</v>
      </c>
      <c r="X10" s="52">
        <f>X8+X9</f>
        <v>82.77407382961394</v>
      </c>
      <c r="Y10" s="52">
        <f>Y8+Y9</f>
        <v>75.52661107064705</v>
      </c>
      <c r="Z10" s="52">
        <f>Z8+Z9</f>
        <v>69.46521977492696</v>
      </c>
      <c r="AA10" s="52">
        <f>AA8+AA9</f>
        <v>64.320442672415</v>
      </c>
      <c r="AB10" s="52">
        <f>AB8+AB9</f>
        <v>59.86392553949173</v>
      </c>
    </row>
    <row r="11">
      <c r="A11" s="2" t="inlineStr">
        <is>
          <t>Taxes</t>
        </is>
      </c>
      <c r="B11" s="52" t="n">
        <v>-0.296</v>
      </c>
      <c r="C11" s="52" t="n">
        <v>-2.944</v>
      </c>
      <c r="D11" s="52" t="n">
        <v>0.003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2.685</v>
      </c>
      <c r="N11" s="52" t="n">
        <v>-327.791</v>
      </c>
      <c r="O11" s="52" t="n">
        <v>77.357</v>
      </c>
      <c r="P11" s="52" t="n">
        <v>83.48999999999999</v>
      </c>
      <c r="Q11" s="52" t="n">
        <v>64.318</v>
      </c>
      <c r="R11" s="52" t="n">
        <v>46.008</v>
      </c>
      <c r="S11" s="52">
        <f>MAX(0,S10)*Assumptions!$E$14</f>
        <v>25.883061366690004</v>
      </c>
      <c r="T11" s="52">
        <f>MAX(0,T10)*Assumptions!$E$14</f>
        <v>22.400782271532</v>
      </c>
      <c r="U11" s="52">
        <f>MAX(0,U10)*Assumptions!$E$14</f>
        <v>19.620015735477764</v>
      </c>
      <c r="V11" s="52">
        <f>MAX(0,V10)*Assumptions!$E$14</f>
        <v>17.38042027190533</v>
      </c>
      <c r="W11" s="52">
        <f>MAX(0,W10)*Assumptions!$E$14</f>
        <v>15.561533471736391</v>
      </c>
      <c r="X11" s="52">
        <f>MAX(0,X10)*Assumptions!$E$14</f>
        <v>14.071592551034371</v>
      </c>
      <c r="Y11" s="52">
        <f>MAX(0,Y10)*Assumptions!$E$14</f>
        <v>12.839523882009999</v>
      </c>
      <c r="Z11" s="52">
        <f>MAX(0,Z10)*Assumptions!$E$14</f>
        <v>11.809087361737586</v>
      </c>
      <c r="AA11" s="52">
        <f>MAX(0,AA10)*Assumptions!$E$14</f>
        <v>10.93447525431055</v>
      </c>
      <c r="AB11" s="52">
        <f>MAX(0,AB10)*Assumptions!$E$14</f>
        <v>10.176867341713596</v>
      </c>
    </row>
    <row r="12">
      <c r="A12" s="2" t="inlineStr">
        <is>
          <t>Net Income</t>
        </is>
      </c>
      <c r="B12" s="52" t="n">
        <v>-71.185</v>
      </c>
      <c r="C12" s="52" t="n">
        <v>-52.981</v>
      </c>
      <c r="D12" s="52" t="n">
        <v>-64.852</v>
      </c>
      <c r="E12" s="52" t="n">
        <v>-72.624</v>
      </c>
      <c r="F12" s="52" t="n">
        <v>-272.812</v>
      </c>
      <c r="G12" s="52" t="n">
        <v>-189.618</v>
      </c>
      <c r="H12" s="52" t="n">
        <v>-142.669</v>
      </c>
      <c r="I12" s="52" t="n">
        <v>-81.708</v>
      </c>
      <c r="J12" s="52" t="n">
        <v>-116.937</v>
      </c>
      <c r="K12" s="52" t="n">
        <v>-282.368</v>
      </c>
      <c r="L12" s="52" t="n">
        <v>21.505</v>
      </c>
      <c r="M12" s="52" t="n">
        <v>106.176</v>
      </c>
      <c r="N12" s="52" t="n">
        <v>528.448</v>
      </c>
      <c r="O12" s="52" t="n">
        <v>175.065</v>
      </c>
      <c r="P12" s="52" t="n">
        <v>-1031.56</v>
      </c>
      <c r="Q12" s="52" t="n">
        <v>0.88</v>
      </c>
      <c r="R12" s="52" t="n">
        <v>24.02</v>
      </c>
      <c r="S12" s="52">
        <f>S10-S11</f>
        <v>126.37024079031</v>
      </c>
      <c r="T12" s="52">
        <f>T10-T11</f>
        <v>109.36852520806801</v>
      </c>
      <c r="U12" s="52">
        <f>U10-U11</f>
        <v>95.79184153203849</v>
      </c>
      <c r="V12" s="52">
        <f>V10-V11</f>
        <v>84.85734603342013</v>
      </c>
      <c r="W12" s="52">
        <f>W10-W11</f>
        <v>75.97689871494825</v>
      </c>
      <c r="X12" s="52">
        <f>X10-X11</f>
        <v>68.70248127857957</v>
      </c>
      <c r="Y12" s="52">
        <f>Y10-Y11</f>
        <v>62.68708718863705</v>
      </c>
      <c r="Z12" s="52">
        <f>Z10-Z11</f>
        <v>57.65613241318938</v>
      </c>
      <c r="AA12" s="52">
        <f>AA10-AA11</f>
        <v>53.38596741810445</v>
      </c>
      <c r="AB12" s="52">
        <f>AB10-AB11</f>
        <v>49.687058197778136</v>
      </c>
    </row>
    <row r="13">
      <c r="A13" s="2" t="inlineStr">
        <is>
          <t>Earnings per Share</t>
        </is>
      </c>
      <c r="B13" s="11">
        <f>IFERROR(B12/B14,0)</f>
        <v>-10.002107629619221</v>
      </c>
      <c r="C13" s="11">
        <f>IFERROR(C12/C14,0)</f>
        <v>-0.5909562424012582</v>
      </c>
      <c r="D13" s="11">
        <f>IFERROR(D12/D14,0)</f>
        <v>-0.649331664580726</v>
      </c>
      <c r="E13" s="11">
        <f>IFERROR(E12/E14,0)</f>
        <v>-0.682537146509027</v>
      </c>
      <c r="F13" s="11">
        <f>IFERROR(F12/F14,0)</f>
        <v>-2.354832027069019</v>
      </c>
      <c r="G13" s="11">
        <f>IFERROR(G12/G14,0)</f>
        <v>-1.385985045062166</v>
      </c>
      <c r="H13" s="11">
        <f>IFERROR(H12/H14,0)</f>
        <v>-1.0036157715170062</v>
      </c>
      <c r="I13" s="11">
        <f>IFERROR(I12/I14,0)</f>
        <v>-0.5637833958931331</v>
      </c>
      <c r="J13" s="11">
        <f>IFERROR(J12/J14,0)</f>
        <v>-0.7848489526353587</v>
      </c>
      <c r="K13" s="11">
        <f>IFERROR(K12/K14,0)</f>
        <v>-1.8499678970609432</v>
      </c>
      <c r="L13" s="11">
        <f>IFERROR(L12/L14,0)</f>
        <v>0.13783224268216865</v>
      </c>
      <c r="M13" s="11">
        <f>IFERROR(M12/M14,0)</f>
        <v>0.6608944632909028</v>
      </c>
      <c r="N13" s="11">
        <f>IFERROR(N12/N14,0)</f>
        <v>3.214051989441545</v>
      </c>
      <c r="O13" s="11">
        <f>IFERROR(O12/O14,0)</f>
        <v>0.939633517969857</v>
      </c>
      <c r="P13" s="11">
        <f>IFERROR(P12/P14,0)</f>
        <v>-6.636600508251037</v>
      </c>
      <c r="Q13" s="11">
        <f>IFERROR(Q12/Q14,0)</f>
        <v>0.00549711401514205</v>
      </c>
      <c r="R13" s="11">
        <f>IFERROR(R12/R14,0)</f>
        <v>0.14737733383236287</v>
      </c>
      <c r="S13" s="11">
        <f>IFERROR(S12/S14,0)</f>
        <v>0.7647681028989316</v>
      </c>
      <c r="T13" s="11">
        <f>IFERROR(T12/T14,0)</f>
        <v>0.661877029094351</v>
      </c>
      <c r="U13" s="11">
        <f>IFERROR(U12/U14,0)</f>
        <v>0.5797135818013697</v>
      </c>
      <c r="V13" s="11">
        <f>IFERROR(V12/V14,0)</f>
        <v>0.5135401431314919</v>
      </c>
      <c r="W13" s="11">
        <f>IFERROR(W12/W14,0)</f>
        <v>0.4597974042859518</v>
      </c>
      <c r="X13" s="11">
        <f>IFERROR(X12/X14,0)</f>
        <v>0.4157740457189784</v>
      </c>
      <c r="Y13" s="11">
        <f>IFERROR(Y12/Y14,0)</f>
        <v>0.3793700514115818</v>
      </c>
      <c r="Z13" s="11">
        <f>IFERROR(Z12/Z14,0)</f>
        <v>0.34892369224246594</v>
      </c>
      <c r="AA13" s="11">
        <f>IFERROR(AA12/AA14,0)</f>
        <v>0.3230814847580679</v>
      </c>
      <c r="AB13" s="11">
        <f>IFERROR(AB12/AB14,0)</f>
        <v>0.3006964060438614</v>
      </c>
    </row>
    <row r="14">
      <c r="A14" s="2" t="inlineStr">
        <is>
          <t>Shares</t>
        </is>
      </c>
      <c r="B14" s="52" t="n">
        <v>7.117</v>
      </c>
      <c r="C14" s="52" t="n">
        <v>89.65300000000001</v>
      </c>
      <c r="D14" s="52" t="n">
        <v>99.875</v>
      </c>
      <c r="E14" s="52" t="n">
        <v>106.403</v>
      </c>
      <c r="F14" s="52" t="n">
        <v>115.852</v>
      </c>
      <c r="G14" s="52" t="n">
        <v>136.811</v>
      </c>
      <c r="H14" s="52" t="n">
        <v>142.155</v>
      </c>
      <c r="I14" s="52" t="n">
        <v>144.928</v>
      </c>
      <c r="J14" s="52" t="n">
        <v>148.993</v>
      </c>
      <c r="K14" s="52" t="n">
        <v>152.634</v>
      </c>
      <c r="L14" s="52" t="n">
        <v>156.023</v>
      </c>
      <c r="M14" s="52" t="n">
        <v>160.655</v>
      </c>
      <c r="N14" s="52" t="n">
        <v>164.418</v>
      </c>
      <c r="O14" s="52" t="n">
        <v>186.312</v>
      </c>
      <c r="P14" s="52" t="n">
        <v>155.435</v>
      </c>
      <c r="Q14" s="52" t="n">
        <v>160.084</v>
      </c>
      <c r="R14" s="52" t="n">
        <v>162.983</v>
      </c>
      <c r="S14" s="52">
        <f>Main!$C$4</f>
        <v>165.239947</v>
      </c>
      <c r="T14" s="52">
        <f>Main!$C$4</f>
        <v>165.239947</v>
      </c>
      <c r="U14" s="52">
        <f>Main!$C$4</f>
        <v>165.239947</v>
      </c>
      <c r="V14" s="52">
        <f>Main!$C$4</f>
        <v>165.239947</v>
      </c>
      <c r="W14" s="52">
        <f>Main!$C$4</f>
        <v>165.239947</v>
      </c>
      <c r="X14" s="52">
        <f>Main!$C$4</f>
        <v>165.239947</v>
      </c>
      <c r="Y14" s="52">
        <f>Main!$C$4</f>
        <v>165.239947</v>
      </c>
      <c r="Z14" s="52">
        <f>Main!$C$4</f>
        <v>165.239947</v>
      </c>
      <c r="AA14" s="52">
        <f>Main!$C$4</f>
        <v>165.239947</v>
      </c>
      <c r="AB14" s="52">
        <f>Main!$C$4</f>
        <v>165.239947</v>
      </c>
    </row>
    <row r="15"/>
    <row r="16" customFormat="1" s="4">
      <c r="A16" s="3" t="inlineStr">
        <is>
          <t>Revenue Change</t>
        </is>
      </c>
      <c r="C16" s="15">
        <f>IFERROR(C2/B2-1,"")</f>
        <v>0.27784738206928705</v>
      </c>
      <c r="D16" s="15">
        <f>IFERROR(D2/C2-1,"")</f>
        <v>0.5019495177508722</v>
      </c>
      <c r="E16" s="15">
        <f>IFERROR(E2/D2-1,"")</f>
        <v>1.2808975118033734</v>
      </c>
      <c r="F16" s="15">
        <f>IFERROR(F2/E2-1,"")</f>
        <v>-0.8477087423874339</v>
      </c>
      <c r="G16" s="15">
        <f>IFERROR(G2/F2-1,"")</f>
        <v>2.340588261002579</v>
      </c>
      <c r="H16" s="15">
        <f>IFERROR(H2/G2-1,"")</f>
        <v>0.956604217907792</v>
      </c>
      <c r="I16" s="15">
        <f>IFERROR(I2/H2-1,"")</f>
        <v>0.8318143826685833</v>
      </c>
      <c r="J16" s="15">
        <f>IFERROR(J2/I2-1,"")</f>
        <v>0.08876940541763867</v>
      </c>
      <c r="K16" s="15">
        <f>IFERROR(K2/J2-1,"")</f>
        <v>0.1621417747321272</v>
      </c>
      <c r="L16" s="15">
        <f>IFERROR(L2/K2-1,"")</f>
        <v>0.23590536552436392</v>
      </c>
      <c r="M16" s="15">
        <f>IFERROR(M2/L2-1,"")</f>
        <v>-0.09077689052386362</v>
      </c>
      <c r="N16" s="15">
        <f>IFERROR(N2/M2-1,"")</f>
        <v>0.062204285754627886</v>
      </c>
      <c r="O16" s="15">
        <f>IFERROR(O2/N2-1,"")</f>
        <v>-0.007630156155967405</v>
      </c>
      <c r="P16" s="15">
        <f>IFERROR(P2/O2-1,"")</f>
        <v>0.0782740211789692</v>
      </c>
      <c r="Q16" s="15">
        <f>IFERROR(Q2/P2-1,"")</f>
        <v>-0.20627463381029276</v>
      </c>
      <c r="R16" s="15">
        <f>IFERROR(R2/Q2-1,"")</f>
        <v>-0.15724936683645885</v>
      </c>
      <c r="S16" s="15">
        <f>IFERROR(S2/R2-1,"")</f>
        <v>-0.09999999999999998</v>
      </c>
      <c r="T16" s="15">
        <f>IFERROR(T2/S2-1,"")</f>
        <v>-0.08611111111111114</v>
      </c>
      <c r="U16" s="15">
        <f>IFERROR(U2/T2-1,"")</f>
        <v>-0.07222222222222219</v>
      </c>
      <c r="V16" s="15">
        <f>IFERROR(V2/U2-1,"")</f>
        <v>-0.05833333333333335</v>
      </c>
      <c r="W16" s="15">
        <f>IFERROR(W2/V2-1,"")</f>
        <v>-0.04444444444444462</v>
      </c>
      <c r="X16" s="15">
        <f>IFERROR(X2/W2-1,"")</f>
        <v>-0.030555555555555558</v>
      </c>
      <c r="Y16" s="15">
        <f>IFERROR(Y2/X2-1,"")</f>
        <v>-0.01666666666666672</v>
      </c>
      <c r="Z16" s="15">
        <f>IFERROR(Z2/Y2-1,"")</f>
        <v>-0.002777777777777768</v>
      </c>
      <c r="AA16" s="15">
        <f>IFERROR(AA2/Z2-1,"")</f>
        <v>0.011111111111111072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0.9935771573097274</v>
      </c>
      <c r="F17" s="15">
        <f>IFERROR(F4/F2,"")</f>
        <v>0.6851973252917268</v>
      </c>
      <c r="G17" s="15">
        <f>IFERROR(G4/G2,"")</f>
        <v>0.9307786906693182</v>
      </c>
      <c r="H17" s="15">
        <f>IFERROR(H4/H2,"")</f>
        <v>0.9999197619604827</v>
      </c>
      <c r="I17" s="15">
        <f>IFERROR(I4/I2,"")</f>
        <v>0.9931814116813953</v>
      </c>
      <c r="J17" s="15">
        <f>IFERROR(J4/J2,"")</f>
        <v>0.9359754053292924</v>
      </c>
      <c r="K17" s="15">
        <f>IFERROR(K4/K2,"")</f>
        <v>0.9055184211816906</v>
      </c>
      <c r="L17" s="15">
        <f>IFERROR(L4/L2,"")</f>
        <v>0.944271065537227</v>
      </c>
      <c r="M17" s="15">
        <f>IFERROR(M4/M2,"")</f>
        <v>0.9919491275226366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0.9919000000000001</v>
      </c>
      <c r="T17" s="15">
        <f>IFERROR(T4/T2,"")</f>
        <v>0.9919</v>
      </c>
      <c r="U17" s="15">
        <f>IFERROR(U4/U2,"")</f>
        <v>0.9918999999999999</v>
      </c>
      <c r="V17" s="15">
        <f>IFERROR(V4/V2,"")</f>
        <v>0.9919</v>
      </c>
      <c r="W17" s="15">
        <f>IFERROR(W4/W2,"")</f>
        <v>0.9919000000000001</v>
      </c>
      <c r="X17" s="15">
        <f>IFERROR(X4/X2,"")</f>
        <v>0.9919</v>
      </c>
      <c r="Y17" s="15">
        <f>IFERROR(Y4/Y2,"")</f>
        <v>0.9919</v>
      </c>
      <c r="Z17" s="15">
        <f>IFERROR(Z4/Z2,"")</f>
        <v>0.9919</v>
      </c>
      <c r="AA17" s="15">
        <f>IFERROR(AA4/AA2,"")</f>
        <v>0.9918999999999999</v>
      </c>
      <c r="AB17" s="15">
        <f>IFERROR(AB4/AB2,"")</f>
        <v>0.9918999999999999</v>
      </c>
    </row>
    <row r="18">
      <c r="A18" s="14" t="inlineStr">
        <is>
          <t>Operating Margin</t>
        </is>
      </c>
      <c r="B18" s="15">
        <f>IFERROR(B8/B2,"")</f>
        <v>-1.7719763410157048</v>
      </c>
      <c r="C18" s="15">
        <f>IFERROR(C8/C2,"")</f>
        <v>-1.3855484871286223</v>
      </c>
      <c r="D18" s="15">
        <f>IFERROR(D8/D2,"")</f>
        <v>-1.0041141018050435</v>
      </c>
      <c r="E18" s="15">
        <f>IFERROR(E8/E2,"")</f>
        <v>-0.4842889946420846</v>
      </c>
      <c r="F18" s="15">
        <f>IFERROR(F8/F2,"")</f>
        <v>-11.013592063283948</v>
      </c>
      <c r="G18" s="15">
        <f>IFERROR(G8/G2,"")</f>
        <v>-2.2158407033335075</v>
      </c>
      <c r="H18" s="15">
        <f>IFERROR(H8/H2,"")</f>
        <v>-0.6826117481862857</v>
      </c>
      <c r="I18" s="15">
        <f>IFERROR(I8/I2,"")</f>
        <v>-0.18933628270129985</v>
      </c>
      <c r="J18" s="15">
        <f>IFERROR(J8/J2,"")</f>
        <v>-0.05150598774289565</v>
      </c>
      <c r="K18" s="15">
        <f>IFERROR(K8/K2,"")</f>
        <v>-0.43465968918673303</v>
      </c>
      <c r="L18" s="15">
        <f>IFERROR(L8/L2,"")</f>
        <v>0.28039065107734823</v>
      </c>
      <c r="M18" s="15">
        <f>IFERROR(M8/M2,"")</f>
        <v>0.36696164282982</v>
      </c>
      <c r="N18" s="15">
        <f>IFERROR(N8/N2,"")</f>
        <v>0.5613469872121774</v>
      </c>
      <c r="O18" s="15">
        <f>IFERROR(O8/O2,"")</f>
        <v>0.6096917651414042</v>
      </c>
      <c r="P18" s="15">
        <f>IFERROR(P8/P2,"")</f>
        <v>-2.1354309011033688</v>
      </c>
      <c r="Q18" s="15">
        <f>IFERROR(Q8/Q2,"")</f>
        <v>0.2650009959875929</v>
      </c>
      <c r="R18" s="15">
        <f>IFERROR(R8/R2,"")</f>
        <v>0.33260735233039906</v>
      </c>
      <c r="S18" s="15">
        <f>IFERROR(S8/S2,"")</f>
        <v>0.57123</v>
      </c>
      <c r="T18" s="15">
        <f>IFERROR(T8/T2,"")</f>
        <v>0.54096</v>
      </c>
      <c r="U18" s="15">
        <f>IFERROR(U8/U2,"")</f>
        <v>0.51069</v>
      </c>
      <c r="V18" s="15">
        <f>IFERROR(V8/V2,"")</f>
        <v>0.48042</v>
      </c>
      <c r="W18" s="15">
        <f>IFERROR(W8/W2,"")</f>
        <v>0.45015000000000005</v>
      </c>
      <c r="X18" s="15">
        <f>IFERROR(X8/X2,"")</f>
        <v>0.41988000000000003</v>
      </c>
      <c r="Y18" s="15">
        <f>IFERROR(Y8/Y2,"")</f>
        <v>0.38961</v>
      </c>
      <c r="Z18" s="15">
        <f>IFERROR(Z8/Z2,"")</f>
        <v>0.35934000000000005</v>
      </c>
      <c r="AA18" s="15">
        <f>IFERROR(AA8/AA2,"")</f>
        <v>0.32907</v>
      </c>
      <c r="AB18" s="15">
        <f>IFERROR(AB8/AB2,"")</f>
        <v>0.29880000000000007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Ironwood Pharmaceuticals,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0.2488</v>
      </c>
      <c r="C13" s="53" t="n">
        <v>0.2988</v>
      </c>
      <c r="D13" s="53" t="n">
        <v>0.3488</v>
      </c>
      <c r="E13" s="54">
        <f>CHOOSE($B$4,B13,C13,D13)</f>
        <v>0.2988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0.6015</v>
      </c>
    </row>
    <row r="19">
      <c r="A19" s="14" t="inlineStr">
        <is>
          <t>Gross margin (forecast)</t>
        </is>
      </c>
      <c r="B19" s="53" t="n">
        <v>0.9919</v>
      </c>
    </row>
    <row r="20">
      <c r="A20" s="14" t="inlineStr">
        <is>
          <t>R&amp;D share of operating expense (forecast)</t>
        </is>
      </c>
      <c r="B20" s="53" t="n">
        <v>0.4813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296.151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652.7785200558064</v>
      </c>
      <c r="C29" s="56">
        <f>NPV!B26</f>
        <v>346.9055200558064</v>
      </c>
      <c r="D29" s="35">
        <f>NPV!B28</f>
        <v>2.099404692109992</v>
      </c>
      <c r="E29" s="57">
        <f>NPV!B30</f>
        <v>-0.42165159996969925</v>
      </c>
    </row>
    <row r="30">
      <c r="A30" s="58" t="n">
        <v>1</v>
      </c>
      <c r="B30" s="59">
        <f t="dataTable" ref="B30:E32" r1="B4"/>
        <v>474.47154633506534</v>
      </c>
      <c r="C30" s="59">
        <v>168.5985463350653</v>
      </c>
      <c r="D30" s="39">
        <v>1.0203255895202223</v>
      </c>
      <c r="E30" s="60">
        <v>-0.718918570380104</v>
      </c>
    </row>
    <row r="31">
      <c r="A31" s="58" t="n">
        <v>2</v>
      </c>
      <c r="B31" s="59">
        <v>652.7785200558064</v>
      </c>
      <c r="C31" s="59">
        <v>346.9055200558064</v>
      </c>
      <c r="D31" s="39">
        <v>2.099404692109992</v>
      </c>
      <c r="E31" s="60">
        <v>-0.42165159996969925</v>
      </c>
    </row>
    <row r="32">
      <c r="A32" s="58" t="n">
        <v>3</v>
      </c>
      <c r="B32" s="59">
        <v>941.3818686689328</v>
      </c>
      <c r="C32" s="59">
        <v>635.5088686689328</v>
      </c>
      <c r="D32" s="39">
        <v>3.8459759895041166</v>
      </c>
      <c r="E32" s="60">
        <v>0.059497517769729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2.099404692109992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2.4944145583202566</v>
      </c>
      <c r="C37" s="39">
        <v>2.6138396095767336</v>
      </c>
      <c r="D37" s="39">
        <v>2.74740552312024</v>
      </c>
      <c r="E37" s="39">
        <v>2.897932179532508</v>
      </c>
      <c r="F37" s="39">
        <v>3.0690450464154466</v>
      </c>
    </row>
    <row r="38">
      <c r="A38" s="62" t="n">
        <v>0.115</v>
      </c>
      <c r="B38" s="39">
        <v>2.1925127170335066</v>
      </c>
      <c r="C38" s="39">
        <v>2.2863451643343944</v>
      </c>
      <c r="D38" s="39">
        <v>2.389934796535189</v>
      </c>
      <c r="E38" s="39">
        <v>2.504996531567537</v>
      </c>
      <c r="F38" s="39">
        <v>2.6336739397010764</v>
      </c>
    </row>
    <row r="39">
      <c r="A39" s="62" t="n">
        <v>0.125</v>
      </c>
      <c r="B39" s="39">
        <v>1.9415815943571992</v>
      </c>
      <c r="C39" s="39">
        <v>2.017009376208646</v>
      </c>
      <c r="D39" s="39">
        <v>2.099404692109992</v>
      </c>
      <c r="E39" s="39">
        <v>2.1898617905764417</v>
      </c>
      <c r="F39" s="39">
        <v>2.2897180215487865</v>
      </c>
    </row>
    <row r="40">
      <c r="A40" s="62" t="n">
        <v>0.135</v>
      </c>
      <c r="B40" s="39">
        <v>1.7290622263057303</v>
      </c>
      <c r="C40" s="39">
        <v>1.790857712059284</v>
      </c>
      <c r="D40" s="39">
        <v>1.857770853784871</v>
      </c>
      <c r="E40" s="39">
        <v>1.9305276904291295</v>
      </c>
      <c r="F40" s="39">
        <v>2.0099994134227974</v>
      </c>
    </row>
    <row r="41">
      <c r="A41" s="62" t="n">
        <v>0.145</v>
      </c>
      <c r="B41" s="39">
        <v>1.5462510066354052</v>
      </c>
      <c r="C41" s="39">
        <v>1.5976979043703052</v>
      </c>
      <c r="D41" s="39">
        <v>1.6529934221292766</v>
      </c>
      <c r="E41" s="39">
        <v>1.7126351738239805</v>
      </c>
      <c r="F41" s="39">
        <v>1.7772112010204297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Ironwood Pharmaceuticals, Inc.: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0.33260735233039906</v>
      </c>
      <c r="C6" s="63">
        <f>Assumptions!$B$18+(Assumptions!$E$13-Assumptions!$B$18)*C4/Assumptions!$B$21</f>
        <v>0.57123</v>
      </c>
      <c r="D6" s="63">
        <f>Assumptions!$B$18+(Assumptions!$E$13-Assumptions!$B$18)*D4/Assumptions!$B$21</f>
        <v>0.54096</v>
      </c>
      <c r="E6" s="63">
        <f>Assumptions!$B$18+(Assumptions!$E$13-Assumptions!$B$18)*E4/Assumptions!$B$21</f>
        <v>0.51069</v>
      </c>
      <c r="F6" s="63">
        <f>Assumptions!$B$18+(Assumptions!$E$13-Assumptions!$B$18)*F4/Assumptions!$B$21</f>
        <v>0.48042</v>
      </c>
      <c r="G6" s="63">
        <f>Assumptions!$B$18+(Assumptions!$E$13-Assumptions!$B$18)*G4/Assumptions!$B$21</f>
        <v>0.45015000000000005</v>
      </c>
      <c r="H6" s="63">
        <f>Assumptions!$B$18+(Assumptions!$E$13-Assumptions!$B$18)*H4/Assumptions!$B$21</f>
        <v>0.41988000000000003</v>
      </c>
      <c r="I6" s="63">
        <f>Assumptions!$B$18+(Assumptions!$E$13-Assumptions!$B$18)*I4/Assumptions!$B$21</f>
        <v>0.38961</v>
      </c>
      <c r="J6" s="63">
        <f>Assumptions!$B$18+(Assumptions!$E$13-Assumptions!$B$18)*J4/Assumptions!$B$21</f>
        <v>0.35934</v>
      </c>
      <c r="K6" s="63">
        <f>Assumptions!$B$18+(Assumptions!$E$13-Assumptions!$B$18)*K4/Assumptions!$B$21</f>
        <v>0.32907</v>
      </c>
      <c r="L6" s="63">
        <f>Assumptions!$B$18+(Assumptions!$E$13-Assumptions!$B$18)*L4/Assumptions!$B$21</f>
        <v>0.2988</v>
      </c>
    </row>
    <row r="7">
      <c r="A7" s="14" t="inlineStr">
        <is>
          <t>Revenue</t>
        </is>
      </c>
      <c r="B7" s="55">
        <f>'Yearly Model'!R2</f>
        <v>296.151</v>
      </c>
      <c r="C7" s="55">
        <f>'Yearly Model'!S2</f>
        <v>266.5359</v>
      </c>
      <c r="D7" s="55">
        <f>'Yearly Model'!T2</f>
        <v>243.58419750000002</v>
      </c>
      <c r="E7" s="55">
        <f>'Yearly Model'!U2</f>
        <v>225.99200545833335</v>
      </c>
      <c r="F7" s="55">
        <f>'Yearly Model'!V2</f>
        <v>212.8091384732639</v>
      </c>
      <c r="G7" s="55">
        <f>'Yearly Model'!W2</f>
        <v>203.35095454111882</v>
      </c>
      <c r="H7" s="55">
        <f>'Yearly Model'!X2</f>
        <v>197.1374531523624</v>
      </c>
      <c r="I7" s="55">
        <f>'Yearly Model'!Y2</f>
        <v>193.85182893315636</v>
      </c>
      <c r="J7" s="55">
        <f>'Yearly Model'!Z2</f>
        <v>193.31335163056426</v>
      </c>
      <c r="K7" s="55">
        <f>'Yearly Model'!AA2</f>
        <v>195.46127775979275</v>
      </c>
      <c r="L7" s="55">
        <f>'Yearly Model'!AB2</f>
        <v>200.34780970378756</v>
      </c>
    </row>
    <row r="8">
      <c r="A8" s="14" t="inlineStr">
        <is>
          <t>Operating income</t>
        </is>
      </c>
      <c r="B8" s="55">
        <f>'Yearly Model'!R8</f>
        <v>98.50200000000001</v>
      </c>
      <c r="C8" s="55">
        <f>'Yearly Model'!S8</f>
        <v>152.253302157</v>
      </c>
      <c r="D8" s="55">
        <f>'Yearly Model'!T8</f>
        <v>131.7693074796</v>
      </c>
      <c r="E8" s="55">
        <f>'Yearly Model'!U8</f>
        <v>115.41185726751625</v>
      </c>
      <c r="F8" s="55">
        <f>'Yearly Model'!V8</f>
        <v>102.23776630532545</v>
      </c>
      <c r="G8" s="55">
        <f>'Yearly Model'!W8</f>
        <v>91.53843218668464</v>
      </c>
      <c r="H8" s="55">
        <f>'Yearly Model'!X8</f>
        <v>82.77407382961394</v>
      </c>
      <c r="I8" s="55">
        <f>'Yearly Model'!Y8</f>
        <v>75.52661107064705</v>
      </c>
      <c r="J8" s="55">
        <f>'Yearly Model'!Z8</f>
        <v>69.46521977492696</v>
      </c>
      <c r="K8" s="55">
        <f>'Yearly Model'!AA8</f>
        <v>64.320442672415</v>
      </c>
      <c r="L8" s="55">
        <f>'Yearly Model'!AB8</f>
        <v>59.86392553949173</v>
      </c>
    </row>
    <row r="9">
      <c r="A9" s="14" t="inlineStr">
        <is>
          <t>Tax on operating income</t>
        </is>
      </c>
      <c r="C9" s="52">
        <f>MAX(0,C8)*Assumptions!$E$14</f>
        <v>25.883061366690004</v>
      </c>
      <c r="D9" s="52">
        <f>MAX(0,D8)*Assumptions!$E$14</f>
        <v>22.400782271532</v>
      </c>
      <c r="E9" s="52">
        <f>MAX(0,E8)*Assumptions!$E$14</f>
        <v>19.620015735477764</v>
      </c>
      <c r="F9" s="52">
        <f>MAX(0,F8)*Assumptions!$E$14</f>
        <v>17.38042027190533</v>
      </c>
      <c r="G9" s="52">
        <f>MAX(0,G8)*Assumptions!$E$14</f>
        <v>15.561533471736391</v>
      </c>
      <c r="H9" s="52">
        <f>MAX(0,H8)*Assumptions!$E$14</f>
        <v>14.071592551034371</v>
      </c>
      <c r="I9" s="52">
        <f>MAX(0,I8)*Assumptions!$E$14</f>
        <v>12.839523882009999</v>
      </c>
      <c r="J9" s="52">
        <f>MAX(0,J8)*Assumptions!$E$14</f>
        <v>11.809087361737586</v>
      </c>
      <c r="K9" s="52">
        <f>MAX(0,K8)*Assumptions!$E$14</f>
        <v>10.93447525431055</v>
      </c>
      <c r="L9" s="52">
        <f>MAX(0,L8)*Assumptions!$E$14</f>
        <v>10.176867341713596</v>
      </c>
    </row>
    <row r="10">
      <c r="A10" s="14" t="inlineStr">
        <is>
          <t>NOPAT</t>
        </is>
      </c>
      <c r="C10" s="52">
        <f>C8-C9</f>
        <v>126.37024079031</v>
      </c>
      <c r="D10" s="52">
        <f>D8-D9</f>
        <v>109.36852520806801</v>
      </c>
      <c r="E10" s="52">
        <f>E8-E9</f>
        <v>95.79184153203849</v>
      </c>
      <c r="F10" s="52">
        <f>F8-F9</f>
        <v>84.85734603342013</v>
      </c>
      <c r="G10" s="52">
        <f>G8-G9</f>
        <v>75.97689871494825</v>
      </c>
      <c r="H10" s="52">
        <f>H8-H9</f>
        <v>68.70248127857957</v>
      </c>
      <c r="I10" s="52">
        <f>I8-I9</f>
        <v>62.68708718863705</v>
      </c>
      <c r="J10" s="52">
        <f>J8-J9</f>
        <v>57.65613241318938</v>
      </c>
      <c r="K10" s="52">
        <f>K8-K9</f>
        <v>53.38596741810445</v>
      </c>
      <c r="L10" s="52">
        <f>L8-L9</f>
        <v>49.687058197778136</v>
      </c>
    </row>
    <row r="11">
      <c r="A11" s="14" t="inlineStr">
        <is>
          <t>Reinvestment</t>
        </is>
      </c>
      <c r="C11" s="52">
        <f>(C7-B7)*Assumptions!$E$15</f>
        <v>-7.403774999999996</v>
      </c>
      <c r="D11" s="52">
        <f>(D7-C7)*Assumptions!$E$15</f>
        <v>-5.737925625000003</v>
      </c>
      <c r="E11" s="52">
        <f>(E7-D7)*Assumptions!$E$15</f>
        <v>-4.398048010416666</v>
      </c>
      <c r="F11" s="52">
        <f>(F7-E7)*Assumptions!$E$15</f>
        <v>-3.2957167462673596</v>
      </c>
      <c r="G11" s="52">
        <f>(G7-F7)*Assumptions!$E$15</f>
        <v>-2.3645459830362725</v>
      </c>
      <c r="H11" s="52">
        <f>(H7-G7)*Assumptions!$E$15</f>
        <v>-1.5533753471891032</v>
      </c>
      <c r="I11" s="52">
        <f>(I7-H7)*Assumptions!$E$15</f>
        <v>-0.8214060548015141</v>
      </c>
      <c r="J11" s="52">
        <f>(J7-I7)*Assumptions!$E$15</f>
        <v>-0.1346193256480248</v>
      </c>
      <c r="K11" s="52">
        <f>(K7-J7)*Assumptions!$E$15</f>
        <v>0.5369815323071236</v>
      </c>
      <c r="L11" s="52">
        <f>(L7-K7)*Assumptions!$E$15</f>
        <v>1.2216329859987027</v>
      </c>
    </row>
    <row r="12">
      <c r="A12" s="20" t="inlineStr">
        <is>
          <t>Free cash flow</t>
        </is>
      </c>
      <c r="C12" s="64">
        <f>C10-C11</f>
        <v>133.77401579031</v>
      </c>
      <c r="D12" s="64">
        <f>D10-D11</f>
        <v>115.10645083306801</v>
      </c>
      <c r="E12" s="64">
        <f>E10-E11</f>
        <v>100.18988954245515</v>
      </c>
      <c r="F12" s="64">
        <f>F10-F11</f>
        <v>88.15306277968749</v>
      </c>
      <c r="G12" s="64">
        <f>G10-G11</f>
        <v>78.34144469798451</v>
      </c>
      <c r="H12" s="64">
        <f>H10-H11</f>
        <v>70.25585662576867</v>
      </c>
      <c r="I12" s="64">
        <f>I10-I11</f>
        <v>63.508493243438565</v>
      </c>
      <c r="J12" s="64">
        <f>J10-J11</f>
        <v>57.79075173883741</v>
      </c>
      <c r="K12" s="64">
        <f>K10-K11</f>
        <v>52.848985885797326</v>
      </c>
      <c r="L12" s="64">
        <f>L10-L11</f>
        <v>48.46542521177943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65.46293436686284</v>
      </c>
      <c r="D16" s="64">
        <f>D12*D13*D15</f>
        <v>102.26744723994001</v>
      </c>
      <c r="E16" s="64">
        <f>E12*E13*E15</f>
        <v>79.12416274850638</v>
      </c>
      <c r="F16" s="64">
        <f>F12*F13*F15</f>
        <v>61.88282242416747</v>
      </c>
      <c r="G16" s="64">
        <f>G12*G13*G15</f>
        <v>48.88456567932407</v>
      </c>
      <c r="H16" s="64">
        <f>H12*H13*H15</f>
        <v>38.9681865731868</v>
      </c>
      <c r="I16" s="64">
        <f>I12*I13*I15</f>
        <v>31.3117217559665</v>
      </c>
      <c r="J16" s="64">
        <f>J12*J13*J15</f>
        <v>25.326837349362524</v>
      </c>
      <c r="K16" s="64">
        <f>K12*K13*K15</f>
        <v>20.587648897443867</v>
      </c>
      <c r="L16" s="64">
        <f>L12*L13*L15</f>
        <v>16.782227342078027</v>
      </c>
    </row>
    <row r="19">
      <c r="A19" s="14" t="inlineStr">
        <is>
          <t>PV of forecast free cash flow</t>
        </is>
      </c>
      <c r="B19" s="52">
        <f>SUM(C16:L16)</f>
        <v>490.5985543768385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49.677060842073914</v>
      </c>
    </row>
    <row r="21">
      <c r="A21" s="14" t="inlineStr">
        <is>
          <t>Terminal value</t>
        </is>
      </c>
      <c r="B21" s="52">
        <f>B20/(Assumptions!$E$10-Assumptions!$E$11)</f>
        <v>496.7706084207391</v>
      </c>
    </row>
    <row r="22">
      <c r="A22" s="14" t="inlineStr">
        <is>
          <t>PV of terminal value</t>
        </is>
      </c>
      <c r="B22" s="52">
        <f>B21/(1+Assumptions!$E$10)^(L14+0.5)</f>
        <v>162.17996567896802</v>
      </c>
    </row>
    <row r="23">
      <c r="A23" s="20" t="inlineStr">
        <is>
          <t>Enterprise value</t>
        </is>
      </c>
      <c r="B23" s="66">
        <f>B19+B22</f>
        <v>652.7785200558064</v>
      </c>
    </row>
    <row r="24">
      <c r="A24" s="14" t="inlineStr">
        <is>
          <t>Cash &amp; investments</t>
        </is>
      </c>
      <c r="B24" s="55">
        <f>Main!C7</f>
        <v>79.127</v>
      </c>
    </row>
    <row r="25">
      <c r="A25" s="14" t="inlineStr">
        <is>
          <t>Debt</t>
        </is>
      </c>
      <c r="B25" s="55">
        <f>Main!C8</f>
        <v>385</v>
      </c>
    </row>
    <row r="26">
      <c r="A26" s="20" t="inlineStr">
        <is>
          <t>Equity value</t>
        </is>
      </c>
      <c r="B26" s="66">
        <f>B23+B24-B25</f>
        <v>346.9055200558064</v>
      </c>
    </row>
    <row r="27">
      <c r="A27" s="14" t="inlineStr">
        <is>
          <t>Shares (mm)</t>
        </is>
      </c>
      <c r="B27" s="55">
        <f>Main!C4</f>
        <v>165.239947</v>
      </c>
    </row>
    <row r="28">
      <c r="A28" s="20" t="inlineStr">
        <is>
          <t>NPV / share</t>
        </is>
      </c>
      <c r="B28" s="49">
        <f>B26/B27</f>
        <v>2.099404692109992</v>
      </c>
    </row>
    <row r="29">
      <c r="A29" s="14" t="inlineStr">
        <is>
          <t>Price</t>
        </is>
      </c>
      <c r="B29" s="50">
        <f>Main!C3</f>
        <v>3.63</v>
      </c>
    </row>
    <row r="30">
      <c r="A30" s="14" t="inlineStr">
        <is>
          <t>Upside</t>
        </is>
      </c>
      <c r="B30" s="63">
        <f>B28/B29-1</f>
        <v>-0.42165159996969925</v>
      </c>
    </row>
    <row r="31">
      <c r="A31" s="14" t="inlineStr">
        <is>
          <t>Terminal value, % of EV</t>
        </is>
      </c>
      <c r="B31" s="63">
        <f>IFERROR(B22/B23,0)</f>
        <v>0.24844562236070997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2026-10-21T06:24:49Z</dcterms:modified>
  <cp:lastModifiedBy>Wang, Eric</cp:lastModifiedBy>
</cp:coreProperties>
</file>