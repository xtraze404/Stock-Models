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Mirum Pharmaceuticals, Inc.</t>
        </is>
      </c>
      <c r="C2" s="10" t="n"/>
    </row>
    <row r="3">
      <c r="B3" t="inlineStr">
        <is>
          <t>Price</t>
        </is>
      </c>
      <c r="C3" s="11">
        <f>INDEX([1]Pharma!$F$1:$F$1000,MATCH("MIRM",[1]Pharma!$B$1:$B$1000,0))</f>
        <v>85.07</v>
      </c>
      <c r="F3" s="1" t="n"/>
    </row>
    <row r="4">
      <c r="B4" t="inlineStr">
        <is>
          <t>Shares</t>
        </is>
      </c>
      <c r="C4" s="51" t="n">
        <v>64.932203</v>
      </c>
      <c r="F4" s="1" t="n"/>
    </row>
    <row r="5">
      <c r="B5" t="inlineStr">
        <is>
          <t>Market Cap.</t>
        </is>
      </c>
      <c r="C5" s="13">
        <f>C3*C4</f>
        <v>5523.782509209999</v>
      </c>
      <c r="F5" s="1" t="n"/>
    </row>
    <row r="6"/>
    <row r="7">
      <c r="B7" t="inlineStr">
        <is>
          <t>Cash</t>
        </is>
      </c>
      <c r="C7" s="51">
        <f>330.728+107.563</f>
        <v>438.291</v>
      </c>
    </row>
    <row r="8">
      <c r="B8" t="inlineStr">
        <is>
          <t>Debt</t>
        </is>
      </c>
      <c r="C8" s="51" t="n">
        <v>750.079</v>
      </c>
    </row>
    <row r="9">
      <c r="B9" t="inlineStr">
        <is>
          <t>Enterprise V.</t>
        </is>
      </c>
      <c r="C9" s="13">
        <f>C5-C7+C8</f>
        <v>5835.570509209999</v>
      </c>
    </row>
    <row r="10"/>
    <row r="11">
      <c r="B11" s="14" t="inlineStr">
        <is>
          <t>NPV / Share</t>
        </is>
      </c>
      <c r="C11" s="11">
        <f>NPV!B28</f>
        <v>33.89270040632059</v>
      </c>
    </row>
    <row r="12">
      <c r="B12" s="14" t="inlineStr">
        <is>
          <t>Upside</t>
        </is>
      </c>
      <c r="C12" s="15">
        <f>IFERROR(C11/C3-1,"")</f>
        <v>-0.6015904501431693</v>
      </c>
    </row>
    <row r="13">
      <c r="B13" s="14" t="inlineStr">
        <is>
          <t>Cash / Share</t>
        </is>
      </c>
      <c r="C13" s="11">
        <f>IFERROR((C7-C8)/C4,"")</f>
        <v>-4.801746831229489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2019</v>
      </c>
      <c r="C1" s="16" t="n">
        <v>2020</v>
      </c>
      <c r="D1" s="16" t="n">
        <v>2021</v>
      </c>
      <c r="E1" s="16" t="n">
        <v>2022</v>
      </c>
      <c r="F1" s="16" t="n">
        <v>2023</v>
      </c>
      <c r="G1" s="16" t="n">
        <v>2024</v>
      </c>
      <c r="H1" s="16" t="n">
        <v>2025</v>
      </c>
      <c r="I1" s="16" t="n">
        <v>2026</v>
      </c>
      <c r="J1" s="16" t="n">
        <v>2027</v>
      </c>
      <c r="K1" s="16" t="n">
        <v>2028</v>
      </c>
      <c r="L1" s="16" t="n">
        <v>2029</v>
      </c>
      <c r="M1" s="16" t="n">
        <v>2030</v>
      </c>
      <c r="N1" s="16" t="n">
        <v>2031</v>
      </c>
      <c r="O1" s="16" t="n">
        <v>2032</v>
      </c>
      <c r="P1" s="16" t="n">
        <v>2033</v>
      </c>
      <c r="Q1" s="16" t="n">
        <v>2034</v>
      </c>
      <c r="R1" s="16" t="n">
        <v>2035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19.138</v>
      </c>
      <c r="E2" s="52" t="n">
        <v>77.062</v>
      </c>
      <c r="F2" s="52" t="n">
        <v>186.374</v>
      </c>
      <c r="G2" s="52" t="n">
        <v>336.888</v>
      </c>
      <c r="H2" s="52" t="n">
        <v>521.312</v>
      </c>
      <c r="I2" s="52">
        <f>H2*(1+NPV!C5)</f>
        <v>703.7712</v>
      </c>
      <c r="J2" s="52">
        <f>I2*(1+NPV!D5)</f>
        <v>924.6771600000001</v>
      </c>
      <c r="K2" s="52">
        <f>J2*(1+NPV!E5)</f>
        <v>1181.5319266666668</v>
      </c>
      <c r="L2" s="52">
        <f>K2*(1+NPV!F5)</f>
        <v>1467.0688089444445</v>
      </c>
      <c r="M2" s="52">
        <f>L2*(1+NPV!G5)</f>
        <v>1768.632953005247</v>
      </c>
      <c r="N2" s="52">
        <f>M2*(1+NPV!H5)</f>
        <v>2068.3179811533582</v>
      </c>
      <c r="O2" s="52">
        <f>N2*(1+NPV!I5)</f>
        <v>2344.093711973806</v>
      </c>
      <c r="P2" s="52">
        <f>O2*(1+NPV!J5)</f>
        <v>2571.991711749037</v>
      </c>
      <c r="Q2" s="52">
        <f>P2*(1+NPV!K5)</f>
        <v>2729.1689830225896</v>
      </c>
      <c r="R2" s="52">
        <f>Q2*(1+NPV!L5)</f>
        <v>2797.398207598154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>
        <f>I2*(1-Assumptions!$B$19)</f>
        <v>0.0</v>
      </c>
      <c r="J3" s="52">
        <f>J2*(1-Assumptions!$B$19)</f>
        <v>0.0</v>
      </c>
      <c r="K3" s="52">
        <f>K2*(1-Assumptions!$B$19)</f>
        <v>0.0</v>
      </c>
      <c r="L3" s="52">
        <f>L2*(1-Assumptions!$B$19)</f>
        <v>0.0</v>
      </c>
      <c r="M3" s="52">
        <f>M2*(1-Assumptions!$B$19)</f>
        <v>0.0</v>
      </c>
      <c r="N3" s="52">
        <f>N2*(1-Assumptions!$B$19)</f>
        <v>0.0</v>
      </c>
      <c r="O3" s="52">
        <f>O2*(1-Assumptions!$B$19)</f>
        <v>0.0</v>
      </c>
      <c r="P3" s="52">
        <f>P2*(1-Assumptions!$B$19)</f>
        <v>0.0</v>
      </c>
      <c r="Q3" s="52">
        <f>Q2*(1-Assumptions!$B$19)</f>
        <v>0.0</v>
      </c>
      <c r="R3" s="52">
        <f>R2*(1-Assumptions!$B$19)</f>
        <v>0.0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19.138</v>
      </c>
      <c r="E4" s="52">
        <f>E2-E3</f>
        <v>77.062</v>
      </c>
      <c r="F4" s="52">
        <f>F2-F3</f>
        <v>186.374</v>
      </c>
      <c r="G4" s="52">
        <f>G2-G3</f>
        <v>336.888</v>
      </c>
      <c r="H4" s="52">
        <f>H2-H3</f>
        <v>521.312</v>
      </c>
      <c r="I4" s="52">
        <f>I2-I3</f>
        <v>703.7712</v>
      </c>
      <c r="J4" s="52">
        <f>J2-J3</f>
        <v>924.6771600000001</v>
      </c>
      <c r="K4" s="52">
        <f>K2-K3</f>
        <v>1181.5319266666668</v>
      </c>
      <c r="L4" s="52">
        <f>L2-L3</f>
        <v>1467.0688089444445</v>
      </c>
      <c r="M4" s="52">
        <f>M2-M3</f>
        <v>1768.632953005247</v>
      </c>
      <c r="N4" s="52">
        <f>N2-N3</f>
        <v>2068.3179811533582</v>
      </c>
      <c r="O4" s="52">
        <f>O2-O3</f>
        <v>2344.093711973806</v>
      </c>
      <c r="P4" s="52">
        <f>P2-P3</f>
        <v>2571.991711749037</v>
      </c>
      <c r="Q4" s="52">
        <f>Q2-Q3</f>
        <v>2729.1689830225896</v>
      </c>
      <c r="R4" s="52">
        <f>R2-R3</f>
        <v>2797.398207598154</v>
      </c>
    </row>
    <row r="5">
      <c r="A5" s="2" t="inlineStr">
        <is>
          <t>Research &amp; Dev.</t>
        </is>
      </c>
      <c r="B5" s="52" t="n">
        <v>42.991</v>
      </c>
      <c r="C5" s="52" t="n">
        <v>81.605</v>
      </c>
      <c r="D5" s="52" t="n">
        <v>131.428</v>
      </c>
      <c r="E5" s="52" t="n">
        <v>106.842</v>
      </c>
      <c r="F5" s="52" t="n">
        <v>102.609</v>
      </c>
      <c r="G5" s="52" t="n">
        <v>140.63</v>
      </c>
      <c r="H5" s="52" t="n">
        <v>186.178</v>
      </c>
      <c r="I5" s="52">
        <f>I7*Assumptions!$B$20</f>
        <v>292.70998392768</v>
      </c>
      <c r="J5" s="52">
        <f>J7*Assumptions!$B$20</f>
        <v>370.01585337868806</v>
      </c>
      <c r="K5" s="52">
        <f>K7*Assumptions!$B$20</f>
        <v>454.17756432127203</v>
      </c>
      <c r="L5" s="52">
        <f>L7*Assumptions!$B$20</f>
        <v>540.8167247641386</v>
      </c>
      <c r="M5" s="52">
        <f>M7*Assumptions!$B$20</f>
        <v>624.1116591905856</v>
      </c>
      <c r="N5" s="52">
        <f>N7*Assumptions!$B$20</f>
        <v>697.2680484976503</v>
      </c>
      <c r="O5" s="52">
        <f>O7*Assumptions!$B$20</f>
        <v>753.295142367448</v>
      </c>
      <c r="P5" s="52">
        <f>P7*Assumptions!$B$20</f>
        <v>785.9986095171364</v>
      </c>
      <c r="Q5" s="52">
        <f>Q7*Assumptions!$B$20</f>
        <v>791.0212463716742</v>
      </c>
      <c r="R5" s="52">
        <f>R7*Assumptions!$B$20</f>
        <v>766.710900738502</v>
      </c>
    </row>
    <row r="6">
      <c r="A6" s="18" t="inlineStr">
        <is>
          <t>SG&amp;A &amp; Other</t>
        </is>
      </c>
      <c r="B6" s="52" t="n">
        <v>11.752</v>
      </c>
      <c r="C6" s="52" t="n">
        <v>22.691</v>
      </c>
      <c r="D6" s="52" t="n">
        <v>61.123</v>
      </c>
      <c r="E6" s="52" t="n">
        <v>101.44</v>
      </c>
      <c r="F6" s="52" t="n">
        <v>192.919</v>
      </c>
      <c r="G6" s="52" t="n">
        <v>283.864</v>
      </c>
      <c r="H6" s="52" t="n">
        <v>357.27</v>
      </c>
      <c r="I6" s="52">
        <f>I7-I5</f>
        <v>561.6682528723201</v>
      </c>
      <c r="J6" s="52">
        <f>J7-J5</f>
        <v>710.0070695013121</v>
      </c>
      <c r="K6" s="52">
        <f>K7-K5</f>
        <v>871.5012573987281</v>
      </c>
      <c r="L6" s="52">
        <f>L7-L5</f>
        <v>1037.7493136600838</v>
      </c>
      <c r="M6" s="52">
        <f>M7-M5</f>
        <v>1197.5802824048187</v>
      </c>
      <c r="N6" s="52">
        <f>N7-N5</f>
        <v>1337.9568449572544</v>
      </c>
      <c r="O6" s="52">
        <f>O7-O5</f>
        <v>1445.4647594639819</v>
      </c>
      <c r="P6" s="52">
        <f>P7-P5</f>
        <v>1508.2179973630048</v>
      </c>
      <c r="Q6" s="52">
        <f>Q7-Q5</f>
        <v>1517.8557132654364</v>
      </c>
      <c r="R6" s="52">
        <f>R7-R5</f>
        <v>1471.2076653400209</v>
      </c>
    </row>
    <row r="7">
      <c r="A7" s="2" t="inlineStr">
        <is>
          <t>Operating Expense</t>
        </is>
      </c>
      <c r="B7" s="52">
        <f>SUM(B5:B6)</f>
        <v>54.743</v>
      </c>
      <c r="C7" s="52">
        <f>SUM(C5:C6)</f>
        <v>104.296</v>
      </c>
      <c r="D7" s="52">
        <f>SUM(D5:D6)</f>
        <v>192.551</v>
      </c>
      <c r="E7" s="52">
        <f>SUM(E5:E6)</f>
        <v>208.28199999999998</v>
      </c>
      <c r="F7" s="52">
        <f>SUM(F5:F6)</f>
        <v>295.528</v>
      </c>
      <c r="G7" s="52">
        <f>SUM(G5:G6)</f>
        <v>424.49399999999997</v>
      </c>
      <c r="H7" s="52">
        <f>SUM(H5:H6)</f>
        <v>543.448</v>
      </c>
      <c r="I7" s="52">
        <f>I4-I2*NPV!C6</f>
        <v>854.3782368000001</v>
      </c>
      <c r="J7" s="52">
        <f>J4-J2*NPV!D6</f>
        <v>1080.0229228800001</v>
      </c>
      <c r="K7" s="52">
        <f>K4-K2*NPV!E6</f>
        <v>1325.67882172</v>
      </c>
      <c r="L7" s="52">
        <f>L4-L2*NPV!F6</f>
        <v>1578.5660384242224</v>
      </c>
      <c r="M7" s="52">
        <f>M4-M2*NPV!G6</f>
        <v>1821.6919415954044</v>
      </c>
      <c r="N7" s="52">
        <f>N4-N2*NPV!H6</f>
        <v>2035.2248934549045</v>
      </c>
      <c r="O7" s="52">
        <f>O4-O2*NPV!I6</f>
        <v>2198.75990183143</v>
      </c>
      <c r="P7" s="52">
        <f>P4-P2*NPV!J6</f>
        <v>2294.216606880141</v>
      </c>
      <c r="Q7" s="52">
        <f>Q4-Q2*NPV!K6</f>
        <v>2308.8769596371108</v>
      </c>
      <c r="R7" s="52">
        <f>R4-R2*NPV!L6</f>
        <v>2237.918566078523</v>
      </c>
    </row>
    <row r="8">
      <c r="A8" s="2" t="inlineStr">
        <is>
          <t>Operating Income</t>
        </is>
      </c>
      <c r="B8" s="52">
        <f>B4-B7</f>
        <v>-54.743</v>
      </c>
      <c r="C8" s="52">
        <f>C4-C7</f>
        <v>-104.296</v>
      </c>
      <c r="D8" s="52">
        <f>D4-D7</f>
        <v>-173.41299999999998</v>
      </c>
      <c r="E8" s="52">
        <f>E4-E7</f>
        <v>-131.21999999999997</v>
      </c>
      <c r="F8" s="52">
        <f>F4-F7</f>
        <v>-109.15400000000002</v>
      </c>
      <c r="G8" s="52">
        <f>G4-G7</f>
        <v>-87.606</v>
      </c>
      <c r="H8" s="52">
        <f>H4-H7</f>
        <v>-22.135999999999967</v>
      </c>
      <c r="I8" s="52">
        <f>I4-I7</f>
        <v>-150.60703680000006</v>
      </c>
      <c r="J8" s="52">
        <f>J4-J7</f>
        <v>-155.34576288000005</v>
      </c>
      <c r="K8" s="52">
        <f>K4-K7</f>
        <v>-144.1468950533333</v>
      </c>
      <c r="L8" s="52">
        <f>L4-L7</f>
        <v>-111.49722947977784</v>
      </c>
      <c r="M8" s="52">
        <f>M4-M7</f>
        <v>-53.05898859015747</v>
      </c>
      <c r="N8" s="52">
        <f>N4-N7</f>
        <v>33.0930876984537</v>
      </c>
      <c r="O8" s="52">
        <f>O4-O7</f>
        <v>145.33381014237602</v>
      </c>
      <c r="P8" s="52">
        <f>P4-P7</f>
        <v>277.77510486889605</v>
      </c>
      <c r="Q8" s="52">
        <f>Q4-Q7</f>
        <v>420.29202338547884</v>
      </c>
      <c r="R8" s="52">
        <f>R4-R7</f>
        <v>559.4796415196311</v>
      </c>
    </row>
    <row r="9">
      <c r="A9" s="18" t="inlineStr">
        <is>
          <t>Interest &amp; Other</t>
        </is>
      </c>
      <c r="B9" s="52" t="n">
        <v>2.211</v>
      </c>
      <c r="C9" s="52" t="n">
        <v>1.032</v>
      </c>
      <c r="D9" s="52" t="n">
        <v>89.462</v>
      </c>
      <c r="E9" s="52" t="n">
        <v>-10.851</v>
      </c>
      <c r="F9" s="52" t="n">
        <v>-53.27</v>
      </c>
      <c r="G9" s="52" t="n">
        <v>0.694</v>
      </c>
      <c r="H9" s="52" t="n">
        <v>0.709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</row>
    <row r="10">
      <c r="A10" s="2" t="inlineStr">
        <is>
          <t>Pretax</t>
        </is>
      </c>
      <c r="B10" s="52">
        <f>B8+B9</f>
        <v>-52.532000000000004</v>
      </c>
      <c r="C10" s="52">
        <f>C8+C9</f>
        <v>-103.26400000000001</v>
      </c>
      <c r="D10" s="52">
        <f>D8+D9</f>
        <v>-83.95099999999998</v>
      </c>
      <c r="E10" s="52">
        <f>E8+E9</f>
        <v>-142.07099999999997</v>
      </c>
      <c r="F10" s="52">
        <f>F8+F9</f>
        <v>-162.42400000000004</v>
      </c>
      <c r="G10" s="52">
        <f>G8+G9</f>
        <v>-86.91199999999999</v>
      </c>
      <c r="H10" s="52">
        <f>H8+H9</f>
        <v>-21.426999999999968</v>
      </c>
      <c r="I10" s="52">
        <f>I8+I9</f>
        <v>-150.60703680000006</v>
      </c>
      <c r="J10" s="52">
        <f>J8+J9</f>
        <v>-155.34576288000005</v>
      </c>
      <c r="K10" s="52">
        <f>K8+K9</f>
        <v>-144.1468950533333</v>
      </c>
      <c r="L10" s="52">
        <f>L8+L9</f>
        <v>-111.49722947977784</v>
      </c>
      <c r="M10" s="52">
        <f>M8+M9</f>
        <v>-53.05898859015747</v>
      </c>
      <c r="N10" s="52">
        <f>N8+N9</f>
        <v>33.0930876984537</v>
      </c>
      <c r="O10" s="52">
        <f>O8+O9</f>
        <v>145.33381014237602</v>
      </c>
      <c r="P10" s="52">
        <f>P8+P9</f>
        <v>277.77510486889605</v>
      </c>
      <c r="Q10" s="52">
        <f>Q8+Q9</f>
        <v>420.29202338547884</v>
      </c>
      <c r="R10" s="52">
        <f>R8+R9</f>
        <v>559.4796415196311</v>
      </c>
    </row>
    <row r="11">
      <c r="A11" s="2" t="inlineStr">
        <is>
          <t>Taxes</t>
        </is>
      </c>
      <c r="B11" s="52" t="n">
        <v>0.021</v>
      </c>
      <c r="C11" s="52" t="n">
        <v>0.006</v>
      </c>
      <c r="D11" s="52" t="n">
        <v>0.037</v>
      </c>
      <c r="E11" s="52" t="n">
        <v>-6.406</v>
      </c>
      <c r="F11" s="52" t="n">
        <v>0.991</v>
      </c>
      <c r="G11" s="52" t="n">
        <v>1.03</v>
      </c>
      <c r="H11" s="52" t="n">
        <v>1.936</v>
      </c>
      <c r="I11" s="52">
        <f>MAX(0,I10)*Assumptions!$E$14</f>
        <v>0.0</v>
      </c>
      <c r="J11" s="52">
        <f>MAX(0,J10)*Assumptions!$E$14</f>
        <v>0.0</v>
      </c>
      <c r="K11" s="52">
        <f>MAX(0,K10)*Assumptions!$E$14</f>
        <v>0.0</v>
      </c>
      <c r="L11" s="52">
        <f>MAX(0,L10)*Assumptions!$E$14</f>
        <v>0.0</v>
      </c>
      <c r="M11" s="52">
        <f>MAX(0,M10)*Assumptions!$E$14</f>
        <v>0.0</v>
      </c>
      <c r="N11" s="52">
        <f>MAX(0,N10)*Assumptions!$E$14</f>
        <v>5.62582490873713</v>
      </c>
      <c r="O11" s="52">
        <f>MAX(0,O10)*Assumptions!$E$14</f>
        <v>24.706747724203925</v>
      </c>
      <c r="P11" s="52">
        <f>MAX(0,P10)*Assumptions!$E$14</f>
        <v>47.221767827712334</v>
      </c>
      <c r="Q11" s="52">
        <f>MAX(0,Q10)*Assumptions!$E$14</f>
        <v>71.4496439755314</v>
      </c>
      <c r="R11" s="52">
        <f>MAX(0,R10)*Assumptions!$E$14</f>
        <v>95.11153905833729</v>
      </c>
    </row>
    <row r="12">
      <c r="A12" s="2" t="inlineStr">
        <is>
          <t>Net Income</t>
        </is>
      </c>
      <c r="B12" s="52" t="n">
        <v>-52.553</v>
      </c>
      <c r="C12" s="52" t="n">
        <v>-103.27</v>
      </c>
      <c r="D12" s="52" t="n">
        <v>-83.988</v>
      </c>
      <c r="E12" s="52" t="n">
        <v>-135.665</v>
      </c>
      <c r="F12" s="52" t="n">
        <v>-163.415</v>
      </c>
      <c r="G12" s="52" t="n">
        <v>-87.94199999999999</v>
      </c>
      <c r="H12" s="52" t="n">
        <v>-23.363</v>
      </c>
      <c r="I12" s="52">
        <f>I10-I11</f>
        <v>-150.60703680000006</v>
      </c>
      <c r="J12" s="52">
        <f>J10-J11</f>
        <v>-155.34576288000005</v>
      </c>
      <c r="K12" s="52">
        <f>K10-K11</f>
        <v>-144.1468950533333</v>
      </c>
      <c r="L12" s="52">
        <f>L10-L11</f>
        <v>-111.49722947977784</v>
      </c>
      <c r="M12" s="52">
        <f>M10-M11</f>
        <v>-53.05898859015747</v>
      </c>
      <c r="N12" s="52">
        <f>N10-N11</f>
        <v>27.46726278971657</v>
      </c>
      <c r="O12" s="52">
        <f>O10-O11</f>
        <v>120.6270624181721</v>
      </c>
      <c r="P12" s="52">
        <f>P10-P11</f>
        <v>230.5533370411837</v>
      </c>
      <c r="Q12" s="52">
        <f>Q10-Q11</f>
        <v>348.84237940994745</v>
      </c>
      <c r="R12" s="52">
        <f>R10-R11</f>
        <v>464.3681024612938</v>
      </c>
    </row>
    <row r="13">
      <c r="A13" s="2" t="inlineStr">
        <is>
          <t>Earnings per Share</t>
        </is>
      </c>
      <c r="B13" s="11">
        <f>IFERROR(B12/B14,0)</f>
        <v>-4.575396134424516</v>
      </c>
      <c r="C13" s="11">
        <f>IFERROR(C12/C14,0)</f>
        <v>-4.089577063202914</v>
      </c>
      <c r="D13" s="11">
        <f>IFERROR(D12/D14,0)</f>
        <v>-2.7698700613416003</v>
      </c>
      <c r="E13" s="11">
        <f>IFERROR(E12/E14,0)</f>
        <v>-3.9922606085574714</v>
      </c>
      <c r="F13" s="11">
        <f>IFERROR(F12/F14,0)</f>
        <v>-3.9969426440014675</v>
      </c>
      <c r="G13" s="11">
        <f>IFERROR(G12/G14,0)</f>
        <v>-1.8505144877217345</v>
      </c>
      <c r="H13" s="11">
        <f>IFERROR(H12/H14,0)</f>
        <v>-0.4654169488824256</v>
      </c>
      <c r="I13" s="11">
        <f>IFERROR(I12/I14,0)</f>
        <v>-2.3194505937215784</v>
      </c>
      <c r="J13" s="11">
        <f>IFERROR(J12/J14,0)</f>
        <v>-2.39243019184179</v>
      </c>
      <c r="K13" s="11">
        <f>IFERROR(K12/K14,0)</f>
        <v>-2.219960025895522</v>
      </c>
      <c r="L13" s="11">
        <f>IFERROR(L12/L14,0)</f>
        <v>-1.717133014565636</v>
      </c>
      <c r="M13" s="11">
        <f>IFERROR(M12/M14,0)</f>
        <v>-0.8171444389489984</v>
      </c>
      <c r="N13" s="11">
        <f>IFERROR(N12/N14,0)</f>
        <v>0.4230144908177006</v>
      </c>
      <c r="O13" s="11">
        <f>IFERROR(O12/O14,0)</f>
        <v>1.8577386388410708</v>
      </c>
      <c r="P13" s="11">
        <f>IFERROR(P12/P14,0)</f>
        <v>3.550677882301078</v>
      </c>
      <c r="Q13" s="11">
        <f>IFERROR(Q12/Q14,0)</f>
        <v>5.372409425411725</v>
      </c>
      <c r="R13" s="11">
        <f>IFERROR(R12/R14,0)</f>
        <v>7.151583975385739</v>
      </c>
    </row>
    <row r="14">
      <c r="A14" s="2" t="inlineStr">
        <is>
          <t>Shares</t>
        </is>
      </c>
      <c r="B14" s="52" t="n">
        <v>11.486</v>
      </c>
      <c r="C14" s="52" t="n">
        <v>25.252</v>
      </c>
      <c r="D14" s="52" t="n">
        <v>30.322</v>
      </c>
      <c r="E14" s="52" t="n">
        <v>33.982</v>
      </c>
      <c r="F14" s="52" t="n">
        <v>40.885</v>
      </c>
      <c r="G14" s="52" t="n">
        <v>47.523</v>
      </c>
      <c r="H14" s="52" t="n">
        <v>50.198</v>
      </c>
      <c r="I14" s="52">
        <f>Main!$C$4</f>
        <v>64.932203</v>
      </c>
      <c r="J14" s="52">
        <f>Main!$C$4</f>
        <v>64.932203</v>
      </c>
      <c r="K14" s="52">
        <f>Main!$C$4</f>
        <v>64.932203</v>
      </c>
      <c r="L14" s="52">
        <f>Main!$C$4</f>
        <v>64.932203</v>
      </c>
      <c r="M14" s="52">
        <f>Main!$C$4</f>
        <v>64.932203</v>
      </c>
      <c r="N14" s="52">
        <f>Main!$C$4</f>
        <v>64.932203</v>
      </c>
      <c r="O14" s="52">
        <f>Main!$C$4</f>
        <v>64.932203</v>
      </c>
      <c r="P14" s="52">
        <f>Main!$C$4</f>
        <v>64.932203</v>
      </c>
      <c r="Q14" s="52">
        <f>Main!$C$4</f>
        <v>64.932203</v>
      </c>
      <c r="R14" s="52">
        <f>Main!$C$4</f>
        <v>64.932203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3.0266485526178277</v>
      </c>
      <c r="F16" s="15">
        <f>IFERROR(F2/E2-1,"")</f>
        <v>1.418494199475747</v>
      </c>
      <c r="G16" s="15">
        <f>IFERROR(G2/F2-1,"")</f>
        <v>0.8075911876120059</v>
      </c>
      <c r="H16" s="15">
        <f>IFERROR(H2/G2-1,"")</f>
        <v>0.5474341620954146</v>
      </c>
      <c r="I16" s="15">
        <f>IFERROR(I2/H2-1,"")</f>
        <v>0.3500000000000001</v>
      </c>
      <c r="J16" s="15">
        <f>IFERROR(J2/I2-1,"")</f>
        <v>0.3138888888888889</v>
      </c>
      <c r="K16" s="15">
        <f>IFERROR(K2/J2-1,"")</f>
        <v>0.2777777777777779</v>
      </c>
      <c r="L16" s="15">
        <f>IFERROR(L2/K2-1,"")</f>
        <v>0.2416666666666667</v>
      </c>
      <c r="M16" s="15">
        <f>IFERROR(M2/L2-1,"")</f>
        <v>0.2055555555555555</v>
      </c>
      <c r="N16" s="15">
        <f>IFERROR(N2/M2-1,"")</f>
        <v>0.1694444444444445</v>
      </c>
      <c r="O16" s="15">
        <f>IFERROR(O2/N2-1,"")</f>
        <v>0.1333333333333333</v>
      </c>
      <c r="P16" s="15">
        <f>IFERROR(P2/O2-1,"")</f>
        <v>0.09722222222222232</v>
      </c>
      <c r="Q16" s="15">
        <f>IFERROR(Q2/P2-1,"")</f>
        <v>0.061111111111111116</v>
      </c>
      <c r="R16" s="15">
        <f>IFERROR(R2/Q2-1,"")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-9.06118716689309</v>
      </c>
      <c r="E18" s="15">
        <f>IFERROR(E8/E2,"")</f>
        <v>-1.702784770704108</v>
      </c>
      <c r="F18" s="15">
        <f>IFERROR(F8/F2,"")</f>
        <v>-0.5856718211767737</v>
      </c>
      <c r="G18" s="15">
        <f>IFERROR(G8/G2,"")</f>
        <v>-0.26004488138491133</v>
      </c>
      <c r="H18" s="15">
        <f>IFERROR(H8/H2,"")</f>
        <v>-0.04246209563562697</v>
      </c>
      <c r="I18" s="15">
        <f>IFERROR(I8/I2,"")</f>
        <v>-0.21400000000000008</v>
      </c>
      <c r="J18" s="15">
        <f>IFERROR(J8/J2,"")</f>
        <v>-0.16800000000000004</v>
      </c>
      <c r="K18" s="15">
        <f>IFERROR(K8/K2,"")</f>
        <v>-0.12199999999999997</v>
      </c>
      <c r="L18" s="15">
        <f>IFERROR(L8/L2,"")</f>
        <v>-0.07600000000000004</v>
      </c>
      <c r="M18" s="15">
        <f>IFERROR(M8/M2,"")</f>
        <v>-0.030000000000000034</v>
      </c>
      <c r="N18" s="15">
        <f>IFERROR(N8/N2,"")</f>
        <v>0.015999999999999986</v>
      </c>
      <c r="O18" s="15">
        <f>IFERROR(O8/O2,"")</f>
        <v>0.06200000000000002</v>
      </c>
      <c r="P18" s="15">
        <f>IFERROR(P8/P2,"")</f>
        <v>0.10800000000000001</v>
      </c>
      <c r="Q18" s="15">
        <f>IFERROR(Q8/Q2,"")</f>
        <v>0.15400000000000003</v>
      </c>
      <c r="R18" s="15">
        <f>IFERROR(R8/R2,"")</f>
        <v>0.2000000000000001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E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Mirum Pharmaceuticals,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0.105</v>
      </c>
      <c r="C10" s="53" t="n">
        <v>0.095</v>
      </c>
      <c r="D10" s="53" t="n">
        <v>0.08500000000000001</v>
      </c>
      <c r="E10" s="54">
        <f>IF(ISNUMBER($B$6),$B$6,CHOOSE($B$4,B10,C10,D10))</f>
        <v>0.095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0.3</v>
      </c>
      <c r="C12" s="53" t="n">
        <v>0.35</v>
      </c>
      <c r="D12" s="53" t="n">
        <v>0.4</v>
      </c>
      <c r="E12" s="54">
        <f>CHOOSE($B$4,B12,C12,D12)</f>
        <v>0.35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-0.26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0.3426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Model'!H2</f>
        <v>521.312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2512.5157030013906</v>
      </c>
      <c r="C29" s="56">
        <f>NPV!B26</f>
        <v>2200.727703001391</v>
      </c>
      <c r="D29" s="35">
        <f>NPV!B28</f>
        <v>33.89270040632059</v>
      </c>
      <c r="E29" s="57">
        <f>NPV!B30</f>
        <v>-0.6015904501431693</v>
      </c>
    </row>
    <row r="30">
      <c r="A30" s="58" t="n">
        <v>1</v>
      </c>
      <c r="B30" s="59">
        <f t="dataTable" ref="B30:E32" r1="B4"/>
        <v>755.0903075100637</v>
      </c>
      <c r="C30" s="59">
        <v>443.30230751006366</v>
      </c>
      <c r="D30" s="39">
        <v>6.827156434382238</v>
      </c>
      <c r="E30" s="60">
        <v>-0.9197466035690345</v>
      </c>
    </row>
    <row r="31">
      <c r="A31" s="58" t="n">
        <v>2</v>
      </c>
      <c r="B31" s="59">
        <v>2512.5157030013906</v>
      </c>
      <c r="C31" s="59">
        <v>2200.727703001391</v>
      </c>
      <c r="D31" s="39">
        <v>33.89270040632059</v>
      </c>
      <c r="E31" s="60">
        <v>-0.6015904501431693</v>
      </c>
    </row>
    <row r="32">
      <c r="A32" s="58" t="n">
        <v>3</v>
      </c>
      <c r="B32" s="59">
        <v>6152.634273415277</v>
      </c>
      <c r="C32" s="59">
        <v>5840.846273415277</v>
      </c>
      <c r="D32" s="39">
        <v>89.95299718100242</v>
      </c>
      <c r="E32" s="60">
        <v>0.05739975527215724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33.89270040632059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0.075</v>
      </c>
      <c r="B37" s="39">
        <f t="dataTable" ref="B37:F41" dt2D="1" r1="B7" r2="B6"/>
        <v>48.87696727593823</v>
      </c>
      <c r="C37" s="39">
        <v>55.31891909100592</v>
      </c>
      <c r="D37" s="39">
        <v>63.06726874940975</v>
      </c>
      <c r="E37" s="39">
        <v>72.55770838800838</v>
      </c>
      <c r="F37" s="39">
        <v>84.44377899227504</v>
      </c>
    </row>
    <row r="38">
      <c r="A38" s="62" t="n">
        <v>0.08500000000000001</v>
      </c>
      <c r="B38" s="39">
        <v>36.26779102291195</v>
      </c>
      <c r="C38" s="39">
        <v>40.68787366037958</v>
      </c>
      <c r="D38" s="39">
        <v>45.858750520123536</v>
      </c>
      <c r="E38" s="39">
        <v>51.98535636769148</v>
      </c>
      <c r="F38" s="39">
        <v>59.35460194756803</v>
      </c>
    </row>
    <row r="39">
      <c r="A39" s="62" t="n">
        <v>0.095</v>
      </c>
      <c r="B39" s="39">
        <v>27.08879422577055</v>
      </c>
      <c r="C39" s="39">
        <v>30.258634437989944</v>
      </c>
      <c r="D39" s="39">
        <v>33.89270040632059</v>
      </c>
      <c r="E39" s="39">
        <v>38.098257662175264</v>
      </c>
      <c r="F39" s="39">
        <v>43.01832852506903</v>
      </c>
    </row>
    <row r="40">
      <c r="A40" s="62" t="n">
        <v>0.105</v>
      </c>
      <c r="B40" s="39">
        <v>20.176641676110606</v>
      </c>
      <c r="C40" s="39">
        <v>22.52680359492404</v>
      </c>
      <c r="D40" s="39">
        <v>25.18013228376463</v>
      </c>
      <c r="E40" s="39">
        <v>28.19737172140928</v>
      </c>
      <c r="F40" s="39">
        <v>31.656622598014692</v>
      </c>
    </row>
    <row r="41">
      <c r="A41" s="62" t="n">
        <v>0.115</v>
      </c>
      <c r="B41" s="39">
        <v>14.8350095763442</v>
      </c>
      <c r="C41" s="39">
        <v>16.623205757997425</v>
      </c>
      <c r="D41" s="39">
        <v>18.617973257112077</v>
      </c>
      <c r="E41" s="39">
        <v>20.85585719215436</v>
      </c>
      <c r="F41" s="39">
        <v>23.38254001468411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Mirum Pharmaceuticals, Inc.: free-cash-flow DCF ($mm)</t>
        </is>
      </c>
    </row>
    <row r="3">
      <c r="A3" s="20" t="inlineStr">
        <is>
          <t>Fiscal year</t>
        </is>
      </c>
      <c r="B3" s="43">
        <f>'Yearly Model'!H1</f>
        <v>2025</v>
      </c>
      <c r="C3" s="43">
        <f>'Yearly Model'!I1</f>
        <v>2026</v>
      </c>
      <c r="D3" s="43">
        <f>'Yearly Model'!J1</f>
        <v>2027</v>
      </c>
      <c r="E3" s="43">
        <f>'Yearly Model'!K1</f>
        <v>2028</v>
      </c>
      <c r="F3" s="43">
        <f>'Yearly Model'!L1</f>
        <v>2029</v>
      </c>
      <c r="G3" s="43">
        <f>'Yearly Model'!M1</f>
        <v>2030</v>
      </c>
      <c r="H3" s="43">
        <f>'Yearly Model'!N1</f>
        <v>2031</v>
      </c>
      <c r="I3" s="43">
        <f>'Yearly Model'!O1</f>
        <v>2032</v>
      </c>
      <c r="J3" s="43">
        <f>'Yearly Model'!P1</f>
        <v>2033</v>
      </c>
      <c r="K3" s="43">
        <f>'Yearly Model'!Q1</f>
        <v>2034</v>
      </c>
      <c r="L3" s="43">
        <f>'Yearly Model'!R1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0.35</v>
      </c>
      <c r="D5" s="63">
        <f>Assumptions!$E$12+(Assumptions!$E$11-Assumptions!$E$12)*(D4-1)/(Assumptions!$B$21-1)</f>
        <v>0.3138888888888889</v>
      </c>
      <c r="E5" s="63">
        <f>Assumptions!$E$12+(Assumptions!$E$11-Assumptions!$E$12)*(E4-1)/(Assumptions!$B$21-1)</f>
        <v>0.2777777777777778</v>
      </c>
      <c r="F5" s="63">
        <f>Assumptions!$E$12+(Assumptions!$E$11-Assumptions!$E$12)*(F4-1)/(Assumptions!$B$21-1)</f>
        <v>0.24166666666666664</v>
      </c>
      <c r="G5" s="63">
        <f>Assumptions!$E$12+(Assumptions!$E$11-Assumptions!$E$12)*(G4-1)/(Assumptions!$B$21-1)</f>
        <v>0.20555555555555555</v>
      </c>
      <c r="H5" s="63">
        <f>Assumptions!$E$12+(Assumptions!$E$11-Assumptions!$E$12)*(H4-1)/(Assumptions!$B$21-1)</f>
        <v>0.16944444444444445</v>
      </c>
      <c r="I5" s="63">
        <f>Assumptions!$E$12+(Assumptions!$E$11-Assumptions!$E$12)*(I4-1)/(Assumptions!$B$21-1)</f>
        <v>0.13333333333333333</v>
      </c>
      <c r="J5" s="63">
        <f>Assumptions!$E$12+(Assumptions!$E$11-Assumptions!$E$12)*(J4-1)/(Assumptions!$B$21-1)</f>
        <v>0.09722222222222227</v>
      </c>
      <c r="K5" s="63">
        <f>Assumptions!$E$12+(Assumptions!$E$11-Assumptions!$E$12)*(K4-1)/(Assumptions!$B$21-1)</f>
        <v>0.061111111111111116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-0.04246209563562697</v>
      </c>
      <c r="C6" s="63">
        <f>Assumptions!$B$18+(Assumptions!$E$13-Assumptions!$B$18)*C4/Assumptions!$B$21</f>
        <v>-0.21400000000000002</v>
      </c>
      <c r="D6" s="63">
        <f>Assumptions!$B$18+(Assumptions!$E$13-Assumptions!$B$18)*D4/Assumptions!$B$21</f>
        <v>-0.168</v>
      </c>
      <c r="E6" s="63">
        <f>Assumptions!$B$18+(Assumptions!$E$13-Assumptions!$B$18)*E4/Assumptions!$B$21</f>
        <v>-0.122</v>
      </c>
      <c r="F6" s="63">
        <f>Assumptions!$B$18+(Assumptions!$E$13-Assumptions!$B$18)*F4/Assumptions!$B$21</f>
        <v>-0.07600000000000001</v>
      </c>
      <c r="G6" s="63">
        <f>Assumptions!$B$18+(Assumptions!$E$13-Assumptions!$B$18)*G4/Assumptions!$B$21</f>
        <v>-0.02999999999999997</v>
      </c>
      <c r="H6" s="63">
        <f>Assumptions!$B$18+(Assumptions!$E$13-Assumptions!$B$18)*H4/Assumptions!$B$21</f>
        <v>0.016000000000000014</v>
      </c>
      <c r="I6" s="63">
        <f>Assumptions!$B$18+(Assumptions!$E$13-Assumptions!$B$18)*I4/Assumptions!$B$21</f>
        <v>0.062</v>
      </c>
      <c r="J6" s="63">
        <f>Assumptions!$B$18+(Assumptions!$E$13-Assumptions!$B$18)*J4/Assumptions!$B$21</f>
        <v>0.10799999999999998</v>
      </c>
      <c r="K6" s="63">
        <f>Assumptions!$B$18+(Assumptions!$E$13-Assumptions!$B$18)*K4/Assumptions!$B$21</f>
        <v>0.15400000000000003</v>
      </c>
      <c r="L6" s="63">
        <f>Assumptions!$B$18+(Assumptions!$E$13-Assumptions!$B$18)*L4/Assumptions!$B$21</f>
        <v>0.20000000000000007</v>
      </c>
    </row>
    <row r="7">
      <c r="A7" s="14" t="inlineStr">
        <is>
          <t>Revenue</t>
        </is>
      </c>
      <c r="B7" s="55">
        <f>'Yearly Model'!H2</f>
        <v>521.312</v>
      </c>
      <c r="C7" s="55">
        <f>'Yearly Model'!I2</f>
        <v>703.7712</v>
      </c>
      <c r="D7" s="55">
        <f>'Yearly Model'!J2</f>
        <v>924.6771600000001</v>
      </c>
      <c r="E7" s="55">
        <f>'Yearly Model'!K2</f>
        <v>1181.5319266666668</v>
      </c>
      <c r="F7" s="55">
        <f>'Yearly Model'!L2</f>
        <v>1467.0688089444445</v>
      </c>
      <c r="G7" s="55">
        <f>'Yearly Model'!M2</f>
        <v>1768.632953005247</v>
      </c>
      <c r="H7" s="55">
        <f>'Yearly Model'!N2</f>
        <v>2068.3179811533582</v>
      </c>
      <c r="I7" s="55">
        <f>'Yearly Model'!O2</f>
        <v>2344.093711973806</v>
      </c>
      <c r="J7" s="55">
        <f>'Yearly Model'!P2</f>
        <v>2571.991711749037</v>
      </c>
      <c r="K7" s="55">
        <f>'Yearly Model'!Q2</f>
        <v>2729.1689830225896</v>
      </c>
      <c r="L7" s="55">
        <f>'Yearly Model'!R2</f>
        <v>2797.398207598154</v>
      </c>
    </row>
    <row r="8">
      <c r="A8" s="14" t="inlineStr">
        <is>
          <t>Operating income</t>
        </is>
      </c>
      <c r="B8" s="55">
        <f>'Yearly Model'!H8</f>
        <v>-22.135999999999967</v>
      </c>
      <c r="C8" s="55">
        <f>'Yearly Model'!I8</f>
        <v>-150.60703680000006</v>
      </c>
      <c r="D8" s="55">
        <f>'Yearly Model'!J8</f>
        <v>-155.34576288000005</v>
      </c>
      <c r="E8" s="55">
        <f>'Yearly Model'!K8</f>
        <v>-144.1468950533333</v>
      </c>
      <c r="F8" s="55">
        <f>'Yearly Model'!L8</f>
        <v>-111.49722947977784</v>
      </c>
      <c r="G8" s="55">
        <f>'Yearly Model'!M8</f>
        <v>-53.05898859015747</v>
      </c>
      <c r="H8" s="55">
        <f>'Yearly Model'!N8</f>
        <v>33.0930876984537</v>
      </c>
      <c r="I8" s="55">
        <f>'Yearly Model'!O8</f>
        <v>145.33381014237602</v>
      </c>
      <c r="J8" s="55">
        <f>'Yearly Model'!P8</f>
        <v>277.77510486889605</v>
      </c>
      <c r="K8" s="55">
        <f>'Yearly Model'!Q8</f>
        <v>420.29202338547884</v>
      </c>
      <c r="L8" s="55">
        <f>'Yearly Model'!R8</f>
        <v>559.4796415196311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5.62582490873713</v>
      </c>
      <c r="I9" s="52">
        <f>MAX(0,I8)*Assumptions!$E$14</f>
        <v>24.706747724203925</v>
      </c>
      <c r="J9" s="52">
        <f>MAX(0,J8)*Assumptions!$E$14</f>
        <v>47.221767827712334</v>
      </c>
      <c r="K9" s="52">
        <f>MAX(0,K8)*Assumptions!$E$14</f>
        <v>71.4496439755314</v>
      </c>
      <c r="L9" s="52">
        <f>MAX(0,L8)*Assumptions!$E$14</f>
        <v>95.11153905833729</v>
      </c>
    </row>
    <row r="10">
      <c r="A10" s="14" t="inlineStr">
        <is>
          <t>NOPAT</t>
        </is>
      </c>
      <c r="C10" s="52">
        <f>C8-C9</f>
        <v>-150.60703680000006</v>
      </c>
      <c r="D10" s="52">
        <f>D8-D9</f>
        <v>-155.34576288000005</v>
      </c>
      <c r="E10" s="52">
        <f>E8-E9</f>
        <v>-144.1468950533333</v>
      </c>
      <c r="F10" s="52">
        <f>F8-F9</f>
        <v>-111.49722947977784</v>
      </c>
      <c r="G10" s="52">
        <f>G8-G9</f>
        <v>-53.05898859015747</v>
      </c>
      <c r="H10" s="52">
        <f>H8-H9</f>
        <v>27.46726278971657</v>
      </c>
      <c r="I10" s="52">
        <f>I8-I9</f>
        <v>120.6270624181721</v>
      </c>
      <c r="J10" s="52">
        <f>J8-J9</f>
        <v>230.5533370411837</v>
      </c>
      <c r="K10" s="52">
        <f>K8-K9</f>
        <v>348.84237940994745</v>
      </c>
      <c r="L10" s="52">
        <f>L8-L9</f>
        <v>464.3681024612938</v>
      </c>
    </row>
    <row r="11">
      <c r="A11" s="14" t="inlineStr">
        <is>
          <t>Reinvestment</t>
        </is>
      </c>
      <c r="C11" s="52">
        <f>(C7-B7)*Assumptions!$E$15</f>
        <v>45.6148</v>
      </c>
      <c r="D11" s="52">
        <f>(D7-C7)*Assumptions!$E$15</f>
        <v>55.22649000000001</v>
      </c>
      <c r="E11" s="52">
        <f>(E7-D7)*Assumptions!$E$15</f>
        <v>64.21369166666668</v>
      </c>
      <c r="F11" s="52">
        <f>(F7-E7)*Assumptions!$E$15</f>
        <v>71.38422056944444</v>
      </c>
      <c r="G11" s="52">
        <f>(G7-F7)*Assumptions!$E$15</f>
        <v>75.3910360152006</v>
      </c>
      <c r="H11" s="52">
        <f>(H7-G7)*Assumptions!$E$15</f>
        <v>74.92125703702783</v>
      </c>
      <c r="I11" s="52">
        <f>(I7-H7)*Assumptions!$E$15</f>
        <v>68.94393270511193</v>
      </c>
      <c r="J11" s="52">
        <f>(J7-I7)*Assumptions!$E$15</f>
        <v>56.974499943807814</v>
      </c>
      <c r="K11" s="52">
        <f>(K7-J7)*Assumptions!$E$15</f>
        <v>39.294317818388095</v>
      </c>
      <c r="L11" s="52">
        <f>(L7-K7)*Assumptions!$E$15</f>
        <v>17.057306143891083</v>
      </c>
    </row>
    <row r="12">
      <c r="A12" s="20" t="inlineStr">
        <is>
          <t>Free cash flow</t>
        </is>
      </c>
      <c r="C12" s="64">
        <f>C10-C11</f>
        <v>-196.22183680000006</v>
      </c>
      <c r="D12" s="64">
        <f>D10-D11</f>
        <v>-210.57225288000006</v>
      </c>
      <c r="E12" s="64">
        <f>E10-E11</f>
        <v>-208.36058672</v>
      </c>
      <c r="F12" s="64">
        <f>F10-F11</f>
        <v>-182.88145004922228</v>
      </c>
      <c r="G12" s="64">
        <f>G10-G11</f>
        <v>-128.45002460535807</v>
      </c>
      <c r="H12" s="64">
        <f>H10-H11</f>
        <v>-47.45399424731126</v>
      </c>
      <c r="I12" s="64">
        <f>I10-I11</f>
        <v>51.68312971306017</v>
      </c>
      <c r="J12" s="64">
        <f>J10-J11</f>
        <v>173.5788370973759</v>
      </c>
      <c r="K12" s="64">
        <f>K10-K11</f>
        <v>309.54806159155936</v>
      </c>
      <c r="L12" s="64">
        <f>L10-L11</f>
        <v>447.3107963174027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0.9773850037537266</v>
      </c>
      <c r="D15" s="65">
        <f>1/(1+Assumptions!$E$10)^D14</f>
        <v>0.9129022614872813</v>
      </c>
      <c r="E15" s="65">
        <f>1/(1+Assumptions!$E$10)^E14</f>
        <v>0.8337006954221746</v>
      </c>
      <c r="F15" s="65">
        <f>1/(1+Assumptions!$E$10)^F14</f>
        <v>0.7613704981024426</v>
      </c>
      <c r="G15" s="65">
        <f>1/(1+Assumptions!$E$10)^G14</f>
        <v>0.6953155233812262</v>
      </c>
      <c r="H15" s="65">
        <f>1/(1+Assumptions!$E$10)^H14</f>
        <v>0.6349913455536312</v>
      </c>
      <c r="I15" s="65">
        <f>1/(1+Assumptions!$E$10)^I14</f>
        <v>0.5799007721950971</v>
      </c>
      <c r="J15" s="65">
        <f>1/(1+Assumptions!$E$10)^J14</f>
        <v>0.5295897462968923</v>
      </c>
      <c r="K15" s="65">
        <f>1/(1+Assumptions!$E$10)^K14</f>
        <v>0.48364360392410255</v>
      </c>
      <c r="L15" s="65">
        <f>1/(1+Assumptions!$E$10)^L14</f>
        <v>0.44168365655169184</v>
      </c>
    </row>
    <row r="16">
      <c r="A16" s="20" t="inlineStr">
        <is>
          <t>PV of free cash flow</t>
        </is>
      </c>
      <c r="C16" s="64">
        <f>C12*C13*C15</f>
        <v>-96.67845589952465</v>
      </c>
      <c r="D16" s="64">
        <f>D12*D13*D15</f>
        <v>-192.23188586062372</v>
      </c>
      <c r="E16" s="64">
        <f>E12*E13*E15</f>
        <v>-173.7103660470363</v>
      </c>
      <c r="F16" s="64">
        <f>F12*F13*F15</f>
        <v>-139.24054071767335</v>
      </c>
      <c r="G16" s="64">
        <f>G12*G13*G15</f>
        <v>-89.31329608680592</v>
      </c>
      <c r="H16" s="64">
        <f>H12*H13*H15</f>
        <v>-30.13287565899445</v>
      </c>
      <c r="I16" s="64">
        <f>I12*I13*I15</f>
        <v>29.971086830062955</v>
      </c>
      <c r="J16" s="64">
        <f>J12*J13*J15</f>
        <v>91.9255723009089</v>
      </c>
      <c r="K16" s="64">
        <f>K12*K13*K15</f>
        <v>149.71094009586184</v>
      </c>
      <c r="L16" s="64">
        <f>L12*L13*L15</f>
        <v>197.56986813251947</v>
      </c>
    </row>
    <row r="19">
      <c r="A19" s="14" t="inlineStr">
        <is>
          <t>PV of forecast free cash flow</t>
        </is>
      </c>
      <c r="B19" s="52">
        <f>SUM(C16:L16)</f>
        <v>-252.12995291130514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458.49356622533764</v>
      </c>
    </row>
    <row r="21">
      <c r="A21" s="14" t="inlineStr">
        <is>
          <t>Terminal value</t>
        </is>
      </c>
      <c r="B21" s="52">
        <f>B20/(Assumptions!$E$10-Assumptions!$E$11)</f>
        <v>6549.9080889333945</v>
      </c>
    </row>
    <row r="22">
      <c r="A22" s="14" t="inlineStr">
        <is>
          <t>PV of terminal value</t>
        </is>
      </c>
      <c r="B22" s="52">
        <f>B21/(1+Assumptions!$E$10)^(L14+0.5)</f>
        <v>2764.645655912696</v>
      </c>
    </row>
    <row r="23">
      <c r="A23" s="20" t="inlineStr">
        <is>
          <t>Enterprise value</t>
        </is>
      </c>
      <c r="B23" s="66">
        <f>B19+B22</f>
        <v>2512.5157030013906</v>
      </c>
    </row>
    <row r="24">
      <c r="A24" s="14" t="inlineStr">
        <is>
          <t>Cash &amp; investments</t>
        </is>
      </c>
      <c r="B24" s="55">
        <f>Main!C7</f>
        <v>438.291</v>
      </c>
    </row>
    <row r="25">
      <c r="A25" s="14" t="inlineStr">
        <is>
          <t>Debt</t>
        </is>
      </c>
      <c r="B25" s="55">
        <f>Main!C8</f>
        <v>750.079</v>
      </c>
    </row>
    <row r="26">
      <c r="A26" s="20" t="inlineStr">
        <is>
          <t>Equity value</t>
        </is>
      </c>
      <c r="B26" s="66">
        <f>B23+B24-B25</f>
        <v>2200.727703001391</v>
      </c>
    </row>
    <row r="27">
      <c r="A27" s="14" t="inlineStr">
        <is>
          <t>Shares (mm)</t>
        </is>
      </c>
      <c r="B27" s="55">
        <f>Main!C4</f>
        <v>64.932203</v>
      </c>
    </row>
    <row r="28">
      <c r="A28" s="20" t="inlineStr">
        <is>
          <t>NPV / share</t>
        </is>
      </c>
      <c r="B28" s="49">
        <f>B26/B27</f>
        <v>33.89270040632059</v>
      </c>
    </row>
    <row r="29">
      <c r="A29" s="14" t="inlineStr">
        <is>
          <t>Price</t>
        </is>
      </c>
      <c r="B29" s="50">
        <f>Main!C3</f>
        <v>85.07</v>
      </c>
    </row>
    <row r="30">
      <c r="A30" s="14" t="inlineStr">
        <is>
          <t>Upside</t>
        </is>
      </c>
      <c r="B30" s="63">
        <f>B28/B29-1</f>
        <v>-0.6015904501431693</v>
      </c>
    </row>
    <row r="31">
      <c r="A31" s="14" t="inlineStr">
        <is>
          <t>Terminal value, % of EV</t>
        </is>
      </c>
      <c r="B31" s="63">
        <f>IFERROR(B22/B23,0)</f>
        <v>1.1003496028343691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2026-10-21T06:21:42Z</dcterms:modified>
  <cp:lastModifiedBy>Wang, Eric</cp:lastModifiedBy>
</cp:coreProperties>
</file>