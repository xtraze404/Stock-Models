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Polaryx Therapeutics, Inc</t>
        </is>
      </c>
      <c r="C2" s="10" t="n"/>
    </row>
    <row r="3">
      <c r="B3" t="inlineStr">
        <is>
          <t>Price</t>
        </is>
      </c>
      <c r="C3" s="11">
        <f>INDEX([1]Pharma!$F$1:$F$1000,MATCH("PLYX",[1]Pharma!$B$1:$B$1000,0))</f>
        <v>1.91</v>
      </c>
      <c r="F3" s="1" t="n"/>
    </row>
    <row r="4">
      <c r="B4" t="inlineStr">
        <is>
          <t>Shares</t>
        </is>
      </c>
      <c r="C4" s="21" t="n">
        <v>49.845993</v>
      </c>
      <c r="F4" s="1" t="n"/>
    </row>
    <row r="5">
      <c r="B5" t="inlineStr">
        <is>
          <t>Market Cap.</t>
        </is>
      </c>
      <c r="C5" s="13">
        <f>C3*C4</f>
        <v>95.20584663</v>
      </c>
      <c r="F5" s="1" t="n"/>
    </row>
    <row r="6"/>
    <row r="7">
      <c r="B7" t="inlineStr">
        <is>
          <t>Cash</t>
        </is>
      </c>
      <c r="C7" s="21" t="n">
        <v>11.542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83.66384663</v>
      </c>
    </row>
    <row r="10"/>
    <row r="11">
      <c r="B11" s="14" t="inlineStr">
        <is>
          <t>Net Cash / Share</t>
        </is>
      </c>
      <c r="C11" s="11">
        <f>(C7-C8)/C4</f>
        <v>0.23155321632372736</v>
      </c>
    </row>
    <row r="12">
      <c r="B12" s="14" t="inlineStr">
        <is>
          <t>Upside</t>
        </is>
      </c>
      <c r="C12" s="15">
        <f>IFERROR(C11/C3-1,"")</f>
        <v>-0.8787679495687292</v>
      </c>
    </row>
    <row r="13">
      <c r="B13" s="14" t="inlineStr">
        <is>
          <t>Cash / Share</t>
        </is>
      </c>
      <c r="C13" s="11">
        <f>IFERROR((C7-C8)/C4,"")</f>
        <v>0.23155321632372736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-5.809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1.9869168531588912</v>
      </c>
    </row>
    <row r="19">
      <c r="B19" s="14" t="inlineStr">
        <is>
          <t>Implied Pipeline Value</t>
        </is>
      </c>
      <c r="C19" s="13">
        <f>C9</f>
        <v>83.66384663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2024</v>
      </c>
      <c r="C1" s="17" t="n">
        <v>2025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23" t="n">
        <v>2.811</v>
      </c>
      <c r="C5" s="23" t="n">
        <v>6.266</v>
      </c>
      <c r="D5" s="1" t="n"/>
      <c r="I5" s="1" t="n"/>
      <c r="J5" s="1" t="n"/>
      <c r="K5" s="1" t="n"/>
    </row>
    <row r="6">
      <c r="A6" s="19" t="inlineStr">
        <is>
          <t>SG&amp;A &amp; Other</t>
        </is>
      </c>
      <c r="B6" s="23" t="n">
        <v>1.541</v>
      </c>
      <c r="C6" s="23" t="n">
        <v>1.555</v>
      </c>
      <c r="D6" s="1" t="n"/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4.352</v>
      </c>
      <c r="C7" s="23">
        <f>SUM(C5:C6)</f>
        <v>7.821</v>
      </c>
      <c r="D7" s="1" t="n"/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-4.352</v>
      </c>
      <c r="C8" s="23">
        <f>C4-C7</f>
        <v>-7.821</v>
      </c>
      <c r="D8" s="1" t="n"/>
      <c r="I8" s="1" t="n"/>
      <c r="J8" s="1" t="n"/>
      <c r="K8" s="1" t="n"/>
    </row>
    <row r="9">
      <c r="A9" s="19" t="inlineStr">
        <is>
          <t>Interest &amp; Other</t>
        </is>
      </c>
      <c r="B9" s="23" t="n">
        <v>-26.004</v>
      </c>
      <c r="C9" s="23" t="n">
        <v>-1.164</v>
      </c>
    </row>
    <row r="10">
      <c r="A10" s="2" t="inlineStr">
        <is>
          <t>Pretax</t>
        </is>
      </c>
      <c r="B10" s="23">
        <f>B8+B9</f>
        <v>-30.356</v>
      </c>
      <c r="C10" s="23">
        <f>C8+C9</f>
        <v>-8.985</v>
      </c>
      <c r="D10" s="1" t="n"/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</row>
    <row r="12">
      <c r="A12" s="2" t="inlineStr">
        <is>
          <t>Net Income</t>
        </is>
      </c>
      <c r="B12" s="23" t="n">
        <v>-30.356</v>
      </c>
      <c r="C12" s="23" t="n">
        <v>-8.984999999999999</v>
      </c>
      <c r="D12" s="1" t="n"/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-0.887576386655361</v>
      </c>
      <c r="C13" s="11">
        <f>IFERROR(C12/C14,0)</f>
        <v>-0.19780727825110625</v>
      </c>
    </row>
    <row r="14">
      <c r="A14" s="2" t="inlineStr">
        <is>
          <t>Shares</t>
        </is>
      </c>
      <c r="B14" s="23" t="n">
        <v>34.201</v>
      </c>
      <c r="C14" s="23" t="n">
        <v>45.423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2026-10-21T06:28:19Z</dcterms:modified>
  <cp:lastModifiedBy>Wang, Eric</cp:lastModifiedBy>
</cp:coreProperties>
</file>