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Nkarta, Inc.</t>
        </is>
      </c>
      <c r="C2" s="10" t="n"/>
    </row>
    <row r="3">
      <c r="B3" t="inlineStr">
        <is>
          <t>Price</t>
        </is>
      </c>
      <c r="C3" s="11">
        <f>INDEX([1]Pharma!$F$1:$F$1000,MATCH("NKTX",[1]Pharma!$B$1:$B$1000,0))</f>
        <v>1.74</v>
      </c>
      <c r="F3" s="1" t="n"/>
    </row>
    <row r="4">
      <c r="B4" t="inlineStr">
        <is>
          <t>Shares</t>
        </is>
      </c>
      <c r="C4" s="21" t="n">
        <v>71.624791</v>
      </c>
      <c r="F4" s="1" t="n"/>
    </row>
    <row r="5">
      <c r="B5" t="inlineStr">
        <is>
          <t>Market Cap.</t>
        </is>
      </c>
      <c r="C5" s="13">
        <f>C3*C4</f>
        <v>124.62713634</v>
      </c>
      <c r="F5" s="1" t="n"/>
    </row>
    <row r="6"/>
    <row r="7">
      <c r="B7" t="inlineStr">
        <is>
          <t>Cash</t>
        </is>
      </c>
      <c r="C7" s="21">
        <f>24.958+157.806</f>
        <v>182.764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-58.13686366</v>
      </c>
    </row>
    <row r="10"/>
    <row r="11">
      <c r="B11" s="14" t="inlineStr">
        <is>
          <t>Net Cash / Share</t>
        </is>
      </c>
      <c r="C11" s="11">
        <f>(C7-C8)/C4</f>
        <v>2.551686328829916</v>
      </c>
    </row>
    <row r="12">
      <c r="B12" s="14" t="inlineStr">
        <is>
          <t>Upside</t>
        </is>
      </c>
      <c r="C12" s="15">
        <f>IFERROR(C11/C3-1,"")</f>
        <v>0.466486395879262</v>
      </c>
    </row>
    <row r="13">
      <c r="B13" s="14" t="inlineStr">
        <is>
          <t>Cash / Share</t>
        </is>
      </c>
      <c r="C13" s="11">
        <f>IFERROR((C7-C8)/C4,"")</f>
        <v>2.551686328829916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-92.756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1.9703738841692182</v>
      </c>
    </row>
    <row r="19">
      <c r="B19" s="14" t="inlineStr">
        <is>
          <t>Implied Pipeline Value</t>
        </is>
      </c>
      <c r="C19" s="13">
        <f>C9</f>
        <v>-58.13686366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0.115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0.115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17.217</v>
      </c>
      <c r="C5" s="23" t="n">
        <v>36.22</v>
      </c>
      <c r="D5" s="23" t="n">
        <v>63.412</v>
      </c>
      <c r="E5" s="23" t="n">
        <v>90.89700000000001</v>
      </c>
      <c r="F5" s="23" t="n">
        <v>96.773</v>
      </c>
      <c r="G5" s="23" t="n">
        <v>96.744</v>
      </c>
      <c r="H5" s="23" t="n">
        <v>90.429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5.247</v>
      </c>
      <c r="C6" s="23" t="n">
        <v>15.288</v>
      </c>
      <c r="D6" s="23" t="n">
        <v>23.017</v>
      </c>
      <c r="E6" s="23" t="n">
        <v>28.058</v>
      </c>
      <c r="F6" s="23" t="n">
        <v>34.877</v>
      </c>
      <c r="G6" s="23" t="n">
        <v>31.45</v>
      </c>
      <c r="H6" s="23" t="n">
        <v>31.568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22.464</v>
      </c>
      <c r="C7" s="23">
        <f>SUM(C5:C6)</f>
        <v>51.507999999999996</v>
      </c>
      <c r="D7" s="23">
        <f>SUM(D5:D6)</f>
        <v>86.429</v>
      </c>
      <c r="E7" s="23">
        <f>SUM(E5:E6)</f>
        <v>118.95500000000001</v>
      </c>
      <c r="F7" s="23">
        <f>SUM(F5:F6)</f>
        <v>131.65</v>
      </c>
      <c r="G7" s="23">
        <f>SUM(G5:G6)</f>
        <v>128.194</v>
      </c>
      <c r="H7" s="23">
        <f>SUM(H5:H6)</f>
        <v>121.997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-22.349</v>
      </c>
      <c r="C8" s="23">
        <f>C4-C7</f>
        <v>-51.507999999999996</v>
      </c>
      <c r="D8" s="23">
        <f>D4-D7</f>
        <v>-86.429</v>
      </c>
      <c r="E8" s="23">
        <f>E4-E7</f>
        <v>-118.95500000000001</v>
      </c>
      <c r="F8" s="23">
        <f>F4-F7</f>
        <v>-131.65</v>
      </c>
      <c r="G8" s="23">
        <f>G4-G7</f>
        <v>-128.194</v>
      </c>
      <c r="H8" s="23">
        <f>H4-H7</f>
        <v>-121.997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1.273</v>
      </c>
      <c r="C9" s="23" t="n">
        <v>-39.853</v>
      </c>
      <c r="D9" s="23" t="n">
        <v>0.354</v>
      </c>
      <c r="E9" s="23" t="n">
        <v>5.118</v>
      </c>
      <c r="F9" s="23" t="n">
        <v>14.149</v>
      </c>
      <c r="G9" s="23" t="n">
        <v>19.404</v>
      </c>
      <c r="H9" s="23" t="n">
        <v>17.913</v>
      </c>
    </row>
    <row r="10">
      <c r="A10" s="2" t="inlineStr">
        <is>
          <t>Pretax</t>
        </is>
      </c>
      <c r="B10" s="23">
        <f>B8+B9</f>
        <v>-21.076</v>
      </c>
      <c r="C10" s="23">
        <f>C8+C9</f>
        <v>-91.36099999999999</v>
      </c>
      <c r="D10" s="23">
        <f>D8+D9</f>
        <v>-86.075</v>
      </c>
      <c r="E10" s="23">
        <f>E8+E9</f>
        <v>-113.83700000000002</v>
      </c>
      <c r="F10" s="23">
        <f>F8+F9</f>
        <v>-117.501</v>
      </c>
      <c r="G10" s="23">
        <f>G8+G9</f>
        <v>-108.78999999999999</v>
      </c>
      <c r="H10" s="23">
        <f>H8+H9</f>
        <v>-104.084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-21.076</v>
      </c>
      <c r="C12" s="23" t="n">
        <v>-91.361</v>
      </c>
      <c r="D12" s="23" t="n">
        <v>-86.075</v>
      </c>
      <c r="E12" s="23" t="n">
        <v>-113.837</v>
      </c>
      <c r="F12" s="23" t="n">
        <v>-117.501</v>
      </c>
      <c r="G12" s="23" t="n">
        <v>-108.79</v>
      </c>
      <c r="H12" s="23" t="n">
        <v>-104.084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-14.406015037593985</v>
      </c>
      <c r="C13" s="11">
        <f>IFERROR(C12/C14,0)</f>
        <v>-5.436213257170058</v>
      </c>
      <c r="D13" s="11">
        <f>IFERROR(D12/D14,0)</f>
        <v>-2.6196853029795784</v>
      </c>
      <c r="E13" s="11">
        <f>IFERROR(E12/E14,0)</f>
        <v>-2.6090254858819217</v>
      </c>
      <c r="F13" s="11">
        <f>IFERROR(F12/F14,0)</f>
        <v>-2.397294650508018</v>
      </c>
      <c r="G13" s="11">
        <f>IFERROR(G12/G14,0)</f>
        <v>-1.6030354380019158</v>
      </c>
      <c r="H13" s="11">
        <f>IFERROR(H12/H14,0)</f>
        <v>-1.4067116270897813</v>
      </c>
    </row>
    <row r="14">
      <c r="A14" s="2" t="inlineStr">
        <is>
          <t>Shares</t>
        </is>
      </c>
      <c r="B14" s="23" t="n">
        <v>1.463</v>
      </c>
      <c r="C14" s="23" t="n">
        <v>16.806</v>
      </c>
      <c r="D14" s="23" t="n">
        <v>32.857</v>
      </c>
      <c r="E14" s="23" t="n">
        <v>43.632</v>
      </c>
      <c r="F14" s="23" t="n">
        <v>49.014</v>
      </c>
      <c r="G14" s="23" t="n">
        <v>67.86499999999999</v>
      </c>
      <c r="H14" s="23" t="n">
        <v>73.991</v>
      </c>
    </row>
    <row r="15"/>
    <row r="16" customFormat="1" s="4">
      <c r="A16" s="3" t="inlineStr">
        <is>
          <t>Revenue Change</t>
        </is>
      </c>
      <c r="C16" s="15">
        <f>IFERROR(C2/B2-1,"")</f>
        <v>-1.0</v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-194.3391304347826</v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2026-10-21T01:05:49Z</dcterms:modified>
  <cp:lastModifiedBy>Wang, Eric</cp:lastModifiedBy>
</cp:coreProperties>
</file>