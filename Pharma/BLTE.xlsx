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Belite Bio, Inc</t>
        </is>
      </c>
      <c r="C2" s="10" t="n"/>
    </row>
    <row r="3">
      <c r="B3" t="inlineStr">
        <is>
          <t>Price</t>
        </is>
      </c>
      <c r="C3" s="11">
        <f>INDEX([1]Pharma!$F$1:$F$1000,MATCH("BLTE",[1]Pharma!$B$1:$B$1000,0))</f>
        <v>154.45</v>
      </c>
      <c r="F3" s="1" t="n"/>
    </row>
    <row r="4">
      <c r="B4" t="inlineStr">
        <is>
          <t>Shares</t>
        </is>
      </c>
      <c r="C4" s="21" t="n">
        <v>39.33996</v>
      </c>
      <c r="F4" s="1" t="n"/>
    </row>
    <row r="5">
      <c r="B5" t="inlineStr">
        <is>
          <t>Market Cap.</t>
        </is>
      </c>
      <c r="C5" s="13">
        <f>C3*C4</f>
        <v>6076.056822</v>
      </c>
      <c r="F5" s="1" t="n"/>
    </row>
    <row r="6"/>
    <row r="7">
      <c r="B7" t="inlineStr">
        <is>
          <t>Cash</t>
        </is>
      </c>
      <c r="C7" s="21">
        <f>352.932+139.49</f>
        <v>492.422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5583.634822</v>
      </c>
    </row>
    <row r="10"/>
    <row r="11">
      <c r="B11" s="14" t="inlineStr">
        <is>
          <t>Net Cash / Share</t>
        </is>
      </c>
      <c r="C11" s="11">
        <f>(C7-C8)/C4</f>
        <v>12.517094577625398</v>
      </c>
    </row>
    <row r="12">
      <c r="B12" s="14" t="inlineStr">
        <is>
          <t>Upside</t>
        </is>
      </c>
      <c r="C12" s="15">
        <f>IFERROR(C11/C3-1,"")</f>
        <v>-0.9189569791024578</v>
      </c>
    </row>
    <row r="13">
      <c r="B13" s="14" t="inlineStr">
        <is>
          <t>Cash / Share</t>
        </is>
      </c>
      <c r="C13" s="11">
        <f>IFERROR((C7-C8)/C4,"")</f>
        <v>12.517094577625398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-36.988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13.313020439061319</v>
      </c>
    </row>
    <row r="19">
      <c r="B19" s="14" t="inlineStr">
        <is>
          <t>Implied Pipeline Value</t>
        </is>
      </c>
      <c r="C19" s="13">
        <f>C9</f>
        <v>5583.634822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3.688</v>
      </c>
      <c r="C5" s="23" t="n">
        <v>7.419</v>
      </c>
      <c r="D5" s="23" t="n">
        <v>8.869</v>
      </c>
      <c r="E5" s="23" t="n">
        <v>24.844</v>
      </c>
      <c r="F5" s="23" t="n">
        <v>29.939</v>
      </c>
      <c r="G5" s="23" t="n">
        <v>45.377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2.055</v>
      </c>
      <c r="C6" s="23" t="n">
        <v>2.378</v>
      </c>
      <c r="D6" s="23" t="n">
        <v>3.952</v>
      </c>
      <c r="E6" s="23" t="n">
        <v>6.824</v>
      </c>
      <c r="F6" s="23" t="n">
        <v>10.057</v>
      </c>
      <c r="G6" s="23" t="n">
        <v>38.831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5.743</v>
      </c>
      <c r="C7" s="23">
        <f>SUM(C5:C6)</f>
        <v>9.797</v>
      </c>
      <c r="D7" s="23">
        <f>SUM(D5:D6)</f>
        <v>12.821</v>
      </c>
      <c r="E7" s="23">
        <f>SUM(E5:E6)</f>
        <v>31.668</v>
      </c>
      <c r="F7" s="23">
        <f>SUM(F5:F6)</f>
        <v>39.996</v>
      </c>
      <c r="G7" s="23">
        <f>SUM(G5:G6)</f>
        <v>84.208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-5.743</v>
      </c>
      <c r="C8" s="23">
        <f>C4-C7</f>
        <v>-9.797</v>
      </c>
      <c r="D8" s="23">
        <f>D4-D7</f>
        <v>-12.821</v>
      </c>
      <c r="E8" s="23">
        <f>E4-E7</f>
        <v>-31.668</v>
      </c>
      <c r="F8" s="23">
        <f>F4-F7</f>
        <v>-39.996</v>
      </c>
      <c r="G8" s="23">
        <f>G4-G7</f>
        <v>-84.208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-0.008999999999999999</v>
      </c>
      <c r="C9" s="23" t="n">
        <v>0.131</v>
      </c>
      <c r="D9" s="23" t="n">
        <v>0.173</v>
      </c>
      <c r="E9" s="23" t="n">
        <v>0.045</v>
      </c>
      <c r="F9" s="23" t="n">
        <v>3.858</v>
      </c>
      <c r="G9" s="23" t="n">
        <v>6.597</v>
      </c>
    </row>
    <row r="10">
      <c r="A10" s="2" t="inlineStr">
        <is>
          <t>Pretax</t>
        </is>
      </c>
      <c r="B10" s="23">
        <f>B8+B9</f>
        <v>-5.752000000000001</v>
      </c>
      <c r="C10" s="23">
        <f>C8+C9</f>
        <v>-9.666</v>
      </c>
      <c r="D10" s="23">
        <f>D8+D9</f>
        <v>-12.648</v>
      </c>
      <c r="E10" s="23">
        <f>E8+E9</f>
        <v>-31.622999999999998</v>
      </c>
      <c r="F10" s="23">
        <f>F8+F9</f>
        <v>-36.138000000000005</v>
      </c>
      <c r="G10" s="23">
        <f>G8+G9</f>
        <v>-77.611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0.001</v>
      </c>
      <c r="C11" s="23" t="n">
        <v>0</v>
      </c>
      <c r="D11" s="23" t="n">
        <v>0</v>
      </c>
      <c r="E11" s="23" t="n">
        <v>0.008999999999999999</v>
      </c>
      <c r="F11" s="23" t="n">
        <v>0.006</v>
      </c>
      <c r="G11" s="23" t="n">
        <v>0</v>
      </c>
    </row>
    <row r="12">
      <c r="A12" s="2" t="inlineStr">
        <is>
          <t>Net Income</t>
        </is>
      </c>
      <c r="B12" s="23" t="n">
        <v>-5.753</v>
      </c>
      <c r="C12" s="23" t="n">
        <v>-9.666</v>
      </c>
      <c r="D12" s="23" t="n">
        <v>-12.648</v>
      </c>
      <c r="E12" s="23" t="n">
        <v>-31.632</v>
      </c>
      <c r="F12" s="23" t="n">
        <v>-36.144</v>
      </c>
      <c r="G12" s="23" t="n">
        <v>-77.611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-0.6544937428896475</v>
      </c>
      <c r="C13" s="11">
        <f>IFERROR(C12/C14,0)</f>
        <v>-1.0100313479623824</v>
      </c>
      <c r="D13" s="11">
        <f>IFERROR(D12/D14,0)</f>
        <v>-0.6331280973119087</v>
      </c>
      <c r="E13" s="11">
        <f>IFERROR(E12/E14,0)</f>
        <v>-1.1894412273445139</v>
      </c>
      <c r="F13" s="11">
        <f>IFERROR(F12/F14,0)</f>
        <v>-1.1835745628397405</v>
      </c>
      <c r="G13" s="11">
        <f>IFERROR(G12/G14,0)</f>
        <v>-2.314121295247183</v>
      </c>
    </row>
    <row r="14">
      <c r="A14" s="2" t="inlineStr">
        <is>
          <t>Shares</t>
        </is>
      </c>
      <c r="B14" s="23" t="n">
        <v>8.789999999999999</v>
      </c>
      <c r="C14" s="23" t="n">
        <v>9.57</v>
      </c>
      <c r="D14" s="23" t="n">
        <v>19.977</v>
      </c>
      <c r="E14" s="23" t="n">
        <v>26.594</v>
      </c>
      <c r="F14" s="23" t="n">
        <v>30.538</v>
      </c>
      <c r="G14" s="23" t="n">
        <v>33.538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2026-10-21T01:04:02Z</dcterms:modified>
  <cp:lastModifiedBy>Wang, Eric</cp:lastModifiedBy>
</cp:coreProperties>
</file>