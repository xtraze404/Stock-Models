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Fibrobiologics Inc</t>
        </is>
      </c>
      <c r="C2" s="10" t="n"/>
    </row>
    <row r="3">
      <c r="B3" t="inlineStr">
        <is>
          <t>Price</t>
        </is>
      </c>
      <c r="C3" s="11">
        <f>INDEX([1]Pharma!$F$1:$F$1000,MATCH("FBLG",[1]Pharma!$B$1:$B$1000,0))</f>
        <v>0.9199</v>
      </c>
      <c r="F3" s="1" t="n"/>
    </row>
    <row r="4">
      <c r="B4" t="inlineStr">
        <is>
          <t>Shares</t>
        </is>
      </c>
      <c r="C4" s="21" t="n">
        <v>6.658193</v>
      </c>
      <c r="F4" s="1" t="n"/>
    </row>
    <row r="5">
      <c r="B5" t="inlineStr">
        <is>
          <t>Market Cap.</t>
        </is>
      </c>
      <c r="C5" s="13">
        <f>C3*C4</f>
        <v>6.1248717407</v>
      </c>
      <c r="F5" s="1" t="n"/>
    </row>
    <row r="6"/>
    <row r="7">
      <c r="B7" t="inlineStr">
        <is>
          <t>Cash</t>
        </is>
      </c>
      <c r="C7" s="21" t="n">
        <v>3.515</v>
      </c>
    </row>
    <row r="8">
      <c r="B8" t="inlineStr">
        <is>
          <t>Debt</t>
        </is>
      </c>
      <c r="C8" s="21" t="n">
        <v>0.124</v>
      </c>
    </row>
    <row r="9">
      <c r="B9" t="inlineStr">
        <is>
          <t>Enterprise V.</t>
        </is>
      </c>
      <c r="C9" s="13">
        <f>C5-C7+C8</f>
        <v>2.7338717406999997</v>
      </c>
    </row>
    <row r="10"/>
    <row r="11">
      <c r="B11" s="14" t="inlineStr">
        <is>
          <t>Net Cash / Share</t>
        </is>
      </c>
      <c r="C11" s="11">
        <f>(C7-C8)/C4</f>
        <v>0.509297342387041</v>
      </c>
    </row>
    <row r="12">
      <c r="B12" s="14" t="inlineStr">
        <is>
          <t>Upside</t>
        </is>
      </c>
      <c r="C12" s="15">
        <f>IFERROR(C11/C3-1,"")</f>
        <v>-0.44635575346554945</v>
      </c>
    </row>
    <row r="13">
      <c r="B13" s="14" t="inlineStr">
        <is>
          <t>Cash / Share</t>
        </is>
      </c>
      <c r="C13" s="11">
        <f>IFERROR((C7-C8)/C4,"")</f>
        <v>0.509297342387041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-14.79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0.2292765382014875</v>
      </c>
    </row>
    <row r="19">
      <c r="B19" s="14" t="inlineStr">
        <is>
          <t>Implied Pipeline Value</t>
        </is>
      </c>
      <c r="C19" s="13">
        <f>C9</f>
        <v>2.7338717406999997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2022</v>
      </c>
      <c r="C1" s="17" t="n">
        <v>2023</v>
      </c>
      <c r="D1" s="17" t="n">
        <v>2024</v>
      </c>
      <c r="E1" s="17" t="n">
        <v>2025</v>
      </c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1.147</v>
      </c>
      <c r="C5" s="23" t="n">
        <v>2.368</v>
      </c>
      <c r="D5" s="23" t="n">
        <v>4.504</v>
      </c>
      <c r="E5" s="23" t="n">
        <v>7.407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3.32</v>
      </c>
      <c r="C6" s="23" t="n">
        <v>6.521</v>
      </c>
      <c r="D6" s="23" t="n">
        <v>9.233000000000001</v>
      </c>
      <c r="E6" s="23" t="n">
        <v>9.242000000000001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4.467</v>
      </c>
      <c r="C7" s="23">
        <f>SUM(C5:C6)</f>
        <v>8.889</v>
      </c>
      <c r="D7" s="23">
        <f>SUM(D5:D6)</f>
        <v>13.737</v>
      </c>
      <c r="E7" s="23">
        <f>SUM(E5:E6)</f>
        <v>16.649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-4.467</v>
      </c>
      <c r="C8" s="23">
        <f>C4-C7</f>
        <v>-8.889</v>
      </c>
      <c r="D8" s="23">
        <f>D4-D7</f>
        <v>-13.737</v>
      </c>
      <c r="E8" s="23">
        <f>E4-E7</f>
        <v>-16.649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-0.654</v>
      </c>
      <c r="C9" s="23" t="n">
        <v>-7.596</v>
      </c>
      <c r="D9" s="23" t="n">
        <v>2.576</v>
      </c>
      <c r="E9" s="23" t="n">
        <v>-1.997</v>
      </c>
    </row>
    <row r="10">
      <c r="A10" s="2" t="inlineStr">
        <is>
          <t>Pretax</t>
        </is>
      </c>
      <c r="B10" s="23">
        <f>B8+B9</f>
        <v>-5.1209999999999996</v>
      </c>
      <c r="C10" s="23">
        <f>C8+C9</f>
        <v>-16.485</v>
      </c>
      <c r="D10" s="23">
        <f>D8+D9</f>
        <v>-11.161</v>
      </c>
      <c r="E10" s="23">
        <f>E8+E9</f>
        <v>-18.646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</row>
    <row r="12">
      <c r="A12" s="2" t="inlineStr">
        <is>
          <t>Net Income</t>
        </is>
      </c>
      <c r="B12" s="23" t="n">
        <v>-5.121</v>
      </c>
      <c r="C12" s="23" t="n">
        <v>-16.485</v>
      </c>
      <c r="D12" s="23" t="n">
        <v>-11.161</v>
      </c>
      <c r="E12" s="23" t="n">
        <v>-18.646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-0.18139633735964011</v>
      </c>
      <c r="C13" s="11">
        <f>IFERROR(C12/C14,0)</f>
        <v>-0.5839325564096206</v>
      </c>
      <c r="D13" s="11">
        <f>IFERROR(D12/D14,0)</f>
        <v>-0.3394980988593156</v>
      </c>
      <c r="E13" s="11">
        <f>IFERROR(E12/E14,0)</f>
        <v>-0.417500727704261</v>
      </c>
    </row>
    <row r="14">
      <c r="A14" s="2" t="inlineStr">
        <is>
          <t>Shares</t>
        </is>
      </c>
      <c r="B14" s="23" t="n">
        <v>28.231</v>
      </c>
      <c r="C14" s="23" t="n">
        <v>28.231</v>
      </c>
      <c r="D14" s="23" t="n">
        <v>32.875</v>
      </c>
      <c r="E14" s="23" t="n">
        <v>44.661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4" t="n"/>
      <c r="G16" s="4" t="n"/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4" t="n"/>
      <c r="G17" s="4" t="n"/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2026-10-21T06:31:15Z</dcterms:modified>
  <cp:lastModifiedBy>Wang, Eric</cp:lastModifiedBy>
</cp:coreProperties>
</file>