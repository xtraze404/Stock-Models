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Alzamend Neuro Inc</t>
        </is>
      </c>
      <c r="C2" s="10" t="n"/>
    </row>
    <row r="3">
      <c r="B3" t="inlineStr">
        <is>
          <t>Price</t>
        </is>
      </c>
      <c r="C3" s="11">
        <f>INDEX([1]Pharma!$F$1:$F$1000,MATCH("ALZN",[1]Pharma!$B$1:$B$1000,0))</f>
        <v>1.3</v>
      </c>
      <c r="F3" s="1" t="n"/>
    </row>
    <row r="4">
      <c r="B4" t="inlineStr">
        <is>
          <t>Shares</t>
        </is>
      </c>
      <c r="C4" s="21" t="n">
        <v>4.825723</v>
      </c>
      <c r="F4" s="1" t="n"/>
    </row>
    <row r="5">
      <c r="B5" t="inlineStr">
        <is>
          <t>Market Cap.</t>
        </is>
      </c>
      <c r="C5" s="13">
        <f>C3*C4</f>
        <v>6.2734399000000005</v>
      </c>
      <c r="F5" s="1" t="n"/>
    </row>
    <row r="6"/>
    <row r="7">
      <c r="B7" t="inlineStr">
        <is>
          <t>Cash</t>
        </is>
      </c>
      <c r="C7" s="21" t="n">
        <v>7.591444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-1.3180040999999996</v>
      </c>
    </row>
    <row r="10"/>
    <row r="11">
      <c r="B11" s="14" t="inlineStr">
        <is>
          <t>rNPV / Share</t>
        </is>
      </c>
      <c r="C11" s="11">
        <f>NPV!B27</f>
        <v>83.69161920419397</v>
      </c>
    </row>
    <row r="12">
      <c r="B12" s="14" t="inlineStr">
        <is>
          <t>Upside</t>
        </is>
      </c>
      <c r="C12" s="15">
        <f>IFERROR(C11/C3-1,"")</f>
        <v>63.378168618610744</v>
      </c>
    </row>
    <row r="13">
      <c r="B13" s="14" t="inlineStr">
        <is>
          <t>Cash / Share</t>
        </is>
      </c>
      <c r="C13" s="11">
        <f>IFERROR((C7-C8)/C4,"")</f>
        <v>1.5731205458746804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-6.844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1.1092115721800118</v>
      </c>
    </row>
    <row r="19">
      <c r="B19" s="14" t="inlineStr">
        <is>
          <t>Implied Pipeline Value</t>
        </is>
      </c>
      <c r="C19" s="13">
        <f>C9</f>
        <v>-1.3180040999999996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17" t="n">
        <v>2026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1.069</v>
      </c>
      <c r="C5" s="23" t="n">
        <v>1.311</v>
      </c>
      <c r="D5" s="23" t="n">
        <v>5.201</v>
      </c>
      <c r="E5" s="23" t="n">
        <v>7.446</v>
      </c>
      <c r="F5" s="23" t="n">
        <v>6.455</v>
      </c>
      <c r="G5" s="23" t="n">
        <v>1.415</v>
      </c>
      <c r="H5" s="23" t="n">
        <v>3.63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3.355</v>
      </c>
      <c r="C6" s="23" t="n">
        <v>3.641</v>
      </c>
      <c r="D6" s="23" t="n">
        <v>7.118</v>
      </c>
      <c r="E6" s="23" t="n">
        <v>7.425</v>
      </c>
      <c r="F6" s="23" t="n">
        <v>3.483</v>
      </c>
      <c r="G6" s="23" t="n">
        <v>3.082</v>
      </c>
      <c r="H6" s="23" t="n">
        <v>5.137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4.4239999999999995</v>
      </c>
      <c r="C7" s="23">
        <f>SUM(C5:C6)</f>
        <v>4.952</v>
      </c>
      <c r="D7" s="23">
        <f>SUM(D5:D6)</f>
        <v>12.318999999999999</v>
      </c>
      <c r="E7" s="23">
        <f>SUM(E5:E6)</f>
        <v>14.870999999999999</v>
      </c>
      <c r="F7" s="23">
        <f>SUM(F5:F6)</f>
        <v>9.938</v>
      </c>
      <c r="G7" s="23">
        <f>SUM(G5:G6)</f>
        <v>4.497</v>
      </c>
      <c r="H7" s="23">
        <f>SUM(H5:H6)</f>
        <v>8.767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-4.4239999999999995</v>
      </c>
      <c r="C8" s="23">
        <f>C4-C7</f>
        <v>-4.952</v>
      </c>
      <c r="D8" s="23">
        <f>D4-D7</f>
        <v>-12.318999999999999</v>
      </c>
      <c r="E8" s="23">
        <f>E4-E7</f>
        <v>-14.870999999999999</v>
      </c>
      <c r="F8" s="23">
        <f>F4-F7</f>
        <v>-9.938</v>
      </c>
      <c r="G8" s="23">
        <f>G4-G7</f>
        <v>-4.497</v>
      </c>
      <c r="H8" s="23">
        <f>H4-H7</f>
        <v>-8.767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0.014</v>
      </c>
      <c r="C9" s="23" t="n">
        <v>-0.095</v>
      </c>
      <c r="D9" s="23" t="n">
        <v>-0.043</v>
      </c>
      <c r="E9" s="23" t="n">
        <v>-0.008</v>
      </c>
      <c r="F9" s="23" t="n">
        <v>-0.01</v>
      </c>
      <c r="G9" s="23" t="n">
        <v>-0.018</v>
      </c>
      <c r="H9" s="23" t="n">
        <v>-0.006</v>
      </c>
    </row>
    <row r="10">
      <c r="A10" s="2" t="inlineStr">
        <is>
          <t>Pretax</t>
        </is>
      </c>
      <c r="B10" s="23">
        <f>B8+B9</f>
        <v>-4.409999999999999</v>
      </c>
      <c r="C10" s="23">
        <f>C8+C9</f>
        <v>-5.047</v>
      </c>
      <c r="D10" s="23">
        <f>D8+D9</f>
        <v>-12.361999999999998</v>
      </c>
      <c r="E10" s="23">
        <f>E8+E9</f>
        <v>-14.878999999999998</v>
      </c>
      <c r="F10" s="23">
        <f>F8+F9</f>
        <v>-9.948</v>
      </c>
      <c r="G10" s="23">
        <f>G8+G9</f>
        <v>-4.515</v>
      </c>
      <c r="H10" s="23">
        <f>H8+H9</f>
        <v>-8.773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-4.41</v>
      </c>
      <c r="C12" s="23" t="n">
        <v>-5.047</v>
      </c>
      <c r="D12" s="23" t="n">
        <v>-12.362</v>
      </c>
      <c r="E12" s="23" t="n">
        <v>-14.878</v>
      </c>
      <c r="F12" s="23" t="n">
        <v>-9.948</v>
      </c>
      <c r="G12" s="23" t="n">
        <v>-4.515</v>
      </c>
      <c r="H12" s="23" t="n">
        <v>-8.772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-1.413008651073374</v>
      </c>
      <c r="C13" s="11">
        <f>IFERROR(C12/C14,0)</f>
        <v>-1.5861093651791325</v>
      </c>
      <c r="D13" s="11">
        <f>IFERROR(D12/D14,0)</f>
        <v>-3.168118913377755</v>
      </c>
      <c r="E13" s="11">
        <f>IFERROR(E12/E14,0)</f>
        <v>-3.813893873365804</v>
      </c>
      <c r="F13" s="11">
        <f>IFERROR(F12/F14,0)</f>
        <v>-22.355056179775282</v>
      </c>
      <c r="G13" s="11">
        <f>IFERROR(G12/G14,0)</f>
        <v>-10.011086474501107</v>
      </c>
      <c r="H13" s="11">
        <f>IFERROR(H12/H14,0)</f>
        <v>-2.628708420737189</v>
      </c>
    </row>
    <row r="14">
      <c r="A14" s="2" t="inlineStr">
        <is>
          <t>Shares</t>
        </is>
      </c>
      <c r="B14" s="23" t="n">
        <v>3.121</v>
      </c>
      <c r="C14" s="23" t="n">
        <v>3.182</v>
      </c>
      <c r="D14" s="23" t="n">
        <v>3.902</v>
      </c>
      <c r="E14" s="23" t="n">
        <v>3.901</v>
      </c>
      <c r="F14" s="23" t="n">
        <v>0.445</v>
      </c>
      <c r="G14" s="23" t="n">
        <v>0.451</v>
      </c>
      <c r="H14" s="23" t="n">
        <v>3.337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Alzamend Neuro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0.16515231000000008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9.092000000000001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59.9</v>
      </c>
    </row>
    <row r="22">
      <c r="A22" s="14" t="inlineStr">
        <is>
          <t>First year, fraction after the balance sheet date</t>
        </is>
      </c>
      <c r="B22" s="28" t="n">
        <v>0.4192</v>
      </c>
    </row>
    <row r="23">
      <c r="A23" s="14" t="inlineStr">
        <is>
          <t>Balance sheet date</t>
        </is>
      </c>
      <c r="B23" s="41" t="n">
        <v>46234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396.28112770092054</v>
      </c>
      <c r="C29" s="42">
        <f>NPV!B25</f>
        <v>403.87257170092056</v>
      </c>
      <c r="D29" s="43">
        <f>NPV!B27</f>
        <v>83.69161920419397</v>
      </c>
      <c r="E29" s="44">
        <f>NPV!B29</f>
        <v>63.378168618610744</v>
      </c>
    </row>
    <row r="30">
      <c r="A30" s="45" t="n">
        <v>1</v>
      </c>
      <c r="B30" s="46">
        <f t="dataTable" ref="B30:E32" r1="B4"/>
        <v>141.9099328591554</v>
      </c>
      <c r="C30" s="46">
        <v>149.50137685915539</v>
      </c>
      <c r="D30" s="47">
        <v>30.980099118651317</v>
      </c>
      <c r="E30" s="48">
        <v>22.830845475885628</v>
      </c>
    </row>
    <row r="31">
      <c r="A31" s="45" t="n">
        <v>2</v>
      </c>
      <c r="B31" s="46">
        <v>396.28112770092054</v>
      </c>
      <c r="C31" s="46">
        <v>403.87257170092056</v>
      </c>
      <c r="D31" s="47">
        <v>83.69161920419397</v>
      </c>
      <c r="E31" s="48">
        <v>63.378168618610744</v>
      </c>
    </row>
    <row r="32">
      <c r="A32" s="45" t="n">
        <v>3</v>
      </c>
      <c r="B32" s="46">
        <v>814.5431295341167</v>
      </c>
      <c r="C32" s="46">
        <v>822.1345735341167</v>
      </c>
      <c r="D32" s="47">
        <v>170.3650569114963</v>
      </c>
      <c r="E32" s="48">
        <v>130.05004377807407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83.69161920419397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23.444717042756892</v>
      </c>
      <c r="C37" s="47">
        <v>36.4246190675148</v>
      </c>
      <c r="D37" s="47">
        <v>49.387878017413676</v>
      </c>
      <c r="E37" s="47">
        <v>75.22666966402213</v>
      </c>
      <c r="F37" s="47">
        <v>101.0654613106306</v>
      </c>
    </row>
    <row r="38">
      <c r="A38" s="50" t="n">
        <v>0.8</v>
      </c>
      <c r="B38" s="47">
        <v>32.02689203713088</v>
      </c>
      <c r="C38" s="47">
        <v>49.31320162102597</v>
      </c>
      <c r="D38" s="47">
        <v>66.53906271876495</v>
      </c>
      <c r="E38" s="47">
        <v>100.99078491424287</v>
      </c>
      <c r="F38" s="47">
        <v>135.40363095971526</v>
      </c>
    </row>
    <row r="39">
      <c r="A39" s="50" t="n">
        <v>1</v>
      </c>
      <c r="B39" s="47">
        <v>40.59718220028887</v>
      </c>
      <c r="C39" s="47">
        <v>62.159292832020256</v>
      </c>
      <c r="D39" s="47">
        <v>83.69161920419397</v>
      </c>
      <c r="E39" s="47">
        <v>126.73356500033029</v>
      </c>
      <c r="F39" s="47">
        <v>169.7210686432165</v>
      </c>
    </row>
    <row r="40">
      <c r="A40" s="50" t="n">
        <v>1.2</v>
      </c>
      <c r="B40" s="47">
        <v>49.16796418048391</v>
      </c>
      <c r="C40" s="47">
        <v>75.00675582709235</v>
      </c>
      <c r="D40" s="47">
        <v>100.84554747370082</v>
      </c>
      <c r="E40" s="47">
        <v>152.45485990293432</v>
      </c>
      <c r="F40" s="47">
        <v>204.03986427439787</v>
      </c>
    </row>
    <row r="41">
      <c r="A41" s="50" t="n">
        <v>1.4</v>
      </c>
      <c r="B41" s="47">
        <v>57.710333685199046</v>
      </c>
      <c r="C41" s="47">
        <v>87.85559060624223</v>
      </c>
      <c r="D41" s="47">
        <v>117.99500765317761</v>
      </c>
      <c r="E41" s="47">
        <v>178.17751275321837</v>
      </c>
      <c r="F41" s="47">
        <v>238.3600178532591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Alzamend Neuro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Alzheimer's disease</t>
        </is>
      </c>
      <c r="C4" s="14" t="inlineStr">
        <is>
          <t>AL001, ALZN002 (autologous DCs pulsed with E22W mutant pepti</t>
        </is>
      </c>
      <c r="D4" s="14" t="inlineStr">
        <is>
          <t>Phase 1/2</t>
        </is>
      </c>
      <c r="E4" s="14" t="inlineStr">
        <is>
          <t>Neurology / chronic</t>
        </is>
      </c>
      <c r="F4" s="14" t="inlineStr">
        <is>
          <t>Owned</t>
        </is>
      </c>
      <c r="G4" s="40" t="n">
        <v>4000</v>
      </c>
      <c r="H4" s="27" t="n">
        <v>0.0863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349.91839490327067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34.52</v>
      </c>
      <c r="T4" s="23">
        <f>IF(T$3&lt;$I4,0,$G4*Assumptions!$E$11*INDEX(Assumptions!$B$24:$G$24,MIN(6,T$3-$I4+1))*IF(T$3&gt;$J4,(1-Assumptions!$B$26)^(T$3-$J4),1)*IF($H4&gt;=1,1,MIN(0.97,$H4*Assumptions!$E$12)))</f>
        <v>86.3</v>
      </c>
      <c r="U4" s="23">
        <f>IF(U$3&lt;$I4,0,$G4*Assumptions!$E$11*INDEX(Assumptions!$B$24:$G$24,MIN(6,U$3-$I4+1))*IF(U$3&gt;$J4,(1-Assumptions!$B$26)^(U$3-$J4),1)*IF($H4&gt;=1,1,MIN(0.97,$H4*Assumptions!$E$12)))</f>
        <v>155.34</v>
      </c>
      <c r="V4" s="23">
        <f>IF(V$3&lt;$I4,0,$G4*Assumptions!$E$11*INDEX(Assumptions!$B$24:$G$24,MIN(6,V$3-$I4+1))*IF(V$3&gt;$J4,(1-Assumptions!$B$26)^(V$3-$J4),1)*IF($H4&gt;=1,1,MIN(0.97,$H4*Assumptions!$E$12)))</f>
        <v>224.38</v>
      </c>
      <c r="W4" s="23">
        <f>IF(W$3&lt;$I4,0,$G4*Assumptions!$E$11*INDEX(Assumptions!$B$24:$G$24,MIN(6,W$3-$I4+1))*IF(W$3&gt;$J4,(1-Assumptions!$B$26)^(W$3-$J4),1)*IF($H4&gt;=1,1,MIN(0.97,$H4*Assumptions!$E$12)))</f>
        <v>293.42</v>
      </c>
      <c r="X4" s="23">
        <f>IF(X$3&lt;$I4,0,$G4*Assumptions!$E$11*INDEX(Assumptions!$B$24:$G$24,MIN(6,X$3-$I4+1))*IF(X$3&gt;$J4,(1-Assumptions!$B$26)^(X$3-$J4),1)*IF($H4&gt;=1,1,MIN(0.97,$H4*Assumptions!$E$12)))</f>
        <v>345.2</v>
      </c>
      <c r="Y4" s="23">
        <f>IF(Y$3&lt;$I4,0,$G4*Assumptions!$E$11*INDEX(Assumptions!$B$24:$G$24,MIN(6,Y$3-$I4+1))*IF(Y$3&gt;$J4,(1-Assumptions!$B$26)^(Y$3-$J4),1)*IF($H4&gt;=1,1,MIN(0.97,$H4*Assumptions!$E$12)))</f>
        <v>345.2</v>
      </c>
      <c r="Z4" s="23">
        <f>IF(Z$3&lt;$I4,0,$G4*Assumptions!$E$11*INDEX(Assumptions!$B$24:$G$24,MIN(6,Z$3-$I4+1))*IF(Z$3&gt;$J4,(1-Assumptions!$B$26)^(Z$3-$J4),1)*IF($H4&gt;=1,1,MIN(0.97,$H4*Assumptions!$E$12)))</f>
        <v>345.2</v>
      </c>
      <c r="AA4" s="23">
        <f>IF(AA$3&lt;$I4,0,$G4*Assumptions!$E$11*INDEX(Assumptions!$B$24:$G$24,MIN(6,AA$3-$I4+1))*IF(AA$3&gt;$J4,(1-Assumptions!$B$26)^(AA$3-$J4),1)*IF($H4&gt;=1,1,MIN(0.97,$H4*Assumptions!$E$12)))</f>
        <v>345.2</v>
      </c>
      <c r="AB4" s="23">
        <f>IF(AB$3&lt;$I4,0,$G4*Assumptions!$E$11*INDEX(Assumptions!$B$24:$G$24,MIN(6,AB$3-$I4+1))*IF(AB$3&gt;$J4,(1-Assumptions!$B$26)^(AB$3-$J4),1)*IF($H4&gt;=1,1,MIN(0.97,$H4*Assumptions!$E$12)))</f>
        <v>345.2</v>
      </c>
      <c r="AC4" s="23">
        <f>IF(AC$3&lt;$I4,0,$G4*Assumptions!$E$11*INDEX(Assumptions!$B$24:$G$24,MIN(6,AC$3-$I4+1))*IF(AC$3&gt;$J4,(1-Assumptions!$B$26)^(AC$3-$J4),1)*IF($H4&gt;=1,1,MIN(0.97,$H4*Assumptions!$E$12)))</f>
        <v>345.2</v>
      </c>
      <c r="AD4" s="23">
        <f>IF(AD$3&lt;$I4,0,$G4*Assumptions!$E$11*INDEX(Assumptions!$B$24:$G$24,MIN(6,AD$3-$I4+1))*IF(AD$3&gt;$J4,(1-Assumptions!$B$26)^(AD$3-$J4),1)*IF($H4&gt;=1,1,MIN(0.97,$H4*Assumptions!$E$12)))</f>
        <v>345.2</v>
      </c>
      <c r="AE4" s="23">
        <f>IF(AE$3&lt;$I4,0,$G4*Assumptions!$E$11*INDEX(Assumptions!$B$24:$G$24,MIN(6,AE$3-$I4+1))*IF(AE$3&gt;$J4,(1-Assumptions!$B$26)^(AE$3-$J4),1)*IF($H4&gt;=1,1,MIN(0.97,$H4*Assumptions!$E$12)))</f>
        <v>345.2</v>
      </c>
      <c r="AF4" s="23">
        <f>IF(AF$3&lt;$I4,0,$G4*Assumptions!$E$11*INDEX(Assumptions!$B$24:$G$24,MIN(6,AF$3-$I4+1))*IF(AF$3&gt;$J4,(1-Assumptions!$B$26)^(AF$3-$J4),1)*IF($H4&gt;=1,1,MIN(0.97,$H4*Assumptions!$E$12)))</f>
        <v>172.6</v>
      </c>
      <c r="AG4" s="35">
        <f>IF(F4="Owned",1-IF(H4&gt;=1,1,MIN(0.97,H4*Assumptions!$E$12)),1)</f>
        <v>0.9137</v>
      </c>
    </row>
    <row r="5">
      <c r="A5" s="39" t="n">
        <v>2</v>
      </c>
      <c r="B5" s="14" t="inlineStr">
        <is>
          <t>Depression / mood</t>
        </is>
      </c>
      <c r="C5" s="14" t="inlineStr">
        <is>
          <t>AL001, Lithium carbonate</t>
        </is>
      </c>
      <c r="D5" s="14" t="inlineStr">
        <is>
          <t>Phase 1/2</t>
        </is>
      </c>
      <c r="E5" s="14" t="inlineStr">
        <is>
          <t>Psychiatry / chronic</t>
        </is>
      </c>
      <c r="F5" s="14" t="inlineStr">
        <is>
          <t>Owned</t>
        </is>
      </c>
      <c r="G5" s="40" t="n">
        <v>2000</v>
      </c>
      <c r="H5" s="27" t="n">
        <v>0.0863</v>
      </c>
      <c r="I5" s="26" t="n">
        <v>2032</v>
      </c>
      <c r="J5" s="39">
        <f>I5+Assumptions!$B$25</f>
        <v>2044.0</v>
      </c>
      <c r="K5" s="53">
        <f>Assumptions!$E$13</f>
        <v>0.4</v>
      </c>
      <c r="L5" s="23">
        <f>K5*SUMPRODUCT(M5:AF5,NPV!$C$15:$V$15)</f>
        <v>174.95919745163533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17.26</v>
      </c>
      <c r="T5" s="23">
        <f>IF(T$3&lt;$I5,0,$G5*Assumptions!$E$11*INDEX(Assumptions!$B$24:$G$24,MIN(6,T$3-$I5+1))*IF(T$3&gt;$J5,(1-Assumptions!$B$26)^(T$3-$J5),1)*IF($H5&gt;=1,1,MIN(0.97,$H5*Assumptions!$E$12)))</f>
        <v>43.15</v>
      </c>
      <c r="U5" s="23">
        <f>IF(U$3&lt;$I5,0,$G5*Assumptions!$E$11*INDEX(Assumptions!$B$24:$G$24,MIN(6,U$3-$I5+1))*IF(U$3&gt;$J5,(1-Assumptions!$B$26)^(U$3-$J5),1)*IF($H5&gt;=1,1,MIN(0.97,$H5*Assumptions!$E$12)))</f>
        <v>77.67</v>
      </c>
      <c r="V5" s="23">
        <f>IF(V$3&lt;$I5,0,$G5*Assumptions!$E$11*INDEX(Assumptions!$B$24:$G$24,MIN(6,V$3-$I5+1))*IF(V$3&gt;$J5,(1-Assumptions!$B$26)^(V$3-$J5),1)*IF($H5&gt;=1,1,MIN(0.97,$H5*Assumptions!$E$12)))</f>
        <v>112.19</v>
      </c>
      <c r="W5" s="23">
        <f>IF(W$3&lt;$I5,0,$G5*Assumptions!$E$11*INDEX(Assumptions!$B$24:$G$24,MIN(6,W$3-$I5+1))*IF(W$3&gt;$J5,(1-Assumptions!$B$26)^(W$3-$J5),1)*IF($H5&gt;=1,1,MIN(0.97,$H5*Assumptions!$E$12)))</f>
        <v>146.71</v>
      </c>
      <c r="X5" s="23">
        <f>IF(X$3&lt;$I5,0,$G5*Assumptions!$E$11*INDEX(Assumptions!$B$24:$G$24,MIN(6,X$3-$I5+1))*IF(X$3&gt;$J5,(1-Assumptions!$B$26)^(X$3-$J5),1)*IF($H5&gt;=1,1,MIN(0.97,$H5*Assumptions!$E$12)))</f>
        <v>172.6</v>
      </c>
      <c r="Y5" s="23">
        <f>IF(Y$3&lt;$I5,0,$G5*Assumptions!$E$11*INDEX(Assumptions!$B$24:$G$24,MIN(6,Y$3-$I5+1))*IF(Y$3&gt;$J5,(1-Assumptions!$B$26)^(Y$3-$J5),1)*IF($H5&gt;=1,1,MIN(0.97,$H5*Assumptions!$E$12)))</f>
        <v>172.6</v>
      </c>
      <c r="Z5" s="23">
        <f>IF(Z$3&lt;$I5,0,$G5*Assumptions!$E$11*INDEX(Assumptions!$B$24:$G$24,MIN(6,Z$3-$I5+1))*IF(Z$3&gt;$J5,(1-Assumptions!$B$26)^(Z$3-$J5),1)*IF($H5&gt;=1,1,MIN(0.97,$H5*Assumptions!$E$12)))</f>
        <v>172.6</v>
      </c>
      <c r="AA5" s="23">
        <f>IF(AA$3&lt;$I5,0,$G5*Assumptions!$E$11*INDEX(Assumptions!$B$24:$G$24,MIN(6,AA$3-$I5+1))*IF(AA$3&gt;$J5,(1-Assumptions!$B$26)^(AA$3-$J5),1)*IF($H5&gt;=1,1,MIN(0.97,$H5*Assumptions!$E$12)))</f>
        <v>172.6</v>
      </c>
      <c r="AB5" s="23">
        <f>IF(AB$3&lt;$I5,0,$G5*Assumptions!$E$11*INDEX(Assumptions!$B$24:$G$24,MIN(6,AB$3-$I5+1))*IF(AB$3&gt;$J5,(1-Assumptions!$B$26)^(AB$3-$J5),1)*IF($H5&gt;=1,1,MIN(0.97,$H5*Assumptions!$E$12)))</f>
        <v>172.6</v>
      </c>
      <c r="AC5" s="23">
        <f>IF(AC$3&lt;$I5,0,$G5*Assumptions!$E$11*INDEX(Assumptions!$B$24:$G$24,MIN(6,AC$3-$I5+1))*IF(AC$3&gt;$J5,(1-Assumptions!$B$26)^(AC$3-$J5),1)*IF($H5&gt;=1,1,MIN(0.97,$H5*Assumptions!$E$12)))</f>
        <v>172.6</v>
      </c>
      <c r="AD5" s="23">
        <f>IF(AD$3&lt;$I5,0,$G5*Assumptions!$E$11*INDEX(Assumptions!$B$24:$G$24,MIN(6,AD$3-$I5+1))*IF(AD$3&gt;$J5,(1-Assumptions!$B$26)^(AD$3-$J5),1)*IF($H5&gt;=1,1,MIN(0.97,$H5*Assumptions!$E$12)))</f>
        <v>172.6</v>
      </c>
      <c r="AE5" s="23">
        <f>IF(AE$3&lt;$I5,0,$G5*Assumptions!$E$11*INDEX(Assumptions!$B$24:$G$24,MIN(6,AE$3-$I5+1))*IF(AE$3&gt;$J5,(1-Assumptions!$B$26)^(AE$3-$J5),1)*IF($H5&gt;=1,1,MIN(0.97,$H5*Assumptions!$E$12)))</f>
        <v>172.6</v>
      </c>
      <c r="AF5" s="23">
        <f>IF(AF$3&lt;$I5,0,$G5*Assumptions!$E$11*INDEX(Assumptions!$B$24:$G$24,MIN(6,AF$3-$I5+1))*IF(AF$3&gt;$J5,(1-Assumptions!$B$26)^(AF$3-$J5),1)*IF($H5&gt;=1,1,MIN(0.97,$H5*Assumptions!$E$12)))</f>
        <v>86.3</v>
      </c>
      <c r="AG5" s="35">
        <f>IF(F5="Owned",1-IF(H5&gt;=1,1,MIN(0.97,H5*Assumptions!$E$12)),1)</f>
        <v>0.9137</v>
      </c>
    </row>
    <row r="6">
      <c r="B6" s="24" t="inlineStr">
        <is>
          <t>Risked revenue</t>
        </is>
      </c>
      <c r="L6" s="54">
        <f>SUM(L4:L5)</f>
        <v>524.877592354906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0.0</v>
      </c>
      <c r="S6" s="54">
        <f>SUM(S4:S5)</f>
        <v>51.78</v>
      </c>
      <c r="T6" s="54">
        <f>SUM(T4:T5)</f>
        <v>129.45</v>
      </c>
      <c r="U6" s="54">
        <f>SUM(U4:U5)</f>
        <v>233.01</v>
      </c>
      <c r="V6" s="54">
        <f>SUM(V4:V5)</f>
        <v>336.57</v>
      </c>
      <c r="W6" s="54">
        <f>SUM(W4:W5)</f>
        <v>440.13</v>
      </c>
      <c r="X6" s="54">
        <f>SUM(X4:X5)</f>
        <v>517.8</v>
      </c>
      <c r="Y6" s="54">
        <f>SUM(Y4:Y5)</f>
        <v>517.8</v>
      </c>
      <c r="Z6" s="54">
        <f>SUM(Z4:Z5)</f>
        <v>517.8</v>
      </c>
      <c r="AA6" s="54">
        <f>SUM(AA4:AA5)</f>
        <v>517.8</v>
      </c>
      <c r="AB6" s="54">
        <f>SUM(AB4:AB5)</f>
        <v>517.8</v>
      </c>
      <c r="AC6" s="54">
        <f>SUM(AC4:AC5)</f>
        <v>517.8</v>
      </c>
      <c r="AD6" s="54">
        <f>SUM(AD4:AD5)</f>
        <v>517.8</v>
      </c>
      <c r="AE6" s="54">
        <f>SUM(AE4:AE5)</f>
        <v>517.8</v>
      </c>
      <c r="AF6" s="54">
        <f>SUM(AF4:AF5)</f>
        <v>258.9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0.0</v>
      </c>
      <c r="S7" s="55">
        <f>SUMPRODUCT(S4:S5,$K$4:$K$5)</f>
        <v>20.712000000000003</v>
      </c>
      <c r="T7" s="55">
        <f>SUMPRODUCT(T4:T5,$K$4:$K$5)</f>
        <v>51.78</v>
      </c>
      <c r="U7" s="55">
        <f>SUMPRODUCT(U4:U5,$K$4:$K$5)</f>
        <v>93.20400000000001</v>
      </c>
      <c r="V7" s="55">
        <f>SUMPRODUCT(V4:V5,$K$4:$K$5)</f>
        <v>134.62800000000001</v>
      </c>
      <c r="W7" s="55">
        <f>SUMPRODUCT(W4:W5,$K$4:$K$5)</f>
        <v>176.05200000000002</v>
      </c>
      <c r="X7" s="55">
        <f>SUMPRODUCT(X4:X5,$K$4:$K$5)</f>
        <v>207.12</v>
      </c>
      <c r="Y7" s="55">
        <f>SUMPRODUCT(Y4:Y5,$K$4:$K$5)</f>
        <v>207.12</v>
      </c>
      <c r="Z7" s="55">
        <f>SUMPRODUCT(Z4:Z5,$K$4:$K$5)</f>
        <v>207.12</v>
      </c>
      <c r="AA7" s="55">
        <f>SUMPRODUCT(AA4:AA5,$K$4:$K$5)</f>
        <v>207.12</v>
      </c>
      <c r="AB7" s="55">
        <f>SUMPRODUCT(AB4:AB5,$K$4:$K$5)</f>
        <v>207.12</v>
      </c>
      <c r="AC7" s="55">
        <f>SUMPRODUCT(AC4:AC5,$K$4:$K$5)</f>
        <v>207.12</v>
      </c>
      <c r="AD7" s="55">
        <f>SUMPRODUCT(AD4:AD5,$K$4:$K$5)</f>
        <v>207.12</v>
      </c>
      <c r="AE7" s="55">
        <f>SUMPRODUCT(AE4:AE5,$K$4:$K$5)</f>
        <v>207.12</v>
      </c>
      <c r="AF7" s="55">
        <f>SUMPRODUCT(AF4:AF5,$K$4:$K$5)</f>
        <v>103.56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Alzamend Neuro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0.0</v>
      </c>
      <c r="I4" s="57">
        <f>Pipeline!S6</f>
        <v>51.78</v>
      </c>
      <c r="J4" s="57">
        <f>Pipeline!T6</f>
        <v>129.45</v>
      </c>
      <c r="K4" s="57">
        <f>Pipeline!U6</f>
        <v>233.01</v>
      </c>
      <c r="L4" s="57">
        <f>Pipeline!V6</f>
        <v>336.57</v>
      </c>
      <c r="M4" s="57">
        <f>Pipeline!W6</f>
        <v>440.13</v>
      </c>
      <c r="N4" s="57">
        <f>Pipeline!X6</f>
        <v>517.8</v>
      </c>
      <c r="O4" s="57">
        <f>Pipeline!Y6</f>
        <v>517.8</v>
      </c>
      <c r="P4" s="57">
        <f>Pipeline!Z6</f>
        <v>517.8</v>
      </c>
      <c r="Q4" s="57">
        <f>Pipeline!AA6</f>
        <v>517.8</v>
      </c>
      <c r="R4" s="57">
        <f>Pipeline!AB6</f>
        <v>517.8</v>
      </c>
      <c r="S4" s="57">
        <f>Pipeline!AC6</f>
        <v>517.8</v>
      </c>
      <c r="T4" s="57">
        <f>Pipeline!AD6</f>
        <v>517.8</v>
      </c>
      <c r="U4" s="57">
        <f>Pipeline!AE6</f>
        <v>517.8</v>
      </c>
      <c r="V4" s="57">
        <f>Pipeline!AF6</f>
        <v>258.9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0.0</v>
      </c>
      <c r="I5" s="57">
        <f>Pipeline!S7</f>
        <v>20.712000000000003</v>
      </c>
      <c r="J5" s="57">
        <f>Pipeline!T7</f>
        <v>51.78</v>
      </c>
      <c r="K5" s="57">
        <f>Pipeline!U7</f>
        <v>93.20400000000001</v>
      </c>
      <c r="L5" s="57">
        <f>Pipeline!V7</f>
        <v>134.62800000000001</v>
      </c>
      <c r="M5" s="57">
        <f>Pipeline!W7</f>
        <v>176.05200000000002</v>
      </c>
      <c r="N5" s="57">
        <f>Pipeline!X7</f>
        <v>207.12</v>
      </c>
      <c r="O5" s="57">
        <f>Pipeline!Y7</f>
        <v>207.12</v>
      </c>
      <c r="P5" s="57">
        <f>Pipeline!Z7</f>
        <v>207.12</v>
      </c>
      <c r="Q5" s="57">
        <f>Pipeline!AA7</f>
        <v>207.12</v>
      </c>
      <c r="R5" s="57">
        <f>Pipeline!AB7</f>
        <v>207.12</v>
      </c>
      <c r="S5" s="57">
        <f>Pipeline!AC7</f>
        <v>207.12</v>
      </c>
      <c r="T5" s="57">
        <f>Pipeline!AD7</f>
        <v>207.12</v>
      </c>
      <c r="U5" s="57">
        <f>Pipeline!AE7</f>
        <v>207.12</v>
      </c>
      <c r="V5" s="57">
        <f>Pipeline!AF7</f>
        <v>103.56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-9.092</v>
      </c>
      <c r="D6" s="23">
        <f>-IF(D3-2026&lt;Assumptions!$B$19,Assumptions!$B$18,Assumptions!$B$18*Assumptions!$B$20*Assumptions!$B$16)</f>
        <v>-9.092</v>
      </c>
      <c r="E6" s="23">
        <f>-IF(E3-2026&lt;Assumptions!$B$19,Assumptions!$B$18,Assumptions!$B$18*Assumptions!$B$20*Assumptions!$B$16)</f>
        <v>-9.092</v>
      </c>
      <c r="F6" s="23">
        <f>-IF(F3-2026&lt;Assumptions!$B$19,Assumptions!$B$18,Assumptions!$B$18*Assumptions!$B$20*Assumptions!$B$16)</f>
        <v>-9.092</v>
      </c>
      <c r="G6" s="23">
        <f>-IF(G3-2026&lt;Assumptions!$B$19,Assumptions!$B$18,Assumptions!$B$18*Assumptions!$B$20*Assumptions!$B$16)</f>
        <v>-0.45046944075600026</v>
      </c>
      <c r="H6" s="23">
        <f>-IF(H3-2026&lt;Assumptions!$B$19,Assumptions!$B$18,Assumptions!$B$18*Assumptions!$B$20*Assumptions!$B$16)</f>
        <v>-0.45046944075600026</v>
      </c>
      <c r="I6" s="23">
        <f>-IF(I3-2026&lt;Assumptions!$B$19,Assumptions!$B$18,Assumptions!$B$18*Assumptions!$B$20*Assumptions!$B$16)</f>
        <v>-0.45046944075600026</v>
      </c>
      <c r="J6" s="23">
        <f>-IF(J3-2026&lt;Assumptions!$B$19,Assumptions!$B$18,Assumptions!$B$18*Assumptions!$B$20*Assumptions!$B$16)</f>
        <v>-0.45046944075600026</v>
      </c>
      <c r="K6" s="23">
        <f>-IF(K3-2026&lt;Assumptions!$B$19,Assumptions!$B$18,Assumptions!$B$18*Assumptions!$B$20*Assumptions!$B$16)</f>
        <v>-0.45046944075600026</v>
      </c>
      <c r="L6" s="23">
        <f>-IF(L3-2026&lt;Assumptions!$B$19,Assumptions!$B$18,Assumptions!$B$18*Assumptions!$B$20*Assumptions!$B$16)</f>
        <v>-0.45046944075600026</v>
      </c>
      <c r="M6" s="23">
        <f>-IF(M3-2026&lt;Assumptions!$B$19,Assumptions!$B$18,Assumptions!$B$18*Assumptions!$B$20*Assumptions!$B$16)</f>
        <v>-0.45046944075600026</v>
      </c>
      <c r="N6" s="23">
        <f>-IF(N3-2026&lt;Assumptions!$B$19,Assumptions!$B$18,Assumptions!$B$18*Assumptions!$B$20*Assumptions!$B$16)</f>
        <v>-0.45046944075600026</v>
      </c>
      <c r="O6" s="23">
        <f>-IF(O3-2026&lt;Assumptions!$B$19,Assumptions!$B$18,Assumptions!$B$18*Assumptions!$B$20*Assumptions!$B$16)</f>
        <v>-0.45046944075600026</v>
      </c>
      <c r="P6" s="23">
        <f>-IF(P3-2026&lt;Assumptions!$B$19,Assumptions!$B$18,Assumptions!$B$18*Assumptions!$B$20*Assumptions!$B$16)</f>
        <v>-0.45046944075600026</v>
      </c>
      <c r="Q6" s="23">
        <f>-IF(Q3-2026&lt;Assumptions!$B$19,Assumptions!$B$18,Assumptions!$B$18*Assumptions!$B$20*Assumptions!$B$16)</f>
        <v>-0.45046944075600026</v>
      </c>
      <c r="R6" s="23">
        <f>-IF(R3-2026&lt;Assumptions!$B$19,Assumptions!$B$18,Assumptions!$B$18*Assumptions!$B$20*Assumptions!$B$16)</f>
        <v>-0.45046944075600026</v>
      </c>
      <c r="S6" s="23">
        <f>-IF(S3-2026&lt;Assumptions!$B$19,Assumptions!$B$18,Assumptions!$B$18*Assumptions!$B$20*Assumptions!$B$16)</f>
        <v>-0.45046944075600026</v>
      </c>
      <c r="T6" s="23">
        <f>-IF(T3-2026&lt;Assumptions!$B$19,Assumptions!$B$18,Assumptions!$B$18*Assumptions!$B$20*Assumptions!$B$16)</f>
        <v>-0.45046944075600026</v>
      </c>
      <c r="U6" s="23">
        <f>-IF(U3-2026&lt;Assumptions!$B$19,Assumptions!$B$18,Assumptions!$B$18*Assumptions!$B$20*Assumptions!$B$16)</f>
        <v>-0.45046944075600026</v>
      </c>
      <c r="V6" s="23">
        <f>-IF(V3-2026&lt;Assumptions!$B$19,Assumptions!$B$18,Assumptions!$B$18*Assumptions!$B$20*Assumptions!$B$16)</f>
        <v>-0.45046944075600026</v>
      </c>
    </row>
    <row r="7">
      <c r="A7" s="14" t="inlineStr">
        <is>
          <t>Pre-tax cash flow</t>
        </is>
      </c>
      <c r="C7" s="23">
        <f>C5+C6</f>
        <v>-9.092</v>
      </c>
      <c r="D7" s="23">
        <f>D5+D6</f>
        <v>-9.092</v>
      </c>
      <c r="E7" s="23">
        <f>E5+E6</f>
        <v>-9.092</v>
      </c>
      <c r="F7" s="23">
        <f>F5+F6</f>
        <v>-9.092</v>
      </c>
      <c r="G7" s="23">
        <f>G5+G6</f>
        <v>-0.45046944075600026</v>
      </c>
      <c r="H7" s="23">
        <f>H5+H6</f>
        <v>-0.45046944075600026</v>
      </c>
      <c r="I7" s="23">
        <f>I5+I6</f>
        <v>20.261530559244004</v>
      </c>
      <c r="J7" s="23">
        <f>J5+J6</f>
        <v>51.329530559244</v>
      </c>
      <c r="K7" s="23">
        <f>K5+K6</f>
        <v>92.75353055924401</v>
      </c>
      <c r="L7" s="23">
        <f>L5+L6</f>
        <v>134.17753055924402</v>
      </c>
      <c r="M7" s="23">
        <f>M5+M6</f>
        <v>175.60153055924403</v>
      </c>
      <c r="N7" s="23">
        <f>N5+N6</f>
        <v>206.669530559244</v>
      </c>
      <c r="O7" s="23">
        <f>O5+O6</f>
        <v>206.669530559244</v>
      </c>
      <c r="P7" s="23">
        <f>P5+P6</f>
        <v>206.669530559244</v>
      </c>
      <c r="Q7" s="23">
        <f>Q5+Q6</f>
        <v>206.669530559244</v>
      </c>
      <c r="R7" s="23">
        <f>R5+R6</f>
        <v>206.669530559244</v>
      </c>
      <c r="S7" s="23">
        <f>S5+S6</f>
        <v>206.669530559244</v>
      </c>
      <c r="T7" s="23">
        <f>T5+T6</f>
        <v>206.669530559244</v>
      </c>
      <c r="U7" s="23">
        <f>U5+U6</f>
        <v>206.669530559244</v>
      </c>
      <c r="V7" s="23">
        <f>V5+V6</f>
        <v>103.109530559244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20.261530559244004</v>
      </c>
      <c r="J8" s="23">
        <f>MIN(I17,MAX(0,J7))</f>
        <v>51.329530559244</v>
      </c>
      <c r="K8" s="23">
        <f>MIN(J17,MAX(0,K7))</f>
        <v>25.577877763023984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67.17565279622002</v>
      </c>
      <c r="L9" s="23">
        <f>MAX(0,L7)-L8</f>
        <v>134.17753055924402</v>
      </c>
      <c r="M9" s="23">
        <f>MAX(0,M7)-M8</f>
        <v>175.60153055924403</v>
      </c>
      <c r="N9" s="23">
        <f>MAX(0,N7)-N8</f>
        <v>206.669530559244</v>
      </c>
      <c r="O9" s="23">
        <f>MAX(0,O7)-O8</f>
        <v>206.669530559244</v>
      </c>
      <c r="P9" s="23">
        <f>MAX(0,P7)-P8</f>
        <v>206.669530559244</v>
      </c>
      <c r="Q9" s="23">
        <f>MAX(0,Q7)-Q8</f>
        <v>206.669530559244</v>
      </c>
      <c r="R9" s="23">
        <f>MAX(0,R7)-R8</f>
        <v>206.669530559244</v>
      </c>
      <c r="S9" s="23">
        <f>MAX(0,S7)-S8</f>
        <v>206.669530559244</v>
      </c>
      <c r="T9" s="23">
        <f>MAX(0,T7)-T8</f>
        <v>206.669530559244</v>
      </c>
      <c r="U9" s="23">
        <f>MAX(0,U7)-U8</f>
        <v>206.669530559244</v>
      </c>
      <c r="V9" s="23">
        <f>MAX(0,V7)-V8</f>
        <v>103.109530559244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14.106887087206204</v>
      </c>
      <c r="L10" s="23">
        <f>L9*Assumptions!$E$15</f>
        <v>28.177281417441243</v>
      </c>
      <c r="M10" s="23">
        <f>M9*Assumptions!$E$15</f>
        <v>36.87632141744125</v>
      </c>
      <c r="N10" s="23">
        <f>N9*Assumptions!$E$15</f>
        <v>43.40060141744124</v>
      </c>
      <c r="O10" s="23">
        <f>O9*Assumptions!$E$15</f>
        <v>43.40060141744124</v>
      </c>
      <c r="P10" s="23">
        <f>P9*Assumptions!$E$15</f>
        <v>43.40060141744124</v>
      </c>
      <c r="Q10" s="23">
        <f>Q9*Assumptions!$E$15</f>
        <v>43.40060141744124</v>
      </c>
      <c r="R10" s="23">
        <f>R9*Assumptions!$E$15</f>
        <v>43.40060141744124</v>
      </c>
      <c r="S10" s="23">
        <f>S9*Assumptions!$E$15</f>
        <v>43.40060141744124</v>
      </c>
      <c r="T10" s="23">
        <f>T9*Assumptions!$E$15</f>
        <v>43.40060141744124</v>
      </c>
      <c r="U10" s="23">
        <f>U9*Assumptions!$E$15</f>
        <v>43.40060141744124</v>
      </c>
      <c r="V10" s="23">
        <f>V9*Assumptions!$E$15</f>
        <v>21.653001417441242</v>
      </c>
    </row>
    <row r="11">
      <c r="A11" s="24" t="inlineStr">
        <is>
          <t>Free cash flow</t>
        </is>
      </c>
      <c r="C11" s="55">
        <f>C7-C10</f>
        <v>-9.092</v>
      </c>
      <c r="D11" s="55">
        <f>D7-D10</f>
        <v>-9.092</v>
      </c>
      <c r="E11" s="55">
        <f>E7-E10</f>
        <v>-9.092</v>
      </c>
      <c r="F11" s="55">
        <f>F7-F10</f>
        <v>-9.092</v>
      </c>
      <c r="G11" s="55">
        <f>G7-G10</f>
        <v>-0.45046944075600026</v>
      </c>
      <c r="H11" s="55">
        <f>H7-H10</f>
        <v>-0.45046944075600026</v>
      </c>
      <c r="I11" s="55">
        <f>I7-I10</f>
        <v>20.261530559244004</v>
      </c>
      <c r="J11" s="55">
        <f>J7-J10</f>
        <v>51.329530559244</v>
      </c>
      <c r="K11" s="55">
        <f>K7-K10</f>
        <v>78.64664347203781</v>
      </c>
      <c r="L11" s="55">
        <f>L7-L10</f>
        <v>106.00024914180278</v>
      </c>
      <c r="M11" s="55">
        <f>M7-M10</f>
        <v>138.7252091418028</v>
      </c>
      <c r="N11" s="55">
        <f>N7-N10</f>
        <v>163.26892914180277</v>
      </c>
      <c r="O11" s="55">
        <f>O7-O10</f>
        <v>163.26892914180277</v>
      </c>
      <c r="P11" s="55">
        <f>P7-P10</f>
        <v>163.26892914180277</v>
      </c>
      <c r="Q11" s="55">
        <f>Q7-Q10</f>
        <v>163.26892914180277</v>
      </c>
      <c r="R11" s="55">
        <f>R7-R10</f>
        <v>163.26892914180277</v>
      </c>
      <c r="S11" s="55">
        <f>S7-S10</f>
        <v>163.26892914180277</v>
      </c>
      <c r="T11" s="55">
        <f>T7-T10</f>
        <v>163.26892914180277</v>
      </c>
      <c r="U11" s="55">
        <f>U7-U10</f>
        <v>163.26892914180277</v>
      </c>
      <c r="V11" s="55">
        <f>V7-V10</f>
        <v>81.45652914180276</v>
      </c>
    </row>
    <row r="12">
      <c r="A12" s="14" t="inlineStr">
        <is>
          <t>Year fraction</t>
        </is>
      </c>
      <c r="C12" s="58">
        <f>Assumptions!$B$22</f>
        <v>0.4192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0.2096</v>
      </c>
      <c r="D13" s="11">
        <f>C13+C12/2+D12/2</f>
        <v>0.9192</v>
      </c>
      <c r="E13" s="11">
        <f>D13+D12/2+E12/2</f>
        <v>1.9192</v>
      </c>
      <c r="F13" s="11">
        <f>E13+E12/2+F12/2</f>
        <v>2.9192</v>
      </c>
      <c r="G13" s="11">
        <f>F13+F12/2+G12/2</f>
        <v>3.9192</v>
      </c>
      <c r="H13" s="11">
        <f>G13+G12/2+H12/2</f>
        <v>4.9192</v>
      </c>
      <c r="I13" s="11">
        <f>H13+H12/2+I12/2</f>
        <v>5.9192</v>
      </c>
      <c r="J13" s="11">
        <f>I13+I12/2+J12/2</f>
        <v>6.9192</v>
      </c>
      <c r="K13" s="11">
        <f>J13+J12/2+K12/2</f>
        <v>7.9192</v>
      </c>
      <c r="L13" s="11">
        <f>K13+K12/2+L12/2</f>
        <v>8.9192</v>
      </c>
      <c r="M13" s="11">
        <f>L13+L12/2+M12/2</f>
        <v>9.9192</v>
      </c>
      <c r="N13" s="11">
        <f>M13+M12/2+N12/2</f>
        <v>10.9192</v>
      </c>
      <c r="O13" s="11">
        <f>N13+N12/2+O12/2</f>
        <v>11.9192</v>
      </c>
      <c r="P13" s="11">
        <f>O13+O12/2+P12/2</f>
        <v>12.9192</v>
      </c>
      <c r="Q13" s="11">
        <f>P13+P12/2+Q12/2</f>
        <v>13.9192</v>
      </c>
      <c r="R13" s="11">
        <f>Q13+Q12/2+R12/2</f>
        <v>14.9192</v>
      </c>
      <c r="S13" s="11">
        <f>R13+R12/2+S12/2</f>
        <v>15.9192</v>
      </c>
      <c r="T13" s="11">
        <f>S13+S12/2+T12/2</f>
        <v>16.9192</v>
      </c>
      <c r="U13" s="11">
        <f>T13+T12/2+U12/2</f>
        <v>17.9192</v>
      </c>
      <c r="V13" s="11">
        <f>U13+U12/2+V12/2</f>
        <v>18.9192</v>
      </c>
    </row>
    <row r="14">
      <c r="A14" s="14" t="inlineStr">
        <is>
          <t>Discount factor</t>
        </is>
      </c>
      <c r="C14" s="59">
        <f>1/(1+Assumptions!$E$10)^C13</f>
        <v>0.9765262059253992</v>
      </c>
      <c r="D14" s="59">
        <f>1/(1+Assumptions!$E$10)^D13</f>
        <v>0.9010705455110847</v>
      </c>
      <c r="E14" s="59">
        <f>1/(1+Assumptions!$E$10)^E13</f>
        <v>0.804527272777754</v>
      </c>
      <c r="F14" s="59">
        <f>1/(1+Assumptions!$E$10)^F13</f>
        <v>0.7183279221229947</v>
      </c>
      <c r="G14" s="59">
        <f>1/(1+Assumptions!$E$10)^G13</f>
        <v>0.6413642161812452</v>
      </c>
      <c r="H14" s="59">
        <f>1/(1+Assumptions!$E$10)^H13</f>
        <v>0.5726466215903974</v>
      </c>
      <c r="I14" s="59">
        <f>1/(1+Assumptions!$E$10)^I13</f>
        <v>0.5112916264199976</v>
      </c>
      <c r="J14" s="59">
        <f>1/(1+Assumptions!$E$10)^J13</f>
        <v>0.4565103807321407</v>
      </c>
      <c r="K14" s="59">
        <f>1/(1+Assumptions!$E$10)^K13</f>
        <v>0.4075985542251256</v>
      </c>
      <c r="L14" s="59">
        <f>1/(1+Assumptions!$E$10)^L13</f>
        <v>0.36392728055814777</v>
      </c>
      <c r="M14" s="59">
        <f>1/(1+Assumptions!$E$10)^M13</f>
        <v>0.3249350719269177</v>
      </c>
      <c r="N14" s="59">
        <f>1/(1+Assumptions!$E$10)^N13</f>
        <v>0.29012059993474787</v>
      </c>
      <c r="O14" s="59">
        <f>1/(1+Assumptions!$E$10)^O13</f>
        <v>0.2590362499417391</v>
      </c>
      <c r="P14" s="59">
        <f>1/(1+Assumptions!$E$10)^P13</f>
        <v>0.2312823660194099</v>
      </c>
      <c r="Q14" s="59">
        <f>1/(1+Assumptions!$E$10)^Q13</f>
        <v>0.20650211251733025</v>
      </c>
      <c r="R14" s="59">
        <f>1/(1+Assumptions!$E$10)^R13</f>
        <v>0.18437688617618772</v>
      </c>
      <c r="S14" s="59">
        <f>1/(1+Assumptions!$E$10)^S13</f>
        <v>0.16462221980016759</v>
      </c>
      <c r="T14" s="59">
        <f>1/(1+Assumptions!$E$10)^T13</f>
        <v>0.1469841248215782</v>
      </c>
      <c r="U14" s="59">
        <f>1/(1+Assumptions!$E$10)^U13</f>
        <v>0.13123582573355194</v>
      </c>
      <c r="V14" s="59">
        <f>1/(1+Assumptions!$E$10)^V13</f>
        <v>0.11717484440495708</v>
      </c>
    </row>
    <row r="15">
      <c r="A15" s="14" t="inlineStr">
        <is>
          <t>PV factor</t>
        </is>
      </c>
      <c r="C15" s="59">
        <f>C12*C14</f>
        <v>0.4093597855239274</v>
      </c>
      <c r="D15" s="59">
        <f>D12*D14</f>
        <v>0.9010705455110847</v>
      </c>
      <c r="E15" s="59">
        <f>E12*E14</f>
        <v>0.804527272777754</v>
      </c>
      <c r="F15" s="59">
        <f>F12*F14</f>
        <v>0.7183279221229947</v>
      </c>
      <c r="G15" s="59">
        <f>G12*G14</f>
        <v>0.6413642161812452</v>
      </c>
      <c r="H15" s="59">
        <f>H12*H14</f>
        <v>0.5726466215903974</v>
      </c>
      <c r="I15" s="59">
        <f>I12*I14</f>
        <v>0.5112916264199976</v>
      </c>
      <c r="J15" s="59">
        <f>J12*J14</f>
        <v>0.4565103807321407</v>
      </c>
      <c r="K15" s="59">
        <f>K12*K14</f>
        <v>0.4075985542251256</v>
      </c>
      <c r="L15" s="59">
        <f>L12*L14</f>
        <v>0.36392728055814777</v>
      </c>
      <c r="M15" s="59">
        <f>M12*M14</f>
        <v>0.3249350719269177</v>
      </c>
      <c r="N15" s="59">
        <f>N12*N14</f>
        <v>0.29012059993474787</v>
      </c>
      <c r="O15" s="59">
        <f>O12*O14</f>
        <v>0.2590362499417391</v>
      </c>
      <c r="P15" s="59">
        <f>P12*P14</f>
        <v>0.2312823660194099</v>
      </c>
      <c r="Q15" s="59">
        <f>Q12*Q14</f>
        <v>0.20650211251733025</v>
      </c>
      <c r="R15" s="59">
        <f>R12*R14</f>
        <v>0.18437688617618772</v>
      </c>
      <c r="S15" s="59">
        <f>S12*S14</f>
        <v>0.16462221980016759</v>
      </c>
      <c r="T15" s="59">
        <f>T12*T14</f>
        <v>0.1469841248215782</v>
      </c>
      <c r="U15" s="59">
        <f>U12*U14</f>
        <v>0.13123582573355194</v>
      </c>
      <c r="V15" s="59">
        <f>V12*V14</f>
        <v>0.11717484440495708</v>
      </c>
    </row>
    <row r="16">
      <c r="A16" s="24" t="inlineStr">
        <is>
          <t>PV of free cash flow</t>
        </is>
      </c>
      <c r="C16" s="55">
        <f>C11*C15</f>
        <v>-3.7218991699835478</v>
      </c>
      <c r="D16" s="55">
        <f>D11*D15</f>
        <v>-8.192533399786782</v>
      </c>
      <c r="E16" s="55">
        <f>E11*E15</f>
        <v>-7.31476196409534</v>
      </c>
      <c r="F16" s="55">
        <f>F11*F15</f>
        <v>-6.531037467942268</v>
      </c>
      <c r="G16" s="55">
        <f>G11*G15</f>
        <v>-0.288914979784076</v>
      </c>
      <c r="H16" s="55">
        <f>H11*H15</f>
        <v>-0.2579598033786392</v>
      </c>
      <c r="I16" s="55">
        <f>I11*I15</f>
        <v>10.35955091339435</v>
      </c>
      <c r="J16" s="55">
        <f>J11*J15</f>
        <v>23.432463538402526</v>
      </c>
      <c r="K16" s="55">
        <f>K11*K15</f>
        <v>32.05625817386152</v>
      </c>
      <c r="L16" s="55">
        <f>L11*L15</f>
        <v>38.576382408662425</v>
      </c>
      <c r="M16" s="55">
        <f>M11*M15</f>
        <v>45.076685810568385</v>
      </c>
      <c r="N16" s="55">
        <f>N11*N15</f>
        <v>47.36767967332366</v>
      </c>
      <c r="O16" s="55">
        <f>O11*O15</f>
        <v>42.292571136896115</v>
      </c>
      <c r="P16" s="55">
        <f>P11*P15</f>
        <v>37.76122422937153</v>
      </c>
      <c r="Q16" s="55">
        <f>Q11*Q15</f>
        <v>33.715378776224576</v>
      </c>
      <c r="R16" s="55">
        <f>R11*R15</f>
        <v>30.103016764486227</v>
      </c>
      <c r="S16" s="55">
        <f>S11*S15</f>
        <v>26.877693539719843</v>
      </c>
      <c r="T16" s="55">
        <f>T11*T15</f>
        <v>23.997940660464142</v>
      </c>
      <c r="U16" s="55">
        <f>U11*U15</f>
        <v>21.42673273255727</v>
      </c>
      <c r="V16" s="55">
        <f>V11*V15</f>
        <v>9.544656127958591</v>
      </c>
    </row>
    <row r="17">
      <c r="A17" s="14" t="inlineStr">
        <is>
          <t>Tax-loss carryforward, end of year</t>
        </is>
      </c>
      <c r="C17" s="23">
        <f>Assumptions!$B$21-C8+MAX(0,-C7)</f>
        <v>68.992</v>
      </c>
      <c r="D17" s="23">
        <f>C17-D8+MAX(0,-D7)</f>
        <v>78.084</v>
      </c>
      <c r="E17" s="23">
        <f>D17-E8+MAX(0,-E7)</f>
        <v>87.176</v>
      </c>
      <c r="F17" s="23">
        <f>E17-F8+MAX(0,-F7)</f>
        <v>96.268</v>
      </c>
      <c r="G17" s="23">
        <f>F17-G8+MAX(0,-G7)</f>
        <v>96.718469440756</v>
      </c>
      <c r="H17" s="23">
        <f>G17-H8+MAX(0,-H7)</f>
        <v>97.16893888151199</v>
      </c>
      <c r="I17" s="23">
        <f>H17-I8+MAX(0,-I7)</f>
        <v>76.90740832226798</v>
      </c>
      <c r="J17" s="23">
        <f>I17-J8+MAX(0,-J7)</f>
        <v>25.577877763023984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524.8775923549061</v>
      </c>
    </row>
    <row r="20">
      <c r="A20" s="14" t="inlineStr">
        <is>
          <t>PV of corporate burn</t>
        </is>
      </c>
      <c r="B20" s="23">
        <f>SUMPRODUCT(C6:V6,C15:V15)</f>
        <v>-28.016907757877874</v>
      </c>
    </row>
    <row r="21">
      <c r="A21" s="14" t="inlineStr">
        <is>
          <t>PV of taxes</t>
        </is>
      </c>
      <c r="B21" s="23">
        <f>-SUMPRODUCT(C10:V10,C15:V15)</f>
        <v>-100.57955689610776</v>
      </c>
    </row>
    <row r="22">
      <c r="A22" s="24" t="inlineStr">
        <is>
          <t>Pipeline rNPV (operations)</t>
        </is>
      </c>
      <c r="B22" s="54">
        <f>SUM(C16:V16)</f>
        <v>396.28112770092054</v>
      </c>
    </row>
    <row r="23">
      <c r="A23" s="14" t="inlineStr">
        <is>
          <t>Cash &amp; investments</t>
        </is>
      </c>
      <c r="B23" s="57">
        <f>Main!C7</f>
        <v>7.591444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403.87257170092056</v>
      </c>
    </row>
    <row r="26">
      <c r="A26" s="14" t="inlineStr">
        <is>
          <t>Shares (mm)</t>
        </is>
      </c>
      <c r="B26" s="57">
        <f>Main!C4</f>
        <v>4.825723</v>
      </c>
    </row>
    <row r="27">
      <c r="A27" s="24" t="inlineStr">
        <is>
          <t>rNPV / share</t>
        </is>
      </c>
      <c r="B27" s="60">
        <f>B25/B26</f>
        <v>83.69161920419397</v>
      </c>
    </row>
    <row r="28">
      <c r="A28" s="14" t="inlineStr">
        <is>
          <t>Price</t>
        </is>
      </c>
      <c r="B28" s="61">
        <f>Main!C3</f>
        <v>1.3</v>
      </c>
    </row>
    <row r="29">
      <c r="A29" s="14" t="inlineStr">
        <is>
          <t>Upside</t>
        </is>
      </c>
      <c r="B29" s="62">
        <f>B27/B28-1</f>
        <v>63.378168618610744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2026-10-21T06:31:16Z</dcterms:modified>
  <cp:lastModifiedBy>Wang, Eric</cp:lastModifiedBy>
</cp:coreProperties>
</file>