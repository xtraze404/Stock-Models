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Valneva SE</t>
        </is>
      </c>
      <c r="C2" s="10" t="n"/>
    </row>
    <row r="3">
      <c r="B3" t="inlineStr">
        <is>
          <t>Price</t>
        </is>
      </c>
      <c r="C3" s="11">
        <f>INDEX([1]Pharma!$F$1:$F$1000,MATCH("VALN",[1]Pharma!$B$1:$B$1000,0))</f>
        <v>5.69</v>
      </c>
      <c r="F3" s="1" t="n"/>
    </row>
    <row r="4">
      <c r="B4" t="inlineStr">
        <is>
          <t>Shares</t>
        </is>
      </c>
      <c r="C4" s="51">
        <f>173.539745/2</f>
        <v>86.7698725</v>
      </c>
      <c r="F4" s="1" t="n"/>
    </row>
    <row r="5">
      <c r="B5" t="inlineStr">
        <is>
          <t>Market Cap.</t>
        </is>
      </c>
      <c r="C5" s="13">
        <f>C3*C4</f>
        <v>493.7205745250001</v>
      </c>
      <c r="F5" s="1" t="n"/>
    </row>
    <row r="6"/>
    <row r="7">
      <c r="B7" t="inlineStr">
        <is>
          <t>Cash</t>
        </is>
      </c>
      <c r="C7" s="51">
        <f>(109.65)/0.88865</f>
        <v>123.3894109041805</v>
      </c>
    </row>
    <row r="8">
      <c r="B8" t="inlineStr">
        <is>
          <t>Debt</t>
        </is>
      </c>
      <c r="C8" s="51">
        <f>(17.905+161.261)/0.88865</f>
        <v>201.61593428233837</v>
      </c>
    </row>
    <row r="9">
      <c r="B9" t="inlineStr">
        <is>
          <t>Enterprise V.</t>
        </is>
      </c>
      <c r="C9" s="13">
        <f>C5-C7+C8</f>
        <v>571.9470979031579</v>
      </c>
    </row>
    <row r="10"/>
    <row r="11">
      <c r="B11" s="14" t="inlineStr">
        <is>
          <t>NPV / Share</t>
        </is>
      </c>
      <c r="C11" s="11">
        <f>NPV!B28</f>
        <v>-1.8627756074192672</v>
      </c>
    </row>
    <row r="12">
      <c r="B12" s="14" t="inlineStr">
        <is>
          <t>Upside</t>
        </is>
      </c>
      <c r="C12" s="15">
        <f>IFERROR(C11/C3-1,"")</f>
        <v>-1.327377083904968</v>
      </c>
    </row>
    <row r="13">
      <c r="B13" s="14" t="inlineStr">
        <is>
          <t>Cash / Share</t>
        </is>
      </c>
      <c r="C13" s="11">
        <f>IFERROR((C7-C8)/C4,"")</f>
        <v>-0.9015401443416651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2019</v>
      </c>
      <c r="C1" s="16" t="n">
        <v>2020</v>
      </c>
      <c r="D1" s="16" t="n">
        <v>2021</v>
      </c>
      <c r="E1" s="16" t="n">
        <v>2022</v>
      </c>
      <c r="F1" s="16" t="n">
        <v>2023</v>
      </c>
      <c r="G1" s="16" t="n">
        <v>2024</v>
      </c>
      <c r="H1" s="16" t="n">
        <v>2025</v>
      </c>
      <c r="I1" s="16" t="n">
        <v>2026</v>
      </c>
      <c r="J1" s="16" t="n">
        <v>2027</v>
      </c>
      <c r="K1" s="16" t="n">
        <v>2028</v>
      </c>
      <c r="L1" s="16" t="n">
        <v>2029</v>
      </c>
      <c r="M1" s="16" t="n">
        <v>2030</v>
      </c>
      <c r="N1" s="16" t="n">
        <v>2031</v>
      </c>
      <c r="O1" s="16" t="n">
        <v>2032</v>
      </c>
      <c r="P1" s="16" t="n">
        <v>2033</v>
      </c>
      <c r="Q1" s="16" t="n">
        <v>2034</v>
      </c>
      <c r="R1" s="16" t="n">
        <v>2035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145.739</v>
      </c>
      <c r="C2" s="52" t="n">
        <v>124.144</v>
      </c>
      <c r="D2" s="52" t="n">
        <v>391.702</v>
      </c>
      <c r="E2" s="52" t="n">
        <v>406.575</v>
      </c>
      <c r="F2" s="52" t="n">
        <v>172.974</v>
      </c>
      <c r="G2" s="52" t="n">
        <v>190.828</v>
      </c>
      <c r="H2" s="52" t="n">
        <v>196.544</v>
      </c>
      <c r="I2" s="52">
        <f>H2*(1+NPV!C5)</f>
        <v>202.44032</v>
      </c>
      <c r="J2" s="52">
        <f>I2*(1+NPV!D5)</f>
        <v>208.40106275555556</v>
      </c>
      <c r="K2" s="52">
        <f>J2*(1+NPV!E5)</f>
        <v>214.42153790182718</v>
      </c>
      <c r="L2" s="52">
        <f>K2*(1+NPV!F5)</f>
        <v>220.49681480904562</v>
      </c>
      <c r="M2" s="52">
        <f>L2*(1+NPV!G5)</f>
        <v>226.62172633151908</v>
      </c>
      <c r="N2" s="52">
        <f>M2*(1+NPV!H5)</f>
        <v>232.79087332609933</v>
      </c>
      <c r="O2" s="52">
        <f>N2*(1+NPV!I5)</f>
        <v>238.99862994812864</v>
      </c>
      <c r="P2" s="52">
        <f>O2*(1+NPV!J5)</f>
        <v>245.23914973010758</v>
      </c>
      <c r="Q2" s="52">
        <f>P2*(1+NPV!K5)</f>
        <v>251.50637244543256</v>
      </c>
      <c r="R2" s="52">
        <f>Q2*(1+NPV!L5)</f>
        <v>257.79403175656836</v>
      </c>
    </row>
    <row r="3" customFormat="1" s="1">
      <c r="A3" s="5" t="inlineStr">
        <is>
          <t>Cost of Sales</t>
        </is>
      </c>
      <c r="B3" s="52" t="n">
        <v>59.395</v>
      </c>
      <c r="C3" s="52" t="n">
        <v>61.106</v>
      </c>
      <c r="D3" s="52" t="n">
        <v>211.467</v>
      </c>
      <c r="E3" s="52" t="n">
        <v>365.094</v>
      </c>
      <c r="F3" s="52" t="n">
        <v>113.515</v>
      </c>
      <c r="G3" s="52" t="n">
        <v>110.885</v>
      </c>
      <c r="H3" s="52" t="n">
        <v>120.564</v>
      </c>
      <c r="I3" s="52">
        <f>I2*(1-Assumptions!$B$19)</f>
        <v>124.17689228799999</v>
      </c>
      <c r="J3" s="52">
        <f>J2*(1-Assumptions!$B$19)</f>
        <v>127.83321189425777</v>
      </c>
      <c r="K3" s="52">
        <f>K2*(1-Assumptions!$B$19)</f>
        <v>131.52617134898077</v>
      </c>
      <c r="L3" s="52">
        <f>L2*(1-Assumptions!$B$19)</f>
        <v>135.25274620386858</v>
      </c>
      <c r="M3" s="52">
        <f>M2*(1-Assumptions!$B$19)</f>
        <v>139.0097669317538</v>
      </c>
      <c r="N3" s="52">
        <f>N2*(1-Assumptions!$B$19)</f>
        <v>142.79392169822933</v>
      </c>
      <c r="O3" s="52">
        <f>O2*(1-Assumptions!$B$19)</f>
        <v>146.60175961018209</v>
      </c>
      <c r="P3" s="52">
        <f>P2*(1-Assumptions!$B$19)</f>
        <v>150.429694444448</v>
      </c>
      <c r="Q3" s="52">
        <f>Q2*(1-Assumptions!$B$19)</f>
        <v>154.2740088580283</v>
      </c>
      <c r="R3" s="52">
        <f>R2*(1-Assumptions!$B$19)</f>
        <v>158.13085907947902</v>
      </c>
    </row>
    <row r="4" customFormat="1" s="1">
      <c r="A4" s="5" t="inlineStr">
        <is>
          <t>Gross Margin</t>
        </is>
      </c>
      <c r="B4" s="52">
        <f>B2-B3</f>
        <v>86.344</v>
      </c>
      <c r="C4" s="52">
        <f>C2-C3</f>
        <v>63.038000000000004</v>
      </c>
      <c r="D4" s="52">
        <f>D2-D3</f>
        <v>180.23499999999999</v>
      </c>
      <c r="E4" s="52">
        <f>E2-E3</f>
        <v>41.480999999999995</v>
      </c>
      <c r="F4" s="52">
        <f>F2-F3</f>
        <v>59.45899999999999</v>
      </c>
      <c r="G4" s="52">
        <f>G2-G3</f>
        <v>79.943</v>
      </c>
      <c r="H4" s="52">
        <f>H2-H3</f>
        <v>75.98000000000002</v>
      </c>
      <c r="I4" s="52">
        <f>I2-I3</f>
        <v>78.26342771200002</v>
      </c>
      <c r="J4" s="52">
        <f>J2-J3</f>
        <v>80.56785086129779</v>
      </c>
      <c r="K4" s="52">
        <f>K2-K3</f>
        <v>82.89536655284641</v>
      </c>
      <c r="L4" s="52">
        <f>L2-L3</f>
        <v>85.24406860517703</v>
      </c>
      <c r="M4" s="52">
        <f>M2-M3</f>
        <v>87.61195939976528</v>
      </c>
      <c r="N4" s="52">
        <f>N2-N3</f>
        <v>89.99695162787</v>
      </c>
      <c r="O4" s="52">
        <f>O2-O3</f>
        <v>92.39687033794655</v>
      </c>
      <c r="P4" s="52">
        <f>P2-P3</f>
        <v>94.8094552856596</v>
      </c>
      <c r="Q4" s="52">
        <f>Q2-Q3</f>
        <v>97.23236358740425</v>
      </c>
      <c r="R4" s="52">
        <f>R2-R3</f>
        <v>99.66317267708934</v>
      </c>
    </row>
    <row r="5">
      <c r="A5" s="2" t="inlineStr">
        <is>
          <t>Research &amp; Dev.</t>
        </is>
      </c>
      <c r="B5" s="52" t="n">
        <v>42.786</v>
      </c>
      <c r="C5" s="52" t="n">
        <v>95.036</v>
      </c>
      <c r="D5" s="52" t="n">
        <v>194.996</v>
      </c>
      <c r="E5" s="52" t="n">
        <v>118.069</v>
      </c>
      <c r="F5" s="52" t="n">
        <v>67.399</v>
      </c>
      <c r="G5" s="52" t="n">
        <v>83.43300000000001</v>
      </c>
      <c r="H5" s="52" t="n">
        <v>95.992</v>
      </c>
      <c r="I5" s="52">
        <f>I7*Assumptions!$B$20</f>
        <v>91.13989245743235</v>
      </c>
      <c r="J5" s="52">
        <f>J7*Assumptions!$B$20</f>
        <v>85.86280753209358</v>
      </c>
      <c r="K5" s="52">
        <f>K7*Assumptions!$B$20</f>
        <v>80.152665925255</v>
      </c>
      <c r="L5" s="52">
        <f>L7*Assumptions!$B$20</f>
        <v>74.00096776960514</v>
      </c>
      <c r="M5" s="52">
        <f>M7*Assumptions!$B$20</f>
        <v>67.39989622976027</v>
      </c>
      <c r="N5" s="52">
        <f>N7*Assumptions!$B$20</f>
        <v>60.34236384650511</v>
      </c>
      <c r="O5" s="52">
        <f>O7*Assumptions!$B$20</f>
        <v>52.822058017270784</v>
      </c>
      <c r="P5" s="52">
        <f>P7*Assumptions!$B$20</f>
        <v>44.833485405916726</v>
      </c>
      <c r="Q5" s="52">
        <f>Q7*Assumptions!$B$20</f>
        <v>36.37201507286371</v>
      </c>
      <c r="R5" s="52">
        <f>R7*Assumptions!$B$20</f>
        <v>27.433920115589867</v>
      </c>
    </row>
    <row r="6">
      <c r="A6" s="18" t="inlineStr">
        <is>
          <t>SG&amp;A &amp; Other</t>
        </is>
      </c>
      <c r="B6" s="52" t="n">
        <v>44.471</v>
      </c>
      <c r="C6" s="52" t="n">
        <v>30.029</v>
      </c>
      <c r="D6" s="52" t="n">
        <v>54.322</v>
      </c>
      <c r="E6" s="52" t="n">
        <v>51.07</v>
      </c>
      <c r="F6" s="52" t="n">
        <v>84.43300000000001</v>
      </c>
      <c r="G6" s="52" t="n">
        <v>-18.491</v>
      </c>
      <c r="H6" s="52" t="n">
        <v>72.331</v>
      </c>
      <c r="I6" s="52">
        <f>I7-I5</f>
        <v>68.67054495696769</v>
      </c>
      <c r="J6" s="52">
        <f>J7-J5</f>
        <v>64.69445624503</v>
      </c>
      <c r="K6" s="52">
        <f>K7-K5</f>
        <v>60.39207530787668</v>
      </c>
      <c r="L6" s="52">
        <f>L7-L5</f>
        <v>55.75699780922203</v>
      </c>
      <c r="M6" s="52">
        <f>M7-M5</f>
        <v>50.78333405212693</v>
      </c>
      <c r="N6" s="52">
        <f>N7-N5</f>
        <v>45.465743897673576</v>
      </c>
      <c r="O6" s="52">
        <f>O7-O5</f>
        <v>39.79947103282702</v>
      </c>
      <c r="P6" s="52">
        <f>P7-P5</f>
        <v>33.78037643156657</v>
      </c>
      <c r="Q6" s="52">
        <f>Q7-Q5</f>
        <v>27.404970851849093</v>
      </c>
      <c r="R6" s="52">
        <f>R7-R5</f>
        <v>20.670446210185805</v>
      </c>
    </row>
    <row r="7">
      <c r="A7" s="2" t="inlineStr">
        <is>
          <t>Operating Expense</t>
        </is>
      </c>
      <c r="B7" s="52">
        <f>SUM(B5:B6)</f>
        <v>87.257</v>
      </c>
      <c r="C7" s="52">
        <f>SUM(C5:C6)</f>
        <v>125.065</v>
      </c>
      <c r="D7" s="52">
        <f>SUM(D5:D6)</f>
        <v>249.318</v>
      </c>
      <c r="E7" s="52">
        <f>SUM(E5:E6)</f>
        <v>169.139</v>
      </c>
      <c r="F7" s="52">
        <f>SUM(F5:F6)</f>
        <v>151.832</v>
      </c>
      <c r="G7" s="52">
        <f>SUM(G5:G6)</f>
        <v>64.94200000000001</v>
      </c>
      <c r="H7" s="52">
        <f>SUM(H5:H6)</f>
        <v>168.323</v>
      </c>
      <c r="I7" s="52">
        <f>I4-I2*NPV!C6</f>
        <v>159.81043741440004</v>
      </c>
      <c r="J7" s="52">
        <f>J4-J2*NPV!D6</f>
        <v>150.55726377712358</v>
      </c>
      <c r="K7" s="52">
        <f>K4-K2*NPV!E6</f>
        <v>140.54474123313167</v>
      </c>
      <c r="L7" s="52">
        <f>L4-L2*NPV!F6</f>
        <v>129.75796557882717</v>
      </c>
      <c r="M7" s="52">
        <f>M4-M2*NPV!G6</f>
        <v>118.1832302818872</v>
      </c>
      <c r="N7" s="52">
        <f>N4-N2*NPV!H6</f>
        <v>105.80810774417868</v>
      </c>
      <c r="O7" s="52">
        <f>O4-O2*NPV!I6</f>
        <v>92.6215290500978</v>
      </c>
      <c r="P7" s="52">
        <f>P4-P2*NPV!J6</f>
        <v>78.6138618374833</v>
      </c>
      <c r="Q7" s="52">
        <f>Q4-Q2*NPV!K6</f>
        <v>63.776985924712804</v>
      </c>
      <c r="R7" s="52">
        <f>R4-R2*NPV!L6</f>
        <v>48.10436632577567</v>
      </c>
    </row>
    <row r="8">
      <c r="A8" s="2" t="inlineStr">
        <is>
          <t>Operating Income</t>
        </is>
      </c>
      <c r="B8" s="52">
        <f>B4-B7</f>
        <v>-0.9130000000000109</v>
      </c>
      <c r="C8" s="52">
        <f>C4-C7</f>
        <v>-62.026999999999994</v>
      </c>
      <c r="D8" s="52">
        <f>D4-D7</f>
        <v>-69.08300000000003</v>
      </c>
      <c r="E8" s="52">
        <f>E4-E7</f>
        <v>-127.65800000000002</v>
      </c>
      <c r="F8" s="52">
        <f>F4-F7</f>
        <v>-92.373</v>
      </c>
      <c r="G8" s="52">
        <f>G4-G7</f>
        <v>15.00099999999999</v>
      </c>
      <c r="H8" s="52">
        <f>H4-H7</f>
        <v>-92.34299999999999</v>
      </c>
      <c r="I8" s="52">
        <f>I4-I7</f>
        <v>-81.54700970240002</v>
      </c>
      <c r="J8" s="52">
        <f>J4-J7</f>
        <v>-69.9894129158258</v>
      </c>
      <c r="K8" s="52">
        <f>K4-K7</f>
        <v>-57.64937468028526</v>
      </c>
      <c r="L8" s="52">
        <f>L4-L7</f>
        <v>-44.513896973650134</v>
      </c>
      <c r="M8" s="52">
        <f>M4-M7</f>
        <v>-30.571270882121922</v>
      </c>
      <c r="N8" s="52">
        <f>N4-N7</f>
        <v>-15.81115611630868</v>
      </c>
      <c r="O8" s="52">
        <f>O4-O7</f>
        <v>-0.22465871215125333</v>
      </c>
      <c r="P8" s="52">
        <f>P4-P7</f>
        <v>16.195593448176297</v>
      </c>
      <c r="Q8" s="52">
        <f>Q4-Q7</f>
        <v>33.45537766269145</v>
      </c>
      <c r="R8" s="52">
        <f>R4-R7</f>
        <v>51.55880635131366</v>
      </c>
    </row>
    <row r="9">
      <c r="A9" s="18" t="inlineStr">
        <is>
          <t>Interest &amp; Other</t>
        </is>
      </c>
      <c r="B9" s="52" t="n">
        <v>0.984</v>
      </c>
      <c r="C9" s="52" t="n">
        <v>-1.023</v>
      </c>
      <c r="D9" s="52" t="n">
        <v>3.878</v>
      </c>
      <c r="E9" s="52" t="n">
        <v>-35.303</v>
      </c>
      <c r="F9" s="52" t="n">
        <v>-18.615</v>
      </c>
      <c r="G9" s="52" t="n">
        <v>-27.926</v>
      </c>
      <c r="H9" s="52" t="n">
        <v>-36.076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</row>
    <row r="10">
      <c r="A10" s="2" t="inlineStr">
        <is>
          <t>Pretax</t>
        </is>
      </c>
      <c r="B10" s="52">
        <f>B8+B9</f>
        <v>0.07099999999998907</v>
      </c>
      <c r="C10" s="52">
        <f>C8+C9</f>
        <v>-63.05</v>
      </c>
      <c r="D10" s="52">
        <f>D8+D9</f>
        <v>-65.20500000000003</v>
      </c>
      <c r="E10" s="52">
        <f>E8+E9</f>
        <v>-162.961</v>
      </c>
      <c r="F10" s="52">
        <f>F8+F9</f>
        <v>-110.988</v>
      </c>
      <c r="G10" s="52">
        <f>G8+G9</f>
        <v>-12.925000000000008</v>
      </c>
      <c r="H10" s="52">
        <f>H8+H9</f>
        <v>-128.41899999999998</v>
      </c>
      <c r="I10" s="52">
        <f>I8+I9</f>
        <v>-81.54700970240002</v>
      </c>
      <c r="J10" s="52">
        <f>J8+J9</f>
        <v>-69.9894129158258</v>
      </c>
      <c r="K10" s="52">
        <f>K8+K9</f>
        <v>-57.64937468028526</v>
      </c>
      <c r="L10" s="52">
        <f>L8+L9</f>
        <v>-44.513896973650134</v>
      </c>
      <c r="M10" s="52">
        <f>M8+M9</f>
        <v>-30.571270882121922</v>
      </c>
      <c r="N10" s="52">
        <f>N8+N9</f>
        <v>-15.81115611630868</v>
      </c>
      <c r="O10" s="52">
        <f>O8+O9</f>
        <v>-0.22465871215125333</v>
      </c>
      <c r="P10" s="52">
        <f>P8+P9</f>
        <v>16.195593448176297</v>
      </c>
      <c r="Q10" s="52">
        <f>Q8+Q9</f>
        <v>33.45537766269145</v>
      </c>
      <c r="R10" s="52">
        <f>R8+R9</f>
        <v>51.55880635131366</v>
      </c>
    </row>
    <row r="11">
      <c r="A11" s="2" t="inlineStr">
        <is>
          <t>Taxes</t>
        </is>
      </c>
      <c r="B11" s="52" t="n">
        <v>0.984</v>
      </c>
      <c r="C11" s="52" t="n">
        <v>-1.023</v>
      </c>
      <c r="D11" s="52" t="n">
        <v>3.878</v>
      </c>
      <c r="E11" s="52" t="n">
        <v>-1.728</v>
      </c>
      <c r="F11" s="52" t="n">
        <v>3.151</v>
      </c>
      <c r="G11" s="52" t="n">
        <v>0.856</v>
      </c>
      <c r="H11" s="52" t="n">
        <v>1.207</v>
      </c>
      <c r="I11" s="52">
        <f>MAX(0,I10)*Assumptions!$E$14</f>
        <v>0.0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2.7532508861899707</v>
      </c>
      <c r="Q11" s="52">
        <f>MAX(0,Q10)*Assumptions!$E$14</f>
        <v>5.687414202657546</v>
      </c>
      <c r="R11" s="52">
        <f>MAX(0,R10)*Assumptions!$E$14</f>
        <v>8.764997079723324</v>
      </c>
    </row>
    <row r="12">
      <c r="A12" s="2" t="inlineStr">
        <is>
          <t>Net Income</t>
        </is>
      </c>
      <c r="B12" s="52" t="n">
        <v>-0.913</v>
      </c>
      <c r="C12" s="52" t="n">
        <v>-62.027</v>
      </c>
      <c r="D12" s="52" t="n">
        <v>-69.08199999999999</v>
      </c>
      <c r="E12" s="52" t="n">
        <v>-161.232</v>
      </c>
      <c r="F12" s="52" t="n">
        <v>-114.138</v>
      </c>
      <c r="G12" s="52" t="n">
        <v>-13.782</v>
      </c>
      <c r="H12" s="52" t="n">
        <v>-129.626</v>
      </c>
      <c r="I12" s="52">
        <f>I10-I11</f>
        <v>-81.54700970240002</v>
      </c>
      <c r="J12" s="52">
        <f>J10-J11</f>
        <v>-69.9894129158258</v>
      </c>
      <c r="K12" s="52">
        <f>K10-K11</f>
        <v>-57.64937468028526</v>
      </c>
      <c r="L12" s="52">
        <f>L10-L11</f>
        <v>-44.513896973650134</v>
      </c>
      <c r="M12" s="52">
        <f>M10-M11</f>
        <v>-30.571270882121922</v>
      </c>
      <c r="N12" s="52">
        <f>N10-N11</f>
        <v>-15.81115611630868</v>
      </c>
      <c r="O12" s="52">
        <f>O10-O11</f>
        <v>-0.22465871215125333</v>
      </c>
      <c r="P12" s="52">
        <f>P10-P11</f>
        <v>13.442342561986326</v>
      </c>
      <c r="Q12" s="52">
        <f>Q10-Q11</f>
        <v>27.7679634600339</v>
      </c>
      <c r="R12" s="52">
        <f>R10-R11</f>
        <v>42.79380927159034</v>
      </c>
    </row>
    <row r="13">
      <c r="A13" s="2" t="inlineStr">
        <is>
          <t>Earnings per Share</t>
        </is>
      </c>
      <c r="B13" s="11">
        <f>IFERROR(B12/B14,0)</f>
        <v>-0.00995160446459714</v>
      </c>
      <c r="C13" s="11">
        <f>IFERROR(C12/C14,0)</f>
        <v>-0.6834403957821436</v>
      </c>
      <c r="D13" s="11">
        <f>IFERROR(D12/D14,0)</f>
        <v>-0.7076696134973723</v>
      </c>
      <c r="E13" s="11">
        <f>IFERROR(E12/E14,0)</f>
        <v>-1.3962623620901675</v>
      </c>
      <c r="F13" s="11">
        <f>IFERROR(F12/F14,0)</f>
        <v>-0.82336391966759</v>
      </c>
      <c r="G13" s="11">
        <f>IFERROR(G12/G14,0)</f>
        <v>-0.09458773145923985</v>
      </c>
      <c r="H13" s="11">
        <f>IFERROR(H12/H14,0)</f>
        <v>-0.7707621046622943</v>
      </c>
      <c r="I13" s="11">
        <f>IFERROR(I12/I14,0)</f>
        <v>-0.9398078774680695</v>
      </c>
      <c r="J13" s="11">
        <f>IFERROR(J12/J14,0)</f>
        <v>-0.8066096088342851</v>
      </c>
      <c r="K13" s="11">
        <f>IFERROR(K12/K14,0)</f>
        <v>-0.6643939079233435</v>
      </c>
      <c r="L13" s="11">
        <f>IFERROR(L12/L14,0)</f>
        <v>-0.5130109759427172</v>
      </c>
      <c r="M13" s="11">
        <f>IFERROR(M12/M14,0)</f>
        <v>-0.3523258707349365</v>
      </c>
      <c r="N13" s="11">
        <f>IFERROR(N12/N14,0)</f>
        <v>-0.18221942317949907</v>
      </c>
      <c r="O13" s="11">
        <f>IFERROR(O12/O14,0)</f>
        <v>-0.0025891326756444562</v>
      </c>
      <c r="P13" s="11">
        <f>IFERROR(P12/P14,0)</f>
        <v>0.15491946887424923</v>
      </c>
      <c r="Q13" s="11">
        <f>IFERROR(Q12/Q14,0)</f>
        <v>0.32001848867570826</v>
      </c>
      <c r="R13" s="11">
        <f>IFERROR(R12/R14,0)</f>
        <v>0.49318741676830674</v>
      </c>
    </row>
    <row r="14">
      <c r="A14" s="2" t="inlineStr">
        <is>
          <t>Shares</t>
        </is>
      </c>
      <c r="B14" s="52" t="n">
        <v>91.744</v>
      </c>
      <c r="C14" s="52" t="n">
        <v>90.75700000000001</v>
      </c>
      <c r="D14" s="52" t="n">
        <v>97.619</v>
      </c>
      <c r="E14" s="52" t="n">
        <v>115.474</v>
      </c>
      <c r="F14" s="52" t="n">
        <v>138.624</v>
      </c>
      <c r="G14" s="52" t="n">
        <v>145.706</v>
      </c>
      <c r="H14" s="52" t="n">
        <v>168.179</v>
      </c>
      <c r="I14" s="52">
        <f>Main!$C$4</f>
        <v>86.7698725</v>
      </c>
      <c r="J14" s="52">
        <f>Main!$C$4</f>
        <v>86.7698725</v>
      </c>
      <c r="K14" s="52">
        <f>Main!$C$4</f>
        <v>86.7698725</v>
      </c>
      <c r="L14" s="52">
        <f>Main!$C$4</f>
        <v>86.7698725</v>
      </c>
      <c r="M14" s="52">
        <f>Main!$C$4</f>
        <v>86.7698725</v>
      </c>
      <c r="N14" s="52">
        <f>Main!$C$4</f>
        <v>86.7698725</v>
      </c>
      <c r="O14" s="52">
        <f>Main!$C$4</f>
        <v>86.7698725</v>
      </c>
      <c r="P14" s="52">
        <f>Main!$C$4</f>
        <v>86.7698725</v>
      </c>
      <c r="Q14" s="52">
        <f>Main!$C$4</f>
        <v>86.7698725</v>
      </c>
      <c r="R14" s="52">
        <f>Main!$C$4</f>
        <v>86.7698725</v>
      </c>
    </row>
    <row r="15"/>
    <row r="16" customFormat="1" s="4">
      <c r="A16" s="3" t="inlineStr">
        <is>
          <t>Revenue Change</t>
        </is>
      </c>
      <c r="C16" s="15">
        <f>IFERROR(C2/B2-1,"")</f>
        <v>-0.1481758486060697</v>
      </c>
      <c r="D16" s="15">
        <f>IFERROR(D2/C2-1,"")</f>
        <v>2.155222966877175</v>
      </c>
      <c r="E16" s="15">
        <f>IFERROR(E2/D2-1,"")</f>
        <v>0.03797019162526616</v>
      </c>
      <c r="F16" s="15">
        <f>IFERROR(F2/E2-1,"")</f>
        <v>-0.5745581995941709</v>
      </c>
      <c r="G16" s="15">
        <f>IFERROR(G2/F2-1,"")</f>
        <v>0.10321782464416618</v>
      </c>
      <c r="H16" s="15">
        <f>IFERROR(H2/G2-1,"")</f>
        <v>0.029953675561238402</v>
      </c>
      <c r="I16" s="15">
        <f>IFERROR(I2/H2-1,"")</f>
        <v>0.030000000000000027</v>
      </c>
      <c r="J16" s="15">
        <f>IFERROR(J2/I2-1,"")</f>
        <v>0.029444444444444384</v>
      </c>
      <c r="K16" s="15">
        <f>IFERROR(K2/J2-1,"")</f>
        <v>0.028888888888888964</v>
      </c>
      <c r="L16" s="15">
        <f>IFERROR(L2/K2-1,"")</f>
        <v>0.02833333333333332</v>
      </c>
      <c r="M16" s="15">
        <f>IFERROR(M2/L2-1,"")</f>
        <v>0.02777777777777768</v>
      </c>
      <c r="N16" s="15">
        <f>IFERROR(N2/M2-1,"")</f>
        <v>0.02722222222222226</v>
      </c>
      <c r="O16" s="15">
        <f>IFERROR(O2/N2-1,"")</f>
        <v>0.026666666666666616</v>
      </c>
      <c r="P16" s="15">
        <f>IFERROR(P2/O2-1,"")</f>
        <v>0.026111111111111196</v>
      </c>
      <c r="Q16" s="15">
        <f>IFERROR(Q2/P2-1,"")</f>
        <v>0.025555555555555554</v>
      </c>
      <c r="R16" s="15">
        <f>IFERROR(R2/Q2-1,"")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0.5924563774967578</v>
      </c>
      <c r="C17" s="15">
        <f>IFERROR(C4/C2,"")</f>
        <v>0.5077812862482278</v>
      </c>
      <c r="D17" s="15">
        <f>IFERROR(D4/D2,"")</f>
        <v>0.4601329582182373</v>
      </c>
      <c r="E17" s="15">
        <f>IFERROR(E4/E2,"")</f>
        <v>0.10202545655783064</v>
      </c>
      <c r="F17" s="15">
        <f>IFERROR(F4/F2,"")</f>
        <v>0.3437453027622648</v>
      </c>
      <c r="G17" s="15">
        <f>IFERROR(G4/G2,"")</f>
        <v>0.4189269918460603</v>
      </c>
      <c r="H17" s="15">
        <f>IFERROR(H4/H2,"")</f>
        <v>0.3865801042005862</v>
      </c>
      <c r="I17" s="15">
        <f>IFERROR(I4/I2,"")</f>
        <v>0.3866000000000001</v>
      </c>
      <c r="J17" s="15">
        <f>IFERROR(J4/J2,"")</f>
        <v>0.38660000000000005</v>
      </c>
      <c r="K17" s="15">
        <f>IFERROR(K4/K2,"")</f>
        <v>0.3866000000000001</v>
      </c>
      <c r="L17" s="15">
        <f>IFERROR(L4/L2,"")</f>
        <v>0.3866</v>
      </c>
      <c r="M17" s="15">
        <f>IFERROR(M4/M2,"")</f>
        <v>0.3866</v>
      </c>
      <c r="N17" s="15">
        <f>IFERROR(N4/N2,"")</f>
        <v>0.3866</v>
      </c>
      <c r="O17" s="15">
        <f>IFERROR(O4/O2,"")</f>
        <v>0.3866000000000001</v>
      </c>
      <c r="P17" s="15">
        <f>IFERROR(P4/P2,"")</f>
        <v>0.3866</v>
      </c>
      <c r="Q17" s="15">
        <f>IFERROR(Q4/Q2,"")</f>
        <v>0.3866000000000001</v>
      </c>
      <c r="R17" s="15">
        <f>IFERROR(R4/R2,"")</f>
        <v>0.38660000000000005</v>
      </c>
    </row>
    <row r="18">
      <c r="A18" s="14" t="inlineStr">
        <is>
          <t>Operating Margin</t>
        </is>
      </c>
      <c r="B18" s="15">
        <f>IFERROR(B8/B2,"")</f>
        <v>-0.006264623745188391</v>
      </c>
      <c r="C18" s="15">
        <f>IFERROR(C8/C2,"")</f>
        <v>-0.4996375177213558</v>
      </c>
      <c r="D18" s="15">
        <f>IFERROR(D8/D2,"")</f>
        <v>-0.1763662171753017</v>
      </c>
      <c r="E18" s="15">
        <f>IFERROR(E8/E2,"")</f>
        <v>-0.313983889811228</v>
      </c>
      <c r="F18" s="15">
        <f>IFERROR(F8/F2,"")</f>
        <v>-0.534028235457352</v>
      </c>
      <c r="G18" s="15">
        <f>IFERROR(G8/G2,"")</f>
        <v>0.07861005722430665</v>
      </c>
      <c r="H18" s="15">
        <f>IFERROR(H8/H2,"")</f>
        <v>-0.4698337267990882</v>
      </c>
      <c r="I18" s="15">
        <f>IFERROR(I8/I2,"")</f>
        <v>-0.40282000000000007</v>
      </c>
      <c r="J18" s="15">
        <f>IFERROR(J8/J2,"")</f>
        <v>-0.3358400000000001</v>
      </c>
      <c r="K18" s="15">
        <f>IFERROR(K8/K2,"")</f>
        <v>-0.26886000000000004</v>
      </c>
      <c r="L18" s="15">
        <f>IFERROR(L8/L2,"")</f>
        <v>-0.20188000000000003</v>
      </c>
      <c r="M18" s="15">
        <f>IFERROR(M8/M2,"")</f>
        <v>-0.1349</v>
      </c>
      <c r="N18" s="15">
        <f>IFERROR(N8/N2,"")</f>
        <v>-0.06792000000000006</v>
      </c>
      <c r="O18" s="15">
        <f>IFERROR(O8/O2,"")</f>
        <v>-0.0009400000000000519</v>
      </c>
      <c r="P18" s="15">
        <f>IFERROR(P8/P2,"")</f>
        <v>0.06603999999999996</v>
      </c>
      <c r="Q18" s="15">
        <f>IFERROR(Q8/Q2,"")</f>
        <v>0.13302000000000003</v>
      </c>
      <c r="R18" s="15">
        <f>IFERROR(R8/R2,"")</f>
        <v>0.19999999999999996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Valneva SE: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-0.02</v>
      </c>
      <c r="C12" s="53" t="n">
        <v>0.03</v>
      </c>
      <c r="D12" s="53" t="n">
        <v>0.08</v>
      </c>
      <c r="E12" s="54">
        <f>CHOOSE($B$4,B12,C12,D12)</f>
        <v>0.03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-0.4698</v>
      </c>
    </row>
    <row r="19">
      <c r="A19" s="14" t="inlineStr">
        <is>
          <t>Gross margin (forecast)</t>
        </is>
      </c>
      <c r="B19" s="53" t="n">
        <v>0.3866</v>
      </c>
    </row>
    <row r="20">
      <c r="A20" s="14" t="inlineStr">
        <is>
          <t>R&amp;D share of operating expense (forecast)</t>
        </is>
      </c>
      <c r="B20" s="53" t="n">
        <v>0.5703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(EUR)</t>
        </is>
      </c>
      <c r="B24" s="32" t="n">
        <v>0.8886500000000001</v>
      </c>
    </row>
    <row r="25">
      <c r="A25" s="14" t="inlineStr">
        <is>
          <t>Base revenue, FY2025</t>
        </is>
      </c>
      <c r="B25" s="55">
        <f>'Yearly Model'!H2</f>
        <v>196.544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-83.406278573722</v>
      </c>
      <c r="C29" s="56">
        <f>NPV!B26</f>
        <v>-161.63280195187988</v>
      </c>
      <c r="D29" s="35">
        <f>NPV!B28</f>
        <v>-1.8627756074192672</v>
      </c>
      <c r="E29" s="57">
        <f>NPV!B30</f>
        <v>-1.327377083904968</v>
      </c>
    </row>
    <row r="30">
      <c r="A30" s="58" t="n">
        <v>1</v>
      </c>
      <c r="B30" s="59">
        <f t="dataTable" ref="B30:E32" r1="B4"/>
        <v>-148.43930172713573</v>
      </c>
      <c r="C30" s="59">
        <v>-226.6658251052936</v>
      </c>
      <c r="D30" s="39">
        <v>-2.6122641254923313</v>
      </c>
      <c r="E30" s="60">
        <v>-1.4590973858510248</v>
      </c>
    </row>
    <row r="31">
      <c r="A31" s="58" t="n">
        <v>2</v>
      </c>
      <c r="B31" s="59">
        <v>-83.406278573722</v>
      </c>
      <c r="C31" s="59">
        <v>-161.63280195187988</v>
      </c>
      <c r="D31" s="39">
        <v>-1.8627756074192672</v>
      </c>
      <c r="E31" s="60">
        <v>-1.327377083904968</v>
      </c>
    </row>
    <row r="32">
      <c r="A32" s="58" t="n">
        <v>3</v>
      </c>
      <c r="B32" s="59">
        <v>65.29879350366969</v>
      </c>
      <c r="C32" s="59">
        <v>-12.927729874488193</v>
      </c>
      <c r="D32" s="39">
        <v>-0.14898869275724927</v>
      </c>
      <c r="E32" s="60">
        <v>-1.0261843045267574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-1.8627756074192672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-1.4918352758724902</v>
      </c>
      <c r="C37" s="39">
        <v>-1.3399982638424668</v>
      </c>
      <c r="D37" s="39">
        <v>-1.1677060342163041</v>
      </c>
      <c r="E37" s="39">
        <v>-0.9708506548528154</v>
      </c>
      <c r="F37" s="39">
        <v>-0.7441502956767442</v>
      </c>
    </row>
    <row r="38">
      <c r="A38" s="62" t="n">
        <v>0.115</v>
      </c>
      <c r="B38" s="39">
        <v>-1.8068756652378715</v>
      </c>
      <c r="C38" s="39">
        <v>-1.6928287592496967</v>
      </c>
      <c r="D38" s="39">
        <v>-1.5648688685325616</v>
      </c>
      <c r="E38" s="39">
        <v>-1.420526821417634</v>
      </c>
      <c r="F38" s="39">
        <v>-1.2567159878826157</v>
      </c>
    </row>
    <row r="39">
      <c r="A39" s="62" t="n">
        <v>0.125</v>
      </c>
      <c r="B39" s="39">
        <v>-2.0471609620299076</v>
      </c>
      <c r="C39" s="39">
        <v>-1.9598622288056367</v>
      </c>
      <c r="D39" s="39">
        <v>-1.8627756074192672</v>
      </c>
      <c r="E39" s="39">
        <v>-1.754343965099736</v>
      </c>
      <c r="F39" s="39">
        <v>-1.63266400252336</v>
      </c>
    </row>
    <row r="40">
      <c r="A40" s="62" t="n">
        <v>0.135</v>
      </c>
      <c r="B40" s="39">
        <v>-2.2325567931152515</v>
      </c>
      <c r="C40" s="39">
        <v>-2.1647288259396715</v>
      </c>
      <c r="D40" s="39">
        <v>-2.089822725141849</v>
      </c>
      <c r="E40" s="39">
        <v>-2.006817428755743</v>
      </c>
      <c r="F40" s="39">
        <v>-1.9144875473821645</v>
      </c>
    </row>
    <row r="41">
      <c r="A41" s="62" t="n">
        <v>0.145</v>
      </c>
      <c r="B41" s="39">
        <v>-2.3767210303220283</v>
      </c>
      <c r="C41" s="39">
        <v>-2.323396264332915</v>
      </c>
      <c r="D41" s="39">
        <v>-2.2648343858109037</v>
      </c>
      <c r="E41" s="39">
        <v>-2.2003438152518187</v>
      </c>
      <c r="F41" s="39">
        <v>-2.1291071338071563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Valneva SE: free-cash-flow DCF ($mm)</t>
        </is>
      </c>
    </row>
    <row r="3">
      <c r="A3" s="20" t="inlineStr">
        <is>
          <t>Fiscal year</t>
        </is>
      </c>
      <c r="B3" s="43">
        <f>'Yearly Model'!H1</f>
        <v>2025</v>
      </c>
      <c r="C3" s="43">
        <f>'Yearly Model'!I1</f>
        <v>2026</v>
      </c>
      <c r="D3" s="43">
        <f>'Yearly Model'!J1</f>
        <v>2027</v>
      </c>
      <c r="E3" s="43">
        <f>'Yearly Model'!K1</f>
        <v>2028</v>
      </c>
      <c r="F3" s="43">
        <f>'Yearly Model'!L1</f>
        <v>2029</v>
      </c>
      <c r="G3" s="43">
        <f>'Yearly Model'!M1</f>
        <v>2030</v>
      </c>
      <c r="H3" s="43">
        <f>'Yearly Model'!N1</f>
        <v>2031</v>
      </c>
      <c r="I3" s="43">
        <f>'Yearly Model'!O1</f>
        <v>2032</v>
      </c>
      <c r="J3" s="43">
        <f>'Yearly Model'!P1</f>
        <v>2033</v>
      </c>
      <c r="K3" s="43">
        <f>'Yearly Model'!Q1</f>
        <v>2034</v>
      </c>
      <c r="L3" s="43">
        <f>'Yearly Model'!R1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0.03</v>
      </c>
      <c r="D5" s="63">
        <f>Assumptions!$E$12+(Assumptions!$E$11-Assumptions!$E$12)*(D4-1)/(Assumptions!$B$21-1)</f>
        <v>0.029444444444444443</v>
      </c>
      <c r="E5" s="63">
        <f>Assumptions!$E$12+(Assumptions!$E$11-Assumptions!$E$12)*(E4-1)/(Assumptions!$B$21-1)</f>
        <v>0.028888888888888888</v>
      </c>
      <c r="F5" s="63">
        <f>Assumptions!$E$12+(Assumptions!$E$11-Assumptions!$E$12)*(F4-1)/(Assumptions!$B$21-1)</f>
        <v>0.028333333333333332</v>
      </c>
      <c r="G5" s="63">
        <f>Assumptions!$E$12+(Assumptions!$E$11-Assumptions!$E$12)*(G4-1)/(Assumptions!$B$21-1)</f>
        <v>0.027777777777777776</v>
      </c>
      <c r="H5" s="63">
        <f>Assumptions!$E$12+(Assumptions!$E$11-Assumptions!$E$12)*(H4-1)/(Assumptions!$B$21-1)</f>
        <v>0.027222222222222224</v>
      </c>
      <c r="I5" s="63">
        <f>Assumptions!$E$12+(Assumptions!$E$11-Assumptions!$E$12)*(I4-1)/(Assumptions!$B$21-1)</f>
        <v>0.02666666666666667</v>
      </c>
      <c r="J5" s="63">
        <f>Assumptions!$E$12+(Assumptions!$E$11-Assumptions!$E$12)*(J4-1)/(Assumptions!$B$21-1)</f>
        <v>0.026111111111111113</v>
      </c>
      <c r="K5" s="63">
        <f>Assumptions!$E$12+(Assumptions!$E$11-Assumptions!$E$12)*(K4-1)/(Assumptions!$B$21-1)</f>
        <v>0.025555555555555557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-0.4698337267990882</v>
      </c>
      <c r="C6" s="63">
        <f>Assumptions!$B$18+(Assumptions!$E$13-Assumptions!$B$18)*C4/Assumptions!$B$21</f>
        <v>-0.40282</v>
      </c>
      <c r="D6" s="63">
        <f>Assumptions!$B$18+(Assumptions!$E$13-Assumptions!$B$18)*D4/Assumptions!$B$21</f>
        <v>-0.33584</v>
      </c>
      <c r="E6" s="63">
        <f>Assumptions!$B$18+(Assumptions!$E$13-Assumptions!$B$18)*E4/Assumptions!$B$21</f>
        <v>-0.26886</v>
      </c>
      <c r="F6" s="63">
        <f>Assumptions!$B$18+(Assumptions!$E$13-Assumptions!$B$18)*F4/Assumptions!$B$21</f>
        <v>-0.20188</v>
      </c>
      <c r="G6" s="63">
        <f>Assumptions!$B$18+(Assumptions!$E$13-Assumptions!$B$18)*G4/Assumptions!$B$21</f>
        <v>-0.13490000000000002</v>
      </c>
      <c r="H6" s="63">
        <f>Assumptions!$B$18+(Assumptions!$E$13-Assumptions!$B$18)*H4/Assumptions!$B$21</f>
        <v>-0.06792000000000004</v>
      </c>
      <c r="I6" s="63">
        <f>Assumptions!$B$18+(Assumptions!$E$13-Assumptions!$B$18)*I4/Assumptions!$B$21</f>
        <v>-0.0009400000000000519</v>
      </c>
      <c r="J6" s="63">
        <f>Assumptions!$B$18+(Assumptions!$E$13-Assumptions!$B$18)*J4/Assumptions!$B$21</f>
        <v>0.06603999999999999</v>
      </c>
      <c r="K6" s="63">
        <f>Assumptions!$B$18+(Assumptions!$E$13-Assumptions!$B$18)*K4/Assumptions!$B$21</f>
        <v>0.13302000000000003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Model'!H2</f>
        <v>196.544</v>
      </c>
      <c r="C7" s="55">
        <f>'Yearly Model'!I2</f>
        <v>202.44032</v>
      </c>
      <c r="D7" s="55">
        <f>'Yearly Model'!J2</f>
        <v>208.40106275555556</v>
      </c>
      <c r="E7" s="55">
        <f>'Yearly Model'!K2</f>
        <v>214.42153790182718</v>
      </c>
      <c r="F7" s="55">
        <f>'Yearly Model'!L2</f>
        <v>220.49681480904562</v>
      </c>
      <c r="G7" s="55">
        <f>'Yearly Model'!M2</f>
        <v>226.62172633151908</v>
      </c>
      <c r="H7" s="55">
        <f>'Yearly Model'!N2</f>
        <v>232.79087332609933</v>
      </c>
      <c r="I7" s="55">
        <f>'Yearly Model'!O2</f>
        <v>238.99862994812864</v>
      </c>
      <c r="J7" s="55">
        <f>'Yearly Model'!P2</f>
        <v>245.23914973010758</v>
      </c>
      <c r="K7" s="55">
        <f>'Yearly Model'!Q2</f>
        <v>251.50637244543256</v>
      </c>
      <c r="L7" s="55">
        <f>'Yearly Model'!R2</f>
        <v>257.79403175656836</v>
      </c>
    </row>
    <row r="8">
      <c r="A8" s="14" t="inlineStr">
        <is>
          <t>Operating income</t>
        </is>
      </c>
      <c r="B8" s="55">
        <f>'Yearly Model'!H8</f>
        <v>-92.34299999999999</v>
      </c>
      <c r="C8" s="55">
        <f>'Yearly Model'!I8</f>
        <v>-81.54700970240002</v>
      </c>
      <c r="D8" s="55">
        <f>'Yearly Model'!J8</f>
        <v>-69.9894129158258</v>
      </c>
      <c r="E8" s="55">
        <f>'Yearly Model'!K8</f>
        <v>-57.64937468028526</v>
      </c>
      <c r="F8" s="55">
        <f>'Yearly Model'!L8</f>
        <v>-44.513896973650134</v>
      </c>
      <c r="G8" s="55">
        <f>'Yearly Model'!M8</f>
        <v>-30.571270882121922</v>
      </c>
      <c r="H8" s="55">
        <f>'Yearly Model'!N8</f>
        <v>-15.81115611630868</v>
      </c>
      <c r="I8" s="55">
        <f>'Yearly Model'!O8</f>
        <v>-0.22465871215125333</v>
      </c>
      <c r="J8" s="55">
        <f>'Yearly Model'!P8</f>
        <v>16.195593448176297</v>
      </c>
      <c r="K8" s="55">
        <f>'Yearly Model'!Q8</f>
        <v>33.45537766269145</v>
      </c>
      <c r="L8" s="55">
        <f>'Yearly Model'!R8</f>
        <v>51.55880635131366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2.7532508861899707</v>
      </c>
      <c r="K9" s="52">
        <f>MAX(0,K8)*Assumptions!$E$14</f>
        <v>5.687414202657546</v>
      </c>
      <c r="L9" s="52">
        <f>MAX(0,L8)*Assumptions!$E$14</f>
        <v>8.764997079723324</v>
      </c>
    </row>
    <row r="10">
      <c r="A10" s="14" t="inlineStr">
        <is>
          <t>NOPAT</t>
        </is>
      </c>
      <c r="C10" s="52">
        <f>C8-C9</f>
        <v>-81.54700970240002</v>
      </c>
      <c r="D10" s="52">
        <f>D8-D9</f>
        <v>-69.9894129158258</v>
      </c>
      <c r="E10" s="52">
        <f>E8-E9</f>
        <v>-57.64937468028526</v>
      </c>
      <c r="F10" s="52">
        <f>F8-F9</f>
        <v>-44.513896973650134</v>
      </c>
      <c r="G10" s="52">
        <f>G8-G9</f>
        <v>-30.571270882121922</v>
      </c>
      <c r="H10" s="52">
        <f>H8-H9</f>
        <v>-15.81115611630868</v>
      </c>
      <c r="I10" s="52">
        <f>I8-I9</f>
        <v>-0.22465871215125333</v>
      </c>
      <c r="J10" s="52">
        <f>J8-J9</f>
        <v>13.442342561986326</v>
      </c>
      <c r="K10" s="52">
        <f>K8-K9</f>
        <v>27.7679634600339</v>
      </c>
      <c r="L10" s="52">
        <f>L8-L9</f>
        <v>42.79380927159034</v>
      </c>
    </row>
    <row r="11">
      <c r="A11" s="14" t="inlineStr">
        <is>
          <t>Reinvestment</t>
        </is>
      </c>
      <c r="C11" s="52">
        <f>(C7-B7)*Assumptions!$E$15</f>
        <v>1.4740800000000007</v>
      </c>
      <c r="D11" s="52">
        <f>(D7-C7)*Assumptions!$E$15</f>
        <v>1.4901856888888858</v>
      </c>
      <c r="E11" s="52">
        <f>(E7-D7)*Assumptions!$E$15</f>
        <v>1.5051187865679054</v>
      </c>
      <c r="F11" s="52">
        <f>(F7-E7)*Assumptions!$E$15</f>
        <v>1.5188192268046095</v>
      </c>
      <c r="G11" s="52">
        <f>(G7-F7)*Assumptions!$E$15</f>
        <v>1.531227880618367</v>
      </c>
      <c r="H11" s="52">
        <f>(H7-G7)*Assumptions!$E$15</f>
        <v>1.5422867486450613</v>
      </c>
      <c r="I11" s="52">
        <f>(I7-H7)*Assumptions!$E$15</f>
        <v>1.551939155507327</v>
      </c>
      <c r="J11" s="52">
        <f>(J7-I7)*Assumptions!$E$15</f>
        <v>1.5601299454947366</v>
      </c>
      <c r="K11" s="52">
        <f>(K7-J7)*Assumptions!$E$15</f>
        <v>1.566805678831244</v>
      </c>
      <c r="L11" s="52">
        <f>(L7-K7)*Assumptions!$E$15</f>
        <v>1.5719148277839494</v>
      </c>
    </row>
    <row r="12">
      <c r="A12" s="20" t="inlineStr">
        <is>
          <t>Free cash flow</t>
        </is>
      </c>
      <c r="C12" s="64">
        <f>C10-C11</f>
        <v>-83.02108970240002</v>
      </c>
      <c r="D12" s="64">
        <f>D10-D11</f>
        <v>-71.47959860471468</v>
      </c>
      <c r="E12" s="64">
        <f>E10-E11</f>
        <v>-59.15449346685317</v>
      </c>
      <c r="F12" s="64">
        <f>F10-F11</f>
        <v>-46.03271620045474</v>
      </c>
      <c r="G12" s="64">
        <f>G10-G11</f>
        <v>-32.10249876274029</v>
      </c>
      <c r="H12" s="64">
        <f>H10-H11</f>
        <v>-17.35344286495374</v>
      </c>
      <c r="I12" s="64">
        <f>I10-I11</f>
        <v>-1.7765978676585803</v>
      </c>
      <c r="J12" s="64">
        <f>J10-J11</f>
        <v>11.88221261649159</v>
      </c>
      <c r="K12" s="64">
        <f>K10-K11</f>
        <v>26.201157781202657</v>
      </c>
      <c r="L12" s="64">
        <f>L10-L11</f>
        <v>41.22189444380639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0.9428090415820635</v>
      </c>
      <c r="D15" s="65">
        <f>1/(1+Assumptions!$E$10)^D14</f>
        <v>0.8380524814062785</v>
      </c>
      <c r="E15" s="65">
        <f>1/(1+Assumptions!$E$10)^E14</f>
        <v>0.7449355390278032</v>
      </c>
      <c r="F15" s="65">
        <f>1/(1+Assumptions!$E$10)^F14</f>
        <v>0.6621649235802695</v>
      </c>
      <c r="G15" s="65">
        <f>1/(1+Assumptions!$E$10)^G14</f>
        <v>0.5885910431824618</v>
      </c>
      <c r="H15" s="65">
        <f>1/(1+Assumptions!$E$10)^H14</f>
        <v>0.5231920383844104</v>
      </c>
      <c r="I15" s="65">
        <f>1/(1+Assumptions!$E$10)^I14</f>
        <v>0.4650595896750315</v>
      </c>
      <c r="J15" s="65">
        <f>1/(1+Assumptions!$E$10)^J14</f>
        <v>0.41338630193336134</v>
      </c>
      <c r="K15" s="65">
        <f>1/(1+Assumptions!$E$10)^K14</f>
        <v>0.3674544906074323</v>
      </c>
      <c r="L15" s="65">
        <f>1/(1+Assumptions!$E$10)^L14</f>
        <v>0.3266262138732731</v>
      </c>
    </row>
    <row r="16">
      <c r="A16" s="20" t="inlineStr">
        <is>
          <t>PV of free cash flow</t>
        </is>
      </c>
      <c r="C16" s="64">
        <f>C12*C13*C15</f>
        <v>-78.27303401341828</v>
      </c>
      <c r="D16" s="64">
        <f>D12*D13*D15</f>
        <v>-59.9036549806059</v>
      </c>
      <c r="E16" s="64">
        <f>E12*E13*E15</f>
        <v>-44.06628447664693</v>
      </c>
      <c r="F16" s="64">
        <f>F12*F13*F15</f>
        <v>-30.481250005066347</v>
      </c>
      <c r="G16" s="64">
        <f>G12*G13*G15</f>
        <v>-18.895243235524998</v>
      </c>
      <c r="H16" s="64">
        <f>H12*H13*H15</f>
        <v>-9.079183145502551</v>
      </c>
      <c r="I16" s="64">
        <f>I12*I13*I15</f>
        <v>-0.8262238753508353</v>
      </c>
      <c r="J16" s="64">
        <f>J12*J13*J15</f>
        <v>4.911943932317388</v>
      </c>
      <c r="K16" s="64">
        <f>K12*K13*K15</f>
        <v>9.627733085816784</v>
      </c>
      <c r="L16" s="64">
        <f>L12*L13*L15</f>
        <v>13.464151310864196</v>
      </c>
    </row>
    <row r="19">
      <c r="A19" s="14" t="inlineStr">
        <is>
          <t>PV of forecast free cash flow</t>
        </is>
      </c>
      <c r="B19" s="52">
        <f>SUM(C16:L16)</f>
        <v>-213.52104540311748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42.252441804901544</v>
      </c>
    </row>
    <row r="21">
      <c r="A21" s="14" t="inlineStr">
        <is>
          <t>Terminal value</t>
        </is>
      </c>
      <c r="B21" s="52">
        <f>B20/(Assumptions!$E$10-Assumptions!$E$11)</f>
        <v>422.5244180490154</v>
      </c>
    </row>
    <row r="22">
      <c r="A22" s="14" t="inlineStr">
        <is>
          <t>PV of terminal value</t>
        </is>
      </c>
      <c r="B22" s="52">
        <f>B21/(1+Assumptions!$E$10)^(L14+0.5)</f>
        <v>130.11476682939548</v>
      </c>
    </row>
    <row r="23">
      <c r="A23" s="20" t="inlineStr">
        <is>
          <t>Enterprise value</t>
        </is>
      </c>
      <c r="B23" s="66">
        <f>B19+B22</f>
        <v>-83.406278573722</v>
      </c>
    </row>
    <row r="24">
      <c r="A24" s="14" t="inlineStr">
        <is>
          <t>Cash &amp; investments</t>
        </is>
      </c>
      <c r="B24" s="55">
        <f>Main!C7</f>
        <v>123.3894109041805</v>
      </c>
    </row>
    <row r="25">
      <c r="A25" s="14" t="inlineStr">
        <is>
          <t>Debt</t>
        </is>
      </c>
      <c r="B25" s="55">
        <f>Main!C8</f>
        <v>201.61593428233837</v>
      </c>
    </row>
    <row r="26">
      <c r="A26" s="20" t="inlineStr">
        <is>
          <t>Equity value</t>
        </is>
      </c>
      <c r="B26" s="66">
        <f>B23+B24-B25</f>
        <v>-161.63280195187988</v>
      </c>
    </row>
    <row r="27">
      <c r="A27" s="14" t="inlineStr">
        <is>
          <t>Shares (mm)</t>
        </is>
      </c>
      <c r="B27" s="55">
        <f>Main!C4</f>
        <v>86.7698725</v>
      </c>
    </row>
    <row r="28">
      <c r="A28" s="20" t="inlineStr">
        <is>
          <t>NPV / share</t>
        </is>
      </c>
      <c r="B28" s="49">
        <f>B26/B27</f>
        <v>-1.8627756074192672</v>
      </c>
    </row>
    <row r="29">
      <c r="A29" s="14" t="inlineStr">
        <is>
          <t>Price</t>
        </is>
      </c>
      <c r="B29" s="50">
        <f>Main!C3</f>
        <v>5.69</v>
      </c>
    </row>
    <row r="30">
      <c r="A30" s="14" t="inlineStr">
        <is>
          <t>Upside</t>
        </is>
      </c>
      <c r="B30" s="63">
        <f>B28/B29-1</f>
        <v>-1.327377083904968</v>
      </c>
    </row>
    <row r="31">
      <c r="A31" s="14" t="inlineStr">
        <is>
          <t>Terminal value, % of EV</t>
        </is>
      </c>
      <c r="B31" s="63">
        <f>IFERROR(B22/B23,0)</f>
        <v>-1.56001165684893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2026-10-21T06:25:00Z</dcterms:modified>
  <cp:lastModifiedBy>Wang, Eric</cp:lastModifiedBy>
</cp:coreProperties>
</file>