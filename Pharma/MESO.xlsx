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Mesoblast Limited</t>
        </is>
      </c>
      <c r="C2" s="10" t="n"/>
    </row>
    <row r="3">
      <c r="B3" t="inlineStr">
        <is>
          <t>Price</t>
        </is>
      </c>
      <c r="C3" s="11">
        <f>INDEX([1]Pharma!$F$1:$F$1000,MATCH("MESO",[1]Pharma!$B$1:$B$1000,0))</f>
        <v>12.41</v>
      </c>
      <c r="F3" s="1" t="n"/>
    </row>
    <row r="4">
      <c r="B4" t="inlineStr">
        <is>
          <t>Shares</t>
        </is>
      </c>
      <c r="C4" s="21">
        <f>1296.862776/10</f>
        <v>129.68627759999998</v>
      </c>
      <c r="F4" s="1" t="n"/>
    </row>
    <row r="5">
      <c r="B5" t="inlineStr">
        <is>
          <t>Market Cap.</t>
        </is>
      </c>
      <c r="C5" s="13">
        <f>C3*C4</f>
        <v>1609.4067050159997</v>
      </c>
      <c r="F5" s="1" t="n"/>
    </row>
    <row r="6"/>
    <row r="7">
      <c r="B7" t="inlineStr">
        <is>
          <t>Cash</t>
        </is>
      </c>
      <c r="C7" s="21" t="n">
        <v>129.975</v>
      </c>
    </row>
    <row r="8">
      <c r="B8" t="inlineStr">
        <is>
          <t>Debt</t>
        </is>
      </c>
      <c r="C8" s="21">
        <f>66.738+60.132</f>
        <v>126.87</v>
      </c>
    </row>
    <row r="9">
      <c r="B9" t="inlineStr">
        <is>
          <t>Enterprise V.</t>
        </is>
      </c>
      <c r="C9" s="13">
        <f>C5-C7+C8</f>
        <v>1606.3017050159997</v>
      </c>
    </row>
    <row r="10"/>
    <row r="11">
      <c r="B11" s="14" t="inlineStr">
        <is>
          <t>Net Cash / Share</t>
        </is>
      </c>
      <c r="C11" s="11">
        <f>(C7-C8)/C4</f>
        <v>0.02394239434936168</v>
      </c>
    </row>
    <row r="12">
      <c r="B12" s="14" t="inlineStr">
        <is>
          <t>Upside</t>
        </is>
      </c>
      <c r="C12" s="15">
        <f>IFERROR(C11/C3-1,"")</f>
        <v>-0.9980707176189072</v>
      </c>
    </row>
    <row r="13">
      <c r="B13" s="14" t="inlineStr">
        <is>
          <t>Cash / Share</t>
        </is>
      </c>
      <c r="C13" s="11">
        <f>IFERROR((C7-C8)/C4,"")</f>
        <v>0.02394239434936168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-59.643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0.05205975554549553</v>
      </c>
    </row>
    <row r="19">
      <c r="B19" s="14" t="inlineStr">
        <is>
          <t>Implied Pipeline Value</t>
        </is>
      </c>
      <c r="C19" s="13">
        <f>C9</f>
        <v>1606.3017050159997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42.548</v>
      </c>
      <c r="C2" s="23" t="n">
        <v>2.412</v>
      </c>
      <c r="D2" s="23" t="n">
        <v>17.341</v>
      </c>
      <c r="E2" s="23" t="n">
        <v>16.722</v>
      </c>
      <c r="F2" s="23" t="n">
        <v>32.156</v>
      </c>
      <c r="G2" s="23" t="n">
        <v>7.434</v>
      </c>
      <c r="H2" s="23" t="n">
        <v>10.211</v>
      </c>
      <c r="I2" s="23" t="n">
        <v>7.501</v>
      </c>
      <c r="J2" s="23" t="n">
        <v>5.902</v>
      </c>
      <c r="K2" s="23" t="n">
        <v>17.198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5.13</v>
      </c>
    </row>
    <row r="4" customFormat="1" s="1">
      <c r="A4" s="5" t="inlineStr">
        <is>
          <t>Gross Margin</t>
        </is>
      </c>
      <c r="B4" s="23">
        <f>B2-B3</f>
        <v>42.548</v>
      </c>
      <c r="C4" s="23">
        <f>C2-C3</f>
        <v>2.412</v>
      </c>
      <c r="D4" s="23">
        <f>D2-D3</f>
        <v>17.341</v>
      </c>
      <c r="E4" s="23">
        <f>E2-E3</f>
        <v>16.722</v>
      </c>
      <c r="F4" s="23">
        <f>F2-F3</f>
        <v>32.156</v>
      </c>
      <c r="G4" s="23">
        <f>G2-G3</f>
        <v>7.434</v>
      </c>
      <c r="H4" s="23">
        <f>H2-H3</f>
        <v>10.211</v>
      </c>
      <c r="I4" s="23">
        <f>I2-I3</f>
        <v>7.501</v>
      </c>
      <c r="J4" s="23">
        <f>J2-J3</f>
        <v>5.902</v>
      </c>
      <c r="K4" s="23">
        <f>K2-K3</f>
        <v>12.068000000000001</v>
      </c>
    </row>
    <row r="5">
      <c r="A5" s="2" t="inlineStr">
        <is>
          <t>Research &amp; Dev.</t>
        </is>
      </c>
      <c r="B5" s="23" t="n">
        <v>50.013</v>
      </c>
      <c r="C5" s="23" t="n">
        <v>58.914</v>
      </c>
      <c r="D5" s="23" t="n">
        <v>65.92700000000001</v>
      </c>
      <c r="E5" s="23" t="n">
        <v>59.815</v>
      </c>
      <c r="F5" s="23" t="n">
        <v>56.188</v>
      </c>
      <c r="G5" s="23" t="n">
        <v>53.012</v>
      </c>
      <c r="H5" s="23" t="n">
        <v>32.815</v>
      </c>
      <c r="I5" s="23" t="n">
        <v>52.816</v>
      </c>
      <c r="J5" s="23" t="n">
        <v>39.716</v>
      </c>
      <c r="K5" s="23" t="n">
        <v>34.807</v>
      </c>
    </row>
    <row r="6">
      <c r="A6" s="19" t="inlineStr">
        <is>
          <t>SG&amp;A &amp; Other</t>
        </is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27.48</v>
      </c>
      <c r="J6" s="23" t="n">
        <v>24.98</v>
      </c>
      <c r="K6" s="23" t="n">
        <v>39.309</v>
      </c>
    </row>
    <row r="7">
      <c r="A7" s="2" t="inlineStr">
        <is>
          <t>Operating Expense</t>
        </is>
      </c>
      <c r="B7" s="23">
        <f>SUM(B5:B6)</f>
        <v>50.013</v>
      </c>
      <c r="C7" s="23">
        <f>SUM(C5:C6)</f>
        <v>58.914</v>
      </c>
      <c r="D7" s="23">
        <f>SUM(D5:D6)</f>
        <v>65.927</v>
      </c>
      <c r="E7" s="23">
        <f>SUM(E5:E6)</f>
        <v>59.815</v>
      </c>
      <c r="F7" s="23">
        <f>SUM(F5:F6)</f>
        <v>56.188</v>
      </c>
      <c r="G7" s="23">
        <f>SUM(G5:G6)</f>
        <v>53.012</v>
      </c>
      <c r="H7" s="23">
        <f>SUM(H5:H6)</f>
        <v>32.815</v>
      </c>
      <c r="I7" s="23">
        <f>SUM(I5:I6)</f>
        <v>80.296</v>
      </c>
      <c r="J7" s="23">
        <f>SUM(J5:J6)</f>
        <v>64.696</v>
      </c>
      <c r="K7" s="23">
        <f>SUM(K5:K6)</f>
        <v>74.116</v>
      </c>
    </row>
    <row r="8">
      <c r="A8" s="2" t="inlineStr">
        <is>
          <t>Operating Income</t>
        </is>
      </c>
      <c r="B8" s="23">
        <f>B4-B7</f>
        <v>-7.464999999999996</v>
      </c>
      <c r="C8" s="23">
        <f>C4-C7</f>
        <v>-56.502</v>
      </c>
      <c r="D8" s="23">
        <f>D4-D7</f>
        <v>-48.586000000000006</v>
      </c>
      <c r="E8" s="23">
        <f>E4-E7</f>
        <v>-43.092999999999996</v>
      </c>
      <c r="F8" s="23">
        <f>F4-F7</f>
        <v>-24.032000000000004</v>
      </c>
      <c r="G8" s="23">
        <f>G4-G7</f>
        <v>-45.578</v>
      </c>
      <c r="H8" s="23">
        <f>H4-H7</f>
        <v>-22.604</v>
      </c>
      <c r="I8" s="23">
        <f>I4-I7</f>
        <v>-72.795</v>
      </c>
      <c r="J8" s="23">
        <f>J4-J7</f>
        <v>-58.794</v>
      </c>
      <c r="K8" s="23">
        <f>K4-K7</f>
        <v>-62.048</v>
      </c>
    </row>
    <row r="9">
      <c r="A9" s="19" t="inlineStr">
        <is>
          <t>Interest &amp; Other</t>
        </is>
      </c>
      <c r="B9" s="23" t="n">
        <v>-83.35599999999999</v>
      </c>
      <c r="C9" s="23" t="n">
        <v>-33.713</v>
      </c>
      <c r="D9" s="23" t="n">
        <v>-17.391</v>
      </c>
      <c r="E9" s="23" t="n">
        <v>-55.661</v>
      </c>
      <c r="F9" s="23" t="n">
        <v>-63.323</v>
      </c>
      <c r="G9" s="23" t="n">
        <v>-54.052</v>
      </c>
      <c r="H9" s="23" t="n">
        <v>-68.982</v>
      </c>
      <c r="I9" s="23" t="n">
        <v>-9.305999999999999</v>
      </c>
      <c r="J9" s="23" t="n">
        <v>-29.353</v>
      </c>
      <c r="K9" s="23" t="n">
        <v>-39.764</v>
      </c>
    </row>
    <row r="10">
      <c r="A10" s="2" t="inlineStr">
        <is>
          <t>Pretax</t>
        </is>
      </c>
      <c r="B10" s="23">
        <f>B8+B9</f>
        <v>-90.821</v>
      </c>
      <c r="C10" s="23">
        <f>C8+C9</f>
        <v>-90.215</v>
      </c>
      <c r="D10" s="23">
        <f>D8+D9</f>
        <v>-65.977</v>
      </c>
      <c r="E10" s="23">
        <f>E8+E9</f>
        <v>-98.75399999999999</v>
      </c>
      <c r="F10" s="23">
        <f>F8+F9</f>
        <v>-87.355</v>
      </c>
      <c r="G10" s="23">
        <f>G8+G9</f>
        <v>-99.63</v>
      </c>
      <c r="H10" s="23">
        <f>H8+H9</f>
        <v>-91.586</v>
      </c>
      <c r="I10" s="23">
        <f>I8+I9</f>
        <v>-82.101</v>
      </c>
      <c r="J10" s="23">
        <f>J8+J9</f>
        <v>-88.14699999999999</v>
      </c>
      <c r="K10" s="23">
        <f>K8+K9</f>
        <v>-101.81200000000001</v>
      </c>
    </row>
    <row r="11">
      <c r="A11" s="2" t="inlineStr">
        <is>
          <t>Taxes</t>
        </is>
      </c>
      <c r="B11" s="23" t="n">
        <v>-86.694</v>
      </c>
      <c r="C11" s="23" t="n">
        <v>-13.4</v>
      </c>
      <c r="D11" s="23" t="n">
        <v>-30.687</v>
      </c>
      <c r="E11" s="23" t="n">
        <v>-8.955</v>
      </c>
      <c r="F11" s="23" t="n">
        <v>-9.414999999999999</v>
      </c>
      <c r="G11" s="23" t="n">
        <v>-0.819</v>
      </c>
      <c r="H11" s="23" t="n">
        <v>-0.239</v>
      </c>
      <c r="I11" s="23" t="n">
        <v>-0.212</v>
      </c>
      <c r="J11" s="23" t="n">
        <v>-0.191</v>
      </c>
      <c r="K11" s="23" t="n">
        <v>0.33</v>
      </c>
    </row>
    <row r="12">
      <c r="A12" s="2" t="inlineStr">
        <is>
          <t>Net Income</t>
        </is>
      </c>
      <c r="B12" s="23" t="n">
        <v>-4.127</v>
      </c>
      <c r="C12" s="23" t="n">
        <v>-76.815</v>
      </c>
      <c r="D12" s="23" t="n">
        <v>-35.29</v>
      </c>
      <c r="E12" s="23" t="n">
        <v>-89.79900000000001</v>
      </c>
      <c r="F12" s="23" t="n">
        <v>-77.94</v>
      </c>
      <c r="G12" s="23" t="n">
        <v>-98.81100000000001</v>
      </c>
      <c r="H12" s="23" t="n">
        <v>-91.34699999999999</v>
      </c>
      <c r="I12" s="23" t="n">
        <v>-81.889</v>
      </c>
      <c r="J12" s="23" t="n">
        <v>-87.956</v>
      </c>
      <c r="K12" s="23" t="n">
        <v>-102.142</v>
      </c>
    </row>
    <row r="13">
      <c r="A13" s="2" t="inlineStr">
        <is>
          <t>Earnings per Share</t>
        </is>
      </c>
      <c r="B13" s="11">
        <f>IFERROR(B12/B14,0)</f>
        <v>-0.011331405868608408</v>
      </c>
      <c r="C13" s="11">
        <f>IFERROR(C12/C14,0)</f>
        <v>-0.19249853398890343</v>
      </c>
      <c r="D13" s="11">
        <f>IFERROR(D12/D14,0)</f>
        <v>-0.07578018806542564</v>
      </c>
      <c r="E13" s="11">
        <f>IFERROR(E12/E14,0)</f>
        <v>-0.1816392620266556</v>
      </c>
      <c r="F13" s="11">
        <f>IFERROR(F12/F14,0)</f>
        <v>-0.14738418598318526</v>
      </c>
      <c r="G13" s="11">
        <f>IFERROR(G12/G14,0)</f>
        <v>-0.16330669152354133</v>
      </c>
      <c r="H13" s="11">
        <f>IFERROR(H12/H14,0)</f>
        <v>-0.133771001711915</v>
      </c>
      <c r="I13" s="11">
        <f>IFERROR(I12/I14,0)</f>
        <v>-0.10529381434682705</v>
      </c>
      <c r="J13" s="11">
        <f>IFERROR(J12/J14,0)</f>
        <v>-0.08914131202600986</v>
      </c>
      <c r="K13" s="11">
        <f>IFERROR(K12/K14,0)</f>
        <v>-0.08456912732562617</v>
      </c>
    </row>
    <row r="14">
      <c r="A14" s="2" t="inlineStr">
        <is>
          <t>Shares</t>
        </is>
      </c>
      <c r="B14" s="23" t="n">
        <v>364.209</v>
      </c>
      <c r="C14" s="23" t="n">
        <v>399.042</v>
      </c>
      <c r="D14" s="23" t="n">
        <v>465.689</v>
      </c>
      <c r="E14" s="23" t="n">
        <v>494.381</v>
      </c>
      <c r="F14" s="23" t="n">
        <v>528.822</v>
      </c>
      <c r="G14" s="23" t="n">
        <v>605.064</v>
      </c>
      <c r="H14" s="23" t="n">
        <v>682.861</v>
      </c>
      <c r="I14" s="23" t="n">
        <v>777.7190000000001</v>
      </c>
      <c r="J14" s="23" t="n">
        <v>986.703</v>
      </c>
      <c r="K14" s="23" t="n">
        <v>1207.793</v>
      </c>
    </row>
    <row r="15"/>
    <row r="16" customFormat="1" s="4">
      <c r="A16" s="3" t="inlineStr">
        <is>
          <t>Revenue Change</t>
        </is>
      </c>
      <c r="C16" s="15">
        <f>IFERROR(C2/B2-1,"")</f>
        <v>-0.9433110839522422</v>
      </c>
      <c r="D16" s="15">
        <f>IFERROR(D2/C2-1,"")</f>
        <v>6.189469320066336</v>
      </c>
      <c r="E16" s="15">
        <f>IFERROR(E2/D2-1,"")</f>
        <v>-0.035695749956749845</v>
      </c>
      <c r="F16" s="15">
        <f>IFERROR(F2/E2-1,"")</f>
        <v>0.9229757206075826</v>
      </c>
      <c r="G16" s="15">
        <f>IFERROR(G2/F2-1,"")</f>
        <v>-0.7688145291702948</v>
      </c>
      <c r="H16" s="15">
        <f>IFERROR(H2/G2-1,"")</f>
        <v>0.37355394135055153</v>
      </c>
      <c r="I16" s="15">
        <f>IFERROR(I2/H2-1,"")</f>
        <v>-0.2654000587601606</v>
      </c>
      <c r="J16" s="15">
        <f>IFERROR(J2/I2-1,"")</f>
        <v>-0.21317157712305024</v>
      </c>
      <c r="K16" s="15">
        <f>IFERROR(K2/J2-1,"")</f>
        <v>1.9139274822094205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0.7017095011047797</v>
      </c>
    </row>
    <row r="18">
      <c r="A18" s="14" t="inlineStr">
        <is>
          <t>Operating Margin</t>
        </is>
      </c>
      <c r="B18" s="15">
        <f>IFERROR(B8/B2,"")</f>
        <v>-0.1754489047663814</v>
      </c>
      <c r="C18" s="15">
        <f>IFERROR(C8/C2,"")</f>
        <v>-23.42537313432836</v>
      </c>
      <c r="D18" s="15">
        <f>IFERROR(D8/D2,"")</f>
        <v>-2.801799204198143</v>
      </c>
      <c r="E18" s="15">
        <f>IFERROR(E8/E2,"")</f>
        <v>-2.577024279392417</v>
      </c>
      <c r="F18" s="15">
        <f>IFERROR(F8/F2,"")</f>
        <v>-0.747356636397562</v>
      </c>
      <c r="G18" s="15">
        <f>IFERROR(G8/G2,"")</f>
        <v>-6.131019639494216</v>
      </c>
      <c r="H18" s="15">
        <f>IFERROR(H8/H2,"")</f>
        <v>-2.2136911174223877</v>
      </c>
      <c r="I18" s="15">
        <f>IFERROR(I8/I2,"")</f>
        <v>-9.704706039194773</v>
      </c>
      <c r="J18" s="15">
        <f>IFERROR(J8/J2,"")</f>
        <v>-9.9617078956286</v>
      </c>
      <c r="K18" s="15">
        <f>IFERROR(K8/K2,"")</f>
        <v>-3.607861379230143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2026-10-21T01:04:33Z</dcterms:modified>
  <cp:lastModifiedBy>Wang, Eric</cp:lastModifiedBy>
</cp:coreProperties>
</file>