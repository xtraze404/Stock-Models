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Clene Inc</t>
        </is>
      </c>
      <c r="C2" s="10" t="n"/>
    </row>
    <row r="3">
      <c r="B3" t="inlineStr">
        <is>
          <t>Price</t>
        </is>
      </c>
      <c r="C3" s="11">
        <f>INDEX([1]Pharma!$F$1:$F$1000,MATCH("CLNN",[1]Pharma!$B$1:$B$1000,0))</f>
        <v>3.73</v>
      </c>
      <c r="F3" s="1" t="n"/>
    </row>
    <row r="4">
      <c r="B4" t="inlineStr">
        <is>
          <t>Shares</t>
        </is>
      </c>
      <c r="C4" s="21" t="n">
        <v>12.848513</v>
      </c>
      <c r="F4" s="1" t="n"/>
    </row>
    <row r="5">
      <c r="B5" t="inlineStr">
        <is>
          <t>Market Cap.</t>
        </is>
      </c>
      <c r="C5" s="13">
        <f>C3*C4</f>
        <v>47.92495349</v>
      </c>
      <c r="F5" s="1" t="n"/>
    </row>
    <row r="6"/>
    <row r="7">
      <c r="B7" t="inlineStr">
        <is>
          <t>Cash</t>
        </is>
      </c>
      <c r="C7" s="21" t="n">
        <v>9.699999999999999</v>
      </c>
    </row>
    <row r="8">
      <c r="B8" t="inlineStr">
        <is>
          <t>Debt</t>
        </is>
      </c>
      <c r="C8" s="21" t="n">
        <v>5.374</v>
      </c>
    </row>
    <row r="9">
      <c r="B9" t="inlineStr">
        <is>
          <t>Enterprise V.</t>
        </is>
      </c>
      <c r="C9" s="13">
        <f>C5-C7+C8</f>
        <v>43.59895349000001</v>
      </c>
    </row>
    <row r="10"/>
    <row r="11">
      <c r="B11" s="14" t="inlineStr">
        <is>
          <t>Net Cash / Share</t>
        </is>
      </c>
      <c r="C11" s="11">
        <f>(C7-C8)/C4</f>
        <v>0.33669265852009483</v>
      </c>
    </row>
    <row r="12">
      <c r="B12" s="14" t="inlineStr">
        <is>
          <t>Upside</t>
        </is>
      </c>
      <c r="C12" s="15">
        <f>IFERROR(C11/C3-1,"")</f>
        <v>-0.9097338717104303</v>
      </c>
    </row>
    <row r="13">
      <c r="B13" s="14" t="inlineStr">
        <is>
          <t>Cash / Share</t>
        </is>
      </c>
      <c r="C13" s="11">
        <f>IFERROR((C7-C8)/C4,"")</f>
        <v>0.33669265852009483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-15.907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0.27195574275476203</v>
      </c>
    </row>
    <row r="19">
      <c r="B19" s="14" t="inlineStr">
        <is>
          <t>Implied Pipeline Value</t>
        </is>
      </c>
      <c r="C19" s="13">
        <f>C9</f>
        <v>43.59895349000001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0.206</v>
      </c>
      <c r="D2" s="23" t="n">
        <v>0.723</v>
      </c>
      <c r="E2" s="23" t="n">
        <v>0.473</v>
      </c>
      <c r="F2" s="23" t="n">
        <v>0.654</v>
      </c>
      <c r="G2" s="23" t="n">
        <v>0.342</v>
      </c>
      <c r="H2" s="23" t="n">
        <v>0.2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0.289</v>
      </c>
      <c r="E3" s="23" t="n">
        <v>0.026</v>
      </c>
      <c r="F3" s="23" t="n">
        <v>0.121</v>
      </c>
      <c r="G3" s="23" t="n">
        <v>0.07000000000000001</v>
      </c>
      <c r="H3" s="23" t="n">
        <v>0.043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0.206</v>
      </c>
      <c r="D4" s="23">
        <f>D2-D3</f>
        <v>0.434</v>
      </c>
      <c r="E4" s="23">
        <f>E2-E3</f>
        <v>0.44699999999999995</v>
      </c>
      <c r="F4" s="23">
        <f>F2-F3</f>
        <v>0.533</v>
      </c>
      <c r="G4" s="23">
        <f>G2-G3</f>
        <v>0.272</v>
      </c>
      <c r="H4" s="23">
        <f>H2-H3</f>
        <v>0.15700000000000003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9.563000000000001</v>
      </c>
      <c r="C5" s="23" t="n">
        <v>15.204</v>
      </c>
      <c r="D5" s="23" t="n">
        <v>28.416</v>
      </c>
      <c r="E5" s="23" t="n">
        <v>31.92</v>
      </c>
      <c r="F5" s="23" t="n">
        <v>26.655</v>
      </c>
      <c r="G5" s="23" t="n">
        <v>20.058</v>
      </c>
      <c r="H5" s="23" t="n">
        <v>14.011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6.769</v>
      </c>
      <c r="C6" s="23" t="n">
        <v>5.216</v>
      </c>
      <c r="D6" s="23" t="n">
        <v>21.996</v>
      </c>
      <c r="E6" s="23" t="n">
        <v>16.936</v>
      </c>
      <c r="F6" s="23" t="n">
        <v>14.418</v>
      </c>
      <c r="G6" s="23" t="n">
        <v>13.307</v>
      </c>
      <c r="H6" s="23" t="n">
        <v>9.228999999999999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16.332</v>
      </c>
      <c r="C7" s="23">
        <f>SUM(C5:C6)</f>
        <v>20.42</v>
      </c>
      <c r="D7" s="23">
        <f>SUM(D5:D6)</f>
        <v>50.412</v>
      </c>
      <c r="E7" s="23">
        <f>SUM(E5:E6)</f>
        <v>48.856</v>
      </c>
      <c r="F7" s="23">
        <f>SUM(F5:F6)</f>
        <v>41.073</v>
      </c>
      <c r="G7" s="23">
        <f>SUM(G5:G6)</f>
        <v>33.365</v>
      </c>
      <c r="H7" s="23">
        <f>SUM(H5:H6)</f>
        <v>23.24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-16.332</v>
      </c>
      <c r="C8" s="23">
        <f>C4-C7</f>
        <v>-20.214000000000002</v>
      </c>
      <c r="D8" s="23">
        <f>D4-D7</f>
        <v>-49.978</v>
      </c>
      <c r="E8" s="23">
        <f>E4-E7</f>
        <v>-48.409</v>
      </c>
      <c r="F8" s="23">
        <f>F4-F7</f>
        <v>-40.54</v>
      </c>
      <c r="G8" s="23">
        <f>G4-G7</f>
        <v>-33.093</v>
      </c>
      <c r="H8" s="23">
        <f>H4-H7</f>
        <v>-23.083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0.177</v>
      </c>
      <c r="C9" s="23" t="n">
        <v>1.343</v>
      </c>
      <c r="D9" s="23" t="n">
        <v>39.81</v>
      </c>
      <c r="E9" s="23" t="n">
        <v>18.491</v>
      </c>
      <c r="F9" s="23" t="n">
        <v>-8.964</v>
      </c>
      <c r="G9" s="23" t="n">
        <v>-6.307</v>
      </c>
      <c r="H9" s="23" t="n">
        <v>-3.09</v>
      </c>
    </row>
    <row r="10">
      <c r="A10" s="2" t="inlineStr">
        <is>
          <t>Pretax</t>
        </is>
      </c>
      <c r="B10" s="23">
        <f>B8+B9</f>
        <v>-16.155</v>
      </c>
      <c r="C10" s="23">
        <f>C8+C9</f>
        <v>-18.871000000000002</v>
      </c>
      <c r="D10" s="23">
        <f>D8+D9</f>
        <v>-10.168</v>
      </c>
      <c r="E10" s="23">
        <f>E8+E9</f>
        <v>-29.918</v>
      </c>
      <c r="F10" s="23">
        <f>F8+F9</f>
        <v>-49.504</v>
      </c>
      <c r="G10" s="23">
        <f>G8+G9</f>
        <v>-39.400000000000006</v>
      </c>
      <c r="H10" s="23">
        <f>H8+H9</f>
        <v>-26.173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0.406</v>
      </c>
      <c r="D11" s="23" t="n">
        <v>-0.428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-16.155</v>
      </c>
      <c r="C12" s="23" t="n">
        <v>-19.277</v>
      </c>
      <c r="D12" s="23" t="n">
        <v>-9.74</v>
      </c>
      <c r="E12" s="23" t="n">
        <v>-29.918</v>
      </c>
      <c r="F12" s="23" t="n">
        <v>-49.504</v>
      </c>
      <c r="G12" s="23" t="n">
        <v>-39.4</v>
      </c>
      <c r="H12" s="23" t="n">
        <v>-26.173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-0.9306947805046665</v>
      </c>
      <c r="C13" s="11">
        <f>IFERROR(C12/C14,0)</f>
        <v>-1.1012911334552102</v>
      </c>
      <c r="D13" s="11">
        <f>IFERROR(D12/D14,0)</f>
        <v>-0.1582247636375451</v>
      </c>
      <c r="E13" s="11">
        <f>IFERROR(E12/E14,0)</f>
        <v>-0.45882984433709073</v>
      </c>
      <c r="F13" s="11">
        <f>IFERROR(F12/F14,0)</f>
        <v>-9.434724604535925</v>
      </c>
      <c r="G13" s="11">
        <f>IFERROR(G12/G14,0)</f>
        <v>-5.665803853897038</v>
      </c>
      <c r="H13" s="11">
        <f>IFERROR(H12/H14,0)</f>
        <v>-2.654731717212699</v>
      </c>
    </row>
    <row r="14">
      <c r="A14" s="2" t="inlineStr">
        <is>
          <t>Shares</t>
        </is>
      </c>
      <c r="B14" s="23" t="n">
        <v>17.358</v>
      </c>
      <c r="C14" s="23" t="n">
        <v>17.504</v>
      </c>
      <c r="D14" s="23" t="n">
        <v>61.558</v>
      </c>
      <c r="E14" s="23" t="n">
        <v>65.205</v>
      </c>
      <c r="F14" s="23" t="n">
        <v>5.247</v>
      </c>
      <c r="G14" s="23" t="n">
        <v>6.954</v>
      </c>
      <c r="H14" s="23" t="n">
        <v>9.859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2.5097087378640777</v>
      </c>
      <c r="E16" s="15">
        <f>IFERROR(E2/D2-1,"")</f>
        <v>-0.3457814661134163</v>
      </c>
      <c r="F16" s="15">
        <f>IFERROR(F2/E2-1,"")</f>
        <v>0.38266384778012696</v>
      </c>
      <c r="G16" s="15">
        <f>IFERROR(G2/F2-1,"")</f>
        <v>-0.47706422018348627</v>
      </c>
      <c r="H16" s="15">
        <f>IFERROR(H2/G2-1,"")</f>
        <v>-0.41520467836257313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0.6002766251728907</v>
      </c>
      <c r="E17" s="15">
        <f>IFERROR(E4/E2,"")</f>
        <v>0.9450317124735729</v>
      </c>
      <c r="F17" s="15">
        <f>IFERROR(F4/F2,"")</f>
        <v>0.8149847094801224</v>
      </c>
      <c r="G17" s="15">
        <f>IFERROR(G4/G2,"")</f>
        <v>0.7953216374269005</v>
      </c>
      <c r="H17" s="15">
        <f>IFERROR(H4/H2,"")</f>
        <v>0.7850000000000001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-98.12621359223303</v>
      </c>
      <c r="D18" s="15">
        <f>IFERROR(D8/D2,"")</f>
        <v>-69.12586445366529</v>
      </c>
      <c r="E18" s="15">
        <f>IFERROR(E8/E2,"")</f>
        <v>-102.3446088794926</v>
      </c>
      <c r="F18" s="15">
        <f>IFERROR(F8/F2,"")</f>
        <v>-61.98776758409785</v>
      </c>
      <c r="G18" s="15">
        <f>IFERROR(G8/G2,"")</f>
        <v>-96.76315789473685</v>
      </c>
      <c r="H18" s="15">
        <f>IFERROR(H8/H2,"")</f>
        <v>-115.41499999999999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2026-10-21T01:06:16Z</dcterms:modified>
  <cp:lastModifiedBy>Wang, Eric</cp:lastModifiedBy>
</cp:coreProperties>
</file>