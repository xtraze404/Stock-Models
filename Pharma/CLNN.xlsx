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Clene Inc</t>
        </is>
      </c>
      <c r="C2" s="10" t="n"/>
    </row>
    <row r="3">
      <c r="B3" t="inlineStr">
        <is>
          <t>Price</t>
        </is>
      </c>
      <c r="C3" s="11">
        <f>INDEX([1]Pharma!$F$1:$F$1000,MATCH("CLNN",[1]Pharma!$B$1:$B$1000,0))</f>
        <v>3.73</v>
      </c>
      <c r="F3" s="1" t="n"/>
    </row>
    <row r="4">
      <c r="B4" t="inlineStr">
        <is>
          <t>Shares</t>
        </is>
      </c>
      <c r="C4" s="21" t="n">
        <v>12.848513</v>
      </c>
      <c r="F4" s="1" t="n"/>
    </row>
    <row r="5">
      <c r="B5" t="inlineStr">
        <is>
          <t>Market Cap.</t>
        </is>
      </c>
      <c r="C5" s="13">
        <f>C3*C4</f>
        <v>47.92495349</v>
      </c>
      <c r="F5" s="1" t="n"/>
    </row>
    <row r="6"/>
    <row r="7">
      <c r="B7" t="inlineStr">
        <is>
          <t>Cash</t>
        </is>
      </c>
      <c r="C7" s="21" t="n">
        <v>9.699999999999999</v>
      </c>
    </row>
    <row r="8">
      <c r="B8" t="inlineStr">
        <is>
          <t>Debt</t>
        </is>
      </c>
      <c r="C8" s="21" t="n">
        <v>5.374</v>
      </c>
    </row>
    <row r="9">
      <c r="B9" t="inlineStr">
        <is>
          <t>Enterprise V.</t>
        </is>
      </c>
      <c r="C9" s="13">
        <f>C5-C7+C8</f>
        <v>43.59895349000001</v>
      </c>
    </row>
    <row r="10"/>
    <row r="11">
      <c r="B11" s="14" t="inlineStr">
        <is>
          <t>rNPV / Share</t>
        </is>
      </c>
      <c r="C11" s="11">
        <f>NPV!B27</f>
        <v>48.700412768712646</v>
      </c>
    </row>
    <row r="12">
      <c r="B12" s="14" t="inlineStr">
        <is>
          <t>Upside</t>
        </is>
      </c>
      <c r="C12" s="15">
        <f>IFERROR(C11/C3-1,"")</f>
        <v>12.05641092994977</v>
      </c>
    </row>
    <row r="13">
      <c r="B13" s="14" t="inlineStr">
        <is>
          <t>Cash / Share</t>
        </is>
      </c>
      <c r="C13" s="11">
        <f>IFERROR((C7-C8)/C4,"")</f>
        <v>0.33669265852009483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-15.907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0.27195574275476203</v>
      </c>
    </row>
    <row r="19">
      <c r="B19" s="14" t="inlineStr">
        <is>
          <t>Implied Pipeline Value</t>
        </is>
      </c>
      <c r="C19" s="13">
        <f>C9</f>
        <v>43.59895349000001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2019</v>
      </c>
      <c r="C1" s="17" t="n">
        <v>2020</v>
      </c>
      <c r="D1" s="17" t="n">
        <v>2021</v>
      </c>
      <c r="E1" s="17" t="n">
        <v>2022</v>
      </c>
      <c r="F1" s="17" t="n">
        <v>2023</v>
      </c>
      <c r="G1" s="17" t="n">
        <v>2024</v>
      </c>
      <c r="H1" s="17" t="n">
        <v>2025</v>
      </c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0.206</v>
      </c>
      <c r="D2" s="23" t="n">
        <v>0.723</v>
      </c>
      <c r="E2" s="23" t="n">
        <v>0.473</v>
      </c>
      <c r="F2" s="23" t="n">
        <v>0.654</v>
      </c>
      <c r="G2" s="23" t="n">
        <v>0.342</v>
      </c>
      <c r="H2" s="23" t="n">
        <v>0.2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0.289</v>
      </c>
      <c r="E3" s="23" t="n">
        <v>0.026</v>
      </c>
      <c r="F3" s="23" t="n">
        <v>0.121</v>
      </c>
      <c r="G3" s="23" t="n">
        <v>0.07000000000000001</v>
      </c>
      <c r="H3" s="23" t="n">
        <v>0.043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0.206</v>
      </c>
      <c r="D4" s="23">
        <f>D2-D3</f>
        <v>0.434</v>
      </c>
      <c r="E4" s="23">
        <f>E2-E3</f>
        <v>0.44699999999999995</v>
      </c>
      <c r="F4" s="23">
        <f>F2-F3</f>
        <v>0.533</v>
      </c>
      <c r="G4" s="23">
        <f>G2-G3</f>
        <v>0.272</v>
      </c>
      <c r="H4" s="23">
        <f>H2-H3</f>
        <v>0.15700000000000003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9.563000000000001</v>
      </c>
      <c r="C5" s="23" t="n">
        <v>15.204</v>
      </c>
      <c r="D5" s="23" t="n">
        <v>28.416</v>
      </c>
      <c r="E5" s="23" t="n">
        <v>31.92</v>
      </c>
      <c r="F5" s="23" t="n">
        <v>26.655</v>
      </c>
      <c r="G5" s="23" t="n">
        <v>20.058</v>
      </c>
      <c r="H5" s="23" t="n">
        <v>14.011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6.769</v>
      </c>
      <c r="C6" s="23" t="n">
        <v>5.216</v>
      </c>
      <c r="D6" s="23" t="n">
        <v>21.996</v>
      </c>
      <c r="E6" s="23" t="n">
        <v>16.936</v>
      </c>
      <c r="F6" s="23" t="n">
        <v>14.418</v>
      </c>
      <c r="G6" s="23" t="n">
        <v>13.307</v>
      </c>
      <c r="H6" s="23" t="n">
        <v>9.228999999999999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16.332</v>
      </c>
      <c r="C7" s="23">
        <f>SUM(C5:C6)</f>
        <v>20.42</v>
      </c>
      <c r="D7" s="23">
        <f>SUM(D5:D6)</f>
        <v>50.412</v>
      </c>
      <c r="E7" s="23">
        <f>SUM(E5:E6)</f>
        <v>48.856</v>
      </c>
      <c r="F7" s="23">
        <f>SUM(F5:F6)</f>
        <v>41.073</v>
      </c>
      <c r="G7" s="23">
        <f>SUM(G5:G6)</f>
        <v>33.365</v>
      </c>
      <c r="H7" s="23">
        <f>SUM(H5:H6)</f>
        <v>23.24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-16.332</v>
      </c>
      <c r="C8" s="23">
        <f>C4-C7</f>
        <v>-20.214000000000002</v>
      </c>
      <c r="D8" s="23">
        <f>D4-D7</f>
        <v>-49.978</v>
      </c>
      <c r="E8" s="23">
        <f>E4-E7</f>
        <v>-48.409</v>
      </c>
      <c r="F8" s="23">
        <f>F4-F7</f>
        <v>-40.54</v>
      </c>
      <c r="G8" s="23">
        <f>G4-G7</f>
        <v>-33.093</v>
      </c>
      <c r="H8" s="23">
        <f>H4-H7</f>
        <v>-23.083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0.177</v>
      </c>
      <c r="C9" s="23" t="n">
        <v>1.343</v>
      </c>
      <c r="D9" s="23" t="n">
        <v>39.81</v>
      </c>
      <c r="E9" s="23" t="n">
        <v>18.491</v>
      </c>
      <c r="F9" s="23" t="n">
        <v>-8.964</v>
      </c>
      <c r="G9" s="23" t="n">
        <v>-6.307</v>
      </c>
      <c r="H9" s="23" t="n">
        <v>-3.09</v>
      </c>
    </row>
    <row r="10">
      <c r="A10" s="2" t="inlineStr">
        <is>
          <t>Pretax</t>
        </is>
      </c>
      <c r="B10" s="23">
        <f>B8+B9</f>
        <v>-16.155</v>
      </c>
      <c r="C10" s="23">
        <f>C8+C9</f>
        <v>-18.871000000000002</v>
      </c>
      <c r="D10" s="23">
        <f>D8+D9</f>
        <v>-10.168</v>
      </c>
      <c r="E10" s="23">
        <f>E8+E9</f>
        <v>-29.918</v>
      </c>
      <c r="F10" s="23">
        <f>F8+F9</f>
        <v>-49.504</v>
      </c>
      <c r="G10" s="23">
        <f>G8+G9</f>
        <v>-39.400000000000006</v>
      </c>
      <c r="H10" s="23">
        <f>H8+H9</f>
        <v>-26.173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0.406</v>
      </c>
      <c r="D11" s="23" t="n">
        <v>-0.428</v>
      </c>
      <c r="E11" s="23" t="n">
        <v>0</v>
      </c>
      <c r="F11" s="23" t="n">
        <v>0</v>
      </c>
      <c r="G11" s="23" t="n">
        <v>0</v>
      </c>
      <c r="H11" s="23" t="n">
        <v>0</v>
      </c>
    </row>
    <row r="12">
      <c r="A12" s="2" t="inlineStr">
        <is>
          <t>Net Income</t>
        </is>
      </c>
      <c r="B12" s="23" t="n">
        <v>-16.155</v>
      </c>
      <c r="C12" s="23" t="n">
        <v>-19.277</v>
      </c>
      <c r="D12" s="23" t="n">
        <v>-9.74</v>
      </c>
      <c r="E12" s="23" t="n">
        <v>-29.918</v>
      </c>
      <c r="F12" s="23" t="n">
        <v>-49.504</v>
      </c>
      <c r="G12" s="23" t="n">
        <v>-39.4</v>
      </c>
      <c r="H12" s="23" t="n">
        <v>-26.173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-0.9306947805046665</v>
      </c>
      <c r="C13" s="11">
        <f>IFERROR(C12/C14,0)</f>
        <v>-1.1012911334552102</v>
      </c>
      <c r="D13" s="11">
        <f>IFERROR(D12/D14,0)</f>
        <v>-0.1582247636375451</v>
      </c>
      <c r="E13" s="11">
        <f>IFERROR(E12/E14,0)</f>
        <v>-0.45882984433709073</v>
      </c>
      <c r="F13" s="11">
        <f>IFERROR(F12/F14,0)</f>
        <v>-9.434724604535925</v>
      </c>
      <c r="G13" s="11">
        <f>IFERROR(G12/G14,0)</f>
        <v>-5.665803853897038</v>
      </c>
      <c r="H13" s="11">
        <f>IFERROR(H12/H14,0)</f>
        <v>-2.654731717212699</v>
      </c>
    </row>
    <row r="14">
      <c r="A14" s="2" t="inlineStr">
        <is>
          <t>Shares</t>
        </is>
      </c>
      <c r="B14" s="23" t="n">
        <v>17.358</v>
      </c>
      <c r="C14" s="23" t="n">
        <v>17.504</v>
      </c>
      <c r="D14" s="23" t="n">
        <v>61.558</v>
      </c>
      <c r="E14" s="23" t="n">
        <v>65.205</v>
      </c>
      <c r="F14" s="23" t="n">
        <v>5.247</v>
      </c>
      <c r="G14" s="23" t="n">
        <v>6.954</v>
      </c>
      <c r="H14" s="23" t="n">
        <v>9.859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>2.5097087378640777</v>
      </c>
      <c r="E16" s="15">
        <f>IFERROR(E2/D2-1,"")</f>
        <v>-0.3457814661134163</v>
      </c>
      <c r="F16" s="15">
        <f>IFERROR(F2/E2-1,"")</f>
        <v>0.38266384778012696</v>
      </c>
      <c r="G16" s="15">
        <f>IFERROR(G2/F2-1,"")</f>
        <v>-0.47706422018348627</v>
      </c>
      <c r="H16" s="15">
        <f>IFERROR(H2/G2-1,"")</f>
        <v>-0.41520467836257313</v>
      </c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>1.0</v>
      </c>
      <c r="D17" s="15">
        <f>IFERROR(D4/D2,"")</f>
        <v>0.6002766251728907</v>
      </c>
      <c r="E17" s="15">
        <f>IFERROR(E4/E2,"")</f>
        <v>0.9450317124735729</v>
      </c>
      <c r="F17" s="15">
        <f>IFERROR(F4/F2,"")</f>
        <v>0.8149847094801224</v>
      </c>
      <c r="G17" s="15">
        <f>IFERROR(G4/G2,"")</f>
        <v>0.7953216374269005</v>
      </c>
      <c r="H17" s="15">
        <f>IFERROR(H4/H2,"")</f>
        <v>0.7850000000000001</v>
      </c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>-98.12621359223303</v>
      </c>
      <c r="D18" s="15">
        <f>IFERROR(D8/D2,"")</f>
        <v>-69.12586445366529</v>
      </c>
      <c r="E18" s="15">
        <f>IFERROR(E8/E2,"")</f>
        <v>-102.3446088794926</v>
      </c>
      <c r="F18" s="15">
        <f>IFERROR(F8/F2,"")</f>
        <v>-61.98776758409785</v>
      </c>
      <c r="G18" s="15">
        <f>IFERROR(G8/G2,"")</f>
        <v>-96.76315789473685</v>
      </c>
      <c r="H18" s="15">
        <f>IFERROR(H8/H2,"")</f>
        <v>-115.41499999999999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Clene Inc: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1-PRODUCT(Pipeline!AG4:AG5)</f>
        <v>0.4303245699999999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20.551</v>
      </c>
    </row>
    <row r="19">
      <c r="A19" s="14" t="inlineStr">
        <is>
          <t>Years of full burn (until the first launch, max 4)</t>
        </is>
      </c>
      <c r="B19" s="39">
        <f>MIN(4,MAX(1,MIN(Pipeline!I4:I5)-2026))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190.2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621.4018865641705</v>
      </c>
      <c r="C29" s="42">
        <f>NPV!B25</f>
        <v>625.7278865641705</v>
      </c>
      <c r="D29" s="43">
        <f>NPV!B27</f>
        <v>48.700412768712646</v>
      </c>
      <c r="E29" s="44">
        <f>NPV!B29</f>
        <v>12.05641092994977</v>
      </c>
    </row>
    <row r="30">
      <c r="A30" s="45" t="n">
        <v>1</v>
      </c>
      <c r="B30" s="46">
        <f t="dataTable" ref="B30:E32" r1="B4"/>
        <v>221.80190562964643</v>
      </c>
      <c r="C30" s="46">
        <v>226.12790562964642</v>
      </c>
      <c r="D30" s="47">
        <v>17.59953899954387</v>
      </c>
      <c r="E30" s="48">
        <v>3.7183750669018423</v>
      </c>
    </row>
    <row r="31">
      <c r="A31" s="45" t="n">
        <v>2</v>
      </c>
      <c r="B31" s="46">
        <v>621.4018865641705</v>
      </c>
      <c r="C31" s="46">
        <v>625.7278865641705</v>
      </c>
      <c r="D31" s="47">
        <v>48.700412768712646</v>
      </c>
      <c r="E31" s="48">
        <v>12.05641092994977</v>
      </c>
    </row>
    <row r="32">
      <c r="A32" s="45" t="n">
        <v>3</v>
      </c>
      <c r="B32" s="46">
        <v>1252.773188379966</v>
      </c>
      <c r="C32" s="46">
        <v>1257.099188379966</v>
      </c>
      <c r="D32" s="47">
        <v>97.84005264889143</v>
      </c>
      <c r="E32" s="48">
        <v>25.230577117665263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48.700412768712646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12.49868449196531</v>
      </c>
      <c r="C37" s="47">
        <v>20.39194884705601</v>
      </c>
      <c r="D37" s="47">
        <v>28.224083869120093</v>
      </c>
      <c r="E37" s="47">
        <v>43.822760479314944</v>
      </c>
      <c r="F37" s="47">
        <v>59.3624121755183</v>
      </c>
    </row>
    <row r="38">
      <c r="A38" s="50" t="n">
        <v>0.8</v>
      </c>
      <c r="B38" s="47">
        <v>17.609796737991232</v>
      </c>
      <c r="C38" s="47">
        <v>28.06677636063502</v>
      </c>
      <c r="D38" s="47">
        <v>38.48053775479003</v>
      </c>
      <c r="E38" s="47">
        <v>59.206691337479455</v>
      </c>
      <c r="F38" s="47">
        <v>79.91714059937961</v>
      </c>
    </row>
    <row r="39">
      <c r="A39" s="50" t="n">
        <v>1</v>
      </c>
      <c r="B39" s="47">
        <v>22.706274563651878</v>
      </c>
      <c r="C39" s="47">
        <v>35.72909380770046</v>
      </c>
      <c r="D39" s="47">
        <v>48.700412768712646</v>
      </c>
      <c r="E39" s="47">
        <v>74.59983226238491</v>
      </c>
      <c r="F39" s="47">
        <v>100.42730563165979</v>
      </c>
    </row>
    <row r="40">
      <c r="A40" s="50" t="n">
        <v>1.2</v>
      </c>
      <c r="B40" s="47">
        <v>27.780073073467655</v>
      </c>
      <c r="C40" s="47">
        <v>43.383228165421265</v>
      </c>
      <c r="D40" s="47">
        <v>58.92287986162461</v>
      </c>
      <c r="E40" s="47">
        <v>89.96346915937013</v>
      </c>
      <c r="F40" s="47">
        <v>120.94660190239858</v>
      </c>
    </row>
    <row r="41">
      <c r="A41" s="50" t="n">
        <v>1.4</v>
      </c>
      <c r="B41" s="47">
        <v>32.85755799186287</v>
      </c>
      <c r="C41" s="47">
        <v>51.02496337570697</v>
      </c>
      <c r="D41" s="47">
        <v>69.15455702127754</v>
      </c>
      <c r="E41" s="47">
        <v>105.32804121139606</v>
      </c>
      <c r="F41" s="47">
        <v>141.4750294115959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Clene Inc: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Multiple sclerosis</t>
        </is>
      </c>
      <c r="C4" s="14" t="inlineStr">
        <is>
          <t>CNM-Au8, gold nanocrystals</t>
        </is>
      </c>
      <c r="D4" s="14" t="inlineStr">
        <is>
          <t>Phase 2/3</t>
        </is>
      </c>
      <c r="E4" s="14" t="inlineStr">
        <is>
          <t>Neurology / area</t>
        </is>
      </c>
      <c r="F4" s="14" t="inlineStr">
        <is>
          <t>Owned</t>
        </is>
      </c>
      <c r="G4" s="40" t="n">
        <v>2000</v>
      </c>
      <c r="H4" s="27" t="n">
        <v>0.2383</v>
      </c>
      <c r="I4" s="26" t="n">
        <v>2030</v>
      </c>
      <c r="J4" s="39">
        <f>I4+Assumptions!$B$25</f>
        <v>2042.0</v>
      </c>
      <c r="K4" s="53">
        <f>Assumptions!$E$13</f>
        <v>0.4</v>
      </c>
      <c r="L4" s="23">
        <f>K4*SUMPRODUCT(M4:AF4,NPV!$C$15:$V$15)</f>
        <v>609.1761970134735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47.660000000000004</v>
      </c>
      <c r="R4" s="23">
        <f>IF(R$3&lt;$I4,0,$G4*Assumptions!$E$11*INDEX(Assumptions!$B$24:$G$24,MIN(6,R$3-$I4+1))*IF(R$3&gt;$J4,(1-Assumptions!$B$26)^(R$3-$J4),1)*IF($H4&gt;=1,1,MIN(0.97,$H4*Assumptions!$E$12)))</f>
        <v>119.15</v>
      </c>
      <c r="S4" s="23">
        <f>IF(S$3&lt;$I4,0,$G4*Assumptions!$E$11*INDEX(Assumptions!$B$24:$G$24,MIN(6,S$3-$I4+1))*IF(S$3&gt;$J4,(1-Assumptions!$B$26)^(S$3-$J4),1)*IF($H4&gt;=1,1,MIN(0.97,$H4*Assumptions!$E$12)))</f>
        <v>214.47</v>
      </c>
      <c r="T4" s="23">
        <f>IF(T$3&lt;$I4,0,$G4*Assumptions!$E$11*INDEX(Assumptions!$B$24:$G$24,MIN(6,T$3-$I4+1))*IF(T$3&gt;$J4,(1-Assumptions!$B$26)^(T$3-$J4),1)*IF($H4&gt;=1,1,MIN(0.97,$H4*Assumptions!$E$12)))</f>
        <v>309.79</v>
      </c>
      <c r="U4" s="23">
        <f>IF(U$3&lt;$I4,0,$G4*Assumptions!$E$11*INDEX(Assumptions!$B$24:$G$24,MIN(6,U$3-$I4+1))*IF(U$3&gt;$J4,(1-Assumptions!$B$26)^(U$3-$J4),1)*IF($H4&gt;=1,1,MIN(0.97,$H4*Assumptions!$E$12)))</f>
        <v>405.11</v>
      </c>
      <c r="V4" s="23">
        <f>IF(V$3&lt;$I4,0,$G4*Assumptions!$E$11*INDEX(Assumptions!$B$24:$G$24,MIN(6,V$3-$I4+1))*IF(V$3&gt;$J4,(1-Assumptions!$B$26)^(V$3-$J4),1)*IF($H4&gt;=1,1,MIN(0.97,$H4*Assumptions!$E$12)))</f>
        <v>476.6</v>
      </c>
      <c r="W4" s="23">
        <f>IF(W$3&lt;$I4,0,$G4*Assumptions!$E$11*INDEX(Assumptions!$B$24:$G$24,MIN(6,W$3-$I4+1))*IF(W$3&gt;$J4,(1-Assumptions!$B$26)^(W$3-$J4),1)*IF($H4&gt;=1,1,MIN(0.97,$H4*Assumptions!$E$12)))</f>
        <v>476.6</v>
      </c>
      <c r="X4" s="23">
        <f>IF(X$3&lt;$I4,0,$G4*Assumptions!$E$11*INDEX(Assumptions!$B$24:$G$24,MIN(6,X$3-$I4+1))*IF(X$3&gt;$J4,(1-Assumptions!$B$26)^(X$3-$J4),1)*IF($H4&gt;=1,1,MIN(0.97,$H4*Assumptions!$E$12)))</f>
        <v>476.6</v>
      </c>
      <c r="Y4" s="23">
        <f>IF(Y$3&lt;$I4,0,$G4*Assumptions!$E$11*INDEX(Assumptions!$B$24:$G$24,MIN(6,Y$3-$I4+1))*IF(Y$3&gt;$J4,(1-Assumptions!$B$26)^(Y$3-$J4),1)*IF($H4&gt;=1,1,MIN(0.97,$H4*Assumptions!$E$12)))</f>
        <v>476.6</v>
      </c>
      <c r="Z4" s="23">
        <f>IF(Z$3&lt;$I4,0,$G4*Assumptions!$E$11*INDEX(Assumptions!$B$24:$G$24,MIN(6,Z$3-$I4+1))*IF(Z$3&gt;$J4,(1-Assumptions!$B$26)^(Z$3-$J4),1)*IF($H4&gt;=1,1,MIN(0.97,$H4*Assumptions!$E$12)))</f>
        <v>476.6</v>
      </c>
      <c r="AA4" s="23">
        <f>IF(AA$3&lt;$I4,0,$G4*Assumptions!$E$11*INDEX(Assumptions!$B$24:$G$24,MIN(6,AA$3-$I4+1))*IF(AA$3&gt;$J4,(1-Assumptions!$B$26)^(AA$3-$J4),1)*IF($H4&gt;=1,1,MIN(0.97,$H4*Assumptions!$E$12)))</f>
        <v>476.6</v>
      </c>
      <c r="AB4" s="23">
        <f>IF(AB$3&lt;$I4,0,$G4*Assumptions!$E$11*INDEX(Assumptions!$B$24:$G$24,MIN(6,AB$3-$I4+1))*IF(AB$3&gt;$J4,(1-Assumptions!$B$26)^(AB$3-$J4),1)*IF($H4&gt;=1,1,MIN(0.97,$H4*Assumptions!$E$12)))</f>
        <v>476.6</v>
      </c>
      <c r="AC4" s="23">
        <f>IF(AC$3&lt;$I4,0,$G4*Assumptions!$E$11*INDEX(Assumptions!$B$24:$G$24,MIN(6,AC$3-$I4+1))*IF(AC$3&gt;$J4,(1-Assumptions!$B$26)^(AC$3-$J4),1)*IF($H4&gt;=1,1,MIN(0.97,$H4*Assumptions!$E$12)))</f>
        <v>476.6</v>
      </c>
      <c r="AD4" s="23">
        <f>IF(AD$3&lt;$I4,0,$G4*Assumptions!$E$11*INDEX(Assumptions!$B$24:$G$24,MIN(6,AD$3-$I4+1))*IF(AD$3&gt;$J4,(1-Assumptions!$B$26)^(AD$3-$J4),1)*IF($H4&gt;=1,1,MIN(0.97,$H4*Assumptions!$E$12)))</f>
        <v>238.3</v>
      </c>
      <c r="AE4" s="23">
        <f>IF(AE$3&lt;$I4,0,$G4*Assumptions!$E$11*INDEX(Assumptions!$B$24:$G$24,MIN(6,AE$3-$I4+1))*IF(AE$3&gt;$J4,(1-Assumptions!$B$26)^(AE$3-$J4),1)*IF($H4&gt;=1,1,MIN(0.97,$H4*Assumptions!$E$12)))</f>
        <v>119.15</v>
      </c>
      <c r="AF4" s="23">
        <f>IF(AF$3&lt;$I4,0,$G4*Assumptions!$E$11*INDEX(Assumptions!$B$24:$G$24,MIN(6,AF$3-$I4+1))*IF(AF$3&gt;$J4,(1-Assumptions!$B$26)^(AF$3-$J4),1)*IF($H4&gt;=1,1,MIN(0.97,$H4*Assumptions!$E$12)))</f>
        <v>59.575</v>
      </c>
      <c r="AG4" s="35">
        <f>IF(F4="Owned",1-IF(H4&gt;=1,1,MIN(0.97,H4*Assumptions!$E$12)),1)</f>
        <v>0.7617</v>
      </c>
    </row>
    <row r="5">
      <c r="A5" s="39" t="n">
        <v>2</v>
      </c>
      <c r="B5" s="14" t="inlineStr">
        <is>
          <t>ALS</t>
        </is>
      </c>
      <c r="C5" s="14" t="inlineStr">
        <is>
          <t>CNMAu8, CNM-Au8</t>
        </is>
      </c>
      <c r="D5" s="14" t="inlineStr">
        <is>
          <t>Phase 2</t>
        </is>
      </c>
      <c r="E5" s="14" t="inlineStr">
        <is>
          <t>Neurology / rare</t>
        </is>
      </c>
      <c r="F5" s="14" t="inlineStr">
        <is>
          <t>Owned</t>
        </is>
      </c>
      <c r="G5" s="40" t="n">
        <v>800</v>
      </c>
      <c r="H5" s="27" t="n">
        <v>0.2521</v>
      </c>
      <c r="I5" s="26" t="n">
        <v>2031</v>
      </c>
      <c r="J5" s="39">
        <f>I5+Assumptions!$B$25</f>
        <v>2043.0</v>
      </c>
      <c r="K5" s="53">
        <f>Assumptions!$E$13</f>
        <v>0.4</v>
      </c>
      <c r="L5" s="23">
        <f>K5*SUMPRODUCT(M5:AF5,NPV!$C$15:$V$15)</f>
        <v>229.11714950603306</v>
      </c>
      <c r="M5" s="23">
        <f>IF(M$3&lt;$I5,0,$G5*Assumptions!$E$11*INDEX(Assumptions!$B$24:$G$24,MIN(6,M$3-$I5+1))*IF(M$3&gt;$J5,(1-Assumptions!$B$26)^(M$3-$J5),1)*IF($H5&gt;=1,1,MIN(0.97,$H5*Assumptions!$E$12)))</f>
        <v>0</v>
      </c>
      <c r="N5" s="23">
        <f>IF(N$3&lt;$I5,0,$G5*Assumptions!$E$11*INDEX(Assumptions!$B$24:$G$24,MIN(6,N$3-$I5+1))*IF(N$3&gt;$J5,(1-Assumptions!$B$26)^(N$3-$J5),1)*IF($H5&gt;=1,1,MIN(0.97,$H5*Assumptions!$E$12)))</f>
        <v>0</v>
      </c>
      <c r="O5" s="23">
        <f>IF(O$3&lt;$I5,0,$G5*Assumptions!$E$11*INDEX(Assumptions!$B$24:$G$24,MIN(6,O$3-$I5+1))*IF(O$3&gt;$J5,(1-Assumptions!$B$26)^(O$3-$J5),1)*IF($H5&gt;=1,1,MIN(0.97,$H5*Assumptions!$E$12)))</f>
        <v>0</v>
      </c>
      <c r="P5" s="23">
        <f>IF(P$3&lt;$I5,0,$G5*Assumptions!$E$11*INDEX(Assumptions!$B$24:$G$24,MIN(6,P$3-$I5+1))*IF(P$3&gt;$J5,(1-Assumptions!$B$26)^(P$3-$J5),1)*IF($H5&gt;=1,1,MIN(0.97,$H5*Assumptions!$E$12)))</f>
        <v>0</v>
      </c>
      <c r="Q5" s="23">
        <f>IF(Q$3&lt;$I5,0,$G5*Assumptions!$E$11*INDEX(Assumptions!$B$24:$G$24,MIN(6,Q$3-$I5+1))*IF(Q$3&gt;$J5,(1-Assumptions!$B$26)^(Q$3-$J5),1)*IF($H5&gt;=1,1,MIN(0.97,$H5*Assumptions!$E$12)))</f>
        <v>0</v>
      </c>
      <c r="R5" s="23">
        <f>IF(R$3&lt;$I5,0,$G5*Assumptions!$E$11*INDEX(Assumptions!$B$24:$G$24,MIN(6,R$3-$I5+1))*IF(R$3&gt;$J5,(1-Assumptions!$B$26)^(R$3-$J5),1)*IF($H5&gt;=1,1,MIN(0.97,$H5*Assumptions!$E$12)))</f>
        <v>20.168</v>
      </c>
      <c r="S5" s="23">
        <f>IF(S$3&lt;$I5,0,$G5*Assumptions!$E$11*INDEX(Assumptions!$B$24:$G$24,MIN(6,S$3-$I5+1))*IF(S$3&gt;$J5,(1-Assumptions!$B$26)^(S$3-$J5),1)*IF($H5&gt;=1,1,MIN(0.97,$H5*Assumptions!$E$12)))</f>
        <v>50.42</v>
      </c>
      <c r="T5" s="23">
        <f>IF(T$3&lt;$I5,0,$G5*Assumptions!$E$11*INDEX(Assumptions!$B$24:$G$24,MIN(6,T$3-$I5+1))*IF(T$3&gt;$J5,(1-Assumptions!$B$26)^(T$3-$J5),1)*IF($H5&gt;=1,1,MIN(0.97,$H5*Assumptions!$E$12)))</f>
        <v>90.756</v>
      </c>
      <c r="U5" s="23">
        <f>IF(U$3&lt;$I5,0,$G5*Assumptions!$E$11*INDEX(Assumptions!$B$24:$G$24,MIN(6,U$3-$I5+1))*IF(U$3&gt;$J5,(1-Assumptions!$B$26)^(U$3-$J5),1)*IF($H5&gt;=1,1,MIN(0.97,$H5*Assumptions!$E$12)))</f>
        <v>131.09199999999998</v>
      </c>
      <c r="V5" s="23">
        <f>IF(V$3&lt;$I5,0,$G5*Assumptions!$E$11*INDEX(Assumptions!$B$24:$G$24,MIN(6,V$3-$I5+1))*IF(V$3&gt;$J5,(1-Assumptions!$B$26)^(V$3-$J5),1)*IF($H5&gt;=1,1,MIN(0.97,$H5*Assumptions!$E$12)))</f>
        <v>171.428</v>
      </c>
      <c r="W5" s="23">
        <f>IF(W$3&lt;$I5,0,$G5*Assumptions!$E$11*INDEX(Assumptions!$B$24:$G$24,MIN(6,W$3-$I5+1))*IF(W$3&gt;$J5,(1-Assumptions!$B$26)^(W$3-$J5),1)*IF($H5&gt;=1,1,MIN(0.97,$H5*Assumptions!$E$12)))</f>
        <v>201.68</v>
      </c>
      <c r="X5" s="23">
        <f>IF(X$3&lt;$I5,0,$G5*Assumptions!$E$11*INDEX(Assumptions!$B$24:$G$24,MIN(6,X$3-$I5+1))*IF(X$3&gt;$J5,(1-Assumptions!$B$26)^(X$3-$J5),1)*IF($H5&gt;=1,1,MIN(0.97,$H5*Assumptions!$E$12)))</f>
        <v>201.68</v>
      </c>
      <c r="Y5" s="23">
        <f>IF(Y$3&lt;$I5,0,$G5*Assumptions!$E$11*INDEX(Assumptions!$B$24:$G$24,MIN(6,Y$3-$I5+1))*IF(Y$3&gt;$J5,(1-Assumptions!$B$26)^(Y$3-$J5),1)*IF($H5&gt;=1,1,MIN(0.97,$H5*Assumptions!$E$12)))</f>
        <v>201.68</v>
      </c>
      <c r="Z5" s="23">
        <f>IF(Z$3&lt;$I5,0,$G5*Assumptions!$E$11*INDEX(Assumptions!$B$24:$G$24,MIN(6,Z$3-$I5+1))*IF(Z$3&gt;$J5,(1-Assumptions!$B$26)^(Z$3-$J5),1)*IF($H5&gt;=1,1,MIN(0.97,$H5*Assumptions!$E$12)))</f>
        <v>201.68</v>
      </c>
      <c r="AA5" s="23">
        <f>IF(AA$3&lt;$I5,0,$G5*Assumptions!$E$11*INDEX(Assumptions!$B$24:$G$24,MIN(6,AA$3-$I5+1))*IF(AA$3&gt;$J5,(1-Assumptions!$B$26)^(AA$3-$J5),1)*IF($H5&gt;=1,1,MIN(0.97,$H5*Assumptions!$E$12)))</f>
        <v>201.68</v>
      </c>
      <c r="AB5" s="23">
        <f>IF(AB$3&lt;$I5,0,$G5*Assumptions!$E$11*INDEX(Assumptions!$B$24:$G$24,MIN(6,AB$3-$I5+1))*IF(AB$3&gt;$J5,(1-Assumptions!$B$26)^(AB$3-$J5),1)*IF($H5&gt;=1,1,MIN(0.97,$H5*Assumptions!$E$12)))</f>
        <v>201.68</v>
      </c>
      <c r="AC5" s="23">
        <f>IF(AC$3&lt;$I5,0,$G5*Assumptions!$E$11*INDEX(Assumptions!$B$24:$G$24,MIN(6,AC$3-$I5+1))*IF(AC$3&gt;$J5,(1-Assumptions!$B$26)^(AC$3-$J5),1)*IF($H5&gt;=1,1,MIN(0.97,$H5*Assumptions!$E$12)))</f>
        <v>201.68</v>
      </c>
      <c r="AD5" s="23">
        <f>IF(AD$3&lt;$I5,0,$G5*Assumptions!$E$11*INDEX(Assumptions!$B$24:$G$24,MIN(6,AD$3-$I5+1))*IF(AD$3&gt;$J5,(1-Assumptions!$B$26)^(AD$3-$J5),1)*IF($H5&gt;=1,1,MIN(0.97,$H5*Assumptions!$E$12)))</f>
        <v>201.68</v>
      </c>
      <c r="AE5" s="23">
        <f>IF(AE$3&lt;$I5,0,$G5*Assumptions!$E$11*INDEX(Assumptions!$B$24:$G$24,MIN(6,AE$3-$I5+1))*IF(AE$3&gt;$J5,(1-Assumptions!$B$26)^(AE$3-$J5),1)*IF($H5&gt;=1,1,MIN(0.97,$H5*Assumptions!$E$12)))</f>
        <v>100.84</v>
      </c>
      <c r="AF5" s="23">
        <f>IF(AF$3&lt;$I5,0,$G5*Assumptions!$E$11*INDEX(Assumptions!$B$24:$G$24,MIN(6,AF$3-$I5+1))*IF(AF$3&gt;$J5,(1-Assumptions!$B$26)^(AF$3-$J5),1)*IF($H5&gt;=1,1,MIN(0.97,$H5*Assumptions!$E$12)))</f>
        <v>50.42</v>
      </c>
      <c r="AG5" s="35">
        <f>IF(F5="Owned",1-IF(H5&gt;=1,1,MIN(0.97,H5*Assumptions!$E$12)),1)</f>
        <v>0.7479</v>
      </c>
    </row>
    <row r="6">
      <c r="B6" s="24" t="inlineStr">
        <is>
          <t>Risked revenue</t>
        </is>
      </c>
      <c r="L6" s="54">
        <f>SUM(L4:L5)</f>
        <v>838.2933465195065</v>
      </c>
      <c r="M6" s="54">
        <f>SUM(M4:M5)</f>
        <v>0.0</v>
      </c>
      <c r="N6" s="54">
        <f>SUM(N4:N5)</f>
        <v>0.0</v>
      </c>
      <c r="O6" s="54">
        <f>SUM(O4:O5)</f>
        <v>0.0</v>
      </c>
      <c r="P6" s="54">
        <f>SUM(P4:P5)</f>
        <v>0.0</v>
      </c>
      <c r="Q6" s="54">
        <f>SUM(Q4:Q5)</f>
        <v>47.660000000000004</v>
      </c>
      <c r="R6" s="54">
        <f>SUM(R4:R5)</f>
        <v>139.318</v>
      </c>
      <c r="S6" s="54">
        <f>SUM(S4:S5)</f>
        <v>264.89</v>
      </c>
      <c r="T6" s="54">
        <f>SUM(T4:T5)</f>
        <v>400.54600000000005</v>
      </c>
      <c r="U6" s="54">
        <f>SUM(U4:U5)</f>
        <v>536.202</v>
      </c>
      <c r="V6" s="54">
        <f>SUM(V4:V5)</f>
        <v>648.028</v>
      </c>
      <c r="W6" s="54">
        <f>SUM(W4:W5)</f>
        <v>678.28</v>
      </c>
      <c r="X6" s="54">
        <f>SUM(X4:X5)</f>
        <v>678.28</v>
      </c>
      <c r="Y6" s="54">
        <f>SUM(Y4:Y5)</f>
        <v>678.28</v>
      </c>
      <c r="Z6" s="54">
        <f>SUM(Z4:Z5)</f>
        <v>678.28</v>
      </c>
      <c r="AA6" s="54">
        <f>SUM(AA4:AA5)</f>
        <v>678.28</v>
      </c>
      <c r="AB6" s="54">
        <f>SUM(AB4:AB5)</f>
        <v>678.28</v>
      </c>
      <c r="AC6" s="54">
        <f>SUM(AC4:AC5)</f>
        <v>678.28</v>
      </c>
      <c r="AD6" s="54">
        <f>SUM(AD4:AD5)</f>
        <v>439.98</v>
      </c>
      <c r="AE6" s="54">
        <f>SUM(AE4:AE5)</f>
        <v>219.99</v>
      </c>
      <c r="AF6" s="54">
        <f>SUM(AF4:AF5)</f>
        <v>109.995</v>
      </c>
    </row>
    <row r="7">
      <c r="B7" s="24" t="inlineStr">
        <is>
          <t>Risked contribution (revenue x share)</t>
        </is>
      </c>
      <c r="M7" s="55">
        <f>SUMPRODUCT(M4:M5,$K$4:$K$5)</f>
        <v>0.0</v>
      </c>
      <c r="N7" s="55">
        <f>SUMPRODUCT(N4:N5,$K$4:$K$5)</f>
        <v>0.0</v>
      </c>
      <c r="O7" s="55">
        <f>SUMPRODUCT(O4:O5,$K$4:$K$5)</f>
        <v>0.0</v>
      </c>
      <c r="P7" s="55">
        <f>SUMPRODUCT(P4:P5,$K$4:$K$5)</f>
        <v>0.0</v>
      </c>
      <c r="Q7" s="55">
        <f>SUMPRODUCT(Q4:Q5,$K$4:$K$5)</f>
        <v>19.064000000000004</v>
      </c>
      <c r="R7" s="55">
        <f>SUMPRODUCT(R4:R5,$K$4:$K$5)</f>
        <v>55.7272</v>
      </c>
      <c r="S7" s="55">
        <f>SUMPRODUCT(S4:S5,$K$4:$K$5)</f>
        <v>105.95600000000002</v>
      </c>
      <c r="T7" s="55">
        <f>SUMPRODUCT(T4:T5,$K$4:$K$5)</f>
        <v>160.2184</v>
      </c>
      <c r="U7" s="55">
        <f>SUMPRODUCT(U4:U5,$K$4:$K$5)</f>
        <v>214.48080000000002</v>
      </c>
      <c r="V7" s="55">
        <f>SUMPRODUCT(V4:V5,$K$4:$K$5)</f>
        <v>259.2112</v>
      </c>
      <c r="W7" s="55">
        <f>SUMPRODUCT(W4:W5,$K$4:$K$5)</f>
        <v>271.312</v>
      </c>
      <c r="X7" s="55">
        <f>SUMPRODUCT(X4:X5,$K$4:$K$5)</f>
        <v>271.312</v>
      </c>
      <c r="Y7" s="55">
        <f>SUMPRODUCT(Y4:Y5,$K$4:$K$5)</f>
        <v>271.312</v>
      </c>
      <c r="Z7" s="55">
        <f>SUMPRODUCT(Z4:Z5,$K$4:$K$5)</f>
        <v>271.312</v>
      </c>
      <c r="AA7" s="55">
        <f>SUMPRODUCT(AA4:AA5,$K$4:$K$5)</f>
        <v>271.312</v>
      </c>
      <c r="AB7" s="55">
        <f>SUMPRODUCT(AB4:AB5,$K$4:$K$5)</f>
        <v>271.312</v>
      </c>
      <c r="AC7" s="55">
        <f>SUMPRODUCT(AC4:AC5,$K$4:$K$5)</f>
        <v>271.312</v>
      </c>
      <c r="AD7" s="55">
        <f>SUMPRODUCT(AD4:AD5,$K$4:$K$5)</f>
        <v>175.99200000000002</v>
      </c>
      <c r="AE7" s="55">
        <f>SUMPRODUCT(AE4:AE5,$K$4:$K$5)</f>
        <v>87.99600000000001</v>
      </c>
      <c r="AF7" s="55">
        <f>SUMPRODUCT(AF4:AF5,$K$4:$K$5)</f>
        <v>43.998000000000005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Clene Inc: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Pipeline!M6</f>
        <v>0.0</v>
      </c>
      <c r="D4" s="57">
        <f>Pipeline!N6</f>
        <v>0.0</v>
      </c>
      <c r="E4" s="57">
        <f>Pipeline!O6</f>
        <v>0.0</v>
      </c>
      <c r="F4" s="57">
        <f>Pipeline!P6</f>
        <v>0.0</v>
      </c>
      <c r="G4" s="57">
        <f>Pipeline!Q6</f>
        <v>47.660000000000004</v>
      </c>
      <c r="H4" s="57">
        <f>Pipeline!R6</f>
        <v>139.318</v>
      </c>
      <c r="I4" s="57">
        <f>Pipeline!S6</f>
        <v>264.89</v>
      </c>
      <c r="J4" s="57">
        <f>Pipeline!T6</f>
        <v>400.54600000000005</v>
      </c>
      <c r="K4" s="57">
        <f>Pipeline!U6</f>
        <v>536.202</v>
      </c>
      <c r="L4" s="57">
        <f>Pipeline!V6</f>
        <v>648.028</v>
      </c>
      <c r="M4" s="57">
        <f>Pipeline!W6</f>
        <v>678.28</v>
      </c>
      <c r="N4" s="57">
        <f>Pipeline!X6</f>
        <v>678.28</v>
      </c>
      <c r="O4" s="57">
        <f>Pipeline!Y6</f>
        <v>678.28</v>
      </c>
      <c r="P4" s="57">
        <f>Pipeline!Z6</f>
        <v>678.28</v>
      </c>
      <c r="Q4" s="57">
        <f>Pipeline!AA6</f>
        <v>678.28</v>
      </c>
      <c r="R4" s="57">
        <f>Pipeline!AB6</f>
        <v>678.28</v>
      </c>
      <c r="S4" s="57">
        <f>Pipeline!AC6</f>
        <v>678.28</v>
      </c>
      <c r="T4" s="57">
        <f>Pipeline!AD6</f>
        <v>439.98</v>
      </c>
      <c r="U4" s="57">
        <f>Pipeline!AE6</f>
        <v>219.99</v>
      </c>
      <c r="V4" s="57">
        <f>Pipeline!AF6</f>
        <v>109.995</v>
      </c>
    </row>
    <row r="5">
      <c r="A5" s="14" t="inlineStr">
        <is>
          <t>Risked contribution</t>
        </is>
      </c>
      <c r="C5" s="57">
        <f>Pipeline!M7</f>
        <v>0.0</v>
      </c>
      <c r="D5" s="57">
        <f>Pipeline!N7</f>
        <v>0.0</v>
      </c>
      <c r="E5" s="57">
        <f>Pipeline!O7</f>
        <v>0.0</v>
      </c>
      <c r="F5" s="57">
        <f>Pipeline!P7</f>
        <v>0.0</v>
      </c>
      <c r="G5" s="57">
        <f>Pipeline!Q7</f>
        <v>19.064000000000004</v>
      </c>
      <c r="H5" s="57">
        <f>Pipeline!R7</f>
        <v>55.7272</v>
      </c>
      <c r="I5" s="57">
        <f>Pipeline!S7</f>
        <v>105.95600000000002</v>
      </c>
      <c r="J5" s="57">
        <f>Pipeline!T7</f>
        <v>160.2184</v>
      </c>
      <c r="K5" s="57">
        <f>Pipeline!U7</f>
        <v>214.48080000000002</v>
      </c>
      <c r="L5" s="57">
        <f>Pipeline!V7</f>
        <v>259.2112</v>
      </c>
      <c r="M5" s="57">
        <f>Pipeline!W7</f>
        <v>271.312</v>
      </c>
      <c r="N5" s="57">
        <f>Pipeline!X7</f>
        <v>271.312</v>
      </c>
      <c r="O5" s="57">
        <f>Pipeline!Y7</f>
        <v>271.312</v>
      </c>
      <c r="P5" s="57">
        <f>Pipeline!Z7</f>
        <v>271.312</v>
      </c>
      <c r="Q5" s="57">
        <f>Pipeline!AA7</f>
        <v>271.312</v>
      </c>
      <c r="R5" s="57">
        <f>Pipeline!AB7</f>
        <v>271.312</v>
      </c>
      <c r="S5" s="57">
        <f>Pipeline!AC7</f>
        <v>271.312</v>
      </c>
      <c r="T5" s="57">
        <f>Pipeline!AD7</f>
        <v>175.99200000000002</v>
      </c>
      <c r="U5" s="57">
        <f>Pipeline!AE7</f>
        <v>87.99600000000001</v>
      </c>
      <c r="V5" s="57">
        <f>Pipeline!AF7</f>
        <v>43.998000000000005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-20.551</v>
      </c>
      <c r="D6" s="23">
        <f>-IF(D3-2026&lt;Assumptions!$B$19,Assumptions!$B$18,Assumptions!$B$18*Assumptions!$B$20*Assumptions!$B$16)</f>
        <v>-20.551</v>
      </c>
      <c r="E6" s="23">
        <f>-IF(E3-2026&lt;Assumptions!$B$19,Assumptions!$B$18,Assumptions!$B$18*Assumptions!$B$20*Assumptions!$B$16)</f>
        <v>-20.551</v>
      </c>
      <c r="F6" s="23">
        <f>-IF(F3-2026&lt;Assumptions!$B$19,Assumptions!$B$18,Assumptions!$B$18*Assumptions!$B$20*Assumptions!$B$16)</f>
        <v>-20.551</v>
      </c>
      <c r="G6" s="23">
        <f>-IF(G3-2026&lt;Assumptions!$B$19,Assumptions!$B$18,Assumptions!$B$18*Assumptions!$B$20*Assumptions!$B$16)</f>
        <v>-2.653080071420999</v>
      </c>
      <c r="H6" s="23">
        <f>-IF(H3-2026&lt;Assumptions!$B$19,Assumptions!$B$18,Assumptions!$B$18*Assumptions!$B$20*Assumptions!$B$16)</f>
        <v>-2.653080071420999</v>
      </c>
      <c r="I6" s="23">
        <f>-IF(I3-2026&lt;Assumptions!$B$19,Assumptions!$B$18,Assumptions!$B$18*Assumptions!$B$20*Assumptions!$B$16)</f>
        <v>-2.653080071420999</v>
      </c>
      <c r="J6" s="23">
        <f>-IF(J3-2026&lt;Assumptions!$B$19,Assumptions!$B$18,Assumptions!$B$18*Assumptions!$B$20*Assumptions!$B$16)</f>
        <v>-2.653080071420999</v>
      </c>
      <c r="K6" s="23">
        <f>-IF(K3-2026&lt;Assumptions!$B$19,Assumptions!$B$18,Assumptions!$B$18*Assumptions!$B$20*Assumptions!$B$16)</f>
        <v>-2.653080071420999</v>
      </c>
      <c r="L6" s="23">
        <f>-IF(L3-2026&lt;Assumptions!$B$19,Assumptions!$B$18,Assumptions!$B$18*Assumptions!$B$20*Assumptions!$B$16)</f>
        <v>-2.653080071420999</v>
      </c>
      <c r="M6" s="23">
        <f>-IF(M3-2026&lt;Assumptions!$B$19,Assumptions!$B$18,Assumptions!$B$18*Assumptions!$B$20*Assumptions!$B$16)</f>
        <v>-2.653080071420999</v>
      </c>
      <c r="N6" s="23">
        <f>-IF(N3-2026&lt;Assumptions!$B$19,Assumptions!$B$18,Assumptions!$B$18*Assumptions!$B$20*Assumptions!$B$16)</f>
        <v>-2.653080071420999</v>
      </c>
      <c r="O6" s="23">
        <f>-IF(O3-2026&lt;Assumptions!$B$19,Assumptions!$B$18,Assumptions!$B$18*Assumptions!$B$20*Assumptions!$B$16)</f>
        <v>-2.653080071420999</v>
      </c>
      <c r="P6" s="23">
        <f>-IF(P3-2026&lt;Assumptions!$B$19,Assumptions!$B$18,Assumptions!$B$18*Assumptions!$B$20*Assumptions!$B$16)</f>
        <v>-2.653080071420999</v>
      </c>
      <c r="Q6" s="23">
        <f>-IF(Q3-2026&lt;Assumptions!$B$19,Assumptions!$B$18,Assumptions!$B$18*Assumptions!$B$20*Assumptions!$B$16)</f>
        <v>-2.653080071420999</v>
      </c>
      <c r="R6" s="23">
        <f>-IF(R3-2026&lt;Assumptions!$B$19,Assumptions!$B$18,Assumptions!$B$18*Assumptions!$B$20*Assumptions!$B$16)</f>
        <v>-2.653080071420999</v>
      </c>
      <c r="S6" s="23">
        <f>-IF(S3-2026&lt;Assumptions!$B$19,Assumptions!$B$18,Assumptions!$B$18*Assumptions!$B$20*Assumptions!$B$16)</f>
        <v>-2.653080071420999</v>
      </c>
      <c r="T6" s="23">
        <f>-IF(T3-2026&lt;Assumptions!$B$19,Assumptions!$B$18,Assumptions!$B$18*Assumptions!$B$20*Assumptions!$B$16)</f>
        <v>-2.653080071420999</v>
      </c>
      <c r="U6" s="23">
        <f>-IF(U3-2026&lt;Assumptions!$B$19,Assumptions!$B$18,Assumptions!$B$18*Assumptions!$B$20*Assumptions!$B$16)</f>
        <v>-2.653080071420999</v>
      </c>
      <c r="V6" s="23">
        <f>-IF(V3-2026&lt;Assumptions!$B$19,Assumptions!$B$18,Assumptions!$B$18*Assumptions!$B$20*Assumptions!$B$16)</f>
        <v>-2.653080071420999</v>
      </c>
    </row>
    <row r="7">
      <c r="A7" s="14" t="inlineStr">
        <is>
          <t>Pre-tax cash flow</t>
        </is>
      </c>
      <c r="C7" s="23">
        <f>C5+C6</f>
        <v>-20.551</v>
      </c>
      <c r="D7" s="23">
        <f>D5+D6</f>
        <v>-20.551</v>
      </c>
      <c r="E7" s="23">
        <f>E5+E6</f>
        <v>-20.551</v>
      </c>
      <c r="F7" s="23">
        <f>F5+F6</f>
        <v>-20.551</v>
      </c>
      <c r="G7" s="23">
        <f>G5+G6</f>
        <v>16.410919928579006</v>
      </c>
      <c r="H7" s="23">
        <f>H5+H6</f>
        <v>53.074119928579</v>
      </c>
      <c r="I7" s="23">
        <f>I5+I6</f>
        <v>103.30291992857902</v>
      </c>
      <c r="J7" s="23">
        <f>J5+J6</f>
        <v>157.56531992857902</v>
      </c>
      <c r="K7" s="23">
        <f>K5+K6</f>
        <v>211.82771992857903</v>
      </c>
      <c r="L7" s="23">
        <f>L5+L6</f>
        <v>256.558119928579</v>
      </c>
      <c r="M7" s="23">
        <f>M5+M6</f>
        <v>268.658919928579</v>
      </c>
      <c r="N7" s="23">
        <f>N5+N6</f>
        <v>268.658919928579</v>
      </c>
      <c r="O7" s="23">
        <f>O5+O6</f>
        <v>268.658919928579</v>
      </c>
      <c r="P7" s="23">
        <f>P5+P6</f>
        <v>268.658919928579</v>
      </c>
      <c r="Q7" s="23">
        <f>Q5+Q6</f>
        <v>268.658919928579</v>
      </c>
      <c r="R7" s="23">
        <f>R5+R6</f>
        <v>268.658919928579</v>
      </c>
      <c r="S7" s="23">
        <f>S5+S6</f>
        <v>268.658919928579</v>
      </c>
      <c r="T7" s="23">
        <f>T5+T6</f>
        <v>173.33891992857903</v>
      </c>
      <c r="U7" s="23">
        <f>U5+U6</f>
        <v>85.34291992857901</v>
      </c>
      <c r="V7" s="23">
        <f>V5+V6</f>
        <v>41.344919928579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16.410919928579006</v>
      </c>
      <c r="H8" s="23">
        <f>MIN(G17,MAX(0,H7))</f>
        <v>53.074119928579</v>
      </c>
      <c r="I8" s="23">
        <f>MIN(H17,MAX(0,I7))</f>
        <v>103.30291992857902</v>
      </c>
      <c r="J8" s="23">
        <f>MIN(I17,MAX(0,J7))</f>
        <v>99.61604021426292</v>
      </c>
      <c r="K8" s="23">
        <f>MIN(J17,MAX(0,K7))</f>
        <v>0.0</v>
      </c>
      <c r="L8" s="23">
        <f>MIN(K17,MAX(0,L7))</f>
        <v>0.0</v>
      </c>
      <c r="M8" s="23">
        <f>MIN(L17,MAX(0,M7))</f>
        <v>0.0</v>
      </c>
      <c r="N8" s="23">
        <f>MIN(M17,MAX(0,N7))</f>
        <v>0.0</v>
      </c>
      <c r="O8" s="23">
        <f>MIN(N17,MAX(0,O7))</f>
        <v>0.0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57.94927971431609</v>
      </c>
      <c r="K9" s="23">
        <f>MAX(0,K7)-K8</f>
        <v>211.82771992857903</v>
      </c>
      <c r="L9" s="23">
        <f>MAX(0,L7)-L8</f>
        <v>256.558119928579</v>
      </c>
      <c r="M9" s="23">
        <f>MAX(0,M7)-M8</f>
        <v>268.658919928579</v>
      </c>
      <c r="N9" s="23">
        <f>MAX(0,N7)-N8</f>
        <v>268.658919928579</v>
      </c>
      <c r="O9" s="23">
        <f>MAX(0,O7)-O8</f>
        <v>268.658919928579</v>
      </c>
      <c r="P9" s="23">
        <f>MAX(0,P7)-P8</f>
        <v>268.658919928579</v>
      </c>
      <c r="Q9" s="23">
        <f>MAX(0,Q7)-Q8</f>
        <v>268.658919928579</v>
      </c>
      <c r="R9" s="23">
        <f>MAX(0,R7)-R8</f>
        <v>268.658919928579</v>
      </c>
      <c r="S9" s="23">
        <f>MAX(0,S7)-S8</f>
        <v>268.658919928579</v>
      </c>
      <c r="T9" s="23">
        <f>MAX(0,T7)-T8</f>
        <v>173.33891992857903</v>
      </c>
      <c r="U9" s="23">
        <f>MAX(0,U7)-U8</f>
        <v>85.34291992857901</v>
      </c>
      <c r="V9" s="23">
        <f>MAX(0,V7)-V8</f>
        <v>41.344919928579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12.16934874000638</v>
      </c>
      <c r="K10" s="23">
        <f>K9*Assumptions!$E$15</f>
        <v>44.483821185001595</v>
      </c>
      <c r="L10" s="23">
        <f>L9*Assumptions!$E$15</f>
        <v>53.877205185001586</v>
      </c>
      <c r="M10" s="23">
        <f>M9*Assumptions!$E$15</f>
        <v>56.418373185001585</v>
      </c>
      <c r="N10" s="23">
        <f>N9*Assumptions!$E$15</f>
        <v>56.418373185001585</v>
      </c>
      <c r="O10" s="23">
        <f>O9*Assumptions!$E$15</f>
        <v>56.418373185001585</v>
      </c>
      <c r="P10" s="23">
        <f>P9*Assumptions!$E$15</f>
        <v>56.418373185001585</v>
      </c>
      <c r="Q10" s="23">
        <f>Q9*Assumptions!$E$15</f>
        <v>56.418373185001585</v>
      </c>
      <c r="R10" s="23">
        <f>R9*Assumptions!$E$15</f>
        <v>56.418373185001585</v>
      </c>
      <c r="S10" s="23">
        <f>S9*Assumptions!$E$15</f>
        <v>56.418373185001585</v>
      </c>
      <c r="T10" s="23">
        <f>T9*Assumptions!$E$15</f>
        <v>36.401173185001596</v>
      </c>
      <c r="U10" s="23">
        <f>U9*Assumptions!$E$15</f>
        <v>17.922013185001592</v>
      </c>
      <c r="V10" s="23">
        <f>V9*Assumptions!$E$15</f>
        <v>8.68243318500159</v>
      </c>
    </row>
    <row r="11">
      <c r="A11" s="24" t="inlineStr">
        <is>
          <t>Free cash flow</t>
        </is>
      </c>
      <c r="C11" s="55">
        <f>C7-C10</f>
        <v>-20.551</v>
      </c>
      <c r="D11" s="55">
        <f>D7-D10</f>
        <v>-20.551</v>
      </c>
      <c r="E11" s="55">
        <f>E7-E10</f>
        <v>-20.551</v>
      </c>
      <c r="F11" s="55">
        <f>F7-F10</f>
        <v>-20.551</v>
      </c>
      <c r="G11" s="55">
        <f>G7-G10</f>
        <v>16.410919928579006</v>
      </c>
      <c r="H11" s="55">
        <f>H7-H10</f>
        <v>53.074119928579</v>
      </c>
      <c r="I11" s="55">
        <f>I7-I10</f>
        <v>103.30291992857902</v>
      </c>
      <c r="J11" s="55">
        <f>J7-J10</f>
        <v>145.39597118857264</v>
      </c>
      <c r="K11" s="55">
        <f>K7-K10</f>
        <v>167.34389874357743</v>
      </c>
      <c r="L11" s="55">
        <f>L7-L10</f>
        <v>202.68091474357743</v>
      </c>
      <c r="M11" s="55">
        <f>M7-M10</f>
        <v>212.2405467435774</v>
      </c>
      <c r="N11" s="55">
        <f>N7-N10</f>
        <v>212.2405467435774</v>
      </c>
      <c r="O11" s="55">
        <f>O7-O10</f>
        <v>212.2405467435774</v>
      </c>
      <c r="P11" s="55">
        <f>P7-P10</f>
        <v>212.2405467435774</v>
      </c>
      <c r="Q11" s="55">
        <f>Q7-Q10</f>
        <v>212.2405467435774</v>
      </c>
      <c r="R11" s="55">
        <f>R7-R10</f>
        <v>212.2405467435774</v>
      </c>
      <c r="S11" s="55">
        <f>S7-S10</f>
        <v>212.2405467435774</v>
      </c>
      <c r="T11" s="55">
        <f>T7-T10</f>
        <v>136.93774674357743</v>
      </c>
      <c r="U11" s="55">
        <f>U7-U10</f>
        <v>67.42090674357742</v>
      </c>
      <c r="V11" s="55">
        <f>V7-V10</f>
        <v>32.66248674357741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-10.068024276600303</v>
      </c>
      <c r="D16" s="55">
        <f>D11*D15</f>
        <v>-18.34058325453753</v>
      </c>
      <c r="E16" s="55">
        <f>E11*E15</f>
        <v>-16.37552076297993</v>
      </c>
      <c r="F16" s="55">
        <f>F11*F15</f>
        <v>-14.621000681232083</v>
      </c>
      <c r="G16" s="55">
        <f>G11*G15</f>
        <v>10.424591410888885</v>
      </c>
      <c r="H16" s="55">
        <f>H11*H15</f>
        <v>30.101691062361827</v>
      </c>
      <c r="I16" s="55">
        <f>I11*I15</f>
        <v>52.312161775472056</v>
      </c>
      <c r="J16" s="55">
        <f>J11*J15</f>
        <v>65.73920082020727</v>
      </c>
      <c r="K16" s="55">
        <f>K11*K15</f>
        <v>67.55599698097492</v>
      </c>
      <c r="L16" s="55">
        <f>L11*L15</f>
        <v>73.05481709543191</v>
      </c>
      <c r="M16" s="55">
        <f>M11*M15</f>
        <v>68.30403109155138</v>
      </c>
      <c r="N16" s="55">
        <f>N11*N15</f>
        <v>60.98574204602801</v>
      </c>
      <c r="O16" s="55">
        <f>O11*O15</f>
        <v>54.451555398239286</v>
      </c>
      <c r="P16" s="55">
        <f>P11*P15</f>
        <v>48.61746017699936</v>
      </c>
      <c r="Q16" s="55">
        <f>Q11*Q15</f>
        <v>43.40844658660657</v>
      </c>
      <c r="R16" s="55">
        <f>R11*R15</f>
        <v>38.757541595184435</v>
      </c>
      <c r="S16" s="55">
        <f>S11*S15</f>
        <v>34.60494785284324</v>
      </c>
      <c r="T16" s="55">
        <f>T11*T15</f>
        <v>19.934942997184184</v>
      </c>
      <c r="U16" s="55">
        <f>U11*U15</f>
        <v>8.763314279097537</v>
      </c>
      <c r="V16" s="55">
        <f>V11*V15</f>
        <v>3.7905743704494337</v>
      </c>
    </row>
    <row r="17">
      <c r="A17" s="14" t="inlineStr">
        <is>
          <t>Tax-loss carryforward, end of year</t>
        </is>
      </c>
      <c r="C17" s="23">
        <f>Assumptions!$B$21-C8+MAX(0,-C7)</f>
        <v>210.75099999999998</v>
      </c>
      <c r="D17" s="23">
        <f>C17-D8+MAX(0,-D7)</f>
        <v>231.30199999999996</v>
      </c>
      <c r="E17" s="23">
        <f>D17-E8+MAX(0,-E7)</f>
        <v>251.85299999999995</v>
      </c>
      <c r="F17" s="23">
        <f>E17-F8+MAX(0,-F7)</f>
        <v>272.40399999999994</v>
      </c>
      <c r="G17" s="23">
        <f>F17-G8+MAX(0,-G7)</f>
        <v>255.99308007142093</v>
      </c>
      <c r="H17" s="23">
        <f>G17-H8+MAX(0,-H7)</f>
        <v>202.91896014284194</v>
      </c>
      <c r="I17" s="23">
        <f>H17-I8+MAX(0,-I7)</f>
        <v>99.61604021426292</v>
      </c>
      <c r="J17" s="23">
        <f>I17-J8+MAX(0,-J7)</f>
        <v>0.0</v>
      </c>
      <c r="K17" s="23">
        <f>J17-K8+MAX(0,-K7)</f>
        <v>0.0</v>
      </c>
      <c r="L17" s="23">
        <f>K17-L8+MAX(0,-L7)</f>
        <v>0.0</v>
      </c>
      <c r="M17" s="23">
        <f>L17-M8+MAX(0,-M7)</f>
        <v>0.0</v>
      </c>
      <c r="N17" s="23">
        <f>M17-N8+MAX(0,-N7)</f>
        <v>0.0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838.2933465195065</v>
      </c>
    </row>
    <row r="20">
      <c r="A20" s="14" t="inlineStr">
        <is>
          <t>PV of corporate burn</t>
        </is>
      </c>
      <c r="B20" s="23">
        <f>SUMPRODUCT(C6:V6,C15:V15)</f>
        <v>-72.56875622936138</v>
      </c>
    </row>
    <row r="21">
      <c r="A21" s="14" t="inlineStr">
        <is>
          <t>PV of taxes</t>
        </is>
      </c>
      <c r="B21" s="23">
        <f>-SUMPRODUCT(C10:V10,C15:V15)</f>
        <v>-144.32270372597463</v>
      </c>
    </row>
    <row r="22">
      <c r="A22" s="24" t="inlineStr">
        <is>
          <t>Pipeline rNPV (operations)</t>
        </is>
      </c>
      <c r="B22" s="54">
        <f>SUM(C16:V16)</f>
        <v>621.4018865641705</v>
      </c>
    </row>
    <row r="23">
      <c r="A23" s="14" t="inlineStr">
        <is>
          <t>Cash &amp; investments</t>
        </is>
      </c>
      <c r="B23" s="57">
        <f>Main!C7</f>
        <v>9.7</v>
      </c>
    </row>
    <row r="24">
      <c r="A24" s="14" t="inlineStr">
        <is>
          <t>Debt</t>
        </is>
      </c>
      <c r="B24" s="57">
        <f>Main!C8</f>
        <v>5.374</v>
      </c>
    </row>
    <row r="25">
      <c r="A25" s="24" t="inlineStr">
        <is>
          <t>Equity value</t>
        </is>
      </c>
      <c r="B25" s="54">
        <f>B22+B23-B24</f>
        <v>625.7278865641705</v>
      </c>
    </row>
    <row r="26">
      <c r="A26" s="14" t="inlineStr">
        <is>
          <t>Shares (mm)</t>
        </is>
      </c>
      <c r="B26" s="57">
        <f>Main!C4</f>
        <v>12.848513</v>
      </c>
    </row>
    <row r="27">
      <c r="A27" s="24" t="inlineStr">
        <is>
          <t>rNPV / share</t>
        </is>
      </c>
      <c r="B27" s="60">
        <f>B25/B26</f>
        <v>48.700412768712646</v>
      </c>
    </row>
    <row r="28">
      <c r="A28" s="14" t="inlineStr">
        <is>
          <t>Price</t>
        </is>
      </c>
      <c r="B28" s="61">
        <f>Main!C3</f>
        <v>3.73</v>
      </c>
    </row>
    <row r="29">
      <c r="A29" s="14" t="inlineStr">
        <is>
          <t>Upside</t>
        </is>
      </c>
      <c r="B29" s="62">
        <f>B27/B28-1</f>
        <v>12.05641092994977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2026-10-21T06:29:36Z</dcterms:modified>
  <cp:lastModifiedBy>Wang, Eric</cp:lastModifiedBy>
</cp:coreProperties>
</file>