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Arvinas, Inc.</t>
        </is>
      </c>
      <c r="C2" s="10" t="n"/>
    </row>
    <row r="3">
      <c r="B3" t="inlineStr">
        <is>
          <t>Price</t>
        </is>
      </c>
      <c r="C3" s="11">
        <f>INDEX([1]Pharma!$F$1:$F$1000,MATCH("ARVN",[1]Pharma!$B$1:$B$1000,0))</f>
        <v>7.66</v>
      </c>
      <c r="F3" s="1" t="n"/>
    </row>
    <row r="4">
      <c r="B4" t="inlineStr">
        <is>
          <t>Shares</t>
        </is>
      </c>
      <c r="C4" s="51" t="n">
        <v>65.386191</v>
      </c>
      <c r="F4" s="1" t="n"/>
    </row>
    <row r="5">
      <c r="B5" t="inlineStr">
        <is>
          <t>Market Cap.</t>
        </is>
      </c>
      <c r="C5" s="13">
        <f>C3*C4</f>
        <v>500.85822306</v>
      </c>
      <c r="F5" s="1" t="n"/>
    </row>
    <row r="6"/>
    <row r="7">
      <c r="B7" t="inlineStr">
        <is>
          <t>Cash</t>
        </is>
      </c>
      <c r="C7" s="51">
        <f>94.3+473.6</f>
        <v>567.9</v>
      </c>
    </row>
    <row r="8">
      <c r="B8" t="inlineStr">
        <is>
          <t>Debt</t>
        </is>
      </c>
      <c r="C8" s="51">
        <f>0.2+0.3</f>
        <v>0.5</v>
      </c>
    </row>
    <row r="9">
      <c r="B9" t="inlineStr">
        <is>
          <t>Enterprise V.</t>
        </is>
      </c>
      <c r="C9" s="13">
        <f>C5-C7+C8</f>
        <v>-66.54177693999998</v>
      </c>
    </row>
    <row r="10"/>
    <row r="11">
      <c r="B11" s="14" t="inlineStr">
        <is>
          <t>NPV / Share</t>
        </is>
      </c>
      <c r="C11" s="11">
        <f>NPV!B28</f>
        <v>19.041354042449935</v>
      </c>
    </row>
    <row r="12">
      <c r="B12" s="14" t="inlineStr">
        <is>
          <t>Upside</t>
        </is>
      </c>
      <c r="C12" s="15">
        <f>IFERROR(C11/C3-1,"")</f>
        <v>1.4858164546279289</v>
      </c>
    </row>
    <row r="13">
      <c r="B13" s="14" t="inlineStr">
        <is>
          <t>Cash / Share</t>
        </is>
      </c>
      <c r="C13" s="11">
        <f>IFERROR((C7-C8)/C4,"")</f>
        <v>8.677673241434112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7.579</v>
      </c>
      <c r="C2" s="52" t="n">
        <v>14.324</v>
      </c>
      <c r="D2" s="52" t="n">
        <v>43</v>
      </c>
      <c r="E2" s="52" t="n">
        <v>25.9</v>
      </c>
      <c r="F2" s="52" t="n">
        <v>53.6</v>
      </c>
      <c r="G2" s="52" t="n">
        <v>131.4</v>
      </c>
      <c r="H2" s="52" t="n">
        <v>78.5</v>
      </c>
      <c r="I2" s="52" t="n">
        <v>263.4</v>
      </c>
      <c r="J2" s="52" t="n">
        <v>262.6</v>
      </c>
      <c r="K2" s="52">
        <f>J2*(1+NPV!C5)</f>
        <v>329.87812</v>
      </c>
      <c r="L2" s="52">
        <f>K2*(1+NPV!D5)</f>
        <v>405.9186919724445</v>
      </c>
      <c r="M2" s="52">
        <f>L2*(1+NPV!E5)</f>
        <v>489.0598605037783</v>
      </c>
      <c r="N2" s="52">
        <f>M2*(1+NPV!F5)</f>
        <v>576.6667835153551</v>
      </c>
      <c r="O2" s="52">
        <f>N2*(1+NPV!G5)</f>
        <v>665.1530977414335</v>
      </c>
      <c r="P2" s="52">
        <f>O2*(1+NPV!H5)</f>
        <v>750.1301012728891</v>
      </c>
      <c r="Q2" s="52">
        <f>P2*(1+NPV!I5)</f>
        <v>826.6933802761419</v>
      </c>
      <c r="R2" s="52">
        <f>Q2*(1+NPV!J5)</f>
        <v>889.8343835652329</v>
      </c>
      <c r="S2" s="52">
        <f>R2*(1+NPV!K5)</f>
        <v>934.9390997632838</v>
      </c>
      <c r="T2" s="52">
        <f>S2*(1+NPV!L5)</f>
        <v>958.3125772573659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</row>
    <row r="4" customFormat="1" s="1">
      <c r="A4" s="5" t="inlineStr">
        <is>
          <t>Gross Margin</t>
        </is>
      </c>
      <c r="B4" s="52">
        <f>B2-B3</f>
        <v>7.579</v>
      </c>
      <c r="C4" s="52">
        <f>C2-C3</f>
        <v>14.324</v>
      </c>
      <c r="D4" s="52">
        <f>D2-D3</f>
        <v>43.0</v>
      </c>
      <c r="E4" s="52">
        <f>E2-E3</f>
        <v>25.9</v>
      </c>
      <c r="F4" s="52">
        <f>F2-F3</f>
        <v>53.6</v>
      </c>
      <c r="G4" s="52">
        <f>G2-G3</f>
        <v>131.4</v>
      </c>
      <c r="H4" s="52">
        <f>H2-H3</f>
        <v>78.5</v>
      </c>
      <c r="I4" s="52">
        <f>I2-I3</f>
        <v>263.4</v>
      </c>
      <c r="J4" s="52">
        <f>J2-J3</f>
        <v>262.6</v>
      </c>
      <c r="K4" s="52">
        <f>K2-K3</f>
        <v>329.87812</v>
      </c>
      <c r="L4" s="52">
        <f>L2-L3</f>
        <v>405.9186919724445</v>
      </c>
      <c r="M4" s="52">
        <f>M2-M3</f>
        <v>489.0598605037783</v>
      </c>
      <c r="N4" s="52">
        <f>N2-N3</f>
        <v>576.6667835153551</v>
      </c>
      <c r="O4" s="52">
        <f>O2-O3</f>
        <v>665.1530977414335</v>
      </c>
      <c r="P4" s="52">
        <f>P2-P3</f>
        <v>750.1301012728891</v>
      </c>
      <c r="Q4" s="52">
        <f>Q2-Q3</f>
        <v>826.6933802761419</v>
      </c>
      <c r="R4" s="52">
        <f>R2-R3</f>
        <v>889.8343835652329</v>
      </c>
      <c r="S4" s="52">
        <f>S2-S3</f>
        <v>934.9390997632838</v>
      </c>
      <c r="T4" s="52">
        <f>T2-T3</f>
        <v>958.3125772573659</v>
      </c>
    </row>
    <row r="5">
      <c r="A5" s="2" t="inlineStr">
        <is>
          <t>Research &amp; Dev.</t>
        </is>
      </c>
      <c r="B5" s="52" t="n">
        <v>28.793</v>
      </c>
      <c r="C5" s="52" t="n">
        <v>45.194</v>
      </c>
      <c r="D5" s="52" t="n">
        <v>67.2</v>
      </c>
      <c r="E5" s="52" t="n">
        <v>108.4</v>
      </c>
      <c r="F5" s="52" t="n">
        <v>180.4</v>
      </c>
      <c r="G5" s="52" t="n">
        <v>315</v>
      </c>
      <c r="H5" s="52" t="n">
        <v>379.7</v>
      </c>
      <c r="I5" s="52" t="n">
        <v>348.2</v>
      </c>
      <c r="J5" s="52" t="n">
        <v>285.2</v>
      </c>
      <c r="K5" s="52">
        <f>K7*Assumptions!$B$20</f>
        <v>254.65259212005182</v>
      </c>
      <c r="L5" s="52">
        <f>L7*Assumptions!$B$20</f>
        <v>305.5393768748332</v>
      </c>
      <c r="M5" s="52">
        <f>M7*Assumptions!$B$20</f>
        <v>358.70679210499117</v>
      </c>
      <c r="N5" s="52">
        <f>N7*Assumptions!$B$20</f>
        <v>411.8629642015292</v>
      </c>
      <c r="O5" s="52">
        <f>O7*Assumptions!$B$20</f>
        <v>462.257617055521</v>
      </c>
      <c r="P5" s="52">
        <f>P7*Assumptions!$B$20</f>
        <v>506.87445543261</v>
      </c>
      <c r="Q5" s="52">
        <f>Q7*Assumptions!$B$20</f>
        <v>542.6965462975566</v>
      </c>
      <c r="R5" s="52">
        <f>R7*Assumptions!$B$20</f>
        <v>567.0182157170179</v>
      </c>
      <c r="S5" s="52">
        <f>S7*Assumptions!$B$20</f>
        <v>577.7632384308736</v>
      </c>
      <c r="T5" s="52">
        <f>T7*Assumptions!$B$20</f>
        <v>573.7609062555301</v>
      </c>
    </row>
    <row r="6">
      <c r="A6" s="18" t="inlineStr">
        <is>
          <t>SG&amp;A &amp; Other</t>
        </is>
      </c>
      <c r="B6" s="52" t="n">
        <v>3.546</v>
      </c>
      <c r="C6" s="52" t="n">
        <v>12.932</v>
      </c>
      <c r="D6" s="52" t="n">
        <v>27.3</v>
      </c>
      <c r="E6" s="52" t="n">
        <v>38.3</v>
      </c>
      <c r="F6" s="52" t="n">
        <v>61.6</v>
      </c>
      <c r="G6" s="52" t="n">
        <v>79.59999999999999</v>
      </c>
      <c r="H6" s="52" t="n">
        <v>100.3</v>
      </c>
      <c r="I6" s="52" t="n">
        <v>165.4</v>
      </c>
      <c r="J6" s="52" t="n">
        <v>95.90000000000001</v>
      </c>
      <c r="K6" s="52">
        <f>K7-K5</f>
        <v>85.61009109754818</v>
      </c>
      <c r="L6" s="52">
        <f>L7-L5</f>
        <v>102.7174067633726</v>
      </c>
      <c r="M6" s="52">
        <f>M7-M5</f>
        <v>120.59143358313173</v>
      </c>
      <c r="N6" s="52">
        <f>N7-N5</f>
        <v>138.46168064284444</v>
      </c>
      <c r="O6" s="52">
        <f>O7-O5</f>
        <v>155.40354950717415</v>
      </c>
      <c r="P6" s="52">
        <f>P7-P5</f>
        <v>170.4030104046562</v>
      </c>
      <c r="Q6" s="52">
        <f>Q7-Q5</f>
        <v>182.44581914546404</v>
      </c>
      <c r="R6" s="52">
        <f>R7-R5</f>
        <v>190.62237182576393</v>
      </c>
      <c r="S6" s="52">
        <f>S7-S5</f>
        <v>194.23467502566518</v>
      </c>
      <c r="T6" s="52">
        <f>T7-T5</f>
        <v>192.8891555503626</v>
      </c>
    </row>
    <row r="7">
      <c r="A7" s="2" t="inlineStr">
        <is>
          <t>Operating Expense</t>
        </is>
      </c>
      <c r="B7" s="52">
        <f>SUM(B5:B6)</f>
        <v>32.339</v>
      </c>
      <c r="C7" s="52">
        <f>SUM(C5:C6)</f>
        <v>58.126000000000005</v>
      </c>
      <c r="D7" s="52">
        <f>SUM(D5:D6)</f>
        <v>94.5</v>
      </c>
      <c r="E7" s="52">
        <f>SUM(E5:E6)</f>
        <v>146.7</v>
      </c>
      <c r="F7" s="52">
        <f>SUM(F5:F6)</f>
        <v>242.0</v>
      </c>
      <c r="G7" s="52">
        <f>SUM(G5:G6)</f>
        <v>394.6</v>
      </c>
      <c r="H7" s="52">
        <f>SUM(H5:H6)</f>
        <v>480.0</v>
      </c>
      <c r="I7" s="52">
        <f>SUM(I5:I6)</f>
        <v>513.6</v>
      </c>
      <c r="J7" s="52">
        <f>SUM(J5:J6)</f>
        <v>381.1</v>
      </c>
      <c r="K7" s="52">
        <f>K4-K2*NPV!C6</f>
        <v>340.2626832176</v>
      </c>
      <c r="L7" s="52">
        <f>L4-L2*NPV!D6</f>
        <v>408.2567836382058</v>
      </c>
      <c r="M7" s="52">
        <f>M4-M2*NPV!E6</f>
        <v>479.2982256881229</v>
      </c>
      <c r="N7" s="52">
        <f>N4-N2*NPV!F6</f>
        <v>550.3246448443737</v>
      </c>
      <c r="O7" s="52">
        <f>O4-O2*NPV!G6</f>
        <v>617.6611665626951</v>
      </c>
      <c r="P7" s="52">
        <f>P4-P2*NPV!H6</f>
        <v>677.2774658372662</v>
      </c>
      <c r="Q7" s="52">
        <f>Q4-Q2*NPV!I6</f>
        <v>725.1423654430206</v>
      </c>
      <c r="R7" s="52">
        <f>R4-R2*NPV!J6</f>
        <v>757.6405875427819</v>
      </c>
      <c r="S7" s="52">
        <f>S4-S2*NPV!K6</f>
        <v>771.9979134565388</v>
      </c>
      <c r="T7" s="52">
        <f>T4-T2*NPV!L6</f>
        <v>766.6500618058927</v>
      </c>
    </row>
    <row r="8">
      <c r="A8" s="2" t="inlineStr">
        <is>
          <t>Operating Income</t>
        </is>
      </c>
      <c r="B8" s="52">
        <f>B4-B7</f>
        <v>-24.759999999999998</v>
      </c>
      <c r="C8" s="52">
        <f>C4-C7</f>
        <v>-43.80200000000001</v>
      </c>
      <c r="D8" s="52">
        <f>D4-D7</f>
        <v>-51.5</v>
      </c>
      <c r="E8" s="52">
        <f>E4-E7</f>
        <v>-120.79999999999998</v>
      </c>
      <c r="F8" s="52">
        <f>F4-F7</f>
        <v>-188.4</v>
      </c>
      <c r="G8" s="52">
        <f>G4-G7</f>
        <v>-263.20000000000005</v>
      </c>
      <c r="H8" s="52">
        <f>H4-H7</f>
        <v>-401.5</v>
      </c>
      <c r="I8" s="52">
        <f>I4-I7</f>
        <v>-250.20000000000005</v>
      </c>
      <c r="J8" s="52">
        <f>J4-J7</f>
        <v>-118.5</v>
      </c>
      <c r="K8" s="52">
        <f>K4-K7</f>
        <v>-10.384563217599975</v>
      </c>
      <c r="L8" s="52">
        <f>L4-L7</f>
        <v>-2.338091665761283</v>
      </c>
      <c r="M8" s="52">
        <f>M4-M7</f>
        <v>9.761634815655384</v>
      </c>
      <c r="N8" s="52">
        <f>N4-N7</f>
        <v>26.3421386709814</v>
      </c>
      <c r="O8" s="52">
        <f>O4-O7</f>
        <v>47.491931178738355</v>
      </c>
      <c r="P8" s="52">
        <f>P4-P7</f>
        <v>72.85263543562291</v>
      </c>
      <c r="Q8" s="52">
        <f>Q4-Q7</f>
        <v>101.55101483312126</v>
      </c>
      <c r="R8" s="52">
        <f>R4-R7</f>
        <v>132.193796022451</v>
      </c>
      <c r="S8" s="52">
        <f>S4-S7</f>
        <v>162.94118630674507</v>
      </c>
      <c r="T8" s="52">
        <f>T4-T7</f>
        <v>191.66251545147315</v>
      </c>
    </row>
    <row r="9">
      <c r="A9" s="18" t="inlineStr">
        <is>
          <t>Interest &amp; Other</t>
        </is>
      </c>
      <c r="B9" s="52" t="n">
        <v>0.711</v>
      </c>
      <c r="C9" s="52" t="n">
        <v>2.322</v>
      </c>
      <c r="D9" s="52" t="n">
        <v>-18.8</v>
      </c>
      <c r="E9" s="52" t="n">
        <v>1.5</v>
      </c>
      <c r="F9" s="52" t="n">
        <v>-2.6</v>
      </c>
      <c r="G9" s="52" t="n">
        <v>1.1</v>
      </c>
      <c r="H9" s="52" t="n">
        <v>35.4</v>
      </c>
      <c r="I9" s="52" t="n">
        <v>51.8</v>
      </c>
      <c r="J9" s="52" t="n">
        <v>37.8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-24.049</v>
      </c>
      <c r="C10" s="52">
        <f>C8+C9</f>
        <v>-41.480000000000004</v>
      </c>
      <c r="D10" s="52">
        <f>D8+D9</f>
        <v>-70.3</v>
      </c>
      <c r="E10" s="52">
        <f>E8+E9</f>
        <v>-119.29999999999998</v>
      </c>
      <c r="F10" s="52">
        <f>F8+F9</f>
        <v>-191.0</v>
      </c>
      <c r="G10" s="52">
        <f>G8+G9</f>
        <v>-262.1</v>
      </c>
      <c r="H10" s="52">
        <f>H8+H9</f>
        <v>-366.1</v>
      </c>
      <c r="I10" s="52">
        <f>I8+I9</f>
        <v>-198.40000000000003</v>
      </c>
      <c r="J10" s="52">
        <f>J8+J9</f>
        <v>-80.7</v>
      </c>
      <c r="K10" s="52">
        <f>K8+K9</f>
        <v>-10.384563217599975</v>
      </c>
      <c r="L10" s="52">
        <f>L8+L9</f>
        <v>-2.338091665761283</v>
      </c>
      <c r="M10" s="52">
        <f>M8+M9</f>
        <v>9.761634815655384</v>
      </c>
      <c r="N10" s="52">
        <f>N8+N9</f>
        <v>26.3421386709814</v>
      </c>
      <c r="O10" s="52">
        <f>O8+O9</f>
        <v>47.491931178738355</v>
      </c>
      <c r="P10" s="52">
        <f>P8+P9</f>
        <v>72.85263543562291</v>
      </c>
      <c r="Q10" s="52">
        <f>Q8+Q9</f>
        <v>101.55101483312126</v>
      </c>
      <c r="R10" s="52">
        <f>R8+R9</f>
        <v>132.193796022451</v>
      </c>
      <c r="S10" s="52">
        <f>S8+S9</f>
        <v>162.94118630674507</v>
      </c>
      <c r="T10" s="52">
        <f>T8+T9</f>
        <v>191.66251545147315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20.9</v>
      </c>
      <c r="H11" s="52" t="n">
        <v>0.9</v>
      </c>
      <c r="I11" s="52" t="n">
        <v>0.6</v>
      </c>
      <c r="J11" s="52" t="n">
        <v>0.3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1.6594779186614155</v>
      </c>
      <c r="N11" s="52">
        <f>MAX(0,N10)*Assumptions!$E$14</f>
        <v>4.478163574066838</v>
      </c>
      <c r="O11" s="52">
        <f>MAX(0,O10)*Assumptions!$E$14</f>
        <v>8.07362830038552</v>
      </c>
      <c r="P11" s="52">
        <f>MAX(0,P10)*Assumptions!$E$14</f>
        <v>12.384948024055896</v>
      </c>
      <c r="Q11" s="52">
        <f>MAX(0,Q10)*Assumptions!$E$14</f>
        <v>17.263672521630614</v>
      </c>
      <c r="R11" s="52">
        <f>MAX(0,R10)*Assumptions!$E$14</f>
        <v>22.472945323816674</v>
      </c>
      <c r="S11" s="52">
        <f>MAX(0,S10)*Assumptions!$E$14</f>
        <v>27.700001672146662</v>
      </c>
      <c r="T11" s="52">
        <f>MAX(0,T10)*Assumptions!$E$14</f>
        <v>32.58262762675044</v>
      </c>
    </row>
    <row r="12">
      <c r="A12" s="2" t="inlineStr">
        <is>
          <t>Net Income</t>
        </is>
      </c>
      <c r="B12" s="52" t="n">
        <v>-24.049</v>
      </c>
      <c r="C12" s="52" t="n">
        <v>-41.48</v>
      </c>
      <c r="D12" s="52" t="n">
        <v>-70.3</v>
      </c>
      <c r="E12" s="52" t="n">
        <v>-119.3</v>
      </c>
      <c r="F12" s="52" t="n">
        <v>-191</v>
      </c>
      <c r="G12" s="52" t="n">
        <v>-283</v>
      </c>
      <c r="H12" s="52" t="n">
        <v>-367</v>
      </c>
      <c r="I12" s="52" t="n">
        <v>-199</v>
      </c>
      <c r="J12" s="52" t="n">
        <v>-81</v>
      </c>
      <c r="K12" s="52">
        <f>K10-K11</f>
        <v>-10.384563217599975</v>
      </c>
      <c r="L12" s="52">
        <f>L10-L11</f>
        <v>-2.338091665761283</v>
      </c>
      <c r="M12" s="52">
        <f>M10-M11</f>
        <v>8.102156896993968</v>
      </c>
      <c r="N12" s="52">
        <f>N10-N11</f>
        <v>21.86397509691456</v>
      </c>
      <c r="O12" s="52">
        <f>O10-O11</f>
        <v>39.41830287835283</v>
      </c>
      <c r="P12" s="52">
        <f>P10-P11</f>
        <v>60.46768741156702</v>
      </c>
      <c r="Q12" s="52">
        <f>Q10-Q11</f>
        <v>84.28734231149065</v>
      </c>
      <c r="R12" s="52">
        <f>R10-R11</f>
        <v>109.72085069863434</v>
      </c>
      <c r="S12" s="52">
        <f>S10-S11</f>
        <v>135.2411846345984</v>
      </c>
      <c r="T12" s="52">
        <f>T10-T11</f>
        <v>159.07988782472273</v>
      </c>
    </row>
    <row r="13">
      <c r="A13" s="2" t="inlineStr">
        <is>
          <t>Earnings per Share</t>
        </is>
      </c>
      <c r="B13" s="11">
        <f>IFERROR(B12/B14,0)</f>
        <v>-2.5346753794266443</v>
      </c>
      <c r="C13" s="11">
        <f>IFERROR(C12/C14,0)</f>
        <v>-4.401995118327497</v>
      </c>
      <c r="D13" s="11">
        <f>IFERROR(D12/D14,0)</f>
        <v>-2.13677811550152</v>
      </c>
      <c r="E13" s="11">
        <f>IFERROR(E12/E14,0)</f>
        <v>-3.020253164556962</v>
      </c>
      <c r="F13" s="11">
        <f>IFERROR(F12/F14,0)</f>
        <v>-3.82</v>
      </c>
      <c r="G13" s="11">
        <f>IFERROR(G12/G14,0)</f>
        <v>-5.319548872180451</v>
      </c>
      <c r="H13" s="11">
        <f>IFERROR(H12/H14,0)</f>
        <v>-6.612612612612613</v>
      </c>
      <c r="I13" s="11">
        <f>IFERROR(I12/I14,0)</f>
        <v>-2.767732962447844</v>
      </c>
      <c r="J13" s="11">
        <f>IFERROR(J12/J14,0)</f>
        <v>-1.1424541607898449</v>
      </c>
      <c r="K13" s="11">
        <f>IFERROR(K12/K14,0)</f>
        <v>-0.1588189044013892</v>
      </c>
      <c r="L13" s="11">
        <f>IFERROR(L12/L14,0)</f>
        <v>-0.03575818731758336</v>
      </c>
      <c r="M13" s="11">
        <f>IFERROR(M12/M14,0)</f>
        <v>0.12391235478136306</v>
      </c>
      <c r="N13" s="11">
        <f>IFERROR(N12/N14,0)</f>
        <v>0.33438214954155326</v>
      </c>
      <c r="O13" s="11">
        <f>IFERROR(O12/O14,0)</f>
        <v>0.6028536343148179</v>
      </c>
      <c r="P13" s="11">
        <f>IFERROR(P12/P14,0)</f>
        <v>0.9247776401529035</v>
      </c>
      <c r="Q13" s="11">
        <f>IFERROR(Q12/Q14,0)</f>
        <v>1.2890694659288329</v>
      </c>
      <c r="R13" s="11">
        <f>IFERROR(R12/R14,0)</f>
        <v>1.678043162028422</v>
      </c>
      <c r="S13" s="11">
        <f>IFERROR(S12/S14,0)</f>
        <v>2.06834474628746</v>
      </c>
      <c r="T13" s="11">
        <f>IFERROR(T12/T14,0)</f>
        <v>2.432927891834573</v>
      </c>
    </row>
    <row r="14">
      <c r="A14" s="2" t="inlineStr">
        <is>
          <t>Shares</t>
        </is>
      </c>
      <c r="B14" s="52" t="n">
        <v>9.488</v>
      </c>
      <c r="C14" s="52" t="n">
        <v>9.423</v>
      </c>
      <c r="D14" s="52" t="n">
        <v>32.9</v>
      </c>
      <c r="E14" s="52" t="n">
        <v>39.5</v>
      </c>
      <c r="F14" s="52" t="n">
        <v>50</v>
      </c>
      <c r="G14" s="52" t="n">
        <v>53.2</v>
      </c>
      <c r="H14" s="52" t="n">
        <v>55.5</v>
      </c>
      <c r="I14" s="52" t="n">
        <v>71.90000000000001</v>
      </c>
      <c r="J14" s="52" t="n">
        <v>70.90000000000001</v>
      </c>
      <c r="K14" s="52">
        <f>Main!$C$4</f>
        <v>65.386191</v>
      </c>
      <c r="L14" s="52">
        <f>Main!$C$4</f>
        <v>65.386191</v>
      </c>
      <c r="M14" s="52">
        <f>Main!$C$4</f>
        <v>65.386191</v>
      </c>
      <c r="N14" s="52">
        <f>Main!$C$4</f>
        <v>65.386191</v>
      </c>
      <c r="O14" s="52">
        <f>Main!$C$4</f>
        <v>65.386191</v>
      </c>
      <c r="P14" s="52">
        <f>Main!$C$4</f>
        <v>65.386191</v>
      </c>
      <c r="Q14" s="52">
        <f>Main!$C$4</f>
        <v>65.386191</v>
      </c>
      <c r="R14" s="52">
        <f>Main!$C$4</f>
        <v>65.386191</v>
      </c>
      <c r="S14" s="52">
        <f>Main!$C$4</f>
        <v>65.386191</v>
      </c>
      <c r="T14" s="52">
        <f>Main!$C$4</f>
        <v>65.386191</v>
      </c>
    </row>
    <row r="15"/>
    <row r="16" customFormat="1" s="4">
      <c r="A16" s="3" t="inlineStr">
        <is>
          <t>Revenue Change</t>
        </is>
      </c>
      <c r="C16" s="15">
        <f>IFERROR(C2/B2-1,"")</f>
        <v>0.8899590975062674</v>
      </c>
      <c r="D16" s="15">
        <f>IFERROR(D2/C2-1,"")</f>
        <v>2.0019547612398774</v>
      </c>
      <c r="E16" s="15">
        <f>IFERROR(E2/D2-1,"")</f>
        <v>-0.39767441860465125</v>
      </c>
      <c r="F16" s="15">
        <f>IFERROR(F2/E2-1,"")</f>
        <v>1.0694980694980698</v>
      </c>
      <c r="G16" s="15">
        <f>IFERROR(G2/F2-1,"")</f>
        <v>1.4514925373134329</v>
      </c>
      <c r="H16" s="15">
        <f>IFERROR(H2/G2-1,"")</f>
        <v>-0.4025875190258752</v>
      </c>
      <c r="I16" s="15">
        <f>IFERROR(I2/H2-1,"")</f>
        <v>2.355414012738853</v>
      </c>
      <c r="J16" s="15">
        <f>IFERROR(J2/I2-1,"")</f>
        <v>-0.0030372057706907762</v>
      </c>
      <c r="K16" s="15">
        <f>IFERROR(K2/J2-1,"")</f>
        <v>0.2562</v>
      </c>
      <c r="L16" s="15">
        <f>IFERROR(L2/K2-1,"")</f>
        <v>0.2305111111111111</v>
      </c>
      <c r="M16" s="15">
        <f>IFERROR(M2/L2-1,"")</f>
        <v>0.20482222222222224</v>
      </c>
      <c r="N16" s="15">
        <f>IFERROR(N2/M2-1,"")</f>
        <v>0.17913333333333337</v>
      </c>
      <c r="O16" s="15">
        <f>IFERROR(O2/N2-1,"")</f>
        <v>0.1534444444444445</v>
      </c>
      <c r="P16" s="15">
        <f>IFERROR(P2/O2-1,"")</f>
        <v>0.12775555555555562</v>
      </c>
      <c r="Q16" s="15">
        <f>IFERROR(Q2/P2-1,"")</f>
        <v>0.10206666666666653</v>
      </c>
      <c r="R16" s="15">
        <f>IFERROR(R2/Q2-1,"")</f>
        <v>0.07637777777777766</v>
      </c>
      <c r="S16" s="15">
        <f>IFERROR(S2/R2-1,"")</f>
        <v>0.05068888888888878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</row>
    <row r="18">
      <c r="A18" s="14" t="inlineStr">
        <is>
          <t>Operating Margin</t>
        </is>
      </c>
      <c r="B18" s="15">
        <f>IFERROR(B8/B2,"")</f>
        <v>-3.266921757487795</v>
      </c>
      <c r="C18" s="15">
        <f>IFERROR(C8/C2,"")</f>
        <v>-3.0579447081820725</v>
      </c>
      <c r="D18" s="15">
        <f>IFERROR(D8/D2,"")</f>
        <v>-1.197674418604651</v>
      </c>
      <c r="E18" s="15">
        <f>IFERROR(E8/E2,"")</f>
        <v>-4.664092664092664</v>
      </c>
      <c r="F18" s="15">
        <f>IFERROR(F8/F2,"")</f>
        <v>-3.514925373134328</v>
      </c>
      <c r="G18" s="15">
        <f>IFERROR(G8/G2,"")</f>
        <v>-2.0030441400304415</v>
      </c>
      <c r="H18" s="15">
        <f>IFERROR(H8/H2,"")</f>
        <v>-5.114649681528663</v>
      </c>
      <c r="I18" s="15">
        <f>IFERROR(I8/I2,"")</f>
        <v>-0.9498861047835994</v>
      </c>
      <c r="J18" s="15">
        <f>IFERROR(J8/J2,"")</f>
        <v>-0.45125666412795123</v>
      </c>
      <c r="K18" s="15">
        <f>IFERROR(K8/K2,"")</f>
        <v>-0.031479999999999925</v>
      </c>
      <c r="L18" s="15">
        <f>IFERROR(L8/L2,"")</f>
        <v>-0.0057600000000000064</v>
      </c>
      <c r="M18" s="15">
        <f>IFERROR(M8/M2,"")</f>
        <v>0.019959999999999936</v>
      </c>
      <c r="N18" s="15">
        <f>IFERROR(N8/N2,"")</f>
        <v>0.045679999999999964</v>
      </c>
      <c r="O18" s="15">
        <f>IFERROR(O8/O2,"")</f>
        <v>0.0714</v>
      </c>
      <c r="P18" s="15">
        <f>IFERROR(P8/P2,"")</f>
        <v>0.0971199999999999</v>
      </c>
      <c r="Q18" s="15">
        <f>IFERROR(Q8/Q2,"")</f>
        <v>0.12283999999999999</v>
      </c>
      <c r="R18" s="15">
        <f>IFERROR(R8/R2,"")</f>
        <v>0.14856000000000003</v>
      </c>
      <c r="S18" s="15">
        <f>IFERROR(S8/S2,"")</f>
        <v>0.17427999999999996</v>
      </c>
      <c r="T18" s="15">
        <f>IFERROR(T8/T2,"")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Arvinas,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0.2062</v>
      </c>
      <c r="C12" s="53" t="n">
        <v>0.2562</v>
      </c>
      <c r="D12" s="53" t="n">
        <v>0.3062</v>
      </c>
      <c r="E12" s="54">
        <f>CHOOSE($B$4,B12,C12,D12)</f>
        <v>0.2562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-0.0572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0.7484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262.6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677.6416123182535</v>
      </c>
      <c r="C29" s="56">
        <f>NPV!B26</f>
        <v>1245.0416123182536</v>
      </c>
      <c r="D29" s="35">
        <f>NPV!B28</f>
        <v>19.041354042449935</v>
      </c>
      <c r="E29" s="57">
        <f>NPV!B30</f>
        <v>1.4858164546279289</v>
      </c>
    </row>
    <row r="30">
      <c r="A30" s="58" t="n">
        <v>1</v>
      </c>
      <c r="B30" s="59">
        <f t="dataTable" ref="B30:E32" r1="B4"/>
        <v>304.7966752749277</v>
      </c>
      <c r="C30" s="59">
        <v>872.1966752749277</v>
      </c>
      <c r="D30" s="39">
        <v>13.339157120727949</v>
      </c>
      <c r="E30" s="60">
        <v>0.7414043238548236</v>
      </c>
    </row>
    <row r="31">
      <c r="A31" s="58" t="n">
        <v>2</v>
      </c>
      <c r="B31" s="59">
        <v>677.6416123182535</v>
      </c>
      <c r="C31" s="59">
        <v>1245.0416123182536</v>
      </c>
      <c r="D31" s="39">
        <v>19.041354042449935</v>
      </c>
      <c r="E31" s="60">
        <v>1.4858164546279289</v>
      </c>
    </row>
    <row r="32">
      <c r="A32" s="58" t="n">
        <v>3</v>
      </c>
      <c r="B32" s="59">
        <v>1358.8101903581419</v>
      </c>
      <c r="C32" s="59">
        <v>1926.210190358142</v>
      </c>
      <c r="D32" s="39">
        <v>29.45897537230976</v>
      </c>
      <c r="E32" s="60">
        <v>2.8458192392049293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19.041354042449935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21.503868334690484</v>
      </c>
      <c r="C37" s="39">
        <v>22.325982421955306</v>
      </c>
      <c r="D37" s="39">
        <v>23.25216561629807</v>
      </c>
      <c r="E37" s="39">
        <v>24.303249036968218</v>
      </c>
      <c r="F37" s="39">
        <v>25.506015781337396</v>
      </c>
    </row>
    <row r="38">
      <c r="A38" s="62" t="n">
        <v>0.115</v>
      </c>
      <c r="B38" s="39">
        <v>19.560616465615368</v>
      </c>
      <c r="C38" s="39">
        <v>20.189863571544528</v>
      </c>
      <c r="D38" s="39">
        <v>20.890117306035474</v>
      </c>
      <c r="E38" s="39">
        <v>21.67392247382968</v>
      </c>
      <c r="F38" s="39">
        <v>22.556960268315873</v>
      </c>
    </row>
    <row r="39">
      <c r="A39" s="62" t="n">
        <v>0.125</v>
      </c>
      <c r="B39" s="39">
        <v>18.007223302416296</v>
      </c>
      <c r="C39" s="39">
        <v>18.49922656913808</v>
      </c>
      <c r="D39" s="39">
        <v>19.041354042449935</v>
      </c>
      <c r="E39" s="39">
        <v>19.641531944736933</v>
      </c>
      <c r="F39" s="39">
        <v>20.30944803664996</v>
      </c>
    </row>
    <row r="40">
      <c r="A40" s="62" t="n">
        <v>0.135</v>
      </c>
      <c r="B40" s="39">
        <v>16.74359544381233</v>
      </c>
      <c r="C40" s="39">
        <v>17.1350865192138</v>
      </c>
      <c r="D40" s="39">
        <v>17.56295972254739</v>
      </c>
      <c r="E40" s="39">
        <v>18.032422536669756</v>
      </c>
      <c r="F40" s="39">
        <v>18.549724071745782</v>
      </c>
    </row>
    <row r="41">
      <c r="A41" s="62" t="n">
        <v>0.145</v>
      </c>
      <c r="B41" s="39">
        <v>15.7006617813764</v>
      </c>
      <c r="C41" s="39">
        <v>16.016769918833514</v>
      </c>
      <c r="D41" s="39">
        <v>16.35990611237536</v>
      </c>
      <c r="E41" s="39">
        <v>16.733604331012664</v>
      </c>
      <c r="F41" s="39">
        <v>17.142041194689163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Arvinas, Inc.: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0.2562</v>
      </c>
      <c r="D5" s="63">
        <f>Assumptions!$E$12+(Assumptions!$E$11-Assumptions!$E$12)*(D4-1)/(Assumptions!$B$21-1)</f>
        <v>0.2305111111111111</v>
      </c>
      <c r="E5" s="63">
        <f>Assumptions!$E$12+(Assumptions!$E$11-Assumptions!$E$12)*(E4-1)/(Assumptions!$B$21-1)</f>
        <v>0.2048222222222222</v>
      </c>
      <c r="F5" s="63">
        <f>Assumptions!$E$12+(Assumptions!$E$11-Assumptions!$E$12)*(F4-1)/(Assumptions!$B$21-1)</f>
        <v>0.1791333333333333</v>
      </c>
      <c r="G5" s="63">
        <f>Assumptions!$E$12+(Assumptions!$E$11-Assumptions!$E$12)*(G4-1)/(Assumptions!$B$21-1)</f>
        <v>0.15344444444444444</v>
      </c>
      <c r="H5" s="63">
        <f>Assumptions!$E$12+(Assumptions!$E$11-Assumptions!$E$12)*(H4-1)/(Assumptions!$B$21-1)</f>
        <v>0.12775555555555554</v>
      </c>
      <c r="I5" s="63">
        <f>Assumptions!$E$12+(Assumptions!$E$11-Assumptions!$E$12)*(I4-1)/(Assumptions!$B$21-1)</f>
        <v>0.10206666666666664</v>
      </c>
      <c r="J5" s="63">
        <f>Assumptions!$E$12+(Assumptions!$E$11-Assumptions!$E$12)*(J4-1)/(Assumptions!$B$21-1)</f>
        <v>0.07637777777777777</v>
      </c>
      <c r="K5" s="63">
        <f>Assumptions!$E$12+(Assumptions!$E$11-Assumptions!$E$12)*(K4-1)/(Assumptions!$B$21-1)</f>
        <v>0.050688888888888894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-0.45125666412795123</v>
      </c>
      <c r="C6" s="63">
        <f>Assumptions!$B$18+(Assumptions!$E$13-Assumptions!$B$18)*C4/Assumptions!$B$21</f>
        <v>-0.03148</v>
      </c>
      <c r="D6" s="63">
        <f>Assumptions!$B$18+(Assumptions!$E$13-Assumptions!$B$18)*D4/Assumptions!$B$21</f>
        <v>-0.005760000000000001</v>
      </c>
      <c r="E6" s="63">
        <f>Assumptions!$B$18+(Assumptions!$E$13-Assumptions!$B$18)*E4/Assumptions!$B$21</f>
        <v>0.01995999999999999</v>
      </c>
      <c r="F6" s="63">
        <f>Assumptions!$B$18+(Assumptions!$E$13-Assumptions!$B$18)*F4/Assumptions!$B$21</f>
        <v>0.04568</v>
      </c>
      <c r="G6" s="63">
        <f>Assumptions!$B$18+(Assumptions!$E$13-Assumptions!$B$18)*G4/Assumptions!$B$21</f>
        <v>0.07139999999999999</v>
      </c>
      <c r="H6" s="63">
        <f>Assumptions!$B$18+(Assumptions!$E$13-Assumptions!$B$18)*H4/Assumptions!$B$21</f>
        <v>0.09711999999999998</v>
      </c>
      <c r="I6" s="63">
        <f>Assumptions!$B$18+(Assumptions!$E$13-Assumptions!$B$18)*I4/Assumptions!$B$21</f>
        <v>0.12283999999999998</v>
      </c>
      <c r="J6" s="63">
        <f>Assumptions!$B$18+(Assumptions!$E$13-Assumptions!$B$18)*J4/Assumptions!$B$21</f>
        <v>0.14856</v>
      </c>
      <c r="K6" s="63">
        <f>Assumptions!$B$18+(Assumptions!$E$13-Assumptions!$B$18)*K4/Assumptions!$B$21</f>
        <v>0.17428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Model'!J2</f>
        <v>262.6</v>
      </c>
      <c r="C7" s="55">
        <f>'Yearly Model'!K2</f>
        <v>329.87812</v>
      </c>
      <c r="D7" s="55">
        <f>'Yearly Model'!L2</f>
        <v>405.9186919724445</v>
      </c>
      <c r="E7" s="55">
        <f>'Yearly Model'!M2</f>
        <v>489.0598605037783</v>
      </c>
      <c r="F7" s="55">
        <f>'Yearly Model'!N2</f>
        <v>576.6667835153551</v>
      </c>
      <c r="G7" s="55">
        <f>'Yearly Model'!O2</f>
        <v>665.1530977414335</v>
      </c>
      <c r="H7" s="55">
        <f>'Yearly Model'!P2</f>
        <v>750.1301012728891</v>
      </c>
      <c r="I7" s="55">
        <f>'Yearly Model'!Q2</f>
        <v>826.6933802761419</v>
      </c>
      <c r="J7" s="55">
        <f>'Yearly Model'!R2</f>
        <v>889.8343835652329</v>
      </c>
      <c r="K7" s="55">
        <f>'Yearly Model'!S2</f>
        <v>934.9390997632838</v>
      </c>
      <c r="L7" s="55">
        <f>'Yearly Model'!T2</f>
        <v>958.3125772573659</v>
      </c>
    </row>
    <row r="8">
      <c r="A8" s="14" t="inlineStr">
        <is>
          <t>Operating income</t>
        </is>
      </c>
      <c r="B8" s="55">
        <f>'Yearly Model'!J8</f>
        <v>-118.5</v>
      </c>
      <c r="C8" s="55">
        <f>'Yearly Model'!K8</f>
        <v>-10.384563217599975</v>
      </c>
      <c r="D8" s="55">
        <f>'Yearly Model'!L8</f>
        <v>-2.338091665761283</v>
      </c>
      <c r="E8" s="55">
        <f>'Yearly Model'!M8</f>
        <v>9.761634815655384</v>
      </c>
      <c r="F8" s="55">
        <f>'Yearly Model'!N8</f>
        <v>26.3421386709814</v>
      </c>
      <c r="G8" s="55">
        <f>'Yearly Model'!O8</f>
        <v>47.491931178738355</v>
      </c>
      <c r="H8" s="55">
        <f>'Yearly Model'!P8</f>
        <v>72.85263543562291</v>
      </c>
      <c r="I8" s="55">
        <f>'Yearly Model'!Q8</f>
        <v>101.55101483312126</v>
      </c>
      <c r="J8" s="55">
        <f>'Yearly Model'!R8</f>
        <v>132.193796022451</v>
      </c>
      <c r="K8" s="55">
        <f>'Yearly Model'!S8</f>
        <v>162.94118630674507</v>
      </c>
      <c r="L8" s="55">
        <f>'Yearly Model'!T8</f>
        <v>191.66251545147315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1.6594779186614155</v>
      </c>
      <c r="F9" s="52">
        <f>MAX(0,F8)*Assumptions!$E$14</f>
        <v>4.478163574066838</v>
      </c>
      <c r="G9" s="52">
        <f>MAX(0,G8)*Assumptions!$E$14</f>
        <v>8.07362830038552</v>
      </c>
      <c r="H9" s="52">
        <f>MAX(0,H8)*Assumptions!$E$14</f>
        <v>12.384948024055896</v>
      </c>
      <c r="I9" s="52">
        <f>MAX(0,I8)*Assumptions!$E$14</f>
        <v>17.263672521630614</v>
      </c>
      <c r="J9" s="52">
        <f>MAX(0,J8)*Assumptions!$E$14</f>
        <v>22.472945323816674</v>
      </c>
      <c r="K9" s="52">
        <f>MAX(0,K8)*Assumptions!$E$14</f>
        <v>27.700001672146662</v>
      </c>
      <c r="L9" s="52">
        <f>MAX(0,L8)*Assumptions!$E$14</f>
        <v>32.58262762675044</v>
      </c>
    </row>
    <row r="10">
      <c r="A10" s="14" t="inlineStr">
        <is>
          <t>NOPAT</t>
        </is>
      </c>
      <c r="C10" s="52">
        <f>C8-C9</f>
        <v>-10.384563217599975</v>
      </c>
      <c r="D10" s="52">
        <f>D8-D9</f>
        <v>-2.338091665761283</v>
      </c>
      <c r="E10" s="52">
        <f>E8-E9</f>
        <v>8.102156896993968</v>
      </c>
      <c r="F10" s="52">
        <f>F8-F9</f>
        <v>21.86397509691456</v>
      </c>
      <c r="G10" s="52">
        <f>G8-G9</f>
        <v>39.41830287835283</v>
      </c>
      <c r="H10" s="52">
        <f>H8-H9</f>
        <v>60.46768741156702</v>
      </c>
      <c r="I10" s="52">
        <f>I8-I9</f>
        <v>84.28734231149065</v>
      </c>
      <c r="J10" s="52">
        <f>J8-J9</f>
        <v>109.72085069863434</v>
      </c>
      <c r="K10" s="52">
        <f>K8-K9</f>
        <v>135.2411846345984</v>
      </c>
      <c r="L10" s="52">
        <f>L8-L9</f>
        <v>159.07988782472273</v>
      </c>
    </row>
    <row r="11">
      <c r="A11" s="14" t="inlineStr">
        <is>
          <t>Reinvestment</t>
        </is>
      </c>
      <c r="C11" s="52">
        <f>(C7-B7)*Assumptions!$E$15</f>
        <v>16.81953</v>
      </c>
      <c r="D11" s="52">
        <f>(D7-C7)*Assumptions!$E$15</f>
        <v>19.010142993111117</v>
      </c>
      <c r="E11" s="52">
        <f>(E7-D7)*Assumptions!$E$15</f>
        <v>20.785292132833447</v>
      </c>
      <c r="F11" s="52">
        <f>(F7-E7)*Assumptions!$E$15</f>
        <v>21.901730752894196</v>
      </c>
      <c r="G11" s="52">
        <f>(G7-F7)*Assumptions!$E$15</f>
        <v>22.12157855651961</v>
      </c>
      <c r="H11" s="52">
        <f>(H7-G7)*Assumptions!$E$15</f>
        <v>21.244250882863895</v>
      </c>
      <c r="I11" s="52">
        <f>(I7-H7)*Assumptions!$E$15</f>
        <v>19.140819750813193</v>
      </c>
      <c r="J11" s="52">
        <f>(J7-I7)*Assumptions!$E$15</f>
        <v>15.785250822272758</v>
      </c>
      <c r="K11" s="52">
        <f>(K7-J7)*Assumptions!$E$15</f>
        <v>11.276179049512734</v>
      </c>
      <c r="L11" s="52">
        <f>(L7-K7)*Assumptions!$E$15</f>
        <v>5.843369373520517</v>
      </c>
    </row>
    <row r="12">
      <c r="A12" s="20" t="inlineStr">
        <is>
          <t>Free cash flow</t>
        </is>
      </c>
      <c r="C12" s="64">
        <f>C10-C11</f>
        <v>-27.204093217599976</v>
      </c>
      <c r="D12" s="64">
        <f>D10-D11</f>
        <v>-21.3482346588724</v>
      </c>
      <c r="E12" s="64">
        <f>E10-E11</f>
        <v>-12.68313523583948</v>
      </c>
      <c r="F12" s="64">
        <f>F10-F11</f>
        <v>-0.03775565597963393</v>
      </c>
      <c r="G12" s="64">
        <f>G10-G11</f>
        <v>17.296724321833224</v>
      </c>
      <c r="H12" s="64">
        <f>H10-H11</f>
        <v>39.223436528703125</v>
      </c>
      <c r="I12" s="64">
        <f>I10-I11</f>
        <v>65.14652256067745</v>
      </c>
      <c r="J12" s="64">
        <f>J10-J11</f>
        <v>93.93559987636158</v>
      </c>
      <c r="K12" s="64">
        <f>K10-K11</f>
        <v>123.96500558508566</v>
      </c>
      <c r="L12" s="64">
        <f>L10-L11</f>
        <v>153.23651845120222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-13.312449045450302</v>
      </c>
      <c r="D16" s="64">
        <f>D12*D13*D15</f>
        <v>-18.96704698860274</v>
      </c>
      <c r="E16" s="64">
        <f>E12*E13*E15</f>
        <v>-10.016404461017306</v>
      </c>
      <c r="F16" s="64">
        <f>F12*F13*F15</f>
        <v>-0.02650420167856051</v>
      </c>
      <c r="G16" s="64">
        <f>G12*G13*G15</f>
        <v>10.79304650823693</v>
      </c>
      <c r="H16" s="64">
        <f>H12*H13*H15</f>
        <v>21.755712137049624</v>
      </c>
      <c r="I16" s="64">
        <f>I12*I13*I15</f>
        <v>32.119322686016886</v>
      </c>
      <c r="J16" s="64">
        <f>J12*J13*J15</f>
        <v>41.167342313434126</v>
      </c>
      <c r="K16" s="64">
        <f>K12*K13*K15</f>
        <v>48.291333651518144</v>
      </c>
      <c r="L16" s="64">
        <f>L12*L13*L15</f>
        <v>53.06153981976361</v>
      </c>
    </row>
    <row r="19">
      <c r="A19" s="14" t="inlineStr">
        <is>
          <t>PV of forecast free cash flow</t>
        </is>
      </c>
      <c r="B19" s="52">
        <f>SUM(C16:L16)</f>
        <v>164.8658924192704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157.06743141248225</v>
      </c>
    </row>
    <row r="21">
      <c r="A21" s="14" t="inlineStr">
        <is>
          <t>Terminal value</t>
        </is>
      </c>
      <c r="B21" s="52">
        <f>B20/(Assumptions!$E$10-Assumptions!$E$11)</f>
        <v>1570.6743141248223</v>
      </c>
    </row>
    <row r="22">
      <c r="A22" s="14" t="inlineStr">
        <is>
          <t>PV of terminal value</t>
        </is>
      </c>
      <c r="B22" s="52">
        <f>B21/(1+Assumptions!$E$10)^(L14+0.5)</f>
        <v>512.7757198989831</v>
      </c>
    </row>
    <row r="23">
      <c r="A23" s="20" t="inlineStr">
        <is>
          <t>Enterprise value</t>
        </is>
      </c>
      <c r="B23" s="66">
        <f>B19+B22</f>
        <v>677.6416123182535</v>
      </c>
    </row>
    <row r="24">
      <c r="A24" s="14" t="inlineStr">
        <is>
          <t>Cash &amp; investments</t>
        </is>
      </c>
      <c r="B24" s="55">
        <f>Main!C7</f>
        <v>567.9</v>
      </c>
    </row>
    <row r="25">
      <c r="A25" s="14" t="inlineStr">
        <is>
          <t>Debt</t>
        </is>
      </c>
      <c r="B25" s="55">
        <f>Main!C8</f>
        <v>0.5</v>
      </c>
    </row>
    <row r="26">
      <c r="A26" s="20" t="inlineStr">
        <is>
          <t>Equity value</t>
        </is>
      </c>
      <c r="B26" s="66">
        <f>B23+B24-B25</f>
        <v>1245.0416123182536</v>
      </c>
    </row>
    <row r="27">
      <c r="A27" s="14" t="inlineStr">
        <is>
          <t>Shares (mm)</t>
        </is>
      </c>
      <c r="B27" s="55">
        <f>Main!C4</f>
        <v>65.386191</v>
      </c>
    </row>
    <row r="28">
      <c r="A28" s="20" t="inlineStr">
        <is>
          <t>NPV / share</t>
        </is>
      </c>
      <c r="B28" s="49">
        <f>B26/B27</f>
        <v>19.041354042449935</v>
      </c>
    </row>
    <row r="29">
      <c r="A29" s="14" t="inlineStr">
        <is>
          <t>Price</t>
        </is>
      </c>
      <c r="B29" s="50">
        <f>Main!C3</f>
        <v>7.66</v>
      </c>
    </row>
    <row r="30">
      <c r="A30" s="14" t="inlineStr">
        <is>
          <t>Upside</t>
        </is>
      </c>
      <c r="B30" s="63">
        <f>B28/B29-1</f>
        <v>1.4858164546279289</v>
      </c>
    </row>
    <row r="31">
      <c r="A31" s="14" t="inlineStr">
        <is>
          <t>Terminal value, % of EV</t>
        </is>
      </c>
      <c r="B31" s="63">
        <f>IFERROR(B22/B23,0)</f>
        <v>0.7567063630356848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2026-10-21T01:05:10Z</dcterms:modified>
  <cp:lastModifiedBy>Wang, Eric</cp:lastModifiedBy>
</cp:coreProperties>
</file>