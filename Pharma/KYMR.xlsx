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Kymera Therapeutics, Inc.</t>
        </is>
      </c>
      <c r="C2" s="10" t="n"/>
    </row>
    <row r="3">
      <c r="B3" t="inlineStr">
        <is>
          <t>Price</t>
        </is>
      </c>
      <c r="C3" s="11">
        <f>INDEX([1]Pharma!$F$1:$F$1000,MATCH("KYMR",[1]Pharma!$B$1:$B$1000,0))</f>
        <v>113.46</v>
      </c>
      <c r="F3" s="1" t="n"/>
    </row>
    <row r="4">
      <c r="B4" t="inlineStr">
        <is>
          <t>Shares</t>
        </is>
      </c>
      <c r="C4" s="51" t="n">
        <v>83.15061799999999</v>
      </c>
      <c r="F4" s="1" t="n"/>
    </row>
    <row r="5">
      <c r="B5" t="inlineStr">
        <is>
          <t>Market Cap.</t>
        </is>
      </c>
      <c r="C5" s="13">
        <f>C3*C4</f>
        <v>9434.269118279999</v>
      </c>
      <c r="F5" s="1" t="n"/>
    </row>
    <row r="6"/>
    <row r="7">
      <c r="B7" t="inlineStr">
        <is>
          <t>Cash</t>
        </is>
      </c>
      <c r="C7" s="51">
        <f>124.477+566.508</f>
        <v>690.985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8743.284118279998</v>
      </c>
    </row>
    <row r="10"/>
    <row r="11">
      <c r="B11" s="14" t="inlineStr">
        <is>
          <t>NPV / Share</t>
        </is>
      </c>
      <c r="C11" s="11">
        <f>NPV!B28</f>
        <v>6.7639931170779</v>
      </c>
    </row>
    <row r="12">
      <c r="B12" s="14" t="inlineStr">
        <is>
          <t>Upside</t>
        </is>
      </c>
      <c r="C12" s="15">
        <f>IFERROR(C11/C3-1,"")</f>
        <v>-0.9403843370608329</v>
      </c>
    </row>
    <row r="13">
      <c r="B13" s="14" t="inlineStr">
        <is>
          <t>Cash / Share</t>
        </is>
      </c>
      <c r="C13" s="11">
        <f>IFERROR((C7-C8)/C4,"")</f>
        <v>8.310040461755799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2019</v>
      </c>
      <c r="C1" s="16" t="n">
        <v>2020</v>
      </c>
      <c r="D1" s="16" t="n">
        <v>2021</v>
      </c>
      <c r="E1" s="16" t="n">
        <v>2022</v>
      </c>
      <c r="F1" s="16" t="n">
        <v>2023</v>
      </c>
      <c r="G1" s="16" t="n">
        <v>2024</v>
      </c>
      <c r="H1" s="16" t="n">
        <v>2025</v>
      </c>
      <c r="I1" s="16" t="n">
        <v>2026</v>
      </c>
      <c r="J1" s="16" t="n">
        <v>2027</v>
      </c>
      <c r="K1" s="16" t="n">
        <v>2028</v>
      </c>
      <c r="L1" s="16" t="n">
        <v>2029</v>
      </c>
      <c r="M1" s="16" t="n">
        <v>2030</v>
      </c>
      <c r="N1" s="16" t="n">
        <v>2031</v>
      </c>
      <c r="O1" s="16" t="n">
        <v>2032</v>
      </c>
      <c r="P1" s="16" t="n">
        <v>2033</v>
      </c>
      <c r="Q1" s="16" t="n">
        <v>2034</v>
      </c>
      <c r="R1" s="16" t="n">
        <v>2035</v>
      </c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2.934</v>
      </c>
      <c r="C2" s="52" t="n">
        <v>34.034</v>
      </c>
      <c r="D2" s="52" t="n">
        <v>72.83199999999999</v>
      </c>
      <c r="E2" s="52" t="n">
        <v>46.826</v>
      </c>
      <c r="F2" s="52" t="n">
        <v>78.592</v>
      </c>
      <c r="G2" s="52" t="n">
        <v>47.072</v>
      </c>
      <c r="H2" s="52" t="n">
        <v>39.211</v>
      </c>
      <c r="I2" s="52">
        <f>H2*(1+NPV!C5)</f>
        <v>35.2899</v>
      </c>
      <c r="J2" s="52">
        <f>I2*(1+NPV!D5)</f>
        <v>32.2510475</v>
      </c>
      <c r="K2" s="52">
        <f>J2*(1+NPV!E5)</f>
        <v>29.921805180555555</v>
      </c>
      <c r="L2" s="52">
        <f>K2*(1+NPV!F5)</f>
        <v>28.176366545023146</v>
      </c>
      <c r="M2" s="52">
        <f>L2*(1+NPV!G5)</f>
        <v>26.924083587466562</v>
      </c>
      <c r="N2" s="52">
        <f>M2*(1+NPV!H5)</f>
        <v>26.101403255627307</v>
      </c>
      <c r="O2" s="52">
        <f>N2*(1+NPV!I5)</f>
        <v>25.666379868033516</v>
      </c>
      <c r="P2" s="52">
        <f>O2*(1+NPV!J5)</f>
        <v>25.59508436840009</v>
      </c>
      <c r="Q2" s="52">
        <f>P2*(1+NPV!K5)</f>
        <v>25.879474194715648</v>
      </c>
      <c r="R2" s="52">
        <f>Q2*(1+NPV!L5)</f>
        <v>26.52646104958354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46.826</v>
      </c>
      <c r="F3" s="52" t="n">
        <v>78.592</v>
      </c>
      <c r="G3" s="52" t="n">
        <v>47.072</v>
      </c>
      <c r="H3" s="52" t="n">
        <v>39.211</v>
      </c>
      <c r="I3" s="52">
        <f>I2*(1-Assumptions!$B$19)</f>
        <v>35.2899</v>
      </c>
      <c r="J3" s="52">
        <f>J2*(1-Assumptions!$B$19)</f>
        <v>32.2510475</v>
      </c>
      <c r="K3" s="52">
        <f>K2*(1-Assumptions!$B$19)</f>
        <v>29.921805180555555</v>
      </c>
      <c r="L3" s="52">
        <f>L2*(1-Assumptions!$B$19)</f>
        <v>28.176366545023146</v>
      </c>
      <c r="M3" s="52">
        <f>M2*(1-Assumptions!$B$19)</f>
        <v>26.924083587466562</v>
      </c>
      <c r="N3" s="52">
        <f>N2*(1-Assumptions!$B$19)</f>
        <v>26.101403255627307</v>
      </c>
      <c r="O3" s="52">
        <f>O2*(1-Assumptions!$B$19)</f>
        <v>25.666379868033516</v>
      </c>
      <c r="P3" s="52">
        <f>P2*(1-Assumptions!$B$19)</f>
        <v>25.59508436840009</v>
      </c>
      <c r="Q3" s="52">
        <f>Q2*(1-Assumptions!$B$19)</f>
        <v>25.879474194715648</v>
      </c>
      <c r="R3" s="52">
        <f>R2*(1-Assumptions!$B$19)</f>
        <v>26.52646104958354</v>
      </c>
    </row>
    <row r="4" customFormat="1" s="1">
      <c r="A4" s="5" t="inlineStr">
        <is>
          <t>Gross Margin</t>
        </is>
      </c>
      <c r="B4" s="52">
        <f>B2-B3</f>
        <v>2.934</v>
      </c>
      <c r="C4" s="52">
        <f>C2-C3</f>
        <v>34.034</v>
      </c>
      <c r="D4" s="52">
        <f>D2-D3</f>
        <v>72.832</v>
      </c>
      <c r="E4" s="52">
        <f>E2-E3</f>
        <v>0.0</v>
      </c>
      <c r="F4" s="52">
        <f>F2-F3</f>
        <v>0.0</v>
      </c>
      <c r="G4" s="52">
        <f>G2-G3</f>
        <v>0.0</v>
      </c>
      <c r="H4" s="52">
        <f>H2-H3</f>
        <v>0.0</v>
      </c>
      <c r="I4" s="52">
        <f>I2-I3</f>
        <v>0.0</v>
      </c>
      <c r="J4" s="52">
        <f>J2-J3</f>
        <v>0.0</v>
      </c>
      <c r="K4" s="52">
        <f>K2-K3</f>
        <v>0.0</v>
      </c>
      <c r="L4" s="52">
        <f>L2-L3</f>
        <v>0.0</v>
      </c>
      <c r="M4" s="52">
        <f>M2-M3</f>
        <v>0.0</v>
      </c>
      <c r="N4" s="52">
        <f>N2-N3</f>
        <v>0.0</v>
      </c>
      <c r="O4" s="52">
        <f>O2-O3</f>
        <v>0.0</v>
      </c>
      <c r="P4" s="52">
        <f>P2-P3</f>
        <v>0.0</v>
      </c>
      <c r="Q4" s="52">
        <f>Q2-Q3</f>
        <v>0.0</v>
      </c>
      <c r="R4" s="52">
        <f>R2-R3</f>
        <v>0.0</v>
      </c>
    </row>
    <row r="5">
      <c r="A5" s="2" t="inlineStr">
        <is>
          <t>Research &amp; Dev.</t>
        </is>
      </c>
      <c r="B5" s="52" t="n">
        <v>37.158</v>
      </c>
      <c r="C5" s="52" t="n">
        <v>62.105</v>
      </c>
      <c r="D5" s="52" t="n">
        <v>137.017</v>
      </c>
      <c r="E5" s="52" t="n">
        <v>164.248</v>
      </c>
      <c r="F5" s="52" t="n">
        <v>189.081</v>
      </c>
      <c r="G5" s="52" t="n">
        <v>240.248</v>
      </c>
      <c r="H5" s="52" t="n">
        <v>316.568</v>
      </c>
      <c r="I5" s="52">
        <f>I7*Assumptions!$B$20</f>
        <v>43.00321344300001</v>
      </c>
      <c r="J5" s="52">
        <f>J7*Assumptions!$B$20</f>
        <v>34.77114435165</v>
      </c>
      <c r="K5" s="52">
        <f>K7*Assumptions!$B$20</f>
        <v>28.057975935858746</v>
      </c>
      <c r="L5" s="52">
        <f>L7*Assumptions!$B$20</f>
        <v>22.464453519016054</v>
      </c>
      <c r="M5" s="52">
        <f>M7*Assumptions!$B$20</f>
        <v>17.685084304427413</v>
      </c>
      <c r="N5" s="52">
        <f>N7*Assumptions!$B$20</f>
        <v>13.479286669271053</v>
      </c>
      <c r="O5" s="52">
        <f>O7*Assumptions!$B$20</f>
        <v>9.650302166581923</v>
      </c>
      <c r="P5" s="52">
        <f>P7*Assumptions!$B$20</f>
        <v>6.029178073820326</v>
      </c>
      <c r="Q5" s="52">
        <f>Q7*Assumptions!$B$20</f>
        <v>2.461914380143299</v>
      </c>
      <c r="R5" s="52">
        <f>R7*Assumptions!$B$20</f>
        <v>-1.2016486855461352</v>
      </c>
    </row>
    <row r="6">
      <c r="A6" s="18" t="inlineStr">
        <is>
          <t>SG&amp;A &amp; Other</t>
        </is>
      </c>
      <c r="B6" s="52" t="n">
        <v>7.981</v>
      </c>
      <c r="C6" s="52" t="n">
        <v>18.233</v>
      </c>
      <c r="D6" s="52" t="n">
        <v>36.345</v>
      </c>
      <c r="E6" s="52" t="n">
        <v>-2.992</v>
      </c>
      <c r="F6" s="52" t="n">
        <v>-23.551</v>
      </c>
      <c r="G6" s="52" t="n">
        <v>21.387</v>
      </c>
      <c r="H6" s="52" t="n">
        <v>32.831</v>
      </c>
      <c r="I6" s="52">
        <f>I7-I5</f>
        <v>4.461702056999997</v>
      </c>
      <c r="J6" s="52">
        <f>J7-J5</f>
        <v>3.6076021733499957</v>
      </c>
      <c r="K6" s="52">
        <f>K7-K5</f>
        <v>2.91109242601625</v>
      </c>
      <c r="L6" s="52">
        <f>L7-L5</f>
        <v>2.3307490406043136</v>
      </c>
      <c r="M6" s="52">
        <f>M7-M5</f>
        <v>1.8348762964858452</v>
      </c>
      <c r="N6" s="52">
        <f>N7-N5</f>
        <v>1.3985131864365101</v>
      </c>
      <c r="O6" s="52">
        <f>O7-O5</f>
        <v>1.0012454786519864</v>
      </c>
      <c r="P6" s="52">
        <f>P7-P5</f>
        <v>0.6255438619636982</v>
      </c>
      <c r="Q6" s="52">
        <f>Q7-Q5</f>
        <v>0.2554304103018432</v>
      </c>
      <c r="R6" s="52">
        <f>R7-R5</f>
        <v>-0.12467436693304279</v>
      </c>
    </row>
    <row r="7">
      <c r="A7" s="2" t="inlineStr">
        <is>
          <t>Operating Expense</t>
        </is>
      </c>
      <c r="B7" s="52">
        <f>SUM(B5:B6)</f>
        <v>45.139</v>
      </c>
      <c r="C7" s="52">
        <f>SUM(C5:C6)</f>
        <v>80.338</v>
      </c>
      <c r="D7" s="52">
        <f>SUM(D5:D6)</f>
        <v>173.362</v>
      </c>
      <c r="E7" s="52">
        <f>SUM(E5:E6)</f>
        <v>161.256</v>
      </c>
      <c r="F7" s="52">
        <f>SUM(F5:F6)</f>
        <v>165.53</v>
      </c>
      <c r="G7" s="52">
        <f>SUM(G5:G6)</f>
        <v>261.635</v>
      </c>
      <c r="H7" s="52">
        <f>SUM(H5:H6)</f>
        <v>349.399</v>
      </c>
      <c r="I7" s="52">
        <f>I4-I2*NPV!C6</f>
        <v>47.464915500000004</v>
      </c>
      <c r="J7" s="52">
        <f>J4-J2*NPV!D6</f>
        <v>38.378746525</v>
      </c>
      <c r="K7" s="52">
        <f>K4-K2*NPV!E6</f>
        <v>30.969068361874996</v>
      </c>
      <c r="L7" s="52">
        <f>L4-L2*NPV!F6</f>
        <v>24.795202559620368</v>
      </c>
      <c r="M7" s="52">
        <f>M4-M2*NPV!G6</f>
        <v>19.519960600913258</v>
      </c>
      <c r="N7" s="52">
        <f>N4-N2*NPV!H6</f>
        <v>14.877799855707563</v>
      </c>
      <c r="O7" s="52">
        <f>O4-O2*NPV!I6</f>
        <v>10.65154764523391</v>
      </c>
      <c r="P7" s="52">
        <f>P4-P2*NPV!J6</f>
        <v>6.654721935784024</v>
      </c>
      <c r="Q7" s="52">
        <f>Q4-Q2*NPV!K6</f>
        <v>2.7173447904451424</v>
      </c>
      <c r="R7" s="52">
        <f>R4-R2*NPV!L6</f>
        <v>-1.326323052479178</v>
      </c>
    </row>
    <row r="8">
      <c r="A8" s="2" t="inlineStr">
        <is>
          <t>Operating Income</t>
        </is>
      </c>
      <c r="B8" s="52">
        <f>B4-B7</f>
        <v>-42.205000000000005</v>
      </c>
      <c r="C8" s="52">
        <f>C4-C7</f>
        <v>-46.303999999999995</v>
      </c>
      <c r="D8" s="52">
        <f>D4-D7</f>
        <v>-100.53</v>
      </c>
      <c r="E8" s="52">
        <f>E4-E7</f>
        <v>-161.256</v>
      </c>
      <c r="F8" s="52">
        <f>F4-F7</f>
        <v>-165.53</v>
      </c>
      <c r="G8" s="52">
        <f>G4-G7</f>
        <v>-261.635</v>
      </c>
      <c r="H8" s="52">
        <f>H4-H7</f>
        <v>-349.399</v>
      </c>
      <c r="I8" s="52">
        <f>I4-I7</f>
        <v>-47.464915500000004</v>
      </c>
      <c r="J8" s="52">
        <f>J4-J7</f>
        <v>-38.378746525</v>
      </c>
      <c r="K8" s="52">
        <f>K4-K7</f>
        <v>-30.969068361874996</v>
      </c>
      <c r="L8" s="52">
        <f>L4-L7</f>
        <v>-24.795202559620368</v>
      </c>
      <c r="M8" s="52">
        <f>M4-M7</f>
        <v>-19.519960600913258</v>
      </c>
      <c r="N8" s="52">
        <f>N4-N7</f>
        <v>-14.877799855707563</v>
      </c>
      <c r="O8" s="52">
        <f>O4-O7</f>
        <v>-10.65154764523391</v>
      </c>
      <c r="P8" s="52">
        <f>P4-P7</f>
        <v>-6.654721935784024</v>
      </c>
      <c r="Q8" s="52">
        <f>Q4-Q7</f>
        <v>-2.7173447904451424</v>
      </c>
      <c r="R8" s="52">
        <f>R4-R7</f>
        <v>1.326323052479178</v>
      </c>
    </row>
    <row r="9">
      <c r="A9" s="18" t="inlineStr">
        <is>
          <t>Interest &amp; Other</t>
        </is>
      </c>
      <c r="B9" s="52" t="n">
        <v>0.959</v>
      </c>
      <c r="C9" s="52" t="n">
        <v>0.711</v>
      </c>
      <c r="D9" s="52" t="n">
        <v>200.747</v>
      </c>
      <c r="E9" s="52" t="n">
        <v>316.064</v>
      </c>
      <c r="F9" s="52" t="n">
        <v>312.492</v>
      </c>
      <c r="G9" s="52" t="n">
        <v>485.493</v>
      </c>
      <c r="H9" s="52" t="n">
        <v>660.75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</row>
    <row r="10">
      <c r="A10" s="2" t="inlineStr">
        <is>
          <t>Pretax</t>
        </is>
      </c>
      <c r="B10" s="52">
        <f>B8+B9</f>
        <v>-41.246</v>
      </c>
      <c r="C10" s="52">
        <f>C8+C9</f>
        <v>-45.592999999999996</v>
      </c>
      <c r="D10" s="52">
        <f>D8+D9</f>
        <v>100.21700000000001</v>
      </c>
      <c r="E10" s="52">
        <f>E8+E9</f>
        <v>154.80800000000002</v>
      </c>
      <c r="F10" s="52">
        <f>F8+F9</f>
        <v>146.96200000000002</v>
      </c>
      <c r="G10" s="52">
        <f>G8+G9</f>
        <v>223.858</v>
      </c>
      <c r="H10" s="52">
        <f>H8+H9</f>
        <v>311.351</v>
      </c>
      <c r="I10" s="52">
        <f>I8+I9</f>
        <v>-47.464915500000004</v>
      </c>
      <c r="J10" s="52">
        <f>J8+J9</f>
        <v>-38.378746525</v>
      </c>
      <c r="K10" s="52">
        <f>K8+K9</f>
        <v>-30.969068361874996</v>
      </c>
      <c r="L10" s="52">
        <f>L8+L9</f>
        <v>-24.795202559620368</v>
      </c>
      <c r="M10" s="52">
        <f>M8+M9</f>
        <v>-19.519960600913258</v>
      </c>
      <c r="N10" s="52">
        <f>N8+N9</f>
        <v>-14.877799855707563</v>
      </c>
      <c r="O10" s="52">
        <f>O8+O9</f>
        <v>-10.65154764523391</v>
      </c>
      <c r="P10" s="52">
        <f>P8+P9</f>
        <v>-6.654721935784024</v>
      </c>
      <c r="Q10" s="52">
        <f>Q8+Q9</f>
        <v>-2.7173447904451424</v>
      </c>
      <c r="R10" s="52">
        <f>R8+R9</f>
        <v>1.326323052479178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</v>
      </c>
      <c r="I11" s="52">
        <f>MAX(0,I10)*Assumptions!$E$14</f>
        <v>0.0</v>
      </c>
      <c r="J11" s="52">
        <f>MAX(0,J10)*Assumptions!$E$14</f>
        <v>0.0</v>
      </c>
      <c r="K11" s="52">
        <f>MAX(0,K10)*Assumptions!$E$14</f>
        <v>0.0</v>
      </c>
      <c r="L11" s="52">
        <f>MAX(0,L10)*Assumptions!$E$14</f>
        <v>0.0</v>
      </c>
      <c r="M11" s="52">
        <f>MAX(0,M10)*Assumptions!$E$14</f>
        <v>0.0</v>
      </c>
      <c r="N11" s="52">
        <f>MAX(0,N10)*Assumptions!$E$14</f>
        <v>0.0</v>
      </c>
      <c r="O11" s="52">
        <f>MAX(0,O10)*Assumptions!$E$14</f>
        <v>0.0</v>
      </c>
      <c r="P11" s="52">
        <f>MAX(0,P10)*Assumptions!$E$14</f>
        <v>0.0</v>
      </c>
      <c r="Q11" s="52">
        <f>MAX(0,Q10)*Assumptions!$E$14</f>
        <v>0.0</v>
      </c>
      <c r="R11" s="52">
        <f>MAX(0,R10)*Assumptions!$E$14</f>
        <v>0.2254749189214603</v>
      </c>
    </row>
    <row r="12">
      <c r="A12" s="2" t="inlineStr">
        <is>
          <t>Net Income</t>
        </is>
      </c>
      <c r="B12" s="52" t="n">
        <v>-41.246</v>
      </c>
      <c r="C12" s="52" t="n">
        <v>-45.593</v>
      </c>
      <c r="D12" s="52" t="n">
        <v>100.217</v>
      </c>
      <c r="E12" s="52" t="n">
        <v>154.808</v>
      </c>
      <c r="F12" s="52" t="n">
        <v>146.962</v>
      </c>
      <c r="G12" s="52" t="n">
        <v>223.858</v>
      </c>
      <c r="H12" s="52" t="n">
        <v>311.351</v>
      </c>
      <c r="I12" s="52">
        <f>I10-I11</f>
        <v>-47.464915500000004</v>
      </c>
      <c r="J12" s="52">
        <f>J10-J11</f>
        <v>-38.378746525</v>
      </c>
      <c r="K12" s="52">
        <f>K10-K11</f>
        <v>-30.969068361874996</v>
      </c>
      <c r="L12" s="52">
        <f>L10-L11</f>
        <v>-24.795202559620368</v>
      </c>
      <c r="M12" s="52">
        <f>M10-M11</f>
        <v>-19.519960600913258</v>
      </c>
      <c r="N12" s="52">
        <f>N10-N11</f>
        <v>-14.877799855707563</v>
      </c>
      <c r="O12" s="52">
        <f>O10-O11</f>
        <v>-10.65154764523391</v>
      </c>
      <c r="P12" s="52">
        <f>P10-P11</f>
        <v>-6.654721935784024</v>
      </c>
      <c r="Q12" s="52">
        <f>Q10-Q11</f>
        <v>-2.7173447904451424</v>
      </c>
      <c r="R12" s="52">
        <f>R10-R11</f>
        <v>1.1008481335577178</v>
      </c>
    </row>
    <row r="13">
      <c r="A13" s="2" t="inlineStr">
        <is>
          <t>Earnings per Share</t>
        </is>
      </c>
      <c r="B13" s="11">
        <f>IFERROR(B12/B14,0)</f>
        <v>-24.27663331371395</v>
      </c>
      <c r="C13" s="11">
        <f>IFERROR(C12/C14,0)</f>
        <v>-2.627838616714697</v>
      </c>
      <c r="D13" s="11">
        <f>IFERROR(D12/D14,0)</f>
        <v>2.0883327429202527</v>
      </c>
      <c r="E13" s="11">
        <f>IFERROR(E12/E14,0)</f>
        <v>2.8703762075167334</v>
      </c>
      <c r="F13" s="11">
        <f>IFERROR(F12/F14,0)</f>
        <v>2.5179816670950053</v>
      </c>
      <c r="G13" s="11">
        <f>IFERROR(G12/G14,0)</f>
        <v>2.9830232930014393</v>
      </c>
      <c r="H13" s="11">
        <f>IFERROR(H12/H14,0)</f>
        <v>3.6850197062409014</v>
      </c>
      <c r="I13" s="11">
        <f>IFERROR(I12/I14,0)</f>
        <v>-0.570830579996411</v>
      </c>
      <c r="J13" s="11">
        <f>IFERROR(J12/J14,0)</f>
        <v>-0.4615569607071351</v>
      </c>
      <c r="K13" s="11">
        <f>IFERROR(K12/K14,0)</f>
        <v>-0.37244543825128273</v>
      </c>
      <c r="L13" s="11">
        <f>IFERROR(L12/L14,0)</f>
        <v>-0.2981962510443442</v>
      </c>
      <c r="M13" s="11">
        <f>IFERROR(M12/M14,0)</f>
        <v>-0.23475424561382405</v>
      </c>
      <c r="N13" s="11">
        <f>IFERROR(N12/N14,0)</f>
        <v>-0.17892590835232955</v>
      </c>
      <c r="O13" s="11">
        <f>IFERROR(O12/O14,0)</f>
        <v>-0.1280994405265143</v>
      </c>
      <c r="P13" s="11">
        <f>IFERROR(P12/P14,0)</f>
        <v>-0.08003214041997889</v>
      </c>
      <c r="Q13" s="11">
        <f>IFERROR(Q12/Q14,0)</f>
        <v>-0.03267979067149137</v>
      </c>
      <c r="R13" s="11">
        <f>IFERROR(R12/R14,0)</f>
        <v>0.013239205673224437</v>
      </c>
    </row>
    <row r="14">
      <c r="A14" s="2" t="inlineStr">
        <is>
          <t>Shares</t>
        </is>
      </c>
      <c r="B14" s="52" t="n">
        <v>1.699</v>
      </c>
      <c r="C14" s="52" t="n">
        <v>17.35</v>
      </c>
      <c r="D14" s="52" t="n">
        <v>47.989</v>
      </c>
      <c r="E14" s="52" t="n">
        <v>53.933</v>
      </c>
      <c r="F14" s="52" t="n">
        <v>58.365</v>
      </c>
      <c r="G14" s="52" t="n">
        <v>75.044</v>
      </c>
      <c r="H14" s="52" t="n">
        <v>84.491</v>
      </c>
      <c r="I14" s="52">
        <f>Main!$C$4</f>
        <v>83.150618</v>
      </c>
      <c r="J14" s="52">
        <f>Main!$C$4</f>
        <v>83.150618</v>
      </c>
      <c r="K14" s="52">
        <f>Main!$C$4</f>
        <v>83.150618</v>
      </c>
      <c r="L14" s="52">
        <f>Main!$C$4</f>
        <v>83.150618</v>
      </c>
      <c r="M14" s="52">
        <f>Main!$C$4</f>
        <v>83.150618</v>
      </c>
      <c r="N14" s="52">
        <f>Main!$C$4</f>
        <v>83.150618</v>
      </c>
      <c r="O14" s="52">
        <f>Main!$C$4</f>
        <v>83.150618</v>
      </c>
      <c r="P14" s="52">
        <f>Main!$C$4</f>
        <v>83.150618</v>
      </c>
      <c r="Q14" s="52">
        <f>Main!$C$4</f>
        <v>83.150618</v>
      </c>
      <c r="R14" s="52">
        <f>Main!$C$4</f>
        <v>83.150618</v>
      </c>
    </row>
    <row r="15"/>
    <row r="16" customFormat="1" s="4">
      <c r="A16" s="3" t="inlineStr">
        <is>
          <t>Revenue Change</t>
        </is>
      </c>
      <c r="C16" s="15">
        <f>IFERROR(C2/B2-1,"")</f>
        <v>10.599863667348329</v>
      </c>
      <c r="D16" s="15">
        <f>IFERROR(D2/C2-1,"")</f>
        <v>1.1399776693894341</v>
      </c>
      <c r="E16" s="15">
        <f>IFERROR(E2/D2-1,"")</f>
        <v>-0.35706832161687163</v>
      </c>
      <c r="F16" s="15">
        <f>IFERROR(F2/E2-1,"")</f>
        <v>0.678383803869645</v>
      </c>
      <c r="G16" s="15">
        <f>IFERROR(G2/F2-1,"")</f>
        <v>-0.401058631921824</v>
      </c>
      <c r="H16" s="15">
        <f>IFERROR(H2/G2-1,"")</f>
        <v>-0.16699949014276005</v>
      </c>
      <c r="I16" s="15">
        <f>IFERROR(I2/H2-1,"")</f>
        <v>-0.09999999999999987</v>
      </c>
      <c r="J16" s="15">
        <f>IFERROR(J2/I2-1,"")</f>
        <v>-0.08611111111111125</v>
      </c>
      <c r="K16" s="15">
        <f>IFERROR(K2/J2-1,"")</f>
        <v>-0.07222222222222219</v>
      </c>
      <c r="L16" s="15">
        <f>IFERROR(L2/K2-1,"")</f>
        <v>-0.05833333333333335</v>
      </c>
      <c r="M16" s="15">
        <f>IFERROR(M2/L2-1,"")</f>
        <v>-0.0444444444444444</v>
      </c>
      <c r="N16" s="15">
        <f>IFERROR(N2/M2-1,"")</f>
        <v>-0.030555555555555558</v>
      </c>
      <c r="O16" s="15">
        <f>IFERROR(O2/N2-1,"")</f>
        <v>-0.01666666666666672</v>
      </c>
      <c r="P16" s="15">
        <f>IFERROR(P2/O2-1,"")</f>
        <v>-0.002777777777777768</v>
      </c>
      <c r="Q16" s="15">
        <f>IFERROR(Q2/P2-1,"")</f>
        <v>0.011111111111111072</v>
      </c>
      <c r="R16" s="15">
        <f>IFERROR(R2/Q2-1,"")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0.0</v>
      </c>
      <c r="F17" s="15">
        <f>IFERROR(F4/F2,"")</f>
        <v>0.0</v>
      </c>
      <c r="G17" s="15">
        <f>IFERROR(G4/G2,"")</f>
        <v>0.0</v>
      </c>
      <c r="H17" s="15">
        <f>IFERROR(H4/H2,"")</f>
        <v>0.0</v>
      </c>
      <c r="I17" s="15">
        <f>IFERROR(I4/I2,"")</f>
        <v>0.0</v>
      </c>
      <c r="J17" s="15">
        <f>IFERROR(J4/J2,"")</f>
        <v>0.0</v>
      </c>
      <c r="K17" s="15">
        <f>IFERROR(K4/K2,"")</f>
        <v>0.0</v>
      </c>
      <c r="L17" s="15">
        <f>IFERROR(L4/L2,"")</f>
        <v>0.0</v>
      </c>
      <c r="M17" s="15">
        <f>IFERROR(M4/M2,"")</f>
        <v>0.0</v>
      </c>
      <c r="N17" s="15">
        <f>IFERROR(N4/N2,"")</f>
        <v>0.0</v>
      </c>
      <c r="O17" s="15">
        <f>IFERROR(O4/O2,"")</f>
        <v>0.0</v>
      </c>
      <c r="P17" s="15">
        <f>IFERROR(P4/P2,"")</f>
        <v>0.0</v>
      </c>
      <c r="Q17" s="15">
        <f>IFERROR(Q4/Q2,"")</f>
        <v>0.0</v>
      </c>
      <c r="R17" s="15">
        <f>IFERROR(R4/R2,"")</f>
        <v>0.0</v>
      </c>
    </row>
    <row r="18">
      <c r="A18" s="14" t="inlineStr">
        <is>
          <t>Operating Margin</t>
        </is>
      </c>
      <c r="B18" s="15">
        <f>IFERROR(B8/B2,"")</f>
        <v>-14.384798909338787</v>
      </c>
      <c r="C18" s="15">
        <f>IFERROR(C8/C2,"")</f>
        <v>-1.3605218311100662</v>
      </c>
      <c r="D18" s="15">
        <f>IFERROR(D8/D2,"")</f>
        <v>-1.3802998681898069</v>
      </c>
      <c r="E18" s="15">
        <f>IFERROR(E8/E2,"")</f>
        <v>-3.443727843505745</v>
      </c>
      <c r="F18" s="15">
        <f>IFERROR(F8/F2,"")</f>
        <v>-2.1061940146579805</v>
      </c>
      <c r="G18" s="15">
        <f>IFERROR(G8/G2,"")</f>
        <v>-5.558187457511896</v>
      </c>
      <c r="H18" s="15">
        <f>IFERROR(H8/H2,"")</f>
        <v>-8.910739333350335</v>
      </c>
      <c r="I18" s="15">
        <f>IFERROR(I8/I2,"")</f>
        <v>-1.345</v>
      </c>
      <c r="J18" s="15">
        <f>IFERROR(J8/J2,"")</f>
        <v>-1.19</v>
      </c>
      <c r="K18" s="15">
        <f>IFERROR(K8/K2,"")</f>
        <v>-1.035</v>
      </c>
      <c r="L18" s="15">
        <f>IFERROR(L8/L2,"")</f>
        <v>-0.88</v>
      </c>
      <c r="M18" s="15">
        <f>IFERROR(M8/M2,"")</f>
        <v>-0.725</v>
      </c>
      <c r="N18" s="15">
        <f>IFERROR(N8/N2,"")</f>
        <v>-0.57</v>
      </c>
      <c r="O18" s="15">
        <f>IFERROR(O8/O2,"")</f>
        <v>-0.41500000000000004</v>
      </c>
      <c r="P18" s="15">
        <f>IFERROR(P8/P2,"")</f>
        <v>-0.26</v>
      </c>
      <c r="Q18" s="15">
        <f>IFERROR(Q8/Q2,"")</f>
        <v>-0.10499999999999998</v>
      </c>
      <c r="R18" s="15">
        <f>IFERROR(R8/R2,"")</f>
        <v>0.050000000000000044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E</t>
        </is>
      </c>
      <c r="J19" s="19" t="inlineStr">
        <is>
          <t>E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Kymera Therapeutics,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0.105</v>
      </c>
      <c r="C10" s="53" t="n">
        <v>0.095</v>
      </c>
      <c r="D10" s="53" t="n">
        <v>0.08500000000000001</v>
      </c>
      <c r="E10" s="54">
        <f>IF(ISNUMBER($B$6),$B$6,CHOOSE($B$4,B10,C10,D10))</f>
        <v>0.095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-0.15</v>
      </c>
      <c r="C12" s="53" t="n">
        <v>-0.1</v>
      </c>
      <c r="D12" s="53" t="n">
        <v>-0.05</v>
      </c>
      <c r="E12" s="54">
        <f>CHOOSE($B$4,B12,C12,D12)</f>
        <v>-0.1</v>
      </c>
    </row>
    <row r="13">
      <c r="A13" s="14" t="inlineStr">
        <is>
          <t>Operating margin, year 10</t>
        </is>
      </c>
      <c r="B13" s="53" t="n">
        <v>0</v>
      </c>
      <c r="C13" s="53" t="n">
        <v>0.05</v>
      </c>
      <c r="D13" s="53" t="n">
        <v>0.1</v>
      </c>
      <c r="E13" s="54">
        <f>CHOOSE($B$4,B13,C13,D13)</f>
        <v>0.05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-1.5</v>
      </c>
    </row>
    <row r="19">
      <c r="A19" s="14" t="inlineStr">
        <is>
          <t>Gross margin (forecast)</t>
        </is>
      </c>
      <c r="B19" s="53" t="n">
        <v>0</v>
      </c>
    </row>
    <row r="20">
      <c r="A20" s="14" t="inlineStr">
        <is>
          <t>R&amp;D share of operating expense (forecast)</t>
        </is>
      </c>
      <c r="B20" s="53" t="n">
        <v>0.906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Model'!H2</f>
        <v>39.211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-128.55479216722634</v>
      </c>
      <c r="C29" s="56">
        <f>NPV!B26</f>
        <v>562.4302078327737</v>
      </c>
      <c r="D29" s="35">
        <f>NPV!B28</f>
        <v>6.7639931170779</v>
      </c>
      <c r="E29" s="57">
        <f>NPV!B30</f>
        <v>-0.9403843370608329</v>
      </c>
    </row>
    <row r="30">
      <c r="A30" s="58" t="n">
        <v>1</v>
      </c>
      <c r="B30" s="59">
        <f t="dataTable" ref="B30:E32" r1="B4"/>
        <v>-115.540360993554</v>
      </c>
      <c r="C30" s="59">
        <v>575.444639006446</v>
      </c>
      <c r="D30" s="39">
        <v>6.920509466405241</v>
      </c>
      <c r="E30" s="60">
        <v>-0.939004852226289</v>
      </c>
    </row>
    <row r="31">
      <c r="A31" s="58" t="n">
        <v>2</v>
      </c>
      <c r="B31" s="59">
        <v>-128.55479216722634</v>
      </c>
      <c r="C31" s="59">
        <v>562.4302078327737</v>
      </c>
      <c r="D31" s="39">
        <v>6.7639931170779</v>
      </c>
      <c r="E31" s="60">
        <v>-0.9403843370608329</v>
      </c>
    </row>
    <row r="32">
      <c r="A32" s="58" t="n">
        <v>3</v>
      </c>
      <c r="B32" s="59">
        <v>-132.49196216425418</v>
      </c>
      <c r="C32" s="59">
        <v>558.4930378357458</v>
      </c>
      <c r="D32" s="39">
        <v>6.716643258571401</v>
      </c>
      <c r="E32" s="60">
        <v>-0.9408016635063335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6.7639931170779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0.075</v>
      </c>
      <c r="B37" s="39">
        <f t="dataTable" ref="B37:F41" dt2D="1" r1="B7" r2="B6"/>
        <v>6.733406497656719</v>
      </c>
      <c r="C37" s="39">
        <v>6.735031667528214</v>
      </c>
      <c r="D37" s="39">
        <v>6.738223503099877</v>
      </c>
      <c r="E37" s="39">
        <v>6.743519232157401</v>
      </c>
      <c r="F37" s="39">
        <v>6.751724888407881</v>
      </c>
    </row>
    <row r="38">
      <c r="A38" s="62" t="n">
        <v>0.08500000000000001</v>
      </c>
      <c r="B38" s="39">
        <v>6.748831436384225</v>
      </c>
      <c r="C38" s="39">
        <v>6.747832425810115</v>
      </c>
      <c r="D38" s="39">
        <v>6.74765142613412</v>
      </c>
      <c r="E38" s="39">
        <v>6.748523094087577</v>
      </c>
      <c r="F38" s="39">
        <v>6.750776093266087</v>
      </c>
    </row>
    <row r="39">
      <c r="A39" s="62" t="n">
        <v>0.095</v>
      </c>
      <c r="B39" s="39">
        <v>6.768491144511609</v>
      </c>
      <c r="C39" s="39">
        <v>6.766017053095471</v>
      </c>
      <c r="D39" s="39">
        <v>6.7639931170779</v>
      </c>
      <c r="E39" s="39">
        <v>6.76253243906721</v>
      </c>
      <c r="F39" s="39">
        <v>6.761785935354041</v>
      </c>
    </row>
    <row r="40">
      <c r="A40" s="62" t="n">
        <v>0.105</v>
      </c>
      <c r="B40" s="39">
        <v>6.790489444975312</v>
      </c>
      <c r="C40" s="39">
        <v>6.7871619745007195</v>
      </c>
      <c r="D40" s="39">
        <v>6.784088698609173</v>
      </c>
      <c r="E40" s="39">
        <v>6.781327992252209</v>
      </c>
      <c r="F40" s="39">
        <v>6.778954999784837</v>
      </c>
    </row>
    <row r="41">
      <c r="A41" s="62" t="n">
        <v>0.115</v>
      </c>
      <c r="B41" s="39">
        <v>6.813723780440448</v>
      </c>
      <c r="C41" s="39">
        <v>6.809901822361007</v>
      </c>
      <c r="D41" s="39">
        <v>6.80622334681142</v>
      </c>
      <c r="E41" s="39">
        <v>6.802719949049008</v>
      </c>
      <c r="F41" s="39">
        <v>6.799431197865668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Kymera Therapeutics, Inc.: free-cash-flow DCF ($mm)</t>
        </is>
      </c>
    </row>
    <row r="3">
      <c r="A3" s="20" t="inlineStr">
        <is>
          <t>Fiscal year</t>
        </is>
      </c>
      <c r="B3" s="43">
        <f>'Yearly Model'!H1</f>
        <v>2025</v>
      </c>
      <c r="C3" s="43">
        <f>'Yearly Model'!I1</f>
        <v>2026</v>
      </c>
      <c r="D3" s="43">
        <f>'Yearly Model'!J1</f>
        <v>2027</v>
      </c>
      <c r="E3" s="43">
        <f>'Yearly Model'!K1</f>
        <v>2028</v>
      </c>
      <c r="F3" s="43">
        <f>'Yearly Model'!L1</f>
        <v>2029</v>
      </c>
      <c r="G3" s="43">
        <f>'Yearly Model'!M1</f>
        <v>2030</v>
      </c>
      <c r="H3" s="43">
        <f>'Yearly Model'!N1</f>
        <v>2031</v>
      </c>
      <c r="I3" s="43">
        <f>'Yearly Model'!O1</f>
        <v>2032</v>
      </c>
      <c r="J3" s="43">
        <f>'Yearly Model'!P1</f>
        <v>2033</v>
      </c>
      <c r="K3" s="43">
        <f>'Yearly Model'!Q1</f>
        <v>2034</v>
      </c>
      <c r="L3" s="43">
        <f>'Yearly Model'!R1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-0.1</v>
      </c>
      <c r="D5" s="63">
        <f>Assumptions!$E$12+(Assumptions!$E$11-Assumptions!$E$12)*(D4-1)/(Assumptions!$B$21-1)</f>
        <v>-0.08611111111111111</v>
      </c>
      <c r="E5" s="63">
        <f>Assumptions!$E$12+(Assumptions!$E$11-Assumptions!$E$12)*(E4-1)/(Assumptions!$B$21-1)</f>
        <v>-0.07222222222222223</v>
      </c>
      <c r="F5" s="63">
        <f>Assumptions!$E$12+(Assumptions!$E$11-Assumptions!$E$12)*(F4-1)/(Assumptions!$B$21-1)</f>
        <v>-0.05833333333333334</v>
      </c>
      <c r="G5" s="63">
        <f>Assumptions!$E$12+(Assumptions!$E$11-Assumptions!$E$12)*(G4-1)/(Assumptions!$B$21-1)</f>
        <v>-0.04444444444444445</v>
      </c>
      <c r="H5" s="63">
        <f>Assumptions!$E$12+(Assumptions!$E$11-Assumptions!$E$12)*(H4-1)/(Assumptions!$B$21-1)</f>
        <v>-0.030555555555555558</v>
      </c>
      <c r="I5" s="63">
        <f>Assumptions!$E$12+(Assumptions!$E$11-Assumptions!$E$12)*(I4-1)/(Assumptions!$B$21-1)</f>
        <v>-0.016666666666666677</v>
      </c>
      <c r="J5" s="63">
        <f>Assumptions!$E$12+(Assumptions!$E$11-Assumptions!$E$12)*(J4-1)/(Assumptions!$B$21-1)</f>
        <v>-0.002777777777777782</v>
      </c>
      <c r="K5" s="63">
        <f>Assumptions!$E$12+(Assumptions!$E$11-Assumptions!$E$12)*(K4-1)/(Assumptions!$B$21-1)</f>
        <v>0.0111111111111111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-8.910739333350335</v>
      </c>
      <c r="C6" s="63">
        <f>Assumptions!$B$18+(Assumptions!$E$13-Assumptions!$B$18)*C4/Assumptions!$B$21</f>
        <v>-1.345</v>
      </c>
      <c r="D6" s="63">
        <f>Assumptions!$B$18+(Assumptions!$E$13-Assumptions!$B$18)*D4/Assumptions!$B$21</f>
        <v>-1.19</v>
      </c>
      <c r="E6" s="63">
        <f>Assumptions!$B$18+(Assumptions!$E$13-Assumptions!$B$18)*E4/Assumptions!$B$21</f>
        <v>-1.035</v>
      </c>
      <c r="F6" s="63">
        <f>Assumptions!$B$18+(Assumptions!$E$13-Assumptions!$B$18)*F4/Assumptions!$B$21</f>
        <v>-0.88</v>
      </c>
      <c r="G6" s="63">
        <f>Assumptions!$B$18+(Assumptions!$E$13-Assumptions!$B$18)*G4/Assumptions!$B$21</f>
        <v>-0.725</v>
      </c>
      <c r="H6" s="63">
        <f>Assumptions!$B$18+(Assumptions!$E$13-Assumptions!$B$18)*H4/Assumptions!$B$21</f>
        <v>-0.57</v>
      </c>
      <c r="I6" s="63">
        <f>Assumptions!$B$18+(Assumptions!$E$13-Assumptions!$B$18)*I4/Assumptions!$B$21</f>
        <v>-0.41500000000000004</v>
      </c>
      <c r="J6" s="63">
        <f>Assumptions!$B$18+(Assumptions!$E$13-Assumptions!$B$18)*J4/Assumptions!$B$21</f>
        <v>-0.26</v>
      </c>
      <c r="K6" s="63">
        <f>Assumptions!$B$18+(Assumptions!$E$13-Assumptions!$B$18)*K4/Assumptions!$B$21</f>
        <v>-0.10499999999999998</v>
      </c>
      <c r="L6" s="63">
        <f>Assumptions!$B$18+(Assumptions!$E$13-Assumptions!$B$18)*L4/Assumptions!$B$21</f>
        <v>0.050000000000000044</v>
      </c>
    </row>
    <row r="7">
      <c r="A7" s="14" t="inlineStr">
        <is>
          <t>Revenue</t>
        </is>
      </c>
      <c r="B7" s="55">
        <f>'Yearly Model'!H2</f>
        <v>39.211</v>
      </c>
      <c r="C7" s="55">
        <f>'Yearly Model'!I2</f>
        <v>35.2899</v>
      </c>
      <c r="D7" s="55">
        <f>'Yearly Model'!J2</f>
        <v>32.2510475</v>
      </c>
      <c r="E7" s="55">
        <f>'Yearly Model'!K2</f>
        <v>29.921805180555555</v>
      </c>
      <c r="F7" s="55">
        <f>'Yearly Model'!L2</f>
        <v>28.176366545023146</v>
      </c>
      <c r="G7" s="55">
        <f>'Yearly Model'!M2</f>
        <v>26.924083587466562</v>
      </c>
      <c r="H7" s="55">
        <f>'Yearly Model'!N2</f>
        <v>26.101403255627307</v>
      </c>
      <c r="I7" s="55">
        <f>'Yearly Model'!O2</f>
        <v>25.666379868033516</v>
      </c>
      <c r="J7" s="55">
        <f>'Yearly Model'!P2</f>
        <v>25.59508436840009</v>
      </c>
      <c r="K7" s="55">
        <f>'Yearly Model'!Q2</f>
        <v>25.879474194715648</v>
      </c>
      <c r="L7" s="55">
        <f>'Yearly Model'!R2</f>
        <v>26.52646104958354</v>
      </c>
    </row>
    <row r="8">
      <c r="A8" s="14" t="inlineStr">
        <is>
          <t>Operating income</t>
        </is>
      </c>
      <c r="B8" s="55">
        <f>'Yearly Model'!H8</f>
        <v>-349.399</v>
      </c>
      <c r="C8" s="55">
        <f>'Yearly Model'!I8</f>
        <v>-47.464915500000004</v>
      </c>
      <c r="D8" s="55">
        <f>'Yearly Model'!J8</f>
        <v>-38.378746525</v>
      </c>
      <c r="E8" s="55">
        <f>'Yearly Model'!K8</f>
        <v>-30.969068361874996</v>
      </c>
      <c r="F8" s="55">
        <f>'Yearly Model'!L8</f>
        <v>-24.795202559620368</v>
      </c>
      <c r="G8" s="55">
        <f>'Yearly Model'!M8</f>
        <v>-19.519960600913258</v>
      </c>
      <c r="H8" s="55">
        <f>'Yearly Model'!N8</f>
        <v>-14.877799855707563</v>
      </c>
      <c r="I8" s="55">
        <f>'Yearly Model'!O8</f>
        <v>-10.65154764523391</v>
      </c>
      <c r="J8" s="55">
        <f>'Yearly Model'!P8</f>
        <v>-6.654721935784024</v>
      </c>
      <c r="K8" s="55">
        <f>'Yearly Model'!Q8</f>
        <v>-2.7173447904451424</v>
      </c>
      <c r="L8" s="55">
        <f>'Yearly Model'!R8</f>
        <v>1.326323052479178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0.0</v>
      </c>
      <c r="J9" s="52">
        <f>MAX(0,J8)*Assumptions!$E$14</f>
        <v>0.0</v>
      </c>
      <c r="K9" s="52">
        <f>MAX(0,K8)*Assumptions!$E$14</f>
        <v>0.0</v>
      </c>
      <c r="L9" s="52">
        <f>MAX(0,L8)*Assumptions!$E$14</f>
        <v>0.2254749189214603</v>
      </c>
    </row>
    <row r="10">
      <c r="A10" s="14" t="inlineStr">
        <is>
          <t>NOPAT</t>
        </is>
      </c>
      <c r="C10" s="52">
        <f>C8-C9</f>
        <v>-47.464915500000004</v>
      </c>
      <c r="D10" s="52">
        <f>D8-D9</f>
        <v>-38.378746525</v>
      </c>
      <c r="E10" s="52">
        <f>E8-E9</f>
        <v>-30.969068361874996</v>
      </c>
      <c r="F10" s="52">
        <f>F8-F9</f>
        <v>-24.795202559620368</v>
      </c>
      <c r="G10" s="52">
        <f>G8-G9</f>
        <v>-19.519960600913258</v>
      </c>
      <c r="H10" s="52">
        <f>H8-H9</f>
        <v>-14.877799855707563</v>
      </c>
      <c r="I10" s="52">
        <f>I8-I9</f>
        <v>-10.65154764523391</v>
      </c>
      <c r="J10" s="52">
        <f>J8-J9</f>
        <v>-6.654721935784024</v>
      </c>
      <c r="K10" s="52">
        <f>K8-K9</f>
        <v>-2.7173447904451424</v>
      </c>
      <c r="L10" s="52">
        <f>L8-L9</f>
        <v>1.1008481335577178</v>
      </c>
    </row>
    <row r="11">
      <c r="A11" s="14" t="inlineStr">
        <is>
          <t>Reinvestment</t>
        </is>
      </c>
      <c r="C11" s="52">
        <f>(C7-B7)*Assumptions!$E$15</f>
        <v>-0.9802749999999989</v>
      </c>
      <c r="D11" s="52">
        <f>(D7-C7)*Assumptions!$E$15</f>
        <v>-0.7597131250000011</v>
      </c>
      <c r="E11" s="52">
        <f>(E7-D7)*Assumptions!$E$15</f>
        <v>-0.5823105798611108</v>
      </c>
      <c r="F11" s="52">
        <f>(F7-E7)*Assumptions!$E$15</f>
        <v>-0.43635965888310224</v>
      </c>
      <c r="G11" s="52">
        <f>(G7-F7)*Assumptions!$E$15</f>
        <v>-0.3130707393891461</v>
      </c>
      <c r="H11" s="52">
        <f>(H7-G7)*Assumptions!$E$15</f>
        <v>-0.2056700829598137</v>
      </c>
      <c r="I11" s="52">
        <f>(I7-H7)*Assumptions!$E$15</f>
        <v>-0.10875584689844775</v>
      </c>
      <c r="J11" s="52">
        <f>(J7-I7)*Assumptions!$E$15</f>
        <v>-0.017823874908356352</v>
      </c>
      <c r="K11" s="52">
        <f>(K7-J7)*Assumptions!$E$15</f>
        <v>0.07109745657888933</v>
      </c>
      <c r="L11" s="52">
        <f>(L7-K7)*Assumptions!$E$15</f>
        <v>0.16174671371697258</v>
      </c>
    </row>
    <row r="12">
      <c r="A12" s="20" t="inlineStr">
        <is>
          <t>Free cash flow</t>
        </is>
      </c>
      <c r="C12" s="64">
        <f>C10-C11</f>
        <v>-46.484640500000005</v>
      </c>
      <c r="D12" s="64">
        <f>D10-D11</f>
        <v>-37.61903339999999</v>
      </c>
      <c r="E12" s="64">
        <f>E10-E11</f>
        <v>-30.386757782013884</v>
      </c>
      <c r="F12" s="64">
        <f>F10-F11</f>
        <v>-24.358842900737265</v>
      </c>
      <c r="G12" s="64">
        <f>G10-G11</f>
        <v>-19.20688986152411</v>
      </c>
      <c r="H12" s="64">
        <f>H10-H11</f>
        <v>-14.672129772747748</v>
      </c>
      <c r="I12" s="64">
        <f>I10-I11</f>
        <v>-10.542791798335461</v>
      </c>
      <c r="J12" s="64">
        <f>J10-J11</f>
        <v>-6.636898060875668</v>
      </c>
      <c r="K12" s="64">
        <f>K10-K11</f>
        <v>-2.7884422470240318</v>
      </c>
      <c r="L12" s="64">
        <f>L10-L11</f>
        <v>0.9391014198407452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0.9773850037537266</v>
      </c>
      <c r="D15" s="65">
        <f>1/(1+Assumptions!$E$10)^D14</f>
        <v>0.9129022614872813</v>
      </c>
      <c r="E15" s="65">
        <f>1/(1+Assumptions!$E$10)^E14</f>
        <v>0.8337006954221746</v>
      </c>
      <c r="F15" s="65">
        <f>1/(1+Assumptions!$E$10)^F14</f>
        <v>0.7613704981024426</v>
      </c>
      <c r="G15" s="65">
        <f>1/(1+Assumptions!$E$10)^G14</f>
        <v>0.6953155233812262</v>
      </c>
      <c r="H15" s="65">
        <f>1/(1+Assumptions!$E$10)^H14</f>
        <v>0.6349913455536312</v>
      </c>
      <c r="I15" s="65">
        <f>1/(1+Assumptions!$E$10)^I14</f>
        <v>0.5799007721950971</v>
      </c>
      <c r="J15" s="65">
        <f>1/(1+Assumptions!$E$10)^J14</f>
        <v>0.5295897462968923</v>
      </c>
      <c r="K15" s="65">
        <f>1/(1+Assumptions!$E$10)^K14</f>
        <v>0.48364360392410255</v>
      </c>
      <c r="L15" s="65">
        <f>1/(1+Assumptions!$E$10)^L14</f>
        <v>0.44168365655169184</v>
      </c>
    </row>
    <row r="16">
      <c r="A16" s="20" t="inlineStr">
        <is>
          <t>PV of free cash flow</t>
        </is>
      </c>
      <c r="C16" s="64">
        <f>C12*C13*C15</f>
        <v>-22.902972165962858</v>
      </c>
      <c r="D16" s="64">
        <f>D12*D13*D15</f>
        <v>-34.34250066582556</v>
      </c>
      <c r="E16" s="64">
        <f>E12*E13*E15</f>
        <v>-25.33346109449015</v>
      </c>
      <c r="F16" s="64">
        <f>F12*F13*F15</f>
        <v>-18.54610435253348</v>
      </c>
      <c r="G16" s="64">
        <f>G12*G13*G15</f>
        <v>-13.354848676591203</v>
      </c>
      <c r="H16" s="64">
        <f>H12*H13*H15</f>
        <v>-9.316675426534587</v>
      </c>
      <c r="I16" s="64">
        <f>I12*I13*I15</f>
        <v>-6.11377310494687</v>
      </c>
      <c r="J16" s="64">
        <f>J12*J13*J15</f>
        <v>-3.514833160257481</v>
      </c>
      <c r="K16" s="64">
        <f>K12*K13*K15</f>
        <v>-1.3486122576849253</v>
      </c>
      <c r="L16" s="64">
        <f>L12*L13*L15</f>
        <v>0.4147857489881459</v>
      </c>
    </row>
    <row r="19">
      <c r="A19" s="14" t="inlineStr">
        <is>
          <t>PV of forecast free cash flow</t>
        </is>
      </c>
      <c r="B19" s="52">
        <f>SUM(C16:L16)</f>
        <v>-134.35899515583895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0.9625789553367636</v>
      </c>
    </row>
    <row r="21">
      <c r="A21" s="14" t="inlineStr">
        <is>
          <t>Terminal value</t>
        </is>
      </c>
      <c r="B21" s="52">
        <f>B20/(Assumptions!$E$10-Assumptions!$E$11)</f>
        <v>13.751127933382337</v>
      </c>
    </row>
    <row r="22">
      <c r="A22" s="14" t="inlineStr">
        <is>
          <t>PV of terminal value</t>
        </is>
      </c>
      <c r="B22" s="52">
        <f>B21/(1+Assumptions!$E$10)^(L14+0.5)</f>
        <v>5.804202988612623</v>
      </c>
    </row>
    <row r="23">
      <c r="A23" s="20" t="inlineStr">
        <is>
          <t>Enterprise value</t>
        </is>
      </c>
      <c r="B23" s="66">
        <f>B19+B22</f>
        <v>-128.55479216722634</v>
      </c>
    </row>
    <row r="24">
      <c r="A24" s="14" t="inlineStr">
        <is>
          <t>Cash &amp; investments</t>
        </is>
      </c>
      <c r="B24" s="55">
        <f>Main!C7</f>
        <v>690.985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562.4302078327737</v>
      </c>
    </row>
    <row r="27">
      <c r="A27" s="14" t="inlineStr">
        <is>
          <t>Shares (mm)</t>
        </is>
      </c>
      <c r="B27" s="55">
        <f>Main!C4</f>
        <v>83.150618</v>
      </c>
    </row>
    <row r="28">
      <c r="A28" s="20" t="inlineStr">
        <is>
          <t>NPV / share</t>
        </is>
      </c>
      <c r="B28" s="49">
        <f>B26/B27</f>
        <v>6.7639931170779</v>
      </c>
    </row>
    <row r="29">
      <c r="A29" s="14" t="inlineStr">
        <is>
          <t>Price</t>
        </is>
      </c>
      <c r="B29" s="50">
        <f>Main!C3</f>
        <v>113.46</v>
      </c>
    </row>
    <row r="30">
      <c r="A30" s="14" t="inlineStr">
        <is>
          <t>Upside</t>
        </is>
      </c>
      <c r="B30" s="63">
        <f>B28/B29-1</f>
        <v>-0.9403843370608329</v>
      </c>
    </row>
    <row r="31">
      <c r="A31" s="14" t="inlineStr">
        <is>
          <t>Terminal value, % of EV</t>
        </is>
      </c>
      <c r="B31" s="63">
        <f>IFERROR(B22/B23,0)</f>
        <v>-0.04514964312697432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2026-10-21T06:21:26Z</dcterms:modified>
  <cp:lastModifiedBy>Wang, Eric</cp:lastModifiedBy>
</cp:coreProperties>
</file>