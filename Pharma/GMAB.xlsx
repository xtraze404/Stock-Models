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Genmab A/S</t>
        </is>
      </c>
      <c r="C2" s="10" t="n"/>
    </row>
    <row r="3">
      <c r="B3" t="inlineStr">
        <is>
          <t>Price</t>
        </is>
      </c>
      <c r="C3" s="11">
        <f>INDEX([1]Pharma!$F$1:$F$1000,MATCH("GMAB",[1]Pharma!$B$1:$B$1000,0))</f>
        <v>39.07</v>
      </c>
      <c r="F3" s="1" t="n"/>
    </row>
    <row r="4">
      <c r="B4" t="inlineStr">
        <is>
          <t>Shares</t>
        </is>
      </c>
      <c r="C4" s="51">
        <f>64.238408/0.1</f>
        <v>642.38408</v>
      </c>
      <c r="F4" s="1" t="n"/>
    </row>
    <row r="5">
      <c r="B5" t="inlineStr">
        <is>
          <t>Market Cap.</t>
        </is>
      </c>
      <c r="C5" s="13">
        <f>C3*C4</f>
        <v>25097.946005600003</v>
      </c>
      <c r="F5" s="1" t="n"/>
    </row>
    <row r="6"/>
    <row r="7">
      <c r="B7" t="inlineStr">
        <is>
          <t>Cash</t>
        </is>
      </c>
      <c r="C7" s="51" t="n">
        <v>1715</v>
      </c>
    </row>
    <row r="8">
      <c r="B8" t="inlineStr">
        <is>
          <t>Debt</t>
        </is>
      </c>
      <c r="C8" s="51">
        <f>273+5001</f>
        <v>5274.0</v>
      </c>
    </row>
    <row r="9">
      <c r="B9" t="inlineStr">
        <is>
          <t>Enterprise V.</t>
        </is>
      </c>
      <c r="C9" s="13">
        <f>C5-C7+C8</f>
        <v>28656.946005600003</v>
      </c>
    </row>
    <row r="10"/>
    <row r="11">
      <c r="B11" s="14" t="inlineStr">
        <is>
          <t>NPV / Share</t>
        </is>
      </c>
      <c r="C11" s="11">
        <f>NPV!B28</f>
        <v>32.94412009233552</v>
      </c>
    </row>
    <row r="12">
      <c r="B12" s="14" t="inlineStr">
        <is>
          <t>Upside</t>
        </is>
      </c>
      <c r="C12" s="15">
        <f>IFERROR(C11/C3-1,"")</f>
        <v>-0.15679242149128447</v>
      </c>
    </row>
    <row r="13">
      <c r="B13" s="14" t="inlineStr">
        <is>
          <t>Cash / Share</t>
        </is>
      </c>
      <c r="C13" s="11">
        <f>IFERROR((C7-C8)/C4,"")</f>
        <v>-5.540299192968792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2017</v>
      </c>
      <c r="C1" s="16" t="n">
        <v>2018</v>
      </c>
      <c r="D1" s="16" t="n">
        <v>2019</v>
      </c>
      <c r="E1" s="16" t="n">
        <v>2020</v>
      </c>
      <c r="F1" s="16" t="n">
        <v>2021</v>
      </c>
      <c r="G1" s="16" t="n">
        <v>2022</v>
      </c>
      <c r="H1" s="16" t="n">
        <v>2023</v>
      </c>
      <c r="I1" s="16" t="n">
        <v>2024</v>
      </c>
      <c r="J1" s="16" t="n">
        <v>2025</v>
      </c>
      <c r="K1" s="16" t="n">
        <v>2026</v>
      </c>
      <c r="L1" s="16" t="n">
        <v>2027</v>
      </c>
      <c r="M1" s="16" t="n">
        <v>2028</v>
      </c>
      <c r="N1" s="16" t="n">
        <v>2029</v>
      </c>
      <c r="O1" s="16" t="n">
        <v>2030</v>
      </c>
      <c r="P1" s="16" t="n">
        <v>2031</v>
      </c>
      <c r="Q1" s="16" t="n">
        <v>2032</v>
      </c>
      <c r="R1" s="16" t="n">
        <v>2033</v>
      </c>
      <c r="S1" s="16" t="n">
        <v>2034</v>
      </c>
      <c r="T1" s="16" t="n">
        <v>2035</v>
      </c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356.041</v>
      </c>
      <c r="C2" s="52" t="n">
        <v>455.401</v>
      </c>
      <c r="D2" s="52" t="n">
        <v>807.828</v>
      </c>
      <c r="E2" s="52" t="n">
        <v>1522.168</v>
      </c>
      <c r="F2" s="52" t="n">
        <v>1267.143</v>
      </c>
      <c r="G2" s="52" t="n">
        <v>2183.666</v>
      </c>
      <c r="H2" s="52" t="n">
        <v>2480.09</v>
      </c>
      <c r="I2" s="52" t="n">
        <v>3240.647</v>
      </c>
      <c r="J2" s="52" t="n">
        <v>3720</v>
      </c>
      <c r="K2" s="52">
        <f>J2*(1+NPV!C5)</f>
        <v>4270.188</v>
      </c>
      <c r="L2" s="52">
        <f>K2*(1+NPV!D5)</f>
        <v>4843.437015733333</v>
      </c>
      <c r="M2" s="52">
        <f>L2*(1+NPV!E5)</f>
        <v>5427.501703863932</v>
      </c>
      <c r="N2" s="52">
        <f>M2*(1+NPV!F5)</f>
        <v>6007.882552730448</v>
      </c>
      <c r="O2" s="52">
        <f>N2*(1+NPV!G5)</f>
        <v>6568.284486399027</v>
      </c>
      <c r="P2" s="52">
        <f>O2*(1+NPV!H5)</f>
        <v>7091.265893393865</v>
      </c>
      <c r="Q2" s="52">
        <f>P2*(1+NPV!I5)</f>
        <v>7559.053066828081</v>
      </c>
      <c r="R2" s="52">
        <f>Q2*(1+NPV!J5)</f>
        <v>7954.475531701711</v>
      </c>
      <c r="S2" s="52">
        <f>R2*(1+NPV!K5)</f>
        <v>8261.960202532715</v>
      </c>
      <c r="T2" s="52">
        <f>S2*(1+NPV!L5)</f>
        <v>8468.509207596033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33</v>
      </c>
      <c r="I3" s="52" t="n">
        <v>143</v>
      </c>
      <c r="J3" s="52" t="n">
        <v>238</v>
      </c>
      <c r="K3" s="52">
        <f>K2*(1-Assumptions!$B$19)</f>
        <v>273.2920319999998</v>
      </c>
      <c r="L3" s="52">
        <f>L2*(1-Assumptions!$B$19)</f>
        <v>309.97996900693306</v>
      </c>
      <c r="M3" s="52">
        <f>M2*(1-Assumptions!$B$19)</f>
        <v>347.36010904729136</v>
      </c>
      <c r="N3" s="52">
        <f>N2*(1-Assumptions!$B$19)</f>
        <v>384.50448337474836</v>
      </c>
      <c r="O3" s="52">
        <f>O2*(1-Assumptions!$B$19)</f>
        <v>420.37020712953733</v>
      </c>
      <c r="P3" s="52">
        <f>P2*(1-Assumptions!$B$19)</f>
        <v>453.84101717720694</v>
      </c>
      <c r="Q3" s="52">
        <f>Q2*(1-Assumptions!$B$19)</f>
        <v>483.77939627699675</v>
      </c>
      <c r="R3" s="52">
        <f>R2*(1-Assumptions!$B$19)</f>
        <v>509.086434028909</v>
      </c>
      <c r="S3" s="52">
        <f>S2*(1-Assumptions!$B$19)</f>
        <v>528.7654529620933</v>
      </c>
      <c r="T3" s="52">
        <f>T2*(1-Assumptions!$B$19)</f>
        <v>541.9845892861456</v>
      </c>
    </row>
    <row r="4" customFormat="1" s="1">
      <c r="A4" s="5" t="inlineStr">
        <is>
          <t>Gross Margin</t>
        </is>
      </c>
      <c r="B4" s="52">
        <f>B2-B3</f>
        <v>356.041</v>
      </c>
      <c r="C4" s="52">
        <f>C2-C3</f>
        <v>455.401</v>
      </c>
      <c r="D4" s="52">
        <f>D2-D3</f>
        <v>807.828</v>
      </c>
      <c r="E4" s="52">
        <f>E2-E3</f>
        <v>1522.168</v>
      </c>
      <c r="F4" s="52">
        <f>F2-F3</f>
        <v>1267.143</v>
      </c>
      <c r="G4" s="52">
        <f>G2-G3</f>
        <v>2183.666</v>
      </c>
      <c r="H4" s="52">
        <f>H2-H3</f>
        <v>2447.09</v>
      </c>
      <c r="I4" s="52">
        <f>I2-I3</f>
        <v>3097.647</v>
      </c>
      <c r="J4" s="52">
        <f>J2-J3</f>
        <v>3482.0</v>
      </c>
      <c r="K4" s="52">
        <f>K2-K3</f>
        <v>3996.8959680000003</v>
      </c>
      <c r="L4" s="52">
        <f>L2-L3</f>
        <v>4533.4570467264</v>
      </c>
      <c r="M4" s="52">
        <f>M2-M3</f>
        <v>5080.1415948166405</v>
      </c>
      <c r="N4" s="52">
        <f>N2-N3</f>
        <v>5623.3780693557</v>
      </c>
      <c r="O4" s="52">
        <f>O2-O3</f>
        <v>6147.914279269489</v>
      </c>
      <c r="P4" s="52">
        <f>P2-P3</f>
        <v>6637.424876216658</v>
      </c>
      <c r="Q4" s="52">
        <f>Q2-Q3</f>
        <v>7075.273670551084</v>
      </c>
      <c r="R4" s="52">
        <f>R2-R3</f>
        <v>7445.389097672802</v>
      </c>
      <c r="S4" s="52">
        <f>S2-S3</f>
        <v>7733.194749570622</v>
      </c>
      <c r="T4" s="52">
        <f>T2-T3</f>
        <v>7926.524618309887</v>
      </c>
    </row>
    <row r="5">
      <c r="A5" s="2" t="inlineStr">
        <is>
          <t>Research &amp; Dev.</t>
        </is>
      </c>
      <c r="B5" s="52" t="n">
        <v>131.577</v>
      </c>
      <c r="C5" s="52" t="n">
        <v>215.431</v>
      </c>
      <c r="D5" s="52" t="n">
        <v>359.202</v>
      </c>
      <c r="E5" s="52" t="n">
        <v>472.262</v>
      </c>
      <c r="F5" s="52" t="n">
        <v>629.432</v>
      </c>
      <c r="G5" s="52" t="n">
        <v>837.335</v>
      </c>
      <c r="H5" s="52" t="n">
        <v>1107</v>
      </c>
      <c r="I5" s="52" t="n">
        <v>1414</v>
      </c>
      <c r="J5" s="52" t="n">
        <v>1606</v>
      </c>
      <c r="K5" s="52">
        <f>K7*Assumptions!$B$20</f>
        <v>1841.6201627725202</v>
      </c>
      <c r="L5" s="52">
        <f>L7*Assumptions!$B$20</f>
        <v>2086.658882951675</v>
      </c>
      <c r="M5" s="52">
        <f>M7*Assumptions!$B$20</f>
        <v>2335.8342882170396</v>
      </c>
      <c r="N5" s="52">
        <f>N7*Assumptions!$B$20</f>
        <v>2582.898112960105</v>
      </c>
      <c r="O5" s="52">
        <f>O7*Assumptions!$B$20</f>
        <v>2820.8571641354147</v>
      </c>
      <c r="P5" s="52">
        <f>P7*Assumptions!$B$20</f>
        <v>3042.2558207087636</v>
      </c>
      <c r="Q5" s="52">
        <f>Q7*Assumptions!$B$20</f>
        <v>3239.5276626294085</v>
      </c>
      <c r="R5" s="52">
        <f>R7*Assumptions!$B$20</f>
        <v>3405.3966448229794</v>
      </c>
      <c r="S5" s="52">
        <f>S7*Assumptions!$B$20</f>
        <v>3533.3008946785203</v>
      </c>
      <c r="T5" s="52">
        <f>T7*Assumptions!$B$20</f>
        <v>3617.806836474939</v>
      </c>
    </row>
    <row r="6">
      <c r="A6" s="18" t="inlineStr">
        <is>
          <t>SG&amp;A &amp; Other</t>
        </is>
      </c>
      <c r="B6" s="52" t="n">
        <v>22.13</v>
      </c>
      <c r="C6" s="52" t="n">
        <v>32.217</v>
      </c>
      <c r="D6" s="52" t="n">
        <v>51.487</v>
      </c>
      <c r="E6" s="52" t="n">
        <v>99.511</v>
      </c>
      <c r="F6" s="52" t="n">
        <v>193.15</v>
      </c>
      <c r="G6" s="52" t="n">
        <v>402.86</v>
      </c>
      <c r="H6" s="52" t="n">
        <v>568.09</v>
      </c>
      <c r="I6" s="52" t="n">
        <v>711.647</v>
      </c>
      <c r="J6" s="52" t="n">
        <v>811</v>
      </c>
      <c r="K6" s="52">
        <f>K7-K5</f>
        <v>929.8172529874803</v>
      </c>
      <c r="L6" s="52">
        <f>L7-L5</f>
        <v>1053.5350718288746</v>
      </c>
      <c r="M6" s="52">
        <f>M7-M5</f>
        <v>1179.3414653074747</v>
      </c>
      <c r="N6" s="52">
        <f>N7-N5</f>
        <v>1304.0817410054406</v>
      </c>
      <c r="O6" s="52">
        <f>O7-O5</f>
        <v>1424.2250994242768</v>
      </c>
      <c r="P6" s="52">
        <f>P7-P5</f>
        <v>1536.007265384184</v>
      </c>
      <c r="Q6" s="52">
        <f>Q7-Q5</f>
        <v>1635.6080222906944</v>
      </c>
      <c r="R6" s="52">
        <f>R7-R5</f>
        <v>1719.3537612311657</v>
      </c>
      <c r="S6" s="52">
        <f>S7-S5</f>
        <v>1783.9314524674846</v>
      </c>
      <c r="T6" s="52">
        <f>T7-T5</f>
        <v>1826.5977330885507</v>
      </c>
    </row>
    <row r="7">
      <c r="A7" s="2" t="inlineStr">
        <is>
          <t>Operating Expense</t>
        </is>
      </c>
      <c r="B7" s="52">
        <f>SUM(B5:B6)</f>
        <v>153.707</v>
      </c>
      <c r="C7" s="52">
        <f>SUM(C5:C6)</f>
        <v>247.64800000000002</v>
      </c>
      <c r="D7" s="52">
        <f>SUM(D5:D6)</f>
        <v>410.689</v>
      </c>
      <c r="E7" s="52">
        <f>SUM(E5:E6)</f>
        <v>571.773</v>
      </c>
      <c r="F7" s="52">
        <f>SUM(F5:F6)</f>
        <v>822.582</v>
      </c>
      <c r="G7" s="52">
        <f>SUM(G5:G6)</f>
        <v>1240.1950000000002</v>
      </c>
      <c r="H7" s="52">
        <f>SUM(H5:H6)</f>
        <v>1675.0900000000001</v>
      </c>
      <c r="I7" s="52">
        <f>SUM(I5:I6)</f>
        <v>2125.647</v>
      </c>
      <c r="J7" s="52">
        <f>SUM(J5:J6)</f>
        <v>2417.0</v>
      </c>
      <c r="K7" s="52">
        <f>K4-K2*NPV!C6</f>
        <v>2771.4374157600005</v>
      </c>
      <c r="L7" s="52">
        <f>L4-L2*NPV!D6</f>
        <v>3140.1939547805496</v>
      </c>
      <c r="M7" s="52">
        <f>M4-M2*NPV!E6</f>
        <v>3515.175753524514</v>
      </c>
      <c r="N7" s="52">
        <f>N4-N2*NPV!F6</f>
        <v>3886.9798539655458</v>
      </c>
      <c r="O7" s="52">
        <f>O4-O2*NPV!G6</f>
        <v>4245.0822635596915</v>
      </c>
      <c r="P7" s="52">
        <f>P4-P2*NPV!H6</f>
        <v>4578.263086092948</v>
      </c>
      <c r="Q7" s="52">
        <f>Q4-Q2*NPV!I6</f>
        <v>4875.135684920103</v>
      </c>
      <c r="R7" s="52">
        <f>R4-R2*NPV!J6</f>
        <v>5124.750406054145</v>
      </c>
      <c r="S7" s="52">
        <f>S4-S2*NPV!K6</f>
        <v>5317.232347146005</v>
      </c>
      <c r="T7" s="52">
        <f>T4-T2*NPV!L6</f>
        <v>5444.4045695634895</v>
      </c>
    </row>
    <row r="8">
      <c r="A8" s="2" t="inlineStr">
        <is>
          <t>Operating Income</t>
        </is>
      </c>
      <c r="B8" s="52">
        <f>B4-B7</f>
        <v>202.334</v>
      </c>
      <c r="C8" s="52">
        <f>C4-C7</f>
        <v>207.753</v>
      </c>
      <c r="D8" s="52">
        <f>D4-D7</f>
        <v>397.13899999999995</v>
      </c>
      <c r="E8" s="52">
        <f>E4-E7</f>
        <v>950.3949999999999</v>
      </c>
      <c r="F8" s="52">
        <f>F4-F7</f>
        <v>444.56100000000004</v>
      </c>
      <c r="G8" s="52">
        <f>G4-G7</f>
        <v>943.471</v>
      </c>
      <c r="H8" s="52">
        <f>H4-H7</f>
        <v>772.0</v>
      </c>
      <c r="I8" s="52">
        <f>I4-I7</f>
        <v>972.0</v>
      </c>
      <c r="J8" s="52">
        <f>J4-J7</f>
        <v>1065.0</v>
      </c>
      <c r="K8" s="52">
        <f>K4-K7</f>
        <v>1225.4585522399998</v>
      </c>
      <c r="L8" s="52">
        <f>L4-L7</f>
        <v>1393.2630919458506</v>
      </c>
      <c r="M8" s="52">
        <f>M4-M7</f>
        <v>1564.9658412921262</v>
      </c>
      <c r="N8" s="52">
        <f>N4-N7</f>
        <v>1736.3982153901543</v>
      </c>
      <c r="O8" s="52">
        <f>O4-O7</f>
        <v>1902.8320157097978</v>
      </c>
      <c r="P8" s="52">
        <f>P4-P7</f>
        <v>2059.1617901237105</v>
      </c>
      <c r="Q8" s="52">
        <f>Q4-Q7</f>
        <v>2200.1379856309813</v>
      </c>
      <c r="R8" s="52">
        <f>R4-R7</f>
        <v>2320.6386916186566</v>
      </c>
      <c r="S8" s="52">
        <f>S4-S7</f>
        <v>2415.962402424617</v>
      </c>
      <c r="T8" s="52">
        <f>T4-T7</f>
        <v>2482.1200487463975</v>
      </c>
    </row>
    <row r="9">
      <c r="A9" s="18" t="inlineStr">
        <is>
          <t>Interest &amp; Other</t>
        </is>
      </c>
      <c r="B9" s="52" t="n">
        <v>-42.153</v>
      </c>
      <c r="C9" s="52" t="n">
        <v>34.927</v>
      </c>
      <c r="D9" s="52" t="n">
        <v>33.271</v>
      </c>
      <c r="E9" s="52" t="n">
        <v>-61.573</v>
      </c>
      <c r="F9" s="52" t="n">
        <v>145.277</v>
      </c>
      <c r="G9" s="52" t="n">
        <v>102.07</v>
      </c>
      <c r="H9" s="52" t="n">
        <v>69.175</v>
      </c>
      <c r="I9" s="52" t="n">
        <v>401.881</v>
      </c>
      <c r="J9" s="52" t="n">
        <v>139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</row>
    <row r="10">
      <c r="A10" s="2" t="inlineStr">
        <is>
          <t>Pretax</t>
        </is>
      </c>
      <c r="B10" s="52">
        <f>B8+B9</f>
        <v>160.181</v>
      </c>
      <c r="C10" s="52">
        <f>C8+C9</f>
        <v>242.67999999999998</v>
      </c>
      <c r="D10" s="52">
        <f>D8+D9</f>
        <v>430.40999999999997</v>
      </c>
      <c r="E10" s="52">
        <f>E8+E9</f>
        <v>888.8219999999999</v>
      </c>
      <c r="F10" s="52">
        <f>F8+F9</f>
        <v>589.838</v>
      </c>
      <c r="G10" s="52">
        <f>G8+G9</f>
        <v>1045.541</v>
      </c>
      <c r="H10" s="52">
        <f>H8+H9</f>
        <v>841.175</v>
      </c>
      <c r="I10" s="52">
        <f>I8+I9</f>
        <v>1373.8809999999999</v>
      </c>
      <c r="J10" s="52">
        <f>J8+J9</f>
        <v>1204.0</v>
      </c>
      <c r="K10" s="52">
        <f>K8+K9</f>
        <v>1225.4585522399998</v>
      </c>
      <c r="L10" s="52">
        <f>L8+L9</f>
        <v>1393.2630919458506</v>
      </c>
      <c r="M10" s="52">
        <f>M8+M9</f>
        <v>1564.9658412921262</v>
      </c>
      <c r="N10" s="52">
        <f>N8+N9</f>
        <v>1736.3982153901543</v>
      </c>
      <c r="O10" s="52">
        <f>O8+O9</f>
        <v>1902.8320157097978</v>
      </c>
      <c r="P10" s="52">
        <f>P8+P9</f>
        <v>2059.1617901237105</v>
      </c>
      <c r="Q10" s="52">
        <f>Q8+Q9</f>
        <v>2200.1379856309813</v>
      </c>
      <c r="R10" s="52">
        <f>R8+R9</f>
        <v>2320.6386916186566</v>
      </c>
      <c r="S10" s="52">
        <f>S8+S9</f>
        <v>2415.962402424617</v>
      </c>
      <c r="T10" s="52">
        <f>T8+T9</f>
        <v>2482.1200487463975</v>
      </c>
    </row>
    <row r="11">
      <c r="A11" s="2" t="inlineStr">
        <is>
          <t>Taxes</t>
        </is>
      </c>
      <c r="B11" s="52" t="n">
        <v>-6.022</v>
      </c>
      <c r="C11" s="52" t="n">
        <v>21.076</v>
      </c>
      <c r="D11" s="52" t="n">
        <v>104.328</v>
      </c>
      <c r="E11" s="52" t="n">
        <v>172.525</v>
      </c>
      <c r="F11" s="52" t="n">
        <v>144.674</v>
      </c>
      <c r="G11" s="52" t="n">
        <v>224.765</v>
      </c>
      <c r="H11" s="52" t="n">
        <v>186</v>
      </c>
      <c r="I11" s="52" t="n">
        <v>193</v>
      </c>
      <c r="J11" s="52" t="n">
        <v>241</v>
      </c>
      <c r="K11" s="52">
        <f>MAX(0,K10)*Assumptions!$E$14</f>
        <v>208.32795388079998</v>
      </c>
      <c r="L11" s="52">
        <f>MAX(0,L10)*Assumptions!$E$14</f>
        <v>236.85472563079463</v>
      </c>
      <c r="M11" s="52">
        <f>MAX(0,M10)*Assumptions!$E$14</f>
        <v>266.04419301966146</v>
      </c>
      <c r="N11" s="52">
        <f>MAX(0,N10)*Assumptions!$E$14</f>
        <v>295.18769661632626</v>
      </c>
      <c r="O11" s="52">
        <f>MAX(0,O10)*Assumptions!$E$14</f>
        <v>323.4814426706657</v>
      </c>
      <c r="P11" s="52">
        <f>MAX(0,P10)*Assumptions!$E$14</f>
        <v>350.0575043210308</v>
      </c>
      <c r="Q11" s="52">
        <f>MAX(0,Q10)*Assumptions!$E$14</f>
        <v>374.02345755726685</v>
      </c>
      <c r="R11" s="52">
        <f>MAX(0,R10)*Assumptions!$E$14</f>
        <v>394.50857757517167</v>
      </c>
      <c r="S11" s="52">
        <f>MAX(0,S10)*Assumptions!$E$14</f>
        <v>410.7136084121849</v>
      </c>
      <c r="T11" s="52">
        <f>MAX(0,T10)*Assumptions!$E$14</f>
        <v>421.9604082868876</v>
      </c>
    </row>
    <row r="12">
      <c r="A12" s="2" t="inlineStr">
        <is>
          <t>Net Income</t>
        </is>
      </c>
      <c r="B12" s="52" t="n">
        <v>166.202</v>
      </c>
      <c r="C12" s="52" t="n">
        <v>221.603</v>
      </c>
      <c r="D12" s="52" t="n">
        <v>326.082</v>
      </c>
      <c r="E12" s="52" t="n">
        <v>716.297</v>
      </c>
      <c r="F12" s="52" t="n">
        <v>445.164</v>
      </c>
      <c r="G12" s="52" t="n">
        <v>820.775</v>
      </c>
      <c r="H12" s="52" t="n">
        <v>655.175</v>
      </c>
      <c r="I12" s="52" t="n">
        <v>1180.881</v>
      </c>
      <c r="J12" s="52" t="n">
        <v>963</v>
      </c>
      <c r="K12" s="52">
        <f>K10-K11</f>
        <v>1017.1305983591998</v>
      </c>
      <c r="L12" s="52">
        <f>L10-L11</f>
        <v>1156.408366315056</v>
      </c>
      <c r="M12" s="52">
        <f>M10-M11</f>
        <v>1298.9216482724648</v>
      </c>
      <c r="N12" s="52">
        <f>N10-N11</f>
        <v>1441.210518773828</v>
      </c>
      <c r="O12" s="52">
        <f>O10-O11</f>
        <v>1579.350573039132</v>
      </c>
      <c r="P12" s="52">
        <f>P10-P11</f>
        <v>1709.1042858026797</v>
      </c>
      <c r="Q12" s="52">
        <f>Q10-Q11</f>
        <v>1826.1145280737146</v>
      </c>
      <c r="R12" s="52">
        <f>R10-R11</f>
        <v>1926.1301140434848</v>
      </c>
      <c r="S12" s="52">
        <f>S10-S11</f>
        <v>2005.248794012432</v>
      </c>
      <c r="T12" s="52">
        <f>T10-T11</f>
        <v>2060.15964045951</v>
      </c>
    </row>
    <row r="13">
      <c r="A13" s="2" t="inlineStr">
        <is>
          <t>Earnings per Share</t>
        </is>
      </c>
      <c r="B13" s="11">
        <f>IFERROR(B12/B14,0)</f>
        <v>2.676619319096853</v>
      </c>
      <c r="C13" s="11">
        <f>IFERROR(C12/C14,0)</f>
        <v>3.5716496091546457</v>
      </c>
      <c r="D13" s="11">
        <f>IFERROR(D12/D14,0)</f>
        <v>5.124094473340981</v>
      </c>
      <c r="E13" s="11">
        <f>IFERROR(E12/E14,0)</f>
        <v>10.87176334881462</v>
      </c>
      <c r="F13" s="11">
        <f>IFERROR(F12/F14,0)</f>
        <v>6.740211367834538</v>
      </c>
      <c r="G13" s="11">
        <f>IFERROR(G12/G14,0)</f>
        <v>12.434100893803969</v>
      </c>
      <c r="H13" s="11">
        <f>IFERROR(H12/H14,0)</f>
        <v>9.942259249142614</v>
      </c>
      <c r="I13" s="11">
        <f>IFERROR(I12/I14,0)</f>
        <v>18.26405902004454</v>
      </c>
      <c r="J13" s="11">
        <f>IFERROR(J12/J14,0)</f>
        <v>15.360811586805333</v>
      </c>
      <c r="K13" s="11">
        <f>IFERROR(K12/K14,0)</f>
        <v>1.58336831504168</v>
      </c>
      <c r="L13" s="11">
        <f>IFERROR(L12/L14,0)</f>
        <v>1.8001821687658508</v>
      </c>
      <c r="M13" s="11">
        <f>IFERROR(M12/M14,0)</f>
        <v>2.0220327506753666</v>
      </c>
      <c r="N13" s="11">
        <f>IFERROR(N12/N14,0)</f>
        <v>2.243533991025786</v>
      </c>
      <c r="O13" s="11">
        <f>IFERROR(O12/O14,0)</f>
        <v>2.4585767646034005</v>
      </c>
      <c r="P13" s="11">
        <f>IFERROR(P12/P14,0)</f>
        <v>2.660564511191933</v>
      </c>
      <c r="Q13" s="11">
        <f>IFERROR(Q12/Q14,0)</f>
        <v>2.842714483325481</v>
      </c>
      <c r="R13" s="11">
        <f>IFERROR(R12/R14,0)</f>
        <v>2.9984088554054527</v>
      </c>
      <c r="S13" s="11">
        <f>IFERROR(S12/S14,0)</f>
        <v>3.1215729910561167</v>
      </c>
      <c r="T13" s="11">
        <f>IFERROR(T12/T14,0)</f>
        <v>3.2070527657838435</v>
      </c>
    </row>
    <row r="14">
      <c r="A14" s="2" t="inlineStr">
        <is>
          <t>Shares</t>
        </is>
      </c>
      <c r="B14" s="52" t="n">
        <v>62.094</v>
      </c>
      <c r="C14" s="52" t="n">
        <v>62.045</v>
      </c>
      <c r="D14" s="52" t="n">
        <v>63.637</v>
      </c>
      <c r="E14" s="52" t="n">
        <v>65.886</v>
      </c>
      <c r="F14" s="52" t="n">
        <v>66.04600000000001</v>
      </c>
      <c r="G14" s="52" t="n">
        <v>66.01000000000001</v>
      </c>
      <c r="H14" s="52" t="n">
        <v>65.898</v>
      </c>
      <c r="I14" s="52" t="n">
        <v>64.65600000000001</v>
      </c>
      <c r="J14" s="52" t="n">
        <v>62.692</v>
      </c>
      <c r="K14" s="52">
        <f>Main!$C$4</f>
        <v>642.38408</v>
      </c>
      <c r="L14" s="52">
        <f>Main!$C$4</f>
        <v>642.38408</v>
      </c>
      <c r="M14" s="52">
        <f>Main!$C$4</f>
        <v>642.38408</v>
      </c>
      <c r="N14" s="52">
        <f>Main!$C$4</f>
        <v>642.38408</v>
      </c>
      <c r="O14" s="52">
        <f>Main!$C$4</f>
        <v>642.38408</v>
      </c>
      <c r="P14" s="52">
        <f>Main!$C$4</f>
        <v>642.38408</v>
      </c>
      <c r="Q14" s="52">
        <f>Main!$C$4</f>
        <v>642.38408</v>
      </c>
      <c r="R14" s="52">
        <f>Main!$C$4</f>
        <v>642.38408</v>
      </c>
      <c r="S14" s="52">
        <f>Main!$C$4</f>
        <v>642.38408</v>
      </c>
      <c r="T14" s="52">
        <f>Main!$C$4</f>
        <v>642.38408</v>
      </c>
    </row>
    <row r="15"/>
    <row r="16" customFormat="1" s="4">
      <c r="A16" s="3" t="inlineStr">
        <is>
          <t>Revenue Change</t>
        </is>
      </c>
      <c r="C16" s="15">
        <f>IFERROR(C2/B2-1,"")</f>
        <v>0.27906898362829</v>
      </c>
      <c r="D16" s="15">
        <f>IFERROR(D2/C2-1,"")</f>
        <v>0.7738827977979845</v>
      </c>
      <c r="E16" s="15">
        <f>IFERROR(E2/D2-1,"")</f>
        <v>0.8842723946186564</v>
      </c>
      <c r="F16" s="15">
        <f>IFERROR(F2/E2-1,"")</f>
        <v>-0.1675406394037977</v>
      </c>
      <c r="G16" s="15">
        <f>IFERROR(G2/F2-1,"")</f>
        <v>0.7232987910598883</v>
      </c>
      <c r="H16" s="15">
        <f>IFERROR(H2/G2-1,"")</f>
        <v>0.13574603442101485</v>
      </c>
      <c r="I16" s="15">
        <f>IFERROR(I2/H2-1,"")</f>
        <v>0.30666508070271625</v>
      </c>
      <c r="J16" s="15">
        <f>IFERROR(J2/I2-1,"")</f>
        <v>0.14791891866037865</v>
      </c>
      <c r="K16" s="15">
        <f>IFERROR(K2/J2-1,"")</f>
        <v>0.14789999999999992</v>
      </c>
      <c r="L16" s="15">
        <f>IFERROR(L2/K2-1,"")</f>
        <v>0.1342444444444444</v>
      </c>
      <c r="M16" s="15">
        <f>IFERROR(M2/L2-1,"")</f>
        <v>0.12058888888888886</v>
      </c>
      <c r="N16" s="15">
        <f>IFERROR(N2/M2-1,"")</f>
        <v>0.10693333333333332</v>
      </c>
      <c r="O16" s="15">
        <f>IFERROR(O2/N2-1,"")</f>
        <v>0.09327777777777779</v>
      </c>
      <c r="P16" s="15">
        <f>IFERROR(P2/O2-1,"")</f>
        <v>0.07962222222222226</v>
      </c>
      <c r="Q16" s="15">
        <f>IFERROR(Q2/P2-1,"")</f>
        <v>0.06596666666666673</v>
      </c>
      <c r="R16" s="15">
        <f>IFERROR(R2/Q2-1,"")</f>
        <v>0.0523111111111112</v>
      </c>
      <c r="S16" s="15">
        <f>IFERROR(S2/R2-1,"")</f>
        <v>0.038655555555555665</v>
      </c>
      <c r="T16" s="15">
        <f>IFERROR(T2/S2-1,"")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0.9866940312649944</v>
      </c>
      <c r="I17" s="15">
        <f>IFERROR(I4/I2,"")</f>
        <v>0.9558730093095608</v>
      </c>
      <c r="J17" s="15">
        <f>IFERROR(J4/J2,"")</f>
        <v>0.9360215053763441</v>
      </c>
      <c r="K17" s="15">
        <f>IFERROR(K4/K2,"")</f>
        <v>0.936</v>
      </c>
      <c r="L17" s="15">
        <f>IFERROR(L4/L2,"")</f>
        <v>0.936</v>
      </c>
      <c r="M17" s="15">
        <f>IFERROR(M4/M2,"")</f>
        <v>0.936</v>
      </c>
      <c r="N17" s="15">
        <f>IFERROR(N4/N2,"")</f>
        <v>0.9360000000000002</v>
      </c>
      <c r="O17" s="15">
        <f>IFERROR(O4/O2,"")</f>
        <v>0.936</v>
      </c>
      <c r="P17" s="15">
        <f>IFERROR(P4/P2,"")</f>
        <v>0.936</v>
      </c>
      <c r="Q17" s="15">
        <f>IFERROR(Q4/Q2,"")</f>
        <v>0.936</v>
      </c>
      <c r="R17" s="15">
        <f>IFERROR(R4/R2,"")</f>
        <v>0.936</v>
      </c>
      <c r="S17" s="15">
        <f>IFERROR(S4/S2,"")</f>
        <v>0.936</v>
      </c>
      <c r="T17" s="15">
        <f>IFERROR(T4/T2,"")</f>
        <v>0.936</v>
      </c>
    </row>
    <row r="18">
      <c r="A18" s="14" t="inlineStr">
        <is>
          <t>Operating Margin</t>
        </is>
      </c>
      <c r="B18" s="15">
        <f>IFERROR(B8/B2,"")</f>
        <v>0.5682884836296943</v>
      </c>
      <c r="C18" s="15">
        <f>IFERROR(C8/C2,"")</f>
        <v>0.45619794422937143</v>
      </c>
      <c r="D18" s="15">
        <f>IFERROR(D8/D2,"")</f>
        <v>0.4916133137251989</v>
      </c>
      <c r="E18" s="15">
        <f>IFERROR(E8/E2,"")</f>
        <v>0.624369320600617</v>
      </c>
      <c r="F18" s="15">
        <f>IFERROR(F8/F2,"")</f>
        <v>0.35083727724495184</v>
      </c>
      <c r="G18" s="15">
        <f>IFERROR(G8/G2,"")</f>
        <v>0.4320582909657429</v>
      </c>
      <c r="H18" s="15">
        <f>IFERROR(H8/H2,"")</f>
        <v>0.31127902616437303</v>
      </c>
      <c r="I18" s="15">
        <f>IFERROR(I8/I2,"")</f>
        <v>0.2999401045531957</v>
      </c>
      <c r="J18" s="15">
        <f>IFERROR(J8/J2,"")</f>
        <v>0.2862903225806452</v>
      </c>
      <c r="K18" s="15">
        <f>IFERROR(K8/K2,"")</f>
        <v>0.28697999999999996</v>
      </c>
      <c r="L18" s="15">
        <f>IFERROR(L8/L2,"")</f>
        <v>0.28765999999999997</v>
      </c>
      <c r="M18" s="15">
        <f>IFERROR(M8/M2,"")</f>
        <v>0.28834000000000004</v>
      </c>
      <c r="N18" s="15">
        <f>IFERROR(N8/N2,"")</f>
        <v>0.28902000000000005</v>
      </c>
      <c r="O18" s="15">
        <f>IFERROR(O8/O2,"")</f>
        <v>0.28969999999999996</v>
      </c>
      <c r="P18" s="15">
        <f>IFERROR(P8/P2,"")</f>
        <v>0.29038</v>
      </c>
      <c r="Q18" s="15">
        <f>IFERROR(Q8/Q2,"")</f>
        <v>0.29106000000000004</v>
      </c>
      <c r="R18" s="15">
        <f>IFERROR(R8/R2,"")</f>
        <v>0.29173999999999994</v>
      </c>
      <c r="S18" s="15">
        <f>IFERROR(S8/S2,"")</f>
        <v>0.29242</v>
      </c>
      <c r="T18" s="15">
        <f>IFERROR(T8/T2,"")</f>
        <v>0.2931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Genmab A/S: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0.095</v>
      </c>
      <c r="C10" s="53" t="n">
        <v>0.08500000000000001</v>
      </c>
      <c r="D10" s="53" t="n">
        <v>0.075</v>
      </c>
      <c r="E10" s="54">
        <f>IF(ISNUMBER($B$6),$B$6,CHOOSE($B$4,B10,C10,D10))</f>
        <v>0.085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0.0979</v>
      </c>
      <c r="C12" s="53" t="n">
        <v>0.1479</v>
      </c>
      <c r="D12" s="53" t="n">
        <v>0.1979</v>
      </c>
      <c r="E12" s="54">
        <f>CHOOSE($B$4,B12,C12,D12)</f>
        <v>0.1479</v>
      </c>
    </row>
    <row r="13">
      <c r="A13" s="14" t="inlineStr">
        <is>
          <t>Operating margin, year 10</t>
        </is>
      </c>
      <c r="B13" s="53" t="n">
        <v>0.2431</v>
      </c>
      <c r="C13" s="53" t="n">
        <v>0.2931</v>
      </c>
      <c r="D13" s="53" t="n">
        <v>0.3431</v>
      </c>
      <c r="E13" s="54">
        <f>CHOOSE($B$4,B13,C13,D13)</f>
        <v>0.2931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0.2863</v>
      </c>
    </row>
    <row r="19">
      <c r="A19" s="14" t="inlineStr">
        <is>
          <t>Gross margin (forecast)</t>
        </is>
      </c>
      <c r="B19" s="53" t="n">
        <v>0.9360000000000001</v>
      </c>
    </row>
    <row r="20">
      <c r="A20" s="14" t="inlineStr">
        <is>
          <t>R&amp;D share of operating expense (forecast)</t>
        </is>
      </c>
      <c r="B20" s="53" t="n">
        <v>0.6645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1</v>
      </c>
    </row>
    <row r="23">
      <c r="A23" s="14" t="inlineStr">
        <is>
          <t>Balance sheet date</t>
        </is>
      </c>
      <c r="B23" s="31" t="n">
        <v>46022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Model'!J2</f>
        <v>3720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24721.778276924466</v>
      </c>
      <c r="C29" s="56">
        <f>NPV!B26</f>
        <v>21162.778276924466</v>
      </c>
      <c r="D29" s="35">
        <f>NPV!B28</f>
        <v>32.94412009233552</v>
      </c>
      <c r="E29" s="57">
        <f>NPV!B30</f>
        <v>-0.15679242149128447</v>
      </c>
    </row>
    <row r="30">
      <c r="A30" s="58" t="n">
        <v>1</v>
      </c>
      <c r="B30" s="59">
        <f t="dataTable" ref="B30:E32" r1="B4"/>
        <v>14227.926024580927</v>
      </c>
      <c r="C30" s="59">
        <v>10668.926024580927</v>
      </c>
      <c r="D30" s="39">
        <v>16.608328812539884</v>
      </c>
      <c r="E30" s="60">
        <v>-0.5749083999861816</v>
      </c>
    </row>
    <row r="31">
      <c r="A31" s="58" t="n">
        <v>2</v>
      </c>
      <c r="B31" s="59">
        <v>24721.778276924466</v>
      </c>
      <c r="C31" s="59">
        <v>21162.778276924466</v>
      </c>
      <c r="D31" s="39">
        <v>32.94412009233552</v>
      </c>
      <c r="E31" s="60">
        <v>-0.15679242149128447</v>
      </c>
    </row>
    <row r="32">
      <c r="A32" s="58" t="n">
        <v>3</v>
      </c>
      <c r="B32" s="59">
        <v>46257.841637977224</v>
      </c>
      <c r="C32" s="59">
        <v>42698.841637977224</v>
      </c>
      <c r="D32" s="39">
        <v>66.46933348344689</v>
      </c>
      <c r="E32" s="60">
        <v>0.701288289824594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32.94412009233552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0.065</v>
      </c>
      <c r="B37" s="39">
        <f t="dataTable" ref="B37:F41" dt2D="1" r1="B7" r2="B6"/>
        <v>43.18457414732676</v>
      </c>
      <c r="C37" s="39">
        <v>47.77077440008498</v>
      </c>
      <c r="D37" s="39">
        <v>53.49832536109573</v>
      </c>
      <c r="E37" s="39">
        <v>60.856320617001714</v>
      </c>
      <c r="F37" s="39">
        <v>70.65991554033648</v>
      </c>
    </row>
    <row r="38">
      <c r="A38" s="62" t="n">
        <v>0.075</v>
      </c>
      <c r="B38" s="39">
        <v>34.57270362646517</v>
      </c>
      <c r="C38" s="39">
        <v>37.55986406570876</v>
      </c>
      <c r="D38" s="39">
        <v>41.14047466261477</v>
      </c>
      <c r="E38" s="39">
        <v>45.5123097978202</v>
      </c>
      <c r="F38" s="39">
        <v>50.97203060262007</v>
      </c>
    </row>
    <row r="39">
      <c r="A39" s="62" t="n">
        <v>0.08500000000000001</v>
      </c>
      <c r="B39" s="39">
        <v>28.458454761096217</v>
      </c>
      <c r="C39" s="39">
        <v>30.53022713076359</v>
      </c>
      <c r="D39" s="39">
        <v>32.94412009233552</v>
      </c>
      <c r="E39" s="39">
        <v>35.79340606291397</v>
      </c>
      <c r="F39" s="39">
        <v>39.20866608667193</v>
      </c>
    </row>
    <row r="40">
      <c r="A40" s="62" t="n">
        <v>0.095</v>
      </c>
      <c r="B40" s="39">
        <v>23.901911443653372</v>
      </c>
      <c r="C40" s="39">
        <v>25.405824526463597</v>
      </c>
      <c r="D40" s="39">
        <v>27.121979962712228</v>
      </c>
      <c r="E40" s="39">
        <v>29.099329868589304</v>
      </c>
      <c r="F40" s="39">
        <v>31.403143459469412</v>
      </c>
    </row>
    <row r="41">
      <c r="A41" s="62" t="n">
        <v>0.105</v>
      </c>
      <c r="B41" s="39">
        <v>20.381247717597603</v>
      </c>
      <c r="C41" s="39">
        <v>21.51147945868835</v>
      </c>
      <c r="D41" s="39">
        <v>22.780813402450185</v>
      </c>
      <c r="E41" s="39">
        <v>24.21704770804684</v>
      </c>
      <c r="F41" s="39">
        <v>25.85592264086569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Genmab A/S: free-cash-flow DCF ($mm)</t>
        </is>
      </c>
    </row>
    <row r="3">
      <c r="A3" s="20" t="inlineStr">
        <is>
          <t>Fiscal year</t>
        </is>
      </c>
      <c r="B3" s="43">
        <f>'Yearly Model'!J1</f>
        <v>2025</v>
      </c>
      <c r="C3" s="43">
        <f>'Yearly Model'!K1</f>
        <v>2026</v>
      </c>
      <c r="D3" s="43">
        <f>'Yearly Model'!L1</f>
        <v>2027</v>
      </c>
      <c r="E3" s="43">
        <f>'Yearly Model'!M1</f>
        <v>2028</v>
      </c>
      <c r="F3" s="43">
        <f>'Yearly Model'!N1</f>
        <v>2029</v>
      </c>
      <c r="G3" s="43">
        <f>'Yearly Model'!O1</f>
        <v>2030</v>
      </c>
      <c r="H3" s="43">
        <f>'Yearly Model'!P1</f>
        <v>2031</v>
      </c>
      <c r="I3" s="43">
        <f>'Yearly Model'!Q1</f>
        <v>2032</v>
      </c>
      <c r="J3" s="43">
        <f>'Yearly Model'!R1</f>
        <v>2033</v>
      </c>
      <c r="K3" s="43">
        <f>'Yearly Model'!S1</f>
        <v>2034</v>
      </c>
      <c r="L3" s="43">
        <f>'Yearly Model'!T1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0.1479</v>
      </c>
      <c r="D5" s="63">
        <f>Assumptions!$E$12+(Assumptions!$E$11-Assumptions!$E$12)*(D4-1)/(Assumptions!$B$21-1)</f>
        <v>0.13424444444444444</v>
      </c>
      <c r="E5" s="63">
        <f>Assumptions!$E$12+(Assumptions!$E$11-Assumptions!$E$12)*(E4-1)/(Assumptions!$B$21-1)</f>
        <v>0.12058888888888888</v>
      </c>
      <c r="F5" s="63">
        <f>Assumptions!$E$12+(Assumptions!$E$11-Assumptions!$E$12)*(F4-1)/(Assumptions!$B$21-1)</f>
        <v>0.10693333333333332</v>
      </c>
      <c r="G5" s="63">
        <f>Assumptions!$E$12+(Assumptions!$E$11-Assumptions!$E$12)*(G4-1)/(Assumptions!$B$21-1)</f>
        <v>0.09327777777777778</v>
      </c>
      <c r="H5" s="63">
        <f>Assumptions!$E$12+(Assumptions!$E$11-Assumptions!$E$12)*(H4-1)/(Assumptions!$B$21-1)</f>
        <v>0.07962222222222222</v>
      </c>
      <c r="I5" s="63">
        <f>Assumptions!$E$12+(Assumptions!$E$11-Assumptions!$E$12)*(I4-1)/(Assumptions!$B$21-1)</f>
        <v>0.06596666666666666</v>
      </c>
      <c r="J5" s="63">
        <f>Assumptions!$E$12+(Assumptions!$E$11-Assumptions!$E$12)*(J4-1)/(Assumptions!$B$21-1)</f>
        <v>0.052311111111111114</v>
      </c>
      <c r="K5" s="63">
        <f>Assumptions!$E$12+(Assumptions!$E$11-Assumptions!$E$12)*(K4-1)/(Assumptions!$B$21-1)</f>
        <v>0.038655555555555554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0.2862903225806452</v>
      </c>
      <c r="C6" s="63">
        <f>Assumptions!$B$18+(Assumptions!$E$13-Assumptions!$B$18)*C4/Assumptions!$B$21</f>
        <v>0.28698</v>
      </c>
      <c r="D6" s="63">
        <f>Assumptions!$B$18+(Assumptions!$E$13-Assumptions!$B$18)*D4/Assumptions!$B$21</f>
        <v>0.28766</v>
      </c>
      <c r="E6" s="63">
        <f>Assumptions!$B$18+(Assumptions!$E$13-Assumptions!$B$18)*E4/Assumptions!$B$21</f>
        <v>0.28834</v>
      </c>
      <c r="F6" s="63">
        <f>Assumptions!$B$18+(Assumptions!$E$13-Assumptions!$B$18)*F4/Assumptions!$B$21</f>
        <v>0.28902</v>
      </c>
      <c r="G6" s="63">
        <f>Assumptions!$B$18+(Assumptions!$E$13-Assumptions!$B$18)*G4/Assumptions!$B$21</f>
        <v>0.2897</v>
      </c>
      <c r="H6" s="63">
        <f>Assumptions!$B$18+(Assumptions!$E$13-Assumptions!$B$18)*H4/Assumptions!$B$21</f>
        <v>0.29038</v>
      </c>
      <c r="I6" s="63">
        <f>Assumptions!$B$18+(Assumptions!$E$13-Assumptions!$B$18)*I4/Assumptions!$B$21</f>
        <v>0.29106000000000004</v>
      </c>
      <c r="J6" s="63">
        <f>Assumptions!$B$18+(Assumptions!$E$13-Assumptions!$B$18)*J4/Assumptions!$B$21</f>
        <v>0.29174</v>
      </c>
      <c r="K6" s="63">
        <f>Assumptions!$B$18+(Assumptions!$E$13-Assumptions!$B$18)*K4/Assumptions!$B$21</f>
        <v>0.29242</v>
      </c>
      <c r="L6" s="63">
        <f>Assumptions!$B$18+(Assumptions!$E$13-Assumptions!$B$18)*L4/Assumptions!$B$21</f>
        <v>0.2931</v>
      </c>
    </row>
    <row r="7">
      <c r="A7" s="14" t="inlineStr">
        <is>
          <t>Revenue</t>
        </is>
      </c>
      <c r="B7" s="55">
        <f>'Yearly Model'!J2</f>
        <v>3720</v>
      </c>
      <c r="C7" s="55">
        <f>'Yearly Model'!K2</f>
        <v>4270.188</v>
      </c>
      <c r="D7" s="55">
        <f>'Yearly Model'!L2</f>
        <v>4843.437015733333</v>
      </c>
      <c r="E7" s="55">
        <f>'Yearly Model'!M2</f>
        <v>5427.501703863932</v>
      </c>
      <c r="F7" s="55">
        <f>'Yearly Model'!N2</f>
        <v>6007.882552730448</v>
      </c>
      <c r="G7" s="55">
        <f>'Yearly Model'!O2</f>
        <v>6568.284486399027</v>
      </c>
      <c r="H7" s="55">
        <f>'Yearly Model'!P2</f>
        <v>7091.265893393865</v>
      </c>
      <c r="I7" s="55">
        <f>'Yearly Model'!Q2</f>
        <v>7559.053066828081</v>
      </c>
      <c r="J7" s="55">
        <f>'Yearly Model'!R2</f>
        <v>7954.475531701711</v>
      </c>
      <c r="K7" s="55">
        <f>'Yearly Model'!S2</f>
        <v>8261.960202532715</v>
      </c>
      <c r="L7" s="55">
        <f>'Yearly Model'!T2</f>
        <v>8468.509207596033</v>
      </c>
    </row>
    <row r="8">
      <c r="A8" s="14" t="inlineStr">
        <is>
          <t>Operating income</t>
        </is>
      </c>
      <c r="B8" s="55">
        <f>'Yearly Model'!J8</f>
        <v>1065.0</v>
      </c>
      <c r="C8" s="55">
        <f>'Yearly Model'!K8</f>
        <v>1225.4585522399998</v>
      </c>
      <c r="D8" s="55">
        <f>'Yearly Model'!L8</f>
        <v>1393.2630919458506</v>
      </c>
      <c r="E8" s="55">
        <f>'Yearly Model'!M8</f>
        <v>1564.9658412921262</v>
      </c>
      <c r="F8" s="55">
        <f>'Yearly Model'!N8</f>
        <v>1736.3982153901543</v>
      </c>
      <c r="G8" s="55">
        <f>'Yearly Model'!O8</f>
        <v>1902.8320157097978</v>
      </c>
      <c r="H8" s="55">
        <f>'Yearly Model'!P8</f>
        <v>2059.1617901237105</v>
      </c>
      <c r="I8" s="55">
        <f>'Yearly Model'!Q8</f>
        <v>2200.1379856309813</v>
      </c>
      <c r="J8" s="55">
        <f>'Yearly Model'!R8</f>
        <v>2320.6386916186566</v>
      </c>
      <c r="K8" s="55">
        <f>'Yearly Model'!S8</f>
        <v>2415.962402424617</v>
      </c>
      <c r="L8" s="55">
        <f>'Yearly Model'!T8</f>
        <v>2482.1200487463975</v>
      </c>
    </row>
    <row r="9">
      <c r="A9" s="14" t="inlineStr">
        <is>
          <t>Tax on operating income</t>
        </is>
      </c>
      <c r="C9" s="52">
        <f>MAX(0,C8)*Assumptions!$E$14</f>
        <v>208.32795388079998</v>
      </c>
      <c r="D9" s="52">
        <f>MAX(0,D8)*Assumptions!$E$14</f>
        <v>236.85472563079463</v>
      </c>
      <c r="E9" s="52">
        <f>MAX(0,E8)*Assumptions!$E$14</f>
        <v>266.04419301966146</v>
      </c>
      <c r="F9" s="52">
        <f>MAX(0,F8)*Assumptions!$E$14</f>
        <v>295.18769661632626</v>
      </c>
      <c r="G9" s="52">
        <f>MAX(0,G8)*Assumptions!$E$14</f>
        <v>323.4814426706657</v>
      </c>
      <c r="H9" s="52">
        <f>MAX(0,H8)*Assumptions!$E$14</f>
        <v>350.0575043210308</v>
      </c>
      <c r="I9" s="52">
        <f>MAX(0,I8)*Assumptions!$E$14</f>
        <v>374.02345755726685</v>
      </c>
      <c r="J9" s="52">
        <f>MAX(0,J8)*Assumptions!$E$14</f>
        <v>394.50857757517167</v>
      </c>
      <c r="K9" s="52">
        <f>MAX(0,K8)*Assumptions!$E$14</f>
        <v>410.7136084121849</v>
      </c>
      <c r="L9" s="52">
        <f>MAX(0,L8)*Assumptions!$E$14</f>
        <v>421.9604082868876</v>
      </c>
    </row>
    <row r="10">
      <c r="A10" s="14" t="inlineStr">
        <is>
          <t>NOPAT</t>
        </is>
      </c>
      <c r="C10" s="52">
        <f>C8-C9</f>
        <v>1017.1305983591998</v>
      </c>
      <c r="D10" s="52">
        <f>D8-D9</f>
        <v>1156.408366315056</v>
      </c>
      <c r="E10" s="52">
        <f>E8-E9</f>
        <v>1298.9216482724648</v>
      </c>
      <c r="F10" s="52">
        <f>F8-F9</f>
        <v>1441.210518773828</v>
      </c>
      <c r="G10" s="52">
        <f>G8-G9</f>
        <v>1579.350573039132</v>
      </c>
      <c r="H10" s="52">
        <f>H8-H9</f>
        <v>1709.1042858026797</v>
      </c>
      <c r="I10" s="52">
        <f>I8-I9</f>
        <v>1826.1145280737146</v>
      </c>
      <c r="J10" s="52">
        <f>J8-J9</f>
        <v>1926.1301140434848</v>
      </c>
      <c r="K10" s="52">
        <f>K8-K9</f>
        <v>2005.248794012432</v>
      </c>
      <c r="L10" s="52">
        <f>L8-L9</f>
        <v>2060.15964045951</v>
      </c>
    </row>
    <row r="11">
      <c r="A11" s="14" t="inlineStr">
        <is>
          <t>Reinvestment</t>
        </is>
      </c>
      <c r="C11" s="52">
        <f>(C7-B7)*Assumptions!$E$15</f>
        <v>137.54700000000003</v>
      </c>
      <c r="D11" s="52">
        <f>(D7-C7)*Assumptions!$E$15</f>
        <v>143.3122539333333</v>
      </c>
      <c r="E11" s="52">
        <f>(E7-D7)*Assumptions!$E$15</f>
        <v>146.0161720326496</v>
      </c>
      <c r="F11" s="52">
        <f>(F7-E7)*Assumptions!$E$15</f>
        <v>145.09521221662908</v>
      </c>
      <c r="G11" s="52">
        <f>(G7-F7)*Assumptions!$E$15</f>
        <v>140.1004834171447</v>
      </c>
      <c r="H11" s="52">
        <f>(H7-G7)*Assumptions!$E$15</f>
        <v>130.74535174870948</v>
      </c>
      <c r="I11" s="52">
        <f>(I7-H7)*Assumptions!$E$15</f>
        <v>116.94679335855403</v>
      </c>
      <c r="J11" s="52">
        <f>(J7-I7)*Assumptions!$E$15</f>
        <v>98.85561621840748</v>
      </c>
      <c r="K11" s="52">
        <f>(K7-J7)*Assumptions!$E$15</f>
        <v>76.87116770775106</v>
      </c>
      <c r="L11" s="52">
        <f>(L7-K7)*Assumptions!$E$15</f>
        <v>51.63725126582949</v>
      </c>
    </row>
    <row r="12">
      <c r="A12" s="20" t="inlineStr">
        <is>
          <t>Free cash flow</t>
        </is>
      </c>
      <c r="C12" s="64">
        <f>C10-C11</f>
        <v>879.5835983591998</v>
      </c>
      <c r="D12" s="64">
        <f>D10-D11</f>
        <v>1013.0961123817226</v>
      </c>
      <c r="E12" s="64">
        <f>E10-E11</f>
        <v>1152.9054762398152</v>
      </c>
      <c r="F12" s="64">
        <f>F10-F11</f>
        <v>1296.115306557199</v>
      </c>
      <c r="G12" s="64">
        <f>G10-G11</f>
        <v>1439.2500896219874</v>
      </c>
      <c r="H12" s="64">
        <f>H10-H11</f>
        <v>1578.3589340539702</v>
      </c>
      <c r="I12" s="64">
        <f>I10-I11</f>
        <v>1709.1677347151606</v>
      </c>
      <c r="J12" s="64">
        <f>J10-J11</f>
        <v>1827.2744978250773</v>
      </c>
      <c r="K12" s="64">
        <f>K10-K11</f>
        <v>1928.377626304681</v>
      </c>
      <c r="L12" s="64">
        <f>L10-L11</f>
        <v>2008.5223891936803</v>
      </c>
    </row>
    <row r="13">
      <c r="A13" s="14" t="inlineStr">
        <is>
          <t>Year fraction</t>
        </is>
      </c>
      <c r="C13" s="46">
        <f>Assumptions!$B$22</f>
        <v>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0.5</v>
      </c>
      <c r="D14" s="11">
        <f>C14+C13/2+D13/2</f>
        <v>1.5</v>
      </c>
      <c r="E14" s="11">
        <f>D14+D13/2+E13/2</f>
        <v>2.5</v>
      </c>
      <c r="F14" s="11">
        <f>E14+E13/2+F13/2</f>
        <v>3.5</v>
      </c>
      <c r="G14" s="11">
        <f>F14+F13/2+G13/2</f>
        <v>4.5</v>
      </c>
      <c r="H14" s="11">
        <f>G14+G13/2+H13/2</f>
        <v>5.5</v>
      </c>
      <c r="I14" s="11">
        <f>H14+H13/2+I13/2</f>
        <v>6.5</v>
      </c>
      <c r="J14" s="11">
        <f>I14+I13/2+J13/2</f>
        <v>7.5</v>
      </c>
      <c r="K14" s="11">
        <f>J14+J13/2+K13/2</f>
        <v>8.5</v>
      </c>
      <c r="L14" s="11">
        <f>K14+K13/2+L13/2</f>
        <v>9.5</v>
      </c>
    </row>
    <row r="15">
      <c r="A15" s="14" t="inlineStr">
        <is>
          <t>Discount factor</t>
        </is>
      </c>
      <c r="C15" s="65">
        <f>1/(1+Assumptions!$E$10)^C14</f>
        <v>0.9600307214746386</v>
      </c>
      <c r="D15" s="65">
        <f>1/(1+Assumptions!$E$10)^D14</f>
        <v>0.88482094145128</v>
      </c>
      <c r="E15" s="65">
        <f>1/(1+Assumptions!$E$10)^E14</f>
        <v>0.8155031718444976</v>
      </c>
      <c r="F15" s="65">
        <f>1/(1+Assumptions!$E$10)^F14</f>
        <v>0.7516158265847905</v>
      </c>
      <c r="G15" s="65">
        <f>1/(1+Assumptions!$E$10)^G14</f>
        <v>0.6927334807233092</v>
      </c>
      <c r="H15" s="65">
        <f>1/(1+Assumptions!$E$10)^H14</f>
        <v>0.638464037533004</v>
      </c>
      <c r="I15" s="65">
        <f>1/(1+Assumptions!$E$10)^I14</f>
        <v>0.5884461175419391</v>
      </c>
      <c r="J15" s="65">
        <f>1/(1+Assumptions!$E$10)^J14</f>
        <v>0.5423466521123863</v>
      </c>
      <c r="K15" s="65">
        <f>1/(1+Assumptions!$E$10)^K14</f>
        <v>0.49985866554136993</v>
      </c>
      <c r="L15" s="65">
        <f>1/(1+Assumptions!$E$10)^L14</f>
        <v>0.460699230913705</v>
      </c>
    </row>
    <row r="16">
      <c r="A16" s="20" t="inlineStr">
        <is>
          <t>PV of free cash flow</t>
        </is>
      </c>
      <c r="C16" s="64">
        <f>C12*C13*C15</f>
        <v>844.4272765300414</v>
      </c>
      <c r="D16" s="64">
        <f>D12*D13*D15</f>
        <v>896.4086559382275</v>
      </c>
      <c r="E16" s="64">
        <f>E12*E13*E15</f>
        <v>940.1980727104605</v>
      </c>
      <c r="F16" s="64">
        <f>F12*F13*F15</f>
        <v>974.1807774871883</v>
      </c>
      <c r="G16" s="64">
        <f>G12*G13*G15</f>
        <v>997.016724215174</v>
      </c>
      <c r="H16" s="64">
        <f>H12*H13*H15</f>
        <v>1007.7254177123862</v>
      </c>
      <c r="I16" s="64">
        <f>I12*I13*I15</f>
        <v>1005.7531177210872</v>
      </c>
      <c r="J16" s="64">
        <f>J12*J13*J15</f>
        <v>991.0162063857726</v>
      </c>
      <c r="K16" s="64">
        <f>K12*K13*K15</f>
        <v>963.9162669444923</v>
      </c>
      <c r="L16" s="64">
        <f>L12*L13*L15</f>
        <v>925.3247199744858</v>
      </c>
    </row>
    <row r="19">
      <c r="A19" s="14" t="inlineStr">
        <is>
          <t>PV of forecast free cash flow</t>
        </is>
      </c>
      <c r="B19" s="52">
        <f>SUM(C16:L16)</f>
        <v>9545.967235619315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2058.735448923522</v>
      </c>
    </row>
    <row r="21">
      <c r="A21" s="14" t="inlineStr">
        <is>
          <t>Terminal value</t>
        </is>
      </c>
      <c r="B21" s="52">
        <f>B20/(Assumptions!$E$10-Assumptions!$E$11)</f>
        <v>34312.2574820587</v>
      </c>
    </row>
    <row r="22">
      <c r="A22" s="14" t="inlineStr">
        <is>
          <t>PV of terminal value</t>
        </is>
      </c>
      <c r="B22" s="52">
        <f>B21/(1+Assumptions!$E$10)^(L14+0.5)</f>
        <v>15175.811041305153</v>
      </c>
    </row>
    <row r="23">
      <c r="A23" s="20" t="inlineStr">
        <is>
          <t>Enterprise value</t>
        </is>
      </c>
      <c r="B23" s="66">
        <f>B19+B22</f>
        <v>24721.778276924466</v>
      </c>
    </row>
    <row r="24">
      <c r="A24" s="14" t="inlineStr">
        <is>
          <t>Cash &amp; investments</t>
        </is>
      </c>
      <c r="B24" s="55">
        <f>Main!C7</f>
        <v>1715</v>
      </c>
    </row>
    <row r="25">
      <c r="A25" s="14" t="inlineStr">
        <is>
          <t>Debt</t>
        </is>
      </c>
      <c r="B25" s="55">
        <f>Main!C8</f>
        <v>5274.0</v>
      </c>
    </row>
    <row r="26">
      <c r="A26" s="20" t="inlineStr">
        <is>
          <t>Equity value</t>
        </is>
      </c>
      <c r="B26" s="66">
        <f>B23+B24-B25</f>
        <v>21162.778276924466</v>
      </c>
    </row>
    <row r="27">
      <c r="A27" s="14" t="inlineStr">
        <is>
          <t>Shares (mm)</t>
        </is>
      </c>
      <c r="B27" s="55">
        <f>Main!C4</f>
        <v>642.38408</v>
      </c>
    </row>
    <row r="28">
      <c r="A28" s="20" t="inlineStr">
        <is>
          <t>NPV / share</t>
        </is>
      </c>
      <c r="B28" s="49">
        <f>B26/B27</f>
        <v>32.94412009233552</v>
      </c>
    </row>
    <row r="29">
      <c r="A29" s="14" t="inlineStr">
        <is>
          <t>Price</t>
        </is>
      </c>
      <c r="B29" s="50">
        <f>Main!C3</f>
        <v>39.07</v>
      </c>
    </row>
    <row r="30">
      <c r="A30" s="14" t="inlineStr">
        <is>
          <t>Upside</t>
        </is>
      </c>
      <c r="B30" s="63">
        <f>B28/B29-1</f>
        <v>-0.15679242149128447</v>
      </c>
    </row>
    <row r="31">
      <c r="A31" s="14" t="inlineStr">
        <is>
          <t>Terminal value, % of EV</t>
        </is>
      </c>
      <c r="B31" s="63">
        <f>IFERROR(B22/B23,0)</f>
        <v>0.613864054248492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2026-10-21T01:03:45Z</dcterms:modified>
  <cp:lastModifiedBy>Wang, Eric</cp:lastModifiedBy>
</cp:coreProperties>
</file>