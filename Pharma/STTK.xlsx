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Shattuck Labs Inc</t>
        </is>
      </c>
      <c r="C2" s="10" t="n"/>
    </row>
    <row r="3">
      <c r="B3" t="inlineStr">
        <is>
          <t>Price</t>
        </is>
      </c>
      <c r="C3" s="11">
        <f>INDEX([1]Pharma!$F$1:$F$1000,MATCH("STTK",[1]Pharma!$B$1:$B$1000,0))</f>
        <v>5.84</v>
      </c>
      <c r="F3" s="1" t="n"/>
    </row>
    <row r="4">
      <c r="B4" t="inlineStr">
        <is>
          <t>Shares</t>
        </is>
      </c>
      <c r="C4" s="21" t="n">
        <v>100.363253</v>
      </c>
      <c r="F4" s="1" t="n"/>
    </row>
    <row r="5">
      <c r="B5" t="inlineStr">
        <is>
          <t>Market Cap.</t>
        </is>
      </c>
      <c r="C5" s="13">
        <f>C3*C4</f>
        <v>586.12139752</v>
      </c>
      <c r="F5" s="1" t="n"/>
    </row>
    <row r="6"/>
    <row r="7">
      <c r="B7" t="inlineStr">
        <is>
          <t>Cash</t>
        </is>
      </c>
      <c r="C7" s="21">
        <f>63.299+145.004</f>
        <v>208.303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377.81839751999996</v>
      </c>
    </row>
    <row r="10"/>
    <row r="11">
      <c r="B11" s="14" t="inlineStr">
        <is>
          <t>Net Cash / Share</t>
        </is>
      </c>
      <c r="C11" s="11">
        <f>(C7-C8)/C4</f>
        <v>2.0754907177032216</v>
      </c>
    </row>
    <row r="12">
      <c r="B12" s="14" t="inlineStr">
        <is>
          <t>Upside</t>
        </is>
      </c>
      <c r="C12" s="15">
        <f>IFERROR(C11/C3-1,"")</f>
        <v>-0.6446077538179416</v>
      </c>
    </row>
    <row r="13">
      <c r="B13" s="14" t="inlineStr">
        <is>
          <t>Cash / Share</t>
        </is>
      </c>
      <c r="C13" s="11">
        <f>IFERROR((C7-C8)/C4,"")</f>
        <v>2.0754907177032216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-41.028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5.077093692112704</v>
      </c>
    </row>
    <row r="19">
      <c r="B19" s="14" t="inlineStr">
        <is>
          <t>Implied Pipeline Value</t>
        </is>
      </c>
      <c r="C19" s="13">
        <f>C9</f>
        <v>377.81839751999996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9.887</v>
      </c>
      <c r="C2" s="23" t="n">
        <v>9.933999999999999</v>
      </c>
      <c r="D2" s="23" t="n">
        <v>30.017</v>
      </c>
      <c r="E2" s="23" t="n">
        <v>0.652</v>
      </c>
      <c r="F2" s="23" t="n">
        <v>1.657</v>
      </c>
      <c r="G2" s="23" t="n">
        <v>5.721</v>
      </c>
      <c r="H2" s="23" t="n">
        <v>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9.887</v>
      </c>
      <c r="C4" s="23">
        <f>C2-C3</f>
        <v>9.934</v>
      </c>
      <c r="D4" s="23">
        <f>D2-D3</f>
        <v>30.017</v>
      </c>
      <c r="E4" s="23">
        <f>E2-E3</f>
        <v>0.652</v>
      </c>
      <c r="F4" s="23">
        <f>F2-F3</f>
        <v>1.657</v>
      </c>
      <c r="G4" s="23">
        <f>G2-G3</f>
        <v>5.721</v>
      </c>
      <c r="H4" s="23">
        <f>H2-H3</f>
        <v>1.0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29.218</v>
      </c>
      <c r="C5" s="23" t="n">
        <v>37.483</v>
      </c>
      <c r="D5" s="23" t="n">
        <v>56.563</v>
      </c>
      <c r="E5" s="23" t="n">
        <v>82.899</v>
      </c>
      <c r="F5" s="23" t="n">
        <v>74.31</v>
      </c>
      <c r="G5" s="23" t="n">
        <v>67.211</v>
      </c>
      <c r="H5" s="23" t="n">
        <v>35.273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5.736</v>
      </c>
      <c r="C6" s="23" t="n">
        <v>9.382</v>
      </c>
      <c r="D6" s="23" t="n">
        <v>18.723</v>
      </c>
      <c r="E6" s="23" t="n">
        <v>21.082</v>
      </c>
      <c r="F6" s="23" t="n">
        <v>19.304</v>
      </c>
      <c r="G6" s="23" t="n">
        <v>19.077</v>
      </c>
      <c r="H6" s="23" t="n">
        <v>17.235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34.954</v>
      </c>
      <c r="C7" s="23">
        <f>SUM(C5:C6)</f>
        <v>46.864999999999995</v>
      </c>
      <c r="D7" s="23">
        <f>SUM(D5:D6)</f>
        <v>75.286</v>
      </c>
      <c r="E7" s="23">
        <f>SUM(E5:E6)</f>
        <v>103.981</v>
      </c>
      <c r="F7" s="23">
        <f>SUM(F5:F6)</f>
        <v>93.614</v>
      </c>
      <c r="G7" s="23">
        <f>SUM(G5:G6)</f>
        <v>86.288</v>
      </c>
      <c r="H7" s="23">
        <f>SUM(H5:H6)</f>
        <v>52.508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-25.067</v>
      </c>
      <c r="C8" s="23">
        <f>C4-C7</f>
        <v>-36.931</v>
      </c>
      <c r="D8" s="23">
        <f>D4-D7</f>
        <v>-45.269000000000005</v>
      </c>
      <c r="E8" s="23">
        <f>E4-E7</f>
        <v>-103.329</v>
      </c>
      <c r="F8" s="23">
        <f>F4-F7</f>
        <v>-91.95700000000001</v>
      </c>
      <c r="G8" s="23">
        <f>G4-G7</f>
        <v>-80.567</v>
      </c>
      <c r="H8" s="23">
        <f>H4-H7</f>
        <v>-51.508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1.085</v>
      </c>
      <c r="C9" s="23" t="n">
        <v>0.328</v>
      </c>
      <c r="D9" s="23" t="n">
        <v>0.295</v>
      </c>
      <c r="E9" s="23" t="n">
        <v>1.384</v>
      </c>
      <c r="F9" s="23" t="n">
        <v>4.659</v>
      </c>
      <c r="G9" s="23" t="n">
        <v>5.157</v>
      </c>
      <c r="H9" s="23" t="n">
        <v>2.699</v>
      </c>
    </row>
    <row r="10">
      <c r="A10" s="2" t="inlineStr">
        <is>
          <t>Pretax</t>
        </is>
      </c>
      <c r="B10" s="23">
        <f>B8+B9</f>
        <v>-23.982</v>
      </c>
      <c r="C10" s="23">
        <f>C8+C9</f>
        <v>-36.602999999999994</v>
      </c>
      <c r="D10" s="23">
        <f>D8+D9</f>
        <v>-44.974000000000004</v>
      </c>
      <c r="E10" s="23">
        <f>E8+E9</f>
        <v>-101.945</v>
      </c>
      <c r="F10" s="23">
        <f>F8+F9</f>
        <v>-87.298</v>
      </c>
      <c r="G10" s="23">
        <f>G8+G9</f>
        <v>-75.41</v>
      </c>
      <c r="H10" s="23">
        <f>H8+H9</f>
        <v>-48.809000000000005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-23.982</v>
      </c>
      <c r="C12" s="23" t="n">
        <v>-36.603</v>
      </c>
      <c r="D12" s="23" t="n">
        <v>-44.974</v>
      </c>
      <c r="E12" s="23" t="n">
        <v>-101.945</v>
      </c>
      <c r="F12" s="23" t="n">
        <v>-87.298</v>
      </c>
      <c r="G12" s="23" t="n">
        <v>-75.41</v>
      </c>
      <c r="H12" s="23" t="n">
        <v>-48.809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-3.1734815402937673</v>
      </c>
      <c r="C13" s="11">
        <f>IFERROR(C12/C14,0)</f>
        <v>-2.36057010189604</v>
      </c>
      <c r="D13" s="11">
        <f>IFERROR(D12/D14,0)</f>
        <v>-1.0699942900647126</v>
      </c>
      <c r="E13" s="11">
        <f>IFERROR(E12/E14,0)</f>
        <v>-2.405554637910286</v>
      </c>
      <c r="F13" s="11">
        <f>IFERROR(F12/F14,0)</f>
        <v>-2.04924882629108</v>
      </c>
      <c r="G13" s="11">
        <f>IFERROR(G12/G14,0)</f>
        <v>-1.4856771346388744</v>
      </c>
      <c r="H13" s="11">
        <f>IFERROR(H12/H14,0)</f>
        <v>-0.7014299058705181</v>
      </c>
    </row>
    <row r="14">
      <c r="A14" s="2" t="inlineStr">
        <is>
          <t>Shares</t>
        </is>
      </c>
      <c r="B14" s="23" t="n">
        <v>7.557</v>
      </c>
      <c r="C14" s="23" t="n">
        <v>15.506</v>
      </c>
      <c r="D14" s="23" t="n">
        <v>42.032</v>
      </c>
      <c r="E14" s="23" t="n">
        <v>42.379</v>
      </c>
      <c r="F14" s="23" t="n">
        <v>42.6</v>
      </c>
      <c r="G14" s="23" t="n">
        <v>50.758</v>
      </c>
      <c r="H14" s="23" t="n">
        <v>69.58499999999999</v>
      </c>
    </row>
    <row r="15"/>
    <row r="16" customFormat="1" s="4">
      <c r="A16" s="3" t="inlineStr">
        <is>
          <t>Revenue Change</t>
        </is>
      </c>
      <c r="C16" s="15">
        <f>IFERROR(C2/B2-1,"")</f>
        <v>0.004753717002123903</v>
      </c>
      <c r="D16" s="15">
        <f>IFERROR(D2/C2-1,"")</f>
        <v>2.021642842762231</v>
      </c>
      <c r="E16" s="15">
        <f>IFERROR(E2/D2-1,"")</f>
        <v>-0.9782789752473598</v>
      </c>
      <c r="F16" s="15">
        <f>IFERROR(F2/E2-1,"")</f>
        <v>1.5414110429447851</v>
      </c>
      <c r="G16" s="15">
        <f>IFERROR(G2/F2-1,"")</f>
        <v>2.452625226312613</v>
      </c>
      <c r="H16" s="15">
        <f>IFERROR(H2/G2-1,"")</f>
        <v>-0.8252053836741828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-2.5353494487711137</v>
      </c>
      <c r="C18" s="15">
        <f>IFERROR(C8/C2,"")</f>
        <v>-3.7176364002415947</v>
      </c>
      <c r="D18" s="15">
        <f>IFERROR(D8/D2,"")</f>
        <v>-1.5081120698270982</v>
      </c>
      <c r="E18" s="15">
        <f>IFERROR(E8/E2,"")</f>
        <v>-158.48006134969324</v>
      </c>
      <c r="F18" s="15">
        <f>IFERROR(F8/F2,"")</f>
        <v>-55.49607724803863</v>
      </c>
      <c r="G18" s="15">
        <f>IFERROR(G8/G2,"")</f>
        <v>-14.08267785352211</v>
      </c>
      <c r="H18" s="15">
        <f>IFERROR(H8/H2,"")</f>
        <v>-51.508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2026-10-21T01:05:06Z</dcterms:modified>
  <cp:lastModifiedBy>Wang, Eric</cp:lastModifiedBy>
</cp:coreProperties>
</file>