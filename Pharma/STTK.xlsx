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Shattuck Labs Inc</t>
        </is>
      </c>
      <c r="C2" s="10" t="n"/>
    </row>
    <row r="3">
      <c r="B3" t="inlineStr">
        <is>
          <t>Price</t>
        </is>
      </c>
      <c r="C3" s="11">
        <f>INDEX([1]Pharma!$F$1:$F$1000,MATCH("STTK",[1]Pharma!$B$1:$B$1000,0))</f>
        <v>5.84</v>
      </c>
      <c r="F3" s="1" t="n"/>
    </row>
    <row r="4">
      <c r="B4" t="inlineStr">
        <is>
          <t>Shares</t>
        </is>
      </c>
      <c r="C4" s="21" t="n">
        <v>100.363253</v>
      </c>
      <c r="F4" s="1" t="n"/>
    </row>
    <row r="5">
      <c r="B5" t="inlineStr">
        <is>
          <t>Market Cap.</t>
        </is>
      </c>
      <c r="C5" s="13">
        <f>C3*C4</f>
        <v>586.12139752</v>
      </c>
      <c r="F5" s="1" t="n"/>
    </row>
    <row r="6"/>
    <row r="7">
      <c r="B7" t="inlineStr">
        <is>
          <t>Cash</t>
        </is>
      </c>
      <c r="C7" s="21">
        <f>63.299+145.004</f>
        <v>208.303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377.81839751999996</v>
      </c>
    </row>
    <row r="10"/>
    <row r="11">
      <c r="B11" s="14" t="inlineStr">
        <is>
          <t>rNPV / Share</t>
        </is>
      </c>
      <c r="C11" s="11">
        <f>NPV!B27</f>
        <v>6.456880617578095</v>
      </c>
    </row>
    <row r="12">
      <c r="B12" s="14" t="inlineStr">
        <is>
          <t>Upside</t>
        </is>
      </c>
      <c r="C12" s="15">
        <f>IFERROR(C11/C3-1,"")</f>
        <v>0.10563024273597521</v>
      </c>
    </row>
    <row r="13">
      <c r="B13" s="14" t="inlineStr">
        <is>
          <t>Cash / Share</t>
        </is>
      </c>
      <c r="C13" s="11">
        <f>IFERROR((C7-C8)/C4,"")</f>
        <v>2.0754907177032216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-41.028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5.077093692112704</v>
      </c>
    </row>
    <row r="19">
      <c r="B19" s="14" t="inlineStr">
        <is>
          <t>Implied Pipeline Value</t>
        </is>
      </c>
      <c r="C19" s="13">
        <f>C9</f>
        <v>377.81839751999996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9.887</v>
      </c>
      <c r="C2" s="23" t="n">
        <v>9.933999999999999</v>
      </c>
      <c r="D2" s="23" t="n">
        <v>30.017</v>
      </c>
      <c r="E2" s="23" t="n">
        <v>0.652</v>
      </c>
      <c r="F2" s="23" t="n">
        <v>1.657</v>
      </c>
      <c r="G2" s="23" t="n">
        <v>5.721</v>
      </c>
      <c r="H2" s="23" t="n">
        <v>1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9.887</v>
      </c>
      <c r="C4" s="23">
        <f>C2-C3</f>
        <v>9.934</v>
      </c>
      <c r="D4" s="23">
        <f>D2-D3</f>
        <v>30.017</v>
      </c>
      <c r="E4" s="23">
        <f>E2-E3</f>
        <v>0.652</v>
      </c>
      <c r="F4" s="23">
        <f>F2-F3</f>
        <v>1.657</v>
      </c>
      <c r="G4" s="23">
        <f>G2-G3</f>
        <v>5.721</v>
      </c>
      <c r="H4" s="23">
        <f>H2-H3</f>
        <v>1.0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29.218</v>
      </c>
      <c r="C5" s="23" t="n">
        <v>37.483</v>
      </c>
      <c r="D5" s="23" t="n">
        <v>56.563</v>
      </c>
      <c r="E5" s="23" t="n">
        <v>82.899</v>
      </c>
      <c r="F5" s="23" t="n">
        <v>74.31</v>
      </c>
      <c r="G5" s="23" t="n">
        <v>67.211</v>
      </c>
      <c r="H5" s="23" t="n">
        <v>35.273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5.736</v>
      </c>
      <c r="C6" s="23" t="n">
        <v>9.382</v>
      </c>
      <c r="D6" s="23" t="n">
        <v>18.723</v>
      </c>
      <c r="E6" s="23" t="n">
        <v>21.082</v>
      </c>
      <c r="F6" s="23" t="n">
        <v>19.304</v>
      </c>
      <c r="G6" s="23" t="n">
        <v>19.077</v>
      </c>
      <c r="H6" s="23" t="n">
        <v>17.235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34.954</v>
      </c>
      <c r="C7" s="23">
        <f>SUM(C5:C6)</f>
        <v>46.864999999999995</v>
      </c>
      <c r="D7" s="23">
        <f>SUM(D5:D6)</f>
        <v>75.286</v>
      </c>
      <c r="E7" s="23">
        <f>SUM(E5:E6)</f>
        <v>103.981</v>
      </c>
      <c r="F7" s="23">
        <f>SUM(F5:F6)</f>
        <v>93.614</v>
      </c>
      <c r="G7" s="23">
        <f>SUM(G5:G6)</f>
        <v>86.288</v>
      </c>
      <c r="H7" s="23">
        <f>SUM(H5:H6)</f>
        <v>52.508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-25.067</v>
      </c>
      <c r="C8" s="23">
        <f>C4-C7</f>
        <v>-36.931</v>
      </c>
      <c r="D8" s="23">
        <f>D4-D7</f>
        <v>-45.269000000000005</v>
      </c>
      <c r="E8" s="23">
        <f>E4-E7</f>
        <v>-103.329</v>
      </c>
      <c r="F8" s="23">
        <f>F4-F7</f>
        <v>-91.95700000000001</v>
      </c>
      <c r="G8" s="23">
        <f>G4-G7</f>
        <v>-80.567</v>
      </c>
      <c r="H8" s="23">
        <f>H4-H7</f>
        <v>-51.508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1.085</v>
      </c>
      <c r="C9" s="23" t="n">
        <v>0.328</v>
      </c>
      <c r="D9" s="23" t="n">
        <v>0.295</v>
      </c>
      <c r="E9" s="23" t="n">
        <v>1.384</v>
      </c>
      <c r="F9" s="23" t="n">
        <v>4.659</v>
      </c>
      <c r="G9" s="23" t="n">
        <v>5.157</v>
      </c>
      <c r="H9" s="23" t="n">
        <v>2.699</v>
      </c>
    </row>
    <row r="10">
      <c r="A10" s="2" t="inlineStr">
        <is>
          <t>Pretax</t>
        </is>
      </c>
      <c r="B10" s="23">
        <f>B8+B9</f>
        <v>-23.982</v>
      </c>
      <c r="C10" s="23">
        <f>C8+C9</f>
        <v>-36.602999999999994</v>
      </c>
      <c r="D10" s="23">
        <f>D8+D9</f>
        <v>-44.974000000000004</v>
      </c>
      <c r="E10" s="23">
        <f>E8+E9</f>
        <v>-101.945</v>
      </c>
      <c r="F10" s="23">
        <f>F8+F9</f>
        <v>-87.298</v>
      </c>
      <c r="G10" s="23">
        <f>G8+G9</f>
        <v>-75.41</v>
      </c>
      <c r="H10" s="23">
        <f>H8+H9</f>
        <v>-48.809000000000005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-23.982</v>
      </c>
      <c r="C12" s="23" t="n">
        <v>-36.603</v>
      </c>
      <c r="D12" s="23" t="n">
        <v>-44.974</v>
      </c>
      <c r="E12" s="23" t="n">
        <v>-101.945</v>
      </c>
      <c r="F12" s="23" t="n">
        <v>-87.298</v>
      </c>
      <c r="G12" s="23" t="n">
        <v>-75.41</v>
      </c>
      <c r="H12" s="23" t="n">
        <v>-48.809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-3.1734815402937673</v>
      </c>
      <c r="C13" s="11">
        <f>IFERROR(C12/C14,0)</f>
        <v>-2.36057010189604</v>
      </c>
      <c r="D13" s="11">
        <f>IFERROR(D12/D14,0)</f>
        <v>-1.0699942900647126</v>
      </c>
      <c r="E13" s="11">
        <f>IFERROR(E12/E14,0)</f>
        <v>-2.405554637910286</v>
      </c>
      <c r="F13" s="11">
        <f>IFERROR(F12/F14,0)</f>
        <v>-2.04924882629108</v>
      </c>
      <c r="G13" s="11">
        <f>IFERROR(G12/G14,0)</f>
        <v>-1.4856771346388744</v>
      </c>
      <c r="H13" s="11">
        <f>IFERROR(H12/H14,0)</f>
        <v>-0.7014299058705181</v>
      </c>
    </row>
    <row r="14">
      <c r="A14" s="2" t="inlineStr">
        <is>
          <t>Shares</t>
        </is>
      </c>
      <c r="B14" s="23" t="n">
        <v>7.557</v>
      </c>
      <c r="C14" s="23" t="n">
        <v>15.506</v>
      </c>
      <c r="D14" s="23" t="n">
        <v>42.032</v>
      </c>
      <c r="E14" s="23" t="n">
        <v>42.379</v>
      </c>
      <c r="F14" s="23" t="n">
        <v>42.6</v>
      </c>
      <c r="G14" s="23" t="n">
        <v>50.758</v>
      </c>
      <c r="H14" s="23" t="n">
        <v>69.58499999999999</v>
      </c>
    </row>
    <row r="15"/>
    <row r="16" customFormat="1" s="4">
      <c r="A16" s="3" t="inlineStr">
        <is>
          <t>Revenue Change</t>
        </is>
      </c>
      <c r="C16" s="15">
        <f>IFERROR(C2/B2-1,"")</f>
        <v>0.004753717002123903</v>
      </c>
      <c r="D16" s="15">
        <f>IFERROR(D2/C2-1,"")</f>
        <v>2.021642842762231</v>
      </c>
      <c r="E16" s="15">
        <f>IFERROR(E2/D2-1,"")</f>
        <v>-0.9782789752473598</v>
      </c>
      <c r="F16" s="15">
        <f>IFERROR(F2/E2-1,"")</f>
        <v>1.5414110429447851</v>
      </c>
      <c r="G16" s="15">
        <f>IFERROR(G2/F2-1,"")</f>
        <v>2.452625226312613</v>
      </c>
      <c r="H16" s="15">
        <f>IFERROR(H2/G2-1,"")</f>
        <v>-0.8252053836741828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-2.5353494487711137</v>
      </c>
      <c r="C18" s="15">
        <f>IFERROR(C8/C2,"")</f>
        <v>-3.7176364002415947</v>
      </c>
      <c r="D18" s="15">
        <f>IFERROR(D8/D2,"")</f>
        <v>-1.5081120698270982</v>
      </c>
      <c r="E18" s="15">
        <f>IFERROR(E8/E2,"")</f>
        <v>-158.48006134969324</v>
      </c>
      <c r="F18" s="15">
        <f>IFERROR(F8/F2,"")</f>
        <v>-55.49607724803863</v>
      </c>
      <c r="G18" s="15">
        <f>IFERROR(G8/G2,"")</f>
        <v>-14.08267785352211</v>
      </c>
      <c r="H18" s="15">
        <f>IFERROR(H8/H2,"")</f>
        <v>-51.508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Shattuck Labs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0.2354341699999999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55.786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419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439.73054301278665</v>
      </c>
      <c r="C29" s="42">
        <f>NPV!B25</f>
        <v>648.0335430127866</v>
      </c>
      <c r="D29" s="43">
        <f>NPV!B27</f>
        <v>6.456880617578095</v>
      </c>
      <c r="E29" s="44">
        <f>NPV!B29</f>
        <v>0.10563024273597521</v>
      </c>
    </row>
    <row r="30">
      <c r="A30" s="45" t="n">
        <v>1</v>
      </c>
      <c r="B30" s="46">
        <f t="dataTable" ref="B30:E32" r1="B4"/>
        <v>91.42939582205392</v>
      </c>
      <c r="C30" s="46">
        <v>299.73239582205395</v>
      </c>
      <c r="D30" s="47">
        <v>2.9864754963856535</v>
      </c>
      <c r="E30" s="48">
        <v>-0.4886172095230046</v>
      </c>
    </row>
    <row r="31">
      <c r="A31" s="45" t="n">
        <v>2</v>
      </c>
      <c r="B31" s="46">
        <v>439.73054301278665</v>
      </c>
      <c r="C31" s="46">
        <v>648.0335430127866</v>
      </c>
      <c r="D31" s="47">
        <v>6.456880617578095</v>
      </c>
      <c r="E31" s="48">
        <v>0.10563024273597521</v>
      </c>
    </row>
    <row r="32">
      <c r="A32" s="45" t="n">
        <v>3</v>
      </c>
      <c r="B32" s="46">
        <v>995.9826292039544</v>
      </c>
      <c r="C32" s="46">
        <v>1204.2856292039544</v>
      </c>
      <c r="D32" s="47">
        <v>11.999268588912262</v>
      </c>
      <c r="E32" s="48">
        <v>1.0546692789233325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6.456880617578095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2.431999862797662</v>
      </c>
      <c r="C37" s="47">
        <v>3.337369303597719</v>
      </c>
      <c r="D37" s="47">
        <v>4.218145569581354</v>
      </c>
      <c r="E37" s="47">
        <v>5.948254435964604</v>
      </c>
      <c r="F37" s="47">
        <v>7.663057094512696</v>
      </c>
    </row>
    <row r="38">
      <c r="A38" s="50" t="n">
        <v>0.8</v>
      </c>
      <c r="B38" s="47">
        <v>3.0059645736743987</v>
      </c>
      <c r="C38" s="47">
        <v>4.1854992453836495</v>
      </c>
      <c r="D38" s="47">
        <v>5.342891910255621</v>
      </c>
      <c r="E38" s="47">
        <v>7.631576449425225</v>
      </c>
      <c r="F38" s="47">
        <v>9.900827898879955</v>
      </c>
    </row>
    <row r="39">
      <c r="A39" s="50" t="n">
        <v>1</v>
      </c>
      <c r="B39" s="47">
        <v>3.5677945350648166</v>
      </c>
      <c r="C39" s="47">
        <v>5.022434204604637</v>
      </c>
      <c r="D39" s="47">
        <v>6.456880617578095</v>
      </c>
      <c r="E39" s="47">
        <v>9.302587669514496</v>
      </c>
      <c r="F39" s="47">
        <v>12.136694441925103</v>
      </c>
    </row>
    <row r="40">
      <c r="A40" s="50" t="n">
        <v>1.2</v>
      </c>
      <c r="B40" s="47">
        <v>4.121927892314957</v>
      </c>
      <c r="C40" s="47">
        <v>5.854365723706736</v>
      </c>
      <c r="D40" s="47">
        <v>7.569701324147716</v>
      </c>
      <c r="E40" s="47">
        <v>10.97415216768946</v>
      </c>
      <c r="F40" s="47">
        <v>14.363438656954257</v>
      </c>
    </row>
    <row r="41">
      <c r="A41" s="50" t="n">
        <v>1.4</v>
      </c>
      <c r="B41" s="47">
        <v>4.671996274296402</v>
      </c>
      <c r="C41" s="47">
        <v>6.6818570405644495</v>
      </c>
      <c r="D41" s="47">
        <v>8.67507990740434</v>
      </c>
      <c r="E41" s="47">
        <v>12.641364669227633</v>
      </c>
      <c r="F41" s="47">
        <v>16.590729991056044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Shattuck Labs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IBD (UC / Crohn's)</t>
        </is>
      </c>
      <c r="C4" s="14" t="inlineStr">
        <is>
          <t>SL-325</t>
        </is>
      </c>
      <c r="D4" s="14" t="inlineStr">
        <is>
          <t>Phase 2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3000</v>
      </c>
      <c r="H4" s="27" t="n">
        <v>0.1929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657.4280762551631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57.87</v>
      </c>
      <c r="S4" s="23">
        <f>IF(S$3&lt;$I4,0,$G4*Assumptions!$E$11*INDEX(Assumptions!$B$24:$G$24,MIN(6,S$3-$I4+1))*IF(S$3&gt;$J4,(1-Assumptions!$B$26)^(S$3-$J4),1)*IF($H4&gt;=1,1,MIN(0.97,$H4*Assumptions!$E$12)))</f>
        <v>144.67499999999998</v>
      </c>
      <c r="T4" s="23">
        <f>IF(T$3&lt;$I4,0,$G4*Assumptions!$E$11*INDEX(Assumptions!$B$24:$G$24,MIN(6,T$3-$I4+1))*IF(T$3&gt;$J4,(1-Assumptions!$B$26)^(T$3-$J4),1)*IF($H4&gt;=1,1,MIN(0.97,$H4*Assumptions!$E$12)))</f>
        <v>260.41499999999996</v>
      </c>
      <c r="U4" s="23">
        <f>IF(U$3&lt;$I4,0,$G4*Assumptions!$E$11*INDEX(Assumptions!$B$24:$G$24,MIN(6,U$3-$I4+1))*IF(U$3&gt;$J4,(1-Assumptions!$B$26)^(U$3-$J4),1)*IF($H4&gt;=1,1,MIN(0.97,$H4*Assumptions!$E$12)))</f>
        <v>376.155</v>
      </c>
      <c r="V4" s="23">
        <f>IF(V$3&lt;$I4,0,$G4*Assumptions!$E$11*INDEX(Assumptions!$B$24:$G$24,MIN(6,V$3-$I4+1))*IF(V$3&gt;$J4,(1-Assumptions!$B$26)^(V$3-$J4),1)*IF($H4&gt;=1,1,MIN(0.97,$H4*Assumptions!$E$12)))</f>
        <v>491.895</v>
      </c>
      <c r="W4" s="23">
        <f>IF(W$3&lt;$I4,0,$G4*Assumptions!$E$11*INDEX(Assumptions!$B$24:$G$24,MIN(6,W$3-$I4+1))*IF(W$3&gt;$J4,(1-Assumptions!$B$26)^(W$3-$J4),1)*IF($H4&gt;=1,1,MIN(0.97,$H4*Assumptions!$E$12)))</f>
        <v>578.6999999999999</v>
      </c>
      <c r="X4" s="23">
        <f>IF(X$3&lt;$I4,0,$G4*Assumptions!$E$11*INDEX(Assumptions!$B$24:$G$24,MIN(6,X$3-$I4+1))*IF(X$3&gt;$J4,(1-Assumptions!$B$26)^(X$3-$J4),1)*IF($H4&gt;=1,1,MIN(0.97,$H4*Assumptions!$E$12)))</f>
        <v>578.6999999999999</v>
      </c>
      <c r="Y4" s="23">
        <f>IF(Y$3&lt;$I4,0,$G4*Assumptions!$E$11*INDEX(Assumptions!$B$24:$G$24,MIN(6,Y$3-$I4+1))*IF(Y$3&gt;$J4,(1-Assumptions!$B$26)^(Y$3-$J4),1)*IF($H4&gt;=1,1,MIN(0.97,$H4*Assumptions!$E$12)))</f>
        <v>578.6999999999999</v>
      </c>
      <c r="Z4" s="23">
        <f>IF(Z$3&lt;$I4,0,$G4*Assumptions!$E$11*INDEX(Assumptions!$B$24:$G$24,MIN(6,Z$3-$I4+1))*IF(Z$3&gt;$J4,(1-Assumptions!$B$26)^(Z$3-$J4),1)*IF($H4&gt;=1,1,MIN(0.97,$H4*Assumptions!$E$12)))</f>
        <v>578.6999999999999</v>
      </c>
      <c r="AA4" s="23">
        <f>IF(AA$3&lt;$I4,0,$G4*Assumptions!$E$11*INDEX(Assumptions!$B$24:$G$24,MIN(6,AA$3-$I4+1))*IF(AA$3&gt;$J4,(1-Assumptions!$B$26)^(AA$3-$J4),1)*IF($H4&gt;=1,1,MIN(0.97,$H4*Assumptions!$E$12)))</f>
        <v>578.6999999999999</v>
      </c>
      <c r="AB4" s="23">
        <f>IF(AB$3&lt;$I4,0,$G4*Assumptions!$E$11*INDEX(Assumptions!$B$24:$G$24,MIN(6,AB$3-$I4+1))*IF(AB$3&gt;$J4,(1-Assumptions!$B$26)^(AB$3-$J4),1)*IF($H4&gt;=1,1,MIN(0.97,$H4*Assumptions!$E$12)))</f>
        <v>578.6999999999999</v>
      </c>
      <c r="AC4" s="23">
        <f>IF(AC$3&lt;$I4,0,$G4*Assumptions!$E$11*INDEX(Assumptions!$B$24:$G$24,MIN(6,AC$3-$I4+1))*IF(AC$3&gt;$J4,(1-Assumptions!$B$26)^(AC$3-$J4),1)*IF($H4&gt;=1,1,MIN(0.97,$H4*Assumptions!$E$12)))</f>
        <v>578.6999999999999</v>
      </c>
      <c r="AD4" s="23">
        <f>IF(AD$3&lt;$I4,0,$G4*Assumptions!$E$11*INDEX(Assumptions!$B$24:$G$24,MIN(6,AD$3-$I4+1))*IF(AD$3&gt;$J4,(1-Assumptions!$B$26)^(AD$3-$J4),1)*IF($H4&gt;=1,1,MIN(0.97,$H4*Assumptions!$E$12)))</f>
        <v>578.6999999999999</v>
      </c>
      <c r="AE4" s="23">
        <f>IF(AE$3&lt;$I4,0,$G4*Assumptions!$E$11*INDEX(Assumptions!$B$24:$G$24,MIN(6,AE$3-$I4+1))*IF(AE$3&gt;$J4,(1-Assumptions!$B$26)^(AE$3-$J4),1)*IF($H4&gt;=1,1,MIN(0.97,$H4*Assumptions!$E$12)))</f>
        <v>289.34999999999997</v>
      </c>
      <c r="AF4" s="23">
        <f>IF(AF$3&lt;$I4,0,$G4*Assumptions!$E$11*INDEX(Assumptions!$B$24:$G$24,MIN(6,AF$3-$I4+1))*IF(AF$3&gt;$J4,(1-Assumptions!$B$26)^(AF$3-$J4),1)*IF($H4&gt;=1,1,MIN(0.97,$H4*Assumptions!$E$12)))</f>
        <v>144.67499999999998</v>
      </c>
      <c r="AG4" s="35">
        <f>IF(F4="Owned",1-IF(H4&gt;=1,1,MIN(0.97,H4*Assumptions!$E$12)),1)</f>
        <v>0.8071</v>
      </c>
    </row>
    <row r="5">
      <c r="A5" s="39" t="n">
        <v>2</v>
      </c>
      <c r="B5" s="14" t="inlineStr">
        <is>
          <t>Ovarian cancer</t>
        </is>
      </c>
      <c r="C5" s="14" t="inlineStr">
        <is>
          <t>SL-172154, Pegylated Liposomal Doxorubicin + SL-172154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1200</v>
      </c>
      <c r="H5" s="27" t="n">
        <v>0.0527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55.3774422909388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6.324</v>
      </c>
      <c r="U5" s="23">
        <f>IF(U$3&lt;$I5,0,$G5*Assumptions!$E$11*INDEX(Assumptions!$B$24:$G$24,MIN(6,U$3-$I5+1))*IF(U$3&gt;$J5,(1-Assumptions!$B$26)^(U$3-$J5),1)*IF($H5&gt;=1,1,MIN(0.97,$H5*Assumptions!$E$12)))</f>
        <v>15.809999999999999</v>
      </c>
      <c r="V5" s="23">
        <f>IF(V$3&lt;$I5,0,$G5*Assumptions!$E$11*INDEX(Assumptions!$B$24:$G$24,MIN(6,V$3-$I5+1))*IF(V$3&gt;$J5,(1-Assumptions!$B$26)^(V$3-$J5),1)*IF($H5&gt;=1,1,MIN(0.97,$H5*Assumptions!$E$12)))</f>
        <v>28.458</v>
      </c>
      <c r="W5" s="23">
        <f>IF(W$3&lt;$I5,0,$G5*Assumptions!$E$11*INDEX(Assumptions!$B$24:$G$24,MIN(6,W$3-$I5+1))*IF(W$3&gt;$J5,(1-Assumptions!$B$26)^(W$3-$J5),1)*IF($H5&gt;=1,1,MIN(0.97,$H5*Assumptions!$E$12)))</f>
        <v>41.105999999999995</v>
      </c>
      <c r="X5" s="23">
        <f>IF(X$3&lt;$I5,0,$G5*Assumptions!$E$11*INDEX(Assumptions!$B$24:$G$24,MIN(6,X$3-$I5+1))*IF(X$3&gt;$J5,(1-Assumptions!$B$26)^(X$3-$J5),1)*IF($H5&gt;=1,1,MIN(0.97,$H5*Assumptions!$E$12)))</f>
        <v>53.754</v>
      </c>
      <c r="Y5" s="23">
        <f>IF(Y$3&lt;$I5,0,$G5*Assumptions!$E$11*INDEX(Assumptions!$B$24:$G$24,MIN(6,Y$3-$I5+1))*IF(Y$3&gt;$J5,(1-Assumptions!$B$26)^(Y$3-$J5),1)*IF($H5&gt;=1,1,MIN(0.97,$H5*Assumptions!$E$12)))</f>
        <v>63.239999999999995</v>
      </c>
      <c r="Z5" s="23">
        <f>IF(Z$3&lt;$I5,0,$G5*Assumptions!$E$11*INDEX(Assumptions!$B$24:$G$24,MIN(6,Z$3-$I5+1))*IF(Z$3&gt;$J5,(1-Assumptions!$B$26)^(Z$3-$J5),1)*IF($H5&gt;=1,1,MIN(0.97,$H5*Assumptions!$E$12)))</f>
        <v>63.239999999999995</v>
      </c>
      <c r="AA5" s="23">
        <f>IF(AA$3&lt;$I5,0,$G5*Assumptions!$E$11*INDEX(Assumptions!$B$24:$G$24,MIN(6,AA$3-$I5+1))*IF(AA$3&gt;$J5,(1-Assumptions!$B$26)^(AA$3-$J5),1)*IF($H5&gt;=1,1,MIN(0.97,$H5*Assumptions!$E$12)))</f>
        <v>63.239999999999995</v>
      </c>
      <c r="AB5" s="23">
        <f>IF(AB$3&lt;$I5,0,$G5*Assumptions!$E$11*INDEX(Assumptions!$B$24:$G$24,MIN(6,AB$3-$I5+1))*IF(AB$3&gt;$J5,(1-Assumptions!$B$26)^(AB$3-$J5),1)*IF($H5&gt;=1,1,MIN(0.97,$H5*Assumptions!$E$12)))</f>
        <v>63.239999999999995</v>
      </c>
      <c r="AC5" s="23">
        <f>IF(AC$3&lt;$I5,0,$G5*Assumptions!$E$11*INDEX(Assumptions!$B$24:$G$24,MIN(6,AC$3-$I5+1))*IF(AC$3&gt;$J5,(1-Assumptions!$B$26)^(AC$3-$J5),1)*IF($H5&gt;=1,1,MIN(0.97,$H5*Assumptions!$E$12)))</f>
        <v>63.239999999999995</v>
      </c>
      <c r="AD5" s="23">
        <f>IF(AD$3&lt;$I5,0,$G5*Assumptions!$E$11*INDEX(Assumptions!$B$24:$G$24,MIN(6,AD$3-$I5+1))*IF(AD$3&gt;$J5,(1-Assumptions!$B$26)^(AD$3-$J5),1)*IF($H5&gt;=1,1,MIN(0.97,$H5*Assumptions!$E$12)))</f>
        <v>63.239999999999995</v>
      </c>
      <c r="AE5" s="23">
        <f>IF(AE$3&lt;$I5,0,$G5*Assumptions!$E$11*INDEX(Assumptions!$B$24:$G$24,MIN(6,AE$3-$I5+1))*IF(AE$3&gt;$J5,(1-Assumptions!$B$26)^(AE$3-$J5),1)*IF($H5&gt;=1,1,MIN(0.97,$H5*Assumptions!$E$12)))</f>
        <v>63.239999999999995</v>
      </c>
      <c r="AF5" s="23">
        <f>IF(AF$3&lt;$I5,0,$G5*Assumptions!$E$11*INDEX(Assumptions!$B$24:$G$24,MIN(6,AF$3-$I5+1))*IF(AF$3&gt;$J5,(1-Assumptions!$B$26)^(AF$3-$J5),1)*IF($H5&gt;=1,1,MIN(0.97,$H5*Assumptions!$E$12)))</f>
        <v>63.239999999999995</v>
      </c>
      <c r="AG5" s="35">
        <f>IF(F5="Owned",1-IF(H5&gt;=1,1,MIN(0.97,H5*Assumptions!$E$12)),1)</f>
        <v>0.9473</v>
      </c>
    </row>
    <row r="6">
      <c r="B6" s="24" t="inlineStr">
        <is>
          <t>Risked revenue</t>
        </is>
      </c>
      <c r="L6" s="54">
        <f>SUM(L4:L5)</f>
        <v>712.8055185461019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57.87</v>
      </c>
      <c r="S6" s="54">
        <f>SUM(S4:S5)</f>
        <v>144.67499999999998</v>
      </c>
      <c r="T6" s="54">
        <f>SUM(T4:T5)</f>
        <v>266.739</v>
      </c>
      <c r="U6" s="54">
        <f>SUM(U4:U5)</f>
        <v>391.965</v>
      </c>
      <c r="V6" s="54">
        <f>SUM(V4:V5)</f>
        <v>520.353</v>
      </c>
      <c r="W6" s="54">
        <f>SUM(W4:W5)</f>
        <v>619.8059999999999</v>
      </c>
      <c r="X6" s="54">
        <f>SUM(X4:X5)</f>
        <v>632.454</v>
      </c>
      <c r="Y6" s="54">
        <f>SUM(Y4:Y5)</f>
        <v>641.9399999999999</v>
      </c>
      <c r="Z6" s="54">
        <f>SUM(Z4:Z5)</f>
        <v>641.9399999999999</v>
      </c>
      <c r="AA6" s="54">
        <f>SUM(AA4:AA5)</f>
        <v>641.9399999999999</v>
      </c>
      <c r="AB6" s="54">
        <f>SUM(AB4:AB5)</f>
        <v>641.9399999999999</v>
      </c>
      <c r="AC6" s="54">
        <f>SUM(AC4:AC5)</f>
        <v>641.9399999999999</v>
      </c>
      <c r="AD6" s="54">
        <f>SUM(AD4:AD5)</f>
        <v>641.9399999999999</v>
      </c>
      <c r="AE6" s="54">
        <f>SUM(AE4:AE5)</f>
        <v>352.59</v>
      </c>
      <c r="AF6" s="54">
        <f>SUM(AF4:AF5)</f>
        <v>207.91499999999996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23.148</v>
      </c>
      <c r="S7" s="55">
        <f>SUMPRODUCT(S4:S5,$K$4:$K$5)</f>
        <v>57.87</v>
      </c>
      <c r="T7" s="55">
        <f>SUMPRODUCT(T4:T5,$K$4:$K$5)</f>
        <v>106.6956</v>
      </c>
      <c r="U7" s="55">
        <f>SUMPRODUCT(U4:U5,$K$4:$K$5)</f>
        <v>156.786</v>
      </c>
      <c r="V7" s="55">
        <f>SUMPRODUCT(V4:V5,$K$4:$K$5)</f>
        <v>208.1412</v>
      </c>
      <c r="W7" s="55">
        <f>SUMPRODUCT(W4:W5,$K$4:$K$5)</f>
        <v>247.92239999999998</v>
      </c>
      <c r="X7" s="55">
        <f>SUMPRODUCT(X4:X5,$K$4:$K$5)</f>
        <v>252.9816</v>
      </c>
      <c r="Y7" s="55">
        <f>SUMPRODUCT(Y4:Y5,$K$4:$K$5)</f>
        <v>256.776</v>
      </c>
      <c r="Z7" s="55">
        <f>SUMPRODUCT(Z4:Z5,$K$4:$K$5)</f>
        <v>256.776</v>
      </c>
      <c r="AA7" s="55">
        <f>SUMPRODUCT(AA4:AA5,$K$4:$K$5)</f>
        <v>256.776</v>
      </c>
      <c r="AB7" s="55">
        <f>SUMPRODUCT(AB4:AB5,$K$4:$K$5)</f>
        <v>256.776</v>
      </c>
      <c r="AC7" s="55">
        <f>SUMPRODUCT(AC4:AC5,$K$4:$K$5)</f>
        <v>256.776</v>
      </c>
      <c r="AD7" s="55">
        <f>SUMPRODUCT(AD4:AD5,$K$4:$K$5)</f>
        <v>256.776</v>
      </c>
      <c r="AE7" s="55">
        <f>SUMPRODUCT(AE4:AE5,$K$4:$K$5)</f>
        <v>141.036</v>
      </c>
      <c r="AF7" s="55">
        <f>SUMPRODUCT(AF4:AF5,$K$4:$K$5)</f>
        <v>83.166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Shattuck Labs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57.87</v>
      </c>
      <c r="I4" s="57">
        <f>Pipeline!S6</f>
        <v>144.67499999999998</v>
      </c>
      <c r="J4" s="57">
        <f>Pipeline!T6</f>
        <v>266.739</v>
      </c>
      <c r="K4" s="57">
        <f>Pipeline!U6</f>
        <v>391.965</v>
      </c>
      <c r="L4" s="57">
        <f>Pipeline!V6</f>
        <v>520.353</v>
      </c>
      <c r="M4" s="57">
        <f>Pipeline!W6</f>
        <v>619.8059999999999</v>
      </c>
      <c r="N4" s="57">
        <f>Pipeline!X6</f>
        <v>632.454</v>
      </c>
      <c r="O4" s="57">
        <f>Pipeline!Y6</f>
        <v>641.9399999999999</v>
      </c>
      <c r="P4" s="57">
        <f>Pipeline!Z6</f>
        <v>641.9399999999999</v>
      </c>
      <c r="Q4" s="57">
        <f>Pipeline!AA6</f>
        <v>641.9399999999999</v>
      </c>
      <c r="R4" s="57">
        <f>Pipeline!AB6</f>
        <v>641.9399999999999</v>
      </c>
      <c r="S4" s="57">
        <f>Pipeline!AC6</f>
        <v>641.9399999999999</v>
      </c>
      <c r="T4" s="57">
        <f>Pipeline!AD6</f>
        <v>641.9399999999999</v>
      </c>
      <c r="U4" s="57">
        <f>Pipeline!AE6</f>
        <v>352.59</v>
      </c>
      <c r="V4" s="57">
        <f>Pipeline!AF6</f>
        <v>207.91499999999996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23.148</v>
      </c>
      <c r="I5" s="57">
        <f>Pipeline!S7</f>
        <v>57.87</v>
      </c>
      <c r="J5" s="57">
        <f>Pipeline!T7</f>
        <v>106.6956</v>
      </c>
      <c r="K5" s="57">
        <f>Pipeline!U7</f>
        <v>156.786</v>
      </c>
      <c r="L5" s="57">
        <f>Pipeline!V7</f>
        <v>208.1412</v>
      </c>
      <c r="M5" s="57">
        <f>Pipeline!W7</f>
        <v>247.92239999999998</v>
      </c>
      <c r="N5" s="57">
        <f>Pipeline!X7</f>
        <v>252.9816</v>
      </c>
      <c r="O5" s="57">
        <f>Pipeline!Y7</f>
        <v>256.776</v>
      </c>
      <c r="P5" s="57">
        <f>Pipeline!Z7</f>
        <v>256.776</v>
      </c>
      <c r="Q5" s="57">
        <f>Pipeline!AA7</f>
        <v>256.776</v>
      </c>
      <c r="R5" s="57">
        <f>Pipeline!AB7</f>
        <v>256.776</v>
      </c>
      <c r="S5" s="57">
        <f>Pipeline!AC7</f>
        <v>256.776</v>
      </c>
      <c r="T5" s="57">
        <f>Pipeline!AD7</f>
        <v>256.776</v>
      </c>
      <c r="U5" s="57">
        <f>Pipeline!AE7</f>
        <v>141.036</v>
      </c>
      <c r="V5" s="57">
        <f>Pipeline!AF7</f>
        <v>83.166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-55.786</v>
      </c>
      <c r="D6" s="23">
        <f>-IF(D3-2026&lt;Assumptions!$B$19,Assumptions!$B$18,Assumptions!$B$18*Assumptions!$B$20*Assumptions!$B$16)</f>
        <v>-55.786</v>
      </c>
      <c r="E6" s="23">
        <f>-IF(E3-2026&lt;Assumptions!$B$19,Assumptions!$B$18,Assumptions!$B$18*Assumptions!$B$20*Assumptions!$B$16)</f>
        <v>-55.786</v>
      </c>
      <c r="F6" s="23">
        <f>-IF(F3-2026&lt;Assumptions!$B$19,Assumptions!$B$18,Assumptions!$B$18*Assumptions!$B$20*Assumptions!$B$16)</f>
        <v>-55.786</v>
      </c>
      <c r="G6" s="23">
        <f>-IF(G3-2026&lt;Assumptions!$B$19,Assumptions!$B$18,Assumptions!$B$18*Assumptions!$B$20*Assumptions!$B$16)</f>
        <v>-3.9401791822859984</v>
      </c>
      <c r="H6" s="23">
        <f>-IF(H3-2026&lt;Assumptions!$B$19,Assumptions!$B$18,Assumptions!$B$18*Assumptions!$B$20*Assumptions!$B$16)</f>
        <v>-3.9401791822859984</v>
      </c>
      <c r="I6" s="23">
        <f>-IF(I3-2026&lt;Assumptions!$B$19,Assumptions!$B$18,Assumptions!$B$18*Assumptions!$B$20*Assumptions!$B$16)</f>
        <v>-3.9401791822859984</v>
      </c>
      <c r="J6" s="23">
        <f>-IF(J3-2026&lt;Assumptions!$B$19,Assumptions!$B$18,Assumptions!$B$18*Assumptions!$B$20*Assumptions!$B$16)</f>
        <v>-3.9401791822859984</v>
      </c>
      <c r="K6" s="23">
        <f>-IF(K3-2026&lt;Assumptions!$B$19,Assumptions!$B$18,Assumptions!$B$18*Assumptions!$B$20*Assumptions!$B$16)</f>
        <v>-3.9401791822859984</v>
      </c>
      <c r="L6" s="23">
        <f>-IF(L3-2026&lt;Assumptions!$B$19,Assumptions!$B$18,Assumptions!$B$18*Assumptions!$B$20*Assumptions!$B$16)</f>
        <v>-3.9401791822859984</v>
      </c>
      <c r="M6" s="23">
        <f>-IF(M3-2026&lt;Assumptions!$B$19,Assumptions!$B$18,Assumptions!$B$18*Assumptions!$B$20*Assumptions!$B$16)</f>
        <v>-3.9401791822859984</v>
      </c>
      <c r="N6" s="23">
        <f>-IF(N3-2026&lt;Assumptions!$B$19,Assumptions!$B$18,Assumptions!$B$18*Assumptions!$B$20*Assumptions!$B$16)</f>
        <v>-3.9401791822859984</v>
      </c>
      <c r="O6" s="23">
        <f>-IF(O3-2026&lt;Assumptions!$B$19,Assumptions!$B$18,Assumptions!$B$18*Assumptions!$B$20*Assumptions!$B$16)</f>
        <v>-3.9401791822859984</v>
      </c>
      <c r="P6" s="23">
        <f>-IF(P3-2026&lt;Assumptions!$B$19,Assumptions!$B$18,Assumptions!$B$18*Assumptions!$B$20*Assumptions!$B$16)</f>
        <v>-3.9401791822859984</v>
      </c>
      <c r="Q6" s="23">
        <f>-IF(Q3-2026&lt;Assumptions!$B$19,Assumptions!$B$18,Assumptions!$B$18*Assumptions!$B$20*Assumptions!$B$16)</f>
        <v>-3.9401791822859984</v>
      </c>
      <c r="R6" s="23">
        <f>-IF(R3-2026&lt;Assumptions!$B$19,Assumptions!$B$18,Assumptions!$B$18*Assumptions!$B$20*Assumptions!$B$16)</f>
        <v>-3.9401791822859984</v>
      </c>
      <c r="S6" s="23">
        <f>-IF(S3-2026&lt;Assumptions!$B$19,Assumptions!$B$18,Assumptions!$B$18*Assumptions!$B$20*Assumptions!$B$16)</f>
        <v>-3.9401791822859984</v>
      </c>
      <c r="T6" s="23">
        <f>-IF(T3-2026&lt;Assumptions!$B$19,Assumptions!$B$18,Assumptions!$B$18*Assumptions!$B$20*Assumptions!$B$16)</f>
        <v>-3.9401791822859984</v>
      </c>
      <c r="U6" s="23">
        <f>-IF(U3-2026&lt;Assumptions!$B$19,Assumptions!$B$18,Assumptions!$B$18*Assumptions!$B$20*Assumptions!$B$16)</f>
        <v>-3.9401791822859984</v>
      </c>
      <c r="V6" s="23">
        <f>-IF(V3-2026&lt;Assumptions!$B$19,Assumptions!$B$18,Assumptions!$B$18*Assumptions!$B$20*Assumptions!$B$16)</f>
        <v>-3.9401791822859984</v>
      </c>
    </row>
    <row r="7">
      <c r="A7" s="14" t="inlineStr">
        <is>
          <t>Pre-tax cash flow</t>
        </is>
      </c>
      <c r="C7" s="23">
        <f>C5+C6</f>
        <v>-55.786</v>
      </c>
      <c r="D7" s="23">
        <f>D5+D6</f>
        <v>-55.786</v>
      </c>
      <c r="E7" s="23">
        <f>E5+E6</f>
        <v>-55.786</v>
      </c>
      <c r="F7" s="23">
        <f>F5+F6</f>
        <v>-55.786</v>
      </c>
      <c r="G7" s="23">
        <f>G5+G6</f>
        <v>-3.9401791822859984</v>
      </c>
      <c r="H7" s="23">
        <f>H5+H6</f>
        <v>19.207820817714</v>
      </c>
      <c r="I7" s="23">
        <f>I5+I6</f>
        <v>53.929820817714</v>
      </c>
      <c r="J7" s="23">
        <f>J5+J6</f>
        <v>102.755420817714</v>
      </c>
      <c r="K7" s="23">
        <f>K5+K6</f>
        <v>152.845820817714</v>
      </c>
      <c r="L7" s="23">
        <f>L5+L6</f>
        <v>204.201020817714</v>
      </c>
      <c r="M7" s="23">
        <f>M5+M6</f>
        <v>243.982220817714</v>
      </c>
      <c r="N7" s="23">
        <f>N5+N6</f>
        <v>249.041420817714</v>
      </c>
      <c r="O7" s="23">
        <f>O5+O6</f>
        <v>252.83582081771402</v>
      </c>
      <c r="P7" s="23">
        <f>P5+P6</f>
        <v>252.83582081771402</v>
      </c>
      <c r="Q7" s="23">
        <f>Q5+Q6</f>
        <v>252.83582081771402</v>
      </c>
      <c r="R7" s="23">
        <f>R5+R6</f>
        <v>252.83582081771402</v>
      </c>
      <c r="S7" s="23">
        <f>S5+S6</f>
        <v>252.83582081771402</v>
      </c>
      <c r="T7" s="23">
        <f>T5+T6</f>
        <v>252.83582081771402</v>
      </c>
      <c r="U7" s="23">
        <f>U5+U6</f>
        <v>137.095820817714</v>
      </c>
      <c r="V7" s="23">
        <f>V5+V6</f>
        <v>79.225820817714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19.207820817714</v>
      </c>
      <c r="I8" s="23">
        <f>MIN(H17,MAX(0,I7))</f>
        <v>53.929820817714</v>
      </c>
      <c r="J8" s="23">
        <f>MIN(I17,MAX(0,J7))</f>
        <v>102.755420817714</v>
      </c>
      <c r="K8" s="23">
        <f>MIN(J17,MAX(0,K7))</f>
        <v>152.845820817714</v>
      </c>
      <c r="L8" s="23">
        <f>MIN(K17,MAX(0,L7))</f>
        <v>204.201020817714</v>
      </c>
      <c r="M8" s="23">
        <f>MIN(L17,MAX(0,M7))</f>
        <v>113.14427509371589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130.8379457239981</v>
      </c>
      <c r="N9" s="23">
        <f>MAX(0,N7)-N8</f>
        <v>249.041420817714</v>
      </c>
      <c r="O9" s="23">
        <f>MAX(0,O7)-O8</f>
        <v>252.83582081771402</v>
      </c>
      <c r="P9" s="23">
        <f>MAX(0,P7)-P8</f>
        <v>252.83582081771402</v>
      </c>
      <c r="Q9" s="23">
        <f>MAX(0,Q7)-Q8</f>
        <v>252.83582081771402</v>
      </c>
      <c r="R9" s="23">
        <f>MAX(0,R7)-R8</f>
        <v>252.83582081771402</v>
      </c>
      <c r="S9" s="23">
        <f>MAX(0,S7)-S8</f>
        <v>252.83582081771402</v>
      </c>
      <c r="T9" s="23">
        <f>MAX(0,T7)-T8</f>
        <v>252.83582081771402</v>
      </c>
      <c r="U9" s="23">
        <f>MAX(0,U7)-U8</f>
        <v>137.095820817714</v>
      </c>
      <c r="V9" s="23">
        <f>MAX(0,V7)-V8</f>
        <v>79.225820817714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27.4759686020396</v>
      </c>
      <c r="N10" s="23">
        <f>N9*Assumptions!$E$15</f>
        <v>52.29869837171994</v>
      </c>
      <c r="O10" s="23">
        <f>O9*Assumptions!$E$15</f>
        <v>53.095522371719944</v>
      </c>
      <c r="P10" s="23">
        <f>P9*Assumptions!$E$15</f>
        <v>53.095522371719944</v>
      </c>
      <c r="Q10" s="23">
        <f>Q9*Assumptions!$E$15</f>
        <v>53.095522371719944</v>
      </c>
      <c r="R10" s="23">
        <f>R9*Assumptions!$E$15</f>
        <v>53.095522371719944</v>
      </c>
      <c r="S10" s="23">
        <f>S9*Assumptions!$E$15</f>
        <v>53.095522371719944</v>
      </c>
      <c r="T10" s="23">
        <f>T9*Assumptions!$E$15</f>
        <v>53.095522371719944</v>
      </c>
      <c r="U10" s="23">
        <f>U9*Assumptions!$E$15</f>
        <v>28.790122371719942</v>
      </c>
      <c r="V10" s="23">
        <f>V9*Assumptions!$E$15</f>
        <v>16.63742237171994</v>
      </c>
    </row>
    <row r="11">
      <c r="A11" s="24" t="inlineStr">
        <is>
          <t>Free cash flow</t>
        </is>
      </c>
      <c r="C11" s="55">
        <f>C7-C10</f>
        <v>-55.786</v>
      </c>
      <c r="D11" s="55">
        <f>D7-D10</f>
        <v>-55.786</v>
      </c>
      <c r="E11" s="55">
        <f>E7-E10</f>
        <v>-55.786</v>
      </c>
      <c r="F11" s="55">
        <f>F7-F10</f>
        <v>-55.786</v>
      </c>
      <c r="G11" s="55">
        <f>G7-G10</f>
        <v>-3.9401791822859984</v>
      </c>
      <c r="H11" s="55">
        <f>H7-H10</f>
        <v>19.207820817714</v>
      </c>
      <c r="I11" s="55">
        <f>I7-I10</f>
        <v>53.929820817714</v>
      </c>
      <c r="J11" s="55">
        <f>J7-J10</f>
        <v>102.755420817714</v>
      </c>
      <c r="K11" s="55">
        <f>K7-K10</f>
        <v>152.845820817714</v>
      </c>
      <c r="L11" s="55">
        <f>L7-L10</f>
        <v>204.201020817714</v>
      </c>
      <c r="M11" s="55">
        <f>M7-M10</f>
        <v>216.5062522156744</v>
      </c>
      <c r="N11" s="55">
        <f>N7-N10</f>
        <v>196.74272244599405</v>
      </c>
      <c r="O11" s="55">
        <f>O7-O10</f>
        <v>199.74029844599409</v>
      </c>
      <c r="P11" s="55">
        <f>P7-P10</f>
        <v>199.74029844599409</v>
      </c>
      <c r="Q11" s="55">
        <f>Q7-Q10</f>
        <v>199.74029844599409</v>
      </c>
      <c r="R11" s="55">
        <f>R7-R10</f>
        <v>199.74029844599409</v>
      </c>
      <c r="S11" s="55">
        <f>S7-S10</f>
        <v>199.74029844599409</v>
      </c>
      <c r="T11" s="55">
        <f>T7-T10</f>
        <v>199.74029844599409</v>
      </c>
      <c r="U11" s="55">
        <f>U7-U10</f>
        <v>108.30569844599407</v>
      </c>
      <c r="V11" s="55">
        <f>V7-V10</f>
        <v>62.58839844599406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-27.32980401413189</v>
      </c>
      <c r="D16" s="55">
        <f>D11*D15</f>
        <v>-49.785790347799654</v>
      </c>
      <c r="E16" s="55">
        <f>E11*E15</f>
        <v>-44.45159852482111</v>
      </c>
      <c r="F16" s="55">
        <f>F11*F15</f>
        <v>-39.688927254304566</v>
      </c>
      <c r="G16" s="55">
        <f>G11*G15</f>
        <v>-2.50289186954667</v>
      </c>
      <c r="H16" s="55">
        <f>H11*H15</f>
        <v>10.893970338351107</v>
      </c>
      <c r="I16" s="55">
        <f>I11*I15</f>
        <v>27.30983318853882</v>
      </c>
      <c r="J16" s="55">
        <f>J11*J15</f>
        <v>46.459741554596256</v>
      </c>
      <c r="K16" s="55">
        <f>K11*K15</f>
        <v>61.70318659503811</v>
      </c>
      <c r="L16" s="55">
        <f>L11*L15</f>
        <v>73.60272794018117</v>
      </c>
      <c r="M16" s="55">
        <f>M11*M15</f>
        <v>69.67683606997774</v>
      </c>
      <c r="N16" s="55">
        <f>N11*N15</f>
        <v>56.53255753727822</v>
      </c>
      <c r="O16" s="55">
        <f>O11*O15</f>
        <v>51.24454348128473</v>
      </c>
      <c r="P16" s="55">
        <f>P11*P15</f>
        <v>45.7540566797185</v>
      </c>
      <c r="Q16" s="55">
        <f>Q11*Q15</f>
        <v>40.85183632117723</v>
      </c>
      <c r="R16" s="55">
        <f>R11*R15</f>
        <v>36.47485385819396</v>
      </c>
      <c r="S16" s="55">
        <f>S11*S15</f>
        <v>32.566833801958886</v>
      </c>
      <c r="T16" s="55">
        <f>T11*T15</f>
        <v>29.07753018032043</v>
      </c>
      <c r="U16" s="55">
        <f>U11*U15</f>
        <v>14.077486043152712</v>
      </c>
      <c r="V16" s="55">
        <f>V11*V15</f>
        <v>7.263561433622721</v>
      </c>
    </row>
    <row r="17">
      <c r="A17" s="14" t="inlineStr">
        <is>
          <t>Tax-loss carryforward, end of year</t>
        </is>
      </c>
      <c r="C17" s="23">
        <f>Assumptions!$B$21-C8+MAX(0,-C7)</f>
        <v>474.786</v>
      </c>
      <c r="D17" s="23">
        <f>C17-D8+MAX(0,-D7)</f>
        <v>530.572</v>
      </c>
      <c r="E17" s="23">
        <f>D17-E8+MAX(0,-E7)</f>
        <v>586.358</v>
      </c>
      <c r="F17" s="23">
        <f>E17-F8+MAX(0,-F7)</f>
        <v>642.144</v>
      </c>
      <c r="G17" s="23">
        <f>F17-G8+MAX(0,-G7)</f>
        <v>646.084179182286</v>
      </c>
      <c r="H17" s="23">
        <f>G17-H8+MAX(0,-H7)</f>
        <v>626.876358364572</v>
      </c>
      <c r="I17" s="23">
        <f>H17-I8+MAX(0,-I7)</f>
        <v>572.9465375468579</v>
      </c>
      <c r="J17" s="23">
        <f>I17-J8+MAX(0,-J7)</f>
        <v>470.1911167291439</v>
      </c>
      <c r="K17" s="23">
        <f>J17-K8+MAX(0,-K7)</f>
        <v>317.3452959114299</v>
      </c>
      <c r="L17" s="23">
        <f>K17-L8+MAX(0,-L7)</f>
        <v>113.14427509371589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712.8055185461019</v>
      </c>
    </row>
    <row r="20">
      <c r="A20" s="14" t="inlineStr">
        <is>
          <t>PV of corporate burn</t>
        </is>
      </c>
      <c r="B20" s="23">
        <f>SUMPRODUCT(C6:V6,C15:V15)</f>
        <v>-180.80586936586994</v>
      </c>
    </row>
    <row r="21">
      <c r="A21" s="14" t="inlineStr">
        <is>
          <t>PV of taxes</t>
        </is>
      </c>
      <c r="B21" s="23">
        <f>-SUMPRODUCT(C10:V10,C15:V15)</f>
        <v>-92.26910616744536</v>
      </c>
    </row>
    <row r="22">
      <c r="A22" s="24" t="inlineStr">
        <is>
          <t>Pipeline rNPV (operations)</t>
        </is>
      </c>
      <c r="B22" s="54">
        <f>SUM(C16:V16)</f>
        <v>439.73054301278665</v>
      </c>
    </row>
    <row r="23">
      <c r="A23" s="14" t="inlineStr">
        <is>
          <t>Cash &amp; investments</t>
        </is>
      </c>
      <c r="B23" s="57">
        <f>Main!C7</f>
        <v>208.303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648.0335430127866</v>
      </c>
    </row>
    <row r="26">
      <c r="A26" s="14" t="inlineStr">
        <is>
          <t>Shares (mm)</t>
        </is>
      </c>
      <c r="B26" s="57">
        <f>Main!C4</f>
        <v>100.363253</v>
      </c>
    </row>
    <row r="27">
      <c r="A27" s="24" t="inlineStr">
        <is>
          <t>rNPV / share</t>
        </is>
      </c>
      <c r="B27" s="60">
        <f>B25/B26</f>
        <v>6.456880617578095</v>
      </c>
    </row>
    <row r="28">
      <c r="A28" s="14" t="inlineStr">
        <is>
          <t>Price</t>
        </is>
      </c>
      <c r="B28" s="61">
        <f>Main!C3</f>
        <v>5.84</v>
      </c>
    </row>
    <row r="29">
      <c r="A29" s="14" t="inlineStr">
        <is>
          <t>Upside</t>
        </is>
      </c>
      <c r="B29" s="62">
        <f>B27/B28-1</f>
        <v>0.10563024273597521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2026-10-21T06:24:59Z</dcterms:modified>
  <cp:lastModifiedBy>Wang, Eric</cp:lastModifiedBy>
</cp:coreProperties>
</file>