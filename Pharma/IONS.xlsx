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Ionis Pharmaceuticals, Inc.</t>
        </is>
      </c>
      <c r="C2" s="10" t="n"/>
    </row>
    <row r="3">
      <c r="B3" t="inlineStr">
        <is>
          <t>Price</t>
        </is>
      </c>
      <c r="C3" s="11">
        <f>INDEX([1]Pharma!$F$1:$F$1000,MATCH("IONS",[1]Pharma!$B$1:$B$1000,0))</f>
        <v>45.4</v>
      </c>
      <c r="F3" s="1" t="n"/>
    </row>
    <row r="4">
      <c r="B4" t="inlineStr">
        <is>
          <t>Shares</t>
        </is>
      </c>
      <c r="C4" s="51" t="n">
        <v>166.184322</v>
      </c>
      <c r="F4" s="1" t="n"/>
    </row>
    <row r="5">
      <c r="B5" t="inlineStr">
        <is>
          <t>Market Cap.</t>
        </is>
      </c>
      <c r="C5" s="13">
        <f>C3*C4</f>
        <v>7544.7682188</v>
      </c>
      <c r="F5" s="1" t="n"/>
    </row>
    <row r="6"/>
    <row r="7">
      <c r="B7" t="inlineStr">
        <is>
          <t>Cash</t>
        </is>
      </c>
      <c r="C7" s="51">
        <f>350.065+1704.52</f>
        <v>2054.585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5490.1832188</v>
      </c>
    </row>
    <row r="10"/>
    <row r="11">
      <c r="B11" s="14" t="inlineStr">
        <is>
          <t>NPV / Share</t>
        </is>
      </c>
      <c r="C11" s="11">
        <f>NPV!B28</f>
        <v>12.785845823339901</v>
      </c>
    </row>
    <row r="12">
      <c r="B12" s="14" t="inlineStr">
        <is>
          <t>Upside</t>
        </is>
      </c>
      <c r="C12" s="15">
        <f>IFERROR(C11/C3-1,"")</f>
        <v>-0.7183734400145396</v>
      </c>
    </row>
    <row r="13">
      <c r="B13" s="14" t="inlineStr">
        <is>
          <t>Cash / Share</t>
        </is>
      </c>
      <c r="C13" s="11">
        <f>IFERROR((C7-C8)/C4,"")</f>
        <v>12.363290202549912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107.19</v>
      </c>
      <c r="C2" s="52" t="n">
        <v>121.6</v>
      </c>
      <c r="D2" s="52" t="n">
        <v>108.473</v>
      </c>
      <c r="E2" s="52" t="n">
        <v>99.086</v>
      </c>
      <c r="F2" s="52" t="n">
        <v>102.049</v>
      </c>
      <c r="G2" s="52" t="n">
        <v>147.285</v>
      </c>
      <c r="H2" s="52" t="n">
        <v>214.161</v>
      </c>
      <c r="I2" s="52" t="n">
        <v>283.703</v>
      </c>
      <c r="J2" s="52" t="n">
        <v>372.776</v>
      </c>
      <c r="K2" s="52" t="n">
        <v>514.179</v>
      </c>
      <c r="L2" s="52" t="n">
        <v>599.674</v>
      </c>
      <c r="M2" s="52" t="n">
        <v>1122.599</v>
      </c>
      <c r="N2" s="52" t="n">
        <v>729.264</v>
      </c>
      <c r="O2" s="52" t="n">
        <v>810.456</v>
      </c>
      <c r="P2" s="52" t="n">
        <v>587.367</v>
      </c>
      <c r="Q2" s="52" t="n">
        <v>787.647</v>
      </c>
      <c r="R2" s="52" t="n">
        <v>705.138</v>
      </c>
      <c r="S2" s="52" t="n">
        <v>943.711</v>
      </c>
      <c r="T2" s="52">
        <f>S2*(1+NPV!C5)</f>
        <v>849.3399000000001</v>
      </c>
      <c r="U2" s="52">
        <f>T2*(1+NPV!D5)</f>
        <v>776.2022975</v>
      </c>
      <c r="V2" s="52">
        <f>U2*(1+NPV!E5)</f>
        <v>720.1432426805555</v>
      </c>
      <c r="W2" s="52">
        <f>V2*(1+NPV!F5)</f>
        <v>678.1348868575232</v>
      </c>
      <c r="X2" s="52">
        <f>W2*(1+NPV!G5)</f>
        <v>647.9955585527443</v>
      </c>
      <c r="Y2" s="52">
        <f>X2*(1+NPV!H5)</f>
        <v>628.1956942636327</v>
      </c>
      <c r="Z2" s="52">
        <f>Y2*(1+NPV!I5)</f>
        <v>617.7257660259055</v>
      </c>
      <c r="AA2" s="52">
        <f>Z2*(1+NPV!J5)</f>
        <v>616.009861120278</v>
      </c>
      <c r="AB2" s="52">
        <f>AA2*(1+NPV!K5)</f>
        <v>622.8544151327254</v>
      </c>
      <c r="AC2" s="52">
        <f>AB2*(1+NPV!L5)</f>
        <v>638.4257755110435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1.82</v>
      </c>
      <c r="M3" s="52" t="n">
        <v>4.384</v>
      </c>
      <c r="N3" s="52" t="n">
        <v>11.947</v>
      </c>
      <c r="O3" s="52" t="n">
        <v>10.842</v>
      </c>
      <c r="P3" s="52" t="n">
        <v>14.116</v>
      </c>
      <c r="Q3" s="52" t="n">
        <v>9.132999999999999</v>
      </c>
      <c r="R3" s="52" t="n">
        <v>11.215</v>
      </c>
      <c r="S3" s="52" t="n">
        <v>15.909</v>
      </c>
      <c r="T3" s="52">
        <f>T2*(1-Assumptions!$B$19)</f>
        <v>14.353844310000023</v>
      </c>
      <c r="U3" s="52">
        <f>U2*(1-Assumptions!$B$19)</f>
        <v>13.11781882775002</v>
      </c>
      <c r="V3" s="52">
        <f>V2*(1-Assumptions!$B$19)</f>
        <v>12.170420801301407</v>
      </c>
      <c r="W3" s="52">
        <f>W2*(1-Assumptions!$B$19)</f>
        <v>11.46047958789216</v>
      </c>
      <c r="X3" s="52">
        <f>X2*(1-Assumptions!$B$19)</f>
        <v>10.951124939541396</v>
      </c>
      <c r="Y3" s="52">
        <f>Y2*(1-Assumptions!$B$19)</f>
        <v>10.61650723305541</v>
      </c>
      <c r="Z3" s="52">
        <f>Z2*(1-Assumptions!$B$19)</f>
        <v>10.439565445837818</v>
      </c>
      <c r="AA3" s="52">
        <f>AA2*(1-Assumptions!$B$19)</f>
        <v>10.410566652932713</v>
      </c>
      <c r="AB3" s="52">
        <f>AB2*(1-Assumptions!$B$19)</f>
        <v>10.526239615743076</v>
      </c>
      <c r="AC3" s="52">
        <f>AC2*(1-Assumptions!$B$19)</f>
        <v>10.789395606136653</v>
      </c>
    </row>
    <row r="4" customFormat="1" s="1">
      <c r="A4" s="5" t="inlineStr">
        <is>
          <t>Gross Margin</t>
        </is>
      </c>
      <c r="B4" s="52">
        <f>B2-B3</f>
        <v>107.19</v>
      </c>
      <c r="C4" s="52">
        <f>C2-C3</f>
        <v>121.6</v>
      </c>
      <c r="D4" s="52">
        <f>D2-D3</f>
        <v>108.473</v>
      </c>
      <c r="E4" s="52">
        <f>E2-E3</f>
        <v>99.086</v>
      </c>
      <c r="F4" s="52">
        <f>F2-F3</f>
        <v>102.049</v>
      </c>
      <c r="G4" s="52">
        <f>G2-G3</f>
        <v>147.285</v>
      </c>
      <c r="H4" s="52">
        <f>H2-H3</f>
        <v>214.161</v>
      </c>
      <c r="I4" s="52">
        <f>I2-I3</f>
        <v>283.703</v>
      </c>
      <c r="J4" s="52">
        <f>J2-J3</f>
        <v>372.776</v>
      </c>
      <c r="K4" s="52">
        <f>K2-K3</f>
        <v>514.179</v>
      </c>
      <c r="L4" s="52">
        <f>L2-L3</f>
        <v>597.8539999999999</v>
      </c>
      <c r="M4" s="52">
        <f>M2-M3</f>
        <v>1118.215</v>
      </c>
      <c r="N4" s="52">
        <f>N2-N3</f>
        <v>717.317</v>
      </c>
      <c r="O4" s="52">
        <f>O2-O3</f>
        <v>799.614</v>
      </c>
      <c r="P4" s="52">
        <f>P2-P3</f>
        <v>573.251</v>
      </c>
      <c r="Q4" s="52">
        <f>Q2-Q3</f>
        <v>778.514</v>
      </c>
      <c r="R4" s="52">
        <f>R2-R3</f>
        <v>693.923</v>
      </c>
      <c r="S4" s="52">
        <f>S2-S3</f>
        <v>927.802</v>
      </c>
      <c r="T4" s="52">
        <f>T2-T3</f>
        <v>834.9860556900001</v>
      </c>
      <c r="U4" s="52">
        <f>U2-U3</f>
        <v>763.0844786722499</v>
      </c>
      <c r="V4" s="52">
        <f>V2-V3</f>
        <v>707.9728218792542</v>
      </c>
      <c r="W4" s="52">
        <f>W2-W3</f>
        <v>666.674407269631</v>
      </c>
      <c r="X4" s="52">
        <f>X2-X3</f>
        <v>637.044433613203</v>
      </c>
      <c r="Y4" s="52">
        <f>Y2-Y3</f>
        <v>617.5791870305774</v>
      </c>
      <c r="Z4" s="52">
        <f>Z2-Z3</f>
        <v>607.2862005800677</v>
      </c>
      <c r="AA4" s="52">
        <f>AA2-AA3</f>
        <v>605.5992944673452</v>
      </c>
      <c r="AB4" s="52">
        <f>AB2-AB3</f>
        <v>612.3281755169824</v>
      </c>
      <c r="AC4" s="52">
        <f>AC2-AC3</f>
        <v>627.6363799049069</v>
      </c>
    </row>
    <row r="5">
      <c r="A5" s="2" t="inlineStr">
        <is>
          <t>Research &amp; Dev.</t>
        </is>
      </c>
      <c r="B5" s="52" t="n">
        <v>106.439</v>
      </c>
      <c r="C5" s="52" t="n">
        <v>134.623</v>
      </c>
      <c r="D5" s="52" t="n">
        <v>145.16</v>
      </c>
      <c r="E5" s="52" t="n">
        <v>153.1</v>
      </c>
      <c r="F5" s="52" t="n">
        <v>154.6</v>
      </c>
      <c r="G5" s="52" t="n">
        <v>173.7</v>
      </c>
      <c r="H5" s="52" t="n">
        <v>238.9</v>
      </c>
      <c r="I5" s="52" t="n">
        <v>319.5</v>
      </c>
      <c r="J5" s="52" t="n">
        <v>340.4</v>
      </c>
      <c r="K5" s="52" t="n">
        <v>372.5</v>
      </c>
      <c r="L5" s="52" t="n">
        <v>411.9</v>
      </c>
      <c r="M5" s="52" t="n">
        <v>461.5</v>
      </c>
      <c r="N5" s="52" t="n">
        <v>531</v>
      </c>
      <c r="O5" s="52" t="n">
        <v>638.2</v>
      </c>
      <c r="P5" s="52" t="n">
        <v>0</v>
      </c>
      <c r="Q5" s="52" t="n">
        <v>899.625</v>
      </c>
      <c r="R5" s="52" t="n">
        <v>901.53</v>
      </c>
      <c r="S5" s="52" t="n">
        <v>915.619</v>
      </c>
      <c r="T5" s="52">
        <f>T7*Assumptions!$B$20</f>
        <v>811.9767311482033</v>
      </c>
      <c r="U5" s="52">
        <f>U7*Assumptions!$B$20</f>
        <v>706.8285154740605</v>
      </c>
      <c r="V5" s="52">
        <f>V7*Assumptions!$B$20</f>
        <v>623.0960364371191</v>
      </c>
      <c r="W5" s="52">
        <f>W7*Assumptions!$B$20</f>
        <v>555.9715669792133</v>
      </c>
      <c r="X5" s="52">
        <f>X7*Assumptions!$B$20</f>
        <v>501.85239447731834</v>
      </c>
      <c r="Y5" s="52">
        <f>Y7*Assumptions!$B$20</f>
        <v>458.00730894293315</v>
      </c>
      <c r="Z5" s="52">
        <f>Z7*Assumptions!$B$20</f>
        <v>422.33832542654335</v>
      </c>
      <c r="AA5" s="52">
        <f>AA7*Assumptions!$B$20</f>
        <v>393.2075115118157</v>
      </c>
      <c r="AB5" s="52">
        <f>AB7*Assumptions!$B$20</f>
        <v>369.3081913856304</v>
      </c>
      <c r="AC5" s="52">
        <f>AC7*Assumptions!$B$20</f>
        <v>349.5658963820466</v>
      </c>
    </row>
    <row r="6">
      <c r="A6" s="18" t="inlineStr">
        <is>
          <t>SG&amp;A &amp; Other</t>
        </is>
      </c>
      <c r="B6" s="52" t="n">
        <v>13.811</v>
      </c>
      <c r="C6" s="52" t="n">
        <v>14.515</v>
      </c>
      <c r="D6" s="52" t="n">
        <v>11.669</v>
      </c>
      <c r="E6" s="52" t="n">
        <v>17.086</v>
      </c>
      <c r="F6" s="52" t="n">
        <v>16.373</v>
      </c>
      <c r="G6" s="52" t="n">
        <v>25.251</v>
      </c>
      <c r="H6" s="52" t="n">
        <v>22.991</v>
      </c>
      <c r="I6" s="52" t="n">
        <v>39.965</v>
      </c>
      <c r="J6" s="52" t="n">
        <v>52.536</v>
      </c>
      <c r="K6" s="52" t="n">
        <v>110.632</v>
      </c>
      <c r="L6" s="52" t="n">
        <v>247.326</v>
      </c>
      <c r="M6" s="52" t="n">
        <v>290.832</v>
      </c>
      <c r="N6" s="52" t="n">
        <v>358.399</v>
      </c>
      <c r="O6" s="52" t="n">
        <v>191.6</v>
      </c>
      <c r="P6" s="52" t="n">
        <v>983.442</v>
      </c>
      <c r="Q6" s="52" t="n">
        <v>232.619</v>
      </c>
      <c r="R6" s="52" t="n">
        <v>267.474</v>
      </c>
      <c r="S6" s="52" t="n">
        <v>393.867</v>
      </c>
      <c r="T6" s="52">
        <f>T7-T5</f>
        <v>349.3172207227967</v>
      </c>
      <c r="U6" s="52">
        <f>U7-U5</f>
        <v>304.08183274398937</v>
      </c>
      <c r="V6" s="52">
        <f>V7-V5</f>
        <v>268.059622082788</v>
      </c>
      <c r="W6" s="52">
        <f>W7-W5</f>
        <v>239.1822759544441</v>
      </c>
      <c r="X6" s="52">
        <f>X7-X5</f>
        <v>215.89988595362894</v>
      </c>
      <c r="Y6" s="52">
        <f>Y7-Y5</f>
        <v>197.03746929352724</v>
      </c>
      <c r="Z6" s="52">
        <f>Z7-Z5</f>
        <v>181.6924603665678</v>
      </c>
      <c r="AA6" s="52">
        <f>AA7-AA5</f>
        <v>169.16021090210836</v>
      </c>
      <c r="AB6" s="52">
        <f>AB7-AB5</f>
        <v>158.87858119107204</v>
      </c>
      <c r="AC6" s="52">
        <f>AC7-AC5</f>
        <v>150.3853284206516</v>
      </c>
    </row>
    <row r="7">
      <c r="A7" s="2" t="inlineStr">
        <is>
          <t>Operating Expense</t>
        </is>
      </c>
      <c r="B7" s="52">
        <f>SUM(B5:B6)</f>
        <v>120.25</v>
      </c>
      <c r="C7" s="52">
        <f>SUM(C5:C6)</f>
        <v>149.13799999999998</v>
      </c>
      <c r="D7" s="52">
        <f>SUM(D5:D6)</f>
        <v>156.829</v>
      </c>
      <c r="E7" s="52">
        <f>SUM(E5:E6)</f>
        <v>170.18599999999998</v>
      </c>
      <c r="F7" s="52">
        <f>SUM(F5:F6)</f>
        <v>170.97299999999998</v>
      </c>
      <c r="G7" s="52">
        <f>SUM(G5:G6)</f>
        <v>198.951</v>
      </c>
      <c r="H7" s="52">
        <f>SUM(H5:H6)</f>
        <v>261.891</v>
      </c>
      <c r="I7" s="52">
        <f>SUM(I5:I6)</f>
        <v>359.46500000000003</v>
      </c>
      <c r="J7" s="52">
        <f>SUM(J5:J6)</f>
        <v>392.936</v>
      </c>
      <c r="K7" s="52">
        <f>SUM(K5:K6)</f>
        <v>483.132</v>
      </c>
      <c r="L7" s="52">
        <f>SUM(L5:L6)</f>
        <v>659.226</v>
      </c>
      <c r="M7" s="52">
        <f>SUM(M5:M6)</f>
        <v>752.332</v>
      </c>
      <c r="N7" s="52">
        <f>SUM(N5:N6)</f>
        <v>889.399</v>
      </c>
      <c r="O7" s="52">
        <f>SUM(O5:O6)</f>
        <v>829.8000000000001</v>
      </c>
      <c r="P7" s="52">
        <f>SUM(P5:P6)</f>
        <v>983.442</v>
      </c>
      <c r="Q7" s="52">
        <f>SUM(Q5:Q6)</f>
        <v>1132.244</v>
      </c>
      <c r="R7" s="52">
        <f>SUM(R5:R6)</f>
        <v>1169.004</v>
      </c>
      <c r="S7" s="52">
        <f>SUM(S5:S6)</f>
        <v>1309.486</v>
      </c>
      <c r="T7" s="52">
        <f>T4-T2*NPV!C6</f>
        <v>1161.293951871</v>
      </c>
      <c r="U7" s="52">
        <f>U4-U2*NPV!D6</f>
        <v>1010.9103482180499</v>
      </c>
      <c r="V7" s="52">
        <f>V4-V2*NPV!E6</f>
        <v>891.1556585199071</v>
      </c>
      <c r="W7" s="52">
        <f>W4-W2*NPV!F6</f>
        <v>795.1538429336574</v>
      </c>
      <c r="X7" s="52">
        <f>X4-X2*NPV!G6</f>
        <v>717.7522804309473</v>
      </c>
      <c r="Y7" s="52">
        <f>Y4-Y2*NPV!H6</f>
        <v>655.0447782364604</v>
      </c>
      <c r="Z7" s="52">
        <f>Z4-Z2*NPV!I6</f>
        <v>604.0307857931111</v>
      </c>
      <c r="AA7" s="52">
        <f>AA4-AA2*NPV!J6</f>
        <v>562.3677224139241</v>
      </c>
      <c r="AB7" s="52">
        <f>AB4-AB2*NPV!K6</f>
        <v>528.1867725767024</v>
      </c>
      <c r="AC7" s="52">
        <f>AC4-AC2*NPV!L6</f>
        <v>499.9512248026982</v>
      </c>
    </row>
    <row r="8">
      <c r="A8" s="2" t="inlineStr">
        <is>
          <t>Operating Income</t>
        </is>
      </c>
      <c r="B8" s="52">
        <f>B4-B7</f>
        <v>-13.060000000000002</v>
      </c>
      <c r="C8" s="52">
        <f>C4-C7</f>
        <v>-27.537999999999982</v>
      </c>
      <c r="D8" s="52">
        <f>D4-D7</f>
        <v>-48.35600000000001</v>
      </c>
      <c r="E8" s="52">
        <f>E4-E7</f>
        <v>-71.09999999999998</v>
      </c>
      <c r="F8" s="52">
        <f>F4-F7</f>
        <v>-68.92399999999998</v>
      </c>
      <c r="G8" s="52">
        <f>G4-G7</f>
        <v>-51.666</v>
      </c>
      <c r="H8" s="52">
        <f>H4-H7</f>
        <v>-47.73000000000002</v>
      </c>
      <c r="I8" s="52">
        <f>I4-I7</f>
        <v>-75.76200000000006</v>
      </c>
      <c r="J8" s="52">
        <f>J4-J7</f>
        <v>-20.159999999999968</v>
      </c>
      <c r="K8" s="52">
        <f>K4-K7</f>
        <v>31.04699999999997</v>
      </c>
      <c r="L8" s="52">
        <f>L4-L7</f>
        <v>-61.37200000000007</v>
      </c>
      <c r="M8" s="52">
        <f>M4-M7</f>
        <v>365.8829999999999</v>
      </c>
      <c r="N8" s="52">
        <f>N4-N7</f>
        <v>-172.082</v>
      </c>
      <c r="O8" s="52">
        <f>O4-O7</f>
        <v>-30.186000000000035</v>
      </c>
      <c r="P8" s="52">
        <f>P4-P7</f>
        <v>-410.19100000000003</v>
      </c>
      <c r="Q8" s="52">
        <f>Q4-Q7</f>
        <v>-353.7299999999999</v>
      </c>
      <c r="R8" s="52">
        <f>R4-R7</f>
        <v>-475.0809999999999</v>
      </c>
      <c r="S8" s="52">
        <f>S4-S7</f>
        <v>-381.6840000000001</v>
      </c>
      <c r="T8" s="52">
        <f>T4-T7</f>
        <v>-326.30789618099993</v>
      </c>
      <c r="U8" s="52">
        <f>U4-U7</f>
        <v>-247.82586954579995</v>
      </c>
      <c r="V8" s="52">
        <f>V4-V7</f>
        <v>-183.1828366406529</v>
      </c>
      <c r="W8" s="52">
        <f>W4-W7</f>
        <v>-128.47943566402637</v>
      </c>
      <c r="X8" s="52">
        <f>X4-X7</f>
        <v>-80.70784681774433</v>
      </c>
      <c r="Y8" s="52">
        <f>Y4-Y7</f>
        <v>-37.465591205883015</v>
      </c>
      <c r="Z8" s="52">
        <f>Z4-Z7</f>
        <v>3.2554147869565213</v>
      </c>
      <c r="AA8" s="52">
        <f>AA4-AA7</f>
        <v>43.23157205342113</v>
      </c>
      <c r="AB8" s="52">
        <f>AB4-AB7</f>
        <v>84.14140294027993</v>
      </c>
      <c r="AC8" s="52">
        <f>AC4-AC7</f>
        <v>127.68515510220868</v>
      </c>
    </row>
    <row r="9">
      <c r="A9" s="18" t="inlineStr">
        <is>
          <t>Interest &amp; Other</t>
        </is>
      </c>
      <c r="B9" s="52" t="n">
        <v>-5.112</v>
      </c>
      <c r="C9" s="52" t="n">
        <v>185.795</v>
      </c>
      <c r="D9" s="52" t="n">
        <v>-12.803</v>
      </c>
      <c r="E9" s="52" t="n">
        <v>-13.69</v>
      </c>
      <c r="F9" s="52" t="n">
        <v>-5.663</v>
      </c>
      <c r="G9" s="52" t="n">
        <v>-14.892</v>
      </c>
      <c r="H9" s="52" t="n">
        <v>-6.661</v>
      </c>
      <c r="I9" s="52" t="n">
        <v>-12.144</v>
      </c>
      <c r="J9" s="52" t="n">
        <v>-37.306</v>
      </c>
      <c r="K9" s="52" t="n">
        <v>-36.681</v>
      </c>
      <c r="L9" s="52" t="n">
        <v>43.972</v>
      </c>
      <c r="M9" s="52" t="n">
        <v>-36.233</v>
      </c>
      <c r="N9" s="52" t="n">
        <v>73.01000000000001</v>
      </c>
      <c r="O9" s="52" t="n">
        <v>1.038</v>
      </c>
      <c r="P9" s="52" t="n">
        <v>152.206</v>
      </c>
      <c r="Q9" s="52" t="n">
        <v>19.765</v>
      </c>
      <c r="R9" s="52" t="n">
        <v>15.013</v>
      </c>
      <c r="S9" s="52" t="n">
        <v>2.083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-18.172000000000004</v>
      </c>
      <c r="C10" s="52">
        <f>C8+C9</f>
        <v>158.257</v>
      </c>
      <c r="D10" s="52">
        <f>D8+D9</f>
        <v>-61.159000000000006</v>
      </c>
      <c r="E10" s="52">
        <f>E8+E9</f>
        <v>-84.78999999999998</v>
      </c>
      <c r="F10" s="52">
        <f>F8+F9</f>
        <v>-74.58699999999997</v>
      </c>
      <c r="G10" s="52">
        <f>G8+G9</f>
        <v>-66.55799999999999</v>
      </c>
      <c r="H10" s="52">
        <f>H8+H9</f>
        <v>-54.39100000000002</v>
      </c>
      <c r="I10" s="52">
        <f>I8+I9</f>
        <v>-87.90600000000006</v>
      </c>
      <c r="J10" s="52">
        <f>J8+J9</f>
        <v>-57.465999999999966</v>
      </c>
      <c r="K10" s="52">
        <f>K8+K9</f>
        <v>-5.634000000000029</v>
      </c>
      <c r="L10" s="52">
        <f>L8+L9</f>
        <v>-17.40000000000007</v>
      </c>
      <c r="M10" s="52">
        <f>M8+M9</f>
        <v>329.6499999999999</v>
      </c>
      <c r="N10" s="52">
        <f>N8+N9</f>
        <v>-99.07199999999999</v>
      </c>
      <c r="O10" s="52">
        <f>O8+O9</f>
        <v>-29.148000000000035</v>
      </c>
      <c r="P10" s="52">
        <f>P8+P9</f>
        <v>-257.985</v>
      </c>
      <c r="Q10" s="52">
        <f>Q8+Q9</f>
        <v>-333.9649999999999</v>
      </c>
      <c r="R10" s="52">
        <f>R8+R9</f>
        <v>-460.0679999999999</v>
      </c>
      <c r="S10" s="52">
        <f>S8+S9</f>
        <v>-379.60100000000006</v>
      </c>
      <c r="T10" s="52">
        <f>T8+T9</f>
        <v>-326.30789618099993</v>
      </c>
      <c r="U10" s="52">
        <f>U8+U9</f>
        <v>-247.82586954579995</v>
      </c>
      <c r="V10" s="52">
        <f>V8+V9</f>
        <v>-183.1828366406529</v>
      </c>
      <c r="W10" s="52">
        <f>W8+W9</f>
        <v>-128.47943566402637</v>
      </c>
      <c r="X10" s="52">
        <f>X8+X9</f>
        <v>-80.70784681774433</v>
      </c>
      <c r="Y10" s="52">
        <f>Y8+Y9</f>
        <v>-37.465591205883015</v>
      </c>
      <c r="Z10" s="52">
        <f>Z8+Z9</f>
        <v>3.2554147869565213</v>
      </c>
      <c r="AA10" s="52">
        <f>AA8+AA9</f>
        <v>43.23157205342113</v>
      </c>
      <c r="AB10" s="52">
        <f>AB8+AB9</f>
        <v>84.14140294027993</v>
      </c>
      <c r="AC10" s="52">
        <f>AC8+AC9</f>
        <v>127.68515510220868</v>
      </c>
    </row>
    <row r="11">
      <c r="A11" s="2" t="inlineStr">
        <is>
          <t>Taxes</t>
        </is>
      </c>
      <c r="B11" s="52" t="n">
        <v>0</v>
      </c>
      <c r="C11" s="52" t="n">
        <v>3.191</v>
      </c>
      <c r="D11" s="52" t="n">
        <v>0.092</v>
      </c>
      <c r="E11" s="52" t="n">
        <v>0.011</v>
      </c>
      <c r="F11" s="52" t="n">
        <v>-9.109</v>
      </c>
      <c r="G11" s="52" t="n">
        <v>-5.914</v>
      </c>
      <c r="H11" s="52" t="n">
        <v>-15.407</v>
      </c>
      <c r="I11" s="52" t="n">
        <v>0.372</v>
      </c>
      <c r="J11" s="52" t="n">
        <v>2.934</v>
      </c>
      <c r="K11" s="52" t="n">
        <v>-5.98</v>
      </c>
      <c r="L11" s="52" t="n">
        <v>-291.141</v>
      </c>
      <c r="M11" s="52" t="n">
        <v>51.507</v>
      </c>
      <c r="N11" s="52" t="n">
        <v>345.191</v>
      </c>
      <c r="O11" s="52" t="n">
        <v>-0.551</v>
      </c>
      <c r="P11" s="52" t="n">
        <v>11.737</v>
      </c>
      <c r="Q11" s="52" t="n">
        <v>32.321</v>
      </c>
      <c r="R11" s="52" t="n">
        <v>-6.171</v>
      </c>
      <c r="S11" s="52" t="n">
        <v>1.786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0.5534205137826087</v>
      </c>
      <c r="AA11" s="52">
        <f>MAX(0,AA10)*Assumptions!$E$14</f>
        <v>7.349367249081593</v>
      </c>
      <c r="AB11" s="52">
        <f>MAX(0,AB10)*Assumptions!$E$14</f>
        <v>14.30403849984759</v>
      </c>
      <c r="AC11" s="52">
        <f>MAX(0,AC10)*Assumptions!$E$14</f>
        <v>21.706476367375476</v>
      </c>
    </row>
    <row r="12">
      <c r="A12" s="2" t="inlineStr">
        <is>
          <t>Net Income</t>
        </is>
      </c>
      <c r="B12" s="52" t="n">
        <v>-18.172</v>
      </c>
      <c r="C12" s="52" t="n">
        <v>155.066</v>
      </c>
      <c r="D12" s="52" t="n">
        <v>-61.251</v>
      </c>
      <c r="E12" s="52" t="n">
        <v>-84.801</v>
      </c>
      <c r="F12" s="52" t="n">
        <v>-65.47799999999999</v>
      </c>
      <c r="G12" s="52" t="n">
        <v>-60.644</v>
      </c>
      <c r="H12" s="52" t="n">
        <v>-38.984</v>
      </c>
      <c r="I12" s="52" t="n">
        <v>-88.27800000000001</v>
      </c>
      <c r="J12" s="52" t="n">
        <v>-60.4</v>
      </c>
      <c r="K12" s="52" t="n">
        <v>0.346</v>
      </c>
      <c r="L12" s="52" t="n">
        <v>273.741</v>
      </c>
      <c r="M12" s="52" t="n">
        <v>278.143</v>
      </c>
      <c r="N12" s="52" t="n">
        <v>-444.263</v>
      </c>
      <c r="O12" s="52" t="n">
        <v>-28.597</v>
      </c>
      <c r="P12" s="52" t="n">
        <v>-269.722</v>
      </c>
      <c r="Q12" s="52" t="n">
        <v>-366.286</v>
      </c>
      <c r="R12" s="52" t="n">
        <v>-453.897</v>
      </c>
      <c r="S12" s="52" t="n">
        <v>-381.387</v>
      </c>
      <c r="T12" s="52">
        <f>T10-T11</f>
        <v>-326.30789618099993</v>
      </c>
      <c r="U12" s="52">
        <f>U10-U11</f>
        <v>-247.82586954579995</v>
      </c>
      <c r="V12" s="52">
        <f>V10-V11</f>
        <v>-183.1828366406529</v>
      </c>
      <c r="W12" s="52">
        <f>W10-W11</f>
        <v>-128.47943566402637</v>
      </c>
      <c r="X12" s="52">
        <f>X10-X11</f>
        <v>-80.70784681774433</v>
      </c>
      <c r="Y12" s="52">
        <f>Y10-Y11</f>
        <v>-37.465591205883015</v>
      </c>
      <c r="Z12" s="52">
        <f>Z10-Z11</f>
        <v>2.701994273173913</v>
      </c>
      <c r="AA12" s="52">
        <f>AA10-AA11</f>
        <v>35.88220480433954</v>
      </c>
      <c r="AB12" s="52">
        <f>AB10-AB11</f>
        <v>69.83736444043234</v>
      </c>
      <c r="AC12" s="52">
        <f>AC10-AC11</f>
        <v>105.97867873483321</v>
      </c>
    </row>
    <row r="13">
      <c r="A13" s="2" t="inlineStr">
        <is>
          <t>Earnings per Share</t>
        </is>
      </c>
      <c r="B13" s="11">
        <f>IFERROR(B12/B14,0)</f>
        <v>-0.19216208785398559</v>
      </c>
      <c r="C13" s="11">
        <f>IFERROR(C12/C14,0)</f>
        <v>1.5805481658155727</v>
      </c>
      <c r="D13" s="11">
        <f>IFERROR(D12/D14,0)</f>
        <v>-0.6178045852959866</v>
      </c>
      <c r="E13" s="11">
        <f>IFERROR(E12/E14,0)</f>
        <v>-0.8509372240507345</v>
      </c>
      <c r="F13" s="11">
        <f>IFERROR(F12/F14,0)</f>
        <v>-0.6510300668151447</v>
      </c>
      <c r="G13" s="11">
        <f>IFERROR(G12/G14,0)</f>
        <v>-0.5488045465240449</v>
      </c>
      <c r="H13" s="11">
        <f>IFERROR(H12/H14,0)</f>
        <v>-0.3312402817547646</v>
      </c>
      <c r="I13" s="11">
        <f>IFERROR(I12/I14,0)</f>
        <v>-0.7373766904167259</v>
      </c>
      <c r="J13" s="11">
        <f>IFERROR(J12/J14,0)</f>
        <v>-0.49945010873789614</v>
      </c>
      <c r="K13" s="11">
        <f>IFERROR(K12/K14,0)</f>
        <v>0.0027438976034512837</v>
      </c>
      <c r="L13" s="11">
        <f>IFERROR(L12/L14,0)</f>
        <v>2.041989914662529</v>
      </c>
      <c r="M13" s="11">
        <f>IFERROR(M12/M14,0)</f>
        <v>1.8159815622470032</v>
      </c>
      <c r="N13" s="11">
        <f>IFERROR(N12/N14,0)</f>
        <v>-3.1821261782654786</v>
      </c>
      <c r="O13" s="11">
        <f>IFERROR(O12/O14,0)</f>
        <v>-0.2027854007559158</v>
      </c>
      <c r="P13" s="11">
        <f>IFERROR(P12/P14,0)</f>
        <v>-1.9014860977948222</v>
      </c>
      <c r="Q13" s="11">
        <f>IFERROR(Q12/Q14,0)</f>
        <v>-2.5580417626929255</v>
      </c>
      <c r="R13" s="11">
        <f>IFERROR(R12/R14,0)</f>
        <v>-3.035816043982503</v>
      </c>
      <c r="S13" s="11">
        <f>IFERROR(S12/S14,0)</f>
        <v>-2.3835197800137493</v>
      </c>
      <c r="T13" s="11">
        <f>IFERROR(T12/T14,0)</f>
        <v>-1.9635299663285921</v>
      </c>
      <c r="U13" s="11">
        <f>IFERROR(U12/U14,0)</f>
        <v>-1.4912710571205383</v>
      </c>
      <c r="V13" s="11">
        <f>IFERROR(V12/V14,0)</f>
        <v>-1.1022871137065078</v>
      </c>
      <c r="W13" s="11">
        <f>IFERROR(W12/W14,0)</f>
        <v>-0.773114058641623</v>
      </c>
      <c r="X13" s="11">
        <f>IFERROR(X12/X14,0)</f>
        <v>-0.4856525925336346</v>
      </c>
      <c r="Y13" s="11">
        <f>IFERROR(Y12/Y14,0)</f>
        <v>-0.2254460032991741</v>
      </c>
      <c r="Z13" s="11">
        <f>IFERROR(Z12/Z14,0)</f>
        <v>0.01625902034954845</v>
      </c>
      <c r="AA13" s="11">
        <f>IFERROR(AA12/AA14,0)</f>
        <v>0.2159181105203145</v>
      </c>
      <c r="AB13" s="11">
        <f>IFERROR(AB12/AB14,0)</f>
        <v>0.4202403909102348</v>
      </c>
      <c r="AC13" s="11">
        <f>IFERROR(AC12/AC14,0)</f>
        <v>0.6377176707128438</v>
      </c>
    </row>
    <row r="14">
      <c r="A14" s="2" t="inlineStr">
        <is>
          <t>Shares</t>
        </is>
      </c>
      <c r="B14" s="52" t="n">
        <v>94.566</v>
      </c>
      <c r="C14" s="52" t="n">
        <v>98.10899999999999</v>
      </c>
      <c r="D14" s="52" t="n">
        <v>99.143</v>
      </c>
      <c r="E14" s="52" t="n">
        <v>99.65600000000001</v>
      </c>
      <c r="F14" s="52" t="n">
        <v>100.576</v>
      </c>
      <c r="G14" s="52" t="n">
        <v>110.502</v>
      </c>
      <c r="H14" s="52" t="n">
        <v>117.691</v>
      </c>
      <c r="I14" s="52" t="n">
        <v>119.719</v>
      </c>
      <c r="J14" s="52" t="n">
        <v>120.933</v>
      </c>
      <c r="K14" s="52" t="n">
        <v>126.098</v>
      </c>
      <c r="L14" s="52" t="n">
        <v>134.056</v>
      </c>
      <c r="M14" s="52" t="n">
        <v>153.164</v>
      </c>
      <c r="N14" s="52" t="n">
        <v>139.612</v>
      </c>
      <c r="O14" s="52" t="n">
        <v>141.021</v>
      </c>
      <c r="P14" s="52" t="n">
        <v>141.848</v>
      </c>
      <c r="Q14" s="52" t="n">
        <v>143.19</v>
      </c>
      <c r="R14" s="52" t="n">
        <v>149.514</v>
      </c>
      <c r="S14" s="52" t="n">
        <v>160.01</v>
      </c>
      <c r="T14" s="52">
        <f>Main!$C$4</f>
        <v>166.184322</v>
      </c>
      <c r="U14" s="52">
        <f>Main!$C$4</f>
        <v>166.184322</v>
      </c>
      <c r="V14" s="52">
        <f>Main!$C$4</f>
        <v>166.184322</v>
      </c>
      <c r="W14" s="52">
        <f>Main!$C$4</f>
        <v>166.184322</v>
      </c>
      <c r="X14" s="52">
        <f>Main!$C$4</f>
        <v>166.184322</v>
      </c>
      <c r="Y14" s="52">
        <f>Main!$C$4</f>
        <v>166.184322</v>
      </c>
      <c r="Z14" s="52">
        <f>Main!$C$4</f>
        <v>166.184322</v>
      </c>
      <c r="AA14" s="52">
        <f>Main!$C$4</f>
        <v>166.184322</v>
      </c>
      <c r="AB14" s="52">
        <f>Main!$C$4</f>
        <v>166.184322</v>
      </c>
      <c r="AC14" s="52">
        <f>Main!$C$4</f>
        <v>166.184322</v>
      </c>
    </row>
    <row r="15"/>
    <row r="16" customFormat="1" s="4">
      <c r="A16" s="3" t="inlineStr">
        <is>
          <t>Revenue Change</t>
        </is>
      </c>
      <c r="C16" s="15">
        <f>IFERROR(C2/B2-1,"")</f>
        <v>0.13443418229312432</v>
      </c>
      <c r="D16" s="15">
        <f>IFERROR(D2/C2-1,"")</f>
        <v>-0.10795230263157896</v>
      </c>
      <c r="E16" s="15">
        <f>IFERROR(E2/D2-1,"")</f>
        <v>-0.08653766375042637</v>
      </c>
      <c r="F16" s="15">
        <f>IFERROR(F2/E2-1,"")</f>
        <v>0.02990331631108334</v>
      </c>
      <c r="G16" s="15">
        <f>IFERROR(G2/F2-1,"")</f>
        <v>0.44327724916461686</v>
      </c>
      <c r="H16" s="15">
        <f>IFERROR(H2/G2-1,"")</f>
        <v>0.4540584580914553</v>
      </c>
      <c r="I16" s="15">
        <f>IFERROR(I2/H2-1,"")</f>
        <v>0.3247183193952212</v>
      </c>
      <c r="J16" s="15">
        <f>IFERROR(J2/I2-1,"")</f>
        <v>0.3139656612725281</v>
      </c>
      <c r="K16" s="15">
        <f>IFERROR(K2/J2-1,"")</f>
        <v>0.3793243127239949</v>
      </c>
      <c r="L16" s="15">
        <f>IFERROR(L2/K2-1,"")</f>
        <v>0.16627477979458516</v>
      </c>
      <c r="M16" s="15">
        <f>IFERROR(M2/L2-1,"")</f>
        <v>0.8720154617342089</v>
      </c>
      <c r="N16" s="15">
        <f>IFERROR(N2/M2-1,"")</f>
        <v>-0.3503788975404396</v>
      </c>
      <c r="O16" s="15">
        <f>IFERROR(O2/N2-1,"")</f>
        <v>0.11133416705061538</v>
      </c>
      <c r="P16" s="15">
        <f>IFERROR(P2/O2-1,"")</f>
        <v>-0.27526355533181324</v>
      </c>
      <c r="Q16" s="15">
        <f>IFERROR(Q2/P2-1,"")</f>
        <v>0.3409793195736228</v>
      </c>
      <c r="R16" s="15">
        <f>IFERROR(R2/Q2-1,"")</f>
        <v>-0.10475377929453167</v>
      </c>
      <c r="S16" s="15">
        <f>IFERROR(S2/R2-1,"")</f>
        <v>0.33833519112570865</v>
      </c>
      <c r="T16" s="15">
        <f>IFERROR(T2/S2-1,"")</f>
        <v>-0.09999999999999998</v>
      </c>
      <c r="U16" s="15">
        <f>IFERROR(U2/T2-1,"")</f>
        <v>-0.08611111111111114</v>
      </c>
      <c r="V16" s="15">
        <f>IFERROR(V2/U2-1,"")</f>
        <v>-0.07222222222222219</v>
      </c>
      <c r="W16" s="15">
        <f>IFERROR(W2/V2-1,"")</f>
        <v>-0.05833333333333335</v>
      </c>
      <c r="X16" s="15">
        <f>IFERROR(X2/W2-1,"")</f>
        <v>-0.04444444444444451</v>
      </c>
      <c r="Y16" s="15">
        <f>IFERROR(Y2/X2-1,"")</f>
        <v>-0.030555555555555558</v>
      </c>
      <c r="Z16" s="15">
        <f>IFERROR(Z2/Y2-1,"")</f>
        <v>-0.01666666666666672</v>
      </c>
      <c r="AA16" s="15">
        <f>IFERROR(AA2/Z2-1,"")</f>
        <v>-0.002777777777777879</v>
      </c>
      <c r="AB16" s="15">
        <f>IFERROR(AB2/AA2-1,"")</f>
        <v>0.011111111111111072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0.996965017659595</v>
      </c>
      <c r="M17" s="15">
        <f>IFERROR(M4/M2,"")</f>
        <v>0.9960947764963268</v>
      </c>
      <c r="N17" s="15">
        <f>IFERROR(N4/N2,"")</f>
        <v>0.9836177296562013</v>
      </c>
      <c r="O17" s="15">
        <f>IFERROR(O4/O2,"")</f>
        <v>0.9866223459385828</v>
      </c>
      <c r="P17" s="15">
        <f>IFERROR(P4/P2,"")</f>
        <v>0.9759673253689771</v>
      </c>
      <c r="Q17" s="15">
        <f>IFERROR(Q4/Q2,"")</f>
        <v>0.9884047041377673</v>
      </c>
      <c r="R17" s="15">
        <f>IFERROR(R4/R2,"")</f>
        <v>0.9840953118396683</v>
      </c>
      <c r="S17" s="15">
        <f>IFERROR(S4/S2,"")</f>
        <v>0.9831420848119816</v>
      </c>
      <c r="T17" s="15">
        <f>IFERROR(T4/T2,"")</f>
        <v>0.9831</v>
      </c>
      <c r="U17" s="15">
        <f>IFERROR(U4/U2,"")</f>
        <v>0.9831</v>
      </c>
      <c r="V17" s="15">
        <f>IFERROR(V4/V2,"")</f>
        <v>0.9831000000000001</v>
      </c>
      <c r="W17" s="15">
        <f>IFERROR(W4/W2,"")</f>
        <v>0.9831000000000001</v>
      </c>
      <c r="X17" s="15">
        <f>IFERROR(X4/X2,"")</f>
        <v>0.9831</v>
      </c>
      <c r="Y17" s="15">
        <f>IFERROR(Y4/Y2,"")</f>
        <v>0.9831000000000001</v>
      </c>
      <c r="Z17" s="15">
        <f>IFERROR(Z4/Z2,"")</f>
        <v>0.9831</v>
      </c>
      <c r="AA17" s="15">
        <f>IFERROR(AA4/AA2,"")</f>
        <v>0.9831</v>
      </c>
      <c r="AB17" s="15">
        <f>IFERROR(AB4/AB2,"")</f>
        <v>0.9831</v>
      </c>
      <c r="AC17" s="15">
        <f>IFERROR(AC4/AC2,"")</f>
        <v>0.9831</v>
      </c>
    </row>
    <row r="18">
      <c r="A18" s="14" t="inlineStr">
        <is>
          <t>Operating Margin</t>
        </is>
      </c>
      <c r="B18" s="15">
        <f>IFERROR(B8/B2,"")</f>
        <v>-0.12183972385483723</v>
      </c>
      <c r="C18" s="15">
        <f>IFERROR(C8/C2,"")</f>
        <v>-0.22646381578947355</v>
      </c>
      <c r="D18" s="15">
        <f>IFERROR(D8/D2,"")</f>
        <v>-0.44578835286200263</v>
      </c>
      <c r="E18" s="15">
        <f>IFERROR(E8/E2,"")</f>
        <v>-0.7175584845487756</v>
      </c>
      <c r="F18" s="15">
        <f>IFERROR(F8/F2,"")</f>
        <v>-0.6754010328371662</v>
      </c>
      <c r="G18" s="15">
        <f>IFERROR(G8/G2,"")</f>
        <v>-0.350789286078012</v>
      </c>
      <c r="H18" s="15">
        <f>IFERROR(H8/H2,"")</f>
        <v>-0.2228697101713198</v>
      </c>
      <c r="I18" s="15">
        <f>IFERROR(I8/I2,"")</f>
        <v>-0.2670468764870307</v>
      </c>
      <c r="J18" s="15">
        <f>IFERROR(J8/J2,"")</f>
        <v>-0.054080734811253854</v>
      </c>
      <c r="K18" s="15">
        <f>IFERROR(K8/K2,"")</f>
        <v>0.060381695868559335</v>
      </c>
      <c r="L18" s="15">
        <f>IFERROR(L8/L2,"")</f>
        <v>-0.10234227263479836</v>
      </c>
      <c r="M18" s="15">
        <f>IFERROR(M8/M2,"")</f>
        <v>0.3259249295607781</v>
      </c>
      <c r="N18" s="15">
        <f>IFERROR(N8/N2,"")</f>
        <v>-0.2359666732486452</v>
      </c>
      <c r="O18" s="15">
        <f>IFERROR(O8/O2,"")</f>
        <v>-0.037245698717758936</v>
      </c>
      <c r="P18" s="15">
        <f>IFERROR(P8/P2,"")</f>
        <v>-0.6983555426164563</v>
      </c>
      <c r="Q18" s="15">
        <f>IFERROR(Q8/Q2,"")</f>
        <v>-0.4490971209183808</v>
      </c>
      <c r="R18" s="15">
        <f>IFERROR(R8/R2,"")</f>
        <v>-0.6737418774764654</v>
      </c>
      <c r="S18" s="15">
        <f>IFERROR(S8/S2,"")</f>
        <v>-0.4044500911825761</v>
      </c>
      <c r="T18" s="15">
        <f>IFERROR(T8/T2,"")</f>
        <v>-0.3841899999999999</v>
      </c>
      <c r="U18" s="15">
        <f>IFERROR(U8/U2,"")</f>
        <v>-0.31927999999999995</v>
      </c>
      <c r="V18" s="15">
        <f>IFERROR(V8/V2,"")</f>
        <v>-0.25437</v>
      </c>
      <c r="W18" s="15">
        <f>IFERROR(W8/W2,"")</f>
        <v>-0.18946000000000005</v>
      </c>
      <c r="X18" s="15">
        <f>IFERROR(X8/X2,"")</f>
        <v>-0.12455000000000002</v>
      </c>
      <c r="Y18" s="15">
        <f>IFERROR(Y8/Y2,"")</f>
        <v>-0.059639999999999936</v>
      </c>
      <c r="Z18" s="15">
        <f>IFERROR(Z8/Z2,"")</f>
        <v>0.005269999999999999</v>
      </c>
      <c r="AA18" s="15">
        <f>IFERROR(AA8/AA2,"")</f>
        <v>0.07018000000000005</v>
      </c>
      <c r="AB18" s="15">
        <f>IFERROR(AB8/AB2,"")</f>
        <v>0.1350900000000001</v>
      </c>
      <c r="AC18" s="15">
        <f>IFERROR(AC8/AC2,"")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Ionis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-0.4491</v>
      </c>
    </row>
    <row r="19">
      <c r="A19" s="14" t="inlineStr">
        <is>
          <t>Gross margin (forecast)</t>
        </is>
      </c>
      <c r="B19" s="53" t="n">
        <v>0.9831</v>
      </c>
    </row>
    <row r="20">
      <c r="A20" s="14" t="inlineStr">
        <is>
          <t>R&amp;D share of operating expense (forecast)</t>
        </is>
      </c>
      <c r="B20" s="53" t="n">
        <v>0.6992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943.711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70.2221193482734</v>
      </c>
      <c r="C29" s="56">
        <f>NPV!B26</f>
        <v>2124.8071193482733</v>
      </c>
      <c r="D29" s="35">
        <f>NPV!B28</f>
        <v>12.785845823339901</v>
      </c>
      <c r="E29" s="57">
        <f>NPV!B30</f>
        <v>-0.7183734400145396</v>
      </c>
    </row>
    <row r="30">
      <c r="A30" s="58" t="n">
        <v>1</v>
      </c>
      <c r="B30" s="59">
        <f t="dataTable" ref="B30:E32" r1="B4"/>
        <v>-280.5821932912539</v>
      </c>
      <c r="C30" s="59">
        <v>1774.0028067087462</v>
      </c>
      <c r="D30" s="39">
        <v>10.674910757879712</v>
      </c>
      <c r="E30" s="60">
        <v>-0.7648698070951605</v>
      </c>
    </row>
    <row r="31">
      <c r="A31" s="58" t="n">
        <v>2</v>
      </c>
      <c r="B31" s="59">
        <v>70.2221193482734</v>
      </c>
      <c r="C31" s="59">
        <v>2124.8071193482733</v>
      </c>
      <c r="D31" s="39">
        <v>12.785845823339901</v>
      </c>
      <c r="E31" s="60">
        <v>-0.7183734400145396</v>
      </c>
    </row>
    <row r="32">
      <c r="A32" s="58" t="n">
        <v>3</v>
      </c>
      <c r="B32" s="59">
        <v>932.9217902849173</v>
      </c>
      <c r="C32" s="59">
        <v>2987.5067902849173</v>
      </c>
      <c r="D32" s="39">
        <v>17.97706759777807</v>
      </c>
      <c r="E32" s="60">
        <v>-0.6040293480665624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12.785845823339901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14.020536645512252</v>
      </c>
      <c r="C37" s="39">
        <v>14.5978971428587</v>
      </c>
      <c r="D37" s="39">
        <v>15.295026818864066</v>
      </c>
      <c r="E37" s="39">
        <v>16.15190167988269</v>
      </c>
      <c r="F37" s="39">
        <v>17.22848643597744</v>
      </c>
    </row>
    <row r="38">
      <c r="A38" s="62" t="n">
        <v>0.08500000000000001</v>
      </c>
      <c r="B38" s="39">
        <v>12.949004750097231</v>
      </c>
      <c r="C38" s="39">
        <v>13.343663826301146</v>
      </c>
      <c r="D38" s="39">
        <v>13.807501948219237</v>
      </c>
      <c r="E38" s="39">
        <v>14.3594267661296</v>
      </c>
      <c r="F38" s="39">
        <v>15.025909513566578</v>
      </c>
    </row>
    <row r="39">
      <c r="A39" s="62" t="n">
        <v>0.095</v>
      </c>
      <c r="B39" s="39">
        <v>12.179982692061754</v>
      </c>
      <c r="C39" s="39">
        <v>12.46142420921622</v>
      </c>
      <c r="D39" s="39">
        <v>12.785845823339901</v>
      </c>
      <c r="E39" s="39">
        <v>13.163198305758813</v>
      </c>
      <c r="F39" s="39">
        <v>13.606749758863321</v>
      </c>
    </row>
    <row r="40">
      <c r="A40" s="62" t="n">
        <v>0.105</v>
      </c>
      <c r="B40" s="39">
        <v>11.610418187916531</v>
      </c>
      <c r="C40" s="39">
        <v>11.817498967067204</v>
      </c>
      <c r="D40" s="39">
        <v>12.052776224888289</v>
      </c>
      <c r="E40" s="39">
        <v>12.321915556324003</v>
      </c>
      <c r="F40" s="39">
        <v>12.632201624144521</v>
      </c>
    </row>
    <row r="41">
      <c r="A41" s="62" t="n">
        <v>0.115</v>
      </c>
      <c r="B41" s="39">
        <v>11.178654377135224</v>
      </c>
      <c r="C41" s="39">
        <v>11.334681958653505</v>
      </c>
      <c r="D41" s="39">
        <v>11.510004296985215</v>
      </c>
      <c r="E41" s="39">
        <v>11.708048178399753</v>
      </c>
      <c r="F41" s="39">
        <v>11.933097352992021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Ionis Pharmaceuticals, Inc.: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-0.4044500911825761</v>
      </c>
      <c r="C6" s="63">
        <f>Assumptions!$B$18+(Assumptions!$E$13-Assumptions!$B$18)*C4/Assumptions!$B$21</f>
        <v>-0.38419000000000003</v>
      </c>
      <c r="D6" s="63">
        <f>Assumptions!$B$18+(Assumptions!$E$13-Assumptions!$B$18)*D4/Assumptions!$B$21</f>
        <v>-0.31928</v>
      </c>
      <c r="E6" s="63">
        <f>Assumptions!$B$18+(Assumptions!$E$13-Assumptions!$B$18)*E4/Assumptions!$B$21</f>
        <v>-0.25437</v>
      </c>
      <c r="F6" s="63">
        <f>Assumptions!$B$18+(Assumptions!$E$13-Assumptions!$B$18)*F4/Assumptions!$B$21</f>
        <v>-0.18946000000000002</v>
      </c>
      <c r="G6" s="63">
        <f>Assumptions!$B$18+(Assumptions!$E$13-Assumptions!$B$18)*G4/Assumptions!$B$21</f>
        <v>-0.12455</v>
      </c>
      <c r="H6" s="63">
        <f>Assumptions!$B$18+(Assumptions!$E$13-Assumptions!$B$18)*H4/Assumptions!$B$21</f>
        <v>-0.05963999999999997</v>
      </c>
      <c r="I6" s="63">
        <f>Assumptions!$B$18+(Assumptions!$E$13-Assumptions!$B$18)*I4/Assumptions!$B$21</f>
        <v>0.005270000000000052</v>
      </c>
      <c r="J6" s="63">
        <f>Assumptions!$B$18+(Assumptions!$E$13-Assumptions!$B$18)*J4/Assumptions!$B$21</f>
        <v>0.07017999999999996</v>
      </c>
      <c r="K6" s="63">
        <f>Assumptions!$B$18+(Assumptions!$E$13-Assumptions!$B$18)*K4/Assumptions!$B$21</f>
        <v>0.13509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Model'!S2</f>
        <v>943.711</v>
      </c>
      <c r="C7" s="55">
        <f>'Yearly Model'!T2</f>
        <v>849.3399000000001</v>
      </c>
      <c r="D7" s="55">
        <f>'Yearly Model'!U2</f>
        <v>776.2022975</v>
      </c>
      <c r="E7" s="55">
        <f>'Yearly Model'!V2</f>
        <v>720.1432426805555</v>
      </c>
      <c r="F7" s="55">
        <f>'Yearly Model'!W2</f>
        <v>678.1348868575232</v>
      </c>
      <c r="G7" s="55">
        <f>'Yearly Model'!X2</f>
        <v>647.9955585527443</v>
      </c>
      <c r="H7" s="55">
        <f>'Yearly Model'!Y2</f>
        <v>628.1956942636327</v>
      </c>
      <c r="I7" s="55">
        <f>'Yearly Model'!Z2</f>
        <v>617.7257660259055</v>
      </c>
      <c r="J7" s="55">
        <f>'Yearly Model'!AA2</f>
        <v>616.009861120278</v>
      </c>
      <c r="K7" s="55">
        <f>'Yearly Model'!AB2</f>
        <v>622.8544151327254</v>
      </c>
      <c r="L7" s="55">
        <f>'Yearly Model'!AC2</f>
        <v>638.4257755110435</v>
      </c>
    </row>
    <row r="8">
      <c r="A8" s="14" t="inlineStr">
        <is>
          <t>Operating income</t>
        </is>
      </c>
      <c r="B8" s="55">
        <f>'Yearly Model'!S8</f>
        <v>-381.6840000000001</v>
      </c>
      <c r="C8" s="55">
        <f>'Yearly Model'!T8</f>
        <v>-326.30789618099993</v>
      </c>
      <c r="D8" s="55">
        <f>'Yearly Model'!U8</f>
        <v>-247.82586954579995</v>
      </c>
      <c r="E8" s="55">
        <f>'Yearly Model'!V8</f>
        <v>-183.1828366406529</v>
      </c>
      <c r="F8" s="55">
        <f>'Yearly Model'!W8</f>
        <v>-128.47943566402637</v>
      </c>
      <c r="G8" s="55">
        <f>'Yearly Model'!X8</f>
        <v>-80.70784681774433</v>
      </c>
      <c r="H8" s="55">
        <f>'Yearly Model'!Y8</f>
        <v>-37.465591205883015</v>
      </c>
      <c r="I8" s="55">
        <f>'Yearly Model'!Z8</f>
        <v>3.2554147869565213</v>
      </c>
      <c r="J8" s="55">
        <f>'Yearly Model'!AA8</f>
        <v>43.23157205342113</v>
      </c>
      <c r="K8" s="55">
        <f>'Yearly Model'!AB8</f>
        <v>84.14140294027993</v>
      </c>
      <c r="L8" s="55">
        <f>'Yearly Model'!AC8</f>
        <v>127.68515510220868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0.5534205137826087</v>
      </c>
      <c r="J9" s="52">
        <f>MAX(0,J8)*Assumptions!$E$14</f>
        <v>7.349367249081593</v>
      </c>
      <c r="K9" s="52">
        <f>MAX(0,K8)*Assumptions!$E$14</f>
        <v>14.30403849984759</v>
      </c>
      <c r="L9" s="52">
        <f>MAX(0,L8)*Assumptions!$E$14</f>
        <v>21.706476367375476</v>
      </c>
    </row>
    <row r="10">
      <c r="A10" s="14" t="inlineStr">
        <is>
          <t>NOPAT</t>
        </is>
      </c>
      <c r="C10" s="52">
        <f>C8-C9</f>
        <v>-326.30789618099993</v>
      </c>
      <c r="D10" s="52">
        <f>D8-D9</f>
        <v>-247.82586954579995</v>
      </c>
      <c r="E10" s="52">
        <f>E8-E9</f>
        <v>-183.1828366406529</v>
      </c>
      <c r="F10" s="52">
        <f>F8-F9</f>
        <v>-128.47943566402637</v>
      </c>
      <c r="G10" s="52">
        <f>G8-G9</f>
        <v>-80.70784681774433</v>
      </c>
      <c r="H10" s="52">
        <f>H8-H9</f>
        <v>-37.465591205883015</v>
      </c>
      <c r="I10" s="52">
        <f>I8-I9</f>
        <v>2.701994273173913</v>
      </c>
      <c r="J10" s="52">
        <f>J8-J9</f>
        <v>35.88220480433954</v>
      </c>
      <c r="K10" s="52">
        <f>K8-K9</f>
        <v>69.83736444043234</v>
      </c>
      <c r="L10" s="52">
        <f>L8-L9</f>
        <v>105.97867873483321</v>
      </c>
    </row>
    <row r="11">
      <c r="A11" s="14" t="inlineStr">
        <is>
          <t>Reinvestment</t>
        </is>
      </c>
      <c r="C11" s="52">
        <f>(C7-B7)*Assumptions!$E$15</f>
        <v>-23.59277499999999</v>
      </c>
      <c r="D11" s="52">
        <f>(D7-C7)*Assumptions!$E$15</f>
        <v>-18.284400625000018</v>
      </c>
      <c r="E11" s="52">
        <f>(E7-D7)*Assumptions!$E$15</f>
        <v>-14.01476370486111</v>
      </c>
      <c r="F11" s="52">
        <f>(F7-E7)*Assumptions!$E$15</f>
        <v>-10.502088955758097</v>
      </c>
      <c r="G11" s="52">
        <f>(G7-F7)*Assumptions!$E$15</f>
        <v>-7.534832076194704</v>
      </c>
      <c r="H11" s="52">
        <f>(H7-G7)*Assumptions!$E$15</f>
        <v>-4.949966072277903</v>
      </c>
      <c r="I11" s="52">
        <f>(I7-H7)*Assumptions!$E$15</f>
        <v>-2.617482059431808</v>
      </c>
      <c r="J11" s="52">
        <f>(J7-I7)*Assumptions!$E$15</f>
        <v>-0.4289762264068884</v>
      </c>
      <c r="K11" s="52">
        <f>(K7-J7)*Assumptions!$E$15</f>
        <v>1.7111385031118687</v>
      </c>
      <c r="L11" s="52">
        <f>(L7-K7)*Assumptions!$E$15</f>
        <v>3.892840094579526</v>
      </c>
    </row>
    <row r="12">
      <c r="A12" s="20" t="inlineStr">
        <is>
          <t>Free cash flow</t>
        </is>
      </c>
      <c r="C12" s="64">
        <f>C10-C11</f>
        <v>-302.715121181</v>
      </c>
      <c r="D12" s="64">
        <f>D10-D11</f>
        <v>-229.54146892079993</v>
      </c>
      <c r="E12" s="64">
        <f>E10-E11</f>
        <v>-169.1680729357918</v>
      </c>
      <c r="F12" s="64">
        <f>F10-F11</f>
        <v>-117.97734670826827</v>
      </c>
      <c r="G12" s="64">
        <f>G10-G11</f>
        <v>-73.17301474154962</v>
      </c>
      <c r="H12" s="64">
        <f>H10-H11</f>
        <v>-32.51562513360511</v>
      </c>
      <c r="I12" s="64">
        <f>I10-I11</f>
        <v>5.319476332605721</v>
      </c>
      <c r="J12" s="64">
        <f>J10-J11</f>
        <v>36.311181030746425</v>
      </c>
      <c r="K12" s="64">
        <f>K10-K11</f>
        <v>68.12622593732047</v>
      </c>
      <c r="L12" s="64">
        <f>L10-L11</f>
        <v>102.08583864025368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-149.1476737272931</v>
      </c>
      <c r="D16" s="64">
        <f>D12*D13*D15</f>
        <v>-209.54892608291075</v>
      </c>
      <c r="E16" s="64">
        <f>E12*E13*E15</f>
        <v>-141.03554004979878</v>
      </c>
      <c r="F16" s="64">
        <f>F12*F13*F15</f>
        <v>-89.82447122807878</v>
      </c>
      <c r="G16" s="64">
        <f>G12*G13*G15</f>
        <v>-50.87833304240275</v>
      </c>
      <c r="H16" s="64">
        <f>H12*H13*H15</f>
        <v>-20.64714055510538</v>
      </c>
      <c r="I16" s="64">
        <f>I12*I13*I15</f>
        <v>3.0847684329516003</v>
      </c>
      <c r="J16" s="64">
        <f>J12*J13*J15</f>
        <v>19.230029149813525</v>
      </c>
      <c r="K16" s="64">
        <f>K12*K13*K15</f>
        <v>32.948813434073344</v>
      </c>
      <c r="L16" s="64">
        <f>L12*L13*L15</f>
        <v>45.08964649277324</v>
      </c>
    </row>
    <row r="19">
      <c r="A19" s="14" t="inlineStr">
        <is>
          <t>PV of forecast free cash flow</t>
        </is>
      </c>
      <c r="B19" s="52">
        <f>SUM(C16:L16)</f>
        <v>-560.7288271759778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104.63798460626</v>
      </c>
    </row>
    <row r="21">
      <c r="A21" s="14" t="inlineStr">
        <is>
          <t>Terminal value</t>
        </is>
      </c>
      <c r="B21" s="52">
        <f>B20/(Assumptions!$E$10-Assumptions!$E$11)</f>
        <v>1494.8283515179999</v>
      </c>
    </row>
    <row r="22">
      <c r="A22" s="14" t="inlineStr">
        <is>
          <t>PV of terminal value</t>
        </is>
      </c>
      <c r="B22" s="52">
        <f>B21/(1+Assumptions!$E$10)^(L14+0.5)</f>
        <v>630.9509465242512</v>
      </c>
    </row>
    <row r="23">
      <c r="A23" s="20" t="inlineStr">
        <is>
          <t>Enterprise value</t>
        </is>
      </c>
      <c r="B23" s="66">
        <f>B19+B22</f>
        <v>70.2221193482734</v>
      </c>
    </row>
    <row r="24">
      <c r="A24" s="14" t="inlineStr">
        <is>
          <t>Cash &amp; investments</t>
        </is>
      </c>
      <c r="B24" s="55">
        <f>Main!C7</f>
        <v>2054.585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2124.8071193482733</v>
      </c>
    </row>
    <row r="27">
      <c r="A27" s="14" t="inlineStr">
        <is>
          <t>Shares (mm)</t>
        </is>
      </c>
      <c r="B27" s="55">
        <f>Main!C4</f>
        <v>166.184322</v>
      </c>
    </row>
    <row r="28">
      <c r="A28" s="20" t="inlineStr">
        <is>
          <t>NPV / share</t>
        </is>
      </c>
      <c r="B28" s="49">
        <f>B26/B27</f>
        <v>12.785845823339901</v>
      </c>
    </row>
    <row r="29">
      <c r="A29" s="14" t="inlineStr">
        <is>
          <t>Price</t>
        </is>
      </c>
      <c r="B29" s="50">
        <f>Main!C3</f>
        <v>45.4</v>
      </c>
    </row>
    <row r="30">
      <c r="A30" s="14" t="inlineStr">
        <is>
          <t>Upside</t>
        </is>
      </c>
      <c r="B30" s="63">
        <f>B28/B29-1</f>
        <v>-0.7183734400145396</v>
      </c>
    </row>
    <row r="31">
      <c r="A31" s="14" t="inlineStr">
        <is>
          <t>Terminal value, % of EV</t>
        </is>
      </c>
      <c r="B31" s="63">
        <f>IFERROR(B22/B23,0)</f>
        <v>8.985074110267007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2026-10-21T06:21:30Z</dcterms:modified>
  <cp:lastModifiedBy>Wang, Eric</cp:lastModifiedBy>
</cp:coreProperties>
</file>