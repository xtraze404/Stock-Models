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Aytu Biopharma Inc</t>
        </is>
      </c>
      <c r="C2" s="10" t="n"/>
    </row>
    <row r="3">
      <c r="B3" t="inlineStr">
        <is>
          <t>Price</t>
        </is>
      </c>
      <c r="C3" s="11">
        <f>INDEX([1]Pharma!$F$1:$F$1000,MATCH("AYTU",[1]Pharma!$B$1:$B$1000,0))</f>
        <v>2.01</v>
      </c>
      <c r="F3" s="1" t="n"/>
    </row>
    <row r="4">
      <c r="B4" t="inlineStr">
        <is>
          <t>Shares</t>
        </is>
      </c>
      <c r="C4" s="51" t="n">
        <v>10.866708</v>
      </c>
      <c r="F4" s="1" t="n"/>
    </row>
    <row r="5">
      <c r="B5" t="inlineStr">
        <is>
          <t>Market Cap.</t>
        </is>
      </c>
      <c r="C5" s="13">
        <f>C3*C4</f>
        <v>21.842083079999995</v>
      </c>
      <c r="F5" s="1" t="n"/>
    </row>
    <row r="6"/>
    <row r="7">
      <c r="B7" t="inlineStr">
        <is>
          <t>Cash</t>
        </is>
      </c>
      <c r="C7" s="51" t="n">
        <v>26.308</v>
      </c>
    </row>
    <row r="8">
      <c r="B8" t="inlineStr">
        <is>
          <t>Debt</t>
        </is>
      </c>
      <c r="C8" s="51">
        <f>1.857+6.074+9.101</f>
        <v>17.032</v>
      </c>
    </row>
    <row r="9">
      <c r="B9" t="inlineStr">
        <is>
          <t>Enterprise V.</t>
        </is>
      </c>
      <c r="C9" s="13">
        <f>C5-C7+C8</f>
        <v>12.566083079999995</v>
      </c>
    </row>
    <row r="10"/>
    <row r="11">
      <c r="B11" s="14" t="inlineStr">
        <is>
          <t>NPV / Share</t>
        </is>
      </c>
      <c r="C11" s="11">
        <f>NPV!B28</f>
        <v>2.897737167774276</v>
      </c>
    </row>
    <row r="12">
      <c r="B12" s="14" t="inlineStr">
        <is>
          <t>Upside</t>
        </is>
      </c>
      <c r="C12" s="15">
        <f>IFERROR(C11/C3-1,"")</f>
        <v>0.4416602824747644</v>
      </c>
    </row>
    <row r="13">
      <c r="B13" s="14" t="inlineStr">
        <is>
          <t>Cash / Share</t>
        </is>
      </c>
      <c r="C13" s="11">
        <f>IFERROR((C7-C8)/C4,"")</f>
        <v>0.8536163850174313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2006</v>
      </c>
      <c r="C1" s="16" t="n">
        <v>2007</v>
      </c>
      <c r="D1" s="16" t="n">
        <v>2008</v>
      </c>
      <c r="E1" s="16" t="n">
        <v>2009</v>
      </c>
      <c r="F1" s="16" t="n">
        <v>2010</v>
      </c>
      <c r="G1" s="16" t="n">
        <v>2011</v>
      </c>
      <c r="H1" s="16" t="n">
        <v>2012</v>
      </c>
      <c r="I1" s="16" t="n">
        <v>2013</v>
      </c>
      <c r="J1" s="16" t="n">
        <v>2014</v>
      </c>
      <c r="K1" s="16" t="n">
        <v>2015</v>
      </c>
      <c r="L1" s="16" t="n">
        <v>2016</v>
      </c>
      <c r="M1" s="16" t="n">
        <v>2017</v>
      </c>
      <c r="N1" s="16" t="n">
        <v>2018</v>
      </c>
      <c r="O1" s="16" t="n">
        <v>2019</v>
      </c>
      <c r="P1" s="16" t="n">
        <v>2020</v>
      </c>
      <c r="Q1" s="16" t="n">
        <v>2021</v>
      </c>
      <c r="R1" s="16" t="n">
        <v>2022</v>
      </c>
      <c r="S1" s="16" t="n">
        <v>2023</v>
      </c>
      <c r="T1" s="16" t="n">
        <v>2024</v>
      </c>
      <c r="U1" s="16" t="n">
        <v>2025</v>
      </c>
      <c r="V1" s="16" t="n">
        <v>2026</v>
      </c>
      <c r="W1" s="16" t="n">
        <v>2027</v>
      </c>
      <c r="X1" s="16" t="n">
        <v>2028</v>
      </c>
      <c r="Y1" s="16" t="n">
        <v>2029</v>
      </c>
      <c r="Z1" s="16" t="n">
        <v>2030</v>
      </c>
      <c r="AA1" s="16" t="n">
        <v>2031</v>
      </c>
      <c r="AB1" s="16" t="n">
        <v>2032</v>
      </c>
      <c r="AC1" s="16" t="n">
        <v>2033</v>
      </c>
      <c r="AD1" s="16" t="n">
        <v>2034</v>
      </c>
      <c r="AE1" s="16" t="n">
        <v>2035</v>
      </c>
      <c r="AF1" s="16" t="n">
        <v>2036</v>
      </c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0</v>
      </c>
      <c r="C2" s="52" t="n">
        <v>0</v>
      </c>
      <c r="D2" s="52" t="n">
        <v>0</v>
      </c>
      <c r="E2" s="52" t="n">
        <v>0</v>
      </c>
      <c r="F2" s="52" t="n">
        <v>0</v>
      </c>
      <c r="G2" s="52" t="n">
        <v>0</v>
      </c>
      <c r="H2" s="52" t="n">
        <v>0</v>
      </c>
      <c r="I2" s="52" t="n">
        <v>0</v>
      </c>
      <c r="J2" s="52" t="n">
        <v>0.059</v>
      </c>
      <c r="K2" s="52" t="n">
        <v>0.262</v>
      </c>
      <c r="L2" s="52" t="n">
        <v>2.562</v>
      </c>
      <c r="M2" s="52" t="n">
        <v>3.222</v>
      </c>
      <c r="N2" s="52" t="n">
        <v>3.66</v>
      </c>
      <c r="O2" s="52" t="n">
        <v>7.32</v>
      </c>
      <c r="P2" s="52" t="n">
        <v>27.632</v>
      </c>
      <c r="Q2" s="52" t="n">
        <v>65.63200000000001</v>
      </c>
      <c r="R2" s="52" t="n">
        <v>96.669</v>
      </c>
      <c r="S2" s="52" t="n">
        <v>107.399</v>
      </c>
      <c r="T2" s="52" t="n">
        <v>65.18300000000001</v>
      </c>
      <c r="U2" s="52" t="n">
        <v>66.38200000000001</v>
      </c>
      <c r="V2" s="52" t="n">
        <v>57.57</v>
      </c>
      <c r="W2" s="52">
        <f>V2*(1+NPV!C5)</f>
        <v>51.813</v>
      </c>
      <c r="X2" s="52">
        <f>W2*(1+NPV!D5)</f>
        <v>47.351325</v>
      </c>
      <c r="Y2" s="52">
        <f>X2*(1+NPV!E5)</f>
        <v>43.93150708333334</v>
      </c>
      <c r="Z2" s="52">
        <f>Y2*(1+NPV!F5)</f>
        <v>41.36883583680556</v>
      </c>
      <c r="AA2" s="52">
        <f>Z2*(1+NPV!G5)</f>
        <v>39.53022091072531</v>
      </c>
      <c r="AB2" s="52">
        <f>AA2*(1+NPV!H5)</f>
        <v>38.32235304956426</v>
      </c>
      <c r="AC2" s="52">
        <f>AB2*(1+NPV!I5)</f>
        <v>37.68364716540486</v>
      </c>
      <c r="AD2" s="52">
        <f>AC2*(1+NPV!J5)</f>
        <v>37.57897036772318</v>
      </c>
      <c r="AE2" s="52">
        <f>AD2*(1+NPV!K5)</f>
        <v>37.996514482920105</v>
      </c>
      <c r="AF2" s="52">
        <f>AE2*(1+NPV!L5)</f>
        <v>38.946427344993104</v>
      </c>
    </row>
    <row r="3" customFormat="1" s="1">
      <c r="A3" s="5" t="inlineStr">
        <is>
          <t>Cost of Sales</t>
        </is>
      </c>
      <c r="B3" s="52" t="n">
        <v>0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0.08799999999999999</v>
      </c>
      <c r="L3" s="52" t="n">
        <v>0.957</v>
      </c>
      <c r="M3" s="52" t="n">
        <v>1.417</v>
      </c>
      <c r="N3" s="52" t="n">
        <v>2.051</v>
      </c>
      <c r="O3" s="52" t="n">
        <v>2.202</v>
      </c>
      <c r="P3" s="52" t="n">
        <v>8.281000000000001</v>
      </c>
      <c r="Q3" s="52" t="n">
        <v>36.432</v>
      </c>
      <c r="R3" s="52" t="n">
        <v>44.386</v>
      </c>
      <c r="S3" s="52" t="n">
        <v>40.767</v>
      </c>
      <c r="T3" s="52" t="n">
        <v>16.129</v>
      </c>
      <c r="U3" s="52" t="n">
        <v>20.551</v>
      </c>
      <c r="V3" s="52" t="n">
        <v>20.752</v>
      </c>
      <c r="W3" s="52">
        <f>W2*(1-Assumptions!$B$19)</f>
        <v>18.6785865</v>
      </c>
      <c r="X3" s="52">
        <f>X2*(1-Assumptions!$B$19)</f>
        <v>17.070152662500004</v>
      </c>
      <c r="Y3" s="52">
        <f>Y2*(1-Assumptions!$B$19)</f>
        <v>15.83730830354167</v>
      </c>
      <c r="Z3" s="52">
        <f>Z2*(1-Assumptions!$B$19)</f>
        <v>14.913465319168406</v>
      </c>
      <c r="AA3" s="52">
        <f>AA2*(1-Assumptions!$B$19)</f>
        <v>14.250644638316476</v>
      </c>
      <c r="AB3" s="52">
        <f>AB2*(1-Assumptions!$B$19)</f>
        <v>13.815208274367919</v>
      </c>
      <c r="AC3" s="52">
        <f>AC2*(1-Assumptions!$B$19)</f>
        <v>13.584954803128452</v>
      </c>
      <c r="AD3" s="52">
        <f>AD2*(1-Assumptions!$B$19)</f>
        <v>13.547218817564207</v>
      </c>
      <c r="AE3" s="52">
        <f>AE2*(1-Assumptions!$B$19)</f>
        <v>13.6977434710927</v>
      </c>
      <c r="AF3" s="52">
        <f>AF2*(1-Assumptions!$B$19)</f>
        <v>14.040187057870016</v>
      </c>
    </row>
    <row r="4" customFormat="1" s="1">
      <c r="A4" s="5" t="inlineStr">
        <is>
          <t>Gross Margin</t>
        </is>
      </c>
      <c r="B4" s="52">
        <f>B2-B3</f>
        <v>0.0</v>
      </c>
      <c r="C4" s="52">
        <f>C2-C3</f>
        <v>0.0</v>
      </c>
      <c r="D4" s="52">
        <f>D2-D3</f>
        <v>0.0</v>
      </c>
      <c r="E4" s="52">
        <f>E2-E3</f>
        <v>0.0</v>
      </c>
      <c r="F4" s="52">
        <f>F2-F3</f>
        <v>0.0</v>
      </c>
      <c r="G4" s="52">
        <f>G2-G3</f>
        <v>0.0</v>
      </c>
      <c r="H4" s="52">
        <f>H2-H3</f>
        <v>0.0</v>
      </c>
      <c r="I4" s="52">
        <f>I2-I3</f>
        <v>0.0</v>
      </c>
      <c r="J4" s="52">
        <f>J2-J3</f>
        <v>0.059</v>
      </c>
      <c r="K4" s="52">
        <f>K2-K3</f>
        <v>0.17400000000000002</v>
      </c>
      <c r="L4" s="52">
        <f>L2-L3</f>
        <v>1.605</v>
      </c>
      <c r="M4" s="52">
        <f>M2-M3</f>
        <v>1.805</v>
      </c>
      <c r="N4" s="52">
        <f>N2-N3</f>
        <v>1.609</v>
      </c>
      <c r="O4" s="52">
        <f>O2-O3</f>
        <v>5.118</v>
      </c>
      <c r="P4" s="52">
        <f>P2-P3</f>
        <v>19.351</v>
      </c>
      <c r="Q4" s="52">
        <f>Q2-Q3</f>
        <v>29.200000000000003</v>
      </c>
      <c r="R4" s="52">
        <f>R2-R3</f>
        <v>52.282999999999994</v>
      </c>
      <c r="S4" s="52">
        <f>S2-S3</f>
        <v>66.632</v>
      </c>
      <c r="T4" s="52">
        <f>T2-T3</f>
        <v>49.054</v>
      </c>
      <c r="U4" s="52">
        <f>U2-U3</f>
        <v>45.831</v>
      </c>
      <c r="V4" s="52">
        <f>V2-V3</f>
        <v>36.818</v>
      </c>
      <c r="W4" s="52">
        <f>W2-W3</f>
        <v>33.1344135</v>
      </c>
      <c r="X4" s="52">
        <f>X2-X3</f>
        <v>30.2811723375</v>
      </c>
      <c r="Y4" s="52">
        <f>Y2-Y3</f>
        <v>28.094198779791668</v>
      </c>
      <c r="Z4" s="52">
        <f>Z2-Z3</f>
        <v>26.455370517637153</v>
      </c>
      <c r="AA4" s="52">
        <f>AA2-AA3</f>
        <v>25.279576272408836</v>
      </c>
      <c r="AB4" s="52">
        <f>AB2-AB3</f>
        <v>24.507144775196345</v>
      </c>
      <c r="AC4" s="52">
        <f>AC2-AC3</f>
        <v>24.098692362276402</v>
      </c>
      <c r="AD4" s="52">
        <f>AD2-AD3</f>
        <v>24.031751550158972</v>
      </c>
      <c r="AE4" s="52">
        <f>AE2-AE3</f>
        <v>24.298771011827405</v>
      </c>
      <c r="AF4" s="52">
        <f>AF2-AF3</f>
        <v>24.90624028712309</v>
      </c>
    </row>
    <row r="5">
      <c r="A5" s="2" t="inlineStr">
        <is>
          <t>Research &amp; Dev.</t>
        </is>
      </c>
      <c r="B5" s="52" t="n">
        <v>0</v>
      </c>
      <c r="C5" s="52" t="n">
        <v>0</v>
      </c>
      <c r="D5" s="52" t="n">
        <v>0</v>
      </c>
      <c r="E5" s="52" t="n">
        <v>0</v>
      </c>
      <c r="F5" s="52" t="n">
        <v>0</v>
      </c>
      <c r="G5" s="52" t="n">
        <v>0</v>
      </c>
      <c r="H5" s="52" t="n">
        <v>0</v>
      </c>
      <c r="I5" s="52" t="n">
        <v>0</v>
      </c>
      <c r="J5" s="52" t="n">
        <v>3.934</v>
      </c>
      <c r="K5" s="52" t="n">
        <v>3.219</v>
      </c>
      <c r="L5" s="52" t="n">
        <v>6.128</v>
      </c>
      <c r="M5" s="52" t="n">
        <v>0.96</v>
      </c>
      <c r="N5" s="52" t="n">
        <v>0.168</v>
      </c>
      <c r="O5" s="52" t="n">
        <v>0.589</v>
      </c>
      <c r="P5" s="52" t="n">
        <v>1.722</v>
      </c>
      <c r="Q5" s="52" t="n">
        <v>5.623</v>
      </c>
      <c r="R5" s="52" t="n">
        <v>12.662</v>
      </c>
      <c r="S5" s="52" t="n">
        <v>4.095</v>
      </c>
      <c r="T5" s="52" t="n">
        <v>2.769</v>
      </c>
      <c r="U5" s="52" t="n">
        <v>1.326</v>
      </c>
      <c r="V5" s="52" t="n">
        <v>0</v>
      </c>
      <c r="W5" s="52">
        <f>W7*Assumptions!$B$20</f>
        <v>0.0</v>
      </c>
      <c r="X5" s="52">
        <f>X7*Assumptions!$B$20</f>
        <v>0.0</v>
      </c>
      <c r="Y5" s="52">
        <f>Y7*Assumptions!$B$20</f>
        <v>0.0</v>
      </c>
      <c r="Z5" s="52">
        <f>Z7*Assumptions!$B$20</f>
        <v>0.0</v>
      </c>
      <c r="AA5" s="52">
        <f>AA7*Assumptions!$B$20</f>
        <v>0.0</v>
      </c>
      <c r="AB5" s="52">
        <f>AB7*Assumptions!$B$20</f>
        <v>0.0</v>
      </c>
      <c r="AC5" s="52">
        <f>AC7*Assumptions!$B$20</f>
        <v>0.0</v>
      </c>
      <c r="AD5" s="52">
        <f>AD7*Assumptions!$B$20</f>
        <v>0.0</v>
      </c>
      <c r="AE5" s="52">
        <f>AE7*Assumptions!$B$20</f>
        <v>0.0</v>
      </c>
      <c r="AF5" s="52">
        <f>AF7*Assumptions!$B$20</f>
        <v>0.0</v>
      </c>
    </row>
    <row r="6">
      <c r="A6" s="18" t="inlineStr">
        <is>
          <t>SG&amp;A &amp; Other</t>
        </is>
      </c>
      <c r="B6" s="52" t="n">
        <v>0.07000000000000001</v>
      </c>
      <c r="C6" s="52" t="n">
        <v>0.049</v>
      </c>
      <c r="D6" s="52" t="n">
        <v>0.057</v>
      </c>
      <c r="E6" s="52" t="n">
        <v>0.059</v>
      </c>
      <c r="F6" s="52" t="n">
        <v>0.06</v>
      </c>
      <c r="G6" s="52" t="n">
        <v>0.134</v>
      </c>
      <c r="H6" s="52" t="n">
        <v>0.056</v>
      </c>
      <c r="I6" s="52" t="n">
        <v>0.052</v>
      </c>
      <c r="J6" s="52" t="n">
        <v>2.472</v>
      </c>
      <c r="K6" s="52" t="n">
        <v>4.587</v>
      </c>
      <c r="L6" s="52" t="n">
        <v>17.182</v>
      </c>
      <c r="M6" s="52" t="n">
        <v>20.97</v>
      </c>
      <c r="N6" s="52" t="n">
        <v>21.142</v>
      </c>
      <c r="O6" s="52" t="n">
        <v>21.376</v>
      </c>
      <c r="P6" s="52" t="n">
        <v>38.76</v>
      </c>
      <c r="Q6" s="52" t="n">
        <v>82.447</v>
      </c>
      <c r="R6" s="52" t="n">
        <v>149.527</v>
      </c>
      <c r="S6" s="52" t="n">
        <v>79.602</v>
      </c>
      <c r="T6" s="52" t="n">
        <v>47.876</v>
      </c>
      <c r="U6" s="52" t="n">
        <v>52.332</v>
      </c>
      <c r="V6" s="52" t="n">
        <v>45.133</v>
      </c>
      <c r="W6" s="52">
        <f>W7-W5</f>
        <v>38.83177098</v>
      </c>
      <c r="X6" s="52">
        <f>X7-X5</f>
        <v>33.8571444015</v>
      </c>
      <c r="Y6" s="52">
        <f>Y7-Y5</f>
        <v>29.898905090775003</v>
      </c>
      <c r="Z6" s="52">
        <f>Z7-Z5</f>
        <v>26.73005958759354</v>
      </c>
      <c r="AA6" s="52">
        <f>AA7-AA5</f>
        <v>24.180636131090672</v>
      </c>
      <c r="AB6" s="52">
        <f>AB7-AB5</f>
        <v>22.121961521391466</v>
      </c>
      <c r="AC6" s="52">
        <f>AC7-AC5</f>
        <v>20.45543735432506</v>
      </c>
      <c r="AD6" s="52">
        <f>AD7-AD5</f>
        <v>19.10439695554311</v>
      </c>
      <c r="AE6" s="52">
        <f>AE7-AE5</f>
        <v>18.00806807403515</v>
      </c>
      <c r="AF6" s="52">
        <f>AF7-AF5</f>
        <v>17.11695481812447</v>
      </c>
    </row>
    <row r="7">
      <c r="A7" s="2" t="inlineStr">
        <is>
          <t>Operating Expense</t>
        </is>
      </c>
      <c r="B7" s="52">
        <f>SUM(B5:B6)</f>
        <v>0.07</v>
      </c>
      <c r="C7" s="52">
        <f>SUM(C5:C6)</f>
        <v>0.049</v>
      </c>
      <c r="D7" s="52">
        <f>SUM(D5:D6)</f>
        <v>0.057</v>
      </c>
      <c r="E7" s="52">
        <f>SUM(E5:E6)</f>
        <v>0.059</v>
      </c>
      <c r="F7" s="52">
        <f>SUM(F5:F6)</f>
        <v>0.06</v>
      </c>
      <c r="G7" s="52">
        <f>SUM(G5:G6)</f>
        <v>0.134</v>
      </c>
      <c r="H7" s="52">
        <f>SUM(H5:H6)</f>
        <v>0.056</v>
      </c>
      <c r="I7" s="52">
        <f>SUM(I5:I6)</f>
        <v>0.052</v>
      </c>
      <c r="J7" s="52">
        <f>SUM(J5:J6)</f>
        <v>6.406000000000001</v>
      </c>
      <c r="K7" s="52">
        <f>SUM(K5:K6)</f>
        <v>7.805999999999999</v>
      </c>
      <c r="L7" s="52">
        <f>SUM(L5:L6)</f>
        <v>23.31</v>
      </c>
      <c r="M7" s="52">
        <f>SUM(M5:M6)</f>
        <v>21.93</v>
      </c>
      <c r="N7" s="52">
        <f>SUM(N5:N6)</f>
        <v>21.31</v>
      </c>
      <c r="O7" s="52">
        <f>SUM(O5:O6)</f>
        <v>21.965</v>
      </c>
      <c r="P7" s="52">
        <f>SUM(P5:P6)</f>
        <v>40.482</v>
      </c>
      <c r="Q7" s="52">
        <f>SUM(Q5:Q6)</f>
        <v>88.07000000000001</v>
      </c>
      <c r="R7" s="52">
        <f>SUM(R5:R6)</f>
        <v>162.189</v>
      </c>
      <c r="S7" s="52">
        <f>SUM(S5:S6)</f>
        <v>83.697</v>
      </c>
      <c r="T7" s="52">
        <f>SUM(T5:T6)</f>
        <v>50.644999999999996</v>
      </c>
      <c r="U7" s="52">
        <f>SUM(U5:U6)</f>
        <v>53.658</v>
      </c>
      <c r="V7" s="52">
        <f>SUM(V5:V6)</f>
        <v>45.133</v>
      </c>
      <c r="W7" s="52">
        <f>W4-W2*NPV!C6</f>
        <v>38.83177098</v>
      </c>
      <c r="X7" s="52">
        <f>X4-X2*NPV!D6</f>
        <v>33.8571444015</v>
      </c>
      <c r="Y7" s="52">
        <f>Y4-Y2*NPV!E6</f>
        <v>29.898905090775003</v>
      </c>
      <c r="Z7" s="52">
        <f>Z4-Z2*NPV!F6</f>
        <v>26.73005958759354</v>
      </c>
      <c r="AA7" s="52">
        <f>AA4-AA2*NPV!G6</f>
        <v>24.180636131090672</v>
      </c>
      <c r="AB7" s="52">
        <f>AB4-AB2*NPV!H6</f>
        <v>22.121961521391466</v>
      </c>
      <c r="AC7" s="52">
        <f>AC4-AC2*NPV!I6</f>
        <v>20.45543735432506</v>
      </c>
      <c r="AD7" s="52">
        <f>AD4-AD2*NPV!J6</f>
        <v>19.10439695554311</v>
      </c>
      <c r="AE7" s="52">
        <f>AE4-AE2*NPV!K6</f>
        <v>18.00806807403515</v>
      </c>
      <c r="AF7" s="52">
        <f>AF4-AF2*NPV!L6</f>
        <v>17.11695481812447</v>
      </c>
    </row>
    <row r="8">
      <c r="A8" s="2" t="inlineStr">
        <is>
          <t>Operating Income</t>
        </is>
      </c>
      <c r="B8" s="52">
        <f>B4-B7</f>
        <v>-0.07</v>
      </c>
      <c r="C8" s="52">
        <f>C4-C7</f>
        <v>-0.049</v>
      </c>
      <c r="D8" s="52">
        <f>D4-D7</f>
        <v>-0.057</v>
      </c>
      <c r="E8" s="52">
        <f>E4-E7</f>
        <v>-0.059</v>
      </c>
      <c r="F8" s="52">
        <f>F4-F7</f>
        <v>-0.06</v>
      </c>
      <c r="G8" s="52">
        <f>G4-G7</f>
        <v>-0.134</v>
      </c>
      <c r="H8" s="52">
        <f>H4-H7</f>
        <v>-0.056</v>
      </c>
      <c r="I8" s="52">
        <f>I4-I7</f>
        <v>-0.052</v>
      </c>
      <c r="J8" s="52">
        <f>J4-J7</f>
        <v>-6.347</v>
      </c>
      <c r="K8" s="52">
        <f>K4-K7</f>
        <v>-7.631999999999999</v>
      </c>
      <c r="L8" s="52">
        <f>L4-L7</f>
        <v>-21.705</v>
      </c>
      <c r="M8" s="52">
        <f>M4-M7</f>
        <v>-20.125</v>
      </c>
      <c r="N8" s="52">
        <f>N4-N7</f>
        <v>-19.701</v>
      </c>
      <c r="O8" s="52">
        <f>O4-O7</f>
        <v>-16.847</v>
      </c>
      <c r="P8" s="52">
        <f>P4-P7</f>
        <v>-21.131</v>
      </c>
      <c r="Q8" s="52">
        <f>Q4-Q7</f>
        <v>-58.870000000000005</v>
      </c>
      <c r="R8" s="52">
        <f>R4-R7</f>
        <v>-109.906</v>
      </c>
      <c r="S8" s="52">
        <f>S4-S7</f>
        <v>-17.064999999999998</v>
      </c>
      <c r="T8" s="52">
        <f>T4-T7</f>
        <v>-1.590999999999994</v>
      </c>
      <c r="U8" s="52">
        <f>U4-U7</f>
        <v>-7.826999999999998</v>
      </c>
      <c r="V8" s="52">
        <f>V4-V7</f>
        <v>-8.315000000000005</v>
      </c>
      <c r="W8" s="52">
        <f>W4-W7</f>
        <v>-5.697357480000001</v>
      </c>
      <c r="X8" s="52">
        <f>X4-X7</f>
        <v>-3.575972064000002</v>
      </c>
      <c r="Y8" s="52">
        <f>Y4-Y7</f>
        <v>-1.8047063109833346</v>
      </c>
      <c r="Z8" s="52">
        <f>Z4-Z7</f>
        <v>-0.27468906995638775</v>
      </c>
      <c r="AA8" s="52">
        <f>AA4-AA7</f>
        <v>1.0989401413181632</v>
      </c>
      <c r="AB8" s="52">
        <f>AB4-AB7</f>
        <v>2.385183253804879</v>
      </c>
      <c r="AC8" s="52">
        <f>AC4-AC7</f>
        <v>3.6432550079513426</v>
      </c>
      <c r="AD8" s="52">
        <f>AD4-AD7</f>
        <v>4.9273545946158634</v>
      </c>
      <c r="AE8" s="52">
        <f>AE4-AE7</f>
        <v>6.290702937792254</v>
      </c>
      <c r="AF8" s="52">
        <f>AF4-AF7</f>
        <v>7.789285468998621</v>
      </c>
    </row>
    <row r="9">
      <c r="A9" s="18" t="inlineStr">
        <is>
          <t>Interest &amp; Other</t>
        </is>
      </c>
      <c r="B9" s="52" t="n">
        <v>0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-0.003</v>
      </c>
      <c r="H9" s="52" t="n">
        <v>-0.003</v>
      </c>
      <c r="I9" s="52" t="n">
        <v>-0.005</v>
      </c>
      <c r="J9" s="52" t="n">
        <v>5.471</v>
      </c>
      <c r="K9" s="52" t="n">
        <v>-0.115</v>
      </c>
      <c r="L9" s="52" t="n">
        <v>-6.476</v>
      </c>
      <c r="M9" s="52" t="n">
        <v>-2.383</v>
      </c>
      <c r="N9" s="52" t="n">
        <v>9.512</v>
      </c>
      <c r="O9" s="52" t="n">
        <v>-10.285</v>
      </c>
      <c r="P9" s="52" t="n">
        <v>7.51</v>
      </c>
      <c r="Q9" s="52" t="n">
        <v>0.84</v>
      </c>
      <c r="R9" s="52" t="n">
        <v>1.017</v>
      </c>
      <c r="S9" s="52" t="n">
        <v>0.014</v>
      </c>
      <c r="T9" s="52" t="n">
        <v>-12.111</v>
      </c>
      <c r="U9" s="52" t="n">
        <v>-5.298</v>
      </c>
      <c r="V9" s="52" t="n">
        <v>-5.916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  <c r="AC9" s="52" t="n">
        <v>0</v>
      </c>
      <c r="AD9" s="52" t="n">
        <v>0</v>
      </c>
      <c r="AE9" s="52" t="n">
        <v>0</v>
      </c>
      <c r="AF9" s="52" t="n">
        <v>0</v>
      </c>
    </row>
    <row r="10">
      <c r="A10" s="2" t="inlineStr">
        <is>
          <t>Pretax</t>
        </is>
      </c>
      <c r="B10" s="52">
        <f>B8+B9</f>
        <v>-0.07</v>
      </c>
      <c r="C10" s="52">
        <f>C8+C9</f>
        <v>-0.049</v>
      </c>
      <c r="D10" s="52">
        <f>D8+D9</f>
        <v>-0.057</v>
      </c>
      <c r="E10" s="52">
        <f>E8+E9</f>
        <v>-0.059</v>
      </c>
      <c r="F10" s="52">
        <f>F8+F9</f>
        <v>-0.06</v>
      </c>
      <c r="G10" s="52">
        <f>G8+G9</f>
        <v>-0.137</v>
      </c>
      <c r="H10" s="52">
        <f>H8+H9</f>
        <v>-0.059000000000000004</v>
      </c>
      <c r="I10" s="52">
        <f>I8+I9</f>
        <v>-0.056999999999999995</v>
      </c>
      <c r="J10" s="52">
        <f>J8+J9</f>
        <v>-0.8760000000000003</v>
      </c>
      <c r="K10" s="52">
        <f>K8+K9</f>
        <v>-7.746999999999999</v>
      </c>
      <c r="L10" s="52">
        <f>L8+L9</f>
        <v>-28.180999999999997</v>
      </c>
      <c r="M10" s="52">
        <f>M8+M9</f>
        <v>-22.508</v>
      </c>
      <c r="N10" s="52">
        <f>N8+N9</f>
        <v>-10.189</v>
      </c>
      <c r="O10" s="52">
        <f>O8+O9</f>
        <v>-27.132</v>
      </c>
      <c r="P10" s="52">
        <f>P8+P9</f>
        <v>-13.621</v>
      </c>
      <c r="Q10" s="52">
        <f>Q8+Q9</f>
        <v>-58.03</v>
      </c>
      <c r="R10" s="52">
        <f>R8+R9</f>
        <v>-108.88900000000001</v>
      </c>
      <c r="S10" s="52">
        <f>S8+S9</f>
        <v>-17.051</v>
      </c>
      <c r="T10" s="52">
        <f>T8+T9</f>
        <v>-13.701999999999995</v>
      </c>
      <c r="U10" s="52">
        <f>U8+U9</f>
        <v>-13.124999999999998</v>
      </c>
      <c r="V10" s="52">
        <f>V8+V9</f>
        <v>-14.231000000000005</v>
      </c>
      <c r="W10" s="52">
        <f>W8+W9</f>
        <v>-5.697357480000001</v>
      </c>
      <c r="X10" s="52">
        <f>X8+X9</f>
        <v>-3.575972064000002</v>
      </c>
      <c r="Y10" s="52">
        <f>Y8+Y9</f>
        <v>-1.8047063109833346</v>
      </c>
      <c r="Z10" s="52">
        <f>Z8+Z9</f>
        <v>-0.27468906995638775</v>
      </c>
      <c r="AA10" s="52">
        <f>AA8+AA9</f>
        <v>1.0989401413181632</v>
      </c>
      <c r="AB10" s="52">
        <f>AB8+AB9</f>
        <v>2.385183253804879</v>
      </c>
      <c r="AC10" s="52">
        <f>AC8+AC9</f>
        <v>3.6432550079513426</v>
      </c>
      <c r="AD10" s="52">
        <f>AD8+AD9</f>
        <v>4.9273545946158634</v>
      </c>
      <c r="AE10" s="52">
        <f>AE8+AE9</f>
        <v>6.290702937792254</v>
      </c>
      <c r="AF10" s="52">
        <f>AF8+AF9</f>
        <v>7.789285468998621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0</v>
      </c>
      <c r="F11" s="52" t="n">
        <v>0</v>
      </c>
      <c r="G11" s="52" t="n">
        <v>0</v>
      </c>
      <c r="H11" s="52" t="n">
        <v>0</v>
      </c>
      <c r="I11" s="52" t="n">
        <v>0</v>
      </c>
      <c r="J11" s="52" t="n">
        <v>-0.8139999999999999</v>
      </c>
      <c r="K11" s="52" t="n">
        <v>-0.024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0.259</v>
      </c>
      <c r="R11" s="52" t="n">
        <v>-0.11</v>
      </c>
      <c r="S11" s="52" t="n">
        <v>0</v>
      </c>
      <c r="T11" s="52" t="n">
        <v>2.142</v>
      </c>
      <c r="U11" s="52" t="n">
        <v>0.437</v>
      </c>
      <c r="V11" s="52" t="n">
        <v>0.021</v>
      </c>
      <c r="W11" s="52">
        <f>MAX(0,W10)*Assumptions!$E$14</f>
        <v>0.0</v>
      </c>
      <c r="X11" s="52">
        <f>MAX(0,X10)*Assumptions!$E$14</f>
        <v>0.0</v>
      </c>
      <c r="Y11" s="52">
        <f>MAX(0,Y10)*Assumptions!$E$14</f>
        <v>0.0</v>
      </c>
      <c r="Z11" s="52">
        <f>MAX(0,Z10)*Assumptions!$E$14</f>
        <v>0.0</v>
      </c>
      <c r="AA11" s="52">
        <f>MAX(0,AA10)*Assumptions!$E$14</f>
        <v>0.18681982402408776</v>
      </c>
      <c r="AB11" s="52">
        <f>MAX(0,AB10)*Assumptions!$E$14</f>
        <v>0.4054811531468295</v>
      </c>
      <c r="AC11" s="52">
        <f>MAX(0,AC10)*Assumptions!$E$14</f>
        <v>0.6193533513517283</v>
      </c>
      <c r="AD11" s="52">
        <f>MAX(0,AD10)*Assumptions!$E$14</f>
        <v>0.8376502810846969</v>
      </c>
      <c r="AE11" s="52">
        <f>MAX(0,AE10)*Assumptions!$E$14</f>
        <v>1.0694194994246833</v>
      </c>
      <c r="AF11" s="52">
        <f>MAX(0,AF10)*Assumptions!$E$14</f>
        <v>1.3241785297297657</v>
      </c>
    </row>
    <row r="12">
      <c r="A12" s="2" t="inlineStr">
        <is>
          <t>Net Income</t>
        </is>
      </c>
      <c r="B12" s="52" t="n">
        <v>-0.07000000000000001</v>
      </c>
      <c r="C12" s="52" t="n">
        <v>-0.049</v>
      </c>
      <c r="D12" s="52" t="n">
        <v>-0.057</v>
      </c>
      <c r="E12" s="52" t="n">
        <v>-0.059</v>
      </c>
      <c r="F12" s="52" t="n">
        <v>-0.06</v>
      </c>
      <c r="G12" s="52" t="n">
        <v>-0.137</v>
      </c>
      <c r="H12" s="52" t="n">
        <v>-0.06</v>
      </c>
      <c r="I12" s="52" t="n">
        <v>-0.057</v>
      </c>
      <c r="J12" s="52" t="n">
        <v>-0.062</v>
      </c>
      <c r="K12" s="52" t="n">
        <v>-7.723</v>
      </c>
      <c r="L12" s="52" t="n">
        <v>-28.18</v>
      </c>
      <c r="M12" s="52" t="n">
        <v>-22.508</v>
      </c>
      <c r="N12" s="52" t="n">
        <v>-10.188</v>
      </c>
      <c r="O12" s="52" t="n">
        <v>-27.132</v>
      </c>
      <c r="P12" s="52" t="n">
        <v>-13.621</v>
      </c>
      <c r="Q12" s="52" t="n">
        <v>-58.289</v>
      </c>
      <c r="R12" s="52" t="n">
        <v>-108.779</v>
      </c>
      <c r="S12" s="52" t="n">
        <v>-17.051</v>
      </c>
      <c r="T12" s="52" t="n">
        <v>-15.844</v>
      </c>
      <c r="U12" s="52" t="n">
        <v>-13.562</v>
      </c>
      <c r="V12" s="52" t="n">
        <v>-14.252</v>
      </c>
      <c r="W12" s="52">
        <f>W10-W11</f>
        <v>-5.697357480000001</v>
      </c>
      <c r="X12" s="52">
        <f>X10-X11</f>
        <v>-3.575972064000002</v>
      </c>
      <c r="Y12" s="52">
        <f>Y10-Y11</f>
        <v>-1.8047063109833346</v>
      </c>
      <c r="Z12" s="52">
        <f>Z10-Z11</f>
        <v>-0.27468906995638775</v>
      </c>
      <c r="AA12" s="52">
        <f>AA10-AA11</f>
        <v>0.9121203172940755</v>
      </c>
      <c r="AB12" s="52">
        <f>AB10-AB11</f>
        <v>1.9797021006580495</v>
      </c>
      <c r="AC12" s="52">
        <f>AC10-AC11</f>
        <v>3.023901656599614</v>
      </c>
      <c r="AD12" s="52">
        <f>AD10-AD11</f>
        <v>4.089704313531167</v>
      </c>
      <c r="AE12" s="52">
        <f>AE10-AE11</f>
        <v>5.221283438367571</v>
      </c>
      <c r="AF12" s="52">
        <f>AF10-AF11</f>
        <v>6.465106939268855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-0.05612722170252572</v>
      </c>
      <c r="I13" s="11">
        <f>IFERROR(I12/I14,0)</f>
        <v>-0.05253456221198157</v>
      </c>
      <c r="J13" s="11">
        <f>IFERROR(J12/J14,0)</f>
        <v>-0.04015544041450777</v>
      </c>
      <c r="K13" s="11">
        <f>IFERROR(K12/K14,0)</f>
        <v>-5.031270358306189</v>
      </c>
      <c r="L13" s="11">
        <f>IFERROR(L12/L14,0)</f>
        <v>-161.95402298850576</v>
      </c>
      <c r="M13" s="11">
        <f>IFERROR(M12/M14,0)</f>
        <v>-24.150214592274676</v>
      </c>
      <c r="N13" s="11">
        <f>IFERROR(N12/N14,0)</f>
        <v>-7.654395191585275</v>
      </c>
      <c r="O13" s="11">
        <f>IFERROR(O12/O14,0)</f>
        <v>-1.7404580152671756</v>
      </c>
      <c r="P13" s="11">
        <f>IFERROR(P12/P14,0)</f>
        <v>-1.5070812126576676</v>
      </c>
      <c r="Q13" s="11">
        <f>IFERROR(Q12/Q14,0)</f>
        <v>-1.7403338010927656</v>
      </c>
      <c r="R13" s="11">
        <f>IFERROR(R12/R14,0)</f>
        <v>-36.99965986394558</v>
      </c>
      <c r="S13" s="11">
        <f>IFERROR(S12/S14,0)</f>
        <v>-2.5525449101796407</v>
      </c>
      <c r="T13" s="11">
        <f>IFERROR(T12/T14,0)</f>
        <v>-1.4304803178042613</v>
      </c>
      <c r="U13" s="11">
        <f>IFERROR(U12/U14,0)</f>
        <v>-1.0798630464208934</v>
      </c>
      <c r="V13" s="11">
        <f>IFERROR(V12/V14,0)</f>
        <v>-1.1569120870200502</v>
      </c>
      <c r="W13" s="11">
        <f>IFERROR(W12/W14,0)</f>
        <v>-0.5242947063636937</v>
      </c>
      <c r="X13" s="11">
        <f>IFERROR(X12/X14,0)</f>
        <v>-0.32907593210381675</v>
      </c>
      <c r="Y13" s="11">
        <f>IFERROR(Y12/Y14,0)</f>
        <v>-0.16607663617935944</v>
      </c>
      <c r="Z13" s="11">
        <f>IFERROR(Z12/Z14,0)</f>
        <v>-0.025278039122463562</v>
      </c>
      <c r="AA13" s="11">
        <f>IFERROR(AA12/AA14,0)</f>
        <v>0.08393713324164738</v>
      </c>
      <c r="AB13" s="11">
        <f>IFERROR(AB12/AB14,0)</f>
        <v>0.18218048195074807</v>
      </c>
      <c r="AC13" s="11">
        <f>IFERROR(AC12/AC14,0)</f>
        <v>0.27827210012449166</v>
      </c>
      <c r="AD13" s="11">
        <f>IFERROR(AD12/AD14,0)</f>
        <v>0.376351726165014</v>
      </c>
      <c r="AE13" s="11">
        <f>IFERROR(AE12/AE14,0)</f>
        <v>0.4804843783754539</v>
      </c>
      <c r="AF13" s="11">
        <f>IFERROR(AF12/AF14,0)</f>
        <v>0.5949462283581058</v>
      </c>
    </row>
    <row r="14">
      <c r="A14" s="2" t="inlineStr">
        <is>
          <t>Shares</t>
        </is>
      </c>
      <c r="B14" s="52" t="n"/>
      <c r="C14" s="52" t="n"/>
      <c r="D14" s="52" t="n"/>
      <c r="E14" s="52" t="n"/>
      <c r="F14" s="52" t="n"/>
      <c r="G14" s="52" t="n"/>
      <c r="H14" s="52" t="n">
        <v>1.069</v>
      </c>
      <c r="I14" s="52" t="n">
        <v>1.085</v>
      </c>
      <c r="J14" s="52" t="n">
        <v>1.544</v>
      </c>
      <c r="K14" s="52" t="n">
        <v>1.535</v>
      </c>
      <c r="L14" s="52" t="n">
        <v>0.174</v>
      </c>
      <c r="M14" s="52" t="n">
        <v>0.9320000000000001</v>
      </c>
      <c r="N14" s="52" t="n">
        <v>1.331</v>
      </c>
      <c r="O14" s="52" t="n">
        <v>15.589</v>
      </c>
      <c r="P14" s="52" t="n">
        <v>9.038</v>
      </c>
      <c r="Q14" s="52" t="n">
        <v>33.493</v>
      </c>
      <c r="R14" s="52" t="n">
        <v>2.94</v>
      </c>
      <c r="S14" s="52" t="n">
        <v>6.68</v>
      </c>
      <c r="T14" s="52" t="n">
        <v>11.076</v>
      </c>
      <c r="U14" s="52" t="n">
        <v>12.559</v>
      </c>
      <c r="V14" s="52" t="n">
        <v>12.319</v>
      </c>
      <c r="W14" s="52">
        <f>Main!$C$4</f>
        <v>10.866708</v>
      </c>
      <c r="X14" s="52">
        <f>Main!$C$4</f>
        <v>10.866708</v>
      </c>
      <c r="Y14" s="52">
        <f>Main!$C$4</f>
        <v>10.866708</v>
      </c>
      <c r="Z14" s="52">
        <f>Main!$C$4</f>
        <v>10.866708</v>
      </c>
      <c r="AA14" s="52">
        <f>Main!$C$4</f>
        <v>10.866708</v>
      </c>
      <c r="AB14" s="52">
        <f>Main!$C$4</f>
        <v>10.866708</v>
      </c>
      <c r="AC14" s="52">
        <f>Main!$C$4</f>
        <v>10.866708</v>
      </c>
      <c r="AD14" s="52">
        <f>Main!$C$4</f>
        <v>10.866708</v>
      </c>
      <c r="AE14" s="52">
        <f>Main!$C$4</f>
        <v>10.866708</v>
      </c>
      <c r="AF14" s="52">
        <f>Main!$C$4</f>
        <v>10.866708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>3.4406779661016955</v>
      </c>
      <c r="L16" s="15">
        <f>IFERROR(L2/K2-1,"")</f>
        <v>8.778625954198473</v>
      </c>
      <c r="M16" s="15">
        <f>IFERROR(M2/L2-1,"")</f>
        <v>0.25761124121779866</v>
      </c>
      <c r="N16" s="15">
        <f>IFERROR(N2/M2-1,"")</f>
        <v>0.13594040968342647</v>
      </c>
      <c r="O16" s="15">
        <f>IFERROR(O2/N2-1,"")</f>
        <v>1.0</v>
      </c>
      <c r="P16" s="15">
        <f>IFERROR(P2/O2-1,"")</f>
        <v>2.774863387978142</v>
      </c>
      <c r="Q16" s="15">
        <f>IFERROR(Q2/P2-1,"")</f>
        <v>1.37521713954835</v>
      </c>
      <c r="R16" s="15">
        <f>IFERROR(R2/Q2-1,"")</f>
        <v>0.47289431984397834</v>
      </c>
      <c r="S16" s="15">
        <f>IFERROR(S2/R2-1,"")</f>
        <v>0.11099732075432667</v>
      </c>
      <c r="T16" s="15">
        <f>IFERROR(T2/S2-1,"")</f>
        <v>-0.39307628562649555</v>
      </c>
      <c r="U16" s="15">
        <f>IFERROR(U2/T2-1,"")</f>
        <v>0.0183943666293358</v>
      </c>
      <c r="V16" s="15">
        <f>IFERROR(V2/U2-1,"")</f>
        <v>-0.13274682895965784</v>
      </c>
      <c r="W16" s="15">
        <f>IFERROR(W2/V2-1,"")</f>
        <v>-0.09999999999999998</v>
      </c>
      <c r="X16" s="15">
        <f>IFERROR(X2/W2-1,"")</f>
        <v>-0.08611111111111114</v>
      </c>
      <c r="Y16" s="15">
        <f>IFERROR(Y2/X2-1,"")</f>
        <v>-0.07222222222222219</v>
      </c>
      <c r="Z16" s="15">
        <f>IFERROR(Z2/Y2-1,"")</f>
        <v>-0.05833333333333335</v>
      </c>
      <c r="AA16" s="15">
        <f>IFERROR(AA2/Z2-1,"")</f>
        <v>-0.0444444444444444</v>
      </c>
      <c r="AB16" s="15">
        <f>IFERROR(AB2/AA2-1,"")</f>
        <v>-0.030555555555555447</v>
      </c>
      <c r="AC16" s="15">
        <f>IFERROR(AC2/AB2-1,"")</f>
        <v>-0.01666666666666672</v>
      </c>
      <c r="AD16" s="15">
        <f>IFERROR(AD2/AC2-1,"")</f>
        <v>-0.002777777777777657</v>
      </c>
      <c r="AE16" s="15">
        <f>IFERROR(AE2/AD2-1,"")</f>
        <v>0.011111111111111072</v>
      </c>
      <c r="AF16" s="15">
        <f>IFERROR(AF2/AE2-1,"")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0.6641221374045801</v>
      </c>
      <c r="L17" s="15">
        <f>IFERROR(L4/L2,"")</f>
        <v>0.6264637002341921</v>
      </c>
      <c r="M17" s="15">
        <f>IFERROR(M4/M2,"")</f>
        <v>0.5602110490378647</v>
      </c>
      <c r="N17" s="15">
        <f>IFERROR(N4/N2,"")</f>
        <v>0.43961748633879777</v>
      </c>
      <c r="O17" s="15">
        <f>IFERROR(O4/O2,"")</f>
        <v>0.6991803278688524</v>
      </c>
      <c r="P17" s="15">
        <f>IFERROR(P4/P2,"")</f>
        <v>0.7003112333526346</v>
      </c>
      <c r="Q17" s="15">
        <f>IFERROR(Q4/Q2,"")</f>
        <v>0.4449049244271087</v>
      </c>
      <c r="R17" s="15">
        <f>IFERROR(R4/R2,"")</f>
        <v>0.5408455657966876</v>
      </c>
      <c r="S17" s="15">
        <f>IFERROR(S4/S2,"")</f>
        <v>0.6204154601067049</v>
      </c>
      <c r="T17" s="15">
        <f>IFERROR(T4/T2,"")</f>
        <v>0.7525581823481582</v>
      </c>
      <c r="U17" s="15">
        <f>IFERROR(U4/U2,"")</f>
        <v>0.6904130637823507</v>
      </c>
      <c r="V17" s="15">
        <f>IFERROR(V4/V2,"")</f>
        <v>0.6395344797637658</v>
      </c>
      <c r="W17" s="15">
        <f>IFERROR(W4/W2,"")</f>
        <v>0.6395</v>
      </c>
      <c r="X17" s="15">
        <f>IFERROR(X4/X2,"")</f>
        <v>0.6395</v>
      </c>
      <c r="Y17" s="15">
        <f>IFERROR(Y4/Y2,"")</f>
        <v>0.6395</v>
      </c>
      <c r="Z17" s="15">
        <f>IFERROR(Z4/Z2,"")</f>
        <v>0.6395</v>
      </c>
      <c r="AA17" s="15">
        <f>IFERROR(AA4/AA2,"")</f>
        <v>0.6395</v>
      </c>
      <c r="AB17" s="15">
        <f>IFERROR(AB4/AB2,"")</f>
        <v>0.6395</v>
      </c>
      <c r="AC17" s="15">
        <f>IFERROR(AC4/AC2,"")</f>
        <v>0.6395</v>
      </c>
      <c r="AD17" s="15">
        <f>IFERROR(AD4/AD2,"")</f>
        <v>0.6395</v>
      </c>
      <c r="AE17" s="15">
        <f>IFERROR(AE4/AE2,"")</f>
        <v>0.6395</v>
      </c>
      <c r="AF17" s="15">
        <f>IFERROR(AF4/AF2,"")</f>
        <v>0.6395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>-107.57627118644069</v>
      </c>
      <c r="K18" s="15">
        <f>IFERROR(K8/K2,"")</f>
        <v>-29.129770992366407</v>
      </c>
      <c r="L18" s="15">
        <f>IFERROR(L8/L2,"")</f>
        <v>-8.471896955503512</v>
      </c>
      <c r="M18" s="15">
        <f>IFERROR(M8/M2,"")</f>
        <v>-6.246120422098076</v>
      </c>
      <c r="N18" s="15">
        <f>IFERROR(N8/N2,"")</f>
        <v>-5.382786885245902</v>
      </c>
      <c r="O18" s="15">
        <f>IFERROR(O8/O2,"")</f>
        <v>-2.3015027322404373</v>
      </c>
      <c r="P18" s="15">
        <f>IFERROR(P8/P2,"")</f>
        <v>-0.7647292993630573</v>
      </c>
      <c r="Q18" s="15">
        <f>IFERROR(Q8/Q2,"")</f>
        <v>-0.8969709897610921</v>
      </c>
      <c r="R18" s="15">
        <f>IFERROR(R8/R2,"")</f>
        <v>-1.1369311775233013</v>
      </c>
      <c r="S18" s="15">
        <f>IFERROR(S8/S2,"")</f>
        <v>-0.15889347200625703</v>
      </c>
      <c r="T18" s="15">
        <f>IFERROR(T8/T2,"")</f>
        <v>-0.024408204593222065</v>
      </c>
      <c r="U18" s="15">
        <f>IFERROR(U8/U2,"")</f>
        <v>-0.11790846916332737</v>
      </c>
      <c r="V18" s="15">
        <f>IFERROR(V8/V2,"")</f>
        <v>-0.14443286433906558</v>
      </c>
      <c r="W18" s="15">
        <f>IFERROR(W8/W2,"")</f>
        <v>-0.10996000000000002</v>
      </c>
      <c r="X18" s="15">
        <f>IFERROR(X8/X2,"")</f>
        <v>-0.07552000000000003</v>
      </c>
      <c r="Y18" s="15">
        <f>IFERROR(Y8/Y2,"")</f>
        <v>-0.041080000000000026</v>
      </c>
      <c r="Z18" s="15">
        <f>IFERROR(Z8/Z2,"")</f>
        <v>-0.006639999999999972</v>
      </c>
      <c r="AA18" s="15">
        <f>IFERROR(AA8/AA2,"")</f>
        <v>0.027799999999999988</v>
      </c>
      <c r="AB18" s="15">
        <f>IFERROR(AB8/AB2,"")</f>
        <v>0.062239999999999976</v>
      </c>
      <c r="AC18" s="15">
        <f>IFERROR(AC8/AC2,"")</f>
        <v>0.09668000000000003</v>
      </c>
      <c r="AD18" s="15">
        <f>IFERROR(AD8/AD2,"")</f>
        <v>0.13112000000000001</v>
      </c>
      <c r="AE18" s="15">
        <f>IFERROR(AE8/AE2,"")</f>
        <v>0.16556000000000004</v>
      </c>
      <c r="AF18" s="15">
        <f>IFERROR(AF8/AF2,"")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A</t>
        </is>
      </c>
      <c r="T19" s="19" t="inlineStr">
        <is>
          <t>A</t>
        </is>
      </c>
      <c r="U19" s="19" t="inlineStr">
        <is>
          <t>A</t>
        </is>
      </c>
      <c r="V19" s="19" t="inlineStr">
        <is>
          <t>A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  <c r="AC19" s="19" t="inlineStr">
        <is>
          <t>E</t>
        </is>
      </c>
      <c r="AD19" s="19" t="inlineStr">
        <is>
          <t>E</t>
        </is>
      </c>
      <c r="AE19" s="19" t="inlineStr">
        <is>
          <t>E</t>
        </is>
      </c>
      <c r="AF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Aytu Biopharma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-0.1444</v>
      </c>
    </row>
    <row r="19">
      <c r="A19" s="14" t="inlineStr">
        <is>
          <t>Gross margin (forecast)</t>
        </is>
      </c>
      <c r="B19" s="53" t="n">
        <v>0.6395</v>
      </c>
    </row>
    <row r="20">
      <c r="A20" s="14" t="inlineStr">
        <is>
          <t>R&amp;D share of operating expense (forecast)</t>
        </is>
      </c>
      <c r="B20" s="53" t="n">
        <v>0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FY2026</t>
        </is>
      </c>
      <c r="B25" s="55">
        <f>'Yearly Model'!V2</f>
        <v>57.57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22.212863662950063</v>
      </c>
      <c r="C29" s="56">
        <f>NPV!B26</f>
        <v>31.488863662950063</v>
      </c>
      <c r="D29" s="35">
        <f>NPV!B28</f>
        <v>2.897737167774276</v>
      </c>
      <c r="E29" s="57">
        <f>NPV!B30</f>
        <v>0.4416602824747644</v>
      </c>
    </row>
    <row r="30">
      <c r="A30" s="58" t="n">
        <v>1</v>
      </c>
      <c r="B30" s="59">
        <f t="dataTable" ref="B30:E32" r1="B4"/>
        <v>7.682843302867978</v>
      </c>
      <c r="C30" s="59">
        <v>16.95884330286798</v>
      </c>
      <c r="D30" s="39">
        <v>1.5606238156825398</v>
      </c>
      <c r="E30" s="60">
        <v>-0.22357024095396016</v>
      </c>
    </row>
    <row r="31">
      <c r="A31" s="58" t="n">
        <v>2</v>
      </c>
      <c r="B31" s="59">
        <v>22.212863662950063</v>
      </c>
      <c r="C31" s="59">
        <v>31.488863662950063</v>
      </c>
      <c r="D31" s="39">
        <v>2.897737167774276</v>
      </c>
      <c r="E31" s="60">
        <v>0.4416602824747644</v>
      </c>
    </row>
    <row r="32">
      <c r="A32" s="58" t="n">
        <v>3</v>
      </c>
      <c r="B32" s="59">
        <v>51.307956366254544</v>
      </c>
      <c r="C32" s="59">
        <v>60.583956366254554</v>
      </c>
      <c r="D32" s="39">
        <v>5.5751895023087545</v>
      </c>
      <c r="E32" s="60">
        <v>1.7737261205516193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2.897737167774276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3.4892732794651</v>
      </c>
      <c r="C37" s="39">
        <v>3.6843286687909758</v>
      </c>
      <c r="D37" s="39">
        <v>3.904491666896611</v>
      </c>
      <c r="E37" s="39">
        <v>4.154793125702972</v>
      </c>
      <c r="F37" s="39">
        <v>4.441701411874346</v>
      </c>
    </row>
    <row r="38">
      <c r="A38" s="62" t="n">
        <v>0.115</v>
      </c>
      <c r="B38" s="39">
        <v>3.024898416548765</v>
      </c>
      <c r="C38" s="39">
        <v>3.1735100403083267</v>
      </c>
      <c r="D38" s="39">
        <v>3.3392452675150937</v>
      </c>
      <c r="E38" s="39">
        <v>3.5251335957207885</v>
      </c>
      <c r="F38" s="39">
        <v>3.7349620013844547</v>
      </c>
    </row>
    <row r="39">
      <c r="A39" s="62" t="n">
        <v>0.125</v>
      </c>
      <c r="B39" s="39">
        <v>2.6544663096910766</v>
      </c>
      <c r="C39" s="39">
        <v>2.7700610287991725</v>
      </c>
      <c r="D39" s="39">
        <v>2.897737167774276</v>
      </c>
      <c r="E39" s="39">
        <v>3.03940874585501</v>
      </c>
      <c r="F39" s="39">
        <v>3.197415206346207</v>
      </c>
    </row>
    <row r="40">
      <c r="A40" s="62" t="n">
        <v>0.135</v>
      </c>
      <c r="B40" s="39">
        <v>2.353818885605616</v>
      </c>
      <c r="C40" s="39">
        <v>2.4452610136268205</v>
      </c>
      <c r="D40" s="39">
        <v>2.5454669081126418</v>
      </c>
      <c r="E40" s="39">
        <v>2.6556939763573113</v>
      </c>
      <c r="F40" s="39">
        <v>2.7774511795912993</v>
      </c>
    </row>
    <row r="41">
      <c r="A41" s="62" t="n">
        <v>0.145</v>
      </c>
      <c r="B41" s="39">
        <v>2.106289663665767</v>
      </c>
      <c r="C41" s="39">
        <v>2.179641605541832</v>
      </c>
      <c r="D41" s="39">
        <v>2.2594994024194257</v>
      </c>
      <c r="E41" s="39">
        <v>2.346716297424785</v>
      </c>
      <c r="F41" s="39">
        <v>2.442300730224552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Aytu Biopharma Inc: free-cash-flow DCF ($mm)</t>
        </is>
      </c>
    </row>
    <row r="3">
      <c r="A3" s="20" t="inlineStr">
        <is>
          <t>Fiscal year</t>
        </is>
      </c>
      <c r="B3" s="43">
        <f>'Yearly Model'!V1</f>
        <v>2026</v>
      </c>
      <c r="C3" s="43">
        <f>'Yearly Model'!W1</f>
        <v>2027</v>
      </c>
      <c r="D3" s="43">
        <f>'Yearly Model'!X1</f>
        <v>2028</v>
      </c>
      <c r="E3" s="43">
        <f>'Yearly Model'!Y1</f>
        <v>2029</v>
      </c>
      <c r="F3" s="43">
        <f>'Yearly Model'!Z1</f>
        <v>2030</v>
      </c>
      <c r="G3" s="43">
        <f>'Yearly Model'!AA1</f>
        <v>2031</v>
      </c>
      <c r="H3" s="43">
        <f>'Yearly Model'!AB1</f>
        <v>2032</v>
      </c>
      <c r="I3" s="43">
        <f>'Yearly Model'!AC1</f>
        <v>2033</v>
      </c>
      <c r="J3" s="43">
        <f>'Yearly Model'!AD1</f>
        <v>2034</v>
      </c>
      <c r="K3" s="43">
        <f>'Yearly Model'!AE1</f>
        <v>2035</v>
      </c>
      <c r="L3" s="43">
        <f>'Yearly Model'!AF1</f>
        <v>2036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-0.14443286433906558</v>
      </c>
      <c r="C6" s="63">
        <f>Assumptions!$B$18+(Assumptions!$E$13-Assumptions!$B$18)*C4/Assumptions!$B$21</f>
        <v>-0.10996</v>
      </c>
      <c r="D6" s="63">
        <f>Assumptions!$B$18+(Assumptions!$E$13-Assumptions!$B$18)*D4/Assumptions!$B$21</f>
        <v>-0.07551999999999999</v>
      </c>
      <c r="E6" s="63">
        <f>Assumptions!$B$18+(Assumptions!$E$13-Assumptions!$B$18)*E4/Assumptions!$B$21</f>
        <v>-0.04107999999999999</v>
      </c>
      <c r="F6" s="63">
        <f>Assumptions!$B$18+(Assumptions!$E$13-Assumptions!$B$18)*F4/Assumptions!$B$21</f>
        <v>-0.006639999999999979</v>
      </c>
      <c r="G6" s="63">
        <f>Assumptions!$B$18+(Assumptions!$E$13-Assumptions!$B$18)*G4/Assumptions!$B$21</f>
        <v>0.02780000000000002</v>
      </c>
      <c r="H6" s="63">
        <f>Assumptions!$B$18+(Assumptions!$E$13-Assumptions!$B$18)*H4/Assumptions!$B$21</f>
        <v>0.06224000000000002</v>
      </c>
      <c r="I6" s="63">
        <f>Assumptions!$B$18+(Assumptions!$E$13-Assumptions!$B$18)*I4/Assumptions!$B$21</f>
        <v>0.09668000000000002</v>
      </c>
      <c r="J6" s="63">
        <f>Assumptions!$B$18+(Assumptions!$E$13-Assumptions!$B$18)*J4/Assumptions!$B$21</f>
        <v>0.13112000000000004</v>
      </c>
      <c r="K6" s="63">
        <f>Assumptions!$B$18+(Assumptions!$E$13-Assumptions!$B$18)*K4/Assumptions!$B$21</f>
        <v>0.16556000000000007</v>
      </c>
      <c r="L6" s="63">
        <f>Assumptions!$B$18+(Assumptions!$E$13-Assumptions!$B$18)*L4/Assumptions!$B$21</f>
        <v>0.20000000000000004</v>
      </c>
    </row>
    <row r="7">
      <c r="A7" s="14" t="inlineStr">
        <is>
          <t>Revenue</t>
        </is>
      </c>
      <c r="B7" s="55">
        <f>'Yearly Model'!V2</f>
        <v>57.57</v>
      </c>
      <c r="C7" s="55">
        <f>'Yearly Model'!W2</f>
        <v>51.813</v>
      </c>
      <c r="D7" s="55">
        <f>'Yearly Model'!X2</f>
        <v>47.351325</v>
      </c>
      <c r="E7" s="55">
        <f>'Yearly Model'!Y2</f>
        <v>43.93150708333334</v>
      </c>
      <c r="F7" s="55">
        <f>'Yearly Model'!Z2</f>
        <v>41.36883583680556</v>
      </c>
      <c r="G7" s="55">
        <f>'Yearly Model'!AA2</f>
        <v>39.53022091072531</v>
      </c>
      <c r="H7" s="55">
        <f>'Yearly Model'!AB2</f>
        <v>38.32235304956426</v>
      </c>
      <c r="I7" s="55">
        <f>'Yearly Model'!AC2</f>
        <v>37.68364716540486</v>
      </c>
      <c r="J7" s="55">
        <f>'Yearly Model'!AD2</f>
        <v>37.57897036772318</v>
      </c>
      <c r="K7" s="55">
        <f>'Yearly Model'!AE2</f>
        <v>37.996514482920105</v>
      </c>
      <c r="L7" s="55">
        <f>'Yearly Model'!AF2</f>
        <v>38.946427344993104</v>
      </c>
    </row>
    <row r="8">
      <c r="A8" s="14" t="inlineStr">
        <is>
          <t>Operating income</t>
        </is>
      </c>
      <c r="B8" s="55">
        <f>'Yearly Model'!V8</f>
        <v>-8.315000000000005</v>
      </c>
      <c r="C8" s="55">
        <f>'Yearly Model'!W8</f>
        <v>-5.697357480000001</v>
      </c>
      <c r="D8" s="55">
        <f>'Yearly Model'!X8</f>
        <v>-3.575972064000002</v>
      </c>
      <c r="E8" s="55">
        <f>'Yearly Model'!Y8</f>
        <v>-1.8047063109833346</v>
      </c>
      <c r="F8" s="55">
        <f>'Yearly Model'!Z8</f>
        <v>-0.27468906995638775</v>
      </c>
      <c r="G8" s="55">
        <f>'Yearly Model'!AA8</f>
        <v>1.0989401413181632</v>
      </c>
      <c r="H8" s="55">
        <f>'Yearly Model'!AB8</f>
        <v>2.385183253804879</v>
      </c>
      <c r="I8" s="55">
        <f>'Yearly Model'!AC8</f>
        <v>3.6432550079513426</v>
      </c>
      <c r="J8" s="55">
        <f>'Yearly Model'!AD8</f>
        <v>4.9273545946158634</v>
      </c>
      <c r="K8" s="55">
        <f>'Yearly Model'!AE8</f>
        <v>6.290702937792254</v>
      </c>
      <c r="L8" s="55">
        <f>'Yearly Model'!AF8</f>
        <v>7.789285468998621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0.18681982402408776</v>
      </c>
      <c r="H9" s="52">
        <f>MAX(0,H8)*Assumptions!$E$14</f>
        <v>0.4054811531468295</v>
      </c>
      <c r="I9" s="52">
        <f>MAX(0,I8)*Assumptions!$E$14</f>
        <v>0.6193533513517283</v>
      </c>
      <c r="J9" s="52">
        <f>MAX(0,J8)*Assumptions!$E$14</f>
        <v>0.8376502810846969</v>
      </c>
      <c r="K9" s="52">
        <f>MAX(0,K8)*Assumptions!$E$14</f>
        <v>1.0694194994246833</v>
      </c>
      <c r="L9" s="52">
        <f>MAX(0,L8)*Assumptions!$E$14</f>
        <v>1.3241785297297657</v>
      </c>
    </row>
    <row r="10">
      <c r="A10" s="14" t="inlineStr">
        <is>
          <t>NOPAT</t>
        </is>
      </c>
      <c r="C10" s="52">
        <f>C8-C9</f>
        <v>-5.697357480000001</v>
      </c>
      <c r="D10" s="52">
        <f>D8-D9</f>
        <v>-3.575972064000002</v>
      </c>
      <c r="E10" s="52">
        <f>E8-E9</f>
        <v>-1.8047063109833346</v>
      </c>
      <c r="F10" s="52">
        <f>F8-F9</f>
        <v>-0.27468906995638775</v>
      </c>
      <c r="G10" s="52">
        <f>G8-G9</f>
        <v>0.9121203172940755</v>
      </c>
      <c r="H10" s="52">
        <f>H8-H9</f>
        <v>1.9797021006580495</v>
      </c>
      <c r="I10" s="52">
        <f>I8-I9</f>
        <v>3.023901656599614</v>
      </c>
      <c r="J10" s="52">
        <f>J8-J9</f>
        <v>4.089704313531167</v>
      </c>
      <c r="K10" s="52">
        <f>K8-K9</f>
        <v>5.221283438367571</v>
      </c>
      <c r="L10" s="52">
        <f>L8-L9</f>
        <v>6.465106939268855</v>
      </c>
    </row>
    <row r="11">
      <c r="A11" s="14" t="inlineStr">
        <is>
          <t>Reinvestment</t>
        </is>
      </c>
      <c r="C11" s="52">
        <f>(C7-B7)*Assumptions!$E$15</f>
        <v>-1.4392499999999995</v>
      </c>
      <c r="D11" s="52">
        <f>(D7-C7)*Assumptions!$E$15</f>
        <v>-1.11541875</v>
      </c>
      <c r="E11" s="52">
        <f>(E7-D7)*Assumptions!$E$15</f>
        <v>-0.8549544791666666</v>
      </c>
      <c r="F11" s="52">
        <f>(F7-E7)*Assumptions!$E$15</f>
        <v>-0.6406678116319444</v>
      </c>
      <c r="G11" s="52">
        <f>(G7-F7)*Assumptions!$E$15</f>
        <v>-0.4596537315200617</v>
      </c>
      <c r="H11" s="52">
        <f>(H7-G7)*Assumptions!$E$15</f>
        <v>-0.3019669652902621</v>
      </c>
      <c r="I11" s="52">
        <f>(I7-H7)*Assumptions!$E$15</f>
        <v>-0.15967647103985172</v>
      </c>
      <c r="J11" s="52">
        <f>(J7-I7)*Assumptions!$E$15</f>
        <v>-0.026169199420419176</v>
      </c>
      <c r="K11" s="52">
        <f>(K7-J7)*Assumptions!$E$15</f>
        <v>0.10438602879923131</v>
      </c>
      <c r="L11" s="52">
        <f>(L7-K7)*Assumptions!$E$15</f>
        <v>0.23747821551824977</v>
      </c>
    </row>
    <row r="12">
      <c r="A12" s="20" t="inlineStr">
        <is>
          <t>Free cash flow</t>
        </is>
      </c>
      <c r="C12" s="64">
        <f>C10-C11</f>
        <v>-4.258107480000001</v>
      </c>
      <c r="D12" s="64">
        <f>D10-D11</f>
        <v>-2.460553314000002</v>
      </c>
      <c r="E12" s="64">
        <f>E10-E11</f>
        <v>-0.949751831816668</v>
      </c>
      <c r="F12" s="64">
        <f>F10-F11</f>
        <v>0.36597874167555666</v>
      </c>
      <c r="G12" s="64">
        <f>G10-G11</f>
        <v>1.3717740488141372</v>
      </c>
      <c r="H12" s="64">
        <f>H10-H11</f>
        <v>2.2816690659483116</v>
      </c>
      <c r="I12" s="64">
        <f>I10-I11</f>
        <v>3.183578127639466</v>
      </c>
      <c r="J12" s="64">
        <f>J10-J11</f>
        <v>4.115873512951586</v>
      </c>
      <c r="K12" s="64">
        <f>K10-K11</f>
        <v>5.11689740956834</v>
      </c>
      <c r="L12" s="64">
        <f>L10-L11</f>
        <v>6.227628723750605</v>
      </c>
    </row>
    <row r="13">
      <c r="A13" s="14" t="inlineStr">
        <is>
          <t>Year fraction</t>
        </is>
      </c>
      <c r="C13" s="46">
        <f>Assumptions!$B$22</f>
        <v>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0.5</v>
      </c>
      <c r="D14" s="11">
        <f>C14+C13/2+D13/2</f>
        <v>1.5</v>
      </c>
      <c r="E14" s="11">
        <f>D14+D13/2+E13/2</f>
        <v>2.5</v>
      </c>
      <c r="F14" s="11">
        <f>E14+E13/2+F13/2</f>
        <v>3.5</v>
      </c>
      <c r="G14" s="11">
        <f>F14+F13/2+G13/2</f>
        <v>4.5</v>
      </c>
      <c r="H14" s="11">
        <f>G14+G13/2+H13/2</f>
        <v>5.5</v>
      </c>
      <c r="I14" s="11">
        <f>H14+H13/2+I13/2</f>
        <v>6.5</v>
      </c>
      <c r="J14" s="11">
        <f>I14+I13/2+J13/2</f>
        <v>7.5</v>
      </c>
      <c r="K14" s="11">
        <f>J14+J13/2+K13/2</f>
        <v>8.5</v>
      </c>
      <c r="L14" s="11">
        <f>K14+K13/2+L13/2</f>
        <v>9.5</v>
      </c>
    </row>
    <row r="15">
      <c r="A15" s="14" t="inlineStr">
        <is>
          <t>Discount factor</t>
        </is>
      </c>
      <c r="C15" s="65">
        <f>1/(1+Assumptions!$E$10)^C14</f>
        <v>0.9428090415820635</v>
      </c>
      <c r="D15" s="65">
        <f>1/(1+Assumptions!$E$10)^D14</f>
        <v>0.8380524814062785</v>
      </c>
      <c r="E15" s="65">
        <f>1/(1+Assumptions!$E$10)^E14</f>
        <v>0.7449355390278032</v>
      </c>
      <c r="F15" s="65">
        <f>1/(1+Assumptions!$E$10)^F14</f>
        <v>0.6621649235802695</v>
      </c>
      <c r="G15" s="65">
        <f>1/(1+Assumptions!$E$10)^G14</f>
        <v>0.5885910431824618</v>
      </c>
      <c r="H15" s="65">
        <f>1/(1+Assumptions!$E$10)^H14</f>
        <v>0.5231920383844104</v>
      </c>
      <c r="I15" s="65">
        <f>1/(1+Assumptions!$E$10)^I14</f>
        <v>0.4650595896750315</v>
      </c>
      <c r="J15" s="65">
        <f>1/(1+Assumptions!$E$10)^J14</f>
        <v>0.41338630193336134</v>
      </c>
      <c r="K15" s="65">
        <f>1/(1+Assumptions!$E$10)^K14</f>
        <v>0.3674544906074323</v>
      </c>
      <c r="L15" s="65">
        <f>1/(1+Assumptions!$E$10)^L14</f>
        <v>0.3266262138732731</v>
      </c>
    </row>
    <row r="16">
      <c r="A16" s="20" t="inlineStr">
        <is>
          <t>PV of free cash flow</t>
        </is>
      </c>
      <c r="C16" s="64">
        <f>C12*C13*C15</f>
        <v>-4.014582232172216</v>
      </c>
      <c r="D16" s="64">
        <f>D12*D13*D15</f>
        <v>-2.0620728104301436</v>
      </c>
      <c r="E16" s="64">
        <f>E12*E13*E15</f>
        <v>-0.7075038927769931</v>
      </c>
      <c r="F16" s="64">
        <f>F12*F13*F15</f>
        <v>0.24233828551359815</v>
      </c>
      <c r="G16" s="64">
        <f>G12*G13*G15</f>
        <v>0.8074139184021423</v>
      </c>
      <c r="H16" s="64">
        <f>H12*H13*H15</f>
        <v>1.193751089532151</v>
      </c>
      <c r="I16" s="64">
        <f>I12*I13*I15</f>
        <v>1.4805535377384151</v>
      </c>
      <c r="J16" s="64">
        <f>J12*J13*J15</f>
        <v>1.7014457307445288</v>
      </c>
      <c r="K16" s="64">
        <f>K12*K13*K15</f>
        <v>1.880226931123424</v>
      </c>
      <c r="L16" s="64">
        <f>L12*L13*L15</f>
        <v>2.0341067914471043</v>
      </c>
    </row>
    <row r="19">
      <c r="A19" s="14" t="inlineStr">
        <is>
          <t>PV of forecast free cash flow</t>
        </is>
      </c>
      <c r="B19" s="52">
        <f>SUM(C16:L16)</f>
        <v>2.555677349122011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6.383319441844369</v>
      </c>
    </row>
    <row r="21">
      <c r="A21" s="14" t="inlineStr">
        <is>
          <t>Terminal value</t>
        </is>
      </c>
      <c r="B21" s="52">
        <f>B20/(Assumptions!$E$10-Assumptions!$E$11)</f>
        <v>63.83319441844369</v>
      </c>
    </row>
    <row r="22">
      <c r="A22" s="14" t="inlineStr">
        <is>
          <t>PV of terminal value</t>
        </is>
      </c>
      <c r="B22" s="52">
        <f>B21/(1+Assumptions!$E$10)^(L14+0.5)</f>
        <v>19.657186313828053</v>
      </c>
    </row>
    <row r="23">
      <c r="A23" s="20" t="inlineStr">
        <is>
          <t>Enterprise value</t>
        </is>
      </c>
      <c r="B23" s="66">
        <f>B19+B22</f>
        <v>22.212863662950063</v>
      </c>
    </row>
    <row r="24">
      <c r="A24" s="14" t="inlineStr">
        <is>
          <t>Cash &amp; investments</t>
        </is>
      </c>
      <c r="B24" s="55">
        <f>Main!C7</f>
        <v>26.308</v>
      </c>
    </row>
    <row r="25">
      <c r="A25" s="14" t="inlineStr">
        <is>
          <t>Debt</t>
        </is>
      </c>
      <c r="B25" s="55">
        <f>Main!C8</f>
        <v>17.032</v>
      </c>
    </row>
    <row r="26">
      <c r="A26" s="20" t="inlineStr">
        <is>
          <t>Equity value</t>
        </is>
      </c>
      <c r="B26" s="66">
        <f>B23+B24-B25</f>
        <v>31.488863662950063</v>
      </c>
    </row>
    <row r="27">
      <c r="A27" s="14" t="inlineStr">
        <is>
          <t>Shares (mm)</t>
        </is>
      </c>
      <c r="B27" s="55">
        <f>Main!C4</f>
        <v>10.866708</v>
      </c>
    </row>
    <row r="28">
      <c r="A28" s="20" t="inlineStr">
        <is>
          <t>NPV / share</t>
        </is>
      </c>
      <c r="B28" s="49">
        <f>B26/B27</f>
        <v>2.897737167774276</v>
      </c>
    </row>
    <row r="29">
      <c r="A29" s="14" t="inlineStr">
        <is>
          <t>Price</t>
        </is>
      </c>
      <c r="B29" s="50">
        <f>Main!C3</f>
        <v>2.01</v>
      </c>
    </row>
    <row r="30">
      <c r="A30" s="14" t="inlineStr">
        <is>
          <t>Upside</t>
        </is>
      </c>
      <c r="B30" s="63">
        <f>B28/B29-1</f>
        <v>0.4416602824747644</v>
      </c>
    </row>
    <row r="31">
      <c r="A31" s="14" t="inlineStr">
        <is>
          <t>Terminal value, % of EV</t>
        </is>
      </c>
      <c r="B31" s="63">
        <f>IFERROR(B22/B23,0)</f>
        <v>0.8849460660317854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2026-10-21T06:30:08Z</dcterms:modified>
  <cp:lastModifiedBy>Wang, Eric</cp:lastModifiedBy>
</cp:coreProperties>
</file>