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Innate Pharma SA</t>
        </is>
      </c>
      <c r="C2" s="10" t="n"/>
    </row>
    <row r="3">
      <c r="B3" t="inlineStr">
        <is>
          <t>Price</t>
        </is>
      </c>
      <c r="C3" s="11">
        <f>INDEX([1]Pharma!$F$1:$F$1000,MATCH("IPHA",[1]Pharma!$B$1:$B$1000,0))</f>
        <v>1.578</v>
      </c>
      <c r="F3" s="1" t="n"/>
    </row>
    <row r="4">
      <c r="B4" t="inlineStr">
        <is>
          <t>Shares</t>
        </is>
      </c>
      <c r="C4" s="21" t="n">
        <v>93.719323</v>
      </c>
      <c r="F4" s="1" t="n"/>
    </row>
    <row r="5">
      <c r="B5" t="inlineStr">
        <is>
          <t>Market Cap.</t>
        </is>
      </c>
      <c r="C5" s="13">
        <f>C3*C4</f>
        <v>147.889091694</v>
      </c>
      <c r="F5" s="1" t="n"/>
    </row>
    <row r="6"/>
    <row r="7">
      <c r="B7" t="inlineStr">
        <is>
          <t>Cash</t>
        </is>
      </c>
      <c r="C7" s="21">
        <f>(28.092+6.218)/0.88865</f>
        <v>38.609126202666964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109.27996549133303</v>
      </c>
    </row>
    <row r="10"/>
    <row r="11">
      <c r="B11" s="14" t="inlineStr">
        <is>
          <t>Net Cash / Share</t>
        </is>
      </c>
      <c r="C11" s="11">
        <f>(C7-C8)/C4</f>
        <v>0.41196548338987643</v>
      </c>
    </row>
    <row r="12">
      <c r="B12" s="14" t="inlineStr">
        <is>
          <t>Upside</t>
        </is>
      </c>
      <c r="C12" s="15">
        <f>IFERROR(C11/C3-1,"")</f>
        <v>-0.7389318863182025</v>
      </c>
    </row>
    <row r="13">
      <c r="B13" s="14" t="inlineStr">
        <is>
          <t>Cash / Share</t>
        </is>
      </c>
      <c r="C13" s="11">
        <f>IFERROR((C7-C8)/C4,"")</f>
        <v>0.41196548338987643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-59.365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0.650368503371801</v>
      </c>
    </row>
    <row r="19">
      <c r="B19" s="14" t="inlineStr">
        <is>
          <t>Implied Pipeline Value</t>
        </is>
      </c>
      <c r="C19" s="13">
        <f>C9</f>
        <v>109.27996549133303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49.55</v>
      </c>
      <c r="C2" s="23" t="n">
        <v>105.724</v>
      </c>
      <c r="D2" s="23" t="n">
        <v>96.15600000000001</v>
      </c>
      <c r="E2" s="23" t="n">
        <v>78.51600000000001</v>
      </c>
      <c r="F2" s="23" t="n">
        <v>27.798</v>
      </c>
      <c r="G2" s="23" t="n">
        <v>64.901</v>
      </c>
      <c r="H2" s="23" t="n">
        <v>69.36499999999999</v>
      </c>
      <c r="I2" s="23" t="n">
        <v>22.642</v>
      </c>
      <c r="J2" s="23" t="n">
        <v>10.133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49.55</v>
      </c>
      <c r="C4" s="23">
        <f>C2-C3</f>
        <v>105.724</v>
      </c>
      <c r="D4" s="23">
        <f>D2-D3</f>
        <v>96.156</v>
      </c>
      <c r="E4" s="23">
        <f>E2-E3</f>
        <v>78.516</v>
      </c>
      <c r="F4" s="23">
        <f>F2-F3</f>
        <v>27.798</v>
      </c>
      <c r="G4" s="23">
        <f>G2-G3</f>
        <v>64.901</v>
      </c>
      <c r="H4" s="23">
        <f>H2-H3</f>
        <v>69.365</v>
      </c>
      <c r="I4" s="23">
        <f>I2-I3</f>
        <v>22.642</v>
      </c>
      <c r="J4" s="23">
        <f>J2-J3</f>
        <v>10.133</v>
      </c>
      <c r="K4" s="1" t="n"/>
    </row>
    <row r="5">
      <c r="A5" s="2" t="inlineStr">
        <is>
          <t>Research &amp; Dev.</t>
        </is>
      </c>
      <c r="B5" s="23" t="n">
        <v>75.395</v>
      </c>
      <c r="C5" s="23" t="n">
        <v>78.27</v>
      </c>
      <c r="D5" s="23" t="n">
        <v>70.77800000000001</v>
      </c>
      <c r="E5" s="23" t="n">
        <v>55.937</v>
      </c>
      <c r="F5" s="23" t="n">
        <v>52.894</v>
      </c>
      <c r="G5" s="23" t="n">
        <v>58.136</v>
      </c>
      <c r="H5" s="23" t="n">
        <v>63.042</v>
      </c>
      <c r="I5" s="23" t="n">
        <v>58.493</v>
      </c>
      <c r="J5" s="23" t="n">
        <v>49.086</v>
      </c>
      <c r="K5" s="1" t="n"/>
    </row>
    <row r="6">
      <c r="A6" s="19" t="inlineStr">
        <is>
          <t>SG&amp;A &amp; Other</t>
        </is>
      </c>
      <c r="B6" s="23" t="n">
        <v>19.148</v>
      </c>
      <c r="C6" s="23" t="n">
        <v>21.663</v>
      </c>
      <c r="D6" s="23" t="n">
        <v>23.605</v>
      </c>
      <c r="E6" s="23" t="n">
        <v>21.365</v>
      </c>
      <c r="F6" s="23" t="n">
        <v>28.722</v>
      </c>
      <c r="G6" s="23" t="n">
        <v>71.38500000000001</v>
      </c>
      <c r="H6" s="23" t="n">
        <v>20.58</v>
      </c>
      <c r="I6" s="23" t="n">
        <v>22.186</v>
      </c>
      <c r="J6" s="23" t="n">
        <v>21.823</v>
      </c>
      <c r="K6" s="1" t="n"/>
    </row>
    <row r="7">
      <c r="A7" s="2" t="inlineStr">
        <is>
          <t>Operating Expense</t>
        </is>
      </c>
      <c r="B7" s="23">
        <f>SUM(B5:B6)</f>
        <v>94.54299999999999</v>
      </c>
      <c r="C7" s="23">
        <f>SUM(C5:C6)</f>
        <v>99.93299999999999</v>
      </c>
      <c r="D7" s="23">
        <f>SUM(D5:D6)</f>
        <v>94.38300000000001</v>
      </c>
      <c r="E7" s="23">
        <f>SUM(E5:E6)</f>
        <v>77.30199999999999</v>
      </c>
      <c r="F7" s="23">
        <f>SUM(F5:F6)</f>
        <v>81.616</v>
      </c>
      <c r="G7" s="23">
        <f>SUM(G5:G6)</f>
        <v>129.52100000000002</v>
      </c>
      <c r="H7" s="23">
        <f>SUM(H5:H6)</f>
        <v>83.622</v>
      </c>
      <c r="I7" s="23">
        <f>SUM(I5:I6)</f>
        <v>80.679</v>
      </c>
      <c r="J7" s="23">
        <f>SUM(J5:J6)</f>
        <v>70.90899999999999</v>
      </c>
      <c r="K7" s="1" t="n"/>
    </row>
    <row r="8">
      <c r="A8" s="2" t="inlineStr">
        <is>
          <t>Operating Income</t>
        </is>
      </c>
      <c r="B8" s="23">
        <f>B4-B7</f>
        <v>-44.992999999999995</v>
      </c>
      <c r="C8" s="23">
        <f>C4-C7</f>
        <v>5.791000000000011</v>
      </c>
      <c r="D8" s="23">
        <f>D4-D7</f>
        <v>1.7729999999999961</v>
      </c>
      <c r="E8" s="23">
        <f>E4-E7</f>
        <v>1.2140000000000128</v>
      </c>
      <c r="F8" s="23">
        <f>F4-F7</f>
        <v>-53.818</v>
      </c>
      <c r="G8" s="23">
        <f>G4-G7</f>
        <v>-64.62000000000002</v>
      </c>
      <c r="H8" s="23">
        <f>H4-H7</f>
        <v>-14.257000000000005</v>
      </c>
      <c r="I8" s="23">
        <f>I4-I7</f>
        <v>-58.037000000000006</v>
      </c>
      <c r="J8" s="23">
        <f>J4-J7</f>
        <v>-60.775999999999996</v>
      </c>
      <c r="K8" s="1" t="n"/>
    </row>
    <row r="9">
      <c r="A9" s="19" t="inlineStr">
        <is>
          <t>Interest &amp; Other</t>
        </is>
      </c>
      <c r="B9" s="23" t="n">
        <v>-9.041</v>
      </c>
      <c r="C9" s="23" t="n">
        <v>-2.734</v>
      </c>
      <c r="D9" s="23" t="n">
        <v>-25.133</v>
      </c>
      <c r="E9" s="23" t="n">
        <v>-73.21599999999999</v>
      </c>
      <c r="F9" s="23" t="n">
        <v>-5.609</v>
      </c>
      <c r="G9" s="23" t="n">
        <v>-0.763</v>
      </c>
      <c r="H9" s="23" t="n">
        <v>5.738</v>
      </c>
      <c r="I9" s="23" t="n">
        <v>2.368</v>
      </c>
      <c r="J9" s="23" t="n">
        <v>5.436</v>
      </c>
    </row>
    <row r="10">
      <c r="A10" s="2" t="inlineStr">
        <is>
          <t>Pretax</t>
        </is>
      </c>
      <c r="B10" s="23">
        <f>B8+B9</f>
        <v>-54.03399999999999</v>
      </c>
      <c r="C10" s="23">
        <f>C8+C9</f>
        <v>3.057000000000011</v>
      </c>
      <c r="D10" s="23">
        <f>D8+D9</f>
        <v>-23.360000000000003</v>
      </c>
      <c r="E10" s="23">
        <f>E8+E9</f>
        <v>-72.00199999999998</v>
      </c>
      <c r="F10" s="23">
        <f>F8+F9</f>
        <v>-59.427</v>
      </c>
      <c r="G10" s="23">
        <f>G8+G9</f>
        <v>-65.38300000000002</v>
      </c>
      <c r="H10" s="23">
        <f>H8+H9</f>
        <v>-8.519000000000005</v>
      </c>
      <c r="I10" s="23">
        <f>I8+I9</f>
        <v>-55.669000000000004</v>
      </c>
      <c r="J10" s="23">
        <f>J8+J9</f>
        <v>-55.339999999999996</v>
      </c>
      <c r="K10" s="1" t="n"/>
    </row>
    <row r="11">
      <c r="A11" s="2" t="inlineStr">
        <is>
          <t>Taxes</t>
        </is>
      </c>
      <c r="B11" s="23" t="n">
        <v>0.414</v>
      </c>
      <c r="C11" s="23" t="n">
        <v>-0.375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</row>
    <row r="12">
      <c r="A12" s="2" t="inlineStr">
        <is>
          <t>Net Income</t>
        </is>
      </c>
      <c r="B12" s="23" t="n">
        <v>-54.448</v>
      </c>
      <c r="C12" s="23" t="n">
        <v>3.431</v>
      </c>
      <c r="D12" s="23" t="n">
        <v>-23.36</v>
      </c>
      <c r="E12" s="23" t="n">
        <v>-72.001</v>
      </c>
      <c r="F12" s="23" t="n">
        <v>-59.426</v>
      </c>
      <c r="G12" s="23" t="n">
        <v>-65.383</v>
      </c>
      <c r="H12" s="23" t="n">
        <v>-8.519</v>
      </c>
      <c r="I12" s="23" t="n">
        <v>-55.67</v>
      </c>
      <c r="J12" s="23" t="n">
        <v>-55.339</v>
      </c>
      <c r="K12" s="1" t="n"/>
    </row>
    <row r="13">
      <c r="A13" s="2" t="inlineStr">
        <is>
          <t>Earnings per Share</t>
        </is>
      </c>
      <c r="B13" s="11">
        <f>IFERROR(B12/B14,0)</f>
        <v>-1.001766264350898</v>
      </c>
      <c r="C13" s="11">
        <f>IFERROR(C12/C14,0)</f>
        <v>0.05837317317998537</v>
      </c>
      <c r="D13" s="11">
        <f>IFERROR(D12/D14,0)</f>
        <v>-0.3491361272194655</v>
      </c>
      <c r="E13" s="11">
        <f>IFERROR(E12/E14,0)</f>
        <v>-0.9121555710394629</v>
      </c>
      <c r="F13" s="11">
        <f>IFERROR(F12/F14,0)</f>
        <v>-0.7470927674339665</v>
      </c>
      <c r="G13" s="11">
        <f>IFERROR(G12/G14,0)</f>
        <v>-0.8209819186338523</v>
      </c>
      <c r="H13" s="11">
        <f>IFERROR(H12/H14,0)</f>
        <v>-0.10588790971125998</v>
      </c>
      <c r="I13" s="11">
        <f>IFERROR(I12/I14,0)</f>
        <v>-0.6868430143611508</v>
      </c>
      <c r="J13" s="11">
        <f>IFERROR(J12/J14,0)</f>
        <v>-0.6176848120905002</v>
      </c>
    </row>
    <row r="14">
      <c r="A14" s="2" t="inlineStr">
        <is>
          <t>Shares</t>
        </is>
      </c>
      <c r="B14" s="23" t="n">
        <v>54.352</v>
      </c>
      <c r="C14" s="23" t="n">
        <v>58.777</v>
      </c>
      <c r="D14" s="23" t="n">
        <v>66.908</v>
      </c>
      <c r="E14" s="23" t="n">
        <v>78.935</v>
      </c>
      <c r="F14" s="23" t="n">
        <v>79.54300000000001</v>
      </c>
      <c r="G14" s="23" t="n">
        <v>79.64</v>
      </c>
      <c r="H14" s="23" t="n">
        <v>80.453</v>
      </c>
      <c r="I14" s="23" t="n">
        <v>81.05200000000001</v>
      </c>
      <c r="J14" s="23" t="n">
        <v>89.59099999999999</v>
      </c>
    </row>
    <row r="15"/>
    <row r="16" customFormat="1" s="4">
      <c r="A16" s="3" t="inlineStr">
        <is>
          <t>Revenue Change</t>
        </is>
      </c>
      <c r="C16" s="15">
        <f>IFERROR(C2/B2-1,"")</f>
        <v>1.1336831483350154</v>
      </c>
      <c r="D16" s="15">
        <f>IFERROR(D2/C2-1,"")</f>
        <v>-0.09049979191101354</v>
      </c>
      <c r="E16" s="15">
        <f>IFERROR(E2/D2-1,"")</f>
        <v>-0.18345189067764878</v>
      </c>
      <c r="F16" s="15">
        <f>IFERROR(F2/E2-1,"")</f>
        <v>-0.6459575118447196</v>
      </c>
      <c r="G16" s="15">
        <f>IFERROR(G2/F2-1,"")</f>
        <v>1.3347363119648894</v>
      </c>
      <c r="H16" s="15">
        <f>IFERROR(H2/G2-1,"")</f>
        <v>0.06878168287083408</v>
      </c>
      <c r="I16" s="15">
        <f>IFERROR(I2/H2-1,"")</f>
        <v>-0.6735817775535212</v>
      </c>
      <c r="J16" s="15">
        <f>IFERROR(J2/I2-1,"")</f>
        <v>-0.5524688631746313</v>
      </c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4" t="n"/>
    </row>
    <row r="18">
      <c r="A18" s="14" t="inlineStr">
        <is>
          <t>Operating Margin</t>
        </is>
      </c>
      <c r="B18" s="15">
        <f>IFERROR(B8/B2,"")</f>
        <v>-0.9080322906155398</v>
      </c>
      <c r="C18" s="15">
        <f>IFERROR(C8/C2,"")</f>
        <v>0.05477469637925174</v>
      </c>
      <c r="D18" s="15">
        <f>IFERROR(D8/D2,"")</f>
        <v>0.018438786971171805</v>
      </c>
      <c r="E18" s="15">
        <f>IFERROR(E8/E2,"")</f>
        <v>0.0154618166997811</v>
      </c>
      <c r="F18" s="15">
        <f>IFERROR(F8/F2,"")</f>
        <v>-1.9360385639254623</v>
      </c>
      <c r="G18" s="15">
        <f>IFERROR(G8/G2,"")</f>
        <v>-0.9956703286544124</v>
      </c>
      <c r="H18" s="15">
        <f>IFERROR(H8/H2,"")</f>
        <v>-0.20553593310747503</v>
      </c>
      <c r="I18" s="15">
        <f>IFERROR(I8/I2,"")</f>
        <v>-2.5632452963519126</v>
      </c>
      <c r="J18" s="15">
        <f>IFERROR(J8/J2,"")</f>
        <v>-5.997828875949867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2026-10-21T01:05:48Z</dcterms:modified>
  <cp:lastModifiedBy>Wang, Eric</cp:lastModifiedBy>
</cp:coreProperties>
</file>