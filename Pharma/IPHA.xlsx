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Innate Pharma SA</t>
        </is>
      </c>
      <c r="C2" s="10" t="n"/>
    </row>
    <row r="3">
      <c r="B3" t="inlineStr">
        <is>
          <t>Price</t>
        </is>
      </c>
      <c r="C3" s="11">
        <f>INDEX([1]Pharma!$F$1:$F$1000,MATCH("IPHA",[1]Pharma!$B$1:$B$1000,0))</f>
        <v>1.578</v>
      </c>
      <c r="F3" s="1" t="n"/>
    </row>
    <row r="4">
      <c r="B4" t="inlineStr">
        <is>
          <t>Shares</t>
        </is>
      </c>
      <c r="C4" s="21" t="n">
        <v>93.719323</v>
      </c>
      <c r="F4" s="1" t="n"/>
    </row>
    <row r="5">
      <c r="B5" t="inlineStr">
        <is>
          <t>Market Cap.</t>
        </is>
      </c>
      <c r="C5" s="13">
        <f>C3*C4</f>
        <v>147.889091694</v>
      </c>
      <c r="F5" s="1" t="n"/>
    </row>
    <row r="6"/>
    <row r="7">
      <c r="B7" t="inlineStr">
        <is>
          <t>Cash</t>
        </is>
      </c>
      <c r="C7" s="21">
        <f>(28.092+6.218)/0.88865</f>
        <v>38.609126202666964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109.27996549133303</v>
      </c>
    </row>
    <row r="10"/>
    <row r="11">
      <c r="B11" s="14" t="inlineStr">
        <is>
          <t>rNPV / Share</t>
        </is>
      </c>
      <c r="C11" s="11">
        <f>NPV!B27</f>
        <v>8.856109111936965</v>
      </c>
    </row>
    <row r="12">
      <c r="B12" s="14" t="inlineStr">
        <is>
          <t>Upside</t>
        </is>
      </c>
      <c r="C12" s="15">
        <f>IFERROR(C11/C3-1,"")</f>
        <v>4.612236446094401</v>
      </c>
    </row>
    <row r="13">
      <c r="B13" s="14" t="inlineStr">
        <is>
          <t>Cash / Share</t>
        </is>
      </c>
      <c r="C13" s="11">
        <f>IFERROR((C7-C8)/C4,"")</f>
        <v>0.41196548338987643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-59.365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0.650368503371801</v>
      </c>
    </row>
    <row r="19">
      <c r="B19" s="14" t="inlineStr">
        <is>
          <t>Implied Pipeline Value</t>
        </is>
      </c>
      <c r="C19" s="13">
        <f>C9</f>
        <v>109.27996549133303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49.55</v>
      </c>
      <c r="C2" s="23" t="n">
        <v>105.724</v>
      </c>
      <c r="D2" s="23" t="n">
        <v>96.15600000000001</v>
      </c>
      <c r="E2" s="23" t="n">
        <v>78.51600000000001</v>
      </c>
      <c r="F2" s="23" t="n">
        <v>27.798</v>
      </c>
      <c r="G2" s="23" t="n">
        <v>64.901</v>
      </c>
      <c r="H2" s="23" t="n">
        <v>69.36499999999999</v>
      </c>
      <c r="I2" s="23" t="n">
        <v>22.642</v>
      </c>
      <c r="J2" s="23" t="n">
        <v>10.133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49.55</v>
      </c>
      <c r="C4" s="23">
        <f>C2-C3</f>
        <v>105.724</v>
      </c>
      <c r="D4" s="23">
        <f>D2-D3</f>
        <v>96.156</v>
      </c>
      <c r="E4" s="23">
        <f>E2-E3</f>
        <v>78.516</v>
      </c>
      <c r="F4" s="23">
        <f>F2-F3</f>
        <v>27.798</v>
      </c>
      <c r="G4" s="23">
        <f>G2-G3</f>
        <v>64.901</v>
      </c>
      <c r="H4" s="23">
        <f>H2-H3</f>
        <v>69.365</v>
      </c>
      <c r="I4" s="23">
        <f>I2-I3</f>
        <v>22.642</v>
      </c>
      <c r="J4" s="23">
        <f>J2-J3</f>
        <v>10.133</v>
      </c>
      <c r="K4" s="1" t="n"/>
    </row>
    <row r="5">
      <c r="A5" s="2" t="inlineStr">
        <is>
          <t>Research &amp; Dev.</t>
        </is>
      </c>
      <c r="B5" s="23" t="n">
        <v>75.395</v>
      </c>
      <c r="C5" s="23" t="n">
        <v>78.27</v>
      </c>
      <c r="D5" s="23" t="n">
        <v>70.77800000000001</v>
      </c>
      <c r="E5" s="23" t="n">
        <v>55.937</v>
      </c>
      <c r="F5" s="23" t="n">
        <v>52.894</v>
      </c>
      <c r="G5" s="23" t="n">
        <v>58.136</v>
      </c>
      <c r="H5" s="23" t="n">
        <v>63.042</v>
      </c>
      <c r="I5" s="23" t="n">
        <v>58.493</v>
      </c>
      <c r="J5" s="23" t="n">
        <v>49.086</v>
      </c>
      <c r="K5" s="1" t="n"/>
    </row>
    <row r="6">
      <c r="A6" s="19" t="inlineStr">
        <is>
          <t>SG&amp;A &amp; Other</t>
        </is>
      </c>
      <c r="B6" s="23" t="n">
        <v>19.148</v>
      </c>
      <c r="C6" s="23" t="n">
        <v>21.663</v>
      </c>
      <c r="D6" s="23" t="n">
        <v>23.605</v>
      </c>
      <c r="E6" s="23" t="n">
        <v>21.365</v>
      </c>
      <c r="F6" s="23" t="n">
        <v>28.722</v>
      </c>
      <c r="G6" s="23" t="n">
        <v>71.38500000000001</v>
      </c>
      <c r="H6" s="23" t="n">
        <v>20.58</v>
      </c>
      <c r="I6" s="23" t="n">
        <v>22.186</v>
      </c>
      <c r="J6" s="23" t="n">
        <v>21.823</v>
      </c>
      <c r="K6" s="1" t="n"/>
    </row>
    <row r="7">
      <c r="A7" s="2" t="inlineStr">
        <is>
          <t>Operating Expense</t>
        </is>
      </c>
      <c r="B7" s="23">
        <f>SUM(B5:B6)</f>
        <v>94.54299999999999</v>
      </c>
      <c r="C7" s="23">
        <f>SUM(C5:C6)</f>
        <v>99.93299999999999</v>
      </c>
      <c r="D7" s="23">
        <f>SUM(D5:D6)</f>
        <v>94.38300000000001</v>
      </c>
      <c r="E7" s="23">
        <f>SUM(E5:E6)</f>
        <v>77.30199999999999</v>
      </c>
      <c r="F7" s="23">
        <f>SUM(F5:F6)</f>
        <v>81.616</v>
      </c>
      <c r="G7" s="23">
        <f>SUM(G5:G6)</f>
        <v>129.52100000000002</v>
      </c>
      <c r="H7" s="23">
        <f>SUM(H5:H6)</f>
        <v>83.622</v>
      </c>
      <c r="I7" s="23">
        <f>SUM(I5:I6)</f>
        <v>80.679</v>
      </c>
      <c r="J7" s="23">
        <f>SUM(J5:J6)</f>
        <v>70.90899999999999</v>
      </c>
      <c r="K7" s="1" t="n"/>
    </row>
    <row r="8">
      <c r="A8" s="2" t="inlineStr">
        <is>
          <t>Operating Income</t>
        </is>
      </c>
      <c r="B8" s="23">
        <f>B4-B7</f>
        <v>-44.992999999999995</v>
      </c>
      <c r="C8" s="23">
        <f>C4-C7</f>
        <v>5.791000000000011</v>
      </c>
      <c r="D8" s="23">
        <f>D4-D7</f>
        <v>1.7729999999999961</v>
      </c>
      <c r="E8" s="23">
        <f>E4-E7</f>
        <v>1.2140000000000128</v>
      </c>
      <c r="F8" s="23">
        <f>F4-F7</f>
        <v>-53.818</v>
      </c>
      <c r="G8" s="23">
        <f>G4-G7</f>
        <v>-64.62000000000002</v>
      </c>
      <c r="H8" s="23">
        <f>H4-H7</f>
        <v>-14.257000000000005</v>
      </c>
      <c r="I8" s="23">
        <f>I4-I7</f>
        <v>-58.037000000000006</v>
      </c>
      <c r="J8" s="23">
        <f>J4-J7</f>
        <v>-60.775999999999996</v>
      </c>
      <c r="K8" s="1" t="n"/>
    </row>
    <row r="9">
      <c r="A9" s="19" t="inlineStr">
        <is>
          <t>Interest &amp; Other</t>
        </is>
      </c>
      <c r="B9" s="23" t="n">
        <v>-9.041</v>
      </c>
      <c r="C9" s="23" t="n">
        <v>-2.734</v>
      </c>
      <c r="D9" s="23" t="n">
        <v>-25.133</v>
      </c>
      <c r="E9" s="23" t="n">
        <v>-73.21599999999999</v>
      </c>
      <c r="F9" s="23" t="n">
        <v>-5.609</v>
      </c>
      <c r="G9" s="23" t="n">
        <v>-0.763</v>
      </c>
      <c r="H9" s="23" t="n">
        <v>5.738</v>
      </c>
      <c r="I9" s="23" t="n">
        <v>2.368</v>
      </c>
      <c r="J9" s="23" t="n">
        <v>5.436</v>
      </c>
    </row>
    <row r="10">
      <c r="A10" s="2" t="inlineStr">
        <is>
          <t>Pretax</t>
        </is>
      </c>
      <c r="B10" s="23">
        <f>B8+B9</f>
        <v>-54.03399999999999</v>
      </c>
      <c r="C10" s="23">
        <f>C8+C9</f>
        <v>3.057000000000011</v>
      </c>
      <c r="D10" s="23">
        <f>D8+D9</f>
        <v>-23.360000000000003</v>
      </c>
      <c r="E10" s="23">
        <f>E8+E9</f>
        <v>-72.00199999999998</v>
      </c>
      <c r="F10" s="23">
        <f>F8+F9</f>
        <v>-59.427</v>
      </c>
      <c r="G10" s="23">
        <f>G8+G9</f>
        <v>-65.38300000000002</v>
      </c>
      <c r="H10" s="23">
        <f>H8+H9</f>
        <v>-8.519000000000005</v>
      </c>
      <c r="I10" s="23">
        <f>I8+I9</f>
        <v>-55.669000000000004</v>
      </c>
      <c r="J10" s="23">
        <f>J8+J9</f>
        <v>-55.339999999999996</v>
      </c>
      <c r="K10" s="1" t="n"/>
    </row>
    <row r="11">
      <c r="A11" s="2" t="inlineStr">
        <is>
          <t>Taxes</t>
        </is>
      </c>
      <c r="B11" s="23" t="n">
        <v>0.414</v>
      </c>
      <c r="C11" s="23" t="n">
        <v>-0.375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A12" s="2" t="inlineStr">
        <is>
          <t>Net Income</t>
        </is>
      </c>
      <c r="B12" s="23" t="n">
        <v>-54.448</v>
      </c>
      <c r="C12" s="23" t="n">
        <v>3.431</v>
      </c>
      <c r="D12" s="23" t="n">
        <v>-23.36</v>
      </c>
      <c r="E12" s="23" t="n">
        <v>-72.001</v>
      </c>
      <c r="F12" s="23" t="n">
        <v>-59.426</v>
      </c>
      <c r="G12" s="23" t="n">
        <v>-65.383</v>
      </c>
      <c r="H12" s="23" t="n">
        <v>-8.519</v>
      </c>
      <c r="I12" s="23" t="n">
        <v>-55.67</v>
      </c>
      <c r="J12" s="23" t="n">
        <v>-55.339</v>
      </c>
      <c r="K12" s="1" t="n"/>
    </row>
    <row r="13">
      <c r="A13" s="2" t="inlineStr">
        <is>
          <t>Earnings per Share</t>
        </is>
      </c>
      <c r="B13" s="11">
        <f>IFERROR(B12/B14,0)</f>
        <v>-1.001766264350898</v>
      </c>
      <c r="C13" s="11">
        <f>IFERROR(C12/C14,0)</f>
        <v>0.05837317317998537</v>
      </c>
      <c r="D13" s="11">
        <f>IFERROR(D12/D14,0)</f>
        <v>-0.3491361272194655</v>
      </c>
      <c r="E13" s="11">
        <f>IFERROR(E12/E14,0)</f>
        <v>-0.9121555710394629</v>
      </c>
      <c r="F13" s="11">
        <f>IFERROR(F12/F14,0)</f>
        <v>-0.7470927674339665</v>
      </c>
      <c r="G13" s="11">
        <f>IFERROR(G12/G14,0)</f>
        <v>-0.8209819186338523</v>
      </c>
      <c r="H13" s="11">
        <f>IFERROR(H12/H14,0)</f>
        <v>-0.10588790971125998</v>
      </c>
      <c r="I13" s="11">
        <f>IFERROR(I12/I14,0)</f>
        <v>-0.6868430143611508</v>
      </c>
      <c r="J13" s="11">
        <f>IFERROR(J12/J14,0)</f>
        <v>-0.6176848120905002</v>
      </c>
    </row>
    <row r="14">
      <c r="A14" s="2" t="inlineStr">
        <is>
          <t>Shares</t>
        </is>
      </c>
      <c r="B14" s="23" t="n">
        <v>54.352</v>
      </c>
      <c r="C14" s="23" t="n">
        <v>58.777</v>
      </c>
      <c r="D14" s="23" t="n">
        <v>66.908</v>
      </c>
      <c r="E14" s="23" t="n">
        <v>78.935</v>
      </c>
      <c r="F14" s="23" t="n">
        <v>79.54300000000001</v>
      </c>
      <c r="G14" s="23" t="n">
        <v>79.64</v>
      </c>
      <c r="H14" s="23" t="n">
        <v>80.453</v>
      </c>
      <c r="I14" s="23" t="n">
        <v>81.05200000000001</v>
      </c>
      <c r="J14" s="23" t="n">
        <v>89.59099999999999</v>
      </c>
    </row>
    <row r="15"/>
    <row r="16" customFormat="1" s="4">
      <c r="A16" s="3" t="inlineStr">
        <is>
          <t>Revenue Change</t>
        </is>
      </c>
      <c r="C16" s="15">
        <f>IFERROR(C2/B2-1,"")</f>
        <v>1.1336831483350154</v>
      </c>
      <c r="D16" s="15">
        <f>IFERROR(D2/C2-1,"")</f>
        <v>-0.09049979191101354</v>
      </c>
      <c r="E16" s="15">
        <f>IFERROR(E2/D2-1,"")</f>
        <v>-0.18345189067764878</v>
      </c>
      <c r="F16" s="15">
        <f>IFERROR(F2/E2-1,"")</f>
        <v>-0.6459575118447196</v>
      </c>
      <c r="G16" s="15">
        <f>IFERROR(G2/F2-1,"")</f>
        <v>1.3347363119648894</v>
      </c>
      <c r="H16" s="15">
        <f>IFERROR(H2/G2-1,"")</f>
        <v>0.06878168287083408</v>
      </c>
      <c r="I16" s="15">
        <f>IFERROR(I2/H2-1,"")</f>
        <v>-0.6735817775535212</v>
      </c>
      <c r="J16" s="15">
        <f>IFERROR(J2/I2-1,"")</f>
        <v>-0.5524688631746313</v>
      </c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4" t="n"/>
    </row>
    <row r="18">
      <c r="A18" s="14" t="inlineStr">
        <is>
          <t>Operating Margin</t>
        </is>
      </c>
      <c r="B18" s="15">
        <f>IFERROR(B8/B2,"")</f>
        <v>-0.9080322906155398</v>
      </c>
      <c r="C18" s="15">
        <f>IFERROR(C8/C2,"")</f>
        <v>0.05477469637925174</v>
      </c>
      <c r="D18" s="15">
        <f>IFERROR(D8/D2,"")</f>
        <v>0.018438786971171805</v>
      </c>
      <c r="E18" s="15">
        <f>IFERROR(E8/E2,"")</f>
        <v>0.0154618166997811</v>
      </c>
      <c r="F18" s="15">
        <f>IFERROR(F8/F2,"")</f>
        <v>-1.9360385639254623</v>
      </c>
      <c r="G18" s="15">
        <f>IFERROR(G8/G2,"")</f>
        <v>-0.9956703286544124</v>
      </c>
      <c r="H18" s="15">
        <f>IFERROR(H8/H2,"")</f>
        <v>-0.20553593310747503</v>
      </c>
      <c r="I18" s="15">
        <f>IFERROR(I8/I2,"")</f>
        <v>-2.5632452963519126</v>
      </c>
      <c r="J18" s="15">
        <f>IFERROR(J8/J2,"")</f>
        <v>-5.997828875949867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Innate Pharma SA: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1-PRODUCT(Pipeline!AG4:AG7)</f>
        <v>0.57700531695936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60.775</v>
      </c>
    </row>
    <row r="19">
      <c r="A19" s="14" t="inlineStr">
        <is>
          <t>Years of full burn (until the first launch, max 4)</t>
        </is>
      </c>
      <c r="B19" s="39">
        <f>MIN(4,MAX(1,MIN(Pipeline!I4:I7)-2026))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394.1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46022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791.3794241821967</v>
      </c>
      <c r="C29" s="42">
        <f>NPV!B25</f>
        <v>829.9885503848636</v>
      </c>
      <c r="D29" s="43">
        <f>NPV!B27</f>
        <v>8.856109111936965</v>
      </c>
      <c r="E29" s="44">
        <f>NPV!B29</f>
        <v>4.612236446094401</v>
      </c>
    </row>
    <row r="30">
      <c r="A30" s="45" t="n">
        <v>1</v>
      </c>
      <c r="B30" s="46">
        <f t="dataTable" ref="B30:E32" r1="B4"/>
        <v>229.55639040604973</v>
      </c>
      <c r="C30" s="46">
        <v>268.1655166087167</v>
      </c>
      <c r="D30" s="47">
        <v>2.8613684779681634</v>
      </c>
      <c r="E30" s="48">
        <v>0.8132880088518144</v>
      </c>
    </row>
    <row r="31">
      <c r="A31" s="45" t="n">
        <v>2</v>
      </c>
      <c r="B31" s="46">
        <v>791.3794241821967</v>
      </c>
      <c r="C31" s="46">
        <v>829.9885503848636</v>
      </c>
      <c r="D31" s="47">
        <v>8.856109111936965</v>
      </c>
      <c r="E31" s="48">
        <v>4.612236446094401</v>
      </c>
    </row>
    <row r="32">
      <c r="A32" s="45" t="n">
        <v>3</v>
      </c>
      <c r="B32" s="46">
        <v>1686.3639132254827</v>
      </c>
      <c r="C32" s="46">
        <v>1724.9730394281496</v>
      </c>
      <c r="D32" s="47">
        <v>18.40573516977016</v>
      </c>
      <c r="E32" s="48">
        <v>10.663963985912648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8.856109111936965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1.8960113563449745</v>
      </c>
      <c r="C37" s="47">
        <v>3.450051069226368</v>
      </c>
      <c r="D37" s="47">
        <v>4.9820715030073615</v>
      </c>
      <c r="E37" s="47">
        <v>8.018963586674074</v>
      </c>
      <c r="F37" s="47">
        <v>11.040636354119957</v>
      </c>
    </row>
    <row r="38">
      <c r="A38" s="50" t="n">
        <v>0.8</v>
      </c>
      <c r="B38" s="47">
        <v>2.844052919510523</v>
      </c>
      <c r="C38" s="47">
        <v>4.890895099955418</v>
      </c>
      <c r="D38" s="47">
        <v>6.91942246020802</v>
      </c>
      <c r="E38" s="47">
        <v>10.951497199552534</v>
      </c>
      <c r="F38" s="47">
        <v>14.966087331706719</v>
      </c>
    </row>
    <row r="39">
      <c r="A39" s="50" t="n">
        <v>1</v>
      </c>
      <c r="B39" s="47">
        <v>3.7873897196797315</v>
      </c>
      <c r="C39" s="47">
        <v>6.332562930361366</v>
      </c>
      <c r="D39" s="47">
        <v>8.856109111936965</v>
      </c>
      <c r="E39" s="47">
        <v>13.881186002855555</v>
      </c>
      <c r="F39" s="47">
        <v>18.896368578684648</v>
      </c>
    </row>
    <row r="40">
      <c r="A40" s="50" t="n">
        <v>1.2</v>
      </c>
      <c r="B40" s="47">
        <v>4.7323328684723664</v>
      </c>
      <c r="C40" s="47">
        <v>7.772111245977944</v>
      </c>
      <c r="D40" s="47">
        <v>10.796477887673438</v>
      </c>
      <c r="E40" s="47">
        <v>16.818363085904714</v>
      </c>
      <c r="F40" s="47">
        <v>22.823094339703275</v>
      </c>
    </row>
    <row r="41">
      <c r="A41" s="50" t="n">
        <v>1.4</v>
      </c>
      <c r="B41" s="47">
        <v>5.681553126419897</v>
      </c>
      <c r="C41" s="47">
        <v>9.218837880415169</v>
      </c>
      <c r="D41" s="47">
        <v>12.737107420248412</v>
      </c>
      <c r="E41" s="47">
        <v>19.75726631864899</v>
      </c>
      <c r="F41" s="47">
        <v>26.756849894000627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Innate Pharma SA: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Head and neck cancer</t>
        </is>
      </c>
      <c r="C4" s="14" t="inlineStr">
        <is>
          <t>Monalizumab, Anti-PD(L)1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1000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595.0392370395623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43.88</v>
      </c>
      <c r="Q4" s="23">
        <f>IF(Q$3&lt;$I4,0,$G4*Assumptions!$E$11*INDEX(Assumptions!$B$24:$G$24,MIN(6,Q$3-$I4+1))*IF(Q$3&gt;$J4,(1-Assumptions!$B$26)^(Q$3-$J4),1)*IF($H4&gt;=1,1,MIN(0.97,$H4*Assumptions!$E$12)))</f>
        <v>109.7</v>
      </c>
      <c r="R4" s="23">
        <f>IF(R$3&lt;$I4,0,$G4*Assumptions!$E$11*INDEX(Assumptions!$B$24:$G$24,MIN(6,R$3-$I4+1))*IF(R$3&gt;$J4,(1-Assumptions!$B$26)^(R$3-$J4),1)*IF($H4&gt;=1,1,MIN(0.97,$H4*Assumptions!$E$12)))</f>
        <v>197.46</v>
      </c>
      <c r="S4" s="23">
        <f>IF(S$3&lt;$I4,0,$G4*Assumptions!$E$11*INDEX(Assumptions!$B$24:$G$24,MIN(6,S$3-$I4+1))*IF(S$3&gt;$J4,(1-Assumptions!$B$26)^(S$3-$J4),1)*IF($H4&gt;=1,1,MIN(0.97,$H4*Assumptions!$E$12)))</f>
        <v>285.22</v>
      </c>
      <c r="T4" s="23">
        <f>IF(T$3&lt;$I4,0,$G4*Assumptions!$E$11*INDEX(Assumptions!$B$24:$G$24,MIN(6,T$3-$I4+1))*IF(T$3&gt;$J4,(1-Assumptions!$B$26)^(T$3-$J4),1)*IF($H4&gt;=1,1,MIN(0.97,$H4*Assumptions!$E$12)))</f>
        <v>372.98</v>
      </c>
      <c r="U4" s="23">
        <f>IF(U$3&lt;$I4,0,$G4*Assumptions!$E$11*INDEX(Assumptions!$B$24:$G$24,MIN(6,U$3-$I4+1))*IF(U$3&gt;$J4,(1-Assumptions!$B$26)^(U$3-$J4),1)*IF($H4&gt;=1,1,MIN(0.97,$H4*Assumptions!$E$12)))</f>
        <v>438.8</v>
      </c>
      <c r="V4" s="23">
        <f>IF(V$3&lt;$I4,0,$G4*Assumptions!$E$11*INDEX(Assumptions!$B$24:$G$24,MIN(6,V$3-$I4+1))*IF(V$3&gt;$J4,(1-Assumptions!$B$26)^(V$3-$J4),1)*IF($H4&gt;=1,1,MIN(0.97,$H4*Assumptions!$E$12)))</f>
        <v>438.8</v>
      </c>
      <c r="W4" s="23">
        <f>IF(W$3&lt;$I4,0,$G4*Assumptions!$E$11*INDEX(Assumptions!$B$24:$G$24,MIN(6,W$3-$I4+1))*IF(W$3&gt;$J4,(1-Assumptions!$B$26)^(W$3-$J4),1)*IF($H4&gt;=1,1,MIN(0.97,$H4*Assumptions!$E$12)))</f>
        <v>438.8</v>
      </c>
      <c r="X4" s="23">
        <f>IF(X$3&lt;$I4,0,$G4*Assumptions!$E$11*INDEX(Assumptions!$B$24:$G$24,MIN(6,X$3-$I4+1))*IF(X$3&gt;$J4,(1-Assumptions!$B$26)^(X$3-$J4),1)*IF($H4&gt;=1,1,MIN(0.97,$H4*Assumptions!$E$12)))</f>
        <v>438.8</v>
      </c>
      <c r="Y4" s="23">
        <f>IF(Y$3&lt;$I4,0,$G4*Assumptions!$E$11*INDEX(Assumptions!$B$24:$G$24,MIN(6,Y$3-$I4+1))*IF(Y$3&gt;$J4,(1-Assumptions!$B$26)^(Y$3-$J4),1)*IF($H4&gt;=1,1,MIN(0.97,$H4*Assumptions!$E$12)))</f>
        <v>438.8</v>
      </c>
      <c r="Z4" s="23">
        <f>IF(Z$3&lt;$I4,0,$G4*Assumptions!$E$11*INDEX(Assumptions!$B$24:$G$24,MIN(6,Z$3-$I4+1))*IF(Z$3&gt;$J4,(1-Assumptions!$B$26)^(Z$3-$J4),1)*IF($H4&gt;=1,1,MIN(0.97,$H4*Assumptions!$E$12)))</f>
        <v>438.8</v>
      </c>
      <c r="AA4" s="23">
        <f>IF(AA$3&lt;$I4,0,$G4*Assumptions!$E$11*INDEX(Assumptions!$B$24:$G$24,MIN(6,AA$3-$I4+1))*IF(AA$3&gt;$J4,(1-Assumptions!$B$26)^(AA$3-$J4),1)*IF($H4&gt;=1,1,MIN(0.97,$H4*Assumptions!$E$12)))</f>
        <v>438.8</v>
      </c>
      <c r="AB4" s="23">
        <f>IF(AB$3&lt;$I4,0,$G4*Assumptions!$E$11*INDEX(Assumptions!$B$24:$G$24,MIN(6,AB$3-$I4+1))*IF(AB$3&gt;$J4,(1-Assumptions!$B$26)^(AB$3-$J4),1)*IF($H4&gt;=1,1,MIN(0.97,$H4*Assumptions!$E$12)))</f>
        <v>438.8</v>
      </c>
      <c r="AC4" s="23">
        <f>IF(AC$3&lt;$I4,0,$G4*Assumptions!$E$11*INDEX(Assumptions!$B$24:$G$24,MIN(6,AC$3-$I4+1))*IF(AC$3&gt;$J4,(1-Assumptions!$B$26)^(AC$3-$J4),1)*IF($H4&gt;=1,1,MIN(0.97,$H4*Assumptions!$E$12)))</f>
        <v>219.4</v>
      </c>
      <c r="AD4" s="23">
        <f>IF(AD$3&lt;$I4,0,$G4*Assumptions!$E$11*INDEX(Assumptions!$B$24:$G$24,MIN(6,AD$3-$I4+1))*IF(AD$3&gt;$J4,(1-Assumptions!$B$26)^(AD$3-$J4),1)*IF($H4&gt;=1,1,MIN(0.97,$H4*Assumptions!$E$12)))</f>
        <v>109.7</v>
      </c>
      <c r="AE4" s="23">
        <f>IF(AE$3&lt;$I4,0,$G4*Assumptions!$E$11*INDEX(Assumptions!$B$24:$G$24,MIN(6,AE$3-$I4+1))*IF(AE$3&gt;$J4,(1-Assumptions!$B$26)^(AE$3-$J4),1)*IF($H4&gt;=1,1,MIN(0.97,$H4*Assumptions!$E$12)))</f>
        <v>54.85</v>
      </c>
      <c r="AF4" s="23">
        <f>IF(AF$3&lt;$I4,0,$G4*Assumptions!$E$11*INDEX(Assumptions!$B$24:$G$24,MIN(6,AF$3-$I4+1))*IF(AF$3&gt;$J4,(1-Assumptions!$B$26)^(AF$3-$J4),1)*IF($H4&gt;=1,1,MIN(0.97,$H4*Assumptions!$E$12)))</f>
        <v>27.425</v>
      </c>
      <c r="AG4" s="35">
        <f>IF(F4="Owned",1-IF(H4&gt;=1,1,MIN(0.97,H4*Assumptions!$E$12)),1)</f>
        <v>0.5611999999999999</v>
      </c>
    </row>
    <row r="5">
      <c r="A5" s="39" t="n">
        <v>2</v>
      </c>
      <c r="B5" s="14" t="inlineStr">
        <is>
          <t>Lung cancer</t>
        </is>
      </c>
      <c r="C5" s="14" t="inlineStr"/>
      <c r="D5" s="14" t="inlineStr">
        <is>
          <t>Phase 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3000</v>
      </c>
      <c r="H5" s="27" t="n">
        <v>0.108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347.96259226707997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32.4</v>
      </c>
      <c r="S5" s="23">
        <f>IF(S$3&lt;$I5,0,$G5*Assumptions!$E$11*INDEX(Assumptions!$B$24:$G$24,MIN(6,S$3-$I5+1))*IF(S$3&gt;$J5,(1-Assumptions!$B$26)^(S$3-$J5),1)*IF($H5&gt;=1,1,MIN(0.97,$H5*Assumptions!$E$12)))</f>
        <v>81.0</v>
      </c>
      <c r="T5" s="23">
        <f>IF(T$3&lt;$I5,0,$G5*Assumptions!$E$11*INDEX(Assumptions!$B$24:$G$24,MIN(6,T$3-$I5+1))*IF(T$3&gt;$J5,(1-Assumptions!$B$26)^(T$3-$J5),1)*IF($H5&gt;=1,1,MIN(0.97,$H5*Assumptions!$E$12)))</f>
        <v>145.8</v>
      </c>
      <c r="U5" s="23">
        <f>IF(U$3&lt;$I5,0,$G5*Assumptions!$E$11*INDEX(Assumptions!$B$24:$G$24,MIN(6,U$3-$I5+1))*IF(U$3&gt;$J5,(1-Assumptions!$B$26)^(U$3-$J5),1)*IF($H5&gt;=1,1,MIN(0.97,$H5*Assumptions!$E$12)))</f>
        <v>210.6</v>
      </c>
      <c r="V5" s="23">
        <f>IF(V$3&lt;$I5,0,$G5*Assumptions!$E$11*INDEX(Assumptions!$B$24:$G$24,MIN(6,V$3-$I5+1))*IF(V$3&gt;$J5,(1-Assumptions!$B$26)^(V$3-$J5),1)*IF($H5&gt;=1,1,MIN(0.97,$H5*Assumptions!$E$12)))</f>
        <v>275.4</v>
      </c>
      <c r="W5" s="23">
        <f>IF(W$3&lt;$I5,0,$G5*Assumptions!$E$11*INDEX(Assumptions!$B$24:$G$24,MIN(6,W$3-$I5+1))*IF(W$3&gt;$J5,(1-Assumptions!$B$26)^(W$3-$J5),1)*IF($H5&gt;=1,1,MIN(0.97,$H5*Assumptions!$E$12)))</f>
        <v>324.0</v>
      </c>
      <c r="X5" s="23">
        <f>IF(X$3&lt;$I5,0,$G5*Assumptions!$E$11*INDEX(Assumptions!$B$24:$G$24,MIN(6,X$3-$I5+1))*IF(X$3&gt;$J5,(1-Assumptions!$B$26)^(X$3-$J5),1)*IF($H5&gt;=1,1,MIN(0.97,$H5*Assumptions!$E$12)))</f>
        <v>324.0</v>
      </c>
      <c r="Y5" s="23">
        <f>IF(Y$3&lt;$I5,0,$G5*Assumptions!$E$11*INDEX(Assumptions!$B$24:$G$24,MIN(6,Y$3-$I5+1))*IF(Y$3&gt;$J5,(1-Assumptions!$B$26)^(Y$3-$J5),1)*IF($H5&gt;=1,1,MIN(0.97,$H5*Assumptions!$E$12)))</f>
        <v>324.0</v>
      </c>
      <c r="Z5" s="23">
        <f>IF(Z$3&lt;$I5,0,$G5*Assumptions!$E$11*INDEX(Assumptions!$B$24:$G$24,MIN(6,Z$3-$I5+1))*IF(Z$3&gt;$J5,(1-Assumptions!$B$26)^(Z$3-$J5),1)*IF($H5&gt;=1,1,MIN(0.97,$H5*Assumptions!$E$12)))</f>
        <v>324.0</v>
      </c>
      <c r="AA5" s="23">
        <f>IF(AA$3&lt;$I5,0,$G5*Assumptions!$E$11*INDEX(Assumptions!$B$24:$G$24,MIN(6,AA$3-$I5+1))*IF(AA$3&gt;$J5,(1-Assumptions!$B$26)^(AA$3-$J5),1)*IF($H5&gt;=1,1,MIN(0.97,$H5*Assumptions!$E$12)))</f>
        <v>324.0</v>
      </c>
      <c r="AB5" s="23">
        <f>IF(AB$3&lt;$I5,0,$G5*Assumptions!$E$11*INDEX(Assumptions!$B$24:$G$24,MIN(6,AB$3-$I5+1))*IF(AB$3&gt;$J5,(1-Assumptions!$B$26)^(AB$3-$J5),1)*IF($H5&gt;=1,1,MIN(0.97,$H5*Assumptions!$E$12)))</f>
        <v>324.0</v>
      </c>
      <c r="AC5" s="23">
        <f>IF(AC$3&lt;$I5,0,$G5*Assumptions!$E$11*INDEX(Assumptions!$B$24:$G$24,MIN(6,AC$3-$I5+1))*IF(AC$3&gt;$J5,(1-Assumptions!$B$26)^(AC$3-$J5),1)*IF($H5&gt;=1,1,MIN(0.97,$H5*Assumptions!$E$12)))</f>
        <v>324.0</v>
      </c>
      <c r="AD5" s="23">
        <f>IF(AD$3&lt;$I5,0,$G5*Assumptions!$E$11*INDEX(Assumptions!$B$24:$G$24,MIN(6,AD$3-$I5+1))*IF(AD$3&gt;$J5,(1-Assumptions!$B$26)^(AD$3-$J5),1)*IF($H5&gt;=1,1,MIN(0.97,$H5*Assumptions!$E$12)))</f>
        <v>324.0</v>
      </c>
      <c r="AE5" s="23">
        <f>IF(AE$3&lt;$I5,0,$G5*Assumptions!$E$11*INDEX(Assumptions!$B$24:$G$24,MIN(6,AE$3-$I5+1))*IF(AE$3&gt;$J5,(1-Assumptions!$B$26)^(AE$3-$J5),1)*IF($H5&gt;=1,1,MIN(0.97,$H5*Assumptions!$E$12)))</f>
        <v>162.0</v>
      </c>
      <c r="AF5" s="23">
        <f>IF(AF$3&lt;$I5,0,$G5*Assumptions!$E$11*INDEX(Assumptions!$B$24:$G$24,MIN(6,AF$3-$I5+1))*IF(AF$3&gt;$J5,(1-Assumptions!$B$26)^(AF$3-$J5),1)*IF($H5&gt;=1,1,MIN(0.97,$H5*Assumptions!$E$12)))</f>
        <v>81.0</v>
      </c>
      <c r="AG5" s="35">
        <f>IF(F5="Owned",1-IF(H5&gt;=1,1,MIN(0.97,H5*Assumptions!$E$12)),1)</f>
        <v>0.892</v>
      </c>
    </row>
    <row r="6">
      <c r="A6" s="39" t="n">
        <v>3</v>
      </c>
      <c r="B6" s="14" t="inlineStr">
        <is>
          <t>Lymphoma</t>
        </is>
      </c>
      <c r="C6" s="14" t="inlineStr">
        <is>
          <t>lacutamab, IPH4102</t>
        </is>
      </c>
      <c r="D6" s="14" t="inlineStr">
        <is>
          <t>Phase 2</t>
        </is>
      </c>
      <c r="E6" s="14" t="inlineStr">
        <is>
          <t>Oncology / area</t>
        </is>
      </c>
      <c r="F6" s="14" t="inlineStr">
        <is>
          <t>Owned</t>
        </is>
      </c>
      <c r="G6" s="40" t="n">
        <v>1500</v>
      </c>
      <c r="H6" s="27" t="n">
        <v>0.108</v>
      </c>
      <c r="I6" s="26" t="n">
        <v>2031</v>
      </c>
      <c r="J6" s="39">
        <f>I6+Assumptions!$B$25</f>
        <v>2043.0</v>
      </c>
      <c r="K6" s="53">
        <f>Assumptions!$E$13</f>
        <v>0.4</v>
      </c>
      <c r="L6" s="23">
        <f>K6*SUMPRODUCT(M6:AF6,NPV!$C$15:$V$15)</f>
        <v>173.98129613353998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16.2</v>
      </c>
      <c r="S6" s="23">
        <f>IF(S$3&lt;$I6,0,$G6*Assumptions!$E$11*INDEX(Assumptions!$B$24:$G$24,MIN(6,S$3-$I6+1))*IF(S$3&gt;$J6,(1-Assumptions!$B$26)^(S$3-$J6),1)*IF($H6&gt;=1,1,MIN(0.97,$H6*Assumptions!$E$12)))</f>
        <v>40.5</v>
      </c>
      <c r="T6" s="23">
        <f>IF(T$3&lt;$I6,0,$G6*Assumptions!$E$11*INDEX(Assumptions!$B$24:$G$24,MIN(6,T$3-$I6+1))*IF(T$3&gt;$J6,(1-Assumptions!$B$26)^(T$3-$J6),1)*IF($H6&gt;=1,1,MIN(0.97,$H6*Assumptions!$E$12)))</f>
        <v>72.9</v>
      </c>
      <c r="U6" s="23">
        <f>IF(U$3&lt;$I6,0,$G6*Assumptions!$E$11*INDEX(Assumptions!$B$24:$G$24,MIN(6,U$3-$I6+1))*IF(U$3&gt;$J6,(1-Assumptions!$B$26)^(U$3-$J6),1)*IF($H6&gt;=1,1,MIN(0.97,$H6*Assumptions!$E$12)))</f>
        <v>105.3</v>
      </c>
      <c r="V6" s="23">
        <f>IF(V$3&lt;$I6,0,$G6*Assumptions!$E$11*INDEX(Assumptions!$B$24:$G$24,MIN(6,V$3-$I6+1))*IF(V$3&gt;$J6,(1-Assumptions!$B$26)^(V$3-$J6),1)*IF($H6&gt;=1,1,MIN(0.97,$H6*Assumptions!$E$12)))</f>
        <v>137.7</v>
      </c>
      <c r="W6" s="23">
        <f>IF(W$3&lt;$I6,0,$G6*Assumptions!$E$11*INDEX(Assumptions!$B$24:$G$24,MIN(6,W$3-$I6+1))*IF(W$3&gt;$J6,(1-Assumptions!$B$26)^(W$3-$J6),1)*IF($H6&gt;=1,1,MIN(0.97,$H6*Assumptions!$E$12)))</f>
        <v>162.0</v>
      </c>
      <c r="X6" s="23">
        <f>IF(X$3&lt;$I6,0,$G6*Assumptions!$E$11*INDEX(Assumptions!$B$24:$G$24,MIN(6,X$3-$I6+1))*IF(X$3&gt;$J6,(1-Assumptions!$B$26)^(X$3-$J6),1)*IF($H6&gt;=1,1,MIN(0.97,$H6*Assumptions!$E$12)))</f>
        <v>162.0</v>
      </c>
      <c r="Y6" s="23">
        <f>IF(Y$3&lt;$I6,0,$G6*Assumptions!$E$11*INDEX(Assumptions!$B$24:$G$24,MIN(6,Y$3-$I6+1))*IF(Y$3&gt;$J6,(1-Assumptions!$B$26)^(Y$3-$J6),1)*IF($H6&gt;=1,1,MIN(0.97,$H6*Assumptions!$E$12)))</f>
        <v>162.0</v>
      </c>
      <c r="Z6" s="23">
        <f>IF(Z$3&lt;$I6,0,$G6*Assumptions!$E$11*INDEX(Assumptions!$B$24:$G$24,MIN(6,Z$3-$I6+1))*IF(Z$3&gt;$J6,(1-Assumptions!$B$26)^(Z$3-$J6),1)*IF($H6&gt;=1,1,MIN(0.97,$H6*Assumptions!$E$12)))</f>
        <v>162.0</v>
      </c>
      <c r="AA6" s="23">
        <f>IF(AA$3&lt;$I6,0,$G6*Assumptions!$E$11*INDEX(Assumptions!$B$24:$G$24,MIN(6,AA$3-$I6+1))*IF(AA$3&gt;$J6,(1-Assumptions!$B$26)^(AA$3-$J6),1)*IF($H6&gt;=1,1,MIN(0.97,$H6*Assumptions!$E$12)))</f>
        <v>162.0</v>
      </c>
      <c r="AB6" s="23">
        <f>IF(AB$3&lt;$I6,0,$G6*Assumptions!$E$11*INDEX(Assumptions!$B$24:$G$24,MIN(6,AB$3-$I6+1))*IF(AB$3&gt;$J6,(1-Assumptions!$B$26)^(AB$3-$J6),1)*IF($H6&gt;=1,1,MIN(0.97,$H6*Assumptions!$E$12)))</f>
        <v>162.0</v>
      </c>
      <c r="AC6" s="23">
        <f>IF(AC$3&lt;$I6,0,$G6*Assumptions!$E$11*INDEX(Assumptions!$B$24:$G$24,MIN(6,AC$3-$I6+1))*IF(AC$3&gt;$J6,(1-Assumptions!$B$26)^(AC$3-$J6),1)*IF($H6&gt;=1,1,MIN(0.97,$H6*Assumptions!$E$12)))</f>
        <v>162.0</v>
      </c>
      <c r="AD6" s="23">
        <f>IF(AD$3&lt;$I6,0,$G6*Assumptions!$E$11*INDEX(Assumptions!$B$24:$G$24,MIN(6,AD$3-$I6+1))*IF(AD$3&gt;$J6,(1-Assumptions!$B$26)^(AD$3-$J6),1)*IF($H6&gt;=1,1,MIN(0.97,$H6*Assumptions!$E$12)))</f>
        <v>162.0</v>
      </c>
      <c r="AE6" s="23">
        <f>IF(AE$3&lt;$I6,0,$G6*Assumptions!$E$11*INDEX(Assumptions!$B$24:$G$24,MIN(6,AE$3-$I6+1))*IF(AE$3&gt;$J6,(1-Assumptions!$B$26)^(AE$3-$J6),1)*IF($H6&gt;=1,1,MIN(0.97,$H6*Assumptions!$E$12)))</f>
        <v>81.0</v>
      </c>
      <c r="AF6" s="23">
        <f>IF(AF$3&lt;$I6,0,$G6*Assumptions!$E$11*INDEX(Assumptions!$B$24:$G$24,MIN(6,AF$3-$I6+1))*IF(AF$3&gt;$J6,(1-Assumptions!$B$26)^(AF$3-$J6),1)*IF($H6&gt;=1,1,MIN(0.97,$H6*Assumptions!$E$12)))</f>
        <v>40.5</v>
      </c>
      <c r="AG6" s="35">
        <f>IF(F6="Owned",1-IF(H6&gt;=1,1,MIN(0.97,H6*Assumptions!$E$12)),1)</f>
        <v>0.892</v>
      </c>
    </row>
    <row r="7">
      <c r="A7" s="39" t="n">
        <v>4</v>
      </c>
      <c r="B7" s="14" t="inlineStr">
        <is>
          <t>Solid tumors (basket)</t>
        </is>
      </c>
      <c r="C7" s="14" t="inlineStr">
        <is>
          <t>IPH4502</t>
        </is>
      </c>
      <c r="D7" s="14" t="inlineStr">
        <is>
          <t>Phase 1</t>
        </is>
      </c>
      <c r="E7" s="14" t="inlineStr">
        <is>
          <t>Oncology / area</t>
        </is>
      </c>
      <c r="F7" s="14" t="inlineStr">
        <is>
          <t>Owned</t>
        </is>
      </c>
      <c r="G7" s="40" t="n">
        <v>1500</v>
      </c>
      <c r="H7" s="27" t="n">
        <v>0.0527</v>
      </c>
      <c r="I7" s="26" t="n">
        <v>2033</v>
      </c>
      <c r="J7" s="39">
        <f>I7+Assumptions!$B$25</f>
        <v>2045.0</v>
      </c>
      <c r="K7" s="53">
        <f>Assumptions!$E$13</f>
        <v>0.4</v>
      </c>
      <c r="L7" s="23">
        <f>K7*SUMPRODUCT(M7:AF7,NPV!$C$15:$V$15)</f>
        <v>65.43885454469662</v>
      </c>
      <c r="M7" s="23">
        <f>IF(M$3&lt;$I7,0,$G7*Assumptions!$E$11*INDEX(Assumptions!$B$24:$G$24,MIN(6,M$3-$I7+1))*IF(M$3&gt;$J7,(1-Assumptions!$B$26)^(M$3-$J7),1)*IF($H7&gt;=1,1,MIN(0.97,$H7*Assumptions!$E$12)))</f>
        <v>0</v>
      </c>
      <c r="N7" s="23">
        <f>IF(N$3&lt;$I7,0,$G7*Assumptions!$E$11*INDEX(Assumptions!$B$24:$G$24,MIN(6,N$3-$I7+1))*IF(N$3&gt;$J7,(1-Assumptions!$B$26)^(N$3-$J7),1)*IF($H7&gt;=1,1,MIN(0.97,$H7*Assumptions!$E$12)))</f>
        <v>0</v>
      </c>
      <c r="O7" s="23">
        <f>IF(O$3&lt;$I7,0,$G7*Assumptions!$E$11*INDEX(Assumptions!$B$24:$G$24,MIN(6,O$3-$I7+1))*IF(O$3&gt;$J7,(1-Assumptions!$B$26)^(O$3-$J7),1)*IF($H7&gt;=1,1,MIN(0.97,$H7*Assumptions!$E$12)))</f>
        <v>0</v>
      </c>
      <c r="P7" s="23">
        <f>IF(P$3&lt;$I7,0,$G7*Assumptions!$E$11*INDEX(Assumptions!$B$24:$G$24,MIN(6,P$3-$I7+1))*IF(P$3&gt;$J7,(1-Assumptions!$B$26)^(P$3-$J7),1)*IF($H7&gt;=1,1,MIN(0.97,$H7*Assumptions!$E$12)))</f>
        <v>0</v>
      </c>
      <c r="Q7" s="23">
        <f>IF(Q$3&lt;$I7,0,$G7*Assumptions!$E$11*INDEX(Assumptions!$B$24:$G$24,MIN(6,Q$3-$I7+1))*IF(Q$3&gt;$J7,(1-Assumptions!$B$26)^(Q$3-$J7),1)*IF($H7&gt;=1,1,MIN(0.97,$H7*Assumptions!$E$12)))</f>
        <v>0</v>
      </c>
      <c r="R7" s="23">
        <f>IF(R$3&lt;$I7,0,$G7*Assumptions!$E$11*INDEX(Assumptions!$B$24:$G$24,MIN(6,R$3-$I7+1))*IF(R$3&gt;$J7,(1-Assumptions!$B$26)^(R$3-$J7),1)*IF($H7&gt;=1,1,MIN(0.97,$H7*Assumptions!$E$12)))</f>
        <v>0</v>
      </c>
      <c r="S7" s="23">
        <f>IF(S$3&lt;$I7,0,$G7*Assumptions!$E$11*INDEX(Assumptions!$B$24:$G$24,MIN(6,S$3-$I7+1))*IF(S$3&gt;$J7,(1-Assumptions!$B$26)^(S$3-$J7),1)*IF($H7&gt;=1,1,MIN(0.97,$H7*Assumptions!$E$12)))</f>
        <v>0</v>
      </c>
      <c r="T7" s="23">
        <f>IF(T$3&lt;$I7,0,$G7*Assumptions!$E$11*INDEX(Assumptions!$B$24:$G$24,MIN(6,T$3-$I7+1))*IF(T$3&gt;$J7,(1-Assumptions!$B$26)^(T$3-$J7),1)*IF($H7&gt;=1,1,MIN(0.97,$H7*Assumptions!$E$12)))</f>
        <v>7.904999999999999</v>
      </c>
      <c r="U7" s="23">
        <f>IF(U$3&lt;$I7,0,$G7*Assumptions!$E$11*INDEX(Assumptions!$B$24:$G$24,MIN(6,U$3-$I7+1))*IF(U$3&gt;$J7,(1-Assumptions!$B$26)^(U$3-$J7),1)*IF($H7&gt;=1,1,MIN(0.97,$H7*Assumptions!$E$12)))</f>
        <v>19.7625</v>
      </c>
      <c r="V7" s="23">
        <f>IF(V$3&lt;$I7,0,$G7*Assumptions!$E$11*INDEX(Assumptions!$B$24:$G$24,MIN(6,V$3-$I7+1))*IF(V$3&gt;$J7,(1-Assumptions!$B$26)^(V$3-$J7),1)*IF($H7&gt;=1,1,MIN(0.97,$H7*Assumptions!$E$12)))</f>
        <v>35.5725</v>
      </c>
      <c r="W7" s="23">
        <f>IF(W$3&lt;$I7,0,$G7*Assumptions!$E$11*INDEX(Assumptions!$B$24:$G$24,MIN(6,W$3-$I7+1))*IF(W$3&gt;$J7,(1-Assumptions!$B$26)^(W$3-$J7),1)*IF($H7&gt;=1,1,MIN(0.97,$H7*Assumptions!$E$12)))</f>
        <v>51.3825</v>
      </c>
      <c r="X7" s="23">
        <f>IF(X$3&lt;$I7,0,$G7*Assumptions!$E$11*INDEX(Assumptions!$B$24:$G$24,MIN(6,X$3-$I7+1))*IF(X$3&gt;$J7,(1-Assumptions!$B$26)^(X$3-$J7),1)*IF($H7&gt;=1,1,MIN(0.97,$H7*Assumptions!$E$12)))</f>
        <v>67.1925</v>
      </c>
      <c r="Y7" s="23">
        <f>IF(Y$3&lt;$I7,0,$G7*Assumptions!$E$11*INDEX(Assumptions!$B$24:$G$24,MIN(6,Y$3-$I7+1))*IF(Y$3&gt;$J7,(1-Assumptions!$B$26)^(Y$3-$J7),1)*IF($H7&gt;=1,1,MIN(0.97,$H7*Assumptions!$E$12)))</f>
        <v>79.05</v>
      </c>
      <c r="Z7" s="23">
        <f>IF(Z$3&lt;$I7,0,$G7*Assumptions!$E$11*INDEX(Assumptions!$B$24:$G$24,MIN(6,Z$3-$I7+1))*IF(Z$3&gt;$J7,(1-Assumptions!$B$26)^(Z$3-$J7),1)*IF($H7&gt;=1,1,MIN(0.97,$H7*Assumptions!$E$12)))</f>
        <v>79.05</v>
      </c>
      <c r="AA7" s="23">
        <f>IF(AA$3&lt;$I7,0,$G7*Assumptions!$E$11*INDEX(Assumptions!$B$24:$G$24,MIN(6,AA$3-$I7+1))*IF(AA$3&gt;$J7,(1-Assumptions!$B$26)^(AA$3-$J7),1)*IF($H7&gt;=1,1,MIN(0.97,$H7*Assumptions!$E$12)))</f>
        <v>79.05</v>
      </c>
      <c r="AB7" s="23">
        <f>IF(AB$3&lt;$I7,0,$G7*Assumptions!$E$11*INDEX(Assumptions!$B$24:$G$24,MIN(6,AB$3-$I7+1))*IF(AB$3&gt;$J7,(1-Assumptions!$B$26)^(AB$3-$J7),1)*IF($H7&gt;=1,1,MIN(0.97,$H7*Assumptions!$E$12)))</f>
        <v>79.05</v>
      </c>
      <c r="AC7" s="23">
        <f>IF(AC$3&lt;$I7,0,$G7*Assumptions!$E$11*INDEX(Assumptions!$B$24:$G$24,MIN(6,AC$3-$I7+1))*IF(AC$3&gt;$J7,(1-Assumptions!$B$26)^(AC$3-$J7),1)*IF($H7&gt;=1,1,MIN(0.97,$H7*Assumptions!$E$12)))</f>
        <v>79.05</v>
      </c>
      <c r="AD7" s="23">
        <f>IF(AD$3&lt;$I7,0,$G7*Assumptions!$E$11*INDEX(Assumptions!$B$24:$G$24,MIN(6,AD$3-$I7+1))*IF(AD$3&gt;$J7,(1-Assumptions!$B$26)^(AD$3-$J7),1)*IF($H7&gt;=1,1,MIN(0.97,$H7*Assumptions!$E$12)))</f>
        <v>79.05</v>
      </c>
      <c r="AE7" s="23">
        <f>IF(AE$3&lt;$I7,0,$G7*Assumptions!$E$11*INDEX(Assumptions!$B$24:$G$24,MIN(6,AE$3-$I7+1))*IF(AE$3&gt;$J7,(1-Assumptions!$B$26)^(AE$3-$J7),1)*IF($H7&gt;=1,1,MIN(0.97,$H7*Assumptions!$E$12)))</f>
        <v>79.05</v>
      </c>
      <c r="AF7" s="23">
        <f>IF(AF$3&lt;$I7,0,$G7*Assumptions!$E$11*INDEX(Assumptions!$B$24:$G$24,MIN(6,AF$3-$I7+1))*IF(AF$3&gt;$J7,(1-Assumptions!$B$26)^(AF$3-$J7),1)*IF($H7&gt;=1,1,MIN(0.97,$H7*Assumptions!$E$12)))</f>
        <v>79.05</v>
      </c>
      <c r="AG7" s="35">
        <f>IF(F7="Owned",1-IF(H7&gt;=1,1,MIN(0.97,H7*Assumptions!$E$12)),1)</f>
        <v>0.9473</v>
      </c>
    </row>
    <row r="8">
      <c r="B8" s="24" t="inlineStr">
        <is>
          <t>Risked revenue</t>
        </is>
      </c>
      <c r="L8" s="54">
        <f>SUM(L4:L7)</f>
        <v>1182.4219799848788</v>
      </c>
      <c r="M8" s="54">
        <f>SUM(M4:M7)</f>
        <v>0.0</v>
      </c>
      <c r="N8" s="54">
        <f>SUM(N4:N7)</f>
        <v>0.0</v>
      </c>
      <c r="O8" s="54">
        <f>SUM(O4:O7)</f>
        <v>0.0</v>
      </c>
      <c r="P8" s="54">
        <f>SUM(P4:P7)</f>
        <v>43.88</v>
      </c>
      <c r="Q8" s="54">
        <f>SUM(Q4:Q7)</f>
        <v>109.7</v>
      </c>
      <c r="R8" s="54">
        <f>SUM(R4:R7)</f>
        <v>246.06</v>
      </c>
      <c r="S8" s="54">
        <f>SUM(S4:S7)</f>
        <v>406.72</v>
      </c>
      <c r="T8" s="54">
        <f>SUM(T4:T7)</f>
        <v>599.5849999999999</v>
      </c>
      <c r="U8" s="54">
        <f>SUM(U4:U7)</f>
        <v>774.4625</v>
      </c>
      <c r="V8" s="54">
        <f>SUM(V4:V7)</f>
        <v>887.4725000000001</v>
      </c>
      <c r="W8" s="54">
        <f>SUM(W4:W7)</f>
        <v>976.1825</v>
      </c>
      <c r="X8" s="54">
        <f>SUM(X4:X7)</f>
        <v>991.9925</v>
      </c>
      <c r="Y8" s="54">
        <f>SUM(Y4:Y7)</f>
        <v>1003.8499999999999</v>
      </c>
      <c r="Z8" s="54">
        <f>SUM(Z4:Z7)</f>
        <v>1003.8499999999999</v>
      </c>
      <c r="AA8" s="54">
        <f>SUM(AA4:AA7)</f>
        <v>1003.8499999999999</v>
      </c>
      <c r="AB8" s="54">
        <f>SUM(AB4:AB7)</f>
        <v>1003.8499999999999</v>
      </c>
      <c r="AC8" s="54">
        <f>SUM(AC4:AC7)</f>
        <v>784.4499999999999</v>
      </c>
      <c r="AD8" s="54">
        <f>SUM(AD4:AD7)</f>
        <v>674.75</v>
      </c>
      <c r="AE8" s="54">
        <f>SUM(AE4:AE7)</f>
        <v>376.90000000000003</v>
      </c>
      <c r="AF8" s="54">
        <f>SUM(AF4:AF7)</f>
        <v>227.97500000000002</v>
      </c>
    </row>
    <row r="9">
      <c r="B9" s="24" t="inlineStr">
        <is>
          <t>Risked contribution (revenue x share)</t>
        </is>
      </c>
      <c r="M9" s="55">
        <f>SUMPRODUCT(M4:M7,$K$4:$K$7)</f>
        <v>0.0</v>
      </c>
      <c r="N9" s="55">
        <f>SUMPRODUCT(N4:N7,$K$4:$K$7)</f>
        <v>0.0</v>
      </c>
      <c r="O9" s="55">
        <f>SUMPRODUCT(O4:O7,$K$4:$K$7)</f>
        <v>0.0</v>
      </c>
      <c r="P9" s="55">
        <f>SUMPRODUCT(P4:P7,$K$4:$K$7)</f>
        <v>17.552000000000003</v>
      </c>
      <c r="Q9" s="55">
        <f>SUMPRODUCT(Q4:Q7,$K$4:$K$7)</f>
        <v>43.88</v>
      </c>
      <c r="R9" s="55">
        <f>SUMPRODUCT(R4:R7,$K$4:$K$7)</f>
        <v>98.42400000000002</v>
      </c>
      <c r="S9" s="55">
        <f>SUMPRODUCT(S4:S7,$K$4:$K$7)</f>
        <v>162.68800000000002</v>
      </c>
      <c r="T9" s="55">
        <f>SUMPRODUCT(T4:T7,$K$4:$K$7)</f>
        <v>239.834</v>
      </c>
      <c r="U9" s="55">
        <f>SUMPRODUCT(U4:U7,$K$4:$K$7)</f>
        <v>309.78499999999997</v>
      </c>
      <c r="V9" s="55">
        <f>SUMPRODUCT(V4:V7,$K$4:$K$7)</f>
        <v>354.989</v>
      </c>
      <c r="W9" s="55">
        <f>SUMPRODUCT(W4:W7,$K$4:$K$7)</f>
        <v>390.473</v>
      </c>
      <c r="X9" s="55">
        <f>SUMPRODUCT(X4:X7,$K$4:$K$7)</f>
        <v>396.797</v>
      </c>
      <c r="Y9" s="55">
        <f>SUMPRODUCT(Y4:Y7,$K$4:$K$7)</f>
        <v>401.54</v>
      </c>
      <c r="Z9" s="55">
        <f>SUMPRODUCT(Z4:Z7,$K$4:$K$7)</f>
        <v>401.54</v>
      </c>
      <c r="AA9" s="55">
        <f>SUMPRODUCT(AA4:AA7,$K$4:$K$7)</f>
        <v>401.54</v>
      </c>
      <c r="AB9" s="55">
        <f>SUMPRODUCT(AB4:AB7,$K$4:$K$7)</f>
        <v>401.54</v>
      </c>
      <c r="AC9" s="55">
        <f>SUMPRODUCT(AC4:AC7,$K$4:$K$7)</f>
        <v>313.78000000000003</v>
      </c>
      <c r="AD9" s="55">
        <f>SUMPRODUCT(AD4:AD7,$K$4:$K$7)</f>
        <v>269.9</v>
      </c>
      <c r="AE9" s="55">
        <f>SUMPRODUCT(AE4:AE7,$K$4:$K$7)</f>
        <v>150.76</v>
      </c>
      <c r="AF9" s="55">
        <f>SUMPRODUCT(AF4:AF7,$K$4:$K$7)</f>
        <v>91.19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Innate Pharma SA: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Pipeline!M8</f>
        <v>0.0</v>
      </c>
      <c r="D4" s="57">
        <f>Pipeline!N8</f>
        <v>0.0</v>
      </c>
      <c r="E4" s="57">
        <f>Pipeline!O8</f>
        <v>0.0</v>
      </c>
      <c r="F4" s="57">
        <f>Pipeline!P8</f>
        <v>43.88</v>
      </c>
      <c r="G4" s="57">
        <f>Pipeline!Q8</f>
        <v>109.7</v>
      </c>
      <c r="H4" s="57">
        <f>Pipeline!R8</f>
        <v>246.06</v>
      </c>
      <c r="I4" s="57">
        <f>Pipeline!S8</f>
        <v>406.72</v>
      </c>
      <c r="J4" s="57">
        <f>Pipeline!T8</f>
        <v>599.5849999999999</v>
      </c>
      <c r="K4" s="57">
        <f>Pipeline!U8</f>
        <v>774.4625</v>
      </c>
      <c r="L4" s="57">
        <f>Pipeline!V8</f>
        <v>887.4725000000001</v>
      </c>
      <c r="M4" s="57">
        <f>Pipeline!W8</f>
        <v>976.1825</v>
      </c>
      <c r="N4" s="57">
        <f>Pipeline!X8</f>
        <v>991.9925</v>
      </c>
      <c r="O4" s="57">
        <f>Pipeline!Y8</f>
        <v>1003.8499999999999</v>
      </c>
      <c r="P4" s="57">
        <f>Pipeline!Z8</f>
        <v>1003.8499999999999</v>
      </c>
      <c r="Q4" s="57">
        <f>Pipeline!AA8</f>
        <v>1003.8499999999999</v>
      </c>
      <c r="R4" s="57">
        <f>Pipeline!AB8</f>
        <v>1003.8499999999999</v>
      </c>
      <c r="S4" s="57">
        <f>Pipeline!AC8</f>
        <v>784.4499999999999</v>
      </c>
      <c r="T4" s="57">
        <f>Pipeline!AD8</f>
        <v>674.75</v>
      </c>
      <c r="U4" s="57">
        <f>Pipeline!AE8</f>
        <v>376.90000000000003</v>
      </c>
      <c r="V4" s="57">
        <f>Pipeline!AF8</f>
        <v>227.97500000000002</v>
      </c>
    </row>
    <row r="5">
      <c r="A5" s="14" t="inlineStr">
        <is>
          <t>Risked contribution</t>
        </is>
      </c>
      <c r="C5" s="57">
        <f>Pipeline!M9</f>
        <v>0.0</v>
      </c>
      <c r="D5" s="57">
        <f>Pipeline!N9</f>
        <v>0.0</v>
      </c>
      <c r="E5" s="57">
        <f>Pipeline!O9</f>
        <v>0.0</v>
      </c>
      <c r="F5" s="57">
        <f>Pipeline!P9</f>
        <v>17.552000000000003</v>
      </c>
      <c r="G5" s="57">
        <f>Pipeline!Q9</f>
        <v>43.88</v>
      </c>
      <c r="H5" s="57">
        <f>Pipeline!R9</f>
        <v>98.42400000000002</v>
      </c>
      <c r="I5" s="57">
        <f>Pipeline!S9</f>
        <v>162.68800000000002</v>
      </c>
      <c r="J5" s="57">
        <f>Pipeline!T9</f>
        <v>239.834</v>
      </c>
      <c r="K5" s="57">
        <f>Pipeline!U9</f>
        <v>309.78499999999997</v>
      </c>
      <c r="L5" s="57">
        <f>Pipeline!V9</f>
        <v>354.989</v>
      </c>
      <c r="M5" s="57">
        <f>Pipeline!W9</f>
        <v>390.473</v>
      </c>
      <c r="N5" s="57">
        <f>Pipeline!X9</f>
        <v>396.797</v>
      </c>
      <c r="O5" s="57">
        <f>Pipeline!Y9</f>
        <v>401.54</v>
      </c>
      <c r="P5" s="57">
        <f>Pipeline!Z9</f>
        <v>401.54</v>
      </c>
      <c r="Q5" s="57">
        <f>Pipeline!AA9</f>
        <v>401.54</v>
      </c>
      <c r="R5" s="57">
        <f>Pipeline!AB9</f>
        <v>401.54</v>
      </c>
      <c r="S5" s="57">
        <f>Pipeline!AC9</f>
        <v>313.78000000000003</v>
      </c>
      <c r="T5" s="57">
        <f>Pipeline!AD9</f>
        <v>269.9</v>
      </c>
      <c r="U5" s="57">
        <f>Pipeline!AE9</f>
        <v>150.76</v>
      </c>
      <c r="V5" s="57">
        <f>Pipeline!AF9</f>
        <v>91.19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-60.775</v>
      </c>
      <c r="D6" s="23">
        <f>-IF(D3-2026&lt;Assumptions!$B$19,Assumptions!$B$18,Assumptions!$B$18*Assumptions!$B$20*Assumptions!$B$16)</f>
        <v>-60.775</v>
      </c>
      <c r="E6" s="23">
        <f>-IF(E3-2026&lt;Assumptions!$B$19,Assumptions!$B$18,Assumptions!$B$18*Assumptions!$B$20*Assumptions!$B$16)</f>
        <v>-60.775</v>
      </c>
      <c r="F6" s="23">
        <f>-IF(F3-2026&lt;Assumptions!$B$19,Assumptions!$B$18,Assumptions!$B$18*Assumptions!$B$20*Assumptions!$B$16)</f>
        <v>-10.52024944146153</v>
      </c>
      <c r="G6" s="23">
        <f>-IF(G3-2026&lt;Assumptions!$B$19,Assumptions!$B$18,Assumptions!$B$18*Assumptions!$B$20*Assumptions!$B$16)</f>
        <v>-10.52024944146153</v>
      </c>
      <c r="H6" s="23">
        <f>-IF(H3-2026&lt;Assumptions!$B$19,Assumptions!$B$18,Assumptions!$B$18*Assumptions!$B$20*Assumptions!$B$16)</f>
        <v>-10.52024944146153</v>
      </c>
      <c r="I6" s="23">
        <f>-IF(I3-2026&lt;Assumptions!$B$19,Assumptions!$B$18,Assumptions!$B$18*Assumptions!$B$20*Assumptions!$B$16)</f>
        <v>-10.52024944146153</v>
      </c>
      <c r="J6" s="23">
        <f>-IF(J3-2026&lt;Assumptions!$B$19,Assumptions!$B$18,Assumptions!$B$18*Assumptions!$B$20*Assumptions!$B$16)</f>
        <v>-10.52024944146153</v>
      </c>
      <c r="K6" s="23">
        <f>-IF(K3-2026&lt;Assumptions!$B$19,Assumptions!$B$18,Assumptions!$B$18*Assumptions!$B$20*Assumptions!$B$16)</f>
        <v>-10.52024944146153</v>
      </c>
      <c r="L6" s="23">
        <f>-IF(L3-2026&lt;Assumptions!$B$19,Assumptions!$B$18,Assumptions!$B$18*Assumptions!$B$20*Assumptions!$B$16)</f>
        <v>-10.52024944146153</v>
      </c>
      <c r="M6" s="23">
        <f>-IF(M3-2026&lt;Assumptions!$B$19,Assumptions!$B$18,Assumptions!$B$18*Assumptions!$B$20*Assumptions!$B$16)</f>
        <v>-10.52024944146153</v>
      </c>
      <c r="N6" s="23">
        <f>-IF(N3-2026&lt;Assumptions!$B$19,Assumptions!$B$18,Assumptions!$B$18*Assumptions!$B$20*Assumptions!$B$16)</f>
        <v>-10.52024944146153</v>
      </c>
      <c r="O6" s="23">
        <f>-IF(O3-2026&lt;Assumptions!$B$19,Assumptions!$B$18,Assumptions!$B$18*Assumptions!$B$20*Assumptions!$B$16)</f>
        <v>-10.52024944146153</v>
      </c>
      <c r="P6" s="23">
        <f>-IF(P3-2026&lt;Assumptions!$B$19,Assumptions!$B$18,Assumptions!$B$18*Assumptions!$B$20*Assumptions!$B$16)</f>
        <v>-10.52024944146153</v>
      </c>
      <c r="Q6" s="23">
        <f>-IF(Q3-2026&lt;Assumptions!$B$19,Assumptions!$B$18,Assumptions!$B$18*Assumptions!$B$20*Assumptions!$B$16)</f>
        <v>-10.52024944146153</v>
      </c>
      <c r="R6" s="23">
        <f>-IF(R3-2026&lt;Assumptions!$B$19,Assumptions!$B$18,Assumptions!$B$18*Assumptions!$B$20*Assumptions!$B$16)</f>
        <v>-10.52024944146153</v>
      </c>
      <c r="S6" s="23">
        <f>-IF(S3-2026&lt;Assumptions!$B$19,Assumptions!$B$18,Assumptions!$B$18*Assumptions!$B$20*Assumptions!$B$16)</f>
        <v>-10.52024944146153</v>
      </c>
      <c r="T6" s="23">
        <f>-IF(T3-2026&lt;Assumptions!$B$19,Assumptions!$B$18,Assumptions!$B$18*Assumptions!$B$20*Assumptions!$B$16)</f>
        <v>-10.52024944146153</v>
      </c>
      <c r="U6" s="23">
        <f>-IF(U3-2026&lt;Assumptions!$B$19,Assumptions!$B$18,Assumptions!$B$18*Assumptions!$B$20*Assumptions!$B$16)</f>
        <v>-10.52024944146153</v>
      </c>
      <c r="V6" s="23">
        <f>-IF(V3-2026&lt;Assumptions!$B$19,Assumptions!$B$18,Assumptions!$B$18*Assumptions!$B$20*Assumptions!$B$16)</f>
        <v>-10.52024944146153</v>
      </c>
    </row>
    <row r="7">
      <c r="A7" s="14" t="inlineStr">
        <is>
          <t>Pre-tax cash flow</t>
        </is>
      </c>
      <c r="C7" s="23">
        <f>C5+C6</f>
        <v>-60.775</v>
      </c>
      <c r="D7" s="23">
        <f>D5+D6</f>
        <v>-60.775</v>
      </c>
      <c r="E7" s="23">
        <f>E5+E6</f>
        <v>-60.775</v>
      </c>
      <c r="F7" s="23">
        <f>F5+F6</f>
        <v>7.031750558538473</v>
      </c>
      <c r="G7" s="23">
        <f>G5+G6</f>
        <v>33.35975055853847</v>
      </c>
      <c r="H7" s="23">
        <f>H5+H6</f>
        <v>87.90375055853849</v>
      </c>
      <c r="I7" s="23">
        <f>I5+I6</f>
        <v>152.1677505585385</v>
      </c>
      <c r="J7" s="23">
        <f>J5+J6</f>
        <v>229.31375055853846</v>
      </c>
      <c r="K7" s="23">
        <f>K5+K6</f>
        <v>299.2647505585384</v>
      </c>
      <c r="L7" s="23">
        <f>L5+L6</f>
        <v>344.46875055853843</v>
      </c>
      <c r="M7" s="23">
        <f>M5+M6</f>
        <v>379.95275055853847</v>
      </c>
      <c r="N7" s="23">
        <f>N5+N6</f>
        <v>386.2767505585385</v>
      </c>
      <c r="O7" s="23">
        <f>O5+O6</f>
        <v>391.0197505585385</v>
      </c>
      <c r="P7" s="23">
        <f>P5+P6</f>
        <v>391.0197505585385</v>
      </c>
      <c r="Q7" s="23">
        <f>Q5+Q6</f>
        <v>391.0197505585385</v>
      </c>
      <c r="R7" s="23">
        <f>R5+R6</f>
        <v>391.0197505585385</v>
      </c>
      <c r="S7" s="23">
        <f>S5+S6</f>
        <v>303.2597505585385</v>
      </c>
      <c r="T7" s="23">
        <f>T5+T6</f>
        <v>259.37975055853843</v>
      </c>
      <c r="U7" s="23">
        <f>U5+U6</f>
        <v>140.23975055853845</v>
      </c>
      <c r="V7" s="23">
        <f>V5+V6</f>
        <v>80.66975055853847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7.031750558538473</v>
      </c>
      <c r="G8" s="23">
        <f>MIN(F17,MAX(0,G7))</f>
        <v>33.35975055853847</v>
      </c>
      <c r="H8" s="23">
        <f>MIN(G17,MAX(0,H7))</f>
        <v>87.90375055853849</v>
      </c>
      <c r="I8" s="23">
        <f>MIN(H17,MAX(0,I7))</f>
        <v>152.1677505585385</v>
      </c>
      <c r="J8" s="23">
        <f>MIN(I17,MAX(0,J7))</f>
        <v>229.31375055853846</v>
      </c>
      <c r="K8" s="23">
        <f>MIN(J17,MAX(0,K7))</f>
        <v>66.64824720730758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232.61650335123085</v>
      </c>
      <c r="L9" s="23">
        <f>MAX(0,L7)-L8</f>
        <v>344.46875055853843</v>
      </c>
      <c r="M9" s="23">
        <f>MAX(0,M7)-M8</f>
        <v>379.95275055853847</v>
      </c>
      <c r="N9" s="23">
        <f>MAX(0,N7)-N8</f>
        <v>386.2767505585385</v>
      </c>
      <c r="O9" s="23">
        <f>MAX(0,O7)-O8</f>
        <v>391.0197505585385</v>
      </c>
      <c r="P9" s="23">
        <f>MAX(0,P7)-P8</f>
        <v>391.0197505585385</v>
      </c>
      <c r="Q9" s="23">
        <f>MAX(0,Q7)-Q8</f>
        <v>391.0197505585385</v>
      </c>
      <c r="R9" s="23">
        <f>MAX(0,R7)-R8</f>
        <v>391.0197505585385</v>
      </c>
      <c r="S9" s="23">
        <f>MAX(0,S7)-S8</f>
        <v>303.2597505585385</v>
      </c>
      <c r="T9" s="23">
        <f>MAX(0,T7)-T8</f>
        <v>259.37975055853843</v>
      </c>
      <c r="U9" s="23">
        <f>MAX(0,U7)-U8</f>
        <v>140.23975055853845</v>
      </c>
      <c r="V9" s="23">
        <f>MAX(0,V7)-V8</f>
        <v>80.66975055853847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48.849465703758476</v>
      </c>
      <c r="L10" s="23">
        <f>L9*Assumptions!$E$15</f>
        <v>72.33843761729307</v>
      </c>
      <c r="M10" s="23">
        <f>M9*Assumptions!$E$15</f>
        <v>79.79007761729308</v>
      </c>
      <c r="N10" s="23">
        <f>N9*Assumptions!$E$15</f>
        <v>81.11811761729308</v>
      </c>
      <c r="O10" s="23">
        <f>O9*Assumptions!$E$15</f>
        <v>82.11414761729307</v>
      </c>
      <c r="P10" s="23">
        <f>P9*Assumptions!$E$15</f>
        <v>82.11414761729307</v>
      </c>
      <c r="Q10" s="23">
        <f>Q9*Assumptions!$E$15</f>
        <v>82.11414761729307</v>
      </c>
      <c r="R10" s="23">
        <f>R9*Assumptions!$E$15</f>
        <v>82.11414761729307</v>
      </c>
      <c r="S10" s="23">
        <f>S9*Assumptions!$E$15</f>
        <v>63.68454761729308</v>
      </c>
      <c r="T10" s="23">
        <f>T9*Assumptions!$E$15</f>
        <v>54.469747617293066</v>
      </c>
      <c r="U10" s="23">
        <f>U9*Assumptions!$E$15</f>
        <v>29.450347617293072</v>
      </c>
      <c r="V10" s="23">
        <f>V9*Assumptions!$E$15</f>
        <v>16.940647617293077</v>
      </c>
    </row>
    <row r="11">
      <c r="A11" s="24" t="inlineStr">
        <is>
          <t>Free cash flow</t>
        </is>
      </c>
      <c r="C11" s="55">
        <f>C7-C10</f>
        <v>-60.775</v>
      </c>
      <c r="D11" s="55">
        <f>D7-D10</f>
        <v>-60.775</v>
      </c>
      <c r="E11" s="55">
        <f>E7-E10</f>
        <v>-60.775</v>
      </c>
      <c r="F11" s="55">
        <f>F7-F10</f>
        <v>7.031750558538473</v>
      </c>
      <c r="G11" s="55">
        <f>G7-G10</f>
        <v>33.35975055853847</v>
      </c>
      <c r="H11" s="55">
        <f>H7-H10</f>
        <v>87.90375055853849</v>
      </c>
      <c r="I11" s="55">
        <f>I7-I10</f>
        <v>152.1677505585385</v>
      </c>
      <c r="J11" s="55">
        <f>J7-J10</f>
        <v>229.31375055853846</v>
      </c>
      <c r="K11" s="55">
        <f>K7-K10</f>
        <v>250.41528485477994</v>
      </c>
      <c r="L11" s="55">
        <f>L7-L10</f>
        <v>272.1303129412454</v>
      </c>
      <c r="M11" s="55">
        <f>M7-M10</f>
        <v>300.1626729412454</v>
      </c>
      <c r="N11" s="55">
        <f>N7-N10</f>
        <v>305.1586329412454</v>
      </c>
      <c r="O11" s="55">
        <f>O7-O10</f>
        <v>308.90560294124543</v>
      </c>
      <c r="P11" s="55">
        <f>P7-P10</f>
        <v>308.90560294124543</v>
      </c>
      <c r="Q11" s="55">
        <f>Q7-Q10</f>
        <v>308.90560294124543</v>
      </c>
      <c r="R11" s="55">
        <f>R7-R10</f>
        <v>308.90560294124543</v>
      </c>
      <c r="S11" s="55">
        <f>S7-S10</f>
        <v>239.5752029412454</v>
      </c>
      <c r="T11" s="55">
        <f>T7-T10</f>
        <v>204.91000294124535</v>
      </c>
      <c r="U11" s="55">
        <f>U7-U10</f>
        <v>110.78940294124537</v>
      </c>
      <c r="V11" s="55">
        <f>V7-V10</f>
        <v>63.72910294124539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-57.42697711783945</v>
      </c>
      <c r="D16" s="55">
        <f>D11*D15</f>
        <v>-51.27408671235665</v>
      </c>
      <c r="E16" s="55">
        <f>E11*E15</f>
        <v>-45.78043456460416</v>
      </c>
      <c r="F16" s="55">
        <f>F11*F15</f>
        <v>4.729338254683393</v>
      </c>
      <c r="G16" s="55">
        <f>G11*G15</f>
        <v>20.032801724754854</v>
      </c>
      <c r="H16" s="55">
        <f>H11*H15</f>
        <v>47.13117647972872</v>
      </c>
      <c r="I16" s="55">
        <f>I11*I15</f>
        <v>72.84596038004301</v>
      </c>
      <c r="J16" s="55">
        <f>J11*J15</f>
        <v>98.01553787133568</v>
      </c>
      <c r="K16" s="55">
        <f>K11*K15</f>
        <v>95.56693136610963</v>
      </c>
      <c r="L16" s="55">
        <f>L11*L15</f>
        <v>92.72689248758329</v>
      </c>
      <c r="M16" s="55">
        <f>M11*M15</f>
        <v>91.320324501436</v>
      </c>
      <c r="N16" s="55">
        <f>N11*N15</f>
        <v>82.89310352337776</v>
      </c>
      <c r="O16" s="55">
        <f>O11*O15</f>
        <v>74.92047156388983</v>
      </c>
      <c r="P16" s="55">
        <f>P11*P15</f>
        <v>66.8932781820445</v>
      </c>
      <c r="Q16" s="55">
        <f>Q11*Q15</f>
        <v>59.72614123396829</v>
      </c>
      <c r="R16" s="55">
        <f>R11*R15</f>
        <v>53.326911816043115</v>
      </c>
      <c r="S16" s="55">
        <f>S11*S15</f>
        <v>36.92703947336743</v>
      </c>
      <c r="T16" s="55">
        <f>T11*T15</f>
        <v>28.199912633319293</v>
      </c>
      <c r="U16" s="55">
        <f>U11*U15</f>
        <v>13.613343483531626</v>
      </c>
      <c r="V16" s="55">
        <f>V11*V15</f>
        <v>6.991757601780521</v>
      </c>
    </row>
    <row r="17">
      <c r="A17" s="14" t="inlineStr">
        <is>
          <t>Tax-loss carryforward, end of year</t>
        </is>
      </c>
      <c r="C17" s="23">
        <f>Assumptions!$B$21-C8+MAX(0,-C7)</f>
        <v>454.875</v>
      </c>
      <c r="D17" s="23">
        <f>C17-D8+MAX(0,-D7)</f>
        <v>515.65</v>
      </c>
      <c r="E17" s="23">
        <f>D17-E8+MAX(0,-E7)</f>
        <v>576.425</v>
      </c>
      <c r="F17" s="23">
        <f>E17-F8+MAX(0,-F7)</f>
        <v>569.3932494414615</v>
      </c>
      <c r="G17" s="23">
        <f>F17-G8+MAX(0,-G7)</f>
        <v>536.033498882923</v>
      </c>
      <c r="H17" s="23">
        <f>G17-H8+MAX(0,-H7)</f>
        <v>448.12974832438454</v>
      </c>
      <c r="I17" s="23">
        <f>H17-I8+MAX(0,-I7)</f>
        <v>295.96199776584604</v>
      </c>
      <c r="J17" s="23">
        <f>I17-J8+MAX(0,-J7)</f>
        <v>66.64824720730758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1182.4219799848788</v>
      </c>
    </row>
    <row r="20">
      <c r="A20" s="14" t="inlineStr">
        <is>
          <t>PV of corporate burn</t>
        </is>
      </c>
      <c r="B20" s="23">
        <f>SUMPRODUCT(C6:V6,C15:V15)</f>
        <v>-210.90219384737668</v>
      </c>
    </row>
    <row r="21">
      <c r="A21" s="14" t="inlineStr">
        <is>
          <t>PV of taxes</t>
        </is>
      </c>
      <c r="B21" s="23">
        <f>-SUMPRODUCT(C10:V10,C15:V15)</f>
        <v>-180.14036195530537</v>
      </c>
    </row>
    <row r="22">
      <c r="A22" s="24" t="inlineStr">
        <is>
          <t>Pipeline rNPV (operations)</t>
        </is>
      </c>
      <c r="B22" s="54">
        <f>SUM(C16:V16)</f>
        <v>791.3794241821967</v>
      </c>
    </row>
    <row r="23">
      <c r="A23" s="14" t="inlineStr">
        <is>
          <t>Cash &amp; investments</t>
        </is>
      </c>
      <c r="B23" s="57">
        <f>Main!C7</f>
        <v>38.609126202666964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829.9885503848636</v>
      </c>
    </row>
    <row r="26">
      <c r="A26" s="14" t="inlineStr">
        <is>
          <t>Shares (mm)</t>
        </is>
      </c>
      <c r="B26" s="57">
        <f>Main!C4</f>
        <v>93.719323</v>
      </c>
    </row>
    <row r="27">
      <c r="A27" s="24" t="inlineStr">
        <is>
          <t>rNPV / share</t>
        </is>
      </c>
      <c r="B27" s="60">
        <f>B25/B26</f>
        <v>8.856109111936965</v>
      </c>
    </row>
    <row r="28">
      <c r="A28" s="14" t="inlineStr">
        <is>
          <t>Price</t>
        </is>
      </c>
      <c r="B28" s="61">
        <f>Main!C3</f>
        <v>1.578</v>
      </c>
    </row>
    <row r="29">
      <c r="A29" s="14" t="inlineStr">
        <is>
          <t>Upside</t>
        </is>
      </c>
      <c r="B29" s="62">
        <f>B27/B28-1</f>
        <v>4.612236446094401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2026-10-21T06:27:32Z</dcterms:modified>
  <cp:lastModifiedBy>Wang, Eric</cp:lastModifiedBy>
</cp:coreProperties>
</file>