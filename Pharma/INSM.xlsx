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Insmed Incorporated</t>
        </is>
      </c>
      <c r="C2" s="10" t="n"/>
    </row>
    <row r="3">
      <c r="B3" t="inlineStr">
        <is>
          <t>Price</t>
        </is>
      </c>
      <c r="C3" s="11">
        <f>INDEX([1]Pharma!$F$1:$F$1000,MATCH("INSM",[1]Pharma!$B$1:$B$1000,0))</f>
        <v>95.67</v>
      </c>
      <c r="F3" s="1" t="n"/>
    </row>
    <row r="4">
      <c r="B4" t="inlineStr">
        <is>
          <t>Shares</t>
        </is>
      </c>
      <c r="C4" s="51" t="n">
        <v>218.381503</v>
      </c>
      <c r="F4" s="1" t="n"/>
    </row>
    <row r="5">
      <c r="B5" t="inlineStr">
        <is>
          <t>Market Cap.</t>
        </is>
      </c>
      <c r="C5" s="13">
        <f>C3*C4</f>
        <v>20892.55839201</v>
      </c>
      <c r="F5" s="1" t="n"/>
    </row>
    <row r="6"/>
    <row r="7">
      <c r="B7" t="inlineStr">
        <is>
          <t>Cash</t>
        </is>
      </c>
      <c r="C7" s="51">
        <f>544.765+615.547</f>
        <v>1160.312</v>
      </c>
    </row>
    <row r="8">
      <c r="B8" t="inlineStr">
        <is>
          <t>Debt</t>
        </is>
      </c>
      <c r="C8" s="51" t="n">
        <v>543.513</v>
      </c>
    </row>
    <row r="9">
      <c r="B9" t="inlineStr">
        <is>
          <t>Enterprise V.</t>
        </is>
      </c>
      <c r="C9" s="13">
        <f>C5-C7+C8</f>
        <v>20275.759392009997</v>
      </c>
    </row>
    <row r="10"/>
    <row r="11">
      <c r="B11" s="14" t="inlineStr">
        <is>
          <t>NPV / Share</t>
        </is>
      </c>
      <c r="C11" s="11">
        <f>NPV!B28</f>
        <v>9.316283129202091</v>
      </c>
    </row>
    <row r="12">
      <c r="B12" s="14" t="inlineStr">
        <is>
          <t>Upside</t>
        </is>
      </c>
      <c r="C12" s="15">
        <f>IFERROR(C11/C3-1,"")</f>
        <v>-0.9026206425295067</v>
      </c>
    </row>
    <row r="13">
      <c r="B13" s="14" t="inlineStr">
        <is>
          <t>Cash / Share</t>
        </is>
      </c>
      <c r="C13" s="11">
        <f>IFERROR((C7-C8)/C4,"")</f>
        <v>2.824410453846908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10.373</v>
      </c>
      <c r="C2" s="52" t="n">
        <v>6.921</v>
      </c>
      <c r="D2" s="52" t="n">
        <v>4.417</v>
      </c>
      <c r="E2" s="52" t="n">
        <v>0</v>
      </c>
      <c r="F2" s="52" t="n">
        <v>11.5</v>
      </c>
      <c r="G2" s="52" t="n">
        <v>0</v>
      </c>
      <c r="H2" s="52" t="n">
        <v>0</v>
      </c>
      <c r="I2" s="52" t="n">
        <v>0</v>
      </c>
      <c r="J2" s="52" t="n">
        <v>0</v>
      </c>
      <c r="K2" s="52" t="n">
        <v>9.835000000000001</v>
      </c>
      <c r="L2" s="52" t="n">
        <v>136.467</v>
      </c>
      <c r="M2" s="52" t="n">
        <v>164.413</v>
      </c>
      <c r="N2" s="52" t="n">
        <v>188.461</v>
      </c>
      <c r="O2" s="52" t="n">
        <v>245.358</v>
      </c>
      <c r="P2" s="52" t="n">
        <v>305.208</v>
      </c>
      <c r="Q2" s="52" t="n">
        <v>363.707</v>
      </c>
      <c r="R2" s="52" t="n">
        <v>606.423</v>
      </c>
      <c r="S2" s="52">
        <f>R2*(1+NPV!C5)</f>
        <v>818.67105</v>
      </c>
      <c r="T2" s="52">
        <f>S2*(1+NPV!D5)</f>
        <v>1075.64279625</v>
      </c>
      <c r="U2" s="52">
        <f>T2*(1+NPV!E5)</f>
        <v>1374.4324618749997</v>
      </c>
      <c r="V2" s="52">
        <f>U2*(1+NPV!F5)</f>
        <v>1706.5869734947914</v>
      </c>
      <c r="W2" s="52">
        <f>V2*(1+NPV!G5)</f>
        <v>2057.3854069353874</v>
      </c>
      <c r="X2" s="52">
        <f>W2*(1+NPV!H5)</f>
        <v>2405.9979342216616</v>
      </c>
      <c r="Y2" s="52">
        <f>X2*(1+NPV!I5)</f>
        <v>2726.7976587845496</v>
      </c>
      <c r="Z2" s="52">
        <f>Y2*(1+NPV!J5)</f>
        <v>2991.9029867219365</v>
      </c>
      <c r="AA2" s="52">
        <f>Z2*(1+NPV!K5)</f>
        <v>3174.741502577166</v>
      </c>
      <c r="AB2" s="52">
        <f>AA2*(1+NPV!L5)</f>
        <v>3254.110040141595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2.423</v>
      </c>
      <c r="L3" s="52" t="n">
        <v>24.212</v>
      </c>
      <c r="M3" s="52" t="n">
        <v>39.872</v>
      </c>
      <c r="N3" s="52" t="n">
        <v>44.152</v>
      </c>
      <c r="O3" s="52" t="n">
        <v>55.126</v>
      </c>
      <c r="P3" s="52" t="n">
        <v>65.57299999999999</v>
      </c>
      <c r="Q3" s="52" t="n">
        <v>85.742</v>
      </c>
      <c r="R3" s="52" t="n">
        <v>122.938</v>
      </c>
      <c r="S3" s="52">
        <f>S2*(1-Assumptions!$B$19)</f>
        <v>165.944621835</v>
      </c>
      <c r="T3" s="52">
        <f>T2*(1-Assumptions!$B$19)</f>
        <v>218.03279479987498</v>
      </c>
      <c r="U3" s="52">
        <f>U2*(1-Assumptions!$B$19)</f>
        <v>278.5974600220624</v>
      </c>
      <c r="V3" s="52">
        <f>V2*(1-Assumptions!$B$19)</f>
        <v>345.9251795273942</v>
      </c>
      <c r="W3" s="52">
        <f>W2*(1-Assumptions!$B$19)</f>
        <v>417.032021985803</v>
      </c>
      <c r="X3" s="52">
        <f>X2*(1-Assumptions!$B$19)</f>
        <v>487.69578126673076</v>
      </c>
      <c r="Y3" s="52">
        <f>Y2*(1-Assumptions!$B$19)</f>
        <v>552.7218854356282</v>
      </c>
      <c r="Z3" s="52">
        <f>Z2*(1-Assumptions!$B$19)</f>
        <v>606.4587354085365</v>
      </c>
      <c r="AA3" s="52">
        <f>AA2*(1-Assumptions!$B$19)</f>
        <v>643.5201025723916</v>
      </c>
      <c r="AB3" s="52">
        <f>AB2*(1-Assumptions!$B$19)</f>
        <v>659.6081051367013</v>
      </c>
    </row>
    <row r="4" customFormat="1" s="1">
      <c r="A4" s="5" t="inlineStr">
        <is>
          <t>Gross Margin</t>
        </is>
      </c>
      <c r="B4" s="52">
        <f>B2-B3</f>
        <v>10.373</v>
      </c>
      <c r="C4" s="52">
        <f>C2-C3</f>
        <v>6.921</v>
      </c>
      <c r="D4" s="52">
        <f>D2-D3</f>
        <v>4.417</v>
      </c>
      <c r="E4" s="52">
        <f>E2-E3</f>
        <v>0.0</v>
      </c>
      <c r="F4" s="52">
        <f>F2-F3</f>
        <v>11.5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7.412000000000001</v>
      </c>
      <c r="L4" s="52">
        <f>L2-L3</f>
        <v>112.25500000000001</v>
      </c>
      <c r="M4" s="52">
        <f>M2-M3</f>
        <v>124.54100000000001</v>
      </c>
      <c r="N4" s="52">
        <f>N2-N3</f>
        <v>144.30900000000003</v>
      </c>
      <c r="O4" s="52">
        <f>O2-O3</f>
        <v>190.232</v>
      </c>
      <c r="P4" s="52">
        <f>P2-P3</f>
        <v>239.63500000000005</v>
      </c>
      <c r="Q4" s="52">
        <f>Q2-Q3</f>
        <v>277.965</v>
      </c>
      <c r="R4" s="52">
        <f>R2-R3</f>
        <v>483.485</v>
      </c>
      <c r="S4" s="52">
        <f>S2-S3</f>
        <v>652.726428165</v>
      </c>
      <c r="T4" s="52">
        <f>T2-T3</f>
        <v>857.610001450125</v>
      </c>
      <c r="U4" s="52">
        <f>U2-U3</f>
        <v>1095.8350018529372</v>
      </c>
      <c r="V4" s="52">
        <f>V2-V3</f>
        <v>1360.6617939673972</v>
      </c>
      <c r="W4" s="52">
        <f>W2-W3</f>
        <v>1640.3533849495843</v>
      </c>
      <c r="X4" s="52">
        <f>X2-X3</f>
        <v>1918.3021529549308</v>
      </c>
      <c r="Y4" s="52">
        <f>Y2-Y3</f>
        <v>2174.0757733489213</v>
      </c>
      <c r="Z4" s="52">
        <f>Z2-Z3</f>
        <v>2385.4442513134</v>
      </c>
      <c r="AA4" s="52">
        <f>AA2-AA3</f>
        <v>2531.2214000047743</v>
      </c>
      <c r="AB4" s="52">
        <f>AB2-AB3</f>
        <v>2594.5019350048938</v>
      </c>
    </row>
    <row r="5">
      <c r="A5" s="2" t="inlineStr">
        <is>
          <t>Research &amp; Dev.</t>
        </is>
      </c>
      <c r="B5" s="52" t="n">
        <v>9.207000000000001</v>
      </c>
      <c r="C5" s="52" t="n">
        <v>4.702</v>
      </c>
      <c r="D5" s="52" t="n">
        <v>28.623</v>
      </c>
      <c r="E5" s="52" t="n">
        <v>29.781</v>
      </c>
      <c r="F5" s="52" t="n">
        <v>44.279</v>
      </c>
      <c r="G5" s="52" t="n">
        <v>56.292</v>
      </c>
      <c r="H5" s="52" t="n">
        <v>74.277</v>
      </c>
      <c r="I5" s="52" t="n">
        <v>122.721</v>
      </c>
      <c r="J5" s="52" t="n">
        <v>109.749</v>
      </c>
      <c r="K5" s="52" t="n">
        <v>145.283</v>
      </c>
      <c r="L5" s="52" t="n">
        <v>131.711</v>
      </c>
      <c r="M5" s="52" t="n">
        <v>181.157</v>
      </c>
      <c r="N5" s="52" t="n">
        <v>272.744</v>
      </c>
      <c r="O5" s="52" t="n">
        <v>397.518</v>
      </c>
      <c r="P5" s="52" t="n">
        <v>571.011</v>
      </c>
      <c r="Q5" s="52" t="n">
        <v>598.367</v>
      </c>
      <c r="R5" s="52" t="n">
        <v>771.093</v>
      </c>
      <c r="S5" s="52">
        <f>S7*Assumptions!$B$20</f>
        <v>526.2725059553353</v>
      </c>
      <c r="T5" s="52">
        <f>T7*Assumptions!$B$20</f>
        <v>646.4514181786677</v>
      </c>
      <c r="U5" s="52">
        <f>U7*Assumptions!$B$20</f>
        <v>768.5056933257166</v>
      </c>
      <c r="V5" s="52">
        <f>V7*Assumptions!$B$20</f>
        <v>882.8127448615045</v>
      </c>
      <c r="W5" s="52">
        <f>W7*Assumptions!$B$20</f>
        <v>978.1848689854982</v>
      </c>
      <c r="X5" s="52">
        <f>X7*Assumptions!$B$20</f>
        <v>1043.249611282865</v>
      </c>
      <c r="Y5" s="52">
        <f>Y7*Assumptions!$B$20</f>
        <v>1068.241876809825</v>
      </c>
      <c r="Z5" s="52">
        <f>Z7*Assumptions!$B$20</f>
        <v>1046.8972408207387</v>
      </c>
      <c r="AA5" s="52">
        <f>AA7*Assumptions!$B$20</f>
        <v>978.0216074344247</v>
      </c>
      <c r="AB5" s="52">
        <f>AB7*Assumptions!$B$20</f>
        <v>866.2981434534593</v>
      </c>
    </row>
    <row r="6">
      <c r="A6" s="18" t="inlineStr">
        <is>
          <t>SG&amp;A &amp; Other</t>
        </is>
      </c>
      <c r="B6" s="52" t="n">
        <v>9.84</v>
      </c>
      <c r="C6" s="52" t="n">
        <v>10.311</v>
      </c>
      <c r="D6" s="52" t="n">
        <v>37.513</v>
      </c>
      <c r="E6" s="52" t="n">
        <v>12.657</v>
      </c>
      <c r="F6" s="52" t="n">
        <v>22.236</v>
      </c>
      <c r="G6" s="52" t="n">
        <v>31.073</v>
      </c>
      <c r="H6" s="52" t="n">
        <v>43.216</v>
      </c>
      <c r="I6" s="52" t="n">
        <v>50.679</v>
      </c>
      <c r="J6" s="52" t="n">
        <v>79.17100000000001</v>
      </c>
      <c r="K6" s="52" t="n">
        <v>169.467</v>
      </c>
      <c r="L6" s="52" t="n">
        <v>215.789</v>
      </c>
      <c r="M6" s="52" t="n">
        <v>208.616</v>
      </c>
      <c r="N6" s="52" t="n">
        <v>246.659</v>
      </c>
      <c r="O6" s="52" t="n">
        <v>250.035</v>
      </c>
      <c r="P6" s="52" t="n">
        <v>378.25</v>
      </c>
      <c r="Q6" s="52" t="n">
        <v>557.85</v>
      </c>
      <c r="R6" s="52" t="n">
        <v>959.1609999999999</v>
      </c>
      <c r="S6" s="52">
        <f>S7-S5</f>
        <v>654.5049361701646</v>
      </c>
      <c r="T6" s="52">
        <f>T7-T5</f>
        <v>803.9668411407573</v>
      </c>
      <c r="U6" s="52">
        <f>U7-U5</f>
        <v>955.7610630703269</v>
      </c>
      <c r="V6" s="52">
        <f>V7-V5</f>
        <v>1097.9203600554902</v>
      </c>
      <c r="W6" s="52">
        <f>W7-W5</f>
        <v>1216.531013862826</v>
      </c>
      <c r="X6" s="52">
        <f>X7-X5</f>
        <v>1297.4495390040208</v>
      </c>
      <c r="Y6" s="52">
        <f>Y7-Y5</f>
        <v>1328.5314613320306</v>
      </c>
      <c r="Z6" s="52">
        <f>Z7-Z5</f>
        <v>1301.985955994919</v>
      </c>
      <c r="AA6" s="52">
        <f>AA7-AA5</f>
        <v>1216.327971731886</v>
      </c>
      <c r="AB6" s="52">
        <f>AB7-AB5</f>
        <v>1077.3817835231152</v>
      </c>
    </row>
    <row r="7">
      <c r="A7" s="2" t="inlineStr">
        <is>
          <t>Operating Expense</t>
        </is>
      </c>
      <c r="B7" s="52">
        <f>SUM(B5:B6)</f>
        <v>19.047</v>
      </c>
      <c r="C7" s="52">
        <f>SUM(C5:C6)</f>
        <v>15.013</v>
      </c>
      <c r="D7" s="52">
        <f>SUM(D5:D6)</f>
        <v>66.136</v>
      </c>
      <c r="E7" s="52">
        <f>SUM(E5:E6)</f>
        <v>42.438</v>
      </c>
      <c r="F7" s="52">
        <f>SUM(F5:F6)</f>
        <v>66.515</v>
      </c>
      <c r="G7" s="52">
        <f>SUM(G5:G6)</f>
        <v>87.36500000000001</v>
      </c>
      <c r="H7" s="52">
        <f>SUM(H5:H6)</f>
        <v>117.493</v>
      </c>
      <c r="I7" s="52">
        <f>SUM(I5:I6)</f>
        <v>173.4</v>
      </c>
      <c r="J7" s="52">
        <f>SUM(J5:J6)</f>
        <v>188.92000000000002</v>
      </c>
      <c r="K7" s="52">
        <f>SUM(K5:K6)</f>
        <v>314.75</v>
      </c>
      <c r="L7" s="52">
        <f>SUM(L5:L6)</f>
        <v>347.5</v>
      </c>
      <c r="M7" s="52">
        <f>SUM(M5:M6)</f>
        <v>389.773</v>
      </c>
      <c r="N7" s="52">
        <f>SUM(N5:N6)</f>
        <v>519.403</v>
      </c>
      <c r="O7" s="52">
        <f>SUM(O5:O6)</f>
        <v>647.553</v>
      </c>
      <c r="P7" s="52">
        <f>SUM(P5:P6)</f>
        <v>949.261</v>
      </c>
      <c r="Q7" s="52">
        <f>SUM(Q5:Q6)</f>
        <v>1156.217</v>
      </c>
      <c r="R7" s="52">
        <f>SUM(R5:R6)</f>
        <v>1730.254</v>
      </c>
      <c r="S7" s="52">
        <f>S4-S2*NPV!C6</f>
        <v>1180.7774421254999</v>
      </c>
      <c r="T7" s="52">
        <f>T4-T2*NPV!D6</f>
        <v>1450.418259319425</v>
      </c>
      <c r="U7" s="52">
        <f>U4-U2*NPV!E6</f>
        <v>1724.2667563960435</v>
      </c>
      <c r="V7" s="52">
        <f>V4-V2*NPV!F6</f>
        <v>1980.7331049169948</v>
      </c>
      <c r="W7" s="52">
        <f>W4-W2*NPV!G6</f>
        <v>2194.7158828483243</v>
      </c>
      <c r="X7" s="52">
        <f>X4-X2*NPV!H6</f>
        <v>2340.699150286886</v>
      </c>
      <c r="Y7" s="52">
        <f>Y4-Y2*NPV!I6</f>
        <v>2396.7733381418557</v>
      </c>
      <c r="Z7" s="52">
        <f>Z4-Z2*NPV!J6</f>
        <v>2348.883196815658</v>
      </c>
      <c r="AA7" s="52">
        <f>AA4-AA2*NPV!K6</f>
        <v>2194.349579166311</v>
      </c>
      <c r="AB7" s="52">
        <f>AB4-AB2*NPV!L6</f>
        <v>1943.6799269765745</v>
      </c>
    </row>
    <row r="8">
      <c r="A8" s="2" t="inlineStr">
        <is>
          <t>Operating Income</t>
        </is>
      </c>
      <c r="B8" s="52">
        <f>B4-B7</f>
        <v>-8.674000000000001</v>
      </c>
      <c r="C8" s="52">
        <f>C4-C7</f>
        <v>-8.091999999999999</v>
      </c>
      <c r="D8" s="52">
        <f>D4-D7</f>
        <v>-61.718999999999994</v>
      </c>
      <c r="E8" s="52">
        <f>E4-E7</f>
        <v>-42.438</v>
      </c>
      <c r="F8" s="52">
        <f>F4-F7</f>
        <v>-55.015</v>
      </c>
      <c r="G8" s="52">
        <f>G4-G7</f>
        <v>-87.36500000000001</v>
      </c>
      <c r="H8" s="52">
        <f>H4-H7</f>
        <v>-117.493</v>
      </c>
      <c r="I8" s="52">
        <f>I4-I7</f>
        <v>-173.4</v>
      </c>
      <c r="J8" s="52">
        <f>J4-J7</f>
        <v>-188.92000000000002</v>
      </c>
      <c r="K8" s="52">
        <f>K4-K7</f>
        <v>-307.338</v>
      </c>
      <c r="L8" s="52">
        <f>L4-L7</f>
        <v>-235.245</v>
      </c>
      <c r="M8" s="52">
        <f>M4-M7</f>
        <v>-265.232</v>
      </c>
      <c r="N8" s="52">
        <f>N4-N7</f>
        <v>-375.094</v>
      </c>
      <c r="O8" s="52">
        <f>O4-O7</f>
        <v>-457.321</v>
      </c>
      <c r="P8" s="52">
        <f>P4-P7</f>
        <v>-709.626</v>
      </c>
      <c r="Q8" s="52">
        <f>Q4-Q7</f>
        <v>-878.2520000000002</v>
      </c>
      <c r="R8" s="52">
        <f>R4-R7</f>
        <v>-1246.7689999999998</v>
      </c>
      <c r="S8" s="52">
        <f>S4-S7</f>
        <v>-528.0510139604999</v>
      </c>
      <c r="T8" s="52">
        <f>T4-T7</f>
        <v>-592.8082578693001</v>
      </c>
      <c r="U8" s="52">
        <f>U4-U7</f>
        <v>-628.4317545431063</v>
      </c>
      <c r="V8" s="52">
        <f>V4-V7</f>
        <v>-620.0713109495975</v>
      </c>
      <c r="W8" s="52">
        <f>W4-W7</f>
        <v>-554.36249789874</v>
      </c>
      <c r="X8" s="52">
        <f>X4-X7</f>
        <v>-422.39699733195516</v>
      </c>
      <c r="Y8" s="52">
        <f>Y4-Y7</f>
        <v>-222.69756479293437</v>
      </c>
      <c r="Z8" s="52">
        <f>Z4-Z7</f>
        <v>36.561054497742134</v>
      </c>
      <c r="AA8" s="52">
        <f>AA4-AA7</f>
        <v>336.87182083846346</v>
      </c>
      <c r="AB8" s="52">
        <f>AB4-AB7</f>
        <v>650.8220080283193</v>
      </c>
    </row>
    <row r="9">
      <c r="A9" s="18" t="inlineStr">
        <is>
          <t>Interest &amp; Other</t>
        </is>
      </c>
      <c r="B9" s="52" t="n">
        <v>127.501</v>
      </c>
      <c r="C9" s="52" t="n">
        <v>1.736</v>
      </c>
      <c r="D9" s="52" t="n">
        <v>2.055</v>
      </c>
      <c r="E9" s="52" t="n">
        <v>1.064</v>
      </c>
      <c r="F9" s="52" t="n">
        <v>-2.279</v>
      </c>
      <c r="G9" s="52" t="n">
        <v>-2.216</v>
      </c>
      <c r="H9" s="52" t="n">
        <v>-2.661</v>
      </c>
      <c r="I9" s="52" t="n">
        <v>-2.775</v>
      </c>
      <c r="J9" s="52" t="n">
        <v>-4.001</v>
      </c>
      <c r="K9" s="52" t="n">
        <v>-16.738</v>
      </c>
      <c r="L9" s="52" t="n">
        <v>-18.315</v>
      </c>
      <c r="M9" s="52" t="n">
        <v>-27.456</v>
      </c>
      <c r="N9" s="52" t="n">
        <v>-61.318</v>
      </c>
      <c r="O9" s="52" t="n">
        <v>-22.83</v>
      </c>
      <c r="P9" s="52" t="n">
        <v>-37.386</v>
      </c>
      <c r="Q9" s="52" t="n">
        <v>-31.813</v>
      </c>
      <c r="R9" s="52" t="n">
        <v>-24.98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118.827</v>
      </c>
      <c r="C10" s="52">
        <f>C8+C9</f>
        <v>-6.355999999999999</v>
      </c>
      <c r="D10" s="52">
        <f>D8+D9</f>
        <v>-59.663999999999994</v>
      </c>
      <c r="E10" s="52">
        <f>E8+E9</f>
        <v>-41.374</v>
      </c>
      <c r="F10" s="52">
        <f>F8+F9</f>
        <v>-57.294</v>
      </c>
      <c r="G10" s="52">
        <f>G8+G9</f>
        <v>-89.581</v>
      </c>
      <c r="H10" s="52">
        <f>H8+H9</f>
        <v>-120.154</v>
      </c>
      <c r="I10" s="52">
        <f>I8+I9</f>
        <v>-176.175</v>
      </c>
      <c r="J10" s="52">
        <f>J8+J9</f>
        <v>-192.92100000000002</v>
      </c>
      <c r="K10" s="52">
        <f>K8+K9</f>
        <v>-324.076</v>
      </c>
      <c r="L10" s="52">
        <f>L8+L9</f>
        <v>-253.56</v>
      </c>
      <c r="M10" s="52">
        <f>M8+M9</f>
        <v>-292.68800000000005</v>
      </c>
      <c r="N10" s="52">
        <f>N8+N9</f>
        <v>-436.412</v>
      </c>
      <c r="O10" s="52">
        <f>O8+O9</f>
        <v>-480.151</v>
      </c>
      <c r="P10" s="52">
        <f>P8+P9</f>
        <v>-747.012</v>
      </c>
      <c r="Q10" s="52">
        <f>Q8+Q9</f>
        <v>-910.0650000000002</v>
      </c>
      <c r="R10" s="52">
        <f>R8+R9</f>
        <v>-1271.7489999999998</v>
      </c>
      <c r="S10" s="52">
        <f>S8+S9</f>
        <v>-528.0510139604999</v>
      </c>
      <c r="T10" s="52">
        <f>T8+T9</f>
        <v>-592.8082578693001</v>
      </c>
      <c r="U10" s="52">
        <f>U8+U9</f>
        <v>-628.4317545431063</v>
      </c>
      <c r="V10" s="52">
        <f>V8+V9</f>
        <v>-620.0713109495975</v>
      </c>
      <c r="W10" s="52">
        <f>W8+W9</f>
        <v>-554.36249789874</v>
      </c>
      <c r="X10" s="52">
        <f>X8+X9</f>
        <v>-422.39699733195516</v>
      </c>
      <c r="Y10" s="52">
        <f>Y8+Y9</f>
        <v>-222.69756479293437</v>
      </c>
      <c r="Z10" s="52">
        <f>Z8+Z9</f>
        <v>36.561054497742134</v>
      </c>
      <c r="AA10" s="52">
        <f>AA8+AA9</f>
        <v>336.87182083846346</v>
      </c>
      <c r="AB10" s="52">
        <f>AB8+AB9</f>
        <v>650.8220080283193</v>
      </c>
    </row>
    <row r="11">
      <c r="A11" s="2" t="inlineStr">
        <is>
          <t>Taxes</t>
        </is>
      </c>
      <c r="B11" s="52" t="n">
        <v>0.477</v>
      </c>
      <c r="C11" s="52" t="n">
        <v>0.078</v>
      </c>
      <c r="D11" s="52" t="n">
        <v>0</v>
      </c>
      <c r="E11" s="52" t="n">
        <v>0</v>
      </c>
      <c r="F11" s="52" t="n">
        <v>-1.221</v>
      </c>
      <c r="G11" s="52" t="n">
        <v>-10.422</v>
      </c>
      <c r="H11" s="52" t="n">
        <v>-1.971</v>
      </c>
      <c r="I11" s="52" t="n">
        <v>0.098</v>
      </c>
      <c r="J11" s="52" t="n">
        <v>-0.272</v>
      </c>
      <c r="K11" s="52" t="n">
        <v>0.201</v>
      </c>
      <c r="L11" s="52" t="n">
        <v>0.777</v>
      </c>
      <c r="M11" s="52" t="n">
        <v>1.402</v>
      </c>
      <c r="N11" s="52" t="n">
        <v>-1.758</v>
      </c>
      <c r="O11" s="52" t="n">
        <v>1.383</v>
      </c>
      <c r="P11" s="52" t="n">
        <v>2.555</v>
      </c>
      <c r="Q11" s="52" t="n">
        <v>3.707</v>
      </c>
      <c r="R11" s="52" t="n">
        <v>5.026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0.0</v>
      </c>
      <c r="Z11" s="52">
        <f>MAX(0,Z10)*Assumptions!$E$14</f>
        <v>6.215379264616163</v>
      </c>
      <c r="AA11" s="52">
        <f>MAX(0,AA10)*Assumptions!$E$14</f>
        <v>57.26820954253879</v>
      </c>
      <c r="AB11" s="52">
        <f>MAX(0,AB10)*Assumptions!$E$14</f>
        <v>110.63974136481428</v>
      </c>
    </row>
    <row r="12">
      <c r="A12" s="2" t="inlineStr">
        <is>
          <t>Net Income</t>
        </is>
      </c>
      <c r="B12" s="52" t="n">
        <v>118.35</v>
      </c>
      <c r="C12" s="52" t="n">
        <v>-6.434</v>
      </c>
      <c r="D12" s="52" t="n">
        <v>-59.664</v>
      </c>
      <c r="E12" s="52" t="n">
        <v>-41.374</v>
      </c>
      <c r="F12" s="52" t="n">
        <v>-56.073</v>
      </c>
      <c r="G12" s="52" t="n">
        <v>-79.15900000000001</v>
      </c>
      <c r="H12" s="52" t="n">
        <v>-118.183</v>
      </c>
      <c r="I12" s="52" t="n">
        <v>-176.273</v>
      </c>
      <c r="J12" s="52" t="n">
        <v>-192.649</v>
      </c>
      <c r="K12" s="52" t="n">
        <v>-324.277</v>
      </c>
      <c r="L12" s="52" t="n">
        <v>-254.337</v>
      </c>
      <c r="M12" s="52" t="n">
        <v>-294.09</v>
      </c>
      <c r="N12" s="52" t="n">
        <v>-434.654</v>
      </c>
      <c r="O12" s="52" t="n">
        <v>-481.534</v>
      </c>
      <c r="P12" s="52" t="n">
        <v>-749.567</v>
      </c>
      <c r="Q12" s="52" t="n">
        <v>-913.772</v>
      </c>
      <c r="R12" s="52" t="n">
        <v>-1276.775</v>
      </c>
      <c r="S12" s="52">
        <f>S10-S11</f>
        <v>-528.0510139604999</v>
      </c>
      <c r="T12" s="52">
        <f>T10-T11</f>
        <v>-592.8082578693001</v>
      </c>
      <c r="U12" s="52">
        <f>U10-U11</f>
        <v>-628.4317545431063</v>
      </c>
      <c r="V12" s="52">
        <f>V10-V11</f>
        <v>-620.0713109495975</v>
      </c>
      <c r="W12" s="52">
        <f>W10-W11</f>
        <v>-554.36249789874</v>
      </c>
      <c r="X12" s="52">
        <f>X10-X11</f>
        <v>-422.39699733195516</v>
      </c>
      <c r="Y12" s="52">
        <f>Y10-Y11</f>
        <v>-222.69756479293437</v>
      </c>
      <c r="Z12" s="52">
        <f>Z10-Z11</f>
        <v>30.34567523312597</v>
      </c>
      <c r="AA12" s="52">
        <f>AA10-AA11</f>
        <v>279.6036112959247</v>
      </c>
      <c r="AB12" s="52">
        <f>AB10-AB11</f>
        <v>540.182266663505</v>
      </c>
    </row>
    <row r="13">
      <c r="A13" s="2" t="inlineStr">
        <is>
          <t>Earnings per Share</t>
        </is>
      </c>
      <c r="B13" s="11">
        <f>IFERROR(B12/B14,0)</f>
        <v>8.932749641482376</v>
      </c>
      <c r="C13" s="11">
        <f>IFERROR(C12/C14,0)</f>
        <v>-0.4855849056603774</v>
      </c>
      <c r="D13" s="11">
        <f>IFERROR(D12/D14,0)</f>
        <v>-2.555422305979099</v>
      </c>
      <c r="E13" s="11">
        <f>IFERROR(E12/E14,0)</f>
        <v>-1.5586362780184593</v>
      </c>
      <c r="F13" s="11">
        <f>IFERROR(F12/F14,0)</f>
        <v>-1.6030017152658664</v>
      </c>
      <c r="G13" s="11">
        <f>IFERROR(G12/G14,0)</f>
        <v>-1.8368488223691846</v>
      </c>
      <c r="H13" s="11">
        <f>IFERROR(H12/H14,0)</f>
        <v>-2.0156396568485326</v>
      </c>
      <c r="I13" s="11">
        <f>IFERROR(I12/I14,0)</f>
        <v>-2.8480740644994507</v>
      </c>
      <c r="J13" s="11">
        <f>IFERROR(J12/J14,0)</f>
        <v>-2.8936703917327566</v>
      </c>
      <c r="K13" s="11">
        <f>IFERROR(K12/K14,0)</f>
        <v>-4.21746933891714</v>
      </c>
      <c r="L13" s="11">
        <f>IFERROR(L12/L14,0)</f>
        <v>-3.0077696310312203</v>
      </c>
      <c r="M13" s="11">
        <f>IFERROR(M12/M14,0)</f>
        <v>-3.0130628553865066</v>
      </c>
      <c r="N13" s="11">
        <f>IFERROR(N12/N14,0)</f>
        <v>-3.876996904853226</v>
      </c>
      <c r="O13" s="11">
        <f>IFERROR(O12/O14,0)</f>
        <v>-3.9137968870646564</v>
      </c>
      <c r="P13" s="11">
        <f>IFERROR(P12/P14,0)</f>
        <v>-5.337541745885939</v>
      </c>
      <c r="Q13" s="11">
        <f>IFERROR(Q12/Q14,0)</f>
        <v>-5.570319977079181</v>
      </c>
      <c r="R13" s="11">
        <f>IFERROR(R12/R14,0)</f>
        <v>-6.415503431919363</v>
      </c>
      <c r="S13" s="11">
        <f>IFERROR(S12/S14,0)</f>
        <v>-2.4180207879625217</v>
      </c>
      <c r="T13" s="11">
        <f>IFERROR(T12/T14,0)</f>
        <v>-2.714553429322721</v>
      </c>
      <c r="U13" s="11">
        <f>IFERROR(U12/U14,0)</f>
        <v>-2.877678493416662</v>
      </c>
      <c r="V13" s="11">
        <f>IFERROR(V12/V14,0)</f>
        <v>-2.8393948316657456</v>
      </c>
      <c r="W13" s="11">
        <f>IFERROR(W12/W14,0)</f>
        <v>-2.538504819699588</v>
      </c>
      <c r="X13" s="11">
        <f>IFERROR(X12/X14,0)</f>
        <v>-1.9342160005737992</v>
      </c>
      <c r="Y13" s="11">
        <f>IFERROR(Y12/Y14,0)</f>
        <v>-1.0197638615617293</v>
      </c>
      <c r="Z13" s="11">
        <f>IFERROR(Z12/Z14,0)</f>
        <v>0.13895716814956607</v>
      </c>
      <c r="AA13" s="11">
        <f>IFERROR(AA12/AA14,0)</f>
        <v>1.2803447519816944</v>
      </c>
      <c r="AB13" s="11">
        <f>IFERROR(AB12/AB14,0)</f>
        <v>2.473571521593131</v>
      </c>
    </row>
    <row r="14">
      <c r="A14" s="2" t="inlineStr">
        <is>
          <t>Shares</t>
        </is>
      </c>
      <c r="B14" s="52" t="n">
        <v>13.249</v>
      </c>
      <c r="C14" s="52" t="n">
        <v>13.25</v>
      </c>
      <c r="D14" s="52" t="n">
        <v>23.348</v>
      </c>
      <c r="E14" s="52" t="n">
        <v>26.545</v>
      </c>
      <c r="F14" s="52" t="n">
        <v>34.98</v>
      </c>
      <c r="G14" s="52" t="n">
        <v>43.095</v>
      </c>
      <c r="H14" s="52" t="n">
        <v>58.633</v>
      </c>
      <c r="I14" s="52" t="n">
        <v>61.892</v>
      </c>
      <c r="J14" s="52" t="n">
        <v>66.57599999999999</v>
      </c>
      <c r="K14" s="52" t="n">
        <v>76.889</v>
      </c>
      <c r="L14" s="52" t="n">
        <v>84.56</v>
      </c>
      <c r="M14" s="52" t="n">
        <v>97.605</v>
      </c>
      <c r="N14" s="52" t="n">
        <v>112.111</v>
      </c>
      <c r="O14" s="52" t="n">
        <v>123.035</v>
      </c>
      <c r="P14" s="52" t="n">
        <v>140.433</v>
      </c>
      <c r="Q14" s="52" t="n">
        <v>164.043</v>
      </c>
      <c r="R14" s="52" t="n">
        <v>199.014</v>
      </c>
      <c r="S14" s="52">
        <f>Main!$C$4</f>
        <v>218.381503</v>
      </c>
      <c r="T14" s="52">
        <f>Main!$C$4</f>
        <v>218.381503</v>
      </c>
      <c r="U14" s="52">
        <f>Main!$C$4</f>
        <v>218.381503</v>
      </c>
      <c r="V14" s="52">
        <f>Main!$C$4</f>
        <v>218.381503</v>
      </c>
      <c r="W14" s="52">
        <f>Main!$C$4</f>
        <v>218.381503</v>
      </c>
      <c r="X14" s="52">
        <f>Main!$C$4</f>
        <v>218.381503</v>
      </c>
      <c r="Y14" s="52">
        <f>Main!$C$4</f>
        <v>218.381503</v>
      </c>
      <c r="Z14" s="52">
        <f>Main!$C$4</f>
        <v>218.381503</v>
      </c>
      <c r="AA14" s="52">
        <f>Main!$C$4</f>
        <v>218.381503</v>
      </c>
      <c r="AB14" s="52">
        <f>Main!$C$4</f>
        <v>218.381503</v>
      </c>
    </row>
    <row r="15"/>
    <row r="16" customFormat="1" s="4">
      <c r="A16" s="3" t="inlineStr">
        <is>
          <t>Revenue Change</t>
        </is>
      </c>
      <c r="C16" s="15">
        <f>IFERROR(C2/B2-1,"")</f>
        <v>-0.3327870432854525</v>
      </c>
      <c r="D16" s="15">
        <f>IFERROR(D2/C2-1,"")</f>
        <v>-0.3617974281173242</v>
      </c>
      <c r="E16" s="15">
        <f>IFERROR(E2/D2-1,"")</f>
        <v>-1.0</v>
      </c>
      <c r="F16" s="15">
        <f>IFERROR(F2/E2-1,"")</f>
        <v/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>12.87564819522115</v>
      </c>
      <c r="M16" s="15">
        <f>IFERROR(M2/L2-1,"")</f>
        <v>0.20478210849509404</v>
      </c>
      <c r="N16" s="15">
        <f>IFERROR(N2/M2-1,"")</f>
        <v>0.14626580623186736</v>
      </c>
      <c r="O16" s="15">
        <f>IFERROR(O2/N2-1,"")</f>
        <v>0.3019033115604819</v>
      </c>
      <c r="P16" s="15">
        <f>IFERROR(P2/O2-1,"")</f>
        <v>0.24392927884968096</v>
      </c>
      <c r="Q16" s="15">
        <f>IFERROR(Q2/P2-1,"")</f>
        <v>0.19166928782993886</v>
      </c>
      <c r="R16" s="15">
        <f>IFERROR(R2/Q2-1,"")</f>
        <v>0.6673393693275083</v>
      </c>
      <c r="S16" s="15">
        <f>IFERROR(S2/R2-1,"")</f>
        <v>0.3500000000000001</v>
      </c>
      <c r="T16" s="15">
        <f>IFERROR(T2/S2-1,"")</f>
        <v>0.31388888888888866</v>
      </c>
      <c r="U16" s="15">
        <f>IFERROR(U2/T2-1,"")</f>
        <v>0.2777777777777777</v>
      </c>
      <c r="V16" s="15">
        <f>IFERROR(V2/U2-1,"")</f>
        <v>0.2416666666666667</v>
      </c>
      <c r="W16" s="15">
        <f>IFERROR(W2/V2-1,"")</f>
        <v>0.2055555555555555</v>
      </c>
      <c r="X16" s="15">
        <f>IFERROR(X2/W2-1,"")</f>
        <v>0.1694444444444445</v>
      </c>
      <c r="Y16" s="15">
        <f>IFERROR(Y2/X2-1,"")</f>
        <v>0.1333333333333333</v>
      </c>
      <c r="Z16" s="15">
        <f>IFERROR(Z2/Y2-1,"")</f>
        <v>0.09722222222222232</v>
      </c>
      <c r="AA16" s="15">
        <f>IFERROR(AA2/Z2-1,"")</f>
        <v>0.061111111111111116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/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>0.7536349771225216</v>
      </c>
      <c r="L17" s="15">
        <f>IFERROR(L4/L2,"")</f>
        <v>0.8225798178314171</v>
      </c>
      <c r="M17" s="15">
        <f>IFERROR(M4/M2,"")</f>
        <v>0.7574887630540165</v>
      </c>
      <c r="N17" s="15">
        <f>IFERROR(N4/N2,"")</f>
        <v>0.765723412270974</v>
      </c>
      <c r="O17" s="15">
        <f>IFERROR(O4/O2,"")</f>
        <v>0.7753242201191728</v>
      </c>
      <c r="P17" s="15">
        <f>IFERROR(P4/P2,"")</f>
        <v>0.7851530759351001</v>
      </c>
      <c r="Q17" s="15">
        <f>IFERROR(Q4/Q2,"")</f>
        <v>0.7642552934092552</v>
      </c>
      <c r="R17" s="15">
        <f>IFERROR(R4/R2,"")</f>
        <v>0.7972735202985375</v>
      </c>
      <c r="S17" s="15">
        <f>IFERROR(S4/S2,"")</f>
        <v>0.7973</v>
      </c>
      <c r="T17" s="15">
        <f>IFERROR(T4/T2,"")</f>
        <v>0.7973</v>
      </c>
      <c r="U17" s="15">
        <f>IFERROR(U4/U2,"")</f>
        <v>0.7973</v>
      </c>
      <c r="V17" s="15">
        <f>IFERROR(V4/V2,"")</f>
        <v>0.7973</v>
      </c>
      <c r="W17" s="15">
        <f>IFERROR(W4/W2,"")</f>
        <v>0.7973</v>
      </c>
      <c r="X17" s="15">
        <f>IFERROR(X4/X2,"")</f>
        <v>0.7973</v>
      </c>
      <c r="Y17" s="15">
        <f>IFERROR(Y4/Y2,"")</f>
        <v>0.7973</v>
      </c>
      <c r="Z17" s="15">
        <f>IFERROR(Z4/Z2,"")</f>
        <v>0.7973</v>
      </c>
      <c r="AA17" s="15">
        <f>IFERROR(AA4/AA2,"")</f>
        <v>0.7972999999999999</v>
      </c>
      <c r="AB17" s="15">
        <f>IFERROR(AB4/AB2,"")</f>
        <v>0.7973</v>
      </c>
    </row>
    <row r="18">
      <c r="A18" s="14" t="inlineStr">
        <is>
          <t>Operating Margin</t>
        </is>
      </c>
      <c r="B18" s="15">
        <f>IFERROR(B8/B2,"")</f>
        <v>-0.836209389761882</v>
      </c>
      <c r="C18" s="15">
        <f>IFERROR(C8/C2,"")</f>
        <v>-1.1691952030053459</v>
      </c>
      <c r="D18" s="15">
        <f>IFERROR(D8/D2,"")</f>
        <v>-13.973058637083993</v>
      </c>
      <c r="E18" s="15">
        <f>IFERROR(E8/E2,"")</f>
        <v/>
      </c>
      <c r="F18" s="15">
        <f>IFERROR(F8/F2,"")</f>
        <v>-4.783913043478261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>-31.249415353329944</v>
      </c>
      <c r="L18" s="15">
        <f>IFERROR(L8/L2,"")</f>
        <v>-1.7238233419068345</v>
      </c>
      <c r="M18" s="15">
        <f>IFERROR(M8/M2,"")</f>
        <v>-1.613205768400309</v>
      </c>
      <c r="N18" s="15">
        <f>IFERROR(N8/N2,"")</f>
        <v>-1.9903003804500665</v>
      </c>
      <c r="O18" s="15">
        <f>IFERROR(O8/O2,"")</f>
        <v>-1.863892760782204</v>
      </c>
      <c r="P18" s="15">
        <f>IFERROR(P8/P2,"")</f>
        <v>-2.325057010301171</v>
      </c>
      <c r="Q18" s="15">
        <f>IFERROR(Q8/Q2,"")</f>
        <v>-2.41472393987468</v>
      </c>
      <c r="R18" s="15">
        <f>IFERROR(R8/R2,"")</f>
        <v>-2.0559395009753914</v>
      </c>
      <c r="S18" s="15">
        <f>IFERROR(S8/S2,"")</f>
        <v>-0.6450099999999998</v>
      </c>
      <c r="T18" s="15">
        <f>IFERROR(T8/T2,"")</f>
        <v>-0.55112</v>
      </c>
      <c r="U18" s="15">
        <f>IFERROR(U8/U2,"")</f>
        <v>-0.45723000000000014</v>
      </c>
      <c r="V18" s="15">
        <f>IFERROR(V8/V2,"")</f>
        <v>-0.36334</v>
      </c>
      <c r="W18" s="15">
        <f>IFERROR(W8/W2,"")</f>
        <v>-0.2694499999999999</v>
      </c>
      <c r="X18" s="15">
        <f>IFERROR(X8/X2,"")</f>
        <v>-0.1755600000000001</v>
      </c>
      <c r="Y18" s="15">
        <f>IFERROR(Y8/Y2,"")</f>
        <v>-0.08167000000000008</v>
      </c>
      <c r="Z18" s="15">
        <f>IFERROR(Z8/Z2,"")</f>
        <v>0.012220000000000024</v>
      </c>
      <c r="AA18" s="15">
        <f>IFERROR(AA8/AA2,"")</f>
        <v>0.10611000000000012</v>
      </c>
      <c r="AB18" s="15">
        <f>IFERROR(AB8/AB2,"")</f>
        <v>0.20000000000000007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Insmed Incorporated: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-0.7389</v>
      </c>
    </row>
    <row r="19">
      <c r="A19" s="14" t="inlineStr">
        <is>
          <t>Gross margin (forecast)</t>
        </is>
      </c>
      <c r="B19" s="53" t="n">
        <v>0.7973</v>
      </c>
    </row>
    <row r="20">
      <c r="A20" s="14" t="inlineStr">
        <is>
          <t>R&amp;D share of operating expense (forecast)</t>
        </is>
      </c>
      <c r="B20" s="53" t="n">
        <v>0.4457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606.423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1417.704912128696</v>
      </c>
      <c r="C29" s="56">
        <f>NPV!B26</f>
        <v>2034.503912128696</v>
      </c>
      <c r="D29" s="35">
        <f>NPV!B28</f>
        <v>9.316283129202091</v>
      </c>
      <c r="E29" s="57">
        <f>NPV!B30</f>
        <v>-0.9026206425295067</v>
      </c>
    </row>
    <row r="30">
      <c r="A30" s="58" t="n">
        <v>1</v>
      </c>
      <c r="B30" s="59">
        <f t="dataTable" ref="B30:E32" r1="B4"/>
        <v>-842.4560176421712</v>
      </c>
      <c r="C30" s="59">
        <v>-225.65701764217135</v>
      </c>
      <c r="D30" s="39">
        <v>-1.0333156175876825</v>
      </c>
      <c r="E30" s="60">
        <v>-1.0108008322105957</v>
      </c>
    </row>
    <row r="31">
      <c r="A31" s="58" t="n">
        <v>2</v>
      </c>
      <c r="B31" s="59">
        <v>1417.704912128696</v>
      </c>
      <c r="C31" s="59">
        <v>2034.503912128696</v>
      </c>
      <c r="D31" s="39">
        <v>9.316283129202091</v>
      </c>
      <c r="E31" s="60">
        <v>-0.9026206425295067</v>
      </c>
    </row>
    <row r="32">
      <c r="A32" s="58" t="n">
        <v>3</v>
      </c>
      <c r="B32" s="59">
        <v>6747.052057941254</v>
      </c>
      <c r="C32" s="59">
        <v>7363.851057941254</v>
      </c>
      <c r="D32" s="39">
        <v>33.720122614694404</v>
      </c>
      <c r="E32" s="60">
        <v>-0.6475371316536594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9.316283129202091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16.01783050283323</v>
      </c>
      <c r="C37" s="39">
        <v>19.41853977891743</v>
      </c>
      <c r="D37" s="39">
        <v>23.69044766893639</v>
      </c>
      <c r="E37" s="39">
        <v>29.207185158420156</v>
      </c>
      <c r="F37" s="39">
        <v>36.59147369244986</v>
      </c>
    </row>
    <row r="38">
      <c r="A38" s="62" t="n">
        <v>0.075</v>
      </c>
      <c r="B38" s="39">
        <v>10.109324315442484</v>
      </c>
      <c r="C38" s="39">
        <v>12.28763109755391</v>
      </c>
      <c r="D38" s="39">
        <v>14.917450922407882</v>
      </c>
      <c r="E38" s="39">
        <v>18.149477372376445</v>
      </c>
      <c r="F38" s="39">
        <v>22.20975301400729</v>
      </c>
    </row>
    <row r="39">
      <c r="A39" s="62" t="n">
        <v>0.08500000000000001</v>
      </c>
      <c r="B39" s="39">
        <v>6.0941419198733096</v>
      </c>
      <c r="C39" s="39">
        <v>7.575531606442613</v>
      </c>
      <c r="D39" s="39">
        <v>9.316283129202091</v>
      </c>
      <c r="E39" s="39">
        <v>11.387276459488206</v>
      </c>
      <c r="F39" s="39">
        <v>13.887745194273924</v>
      </c>
    </row>
    <row r="40">
      <c r="A40" s="62" t="n">
        <v>0.095</v>
      </c>
      <c r="B40" s="39">
        <v>3.2479306755833446</v>
      </c>
      <c r="C40" s="39">
        <v>4.299143849900099</v>
      </c>
      <c r="D40" s="39">
        <v>5.510619510770308</v>
      </c>
      <c r="E40" s="39">
        <v>6.919456190674934</v>
      </c>
      <c r="F40" s="39">
        <v>8.575119873585296</v>
      </c>
    </row>
    <row r="41">
      <c r="A41" s="62" t="n">
        <v>0.105</v>
      </c>
      <c r="B41" s="39">
        <v>1.1694399250029128</v>
      </c>
      <c r="C41" s="39">
        <v>1.9392620376289105</v>
      </c>
      <c r="D41" s="39">
        <v>2.813656955702593</v>
      </c>
      <c r="E41" s="39">
        <v>3.813632591320154</v>
      </c>
      <c r="F41" s="39">
        <v>4.966200137678682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Insmed Incorporated: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-2.0559395009753914</v>
      </c>
      <c r="C6" s="63">
        <f>Assumptions!$B$18+(Assumptions!$E$13-Assumptions!$B$18)*C4/Assumptions!$B$21</f>
        <v>-0.64501</v>
      </c>
      <c r="D6" s="63">
        <f>Assumptions!$B$18+(Assumptions!$E$13-Assumptions!$B$18)*D4/Assumptions!$B$21</f>
        <v>-0.55112</v>
      </c>
      <c r="E6" s="63">
        <f>Assumptions!$B$18+(Assumptions!$E$13-Assumptions!$B$18)*E4/Assumptions!$B$21</f>
        <v>-0.45723</v>
      </c>
      <c r="F6" s="63">
        <f>Assumptions!$B$18+(Assumptions!$E$13-Assumptions!$B$18)*F4/Assumptions!$B$21</f>
        <v>-0.36334</v>
      </c>
      <c r="G6" s="63">
        <f>Assumptions!$B$18+(Assumptions!$E$13-Assumptions!$B$18)*G4/Assumptions!$B$21</f>
        <v>-0.26944999999999997</v>
      </c>
      <c r="H6" s="63">
        <f>Assumptions!$B$18+(Assumptions!$E$13-Assumptions!$B$18)*H4/Assumptions!$B$21</f>
        <v>-0.17556000000000005</v>
      </c>
      <c r="I6" s="63">
        <f>Assumptions!$B$18+(Assumptions!$E$13-Assumptions!$B$18)*I4/Assumptions!$B$21</f>
        <v>-0.08167000000000002</v>
      </c>
      <c r="J6" s="63">
        <f>Assumptions!$B$18+(Assumptions!$E$13-Assumptions!$B$18)*J4/Assumptions!$B$21</f>
        <v>0.012220000000000009</v>
      </c>
      <c r="K6" s="63">
        <f>Assumptions!$B$18+(Assumptions!$E$13-Assumptions!$B$18)*K4/Assumptions!$B$21</f>
        <v>0.10611000000000004</v>
      </c>
      <c r="L6" s="63">
        <f>Assumptions!$B$18+(Assumptions!$E$13-Assumptions!$B$18)*L4/Assumptions!$B$21</f>
        <v>0.20000000000000007</v>
      </c>
    </row>
    <row r="7">
      <c r="A7" s="14" t="inlineStr">
        <is>
          <t>Revenue</t>
        </is>
      </c>
      <c r="B7" s="55">
        <f>'Yearly Model'!R2</f>
        <v>606.423</v>
      </c>
      <c r="C7" s="55">
        <f>'Yearly Model'!S2</f>
        <v>818.67105</v>
      </c>
      <c r="D7" s="55">
        <f>'Yearly Model'!T2</f>
        <v>1075.64279625</v>
      </c>
      <c r="E7" s="55">
        <f>'Yearly Model'!U2</f>
        <v>1374.4324618749997</v>
      </c>
      <c r="F7" s="55">
        <f>'Yearly Model'!V2</f>
        <v>1706.5869734947914</v>
      </c>
      <c r="G7" s="55">
        <f>'Yearly Model'!W2</f>
        <v>2057.3854069353874</v>
      </c>
      <c r="H7" s="55">
        <f>'Yearly Model'!X2</f>
        <v>2405.9979342216616</v>
      </c>
      <c r="I7" s="55">
        <f>'Yearly Model'!Y2</f>
        <v>2726.7976587845496</v>
      </c>
      <c r="J7" s="55">
        <f>'Yearly Model'!Z2</f>
        <v>2991.9029867219365</v>
      </c>
      <c r="K7" s="55">
        <f>'Yearly Model'!AA2</f>
        <v>3174.741502577166</v>
      </c>
      <c r="L7" s="55">
        <f>'Yearly Model'!AB2</f>
        <v>3254.110040141595</v>
      </c>
    </row>
    <row r="8">
      <c r="A8" s="14" t="inlineStr">
        <is>
          <t>Operating income</t>
        </is>
      </c>
      <c r="B8" s="55">
        <f>'Yearly Model'!R8</f>
        <v>-1246.7689999999998</v>
      </c>
      <c r="C8" s="55">
        <f>'Yearly Model'!S8</f>
        <v>-528.0510139604999</v>
      </c>
      <c r="D8" s="55">
        <f>'Yearly Model'!T8</f>
        <v>-592.8082578693001</v>
      </c>
      <c r="E8" s="55">
        <f>'Yearly Model'!U8</f>
        <v>-628.4317545431063</v>
      </c>
      <c r="F8" s="55">
        <f>'Yearly Model'!V8</f>
        <v>-620.0713109495975</v>
      </c>
      <c r="G8" s="55">
        <f>'Yearly Model'!W8</f>
        <v>-554.36249789874</v>
      </c>
      <c r="H8" s="55">
        <f>'Yearly Model'!X8</f>
        <v>-422.39699733195516</v>
      </c>
      <c r="I8" s="55">
        <f>'Yearly Model'!Y8</f>
        <v>-222.69756479293437</v>
      </c>
      <c r="J8" s="55">
        <f>'Yearly Model'!Z8</f>
        <v>36.561054497742134</v>
      </c>
      <c r="K8" s="55">
        <f>'Yearly Model'!AA8</f>
        <v>336.87182083846346</v>
      </c>
      <c r="L8" s="55">
        <f>'Yearly Model'!AB8</f>
        <v>650.8220080283193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6.215379264616163</v>
      </c>
      <c r="K9" s="52">
        <f>MAX(0,K8)*Assumptions!$E$14</f>
        <v>57.26820954253879</v>
      </c>
      <c r="L9" s="52">
        <f>MAX(0,L8)*Assumptions!$E$14</f>
        <v>110.63974136481428</v>
      </c>
    </row>
    <row r="10">
      <c r="A10" s="14" t="inlineStr">
        <is>
          <t>NOPAT</t>
        </is>
      </c>
      <c r="C10" s="52">
        <f>C8-C9</f>
        <v>-528.0510139604999</v>
      </c>
      <c r="D10" s="52">
        <f>D8-D9</f>
        <v>-592.8082578693001</v>
      </c>
      <c r="E10" s="52">
        <f>E8-E9</f>
        <v>-628.4317545431063</v>
      </c>
      <c r="F10" s="52">
        <f>F8-F9</f>
        <v>-620.0713109495975</v>
      </c>
      <c r="G10" s="52">
        <f>G8-G9</f>
        <v>-554.36249789874</v>
      </c>
      <c r="H10" s="52">
        <f>H8-H9</f>
        <v>-422.39699733195516</v>
      </c>
      <c r="I10" s="52">
        <f>I8-I9</f>
        <v>-222.69756479293437</v>
      </c>
      <c r="J10" s="52">
        <f>J8-J9</f>
        <v>30.34567523312597</v>
      </c>
      <c r="K10" s="52">
        <f>K8-K9</f>
        <v>279.6036112959247</v>
      </c>
      <c r="L10" s="52">
        <f>L8-L9</f>
        <v>540.182266663505</v>
      </c>
    </row>
    <row r="11">
      <c r="A11" s="14" t="inlineStr">
        <is>
          <t>Reinvestment</t>
        </is>
      </c>
      <c r="C11" s="52">
        <f>(C7-B7)*Assumptions!$E$15</f>
        <v>53.06201250000001</v>
      </c>
      <c r="D11" s="52">
        <f>(D7-C7)*Assumptions!$E$15</f>
        <v>64.24293656249998</v>
      </c>
      <c r="E11" s="52">
        <f>(E7-D7)*Assumptions!$E$15</f>
        <v>74.69741640624994</v>
      </c>
      <c r="F11" s="52">
        <f>(F7-E7)*Assumptions!$E$15</f>
        <v>83.03862790494793</v>
      </c>
      <c r="G11" s="52">
        <f>(G7-F7)*Assumptions!$E$15</f>
        <v>87.699608360149</v>
      </c>
      <c r="H11" s="52">
        <f>(H7-G7)*Assumptions!$E$15</f>
        <v>87.15313182156854</v>
      </c>
      <c r="I11" s="52">
        <f>(I7-H7)*Assumptions!$E$15</f>
        <v>80.19993114072201</v>
      </c>
      <c r="J11" s="52">
        <f>(J7-I7)*Assumptions!$E$15</f>
        <v>66.27633198434671</v>
      </c>
      <c r="K11" s="52">
        <f>(K7-J7)*Assumptions!$E$15</f>
        <v>45.709628963807404</v>
      </c>
      <c r="L11" s="52">
        <f>(L7-K7)*Assumptions!$E$15</f>
        <v>19.842134391107265</v>
      </c>
    </row>
    <row r="12">
      <c r="A12" s="20" t="inlineStr">
        <is>
          <t>Free cash flow</t>
        </is>
      </c>
      <c r="C12" s="64">
        <f>C10-C11</f>
        <v>-581.1130264604999</v>
      </c>
      <c r="D12" s="64">
        <f>D10-D11</f>
        <v>-657.0511944318</v>
      </c>
      <c r="E12" s="64">
        <f>E10-E11</f>
        <v>-703.1291709493562</v>
      </c>
      <c r="F12" s="64">
        <f>F10-F11</f>
        <v>-703.1099388545455</v>
      </c>
      <c r="G12" s="64">
        <f>G10-G11</f>
        <v>-642.062106258889</v>
      </c>
      <c r="H12" s="64">
        <f>H10-H11</f>
        <v>-509.5501291535237</v>
      </c>
      <c r="I12" s="64">
        <f>I10-I11</f>
        <v>-302.8974959336564</v>
      </c>
      <c r="J12" s="64">
        <f>J10-J11</f>
        <v>-35.93065675122074</v>
      </c>
      <c r="K12" s="64">
        <f>K10-K11</f>
        <v>233.89398233211728</v>
      </c>
      <c r="L12" s="64">
        <f>L10-L11</f>
        <v>520.3401322723977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-286.9771001375394</v>
      </c>
      <c r="D16" s="64">
        <f>D12*D13*D15</f>
        <v>-605.3746193984306</v>
      </c>
      <c r="E16" s="64">
        <f>E12*E13*E15</f>
        <v>-597.0770490561209</v>
      </c>
      <c r="F16" s="64">
        <f>F12*F13*F15</f>
        <v>-550.2863757740967</v>
      </c>
      <c r="G16" s="64">
        <f>G12*G13*G15</f>
        <v>-463.14056856301113</v>
      </c>
      <c r="H16" s="64">
        <f>H12*H13*H15</f>
        <v>-338.7606544098622</v>
      </c>
      <c r="I16" s="64">
        <f>I12*I13*I15</f>
        <v>-185.59744444887374</v>
      </c>
      <c r="J16" s="64">
        <f>J12*J13*J15</f>
        <v>-20.291386642814572</v>
      </c>
      <c r="K16" s="64">
        <f>K12*K13*K15</f>
        <v>121.74072420702852</v>
      </c>
      <c r="L16" s="64">
        <f>L12*L13*L15</f>
        <v>249.61714833245296</v>
      </c>
    </row>
    <row r="19">
      <c r="A19" s="14" t="inlineStr">
        <is>
          <t>PV of forecast free cash flow</t>
        </is>
      </c>
      <c r="B19" s="52">
        <f>SUM(C16:L16)</f>
        <v>-2676.147325891268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533.3486355792077</v>
      </c>
    </row>
    <row r="21">
      <c r="A21" s="14" t="inlineStr">
        <is>
          <t>Terminal value</t>
        </is>
      </c>
      <c r="B21" s="52">
        <f>B20/(Assumptions!$E$10-Assumptions!$E$11)</f>
        <v>8889.143926320126</v>
      </c>
    </row>
    <row r="22">
      <c r="A22" s="14" t="inlineStr">
        <is>
          <t>PV of terminal value</t>
        </is>
      </c>
      <c r="B22" s="52">
        <f>B21/(1+Assumptions!$E$10)^(L14+0.5)</f>
        <v>4093.852238019964</v>
      </c>
    </row>
    <row r="23">
      <c r="A23" s="20" t="inlineStr">
        <is>
          <t>Enterprise value</t>
        </is>
      </c>
      <c r="B23" s="66">
        <f>B19+B22</f>
        <v>1417.704912128696</v>
      </c>
    </row>
    <row r="24">
      <c r="A24" s="14" t="inlineStr">
        <is>
          <t>Cash &amp; investments</t>
        </is>
      </c>
      <c r="B24" s="55">
        <f>Main!C7</f>
        <v>1160.312</v>
      </c>
    </row>
    <row r="25">
      <c r="A25" s="14" t="inlineStr">
        <is>
          <t>Debt</t>
        </is>
      </c>
      <c r="B25" s="55">
        <f>Main!C8</f>
        <v>543.513</v>
      </c>
    </row>
    <row r="26">
      <c r="A26" s="20" t="inlineStr">
        <is>
          <t>Equity value</t>
        </is>
      </c>
      <c r="B26" s="66">
        <f>B23+B24-B25</f>
        <v>2034.503912128696</v>
      </c>
    </row>
    <row r="27">
      <c r="A27" s="14" t="inlineStr">
        <is>
          <t>Shares (mm)</t>
        </is>
      </c>
      <c r="B27" s="55">
        <f>Main!C4</f>
        <v>218.381503</v>
      </c>
    </row>
    <row r="28">
      <c r="A28" s="20" t="inlineStr">
        <is>
          <t>NPV / share</t>
        </is>
      </c>
      <c r="B28" s="49">
        <f>B26/B27</f>
        <v>9.316283129202091</v>
      </c>
    </row>
    <row r="29">
      <c r="A29" s="14" t="inlineStr">
        <is>
          <t>Price</t>
        </is>
      </c>
      <c r="B29" s="50">
        <f>Main!C3</f>
        <v>95.67</v>
      </c>
    </row>
    <row r="30">
      <c r="A30" s="14" t="inlineStr">
        <is>
          <t>Upside</t>
        </is>
      </c>
      <c r="B30" s="63">
        <f>B28/B29-1</f>
        <v>-0.9026206425295067</v>
      </c>
    </row>
    <row r="31">
      <c r="A31" s="14" t="inlineStr">
        <is>
          <t>Terminal value, % of EV</t>
        </is>
      </c>
      <c r="B31" s="63">
        <f>IFERROR(B22/B23,0)</f>
        <v>2.887661743284087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2026-10-21T06:21:16Z</dcterms:modified>
  <cp:lastModifiedBy>Wang, Eric</cp:lastModifiedBy>
</cp:coreProperties>
</file>