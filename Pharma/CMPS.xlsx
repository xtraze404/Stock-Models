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Compass Pathways PLC</t>
        </is>
      </c>
      <c r="C2" s="10" t="n"/>
    </row>
    <row r="3">
      <c r="B3" t="inlineStr">
        <is>
          <t>Price</t>
        </is>
      </c>
      <c r="C3" s="11">
        <f>INDEX([1]Pharma!$F$1:$F$1000,MATCH("CMPS",[1]Pharma!$B$1:$B$1000,0))</f>
        <v>11.9</v>
      </c>
      <c r="F3" s="1" t="n"/>
    </row>
    <row r="4">
      <c r="B4" t="inlineStr">
        <is>
          <t>Shares</t>
        </is>
      </c>
      <c r="C4" s="21" t="n">
        <v>138.476822</v>
      </c>
      <c r="F4" s="1" t="n"/>
    </row>
    <row r="5">
      <c r="B5" t="inlineStr">
        <is>
          <t>Market Cap.</t>
        </is>
      </c>
      <c r="C5" s="13">
        <f>C3*C4</f>
        <v>1647.8741818</v>
      </c>
      <c r="F5" s="1" t="n"/>
    </row>
    <row r="6"/>
    <row r="7">
      <c r="B7" t="inlineStr">
        <is>
          <t>Cash</t>
        </is>
      </c>
      <c r="C7" s="21" t="n">
        <v>433.295</v>
      </c>
    </row>
    <row r="8">
      <c r="B8" t="inlineStr">
        <is>
          <t>Debt</t>
        </is>
      </c>
      <c r="C8" s="21" t="n">
        <v>50.727</v>
      </c>
    </row>
    <row r="9">
      <c r="B9" t="inlineStr">
        <is>
          <t>Enterprise V.</t>
        </is>
      </c>
      <c r="C9" s="13">
        <f>C5-C7+C8</f>
        <v>1265.3061818</v>
      </c>
    </row>
    <row r="10"/>
    <row r="11">
      <c r="B11" s="14" t="inlineStr">
        <is>
          <t>Net Cash / Share</t>
        </is>
      </c>
      <c r="C11" s="11">
        <f>(C7-C8)/C4</f>
        <v>2.7626861627428165</v>
      </c>
    </row>
    <row r="12">
      <c r="B12" s="14" t="inlineStr">
        <is>
          <t>Upside</t>
        </is>
      </c>
      <c r="C12" s="15">
        <f>IFERROR(C11/C3-1,"")</f>
        <v>-0.7678414989291751</v>
      </c>
    </row>
    <row r="13">
      <c r="B13" s="14" t="inlineStr">
        <is>
          <t>Cash / Share</t>
        </is>
      </c>
      <c r="C13" s="11">
        <f>IFERROR((C7-C8)/C4,"")</f>
        <v>2.7626861627428165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-161.136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2.3741932280806277</v>
      </c>
    </row>
    <row r="19">
      <c r="B19" s="14" t="inlineStr">
        <is>
          <t>Implied Pipeline Value</t>
        </is>
      </c>
      <c r="C19" s="13">
        <f>C9</f>
        <v>1265.3061818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12.563</v>
      </c>
      <c r="C5" s="23" t="n">
        <v>23.366</v>
      </c>
      <c r="D5" s="23" t="n">
        <v>44.027</v>
      </c>
      <c r="E5" s="23" t="n">
        <v>65.053</v>
      </c>
      <c r="F5" s="23" t="n">
        <v>87.518</v>
      </c>
      <c r="G5" s="23" t="n">
        <v>119.039</v>
      </c>
      <c r="H5" s="23" t="n">
        <v>118.436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8.616</v>
      </c>
      <c r="C6" s="23" t="n">
        <v>28.027</v>
      </c>
      <c r="D6" s="23" t="n">
        <v>39.194</v>
      </c>
      <c r="E6" s="23" t="n">
        <v>45.35</v>
      </c>
      <c r="F6" s="23" t="n">
        <v>49.401</v>
      </c>
      <c r="G6" s="23" t="n">
        <v>59.166</v>
      </c>
      <c r="H6" s="23" t="n">
        <v>60.601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21.179000000000002</v>
      </c>
      <c r="C7" s="23">
        <f>SUM(C5:C6)</f>
        <v>51.393</v>
      </c>
      <c r="D7" s="23">
        <f>SUM(D5:D6)</f>
        <v>83.221</v>
      </c>
      <c r="E7" s="23">
        <f>SUM(E5:E6)</f>
        <v>110.40299999999999</v>
      </c>
      <c r="F7" s="23">
        <f>SUM(F5:F6)</f>
        <v>136.919</v>
      </c>
      <c r="G7" s="23">
        <f>SUM(G5:G6)</f>
        <v>178.20499999999998</v>
      </c>
      <c r="H7" s="23">
        <f>SUM(H5:H6)</f>
        <v>179.037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-21.179000000000002</v>
      </c>
      <c r="C8" s="23">
        <f>C4-C7</f>
        <v>-51.393</v>
      </c>
      <c r="D8" s="23">
        <f>D4-D7</f>
        <v>-83.221</v>
      </c>
      <c r="E8" s="23">
        <f>E4-E7</f>
        <v>-110.40299999999999</v>
      </c>
      <c r="F8" s="23">
        <f>F4-F7</f>
        <v>-136.919</v>
      </c>
      <c r="G8" s="23">
        <f>G4-G7</f>
        <v>-178.20499999999998</v>
      </c>
      <c r="H8" s="23">
        <f>H4-H7</f>
        <v>-179.037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1.582</v>
      </c>
      <c r="C9" s="23" t="n">
        <v>-8.909000000000001</v>
      </c>
      <c r="D9" s="23" t="n">
        <v>11.678</v>
      </c>
      <c r="E9" s="23" t="n">
        <v>19.306</v>
      </c>
      <c r="F9" s="23" t="n">
        <v>19.235</v>
      </c>
      <c r="G9" s="23" t="n">
        <v>24.677</v>
      </c>
      <c r="H9" s="23" t="n">
        <v>-93.203</v>
      </c>
    </row>
    <row r="10">
      <c r="A10" s="2" t="inlineStr">
        <is>
          <t>Pretax</t>
        </is>
      </c>
      <c r="B10" s="23">
        <f>B8+B9</f>
        <v>-19.597</v>
      </c>
      <c r="C10" s="23">
        <f>C8+C9</f>
        <v>-60.302</v>
      </c>
      <c r="D10" s="23">
        <f>D8+D9</f>
        <v>-71.543</v>
      </c>
      <c r="E10" s="23">
        <f>E8+E9</f>
        <v>-91.097</v>
      </c>
      <c r="F10" s="23">
        <f>F8+F9</f>
        <v>-117.68400000000001</v>
      </c>
      <c r="G10" s="23">
        <f>G8+G9</f>
        <v>-153.528</v>
      </c>
      <c r="H10" s="23">
        <f>H8+H9</f>
        <v>-272.24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0.015</v>
      </c>
      <c r="C11" s="23" t="n">
        <v>0.032</v>
      </c>
      <c r="D11" s="23" t="n">
        <v>0.199</v>
      </c>
      <c r="E11" s="23" t="n">
        <v>0.408</v>
      </c>
      <c r="F11" s="23" t="n">
        <v>0.78</v>
      </c>
      <c r="G11" s="23" t="n">
        <v>1.594</v>
      </c>
      <c r="H11" s="23" t="n">
        <v>-2.473</v>
      </c>
    </row>
    <row r="12">
      <c r="A12" s="2" t="inlineStr">
        <is>
          <t>Net Income</t>
        </is>
      </c>
      <c r="B12" s="23" t="n">
        <v>-19.612</v>
      </c>
      <c r="C12" s="23" t="n">
        <v>-60.334</v>
      </c>
      <c r="D12" s="23" t="n">
        <v>-71.742</v>
      </c>
      <c r="E12" s="23" t="n">
        <v>-91.505</v>
      </c>
      <c r="F12" s="23" t="n">
        <v>-118.464</v>
      </c>
      <c r="G12" s="23" t="n">
        <v>-155.122</v>
      </c>
      <c r="H12" s="23" t="n">
        <v>-269.767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-2.6233279828785445</v>
      </c>
      <c r="C13" s="11">
        <f>IFERROR(C12/C14,0)</f>
        <v>-3.550729755178908</v>
      </c>
      <c r="D13" s="11">
        <f>IFERROR(D12/D14,0)</f>
        <v>-1.7936396819840994</v>
      </c>
      <c r="E13" s="11">
        <f>IFERROR(E12/E14,0)</f>
        <v>-2.1563059666321047</v>
      </c>
      <c r="F13" s="11">
        <f>IFERROR(F12/F14,0)</f>
        <v>-2.321548953515717</v>
      </c>
      <c r="G13" s="11">
        <f>IFERROR(G12/G14,0)</f>
        <v>-2.2986826311811863</v>
      </c>
      <c r="H13" s="11">
        <f>IFERROR(H12/H14,0)</f>
        <v>-2.885054275172451</v>
      </c>
    </row>
    <row r="14">
      <c r="A14" s="2" t="inlineStr">
        <is>
          <t>Shares</t>
        </is>
      </c>
      <c r="B14" s="23" t="n">
        <v>7.476</v>
      </c>
      <c r="C14" s="23" t="n">
        <v>16.992</v>
      </c>
      <c r="D14" s="23" t="n">
        <v>39.998</v>
      </c>
      <c r="E14" s="23" t="n">
        <v>42.436</v>
      </c>
      <c r="F14" s="23" t="n">
        <v>51.028</v>
      </c>
      <c r="G14" s="23" t="n">
        <v>67.483</v>
      </c>
      <c r="H14" s="23" t="n">
        <v>93.505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2026-10-21T01:04:41Z</dcterms:modified>
  <cp:lastModifiedBy>Wang, Eric</cp:lastModifiedBy>
</cp:coreProperties>
</file>