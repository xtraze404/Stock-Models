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Compass Pathways PLC</t>
        </is>
      </c>
      <c r="C2" s="10" t="n"/>
    </row>
    <row r="3">
      <c r="B3" t="inlineStr">
        <is>
          <t>Price</t>
        </is>
      </c>
      <c r="C3" s="11">
        <f>INDEX([1]Pharma!$F$1:$F$1000,MATCH("CMPS",[1]Pharma!$B$1:$B$1000,0))</f>
        <v>11.9</v>
      </c>
      <c r="F3" s="1" t="n"/>
    </row>
    <row r="4">
      <c r="B4" t="inlineStr">
        <is>
          <t>Shares</t>
        </is>
      </c>
      <c r="C4" s="21" t="n">
        <v>138.476822</v>
      </c>
      <c r="F4" s="1" t="n"/>
    </row>
    <row r="5">
      <c r="B5" t="inlineStr">
        <is>
          <t>Market Cap.</t>
        </is>
      </c>
      <c r="C5" s="13">
        <f>C3*C4</f>
        <v>1647.8741818</v>
      </c>
      <c r="F5" s="1" t="n"/>
    </row>
    <row r="6"/>
    <row r="7">
      <c r="B7" t="inlineStr">
        <is>
          <t>Cash</t>
        </is>
      </c>
      <c r="C7" s="21" t="n">
        <v>433.295</v>
      </c>
    </row>
    <row r="8">
      <c r="B8" t="inlineStr">
        <is>
          <t>Debt</t>
        </is>
      </c>
      <c r="C8" s="21" t="n">
        <v>50.727</v>
      </c>
    </row>
    <row r="9">
      <c r="B9" t="inlineStr">
        <is>
          <t>Enterprise V.</t>
        </is>
      </c>
      <c r="C9" s="13">
        <f>C5-C7+C8</f>
        <v>1265.3061818</v>
      </c>
    </row>
    <row r="10"/>
    <row r="11">
      <c r="B11" s="14" t="inlineStr">
        <is>
          <t>rNPV / Share</t>
        </is>
      </c>
      <c r="C11" s="11">
        <f>NPV!B27</f>
        <v>10.254848767657077</v>
      </c>
    </row>
    <row r="12">
      <c r="B12" s="14" t="inlineStr">
        <is>
          <t>Upside</t>
        </is>
      </c>
      <c r="C12" s="15">
        <f>IFERROR(C11/C3-1,"")</f>
        <v>-0.13824800271789273</v>
      </c>
    </row>
    <row r="13">
      <c r="B13" s="14" t="inlineStr">
        <is>
          <t>Cash / Share</t>
        </is>
      </c>
      <c r="C13" s="11">
        <f>IFERROR((C7-C8)/C4,"")</f>
        <v>2.7626861627428165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-161.136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2.3741932280806277</v>
      </c>
    </row>
    <row r="19">
      <c r="B19" s="14" t="inlineStr">
        <is>
          <t>Implied Pipeline Value</t>
        </is>
      </c>
      <c r="C19" s="13">
        <f>C9</f>
        <v>1265.3061818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12.563</v>
      </c>
      <c r="C5" s="23" t="n">
        <v>23.366</v>
      </c>
      <c r="D5" s="23" t="n">
        <v>44.027</v>
      </c>
      <c r="E5" s="23" t="n">
        <v>65.053</v>
      </c>
      <c r="F5" s="23" t="n">
        <v>87.518</v>
      </c>
      <c r="G5" s="23" t="n">
        <v>119.039</v>
      </c>
      <c r="H5" s="23" t="n">
        <v>118.436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8.616</v>
      </c>
      <c r="C6" s="23" t="n">
        <v>28.027</v>
      </c>
      <c r="D6" s="23" t="n">
        <v>39.194</v>
      </c>
      <c r="E6" s="23" t="n">
        <v>45.35</v>
      </c>
      <c r="F6" s="23" t="n">
        <v>49.401</v>
      </c>
      <c r="G6" s="23" t="n">
        <v>59.166</v>
      </c>
      <c r="H6" s="23" t="n">
        <v>60.601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21.179000000000002</v>
      </c>
      <c r="C7" s="23">
        <f>SUM(C5:C6)</f>
        <v>51.393</v>
      </c>
      <c r="D7" s="23">
        <f>SUM(D5:D6)</f>
        <v>83.221</v>
      </c>
      <c r="E7" s="23">
        <f>SUM(E5:E6)</f>
        <v>110.40299999999999</v>
      </c>
      <c r="F7" s="23">
        <f>SUM(F5:F6)</f>
        <v>136.919</v>
      </c>
      <c r="G7" s="23">
        <f>SUM(G5:G6)</f>
        <v>178.20499999999998</v>
      </c>
      <c r="H7" s="23">
        <f>SUM(H5:H6)</f>
        <v>179.037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-21.179000000000002</v>
      </c>
      <c r="C8" s="23">
        <f>C4-C7</f>
        <v>-51.393</v>
      </c>
      <c r="D8" s="23">
        <f>D4-D7</f>
        <v>-83.221</v>
      </c>
      <c r="E8" s="23">
        <f>E4-E7</f>
        <v>-110.40299999999999</v>
      </c>
      <c r="F8" s="23">
        <f>F4-F7</f>
        <v>-136.919</v>
      </c>
      <c r="G8" s="23">
        <f>G4-G7</f>
        <v>-178.20499999999998</v>
      </c>
      <c r="H8" s="23">
        <f>H4-H7</f>
        <v>-179.037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1.582</v>
      </c>
      <c r="C9" s="23" t="n">
        <v>-8.909000000000001</v>
      </c>
      <c r="D9" s="23" t="n">
        <v>11.678</v>
      </c>
      <c r="E9" s="23" t="n">
        <v>19.306</v>
      </c>
      <c r="F9" s="23" t="n">
        <v>19.235</v>
      </c>
      <c r="G9" s="23" t="n">
        <v>24.677</v>
      </c>
      <c r="H9" s="23" t="n">
        <v>-93.203</v>
      </c>
    </row>
    <row r="10">
      <c r="A10" s="2" t="inlineStr">
        <is>
          <t>Pretax</t>
        </is>
      </c>
      <c r="B10" s="23">
        <f>B8+B9</f>
        <v>-19.597</v>
      </c>
      <c r="C10" s="23">
        <f>C8+C9</f>
        <v>-60.302</v>
      </c>
      <c r="D10" s="23">
        <f>D8+D9</f>
        <v>-71.543</v>
      </c>
      <c r="E10" s="23">
        <f>E8+E9</f>
        <v>-91.097</v>
      </c>
      <c r="F10" s="23">
        <f>F8+F9</f>
        <v>-117.68400000000001</v>
      </c>
      <c r="G10" s="23">
        <f>G8+G9</f>
        <v>-153.528</v>
      </c>
      <c r="H10" s="23">
        <f>H8+H9</f>
        <v>-272.24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0.015</v>
      </c>
      <c r="C11" s="23" t="n">
        <v>0.032</v>
      </c>
      <c r="D11" s="23" t="n">
        <v>0.199</v>
      </c>
      <c r="E11" s="23" t="n">
        <v>0.408</v>
      </c>
      <c r="F11" s="23" t="n">
        <v>0.78</v>
      </c>
      <c r="G11" s="23" t="n">
        <v>1.594</v>
      </c>
      <c r="H11" s="23" t="n">
        <v>-2.473</v>
      </c>
    </row>
    <row r="12">
      <c r="A12" s="2" t="inlineStr">
        <is>
          <t>Net Income</t>
        </is>
      </c>
      <c r="B12" s="23" t="n">
        <v>-19.612</v>
      </c>
      <c r="C12" s="23" t="n">
        <v>-60.334</v>
      </c>
      <c r="D12" s="23" t="n">
        <v>-71.742</v>
      </c>
      <c r="E12" s="23" t="n">
        <v>-91.505</v>
      </c>
      <c r="F12" s="23" t="n">
        <v>-118.464</v>
      </c>
      <c r="G12" s="23" t="n">
        <v>-155.122</v>
      </c>
      <c r="H12" s="23" t="n">
        <v>-269.767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-2.6233279828785445</v>
      </c>
      <c r="C13" s="11">
        <f>IFERROR(C12/C14,0)</f>
        <v>-3.550729755178908</v>
      </c>
      <c r="D13" s="11">
        <f>IFERROR(D12/D14,0)</f>
        <v>-1.7936396819840994</v>
      </c>
      <c r="E13" s="11">
        <f>IFERROR(E12/E14,0)</f>
        <v>-2.1563059666321047</v>
      </c>
      <c r="F13" s="11">
        <f>IFERROR(F12/F14,0)</f>
        <v>-2.321548953515717</v>
      </c>
      <c r="G13" s="11">
        <f>IFERROR(G12/G14,0)</f>
        <v>-2.2986826311811863</v>
      </c>
      <c r="H13" s="11">
        <f>IFERROR(H12/H14,0)</f>
        <v>-2.885054275172451</v>
      </c>
    </row>
    <row r="14">
      <c r="A14" s="2" t="inlineStr">
        <is>
          <t>Shares</t>
        </is>
      </c>
      <c r="B14" s="23" t="n">
        <v>7.476</v>
      </c>
      <c r="C14" s="23" t="n">
        <v>16.992</v>
      </c>
      <c r="D14" s="23" t="n">
        <v>39.998</v>
      </c>
      <c r="E14" s="23" t="n">
        <v>42.436</v>
      </c>
      <c r="F14" s="23" t="n">
        <v>51.028</v>
      </c>
      <c r="G14" s="23" t="n">
        <v>67.483</v>
      </c>
      <c r="H14" s="23" t="n">
        <v>93.505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Compass Pathways PLC: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0.6703442000000001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181.764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786.5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1037.4908674357682</v>
      </c>
      <c r="C29" s="42">
        <f>NPV!B25</f>
        <v>1420.0588674357682</v>
      </c>
      <c r="D29" s="43">
        <f>NPV!B27</f>
        <v>10.254848767657077</v>
      </c>
      <c r="E29" s="44">
        <f>NPV!B29</f>
        <v>-0.13824800271789273</v>
      </c>
    </row>
    <row r="30">
      <c r="A30" s="45" t="n">
        <v>1</v>
      </c>
      <c r="B30" s="46">
        <f t="dataTable" ref="B30:E32" r1="B4"/>
        <v>181.48448083138996</v>
      </c>
      <c r="C30" s="46">
        <v>564.05248083139</v>
      </c>
      <c r="D30" s="47">
        <v>4.073262750291814</v>
      </c>
      <c r="E30" s="48">
        <v>-0.6577090125805198</v>
      </c>
    </row>
    <row r="31">
      <c r="A31" s="45" t="n">
        <v>2</v>
      </c>
      <c r="B31" s="46">
        <v>1037.4908674357682</v>
      </c>
      <c r="C31" s="46">
        <v>1420.0588674357682</v>
      </c>
      <c r="D31" s="47">
        <v>10.254848767657077</v>
      </c>
      <c r="E31" s="48">
        <v>-0.13824800271789273</v>
      </c>
    </row>
    <row r="32">
      <c r="A32" s="45" t="n">
        <v>3</v>
      </c>
      <c r="B32" s="46">
        <v>2348.2618516395414</v>
      </c>
      <c r="C32" s="46">
        <v>2730.8298516395416</v>
      </c>
      <c r="D32" s="47">
        <v>19.720483270763836</v>
      </c>
      <c r="E32" s="48">
        <v>0.6571834681314148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10.254848767657077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2.927605058918559</v>
      </c>
      <c r="C37" s="47">
        <v>4.660269100027715</v>
      </c>
      <c r="D37" s="47">
        <v>6.3321873563891</v>
      </c>
      <c r="E37" s="47">
        <v>9.605724338660186</v>
      </c>
      <c r="F37" s="47">
        <v>12.83599490341582</v>
      </c>
    </row>
    <row r="38">
      <c r="A38" s="50" t="n">
        <v>0.8</v>
      </c>
      <c r="B38" s="47">
        <v>3.8528233381467705</v>
      </c>
      <c r="C38" s="47">
        <v>6.101083715225595</v>
      </c>
      <c r="D38" s="47">
        <v>8.291627937345982</v>
      </c>
      <c r="E38" s="47">
        <v>12.611426347565676</v>
      </c>
      <c r="F38" s="47">
        <v>16.893837307866836</v>
      </c>
    </row>
    <row r="39">
      <c r="A39" s="50" t="n">
        <v>1</v>
      </c>
      <c r="B39" s="47">
        <v>4.774637731915073</v>
      </c>
      <c r="C39" s="47">
        <v>7.541005693869234</v>
      </c>
      <c r="D39" s="47">
        <v>10.254848767657077</v>
      </c>
      <c r="E39" s="47">
        <v>15.624586768449173</v>
      </c>
      <c r="F39" s="47">
        <v>20.96660019100724</v>
      </c>
    </row>
    <row r="40">
      <c r="A40" s="50" t="n">
        <v>1.2</v>
      </c>
      <c r="B40" s="47">
        <v>5.702852997412796</v>
      </c>
      <c r="C40" s="47">
        <v>8.988754575767622</v>
      </c>
      <c r="D40" s="47">
        <v>12.226803293201296</v>
      </c>
      <c r="E40" s="47">
        <v>18.650216974428595</v>
      </c>
      <c r="F40" s="47">
        <v>25.044365441084693</v>
      </c>
    </row>
    <row r="41">
      <c r="A41" s="50" t="n">
        <v>1.4</v>
      </c>
      <c r="B41" s="47">
        <v>6.641553768847194</v>
      </c>
      <c r="C41" s="47">
        <v>10.45044995576839</v>
      </c>
      <c r="D41" s="47">
        <v>14.218298396177348</v>
      </c>
      <c r="E41" s="47">
        <v>21.697117187758654</v>
      </c>
      <c r="F41" s="47">
        <v>29.137957755163956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Compass Pathways PLC: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Depression / mood</t>
        </is>
      </c>
      <c r="C4" s="14" t="inlineStr">
        <is>
          <t>Psilocybin</t>
        </is>
      </c>
      <c r="D4" s="14" t="inlineStr">
        <is>
          <t>Phase 3</t>
        </is>
      </c>
      <c r="E4" s="14" t="inlineStr">
        <is>
          <t>Psychiatry / chronic</t>
        </is>
      </c>
      <c r="F4" s="14" t="inlineStr">
        <is>
          <t>Owned</t>
        </is>
      </c>
      <c r="G4" s="40" t="n">
        <v>2000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1580.7667677246109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110.2</v>
      </c>
      <c r="Q4" s="23">
        <f>IF(Q$3&lt;$I4,0,$G4*Assumptions!$E$11*INDEX(Assumptions!$B$24:$G$24,MIN(6,Q$3-$I4+1))*IF(Q$3&gt;$J4,(1-Assumptions!$B$26)^(Q$3-$J4),1)*IF($H4&gt;=1,1,MIN(0.97,$H4*Assumptions!$E$12)))</f>
        <v>275.5</v>
      </c>
      <c r="R4" s="23">
        <f>IF(R$3&lt;$I4,0,$G4*Assumptions!$E$11*INDEX(Assumptions!$B$24:$G$24,MIN(6,R$3-$I4+1))*IF(R$3&gt;$J4,(1-Assumptions!$B$26)^(R$3-$J4),1)*IF($H4&gt;=1,1,MIN(0.97,$H4*Assumptions!$E$12)))</f>
        <v>495.90000000000003</v>
      </c>
      <c r="S4" s="23">
        <f>IF(S$3&lt;$I4,0,$G4*Assumptions!$E$11*INDEX(Assumptions!$B$24:$G$24,MIN(6,S$3-$I4+1))*IF(S$3&gt;$J4,(1-Assumptions!$B$26)^(S$3-$J4),1)*IF($H4&gt;=1,1,MIN(0.97,$H4*Assumptions!$E$12)))</f>
        <v>716.3000000000001</v>
      </c>
      <c r="T4" s="23">
        <f>IF(T$3&lt;$I4,0,$G4*Assumptions!$E$11*INDEX(Assumptions!$B$24:$G$24,MIN(6,T$3-$I4+1))*IF(T$3&gt;$J4,(1-Assumptions!$B$26)^(T$3-$J4),1)*IF($H4&gt;=1,1,MIN(0.97,$H4*Assumptions!$E$12)))</f>
        <v>936.7</v>
      </c>
      <c r="U4" s="23">
        <f>IF(U$3&lt;$I4,0,$G4*Assumptions!$E$11*INDEX(Assumptions!$B$24:$G$24,MIN(6,U$3-$I4+1))*IF(U$3&gt;$J4,(1-Assumptions!$B$26)^(U$3-$J4),1)*IF($H4&gt;=1,1,MIN(0.97,$H4*Assumptions!$E$12)))</f>
        <v>1102.0</v>
      </c>
      <c r="V4" s="23">
        <f>IF(V$3&lt;$I4,0,$G4*Assumptions!$E$11*INDEX(Assumptions!$B$24:$G$24,MIN(6,V$3-$I4+1))*IF(V$3&gt;$J4,(1-Assumptions!$B$26)^(V$3-$J4),1)*IF($H4&gt;=1,1,MIN(0.97,$H4*Assumptions!$E$12)))</f>
        <v>1102.0</v>
      </c>
      <c r="W4" s="23">
        <f>IF(W$3&lt;$I4,0,$G4*Assumptions!$E$11*INDEX(Assumptions!$B$24:$G$24,MIN(6,W$3-$I4+1))*IF(W$3&gt;$J4,(1-Assumptions!$B$26)^(W$3-$J4),1)*IF($H4&gt;=1,1,MIN(0.97,$H4*Assumptions!$E$12)))</f>
        <v>1102.0</v>
      </c>
      <c r="X4" s="23">
        <f>IF(X$3&lt;$I4,0,$G4*Assumptions!$E$11*INDEX(Assumptions!$B$24:$G$24,MIN(6,X$3-$I4+1))*IF(X$3&gt;$J4,(1-Assumptions!$B$26)^(X$3-$J4),1)*IF($H4&gt;=1,1,MIN(0.97,$H4*Assumptions!$E$12)))</f>
        <v>1102.0</v>
      </c>
      <c r="Y4" s="23">
        <f>IF(Y$3&lt;$I4,0,$G4*Assumptions!$E$11*INDEX(Assumptions!$B$24:$G$24,MIN(6,Y$3-$I4+1))*IF(Y$3&gt;$J4,(1-Assumptions!$B$26)^(Y$3-$J4),1)*IF($H4&gt;=1,1,MIN(0.97,$H4*Assumptions!$E$12)))</f>
        <v>1102.0</v>
      </c>
      <c r="Z4" s="23">
        <f>IF(Z$3&lt;$I4,0,$G4*Assumptions!$E$11*INDEX(Assumptions!$B$24:$G$24,MIN(6,Z$3-$I4+1))*IF(Z$3&gt;$J4,(1-Assumptions!$B$26)^(Z$3-$J4),1)*IF($H4&gt;=1,1,MIN(0.97,$H4*Assumptions!$E$12)))</f>
        <v>1102.0</v>
      </c>
      <c r="AA4" s="23">
        <f>IF(AA$3&lt;$I4,0,$G4*Assumptions!$E$11*INDEX(Assumptions!$B$24:$G$24,MIN(6,AA$3-$I4+1))*IF(AA$3&gt;$J4,(1-Assumptions!$B$26)^(AA$3-$J4),1)*IF($H4&gt;=1,1,MIN(0.97,$H4*Assumptions!$E$12)))</f>
        <v>1102.0</v>
      </c>
      <c r="AB4" s="23">
        <f>IF(AB$3&lt;$I4,0,$G4*Assumptions!$E$11*INDEX(Assumptions!$B$24:$G$24,MIN(6,AB$3-$I4+1))*IF(AB$3&gt;$J4,(1-Assumptions!$B$26)^(AB$3-$J4),1)*IF($H4&gt;=1,1,MIN(0.97,$H4*Assumptions!$E$12)))</f>
        <v>1102.0</v>
      </c>
      <c r="AC4" s="23">
        <f>IF(AC$3&lt;$I4,0,$G4*Assumptions!$E$11*INDEX(Assumptions!$B$24:$G$24,MIN(6,AC$3-$I4+1))*IF(AC$3&gt;$J4,(1-Assumptions!$B$26)^(AC$3-$J4),1)*IF($H4&gt;=1,1,MIN(0.97,$H4*Assumptions!$E$12)))</f>
        <v>551.0</v>
      </c>
      <c r="AD4" s="23">
        <f>IF(AD$3&lt;$I4,0,$G4*Assumptions!$E$11*INDEX(Assumptions!$B$24:$G$24,MIN(6,AD$3-$I4+1))*IF(AD$3&gt;$J4,(1-Assumptions!$B$26)^(AD$3-$J4),1)*IF($H4&gt;=1,1,MIN(0.97,$H4*Assumptions!$E$12)))</f>
        <v>275.5</v>
      </c>
      <c r="AE4" s="23">
        <f>IF(AE$3&lt;$I4,0,$G4*Assumptions!$E$11*INDEX(Assumptions!$B$24:$G$24,MIN(6,AE$3-$I4+1))*IF(AE$3&gt;$J4,(1-Assumptions!$B$26)^(AE$3-$J4),1)*IF($H4&gt;=1,1,MIN(0.97,$H4*Assumptions!$E$12)))</f>
        <v>137.75</v>
      </c>
      <c r="AF4" s="23">
        <f>IF(AF$3&lt;$I4,0,$G4*Assumptions!$E$11*INDEX(Assumptions!$B$24:$G$24,MIN(6,AF$3-$I4+1))*IF(AF$3&gt;$J4,(1-Assumptions!$B$26)^(AF$3-$J4),1)*IF($H4&gt;=1,1,MIN(0.97,$H4*Assumptions!$E$12)))</f>
        <v>68.875</v>
      </c>
      <c r="AG4" s="35">
        <f>IF(F4="Owned",1-IF(H4&gt;=1,1,MIN(0.97,H4*Assumptions!$E$12)),1)</f>
        <v>0.44899999999999995</v>
      </c>
    </row>
    <row r="5">
      <c r="A5" s="39" t="n">
        <v>2</v>
      </c>
      <c r="B5" s="14" t="inlineStr">
        <is>
          <t>Anxiety / PTSD / addiction</t>
        </is>
      </c>
      <c r="C5" s="14" t="inlineStr">
        <is>
          <t>COMP360 psilocybin</t>
        </is>
      </c>
      <c r="D5" s="14" t="inlineStr">
        <is>
          <t>Phase 2/3</t>
        </is>
      </c>
      <c r="E5" s="14" t="inlineStr">
        <is>
          <t>Psychiatry / area</t>
        </is>
      </c>
      <c r="F5" s="14" t="inlineStr">
        <is>
          <t>Owned</t>
        </is>
      </c>
      <c r="G5" s="40" t="n">
        <v>800</v>
      </c>
      <c r="H5" s="27" t="n">
        <v>0.2658</v>
      </c>
      <c r="I5" s="26" t="n">
        <v>2030</v>
      </c>
      <c r="J5" s="39">
        <f>I5+Assumptions!$B$25</f>
        <v>2042.0</v>
      </c>
      <c r="K5" s="53">
        <f>Assumptions!$E$13</f>
        <v>0.4</v>
      </c>
      <c r="L5" s="23">
        <f>K5*SUMPRODUCT(M5:AF5,NPV!$C$15:$V$15)</f>
        <v>271.7902361161247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21.264</v>
      </c>
      <c r="R5" s="23">
        <f>IF(R$3&lt;$I5,0,$G5*Assumptions!$E$11*INDEX(Assumptions!$B$24:$G$24,MIN(6,R$3-$I5+1))*IF(R$3&gt;$J5,(1-Assumptions!$B$26)^(R$3-$J5),1)*IF($H5&gt;=1,1,MIN(0.97,$H5*Assumptions!$E$12)))</f>
        <v>53.16</v>
      </c>
      <c r="S5" s="23">
        <f>IF(S$3&lt;$I5,0,$G5*Assumptions!$E$11*INDEX(Assumptions!$B$24:$G$24,MIN(6,S$3-$I5+1))*IF(S$3&gt;$J5,(1-Assumptions!$B$26)^(S$3-$J5),1)*IF($H5&gt;=1,1,MIN(0.97,$H5*Assumptions!$E$12)))</f>
        <v>95.68799999999999</v>
      </c>
      <c r="T5" s="23">
        <f>IF(T$3&lt;$I5,0,$G5*Assumptions!$E$11*INDEX(Assumptions!$B$24:$G$24,MIN(6,T$3-$I5+1))*IF(T$3&gt;$J5,(1-Assumptions!$B$26)^(T$3-$J5),1)*IF($H5&gt;=1,1,MIN(0.97,$H5*Assumptions!$E$12)))</f>
        <v>138.21599999999998</v>
      </c>
      <c r="U5" s="23">
        <f>IF(U$3&lt;$I5,0,$G5*Assumptions!$E$11*INDEX(Assumptions!$B$24:$G$24,MIN(6,U$3-$I5+1))*IF(U$3&gt;$J5,(1-Assumptions!$B$26)^(U$3-$J5),1)*IF($H5&gt;=1,1,MIN(0.97,$H5*Assumptions!$E$12)))</f>
        <v>180.744</v>
      </c>
      <c r="V5" s="23">
        <f>IF(V$3&lt;$I5,0,$G5*Assumptions!$E$11*INDEX(Assumptions!$B$24:$G$24,MIN(6,V$3-$I5+1))*IF(V$3&gt;$J5,(1-Assumptions!$B$26)^(V$3-$J5),1)*IF($H5&gt;=1,1,MIN(0.97,$H5*Assumptions!$E$12)))</f>
        <v>212.64</v>
      </c>
      <c r="W5" s="23">
        <f>IF(W$3&lt;$I5,0,$G5*Assumptions!$E$11*INDEX(Assumptions!$B$24:$G$24,MIN(6,W$3-$I5+1))*IF(W$3&gt;$J5,(1-Assumptions!$B$26)^(W$3-$J5),1)*IF($H5&gt;=1,1,MIN(0.97,$H5*Assumptions!$E$12)))</f>
        <v>212.64</v>
      </c>
      <c r="X5" s="23">
        <f>IF(X$3&lt;$I5,0,$G5*Assumptions!$E$11*INDEX(Assumptions!$B$24:$G$24,MIN(6,X$3-$I5+1))*IF(X$3&gt;$J5,(1-Assumptions!$B$26)^(X$3-$J5),1)*IF($H5&gt;=1,1,MIN(0.97,$H5*Assumptions!$E$12)))</f>
        <v>212.64</v>
      </c>
      <c r="Y5" s="23">
        <f>IF(Y$3&lt;$I5,0,$G5*Assumptions!$E$11*INDEX(Assumptions!$B$24:$G$24,MIN(6,Y$3-$I5+1))*IF(Y$3&gt;$J5,(1-Assumptions!$B$26)^(Y$3-$J5),1)*IF($H5&gt;=1,1,MIN(0.97,$H5*Assumptions!$E$12)))</f>
        <v>212.64</v>
      </c>
      <c r="Z5" s="23">
        <f>IF(Z$3&lt;$I5,0,$G5*Assumptions!$E$11*INDEX(Assumptions!$B$24:$G$24,MIN(6,Z$3-$I5+1))*IF(Z$3&gt;$J5,(1-Assumptions!$B$26)^(Z$3-$J5),1)*IF($H5&gt;=1,1,MIN(0.97,$H5*Assumptions!$E$12)))</f>
        <v>212.64</v>
      </c>
      <c r="AA5" s="23">
        <f>IF(AA$3&lt;$I5,0,$G5*Assumptions!$E$11*INDEX(Assumptions!$B$24:$G$24,MIN(6,AA$3-$I5+1))*IF(AA$3&gt;$J5,(1-Assumptions!$B$26)^(AA$3-$J5),1)*IF($H5&gt;=1,1,MIN(0.97,$H5*Assumptions!$E$12)))</f>
        <v>212.64</v>
      </c>
      <c r="AB5" s="23">
        <f>IF(AB$3&lt;$I5,0,$G5*Assumptions!$E$11*INDEX(Assumptions!$B$24:$G$24,MIN(6,AB$3-$I5+1))*IF(AB$3&gt;$J5,(1-Assumptions!$B$26)^(AB$3-$J5),1)*IF($H5&gt;=1,1,MIN(0.97,$H5*Assumptions!$E$12)))</f>
        <v>212.64</v>
      </c>
      <c r="AC5" s="23">
        <f>IF(AC$3&lt;$I5,0,$G5*Assumptions!$E$11*INDEX(Assumptions!$B$24:$G$24,MIN(6,AC$3-$I5+1))*IF(AC$3&gt;$J5,(1-Assumptions!$B$26)^(AC$3-$J5),1)*IF($H5&gt;=1,1,MIN(0.97,$H5*Assumptions!$E$12)))</f>
        <v>212.64</v>
      </c>
      <c r="AD5" s="23">
        <f>IF(AD$3&lt;$I5,0,$G5*Assumptions!$E$11*INDEX(Assumptions!$B$24:$G$24,MIN(6,AD$3-$I5+1))*IF(AD$3&gt;$J5,(1-Assumptions!$B$26)^(AD$3-$J5),1)*IF($H5&gt;=1,1,MIN(0.97,$H5*Assumptions!$E$12)))</f>
        <v>106.32</v>
      </c>
      <c r="AE5" s="23">
        <f>IF(AE$3&lt;$I5,0,$G5*Assumptions!$E$11*INDEX(Assumptions!$B$24:$G$24,MIN(6,AE$3-$I5+1))*IF(AE$3&gt;$J5,(1-Assumptions!$B$26)^(AE$3-$J5),1)*IF($H5&gt;=1,1,MIN(0.97,$H5*Assumptions!$E$12)))</f>
        <v>53.16</v>
      </c>
      <c r="AF5" s="23">
        <f>IF(AF$3&lt;$I5,0,$G5*Assumptions!$E$11*INDEX(Assumptions!$B$24:$G$24,MIN(6,AF$3-$I5+1))*IF(AF$3&gt;$J5,(1-Assumptions!$B$26)^(AF$3-$J5),1)*IF($H5&gt;=1,1,MIN(0.97,$H5*Assumptions!$E$12)))</f>
        <v>26.58</v>
      </c>
      <c r="AG5" s="35">
        <f>IF(F5="Owned",1-IF(H5&gt;=1,1,MIN(0.97,H5*Assumptions!$E$12)),1)</f>
        <v>0.7342</v>
      </c>
    </row>
    <row r="6">
      <c r="B6" s="24" t="inlineStr">
        <is>
          <t>Risked revenue</t>
        </is>
      </c>
      <c r="L6" s="54">
        <f>SUM(L4:L5)</f>
        <v>1852.5570038407354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110.2</v>
      </c>
      <c r="Q6" s="54">
        <f>SUM(Q4:Q5)</f>
        <v>296.764</v>
      </c>
      <c r="R6" s="54">
        <f>SUM(R4:R5)</f>
        <v>549.0600000000001</v>
      </c>
      <c r="S6" s="54">
        <f>SUM(S4:S5)</f>
        <v>811.988</v>
      </c>
      <c r="T6" s="54">
        <f>SUM(T4:T5)</f>
        <v>1074.916</v>
      </c>
      <c r="U6" s="54">
        <f>SUM(U4:U5)</f>
        <v>1282.744</v>
      </c>
      <c r="V6" s="54">
        <f>SUM(V4:V5)</f>
        <v>1314.6399999999999</v>
      </c>
      <c r="W6" s="54">
        <f>SUM(W4:W5)</f>
        <v>1314.6399999999999</v>
      </c>
      <c r="X6" s="54">
        <f>SUM(X4:X5)</f>
        <v>1314.6399999999999</v>
      </c>
      <c r="Y6" s="54">
        <f>SUM(Y4:Y5)</f>
        <v>1314.6399999999999</v>
      </c>
      <c r="Z6" s="54">
        <f>SUM(Z4:Z5)</f>
        <v>1314.6399999999999</v>
      </c>
      <c r="AA6" s="54">
        <f>SUM(AA4:AA5)</f>
        <v>1314.6399999999999</v>
      </c>
      <c r="AB6" s="54">
        <f>SUM(AB4:AB5)</f>
        <v>1314.6399999999999</v>
      </c>
      <c r="AC6" s="54">
        <f>SUM(AC4:AC5)</f>
        <v>763.64</v>
      </c>
      <c r="AD6" s="54">
        <f>SUM(AD4:AD5)</f>
        <v>381.82</v>
      </c>
      <c r="AE6" s="54">
        <f>SUM(AE4:AE5)</f>
        <v>190.91</v>
      </c>
      <c r="AF6" s="54">
        <f>SUM(AF4:AF5)</f>
        <v>95.455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44.080000000000005</v>
      </c>
      <c r="Q7" s="55">
        <f>SUMPRODUCT(Q4:Q5,$K$4:$K$5)</f>
        <v>118.7056</v>
      </c>
      <c r="R7" s="55">
        <f>SUMPRODUCT(R4:R5,$K$4:$K$5)</f>
        <v>219.62400000000002</v>
      </c>
      <c r="S7" s="55">
        <f>SUMPRODUCT(S4:S5,$K$4:$K$5)</f>
        <v>324.7952</v>
      </c>
      <c r="T7" s="55">
        <f>SUMPRODUCT(T4:T5,$K$4:$K$5)</f>
        <v>429.9664000000001</v>
      </c>
      <c r="U7" s="55">
        <f>SUMPRODUCT(U4:U5,$K$4:$K$5)</f>
        <v>513.0976</v>
      </c>
      <c r="V7" s="55">
        <f>SUMPRODUCT(V4:V5,$K$4:$K$5)</f>
        <v>525.856</v>
      </c>
      <c r="W7" s="55">
        <f>SUMPRODUCT(W4:W5,$K$4:$K$5)</f>
        <v>525.856</v>
      </c>
      <c r="X7" s="55">
        <f>SUMPRODUCT(X4:X5,$K$4:$K$5)</f>
        <v>525.856</v>
      </c>
      <c r="Y7" s="55">
        <f>SUMPRODUCT(Y4:Y5,$K$4:$K$5)</f>
        <v>525.856</v>
      </c>
      <c r="Z7" s="55">
        <f>SUMPRODUCT(Z4:Z5,$K$4:$K$5)</f>
        <v>525.856</v>
      </c>
      <c r="AA7" s="55">
        <f>SUMPRODUCT(AA4:AA5,$K$4:$K$5)</f>
        <v>525.856</v>
      </c>
      <c r="AB7" s="55">
        <f>SUMPRODUCT(AB4:AB5,$K$4:$K$5)</f>
        <v>525.856</v>
      </c>
      <c r="AC7" s="55">
        <f>SUMPRODUCT(AC4:AC5,$K$4:$K$5)</f>
        <v>305.456</v>
      </c>
      <c r="AD7" s="55">
        <f>SUMPRODUCT(AD4:AD5,$K$4:$K$5)</f>
        <v>152.728</v>
      </c>
      <c r="AE7" s="55">
        <f>SUMPRODUCT(AE4:AE5,$K$4:$K$5)</f>
        <v>76.364</v>
      </c>
      <c r="AF7" s="55">
        <f>SUMPRODUCT(AF4:AF5,$K$4:$K$5)</f>
        <v>38.182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Compass Pathways PLC: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110.2</v>
      </c>
      <c r="G4" s="57">
        <f>Pipeline!Q6</f>
        <v>296.764</v>
      </c>
      <c r="H4" s="57">
        <f>Pipeline!R6</f>
        <v>549.0600000000001</v>
      </c>
      <c r="I4" s="57">
        <f>Pipeline!S6</f>
        <v>811.988</v>
      </c>
      <c r="J4" s="57">
        <f>Pipeline!T6</f>
        <v>1074.916</v>
      </c>
      <c r="K4" s="57">
        <f>Pipeline!U6</f>
        <v>1282.744</v>
      </c>
      <c r="L4" s="57">
        <f>Pipeline!V6</f>
        <v>1314.6399999999999</v>
      </c>
      <c r="M4" s="57">
        <f>Pipeline!W6</f>
        <v>1314.6399999999999</v>
      </c>
      <c r="N4" s="57">
        <f>Pipeline!X6</f>
        <v>1314.6399999999999</v>
      </c>
      <c r="O4" s="57">
        <f>Pipeline!Y6</f>
        <v>1314.6399999999999</v>
      </c>
      <c r="P4" s="57">
        <f>Pipeline!Z6</f>
        <v>1314.6399999999999</v>
      </c>
      <c r="Q4" s="57">
        <f>Pipeline!AA6</f>
        <v>1314.6399999999999</v>
      </c>
      <c r="R4" s="57">
        <f>Pipeline!AB6</f>
        <v>1314.6399999999999</v>
      </c>
      <c r="S4" s="57">
        <f>Pipeline!AC6</f>
        <v>763.64</v>
      </c>
      <c r="T4" s="57">
        <f>Pipeline!AD6</f>
        <v>381.82</v>
      </c>
      <c r="U4" s="57">
        <f>Pipeline!AE6</f>
        <v>190.91</v>
      </c>
      <c r="V4" s="57">
        <f>Pipeline!AF6</f>
        <v>95.455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44.080000000000005</v>
      </c>
      <c r="G5" s="57">
        <f>Pipeline!Q7</f>
        <v>118.7056</v>
      </c>
      <c r="H5" s="57">
        <f>Pipeline!R7</f>
        <v>219.62400000000002</v>
      </c>
      <c r="I5" s="57">
        <f>Pipeline!S7</f>
        <v>324.7952</v>
      </c>
      <c r="J5" s="57">
        <f>Pipeline!T7</f>
        <v>429.9664000000001</v>
      </c>
      <c r="K5" s="57">
        <f>Pipeline!U7</f>
        <v>513.0976</v>
      </c>
      <c r="L5" s="57">
        <f>Pipeline!V7</f>
        <v>525.856</v>
      </c>
      <c r="M5" s="57">
        <f>Pipeline!W7</f>
        <v>525.856</v>
      </c>
      <c r="N5" s="57">
        <f>Pipeline!X7</f>
        <v>525.856</v>
      </c>
      <c r="O5" s="57">
        <f>Pipeline!Y7</f>
        <v>525.856</v>
      </c>
      <c r="P5" s="57">
        <f>Pipeline!Z7</f>
        <v>525.856</v>
      </c>
      <c r="Q5" s="57">
        <f>Pipeline!AA7</f>
        <v>525.856</v>
      </c>
      <c r="R5" s="57">
        <f>Pipeline!AB7</f>
        <v>525.856</v>
      </c>
      <c r="S5" s="57">
        <f>Pipeline!AC7</f>
        <v>305.456</v>
      </c>
      <c r="T5" s="57">
        <f>Pipeline!AD7</f>
        <v>152.728</v>
      </c>
      <c r="U5" s="57">
        <f>Pipeline!AE7</f>
        <v>76.364</v>
      </c>
      <c r="V5" s="57">
        <f>Pipeline!AF7</f>
        <v>38.182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-181.764</v>
      </c>
      <c r="D6" s="23">
        <f>-IF(D3-2026&lt;Assumptions!$B$19,Assumptions!$B$18,Assumptions!$B$18*Assumptions!$B$20*Assumptions!$B$16)</f>
        <v>-181.764</v>
      </c>
      <c r="E6" s="23">
        <f>-IF(E3-2026&lt;Assumptions!$B$19,Assumptions!$B$18,Assumptions!$B$18*Assumptions!$B$20*Assumptions!$B$16)</f>
        <v>-181.764</v>
      </c>
      <c r="F6" s="23">
        <f>-IF(F3-2026&lt;Assumptions!$B$19,Assumptions!$B$18,Assumptions!$B$18*Assumptions!$B$20*Assumptions!$B$16)</f>
        <v>-36.553332950640005</v>
      </c>
      <c r="G6" s="23">
        <f>-IF(G3-2026&lt;Assumptions!$B$19,Assumptions!$B$18,Assumptions!$B$18*Assumptions!$B$20*Assumptions!$B$16)</f>
        <v>-36.553332950640005</v>
      </c>
      <c r="H6" s="23">
        <f>-IF(H3-2026&lt;Assumptions!$B$19,Assumptions!$B$18,Assumptions!$B$18*Assumptions!$B$20*Assumptions!$B$16)</f>
        <v>-36.553332950640005</v>
      </c>
      <c r="I6" s="23">
        <f>-IF(I3-2026&lt;Assumptions!$B$19,Assumptions!$B$18,Assumptions!$B$18*Assumptions!$B$20*Assumptions!$B$16)</f>
        <v>-36.553332950640005</v>
      </c>
      <c r="J6" s="23">
        <f>-IF(J3-2026&lt;Assumptions!$B$19,Assumptions!$B$18,Assumptions!$B$18*Assumptions!$B$20*Assumptions!$B$16)</f>
        <v>-36.553332950640005</v>
      </c>
      <c r="K6" s="23">
        <f>-IF(K3-2026&lt;Assumptions!$B$19,Assumptions!$B$18,Assumptions!$B$18*Assumptions!$B$20*Assumptions!$B$16)</f>
        <v>-36.553332950640005</v>
      </c>
      <c r="L6" s="23">
        <f>-IF(L3-2026&lt;Assumptions!$B$19,Assumptions!$B$18,Assumptions!$B$18*Assumptions!$B$20*Assumptions!$B$16)</f>
        <v>-36.553332950640005</v>
      </c>
      <c r="M6" s="23">
        <f>-IF(M3-2026&lt;Assumptions!$B$19,Assumptions!$B$18,Assumptions!$B$18*Assumptions!$B$20*Assumptions!$B$16)</f>
        <v>-36.553332950640005</v>
      </c>
      <c r="N6" s="23">
        <f>-IF(N3-2026&lt;Assumptions!$B$19,Assumptions!$B$18,Assumptions!$B$18*Assumptions!$B$20*Assumptions!$B$16)</f>
        <v>-36.553332950640005</v>
      </c>
      <c r="O6" s="23">
        <f>-IF(O3-2026&lt;Assumptions!$B$19,Assumptions!$B$18,Assumptions!$B$18*Assumptions!$B$20*Assumptions!$B$16)</f>
        <v>-36.553332950640005</v>
      </c>
      <c r="P6" s="23">
        <f>-IF(P3-2026&lt;Assumptions!$B$19,Assumptions!$B$18,Assumptions!$B$18*Assumptions!$B$20*Assumptions!$B$16)</f>
        <v>-36.553332950640005</v>
      </c>
      <c r="Q6" s="23">
        <f>-IF(Q3-2026&lt;Assumptions!$B$19,Assumptions!$B$18,Assumptions!$B$18*Assumptions!$B$20*Assumptions!$B$16)</f>
        <v>-36.553332950640005</v>
      </c>
      <c r="R6" s="23">
        <f>-IF(R3-2026&lt;Assumptions!$B$19,Assumptions!$B$18,Assumptions!$B$18*Assumptions!$B$20*Assumptions!$B$16)</f>
        <v>-36.553332950640005</v>
      </c>
      <c r="S6" s="23">
        <f>-IF(S3-2026&lt;Assumptions!$B$19,Assumptions!$B$18,Assumptions!$B$18*Assumptions!$B$20*Assumptions!$B$16)</f>
        <v>-36.553332950640005</v>
      </c>
      <c r="T6" s="23">
        <f>-IF(T3-2026&lt;Assumptions!$B$19,Assumptions!$B$18,Assumptions!$B$18*Assumptions!$B$20*Assumptions!$B$16)</f>
        <v>-36.553332950640005</v>
      </c>
      <c r="U6" s="23">
        <f>-IF(U3-2026&lt;Assumptions!$B$19,Assumptions!$B$18,Assumptions!$B$18*Assumptions!$B$20*Assumptions!$B$16)</f>
        <v>-36.553332950640005</v>
      </c>
      <c r="V6" s="23">
        <f>-IF(V3-2026&lt;Assumptions!$B$19,Assumptions!$B$18,Assumptions!$B$18*Assumptions!$B$20*Assumptions!$B$16)</f>
        <v>-36.553332950640005</v>
      </c>
    </row>
    <row r="7">
      <c r="A7" s="14" t="inlineStr">
        <is>
          <t>Pre-tax cash flow</t>
        </is>
      </c>
      <c r="C7" s="23">
        <f>C5+C6</f>
        <v>-181.764</v>
      </c>
      <c r="D7" s="23">
        <f>D5+D6</f>
        <v>-181.764</v>
      </c>
      <c r="E7" s="23">
        <f>E5+E6</f>
        <v>-181.764</v>
      </c>
      <c r="F7" s="23">
        <f>F5+F6</f>
        <v>7.52666704936</v>
      </c>
      <c r="G7" s="23">
        <f>G5+G6</f>
        <v>82.15226704936</v>
      </c>
      <c r="H7" s="23">
        <f>H5+H6</f>
        <v>183.07066704936003</v>
      </c>
      <c r="I7" s="23">
        <f>I5+I6</f>
        <v>288.24186704936</v>
      </c>
      <c r="J7" s="23">
        <f>J5+J6</f>
        <v>393.41306704936005</v>
      </c>
      <c r="K7" s="23">
        <f>K5+K6</f>
        <v>476.54426704936003</v>
      </c>
      <c r="L7" s="23">
        <f>L5+L6</f>
        <v>489.30266704935997</v>
      </c>
      <c r="M7" s="23">
        <f>M5+M6</f>
        <v>489.30266704935997</v>
      </c>
      <c r="N7" s="23">
        <f>N5+N6</f>
        <v>489.30266704935997</v>
      </c>
      <c r="O7" s="23">
        <f>O5+O6</f>
        <v>489.30266704935997</v>
      </c>
      <c r="P7" s="23">
        <f>P5+P6</f>
        <v>489.30266704935997</v>
      </c>
      <c r="Q7" s="23">
        <f>Q5+Q6</f>
        <v>489.30266704935997</v>
      </c>
      <c r="R7" s="23">
        <f>R5+R6</f>
        <v>489.30266704935997</v>
      </c>
      <c r="S7" s="23">
        <f>S5+S6</f>
        <v>268.90266704936</v>
      </c>
      <c r="T7" s="23">
        <f>T5+T6</f>
        <v>116.17466704936001</v>
      </c>
      <c r="U7" s="23">
        <f>U5+U6</f>
        <v>39.81066704936</v>
      </c>
      <c r="V7" s="23">
        <f>V5+V6</f>
        <v>1.628667049359997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7.52666704936</v>
      </c>
      <c r="G8" s="23">
        <f>MIN(F17,MAX(0,G7))</f>
        <v>82.15226704936</v>
      </c>
      <c r="H8" s="23">
        <f>MIN(G17,MAX(0,H7))</f>
        <v>183.07066704936003</v>
      </c>
      <c r="I8" s="23">
        <f>MIN(H17,MAX(0,I7))</f>
        <v>288.24186704936</v>
      </c>
      <c r="J8" s="23">
        <f>MIN(I17,MAX(0,J7))</f>
        <v>393.41306704936005</v>
      </c>
      <c r="K8" s="23">
        <f>MIN(J17,MAX(0,K7))</f>
        <v>377.38746475319977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99.15680229616027</v>
      </c>
      <c r="L9" s="23">
        <f>MAX(0,L7)-L8</f>
        <v>489.30266704935997</v>
      </c>
      <c r="M9" s="23">
        <f>MAX(0,M7)-M8</f>
        <v>489.30266704935997</v>
      </c>
      <c r="N9" s="23">
        <f>MAX(0,N7)-N8</f>
        <v>489.30266704935997</v>
      </c>
      <c r="O9" s="23">
        <f>MAX(0,O7)-O8</f>
        <v>489.30266704935997</v>
      </c>
      <c r="P9" s="23">
        <f>MAX(0,P7)-P8</f>
        <v>489.30266704935997</v>
      </c>
      <c r="Q9" s="23">
        <f>MAX(0,Q7)-Q8</f>
        <v>489.30266704935997</v>
      </c>
      <c r="R9" s="23">
        <f>MAX(0,R7)-R8</f>
        <v>489.30266704935997</v>
      </c>
      <c r="S9" s="23">
        <f>MAX(0,S7)-S8</f>
        <v>268.90266704936</v>
      </c>
      <c r="T9" s="23">
        <f>MAX(0,T7)-T8</f>
        <v>116.17466704936001</v>
      </c>
      <c r="U9" s="23">
        <f>MAX(0,U7)-U8</f>
        <v>39.81066704936</v>
      </c>
      <c r="V9" s="23">
        <f>MAX(0,V7)-V8</f>
        <v>1.628667049359997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20.822928482193657</v>
      </c>
      <c r="L10" s="23">
        <f>L9*Assumptions!$E$15</f>
        <v>102.75356008036559</v>
      </c>
      <c r="M10" s="23">
        <f>M9*Assumptions!$E$15</f>
        <v>102.75356008036559</v>
      </c>
      <c r="N10" s="23">
        <f>N9*Assumptions!$E$15</f>
        <v>102.75356008036559</v>
      </c>
      <c r="O10" s="23">
        <f>O9*Assumptions!$E$15</f>
        <v>102.75356008036559</v>
      </c>
      <c r="P10" s="23">
        <f>P9*Assumptions!$E$15</f>
        <v>102.75356008036559</v>
      </c>
      <c r="Q10" s="23">
        <f>Q9*Assumptions!$E$15</f>
        <v>102.75356008036559</v>
      </c>
      <c r="R10" s="23">
        <f>R9*Assumptions!$E$15</f>
        <v>102.75356008036559</v>
      </c>
      <c r="S10" s="23">
        <f>S9*Assumptions!$E$15</f>
        <v>56.469560080365596</v>
      </c>
      <c r="T10" s="23">
        <f>T9*Assumptions!$E$15</f>
        <v>24.396680080365602</v>
      </c>
      <c r="U10" s="23">
        <f>U9*Assumptions!$E$15</f>
        <v>8.3602400803656</v>
      </c>
      <c r="V10" s="23">
        <f>V9*Assumptions!$E$15</f>
        <v>0.3420200803655994</v>
      </c>
    </row>
    <row r="11">
      <c r="A11" s="24" t="inlineStr">
        <is>
          <t>Free cash flow</t>
        </is>
      </c>
      <c r="C11" s="55">
        <f>C7-C10</f>
        <v>-181.764</v>
      </c>
      <c r="D11" s="55">
        <f>D7-D10</f>
        <v>-181.764</v>
      </c>
      <c r="E11" s="55">
        <f>E7-E10</f>
        <v>-181.764</v>
      </c>
      <c r="F11" s="55">
        <f>F7-F10</f>
        <v>7.52666704936</v>
      </c>
      <c r="G11" s="55">
        <f>G7-G10</f>
        <v>82.15226704936</v>
      </c>
      <c r="H11" s="55">
        <f>H7-H10</f>
        <v>183.07066704936003</v>
      </c>
      <c r="I11" s="55">
        <f>I7-I10</f>
        <v>288.24186704936</v>
      </c>
      <c r="J11" s="55">
        <f>J7-J10</f>
        <v>393.41306704936005</v>
      </c>
      <c r="K11" s="55">
        <f>K7-K10</f>
        <v>455.72133856716636</v>
      </c>
      <c r="L11" s="55">
        <f>L7-L10</f>
        <v>386.54910696899435</v>
      </c>
      <c r="M11" s="55">
        <f>M7-M10</f>
        <v>386.54910696899435</v>
      </c>
      <c r="N11" s="55">
        <f>N7-N10</f>
        <v>386.54910696899435</v>
      </c>
      <c r="O11" s="55">
        <f>O7-O10</f>
        <v>386.54910696899435</v>
      </c>
      <c r="P11" s="55">
        <f>P7-P10</f>
        <v>386.54910696899435</v>
      </c>
      <c r="Q11" s="55">
        <f>Q7-Q10</f>
        <v>386.54910696899435</v>
      </c>
      <c r="R11" s="55">
        <f>R7-R10</f>
        <v>386.54910696899435</v>
      </c>
      <c r="S11" s="55">
        <f>S7-S10</f>
        <v>212.4331069689944</v>
      </c>
      <c r="T11" s="55">
        <f>T7-T10</f>
        <v>91.77798696899441</v>
      </c>
      <c r="U11" s="55">
        <f>U7-U10</f>
        <v>31.4504269689944</v>
      </c>
      <c r="V11" s="55">
        <f>V7-V10</f>
        <v>1.2866469689943978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-89.0469740943009</v>
      </c>
      <c r="D16" s="55">
        <f>D11*D15</f>
        <v>-162.2138959017936</v>
      </c>
      <c r="E16" s="55">
        <f>E11*E15</f>
        <v>-144.83383562660137</v>
      </c>
      <c r="F16" s="55">
        <f>F11*F15</f>
        <v>5.354844243885925</v>
      </c>
      <c r="G16" s="55">
        <f>G11*G15</f>
        <v>52.18499762322361</v>
      </c>
      <c r="H16" s="55">
        <f>H11*H15</f>
        <v>103.83095696200049</v>
      </c>
      <c r="I16" s="55">
        <f>I11*I15</f>
        <v>145.96446247574758</v>
      </c>
      <c r="J16" s="55">
        <f>J11*J15</f>
        <v>177.87742265917902</v>
      </c>
      <c r="K16" s="55">
        <f>K11*K15</f>
        <v>183.97270294021354</v>
      </c>
      <c r="L16" s="55">
        <f>L11*L15</f>
        <v>139.32872931696338</v>
      </c>
      <c r="M16" s="55">
        <f>M11*M15</f>
        <v>124.40065117586015</v>
      </c>
      <c r="N16" s="55">
        <f>N11*N15</f>
        <v>111.07200997844653</v>
      </c>
      <c r="O16" s="55">
        <f>O11*O15</f>
        <v>99.17143748075583</v>
      </c>
      <c r="P16" s="55">
        <f>P11*P15</f>
        <v>88.5459263221034</v>
      </c>
      <c r="Q16" s="55">
        <f>Q11*Q15</f>
        <v>79.05886278759232</v>
      </c>
      <c r="R16" s="55">
        <f>R11*R15</f>
        <v>70.58827034606458</v>
      </c>
      <c r="S16" s="55">
        <f>S11*S15</f>
        <v>34.636344005281245</v>
      </c>
      <c r="T16" s="55">
        <f>T11*T15</f>
        <v>13.36073494804329</v>
      </c>
      <c r="U16" s="55">
        <f>U11*U15</f>
        <v>4.087900757391664</v>
      </c>
      <c r="V16" s="55">
        <f>V11*V15</f>
        <v>0.14931903571137695</v>
      </c>
    </row>
    <row r="17">
      <c r="A17" s="14" t="inlineStr">
        <is>
          <t>Tax-loss carryforward, end of year</t>
        </is>
      </c>
      <c r="C17" s="23">
        <f>Assumptions!$B$21-C8+MAX(0,-C7)</f>
        <v>968.264</v>
      </c>
      <c r="D17" s="23">
        <f>C17-D8+MAX(0,-D7)</f>
        <v>1150.028</v>
      </c>
      <c r="E17" s="23">
        <f>D17-E8+MAX(0,-E7)</f>
        <v>1331.792</v>
      </c>
      <c r="F17" s="23">
        <f>E17-F8+MAX(0,-F7)</f>
        <v>1324.26533295064</v>
      </c>
      <c r="G17" s="23">
        <f>F17-G8+MAX(0,-G7)</f>
        <v>1242.11306590128</v>
      </c>
      <c r="H17" s="23">
        <f>G17-H8+MAX(0,-H7)</f>
        <v>1059.0423988519199</v>
      </c>
      <c r="I17" s="23">
        <f>H17-I8+MAX(0,-I7)</f>
        <v>770.8005318025598</v>
      </c>
      <c r="J17" s="23">
        <f>I17-J8+MAX(0,-J7)</f>
        <v>377.38746475319977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1852.5570038407354</v>
      </c>
    </row>
    <row r="20">
      <c r="A20" s="14" t="inlineStr">
        <is>
          <t>PV of corporate burn</t>
        </is>
      </c>
      <c r="B20" s="23">
        <f>SUMPRODUCT(C6:V6,C15:V15)</f>
        <v>-603.4650254340595</v>
      </c>
    </row>
    <row r="21">
      <c r="A21" s="14" t="inlineStr">
        <is>
          <t>PV of taxes</t>
        </is>
      </c>
      <c r="B21" s="23">
        <f>-SUMPRODUCT(C10:V10,C15:V15)</f>
        <v>-211.6011109709079</v>
      </c>
    </row>
    <row r="22">
      <c r="A22" s="24" t="inlineStr">
        <is>
          <t>Pipeline rNPV (operations)</t>
        </is>
      </c>
      <c r="B22" s="54">
        <f>SUM(C16:V16)</f>
        <v>1037.4908674357682</v>
      </c>
    </row>
    <row r="23">
      <c r="A23" s="14" t="inlineStr">
        <is>
          <t>Cash &amp; investments</t>
        </is>
      </c>
      <c r="B23" s="57">
        <f>Main!C7</f>
        <v>433.295</v>
      </c>
    </row>
    <row r="24">
      <c r="A24" s="14" t="inlineStr">
        <is>
          <t>Debt</t>
        </is>
      </c>
      <c r="B24" s="57">
        <f>Main!C8</f>
        <v>50.727</v>
      </c>
    </row>
    <row r="25">
      <c r="A25" s="24" t="inlineStr">
        <is>
          <t>Equity value</t>
        </is>
      </c>
      <c r="B25" s="54">
        <f>B22+B23-B24</f>
        <v>1420.0588674357682</v>
      </c>
    </row>
    <row r="26">
      <c r="A26" s="14" t="inlineStr">
        <is>
          <t>Shares (mm)</t>
        </is>
      </c>
      <c r="B26" s="57">
        <f>Main!C4</f>
        <v>138.476822</v>
      </c>
    </row>
    <row r="27">
      <c r="A27" s="24" t="inlineStr">
        <is>
          <t>rNPV / share</t>
        </is>
      </c>
      <c r="B27" s="60">
        <f>B25/B26</f>
        <v>10.254848767657077</v>
      </c>
    </row>
    <row r="28">
      <c r="A28" s="14" t="inlineStr">
        <is>
          <t>Price</t>
        </is>
      </c>
      <c r="B28" s="61">
        <f>Main!C3</f>
        <v>11.9</v>
      </c>
    </row>
    <row r="29">
      <c r="A29" s="14" t="inlineStr">
        <is>
          <t>Upside</t>
        </is>
      </c>
      <c r="B29" s="62">
        <f>B27/B28-1</f>
        <v>-0.13824800271789273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2026-10-21T06:23:13Z</dcterms:modified>
  <cp:lastModifiedBy>Wang, Eric</cp:lastModifiedBy>
</cp:coreProperties>
</file>