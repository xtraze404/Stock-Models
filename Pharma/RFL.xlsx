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Rafael Holdings Inc</t>
        </is>
      </c>
      <c r="C2" s="10" t="n"/>
    </row>
    <row r="3">
      <c r="B3" t="inlineStr">
        <is>
          <t>Price</t>
        </is>
      </c>
      <c r="C3" s="11">
        <f>INDEX([1]Pharma!$F$1:$F$1000,MATCH("RFL",[1]Pharma!$B$1:$B$1000,0))</f>
        <v>1.31</v>
      </c>
      <c r="F3" s="1" t="n"/>
    </row>
    <row r="4">
      <c r="B4" t="inlineStr">
        <is>
          <t>Shares</t>
        </is>
      </c>
      <c r="C4" s="21" t="n">
        <v>51.999996</v>
      </c>
      <c r="F4" s="1" t="n"/>
    </row>
    <row r="5">
      <c r="B5" t="inlineStr">
        <is>
          <t>Market Cap.</t>
        </is>
      </c>
      <c r="C5" s="13">
        <f>C3*C4</f>
        <v>68.11999476000001</v>
      </c>
      <c r="F5" s="1" t="n"/>
    </row>
    <row r="6"/>
    <row r="7">
      <c r="B7" t="inlineStr">
        <is>
          <t>Cash</t>
        </is>
      </c>
      <c r="C7" s="21" t="n">
        <v>30.497</v>
      </c>
    </row>
    <row r="8">
      <c r="B8" t="inlineStr">
        <is>
          <t>Debt</t>
        </is>
      </c>
      <c r="C8" s="21">
        <f>0.608+0.002</f>
        <v>0.61</v>
      </c>
    </row>
    <row r="9">
      <c r="B9" t="inlineStr">
        <is>
          <t>Enterprise V.</t>
        </is>
      </c>
      <c r="C9" s="13">
        <f>C5-C7+C8</f>
        <v>38.23299476000001</v>
      </c>
    </row>
    <row r="10"/>
    <row r="11">
      <c r="B11" s="14" t="inlineStr">
        <is>
          <t>rNPV / Share</t>
        </is>
      </c>
      <c r="C11" s="11">
        <f>NPV!B27</f>
        <v>0.2161061149633721</v>
      </c>
    </row>
    <row r="12">
      <c r="B12" s="14" t="inlineStr">
        <is>
          <t>Upside</t>
        </is>
      </c>
      <c r="C12" s="15">
        <f>IFERROR(C11/C3-1,"")</f>
        <v>-0.8350335000279603</v>
      </c>
    </row>
    <row r="13">
      <c r="B13" s="14" t="inlineStr">
        <is>
          <t>Cash / Share</t>
        </is>
      </c>
      <c r="C13" s="11">
        <f>IFERROR((C7-C8)/C4,"")</f>
        <v>0.5747500442115419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-31.99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0.9342607064707722</v>
      </c>
    </row>
    <row r="19">
      <c r="B19" s="14" t="inlineStr">
        <is>
          <t>Implied Pipeline Value</t>
        </is>
      </c>
      <c r="C19" s="13">
        <f>C9</f>
        <v>38.23299476000001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5.589</v>
      </c>
      <c r="C2" s="23" t="n">
        <v>5.618</v>
      </c>
      <c r="D2" s="23" t="n">
        <v>4.371</v>
      </c>
      <c r="E2" s="23" t="n">
        <v>4.931</v>
      </c>
      <c r="F2" s="23" t="n">
        <v>4.91</v>
      </c>
      <c r="G2" s="23" t="n">
        <v>0.802</v>
      </c>
      <c r="H2" s="23" t="n">
        <v>0.41</v>
      </c>
      <c r="I2" s="23" t="n">
        <v>0.279</v>
      </c>
      <c r="J2" s="23" t="n">
        <v>0.637</v>
      </c>
      <c r="K2" s="23" t="n">
        <v>0.917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3.169</v>
      </c>
      <c r="H3" s="23" t="n">
        <v>3.499</v>
      </c>
      <c r="I3" s="23" t="n">
        <v>0</v>
      </c>
      <c r="J3" s="23" t="n">
        <v>0.154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5.589</v>
      </c>
      <c r="C4" s="23">
        <f>C2-C3</f>
        <v>5.618</v>
      </c>
      <c r="D4" s="23">
        <f>D2-D3</f>
        <v>4.371</v>
      </c>
      <c r="E4" s="23">
        <f>E2-E3</f>
        <v>4.931</v>
      </c>
      <c r="F4" s="23">
        <f>F2-F3</f>
        <v>4.91</v>
      </c>
      <c r="G4" s="23">
        <f>G2-G3</f>
        <v>-2.367</v>
      </c>
      <c r="H4" s="23">
        <f>H2-H3</f>
        <v>-3.089</v>
      </c>
      <c r="I4" s="23">
        <f>I2-I3</f>
        <v>0.279</v>
      </c>
      <c r="J4" s="23">
        <f>J2-J3</f>
        <v>0.483</v>
      </c>
      <c r="K4" s="23">
        <f>K2-K3</f>
        <v>0.917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0.995</v>
      </c>
      <c r="E5" s="23" t="n">
        <v>1.027</v>
      </c>
      <c r="F5" s="23" t="n">
        <v>2.391</v>
      </c>
      <c r="G5" s="23" t="n">
        <v>4.907</v>
      </c>
      <c r="H5" s="23" t="n">
        <v>8.742000000000001</v>
      </c>
      <c r="I5" s="23" t="n">
        <v>6.312</v>
      </c>
      <c r="J5" s="23" t="n">
        <v>4.17</v>
      </c>
      <c r="K5" s="23" t="n">
        <v>12.823</v>
      </c>
    </row>
    <row r="6">
      <c r="A6" s="19" t="inlineStr">
        <is>
          <t>SG&amp;A &amp; Other</t>
        </is>
      </c>
      <c r="B6" s="23" t="n">
        <v>4.397</v>
      </c>
      <c r="C6" s="23" t="n">
        <v>5.397</v>
      </c>
      <c r="D6" s="23" t="n">
        <v>7.217</v>
      </c>
      <c r="E6" s="23" t="n">
        <v>10.6</v>
      </c>
      <c r="F6" s="23" t="n">
        <v>10.984</v>
      </c>
      <c r="G6" s="23" t="n">
        <v>20.925</v>
      </c>
      <c r="H6" s="23" t="n">
        <v>48.646</v>
      </c>
      <c r="I6" s="23" t="n">
        <v>9.01</v>
      </c>
      <c r="J6" s="23" t="n">
        <v>98.94</v>
      </c>
      <c r="K6" s="23" t="n">
        <v>17.253</v>
      </c>
    </row>
    <row r="7">
      <c r="A7" s="2" t="inlineStr">
        <is>
          <t>Operating Expense</t>
        </is>
      </c>
      <c r="B7" s="23">
        <f>SUM(B5:B6)</f>
        <v>4.397</v>
      </c>
      <c r="C7" s="23">
        <f>SUM(C5:C6)</f>
        <v>5.397</v>
      </c>
      <c r="D7" s="23">
        <f>SUM(D5:D6)</f>
        <v>8.212</v>
      </c>
      <c r="E7" s="23">
        <f>SUM(E5:E6)</f>
        <v>11.626999999999999</v>
      </c>
      <c r="F7" s="23">
        <f>SUM(F5:F6)</f>
        <v>13.375</v>
      </c>
      <c r="G7" s="23">
        <f>SUM(G5:G6)</f>
        <v>25.832</v>
      </c>
      <c r="H7" s="23">
        <f>SUM(H5:H6)</f>
        <v>57.388000000000005</v>
      </c>
      <c r="I7" s="23">
        <f>SUM(I5:I6)</f>
        <v>15.322</v>
      </c>
      <c r="J7" s="23">
        <f>SUM(J5:J6)</f>
        <v>103.11</v>
      </c>
      <c r="K7" s="23">
        <f>SUM(K5:K6)</f>
        <v>30.076</v>
      </c>
    </row>
    <row r="8">
      <c r="A8" s="2" t="inlineStr">
        <is>
          <t>Operating Income</t>
        </is>
      </c>
      <c r="B8" s="23">
        <f>B4-B7</f>
        <v>1.1920000000000002</v>
      </c>
      <c r="C8" s="23">
        <f>C4-C7</f>
        <v>0.22100000000000009</v>
      </c>
      <c r="D8" s="23">
        <f>D4-D7</f>
        <v>-3.8409999999999993</v>
      </c>
      <c r="E8" s="23">
        <f>E4-E7</f>
        <v>-6.695999999999999</v>
      </c>
      <c r="F8" s="23">
        <f>F4-F7</f>
        <v>-8.465</v>
      </c>
      <c r="G8" s="23">
        <f>G4-G7</f>
        <v>-28.199</v>
      </c>
      <c r="H8" s="23">
        <f>H4-H7</f>
        <v>-60.477000000000004</v>
      </c>
      <c r="I8" s="23">
        <f>I4-I7</f>
        <v>-15.043</v>
      </c>
      <c r="J8" s="23">
        <f>J4-J7</f>
        <v>-102.627</v>
      </c>
      <c r="K8" s="23">
        <f>K4-K7</f>
        <v>-29.159</v>
      </c>
    </row>
    <row r="9">
      <c r="A9" s="19" t="inlineStr">
        <is>
          <t>Interest &amp; Other</t>
        </is>
      </c>
      <c r="B9" s="23" t="n">
        <v>-0.033</v>
      </c>
      <c r="C9" s="23" t="n">
        <v>-0.017</v>
      </c>
      <c r="D9" s="23" t="n">
        <v>0.629</v>
      </c>
      <c r="E9" s="23" t="n">
        <v>1.984</v>
      </c>
      <c r="F9" s="23" t="n">
        <v>-2.259</v>
      </c>
      <c r="G9" s="23" t="n">
        <v>5.156</v>
      </c>
      <c r="H9" s="23" t="n">
        <v>-64.181</v>
      </c>
      <c r="I9" s="23" t="n">
        <v>12.912</v>
      </c>
      <c r="J9" s="23" t="n">
        <v>65.53700000000001</v>
      </c>
      <c r="K9" s="23" t="n">
        <v>-3.914</v>
      </c>
    </row>
    <row r="10">
      <c r="A10" s="2" t="inlineStr">
        <is>
          <t>Pretax</t>
        </is>
      </c>
      <c r="B10" s="23">
        <f>B8+B9</f>
        <v>1.1590000000000003</v>
      </c>
      <c r="C10" s="23">
        <f>C8+C9</f>
        <v>0.20400000000000007</v>
      </c>
      <c r="D10" s="23">
        <f>D8+D9</f>
        <v>-3.2119999999999993</v>
      </c>
      <c r="E10" s="23">
        <f>E8+E9</f>
        <v>-4.711999999999999</v>
      </c>
      <c r="F10" s="23">
        <f>F8+F9</f>
        <v>-10.724</v>
      </c>
      <c r="G10" s="23">
        <f>G8+G9</f>
        <v>-23.043000000000003</v>
      </c>
      <c r="H10" s="23">
        <f>H8+H9</f>
        <v>-124.658</v>
      </c>
      <c r="I10" s="23">
        <f>I8+I9</f>
        <v>-2.1309999999999985</v>
      </c>
      <c r="J10" s="23">
        <f>J8+J9</f>
        <v>-37.08999999999999</v>
      </c>
      <c r="K10" s="23">
        <f>K8+K9</f>
        <v>-33.073</v>
      </c>
    </row>
    <row r="11">
      <c r="A11" s="2" t="inlineStr">
        <is>
          <t>Taxes</t>
        </is>
      </c>
      <c r="B11" s="23" t="n">
        <v>0.449</v>
      </c>
      <c r="C11" s="23" t="n">
        <v>0.066</v>
      </c>
      <c r="D11" s="23" t="n">
        <v>8.436999999999999</v>
      </c>
      <c r="E11" s="23" t="n">
        <v>-0.019</v>
      </c>
      <c r="F11" s="23" t="n">
        <v>0.029</v>
      </c>
      <c r="G11" s="23" t="n">
        <v>0.018</v>
      </c>
      <c r="H11" s="23" t="n">
        <v>0</v>
      </c>
      <c r="I11" s="23" t="n">
        <v>-0.255</v>
      </c>
      <c r="J11" s="23" t="n">
        <v>-2.68</v>
      </c>
      <c r="K11" s="23" t="n">
        <v>-2.553</v>
      </c>
    </row>
    <row r="12">
      <c r="A12" s="2" t="inlineStr">
        <is>
          <t>Net Income</t>
        </is>
      </c>
      <c r="B12" s="23" t="n">
        <v>0.71</v>
      </c>
      <c r="C12" s="23" t="n">
        <v>0.138</v>
      </c>
      <c r="D12" s="23" t="n">
        <v>-11.649</v>
      </c>
      <c r="E12" s="23" t="n">
        <v>-4.693</v>
      </c>
      <c r="F12" s="23" t="n">
        <v>-10.753</v>
      </c>
      <c r="G12" s="23" t="n">
        <v>-23.061</v>
      </c>
      <c r="H12" s="23" t="n">
        <v>-124.658</v>
      </c>
      <c r="I12" s="23" t="n">
        <v>-1.876</v>
      </c>
      <c r="J12" s="23" t="n">
        <v>-34.41</v>
      </c>
      <c r="K12" s="23" t="n">
        <v>-30.52</v>
      </c>
    </row>
    <row r="13">
      <c r="A13" s="2" t="inlineStr">
        <is>
          <t>Earnings per Share</t>
        </is>
      </c>
      <c r="B13" s="11">
        <f>IFERROR(B12/B14,0)</f>
        <v>0.05349608197709463</v>
      </c>
      <c r="C13" s="11">
        <f>IFERROR(C12/C14,0)</f>
        <v>0.010397830018083183</v>
      </c>
      <c r="D13" s="11">
        <f>IFERROR(D12/D14,0)</f>
        <v>-0.8777124773960217</v>
      </c>
      <c r="E13" s="11">
        <f>IFERROR(E12/E14,0)</f>
        <v>-0.35352165725047074</v>
      </c>
      <c r="F13" s="11">
        <f>IFERROR(F12/F14,0)</f>
        <v>-0.6820805581985411</v>
      </c>
      <c r="G13" s="11">
        <f>IFERROR(G12/G14,0)</f>
        <v>-1.395690855171579</v>
      </c>
      <c r="H13" s="11">
        <f>IFERROR(H12/H14,0)</f>
        <v>-6.30636920119391</v>
      </c>
      <c r="I13" s="11">
        <f>IFERROR(I12/I14,0)</f>
        <v>-0.08064308128788203</v>
      </c>
      <c r="J13" s="11">
        <f>IFERROR(J12/J14,0)</f>
        <v>-1.4490861618798956</v>
      </c>
      <c r="K13" s="11">
        <f>IFERROR(K12/K14,0)</f>
        <v>-1.0373190129834817</v>
      </c>
    </row>
    <row r="14">
      <c r="A14" s="2" t="inlineStr">
        <is>
          <t>Shares</t>
        </is>
      </c>
      <c r="B14" s="23" t="n">
        <v>13.272</v>
      </c>
      <c r="C14" s="23" t="n">
        <v>13.272</v>
      </c>
      <c r="D14" s="23" t="n">
        <v>13.272</v>
      </c>
      <c r="E14" s="23" t="n">
        <v>13.275</v>
      </c>
      <c r="F14" s="23" t="n">
        <v>15.765</v>
      </c>
      <c r="G14" s="23" t="n">
        <v>16.523</v>
      </c>
      <c r="H14" s="23" t="n">
        <v>19.767</v>
      </c>
      <c r="I14" s="23" t="n">
        <v>23.263</v>
      </c>
      <c r="J14" s="23" t="n">
        <v>23.746</v>
      </c>
      <c r="K14" s="23" t="n">
        <v>29.422</v>
      </c>
    </row>
    <row r="15"/>
    <row r="16" customFormat="1" s="4">
      <c r="A16" s="3" t="inlineStr">
        <is>
          <t>Revenue Change</t>
        </is>
      </c>
      <c r="C16" s="15">
        <f>IFERROR(C2/B2-1,"")</f>
        <v>0.005188763642869798</v>
      </c>
      <c r="D16" s="15">
        <f>IFERROR(D2/C2-1,"")</f>
        <v>-0.2219651121395514</v>
      </c>
      <c r="E16" s="15">
        <f>IFERROR(E2/D2-1,"")</f>
        <v>0.1281171356668953</v>
      </c>
      <c r="F16" s="15">
        <f>IFERROR(F2/E2-1,"")</f>
        <v>-0.004258771040356879</v>
      </c>
      <c r="G16" s="15">
        <f>IFERROR(G2/F2-1,"")</f>
        <v>-0.8366598778004073</v>
      </c>
      <c r="H16" s="15">
        <f>IFERROR(H2/G2-1,"")</f>
        <v>-0.488778054862843</v>
      </c>
      <c r="I16" s="15">
        <f>IFERROR(I2/H2-1,"")</f>
        <v>-0.31951219512195117</v>
      </c>
      <c r="J16" s="15">
        <f>IFERROR(J2/I2-1,"")</f>
        <v>1.2831541218637992</v>
      </c>
      <c r="K16" s="15">
        <f>IFERROR(K2/J2-1,"")</f>
        <v>0.43956043956043955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-2.951371571072319</v>
      </c>
      <c r="H17" s="15">
        <f>IFERROR(H4/H2,"")</f>
        <v>-7.534146341463415</v>
      </c>
      <c r="I17" s="15">
        <f>IFERROR(I4/I2,"")</f>
        <v>1.0</v>
      </c>
      <c r="J17" s="15">
        <f>IFERROR(J4/J2,"")</f>
        <v>0.7582417582417582</v>
      </c>
      <c r="K17" s="15">
        <f>IFERROR(K4/K2,"")</f>
        <v>1.0</v>
      </c>
    </row>
    <row r="18">
      <c r="A18" s="14" t="inlineStr">
        <is>
          <t>Operating Margin</t>
        </is>
      </c>
      <c r="B18" s="15">
        <f>IFERROR(B8/B2,"")</f>
        <v>0.21327607801037754</v>
      </c>
      <c r="C18" s="15">
        <f>IFERROR(C8/C2,"")</f>
        <v>0.03933784264862942</v>
      </c>
      <c r="D18" s="15">
        <f>IFERROR(D8/D2,"")</f>
        <v>-0.8787462823152594</v>
      </c>
      <c r="E18" s="15">
        <f>IFERROR(E8/E2,"")</f>
        <v>-1.3579395660109508</v>
      </c>
      <c r="F18" s="15">
        <f>IFERROR(F8/F2,"")</f>
        <v>-1.7240325865580448</v>
      </c>
      <c r="G18" s="15">
        <f>IFERROR(G8/G2,"")</f>
        <v>-35.16084788029925</v>
      </c>
      <c r="H18" s="15">
        <f>IFERROR(H8/H2,"")</f>
        <v>-147.5048780487805</v>
      </c>
      <c r="I18" s="15">
        <f>IFERROR(I8/I2,"")</f>
        <v>-53.91756272401433</v>
      </c>
      <c r="J18" s="15">
        <f>IFERROR(J8/J2,"")</f>
        <v>-161.1098901098901</v>
      </c>
      <c r="K18" s="15">
        <f>IFERROR(K8/K2,"")</f>
        <v>-31.798255179934568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Rafael Holdings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0.14339999999999997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36.441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241.6</v>
      </c>
    </row>
    <row r="22">
      <c r="A22" s="14" t="inlineStr">
        <is>
          <t>First year, fraction after the balance sheet date</t>
        </is>
      </c>
      <c r="B22" s="28" t="n">
        <v>0.6712</v>
      </c>
    </row>
    <row r="23">
      <c r="A23" s="14" t="inlineStr">
        <is>
          <t>Balance sheet date</t>
        </is>
      </c>
      <c r="B23" s="41" t="n">
        <v>46142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-18.64948288632911</v>
      </c>
      <c r="C29" s="42">
        <f>NPV!B25</f>
        <v>11.23751711367089</v>
      </c>
      <c r="D29" s="43">
        <f>NPV!B27</f>
        <v>0.2161061149633721</v>
      </c>
      <c r="E29" s="44">
        <f>NPV!B29</f>
        <v>-0.8350335000279603</v>
      </c>
    </row>
    <row r="30">
      <c r="A30" s="45" t="n">
        <v>1</v>
      </c>
      <c r="B30" s="46">
        <f t="dataTable" ref="B30:E32" r1="B4"/>
        <v>-73.15365862151316</v>
      </c>
      <c r="C30" s="46">
        <v>-43.26665862151316</v>
      </c>
      <c r="D30" s="47">
        <v>-0.8320511913407292</v>
      </c>
      <c r="E30" s="48">
        <v>-1.6351535811761293</v>
      </c>
    </row>
    <row r="31">
      <c r="A31" s="45" t="n">
        <v>2</v>
      </c>
      <c r="B31" s="46">
        <v>-18.64948288632911</v>
      </c>
      <c r="C31" s="46">
        <v>11.23751711367089</v>
      </c>
      <c r="D31" s="47">
        <v>0.2161061149633721</v>
      </c>
      <c r="E31" s="48">
        <v>-0.8350335000279603</v>
      </c>
    </row>
    <row r="32">
      <c r="A32" s="45" t="n">
        <v>3</v>
      </c>
      <c r="B32" s="46">
        <v>64.34183738333054</v>
      </c>
      <c r="C32" s="46">
        <v>94.22883738333054</v>
      </c>
      <c r="D32" s="47">
        <v>1.8120931659942923</v>
      </c>
      <c r="E32" s="48">
        <v>0.38327722594984137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0.2161061149633721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-1.0464622289472638</v>
      </c>
      <c r="C37" s="47">
        <v>-0.761210565964956</v>
      </c>
      <c r="D37" s="47">
        <v>-0.4759589029826484</v>
      </c>
      <c r="E37" s="47">
        <v>0.0945444229819666</v>
      </c>
      <c r="F37" s="47">
        <v>0.6026076950207683</v>
      </c>
    </row>
    <row r="38">
      <c r="A38" s="50" t="n">
        <v>0.8</v>
      </c>
      <c r="B38" s="47">
        <v>-0.8856498713580649</v>
      </c>
      <c r="C38" s="47">
        <v>-0.5053143207149883</v>
      </c>
      <c r="D38" s="47">
        <v>-0.12497877007191124</v>
      </c>
      <c r="E38" s="47">
        <v>0.5761124718939649</v>
      </c>
      <c r="F38" s="47">
        <v>1.2242135082521435</v>
      </c>
    </row>
    <row r="39">
      <c r="A39" s="50" t="n">
        <v>1</v>
      </c>
      <c r="B39" s="47">
        <v>-0.7248375137688664</v>
      </c>
      <c r="C39" s="47">
        <v>-0.24941807546502</v>
      </c>
      <c r="D39" s="47">
        <v>0.2161061149633721</v>
      </c>
      <c r="E39" s="47">
        <v>1.0375246287031217</v>
      </c>
      <c r="F39" s="47">
        <v>1.8318097700590756</v>
      </c>
    </row>
    <row r="40">
      <c r="A40" s="50" t="n">
        <v>1.2</v>
      </c>
      <c r="B40" s="47">
        <v>-0.5640251561796673</v>
      </c>
      <c r="C40" s="47">
        <v>0.006478169784947459</v>
      </c>
      <c r="D40" s="47">
        <v>0.5230774551095553</v>
      </c>
      <c r="E40" s="47">
        <v>1.4906429787434428</v>
      </c>
      <c r="F40" s="47">
        <v>2.4325300949877677</v>
      </c>
    </row>
    <row r="41">
      <c r="A41" s="50" t="n">
        <v>1.4</v>
      </c>
      <c r="B41" s="47">
        <v>-0.4032127985904689</v>
      </c>
      <c r="C41" s="47">
        <v>0.24649999373035053</v>
      </c>
      <c r="D41" s="47">
        <v>0.8243223339836235</v>
      </c>
      <c r="E41" s="47">
        <v>1.9379205621569984</v>
      </c>
      <c r="F41" s="47">
        <v>3.02713240530353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Rafael Holdings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Transplant / GVHD</t>
        </is>
      </c>
      <c r="C4" s="14" t="inlineStr">
        <is>
          <t>Autologous thyTreg</t>
        </is>
      </c>
      <c r="D4" s="14" t="inlineStr">
        <is>
          <t>Phase 1/2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700</v>
      </c>
      <c r="H4" s="27" t="n">
        <v>0.1434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98.88723556048897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10.038</v>
      </c>
      <c r="T4" s="23">
        <f>IF(T$3&lt;$I4,0,$G4*Assumptions!$E$11*INDEX(Assumptions!$B$24:$G$24,MIN(6,T$3-$I4+1))*IF(T$3&gt;$J4,(1-Assumptions!$B$26)^(T$3-$J4),1)*IF($H4&gt;=1,1,MIN(0.97,$H4*Assumptions!$E$12)))</f>
        <v>25.095</v>
      </c>
      <c r="U4" s="23">
        <f>IF(U$3&lt;$I4,0,$G4*Assumptions!$E$11*INDEX(Assumptions!$B$24:$G$24,MIN(6,U$3-$I4+1))*IF(U$3&gt;$J4,(1-Assumptions!$B$26)^(U$3-$J4),1)*IF($H4&gt;=1,1,MIN(0.97,$H4*Assumptions!$E$12)))</f>
        <v>45.171</v>
      </c>
      <c r="V4" s="23">
        <f>IF(V$3&lt;$I4,0,$G4*Assumptions!$E$11*INDEX(Assumptions!$B$24:$G$24,MIN(6,V$3-$I4+1))*IF(V$3&gt;$J4,(1-Assumptions!$B$26)^(V$3-$J4),1)*IF($H4&gt;=1,1,MIN(0.97,$H4*Assumptions!$E$12)))</f>
        <v>65.247</v>
      </c>
      <c r="W4" s="23">
        <f>IF(W$3&lt;$I4,0,$G4*Assumptions!$E$11*INDEX(Assumptions!$B$24:$G$24,MIN(6,W$3-$I4+1))*IF(W$3&gt;$J4,(1-Assumptions!$B$26)^(W$3-$J4),1)*IF($H4&gt;=1,1,MIN(0.97,$H4*Assumptions!$E$12)))</f>
        <v>85.323</v>
      </c>
      <c r="X4" s="23">
        <f>IF(X$3&lt;$I4,0,$G4*Assumptions!$E$11*INDEX(Assumptions!$B$24:$G$24,MIN(6,X$3-$I4+1))*IF(X$3&gt;$J4,(1-Assumptions!$B$26)^(X$3-$J4),1)*IF($H4&gt;=1,1,MIN(0.97,$H4*Assumptions!$E$12)))</f>
        <v>100.38</v>
      </c>
      <c r="Y4" s="23">
        <f>IF(Y$3&lt;$I4,0,$G4*Assumptions!$E$11*INDEX(Assumptions!$B$24:$G$24,MIN(6,Y$3-$I4+1))*IF(Y$3&gt;$J4,(1-Assumptions!$B$26)^(Y$3-$J4),1)*IF($H4&gt;=1,1,MIN(0.97,$H4*Assumptions!$E$12)))</f>
        <v>100.38</v>
      </c>
      <c r="Z4" s="23">
        <f>IF(Z$3&lt;$I4,0,$G4*Assumptions!$E$11*INDEX(Assumptions!$B$24:$G$24,MIN(6,Z$3-$I4+1))*IF(Z$3&gt;$J4,(1-Assumptions!$B$26)^(Z$3-$J4),1)*IF($H4&gt;=1,1,MIN(0.97,$H4*Assumptions!$E$12)))</f>
        <v>100.38</v>
      </c>
      <c r="AA4" s="23">
        <f>IF(AA$3&lt;$I4,0,$G4*Assumptions!$E$11*INDEX(Assumptions!$B$24:$G$24,MIN(6,AA$3-$I4+1))*IF(AA$3&gt;$J4,(1-Assumptions!$B$26)^(AA$3-$J4),1)*IF($H4&gt;=1,1,MIN(0.97,$H4*Assumptions!$E$12)))</f>
        <v>100.38</v>
      </c>
      <c r="AB4" s="23">
        <f>IF(AB$3&lt;$I4,0,$G4*Assumptions!$E$11*INDEX(Assumptions!$B$24:$G$24,MIN(6,AB$3-$I4+1))*IF(AB$3&gt;$J4,(1-Assumptions!$B$26)^(AB$3-$J4),1)*IF($H4&gt;=1,1,MIN(0.97,$H4*Assumptions!$E$12)))</f>
        <v>100.38</v>
      </c>
      <c r="AC4" s="23">
        <f>IF(AC$3&lt;$I4,0,$G4*Assumptions!$E$11*INDEX(Assumptions!$B$24:$G$24,MIN(6,AC$3-$I4+1))*IF(AC$3&gt;$J4,(1-Assumptions!$B$26)^(AC$3-$J4),1)*IF($H4&gt;=1,1,MIN(0.97,$H4*Assumptions!$E$12)))</f>
        <v>100.38</v>
      </c>
      <c r="AD4" s="23">
        <f>IF(AD$3&lt;$I4,0,$G4*Assumptions!$E$11*INDEX(Assumptions!$B$24:$G$24,MIN(6,AD$3-$I4+1))*IF(AD$3&gt;$J4,(1-Assumptions!$B$26)^(AD$3-$J4),1)*IF($H4&gt;=1,1,MIN(0.97,$H4*Assumptions!$E$12)))</f>
        <v>100.38</v>
      </c>
      <c r="AE4" s="23">
        <f>IF(AE$3&lt;$I4,0,$G4*Assumptions!$E$11*INDEX(Assumptions!$B$24:$G$24,MIN(6,AE$3-$I4+1))*IF(AE$3&gt;$J4,(1-Assumptions!$B$26)^(AE$3-$J4),1)*IF($H4&gt;=1,1,MIN(0.97,$H4*Assumptions!$E$12)))</f>
        <v>100.38</v>
      </c>
      <c r="AF4" s="23">
        <f>IF(AF$3&lt;$I4,0,$G4*Assumptions!$E$11*INDEX(Assumptions!$B$24:$G$24,MIN(6,AF$3-$I4+1))*IF(AF$3&gt;$J4,(1-Assumptions!$B$26)^(AF$3-$J4),1)*IF($H4&gt;=1,1,MIN(0.97,$H4*Assumptions!$E$12)))</f>
        <v>50.19</v>
      </c>
      <c r="AG4" s="35">
        <f>IF(F4="Owned",1-IF(H4&gt;=1,1,MIN(0.97,H4*Assumptions!$E$12)),1)</f>
        <v>0.8566</v>
      </c>
    </row>
    <row r="5">
      <c r="B5" s="24" t="inlineStr">
        <is>
          <t>Risked revenue</t>
        </is>
      </c>
      <c r="L5" s="54">
        <f>SUM(L4:L4)</f>
        <v>98.88723556048897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10.038</v>
      </c>
      <c r="T5" s="54">
        <f>SUM(T4:T4)</f>
        <v>25.095</v>
      </c>
      <c r="U5" s="54">
        <f>SUM(U4:U4)</f>
        <v>45.171</v>
      </c>
      <c r="V5" s="54">
        <f>SUM(V4:V4)</f>
        <v>65.247</v>
      </c>
      <c r="W5" s="54">
        <f>SUM(W4:W4)</f>
        <v>85.323</v>
      </c>
      <c r="X5" s="54">
        <f>SUM(X4:X4)</f>
        <v>100.38</v>
      </c>
      <c r="Y5" s="54">
        <f>SUM(Y4:Y4)</f>
        <v>100.38</v>
      </c>
      <c r="Z5" s="54">
        <f>SUM(Z4:Z4)</f>
        <v>100.38</v>
      </c>
      <c r="AA5" s="54">
        <f>SUM(AA4:AA4)</f>
        <v>100.38</v>
      </c>
      <c r="AB5" s="54">
        <f>SUM(AB4:AB4)</f>
        <v>100.38</v>
      </c>
      <c r="AC5" s="54">
        <f>SUM(AC4:AC4)</f>
        <v>100.38</v>
      </c>
      <c r="AD5" s="54">
        <f>SUM(AD4:AD4)</f>
        <v>100.38</v>
      </c>
      <c r="AE5" s="54">
        <f>SUM(AE4:AE4)</f>
        <v>100.38</v>
      </c>
      <c r="AF5" s="54">
        <f>SUM(AF4:AF4)</f>
        <v>50.19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4.0152</v>
      </c>
      <c r="T6" s="55">
        <f>SUMPRODUCT(T4:T4,$K$4:$K$4)</f>
        <v>10.038</v>
      </c>
      <c r="U6" s="55">
        <f>SUMPRODUCT(U4:U4,$K$4:$K$4)</f>
        <v>18.0684</v>
      </c>
      <c r="V6" s="55">
        <f>SUMPRODUCT(V4:V4,$K$4:$K$4)</f>
        <v>26.0988</v>
      </c>
      <c r="W6" s="55">
        <f>SUMPRODUCT(W4:W4,$K$4:$K$4)</f>
        <v>34.1292</v>
      </c>
      <c r="X6" s="55">
        <f>SUMPRODUCT(X4:X4,$K$4:$K$4)</f>
        <v>40.152</v>
      </c>
      <c r="Y6" s="55">
        <f>SUMPRODUCT(Y4:Y4,$K$4:$K$4)</f>
        <v>40.152</v>
      </c>
      <c r="Z6" s="55">
        <f>SUMPRODUCT(Z4:Z4,$K$4:$K$4)</f>
        <v>40.152</v>
      </c>
      <c r="AA6" s="55">
        <f>SUMPRODUCT(AA4:AA4,$K$4:$K$4)</f>
        <v>40.152</v>
      </c>
      <c r="AB6" s="55">
        <f>SUMPRODUCT(AB4:AB4,$K$4:$K$4)</f>
        <v>40.152</v>
      </c>
      <c r="AC6" s="55">
        <f>SUMPRODUCT(AC4:AC4,$K$4:$K$4)</f>
        <v>40.152</v>
      </c>
      <c r="AD6" s="55">
        <f>SUMPRODUCT(AD4:AD4,$K$4:$K$4)</f>
        <v>40.152</v>
      </c>
      <c r="AE6" s="55">
        <f>SUMPRODUCT(AE4:AE4,$K$4:$K$4)</f>
        <v>40.152</v>
      </c>
      <c r="AF6" s="55">
        <f>SUMPRODUCT(AF4:AF4,$K$4:$K$4)</f>
        <v>20.076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Rafael Holdings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10.038</v>
      </c>
      <c r="J4" s="57">
        <f>Pipeline!T5</f>
        <v>25.095</v>
      </c>
      <c r="K4" s="57">
        <f>Pipeline!U5</f>
        <v>45.171</v>
      </c>
      <c r="L4" s="57">
        <f>Pipeline!V5</f>
        <v>65.247</v>
      </c>
      <c r="M4" s="57">
        <f>Pipeline!W5</f>
        <v>85.323</v>
      </c>
      <c r="N4" s="57">
        <f>Pipeline!X5</f>
        <v>100.38</v>
      </c>
      <c r="O4" s="57">
        <f>Pipeline!Y5</f>
        <v>100.38</v>
      </c>
      <c r="P4" s="57">
        <f>Pipeline!Z5</f>
        <v>100.38</v>
      </c>
      <c r="Q4" s="57">
        <f>Pipeline!AA5</f>
        <v>100.38</v>
      </c>
      <c r="R4" s="57">
        <f>Pipeline!AB5</f>
        <v>100.38</v>
      </c>
      <c r="S4" s="57">
        <f>Pipeline!AC5</f>
        <v>100.38</v>
      </c>
      <c r="T4" s="57">
        <f>Pipeline!AD5</f>
        <v>100.38</v>
      </c>
      <c r="U4" s="57">
        <f>Pipeline!AE5</f>
        <v>100.38</v>
      </c>
      <c r="V4" s="57">
        <f>Pipeline!AF5</f>
        <v>50.19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4.0152</v>
      </c>
      <c r="J5" s="57">
        <f>Pipeline!T6</f>
        <v>10.038</v>
      </c>
      <c r="K5" s="57">
        <f>Pipeline!U6</f>
        <v>18.0684</v>
      </c>
      <c r="L5" s="57">
        <f>Pipeline!V6</f>
        <v>26.0988</v>
      </c>
      <c r="M5" s="57">
        <f>Pipeline!W6</f>
        <v>34.1292</v>
      </c>
      <c r="N5" s="57">
        <f>Pipeline!X6</f>
        <v>40.152</v>
      </c>
      <c r="O5" s="57">
        <f>Pipeline!Y6</f>
        <v>40.152</v>
      </c>
      <c r="P5" s="57">
        <f>Pipeline!Z6</f>
        <v>40.152</v>
      </c>
      <c r="Q5" s="57">
        <f>Pipeline!AA6</f>
        <v>40.152</v>
      </c>
      <c r="R5" s="57">
        <f>Pipeline!AB6</f>
        <v>40.152</v>
      </c>
      <c r="S5" s="57">
        <f>Pipeline!AC6</f>
        <v>40.152</v>
      </c>
      <c r="T5" s="57">
        <f>Pipeline!AD6</f>
        <v>40.152</v>
      </c>
      <c r="U5" s="57">
        <f>Pipeline!AE6</f>
        <v>40.152</v>
      </c>
      <c r="V5" s="57">
        <f>Pipeline!AF6</f>
        <v>20.076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-36.441</v>
      </c>
      <c r="D6" s="23">
        <f>-IF(D3-2026&lt;Assumptions!$B$19,Assumptions!$B$18,Assumptions!$B$18*Assumptions!$B$20*Assumptions!$B$16)</f>
        <v>-36.441</v>
      </c>
      <c r="E6" s="23">
        <f>-IF(E3-2026&lt;Assumptions!$B$19,Assumptions!$B$18,Assumptions!$B$18*Assumptions!$B$20*Assumptions!$B$16)</f>
        <v>-36.441</v>
      </c>
      <c r="F6" s="23">
        <f>-IF(F3-2026&lt;Assumptions!$B$19,Assumptions!$B$18,Assumptions!$B$18*Assumptions!$B$20*Assumptions!$B$16)</f>
        <v>-36.441</v>
      </c>
      <c r="G6" s="23">
        <f>-IF(G3-2026&lt;Assumptions!$B$19,Assumptions!$B$18,Assumptions!$B$18*Assumptions!$B$20*Assumptions!$B$16)</f>
        <v>-1.5676918199999996</v>
      </c>
      <c r="H6" s="23">
        <f>-IF(H3-2026&lt;Assumptions!$B$19,Assumptions!$B$18,Assumptions!$B$18*Assumptions!$B$20*Assumptions!$B$16)</f>
        <v>-1.5676918199999996</v>
      </c>
      <c r="I6" s="23">
        <f>-IF(I3-2026&lt;Assumptions!$B$19,Assumptions!$B$18,Assumptions!$B$18*Assumptions!$B$20*Assumptions!$B$16)</f>
        <v>-1.5676918199999996</v>
      </c>
      <c r="J6" s="23">
        <f>-IF(J3-2026&lt;Assumptions!$B$19,Assumptions!$B$18,Assumptions!$B$18*Assumptions!$B$20*Assumptions!$B$16)</f>
        <v>-1.5676918199999996</v>
      </c>
      <c r="K6" s="23">
        <f>-IF(K3-2026&lt;Assumptions!$B$19,Assumptions!$B$18,Assumptions!$B$18*Assumptions!$B$20*Assumptions!$B$16)</f>
        <v>-1.5676918199999996</v>
      </c>
      <c r="L6" s="23">
        <f>-IF(L3-2026&lt;Assumptions!$B$19,Assumptions!$B$18,Assumptions!$B$18*Assumptions!$B$20*Assumptions!$B$16)</f>
        <v>-1.5676918199999996</v>
      </c>
      <c r="M6" s="23">
        <f>-IF(M3-2026&lt;Assumptions!$B$19,Assumptions!$B$18,Assumptions!$B$18*Assumptions!$B$20*Assumptions!$B$16)</f>
        <v>-1.5676918199999996</v>
      </c>
      <c r="N6" s="23">
        <f>-IF(N3-2026&lt;Assumptions!$B$19,Assumptions!$B$18,Assumptions!$B$18*Assumptions!$B$20*Assumptions!$B$16)</f>
        <v>-1.5676918199999996</v>
      </c>
      <c r="O6" s="23">
        <f>-IF(O3-2026&lt;Assumptions!$B$19,Assumptions!$B$18,Assumptions!$B$18*Assumptions!$B$20*Assumptions!$B$16)</f>
        <v>-1.5676918199999996</v>
      </c>
      <c r="P6" s="23">
        <f>-IF(P3-2026&lt;Assumptions!$B$19,Assumptions!$B$18,Assumptions!$B$18*Assumptions!$B$20*Assumptions!$B$16)</f>
        <v>-1.5676918199999996</v>
      </c>
      <c r="Q6" s="23">
        <f>-IF(Q3-2026&lt;Assumptions!$B$19,Assumptions!$B$18,Assumptions!$B$18*Assumptions!$B$20*Assumptions!$B$16)</f>
        <v>-1.5676918199999996</v>
      </c>
      <c r="R6" s="23">
        <f>-IF(R3-2026&lt;Assumptions!$B$19,Assumptions!$B$18,Assumptions!$B$18*Assumptions!$B$20*Assumptions!$B$16)</f>
        <v>-1.5676918199999996</v>
      </c>
      <c r="S6" s="23">
        <f>-IF(S3-2026&lt;Assumptions!$B$19,Assumptions!$B$18,Assumptions!$B$18*Assumptions!$B$20*Assumptions!$B$16)</f>
        <v>-1.5676918199999996</v>
      </c>
      <c r="T6" s="23">
        <f>-IF(T3-2026&lt;Assumptions!$B$19,Assumptions!$B$18,Assumptions!$B$18*Assumptions!$B$20*Assumptions!$B$16)</f>
        <v>-1.5676918199999996</v>
      </c>
      <c r="U6" s="23">
        <f>-IF(U3-2026&lt;Assumptions!$B$19,Assumptions!$B$18,Assumptions!$B$18*Assumptions!$B$20*Assumptions!$B$16)</f>
        <v>-1.5676918199999996</v>
      </c>
      <c r="V6" s="23">
        <f>-IF(V3-2026&lt;Assumptions!$B$19,Assumptions!$B$18,Assumptions!$B$18*Assumptions!$B$20*Assumptions!$B$16)</f>
        <v>-1.5676918199999996</v>
      </c>
    </row>
    <row r="7">
      <c r="A7" s="14" t="inlineStr">
        <is>
          <t>Pre-tax cash flow</t>
        </is>
      </c>
      <c r="C7" s="23">
        <f>C5+C6</f>
        <v>-36.441</v>
      </c>
      <c r="D7" s="23">
        <f>D5+D6</f>
        <v>-36.441</v>
      </c>
      <c r="E7" s="23">
        <f>E5+E6</f>
        <v>-36.441</v>
      </c>
      <c r="F7" s="23">
        <f>F5+F6</f>
        <v>-36.441</v>
      </c>
      <c r="G7" s="23">
        <f>G5+G6</f>
        <v>-1.5676918199999996</v>
      </c>
      <c r="H7" s="23">
        <f>H5+H6</f>
        <v>-1.5676918199999996</v>
      </c>
      <c r="I7" s="23">
        <f>I5+I6</f>
        <v>2.4475081800000007</v>
      </c>
      <c r="J7" s="23">
        <f>J5+J6</f>
        <v>8.47030818</v>
      </c>
      <c r="K7" s="23">
        <f>K5+K6</f>
        <v>16.50070818</v>
      </c>
      <c r="L7" s="23">
        <f>L5+L6</f>
        <v>24.53110818</v>
      </c>
      <c r="M7" s="23">
        <f>M5+M6</f>
        <v>32.56150818</v>
      </c>
      <c r="N7" s="23">
        <f>N5+N6</f>
        <v>38.58430818</v>
      </c>
      <c r="O7" s="23">
        <f>O5+O6</f>
        <v>38.58430818</v>
      </c>
      <c r="P7" s="23">
        <f>P5+P6</f>
        <v>38.58430818</v>
      </c>
      <c r="Q7" s="23">
        <f>Q5+Q6</f>
        <v>38.58430818</v>
      </c>
      <c r="R7" s="23">
        <f>R5+R6</f>
        <v>38.58430818</v>
      </c>
      <c r="S7" s="23">
        <f>S5+S6</f>
        <v>38.58430818</v>
      </c>
      <c r="T7" s="23">
        <f>T5+T6</f>
        <v>38.58430818</v>
      </c>
      <c r="U7" s="23">
        <f>U5+U6</f>
        <v>38.58430818</v>
      </c>
      <c r="V7" s="23">
        <f>V5+V6</f>
        <v>18.50830818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2.4475081800000007</v>
      </c>
      <c r="J8" s="23">
        <f>MIN(I17,MAX(0,J7))</f>
        <v>8.47030818</v>
      </c>
      <c r="K8" s="23">
        <f>MIN(J17,MAX(0,K7))</f>
        <v>16.50070818</v>
      </c>
      <c r="L8" s="23">
        <f>MIN(K17,MAX(0,L7))</f>
        <v>24.53110818</v>
      </c>
      <c r="M8" s="23">
        <f>MIN(L17,MAX(0,M7))</f>
        <v>32.56150818</v>
      </c>
      <c r="N8" s="23">
        <f>MIN(M17,MAX(0,N7))</f>
        <v>38.58430818</v>
      </c>
      <c r="O8" s="23">
        <f>MIN(N17,MAX(0,O7))</f>
        <v>38.58430818</v>
      </c>
      <c r="P8" s="23">
        <f>MIN(O17,MAX(0,P7))</f>
        <v>38.58430818</v>
      </c>
      <c r="Q8" s="23">
        <f>MIN(P17,MAX(0,Q7))</f>
        <v>38.58430818</v>
      </c>
      <c r="R8" s="23">
        <f>MIN(Q17,MAX(0,R7))</f>
        <v>38.58430818</v>
      </c>
      <c r="S8" s="23">
        <f>MIN(R17,MAX(0,S7))</f>
        <v>38.58430818</v>
      </c>
      <c r="T8" s="23">
        <f>MIN(S17,MAX(0,T7))</f>
        <v>38.58430818</v>
      </c>
      <c r="U8" s="23">
        <f>MIN(T17,MAX(0,U7))</f>
        <v>35.89808548000007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2.686222699999931</v>
      </c>
      <c r="V9" s="23">
        <f>MAX(0,V7)-V8</f>
        <v>18.50830818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0.5641067669999854</v>
      </c>
      <c r="V10" s="23">
        <f>V9*Assumptions!$E$15</f>
        <v>3.8867447178</v>
      </c>
    </row>
    <row r="11">
      <c r="A11" s="24" t="inlineStr">
        <is>
          <t>Free cash flow</t>
        </is>
      </c>
      <c r="C11" s="55">
        <f>C7-C10</f>
        <v>-36.441</v>
      </c>
      <c r="D11" s="55">
        <f>D7-D10</f>
        <v>-36.441</v>
      </c>
      <c r="E11" s="55">
        <f>E7-E10</f>
        <v>-36.441</v>
      </c>
      <c r="F11" s="55">
        <f>F7-F10</f>
        <v>-36.441</v>
      </c>
      <c r="G11" s="55">
        <f>G7-G10</f>
        <v>-1.5676918199999996</v>
      </c>
      <c r="H11" s="55">
        <f>H7-H10</f>
        <v>-1.5676918199999996</v>
      </c>
      <c r="I11" s="55">
        <f>I7-I10</f>
        <v>2.4475081800000007</v>
      </c>
      <c r="J11" s="55">
        <f>J7-J10</f>
        <v>8.47030818</v>
      </c>
      <c r="K11" s="55">
        <f>K7-K10</f>
        <v>16.50070818</v>
      </c>
      <c r="L11" s="55">
        <f>L7-L10</f>
        <v>24.53110818</v>
      </c>
      <c r="M11" s="55">
        <f>M7-M10</f>
        <v>32.56150818</v>
      </c>
      <c r="N11" s="55">
        <f>N7-N10</f>
        <v>38.58430818</v>
      </c>
      <c r="O11" s="55">
        <f>O7-O10</f>
        <v>38.58430818</v>
      </c>
      <c r="P11" s="55">
        <f>P7-P10</f>
        <v>38.58430818</v>
      </c>
      <c r="Q11" s="55">
        <f>Q7-Q10</f>
        <v>38.58430818</v>
      </c>
      <c r="R11" s="55">
        <f>R7-R10</f>
        <v>38.58430818</v>
      </c>
      <c r="S11" s="55">
        <f>S7-S10</f>
        <v>38.58430818</v>
      </c>
      <c r="T11" s="55">
        <f>T7-T10</f>
        <v>38.58430818</v>
      </c>
      <c r="U11" s="55">
        <f>U7-U10</f>
        <v>38.02020141300002</v>
      </c>
      <c r="V11" s="55">
        <f>V7-V10</f>
        <v>14.621563462200001</v>
      </c>
    </row>
    <row r="12">
      <c r="A12" s="14" t="inlineStr">
        <is>
          <t>Year fraction</t>
        </is>
      </c>
      <c r="C12" s="58">
        <f>Assumptions!$B$22</f>
        <v>0.6712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0.3356</v>
      </c>
      <c r="D13" s="11">
        <f>C13+C12/2+D12/2</f>
        <v>1.1712</v>
      </c>
      <c r="E13" s="11">
        <f>D13+D12/2+E12/2</f>
        <v>2.1712</v>
      </c>
      <c r="F13" s="11">
        <f>E13+E12/2+F12/2</f>
        <v>3.1712</v>
      </c>
      <c r="G13" s="11">
        <f>F13+F12/2+G12/2</f>
        <v>4.1712</v>
      </c>
      <c r="H13" s="11">
        <f>G13+G12/2+H12/2</f>
        <v>5.1712</v>
      </c>
      <c r="I13" s="11">
        <f>H13+H12/2+I12/2</f>
        <v>6.1712</v>
      </c>
      <c r="J13" s="11">
        <f>I13+I12/2+J12/2</f>
        <v>7.1712</v>
      </c>
      <c r="K13" s="11">
        <f>J13+J12/2+K12/2</f>
        <v>8.171199999999999</v>
      </c>
      <c r="L13" s="11">
        <f>K13+K12/2+L12/2</f>
        <v>9.171199999999999</v>
      </c>
      <c r="M13" s="11">
        <f>L13+L12/2+M12/2</f>
        <v>10.171199999999999</v>
      </c>
      <c r="N13" s="11">
        <f>M13+M12/2+N12/2</f>
        <v>11.171199999999999</v>
      </c>
      <c r="O13" s="11">
        <f>N13+N12/2+O12/2</f>
        <v>12.171199999999999</v>
      </c>
      <c r="P13" s="11">
        <f>O13+O12/2+P12/2</f>
        <v>13.171199999999999</v>
      </c>
      <c r="Q13" s="11">
        <f>P13+P12/2+Q12/2</f>
        <v>14.171199999999999</v>
      </c>
      <c r="R13" s="11">
        <f>Q13+Q12/2+R12/2</f>
        <v>15.171199999999999</v>
      </c>
      <c r="S13" s="11">
        <f>R13+R12/2+S12/2</f>
        <v>16.1712</v>
      </c>
      <c r="T13" s="11">
        <f>S13+S12/2+T12/2</f>
        <v>17.1712</v>
      </c>
      <c r="U13" s="11">
        <f>T13+T12/2+U12/2</f>
        <v>18.1712</v>
      </c>
      <c r="V13" s="11">
        <f>U13+U12/2+V12/2</f>
        <v>19.1712</v>
      </c>
    </row>
    <row r="14">
      <c r="A14" s="14" t="inlineStr">
        <is>
          <t>Discount factor</t>
        </is>
      </c>
      <c r="C14" s="59">
        <f>1/(1+Assumptions!$E$10)^C13</f>
        <v>0.9626810690845582</v>
      </c>
      <c r="D14" s="59">
        <f>1/(1+Assumptions!$E$10)^D13</f>
        <v>0.8757010125045376</v>
      </c>
      <c r="E14" s="59">
        <f>1/(1+Assumptions!$E$10)^E13</f>
        <v>0.7818759040219084</v>
      </c>
      <c r="F14" s="59">
        <f>1/(1+Assumptions!$E$10)^F13</f>
        <v>0.6981034857338467</v>
      </c>
      <c r="G14" s="59">
        <f>1/(1+Assumptions!$E$10)^G13</f>
        <v>0.6233066836909346</v>
      </c>
      <c r="H14" s="59">
        <f>1/(1+Assumptions!$E$10)^H13</f>
        <v>0.5565238247240487</v>
      </c>
      <c r="I14" s="59">
        <f>1/(1+Assumptions!$E$10)^I13</f>
        <v>0.4968962720750434</v>
      </c>
      <c r="J14" s="59">
        <f>1/(1+Assumptions!$E$10)^J13</f>
        <v>0.4436573857812887</v>
      </c>
      <c r="K14" s="59">
        <f>1/(1+Assumptions!$E$10)^K13</f>
        <v>0.3961226658761507</v>
      </c>
      <c r="L14" s="59">
        <f>1/(1+Assumptions!$E$10)^L13</f>
        <v>0.3536809516751345</v>
      </c>
      <c r="M14" s="59">
        <f>1/(1+Assumptions!$E$10)^M13</f>
        <v>0.31578656399565574</v>
      </c>
      <c r="N14" s="59">
        <f>1/(1+Assumptions!$E$10)^N13</f>
        <v>0.28195228928183547</v>
      </c>
      <c r="O14" s="59">
        <f>1/(1+Assumptions!$E$10)^O13</f>
        <v>0.2517431154302102</v>
      </c>
      <c r="P14" s="59">
        <f>1/(1+Assumptions!$E$10)^P13</f>
        <v>0.2247706387769734</v>
      </c>
      <c r="Q14" s="59">
        <f>1/(1+Assumptions!$E$10)^Q13</f>
        <v>0.20068807033658337</v>
      </c>
      <c r="R14" s="59">
        <f>1/(1+Assumptions!$E$10)^R13</f>
        <v>0.17918577708623512</v>
      </c>
      <c r="S14" s="59">
        <f>1/(1+Assumptions!$E$10)^S13</f>
        <v>0.15998730096985278</v>
      </c>
      <c r="T14" s="59">
        <f>1/(1+Assumptions!$E$10)^T13</f>
        <v>0.14284580443736852</v>
      </c>
      <c r="U14" s="59">
        <f>1/(1+Assumptions!$E$10)^U13</f>
        <v>0.12754089681907904</v>
      </c>
      <c r="V14" s="59">
        <f>1/(1+Assumptions!$E$10)^V13</f>
        <v>0.11387580073132055</v>
      </c>
    </row>
    <row r="15">
      <c r="A15" s="14" t="inlineStr">
        <is>
          <t>PV factor</t>
        </is>
      </c>
      <c r="C15" s="59">
        <f>C12*C14</f>
        <v>0.6461515335695555</v>
      </c>
      <c r="D15" s="59">
        <f>D12*D14</f>
        <v>0.8757010125045376</v>
      </c>
      <c r="E15" s="59">
        <f>E12*E14</f>
        <v>0.7818759040219084</v>
      </c>
      <c r="F15" s="59">
        <f>F12*F14</f>
        <v>0.6981034857338467</v>
      </c>
      <c r="G15" s="59">
        <f>G12*G14</f>
        <v>0.6233066836909346</v>
      </c>
      <c r="H15" s="59">
        <f>H12*H14</f>
        <v>0.5565238247240487</v>
      </c>
      <c r="I15" s="59">
        <f>I12*I14</f>
        <v>0.4968962720750434</v>
      </c>
      <c r="J15" s="59">
        <f>J12*J14</f>
        <v>0.4436573857812887</v>
      </c>
      <c r="K15" s="59">
        <f>K12*K14</f>
        <v>0.3961226658761507</v>
      </c>
      <c r="L15" s="59">
        <f>L12*L14</f>
        <v>0.3536809516751345</v>
      </c>
      <c r="M15" s="59">
        <f>M12*M14</f>
        <v>0.31578656399565574</v>
      </c>
      <c r="N15" s="59">
        <f>N12*N14</f>
        <v>0.28195228928183547</v>
      </c>
      <c r="O15" s="59">
        <f>O12*O14</f>
        <v>0.2517431154302102</v>
      </c>
      <c r="P15" s="59">
        <f>P12*P14</f>
        <v>0.2247706387769734</v>
      </c>
      <c r="Q15" s="59">
        <f>Q12*Q14</f>
        <v>0.20068807033658337</v>
      </c>
      <c r="R15" s="59">
        <f>R12*R14</f>
        <v>0.17918577708623512</v>
      </c>
      <c r="S15" s="59">
        <f>S12*S14</f>
        <v>0.15998730096985278</v>
      </c>
      <c r="T15" s="59">
        <f>T12*T14</f>
        <v>0.14284580443736852</v>
      </c>
      <c r="U15" s="59">
        <f>U12*U14</f>
        <v>0.12754089681907904</v>
      </c>
      <c r="V15" s="59">
        <f>V12*V14</f>
        <v>0.11387580073132055</v>
      </c>
    </row>
    <row r="16">
      <c r="A16" s="24" t="inlineStr">
        <is>
          <t>PV of free cash flow</t>
        </is>
      </c>
      <c r="C16" s="55">
        <f>C11*C15</f>
        <v>-23.546408034808174</v>
      </c>
      <c r="D16" s="55">
        <f>D11*D15</f>
        <v>-31.911420596677857</v>
      </c>
      <c r="E16" s="55">
        <f>E11*E15</f>
        <v>-28.492339818462366</v>
      </c>
      <c r="F16" s="55">
        <f>F11*F15</f>
        <v>-25.439589123627112</v>
      </c>
      <c r="G16" s="55">
        <f>G11*G15</f>
        <v>-0.9771527893736053</v>
      </c>
      <c r="H16" s="55">
        <f>H11*H15</f>
        <v>-0.8724578476550047</v>
      </c>
      <c r="I16" s="55">
        <f>I11*I15</f>
        <v>1.2161576905151745</v>
      </c>
      <c r="J16" s="55">
        <f>J11*J15</f>
        <v>3.7579147839006657</v>
      </c>
      <c r="K16" s="55">
        <f>K11*K15</f>
        <v>6.536304513106007</v>
      </c>
      <c r="L16" s="55">
        <f>L11*L15</f>
        <v>8.676185686748077</v>
      </c>
      <c r="M16" s="55">
        <f>M11*M15</f>
        <v>10.282486786678637</v>
      </c>
      <c r="N16" s="55">
        <f>N11*N15</f>
        <v>10.87893402170685</v>
      </c>
      <c r="O16" s="55">
        <f>O11*O15</f>
        <v>9.713333947952545</v>
      </c>
      <c r="P16" s="55">
        <f>P11*P15</f>
        <v>8.6726195963862</v>
      </c>
      <c r="Q16" s="55">
        <f>Q11*Q15</f>
        <v>7.743410353916249</v>
      </c>
      <c r="R16" s="55">
        <f>R11*R15</f>
        <v>6.913759244568078</v>
      </c>
      <c r="S16" s="55">
        <f>S11*S15</f>
        <v>6.172999325507213</v>
      </c>
      <c r="T16" s="55">
        <f>T11*T15</f>
        <v>5.511606540631439</v>
      </c>
      <c r="U16" s="55">
        <f>U11*U15</f>
        <v>4.849130585456038</v>
      </c>
      <c r="V16" s="55">
        <f>V11*V15</f>
        <v>1.6650422472018447</v>
      </c>
    </row>
    <row r="17">
      <c r="A17" s="14" t="inlineStr">
        <is>
          <t>Tax-loss carryforward, end of year</t>
        </is>
      </c>
      <c r="C17" s="23">
        <f>Assumptions!$B$21-C8+MAX(0,-C7)</f>
        <v>278.041</v>
      </c>
      <c r="D17" s="23">
        <f>C17-D8+MAX(0,-D7)</f>
        <v>314.48199999999997</v>
      </c>
      <c r="E17" s="23">
        <f>D17-E8+MAX(0,-E7)</f>
        <v>350.923</v>
      </c>
      <c r="F17" s="23">
        <f>E17-F8+MAX(0,-F7)</f>
        <v>387.36400000000003</v>
      </c>
      <c r="G17" s="23">
        <f>F17-G8+MAX(0,-G7)</f>
        <v>388.93169182</v>
      </c>
      <c r="H17" s="23">
        <f>G17-H8+MAX(0,-H7)</f>
        <v>390.49938364</v>
      </c>
      <c r="I17" s="23">
        <f>H17-I8+MAX(0,-I7)</f>
        <v>388.05187546</v>
      </c>
      <c r="J17" s="23">
        <f>I17-J8+MAX(0,-J7)</f>
        <v>379.58156728</v>
      </c>
      <c r="K17" s="23">
        <f>J17-K8+MAX(0,-K7)</f>
        <v>363.0808591</v>
      </c>
      <c r="L17" s="23">
        <f>K17-L8+MAX(0,-L7)</f>
        <v>338.54975092</v>
      </c>
      <c r="M17" s="23">
        <f>L17-M8+MAX(0,-M7)</f>
        <v>305.98824274000003</v>
      </c>
      <c r="N17" s="23">
        <f>M17-N8+MAX(0,-N7)</f>
        <v>267.40393456000004</v>
      </c>
      <c r="O17" s="23">
        <f>N17-O8+MAX(0,-O7)</f>
        <v>228.81962638000005</v>
      </c>
      <c r="P17" s="23">
        <f>O17-P8+MAX(0,-P7)</f>
        <v>190.23531820000005</v>
      </c>
      <c r="Q17" s="23">
        <f>P17-Q8+MAX(0,-Q7)</f>
        <v>151.65101002000006</v>
      </c>
      <c r="R17" s="23">
        <f>Q17-R8+MAX(0,-R7)</f>
        <v>113.06670184000006</v>
      </c>
      <c r="S17" s="23">
        <f>R17-S8+MAX(0,-S7)</f>
        <v>74.48239366000007</v>
      </c>
      <c r="T17" s="23">
        <f>S17-T8+MAX(0,-T7)</f>
        <v>35.89808548000007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98.88723556048897</v>
      </c>
    </row>
    <row r="20">
      <c r="A20" s="14" t="inlineStr">
        <is>
          <t>PV of corporate burn</t>
        </is>
      </c>
      <c r="B20" s="23">
        <f>SUMPRODUCT(C6:V6,C15:V15)</f>
        <v>-117.02216559687545</v>
      </c>
    </row>
    <row r="21">
      <c r="A21" s="14" t="inlineStr">
        <is>
          <t>PV of taxes</t>
        </is>
      </c>
      <c r="B21" s="23">
        <f>-SUMPRODUCT(C10:V10,C15:V15)</f>
        <v>-0.5145528499425949</v>
      </c>
    </row>
    <row r="22">
      <c r="A22" s="24" t="inlineStr">
        <is>
          <t>Pipeline rNPV (operations)</t>
        </is>
      </c>
      <c r="B22" s="54">
        <f>SUM(C16:V16)</f>
        <v>-18.64948288632911</v>
      </c>
    </row>
    <row r="23">
      <c r="A23" s="14" t="inlineStr">
        <is>
          <t>Cash &amp; investments</t>
        </is>
      </c>
      <c r="B23" s="57">
        <f>Main!C7</f>
        <v>30.497</v>
      </c>
    </row>
    <row r="24">
      <c r="A24" s="14" t="inlineStr">
        <is>
          <t>Debt</t>
        </is>
      </c>
      <c r="B24" s="57">
        <f>Main!C8</f>
        <v>0.61</v>
      </c>
    </row>
    <row r="25">
      <c r="A25" s="24" t="inlineStr">
        <is>
          <t>Equity value</t>
        </is>
      </c>
      <c r="B25" s="54">
        <f>B22+B23-B24</f>
        <v>11.23751711367089</v>
      </c>
    </row>
    <row r="26">
      <c r="A26" s="14" t="inlineStr">
        <is>
          <t>Shares (mm)</t>
        </is>
      </c>
      <c r="B26" s="57">
        <f>Main!C4</f>
        <v>51.999996</v>
      </c>
    </row>
    <row r="27">
      <c r="A27" s="24" t="inlineStr">
        <is>
          <t>rNPV / share</t>
        </is>
      </c>
      <c r="B27" s="60">
        <f>B25/B26</f>
        <v>0.2161061149633721</v>
      </c>
    </row>
    <row r="28">
      <c r="A28" s="14" t="inlineStr">
        <is>
          <t>Price</t>
        </is>
      </c>
      <c r="B28" s="61">
        <f>Main!C3</f>
        <v>1.31</v>
      </c>
    </row>
    <row r="29">
      <c r="A29" s="14" t="inlineStr">
        <is>
          <t>Upside</t>
        </is>
      </c>
      <c r="B29" s="62">
        <f>B27/B28-1</f>
        <v>-0.8350335000279603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2026-10-21T06:28:37Z</dcterms:modified>
  <cp:lastModifiedBy>Wang, Eric</cp:lastModifiedBy>
</cp:coreProperties>
</file>