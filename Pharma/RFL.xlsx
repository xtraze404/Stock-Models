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Rafael Holdings Inc</t>
        </is>
      </c>
      <c r="C2" s="10" t="n"/>
    </row>
    <row r="3">
      <c r="B3" t="inlineStr">
        <is>
          <t>Price</t>
        </is>
      </c>
      <c r="C3" s="11">
        <f>INDEX([1]Pharma!$F$1:$F$1000,MATCH("RFL",[1]Pharma!$B$1:$B$1000,0))</f>
        <v>1.31</v>
      </c>
      <c r="F3" s="1" t="n"/>
    </row>
    <row r="4">
      <c r="B4" t="inlineStr">
        <is>
          <t>Shares</t>
        </is>
      </c>
      <c r="C4" s="21" t="n">
        <v>51.999996</v>
      </c>
      <c r="F4" s="1" t="n"/>
    </row>
    <row r="5">
      <c r="B5" t="inlineStr">
        <is>
          <t>Market Cap.</t>
        </is>
      </c>
      <c r="C5" s="13">
        <f>C3*C4</f>
        <v>68.11999476000001</v>
      </c>
      <c r="F5" s="1" t="n"/>
    </row>
    <row r="6"/>
    <row r="7">
      <c r="B7" t="inlineStr">
        <is>
          <t>Cash</t>
        </is>
      </c>
      <c r="C7" s="21" t="n">
        <v>30.497</v>
      </c>
    </row>
    <row r="8">
      <c r="B8" t="inlineStr">
        <is>
          <t>Debt</t>
        </is>
      </c>
      <c r="C8" s="21">
        <f>0.608+0.002</f>
        <v>0.61</v>
      </c>
    </row>
    <row r="9">
      <c r="B9" t="inlineStr">
        <is>
          <t>Enterprise V.</t>
        </is>
      </c>
      <c r="C9" s="13">
        <f>C5-C7+C8</f>
        <v>38.23299476000001</v>
      </c>
    </row>
    <row r="10"/>
    <row r="11">
      <c r="B11" s="14" t="inlineStr">
        <is>
          <t>Net Cash / Share</t>
        </is>
      </c>
      <c r="C11" s="11">
        <f>(C7-C8)/C4</f>
        <v>0.5747500442115419</v>
      </c>
    </row>
    <row r="12">
      <c r="B12" s="14" t="inlineStr">
        <is>
          <t>Upside</t>
        </is>
      </c>
      <c r="C12" s="15">
        <f>IFERROR(C11/C3-1,"")</f>
        <v>-0.5612595082354643</v>
      </c>
    </row>
    <row r="13">
      <c r="B13" s="14" t="inlineStr">
        <is>
          <t>Cash / Share</t>
        </is>
      </c>
      <c r="C13" s="11">
        <f>IFERROR((C7-C8)/C4,"")</f>
        <v>0.5747500442115419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-31.99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0.9342607064707722</v>
      </c>
    </row>
    <row r="19">
      <c r="B19" s="14" t="inlineStr">
        <is>
          <t>Implied Pipeline Value</t>
        </is>
      </c>
      <c r="C19" s="13">
        <f>C9</f>
        <v>38.23299476000001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5.589</v>
      </c>
      <c r="C2" s="23" t="n">
        <v>5.618</v>
      </c>
      <c r="D2" s="23" t="n">
        <v>4.371</v>
      </c>
      <c r="E2" s="23" t="n">
        <v>4.931</v>
      </c>
      <c r="F2" s="23" t="n">
        <v>4.91</v>
      </c>
      <c r="G2" s="23" t="n">
        <v>0.802</v>
      </c>
      <c r="H2" s="23" t="n">
        <v>0.41</v>
      </c>
      <c r="I2" s="23" t="n">
        <v>0.279</v>
      </c>
      <c r="J2" s="23" t="n">
        <v>0.637</v>
      </c>
      <c r="K2" s="23" t="n">
        <v>0.917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3.169</v>
      </c>
      <c r="H3" s="23" t="n">
        <v>3.499</v>
      </c>
      <c r="I3" s="23" t="n">
        <v>0</v>
      </c>
      <c r="J3" s="23" t="n">
        <v>0.154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5.589</v>
      </c>
      <c r="C4" s="23">
        <f>C2-C3</f>
        <v>5.618</v>
      </c>
      <c r="D4" s="23">
        <f>D2-D3</f>
        <v>4.371</v>
      </c>
      <c r="E4" s="23">
        <f>E2-E3</f>
        <v>4.931</v>
      </c>
      <c r="F4" s="23">
        <f>F2-F3</f>
        <v>4.91</v>
      </c>
      <c r="G4" s="23">
        <f>G2-G3</f>
        <v>-2.367</v>
      </c>
      <c r="H4" s="23">
        <f>H2-H3</f>
        <v>-3.089</v>
      </c>
      <c r="I4" s="23">
        <f>I2-I3</f>
        <v>0.279</v>
      </c>
      <c r="J4" s="23">
        <f>J2-J3</f>
        <v>0.483</v>
      </c>
      <c r="K4" s="23">
        <f>K2-K3</f>
        <v>0.917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0.995</v>
      </c>
      <c r="E5" s="23" t="n">
        <v>1.027</v>
      </c>
      <c r="F5" s="23" t="n">
        <v>2.391</v>
      </c>
      <c r="G5" s="23" t="n">
        <v>4.907</v>
      </c>
      <c r="H5" s="23" t="n">
        <v>8.742000000000001</v>
      </c>
      <c r="I5" s="23" t="n">
        <v>6.312</v>
      </c>
      <c r="J5" s="23" t="n">
        <v>4.17</v>
      </c>
      <c r="K5" s="23" t="n">
        <v>12.823</v>
      </c>
    </row>
    <row r="6">
      <c r="A6" s="19" t="inlineStr">
        <is>
          <t>SG&amp;A &amp; Other</t>
        </is>
      </c>
      <c r="B6" s="23" t="n">
        <v>4.397</v>
      </c>
      <c r="C6" s="23" t="n">
        <v>5.397</v>
      </c>
      <c r="D6" s="23" t="n">
        <v>7.217</v>
      </c>
      <c r="E6" s="23" t="n">
        <v>10.6</v>
      </c>
      <c r="F6" s="23" t="n">
        <v>10.984</v>
      </c>
      <c r="G6" s="23" t="n">
        <v>20.925</v>
      </c>
      <c r="H6" s="23" t="n">
        <v>48.646</v>
      </c>
      <c r="I6" s="23" t="n">
        <v>9.01</v>
      </c>
      <c r="J6" s="23" t="n">
        <v>98.94</v>
      </c>
      <c r="K6" s="23" t="n">
        <v>17.253</v>
      </c>
    </row>
    <row r="7">
      <c r="A7" s="2" t="inlineStr">
        <is>
          <t>Operating Expense</t>
        </is>
      </c>
      <c r="B7" s="23">
        <f>SUM(B5:B6)</f>
        <v>4.397</v>
      </c>
      <c r="C7" s="23">
        <f>SUM(C5:C6)</f>
        <v>5.397</v>
      </c>
      <c r="D7" s="23">
        <f>SUM(D5:D6)</f>
        <v>8.212</v>
      </c>
      <c r="E7" s="23">
        <f>SUM(E5:E6)</f>
        <v>11.626999999999999</v>
      </c>
      <c r="F7" s="23">
        <f>SUM(F5:F6)</f>
        <v>13.375</v>
      </c>
      <c r="G7" s="23">
        <f>SUM(G5:G6)</f>
        <v>25.832</v>
      </c>
      <c r="H7" s="23">
        <f>SUM(H5:H6)</f>
        <v>57.388000000000005</v>
      </c>
      <c r="I7" s="23">
        <f>SUM(I5:I6)</f>
        <v>15.322</v>
      </c>
      <c r="J7" s="23">
        <f>SUM(J5:J6)</f>
        <v>103.11</v>
      </c>
      <c r="K7" s="23">
        <f>SUM(K5:K6)</f>
        <v>30.076</v>
      </c>
    </row>
    <row r="8">
      <c r="A8" s="2" t="inlineStr">
        <is>
          <t>Operating Income</t>
        </is>
      </c>
      <c r="B8" s="23">
        <f>B4-B7</f>
        <v>1.1920000000000002</v>
      </c>
      <c r="C8" s="23">
        <f>C4-C7</f>
        <v>0.22100000000000009</v>
      </c>
      <c r="D8" s="23">
        <f>D4-D7</f>
        <v>-3.8409999999999993</v>
      </c>
      <c r="E8" s="23">
        <f>E4-E7</f>
        <v>-6.695999999999999</v>
      </c>
      <c r="F8" s="23">
        <f>F4-F7</f>
        <v>-8.465</v>
      </c>
      <c r="G8" s="23">
        <f>G4-G7</f>
        <v>-28.199</v>
      </c>
      <c r="H8" s="23">
        <f>H4-H7</f>
        <v>-60.477000000000004</v>
      </c>
      <c r="I8" s="23">
        <f>I4-I7</f>
        <v>-15.043</v>
      </c>
      <c r="J8" s="23">
        <f>J4-J7</f>
        <v>-102.627</v>
      </c>
      <c r="K8" s="23">
        <f>K4-K7</f>
        <v>-29.159</v>
      </c>
    </row>
    <row r="9">
      <c r="A9" s="19" t="inlineStr">
        <is>
          <t>Interest &amp; Other</t>
        </is>
      </c>
      <c r="B9" s="23" t="n">
        <v>-0.033</v>
      </c>
      <c r="C9" s="23" t="n">
        <v>-0.017</v>
      </c>
      <c r="D9" s="23" t="n">
        <v>0.629</v>
      </c>
      <c r="E9" s="23" t="n">
        <v>1.984</v>
      </c>
      <c r="F9" s="23" t="n">
        <v>-2.259</v>
      </c>
      <c r="G9" s="23" t="n">
        <v>5.156</v>
      </c>
      <c r="H9" s="23" t="n">
        <v>-64.181</v>
      </c>
      <c r="I9" s="23" t="n">
        <v>12.912</v>
      </c>
      <c r="J9" s="23" t="n">
        <v>65.53700000000001</v>
      </c>
      <c r="K9" s="23" t="n">
        <v>-3.914</v>
      </c>
    </row>
    <row r="10">
      <c r="A10" s="2" t="inlineStr">
        <is>
          <t>Pretax</t>
        </is>
      </c>
      <c r="B10" s="23">
        <f>B8+B9</f>
        <v>1.1590000000000003</v>
      </c>
      <c r="C10" s="23">
        <f>C8+C9</f>
        <v>0.20400000000000007</v>
      </c>
      <c r="D10" s="23">
        <f>D8+D9</f>
        <v>-3.2119999999999993</v>
      </c>
      <c r="E10" s="23">
        <f>E8+E9</f>
        <v>-4.711999999999999</v>
      </c>
      <c r="F10" s="23">
        <f>F8+F9</f>
        <v>-10.724</v>
      </c>
      <c r="G10" s="23">
        <f>G8+G9</f>
        <v>-23.043000000000003</v>
      </c>
      <c r="H10" s="23">
        <f>H8+H9</f>
        <v>-124.658</v>
      </c>
      <c r="I10" s="23">
        <f>I8+I9</f>
        <v>-2.1309999999999985</v>
      </c>
      <c r="J10" s="23">
        <f>J8+J9</f>
        <v>-37.08999999999999</v>
      </c>
      <c r="K10" s="23">
        <f>K8+K9</f>
        <v>-33.073</v>
      </c>
    </row>
    <row r="11">
      <c r="A11" s="2" t="inlineStr">
        <is>
          <t>Taxes</t>
        </is>
      </c>
      <c r="B11" s="23" t="n">
        <v>0.449</v>
      </c>
      <c r="C11" s="23" t="n">
        <v>0.066</v>
      </c>
      <c r="D11" s="23" t="n">
        <v>8.436999999999999</v>
      </c>
      <c r="E11" s="23" t="n">
        <v>-0.019</v>
      </c>
      <c r="F11" s="23" t="n">
        <v>0.029</v>
      </c>
      <c r="G11" s="23" t="n">
        <v>0.018</v>
      </c>
      <c r="H11" s="23" t="n">
        <v>0</v>
      </c>
      <c r="I11" s="23" t="n">
        <v>-0.255</v>
      </c>
      <c r="J11" s="23" t="n">
        <v>-2.68</v>
      </c>
      <c r="K11" s="23" t="n">
        <v>-2.553</v>
      </c>
    </row>
    <row r="12">
      <c r="A12" s="2" t="inlineStr">
        <is>
          <t>Net Income</t>
        </is>
      </c>
      <c r="B12" s="23" t="n">
        <v>0.71</v>
      </c>
      <c r="C12" s="23" t="n">
        <v>0.138</v>
      </c>
      <c r="D12" s="23" t="n">
        <v>-11.649</v>
      </c>
      <c r="E12" s="23" t="n">
        <v>-4.693</v>
      </c>
      <c r="F12" s="23" t="n">
        <v>-10.753</v>
      </c>
      <c r="G12" s="23" t="n">
        <v>-23.061</v>
      </c>
      <c r="H12" s="23" t="n">
        <v>-124.658</v>
      </c>
      <c r="I12" s="23" t="n">
        <v>-1.876</v>
      </c>
      <c r="J12" s="23" t="n">
        <v>-34.41</v>
      </c>
      <c r="K12" s="23" t="n">
        <v>-30.52</v>
      </c>
    </row>
    <row r="13">
      <c r="A13" s="2" t="inlineStr">
        <is>
          <t>Earnings per Share</t>
        </is>
      </c>
      <c r="B13" s="11">
        <f>IFERROR(B12/B14,0)</f>
        <v>0.05349608197709463</v>
      </c>
      <c r="C13" s="11">
        <f>IFERROR(C12/C14,0)</f>
        <v>0.010397830018083183</v>
      </c>
      <c r="D13" s="11">
        <f>IFERROR(D12/D14,0)</f>
        <v>-0.8777124773960217</v>
      </c>
      <c r="E13" s="11">
        <f>IFERROR(E12/E14,0)</f>
        <v>-0.35352165725047074</v>
      </c>
      <c r="F13" s="11">
        <f>IFERROR(F12/F14,0)</f>
        <v>-0.6820805581985411</v>
      </c>
      <c r="G13" s="11">
        <f>IFERROR(G12/G14,0)</f>
        <v>-1.395690855171579</v>
      </c>
      <c r="H13" s="11">
        <f>IFERROR(H12/H14,0)</f>
        <v>-6.30636920119391</v>
      </c>
      <c r="I13" s="11">
        <f>IFERROR(I12/I14,0)</f>
        <v>-0.08064308128788203</v>
      </c>
      <c r="J13" s="11">
        <f>IFERROR(J12/J14,0)</f>
        <v>-1.4490861618798956</v>
      </c>
      <c r="K13" s="11">
        <f>IFERROR(K12/K14,0)</f>
        <v>-1.0373190129834817</v>
      </c>
    </row>
    <row r="14">
      <c r="A14" s="2" t="inlineStr">
        <is>
          <t>Shares</t>
        </is>
      </c>
      <c r="B14" s="23" t="n">
        <v>13.272</v>
      </c>
      <c r="C14" s="23" t="n">
        <v>13.272</v>
      </c>
      <c r="D14" s="23" t="n">
        <v>13.272</v>
      </c>
      <c r="E14" s="23" t="n">
        <v>13.275</v>
      </c>
      <c r="F14" s="23" t="n">
        <v>15.765</v>
      </c>
      <c r="G14" s="23" t="n">
        <v>16.523</v>
      </c>
      <c r="H14" s="23" t="n">
        <v>19.767</v>
      </c>
      <c r="I14" s="23" t="n">
        <v>23.263</v>
      </c>
      <c r="J14" s="23" t="n">
        <v>23.746</v>
      </c>
      <c r="K14" s="23" t="n">
        <v>29.422</v>
      </c>
    </row>
    <row r="15"/>
    <row r="16" customFormat="1" s="4">
      <c r="A16" s="3" t="inlineStr">
        <is>
          <t>Revenue Change</t>
        </is>
      </c>
      <c r="C16" s="15">
        <f>IFERROR(C2/B2-1,"")</f>
        <v>0.005188763642869798</v>
      </c>
      <c r="D16" s="15">
        <f>IFERROR(D2/C2-1,"")</f>
        <v>-0.2219651121395514</v>
      </c>
      <c r="E16" s="15">
        <f>IFERROR(E2/D2-1,"")</f>
        <v>0.1281171356668953</v>
      </c>
      <c r="F16" s="15">
        <f>IFERROR(F2/E2-1,"")</f>
        <v>-0.004258771040356879</v>
      </c>
      <c r="G16" s="15">
        <f>IFERROR(G2/F2-1,"")</f>
        <v>-0.8366598778004073</v>
      </c>
      <c r="H16" s="15">
        <f>IFERROR(H2/G2-1,"")</f>
        <v>-0.488778054862843</v>
      </c>
      <c r="I16" s="15">
        <f>IFERROR(I2/H2-1,"")</f>
        <v>-0.31951219512195117</v>
      </c>
      <c r="J16" s="15">
        <f>IFERROR(J2/I2-1,"")</f>
        <v>1.2831541218637992</v>
      </c>
      <c r="K16" s="15">
        <f>IFERROR(K2/J2-1,"")</f>
        <v>0.43956043956043955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-2.951371571072319</v>
      </c>
      <c r="H17" s="15">
        <f>IFERROR(H4/H2,"")</f>
        <v>-7.534146341463415</v>
      </c>
      <c r="I17" s="15">
        <f>IFERROR(I4/I2,"")</f>
        <v>1.0</v>
      </c>
      <c r="J17" s="15">
        <f>IFERROR(J4/J2,"")</f>
        <v>0.7582417582417582</v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>0.21327607801037754</v>
      </c>
      <c r="C18" s="15">
        <f>IFERROR(C8/C2,"")</f>
        <v>0.03933784264862942</v>
      </c>
      <c r="D18" s="15">
        <f>IFERROR(D8/D2,"")</f>
        <v>-0.8787462823152594</v>
      </c>
      <c r="E18" s="15">
        <f>IFERROR(E8/E2,"")</f>
        <v>-1.3579395660109508</v>
      </c>
      <c r="F18" s="15">
        <f>IFERROR(F8/F2,"")</f>
        <v>-1.7240325865580448</v>
      </c>
      <c r="G18" s="15">
        <f>IFERROR(G8/G2,"")</f>
        <v>-35.16084788029925</v>
      </c>
      <c r="H18" s="15">
        <f>IFERROR(H8/H2,"")</f>
        <v>-147.5048780487805</v>
      </c>
      <c r="I18" s="15">
        <f>IFERROR(I8/I2,"")</f>
        <v>-53.91756272401433</v>
      </c>
      <c r="J18" s="15">
        <f>IFERROR(J8/J2,"")</f>
        <v>-161.1098901098901</v>
      </c>
      <c r="K18" s="15">
        <f>IFERROR(K8/K2,"")</f>
        <v>-31.798255179934568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2026-10-21T01:06:03Z</dcterms:modified>
  <cp:lastModifiedBy>Wang, Eric</cp:lastModifiedBy>
</cp:coreProperties>
</file>