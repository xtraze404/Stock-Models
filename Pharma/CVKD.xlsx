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Cadrenal Therapeutics Inc</t>
        </is>
      </c>
      <c r="C2" s="10" t="n"/>
    </row>
    <row r="3">
      <c r="B3" t="inlineStr">
        <is>
          <t>Price</t>
        </is>
      </c>
      <c r="C3" s="11">
        <f>INDEX([1]Pharma!$F$1:$F$1000,MATCH("CVKD",[1]Pharma!$B$1:$B$1000,0))</f>
        <v>1.04</v>
      </c>
      <c r="F3" s="1" t="n"/>
    </row>
    <row r="4">
      <c r="B4" t="inlineStr">
        <is>
          <t>Shares</t>
        </is>
      </c>
      <c r="C4" s="21" t="n">
        <v>3.567592</v>
      </c>
      <c r="F4" s="1" t="n"/>
    </row>
    <row r="5">
      <c r="B5" t="inlineStr">
        <is>
          <t>Market Cap.</t>
        </is>
      </c>
      <c r="C5" s="13">
        <f>C3*C4</f>
        <v>3.71029568</v>
      </c>
      <c r="F5" s="1" t="n"/>
    </row>
    <row r="6"/>
    <row r="7">
      <c r="B7" t="inlineStr">
        <is>
          <t>Cash</t>
        </is>
      </c>
      <c r="C7" s="21" t="n">
        <v>2.388135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1.32216068</v>
      </c>
    </row>
    <row r="10"/>
    <row r="11">
      <c r="B11" s="14" t="inlineStr">
        <is>
          <t>Net Cash / Share</t>
        </is>
      </c>
      <c r="C11" s="11">
        <f>(C7-C8)/C4</f>
        <v>0.6693968929182486</v>
      </c>
    </row>
    <row r="12">
      <c r="B12" s="14" t="inlineStr">
        <is>
          <t>Upside</t>
        </is>
      </c>
      <c r="C12" s="15">
        <f>IFERROR(C11/C3-1,"")</f>
        <v>-0.35634914142476104</v>
      </c>
    </row>
    <row r="13">
      <c r="B13" s="14" t="inlineStr">
        <is>
          <t>Cash / Share</t>
        </is>
      </c>
      <c r="C13" s="11">
        <f>IFERROR((C7-C8)/C4,"")</f>
        <v>0.6693968929182486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-10.162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0.2350063963786656</v>
      </c>
    </row>
    <row r="19">
      <c r="B19" s="14" t="inlineStr">
        <is>
          <t>Implied Pipeline Value</t>
        </is>
      </c>
      <c r="C19" s="13">
        <f>C9</f>
        <v>1.32216068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2008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0.22</v>
      </c>
      <c r="C3" s="23" t="n">
        <v>0.22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-0.22</v>
      </c>
      <c r="C4" s="23">
        <f>C2-C3</f>
        <v>-0.22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0.2</v>
      </c>
      <c r="C5" s="23" t="n">
        <v>4.081</v>
      </c>
      <c r="D5" s="23" t="n">
        <v>4.205</v>
      </c>
      <c r="E5" s="23" t="n">
        <v>4.1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</v>
      </c>
      <c r="C6" s="23" t="n">
        <v>3.331</v>
      </c>
      <c r="D6" s="23" t="n">
        <v>6.756</v>
      </c>
      <c r="E6" s="23" t="n">
        <v>9.361000000000001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0.2</v>
      </c>
      <c r="C7" s="23">
        <f>SUM(C5:C6)</f>
        <v>7.412000000000001</v>
      </c>
      <c r="D7" s="23">
        <f>SUM(D5:D6)</f>
        <v>10.961</v>
      </c>
      <c r="E7" s="23">
        <f>SUM(E5:E6)</f>
        <v>13.461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-0.42000000000000004</v>
      </c>
      <c r="C8" s="23">
        <f>C4-C7</f>
        <v>-7.632000000000001</v>
      </c>
      <c r="D8" s="23">
        <f>D4-D7</f>
        <v>-10.961</v>
      </c>
      <c r="E8" s="23">
        <f>E4-E7</f>
        <v>-13.461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-0.724</v>
      </c>
      <c r="D9" s="23" t="n">
        <v>0.309</v>
      </c>
      <c r="E9" s="23" t="n">
        <v>0.224</v>
      </c>
    </row>
    <row r="10">
      <c r="A10" s="2" t="inlineStr">
        <is>
          <t>Pretax</t>
        </is>
      </c>
      <c r="B10" s="23">
        <f>B8+B9</f>
        <v>-0.42000000000000004</v>
      </c>
      <c r="C10" s="23">
        <f>C8+C9</f>
        <v>-8.356</v>
      </c>
      <c r="D10" s="23">
        <f>D8+D9</f>
        <v>-10.652000000000001</v>
      </c>
      <c r="E10" s="23">
        <f>E8+E9</f>
        <v>-13.237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-0.42</v>
      </c>
      <c r="C12" s="23" t="n">
        <v>-8.356999999999999</v>
      </c>
      <c r="D12" s="23" t="n">
        <v>-10.651</v>
      </c>
      <c r="E12" s="23" t="n">
        <v>-13.237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-9.295884315906562</v>
      </c>
      <c r="D13" s="11">
        <f>IFERROR(D12/D14,0)</f>
        <v>-8.73032786885246</v>
      </c>
      <c r="E13" s="11">
        <f>IFERROR(E12/E14,0)</f>
        <v>-6.638415245737212</v>
      </c>
    </row>
    <row r="14">
      <c r="A14" s="2" t="inlineStr">
        <is>
          <t>Shares</t>
        </is>
      </c>
      <c r="B14" s="23" t="n"/>
      <c r="C14" s="23" t="n">
        <v>0.899</v>
      </c>
      <c r="D14" s="23" t="n">
        <v>1.22</v>
      </c>
      <c r="E14" s="23" t="n">
        <v>1.994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2026-10-21T06:31:31Z</dcterms:modified>
  <cp:lastModifiedBy>Wang, Eric</cp:lastModifiedBy>
</cp:coreProperties>
</file>