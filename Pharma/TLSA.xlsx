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Tiziana Life Sciences Ltd</t>
        </is>
      </c>
      <c r="C2" s="10" t="n"/>
    </row>
    <row r="3">
      <c r="B3" t="inlineStr">
        <is>
          <t>Price</t>
        </is>
      </c>
      <c r="C3" s="11">
        <f>INDEX([1]Pharma!$F$1:$F$1000,MATCH("TLSA",[1]Pharma!$B$1:$B$1000,0))</f>
        <v>1.01</v>
      </c>
      <c r="F3" s="1" t="n"/>
    </row>
    <row r="4">
      <c r="B4" t="inlineStr">
        <is>
          <t>Shares</t>
        </is>
      </c>
      <c r="C4" s="21" t="n">
        <v>120.507401</v>
      </c>
      <c r="F4" s="1" t="n"/>
    </row>
    <row r="5">
      <c r="B5" t="inlineStr">
        <is>
          <t>Market Cap.</t>
        </is>
      </c>
      <c r="C5" s="13">
        <f>C3*C4</f>
        <v>121.71247501</v>
      </c>
      <c r="F5" s="1" t="n"/>
    </row>
    <row r="6"/>
    <row r="7">
      <c r="B7" t="inlineStr">
        <is>
          <t>Cash</t>
        </is>
      </c>
      <c r="C7" s="21" t="n"/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121.71247501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>0.0</v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21" t="n">
        <v>-1.526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121.71247501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1" t="n"/>
    </row>
    <row r="5">
      <c r="A5" s="2" t="inlineStr">
        <is>
          <t>Research &amp; Dev.</t>
        </is>
      </c>
      <c r="B5" s="23" t="n">
        <v>4.007</v>
      </c>
      <c r="C5" s="23" t="n">
        <v>6.015</v>
      </c>
      <c r="D5" s="23" t="n">
        <v>5.51</v>
      </c>
      <c r="E5" s="23" t="n">
        <v>3.714</v>
      </c>
      <c r="F5" s="23" t="n">
        <v>5.993</v>
      </c>
      <c r="G5" s="23" t="n">
        <v>13.208</v>
      </c>
      <c r="H5" s="23" t="n">
        <v>12.955</v>
      </c>
      <c r="I5" s="23" t="n">
        <v>8.113</v>
      </c>
      <c r="J5" s="23" t="n">
        <v>5.229</v>
      </c>
      <c r="K5" s="1" t="n"/>
    </row>
    <row r="6">
      <c r="A6" s="19" t="inlineStr">
        <is>
          <t>SG&amp;A &amp; Other</t>
        </is>
      </c>
      <c r="B6" s="23" t="n">
        <v>5.872</v>
      </c>
      <c r="C6" s="23" t="n">
        <v>4.478</v>
      </c>
      <c r="D6" s="23" t="n">
        <v>4.357</v>
      </c>
      <c r="E6" s="23" t="n">
        <v>6.207</v>
      </c>
      <c r="F6" s="23" t="n">
        <v>22.033</v>
      </c>
      <c r="G6" s="23" t="n">
        <v>14.166</v>
      </c>
      <c r="H6" s="23" t="n">
        <v>1.631</v>
      </c>
      <c r="I6" s="23" t="n">
        <v>9.871</v>
      </c>
      <c r="J6" s="23" t="n">
        <v>10.565</v>
      </c>
      <c r="K6" s="1" t="n"/>
    </row>
    <row r="7">
      <c r="A7" s="2" t="inlineStr">
        <is>
          <t>Operating Expense</t>
        </is>
      </c>
      <c r="B7" s="23">
        <f>SUM(B5:B6)</f>
        <v>9.879</v>
      </c>
      <c r="C7" s="23">
        <f>SUM(C5:C6)</f>
        <v>10.492999999999999</v>
      </c>
      <c r="D7" s="23">
        <f>SUM(D5:D6)</f>
        <v>9.867</v>
      </c>
      <c r="E7" s="23">
        <f>SUM(E5:E6)</f>
        <v>9.921</v>
      </c>
      <c r="F7" s="23">
        <f>SUM(F5:F6)</f>
        <v>28.026000000000003</v>
      </c>
      <c r="G7" s="23">
        <f>SUM(G5:G6)</f>
        <v>27.374000000000002</v>
      </c>
      <c r="H7" s="23">
        <f>SUM(H5:H6)</f>
        <v>14.586</v>
      </c>
      <c r="I7" s="23">
        <f>SUM(I5:I6)</f>
        <v>17.984</v>
      </c>
      <c r="J7" s="23">
        <f>SUM(J5:J6)</f>
        <v>15.794</v>
      </c>
      <c r="K7" s="1" t="n"/>
    </row>
    <row r="8">
      <c r="A8" s="2" t="inlineStr">
        <is>
          <t>Operating Income</t>
        </is>
      </c>
      <c r="B8" s="23">
        <f>B4-B7</f>
        <v>-9.879</v>
      </c>
      <c r="C8" s="23">
        <f>C4-C7</f>
        <v>-10.492999999999999</v>
      </c>
      <c r="D8" s="23">
        <f>D4-D7</f>
        <v>-9.867</v>
      </c>
      <c r="E8" s="23">
        <f>E4-E7</f>
        <v>-9.921</v>
      </c>
      <c r="F8" s="23">
        <f>F4-F7</f>
        <v>-28.026000000000003</v>
      </c>
      <c r="G8" s="23">
        <f>G4-G7</f>
        <v>-27.374000000000002</v>
      </c>
      <c r="H8" s="23">
        <f>H4-H7</f>
        <v>-14.586</v>
      </c>
      <c r="I8" s="23">
        <f>I4-I7</f>
        <v>-17.984</v>
      </c>
      <c r="J8" s="23">
        <f>J4-J7</f>
        <v>-15.794</v>
      </c>
      <c r="K8" s="1" t="n"/>
    </row>
    <row r="9">
      <c r="A9" s="19" t="inlineStr">
        <is>
          <t>Interest &amp; Other</t>
        </is>
      </c>
      <c r="B9" s="23" t="n">
        <v>-0.012</v>
      </c>
      <c r="C9" s="23" t="n">
        <v>-0.012</v>
      </c>
      <c r="D9" s="23" t="n">
        <v>-0.012</v>
      </c>
      <c r="E9" s="23" t="n">
        <v>-1.609</v>
      </c>
      <c r="F9" s="23" t="n">
        <v>-0.312</v>
      </c>
      <c r="G9" s="23" t="n">
        <v>0.717</v>
      </c>
      <c r="H9" s="23" t="n">
        <v>-0.8110000000000001</v>
      </c>
      <c r="I9" s="23" t="n">
        <v>0.742</v>
      </c>
      <c r="J9" s="23" t="n">
        <v>-0.952</v>
      </c>
    </row>
    <row r="10">
      <c r="A10" s="2" t="inlineStr">
        <is>
          <t>Pretax</t>
        </is>
      </c>
      <c r="B10" s="23">
        <f>B8+B9</f>
        <v>-9.891</v>
      </c>
      <c r="C10" s="23">
        <f>C8+C9</f>
        <v>-10.504999999999999</v>
      </c>
      <c r="D10" s="23">
        <f>D8+D9</f>
        <v>-9.879000000000001</v>
      </c>
      <c r="E10" s="23">
        <f>E8+E9</f>
        <v>-11.53</v>
      </c>
      <c r="F10" s="23">
        <f>F8+F9</f>
        <v>-28.338000000000005</v>
      </c>
      <c r="G10" s="23">
        <f>G8+G9</f>
        <v>-26.657000000000004</v>
      </c>
      <c r="H10" s="23">
        <f>H8+H9</f>
        <v>-15.397</v>
      </c>
      <c r="I10" s="23">
        <f>I8+I9</f>
        <v>-17.242</v>
      </c>
      <c r="J10" s="23">
        <f>J8+J9</f>
        <v>-16.746000000000002</v>
      </c>
      <c r="K10" s="1" t="n"/>
    </row>
    <row r="11">
      <c r="A11" s="2" t="inlineStr">
        <is>
          <t>Taxes</t>
        </is>
      </c>
      <c r="B11" s="23" t="n">
        <v>-0.121</v>
      </c>
      <c r="C11" s="23" t="n">
        <v>-1.912</v>
      </c>
      <c r="D11" s="23" t="n">
        <v>-1.945</v>
      </c>
      <c r="E11" s="23" t="n">
        <v>-2.207</v>
      </c>
      <c r="F11" s="23" t="n">
        <v>-2.207</v>
      </c>
      <c r="G11" s="23" t="n">
        <v>-3.24</v>
      </c>
      <c r="H11" s="23" t="n">
        <v>0</v>
      </c>
      <c r="I11" s="23" t="n">
        <v>0.449</v>
      </c>
      <c r="J11" s="23" t="n">
        <v>-4.883</v>
      </c>
    </row>
    <row r="12">
      <c r="A12" s="2" t="inlineStr">
        <is>
          <t>Net Income</t>
        </is>
      </c>
      <c r="B12" s="23" t="n">
        <v>-9.77</v>
      </c>
      <c r="C12" s="23" t="n">
        <v>-8.593</v>
      </c>
      <c r="D12" s="23" t="n">
        <v>-7.934</v>
      </c>
      <c r="E12" s="23" t="n">
        <v>-9.323</v>
      </c>
      <c r="F12" s="23" t="n">
        <v>-26.131</v>
      </c>
      <c r="G12" s="23" t="n">
        <v>-23.417</v>
      </c>
      <c r="H12" s="23" t="n">
        <v>-15.397</v>
      </c>
      <c r="I12" s="23" t="n">
        <v>-17.691</v>
      </c>
      <c r="J12" s="23" t="n">
        <v>-11.863</v>
      </c>
      <c r="K12" s="1" t="n"/>
    </row>
    <row r="13">
      <c r="A13" s="2" t="inlineStr">
        <is>
          <t>Earnings per Share</t>
        </is>
      </c>
      <c r="B13" s="11">
        <f>IFERROR(B12/B14,0)</f>
        <v>-0.1043892640396615</v>
      </c>
      <c r="C13" s="11">
        <f>IFERROR(C12/C14,0)</f>
        <v>-0.08075824217134694</v>
      </c>
      <c r="D13" s="11">
        <f>IFERROR(D12/D14,0)</f>
        <v>-0.062201106982140895</v>
      </c>
      <c r="E13" s="11">
        <f>IFERROR(E12/E14,0)</f>
        <v>-0.09581115244692003</v>
      </c>
      <c r="F13" s="11">
        <f>IFERROR(F12/F14,0)</f>
        <v>-0.26854459128933467</v>
      </c>
      <c r="G13" s="11">
        <f>IFERROR(G12/G14,0)</f>
        <v>-0.23911489605032063</v>
      </c>
      <c r="H13" s="11">
        <f>IFERROR(H12/H14,0)</f>
        <v>-0.15165573350668796</v>
      </c>
      <c r="I13" s="11">
        <f>IFERROR(I12/I14,0)</f>
        <v>-0.17264396756155398</v>
      </c>
      <c r="J13" s="11">
        <f>IFERROR(J12/J14,0)</f>
        <v>-0.11121006449677516</v>
      </c>
    </row>
    <row r="14">
      <c r="A14" s="2" t="inlineStr">
        <is>
          <t>Shares</t>
        </is>
      </c>
      <c r="B14" s="23" t="n">
        <v>93.592</v>
      </c>
      <c r="C14" s="23" t="n">
        <v>106.404</v>
      </c>
      <c r="D14" s="23" t="n">
        <v>127.554</v>
      </c>
      <c r="E14" s="23" t="n">
        <v>97.306</v>
      </c>
      <c r="F14" s="23" t="n">
        <v>97.306</v>
      </c>
      <c r="G14" s="23" t="n">
        <v>97.932</v>
      </c>
      <c r="H14" s="23" t="n">
        <v>101.526</v>
      </c>
      <c r="I14" s="23" t="n">
        <v>102.471</v>
      </c>
      <c r="J14" s="23" t="n">
        <v>106.672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2026-10-21T06:27:43Z</dcterms:modified>
  <cp:lastModifiedBy>Wang, Eric</cp:lastModifiedBy>
</cp:coreProperties>
</file>