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Unicycive Therapeutics Inc</t>
        </is>
      </c>
      <c r="C2" s="10" t="n"/>
    </row>
    <row r="3">
      <c r="B3" t="inlineStr">
        <is>
          <t>Price</t>
        </is>
      </c>
      <c r="C3" s="11">
        <f>INDEX([1]Pharma!$F$1:$F$1000,MATCH("UNCY",[1]Pharma!$B$1:$B$1000,0))</f>
        <v>3.8</v>
      </c>
      <c r="F3" s="1" t="n"/>
    </row>
    <row r="4">
      <c r="B4" t="inlineStr">
        <is>
          <t>Shares</t>
        </is>
      </c>
      <c r="C4" s="21" t="n">
        <v>27.855257</v>
      </c>
      <c r="F4" s="1" t="n"/>
    </row>
    <row r="5">
      <c r="B5" t="inlineStr">
        <is>
          <t>Market Cap.</t>
        </is>
      </c>
      <c r="C5" s="13">
        <f>C3*C4</f>
        <v>105.8499766</v>
      </c>
      <c r="F5" s="1" t="n"/>
    </row>
    <row r="6"/>
    <row r="7">
      <c r="B7" t="inlineStr">
        <is>
          <t>Cash</t>
        </is>
      </c>
      <c r="C7" s="21">
        <f>44.185+17.24</f>
        <v>61.425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44.42497660000001</v>
      </c>
    </row>
    <row r="10"/>
    <row r="11">
      <c r="B11" s="14" t="inlineStr">
        <is>
          <t>rNPV / Share</t>
        </is>
      </c>
      <c r="C11" s="11">
        <f>NPV!B27</f>
        <v>54.943948884816365</v>
      </c>
    </row>
    <row r="12">
      <c r="B12" s="14" t="inlineStr">
        <is>
          <t>Upside</t>
        </is>
      </c>
      <c r="C12" s="15">
        <f>IFERROR(C11/C3-1,"")</f>
        <v>13.458933917056939</v>
      </c>
    </row>
    <row r="13">
      <c r="B13" s="14" t="inlineStr">
        <is>
          <t>Cash / Share</t>
        </is>
      </c>
      <c r="C13" s="11">
        <f>IFERROR((C7-C8)/C4,"")</f>
        <v>2.2051492829522266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-27.839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2.2064370128237365</v>
      </c>
    </row>
    <row r="19">
      <c r="B19" s="14" t="inlineStr">
        <is>
          <t>Implied Pipeline Value</t>
        </is>
      </c>
      <c r="C19" s="13">
        <f>C9</f>
        <v>44.42497660000001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0.951</v>
      </c>
      <c r="E2" s="23" t="n">
        <v>0.675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0.951</v>
      </c>
      <c r="E4" s="23">
        <f>E2-E3</f>
        <v>0.675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1.015</v>
      </c>
      <c r="C5" s="23" t="n">
        <v>6.08</v>
      </c>
      <c r="D5" s="23" t="n">
        <v>12.436</v>
      </c>
      <c r="E5" s="23" t="n">
        <v>12.902</v>
      </c>
      <c r="F5" s="23" t="n">
        <v>20.014</v>
      </c>
      <c r="G5" s="23" t="n">
        <v>9.121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1.005</v>
      </c>
      <c r="C6" s="23" t="n">
        <v>2.897</v>
      </c>
      <c r="D6" s="23" t="n">
        <v>6.567</v>
      </c>
      <c r="E6" s="23" t="n">
        <v>8.547000000000001</v>
      </c>
      <c r="F6" s="23" t="n">
        <v>12.103</v>
      </c>
      <c r="G6" s="23" t="n">
        <v>20.396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2.0199999999999996</v>
      </c>
      <c r="C7" s="23">
        <f>SUM(C5:C6)</f>
        <v>8.977</v>
      </c>
      <c r="D7" s="23">
        <f>SUM(D5:D6)</f>
        <v>19.003</v>
      </c>
      <c r="E7" s="23">
        <f>SUM(E5:E6)</f>
        <v>21.448999999999998</v>
      </c>
      <c r="F7" s="23">
        <f>SUM(F5:F6)</f>
        <v>32.117</v>
      </c>
      <c r="G7" s="23">
        <f>SUM(G5:G6)</f>
        <v>29.517000000000003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-2.0199999999999996</v>
      </c>
      <c r="C8" s="23">
        <f>C4-C7</f>
        <v>-8.977</v>
      </c>
      <c r="D8" s="23">
        <f>D4-D7</f>
        <v>-18.052</v>
      </c>
      <c r="E8" s="23">
        <f>E4-E7</f>
        <v>-20.773999999999997</v>
      </c>
      <c r="F8" s="23">
        <f>F4-F7</f>
        <v>-32.117</v>
      </c>
      <c r="G8" s="23">
        <f>G4-G7</f>
        <v>-29.517000000000003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-0.244</v>
      </c>
      <c r="C9" s="23" t="n">
        <v>-1.04</v>
      </c>
      <c r="D9" s="23" t="n">
        <v>-0.006</v>
      </c>
      <c r="E9" s="23" t="n">
        <v>-9.77</v>
      </c>
      <c r="F9" s="23" t="n">
        <v>-4.612</v>
      </c>
      <c r="G9" s="23" t="n">
        <v>2.962</v>
      </c>
    </row>
    <row r="10">
      <c r="A10" s="2" t="inlineStr">
        <is>
          <t>Pretax</t>
        </is>
      </c>
      <c r="B10" s="23">
        <f>B8+B9</f>
        <v>-2.2639999999999993</v>
      </c>
      <c r="C10" s="23">
        <f>C8+C9</f>
        <v>-10.017</v>
      </c>
      <c r="D10" s="23">
        <f>D8+D9</f>
        <v>-18.058</v>
      </c>
      <c r="E10" s="23">
        <f>E8+E9</f>
        <v>-30.543999999999997</v>
      </c>
      <c r="F10" s="23">
        <f>F8+F9</f>
        <v>-36.729</v>
      </c>
      <c r="G10" s="23">
        <f>G8+G9</f>
        <v>-26.555000000000003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-2.264</v>
      </c>
      <c r="C12" s="23" t="n">
        <v>-10.017</v>
      </c>
      <c r="D12" s="23" t="n">
        <v>-18.058</v>
      </c>
      <c r="E12" s="23" t="n">
        <v>-30.544</v>
      </c>
      <c r="F12" s="23" t="n">
        <v>-36.729</v>
      </c>
      <c r="G12" s="23" t="n">
        <v>-26.555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-0.26635294117647057</v>
      </c>
      <c r="C13" s="11">
        <f>IFERROR(C12/C14,0)</f>
        <v>-0.8579136690647482</v>
      </c>
      <c r="D13" s="11">
        <f>IFERROR(D12/D14,0)</f>
        <v>-1.1993092913595005</v>
      </c>
      <c r="E13" s="11">
        <f>IFERROR(E12/E14,0)</f>
        <v>-1.2447124984718203</v>
      </c>
      <c r="F13" s="11">
        <f>IFERROR(F12/F14,0)</f>
        <v>-5.482758620689655</v>
      </c>
      <c r="G13" s="11">
        <f>IFERROR(G12/G14,0)</f>
        <v>-1.6714924151822244</v>
      </c>
    </row>
    <row r="14">
      <c r="A14" s="2" t="inlineStr">
        <is>
          <t>Shares</t>
        </is>
      </c>
      <c r="B14" s="23" t="n">
        <v>8.5</v>
      </c>
      <c r="C14" s="23" t="n">
        <v>11.676</v>
      </c>
      <c r="D14" s="23" t="n">
        <v>15.057</v>
      </c>
      <c r="E14" s="23" t="n">
        <v>24.539</v>
      </c>
      <c r="F14" s="23" t="n">
        <v>6.699</v>
      </c>
      <c r="G14" s="23" t="n">
        <v>15.887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-0.2902208201892744</v>
      </c>
      <c r="F16" s="15">
        <f>IFERROR(F2/E2-1,"")</f>
        <v>-1.0</v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-18.982124079915877</v>
      </c>
      <c r="E18" s="15">
        <f>IFERROR(E8/E2,"")</f>
        <v>-30.77629629629629</v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Unicycive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0.884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33.128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124.2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1469.0528167814234</v>
      </c>
      <c r="C29" s="42">
        <f>NPV!B25</f>
        <v>1530.4778167814234</v>
      </c>
      <c r="D29" s="43">
        <f>NPV!B27</f>
        <v>54.943948884816365</v>
      </c>
      <c r="E29" s="44">
        <f>NPV!B29</f>
        <v>13.458933917056939</v>
      </c>
    </row>
    <row r="30">
      <c r="A30" s="45" t="n">
        <v>1</v>
      </c>
      <c r="B30" s="46">
        <f t="dataTable" ref="B30:E32" r1="B4"/>
        <v>607.801740931811</v>
      </c>
      <c r="C30" s="46">
        <v>669.2267409318109</v>
      </c>
      <c r="D30" s="47">
        <v>24.0251504745338</v>
      </c>
      <c r="E30" s="48">
        <v>5.322408019614158</v>
      </c>
    </row>
    <row r="31">
      <c r="A31" s="45" t="n">
        <v>2</v>
      </c>
      <c r="B31" s="46">
        <v>1469.0528167814234</v>
      </c>
      <c r="C31" s="46">
        <v>1530.4778167814234</v>
      </c>
      <c r="D31" s="47">
        <v>54.943948884816365</v>
      </c>
      <c r="E31" s="48">
        <v>13.458933917056939</v>
      </c>
    </row>
    <row r="32">
      <c r="A32" s="45" t="n">
        <v>3</v>
      </c>
      <c r="B32" s="46">
        <v>2603.9748974609415</v>
      </c>
      <c r="C32" s="46">
        <v>2665.3998974609417</v>
      </c>
      <c r="D32" s="47">
        <v>95.68749975851745</v>
      </c>
      <c r="E32" s="48">
        <v>24.18092098908354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54.943948884816365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17.60945546392846</v>
      </c>
      <c r="C37" s="47">
        <v>25.7905898496399</v>
      </c>
      <c r="D37" s="47">
        <v>33.95291124803718</v>
      </c>
      <c r="E37" s="47">
        <v>50.25351399160456</v>
      </c>
      <c r="F37" s="47">
        <v>66.54632761471694</v>
      </c>
    </row>
    <row r="38">
      <c r="A38" s="50" t="n">
        <v>0.8</v>
      </c>
      <c r="B38" s="47">
        <v>22.68729298152841</v>
      </c>
      <c r="C38" s="47">
        <v>33.58095579919249</v>
      </c>
      <c r="D38" s="47">
        <v>44.44843006642679</v>
      </c>
      <c r="E38" s="47">
        <v>66.17817135690662</v>
      </c>
      <c r="F38" s="47">
        <v>87.87256478615029</v>
      </c>
    </row>
    <row r="39">
      <c r="A39" s="50" t="n">
        <v>1</v>
      </c>
      <c r="B39" s="47">
        <v>27.76513049912837</v>
      </c>
      <c r="C39" s="47">
        <v>41.35960605077351</v>
      </c>
      <c r="D39" s="47">
        <v>54.943948884816365</v>
      </c>
      <c r="E39" s="47">
        <v>82.08081017102904</v>
      </c>
      <c r="F39" s="47">
        <v>109.19880195758356</v>
      </c>
    </row>
    <row r="40">
      <c r="A40" s="50" t="n">
        <v>1.2</v>
      </c>
      <c r="B40" s="47">
        <v>30.23511933687496</v>
      </c>
      <c r="C40" s="47">
        <v>45.14333863921225</v>
      </c>
      <c r="D40" s="47">
        <v>60.04923518787918</v>
      </c>
      <c r="E40" s="47">
        <v>89.81625665301164</v>
      </c>
      <c r="F40" s="47">
        <v>119.57242411110879</v>
      </c>
    </row>
    <row r="41">
      <c r="A41" s="50" t="n">
        <v>1.4</v>
      </c>
      <c r="B41" s="47">
        <v>30.23511933687496</v>
      </c>
      <c r="C41" s="47">
        <v>45.14333863921225</v>
      </c>
      <c r="D41" s="47">
        <v>60.04923518787918</v>
      </c>
      <c r="E41" s="47">
        <v>89.81625665301164</v>
      </c>
      <c r="F41" s="47">
        <v>119.57242411110879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Unicycive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Kidney disease</t>
        </is>
      </c>
      <c r="C4" s="14" t="inlineStr">
        <is>
          <t>Oxylanthanum Carbonate</t>
        </is>
      </c>
      <c r="D4" s="14" t="inlineStr">
        <is>
          <t>Filed (NDA/BLA)</t>
        </is>
      </c>
      <c r="E4" s="14" t="inlineStr">
        <is>
          <t>Other / area</t>
        </is>
      </c>
      <c r="F4" s="14" t="inlineStr">
        <is>
          <t>Owned</t>
        </is>
      </c>
      <c r="G4" s="40" t="n">
        <v>1200</v>
      </c>
      <c r="H4" s="27" t="n">
        <v>0.884</v>
      </c>
      <c r="I4" s="26" t="n">
        <v>2027</v>
      </c>
      <c r="J4" s="39">
        <f>I4+Assumptions!$B$25</f>
        <v>2039.0</v>
      </c>
      <c r="K4" s="53">
        <f>Assumptions!$E$13</f>
        <v>0.4</v>
      </c>
      <c r="L4" s="23">
        <f>K4*SUMPRODUCT(M4:AF4,NPV!$C$15:$V$15)</f>
        <v>1911.272441129363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106.08</v>
      </c>
      <c r="O4" s="23">
        <f>IF(O$3&lt;$I4,0,$G4*Assumptions!$E$11*INDEX(Assumptions!$B$24:$G$24,MIN(6,O$3-$I4+1))*IF(O$3&gt;$J4,(1-Assumptions!$B$26)^(O$3-$J4),1)*IF($H4&gt;=1,1,MIN(0.97,$H4*Assumptions!$E$12)))</f>
        <v>265.2</v>
      </c>
      <c r="P4" s="23">
        <f>IF(P$3&lt;$I4,0,$G4*Assumptions!$E$11*INDEX(Assumptions!$B$24:$G$24,MIN(6,P$3-$I4+1))*IF(P$3&gt;$J4,(1-Assumptions!$B$26)^(P$3-$J4),1)*IF($H4&gt;=1,1,MIN(0.97,$H4*Assumptions!$E$12)))</f>
        <v>477.36</v>
      </c>
      <c r="Q4" s="23">
        <f>IF(Q$3&lt;$I4,0,$G4*Assumptions!$E$11*INDEX(Assumptions!$B$24:$G$24,MIN(6,Q$3-$I4+1))*IF(Q$3&gt;$J4,(1-Assumptions!$B$26)^(Q$3-$J4),1)*IF($H4&gt;=1,1,MIN(0.97,$H4*Assumptions!$E$12)))</f>
        <v>689.52</v>
      </c>
      <c r="R4" s="23">
        <f>IF(R$3&lt;$I4,0,$G4*Assumptions!$E$11*INDEX(Assumptions!$B$24:$G$24,MIN(6,R$3-$I4+1))*IF(R$3&gt;$J4,(1-Assumptions!$B$26)^(R$3-$J4),1)*IF($H4&gt;=1,1,MIN(0.97,$H4*Assumptions!$E$12)))</f>
        <v>901.6800000000001</v>
      </c>
      <c r="S4" s="23">
        <f>IF(S$3&lt;$I4,0,$G4*Assumptions!$E$11*INDEX(Assumptions!$B$24:$G$24,MIN(6,S$3-$I4+1))*IF(S$3&gt;$J4,(1-Assumptions!$B$26)^(S$3-$J4),1)*IF($H4&gt;=1,1,MIN(0.97,$H4*Assumptions!$E$12)))</f>
        <v>1060.8</v>
      </c>
      <c r="T4" s="23">
        <f>IF(T$3&lt;$I4,0,$G4*Assumptions!$E$11*INDEX(Assumptions!$B$24:$G$24,MIN(6,T$3-$I4+1))*IF(T$3&gt;$J4,(1-Assumptions!$B$26)^(T$3-$J4),1)*IF($H4&gt;=1,1,MIN(0.97,$H4*Assumptions!$E$12)))</f>
        <v>1060.8</v>
      </c>
      <c r="U4" s="23">
        <f>IF(U$3&lt;$I4,0,$G4*Assumptions!$E$11*INDEX(Assumptions!$B$24:$G$24,MIN(6,U$3-$I4+1))*IF(U$3&gt;$J4,(1-Assumptions!$B$26)^(U$3-$J4),1)*IF($H4&gt;=1,1,MIN(0.97,$H4*Assumptions!$E$12)))</f>
        <v>1060.8</v>
      </c>
      <c r="V4" s="23">
        <f>IF(V$3&lt;$I4,0,$G4*Assumptions!$E$11*INDEX(Assumptions!$B$24:$G$24,MIN(6,V$3-$I4+1))*IF(V$3&gt;$J4,(1-Assumptions!$B$26)^(V$3-$J4),1)*IF($H4&gt;=1,1,MIN(0.97,$H4*Assumptions!$E$12)))</f>
        <v>1060.8</v>
      </c>
      <c r="W4" s="23">
        <f>IF(W$3&lt;$I4,0,$G4*Assumptions!$E$11*INDEX(Assumptions!$B$24:$G$24,MIN(6,W$3-$I4+1))*IF(W$3&gt;$J4,(1-Assumptions!$B$26)^(W$3-$J4),1)*IF($H4&gt;=1,1,MIN(0.97,$H4*Assumptions!$E$12)))</f>
        <v>1060.8</v>
      </c>
      <c r="X4" s="23">
        <f>IF(X$3&lt;$I4,0,$G4*Assumptions!$E$11*INDEX(Assumptions!$B$24:$G$24,MIN(6,X$3-$I4+1))*IF(X$3&gt;$J4,(1-Assumptions!$B$26)^(X$3-$J4),1)*IF($H4&gt;=1,1,MIN(0.97,$H4*Assumptions!$E$12)))</f>
        <v>1060.8</v>
      </c>
      <c r="Y4" s="23">
        <f>IF(Y$3&lt;$I4,0,$G4*Assumptions!$E$11*INDEX(Assumptions!$B$24:$G$24,MIN(6,Y$3-$I4+1))*IF(Y$3&gt;$J4,(1-Assumptions!$B$26)^(Y$3-$J4),1)*IF($H4&gt;=1,1,MIN(0.97,$H4*Assumptions!$E$12)))</f>
        <v>1060.8</v>
      </c>
      <c r="Z4" s="23">
        <f>IF(Z$3&lt;$I4,0,$G4*Assumptions!$E$11*INDEX(Assumptions!$B$24:$G$24,MIN(6,Z$3-$I4+1))*IF(Z$3&gt;$J4,(1-Assumptions!$B$26)^(Z$3-$J4),1)*IF($H4&gt;=1,1,MIN(0.97,$H4*Assumptions!$E$12)))</f>
        <v>1060.8</v>
      </c>
      <c r="AA4" s="23">
        <f>IF(AA$3&lt;$I4,0,$G4*Assumptions!$E$11*INDEX(Assumptions!$B$24:$G$24,MIN(6,AA$3-$I4+1))*IF(AA$3&gt;$J4,(1-Assumptions!$B$26)^(AA$3-$J4),1)*IF($H4&gt;=1,1,MIN(0.97,$H4*Assumptions!$E$12)))</f>
        <v>530.4</v>
      </c>
      <c r="AB4" s="23">
        <f>IF(AB$3&lt;$I4,0,$G4*Assumptions!$E$11*INDEX(Assumptions!$B$24:$G$24,MIN(6,AB$3-$I4+1))*IF(AB$3&gt;$J4,(1-Assumptions!$B$26)^(AB$3-$J4),1)*IF($H4&gt;=1,1,MIN(0.97,$H4*Assumptions!$E$12)))</f>
        <v>265.2</v>
      </c>
      <c r="AC4" s="23">
        <f>IF(AC$3&lt;$I4,0,$G4*Assumptions!$E$11*INDEX(Assumptions!$B$24:$G$24,MIN(6,AC$3-$I4+1))*IF(AC$3&gt;$J4,(1-Assumptions!$B$26)^(AC$3-$J4),1)*IF($H4&gt;=1,1,MIN(0.97,$H4*Assumptions!$E$12)))</f>
        <v>132.6</v>
      </c>
      <c r="AD4" s="23">
        <f>IF(AD$3&lt;$I4,0,$G4*Assumptions!$E$11*INDEX(Assumptions!$B$24:$G$24,MIN(6,AD$3-$I4+1))*IF(AD$3&gt;$J4,(1-Assumptions!$B$26)^(AD$3-$J4),1)*IF($H4&gt;=1,1,MIN(0.97,$H4*Assumptions!$E$12)))</f>
        <v>66.3</v>
      </c>
      <c r="AE4" s="23">
        <f>IF(AE$3&lt;$I4,0,$G4*Assumptions!$E$11*INDEX(Assumptions!$B$24:$G$24,MIN(6,AE$3-$I4+1))*IF(AE$3&gt;$J4,(1-Assumptions!$B$26)^(AE$3-$J4),1)*IF($H4&gt;=1,1,MIN(0.97,$H4*Assumptions!$E$12)))</f>
        <v>33.15</v>
      </c>
      <c r="AF4" s="23">
        <f>IF(AF$3&lt;$I4,0,$G4*Assumptions!$E$11*INDEX(Assumptions!$B$24:$G$24,MIN(6,AF$3-$I4+1))*IF(AF$3&gt;$J4,(1-Assumptions!$B$26)^(AF$3-$J4),1)*IF($H4&gt;=1,1,MIN(0.97,$H4*Assumptions!$E$12)))</f>
        <v>16.575</v>
      </c>
      <c r="AG4" s="35">
        <f>IF(F4="Owned",1-IF(H4&gt;=1,1,MIN(0.97,H4*Assumptions!$E$12)),1)</f>
        <v>0.11599999999999999</v>
      </c>
    </row>
    <row r="5">
      <c r="B5" s="24" t="inlineStr">
        <is>
          <t>Risked revenue</t>
        </is>
      </c>
      <c r="L5" s="54">
        <f>SUM(L4:L4)</f>
        <v>1911.272441129363</v>
      </c>
      <c r="M5" s="54">
        <f>SUM(M4:M4)</f>
        <v>0.0</v>
      </c>
      <c r="N5" s="54">
        <f>SUM(N4:N4)</f>
        <v>106.08</v>
      </c>
      <c r="O5" s="54">
        <f>SUM(O4:O4)</f>
        <v>265.2</v>
      </c>
      <c r="P5" s="54">
        <f>SUM(P4:P4)</f>
        <v>477.36</v>
      </c>
      <c r="Q5" s="54">
        <f>SUM(Q4:Q4)</f>
        <v>689.52</v>
      </c>
      <c r="R5" s="54">
        <f>SUM(R4:R4)</f>
        <v>901.6800000000001</v>
      </c>
      <c r="S5" s="54">
        <f>SUM(S4:S4)</f>
        <v>1060.8</v>
      </c>
      <c r="T5" s="54">
        <f>SUM(T4:T4)</f>
        <v>1060.8</v>
      </c>
      <c r="U5" s="54">
        <f>SUM(U4:U4)</f>
        <v>1060.8</v>
      </c>
      <c r="V5" s="54">
        <f>SUM(V4:V4)</f>
        <v>1060.8</v>
      </c>
      <c r="W5" s="54">
        <f>SUM(W4:W4)</f>
        <v>1060.8</v>
      </c>
      <c r="X5" s="54">
        <f>SUM(X4:X4)</f>
        <v>1060.8</v>
      </c>
      <c r="Y5" s="54">
        <f>SUM(Y4:Y4)</f>
        <v>1060.8</v>
      </c>
      <c r="Z5" s="54">
        <f>SUM(Z4:Z4)</f>
        <v>1060.8</v>
      </c>
      <c r="AA5" s="54">
        <f>SUM(AA4:AA4)</f>
        <v>530.4</v>
      </c>
      <c r="AB5" s="54">
        <f>SUM(AB4:AB4)</f>
        <v>265.2</v>
      </c>
      <c r="AC5" s="54">
        <f>SUM(AC4:AC4)</f>
        <v>132.6</v>
      </c>
      <c r="AD5" s="54">
        <f>SUM(AD4:AD4)</f>
        <v>66.3</v>
      </c>
      <c r="AE5" s="54">
        <f>SUM(AE4:AE4)</f>
        <v>33.15</v>
      </c>
      <c r="AF5" s="54">
        <f>SUM(AF4:AF4)</f>
        <v>16.575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42.432</v>
      </c>
      <c r="O6" s="55">
        <f>SUMPRODUCT(O4:O4,$K$4:$K$4)</f>
        <v>106.08</v>
      </c>
      <c r="P6" s="55">
        <f>SUMPRODUCT(P4:P4,$K$4:$K$4)</f>
        <v>190.94400000000002</v>
      </c>
      <c r="Q6" s="55">
        <f>SUMPRODUCT(Q4:Q4,$K$4:$K$4)</f>
        <v>275.808</v>
      </c>
      <c r="R6" s="55">
        <f>SUMPRODUCT(R4:R4,$K$4:$K$4)</f>
        <v>360.672</v>
      </c>
      <c r="S6" s="55">
        <f>SUMPRODUCT(S4:S4,$K$4:$K$4)</f>
        <v>424.32</v>
      </c>
      <c r="T6" s="55">
        <f>SUMPRODUCT(T4:T4,$K$4:$K$4)</f>
        <v>424.32</v>
      </c>
      <c r="U6" s="55">
        <f>SUMPRODUCT(U4:U4,$K$4:$K$4)</f>
        <v>424.32</v>
      </c>
      <c r="V6" s="55">
        <f>SUMPRODUCT(V4:V4,$K$4:$K$4)</f>
        <v>424.32</v>
      </c>
      <c r="W6" s="55">
        <f>SUMPRODUCT(W4:W4,$K$4:$K$4)</f>
        <v>424.32</v>
      </c>
      <c r="X6" s="55">
        <f>SUMPRODUCT(X4:X4,$K$4:$K$4)</f>
        <v>424.32</v>
      </c>
      <c r="Y6" s="55">
        <f>SUMPRODUCT(Y4:Y4,$K$4:$K$4)</f>
        <v>424.32</v>
      </c>
      <c r="Z6" s="55">
        <f>SUMPRODUCT(Z4:Z4,$K$4:$K$4)</f>
        <v>424.32</v>
      </c>
      <c r="AA6" s="55">
        <f>SUMPRODUCT(AA4:AA4,$K$4:$K$4)</f>
        <v>212.16</v>
      </c>
      <c r="AB6" s="55">
        <f>SUMPRODUCT(AB4:AB4,$K$4:$K$4)</f>
        <v>106.08</v>
      </c>
      <c r="AC6" s="55">
        <f>SUMPRODUCT(AC4:AC4,$K$4:$K$4)</f>
        <v>53.04</v>
      </c>
      <c r="AD6" s="55">
        <f>SUMPRODUCT(AD4:AD4,$K$4:$K$4)</f>
        <v>26.52</v>
      </c>
      <c r="AE6" s="55">
        <f>SUMPRODUCT(AE4:AE4,$K$4:$K$4)</f>
        <v>13.26</v>
      </c>
      <c r="AF6" s="55">
        <f>SUMPRODUCT(AF4:AF4,$K$4:$K$4)</f>
        <v>6.63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Unicycive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106.08</v>
      </c>
      <c r="E4" s="57">
        <f>Pipeline!O5</f>
        <v>265.2</v>
      </c>
      <c r="F4" s="57">
        <f>Pipeline!P5</f>
        <v>477.36</v>
      </c>
      <c r="G4" s="57">
        <f>Pipeline!Q5</f>
        <v>689.52</v>
      </c>
      <c r="H4" s="57">
        <f>Pipeline!R5</f>
        <v>901.6800000000001</v>
      </c>
      <c r="I4" s="57">
        <f>Pipeline!S5</f>
        <v>1060.8</v>
      </c>
      <c r="J4" s="57">
        <f>Pipeline!T5</f>
        <v>1060.8</v>
      </c>
      <c r="K4" s="57">
        <f>Pipeline!U5</f>
        <v>1060.8</v>
      </c>
      <c r="L4" s="57">
        <f>Pipeline!V5</f>
        <v>1060.8</v>
      </c>
      <c r="M4" s="57">
        <f>Pipeline!W5</f>
        <v>1060.8</v>
      </c>
      <c r="N4" s="57">
        <f>Pipeline!X5</f>
        <v>1060.8</v>
      </c>
      <c r="O4" s="57">
        <f>Pipeline!Y5</f>
        <v>1060.8</v>
      </c>
      <c r="P4" s="57">
        <f>Pipeline!Z5</f>
        <v>1060.8</v>
      </c>
      <c r="Q4" s="57">
        <f>Pipeline!AA5</f>
        <v>530.4</v>
      </c>
      <c r="R4" s="57">
        <f>Pipeline!AB5</f>
        <v>265.2</v>
      </c>
      <c r="S4" s="57">
        <f>Pipeline!AC5</f>
        <v>132.6</v>
      </c>
      <c r="T4" s="57">
        <f>Pipeline!AD5</f>
        <v>66.3</v>
      </c>
      <c r="U4" s="57">
        <f>Pipeline!AE5</f>
        <v>33.15</v>
      </c>
      <c r="V4" s="57">
        <f>Pipeline!AF5</f>
        <v>16.575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42.432</v>
      </c>
      <c r="E5" s="57">
        <f>Pipeline!O6</f>
        <v>106.08</v>
      </c>
      <c r="F5" s="57">
        <f>Pipeline!P6</f>
        <v>190.94400000000002</v>
      </c>
      <c r="G5" s="57">
        <f>Pipeline!Q6</f>
        <v>275.808</v>
      </c>
      <c r="H5" s="57">
        <f>Pipeline!R6</f>
        <v>360.672</v>
      </c>
      <c r="I5" s="57">
        <f>Pipeline!S6</f>
        <v>424.32</v>
      </c>
      <c r="J5" s="57">
        <f>Pipeline!T6</f>
        <v>424.32</v>
      </c>
      <c r="K5" s="57">
        <f>Pipeline!U6</f>
        <v>424.32</v>
      </c>
      <c r="L5" s="57">
        <f>Pipeline!V6</f>
        <v>424.32</v>
      </c>
      <c r="M5" s="57">
        <f>Pipeline!W6</f>
        <v>424.32</v>
      </c>
      <c r="N5" s="57">
        <f>Pipeline!X6</f>
        <v>424.32</v>
      </c>
      <c r="O5" s="57">
        <f>Pipeline!Y6</f>
        <v>424.32</v>
      </c>
      <c r="P5" s="57">
        <f>Pipeline!Z6</f>
        <v>424.32</v>
      </c>
      <c r="Q5" s="57">
        <f>Pipeline!AA6</f>
        <v>212.16</v>
      </c>
      <c r="R5" s="57">
        <f>Pipeline!AB6</f>
        <v>106.08</v>
      </c>
      <c r="S5" s="57">
        <f>Pipeline!AC6</f>
        <v>53.04</v>
      </c>
      <c r="T5" s="57">
        <f>Pipeline!AD6</f>
        <v>26.52</v>
      </c>
      <c r="U5" s="57">
        <f>Pipeline!AE6</f>
        <v>13.26</v>
      </c>
      <c r="V5" s="57">
        <f>Pipeline!AF6</f>
        <v>6.63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-33.128</v>
      </c>
      <c r="D6" s="23">
        <f>-IF(D3-2026&lt;Assumptions!$B$19,Assumptions!$B$18,Assumptions!$B$18*Assumptions!$B$20*Assumptions!$B$16)</f>
        <v>-8.785545599999999</v>
      </c>
      <c r="E6" s="23">
        <f>-IF(E3-2026&lt;Assumptions!$B$19,Assumptions!$B$18,Assumptions!$B$18*Assumptions!$B$20*Assumptions!$B$16)</f>
        <v>-8.785545599999999</v>
      </c>
      <c r="F6" s="23">
        <f>-IF(F3-2026&lt;Assumptions!$B$19,Assumptions!$B$18,Assumptions!$B$18*Assumptions!$B$20*Assumptions!$B$16)</f>
        <v>-8.785545599999999</v>
      </c>
      <c r="G6" s="23">
        <f>-IF(G3-2026&lt;Assumptions!$B$19,Assumptions!$B$18,Assumptions!$B$18*Assumptions!$B$20*Assumptions!$B$16)</f>
        <v>-8.785545599999999</v>
      </c>
      <c r="H6" s="23">
        <f>-IF(H3-2026&lt;Assumptions!$B$19,Assumptions!$B$18,Assumptions!$B$18*Assumptions!$B$20*Assumptions!$B$16)</f>
        <v>-8.785545599999999</v>
      </c>
      <c r="I6" s="23">
        <f>-IF(I3-2026&lt;Assumptions!$B$19,Assumptions!$B$18,Assumptions!$B$18*Assumptions!$B$20*Assumptions!$B$16)</f>
        <v>-8.785545599999999</v>
      </c>
      <c r="J6" s="23">
        <f>-IF(J3-2026&lt;Assumptions!$B$19,Assumptions!$B$18,Assumptions!$B$18*Assumptions!$B$20*Assumptions!$B$16)</f>
        <v>-8.785545599999999</v>
      </c>
      <c r="K6" s="23">
        <f>-IF(K3-2026&lt;Assumptions!$B$19,Assumptions!$B$18,Assumptions!$B$18*Assumptions!$B$20*Assumptions!$B$16)</f>
        <v>-8.785545599999999</v>
      </c>
      <c r="L6" s="23">
        <f>-IF(L3-2026&lt;Assumptions!$B$19,Assumptions!$B$18,Assumptions!$B$18*Assumptions!$B$20*Assumptions!$B$16)</f>
        <v>-8.785545599999999</v>
      </c>
      <c r="M6" s="23">
        <f>-IF(M3-2026&lt;Assumptions!$B$19,Assumptions!$B$18,Assumptions!$B$18*Assumptions!$B$20*Assumptions!$B$16)</f>
        <v>-8.785545599999999</v>
      </c>
      <c r="N6" s="23">
        <f>-IF(N3-2026&lt;Assumptions!$B$19,Assumptions!$B$18,Assumptions!$B$18*Assumptions!$B$20*Assumptions!$B$16)</f>
        <v>-8.785545599999999</v>
      </c>
      <c r="O6" s="23">
        <f>-IF(O3-2026&lt;Assumptions!$B$19,Assumptions!$B$18,Assumptions!$B$18*Assumptions!$B$20*Assumptions!$B$16)</f>
        <v>-8.785545599999999</v>
      </c>
      <c r="P6" s="23">
        <f>-IF(P3-2026&lt;Assumptions!$B$19,Assumptions!$B$18,Assumptions!$B$18*Assumptions!$B$20*Assumptions!$B$16)</f>
        <v>-8.785545599999999</v>
      </c>
      <c r="Q6" s="23">
        <f>-IF(Q3-2026&lt;Assumptions!$B$19,Assumptions!$B$18,Assumptions!$B$18*Assumptions!$B$20*Assumptions!$B$16)</f>
        <v>-8.785545599999999</v>
      </c>
      <c r="R6" s="23">
        <f>-IF(R3-2026&lt;Assumptions!$B$19,Assumptions!$B$18,Assumptions!$B$18*Assumptions!$B$20*Assumptions!$B$16)</f>
        <v>-8.785545599999999</v>
      </c>
      <c r="S6" s="23">
        <f>-IF(S3-2026&lt;Assumptions!$B$19,Assumptions!$B$18,Assumptions!$B$18*Assumptions!$B$20*Assumptions!$B$16)</f>
        <v>-8.785545599999999</v>
      </c>
      <c r="T6" s="23">
        <f>-IF(T3-2026&lt;Assumptions!$B$19,Assumptions!$B$18,Assumptions!$B$18*Assumptions!$B$20*Assumptions!$B$16)</f>
        <v>-8.785545599999999</v>
      </c>
      <c r="U6" s="23">
        <f>-IF(U3-2026&lt;Assumptions!$B$19,Assumptions!$B$18,Assumptions!$B$18*Assumptions!$B$20*Assumptions!$B$16)</f>
        <v>-8.785545599999999</v>
      </c>
      <c r="V6" s="23">
        <f>-IF(V3-2026&lt;Assumptions!$B$19,Assumptions!$B$18,Assumptions!$B$18*Assumptions!$B$20*Assumptions!$B$16)</f>
        <v>-8.785545599999999</v>
      </c>
    </row>
    <row r="7">
      <c r="A7" s="14" t="inlineStr">
        <is>
          <t>Pre-tax cash flow</t>
        </is>
      </c>
      <c r="C7" s="23">
        <f>C5+C6</f>
        <v>-33.128</v>
      </c>
      <c r="D7" s="23">
        <f>D5+D6</f>
        <v>33.6464544</v>
      </c>
      <c r="E7" s="23">
        <f>E5+E6</f>
        <v>97.2944544</v>
      </c>
      <c r="F7" s="23">
        <f>F5+F6</f>
        <v>182.1584544</v>
      </c>
      <c r="G7" s="23">
        <f>G5+G6</f>
        <v>267.0224544</v>
      </c>
      <c r="H7" s="23">
        <f>H5+H6</f>
        <v>351.88645440000005</v>
      </c>
      <c r="I7" s="23">
        <f>I5+I6</f>
        <v>415.5344544</v>
      </c>
      <c r="J7" s="23">
        <f>J5+J6</f>
        <v>415.5344544</v>
      </c>
      <c r="K7" s="23">
        <f>K5+K6</f>
        <v>415.5344544</v>
      </c>
      <c r="L7" s="23">
        <f>L5+L6</f>
        <v>415.5344544</v>
      </c>
      <c r="M7" s="23">
        <f>M5+M6</f>
        <v>415.5344544</v>
      </c>
      <c r="N7" s="23">
        <f>N5+N6</f>
        <v>415.5344544</v>
      </c>
      <c r="O7" s="23">
        <f>O5+O6</f>
        <v>415.5344544</v>
      </c>
      <c r="P7" s="23">
        <f>P5+P6</f>
        <v>415.5344544</v>
      </c>
      <c r="Q7" s="23">
        <f>Q5+Q6</f>
        <v>203.3744544</v>
      </c>
      <c r="R7" s="23">
        <f>R5+R6</f>
        <v>97.2944544</v>
      </c>
      <c r="S7" s="23">
        <f>S5+S6</f>
        <v>44.2544544</v>
      </c>
      <c r="T7" s="23">
        <f>T5+T6</f>
        <v>17.7344544</v>
      </c>
      <c r="U7" s="23">
        <f>U5+U6</f>
        <v>4.474454400000001</v>
      </c>
      <c r="V7" s="23">
        <f>V5+V6</f>
        <v>-2.155545599999999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33.6464544</v>
      </c>
      <c r="E8" s="23">
        <f>MIN(D17,MAX(0,E7))</f>
        <v>97.2944544</v>
      </c>
      <c r="F8" s="23">
        <f>MIN(E17,MAX(0,F7))</f>
        <v>26.387091199999986</v>
      </c>
      <c r="G8" s="23">
        <f>MIN(F17,MAX(0,G7))</f>
        <v>0.0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155.77136320000002</v>
      </c>
      <c r="G9" s="23">
        <f>MAX(0,G7)-G8</f>
        <v>267.0224544</v>
      </c>
      <c r="H9" s="23">
        <f>MAX(0,H7)-H8</f>
        <v>351.88645440000005</v>
      </c>
      <c r="I9" s="23">
        <f>MAX(0,I7)-I8</f>
        <v>415.5344544</v>
      </c>
      <c r="J9" s="23">
        <f>MAX(0,J7)-J8</f>
        <v>415.5344544</v>
      </c>
      <c r="K9" s="23">
        <f>MAX(0,K7)-K8</f>
        <v>415.5344544</v>
      </c>
      <c r="L9" s="23">
        <f>MAX(0,L7)-L8</f>
        <v>415.5344544</v>
      </c>
      <c r="M9" s="23">
        <f>MAX(0,M7)-M8</f>
        <v>415.5344544</v>
      </c>
      <c r="N9" s="23">
        <f>MAX(0,N7)-N8</f>
        <v>415.5344544</v>
      </c>
      <c r="O9" s="23">
        <f>MAX(0,O7)-O8</f>
        <v>415.5344544</v>
      </c>
      <c r="P9" s="23">
        <f>MAX(0,P7)-P8</f>
        <v>415.5344544</v>
      </c>
      <c r="Q9" s="23">
        <f>MAX(0,Q7)-Q8</f>
        <v>203.3744544</v>
      </c>
      <c r="R9" s="23">
        <f>MAX(0,R7)-R8</f>
        <v>97.2944544</v>
      </c>
      <c r="S9" s="23">
        <f>MAX(0,S7)-S8</f>
        <v>44.2544544</v>
      </c>
      <c r="T9" s="23">
        <f>MAX(0,T7)-T8</f>
        <v>17.7344544</v>
      </c>
      <c r="U9" s="23">
        <f>MAX(0,U7)-U8</f>
        <v>4.474454400000001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32.711986272000004</v>
      </c>
      <c r="G10" s="23">
        <f>G9*Assumptions!$E$15</f>
        <v>56.074715424000004</v>
      </c>
      <c r="H10" s="23">
        <f>H9*Assumptions!$E$15</f>
        <v>73.89615542400001</v>
      </c>
      <c r="I10" s="23">
        <f>I9*Assumptions!$E$15</f>
        <v>87.262235424</v>
      </c>
      <c r="J10" s="23">
        <f>J9*Assumptions!$E$15</f>
        <v>87.262235424</v>
      </c>
      <c r="K10" s="23">
        <f>K9*Assumptions!$E$15</f>
        <v>87.262235424</v>
      </c>
      <c r="L10" s="23">
        <f>L9*Assumptions!$E$15</f>
        <v>87.262235424</v>
      </c>
      <c r="M10" s="23">
        <f>M9*Assumptions!$E$15</f>
        <v>87.262235424</v>
      </c>
      <c r="N10" s="23">
        <f>N9*Assumptions!$E$15</f>
        <v>87.262235424</v>
      </c>
      <c r="O10" s="23">
        <f>O9*Assumptions!$E$15</f>
        <v>87.262235424</v>
      </c>
      <c r="P10" s="23">
        <f>P9*Assumptions!$E$15</f>
        <v>87.262235424</v>
      </c>
      <c r="Q10" s="23">
        <f>Q9*Assumptions!$E$15</f>
        <v>42.70863542399999</v>
      </c>
      <c r="R10" s="23">
        <f>R9*Assumptions!$E$15</f>
        <v>20.431835424</v>
      </c>
      <c r="S10" s="23">
        <f>S9*Assumptions!$E$15</f>
        <v>9.293435424</v>
      </c>
      <c r="T10" s="23">
        <f>T9*Assumptions!$E$15</f>
        <v>3.724235424</v>
      </c>
      <c r="U10" s="23">
        <f>U9*Assumptions!$E$15</f>
        <v>0.9396354240000001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-33.128</v>
      </c>
      <c r="D11" s="55">
        <f>D7-D10</f>
        <v>33.6464544</v>
      </c>
      <c r="E11" s="55">
        <f>E7-E10</f>
        <v>97.2944544</v>
      </c>
      <c r="F11" s="55">
        <f>F7-F10</f>
        <v>149.446468128</v>
      </c>
      <c r="G11" s="55">
        <f>G7-G10</f>
        <v>210.947738976</v>
      </c>
      <c r="H11" s="55">
        <f>H7-H10</f>
        <v>277.990298976</v>
      </c>
      <c r="I11" s="55">
        <f>I7-I10</f>
        <v>328.27221897600003</v>
      </c>
      <c r="J11" s="55">
        <f>J7-J10</f>
        <v>328.27221897600003</v>
      </c>
      <c r="K11" s="55">
        <f>K7-K10</f>
        <v>328.27221897600003</v>
      </c>
      <c r="L11" s="55">
        <f>L7-L10</f>
        <v>328.27221897600003</v>
      </c>
      <c r="M11" s="55">
        <f>M7-M10</f>
        <v>328.27221897600003</v>
      </c>
      <c r="N11" s="55">
        <f>N7-N10</f>
        <v>328.27221897600003</v>
      </c>
      <c r="O11" s="55">
        <f>O7-O10</f>
        <v>328.27221897600003</v>
      </c>
      <c r="P11" s="55">
        <f>P7-P10</f>
        <v>328.27221897600003</v>
      </c>
      <c r="Q11" s="55">
        <f>Q7-Q10</f>
        <v>160.665818976</v>
      </c>
      <c r="R11" s="55">
        <f>R7-R10</f>
        <v>76.86261897600001</v>
      </c>
      <c r="S11" s="55">
        <f>S7-S10</f>
        <v>34.961018976</v>
      </c>
      <c r="T11" s="55">
        <f>T7-T10</f>
        <v>14.010218976</v>
      </c>
      <c r="U11" s="55">
        <f>U7-U10</f>
        <v>3.534818976000001</v>
      </c>
      <c r="V11" s="55">
        <f>V7-V10</f>
        <v>-2.155545599999999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-16.229551274157696</v>
      </c>
      <c r="D16" s="55">
        <f>D11*D15</f>
        <v>30.027521684745302</v>
      </c>
      <c r="E16" s="55">
        <f>E11*E15</f>
        <v>77.5265124884436</v>
      </c>
      <c r="F16" s="55">
        <f>F11*F15</f>
        <v>106.32362961934781</v>
      </c>
      <c r="G16" s="55">
        <f>G11*G15</f>
        <v>133.99882501687716</v>
      </c>
      <c r="H16" s="55">
        <f>H11*H15</f>
        <v>157.6658851690769</v>
      </c>
      <c r="I16" s="55">
        <f>I11*I15</f>
        <v>166.23566339981886</v>
      </c>
      <c r="J16" s="55">
        <f>J11*J15</f>
        <v>148.424699464124</v>
      </c>
      <c r="K16" s="55">
        <f>K11*K15</f>
        <v>132.5220530929678</v>
      </c>
      <c r="L16" s="55">
        <f>L11*L15</f>
        <v>118.32326169014982</v>
      </c>
      <c r="M16" s="55">
        <f>M11*M15</f>
        <v>105.64576936620519</v>
      </c>
      <c r="N16" s="55">
        <f>N11*N15</f>
        <v>94.32657979125462</v>
      </c>
      <c r="O16" s="55">
        <f>O11*O15</f>
        <v>84.2201605279059</v>
      </c>
      <c r="P16" s="55">
        <f>P11*P15</f>
        <v>75.19657189991597</v>
      </c>
      <c r="Q16" s="55">
        <f>Q11*Q15</f>
        <v>32.8601378403872</v>
      </c>
      <c r="R16" s="55">
        <f>R11*R15</f>
        <v>14.035989813370948</v>
      </c>
      <c r="S16" s="55">
        <f>S11*S15</f>
        <v>5.7002502919878735</v>
      </c>
      <c r="T16" s="55">
        <f>T11*T15</f>
        <v>2.0395612116184276</v>
      </c>
      <c r="U16" s="55">
        <f>U11*U15</f>
        <v>0.45945287749124814</v>
      </c>
      <c r="V16" s="55">
        <f>V11*V15</f>
        <v>-0.2501571901074464</v>
      </c>
    </row>
    <row r="17">
      <c r="A17" s="14" t="inlineStr">
        <is>
          <t>Tax-loss carryforward, end of year</t>
        </is>
      </c>
      <c r="C17" s="23">
        <f>Assumptions!$B$21-C8+MAX(0,-C7)</f>
        <v>157.328</v>
      </c>
      <c r="D17" s="23">
        <f>C17-D8+MAX(0,-D7)</f>
        <v>123.68154559999999</v>
      </c>
      <c r="E17" s="23">
        <f>D17-E8+MAX(0,-E7)</f>
        <v>26.387091199999986</v>
      </c>
      <c r="F17" s="23">
        <f>E17-F8+MAX(0,-F7)</f>
        <v>0.0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2.155545599999999</v>
      </c>
    </row>
    <row r="19">
      <c r="A19" s="14" t="inlineStr">
        <is>
          <t>PV of risked pipeline contribution</t>
        </is>
      </c>
      <c r="B19" s="23">
        <f>SUMPRODUCT(C5:V5,C15:V15)</f>
        <v>1911.2724411293623</v>
      </c>
    </row>
    <row r="20">
      <c r="A20" s="14" t="inlineStr">
        <is>
          <t>PV of corporate burn</t>
        </is>
      </c>
      <c r="B20" s="23">
        <f>SUMPRODUCT(C6:V6,C15:V15)</f>
        <v>-80.91185828769605</v>
      </c>
    </row>
    <row r="21">
      <c r="A21" s="14" t="inlineStr">
        <is>
          <t>PV of taxes</t>
        </is>
      </c>
      <c r="B21" s="23">
        <f>-SUMPRODUCT(C10:V10,C15:V15)</f>
        <v>-361.30776606024295</v>
      </c>
    </row>
    <row r="22">
      <c r="A22" s="24" t="inlineStr">
        <is>
          <t>Pipeline rNPV (operations)</t>
        </is>
      </c>
      <c r="B22" s="54">
        <f>SUM(C16:V16)</f>
        <v>1469.0528167814234</v>
      </c>
    </row>
    <row r="23">
      <c r="A23" s="14" t="inlineStr">
        <is>
          <t>Cash &amp; investments</t>
        </is>
      </c>
      <c r="B23" s="57">
        <f>Main!C7</f>
        <v>61.425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1530.4778167814234</v>
      </c>
    </row>
    <row r="26">
      <c r="A26" s="14" t="inlineStr">
        <is>
          <t>Shares (mm)</t>
        </is>
      </c>
      <c r="B26" s="57">
        <f>Main!C4</f>
        <v>27.855257</v>
      </c>
    </row>
    <row r="27">
      <c r="A27" s="24" t="inlineStr">
        <is>
          <t>rNPV / share</t>
        </is>
      </c>
      <c r="B27" s="60">
        <f>B25/B26</f>
        <v>54.943948884816365</v>
      </c>
    </row>
    <row r="28">
      <c r="A28" s="14" t="inlineStr">
        <is>
          <t>Price</t>
        </is>
      </c>
      <c r="B28" s="61">
        <f>Main!C3</f>
        <v>3.8</v>
      </c>
    </row>
    <row r="29">
      <c r="A29" s="14" t="inlineStr">
        <is>
          <t>Upside</t>
        </is>
      </c>
      <c r="B29" s="62">
        <f>B27/B28-1</f>
        <v>13.458933917056939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2026-10-21T06:28:19Z</dcterms:modified>
  <cp:lastModifiedBy>Wang, Eric</cp:lastModifiedBy>
</cp:coreProperties>
</file>