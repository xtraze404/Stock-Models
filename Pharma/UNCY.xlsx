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Unicycive Therapeutics Inc</t>
        </is>
      </c>
      <c r="C2" s="10" t="n"/>
    </row>
    <row r="3">
      <c r="B3" t="inlineStr">
        <is>
          <t>Price</t>
        </is>
      </c>
      <c r="C3" s="11">
        <f>INDEX([1]Pharma!$F$1:$F$1000,MATCH("UNCY",[1]Pharma!$B$1:$B$1000,0))</f>
        <v>3.8</v>
      </c>
      <c r="F3" s="1" t="n"/>
    </row>
    <row r="4">
      <c r="B4" t="inlineStr">
        <is>
          <t>Shares</t>
        </is>
      </c>
      <c r="C4" s="21" t="n">
        <v>27.855257</v>
      </c>
      <c r="F4" s="1" t="n"/>
    </row>
    <row r="5">
      <c r="B5" t="inlineStr">
        <is>
          <t>Market Cap.</t>
        </is>
      </c>
      <c r="C5" s="13">
        <f>C3*C4</f>
        <v>105.8499766</v>
      </c>
      <c r="F5" s="1" t="n"/>
    </row>
    <row r="6"/>
    <row r="7">
      <c r="B7" t="inlineStr">
        <is>
          <t>Cash</t>
        </is>
      </c>
      <c r="C7" s="21">
        <f>44.185+17.24</f>
        <v>61.425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44.42497660000001</v>
      </c>
    </row>
    <row r="10"/>
    <row r="11">
      <c r="B11" s="14" t="inlineStr">
        <is>
          <t>Net Cash / Share</t>
        </is>
      </c>
      <c r="C11" s="11">
        <f>(C7-C8)/C4</f>
        <v>2.2051492829522266</v>
      </c>
    </row>
    <row r="12">
      <c r="B12" s="14" t="inlineStr">
        <is>
          <t>Upside</t>
        </is>
      </c>
      <c r="C12" s="15">
        <f>IFERROR(C11/C3-1,"")</f>
        <v>-0.4196975571178351</v>
      </c>
    </row>
    <row r="13">
      <c r="B13" s="14" t="inlineStr">
        <is>
          <t>Cash / Share</t>
        </is>
      </c>
      <c r="C13" s="11">
        <f>IFERROR((C7-C8)/C4,"")</f>
        <v>2.2051492829522266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-27.839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2.2064370128237365</v>
      </c>
    </row>
    <row r="19">
      <c r="B19" s="14" t="inlineStr">
        <is>
          <t>Implied Pipeline Value</t>
        </is>
      </c>
      <c r="C19" s="13">
        <f>C9</f>
        <v>44.42497660000001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0.951</v>
      </c>
      <c r="E2" s="23" t="n">
        <v>0.675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0.951</v>
      </c>
      <c r="E4" s="23">
        <f>E2-E3</f>
        <v>0.675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1.015</v>
      </c>
      <c r="C5" s="23" t="n">
        <v>6.08</v>
      </c>
      <c r="D5" s="23" t="n">
        <v>12.436</v>
      </c>
      <c r="E5" s="23" t="n">
        <v>12.902</v>
      </c>
      <c r="F5" s="23" t="n">
        <v>20.014</v>
      </c>
      <c r="G5" s="23" t="n">
        <v>9.121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1.005</v>
      </c>
      <c r="C6" s="23" t="n">
        <v>2.897</v>
      </c>
      <c r="D6" s="23" t="n">
        <v>6.567</v>
      </c>
      <c r="E6" s="23" t="n">
        <v>8.547000000000001</v>
      </c>
      <c r="F6" s="23" t="n">
        <v>12.103</v>
      </c>
      <c r="G6" s="23" t="n">
        <v>20.396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2.0199999999999996</v>
      </c>
      <c r="C7" s="23">
        <f>SUM(C5:C6)</f>
        <v>8.977</v>
      </c>
      <c r="D7" s="23">
        <f>SUM(D5:D6)</f>
        <v>19.003</v>
      </c>
      <c r="E7" s="23">
        <f>SUM(E5:E6)</f>
        <v>21.448999999999998</v>
      </c>
      <c r="F7" s="23">
        <f>SUM(F5:F6)</f>
        <v>32.117</v>
      </c>
      <c r="G7" s="23">
        <f>SUM(G5:G6)</f>
        <v>29.517000000000003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-2.0199999999999996</v>
      </c>
      <c r="C8" s="23">
        <f>C4-C7</f>
        <v>-8.977</v>
      </c>
      <c r="D8" s="23">
        <f>D4-D7</f>
        <v>-18.052</v>
      </c>
      <c r="E8" s="23">
        <f>E4-E7</f>
        <v>-20.773999999999997</v>
      </c>
      <c r="F8" s="23">
        <f>F4-F7</f>
        <v>-32.117</v>
      </c>
      <c r="G8" s="23">
        <f>G4-G7</f>
        <v>-29.517000000000003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-0.244</v>
      </c>
      <c r="C9" s="23" t="n">
        <v>-1.04</v>
      </c>
      <c r="D9" s="23" t="n">
        <v>-0.006</v>
      </c>
      <c r="E9" s="23" t="n">
        <v>-9.77</v>
      </c>
      <c r="F9" s="23" t="n">
        <v>-4.612</v>
      </c>
      <c r="G9" s="23" t="n">
        <v>2.962</v>
      </c>
    </row>
    <row r="10">
      <c r="A10" s="2" t="inlineStr">
        <is>
          <t>Pretax</t>
        </is>
      </c>
      <c r="B10" s="23">
        <f>B8+B9</f>
        <v>-2.2639999999999993</v>
      </c>
      <c r="C10" s="23">
        <f>C8+C9</f>
        <v>-10.017</v>
      </c>
      <c r="D10" s="23">
        <f>D8+D9</f>
        <v>-18.058</v>
      </c>
      <c r="E10" s="23">
        <f>E8+E9</f>
        <v>-30.543999999999997</v>
      </c>
      <c r="F10" s="23">
        <f>F8+F9</f>
        <v>-36.729</v>
      </c>
      <c r="G10" s="23">
        <f>G8+G9</f>
        <v>-26.555000000000003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-2.264</v>
      </c>
      <c r="C12" s="23" t="n">
        <v>-10.017</v>
      </c>
      <c r="D12" s="23" t="n">
        <v>-18.058</v>
      </c>
      <c r="E12" s="23" t="n">
        <v>-30.544</v>
      </c>
      <c r="F12" s="23" t="n">
        <v>-36.729</v>
      </c>
      <c r="G12" s="23" t="n">
        <v>-26.555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-0.26635294117647057</v>
      </c>
      <c r="C13" s="11">
        <f>IFERROR(C12/C14,0)</f>
        <v>-0.8579136690647482</v>
      </c>
      <c r="D13" s="11">
        <f>IFERROR(D12/D14,0)</f>
        <v>-1.1993092913595005</v>
      </c>
      <c r="E13" s="11">
        <f>IFERROR(E12/E14,0)</f>
        <v>-1.2447124984718203</v>
      </c>
      <c r="F13" s="11">
        <f>IFERROR(F12/F14,0)</f>
        <v>-5.482758620689655</v>
      </c>
      <c r="G13" s="11">
        <f>IFERROR(G12/G14,0)</f>
        <v>-1.6714924151822244</v>
      </c>
    </row>
    <row r="14">
      <c r="A14" s="2" t="inlineStr">
        <is>
          <t>Shares</t>
        </is>
      </c>
      <c r="B14" s="23" t="n">
        <v>8.5</v>
      </c>
      <c r="C14" s="23" t="n">
        <v>11.676</v>
      </c>
      <c r="D14" s="23" t="n">
        <v>15.057</v>
      </c>
      <c r="E14" s="23" t="n">
        <v>24.539</v>
      </c>
      <c r="F14" s="23" t="n">
        <v>6.699</v>
      </c>
      <c r="G14" s="23" t="n">
        <v>15.887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-0.2902208201892744</v>
      </c>
      <c r="F16" s="15">
        <f>IFERROR(F2/E2-1,"")</f>
        <v>-1.0</v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15">
        <f>IFERROR(E4/E2,"")</f>
        <v>1.0</v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-18.982124079915877</v>
      </c>
      <c r="E18" s="15">
        <f>IFERROR(E8/E2,"")</f>
        <v>-30.77629629629629</v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2026-10-21T01:05:59Z</dcterms:modified>
  <cp:lastModifiedBy>Wang, Eric</cp:lastModifiedBy>
</cp:coreProperties>
</file>