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MediciNova Inc</t>
        </is>
      </c>
      <c r="C2" s="10" t="n"/>
    </row>
    <row r="3">
      <c r="B3" t="inlineStr">
        <is>
          <t>Price</t>
        </is>
      </c>
      <c r="C3" s="11">
        <f>INDEX([1]Pharma!$F$1:$F$1000,MATCH("MNOV",[1]Pharma!$B$1:$B$1000,0))</f>
        <v>1.36</v>
      </c>
      <c r="F3" s="1" t="n"/>
    </row>
    <row r="4">
      <c r="B4" t="inlineStr">
        <is>
          <t>Shares</t>
        </is>
      </c>
      <c r="C4" s="21" t="n">
        <v>49.221246</v>
      </c>
      <c r="F4" s="1" t="n"/>
    </row>
    <row r="5">
      <c r="B5" t="inlineStr">
        <is>
          <t>Market Cap.</t>
        </is>
      </c>
      <c r="C5" s="13">
        <f>C3*C4</f>
        <v>66.94089456</v>
      </c>
      <c r="F5" s="1" t="n"/>
    </row>
    <row r="6"/>
    <row r="7">
      <c r="B7" t="inlineStr">
        <is>
          <t>Cash</t>
        </is>
      </c>
      <c r="C7" s="21" t="n">
        <v>25.415921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41.52497356000001</v>
      </c>
    </row>
    <row r="10"/>
    <row r="11">
      <c r="B11" s="14" t="inlineStr">
        <is>
          <t>rNPV / Share</t>
        </is>
      </c>
      <c r="C11" s="11">
        <f>NPV!B27</f>
        <v>12.41254564836058</v>
      </c>
    </row>
    <row r="12">
      <c r="B12" s="14" t="inlineStr">
        <is>
          <t>Upside</t>
        </is>
      </c>
      <c r="C12" s="15">
        <f>IFERROR(C11/C3-1,"")</f>
        <v>8.126871800265132</v>
      </c>
    </row>
    <row r="13">
      <c r="B13" s="14" t="inlineStr">
        <is>
          <t>Cash / Share</t>
        </is>
      </c>
      <c r="C13" s="11">
        <f>IFERROR((C7-C8)/C4,"")</f>
        <v>0.5163607804645985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-9.109999999999999</v>
      </c>
    </row>
    <row r="18">
      <c r="B18" s="14" t="inlineStr">
        <is>
          <t>Runway (years)</t>
        </is>
      </c>
      <c r="C18" s="22">
        <f>IF(AND(ISNUMBER(C17),C17&lt;0),IF(C7&gt;C8,(C7-C8)/-C17,"net debt"),"n/a")</f>
        <v>2.7898925356750826</v>
      </c>
    </row>
    <row r="19">
      <c r="B19" s="14" t="inlineStr">
        <is>
          <t>Implied Pipeline Value</t>
        </is>
      </c>
      <c r="C19" s="13">
        <f>C9</f>
        <v>41.52497356000001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2005</v>
      </c>
      <c r="C1" s="17" t="n">
        <v>2006</v>
      </c>
      <c r="D1" s="17" t="n">
        <v>2007</v>
      </c>
      <c r="E1" s="17" t="n">
        <v>2008</v>
      </c>
      <c r="F1" s="17" t="n">
        <v>2009</v>
      </c>
      <c r="G1" s="17" t="n">
        <v>2010</v>
      </c>
      <c r="H1" s="17" t="n">
        <v>2011</v>
      </c>
      <c r="I1" s="17" t="n">
        <v>2012</v>
      </c>
      <c r="J1" s="17" t="n">
        <v>2013</v>
      </c>
      <c r="K1" s="17" t="n">
        <v>2014</v>
      </c>
      <c r="L1" s="17" t="n">
        <v>2015</v>
      </c>
      <c r="M1" s="17" t="n">
        <v>2016</v>
      </c>
      <c r="N1" s="17" t="n">
        <v>2017</v>
      </c>
      <c r="O1" s="17" t="n">
        <v>2018</v>
      </c>
      <c r="P1" s="17" t="n">
        <v>2019</v>
      </c>
      <c r="Q1" s="17" t="n">
        <v>2020</v>
      </c>
      <c r="R1" s="17" t="n">
        <v>2021</v>
      </c>
      <c r="S1" s="17" t="n">
        <v>2022</v>
      </c>
      <c r="T1" s="17" t="n">
        <v>2023</v>
      </c>
      <c r="U1" s="17" t="n">
        <v>2024</v>
      </c>
      <c r="V1" s="17" t="n">
        <v>2025</v>
      </c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0.803</v>
      </c>
      <c r="J2" s="23" t="n">
        <v>0</v>
      </c>
      <c r="K2" s="23" t="n">
        <v>0</v>
      </c>
      <c r="L2" s="23" t="n">
        <v>0</v>
      </c>
      <c r="M2" s="23" t="n">
        <v>0</v>
      </c>
      <c r="N2" s="23" t="n">
        <v>0</v>
      </c>
      <c r="O2" s="23" t="n">
        <v>0</v>
      </c>
      <c r="P2" s="23" t="n">
        <v>0</v>
      </c>
      <c r="Q2" s="23" t="n">
        <v>0</v>
      </c>
      <c r="R2" s="23" t="n">
        <v>4.037</v>
      </c>
      <c r="S2" s="23" t="n">
        <v>0</v>
      </c>
      <c r="T2" s="23" t="n">
        <v>1</v>
      </c>
      <c r="U2" s="23" t="n">
        <v>0</v>
      </c>
      <c r="V2" s="23" t="n">
        <v>0.41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0</v>
      </c>
      <c r="P3" s="23" t="n">
        <v>0</v>
      </c>
      <c r="Q3" s="23" t="n">
        <v>0</v>
      </c>
      <c r="R3" s="23" t="n">
        <v>0</v>
      </c>
      <c r="S3" s="23" t="n">
        <v>0</v>
      </c>
      <c r="T3" s="23" t="n">
        <v>0</v>
      </c>
      <c r="U3" s="23" t="n">
        <v>0</v>
      </c>
      <c r="V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0.803</v>
      </c>
      <c r="J4" s="23">
        <f>J2-J3</f>
        <v>0.0</v>
      </c>
      <c r="K4" s="23">
        <f>K2-K3</f>
        <v>0.0</v>
      </c>
      <c r="L4" s="23">
        <f>L2-L3</f>
        <v>0.0</v>
      </c>
      <c r="M4" s="23">
        <f>M2-M3</f>
        <v>0.0</v>
      </c>
      <c r="N4" s="23">
        <f>N2-N3</f>
        <v>0.0</v>
      </c>
      <c r="O4" s="23">
        <f>O2-O3</f>
        <v>0.0</v>
      </c>
      <c r="P4" s="23">
        <f>P2-P3</f>
        <v>0.0</v>
      </c>
      <c r="Q4" s="23">
        <f>Q2-Q3</f>
        <v>0.0</v>
      </c>
      <c r="R4" s="23">
        <f>R2-R3</f>
        <v>4.037</v>
      </c>
      <c r="S4" s="23">
        <f>S2-S3</f>
        <v>0.0</v>
      </c>
      <c r="T4" s="23">
        <f>T2-T3</f>
        <v>1.0</v>
      </c>
      <c r="U4" s="23">
        <f>U2-U3</f>
        <v>0.0</v>
      </c>
      <c r="V4" s="23">
        <f>V2-V3</f>
        <v>0.41</v>
      </c>
    </row>
    <row r="5">
      <c r="A5" s="2" t="inlineStr">
        <is>
          <t>Research &amp; Dev.</t>
        </is>
      </c>
      <c r="B5" s="23" t="n">
        <v>0</v>
      </c>
      <c r="C5" s="23" t="n">
        <v>0</v>
      </c>
      <c r="D5" s="23" t="n">
        <v>0</v>
      </c>
      <c r="E5" s="23" t="n">
        <v>0</v>
      </c>
      <c r="F5" s="23" t="n">
        <v>10.873</v>
      </c>
      <c r="G5" s="23" t="n">
        <v>9.711</v>
      </c>
      <c r="H5" s="23" t="n">
        <v>7.785</v>
      </c>
      <c r="I5" s="23" t="n">
        <v>4.5</v>
      </c>
      <c r="J5" s="23" t="n">
        <v>2.7</v>
      </c>
      <c r="K5" s="23" t="n">
        <v>2.9</v>
      </c>
      <c r="L5" s="23" t="n">
        <v>2.7</v>
      </c>
      <c r="M5" s="23" t="n">
        <v>3.1</v>
      </c>
      <c r="N5" s="23" t="n">
        <v>3.9</v>
      </c>
      <c r="O5" s="23" t="n">
        <v>5.3</v>
      </c>
      <c r="P5" s="23" t="n">
        <v>5.7</v>
      </c>
      <c r="Q5" s="23" t="n">
        <v>7.1</v>
      </c>
      <c r="R5" s="23" t="n">
        <v>8.1</v>
      </c>
      <c r="S5" s="23" t="n">
        <v>8.699999999999999</v>
      </c>
      <c r="T5" s="23" t="n">
        <v>5.3</v>
      </c>
      <c r="U5" s="23" t="n">
        <v>6.8</v>
      </c>
      <c r="V5" s="23" t="n">
        <v>6.7</v>
      </c>
    </row>
    <row r="6">
      <c r="A6" s="19" t="inlineStr">
        <is>
          <t>SG&amp;A &amp; Other</t>
        </is>
      </c>
      <c r="B6" s="23" t="n">
        <v>25.692</v>
      </c>
      <c r="C6" s="23" t="n">
        <v>35.69</v>
      </c>
      <c r="D6" s="23" t="n">
        <v>48.903</v>
      </c>
      <c r="E6" s="23" t="n">
        <v>21.925</v>
      </c>
      <c r="F6" s="23" t="n">
        <v>10.366</v>
      </c>
      <c r="G6" s="23" t="n">
        <v>8.172000000000001</v>
      </c>
      <c r="H6" s="23" t="n">
        <v>8.324</v>
      </c>
      <c r="I6" s="23" t="n">
        <v>7.248</v>
      </c>
      <c r="J6" s="23" t="n">
        <v>1.321</v>
      </c>
      <c r="K6" s="23" t="n">
        <v>6.323</v>
      </c>
      <c r="L6" s="23" t="n">
        <v>6.122</v>
      </c>
      <c r="M6" s="23" t="n">
        <v>7.782</v>
      </c>
      <c r="N6" s="23" t="n">
        <v>9.127000000000001</v>
      </c>
      <c r="O6" s="23" t="n">
        <v>10.287</v>
      </c>
      <c r="P6" s="23" t="n">
        <v>8.331</v>
      </c>
      <c r="Q6" s="23" t="n">
        <v>7.078</v>
      </c>
      <c r="R6" s="23" t="n">
        <v>6.153</v>
      </c>
      <c r="S6" s="23" t="n">
        <v>5.929</v>
      </c>
      <c r="T6" s="23" t="n">
        <v>5.6</v>
      </c>
      <c r="U6" s="23" t="n">
        <v>5.875</v>
      </c>
      <c r="V6" s="23" t="n">
        <v>6.993</v>
      </c>
    </row>
    <row r="7">
      <c r="A7" s="2" t="inlineStr">
        <is>
          <t>Operating Expense</t>
        </is>
      </c>
      <c r="B7" s="23">
        <f>SUM(B5:B6)</f>
        <v>25.692</v>
      </c>
      <c r="C7" s="23">
        <f>SUM(C5:C6)</f>
        <v>35.69</v>
      </c>
      <c r="D7" s="23">
        <f>SUM(D5:D6)</f>
        <v>48.903</v>
      </c>
      <c r="E7" s="23">
        <f>SUM(E5:E6)</f>
        <v>21.925</v>
      </c>
      <c r="F7" s="23">
        <f>SUM(F5:F6)</f>
        <v>21.238999999999997</v>
      </c>
      <c r="G7" s="23">
        <f>SUM(G5:G6)</f>
        <v>17.883000000000003</v>
      </c>
      <c r="H7" s="23">
        <f>SUM(H5:H6)</f>
        <v>16.109</v>
      </c>
      <c r="I7" s="23">
        <f>SUM(I5:I6)</f>
        <v>11.748000000000001</v>
      </c>
      <c r="J7" s="23">
        <f>SUM(J5:J6)</f>
        <v>4.021</v>
      </c>
      <c r="K7" s="23">
        <f>SUM(K5:K6)</f>
        <v>9.223</v>
      </c>
      <c r="L7" s="23">
        <f>SUM(L5:L6)</f>
        <v>8.822</v>
      </c>
      <c r="M7" s="23">
        <f>SUM(M5:M6)</f>
        <v>10.882</v>
      </c>
      <c r="N7" s="23">
        <f>SUM(N5:N6)</f>
        <v>13.027000000000001</v>
      </c>
      <c r="O7" s="23">
        <f>SUM(O5:O6)</f>
        <v>15.587</v>
      </c>
      <c r="P7" s="23">
        <f>SUM(P5:P6)</f>
        <v>14.030999999999999</v>
      </c>
      <c r="Q7" s="23">
        <f>SUM(Q5:Q6)</f>
        <v>14.178</v>
      </c>
      <c r="R7" s="23">
        <f>SUM(R5:R6)</f>
        <v>14.253</v>
      </c>
      <c r="S7" s="23">
        <f>SUM(S5:S6)</f>
        <v>14.629</v>
      </c>
      <c r="T7" s="23">
        <f>SUM(T5:T6)</f>
        <v>10.899999999999999</v>
      </c>
      <c r="U7" s="23">
        <f>SUM(U5:U6)</f>
        <v>12.675</v>
      </c>
      <c r="V7" s="23">
        <f>SUM(V5:V6)</f>
        <v>13.693000000000001</v>
      </c>
    </row>
    <row r="8">
      <c r="A8" s="2" t="inlineStr">
        <is>
          <t>Operating Income</t>
        </is>
      </c>
      <c r="B8" s="23">
        <f>B4-B7</f>
        <v>-25.692</v>
      </c>
      <c r="C8" s="23">
        <f>C4-C7</f>
        <v>-35.69</v>
      </c>
      <c r="D8" s="23">
        <f>D4-D7</f>
        <v>-48.903</v>
      </c>
      <c r="E8" s="23">
        <f>E4-E7</f>
        <v>-21.925</v>
      </c>
      <c r="F8" s="23">
        <f>F4-F7</f>
        <v>-21.238999999999997</v>
      </c>
      <c r="G8" s="23">
        <f>G4-G7</f>
        <v>-17.883000000000003</v>
      </c>
      <c r="H8" s="23">
        <f>H4-H7</f>
        <v>-16.109</v>
      </c>
      <c r="I8" s="23">
        <f>I4-I7</f>
        <v>-10.945</v>
      </c>
      <c r="J8" s="23">
        <f>J4-J7</f>
        <v>-4.021</v>
      </c>
      <c r="K8" s="23">
        <f>K4-K7</f>
        <v>-9.223</v>
      </c>
      <c r="L8" s="23">
        <f>L4-L7</f>
        <v>-8.822</v>
      </c>
      <c r="M8" s="23">
        <f>M4-M7</f>
        <v>-10.882</v>
      </c>
      <c r="N8" s="23">
        <f>N4-N7</f>
        <v>-13.027000000000001</v>
      </c>
      <c r="O8" s="23">
        <f>O4-O7</f>
        <v>-15.587</v>
      </c>
      <c r="P8" s="23">
        <f>P4-P7</f>
        <v>-14.030999999999999</v>
      </c>
      <c r="Q8" s="23">
        <f>Q4-Q7</f>
        <v>-14.178</v>
      </c>
      <c r="R8" s="23">
        <f>R4-R7</f>
        <v>-10.216000000000001</v>
      </c>
      <c r="S8" s="23">
        <f>S4-S7</f>
        <v>-14.629</v>
      </c>
      <c r="T8" s="23">
        <f>T4-T7</f>
        <v>-9.899999999999999</v>
      </c>
      <c r="U8" s="23">
        <f>U4-U7</f>
        <v>-12.675</v>
      </c>
      <c r="V8" s="23">
        <f>V4-V7</f>
        <v>-13.283000000000001</v>
      </c>
    </row>
    <row r="9">
      <c r="A9" s="19" t="inlineStr">
        <is>
          <t>Interest &amp; Other</t>
        </is>
      </c>
      <c r="B9" s="23" t="n">
        <v>0</v>
      </c>
      <c r="C9" s="23" t="n">
        <v>0</v>
      </c>
      <c r="D9" s="23" t="n">
        <v>0</v>
      </c>
      <c r="E9" s="23" t="n">
        <v>0</v>
      </c>
      <c r="F9" s="23" t="n">
        <v>0.878</v>
      </c>
      <c r="G9" s="23" t="n">
        <v>-2.292</v>
      </c>
      <c r="H9" s="23" t="n">
        <v>-1.614</v>
      </c>
      <c r="I9" s="23" t="n">
        <v>-0.005</v>
      </c>
      <c r="J9" s="23" t="n">
        <v>-0.004</v>
      </c>
      <c r="K9" s="23" t="n">
        <v>0.024</v>
      </c>
      <c r="L9" s="23" t="n">
        <v>-0.015</v>
      </c>
      <c r="M9" s="23" t="n">
        <v>0.02</v>
      </c>
      <c r="N9" s="23" t="n">
        <v>0.12</v>
      </c>
      <c r="O9" s="23" t="n">
        <v>0.917</v>
      </c>
      <c r="P9" s="23" t="n">
        <v>1.102</v>
      </c>
      <c r="Q9" s="23" t="n">
        <v>0.323</v>
      </c>
      <c r="R9" s="23" t="n">
        <v>0.08400000000000001</v>
      </c>
      <c r="S9" s="23" t="n">
        <v>0.5620000000000001</v>
      </c>
      <c r="T9" s="23" t="n">
        <v>18.475</v>
      </c>
      <c r="U9" s="23" t="n">
        <v>23.731</v>
      </c>
      <c r="V9" s="23" t="n">
        <v>25.287</v>
      </c>
    </row>
    <row r="10">
      <c r="A10" s="2" t="inlineStr">
        <is>
          <t>Pretax</t>
        </is>
      </c>
      <c r="B10" s="23">
        <f>B8+B9</f>
        <v>-25.692</v>
      </c>
      <c r="C10" s="23">
        <f>C8+C9</f>
        <v>-35.69</v>
      </c>
      <c r="D10" s="23">
        <f>D8+D9</f>
        <v>-48.903</v>
      </c>
      <c r="E10" s="23">
        <f>E8+E9</f>
        <v>-21.925</v>
      </c>
      <c r="F10" s="23">
        <f>F8+F9</f>
        <v>-20.360999999999997</v>
      </c>
      <c r="G10" s="23">
        <f>G8+G9</f>
        <v>-20.175000000000004</v>
      </c>
      <c r="H10" s="23">
        <f>H8+H9</f>
        <v>-17.723000000000003</v>
      </c>
      <c r="I10" s="23">
        <f>I8+I9</f>
        <v>-10.950000000000001</v>
      </c>
      <c r="J10" s="23">
        <f>J8+J9</f>
        <v>-4.0249999999999995</v>
      </c>
      <c r="K10" s="23">
        <f>K8+K9</f>
        <v>-9.199000000000002</v>
      </c>
      <c r="L10" s="23">
        <f>L8+L9</f>
        <v>-8.837</v>
      </c>
      <c r="M10" s="23">
        <f>M8+M9</f>
        <v>-10.862</v>
      </c>
      <c r="N10" s="23">
        <f>N8+N9</f>
        <v>-12.907000000000002</v>
      </c>
      <c r="O10" s="23">
        <f>O8+O9</f>
        <v>-14.67</v>
      </c>
      <c r="P10" s="23">
        <f>P8+P9</f>
        <v>-12.928999999999998</v>
      </c>
      <c r="Q10" s="23">
        <f>Q8+Q9</f>
        <v>-13.855</v>
      </c>
      <c r="R10" s="23">
        <f>R8+R9</f>
        <v>-10.132000000000001</v>
      </c>
      <c r="S10" s="23">
        <f>S8+S9</f>
        <v>-14.067</v>
      </c>
      <c r="T10" s="23">
        <f>T8+T9</f>
        <v>8.575000000000003</v>
      </c>
      <c r="U10" s="23">
        <f>U8+U9</f>
        <v>11.056000000000001</v>
      </c>
      <c r="V10" s="23">
        <f>V8+V9</f>
        <v>12.003999999999998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0.007</v>
      </c>
      <c r="G11" s="23" t="n">
        <v>0.013</v>
      </c>
      <c r="H11" s="23" t="n">
        <v>0.012</v>
      </c>
      <c r="I11" s="23" t="n">
        <v>0.011</v>
      </c>
      <c r="J11" s="23" t="n">
        <v>0.004</v>
      </c>
      <c r="K11" s="23" t="n">
        <v>-0.004</v>
      </c>
      <c r="L11" s="23" t="n">
        <v>0.007</v>
      </c>
      <c r="M11" s="23" t="n">
        <v>0.004</v>
      </c>
      <c r="N11" s="23" t="n">
        <v>-1.744</v>
      </c>
      <c r="O11" s="23" t="n">
        <v>0.005</v>
      </c>
      <c r="P11" s="23" t="n">
        <v>0.013</v>
      </c>
      <c r="Q11" s="23" t="n">
        <v>-0.002</v>
      </c>
      <c r="R11" s="23" t="n">
        <v>0.003</v>
      </c>
      <c r="S11" s="23" t="n">
        <v>0.003</v>
      </c>
      <c r="T11" s="23" t="n">
        <v>0.003</v>
      </c>
      <c r="U11" s="23" t="n">
        <v>0.006</v>
      </c>
      <c r="V11" s="23" t="n">
        <v>0.006</v>
      </c>
    </row>
    <row r="12">
      <c r="A12" s="2" t="inlineStr">
        <is>
          <t>Net Income</t>
        </is>
      </c>
      <c r="B12" s="23" t="n">
        <v>-25.692</v>
      </c>
      <c r="C12" s="23" t="n">
        <v>-35.69</v>
      </c>
      <c r="D12" s="23" t="n">
        <v>-48.903</v>
      </c>
      <c r="E12" s="23" t="n">
        <v>-21.925</v>
      </c>
      <c r="F12" s="23" t="n">
        <v>-20.369</v>
      </c>
      <c r="G12" s="23" t="n">
        <v>-20.187</v>
      </c>
      <c r="H12" s="23" t="n">
        <v>-17.734</v>
      </c>
      <c r="I12" s="23" t="n">
        <v>-10.961</v>
      </c>
      <c r="J12" s="23" t="n">
        <v>-4.029</v>
      </c>
      <c r="K12" s="23" t="n">
        <v>-9.195</v>
      </c>
      <c r="L12" s="23" t="n">
        <v>-8.845000000000001</v>
      </c>
      <c r="M12" s="23" t="n">
        <v>-10.866</v>
      </c>
      <c r="N12" s="23" t="n">
        <v>-11.163</v>
      </c>
      <c r="O12" s="23" t="n">
        <v>-14.675</v>
      </c>
      <c r="P12" s="23" t="n">
        <v>-12.942</v>
      </c>
      <c r="Q12" s="23" t="n">
        <v>-13.854</v>
      </c>
      <c r="R12" s="23" t="n">
        <v>-10.134</v>
      </c>
      <c r="S12" s="23" t="n">
        <v>-14.069</v>
      </c>
      <c r="T12" s="23" t="n">
        <v>8.571999999999999</v>
      </c>
      <c r="U12" s="23" t="n">
        <v>11.05</v>
      </c>
      <c r="V12" s="23" t="n">
        <v>11.998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0</v>
      </c>
      <c r="D13" s="11">
        <f>IFERROR(D12/D14,0)</f>
        <v>0</v>
      </c>
      <c r="E13" s="11">
        <f>IFERROR(E12/E14,0)</f>
        <v>0</v>
      </c>
      <c r="F13" s="11">
        <f>IFERROR(F12/F14,0)</f>
        <v>0</v>
      </c>
      <c r="G13" s="11">
        <f>IFERROR(G12/G14,0)</f>
        <v>0</v>
      </c>
      <c r="H13" s="11">
        <f>IFERROR(H12/H14,0)</f>
        <v>-1.1971916559778573</v>
      </c>
      <c r="I13" s="11">
        <f>IFERROR(I12/I14,0)</f>
        <v>-0.6633783211281244</v>
      </c>
      <c r="J13" s="11">
        <f>IFERROR(J12/J14,0)</f>
        <v>-0.19466589360776926</v>
      </c>
      <c r="K13" s="11">
        <f>IFERROR(K12/K14,0)</f>
        <v>-0.3820425461193286</v>
      </c>
      <c r="L13" s="11">
        <f>IFERROR(L12/L14,0)</f>
        <v>-0.3327815192445164</v>
      </c>
      <c r="M13" s="11">
        <f>IFERROR(M12/M14,0)</f>
        <v>-0.32940249189074483</v>
      </c>
      <c r="N13" s="11">
        <f>IFERROR(N12/N14,0)</f>
        <v>-0.3176992913453055</v>
      </c>
      <c r="O13" s="11">
        <f>IFERROR(O12/O14,0)</f>
        <v>-0.356838905775076</v>
      </c>
      <c r="P13" s="11">
        <f>IFERROR(P12/P14,0)</f>
        <v>-0.2998679302115434</v>
      </c>
      <c r="Q13" s="11">
        <f>IFERROR(Q12/Q14,0)</f>
        <v>-0.3119356945038615</v>
      </c>
      <c r="R13" s="11">
        <f>IFERROR(R12/R14,0)</f>
        <v>-0.20853568194913163</v>
      </c>
      <c r="S13" s="11">
        <f>IFERROR(S12/S14,0)</f>
        <v>-0.2868590070343562</v>
      </c>
      <c r="T13" s="11">
        <f>IFERROR(T12/T14,0)</f>
        <v>0.17477470130081962</v>
      </c>
      <c r="U13" s="11">
        <f>IFERROR(U12/U14,0)</f>
        <v>0.2252986991803613</v>
      </c>
      <c r="V13" s="11">
        <f>IFERROR(V12/V14,0)</f>
        <v>0.2445427307747182</v>
      </c>
    </row>
    <row r="14">
      <c r="A14" s="2" t="inlineStr">
        <is>
          <t>Shares</t>
        </is>
      </c>
      <c r="B14" s="23" t="n"/>
      <c r="C14" s="23" t="n"/>
      <c r="D14" s="23" t="n"/>
      <c r="E14" s="23" t="n"/>
      <c r="F14" s="23" t="n"/>
      <c r="G14" s="23" t="n"/>
      <c r="H14" s="23" t="n">
        <v>14.813</v>
      </c>
      <c r="I14" s="23" t="n">
        <v>16.523</v>
      </c>
      <c r="J14" s="23" t="n">
        <v>20.697</v>
      </c>
      <c r="K14" s="23" t="n">
        <v>24.068</v>
      </c>
      <c r="L14" s="23" t="n">
        <v>26.579</v>
      </c>
      <c r="M14" s="23" t="n">
        <v>32.987</v>
      </c>
      <c r="N14" s="23" t="n">
        <v>35.137</v>
      </c>
      <c r="O14" s="23" t="n">
        <v>41.125</v>
      </c>
      <c r="P14" s="23" t="n">
        <v>43.159</v>
      </c>
      <c r="Q14" s="23" t="n">
        <v>44.413</v>
      </c>
      <c r="R14" s="23" t="n">
        <v>48.596</v>
      </c>
      <c r="S14" s="23" t="n">
        <v>49.045</v>
      </c>
      <c r="T14" s="23" t="n">
        <v>49.046</v>
      </c>
      <c r="U14" s="23" t="n">
        <v>49.046</v>
      </c>
      <c r="V14" s="23" t="n">
        <v>49.063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>-1.0</v>
      </c>
      <c r="K16" s="15">
        <f>IFERROR(K2/J2-1,"")</f>
        <v/>
      </c>
      <c r="L16" s="15">
        <f>IFERROR(L2/K2-1,"")</f>
        <v/>
      </c>
      <c r="M16" s="15">
        <f>IFERROR(M2/L2-1,"")</f>
        <v/>
      </c>
      <c r="N16" s="15">
        <f>IFERROR(N2/M2-1,"")</f>
        <v/>
      </c>
      <c r="O16" s="15">
        <f>IFERROR(O2/N2-1,"")</f>
        <v/>
      </c>
      <c r="P16" s="15">
        <f>IFERROR(P2/O2-1,"")</f>
        <v/>
      </c>
      <c r="Q16" s="15">
        <f>IFERROR(Q2/P2-1,"")</f>
        <v/>
      </c>
      <c r="R16" s="15">
        <f>IFERROR(R2/Q2-1,"")</f>
        <v/>
      </c>
      <c r="S16" s="15">
        <f>IFERROR(S2/R2-1,"")</f>
        <v>-1.0</v>
      </c>
      <c r="T16" s="15">
        <f>IFERROR(T2/S2-1,"")</f>
        <v/>
      </c>
      <c r="U16" s="15">
        <f>IFERROR(U2/T2-1,"")</f>
        <v>-1.0</v>
      </c>
      <c r="V16" s="15">
        <f>IFERROR(V2/U2-1,"")</f>
        <v/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>1.0</v>
      </c>
      <c r="J17" s="15">
        <f>IFERROR(J4/J2,"")</f>
        <v/>
      </c>
      <c r="K17" s="15">
        <f>IFERROR(K4/K2,"")</f>
        <v/>
      </c>
      <c r="L17" s="15">
        <f>IFERROR(L4/L2,"")</f>
        <v/>
      </c>
      <c r="M17" s="15">
        <f>IFERROR(M4/M2,"")</f>
        <v/>
      </c>
      <c r="N17" s="15">
        <f>IFERROR(N4/N2,"")</f>
        <v/>
      </c>
      <c r="O17" s="15">
        <f>IFERROR(O4/O2,"")</f>
        <v/>
      </c>
      <c r="P17" s="15">
        <f>IFERROR(P4/P2,"")</f>
        <v/>
      </c>
      <c r="Q17" s="15">
        <f>IFERROR(Q4/Q2,"")</f>
        <v/>
      </c>
      <c r="R17" s="15">
        <f>IFERROR(R4/R2,"")</f>
        <v>1.0</v>
      </c>
      <c r="S17" s="15">
        <f>IFERROR(S4/S2,"")</f>
        <v/>
      </c>
      <c r="T17" s="15">
        <f>IFERROR(T4/T2,"")</f>
        <v>1.0</v>
      </c>
      <c r="U17" s="15">
        <f>IFERROR(U4/U2,"")</f>
        <v/>
      </c>
      <c r="V17" s="15">
        <f>IFERROR(V4/V2,"")</f>
        <v>1.0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>-13.63013698630137</v>
      </c>
      <c r="J18" s="15">
        <f>IFERROR(J8/J2,"")</f>
        <v/>
      </c>
      <c r="K18" s="15">
        <f>IFERROR(K8/K2,"")</f>
        <v/>
      </c>
      <c r="L18" s="15">
        <f>IFERROR(L8/L2,"")</f>
        <v/>
      </c>
      <c r="M18" s="15">
        <f>IFERROR(M8/M2,"")</f>
        <v/>
      </c>
      <c r="N18" s="15">
        <f>IFERROR(N8/N2,"")</f>
        <v/>
      </c>
      <c r="O18" s="15">
        <f>IFERROR(O8/O2,"")</f>
        <v/>
      </c>
      <c r="P18" s="15">
        <f>IFERROR(P8/P2,"")</f>
        <v/>
      </c>
      <c r="Q18" s="15">
        <f>IFERROR(Q8/Q2,"")</f>
        <v/>
      </c>
      <c r="R18" s="15">
        <f>IFERROR(R8/R2,"")</f>
        <v>-2.530592023780035</v>
      </c>
      <c r="S18" s="15">
        <f>IFERROR(S8/S2,"")</f>
        <v/>
      </c>
      <c r="T18" s="15">
        <f>IFERROR(T8/T2,"")</f>
        <v>-9.899999999999999</v>
      </c>
      <c r="U18" s="15">
        <f>IFERROR(U8/U2,"")</f>
        <v/>
      </c>
      <c r="V18" s="15">
        <f>IFERROR(V8/V2,"")</f>
        <v>-32.397560975609764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  <c r="R19" s="20" t="inlineStr">
        <is>
          <t>A</t>
        </is>
      </c>
      <c r="S19" s="20" t="inlineStr">
        <is>
          <t>A</t>
        </is>
      </c>
      <c r="T19" s="20" t="inlineStr">
        <is>
          <t>A</t>
        </is>
      </c>
      <c r="U19" s="20" t="inlineStr">
        <is>
          <t>A</t>
        </is>
      </c>
      <c r="V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MediciNova Inc: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1-PRODUCT(Pipeline!AG4:AG5)</f>
        <v>0.45683151999999994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11.85</v>
      </c>
    </row>
    <row r="19">
      <c r="A19" s="14" t="inlineStr">
        <is>
          <t>Years of full burn (until the first launch, max 4)</t>
        </is>
      </c>
      <c r="B19" s="39">
        <f>MIN(4,MAX(1,MIN(Pipeline!I4:I5)-2026))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311.2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585.5450418441856</v>
      </c>
      <c r="C29" s="42">
        <f>NPV!B25</f>
        <v>610.9609628441856</v>
      </c>
      <c r="D29" s="43">
        <f>NPV!B27</f>
        <v>12.41254564836058</v>
      </c>
      <c r="E29" s="44">
        <f>NPV!B29</f>
        <v>8.126871800265132</v>
      </c>
    </row>
    <row r="30">
      <c r="A30" s="45" t="n">
        <v>1</v>
      </c>
      <c r="B30" s="46">
        <f t="dataTable" ref="B30:E32" r1="B4"/>
        <v>224.0324589296072</v>
      </c>
      <c r="C30" s="46">
        <v>249.4483799296072</v>
      </c>
      <c r="D30" s="47">
        <v>5.067900555170977</v>
      </c>
      <c r="E30" s="48">
        <v>2.7263974670374824</v>
      </c>
    </row>
    <row r="31">
      <c r="A31" s="45" t="n">
        <v>2</v>
      </c>
      <c r="B31" s="46">
        <v>585.5450418441856</v>
      </c>
      <c r="C31" s="46">
        <v>610.9609628441856</v>
      </c>
      <c r="D31" s="47">
        <v>12.41254564836058</v>
      </c>
      <c r="E31" s="48">
        <v>8.126871800265132</v>
      </c>
    </row>
    <row r="32">
      <c r="A32" s="45" t="n">
        <v>3</v>
      </c>
      <c r="B32" s="46">
        <v>1156.58877565927</v>
      </c>
      <c r="C32" s="46">
        <v>1182.00469665927</v>
      </c>
      <c r="D32" s="47">
        <v>24.014115706442496</v>
      </c>
      <c r="E32" s="48">
        <v>16.65743801944301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12.41254564836058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3.906016452308277</v>
      </c>
      <c r="C37" s="47">
        <v>5.7657398474323</v>
      </c>
      <c r="D37" s="47">
        <v>7.603494278543169</v>
      </c>
      <c r="E37" s="47">
        <v>11.251671314802325</v>
      </c>
      <c r="F37" s="47">
        <v>14.883945302241338</v>
      </c>
    </row>
    <row r="38">
      <c r="A38" s="50" t="n">
        <v>0.8</v>
      </c>
      <c r="B38" s="47">
        <v>5.124299630686931</v>
      </c>
      <c r="C38" s="47">
        <v>7.577705112478098</v>
      </c>
      <c r="D38" s="47">
        <v>10.015411234257625</v>
      </c>
      <c r="E38" s="47">
        <v>14.85844321750965</v>
      </c>
      <c r="F38" s="47">
        <v>19.685071298398974</v>
      </c>
    </row>
    <row r="39">
      <c r="A39" s="50" t="n">
        <v>1</v>
      </c>
      <c r="B39" s="47">
        <v>6.330036440226821</v>
      </c>
      <c r="C39" s="47">
        <v>9.381988290956187</v>
      </c>
      <c r="D39" s="47">
        <v>12.41254564836058</v>
      </c>
      <c r="E39" s="47">
        <v>18.45590368928933</v>
      </c>
      <c r="F39" s="47">
        <v>24.48106346203407</v>
      </c>
    </row>
    <row r="40">
      <c r="A40" s="50" t="n">
        <v>1.2</v>
      </c>
      <c r="B40" s="47">
        <v>7.529526143198242</v>
      </c>
      <c r="C40" s="47">
        <v>11.178526582233154</v>
      </c>
      <c r="D40" s="47">
        <v>14.810800569672171</v>
      </c>
      <c r="E40" s="47">
        <v>22.047973103671758</v>
      </c>
      <c r="F40" s="47">
        <v>29.278164830965434</v>
      </c>
    </row>
    <row r="41">
      <c r="A41" s="50" t="n">
        <v>1.4</v>
      </c>
      <c r="B41" s="47">
        <v>8.726429155712175</v>
      </c>
      <c r="C41" s="47">
        <v>12.972523012846883</v>
      </c>
      <c r="D41" s="47">
        <v>17.20592804150785</v>
      </c>
      <c r="E41" s="47">
        <v>25.641151723350482</v>
      </c>
      <c r="F41" s="47">
        <v>34.06936520311479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MediciNova Inc: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ALS</t>
        </is>
      </c>
      <c r="C4" s="14" t="inlineStr">
        <is>
          <t>MN-166</t>
        </is>
      </c>
      <c r="D4" s="14" t="inlineStr">
        <is>
          <t>Phase 2/3</t>
        </is>
      </c>
      <c r="E4" s="14" t="inlineStr">
        <is>
          <t>Neurology / rare</t>
        </is>
      </c>
      <c r="F4" s="14" t="inlineStr">
        <is>
          <t>Owned</t>
        </is>
      </c>
      <c r="G4" s="40" t="n">
        <v>800</v>
      </c>
      <c r="H4" s="27" t="n">
        <v>0.3776</v>
      </c>
      <c r="I4" s="26" t="n">
        <v>2030</v>
      </c>
      <c r="J4" s="39">
        <f>I4+Assumptions!$B$25</f>
        <v>2042.0</v>
      </c>
      <c r="K4" s="53">
        <f>Assumptions!$E$13</f>
        <v>0.4</v>
      </c>
      <c r="L4" s="23">
        <f>K4*SUMPRODUCT(M4:AF4,NPV!$C$15:$V$15)</f>
        <v>386.10983129213196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30.208</v>
      </c>
      <c r="R4" s="23">
        <f>IF(R$3&lt;$I4,0,$G4*Assumptions!$E$11*INDEX(Assumptions!$B$24:$G$24,MIN(6,R$3-$I4+1))*IF(R$3&gt;$J4,(1-Assumptions!$B$26)^(R$3-$J4),1)*IF($H4&gt;=1,1,MIN(0.97,$H4*Assumptions!$E$12)))</f>
        <v>75.52</v>
      </c>
      <c r="S4" s="23">
        <f>IF(S$3&lt;$I4,0,$G4*Assumptions!$E$11*INDEX(Assumptions!$B$24:$G$24,MIN(6,S$3-$I4+1))*IF(S$3&gt;$J4,(1-Assumptions!$B$26)^(S$3-$J4),1)*IF($H4&gt;=1,1,MIN(0.97,$H4*Assumptions!$E$12)))</f>
        <v>135.936</v>
      </c>
      <c r="T4" s="23">
        <f>IF(T$3&lt;$I4,0,$G4*Assumptions!$E$11*INDEX(Assumptions!$B$24:$G$24,MIN(6,T$3-$I4+1))*IF(T$3&gt;$J4,(1-Assumptions!$B$26)^(T$3-$J4),1)*IF($H4&gt;=1,1,MIN(0.97,$H4*Assumptions!$E$12)))</f>
        <v>196.352</v>
      </c>
      <c r="U4" s="23">
        <f>IF(U$3&lt;$I4,0,$G4*Assumptions!$E$11*INDEX(Assumptions!$B$24:$G$24,MIN(6,U$3-$I4+1))*IF(U$3&gt;$J4,(1-Assumptions!$B$26)^(U$3-$J4),1)*IF($H4&gt;=1,1,MIN(0.97,$H4*Assumptions!$E$12)))</f>
        <v>256.768</v>
      </c>
      <c r="V4" s="23">
        <f>IF(V$3&lt;$I4,0,$G4*Assumptions!$E$11*INDEX(Assumptions!$B$24:$G$24,MIN(6,V$3-$I4+1))*IF(V$3&gt;$J4,(1-Assumptions!$B$26)^(V$3-$J4),1)*IF($H4&gt;=1,1,MIN(0.97,$H4*Assumptions!$E$12)))</f>
        <v>302.08</v>
      </c>
      <c r="W4" s="23">
        <f>IF(W$3&lt;$I4,0,$G4*Assumptions!$E$11*INDEX(Assumptions!$B$24:$G$24,MIN(6,W$3-$I4+1))*IF(W$3&gt;$J4,(1-Assumptions!$B$26)^(W$3-$J4),1)*IF($H4&gt;=1,1,MIN(0.97,$H4*Assumptions!$E$12)))</f>
        <v>302.08</v>
      </c>
      <c r="X4" s="23">
        <f>IF(X$3&lt;$I4,0,$G4*Assumptions!$E$11*INDEX(Assumptions!$B$24:$G$24,MIN(6,X$3-$I4+1))*IF(X$3&gt;$J4,(1-Assumptions!$B$26)^(X$3-$J4),1)*IF($H4&gt;=1,1,MIN(0.97,$H4*Assumptions!$E$12)))</f>
        <v>302.08</v>
      </c>
      <c r="Y4" s="23">
        <f>IF(Y$3&lt;$I4,0,$G4*Assumptions!$E$11*INDEX(Assumptions!$B$24:$G$24,MIN(6,Y$3-$I4+1))*IF(Y$3&gt;$J4,(1-Assumptions!$B$26)^(Y$3-$J4),1)*IF($H4&gt;=1,1,MIN(0.97,$H4*Assumptions!$E$12)))</f>
        <v>302.08</v>
      </c>
      <c r="Z4" s="23">
        <f>IF(Z$3&lt;$I4,0,$G4*Assumptions!$E$11*INDEX(Assumptions!$B$24:$G$24,MIN(6,Z$3-$I4+1))*IF(Z$3&gt;$J4,(1-Assumptions!$B$26)^(Z$3-$J4),1)*IF($H4&gt;=1,1,MIN(0.97,$H4*Assumptions!$E$12)))</f>
        <v>302.08</v>
      </c>
      <c r="AA4" s="23">
        <f>IF(AA$3&lt;$I4,0,$G4*Assumptions!$E$11*INDEX(Assumptions!$B$24:$G$24,MIN(6,AA$3-$I4+1))*IF(AA$3&gt;$J4,(1-Assumptions!$B$26)^(AA$3-$J4),1)*IF($H4&gt;=1,1,MIN(0.97,$H4*Assumptions!$E$12)))</f>
        <v>302.08</v>
      </c>
      <c r="AB4" s="23">
        <f>IF(AB$3&lt;$I4,0,$G4*Assumptions!$E$11*INDEX(Assumptions!$B$24:$G$24,MIN(6,AB$3-$I4+1))*IF(AB$3&gt;$J4,(1-Assumptions!$B$26)^(AB$3-$J4),1)*IF($H4&gt;=1,1,MIN(0.97,$H4*Assumptions!$E$12)))</f>
        <v>302.08</v>
      </c>
      <c r="AC4" s="23">
        <f>IF(AC$3&lt;$I4,0,$G4*Assumptions!$E$11*INDEX(Assumptions!$B$24:$G$24,MIN(6,AC$3-$I4+1))*IF(AC$3&gt;$J4,(1-Assumptions!$B$26)^(AC$3-$J4),1)*IF($H4&gt;=1,1,MIN(0.97,$H4*Assumptions!$E$12)))</f>
        <v>302.08</v>
      </c>
      <c r="AD4" s="23">
        <f>IF(AD$3&lt;$I4,0,$G4*Assumptions!$E$11*INDEX(Assumptions!$B$24:$G$24,MIN(6,AD$3-$I4+1))*IF(AD$3&gt;$J4,(1-Assumptions!$B$26)^(AD$3-$J4),1)*IF($H4&gt;=1,1,MIN(0.97,$H4*Assumptions!$E$12)))</f>
        <v>151.04</v>
      </c>
      <c r="AE4" s="23">
        <f>IF(AE$3&lt;$I4,0,$G4*Assumptions!$E$11*INDEX(Assumptions!$B$24:$G$24,MIN(6,AE$3-$I4+1))*IF(AE$3&gt;$J4,(1-Assumptions!$B$26)^(AE$3-$J4),1)*IF($H4&gt;=1,1,MIN(0.97,$H4*Assumptions!$E$12)))</f>
        <v>75.52</v>
      </c>
      <c r="AF4" s="23">
        <f>IF(AF$3&lt;$I4,0,$G4*Assumptions!$E$11*INDEX(Assumptions!$B$24:$G$24,MIN(6,AF$3-$I4+1))*IF(AF$3&gt;$J4,(1-Assumptions!$B$26)^(AF$3-$J4),1)*IF($H4&gt;=1,1,MIN(0.97,$H4*Assumptions!$E$12)))</f>
        <v>37.76</v>
      </c>
      <c r="AG4" s="35">
        <f>IF(F4="Owned",1-IF(H4&gt;=1,1,MIN(0.97,H4*Assumptions!$E$12)),1)</f>
        <v>0.6224000000000001</v>
      </c>
    </row>
    <row r="5">
      <c r="A5" s="39" t="n">
        <v>2</v>
      </c>
      <c r="B5" s="14" t="inlineStr">
        <is>
          <t>Type 2 diabetes</t>
        </is>
      </c>
      <c r="C5" s="14" t="inlineStr">
        <is>
          <t>MN-001</t>
        </is>
      </c>
      <c r="D5" s="14" t="inlineStr">
        <is>
          <t>Phase 2</t>
        </is>
      </c>
      <c r="E5" s="14" t="inlineStr">
        <is>
          <t>Metabolic / chronic</t>
        </is>
      </c>
      <c r="F5" s="14" t="inlineStr">
        <is>
          <t>Owned</t>
        </is>
      </c>
      <c r="G5" s="40" t="n">
        <v>2500</v>
      </c>
      <c r="H5" s="27" t="n">
        <v>0.1273</v>
      </c>
      <c r="I5" s="26" t="n">
        <v>2031</v>
      </c>
      <c r="J5" s="39">
        <f>I5+Assumptions!$B$25</f>
        <v>2043.0</v>
      </c>
      <c r="K5" s="53">
        <f>Assumptions!$E$13</f>
        <v>0.4</v>
      </c>
      <c r="L5" s="23">
        <f>K5*SUMPRODUCT(M5:AF5,NPV!$C$15:$V$15)</f>
        <v>361.54568043581423</v>
      </c>
      <c r="M5" s="23">
        <f>IF(M$3&lt;$I5,0,$G5*Assumptions!$E$11*INDEX(Assumptions!$B$24:$G$24,MIN(6,M$3-$I5+1))*IF(M$3&gt;$J5,(1-Assumptions!$B$26)^(M$3-$J5),1)*IF($H5&gt;=1,1,MIN(0.97,$H5*Assumptions!$E$12)))</f>
        <v>0</v>
      </c>
      <c r="N5" s="23">
        <f>IF(N$3&lt;$I5,0,$G5*Assumptions!$E$11*INDEX(Assumptions!$B$24:$G$24,MIN(6,N$3-$I5+1))*IF(N$3&gt;$J5,(1-Assumptions!$B$26)^(N$3-$J5),1)*IF($H5&gt;=1,1,MIN(0.97,$H5*Assumptions!$E$12)))</f>
        <v>0</v>
      </c>
      <c r="O5" s="23">
        <f>IF(O$3&lt;$I5,0,$G5*Assumptions!$E$11*INDEX(Assumptions!$B$24:$G$24,MIN(6,O$3-$I5+1))*IF(O$3&gt;$J5,(1-Assumptions!$B$26)^(O$3-$J5),1)*IF($H5&gt;=1,1,MIN(0.97,$H5*Assumptions!$E$12)))</f>
        <v>0</v>
      </c>
      <c r="P5" s="23">
        <f>IF(P$3&lt;$I5,0,$G5*Assumptions!$E$11*INDEX(Assumptions!$B$24:$G$24,MIN(6,P$3-$I5+1))*IF(P$3&gt;$J5,(1-Assumptions!$B$26)^(P$3-$J5),1)*IF($H5&gt;=1,1,MIN(0.97,$H5*Assumptions!$E$12)))</f>
        <v>0</v>
      </c>
      <c r="Q5" s="23">
        <f>IF(Q$3&lt;$I5,0,$G5*Assumptions!$E$11*INDEX(Assumptions!$B$24:$G$24,MIN(6,Q$3-$I5+1))*IF(Q$3&gt;$J5,(1-Assumptions!$B$26)^(Q$3-$J5),1)*IF($H5&gt;=1,1,MIN(0.97,$H5*Assumptions!$E$12)))</f>
        <v>0</v>
      </c>
      <c r="R5" s="23">
        <f>IF(R$3&lt;$I5,0,$G5*Assumptions!$E$11*INDEX(Assumptions!$B$24:$G$24,MIN(6,R$3-$I5+1))*IF(R$3&gt;$J5,(1-Assumptions!$B$26)^(R$3-$J5),1)*IF($H5&gt;=1,1,MIN(0.97,$H5*Assumptions!$E$12)))</f>
        <v>31.825</v>
      </c>
      <c r="S5" s="23">
        <f>IF(S$3&lt;$I5,0,$G5*Assumptions!$E$11*INDEX(Assumptions!$B$24:$G$24,MIN(6,S$3-$I5+1))*IF(S$3&gt;$J5,(1-Assumptions!$B$26)^(S$3-$J5),1)*IF($H5&gt;=1,1,MIN(0.97,$H5*Assumptions!$E$12)))</f>
        <v>79.5625</v>
      </c>
      <c r="T5" s="23">
        <f>IF(T$3&lt;$I5,0,$G5*Assumptions!$E$11*INDEX(Assumptions!$B$24:$G$24,MIN(6,T$3-$I5+1))*IF(T$3&gt;$J5,(1-Assumptions!$B$26)^(T$3-$J5),1)*IF($H5&gt;=1,1,MIN(0.97,$H5*Assumptions!$E$12)))</f>
        <v>143.2125</v>
      </c>
      <c r="U5" s="23">
        <f>IF(U$3&lt;$I5,0,$G5*Assumptions!$E$11*INDEX(Assumptions!$B$24:$G$24,MIN(6,U$3-$I5+1))*IF(U$3&gt;$J5,(1-Assumptions!$B$26)^(U$3-$J5),1)*IF($H5&gt;=1,1,MIN(0.97,$H5*Assumptions!$E$12)))</f>
        <v>206.86249999999998</v>
      </c>
      <c r="V5" s="23">
        <f>IF(V$3&lt;$I5,0,$G5*Assumptions!$E$11*INDEX(Assumptions!$B$24:$G$24,MIN(6,V$3-$I5+1))*IF(V$3&gt;$J5,(1-Assumptions!$B$26)^(V$3-$J5),1)*IF($H5&gt;=1,1,MIN(0.97,$H5*Assumptions!$E$12)))</f>
        <v>270.5125</v>
      </c>
      <c r="W5" s="23">
        <f>IF(W$3&lt;$I5,0,$G5*Assumptions!$E$11*INDEX(Assumptions!$B$24:$G$24,MIN(6,W$3-$I5+1))*IF(W$3&gt;$J5,(1-Assumptions!$B$26)^(W$3-$J5),1)*IF($H5&gt;=1,1,MIN(0.97,$H5*Assumptions!$E$12)))</f>
        <v>318.25</v>
      </c>
      <c r="X5" s="23">
        <f>IF(X$3&lt;$I5,0,$G5*Assumptions!$E$11*INDEX(Assumptions!$B$24:$G$24,MIN(6,X$3-$I5+1))*IF(X$3&gt;$J5,(1-Assumptions!$B$26)^(X$3-$J5),1)*IF($H5&gt;=1,1,MIN(0.97,$H5*Assumptions!$E$12)))</f>
        <v>318.25</v>
      </c>
      <c r="Y5" s="23">
        <f>IF(Y$3&lt;$I5,0,$G5*Assumptions!$E$11*INDEX(Assumptions!$B$24:$G$24,MIN(6,Y$3-$I5+1))*IF(Y$3&gt;$J5,(1-Assumptions!$B$26)^(Y$3-$J5),1)*IF($H5&gt;=1,1,MIN(0.97,$H5*Assumptions!$E$12)))</f>
        <v>318.25</v>
      </c>
      <c r="Z5" s="23">
        <f>IF(Z$3&lt;$I5,0,$G5*Assumptions!$E$11*INDEX(Assumptions!$B$24:$G$24,MIN(6,Z$3-$I5+1))*IF(Z$3&gt;$J5,(1-Assumptions!$B$26)^(Z$3-$J5),1)*IF($H5&gt;=1,1,MIN(0.97,$H5*Assumptions!$E$12)))</f>
        <v>318.25</v>
      </c>
      <c r="AA5" s="23">
        <f>IF(AA$3&lt;$I5,0,$G5*Assumptions!$E$11*INDEX(Assumptions!$B$24:$G$24,MIN(6,AA$3-$I5+1))*IF(AA$3&gt;$J5,(1-Assumptions!$B$26)^(AA$3-$J5),1)*IF($H5&gt;=1,1,MIN(0.97,$H5*Assumptions!$E$12)))</f>
        <v>318.25</v>
      </c>
      <c r="AB5" s="23">
        <f>IF(AB$3&lt;$I5,0,$G5*Assumptions!$E$11*INDEX(Assumptions!$B$24:$G$24,MIN(6,AB$3-$I5+1))*IF(AB$3&gt;$J5,(1-Assumptions!$B$26)^(AB$3-$J5),1)*IF($H5&gt;=1,1,MIN(0.97,$H5*Assumptions!$E$12)))</f>
        <v>318.25</v>
      </c>
      <c r="AC5" s="23">
        <f>IF(AC$3&lt;$I5,0,$G5*Assumptions!$E$11*INDEX(Assumptions!$B$24:$G$24,MIN(6,AC$3-$I5+1))*IF(AC$3&gt;$J5,(1-Assumptions!$B$26)^(AC$3-$J5),1)*IF($H5&gt;=1,1,MIN(0.97,$H5*Assumptions!$E$12)))</f>
        <v>318.25</v>
      </c>
      <c r="AD5" s="23">
        <f>IF(AD$3&lt;$I5,0,$G5*Assumptions!$E$11*INDEX(Assumptions!$B$24:$G$24,MIN(6,AD$3-$I5+1))*IF(AD$3&gt;$J5,(1-Assumptions!$B$26)^(AD$3-$J5),1)*IF($H5&gt;=1,1,MIN(0.97,$H5*Assumptions!$E$12)))</f>
        <v>318.25</v>
      </c>
      <c r="AE5" s="23">
        <f>IF(AE$3&lt;$I5,0,$G5*Assumptions!$E$11*INDEX(Assumptions!$B$24:$G$24,MIN(6,AE$3-$I5+1))*IF(AE$3&gt;$J5,(1-Assumptions!$B$26)^(AE$3-$J5),1)*IF($H5&gt;=1,1,MIN(0.97,$H5*Assumptions!$E$12)))</f>
        <v>159.125</v>
      </c>
      <c r="AF5" s="23">
        <f>IF(AF$3&lt;$I5,0,$G5*Assumptions!$E$11*INDEX(Assumptions!$B$24:$G$24,MIN(6,AF$3-$I5+1))*IF(AF$3&gt;$J5,(1-Assumptions!$B$26)^(AF$3-$J5),1)*IF($H5&gt;=1,1,MIN(0.97,$H5*Assumptions!$E$12)))</f>
        <v>79.5625</v>
      </c>
      <c r="AG5" s="35">
        <f>IF(F5="Owned",1-IF(H5&gt;=1,1,MIN(0.97,H5*Assumptions!$E$12)),1)</f>
        <v>0.8727</v>
      </c>
    </row>
    <row r="6">
      <c r="B6" s="24" t="inlineStr">
        <is>
          <t>Risked revenue</t>
        </is>
      </c>
      <c r="L6" s="54">
        <f>SUM(L4:L5)</f>
        <v>747.6555117279462</v>
      </c>
      <c r="M6" s="54">
        <f>SUM(M4:M5)</f>
        <v>0.0</v>
      </c>
      <c r="N6" s="54">
        <f>SUM(N4:N5)</f>
        <v>0.0</v>
      </c>
      <c r="O6" s="54">
        <f>SUM(O4:O5)</f>
        <v>0.0</v>
      </c>
      <c r="P6" s="54">
        <f>SUM(P4:P5)</f>
        <v>0.0</v>
      </c>
      <c r="Q6" s="54">
        <f>SUM(Q4:Q5)</f>
        <v>30.208</v>
      </c>
      <c r="R6" s="54">
        <f>SUM(R4:R5)</f>
        <v>107.345</v>
      </c>
      <c r="S6" s="54">
        <f>SUM(S4:S5)</f>
        <v>215.4985</v>
      </c>
      <c r="T6" s="54">
        <f>SUM(T4:T5)</f>
        <v>339.5645</v>
      </c>
      <c r="U6" s="54">
        <f>SUM(U4:U5)</f>
        <v>463.6305</v>
      </c>
      <c r="V6" s="54">
        <f>SUM(V4:V5)</f>
        <v>572.5925</v>
      </c>
      <c r="W6" s="54">
        <f>SUM(W4:W5)</f>
        <v>620.3299999999999</v>
      </c>
      <c r="X6" s="54">
        <f>SUM(X4:X5)</f>
        <v>620.3299999999999</v>
      </c>
      <c r="Y6" s="54">
        <f>SUM(Y4:Y5)</f>
        <v>620.3299999999999</v>
      </c>
      <c r="Z6" s="54">
        <f>SUM(Z4:Z5)</f>
        <v>620.3299999999999</v>
      </c>
      <c r="AA6" s="54">
        <f>SUM(AA4:AA5)</f>
        <v>620.3299999999999</v>
      </c>
      <c r="AB6" s="54">
        <f>SUM(AB4:AB5)</f>
        <v>620.3299999999999</v>
      </c>
      <c r="AC6" s="54">
        <f>SUM(AC4:AC5)</f>
        <v>620.3299999999999</v>
      </c>
      <c r="AD6" s="54">
        <f>SUM(AD4:AD5)</f>
        <v>469.28999999999996</v>
      </c>
      <c r="AE6" s="54">
        <f>SUM(AE4:AE5)</f>
        <v>234.64499999999998</v>
      </c>
      <c r="AF6" s="54">
        <f>SUM(AF4:AF5)</f>
        <v>117.32249999999999</v>
      </c>
    </row>
    <row r="7">
      <c r="B7" s="24" t="inlineStr">
        <is>
          <t>Risked contribution (revenue x share)</t>
        </is>
      </c>
      <c r="M7" s="55">
        <f>SUMPRODUCT(M4:M5,$K$4:$K$5)</f>
        <v>0.0</v>
      </c>
      <c r="N7" s="55">
        <f>SUMPRODUCT(N4:N5,$K$4:$K$5)</f>
        <v>0.0</v>
      </c>
      <c r="O7" s="55">
        <f>SUMPRODUCT(O4:O5,$K$4:$K$5)</f>
        <v>0.0</v>
      </c>
      <c r="P7" s="55">
        <f>SUMPRODUCT(P4:P5,$K$4:$K$5)</f>
        <v>0.0</v>
      </c>
      <c r="Q7" s="55">
        <f>SUMPRODUCT(Q4:Q5,$K$4:$K$5)</f>
        <v>12.0832</v>
      </c>
      <c r="R7" s="55">
        <f>SUMPRODUCT(R4:R5,$K$4:$K$5)</f>
        <v>42.938</v>
      </c>
      <c r="S7" s="55">
        <f>SUMPRODUCT(S4:S5,$K$4:$K$5)</f>
        <v>86.19940000000001</v>
      </c>
      <c r="T7" s="55">
        <f>SUMPRODUCT(T4:T5,$K$4:$K$5)</f>
        <v>135.82580000000002</v>
      </c>
      <c r="U7" s="55">
        <f>SUMPRODUCT(U4:U5,$K$4:$K$5)</f>
        <v>185.4522</v>
      </c>
      <c r="V7" s="55">
        <f>SUMPRODUCT(V4:V5,$K$4:$K$5)</f>
        <v>229.03699999999998</v>
      </c>
      <c r="W7" s="55">
        <f>SUMPRODUCT(W4:W5,$K$4:$K$5)</f>
        <v>248.132</v>
      </c>
      <c r="X7" s="55">
        <f>SUMPRODUCT(X4:X5,$K$4:$K$5)</f>
        <v>248.132</v>
      </c>
      <c r="Y7" s="55">
        <f>SUMPRODUCT(Y4:Y5,$K$4:$K$5)</f>
        <v>248.132</v>
      </c>
      <c r="Z7" s="55">
        <f>SUMPRODUCT(Z4:Z5,$K$4:$K$5)</f>
        <v>248.132</v>
      </c>
      <c r="AA7" s="55">
        <f>SUMPRODUCT(AA4:AA5,$K$4:$K$5)</f>
        <v>248.132</v>
      </c>
      <c r="AB7" s="55">
        <f>SUMPRODUCT(AB4:AB5,$K$4:$K$5)</f>
        <v>248.132</v>
      </c>
      <c r="AC7" s="55">
        <f>SUMPRODUCT(AC4:AC5,$K$4:$K$5)</f>
        <v>248.132</v>
      </c>
      <c r="AD7" s="55">
        <f>SUMPRODUCT(AD4:AD5,$K$4:$K$5)</f>
        <v>187.716</v>
      </c>
      <c r="AE7" s="55">
        <f>SUMPRODUCT(AE4:AE5,$K$4:$K$5)</f>
        <v>93.858</v>
      </c>
      <c r="AF7" s="55">
        <f>SUMPRODUCT(AF4:AF5,$K$4:$K$5)</f>
        <v>46.929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MediciNova Inc: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Pipeline!M6</f>
        <v>0.0</v>
      </c>
      <c r="D4" s="57">
        <f>Pipeline!N6</f>
        <v>0.0</v>
      </c>
      <c r="E4" s="57">
        <f>Pipeline!O6</f>
        <v>0.0</v>
      </c>
      <c r="F4" s="57">
        <f>Pipeline!P6</f>
        <v>0.0</v>
      </c>
      <c r="G4" s="57">
        <f>Pipeline!Q6</f>
        <v>30.208</v>
      </c>
      <c r="H4" s="57">
        <f>Pipeline!R6</f>
        <v>107.345</v>
      </c>
      <c r="I4" s="57">
        <f>Pipeline!S6</f>
        <v>215.4985</v>
      </c>
      <c r="J4" s="57">
        <f>Pipeline!T6</f>
        <v>339.5645</v>
      </c>
      <c r="K4" s="57">
        <f>Pipeline!U6</f>
        <v>463.6305</v>
      </c>
      <c r="L4" s="57">
        <f>Pipeline!V6</f>
        <v>572.5925</v>
      </c>
      <c r="M4" s="57">
        <f>Pipeline!W6</f>
        <v>620.3299999999999</v>
      </c>
      <c r="N4" s="57">
        <f>Pipeline!X6</f>
        <v>620.3299999999999</v>
      </c>
      <c r="O4" s="57">
        <f>Pipeline!Y6</f>
        <v>620.3299999999999</v>
      </c>
      <c r="P4" s="57">
        <f>Pipeline!Z6</f>
        <v>620.3299999999999</v>
      </c>
      <c r="Q4" s="57">
        <f>Pipeline!AA6</f>
        <v>620.3299999999999</v>
      </c>
      <c r="R4" s="57">
        <f>Pipeline!AB6</f>
        <v>620.3299999999999</v>
      </c>
      <c r="S4" s="57">
        <f>Pipeline!AC6</f>
        <v>620.3299999999999</v>
      </c>
      <c r="T4" s="57">
        <f>Pipeline!AD6</f>
        <v>469.28999999999996</v>
      </c>
      <c r="U4" s="57">
        <f>Pipeline!AE6</f>
        <v>234.64499999999998</v>
      </c>
      <c r="V4" s="57">
        <f>Pipeline!AF6</f>
        <v>117.32249999999999</v>
      </c>
    </row>
    <row r="5">
      <c r="A5" s="14" t="inlineStr">
        <is>
          <t>Risked contribution</t>
        </is>
      </c>
      <c r="C5" s="57">
        <f>Pipeline!M7</f>
        <v>0.0</v>
      </c>
      <c r="D5" s="57">
        <f>Pipeline!N7</f>
        <v>0.0</v>
      </c>
      <c r="E5" s="57">
        <f>Pipeline!O7</f>
        <v>0.0</v>
      </c>
      <c r="F5" s="57">
        <f>Pipeline!P7</f>
        <v>0.0</v>
      </c>
      <c r="G5" s="57">
        <f>Pipeline!Q7</f>
        <v>12.0832</v>
      </c>
      <c r="H5" s="57">
        <f>Pipeline!R7</f>
        <v>42.938</v>
      </c>
      <c r="I5" s="57">
        <f>Pipeline!S7</f>
        <v>86.19940000000001</v>
      </c>
      <c r="J5" s="57">
        <f>Pipeline!T7</f>
        <v>135.82580000000002</v>
      </c>
      <c r="K5" s="57">
        <f>Pipeline!U7</f>
        <v>185.4522</v>
      </c>
      <c r="L5" s="57">
        <f>Pipeline!V7</f>
        <v>229.03699999999998</v>
      </c>
      <c r="M5" s="57">
        <f>Pipeline!W7</f>
        <v>248.132</v>
      </c>
      <c r="N5" s="57">
        <f>Pipeline!X7</f>
        <v>248.132</v>
      </c>
      <c r="O5" s="57">
        <f>Pipeline!Y7</f>
        <v>248.132</v>
      </c>
      <c r="P5" s="57">
        <f>Pipeline!Z7</f>
        <v>248.132</v>
      </c>
      <c r="Q5" s="57">
        <f>Pipeline!AA7</f>
        <v>248.132</v>
      </c>
      <c r="R5" s="57">
        <f>Pipeline!AB7</f>
        <v>248.132</v>
      </c>
      <c r="S5" s="57">
        <f>Pipeline!AC7</f>
        <v>248.132</v>
      </c>
      <c r="T5" s="57">
        <f>Pipeline!AD7</f>
        <v>187.716</v>
      </c>
      <c r="U5" s="57">
        <f>Pipeline!AE7</f>
        <v>93.858</v>
      </c>
      <c r="V5" s="57">
        <f>Pipeline!AF7</f>
        <v>46.929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-11.85</v>
      </c>
      <c r="D6" s="23">
        <f>-IF(D3-2026&lt;Assumptions!$B$19,Assumptions!$B$18,Assumptions!$B$18*Assumptions!$B$20*Assumptions!$B$16)</f>
        <v>-11.85</v>
      </c>
      <c r="E6" s="23">
        <f>-IF(E3-2026&lt;Assumptions!$B$19,Assumptions!$B$18,Assumptions!$B$18*Assumptions!$B$20*Assumptions!$B$16)</f>
        <v>-11.85</v>
      </c>
      <c r="F6" s="23">
        <f>-IF(F3-2026&lt;Assumptions!$B$19,Assumptions!$B$18,Assumptions!$B$18*Assumptions!$B$20*Assumptions!$B$16)</f>
        <v>-11.85</v>
      </c>
      <c r="G6" s="23">
        <f>-IF(G3-2026&lt;Assumptions!$B$19,Assumptions!$B$18,Assumptions!$B$18*Assumptions!$B$20*Assumptions!$B$16)</f>
        <v>-1.6240360535999996</v>
      </c>
      <c r="H6" s="23">
        <f>-IF(H3-2026&lt;Assumptions!$B$19,Assumptions!$B$18,Assumptions!$B$18*Assumptions!$B$20*Assumptions!$B$16)</f>
        <v>-1.6240360535999996</v>
      </c>
      <c r="I6" s="23">
        <f>-IF(I3-2026&lt;Assumptions!$B$19,Assumptions!$B$18,Assumptions!$B$18*Assumptions!$B$20*Assumptions!$B$16)</f>
        <v>-1.6240360535999996</v>
      </c>
      <c r="J6" s="23">
        <f>-IF(J3-2026&lt;Assumptions!$B$19,Assumptions!$B$18,Assumptions!$B$18*Assumptions!$B$20*Assumptions!$B$16)</f>
        <v>-1.6240360535999996</v>
      </c>
      <c r="K6" s="23">
        <f>-IF(K3-2026&lt;Assumptions!$B$19,Assumptions!$B$18,Assumptions!$B$18*Assumptions!$B$20*Assumptions!$B$16)</f>
        <v>-1.6240360535999996</v>
      </c>
      <c r="L6" s="23">
        <f>-IF(L3-2026&lt;Assumptions!$B$19,Assumptions!$B$18,Assumptions!$B$18*Assumptions!$B$20*Assumptions!$B$16)</f>
        <v>-1.6240360535999996</v>
      </c>
      <c r="M6" s="23">
        <f>-IF(M3-2026&lt;Assumptions!$B$19,Assumptions!$B$18,Assumptions!$B$18*Assumptions!$B$20*Assumptions!$B$16)</f>
        <v>-1.6240360535999996</v>
      </c>
      <c r="N6" s="23">
        <f>-IF(N3-2026&lt;Assumptions!$B$19,Assumptions!$B$18,Assumptions!$B$18*Assumptions!$B$20*Assumptions!$B$16)</f>
        <v>-1.6240360535999996</v>
      </c>
      <c r="O6" s="23">
        <f>-IF(O3-2026&lt;Assumptions!$B$19,Assumptions!$B$18,Assumptions!$B$18*Assumptions!$B$20*Assumptions!$B$16)</f>
        <v>-1.6240360535999996</v>
      </c>
      <c r="P6" s="23">
        <f>-IF(P3-2026&lt;Assumptions!$B$19,Assumptions!$B$18,Assumptions!$B$18*Assumptions!$B$20*Assumptions!$B$16)</f>
        <v>-1.6240360535999996</v>
      </c>
      <c r="Q6" s="23">
        <f>-IF(Q3-2026&lt;Assumptions!$B$19,Assumptions!$B$18,Assumptions!$B$18*Assumptions!$B$20*Assumptions!$B$16)</f>
        <v>-1.6240360535999996</v>
      </c>
      <c r="R6" s="23">
        <f>-IF(R3-2026&lt;Assumptions!$B$19,Assumptions!$B$18,Assumptions!$B$18*Assumptions!$B$20*Assumptions!$B$16)</f>
        <v>-1.6240360535999996</v>
      </c>
      <c r="S6" s="23">
        <f>-IF(S3-2026&lt;Assumptions!$B$19,Assumptions!$B$18,Assumptions!$B$18*Assumptions!$B$20*Assumptions!$B$16)</f>
        <v>-1.6240360535999996</v>
      </c>
      <c r="T6" s="23">
        <f>-IF(T3-2026&lt;Assumptions!$B$19,Assumptions!$B$18,Assumptions!$B$18*Assumptions!$B$20*Assumptions!$B$16)</f>
        <v>-1.6240360535999996</v>
      </c>
      <c r="U6" s="23">
        <f>-IF(U3-2026&lt;Assumptions!$B$19,Assumptions!$B$18,Assumptions!$B$18*Assumptions!$B$20*Assumptions!$B$16)</f>
        <v>-1.6240360535999996</v>
      </c>
      <c r="V6" s="23">
        <f>-IF(V3-2026&lt;Assumptions!$B$19,Assumptions!$B$18,Assumptions!$B$18*Assumptions!$B$20*Assumptions!$B$16)</f>
        <v>-1.6240360535999996</v>
      </c>
    </row>
    <row r="7">
      <c r="A7" s="14" t="inlineStr">
        <is>
          <t>Pre-tax cash flow</t>
        </is>
      </c>
      <c r="C7" s="23">
        <f>C5+C6</f>
        <v>-11.85</v>
      </c>
      <c r="D7" s="23">
        <f>D5+D6</f>
        <v>-11.85</v>
      </c>
      <c r="E7" s="23">
        <f>E5+E6</f>
        <v>-11.85</v>
      </c>
      <c r="F7" s="23">
        <f>F5+F6</f>
        <v>-11.85</v>
      </c>
      <c r="G7" s="23">
        <f>G5+G6</f>
        <v>10.4591639464</v>
      </c>
      <c r="H7" s="23">
        <f>H5+H6</f>
        <v>41.3139639464</v>
      </c>
      <c r="I7" s="23">
        <f>I5+I6</f>
        <v>84.57536394640002</v>
      </c>
      <c r="J7" s="23">
        <f>J5+J6</f>
        <v>134.2017639464</v>
      </c>
      <c r="K7" s="23">
        <f>K5+K6</f>
        <v>183.8281639464</v>
      </c>
      <c r="L7" s="23">
        <f>L5+L6</f>
        <v>227.41296394639997</v>
      </c>
      <c r="M7" s="23">
        <f>M5+M6</f>
        <v>246.5079639464</v>
      </c>
      <c r="N7" s="23">
        <f>N5+N6</f>
        <v>246.5079639464</v>
      </c>
      <c r="O7" s="23">
        <f>O5+O6</f>
        <v>246.5079639464</v>
      </c>
      <c r="P7" s="23">
        <f>P5+P6</f>
        <v>246.5079639464</v>
      </c>
      <c r="Q7" s="23">
        <f>Q5+Q6</f>
        <v>246.5079639464</v>
      </c>
      <c r="R7" s="23">
        <f>R5+R6</f>
        <v>246.5079639464</v>
      </c>
      <c r="S7" s="23">
        <f>S5+S6</f>
        <v>246.5079639464</v>
      </c>
      <c r="T7" s="23">
        <f>T5+T6</f>
        <v>186.0919639464</v>
      </c>
      <c r="U7" s="23">
        <f>U5+U6</f>
        <v>92.23396394640001</v>
      </c>
      <c r="V7" s="23">
        <f>V5+V6</f>
        <v>45.3049639464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10.4591639464</v>
      </c>
      <c r="H8" s="23">
        <f>MIN(G17,MAX(0,H7))</f>
        <v>41.3139639464</v>
      </c>
      <c r="I8" s="23">
        <f>MIN(H17,MAX(0,I7))</f>
        <v>84.57536394640002</v>
      </c>
      <c r="J8" s="23">
        <f>MIN(I17,MAX(0,J7))</f>
        <v>134.2017639464</v>
      </c>
      <c r="K8" s="23">
        <f>MIN(J17,MAX(0,K7))</f>
        <v>88.04974421440005</v>
      </c>
      <c r="L8" s="23">
        <f>MIN(K17,MAX(0,L7))</f>
        <v>0.0</v>
      </c>
      <c r="M8" s="23">
        <f>MIN(L17,MAX(0,M7))</f>
        <v>0.0</v>
      </c>
      <c r="N8" s="23">
        <f>MIN(M17,MAX(0,N7))</f>
        <v>0.0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95.77841973199995</v>
      </c>
      <c r="L9" s="23">
        <f>MAX(0,L7)-L8</f>
        <v>227.41296394639997</v>
      </c>
      <c r="M9" s="23">
        <f>MAX(0,M7)-M8</f>
        <v>246.5079639464</v>
      </c>
      <c r="N9" s="23">
        <f>MAX(0,N7)-N8</f>
        <v>246.5079639464</v>
      </c>
      <c r="O9" s="23">
        <f>MAX(0,O7)-O8</f>
        <v>246.5079639464</v>
      </c>
      <c r="P9" s="23">
        <f>MAX(0,P7)-P8</f>
        <v>246.5079639464</v>
      </c>
      <c r="Q9" s="23">
        <f>MAX(0,Q7)-Q8</f>
        <v>246.5079639464</v>
      </c>
      <c r="R9" s="23">
        <f>MAX(0,R7)-R8</f>
        <v>246.5079639464</v>
      </c>
      <c r="S9" s="23">
        <f>MAX(0,S7)-S8</f>
        <v>246.5079639464</v>
      </c>
      <c r="T9" s="23">
        <f>MAX(0,T7)-T8</f>
        <v>186.0919639464</v>
      </c>
      <c r="U9" s="23">
        <f>MAX(0,U7)-U8</f>
        <v>92.23396394640001</v>
      </c>
      <c r="V9" s="23">
        <f>MAX(0,V7)-V8</f>
        <v>45.3049639464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20.113468143719988</v>
      </c>
      <c r="L10" s="23">
        <f>L9*Assumptions!$E$15</f>
        <v>47.75672242874399</v>
      </c>
      <c r="M10" s="23">
        <f>M9*Assumptions!$E$15</f>
        <v>51.766672428743995</v>
      </c>
      <c r="N10" s="23">
        <f>N9*Assumptions!$E$15</f>
        <v>51.766672428743995</v>
      </c>
      <c r="O10" s="23">
        <f>O9*Assumptions!$E$15</f>
        <v>51.766672428743995</v>
      </c>
      <c r="P10" s="23">
        <f>P9*Assumptions!$E$15</f>
        <v>51.766672428743995</v>
      </c>
      <c r="Q10" s="23">
        <f>Q9*Assumptions!$E$15</f>
        <v>51.766672428743995</v>
      </c>
      <c r="R10" s="23">
        <f>R9*Assumptions!$E$15</f>
        <v>51.766672428743995</v>
      </c>
      <c r="S10" s="23">
        <f>S9*Assumptions!$E$15</f>
        <v>51.766672428743995</v>
      </c>
      <c r="T10" s="23">
        <f>T9*Assumptions!$E$15</f>
        <v>39.079312428744</v>
      </c>
      <c r="U10" s="23">
        <f>U9*Assumptions!$E$15</f>
        <v>19.369132428744003</v>
      </c>
      <c r="V10" s="23">
        <f>V9*Assumptions!$E$15</f>
        <v>9.514042428744</v>
      </c>
    </row>
    <row r="11">
      <c r="A11" s="24" t="inlineStr">
        <is>
          <t>Free cash flow</t>
        </is>
      </c>
      <c r="C11" s="55">
        <f>C7-C10</f>
        <v>-11.85</v>
      </c>
      <c r="D11" s="55">
        <f>D7-D10</f>
        <v>-11.85</v>
      </c>
      <c r="E11" s="55">
        <f>E7-E10</f>
        <v>-11.85</v>
      </c>
      <c r="F11" s="55">
        <f>F7-F10</f>
        <v>-11.85</v>
      </c>
      <c r="G11" s="55">
        <f>G7-G10</f>
        <v>10.4591639464</v>
      </c>
      <c r="H11" s="55">
        <f>H7-H10</f>
        <v>41.3139639464</v>
      </c>
      <c r="I11" s="55">
        <f>I7-I10</f>
        <v>84.57536394640002</v>
      </c>
      <c r="J11" s="55">
        <f>J7-J10</f>
        <v>134.2017639464</v>
      </c>
      <c r="K11" s="55">
        <f>K7-K10</f>
        <v>163.71469580268</v>
      </c>
      <c r="L11" s="55">
        <f>L7-L10</f>
        <v>179.65624151765599</v>
      </c>
      <c r="M11" s="55">
        <f>M7-M10</f>
        <v>194.741291517656</v>
      </c>
      <c r="N11" s="55">
        <f>N7-N10</f>
        <v>194.741291517656</v>
      </c>
      <c r="O11" s="55">
        <f>O7-O10</f>
        <v>194.741291517656</v>
      </c>
      <c r="P11" s="55">
        <f>P7-P10</f>
        <v>194.741291517656</v>
      </c>
      <c r="Q11" s="55">
        <f>Q7-Q10</f>
        <v>194.741291517656</v>
      </c>
      <c r="R11" s="55">
        <f>R7-R10</f>
        <v>194.741291517656</v>
      </c>
      <c r="S11" s="55">
        <f>S7-S10</f>
        <v>194.741291517656</v>
      </c>
      <c r="T11" s="55">
        <f>T7-T10</f>
        <v>147.012651517656</v>
      </c>
      <c r="U11" s="55">
        <f>U7-U10</f>
        <v>72.864831517656</v>
      </c>
      <c r="V11" s="55">
        <f>V7-V10</f>
        <v>35.790921517656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-5.805366535823736</v>
      </c>
      <c r="D16" s="55">
        <f>D11*D15</f>
        <v>-10.575442147159249</v>
      </c>
      <c r="E16" s="55">
        <f>E11*E15</f>
        <v>-9.442359059963612</v>
      </c>
      <c r="F16" s="55">
        <f>F11*F15</f>
        <v>-8.43067773211037</v>
      </c>
      <c r="G16" s="55">
        <f>G11*G15</f>
        <v>6.643899983379</v>
      </c>
      <c r="H16" s="55">
        <f>H11*H15</f>
        <v>23.43176261706473</v>
      </c>
      <c r="I16" s="55">
        <f>I11*I15</f>
        <v>42.82860662643772</v>
      </c>
      <c r="J16" s="55">
        <f>J11*J15</f>
        <v>60.677862243213454</v>
      </c>
      <c r="K16" s="55">
        <f>K11*K15</f>
        <v>66.09090369248705</v>
      </c>
      <c r="L16" s="55">
        <f>L11*L15</f>
        <v>64.75574614773144</v>
      </c>
      <c r="M16" s="55">
        <f>M11*M15</f>
        <v>62.67235660065207</v>
      </c>
      <c r="N16" s="55">
        <f>N11*N15</f>
        <v>55.9574612505822</v>
      </c>
      <c r="O16" s="55">
        <f>O11*O15</f>
        <v>49.9620189737341</v>
      </c>
      <c r="P16" s="55">
        <f>P11*P15</f>
        <v>44.60894551226258</v>
      </c>
      <c r="Q16" s="55">
        <f>Q11*Q15</f>
        <v>39.829415635948735</v>
      </c>
      <c r="R16" s="55">
        <f>R11*R15</f>
        <v>35.5619782463828</v>
      </c>
      <c r="S16" s="55">
        <f>S11*S15</f>
        <v>31.751766291413208</v>
      </c>
      <c r="T16" s="55">
        <f>T11*T15</f>
        <v>21.401614219322827</v>
      </c>
      <c r="U16" s="55">
        <f>U11*U15</f>
        <v>9.470911165749618</v>
      </c>
      <c r="V16" s="55">
        <f>V11*V15</f>
        <v>4.153638112881013</v>
      </c>
    </row>
    <row r="17">
      <c r="A17" s="14" t="inlineStr">
        <is>
          <t>Tax-loss carryforward, end of year</t>
        </is>
      </c>
      <c r="C17" s="23">
        <f>Assumptions!$B$21-C8+MAX(0,-C7)</f>
        <v>323.05</v>
      </c>
      <c r="D17" s="23">
        <f>C17-D8+MAX(0,-D7)</f>
        <v>334.90000000000003</v>
      </c>
      <c r="E17" s="23">
        <f>D17-E8+MAX(0,-E7)</f>
        <v>346.75000000000006</v>
      </c>
      <c r="F17" s="23">
        <f>E17-F8+MAX(0,-F7)</f>
        <v>358.6000000000001</v>
      </c>
      <c r="G17" s="23">
        <f>F17-G8+MAX(0,-G7)</f>
        <v>348.1408360536001</v>
      </c>
      <c r="H17" s="23">
        <f>G17-H8+MAX(0,-H7)</f>
        <v>306.8268721072001</v>
      </c>
      <c r="I17" s="23">
        <f>H17-I8+MAX(0,-I7)</f>
        <v>222.25150816080006</v>
      </c>
      <c r="J17" s="23">
        <f>I17-J8+MAX(0,-J7)</f>
        <v>88.04974421440005</v>
      </c>
      <c r="K17" s="23">
        <f>J17-K8+MAX(0,-K7)</f>
        <v>0.0</v>
      </c>
      <c r="L17" s="23">
        <f>K17-L8+MAX(0,-L7)</f>
        <v>0.0</v>
      </c>
      <c r="M17" s="23">
        <f>L17-M8+MAX(0,-M7)</f>
        <v>0.0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747.6555117279462</v>
      </c>
    </row>
    <row r="20">
      <c r="A20" s="14" t="inlineStr">
        <is>
          <t>PV of corporate burn</t>
        </is>
      </c>
      <c r="B20" s="23">
        <f>SUMPRODUCT(C6:V6,C15:V15)</f>
        <v>-42.31172713756406</v>
      </c>
    </row>
    <row r="21">
      <c r="A21" s="14" t="inlineStr">
        <is>
          <t>PV of taxes</t>
        </is>
      </c>
      <c r="B21" s="23">
        <f>-SUMPRODUCT(C10:V10,C15:V15)</f>
        <v>-119.7987427461965</v>
      </c>
    </row>
    <row r="22">
      <c r="A22" s="24" t="inlineStr">
        <is>
          <t>Pipeline rNPV (operations)</t>
        </is>
      </c>
      <c r="B22" s="54">
        <f>SUM(C16:V16)</f>
        <v>585.5450418441856</v>
      </c>
    </row>
    <row r="23">
      <c r="A23" s="14" t="inlineStr">
        <is>
          <t>Cash &amp; investments</t>
        </is>
      </c>
      <c r="B23" s="57">
        <f>Main!C7</f>
        <v>25.415921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610.9609628441856</v>
      </c>
    </row>
    <row r="26">
      <c r="A26" s="14" t="inlineStr">
        <is>
          <t>Shares (mm)</t>
        </is>
      </c>
      <c r="B26" s="57">
        <f>Main!C4</f>
        <v>49.221246</v>
      </c>
    </row>
    <row r="27">
      <c r="A27" s="24" t="inlineStr">
        <is>
          <t>rNPV / share</t>
        </is>
      </c>
      <c r="B27" s="60">
        <f>B25/B26</f>
        <v>12.41254564836058</v>
      </c>
    </row>
    <row r="28">
      <c r="A28" s="14" t="inlineStr">
        <is>
          <t>Price</t>
        </is>
      </c>
      <c r="B28" s="61">
        <f>Main!C3</f>
        <v>1.36</v>
      </c>
    </row>
    <row r="29">
      <c r="A29" s="14" t="inlineStr">
        <is>
          <t>Upside</t>
        </is>
      </c>
      <c r="B29" s="62">
        <f>B27/B28-1</f>
        <v>8.126871800265132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2026-10-21T06:28:42Z</dcterms:modified>
  <cp:lastModifiedBy>Wang, Eric</cp:lastModifiedBy>
</cp:coreProperties>
</file>