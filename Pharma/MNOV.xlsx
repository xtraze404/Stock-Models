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MediciNova Inc</t>
        </is>
      </c>
      <c r="C2" s="10" t="n"/>
    </row>
    <row r="3">
      <c r="B3" t="inlineStr">
        <is>
          <t>Price</t>
        </is>
      </c>
      <c r="C3" s="11">
        <f>INDEX([1]Pharma!$F$1:$F$1000,MATCH("MNOV",[1]Pharma!$B$1:$B$1000,0))</f>
        <v>1.36</v>
      </c>
      <c r="F3" s="1" t="n"/>
    </row>
    <row r="4">
      <c r="B4" t="inlineStr">
        <is>
          <t>Shares</t>
        </is>
      </c>
      <c r="C4" s="21" t="n">
        <v>49.221246</v>
      </c>
      <c r="F4" s="1" t="n"/>
    </row>
    <row r="5">
      <c r="B5" t="inlineStr">
        <is>
          <t>Market Cap.</t>
        </is>
      </c>
      <c r="C5" s="13">
        <f>C3*C4</f>
        <v>66.94089456</v>
      </c>
      <c r="F5" s="1" t="n"/>
    </row>
    <row r="6"/>
    <row r="7">
      <c r="B7" t="inlineStr">
        <is>
          <t>Cash</t>
        </is>
      </c>
      <c r="C7" s="21" t="n">
        <v>25.415921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41.52497356000001</v>
      </c>
    </row>
    <row r="10"/>
    <row r="11">
      <c r="B11" s="14" t="inlineStr">
        <is>
          <t>Net Cash / Share</t>
        </is>
      </c>
      <c r="C11" s="11">
        <f>(C7-C8)/C4</f>
        <v>0.5163607804645985</v>
      </c>
    </row>
    <row r="12">
      <c r="B12" s="14" t="inlineStr">
        <is>
          <t>Upside</t>
        </is>
      </c>
      <c r="C12" s="15">
        <f>IFERROR(C11/C3-1,"")</f>
        <v>-0.6203229555407364</v>
      </c>
    </row>
    <row r="13">
      <c r="B13" s="14" t="inlineStr">
        <is>
          <t>Cash / Share</t>
        </is>
      </c>
      <c r="C13" s="11">
        <f>IFERROR((C7-C8)/C4,"")</f>
        <v>0.5163607804645985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-9.109999999999999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2.7898925356750826</v>
      </c>
    </row>
    <row r="19">
      <c r="B19" s="14" t="inlineStr">
        <is>
          <t>Implied Pipeline Value</t>
        </is>
      </c>
      <c r="C19" s="13">
        <f>C9</f>
        <v>41.52497356000001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2005</v>
      </c>
      <c r="C1" s="17" t="n">
        <v>2006</v>
      </c>
      <c r="D1" s="17" t="n">
        <v>2007</v>
      </c>
      <c r="E1" s="17" t="n">
        <v>2008</v>
      </c>
      <c r="F1" s="17" t="n">
        <v>2009</v>
      </c>
      <c r="G1" s="17" t="n">
        <v>2010</v>
      </c>
      <c r="H1" s="17" t="n">
        <v>2011</v>
      </c>
      <c r="I1" s="17" t="n">
        <v>2012</v>
      </c>
      <c r="J1" s="17" t="n">
        <v>2013</v>
      </c>
      <c r="K1" s="17" t="n">
        <v>2014</v>
      </c>
      <c r="L1" s="17" t="n">
        <v>2015</v>
      </c>
      <c r="M1" s="17" t="n">
        <v>2016</v>
      </c>
      <c r="N1" s="17" t="n">
        <v>2017</v>
      </c>
      <c r="O1" s="17" t="n">
        <v>2018</v>
      </c>
      <c r="P1" s="17" t="n">
        <v>2019</v>
      </c>
      <c r="Q1" s="17" t="n">
        <v>2020</v>
      </c>
      <c r="R1" s="17" t="n">
        <v>2021</v>
      </c>
      <c r="S1" s="17" t="n">
        <v>2022</v>
      </c>
      <c r="T1" s="17" t="n">
        <v>2023</v>
      </c>
      <c r="U1" s="17" t="n">
        <v>2024</v>
      </c>
      <c r="V1" s="17" t="n">
        <v>2025</v>
      </c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0.803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0</v>
      </c>
      <c r="Q2" s="23" t="n">
        <v>0</v>
      </c>
      <c r="R2" s="23" t="n">
        <v>4.037</v>
      </c>
      <c r="S2" s="23" t="n">
        <v>0</v>
      </c>
      <c r="T2" s="23" t="n">
        <v>1</v>
      </c>
      <c r="U2" s="23" t="n">
        <v>0</v>
      </c>
      <c r="V2" s="23" t="n">
        <v>0.41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</v>
      </c>
      <c r="S3" s="23" t="n">
        <v>0</v>
      </c>
      <c r="T3" s="23" t="n">
        <v>0</v>
      </c>
      <c r="U3" s="23" t="n">
        <v>0</v>
      </c>
      <c r="V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0.803</v>
      </c>
      <c r="J4" s="23">
        <f>J2-J3</f>
        <v>0.0</v>
      </c>
      <c r="K4" s="23">
        <f>K2-K3</f>
        <v>0.0</v>
      </c>
      <c r="L4" s="23">
        <f>L2-L3</f>
        <v>0.0</v>
      </c>
      <c r="M4" s="23">
        <f>M2-M3</f>
        <v>0.0</v>
      </c>
      <c r="N4" s="23">
        <f>N2-N3</f>
        <v>0.0</v>
      </c>
      <c r="O4" s="23">
        <f>O2-O3</f>
        <v>0.0</v>
      </c>
      <c r="P4" s="23">
        <f>P2-P3</f>
        <v>0.0</v>
      </c>
      <c r="Q4" s="23">
        <f>Q2-Q3</f>
        <v>0.0</v>
      </c>
      <c r="R4" s="23">
        <f>R2-R3</f>
        <v>4.037</v>
      </c>
      <c r="S4" s="23">
        <f>S2-S3</f>
        <v>0.0</v>
      </c>
      <c r="T4" s="23">
        <f>T2-T3</f>
        <v>1.0</v>
      </c>
      <c r="U4" s="23">
        <f>U2-U3</f>
        <v>0.0</v>
      </c>
      <c r="V4" s="23">
        <f>V2-V3</f>
        <v>0.41</v>
      </c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10.873</v>
      </c>
      <c r="G5" s="23" t="n">
        <v>9.711</v>
      </c>
      <c r="H5" s="23" t="n">
        <v>7.785</v>
      </c>
      <c r="I5" s="23" t="n">
        <v>4.5</v>
      </c>
      <c r="J5" s="23" t="n">
        <v>2.7</v>
      </c>
      <c r="K5" s="23" t="n">
        <v>2.9</v>
      </c>
      <c r="L5" s="23" t="n">
        <v>2.7</v>
      </c>
      <c r="M5" s="23" t="n">
        <v>3.1</v>
      </c>
      <c r="N5" s="23" t="n">
        <v>3.9</v>
      </c>
      <c r="O5" s="23" t="n">
        <v>5.3</v>
      </c>
      <c r="P5" s="23" t="n">
        <v>5.7</v>
      </c>
      <c r="Q5" s="23" t="n">
        <v>7.1</v>
      </c>
      <c r="R5" s="23" t="n">
        <v>8.1</v>
      </c>
      <c r="S5" s="23" t="n">
        <v>8.699999999999999</v>
      </c>
      <c r="T5" s="23" t="n">
        <v>5.3</v>
      </c>
      <c r="U5" s="23" t="n">
        <v>6.8</v>
      </c>
      <c r="V5" s="23" t="n">
        <v>6.7</v>
      </c>
    </row>
    <row r="6">
      <c r="A6" s="19" t="inlineStr">
        <is>
          <t>SG&amp;A &amp; Other</t>
        </is>
      </c>
      <c r="B6" s="23" t="n">
        <v>25.692</v>
      </c>
      <c r="C6" s="23" t="n">
        <v>35.69</v>
      </c>
      <c r="D6" s="23" t="n">
        <v>48.903</v>
      </c>
      <c r="E6" s="23" t="n">
        <v>21.925</v>
      </c>
      <c r="F6" s="23" t="n">
        <v>10.366</v>
      </c>
      <c r="G6" s="23" t="n">
        <v>8.172000000000001</v>
      </c>
      <c r="H6" s="23" t="n">
        <v>8.324</v>
      </c>
      <c r="I6" s="23" t="n">
        <v>7.248</v>
      </c>
      <c r="J6" s="23" t="n">
        <v>1.321</v>
      </c>
      <c r="K6" s="23" t="n">
        <v>6.323</v>
      </c>
      <c r="L6" s="23" t="n">
        <v>6.122</v>
      </c>
      <c r="M6" s="23" t="n">
        <v>7.782</v>
      </c>
      <c r="N6" s="23" t="n">
        <v>9.127000000000001</v>
      </c>
      <c r="O6" s="23" t="n">
        <v>10.287</v>
      </c>
      <c r="P6" s="23" t="n">
        <v>8.331</v>
      </c>
      <c r="Q6" s="23" t="n">
        <v>7.078</v>
      </c>
      <c r="R6" s="23" t="n">
        <v>6.153</v>
      </c>
      <c r="S6" s="23" t="n">
        <v>5.929</v>
      </c>
      <c r="T6" s="23" t="n">
        <v>5.6</v>
      </c>
      <c r="U6" s="23" t="n">
        <v>5.875</v>
      </c>
      <c r="V6" s="23" t="n">
        <v>6.993</v>
      </c>
    </row>
    <row r="7">
      <c r="A7" s="2" t="inlineStr">
        <is>
          <t>Operating Expense</t>
        </is>
      </c>
      <c r="B7" s="23">
        <f>SUM(B5:B6)</f>
        <v>25.692</v>
      </c>
      <c r="C7" s="23">
        <f>SUM(C5:C6)</f>
        <v>35.69</v>
      </c>
      <c r="D7" s="23">
        <f>SUM(D5:D6)</f>
        <v>48.903</v>
      </c>
      <c r="E7" s="23">
        <f>SUM(E5:E6)</f>
        <v>21.925</v>
      </c>
      <c r="F7" s="23">
        <f>SUM(F5:F6)</f>
        <v>21.238999999999997</v>
      </c>
      <c r="G7" s="23">
        <f>SUM(G5:G6)</f>
        <v>17.883000000000003</v>
      </c>
      <c r="H7" s="23">
        <f>SUM(H5:H6)</f>
        <v>16.109</v>
      </c>
      <c r="I7" s="23">
        <f>SUM(I5:I6)</f>
        <v>11.748000000000001</v>
      </c>
      <c r="J7" s="23">
        <f>SUM(J5:J6)</f>
        <v>4.021</v>
      </c>
      <c r="K7" s="23">
        <f>SUM(K5:K6)</f>
        <v>9.223</v>
      </c>
      <c r="L7" s="23">
        <f>SUM(L5:L6)</f>
        <v>8.822</v>
      </c>
      <c r="M7" s="23">
        <f>SUM(M5:M6)</f>
        <v>10.882</v>
      </c>
      <c r="N7" s="23">
        <f>SUM(N5:N6)</f>
        <v>13.027000000000001</v>
      </c>
      <c r="O7" s="23">
        <f>SUM(O5:O6)</f>
        <v>15.587</v>
      </c>
      <c r="P7" s="23">
        <f>SUM(P5:P6)</f>
        <v>14.030999999999999</v>
      </c>
      <c r="Q7" s="23">
        <f>SUM(Q5:Q6)</f>
        <v>14.178</v>
      </c>
      <c r="R7" s="23">
        <f>SUM(R5:R6)</f>
        <v>14.253</v>
      </c>
      <c r="S7" s="23">
        <f>SUM(S5:S6)</f>
        <v>14.629</v>
      </c>
      <c r="T7" s="23">
        <f>SUM(T5:T6)</f>
        <v>10.899999999999999</v>
      </c>
      <c r="U7" s="23">
        <f>SUM(U5:U6)</f>
        <v>12.675</v>
      </c>
      <c r="V7" s="23">
        <f>SUM(V5:V6)</f>
        <v>13.693000000000001</v>
      </c>
    </row>
    <row r="8">
      <c r="A8" s="2" t="inlineStr">
        <is>
          <t>Operating Income</t>
        </is>
      </c>
      <c r="B8" s="23">
        <f>B4-B7</f>
        <v>-25.692</v>
      </c>
      <c r="C8" s="23">
        <f>C4-C7</f>
        <v>-35.69</v>
      </c>
      <c r="D8" s="23">
        <f>D4-D7</f>
        <v>-48.903</v>
      </c>
      <c r="E8" s="23">
        <f>E4-E7</f>
        <v>-21.925</v>
      </c>
      <c r="F8" s="23">
        <f>F4-F7</f>
        <v>-21.238999999999997</v>
      </c>
      <c r="G8" s="23">
        <f>G4-G7</f>
        <v>-17.883000000000003</v>
      </c>
      <c r="H8" s="23">
        <f>H4-H7</f>
        <v>-16.109</v>
      </c>
      <c r="I8" s="23">
        <f>I4-I7</f>
        <v>-10.945</v>
      </c>
      <c r="J8" s="23">
        <f>J4-J7</f>
        <v>-4.021</v>
      </c>
      <c r="K8" s="23">
        <f>K4-K7</f>
        <v>-9.223</v>
      </c>
      <c r="L8" s="23">
        <f>L4-L7</f>
        <v>-8.822</v>
      </c>
      <c r="M8" s="23">
        <f>M4-M7</f>
        <v>-10.882</v>
      </c>
      <c r="N8" s="23">
        <f>N4-N7</f>
        <v>-13.027000000000001</v>
      </c>
      <c r="O8" s="23">
        <f>O4-O7</f>
        <v>-15.587</v>
      </c>
      <c r="P8" s="23">
        <f>P4-P7</f>
        <v>-14.030999999999999</v>
      </c>
      <c r="Q8" s="23">
        <f>Q4-Q7</f>
        <v>-14.178</v>
      </c>
      <c r="R8" s="23">
        <f>R4-R7</f>
        <v>-10.216000000000001</v>
      </c>
      <c r="S8" s="23">
        <f>S4-S7</f>
        <v>-14.629</v>
      </c>
      <c r="T8" s="23">
        <f>T4-T7</f>
        <v>-9.899999999999999</v>
      </c>
      <c r="U8" s="23">
        <f>U4-U7</f>
        <v>-12.675</v>
      </c>
      <c r="V8" s="23">
        <f>V4-V7</f>
        <v>-13.283000000000001</v>
      </c>
    </row>
    <row r="9">
      <c r="A9" s="19" t="inlineStr">
        <is>
          <t>Interest &amp; Other</t>
        </is>
      </c>
      <c r="B9" s="23" t="n">
        <v>0</v>
      </c>
      <c r="C9" s="23" t="n">
        <v>0</v>
      </c>
      <c r="D9" s="23" t="n">
        <v>0</v>
      </c>
      <c r="E9" s="23" t="n">
        <v>0</v>
      </c>
      <c r="F9" s="23" t="n">
        <v>0.878</v>
      </c>
      <c r="G9" s="23" t="n">
        <v>-2.292</v>
      </c>
      <c r="H9" s="23" t="n">
        <v>-1.614</v>
      </c>
      <c r="I9" s="23" t="n">
        <v>-0.005</v>
      </c>
      <c r="J9" s="23" t="n">
        <v>-0.004</v>
      </c>
      <c r="K9" s="23" t="n">
        <v>0.024</v>
      </c>
      <c r="L9" s="23" t="n">
        <v>-0.015</v>
      </c>
      <c r="M9" s="23" t="n">
        <v>0.02</v>
      </c>
      <c r="N9" s="23" t="n">
        <v>0.12</v>
      </c>
      <c r="O9" s="23" t="n">
        <v>0.917</v>
      </c>
      <c r="P9" s="23" t="n">
        <v>1.102</v>
      </c>
      <c r="Q9" s="23" t="n">
        <v>0.323</v>
      </c>
      <c r="R9" s="23" t="n">
        <v>0.08400000000000001</v>
      </c>
      <c r="S9" s="23" t="n">
        <v>0.5620000000000001</v>
      </c>
      <c r="T9" s="23" t="n">
        <v>18.475</v>
      </c>
      <c r="U9" s="23" t="n">
        <v>23.731</v>
      </c>
      <c r="V9" s="23" t="n">
        <v>25.287</v>
      </c>
    </row>
    <row r="10">
      <c r="A10" s="2" t="inlineStr">
        <is>
          <t>Pretax</t>
        </is>
      </c>
      <c r="B10" s="23">
        <f>B8+B9</f>
        <v>-25.692</v>
      </c>
      <c r="C10" s="23">
        <f>C8+C9</f>
        <v>-35.69</v>
      </c>
      <c r="D10" s="23">
        <f>D8+D9</f>
        <v>-48.903</v>
      </c>
      <c r="E10" s="23">
        <f>E8+E9</f>
        <v>-21.925</v>
      </c>
      <c r="F10" s="23">
        <f>F8+F9</f>
        <v>-20.360999999999997</v>
      </c>
      <c r="G10" s="23">
        <f>G8+G9</f>
        <v>-20.175000000000004</v>
      </c>
      <c r="H10" s="23">
        <f>H8+H9</f>
        <v>-17.723000000000003</v>
      </c>
      <c r="I10" s="23">
        <f>I8+I9</f>
        <v>-10.950000000000001</v>
      </c>
      <c r="J10" s="23">
        <f>J8+J9</f>
        <v>-4.0249999999999995</v>
      </c>
      <c r="K10" s="23">
        <f>K8+K9</f>
        <v>-9.199000000000002</v>
      </c>
      <c r="L10" s="23">
        <f>L8+L9</f>
        <v>-8.837</v>
      </c>
      <c r="M10" s="23">
        <f>M8+M9</f>
        <v>-10.862</v>
      </c>
      <c r="N10" s="23">
        <f>N8+N9</f>
        <v>-12.907000000000002</v>
      </c>
      <c r="O10" s="23">
        <f>O8+O9</f>
        <v>-14.67</v>
      </c>
      <c r="P10" s="23">
        <f>P8+P9</f>
        <v>-12.928999999999998</v>
      </c>
      <c r="Q10" s="23">
        <f>Q8+Q9</f>
        <v>-13.855</v>
      </c>
      <c r="R10" s="23">
        <f>R8+R9</f>
        <v>-10.132000000000001</v>
      </c>
      <c r="S10" s="23">
        <f>S8+S9</f>
        <v>-14.067</v>
      </c>
      <c r="T10" s="23">
        <f>T8+T9</f>
        <v>8.575000000000003</v>
      </c>
      <c r="U10" s="23">
        <f>U8+U9</f>
        <v>11.056000000000001</v>
      </c>
      <c r="V10" s="23">
        <f>V8+V9</f>
        <v>12.003999999999998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0.007</v>
      </c>
      <c r="G11" s="23" t="n">
        <v>0.013</v>
      </c>
      <c r="H11" s="23" t="n">
        <v>0.012</v>
      </c>
      <c r="I11" s="23" t="n">
        <v>0.011</v>
      </c>
      <c r="J11" s="23" t="n">
        <v>0.004</v>
      </c>
      <c r="K11" s="23" t="n">
        <v>-0.004</v>
      </c>
      <c r="L11" s="23" t="n">
        <v>0.007</v>
      </c>
      <c r="M11" s="23" t="n">
        <v>0.004</v>
      </c>
      <c r="N11" s="23" t="n">
        <v>-1.744</v>
      </c>
      <c r="O11" s="23" t="n">
        <v>0.005</v>
      </c>
      <c r="P11" s="23" t="n">
        <v>0.013</v>
      </c>
      <c r="Q11" s="23" t="n">
        <v>-0.002</v>
      </c>
      <c r="R11" s="23" t="n">
        <v>0.003</v>
      </c>
      <c r="S11" s="23" t="n">
        <v>0.003</v>
      </c>
      <c r="T11" s="23" t="n">
        <v>0.003</v>
      </c>
      <c r="U11" s="23" t="n">
        <v>0.006</v>
      </c>
      <c r="V11" s="23" t="n">
        <v>0.006</v>
      </c>
    </row>
    <row r="12">
      <c r="A12" s="2" t="inlineStr">
        <is>
          <t>Net Income</t>
        </is>
      </c>
      <c r="B12" s="23" t="n">
        <v>-25.692</v>
      </c>
      <c r="C12" s="23" t="n">
        <v>-35.69</v>
      </c>
      <c r="D12" s="23" t="n">
        <v>-48.903</v>
      </c>
      <c r="E12" s="23" t="n">
        <v>-21.925</v>
      </c>
      <c r="F12" s="23" t="n">
        <v>-20.369</v>
      </c>
      <c r="G12" s="23" t="n">
        <v>-20.187</v>
      </c>
      <c r="H12" s="23" t="n">
        <v>-17.734</v>
      </c>
      <c r="I12" s="23" t="n">
        <v>-10.961</v>
      </c>
      <c r="J12" s="23" t="n">
        <v>-4.029</v>
      </c>
      <c r="K12" s="23" t="n">
        <v>-9.195</v>
      </c>
      <c r="L12" s="23" t="n">
        <v>-8.845000000000001</v>
      </c>
      <c r="M12" s="23" t="n">
        <v>-10.866</v>
      </c>
      <c r="N12" s="23" t="n">
        <v>-11.163</v>
      </c>
      <c r="O12" s="23" t="n">
        <v>-14.675</v>
      </c>
      <c r="P12" s="23" t="n">
        <v>-12.942</v>
      </c>
      <c r="Q12" s="23" t="n">
        <v>-13.854</v>
      </c>
      <c r="R12" s="23" t="n">
        <v>-10.134</v>
      </c>
      <c r="S12" s="23" t="n">
        <v>-14.069</v>
      </c>
      <c r="T12" s="23" t="n">
        <v>8.571999999999999</v>
      </c>
      <c r="U12" s="23" t="n">
        <v>11.05</v>
      </c>
      <c r="V12" s="23" t="n">
        <v>11.998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0</v>
      </c>
      <c r="E13" s="11">
        <f>IFERROR(E12/E14,0)</f>
        <v>0</v>
      </c>
      <c r="F13" s="11">
        <f>IFERROR(F12/F14,0)</f>
        <v>0</v>
      </c>
      <c r="G13" s="11">
        <f>IFERROR(G12/G14,0)</f>
        <v>0</v>
      </c>
      <c r="H13" s="11">
        <f>IFERROR(H12/H14,0)</f>
        <v>-1.1971916559778573</v>
      </c>
      <c r="I13" s="11">
        <f>IFERROR(I12/I14,0)</f>
        <v>-0.6633783211281244</v>
      </c>
      <c r="J13" s="11">
        <f>IFERROR(J12/J14,0)</f>
        <v>-0.19466589360776926</v>
      </c>
      <c r="K13" s="11">
        <f>IFERROR(K12/K14,0)</f>
        <v>-0.3820425461193286</v>
      </c>
      <c r="L13" s="11">
        <f>IFERROR(L12/L14,0)</f>
        <v>-0.3327815192445164</v>
      </c>
      <c r="M13" s="11">
        <f>IFERROR(M12/M14,0)</f>
        <v>-0.32940249189074483</v>
      </c>
      <c r="N13" s="11">
        <f>IFERROR(N12/N14,0)</f>
        <v>-0.3176992913453055</v>
      </c>
      <c r="O13" s="11">
        <f>IFERROR(O12/O14,0)</f>
        <v>-0.356838905775076</v>
      </c>
      <c r="P13" s="11">
        <f>IFERROR(P12/P14,0)</f>
        <v>-0.2998679302115434</v>
      </c>
      <c r="Q13" s="11">
        <f>IFERROR(Q12/Q14,0)</f>
        <v>-0.3119356945038615</v>
      </c>
      <c r="R13" s="11">
        <f>IFERROR(R12/R14,0)</f>
        <v>-0.20853568194913163</v>
      </c>
      <c r="S13" s="11">
        <f>IFERROR(S12/S14,0)</f>
        <v>-0.2868590070343562</v>
      </c>
      <c r="T13" s="11">
        <f>IFERROR(T12/T14,0)</f>
        <v>0.17477470130081962</v>
      </c>
      <c r="U13" s="11">
        <f>IFERROR(U12/U14,0)</f>
        <v>0.2252986991803613</v>
      </c>
      <c r="V13" s="11">
        <f>IFERROR(V12/V14,0)</f>
        <v>0.2445427307747182</v>
      </c>
    </row>
    <row r="14">
      <c r="A14" s="2" t="inlineStr">
        <is>
          <t>Shares</t>
        </is>
      </c>
      <c r="B14" s="23" t="n"/>
      <c r="C14" s="23" t="n"/>
      <c r="D14" s="23" t="n"/>
      <c r="E14" s="23" t="n"/>
      <c r="F14" s="23" t="n"/>
      <c r="G14" s="23" t="n"/>
      <c r="H14" s="23" t="n">
        <v>14.813</v>
      </c>
      <c r="I14" s="23" t="n">
        <v>16.523</v>
      </c>
      <c r="J14" s="23" t="n">
        <v>20.697</v>
      </c>
      <c r="K14" s="23" t="n">
        <v>24.068</v>
      </c>
      <c r="L14" s="23" t="n">
        <v>26.579</v>
      </c>
      <c r="M14" s="23" t="n">
        <v>32.987</v>
      </c>
      <c r="N14" s="23" t="n">
        <v>35.137</v>
      </c>
      <c r="O14" s="23" t="n">
        <v>41.125</v>
      </c>
      <c r="P14" s="23" t="n">
        <v>43.159</v>
      </c>
      <c r="Q14" s="23" t="n">
        <v>44.413</v>
      </c>
      <c r="R14" s="23" t="n">
        <v>48.596</v>
      </c>
      <c r="S14" s="23" t="n">
        <v>49.045</v>
      </c>
      <c r="T14" s="23" t="n">
        <v>49.046</v>
      </c>
      <c r="U14" s="23" t="n">
        <v>49.046</v>
      </c>
      <c r="V14" s="23" t="n">
        <v>49.063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>-1.0</v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/>
      </c>
      <c r="O16" s="15">
        <f>IFERROR(O2/N2-1,"")</f>
        <v/>
      </c>
      <c r="P16" s="15">
        <f>IFERROR(P2/O2-1,"")</f>
        <v/>
      </c>
      <c r="Q16" s="15">
        <f>IFERROR(Q2/P2-1,"")</f>
        <v/>
      </c>
      <c r="R16" s="15">
        <f>IFERROR(R2/Q2-1,"")</f>
        <v/>
      </c>
      <c r="S16" s="15">
        <f>IFERROR(S2/R2-1,"")</f>
        <v>-1.0</v>
      </c>
      <c r="T16" s="15">
        <f>IFERROR(T2/S2-1,"")</f>
        <v/>
      </c>
      <c r="U16" s="15">
        <f>IFERROR(U2/T2-1,"")</f>
        <v>-1.0</v>
      </c>
      <c r="V16" s="15">
        <f>IFERROR(V2/U2-1,"")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>1.0</v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/>
      </c>
      <c r="O17" s="15">
        <f>IFERROR(O4/O2,"")</f>
        <v/>
      </c>
      <c r="P17" s="15">
        <f>IFERROR(P4/P2,"")</f>
        <v/>
      </c>
      <c r="Q17" s="15">
        <f>IFERROR(Q4/Q2,"")</f>
        <v/>
      </c>
      <c r="R17" s="15">
        <f>IFERROR(R4/R2,"")</f>
        <v>1.0</v>
      </c>
      <c r="S17" s="15">
        <f>IFERROR(S4/S2,"")</f>
        <v/>
      </c>
      <c r="T17" s="15">
        <f>IFERROR(T4/T2,"")</f>
        <v>1.0</v>
      </c>
      <c r="U17" s="15">
        <f>IFERROR(U4/U2,"")</f>
        <v/>
      </c>
      <c r="V17" s="15">
        <f>IFERROR(V4/V2,"")</f>
        <v>1.0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>-13.63013698630137</v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/>
      </c>
      <c r="O18" s="15">
        <f>IFERROR(O8/O2,"")</f>
        <v/>
      </c>
      <c r="P18" s="15">
        <f>IFERROR(P8/P2,"")</f>
        <v/>
      </c>
      <c r="Q18" s="15">
        <f>IFERROR(Q8/Q2,"")</f>
        <v/>
      </c>
      <c r="R18" s="15">
        <f>IFERROR(R8/R2,"")</f>
        <v>-2.530592023780035</v>
      </c>
      <c r="S18" s="15">
        <f>IFERROR(S8/S2,"")</f>
        <v/>
      </c>
      <c r="T18" s="15">
        <f>IFERROR(T8/T2,"")</f>
        <v>-9.899999999999999</v>
      </c>
      <c r="U18" s="15">
        <f>IFERROR(U8/U2,"")</f>
        <v/>
      </c>
      <c r="V18" s="15">
        <f>IFERROR(V8/V2,"")</f>
        <v>-32.397560975609764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  <c r="R19" s="20" t="inlineStr">
        <is>
          <t>A</t>
        </is>
      </c>
      <c r="S19" s="20" t="inlineStr">
        <is>
          <t>A</t>
        </is>
      </c>
      <c r="T19" s="20" t="inlineStr">
        <is>
          <t>A</t>
        </is>
      </c>
      <c r="U19" s="20" t="inlineStr">
        <is>
          <t>A</t>
        </is>
      </c>
      <c r="V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2026-10-21T01:06:04Z</dcterms:modified>
  <cp:lastModifiedBy>Wang, Eric</cp:lastModifiedBy>
</cp:coreProperties>
</file>