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MeiraGTx Holdings PLC</t>
        </is>
      </c>
      <c r="C2" s="10" t="n"/>
    </row>
    <row r="3">
      <c r="B3" t="inlineStr">
        <is>
          <t>Price</t>
        </is>
      </c>
      <c r="C3" s="11">
        <f>INDEX([1]Pharma!$F$1:$F$1000,MATCH("MGTX",[1]Pharma!$B$1:$B$1000,0))</f>
        <v>9.97</v>
      </c>
      <c r="F3" s="1" t="n"/>
    </row>
    <row r="4">
      <c r="B4" t="inlineStr">
        <is>
          <t>Shares</t>
        </is>
      </c>
      <c r="C4" s="21" t="n">
        <v>96.042996</v>
      </c>
      <c r="F4" s="1" t="n"/>
    </row>
    <row r="5">
      <c r="B5" t="inlineStr">
        <is>
          <t>Market Cap.</t>
        </is>
      </c>
      <c r="C5" s="13">
        <f>C3*C4</f>
        <v>957.5486701200001</v>
      </c>
      <c r="F5" s="1" t="n"/>
    </row>
    <row r="6"/>
    <row r="7">
      <c r="B7" t="inlineStr">
        <is>
          <t>Cash</t>
        </is>
      </c>
      <c r="C7" s="21" t="n">
        <v>143.166</v>
      </c>
    </row>
    <row r="8">
      <c r="B8" t="inlineStr">
        <is>
          <t>Debt</t>
        </is>
      </c>
      <c r="C8" s="21" t="n">
        <v>100</v>
      </c>
    </row>
    <row r="9">
      <c r="B9" t="inlineStr">
        <is>
          <t>Enterprise V.</t>
        </is>
      </c>
      <c r="C9" s="13">
        <f>C5-C7+C8</f>
        <v>914.3826701200001</v>
      </c>
    </row>
    <row r="10"/>
    <row r="11">
      <c r="B11" s="14" t="inlineStr">
        <is>
          <t>Net Cash / Share</t>
        </is>
      </c>
      <c r="C11" s="11">
        <f>(C7-C8)/C4</f>
        <v>0.44944453836071496</v>
      </c>
    </row>
    <row r="12">
      <c r="B12" s="14" t="inlineStr">
        <is>
          <t>Upside</t>
        </is>
      </c>
      <c r="C12" s="15">
        <f>IFERROR(C11/C3-1,"")</f>
        <v>-0.954920307085184</v>
      </c>
    </row>
    <row r="13">
      <c r="B13" s="14" t="inlineStr">
        <is>
          <t>Cash / Share</t>
        </is>
      </c>
      <c r="C13" s="11">
        <f>IFERROR((C7-C8)/C4,"")</f>
        <v>0.44944453836071496</v>
      </c>
    </row>
    <row r="14">
      <c r="B14" s="14" t="inlineStr">
        <is>
          <t>Scenario</t>
        </is>
      </c>
      <c r="C14" s="14" t="inlineStr">
        <is>
          <t>revenue jump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13.689</v>
      </c>
    </row>
    <row r="18">
      <c r="B18" s="14" t="inlineStr">
        <is>
          <t>Runway (years)</t>
        </is>
      </c>
      <c r="C18" s="22" t="str">
        <f>IF(AND(ISNUMBER(C17),C17&lt;0),IF(C7&gt;C8,(C7-C8)/-C17,"net debt"),"n/a")</f>
        <v>n/a</v>
      </c>
    </row>
    <row r="19">
      <c r="B19" s="14" t="inlineStr">
        <is>
          <t>Implied Pipeline Value</t>
        </is>
      </c>
      <c r="C19" s="13">
        <f>C9</f>
        <v>914.3826701200001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2017</v>
      </c>
      <c r="C1" s="17" t="n">
        <v>2018</v>
      </c>
      <c r="D1" s="17" t="n">
        <v>2019</v>
      </c>
      <c r="E1" s="17" t="n">
        <v>2020</v>
      </c>
      <c r="F1" s="17" t="n">
        <v>2021</v>
      </c>
      <c r="G1" s="17" t="n">
        <v>2022</v>
      </c>
      <c r="H1" s="17" t="n">
        <v>2023</v>
      </c>
      <c r="I1" s="17" t="n">
        <v>2024</v>
      </c>
      <c r="J1" s="17" t="n">
        <v>2025</v>
      </c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13.292</v>
      </c>
      <c r="E2" s="23" t="n">
        <v>15.563</v>
      </c>
      <c r="F2" s="23" t="n">
        <v>37.701</v>
      </c>
      <c r="G2" s="23" t="n">
        <v>15.92</v>
      </c>
      <c r="H2" s="23" t="n">
        <v>14.017</v>
      </c>
      <c r="I2" s="23" t="n">
        <v>33.279</v>
      </c>
      <c r="J2" s="23" t="n">
        <v>81.39100000000001</v>
      </c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13.292</v>
      </c>
      <c r="E4" s="23">
        <f>E2-E3</f>
        <v>15.563</v>
      </c>
      <c r="F4" s="23">
        <f>F2-F3</f>
        <v>37.701</v>
      </c>
      <c r="G4" s="23">
        <f>G2-G3</f>
        <v>15.92</v>
      </c>
      <c r="H4" s="23">
        <f>H2-H3</f>
        <v>14.017</v>
      </c>
      <c r="I4" s="23">
        <f>I2-I3</f>
        <v>33.279</v>
      </c>
      <c r="J4" s="23">
        <f>J2-J3</f>
        <v>81.391</v>
      </c>
      <c r="K4" s="1" t="n"/>
    </row>
    <row r="5">
      <c r="A5" s="2" t="inlineStr">
        <is>
          <t>Research &amp; Dev.</t>
        </is>
      </c>
      <c r="B5" s="23" t="n">
        <v>22.36</v>
      </c>
      <c r="C5" s="23" t="n">
        <v>33.62</v>
      </c>
      <c r="D5" s="23" t="n">
        <v>24.876</v>
      </c>
      <c r="E5" s="23" t="n">
        <v>33.91</v>
      </c>
      <c r="F5" s="23" t="n">
        <v>66.694</v>
      </c>
      <c r="G5" s="23" t="n">
        <v>85.72499999999999</v>
      </c>
      <c r="H5" s="23" t="n">
        <v>103.785</v>
      </c>
      <c r="I5" s="23" t="n">
        <v>119.484</v>
      </c>
      <c r="J5" s="23" t="n">
        <v>129.619</v>
      </c>
      <c r="K5" s="1" t="n"/>
    </row>
    <row r="6">
      <c r="A6" s="19" t="inlineStr">
        <is>
          <t>SG&amp;A &amp; Other</t>
        </is>
      </c>
      <c r="B6" s="23" t="n">
        <v>9.324999999999999</v>
      </c>
      <c r="C6" s="23" t="n">
        <v>44.484</v>
      </c>
      <c r="D6" s="23" t="n">
        <v>46.684</v>
      </c>
      <c r="E6" s="23" t="n">
        <v>44.207</v>
      </c>
      <c r="F6" s="23" t="n">
        <v>43.765</v>
      </c>
      <c r="G6" s="23" t="n">
        <v>46.55</v>
      </c>
      <c r="H6" s="23" t="n">
        <v>47.293</v>
      </c>
      <c r="I6" s="23" t="n">
        <v>78.00700000000001</v>
      </c>
      <c r="J6" s="23" t="n">
        <v>57.74</v>
      </c>
      <c r="K6" s="1" t="n"/>
    </row>
    <row r="7">
      <c r="A7" s="2" t="inlineStr">
        <is>
          <t>Operating Expense</t>
        </is>
      </c>
      <c r="B7" s="23">
        <f>SUM(B5:B6)</f>
        <v>31.685</v>
      </c>
      <c r="C7" s="23">
        <f>SUM(C5:C6)</f>
        <v>78.104</v>
      </c>
      <c r="D7" s="23">
        <f>SUM(D5:D6)</f>
        <v>71.56</v>
      </c>
      <c r="E7" s="23">
        <f>SUM(E5:E6)</f>
        <v>78.11699999999999</v>
      </c>
      <c r="F7" s="23">
        <f>SUM(F5:F6)</f>
        <v>110.459</v>
      </c>
      <c r="G7" s="23">
        <f>SUM(G5:G6)</f>
        <v>132.27499999999998</v>
      </c>
      <c r="H7" s="23">
        <f>SUM(H5:H6)</f>
        <v>151.078</v>
      </c>
      <c r="I7" s="23">
        <f>SUM(I5:I6)</f>
        <v>197.49099999999999</v>
      </c>
      <c r="J7" s="23">
        <f>SUM(J5:J6)</f>
        <v>187.359</v>
      </c>
      <c r="K7" s="1" t="n"/>
    </row>
    <row r="8">
      <c r="A8" s="2" t="inlineStr">
        <is>
          <t>Operating Income</t>
        </is>
      </c>
      <c r="B8" s="23">
        <f>B4-B7</f>
        <v>-31.685</v>
      </c>
      <c r="C8" s="23">
        <f>C4-C7</f>
        <v>-78.104</v>
      </c>
      <c r="D8" s="23">
        <f>D4-D7</f>
        <v>-58.268</v>
      </c>
      <c r="E8" s="23">
        <f>E4-E7</f>
        <v>-62.55399999999999</v>
      </c>
      <c r="F8" s="23">
        <f>F4-F7</f>
        <v>-72.75800000000001</v>
      </c>
      <c r="G8" s="23">
        <f>G4-G7</f>
        <v>-116.35499999999998</v>
      </c>
      <c r="H8" s="23">
        <f>H4-H7</f>
        <v>-137.061</v>
      </c>
      <c r="I8" s="23">
        <f>I4-I7</f>
        <v>-164.212</v>
      </c>
      <c r="J8" s="23">
        <f>J4-J7</f>
        <v>-105.968</v>
      </c>
      <c r="K8" s="1" t="n"/>
    </row>
    <row r="9">
      <c r="A9" s="19" t="inlineStr">
        <is>
          <t>Interest &amp; Other</t>
        </is>
      </c>
      <c r="B9" s="23" t="n">
        <v>0.64</v>
      </c>
      <c r="C9" s="23" t="n">
        <v>-5.236</v>
      </c>
      <c r="D9" s="23" t="n">
        <v>3.522</v>
      </c>
      <c r="E9" s="23" t="n">
        <v>4.562</v>
      </c>
      <c r="F9" s="23" t="n">
        <v>-6.803</v>
      </c>
      <c r="G9" s="23" t="n">
        <v>-13.26</v>
      </c>
      <c r="H9" s="23" t="n">
        <v>53.034</v>
      </c>
      <c r="I9" s="23" t="n">
        <v>16.421</v>
      </c>
      <c r="J9" s="23" t="n">
        <v>-8.233000000000001</v>
      </c>
    </row>
    <row r="10">
      <c r="A10" s="2" t="inlineStr">
        <is>
          <t>Pretax</t>
        </is>
      </c>
      <c r="B10" s="23">
        <f>B8+B9</f>
        <v>-31.044999999999998</v>
      </c>
      <c r="C10" s="23">
        <f>C8+C9</f>
        <v>-83.34</v>
      </c>
      <c r="D10" s="23">
        <f>D8+D9</f>
        <v>-54.746</v>
      </c>
      <c r="E10" s="23">
        <f>E8+E9</f>
        <v>-57.99199999999999</v>
      </c>
      <c r="F10" s="23">
        <f>F8+F9</f>
        <v>-79.561</v>
      </c>
      <c r="G10" s="23">
        <f>G8+G9</f>
        <v>-129.61499999999998</v>
      </c>
      <c r="H10" s="23">
        <f>H8+H9</f>
        <v>-84.02700000000002</v>
      </c>
      <c r="I10" s="23">
        <f>I8+I9</f>
        <v>-147.791</v>
      </c>
      <c r="J10" s="23">
        <f>J8+J9</f>
        <v>-114.20100000000001</v>
      </c>
      <c r="K10" s="1" t="n"/>
    </row>
    <row r="11">
      <c r="A11" s="2" t="inlineStr">
        <is>
          <t>Taxes</t>
        </is>
      </c>
      <c r="B11" s="23" t="n">
        <v>0</v>
      </c>
      <c r="C11" s="23" t="n">
        <v>-0.474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</row>
    <row r="12">
      <c r="A12" s="2" t="inlineStr">
        <is>
          <t>Net Income</t>
        </is>
      </c>
      <c r="B12" s="23" t="n">
        <v>-31.045</v>
      </c>
      <c r="C12" s="23" t="n">
        <v>-82.866</v>
      </c>
      <c r="D12" s="23" t="n">
        <v>-54.746</v>
      </c>
      <c r="E12" s="23" t="n">
        <v>-57.992</v>
      </c>
      <c r="F12" s="23" t="n">
        <v>-79.56100000000001</v>
      </c>
      <c r="G12" s="23" t="n">
        <v>-129.615</v>
      </c>
      <c r="H12" s="23" t="n">
        <v>-84.027</v>
      </c>
      <c r="I12" s="23" t="n">
        <v>-147.791</v>
      </c>
      <c r="J12" s="23" t="n">
        <v>-114.201</v>
      </c>
      <c r="K12" s="1" t="n"/>
    </row>
    <row r="13">
      <c r="A13" s="2" t="inlineStr">
        <is>
          <t>Earnings per Share</t>
        </is>
      </c>
      <c r="B13" s="11">
        <f>IFERROR(B12/B14,0)</f>
        <v>-3.6216752216518904</v>
      </c>
      <c r="C13" s="11">
        <f>IFERROR(C12/C14,0)</f>
        <v>-4.373106760251201</v>
      </c>
      <c r="D13" s="11">
        <f>IFERROR(D12/D14,0)</f>
        <v>-1.6508654484048009</v>
      </c>
      <c r="E13" s="11">
        <f>IFERROR(E12/E14,0)</f>
        <v>-1.5372707030007422</v>
      </c>
      <c r="F13" s="11">
        <f>IFERROR(F12/F14,0)</f>
        <v>-1.8024694154961487</v>
      </c>
      <c r="G13" s="11">
        <f>IFERROR(G12/G14,0)</f>
        <v>-2.868984904156891</v>
      </c>
      <c r="H13" s="11">
        <f>IFERROR(H12/H14,0)</f>
        <v>-1.4875458069998406</v>
      </c>
      <c r="I13" s="11">
        <f>IFERROR(I12/I14,0)</f>
        <v>-2.116682421013434</v>
      </c>
      <c r="J13" s="11">
        <f>IFERROR(J12/J14,0)</f>
        <v>-1.4198806415516596</v>
      </c>
    </row>
    <row r="14">
      <c r="A14" s="2" t="inlineStr">
        <is>
          <t>Shares</t>
        </is>
      </c>
      <c r="B14" s="23" t="n">
        <v>8.571999999999999</v>
      </c>
      <c r="C14" s="23" t="n">
        <v>18.949</v>
      </c>
      <c r="D14" s="23" t="n">
        <v>33.162</v>
      </c>
      <c r="E14" s="23" t="n">
        <v>37.724</v>
      </c>
      <c r="F14" s="23" t="n">
        <v>44.14</v>
      </c>
      <c r="G14" s="23" t="n">
        <v>45.178</v>
      </c>
      <c r="H14" s="23" t="n">
        <v>56.487</v>
      </c>
      <c r="I14" s="23" t="n">
        <v>69.822</v>
      </c>
      <c r="J14" s="23" t="n">
        <v>80.43000000000001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>0.17085464941318085</v>
      </c>
      <c r="F16" s="15">
        <f>IFERROR(F2/E2-1,"")</f>
        <v>1.4224763863008416</v>
      </c>
      <c r="G16" s="15">
        <f>IFERROR(G2/F2-1,"")</f>
        <v>-0.5777300336861091</v>
      </c>
      <c r="H16" s="15">
        <f>IFERROR(H2/G2-1,"")</f>
        <v>-0.119535175879397</v>
      </c>
      <c r="I16" s="15">
        <f>IFERROR(I2/H2-1,"")</f>
        <v>1.3741884854105733</v>
      </c>
      <c r="J16" s="15">
        <f>IFERROR(J2/I2-1,"")</f>
        <v>1.4457165179242164</v>
      </c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>-4.383689437255492</v>
      </c>
      <c r="E18" s="15">
        <f>IFERROR(E8/E2,"")</f>
        <v>-4.019404999036174</v>
      </c>
      <c r="F18" s="15">
        <f>IFERROR(F8/F2,"")</f>
        <v>-1.9298692342378188</v>
      </c>
      <c r="G18" s="15">
        <f>IFERROR(G8/G2,"")</f>
        <v>-7.308731155778893</v>
      </c>
      <c r="H18" s="15">
        <f>IFERROR(H8/H2,"")</f>
        <v>-9.778197902546909</v>
      </c>
      <c r="I18" s="15">
        <f>IFERROR(I8/I2,"")</f>
        <v>-4.934403077015534</v>
      </c>
      <c r="J18" s="15">
        <f>IFERROR(J8/J2,"")</f>
        <v>-1.3019621334054132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2026-10-21T06:24:01Z</dcterms:modified>
  <cp:lastModifiedBy>Wang, Eric</cp:lastModifiedBy>
</cp:coreProperties>
</file>