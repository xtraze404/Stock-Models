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MiMedx Group, Inc.</t>
        </is>
      </c>
      <c r="C2" s="10" t="n"/>
    </row>
    <row r="3">
      <c r="B3" t="inlineStr">
        <is>
          <t>Price</t>
        </is>
      </c>
      <c r="C3" s="11">
        <f>INDEX([1]Pharma!$F$1:$F$1000,MATCH("MDXG",[1]Pharma!$B$1:$B$1000,0))</f>
        <v>4.23</v>
      </c>
      <c r="F3" s="1" t="n"/>
    </row>
    <row r="4">
      <c r="B4" t="inlineStr">
        <is>
          <t>Shares</t>
        </is>
      </c>
      <c r="C4" s="51" t="n">
        <v>145.760468</v>
      </c>
      <c r="F4" s="1" t="n"/>
    </row>
    <row r="5">
      <c r="B5" t="inlineStr">
        <is>
          <t>Market Cap.</t>
        </is>
      </c>
      <c r="C5" s="13">
        <f>C3*C4</f>
        <v>616.56677964</v>
      </c>
      <c r="F5" s="1" t="n"/>
    </row>
    <row r="6"/>
    <row r="7">
      <c r="B7" t="inlineStr">
        <is>
          <t>Cash</t>
        </is>
      </c>
      <c r="C7" s="51" t="n">
        <v>135.839</v>
      </c>
    </row>
    <row r="8">
      <c r="B8" t="inlineStr">
        <is>
          <t>Debt</t>
        </is>
      </c>
      <c r="C8" s="51">
        <f>1.5+15.706</f>
        <v>17.206</v>
      </c>
    </row>
    <row r="9">
      <c r="B9" t="inlineStr">
        <is>
          <t>Enterprise V.</t>
        </is>
      </c>
      <c r="C9" s="13">
        <f>C5-C7+C8</f>
        <v>497.93377964000007</v>
      </c>
    </row>
    <row r="10"/>
    <row r="11">
      <c r="B11" s="14" t="inlineStr">
        <is>
          <t>NPV / Share</t>
        </is>
      </c>
      <c r="C11" s="11">
        <f>NPV!B28</f>
        <v>3.0666745421795247</v>
      </c>
    </row>
    <row r="12">
      <c r="B12" s="14" t="inlineStr">
        <is>
          <t>Upside</t>
        </is>
      </c>
      <c r="C12" s="15">
        <f>IFERROR(C11/C3-1,"")</f>
        <v>-0.2750178387282448</v>
      </c>
    </row>
    <row r="13">
      <c r="B13" s="14" t="inlineStr">
        <is>
          <t>Cash / Share</t>
        </is>
      </c>
      <c r="C13" s="11">
        <f>IFERROR((C7-C8)/C4,"")</f>
        <v>0.8138900871256807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2010</v>
      </c>
      <c r="C1" s="16" t="n">
        <v>2011</v>
      </c>
      <c r="D1" s="16" t="n">
        <v>2012</v>
      </c>
      <c r="E1" s="16" t="n">
        <v>2013</v>
      </c>
      <c r="F1" s="16" t="n">
        <v>2014</v>
      </c>
      <c r="G1" s="16" t="n">
        <v>2015</v>
      </c>
      <c r="H1" s="16" t="n">
        <v>2016</v>
      </c>
      <c r="I1" s="16" t="n">
        <v>2017</v>
      </c>
      <c r="J1" s="16" t="n">
        <v>2018</v>
      </c>
      <c r="K1" s="16" t="n">
        <v>2019</v>
      </c>
      <c r="L1" s="16" t="n">
        <v>2020</v>
      </c>
      <c r="M1" s="16" t="n">
        <v>2021</v>
      </c>
      <c r="N1" s="16" t="n">
        <v>2022</v>
      </c>
      <c r="O1" s="16" t="n">
        <v>2023</v>
      </c>
      <c r="P1" s="16" t="n">
        <v>2024</v>
      </c>
      <c r="Q1" s="16" t="n">
        <v>2025</v>
      </c>
      <c r="R1" s="16" t="n">
        <v>2026</v>
      </c>
      <c r="S1" s="16" t="n">
        <v>2027</v>
      </c>
      <c r="T1" s="16" t="n">
        <v>2028</v>
      </c>
      <c r="U1" s="16" t="n">
        <v>2029</v>
      </c>
      <c r="V1" s="16" t="n">
        <v>2030</v>
      </c>
      <c r="W1" s="16" t="n">
        <v>2031</v>
      </c>
      <c r="X1" s="16" t="n">
        <v>2032</v>
      </c>
      <c r="Y1" s="16" t="n">
        <v>2033</v>
      </c>
      <c r="Z1" s="16" t="n">
        <v>2034</v>
      </c>
      <c r="AA1" s="16" t="n">
        <v>2035</v>
      </c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0.789</v>
      </c>
      <c r="C2" s="52" t="n">
        <v>7.76</v>
      </c>
      <c r="D2" s="52" t="n">
        <v>27.053</v>
      </c>
      <c r="E2" s="52" t="n">
        <v>59.181</v>
      </c>
      <c r="F2" s="52" t="n">
        <v>118.223</v>
      </c>
      <c r="G2" s="52" t="n">
        <v>187.296</v>
      </c>
      <c r="H2" s="52" t="n">
        <v>245.015</v>
      </c>
      <c r="I2" s="52" t="n">
        <v>321.139</v>
      </c>
      <c r="J2" s="52" t="n">
        <v>359.111</v>
      </c>
      <c r="K2" s="52" t="n">
        <v>299.255</v>
      </c>
      <c r="L2" s="52" t="n">
        <v>248.234</v>
      </c>
      <c r="M2" s="52" t="n">
        <v>242.019</v>
      </c>
      <c r="N2" s="52" t="n">
        <v>267.841</v>
      </c>
      <c r="O2" s="52" t="n">
        <v>321.477</v>
      </c>
      <c r="P2" s="52" t="n">
        <v>348.879</v>
      </c>
      <c r="Q2" s="52" t="n">
        <v>418.63</v>
      </c>
      <c r="R2" s="52">
        <f>Q2*(1+NPV!C5)</f>
        <v>376.767</v>
      </c>
      <c r="S2" s="52">
        <f>R2*(1+NPV!D5)</f>
        <v>344.323175</v>
      </c>
      <c r="T2" s="52">
        <f>S2*(1+NPV!E5)</f>
        <v>319.4553901388889</v>
      </c>
      <c r="U2" s="52">
        <f>T2*(1+NPV!F5)</f>
        <v>300.8204923807871</v>
      </c>
      <c r="V2" s="52">
        <f>U2*(1+NPV!G5)</f>
        <v>287.4506927194187</v>
      </c>
      <c r="W2" s="52">
        <f>V2*(1+NPV!H5)</f>
        <v>278.6674771085476</v>
      </c>
      <c r="X2" s="52">
        <f>W2*(1+NPV!I5)</f>
        <v>274.0230191567384</v>
      </c>
      <c r="Y2" s="52">
        <f>X2*(1+NPV!J5)</f>
        <v>273.2618441035253</v>
      </c>
      <c r="Z2" s="52">
        <f>Y2*(1+NPV!K5)</f>
        <v>276.29808681578663</v>
      </c>
      <c r="AA2" s="52">
        <f>Z2*(1+NPV!L5)</f>
        <v>283.2055389861813</v>
      </c>
    </row>
    <row r="3" customFormat="1" s="1">
      <c r="A3" s="5" t="inlineStr">
        <is>
          <t>Cost of Sales</t>
        </is>
      </c>
      <c r="B3" s="52" t="n">
        <v>1.72</v>
      </c>
      <c r="C3" s="52" t="n">
        <v>3.358</v>
      </c>
      <c r="D3" s="52" t="n">
        <v>5.188</v>
      </c>
      <c r="E3" s="52" t="n">
        <v>9.327999999999999</v>
      </c>
      <c r="F3" s="52" t="n">
        <v>12.665</v>
      </c>
      <c r="G3" s="52" t="n">
        <v>20.202</v>
      </c>
      <c r="H3" s="52" t="n">
        <v>32.407</v>
      </c>
      <c r="I3" s="52" t="n">
        <v>35.219</v>
      </c>
      <c r="J3" s="52" t="n">
        <v>36.386</v>
      </c>
      <c r="K3" s="52" t="n">
        <v>43.081</v>
      </c>
      <c r="L3" s="52" t="n">
        <v>39.33</v>
      </c>
      <c r="M3" s="52" t="n">
        <v>39.628</v>
      </c>
      <c r="N3" s="52" t="n">
        <v>48.316</v>
      </c>
      <c r="O3" s="52" t="n">
        <v>54.634</v>
      </c>
      <c r="P3" s="52" t="n">
        <v>60.073</v>
      </c>
      <c r="Q3" s="52" t="n">
        <v>73.01300000000001</v>
      </c>
      <c r="R3" s="52">
        <f>R2*(1-Assumptions!$B$19)</f>
        <v>65.7081648</v>
      </c>
      <c r="S3" s="52">
        <f>S2*(1-Assumptions!$B$19)</f>
        <v>60.04996172</v>
      </c>
      <c r="T3" s="52">
        <f>T2*(1-Assumptions!$B$19)</f>
        <v>55.713020040222226</v>
      </c>
      <c r="U3" s="52">
        <f>U2*(1-Assumptions!$B$19)</f>
        <v>52.46309387120927</v>
      </c>
      <c r="V3" s="52">
        <f>V2*(1-Assumptions!$B$19)</f>
        <v>50.131400810266626</v>
      </c>
      <c r="W3" s="52">
        <f>W2*(1-Assumptions!$B$19)</f>
        <v>48.5996080077307</v>
      </c>
      <c r="X3" s="52">
        <f>X2*(1-Assumptions!$B$19)</f>
        <v>47.78961454093518</v>
      </c>
      <c r="Y3" s="52">
        <f>Y2*(1-Assumptions!$B$19)</f>
        <v>47.65686561165481</v>
      </c>
      <c r="Z3" s="52">
        <f>Z2*(1-Assumptions!$B$19)</f>
        <v>48.18638634067319</v>
      </c>
      <c r="AA3" s="52">
        <f>AA2*(1-Assumptions!$B$19)</f>
        <v>49.39104599919002</v>
      </c>
    </row>
    <row r="4" customFormat="1" s="1">
      <c r="A4" s="5" t="inlineStr">
        <is>
          <t>Gross Margin</t>
        </is>
      </c>
      <c r="B4" s="52">
        <f>B2-B3</f>
        <v>-0.9309999999999999</v>
      </c>
      <c r="C4" s="52">
        <f>C2-C3</f>
        <v>4.401999999999999</v>
      </c>
      <c r="D4" s="52">
        <f>D2-D3</f>
        <v>21.865000000000002</v>
      </c>
      <c r="E4" s="52">
        <f>E2-E3</f>
        <v>49.852999999999994</v>
      </c>
      <c r="F4" s="52">
        <f>F2-F3</f>
        <v>105.55799999999999</v>
      </c>
      <c r="G4" s="52">
        <f>G2-G3</f>
        <v>167.094</v>
      </c>
      <c r="H4" s="52">
        <f>H2-H3</f>
        <v>212.608</v>
      </c>
      <c r="I4" s="52">
        <f>I2-I3</f>
        <v>285.92</v>
      </c>
      <c r="J4" s="52">
        <f>J2-J3</f>
        <v>322.72499999999997</v>
      </c>
      <c r="K4" s="52">
        <f>K2-K3</f>
        <v>256.174</v>
      </c>
      <c r="L4" s="52">
        <f>L2-L3</f>
        <v>208.904</v>
      </c>
      <c r="M4" s="52">
        <f>M2-M3</f>
        <v>202.39100000000002</v>
      </c>
      <c r="N4" s="52">
        <f>N2-N3</f>
        <v>219.525</v>
      </c>
      <c r="O4" s="52">
        <f>O2-O3</f>
        <v>266.84299999999996</v>
      </c>
      <c r="P4" s="52">
        <f>P2-P3</f>
        <v>288.80600000000004</v>
      </c>
      <c r="Q4" s="52">
        <f>Q2-Q3</f>
        <v>345.61699999999996</v>
      </c>
      <c r="R4" s="52">
        <f>R2-R3</f>
        <v>311.0588352</v>
      </c>
      <c r="S4" s="52">
        <f>S2-S3</f>
        <v>284.27321328</v>
      </c>
      <c r="T4" s="52">
        <f>T2-T3</f>
        <v>263.7423700986667</v>
      </c>
      <c r="U4" s="52">
        <f>U2-U3</f>
        <v>248.35739850957782</v>
      </c>
      <c r="V4" s="52">
        <f>V2-V3</f>
        <v>237.3192919091521</v>
      </c>
      <c r="W4" s="52">
        <f>W2-W3</f>
        <v>230.0678691008169</v>
      </c>
      <c r="X4" s="52">
        <f>X2-X3</f>
        <v>226.23340461580324</v>
      </c>
      <c r="Y4" s="52">
        <f>Y2-Y3</f>
        <v>225.60497849187047</v>
      </c>
      <c r="Z4" s="52">
        <f>Z2-Z3</f>
        <v>228.11170047511345</v>
      </c>
      <c r="AA4" s="52">
        <f>AA2-AA3</f>
        <v>233.81449298699127</v>
      </c>
    </row>
    <row r="5">
      <c r="A5" s="2" t="inlineStr">
        <is>
          <t>Research &amp; Dev.</t>
        </is>
      </c>
      <c r="B5" s="52" t="n">
        <v>2.753</v>
      </c>
      <c r="C5" s="52" t="n">
        <v>2.976</v>
      </c>
      <c r="D5" s="52" t="n">
        <v>2.885</v>
      </c>
      <c r="E5" s="52" t="n">
        <v>4.843</v>
      </c>
      <c r="F5" s="52" t="n">
        <v>7.05</v>
      </c>
      <c r="G5" s="52" t="n">
        <v>8.413</v>
      </c>
      <c r="H5" s="52" t="n">
        <v>14.341</v>
      </c>
      <c r="I5" s="52" t="n">
        <v>17.9</v>
      </c>
      <c r="J5" s="52" t="n">
        <v>15.765</v>
      </c>
      <c r="K5" s="52" t="n">
        <v>11.14</v>
      </c>
      <c r="L5" s="52" t="n">
        <v>11.715</v>
      </c>
      <c r="M5" s="52" t="n">
        <v>9.932</v>
      </c>
      <c r="N5" s="52" t="n">
        <v>12.701</v>
      </c>
      <c r="O5" s="52" t="n">
        <v>12.665</v>
      </c>
      <c r="P5" s="52" t="n">
        <v>12.341</v>
      </c>
      <c r="Q5" s="52" t="n">
        <v>15.097</v>
      </c>
      <c r="R5" s="52">
        <f>R7*Assumptions!$B$20</f>
        <v>15.821748436752</v>
      </c>
      <c r="S5" s="52">
        <f>S7*Assumptions!$B$20</f>
        <v>14.1356067321056</v>
      </c>
      <c r="T5" s="52">
        <f>T7*Assumptions!$B$20</f>
        <v>12.814367733146796</v>
      </c>
      <c r="U5" s="52">
        <f>U7*Assumptions!$B$20</f>
        <v>11.78404836772439</v>
      </c>
      <c r="V5" s="52">
        <f>V7*Assumptions!$B$20</f>
        <v>10.99006784065841</v>
      </c>
      <c r="W5" s="52">
        <f>W7*Assumptions!$B$20</f>
        <v>10.392272655595109</v>
      </c>
      <c r="X5" s="52">
        <f>X7*Assumptions!$B$20</f>
        <v>9.961447014013096</v>
      </c>
      <c r="Y5" s="52">
        <f>Y7*Assumptions!$B$20</f>
        <v>9.676870844700195</v>
      </c>
      <c r="Z5" s="52">
        <f>Z7*Assumptions!$B$20</f>
        <v>9.52463164333219</v>
      </c>
      <c r="AA5" s="52">
        <f>AA7*Assumptions!$B$20</f>
        <v>9.496493446170868</v>
      </c>
    </row>
    <row r="6">
      <c r="A6" s="18" t="inlineStr">
        <is>
          <t>SG&amp;A &amp; Other</t>
        </is>
      </c>
      <c r="B6" s="52" t="n">
        <v>6.848</v>
      </c>
      <c r="C6" s="52" t="n">
        <v>11.187</v>
      </c>
      <c r="D6" s="52" t="n">
        <v>24.336</v>
      </c>
      <c r="E6" s="52" t="n">
        <v>47.649</v>
      </c>
      <c r="F6" s="52" t="n">
        <v>91.408</v>
      </c>
      <c r="G6" s="52" t="n">
        <v>134.317</v>
      </c>
      <c r="H6" s="52" t="n">
        <v>197.383</v>
      </c>
      <c r="I6" s="52" t="n">
        <v>221.797</v>
      </c>
      <c r="J6" s="52" t="n">
        <v>310.884</v>
      </c>
      <c r="K6" s="52" t="n">
        <v>266.194</v>
      </c>
      <c r="L6" s="52" t="n">
        <v>242.587</v>
      </c>
      <c r="M6" s="52" t="n">
        <v>199.51</v>
      </c>
      <c r="N6" s="52" t="n">
        <v>221.551</v>
      </c>
      <c r="O6" s="52" t="n">
        <v>217.062</v>
      </c>
      <c r="P6" s="52" t="n">
        <v>217.6</v>
      </c>
      <c r="Q6" s="52" t="n">
        <v>266.633</v>
      </c>
      <c r="R6" s="52">
        <f>R7-R5</f>
        <v>279.360125383248</v>
      </c>
      <c r="S6" s="52">
        <f>S7-S5</f>
        <v>249.5883994638944</v>
      </c>
      <c r="T6" s="52">
        <f>T7-T5</f>
        <v>226.2596571389949</v>
      </c>
      <c r="U6" s="52">
        <f>U7-U5</f>
        <v>208.06760028385006</v>
      </c>
      <c r="V6" s="52">
        <f>V7-V5</f>
        <v>194.04851127610297</v>
      </c>
      <c r="W6" s="52">
        <f>W7-W5</f>
        <v>183.49341121744794</v>
      </c>
      <c r="X6" s="52">
        <f>X7-X5</f>
        <v>175.88644503847004</v>
      </c>
      <c r="Y6" s="52">
        <f>Y7-Y5</f>
        <v>170.86176431761686</v>
      </c>
      <c r="Z6" s="52">
        <f>Z7-Z5</f>
        <v>168.17371991137284</v>
      </c>
      <c r="AA6" s="52">
        <f>AA7-AA5</f>
        <v>167.67689174358415</v>
      </c>
    </row>
    <row r="7">
      <c r="A7" s="2" t="inlineStr">
        <is>
          <t>Operating Expense</t>
        </is>
      </c>
      <c r="B7" s="52">
        <f>SUM(B5:B6)</f>
        <v>9.600999999999999</v>
      </c>
      <c r="C7" s="52">
        <f>SUM(C5:C6)</f>
        <v>14.163</v>
      </c>
      <c r="D7" s="52">
        <f>SUM(D5:D6)</f>
        <v>27.220999999999997</v>
      </c>
      <c r="E7" s="52">
        <f>SUM(E5:E6)</f>
        <v>52.492000000000004</v>
      </c>
      <c r="F7" s="52">
        <f>SUM(F5:F6)</f>
        <v>98.458</v>
      </c>
      <c r="G7" s="52">
        <f>SUM(G5:G6)</f>
        <v>142.73000000000002</v>
      </c>
      <c r="H7" s="52">
        <f>SUM(H5:H6)</f>
        <v>211.72400000000002</v>
      </c>
      <c r="I7" s="52">
        <f>SUM(I5:I6)</f>
        <v>239.697</v>
      </c>
      <c r="J7" s="52">
        <f>SUM(J5:J6)</f>
        <v>326.649</v>
      </c>
      <c r="K7" s="52">
        <f>SUM(K5:K6)</f>
        <v>277.334</v>
      </c>
      <c r="L7" s="52">
        <f>SUM(L5:L6)</f>
        <v>254.302</v>
      </c>
      <c r="M7" s="52">
        <f>SUM(M5:M6)</f>
        <v>209.44199999999998</v>
      </c>
      <c r="N7" s="52">
        <f>SUM(N5:N6)</f>
        <v>234.25199999999998</v>
      </c>
      <c r="O7" s="52">
        <f>SUM(O5:O6)</f>
        <v>229.727</v>
      </c>
      <c r="P7" s="52">
        <f>SUM(P5:P6)</f>
        <v>229.941</v>
      </c>
      <c r="Q7" s="52">
        <f>SUM(Q5:Q6)</f>
        <v>281.72999999999996</v>
      </c>
      <c r="R7" s="52">
        <f>R4-R2*NPV!C6</f>
        <v>295.18187381999996</v>
      </c>
      <c r="S7" s="52">
        <f>S4-S2*NPV!D6</f>
        <v>263.724006196</v>
      </c>
      <c r="T7" s="52">
        <f>T4-T2*NPV!E6</f>
        <v>239.0740248721417</v>
      </c>
      <c r="U7" s="52">
        <f>U4-U2*NPV!F6</f>
        <v>219.85164865157444</v>
      </c>
      <c r="V7" s="52">
        <f>V4-V2*NPV!G6</f>
        <v>205.03857911676138</v>
      </c>
      <c r="W7" s="52">
        <f>W4-W2*NPV!H6</f>
        <v>193.88568387304306</v>
      </c>
      <c r="X7" s="52">
        <f>X4-X2*NPV!I6</f>
        <v>185.84789205248313</v>
      </c>
      <c r="Y7" s="52">
        <f>Y4-Y2*NPV!J6</f>
        <v>180.53863516231706</v>
      </c>
      <c r="Z7" s="52">
        <f>Z4-Z2*NPV!K6</f>
        <v>177.69835155470503</v>
      </c>
      <c r="AA7" s="52">
        <f>AA4-AA2*NPV!L6</f>
        <v>177.173385189755</v>
      </c>
    </row>
    <row r="8">
      <c r="A8" s="2" t="inlineStr">
        <is>
          <t>Operating Income</t>
        </is>
      </c>
      <c r="B8" s="52">
        <f>B4-B7</f>
        <v>-10.531999999999998</v>
      </c>
      <c r="C8" s="52">
        <f>C4-C7</f>
        <v>-9.761000000000001</v>
      </c>
      <c r="D8" s="52">
        <f>D4-D7</f>
        <v>-5.3559999999999945</v>
      </c>
      <c r="E8" s="52">
        <f>E4-E7</f>
        <v>-2.63900000000001</v>
      </c>
      <c r="F8" s="52">
        <f>F4-F7</f>
        <v>7.099999999999994</v>
      </c>
      <c r="G8" s="52">
        <f>G4-G7</f>
        <v>24.363999999999976</v>
      </c>
      <c r="H8" s="52">
        <f>H4-H7</f>
        <v>0.8839999999999861</v>
      </c>
      <c r="I8" s="52">
        <f>I4-I7</f>
        <v>46.22300000000001</v>
      </c>
      <c r="J8" s="52">
        <f>J4-J7</f>
        <v>-3.924000000000035</v>
      </c>
      <c r="K8" s="52">
        <f>K4-K7</f>
        <v>-21.160000000000025</v>
      </c>
      <c r="L8" s="52">
        <f>L4-L7</f>
        <v>-45.397999999999996</v>
      </c>
      <c r="M8" s="52">
        <f>M4-M7</f>
        <v>-7.050999999999959</v>
      </c>
      <c r="N8" s="52">
        <f>N4-N7</f>
        <v>-14.726999999999975</v>
      </c>
      <c r="O8" s="52">
        <f>O4-O7</f>
        <v>37.11599999999996</v>
      </c>
      <c r="P8" s="52">
        <f>P4-P7</f>
        <v>58.86500000000004</v>
      </c>
      <c r="Q8" s="52">
        <f>Q4-Q7</f>
        <v>63.887</v>
      </c>
      <c r="R8" s="52">
        <f>R4-R7</f>
        <v>15.876961380000012</v>
      </c>
      <c r="S8" s="52">
        <f>S4-S7</f>
        <v>20.54920708399999</v>
      </c>
      <c r="T8" s="52">
        <f>T4-T7</f>
        <v>24.66834522652499</v>
      </c>
      <c r="U8" s="52">
        <f>U4-U7</f>
        <v>28.505749858003384</v>
      </c>
      <c r="V8" s="52">
        <f>V4-V7</f>
        <v>32.280712792390716</v>
      </c>
      <c r="W8" s="52">
        <f>W4-W7</f>
        <v>36.18218522777383</v>
      </c>
      <c r="X8" s="52">
        <f>X4-X7</f>
        <v>40.385512563320106</v>
      </c>
      <c r="Y8" s="52">
        <f>Y4-Y7</f>
        <v>45.066343329553405</v>
      </c>
      <c r="Z8" s="52">
        <f>Z4-Z7</f>
        <v>50.413348920408424</v>
      </c>
      <c r="AA8" s="52">
        <f>AA4-AA7</f>
        <v>56.64110779723626</v>
      </c>
    </row>
    <row r="9">
      <c r="A9" s="18" t="inlineStr">
        <is>
          <t>Interest &amp; Other</t>
        </is>
      </c>
      <c r="B9" s="52" t="n">
        <v>-0.887</v>
      </c>
      <c r="C9" s="52" t="n">
        <v>-0.433</v>
      </c>
      <c r="D9" s="52" t="n">
        <v>-2.307</v>
      </c>
      <c r="E9" s="52" t="n">
        <v>-1.373</v>
      </c>
      <c r="F9" s="52" t="n">
        <v>-0.048</v>
      </c>
      <c r="G9" s="52" t="n">
        <v>-0.08599999999999999</v>
      </c>
      <c r="H9" s="52" t="n">
        <v>-0.339</v>
      </c>
      <c r="I9" s="52" t="n">
        <v>-1.135</v>
      </c>
      <c r="J9" s="52" t="n">
        <v>0.527</v>
      </c>
      <c r="K9" s="52" t="n">
        <v>-4.425</v>
      </c>
      <c r="L9" s="52" t="n">
        <v>-16.145</v>
      </c>
      <c r="M9" s="52" t="n">
        <v>-2.987</v>
      </c>
      <c r="N9" s="52" t="n">
        <v>-15.264</v>
      </c>
      <c r="O9" s="52" t="n">
        <v>-15.694</v>
      </c>
      <c r="P9" s="52" t="n">
        <v>-1.15</v>
      </c>
      <c r="Q9" s="52" t="n">
        <v>2.375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</row>
    <row r="10">
      <c r="A10" s="2" t="inlineStr">
        <is>
          <t>Pretax</t>
        </is>
      </c>
      <c r="B10" s="52">
        <f>B8+B9</f>
        <v>-11.418999999999999</v>
      </c>
      <c r="C10" s="52">
        <f>C8+C9</f>
        <v>-10.194</v>
      </c>
      <c r="D10" s="52">
        <f>D8+D9</f>
        <v>-7.662999999999995</v>
      </c>
      <c r="E10" s="52">
        <f>E8+E9</f>
        <v>-4.01200000000001</v>
      </c>
      <c r="F10" s="52">
        <f>F8+F9</f>
        <v>7.051999999999994</v>
      </c>
      <c r="G10" s="52">
        <f>G8+G9</f>
        <v>24.277999999999977</v>
      </c>
      <c r="H10" s="52">
        <f>H8+H9</f>
        <v>0.5449999999999862</v>
      </c>
      <c r="I10" s="52">
        <f>I8+I9</f>
        <v>45.088000000000015</v>
      </c>
      <c r="J10" s="52">
        <f>J8+J9</f>
        <v>-3.397000000000035</v>
      </c>
      <c r="K10" s="52">
        <f>K8+K9</f>
        <v>-25.585000000000026</v>
      </c>
      <c r="L10" s="52">
        <f>L8+L9</f>
        <v>-61.54299999999999</v>
      </c>
      <c r="M10" s="52">
        <f>M8+M9</f>
        <v>-10.03799999999996</v>
      </c>
      <c r="N10" s="52">
        <f>N8+N9</f>
        <v>-29.990999999999975</v>
      </c>
      <c r="O10" s="52">
        <f>O8+O9</f>
        <v>21.421999999999954</v>
      </c>
      <c r="P10" s="52">
        <f>P8+P9</f>
        <v>57.71500000000004</v>
      </c>
      <c r="Q10" s="52">
        <f>Q8+Q9</f>
        <v>66.262</v>
      </c>
      <c r="R10" s="52">
        <f>R8+R9</f>
        <v>15.876961380000012</v>
      </c>
      <c r="S10" s="52">
        <f>S8+S9</f>
        <v>20.54920708399999</v>
      </c>
      <c r="T10" s="52">
        <f>T8+T9</f>
        <v>24.66834522652499</v>
      </c>
      <c r="U10" s="52">
        <f>U8+U9</f>
        <v>28.505749858003384</v>
      </c>
      <c r="V10" s="52">
        <f>V8+V9</f>
        <v>32.280712792390716</v>
      </c>
      <c r="W10" s="52">
        <f>W8+W9</f>
        <v>36.18218522777383</v>
      </c>
      <c r="X10" s="52">
        <f>X8+X9</f>
        <v>40.385512563320106</v>
      </c>
      <c r="Y10" s="52">
        <f>Y8+Y9</f>
        <v>45.066343329553405</v>
      </c>
      <c r="Z10" s="52">
        <f>Z8+Z9</f>
        <v>50.413348920408424</v>
      </c>
      <c r="AA10" s="52">
        <f>AA8+AA9</f>
        <v>56.64110779723626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0.1</v>
      </c>
      <c r="F11" s="52" t="n">
        <v>0.832</v>
      </c>
      <c r="G11" s="52" t="n">
        <v>-5.168</v>
      </c>
      <c r="H11" s="52" t="n">
        <v>0.155</v>
      </c>
      <c r="I11" s="52" t="n">
        <v>-19.639</v>
      </c>
      <c r="J11" s="52" t="n">
        <v>26.582</v>
      </c>
      <c r="K11" s="52" t="n">
        <v>-0.005</v>
      </c>
      <c r="L11" s="52" t="n">
        <v>-12.259</v>
      </c>
      <c r="M11" s="52" t="n">
        <v>0.247</v>
      </c>
      <c r="N11" s="52" t="n">
        <v>0.206</v>
      </c>
      <c r="O11" s="52" t="n">
        <v>-36.806</v>
      </c>
      <c r="P11" s="52" t="n">
        <v>15.296</v>
      </c>
      <c r="Q11" s="52" t="n">
        <v>17.684</v>
      </c>
      <c r="R11" s="52">
        <f>MAX(0,R10)*Assumptions!$E$14</f>
        <v>2.699083434600002</v>
      </c>
      <c r="S11" s="52">
        <f>MAX(0,S10)*Assumptions!$E$14</f>
        <v>3.493365204279998</v>
      </c>
      <c r="T11" s="52">
        <f>MAX(0,T10)*Assumptions!$E$14</f>
        <v>4.193618688509249</v>
      </c>
      <c r="U11" s="52">
        <f>MAX(0,U10)*Assumptions!$E$14</f>
        <v>4.845977475860575</v>
      </c>
      <c r="V11" s="52">
        <f>MAX(0,V10)*Assumptions!$E$14</f>
        <v>5.487721174706422</v>
      </c>
      <c r="W11" s="52">
        <f>MAX(0,W10)*Assumptions!$E$14</f>
        <v>6.150971488721551</v>
      </c>
      <c r="X11" s="52">
        <f>MAX(0,X10)*Assumptions!$E$14</f>
        <v>6.865537135764418</v>
      </c>
      <c r="Y11" s="52">
        <f>MAX(0,Y10)*Assumptions!$E$14</f>
        <v>7.66127836602408</v>
      </c>
      <c r="Z11" s="52">
        <f>MAX(0,Z10)*Assumptions!$E$14</f>
        <v>8.570269316469433</v>
      </c>
      <c r="AA11" s="52">
        <f>MAX(0,AA10)*Assumptions!$E$14</f>
        <v>9.628988325530164</v>
      </c>
    </row>
    <row r="12">
      <c r="A12" s="2" t="inlineStr">
        <is>
          <t>Net Income</t>
        </is>
      </c>
      <c r="B12" s="52" t="n">
        <v>-11.42</v>
      </c>
      <c r="C12" s="52" t="n">
        <v>-10.194</v>
      </c>
      <c r="D12" s="52" t="n">
        <v>-7.663</v>
      </c>
      <c r="E12" s="52" t="n">
        <v>-4.112</v>
      </c>
      <c r="F12" s="52" t="n">
        <v>6.22</v>
      </c>
      <c r="G12" s="52" t="n">
        <v>29.446</v>
      </c>
      <c r="H12" s="52" t="n">
        <v>0.39</v>
      </c>
      <c r="I12" s="52" t="n">
        <v>64.727</v>
      </c>
      <c r="J12" s="52" t="n">
        <v>-29.979</v>
      </c>
      <c r="K12" s="52" t="n">
        <v>-25.58</v>
      </c>
      <c r="L12" s="52" t="n">
        <v>-49.284</v>
      </c>
      <c r="M12" s="52" t="n">
        <v>-10.285</v>
      </c>
      <c r="N12" s="52" t="n">
        <v>-30.197</v>
      </c>
      <c r="O12" s="52" t="n">
        <v>58.228</v>
      </c>
      <c r="P12" s="52" t="n">
        <v>42.419</v>
      </c>
      <c r="Q12" s="52" t="n">
        <v>48.578</v>
      </c>
      <c r="R12" s="52">
        <f>R10-R11</f>
        <v>13.17787794540001</v>
      </c>
      <c r="S12" s="52">
        <f>S10-S11</f>
        <v>17.055841879719992</v>
      </c>
      <c r="T12" s="52">
        <f>T10-T11</f>
        <v>20.474726538015744</v>
      </c>
      <c r="U12" s="52">
        <f>U10-U11</f>
        <v>23.65977238214281</v>
      </c>
      <c r="V12" s="52">
        <f>V10-V11</f>
        <v>26.792991617684294</v>
      </c>
      <c r="W12" s="52">
        <f>W10-W11</f>
        <v>30.031213739052276</v>
      </c>
      <c r="X12" s="52">
        <f>X10-X11</f>
        <v>33.519975427555686</v>
      </c>
      <c r="Y12" s="52">
        <f>Y10-Y11</f>
        <v>37.40506496352933</v>
      </c>
      <c r="Z12" s="52">
        <f>Z10-Z11</f>
        <v>41.84307960393899</v>
      </c>
      <c r="AA12" s="52">
        <f>AA10-AA11</f>
        <v>47.01211947170609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-0.14070393374741202</v>
      </c>
      <c r="D13" s="11">
        <f>IFERROR(D12/D14,0)</f>
        <v>-0.09385640447786787</v>
      </c>
      <c r="E13" s="11">
        <f>IFERROR(E12/E14,0)</f>
        <v>-0.04270610472965956</v>
      </c>
      <c r="F13" s="11">
        <f>IFERROR(F12/F14,0)</f>
        <v>0.05490043779127241</v>
      </c>
      <c r="G13" s="11">
        <f>IFERROR(G12/G14,0)</f>
        <v>0.259143872989052</v>
      </c>
      <c r="H13" s="11">
        <f>IFERROR(H12/H14,0)</f>
        <v>0.0034621735347904053</v>
      </c>
      <c r="I13" s="11">
        <f>IFERROR(I12/I14,0)</f>
        <v>0.5574435468591212</v>
      </c>
      <c r="J13" s="11">
        <f>IFERROR(J12/J14,0)</f>
        <v>-0.28390279934846013</v>
      </c>
      <c r="K13" s="11">
        <f>IFERROR(K12/K14,0)</f>
        <v>-0.23918613131860939</v>
      </c>
      <c r="L13" s="11">
        <f>IFERROR(L12/L14,0)</f>
        <v>-0.4552500069279584</v>
      </c>
      <c r="M13" s="11">
        <f>IFERROR(M12/M14,0)</f>
        <v>-0.09320090980761737</v>
      </c>
      <c r="N13" s="11">
        <f>IFERROR(N12/N14,0)</f>
        <v>-0.2674454649319363</v>
      </c>
      <c r="O13" s="11">
        <f>IFERROR(O12/O14,0)</f>
        <v>0.39892574779737194</v>
      </c>
      <c r="P13" s="11">
        <f>IFERROR(P12/P14,0)</f>
        <v>0.284597682641279</v>
      </c>
      <c r="Q13" s="11">
        <f>IFERROR(Q12/Q14,0)</f>
        <v>0.3244481549507431</v>
      </c>
      <c r="R13" s="11">
        <f>IFERROR(R12/R14,0)</f>
        <v>0.0904077636839092</v>
      </c>
      <c r="S13" s="11">
        <f>IFERROR(S12/S14,0)</f>
        <v>0.11701280953433815</v>
      </c>
      <c r="T13" s="11">
        <f>IFERROR(T12/T14,0)</f>
        <v>0.14046830954203401</v>
      </c>
      <c r="U13" s="11">
        <f>IFERROR(U12/U14,0)</f>
        <v>0.1623195418262708</v>
      </c>
      <c r="V13" s="11">
        <f>IFERROR(V12/V14,0)</f>
        <v>0.18381521399673534</v>
      </c>
      <c r="W13" s="11">
        <f>IFERROR(W12/W14,0)</f>
        <v>0.20603126589201315</v>
      </c>
      <c r="X13" s="11">
        <f>IFERROR(X12/X14,0)</f>
        <v>0.2299661622076823</v>
      </c>
      <c r="Y13" s="11">
        <f>IFERROR(Y12/Y14,0)</f>
        <v>0.25662009375223277</v>
      </c>
      <c r="Z13" s="11">
        <f>IFERROR(Z12/Z14,0)</f>
        <v>0.2870674070828243</v>
      </c>
      <c r="AA13" s="11">
        <f>IFERROR(AA12/AA14,0)</f>
        <v>0.3225299706893511</v>
      </c>
    </row>
    <row r="14">
      <c r="A14" s="2" t="inlineStr">
        <is>
          <t>Shares</t>
        </is>
      </c>
      <c r="B14" s="52" t="n"/>
      <c r="C14" s="52" t="n">
        <v>72.45</v>
      </c>
      <c r="D14" s="52" t="n">
        <v>81.646</v>
      </c>
      <c r="E14" s="52" t="n">
        <v>96.286</v>
      </c>
      <c r="F14" s="52" t="n">
        <v>113.296</v>
      </c>
      <c r="G14" s="52" t="n">
        <v>113.628</v>
      </c>
      <c r="H14" s="52" t="n">
        <v>112.646</v>
      </c>
      <c r="I14" s="52" t="n">
        <v>116.114</v>
      </c>
      <c r="J14" s="52" t="n">
        <v>105.596</v>
      </c>
      <c r="K14" s="52" t="n">
        <v>106.946</v>
      </c>
      <c r="L14" s="52" t="n">
        <v>108.257</v>
      </c>
      <c r="M14" s="52" t="n">
        <v>110.353</v>
      </c>
      <c r="N14" s="52" t="n">
        <v>112.909</v>
      </c>
      <c r="O14" s="52" t="n">
        <v>145.962</v>
      </c>
      <c r="P14" s="52" t="n">
        <v>149.049</v>
      </c>
      <c r="Q14" s="52" t="n">
        <v>149.725</v>
      </c>
      <c r="R14" s="52">
        <f>Main!$C$4</f>
        <v>145.760468</v>
      </c>
      <c r="S14" s="52">
        <f>Main!$C$4</f>
        <v>145.760468</v>
      </c>
      <c r="T14" s="52">
        <f>Main!$C$4</f>
        <v>145.760468</v>
      </c>
      <c r="U14" s="52">
        <f>Main!$C$4</f>
        <v>145.760468</v>
      </c>
      <c r="V14" s="52">
        <f>Main!$C$4</f>
        <v>145.760468</v>
      </c>
      <c r="W14" s="52">
        <f>Main!$C$4</f>
        <v>145.760468</v>
      </c>
      <c r="X14" s="52">
        <f>Main!$C$4</f>
        <v>145.760468</v>
      </c>
      <c r="Y14" s="52">
        <f>Main!$C$4</f>
        <v>145.760468</v>
      </c>
      <c r="Z14" s="52">
        <f>Main!$C$4</f>
        <v>145.760468</v>
      </c>
      <c r="AA14" s="52">
        <f>Main!$C$4</f>
        <v>145.760468</v>
      </c>
    </row>
    <row r="15"/>
    <row r="16" customFormat="1" s="4">
      <c r="A16" s="3" t="inlineStr">
        <is>
          <t>Revenue Change</t>
        </is>
      </c>
      <c r="C16" s="15">
        <f>IFERROR(C2/B2-1,"")</f>
        <v>8.835234474017744</v>
      </c>
      <c r="D16" s="15">
        <f>IFERROR(D2/C2-1,"")</f>
        <v>2.486211340206186</v>
      </c>
      <c r="E16" s="15">
        <f>IFERROR(E2/D2-1,"")</f>
        <v>1.1875947214726645</v>
      </c>
      <c r="F16" s="15">
        <f>IFERROR(F2/E2-1,"")</f>
        <v>0.9976512732126865</v>
      </c>
      <c r="G16" s="15">
        <f>IFERROR(G2/F2-1,"")</f>
        <v>0.5842602539269008</v>
      </c>
      <c r="H16" s="15">
        <f>IFERROR(H2/G2-1,"")</f>
        <v>0.30816995557833593</v>
      </c>
      <c r="I16" s="15">
        <f>IFERROR(I2/H2-1,"")</f>
        <v>0.31069118217252023</v>
      </c>
      <c r="J16" s="15">
        <f>IFERROR(J2/I2-1,"")</f>
        <v>0.11824163368510199</v>
      </c>
      <c r="K16" s="15">
        <f>IFERROR(K2/J2-1,"")</f>
        <v>-0.16667826939302888</v>
      </c>
      <c r="L16" s="15">
        <f>IFERROR(L2/K2-1,"")</f>
        <v>-0.17049339192327606</v>
      </c>
      <c r="M16" s="15">
        <f>IFERROR(M2/L2-1,"")</f>
        <v>-0.02503686038173658</v>
      </c>
      <c r="N16" s="15">
        <f>IFERROR(N2/M2-1,"")</f>
        <v>0.10669410252914036</v>
      </c>
      <c r="O16" s="15">
        <f>IFERROR(O2/N2-1,"")</f>
        <v>0.20025313525561805</v>
      </c>
      <c r="P16" s="15">
        <f>IFERROR(P2/O2-1,"")</f>
        <v>0.08523782416782555</v>
      </c>
      <c r="Q16" s="15">
        <f>IFERROR(Q2/P2-1,"")</f>
        <v>0.1999289151826278</v>
      </c>
      <c r="R16" s="15">
        <f>IFERROR(R2/Q2-1,"")</f>
        <v>-0.09999999999999998</v>
      </c>
      <c r="S16" s="15">
        <f>IFERROR(S2/R2-1,"")</f>
        <v>-0.08611111111111114</v>
      </c>
      <c r="T16" s="15">
        <f>IFERROR(T2/S2-1,"")</f>
        <v>-0.07222222222222219</v>
      </c>
      <c r="U16" s="15">
        <f>IFERROR(U2/T2-1,"")</f>
        <v>-0.05833333333333324</v>
      </c>
      <c r="V16" s="15">
        <f>IFERROR(V2/U2-1,"")</f>
        <v>-0.04444444444444451</v>
      </c>
      <c r="W16" s="15">
        <f>IFERROR(W2/V2-1,"")</f>
        <v>-0.030555555555555558</v>
      </c>
      <c r="X16" s="15">
        <f>IFERROR(X2/W2-1,"")</f>
        <v>-0.01666666666666683</v>
      </c>
      <c r="Y16" s="15">
        <f>IFERROR(Y2/X2-1,"")</f>
        <v>-0.002777777777777768</v>
      </c>
      <c r="Z16" s="15">
        <f>IFERROR(Z2/Y2-1,"")</f>
        <v>0.011111111111111072</v>
      </c>
      <c r="AA16" s="15">
        <f>IFERROR(AA2/Z2-1,"")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-1.179974651457541</v>
      </c>
      <c r="C17" s="15">
        <f>IFERROR(C4/C2,"")</f>
        <v>0.5672680412371133</v>
      </c>
      <c r="D17" s="15">
        <f>IFERROR(D4/D2,"")</f>
        <v>0.8082282926108011</v>
      </c>
      <c r="E17" s="15">
        <f>IFERROR(E4/E2,"")</f>
        <v>0.842381845524746</v>
      </c>
      <c r="F17" s="15">
        <f>IFERROR(F4/F2,"")</f>
        <v>0.8928719453913366</v>
      </c>
      <c r="G17" s="15">
        <f>IFERROR(G4/G2,"")</f>
        <v>0.8921386468477703</v>
      </c>
      <c r="H17" s="15">
        <f>IFERROR(H4/H2,"")</f>
        <v>0.8677346284921332</v>
      </c>
      <c r="I17" s="15">
        <f>IFERROR(I4/I2,"")</f>
        <v>0.89033097817456</v>
      </c>
      <c r="J17" s="15">
        <f>IFERROR(J4/J2,"")</f>
        <v>0.8986775676601384</v>
      </c>
      <c r="K17" s="15">
        <f>IFERROR(K4/K2,"")</f>
        <v>0.8560391639237439</v>
      </c>
      <c r="L17" s="15">
        <f>IFERROR(L4/L2,"")</f>
        <v>0.8415607853879806</v>
      </c>
      <c r="M17" s="15">
        <f>IFERROR(M4/M2,"")</f>
        <v>0.8362607894421513</v>
      </c>
      <c r="N17" s="15">
        <f>IFERROR(N4/N2,"")</f>
        <v>0.8196093951262129</v>
      </c>
      <c r="O17" s="15">
        <f>IFERROR(O4/O2,"")</f>
        <v>0.8300531608793164</v>
      </c>
      <c r="P17" s="15">
        <f>IFERROR(P4/P2,"")</f>
        <v>0.8278113615322218</v>
      </c>
      <c r="Q17" s="15">
        <f>IFERROR(Q4/Q2,"")</f>
        <v>0.8255906170126364</v>
      </c>
      <c r="R17" s="15">
        <f>IFERROR(R4/R2,"")</f>
        <v>0.8255999999999999</v>
      </c>
      <c r="S17" s="15">
        <f>IFERROR(S4/S2,"")</f>
        <v>0.8256</v>
      </c>
      <c r="T17" s="15">
        <f>IFERROR(T4/T2,"")</f>
        <v>0.8256000000000001</v>
      </c>
      <c r="U17" s="15">
        <f>IFERROR(U4/U2,"")</f>
        <v>0.8256</v>
      </c>
      <c r="V17" s="15">
        <f>IFERROR(V4/V2,"")</f>
        <v>0.8256</v>
      </c>
      <c r="W17" s="15">
        <f>IFERROR(W4/W2,"")</f>
        <v>0.8256</v>
      </c>
      <c r="X17" s="15">
        <f>IFERROR(X4/X2,"")</f>
        <v>0.8256</v>
      </c>
      <c r="Y17" s="15">
        <f>IFERROR(Y4/Y2,"")</f>
        <v>0.8256</v>
      </c>
      <c r="Z17" s="15">
        <f>IFERROR(Z4/Z2,"")</f>
        <v>0.8256</v>
      </c>
      <c r="AA17" s="15">
        <f>IFERROR(AA4/AA2,"")</f>
        <v>0.8256</v>
      </c>
    </row>
    <row r="18">
      <c r="A18" s="14" t="inlineStr">
        <is>
          <t>Operating Margin</t>
        </is>
      </c>
      <c r="B18" s="15">
        <f>IFERROR(B8/B2,"")</f>
        <v>-13.348542458808616</v>
      </c>
      <c r="C18" s="15">
        <f>IFERROR(C8/C2,"")</f>
        <v>-1.2578608247422682</v>
      </c>
      <c r="D18" s="15">
        <f>IFERROR(D8/D2,"")</f>
        <v>-0.19798173954829387</v>
      </c>
      <c r="E18" s="15">
        <f>IFERROR(E8/E2,"")</f>
        <v>-0.044592014328923305</v>
      </c>
      <c r="F18" s="15">
        <f>IFERROR(F8/F2,"")</f>
        <v>0.06005599587220756</v>
      </c>
      <c r="G18" s="15">
        <f>IFERROR(G8/G2,"")</f>
        <v>0.13008286348880904</v>
      </c>
      <c r="H18" s="15">
        <f>IFERROR(H8/H2,"")</f>
        <v>0.0036079423708751963</v>
      </c>
      <c r="I18" s="15">
        <f>IFERROR(I8/I2,"")</f>
        <v>0.14393455793285778</v>
      </c>
      <c r="J18" s="15">
        <f>IFERROR(J8/J2,"")</f>
        <v>-0.010926983578893532</v>
      </c>
      <c r="K18" s="15">
        <f>IFERROR(K8/K2,"")</f>
        <v>-0.07070892716913678</v>
      </c>
      <c r="L18" s="15">
        <f>IFERROR(L8/L2,"")</f>
        <v>-0.18288389181175824</v>
      </c>
      <c r="M18" s="15">
        <f>IFERROR(M8/M2,"")</f>
        <v>-0.029134076250211593</v>
      </c>
      <c r="N18" s="15">
        <f>IFERROR(N8/N2,"")</f>
        <v>-0.05498411370925278</v>
      </c>
      <c r="O18" s="15">
        <f>IFERROR(O8/O2,"")</f>
        <v>0.11545460483953739</v>
      </c>
      <c r="P18" s="15">
        <f>IFERROR(P8/P2,"")</f>
        <v>0.16872611994416412</v>
      </c>
      <c r="Q18" s="15">
        <f>IFERROR(Q8/Q2,"")</f>
        <v>0.15260970307909133</v>
      </c>
      <c r="R18" s="15">
        <f>IFERROR(R8/R2,"")</f>
        <v>0.04214000000000003</v>
      </c>
      <c r="S18" s="15">
        <f>IFERROR(S8/S2,"")</f>
        <v>0.05967999999999997</v>
      </c>
      <c r="T18" s="15">
        <f>IFERROR(T8/T2,"")</f>
        <v>0.07721999999999997</v>
      </c>
      <c r="U18" s="15">
        <f>IFERROR(U8/U2,"")</f>
        <v>0.09476</v>
      </c>
      <c r="V18" s="15">
        <f>IFERROR(V8/V2,"")</f>
        <v>0.11229999999999997</v>
      </c>
      <c r="W18" s="15">
        <f>IFERROR(W8/W2,"")</f>
        <v>0.12984000000000004</v>
      </c>
      <c r="X18" s="15">
        <f>IFERROR(X8/X2,"")</f>
        <v>0.14737999999999998</v>
      </c>
      <c r="Y18" s="15">
        <f>IFERROR(Y8/Y2,"")</f>
        <v>0.16492000000000007</v>
      </c>
      <c r="Z18" s="15">
        <f>IFERROR(Z8/Z2,"")</f>
        <v>0.18245999999999998</v>
      </c>
      <c r="AA18" s="15">
        <f>IFERROR(AA8/AA2,"")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MiMedx Group,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0.0246</v>
      </c>
    </row>
    <row r="19">
      <c r="A19" s="14" t="inlineStr">
        <is>
          <t>Gross margin (forecast)</t>
        </is>
      </c>
      <c r="B19" s="53" t="n">
        <v>0.8256</v>
      </c>
    </row>
    <row r="20">
      <c r="A20" s="14" t="inlineStr">
        <is>
          <t>R&amp;D share of operating expense (forecast)</t>
        </is>
      </c>
      <c r="B20" s="53" t="n">
        <v>0.0536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Model'!Q2</f>
        <v>418.63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328.3669164717733</v>
      </c>
      <c r="C29" s="56">
        <f>NPV!B26</f>
        <v>446.9999164717733</v>
      </c>
      <c r="D29" s="35">
        <f>NPV!B28</f>
        <v>3.0666745421795247</v>
      </c>
      <c r="E29" s="57">
        <f>NPV!B30</f>
        <v>-0.2750178387282448</v>
      </c>
    </row>
    <row r="30">
      <c r="A30" s="58" t="n">
        <v>1</v>
      </c>
      <c r="B30" s="59">
        <f t="dataTable" ref="B30:E32" r1="B4"/>
        <v>194.0004620846581</v>
      </c>
      <c r="C30" s="59">
        <v>312.63346208465805</v>
      </c>
      <c r="D30" s="39">
        <v>2.1448439784417954</v>
      </c>
      <c r="E30" s="60">
        <v>-0.49294468594756613</v>
      </c>
    </row>
    <row r="31">
      <c r="A31" s="58" t="n">
        <v>2</v>
      </c>
      <c r="B31" s="59">
        <v>328.3669164717733</v>
      </c>
      <c r="C31" s="59">
        <v>446.9999164717733</v>
      </c>
      <c r="D31" s="39">
        <v>3.0666745421795247</v>
      </c>
      <c r="E31" s="60">
        <v>-0.2750178387282448</v>
      </c>
    </row>
    <row r="32">
      <c r="A32" s="58" t="n">
        <v>3</v>
      </c>
      <c r="B32" s="59">
        <v>577.1890597144559</v>
      </c>
      <c r="C32" s="59">
        <v>695.8220597144558</v>
      </c>
      <c r="D32" s="39">
        <v>4.773736454485422</v>
      </c>
      <c r="E32" s="60">
        <v>0.12854289704147082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3.0666745421795247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3.4264993975357854</v>
      </c>
      <c r="C37" s="39">
        <v>3.540855750081581</v>
      </c>
      <c r="D37" s="39">
        <v>3.6695363234109912</v>
      </c>
      <c r="E37" s="39">
        <v>3.815407041003382</v>
      </c>
      <c r="F37" s="39">
        <v>3.9821526846663624</v>
      </c>
    </row>
    <row r="38">
      <c r="A38" s="62" t="n">
        <v>0.115</v>
      </c>
      <c r="B38" s="39">
        <v>3.1474560347104084</v>
      </c>
      <c r="C38" s="39">
        <v>3.235602234792292</v>
      </c>
      <c r="D38" s="39">
        <v>3.3335671996406617</v>
      </c>
      <c r="E38" s="39">
        <v>3.443084530000788</v>
      </c>
      <c r="F38" s="39">
        <v>3.5663212455077984</v>
      </c>
    </row>
    <row r="39">
      <c r="A39" s="62" t="n">
        <v>0.125</v>
      </c>
      <c r="B39" s="39">
        <v>2.9208669376691163</v>
      </c>
      <c r="C39" s="39">
        <v>2.9902890973982816</v>
      </c>
      <c r="D39" s="39">
        <v>3.0666745421795247</v>
      </c>
      <c r="E39" s="39">
        <v>3.151123463396494</v>
      </c>
      <c r="F39" s="39">
        <v>3.24498055484613</v>
      </c>
    </row>
    <row r="40">
      <c r="A40" s="62" t="n">
        <v>0.135</v>
      </c>
      <c r="B40" s="39">
        <v>2.733466439614444</v>
      </c>
      <c r="C40" s="39">
        <v>2.7891198570359497</v>
      </c>
      <c r="D40" s="39">
        <v>2.849850951681553</v>
      </c>
      <c r="E40" s="39">
        <v>2.9163857137507003</v>
      </c>
      <c r="F40" s="39">
        <v>2.989595344403416</v>
      </c>
    </row>
    <row r="41">
      <c r="A41" s="62" t="n">
        <v>0.145</v>
      </c>
      <c r="B41" s="39">
        <v>2.5760859159853258</v>
      </c>
      <c r="C41" s="39">
        <v>2.621369018329517</v>
      </c>
      <c r="D41" s="39">
        <v>2.6704418255886546</v>
      </c>
      <c r="E41" s="39">
        <v>2.7237991622655358</v>
      </c>
      <c r="F41" s="39">
        <v>2.7820258318906808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MiMedx Group, Inc.: free-cash-flow DCF ($mm)</t>
        </is>
      </c>
    </row>
    <row r="3">
      <c r="A3" s="20" t="inlineStr">
        <is>
          <t>Fiscal year</t>
        </is>
      </c>
      <c r="B3" s="43">
        <f>'Yearly Model'!Q1</f>
        <v>2025</v>
      </c>
      <c r="C3" s="43">
        <f>'Yearly Model'!R1</f>
        <v>2026</v>
      </c>
      <c r="D3" s="43">
        <f>'Yearly Model'!S1</f>
        <v>2027</v>
      </c>
      <c r="E3" s="43">
        <f>'Yearly Model'!T1</f>
        <v>2028</v>
      </c>
      <c r="F3" s="43">
        <f>'Yearly Model'!U1</f>
        <v>2029</v>
      </c>
      <c r="G3" s="43">
        <f>'Yearly Model'!V1</f>
        <v>2030</v>
      </c>
      <c r="H3" s="43">
        <f>'Yearly Model'!W1</f>
        <v>2031</v>
      </c>
      <c r="I3" s="43">
        <f>'Yearly Model'!X1</f>
        <v>2032</v>
      </c>
      <c r="J3" s="43">
        <f>'Yearly Model'!Y1</f>
        <v>2033</v>
      </c>
      <c r="K3" s="43">
        <f>'Yearly Model'!Z1</f>
        <v>2034</v>
      </c>
      <c r="L3" s="43">
        <f>'Yearly Model'!AA1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0.15260970307909133</v>
      </c>
      <c r="C6" s="63">
        <f>Assumptions!$B$18+(Assumptions!$E$13-Assumptions!$B$18)*C4/Assumptions!$B$21</f>
        <v>0.04214</v>
      </c>
      <c r="D6" s="63">
        <f>Assumptions!$B$18+(Assumptions!$E$13-Assumptions!$B$18)*D4/Assumptions!$B$21</f>
        <v>0.05968</v>
      </c>
      <c r="E6" s="63">
        <f>Assumptions!$B$18+(Assumptions!$E$13-Assumptions!$B$18)*E4/Assumptions!$B$21</f>
        <v>0.07722</v>
      </c>
      <c r="F6" s="63">
        <f>Assumptions!$B$18+(Assumptions!$E$13-Assumptions!$B$18)*F4/Assumptions!$B$21</f>
        <v>0.09476</v>
      </c>
      <c r="G6" s="63">
        <f>Assumptions!$B$18+(Assumptions!$E$13-Assumptions!$B$18)*G4/Assumptions!$B$21</f>
        <v>0.1123</v>
      </c>
      <c r="H6" s="63">
        <f>Assumptions!$B$18+(Assumptions!$E$13-Assumptions!$B$18)*H4/Assumptions!$B$21</f>
        <v>0.12984</v>
      </c>
      <c r="I6" s="63">
        <f>Assumptions!$B$18+(Assumptions!$E$13-Assumptions!$B$18)*I4/Assumptions!$B$21</f>
        <v>0.14738</v>
      </c>
      <c r="J6" s="63">
        <f>Assumptions!$B$18+(Assumptions!$E$13-Assumptions!$B$18)*J4/Assumptions!$B$21</f>
        <v>0.16492</v>
      </c>
      <c r="K6" s="63">
        <f>Assumptions!$B$18+(Assumptions!$E$13-Assumptions!$B$18)*K4/Assumptions!$B$21</f>
        <v>0.18246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Model'!Q2</f>
        <v>418.63</v>
      </c>
      <c r="C7" s="55">
        <f>'Yearly Model'!R2</f>
        <v>376.767</v>
      </c>
      <c r="D7" s="55">
        <f>'Yearly Model'!S2</f>
        <v>344.323175</v>
      </c>
      <c r="E7" s="55">
        <f>'Yearly Model'!T2</f>
        <v>319.4553901388889</v>
      </c>
      <c r="F7" s="55">
        <f>'Yearly Model'!U2</f>
        <v>300.8204923807871</v>
      </c>
      <c r="G7" s="55">
        <f>'Yearly Model'!V2</f>
        <v>287.4506927194187</v>
      </c>
      <c r="H7" s="55">
        <f>'Yearly Model'!W2</f>
        <v>278.6674771085476</v>
      </c>
      <c r="I7" s="55">
        <f>'Yearly Model'!X2</f>
        <v>274.0230191567384</v>
      </c>
      <c r="J7" s="55">
        <f>'Yearly Model'!Y2</f>
        <v>273.2618441035253</v>
      </c>
      <c r="K7" s="55">
        <f>'Yearly Model'!Z2</f>
        <v>276.29808681578663</v>
      </c>
      <c r="L7" s="55">
        <f>'Yearly Model'!AA2</f>
        <v>283.2055389861813</v>
      </c>
    </row>
    <row r="8">
      <c r="A8" s="14" t="inlineStr">
        <is>
          <t>Operating income</t>
        </is>
      </c>
      <c r="B8" s="55">
        <f>'Yearly Model'!Q8</f>
        <v>63.887</v>
      </c>
      <c r="C8" s="55">
        <f>'Yearly Model'!R8</f>
        <v>15.876961380000012</v>
      </c>
      <c r="D8" s="55">
        <f>'Yearly Model'!S8</f>
        <v>20.54920708399999</v>
      </c>
      <c r="E8" s="55">
        <f>'Yearly Model'!T8</f>
        <v>24.66834522652499</v>
      </c>
      <c r="F8" s="55">
        <f>'Yearly Model'!U8</f>
        <v>28.505749858003384</v>
      </c>
      <c r="G8" s="55">
        <f>'Yearly Model'!V8</f>
        <v>32.280712792390716</v>
      </c>
      <c r="H8" s="55">
        <f>'Yearly Model'!W8</f>
        <v>36.18218522777383</v>
      </c>
      <c r="I8" s="55">
        <f>'Yearly Model'!X8</f>
        <v>40.385512563320106</v>
      </c>
      <c r="J8" s="55">
        <f>'Yearly Model'!Y8</f>
        <v>45.066343329553405</v>
      </c>
      <c r="K8" s="55">
        <f>'Yearly Model'!Z8</f>
        <v>50.413348920408424</v>
      </c>
      <c r="L8" s="55">
        <f>'Yearly Model'!AA8</f>
        <v>56.64110779723626</v>
      </c>
    </row>
    <row r="9">
      <c r="A9" s="14" t="inlineStr">
        <is>
          <t>Tax on operating income</t>
        </is>
      </c>
      <c r="C9" s="52">
        <f>MAX(0,C8)*Assumptions!$E$14</f>
        <v>2.699083434600002</v>
      </c>
      <c r="D9" s="52">
        <f>MAX(0,D8)*Assumptions!$E$14</f>
        <v>3.493365204279998</v>
      </c>
      <c r="E9" s="52">
        <f>MAX(0,E8)*Assumptions!$E$14</f>
        <v>4.193618688509249</v>
      </c>
      <c r="F9" s="52">
        <f>MAX(0,F8)*Assumptions!$E$14</f>
        <v>4.845977475860575</v>
      </c>
      <c r="G9" s="52">
        <f>MAX(0,G8)*Assumptions!$E$14</f>
        <v>5.487721174706422</v>
      </c>
      <c r="H9" s="52">
        <f>MAX(0,H8)*Assumptions!$E$14</f>
        <v>6.150971488721551</v>
      </c>
      <c r="I9" s="52">
        <f>MAX(0,I8)*Assumptions!$E$14</f>
        <v>6.865537135764418</v>
      </c>
      <c r="J9" s="52">
        <f>MAX(0,J8)*Assumptions!$E$14</f>
        <v>7.66127836602408</v>
      </c>
      <c r="K9" s="52">
        <f>MAX(0,K8)*Assumptions!$E$14</f>
        <v>8.570269316469433</v>
      </c>
      <c r="L9" s="52">
        <f>MAX(0,L8)*Assumptions!$E$14</f>
        <v>9.628988325530164</v>
      </c>
    </row>
    <row r="10">
      <c r="A10" s="14" t="inlineStr">
        <is>
          <t>NOPAT</t>
        </is>
      </c>
      <c r="C10" s="52">
        <f>C8-C9</f>
        <v>13.17787794540001</v>
      </c>
      <c r="D10" s="52">
        <f>D8-D9</f>
        <v>17.055841879719992</v>
      </c>
      <c r="E10" s="52">
        <f>E8-E9</f>
        <v>20.474726538015744</v>
      </c>
      <c r="F10" s="52">
        <f>F8-F9</f>
        <v>23.65977238214281</v>
      </c>
      <c r="G10" s="52">
        <f>G8-G9</f>
        <v>26.792991617684294</v>
      </c>
      <c r="H10" s="52">
        <f>H8-H9</f>
        <v>30.031213739052276</v>
      </c>
      <c r="I10" s="52">
        <f>I8-I9</f>
        <v>33.519975427555686</v>
      </c>
      <c r="J10" s="52">
        <f>J8-J9</f>
        <v>37.40506496352933</v>
      </c>
      <c r="K10" s="52">
        <f>K8-K9</f>
        <v>41.84307960393899</v>
      </c>
      <c r="L10" s="52">
        <f>L8-L9</f>
        <v>47.01211947170609</v>
      </c>
    </row>
    <row r="11">
      <c r="A11" s="14" t="inlineStr">
        <is>
          <t>Reinvestment</t>
        </is>
      </c>
      <c r="C11" s="52">
        <f>(C7-B7)*Assumptions!$E$15</f>
        <v>-10.46575</v>
      </c>
      <c r="D11" s="52">
        <f>(D7-C7)*Assumptions!$E$15</f>
        <v>-8.110956250000001</v>
      </c>
      <c r="E11" s="52">
        <f>(E7-D7)*Assumptions!$E$15</f>
        <v>-6.216946215277773</v>
      </c>
      <c r="F11" s="52">
        <f>(F7-E7)*Assumptions!$E$15</f>
        <v>-4.658724439525457</v>
      </c>
      <c r="G11" s="52">
        <f>(G7-F7)*Assumptions!$E$15</f>
        <v>-3.342449915342087</v>
      </c>
      <c r="H11" s="52">
        <f>(H7-G7)*Assumptions!$E$15</f>
        <v>-2.1958039027177847</v>
      </c>
      <c r="I11" s="52">
        <f>(I7-H7)*Assumptions!$E$15</f>
        <v>-1.1611144879522897</v>
      </c>
      <c r="J11" s="52">
        <f>(J7-I7)*Assumptions!$E$15</f>
        <v>-0.19029376330328773</v>
      </c>
      <c r="K11" s="52">
        <f>(K7-J7)*Assumptions!$E$15</f>
        <v>0.7590606780653388</v>
      </c>
      <c r="L11" s="52">
        <f>(L7-K7)*Assumptions!$E$15</f>
        <v>1.7268630425986657</v>
      </c>
    </row>
    <row r="12">
      <c r="A12" s="20" t="inlineStr">
        <is>
          <t>Free cash flow</t>
        </is>
      </c>
      <c r="C12" s="64">
        <f>C10-C11</f>
        <v>23.64362794540001</v>
      </c>
      <c r="D12" s="64">
        <f>D10-D11</f>
        <v>25.166798129719993</v>
      </c>
      <c r="E12" s="64">
        <f>E10-E11</f>
        <v>26.691672753293517</v>
      </c>
      <c r="F12" s="64">
        <f>F10-F11</f>
        <v>28.318496821668266</v>
      </c>
      <c r="G12" s="64">
        <f>G10-G11</f>
        <v>30.13544153302638</v>
      </c>
      <c r="H12" s="64">
        <f>H10-H11</f>
        <v>32.22701764177006</v>
      </c>
      <c r="I12" s="64">
        <f>I10-I11</f>
        <v>34.681089915507975</v>
      </c>
      <c r="J12" s="64">
        <f>J10-J11</f>
        <v>37.595358726832615</v>
      </c>
      <c r="K12" s="64">
        <f>K10-K11</f>
        <v>41.08401892587365</v>
      </c>
      <c r="L12" s="64">
        <f>L10-L11</f>
        <v>45.28525642910743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11.570118869798925</v>
      </c>
      <c r="D16" s="64">
        <f>D12*D13*D15</f>
        <v>22.359686892456683</v>
      </c>
      <c r="E16" s="64">
        <f>E12*E13*E15</f>
        <v>21.079534757511983</v>
      </c>
      <c r="F16" s="64">
        <f>F12*F13*F15</f>
        <v>19.879383141959856</v>
      </c>
      <c r="G16" s="64">
        <f>G12*G13*G15</f>
        <v>18.80432479354773</v>
      </c>
      <c r="H16" s="64">
        <f>H12*H13*H15</f>
        <v>17.875071153872476</v>
      </c>
      <c r="I16" s="64">
        <f>I12*I13*I15</f>
        <v>17.098888387502953</v>
      </c>
      <c r="J16" s="64">
        <f>J12*J13*J15</f>
        <v>16.476192243845375</v>
      </c>
      <c r="K16" s="64">
        <f>K12*K13*K15</f>
        <v>16.004533346573314</v>
      </c>
      <c r="L16" s="64">
        <f>L12*L13*L15</f>
        <v>15.681023437154696</v>
      </c>
    </row>
    <row r="19">
      <c r="A19" s="14" t="inlineStr">
        <is>
          <t>PV of forecast free cash flow</t>
        </is>
      </c>
      <c r="B19" s="52">
        <f>SUM(C16:L16)</f>
        <v>176.828757024224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46.417387839835115</v>
      </c>
    </row>
    <row r="21">
      <c r="A21" s="14" t="inlineStr">
        <is>
          <t>Terminal value</t>
        </is>
      </c>
      <c r="B21" s="52">
        <f>B20/(Assumptions!$E$10-Assumptions!$E$11)</f>
        <v>464.1738783983511</v>
      </c>
    </row>
    <row r="22">
      <c r="A22" s="14" t="inlineStr">
        <is>
          <t>PV of terminal value</t>
        </is>
      </c>
      <c r="B22" s="52">
        <f>B21/(1+Assumptions!$E$10)^(L14+0.5)</f>
        <v>151.53815944754933</v>
      </c>
    </row>
    <row r="23">
      <c r="A23" s="20" t="inlineStr">
        <is>
          <t>Enterprise value</t>
        </is>
      </c>
      <c r="B23" s="66">
        <f>B19+B22</f>
        <v>328.3669164717733</v>
      </c>
    </row>
    <row r="24">
      <c r="A24" s="14" t="inlineStr">
        <is>
          <t>Cash &amp; investments</t>
        </is>
      </c>
      <c r="B24" s="55">
        <f>Main!C7</f>
        <v>135.839</v>
      </c>
    </row>
    <row r="25">
      <c r="A25" s="14" t="inlineStr">
        <is>
          <t>Debt</t>
        </is>
      </c>
      <c r="B25" s="55">
        <f>Main!C8</f>
        <v>17.206</v>
      </c>
    </row>
    <row r="26">
      <c r="A26" s="20" t="inlineStr">
        <is>
          <t>Equity value</t>
        </is>
      </c>
      <c r="B26" s="66">
        <f>B23+B24-B25</f>
        <v>446.9999164717733</v>
      </c>
    </row>
    <row r="27">
      <c r="A27" s="14" t="inlineStr">
        <is>
          <t>Shares (mm)</t>
        </is>
      </c>
      <c r="B27" s="55">
        <f>Main!C4</f>
        <v>145.760468</v>
      </c>
    </row>
    <row r="28">
      <c r="A28" s="20" t="inlineStr">
        <is>
          <t>NPV / share</t>
        </is>
      </c>
      <c r="B28" s="49">
        <f>B26/B27</f>
        <v>3.0666745421795247</v>
      </c>
    </row>
    <row r="29">
      <c r="A29" s="14" t="inlineStr">
        <is>
          <t>Price</t>
        </is>
      </c>
      <c r="B29" s="50">
        <f>Main!C3</f>
        <v>4.23</v>
      </c>
    </row>
    <row r="30">
      <c r="A30" s="14" t="inlineStr">
        <is>
          <t>Upside</t>
        </is>
      </c>
      <c r="B30" s="63">
        <f>B28/B29-1</f>
        <v>-0.2750178387282448</v>
      </c>
    </row>
    <row r="31">
      <c r="A31" s="14" t="inlineStr">
        <is>
          <t>Terminal value, % of EV</t>
        </is>
      </c>
      <c r="B31" s="63">
        <f>IFERROR(B22/B23,0)</f>
        <v>0.4614903385389486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2026-10-21T06:24:40Z</dcterms:modified>
  <cp:lastModifiedBy>Wang, Eric</cp:lastModifiedBy>
</cp:coreProperties>
</file>