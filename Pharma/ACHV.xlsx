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Achieve Life Sciences, Inc.</t>
        </is>
      </c>
      <c r="C2" s="10" t="n"/>
    </row>
    <row r="3">
      <c r="B3" t="inlineStr">
        <is>
          <t>Price</t>
        </is>
      </c>
      <c r="C3" s="11">
        <f>INDEX([1]Pharma!$F$1:$F$1000,MATCH("ACHV",[1]Pharma!$B$1:$B$1000,0))</f>
        <v>6.51</v>
      </c>
      <c r="F3" s="1" t="n"/>
    </row>
    <row r="4">
      <c r="B4" t="inlineStr">
        <is>
          <t>Shares</t>
        </is>
      </c>
      <c r="C4" s="21" t="n">
        <v>102.90249</v>
      </c>
      <c r="F4" s="1" t="n"/>
    </row>
    <row r="5">
      <c r="B5" t="inlineStr">
        <is>
          <t>Market Cap.</t>
        </is>
      </c>
      <c r="C5" s="13">
        <f>C3*C4</f>
        <v>669.8952098999999</v>
      </c>
      <c r="F5" s="1" t="n"/>
    </row>
    <row r="6"/>
    <row r="7">
      <c r="B7" t="inlineStr">
        <is>
          <t>Cash</t>
        </is>
      </c>
      <c r="C7" s="21">
        <f>47.958+139.345</f>
        <v>187.303</v>
      </c>
    </row>
    <row r="8">
      <c r="B8" t="inlineStr">
        <is>
          <t>Debt</t>
        </is>
      </c>
      <c r="C8" s="21">
        <f>7.454+7.458</f>
        <v>14.911999999999999</v>
      </c>
    </row>
    <row r="9">
      <c r="B9" t="inlineStr">
        <is>
          <t>Enterprise V.</t>
        </is>
      </c>
      <c r="C9" s="13">
        <f>C5-C7+C8</f>
        <v>497.5042098999999</v>
      </c>
    </row>
    <row r="10"/>
    <row r="11">
      <c r="B11" s="14" t="inlineStr">
        <is>
          <t>Net Cash / Share</t>
        </is>
      </c>
      <c r="C11" s="11">
        <f>(C7-C8)/C4</f>
        <v>1.6752850198279943</v>
      </c>
    </row>
    <row r="12">
      <c r="B12" s="14" t="inlineStr">
        <is>
          <t>Upside</t>
        </is>
      </c>
      <c r="C12" s="15">
        <f>IFERROR(C11/C3-1,"")</f>
        <v>-0.7426597511784955</v>
      </c>
    </row>
    <row r="13">
      <c r="B13" s="14" t="inlineStr">
        <is>
          <t>Cash / Share</t>
        </is>
      </c>
      <c r="C13" s="11">
        <f>IFERROR((C7-C8)/C4,"")</f>
        <v>1.6752850198279943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-47.017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3.6665674117872253</v>
      </c>
    </row>
    <row r="19">
      <c r="B19" s="14" t="inlineStr">
        <is>
          <t>Implied Pipeline Value</t>
        </is>
      </c>
      <c r="C19" s="13">
        <f>C9</f>
        <v>497.5042098999999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</row>
    <row r="5">
      <c r="A5" s="2" t="inlineStr">
        <is>
          <t>Research &amp; Dev.</t>
        </is>
      </c>
      <c r="B5" s="23" t="n">
        <v>20.209</v>
      </c>
      <c r="C5" s="23" t="n">
        <v>18.483</v>
      </c>
      <c r="D5" s="23" t="n">
        <v>21.553</v>
      </c>
      <c r="E5" s="23" t="n">
        <v>39.948</v>
      </c>
      <c r="F5" s="23" t="n">
        <v>55.317</v>
      </c>
      <c r="G5" s="23" t="n">
        <v>46.224</v>
      </c>
      <c r="H5" s="23" t="n">
        <v>25.108</v>
      </c>
      <c r="I5" s="23" t="n">
        <v>0.286</v>
      </c>
      <c r="J5" s="23" t="n">
        <v>3.101</v>
      </c>
      <c r="K5" s="23" t="n">
        <v>5.868</v>
      </c>
      <c r="L5" s="23" t="n">
        <v>9.673999999999999</v>
      </c>
      <c r="M5" s="23" t="n">
        <v>6.882</v>
      </c>
      <c r="N5" s="23" t="n">
        <v>23.966</v>
      </c>
      <c r="O5" s="23" t="n">
        <v>30.078</v>
      </c>
      <c r="P5" s="23" t="n">
        <v>15.814</v>
      </c>
      <c r="Q5" s="23" t="n">
        <v>22.817</v>
      </c>
      <c r="R5" s="23" t="n">
        <v>0</v>
      </c>
    </row>
    <row r="6">
      <c r="A6" s="19" t="inlineStr">
        <is>
          <t>SG&amp;A &amp; Other</t>
        </is>
      </c>
      <c r="B6" s="23" t="n">
        <v>3.961</v>
      </c>
      <c r="C6" s="23" t="n">
        <v>5.84</v>
      </c>
      <c r="D6" s="23" t="n">
        <v>6.23</v>
      </c>
      <c r="E6" s="23" t="n">
        <v>7.791</v>
      </c>
      <c r="F6" s="23" t="n">
        <v>9.891999999999999</v>
      </c>
      <c r="G6" s="23" t="n">
        <v>10.358</v>
      </c>
      <c r="H6" s="23" t="n">
        <v>11.805</v>
      </c>
      <c r="I6" s="23" t="n">
        <v>1.428</v>
      </c>
      <c r="J6" s="23" t="n">
        <v>3.531</v>
      </c>
      <c r="K6" s="23" t="n">
        <v>6.945</v>
      </c>
      <c r="L6" s="23" t="n">
        <v>6.854</v>
      </c>
      <c r="M6" s="23" t="n">
        <v>7.868</v>
      </c>
      <c r="N6" s="23" t="n">
        <v>9.128</v>
      </c>
      <c r="O6" s="23" t="n">
        <v>10.722</v>
      </c>
      <c r="P6" s="23" t="n">
        <v>11.436</v>
      </c>
      <c r="Q6" s="23" t="n">
        <v>16.252</v>
      </c>
      <c r="R6" s="23" t="n">
        <v>54.648</v>
      </c>
    </row>
    <row r="7">
      <c r="A7" s="2" t="inlineStr">
        <is>
          <t>Operating Expense</t>
        </is>
      </c>
      <c r="B7" s="23">
        <f>SUM(B5:B6)</f>
        <v>24.169999999999998</v>
      </c>
      <c r="C7" s="23">
        <f>SUM(C5:C6)</f>
        <v>24.323</v>
      </c>
      <c r="D7" s="23">
        <f>SUM(D5:D6)</f>
        <v>27.783</v>
      </c>
      <c r="E7" s="23">
        <f>SUM(E5:E6)</f>
        <v>47.739000000000004</v>
      </c>
      <c r="F7" s="23">
        <f>SUM(F5:F6)</f>
        <v>65.209</v>
      </c>
      <c r="G7" s="23">
        <f>SUM(G5:G6)</f>
        <v>56.581999999999994</v>
      </c>
      <c r="H7" s="23">
        <f>SUM(H5:H6)</f>
        <v>36.913</v>
      </c>
      <c r="I7" s="23">
        <f>SUM(I5:I6)</f>
        <v>1.714</v>
      </c>
      <c r="J7" s="23">
        <f>SUM(J5:J6)</f>
        <v>6.632</v>
      </c>
      <c r="K7" s="23">
        <f>SUM(K5:K6)</f>
        <v>12.813</v>
      </c>
      <c r="L7" s="23">
        <f>SUM(L5:L6)</f>
        <v>16.528</v>
      </c>
      <c r="M7" s="23">
        <f>SUM(M5:M6)</f>
        <v>14.75</v>
      </c>
      <c r="N7" s="23">
        <f>SUM(N5:N6)</f>
        <v>33.094</v>
      </c>
      <c r="O7" s="23">
        <f>SUM(O5:O6)</f>
        <v>40.8</v>
      </c>
      <c r="P7" s="23">
        <f>SUM(P5:P6)</f>
        <v>27.25</v>
      </c>
      <c r="Q7" s="23">
        <f>SUM(Q5:Q6)</f>
        <v>39.069</v>
      </c>
      <c r="R7" s="23">
        <f>SUM(R5:R6)</f>
        <v>54.648</v>
      </c>
    </row>
    <row r="8">
      <c r="A8" s="2" t="inlineStr">
        <is>
          <t>Operating Income</t>
        </is>
      </c>
      <c r="B8" s="23">
        <f>B4-B7</f>
        <v>-24.169999999999998</v>
      </c>
      <c r="C8" s="23">
        <f>C4-C7</f>
        <v>-24.323</v>
      </c>
      <c r="D8" s="23">
        <f>D4-D7</f>
        <v>-27.783</v>
      </c>
      <c r="E8" s="23">
        <f>E4-E7</f>
        <v>-47.739000000000004</v>
      </c>
      <c r="F8" s="23">
        <f>F4-F7</f>
        <v>-65.209</v>
      </c>
      <c r="G8" s="23">
        <f>G4-G7</f>
        <v>-56.581999999999994</v>
      </c>
      <c r="H8" s="23">
        <f>H4-H7</f>
        <v>-36.913</v>
      </c>
      <c r="I8" s="23">
        <f>I4-I7</f>
        <v>-1.714</v>
      </c>
      <c r="J8" s="23">
        <f>J4-J7</f>
        <v>-6.632</v>
      </c>
      <c r="K8" s="23">
        <f>K4-K7</f>
        <v>-12.813</v>
      </c>
      <c r="L8" s="23">
        <f>L4-L7</f>
        <v>-16.528</v>
      </c>
      <c r="M8" s="23">
        <f>M4-M7</f>
        <v>-14.75</v>
      </c>
      <c r="N8" s="23">
        <f>N4-N7</f>
        <v>-33.094</v>
      </c>
      <c r="O8" s="23">
        <f>O4-O7</f>
        <v>-40.8</v>
      </c>
      <c r="P8" s="23">
        <f>P4-P7</f>
        <v>-27.25</v>
      </c>
      <c r="Q8" s="23">
        <f>Q4-Q7</f>
        <v>-39.069</v>
      </c>
      <c r="R8" s="23">
        <f>R4-R7</f>
        <v>-54.648</v>
      </c>
    </row>
    <row r="9">
      <c r="A9" s="19" t="inlineStr">
        <is>
          <t>Interest &amp; Other</t>
        </is>
      </c>
      <c r="B9" s="23" t="n">
        <v>21.705</v>
      </c>
      <c r="C9" s="23" t="n">
        <v>8.739000000000001</v>
      </c>
      <c r="D9" s="23" t="n">
        <v>13.11</v>
      </c>
      <c r="E9" s="23" t="n">
        <v>26.641</v>
      </c>
      <c r="F9" s="23" t="n">
        <v>33.36</v>
      </c>
      <c r="G9" s="23" t="n">
        <v>30.342</v>
      </c>
      <c r="H9" s="23" t="n">
        <v>36.085</v>
      </c>
      <c r="I9" s="23" t="n">
        <v>0.48</v>
      </c>
      <c r="J9" s="23" t="n">
        <v>-3.951</v>
      </c>
      <c r="K9" s="23" t="n">
        <v>0.126</v>
      </c>
      <c r="L9" s="23" t="n">
        <v>0.133</v>
      </c>
      <c r="M9" s="23" t="n">
        <v>0.02</v>
      </c>
      <c r="N9" s="23" t="n">
        <v>-0.058</v>
      </c>
      <c r="O9" s="23" t="n">
        <v>-1.55</v>
      </c>
      <c r="P9" s="23" t="n">
        <v>-2.565</v>
      </c>
      <c r="Q9" s="23" t="n">
        <v>-0.758</v>
      </c>
      <c r="R9" s="23" t="n">
        <v>0</v>
      </c>
    </row>
    <row r="10">
      <c r="A10" s="2" t="inlineStr">
        <is>
          <t>Pretax</t>
        </is>
      </c>
      <c r="B10" s="23">
        <f>B8+B9</f>
        <v>-2.465</v>
      </c>
      <c r="C10" s="23">
        <f>C8+C9</f>
        <v>-15.584</v>
      </c>
      <c r="D10" s="23">
        <f>D8+D9</f>
        <v>-14.673000000000002</v>
      </c>
      <c r="E10" s="23">
        <f>E8+E9</f>
        <v>-21.098000000000006</v>
      </c>
      <c r="F10" s="23">
        <f>F8+F9</f>
        <v>-31.849000000000004</v>
      </c>
      <c r="G10" s="23">
        <f>G8+G9</f>
        <v>-26.239999999999995</v>
      </c>
      <c r="H10" s="23">
        <f>H8+H9</f>
        <v>-0.8279999999999959</v>
      </c>
      <c r="I10" s="23">
        <f>I8+I9</f>
        <v>-1.234</v>
      </c>
      <c r="J10" s="23">
        <f>J8+J9</f>
        <v>-10.583</v>
      </c>
      <c r="K10" s="23">
        <f>K8+K9</f>
        <v>-12.687000000000001</v>
      </c>
      <c r="L10" s="23">
        <f>L8+L9</f>
        <v>-16.395</v>
      </c>
      <c r="M10" s="23">
        <f>M8+M9</f>
        <v>-14.73</v>
      </c>
      <c r="N10" s="23">
        <f>N8+N9</f>
        <v>-33.152</v>
      </c>
      <c r="O10" s="23">
        <f>O8+O9</f>
        <v>-42.349999999999994</v>
      </c>
      <c r="P10" s="23">
        <f>P8+P9</f>
        <v>-29.815</v>
      </c>
      <c r="Q10" s="23">
        <f>Q8+Q9</f>
        <v>-39.827000000000005</v>
      </c>
      <c r="R10" s="23">
        <f>R8+R9</f>
        <v>-54.648</v>
      </c>
    </row>
    <row r="11">
      <c r="A11" s="2" t="inlineStr">
        <is>
          <t>Taxes</t>
        </is>
      </c>
      <c r="B11" s="23" t="n">
        <v>3.011</v>
      </c>
      <c r="C11" s="23" t="n">
        <v>-3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-5.476</v>
      </c>
      <c r="C12" s="23" t="n">
        <v>-12.584</v>
      </c>
      <c r="D12" s="23" t="n">
        <v>-14.673</v>
      </c>
      <c r="E12" s="23" t="n">
        <v>-21.098</v>
      </c>
      <c r="F12" s="23" t="n">
        <v>-31.849</v>
      </c>
      <c r="G12" s="23" t="n">
        <v>-26.24</v>
      </c>
      <c r="H12" s="23" t="n">
        <v>-0.828</v>
      </c>
      <c r="I12" s="23" t="n">
        <v>-1.234</v>
      </c>
      <c r="J12" s="23" t="n">
        <v>-10.583</v>
      </c>
      <c r="K12" s="23" t="n">
        <v>-12.687</v>
      </c>
      <c r="L12" s="23" t="n">
        <v>-16.395</v>
      </c>
      <c r="M12" s="23" t="n">
        <v>-14.73</v>
      </c>
      <c r="N12" s="23" t="n">
        <v>-33.152</v>
      </c>
      <c r="O12" s="23" t="n">
        <v>-42.35</v>
      </c>
      <c r="P12" s="23" t="n">
        <v>-29.815</v>
      </c>
      <c r="Q12" s="23" t="n">
        <v>-39.827</v>
      </c>
      <c r="R12" s="23" t="n">
        <v>-54.648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-26.21666666666667</v>
      </c>
      <c r="D13" s="11">
        <f>IFERROR(D12/D14,0)</f>
        <v>-22.09789156626506</v>
      </c>
      <c r="E13" s="11">
        <f>IFERROR(E12/E14,0)</f>
        <v>-22.85807150595883</v>
      </c>
      <c r="F13" s="11">
        <f>IFERROR(F12/F14,0)</f>
        <v>-31.753738783649055</v>
      </c>
      <c r="G13" s="11">
        <f>IFERROR(G12/G14,0)</f>
        <v>-21.22977346278317</v>
      </c>
      <c r="H13" s="11">
        <f>IFERROR(H12/H14,0)</f>
        <v>-0.6693613581244947</v>
      </c>
      <c r="I13" s="11">
        <f>IFERROR(I12/I14,0)</f>
        <v>-0.9975747776879547</v>
      </c>
      <c r="J13" s="11">
        <f>IFERROR(J12/J14,0)</f>
        <v>-8.562297734627832</v>
      </c>
      <c r="K13" s="11">
        <f>IFERROR(K12/K14,0)</f>
        <v>-10.264563106796116</v>
      </c>
      <c r="L13" s="11">
        <f>IFERROR(L12/L14,0)</f>
        <v>-13.253839935327404</v>
      </c>
      <c r="M13" s="11">
        <f>IFERROR(M12/M14,0)</f>
        <v>-1.8058109599117322</v>
      </c>
      <c r="N13" s="11">
        <f>IFERROR(N12/N14,0)</f>
        <v>-4.082758620689655</v>
      </c>
      <c r="O13" s="11">
        <f>IFERROR(O12/O14,0)</f>
        <v>-3.9979231568016615</v>
      </c>
      <c r="P13" s="11">
        <f>IFERROR(P12/P14,0)</f>
        <v>-1.5036816622957434</v>
      </c>
      <c r="Q13" s="11">
        <f>IFERROR(Q12/Q14,0)</f>
        <v>-1.2418384210033988</v>
      </c>
      <c r="R13" s="11">
        <f>IFERROR(R12/R14,0)</f>
        <v>-1.253538249799289</v>
      </c>
    </row>
    <row r="14">
      <c r="A14" s="2" t="inlineStr">
        <is>
          <t>Shares</t>
        </is>
      </c>
      <c r="B14" s="23" t="n"/>
      <c r="C14" s="23" t="n">
        <v>0.48</v>
      </c>
      <c r="D14" s="23" t="n">
        <v>0.664</v>
      </c>
      <c r="E14" s="23" t="n">
        <v>0.923</v>
      </c>
      <c r="F14" s="23" t="n">
        <v>1.003</v>
      </c>
      <c r="G14" s="23" t="n">
        <v>1.236</v>
      </c>
      <c r="H14" s="23" t="n">
        <v>1.237</v>
      </c>
      <c r="I14" s="23" t="n">
        <v>1.237</v>
      </c>
      <c r="J14" s="23" t="n">
        <v>1.236</v>
      </c>
      <c r="K14" s="23" t="n">
        <v>1.236</v>
      </c>
      <c r="L14" s="23" t="n">
        <v>1.237</v>
      </c>
      <c r="M14" s="23" t="n">
        <v>8.157</v>
      </c>
      <c r="N14" s="23" t="n">
        <v>8.119999999999999</v>
      </c>
      <c r="O14" s="23" t="n">
        <v>10.593</v>
      </c>
      <c r="P14" s="23" t="n">
        <v>19.828</v>
      </c>
      <c r="Q14" s="23" t="n">
        <v>32.071</v>
      </c>
      <c r="R14" s="23" t="n">
        <v>43.595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2026-10-21T01:05:00Z</dcterms:modified>
  <cp:lastModifiedBy>Wang, Eric</cp:lastModifiedBy>
</cp:coreProperties>
</file>