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Achieve Life Sciences, Inc.</t>
        </is>
      </c>
      <c r="C2" s="10" t="n"/>
    </row>
    <row r="3">
      <c r="B3" t="inlineStr">
        <is>
          <t>Price</t>
        </is>
      </c>
      <c r="C3" s="11">
        <f>INDEX([1]Pharma!$F$1:$F$1000,MATCH("ACHV",[1]Pharma!$B$1:$B$1000,0))</f>
        <v>6.51</v>
      </c>
      <c r="F3" s="1" t="n"/>
    </row>
    <row r="4">
      <c r="B4" t="inlineStr">
        <is>
          <t>Shares</t>
        </is>
      </c>
      <c r="C4" s="21" t="n">
        <v>102.90249</v>
      </c>
      <c r="F4" s="1" t="n"/>
    </row>
    <row r="5">
      <c r="B5" t="inlineStr">
        <is>
          <t>Market Cap.</t>
        </is>
      </c>
      <c r="C5" s="13">
        <f>C3*C4</f>
        <v>669.8952098999999</v>
      </c>
      <c r="F5" s="1" t="n"/>
    </row>
    <row r="6"/>
    <row r="7">
      <c r="B7" t="inlineStr">
        <is>
          <t>Cash</t>
        </is>
      </c>
      <c r="C7" s="21">
        <f>47.958+139.345</f>
        <v>187.303</v>
      </c>
    </row>
    <row r="8">
      <c r="B8" t="inlineStr">
        <is>
          <t>Debt</t>
        </is>
      </c>
      <c r="C8" s="21">
        <f>7.454+7.458</f>
        <v>14.911999999999999</v>
      </c>
    </row>
    <row r="9">
      <c r="B9" t="inlineStr">
        <is>
          <t>Enterprise V.</t>
        </is>
      </c>
      <c r="C9" s="13">
        <f>C5-C7+C8</f>
        <v>497.5042098999999</v>
      </c>
    </row>
    <row r="10"/>
    <row r="11">
      <c r="B11" s="14" t="inlineStr">
        <is>
          <t>rNPV / Share</t>
        </is>
      </c>
      <c r="C11" s="11">
        <f>NPV!B27</f>
        <v>11.24255396272695</v>
      </c>
    </row>
    <row r="12">
      <c r="B12" s="14" t="inlineStr">
        <is>
          <t>Upside</t>
        </is>
      </c>
      <c r="C12" s="15">
        <f>IFERROR(C11/C3-1,"")</f>
        <v>0.7269668145509909</v>
      </c>
    </row>
    <row r="13">
      <c r="B13" s="14" t="inlineStr">
        <is>
          <t>Cash / Share</t>
        </is>
      </c>
      <c r="C13" s="11">
        <f>IFERROR((C7-C8)/C4,"")</f>
        <v>1.6752850198279943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-47.017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3.6665674117872253</v>
      </c>
    </row>
    <row r="19">
      <c r="B19" s="14" t="inlineStr">
        <is>
          <t>Implied Pipeline Value</t>
        </is>
      </c>
      <c r="C19" s="13">
        <f>C9</f>
        <v>497.5042098999999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</row>
    <row r="5">
      <c r="A5" s="2" t="inlineStr">
        <is>
          <t>Research &amp; Dev.</t>
        </is>
      </c>
      <c r="B5" s="23" t="n">
        <v>20.209</v>
      </c>
      <c r="C5" s="23" t="n">
        <v>18.483</v>
      </c>
      <c r="D5" s="23" t="n">
        <v>21.553</v>
      </c>
      <c r="E5" s="23" t="n">
        <v>39.948</v>
      </c>
      <c r="F5" s="23" t="n">
        <v>55.317</v>
      </c>
      <c r="G5" s="23" t="n">
        <v>46.224</v>
      </c>
      <c r="H5" s="23" t="n">
        <v>25.108</v>
      </c>
      <c r="I5" s="23" t="n">
        <v>0.286</v>
      </c>
      <c r="J5" s="23" t="n">
        <v>3.101</v>
      </c>
      <c r="K5" s="23" t="n">
        <v>5.868</v>
      </c>
      <c r="L5" s="23" t="n">
        <v>9.673999999999999</v>
      </c>
      <c r="M5" s="23" t="n">
        <v>6.882</v>
      </c>
      <c r="N5" s="23" t="n">
        <v>23.966</v>
      </c>
      <c r="O5" s="23" t="n">
        <v>30.078</v>
      </c>
      <c r="P5" s="23" t="n">
        <v>15.814</v>
      </c>
      <c r="Q5" s="23" t="n">
        <v>22.817</v>
      </c>
      <c r="R5" s="23" t="n">
        <v>0</v>
      </c>
    </row>
    <row r="6">
      <c r="A6" s="19" t="inlineStr">
        <is>
          <t>SG&amp;A &amp; Other</t>
        </is>
      </c>
      <c r="B6" s="23" t="n">
        <v>3.961</v>
      </c>
      <c r="C6" s="23" t="n">
        <v>5.84</v>
      </c>
      <c r="D6" s="23" t="n">
        <v>6.23</v>
      </c>
      <c r="E6" s="23" t="n">
        <v>7.791</v>
      </c>
      <c r="F6" s="23" t="n">
        <v>9.891999999999999</v>
      </c>
      <c r="G6" s="23" t="n">
        <v>10.358</v>
      </c>
      <c r="H6" s="23" t="n">
        <v>11.805</v>
      </c>
      <c r="I6" s="23" t="n">
        <v>1.428</v>
      </c>
      <c r="J6" s="23" t="n">
        <v>3.531</v>
      </c>
      <c r="K6" s="23" t="n">
        <v>6.945</v>
      </c>
      <c r="L6" s="23" t="n">
        <v>6.854</v>
      </c>
      <c r="M6" s="23" t="n">
        <v>7.868</v>
      </c>
      <c r="N6" s="23" t="n">
        <v>9.128</v>
      </c>
      <c r="O6" s="23" t="n">
        <v>10.722</v>
      </c>
      <c r="P6" s="23" t="n">
        <v>11.436</v>
      </c>
      <c r="Q6" s="23" t="n">
        <v>16.252</v>
      </c>
      <c r="R6" s="23" t="n">
        <v>54.648</v>
      </c>
    </row>
    <row r="7">
      <c r="A7" s="2" t="inlineStr">
        <is>
          <t>Operating Expense</t>
        </is>
      </c>
      <c r="B7" s="23">
        <f>SUM(B5:B6)</f>
        <v>24.169999999999998</v>
      </c>
      <c r="C7" s="23">
        <f>SUM(C5:C6)</f>
        <v>24.323</v>
      </c>
      <c r="D7" s="23">
        <f>SUM(D5:D6)</f>
        <v>27.783</v>
      </c>
      <c r="E7" s="23">
        <f>SUM(E5:E6)</f>
        <v>47.739000000000004</v>
      </c>
      <c r="F7" s="23">
        <f>SUM(F5:F6)</f>
        <v>65.209</v>
      </c>
      <c r="G7" s="23">
        <f>SUM(G5:G6)</f>
        <v>56.581999999999994</v>
      </c>
      <c r="H7" s="23">
        <f>SUM(H5:H6)</f>
        <v>36.913</v>
      </c>
      <c r="I7" s="23">
        <f>SUM(I5:I6)</f>
        <v>1.714</v>
      </c>
      <c r="J7" s="23">
        <f>SUM(J5:J6)</f>
        <v>6.632</v>
      </c>
      <c r="K7" s="23">
        <f>SUM(K5:K6)</f>
        <v>12.813</v>
      </c>
      <c r="L7" s="23">
        <f>SUM(L5:L6)</f>
        <v>16.528</v>
      </c>
      <c r="M7" s="23">
        <f>SUM(M5:M6)</f>
        <v>14.75</v>
      </c>
      <c r="N7" s="23">
        <f>SUM(N5:N6)</f>
        <v>33.094</v>
      </c>
      <c r="O7" s="23">
        <f>SUM(O5:O6)</f>
        <v>40.8</v>
      </c>
      <c r="P7" s="23">
        <f>SUM(P5:P6)</f>
        <v>27.25</v>
      </c>
      <c r="Q7" s="23">
        <f>SUM(Q5:Q6)</f>
        <v>39.069</v>
      </c>
      <c r="R7" s="23">
        <f>SUM(R5:R6)</f>
        <v>54.648</v>
      </c>
    </row>
    <row r="8">
      <c r="A8" s="2" t="inlineStr">
        <is>
          <t>Operating Income</t>
        </is>
      </c>
      <c r="B8" s="23">
        <f>B4-B7</f>
        <v>-24.169999999999998</v>
      </c>
      <c r="C8" s="23">
        <f>C4-C7</f>
        <v>-24.323</v>
      </c>
      <c r="D8" s="23">
        <f>D4-D7</f>
        <v>-27.783</v>
      </c>
      <c r="E8" s="23">
        <f>E4-E7</f>
        <v>-47.739000000000004</v>
      </c>
      <c r="F8" s="23">
        <f>F4-F7</f>
        <v>-65.209</v>
      </c>
      <c r="G8" s="23">
        <f>G4-G7</f>
        <v>-56.581999999999994</v>
      </c>
      <c r="H8" s="23">
        <f>H4-H7</f>
        <v>-36.913</v>
      </c>
      <c r="I8" s="23">
        <f>I4-I7</f>
        <v>-1.714</v>
      </c>
      <c r="J8" s="23">
        <f>J4-J7</f>
        <v>-6.632</v>
      </c>
      <c r="K8" s="23">
        <f>K4-K7</f>
        <v>-12.813</v>
      </c>
      <c r="L8" s="23">
        <f>L4-L7</f>
        <v>-16.528</v>
      </c>
      <c r="M8" s="23">
        <f>M4-M7</f>
        <v>-14.75</v>
      </c>
      <c r="N8" s="23">
        <f>N4-N7</f>
        <v>-33.094</v>
      </c>
      <c r="O8" s="23">
        <f>O4-O7</f>
        <v>-40.8</v>
      </c>
      <c r="P8" s="23">
        <f>P4-P7</f>
        <v>-27.25</v>
      </c>
      <c r="Q8" s="23">
        <f>Q4-Q7</f>
        <v>-39.069</v>
      </c>
      <c r="R8" s="23">
        <f>R4-R7</f>
        <v>-54.648</v>
      </c>
    </row>
    <row r="9">
      <c r="A9" s="19" t="inlineStr">
        <is>
          <t>Interest &amp; Other</t>
        </is>
      </c>
      <c r="B9" s="23" t="n">
        <v>21.705</v>
      </c>
      <c r="C9" s="23" t="n">
        <v>8.739000000000001</v>
      </c>
      <c r="D9" s="23" t="n">
        <v>13.11</v>
      </c>
      <c r="E9" s="23" t="n">
        <v>26.641</v>
      </c>
      <c r="F9" s="23" t="n">
        <v>33.36</v>
      </c>
      <c r="G9" s="23" t="n">
        <v>30.342</v>
      </c>
      <c r="H9" s="23" t="n">
        <v>36.085</v>
      </c>
      <c r="I9" s="23" t="n">
        <v>0.48</v>
      </c>
      <c r="J9" s="23" t="n">
        <v>-3.951</v>
      </c>
      <c r="K9" s="23" t="n">
        <v>0.126</v>
      </c>
      <c r="L9" s="23" t="n">
        <v>0.133</v>
      </c>
      <c r="M9" s="23" t="n">
        <v>0.02</v>
      </c>
      <c r="N9" s="23" t="n">
        <v>-0.058</v>
      </c>
      <c r="O9" s="23" t="n">
        <v>-1.55</v>
      </c>
      <c r="P9" s="23" t="n">
        <v>-2.565</v>
      </c>
      <c r="Q9" s="23" t="n">
        <v>-0.758</v>
      </c>
      <c r="R9" s="23" t="n">
        <v>0</v>
      </c>
    </row>
    <row r="10">
      <c r="A10" s="2" t="inlineStr">
        <is>
          <t>Pretax</t>
        </is>
      </c>
      <c r="B10" s="23">
        <f>B8+B9</f>
        <v>-2.465</v>
      </c>
      <c r="C10" s="23">
        <f>C8+C9</f>
        <v>-15.584</v>
      </c>
      <c r="D10" s="23">
        <f>D8+D9</f>
        <v>-14.673000000000002</v>
      </c>
      <c r="E10" s="23">
        <f>E8+E9</f>
        <v>-21.098000000000006</v>
      </c>
      <c r="F10" s="23">
        <f>F8+F9</f>
        <v>-31.849000000000004</v>
      </c>
      <c r="G10" s="23">
        <f>G8+G9</f>
        <v>-26.239999999999995</v>
      </c>
      <c r="H10" s="23">
        <f>H8+H9</f>
        <v>-0.8279999999999959</v>
      </c>
      <c r="I10" s="23">
        <f>I8+I9</f>
        <v>-1.234</v>
      </c>
      <c r="J10" s="23">
        <f>J8+J9</f>
        <v>-10.583</v>
      </c>
      <c r="K10" s="23">
        <f>K8+K9</f>
        <v>-12.687000000000001</v>
      </c>
      <c r="L10" s="23">
        <f>L8+L9</f>
        <v>-16.395</v>
      </c>
      <c r="M10" s="23">
        <f>M8+M9</f>
        <v>-14.73</v>
      </c>
      <c r="N10" s="23">
        <f>N8+N9</f>
        <v>-33.152</v>
      </c>
      <c r="O10" s="23">
        <f>O8+O9</f>
        <v>-42.349999999999994</v>
      </c>
      <c r="P10" s="23">
        <f>P8+P9</f>
        <v>-29.815</v>
      </c>
      <c r="Q10" s="23">
        <f>Q8+Q9</f>
        <v>-39.827000000000005</v>
      </c>
      <c r="R10" s="23">
        <f>R8+R9</f>
        <v>-54.648</v>
      </c>
    </row>
    <row r="11">
      <c r="A11" s="2" t="inlineStr">
        <is>
          <t>Taxes</t>
        </is>
      </c>
      <c r="B11" s="23" t="n">
        <v>3.011</v>
      </c>
      <c r="C11" s="23" t="n">
        <v>-3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-5.476</v>
      </c>
      <c r="C12" s="23" t="n">
        <v>-12.584</v>
      </c>
      <c r="D12" s="23" t="n">
        <v>-14.673</v>
      </c>
      <c r="E12" s="23" t="n">
        <v>-21.098</v>
      </c>
      <c r="F12" s="23" t="n">
        <v>-31.849</v>
      </c>
      <c r="G12" s="23" t="n">
        <v>-26.24</v>
      </c>
      <c r="H12" s="23" t="n">
        <v>-0.828</v>
      </c>
      <c r="I12" s="23" t="n">
        <v>-1.234</v>
      </c>
      <c r="J12" s="23" t="n">
        <v>-10.583</v>
      </c>
      <c r="K12" s="23" t="n">
        <v>-12.687</v>
      </c>
      <c r="L12" s="23" t="n">
        <v>-16.395</v>
      </c>
      <c r="M12" s="23" t="n">
        <v>-14.73</v>
      </c>
      <c r="N12" s="23" t="n">
        <v>-33.152</v>
      </c>
      <c r="O12" s="23" t="n">
        <v>-42.35</v>
      </c>
      <c r="P12" s="23" t="n">
        <v>-29.815</v>
      </c>
      <c r="Q12" s="23" t="n">
        <v>-39.827</v>
      </c>
      <c r="R12" s="23" t="n">
        <v>-54.648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-26.21666666666667</v>
      </c>
      <c r="D13" s="11">
        <f>IFERROR(D12/D14,0)</f>
        <v>-22.09789156626506</v>
      </c>
      <c r="E13" s="11">
        <f>IFERROR(E12/E14,0)</f>
        <v>-22.85807150595883</v>
      </c>
      <c r="F13" s="11">
        <f>IFERROR(F12/F14,0)</f>
        <v>-31.753738783649055</v>
      </c>
      <c r="G13" s="11">
        <f>IFERROR(G12/G14,0)</f>
        <v>-21.22977346278317</v>
      </c>
      <c r="H13" s="11">
        <f>IFERROR(H12/H14,0)</f>
        <v>-0.6693613581244947</v>
      </c>
      <c r="I13" s="11">
        <f>IFERROR(I12/I14,0)</f>
        <v>-0.9975747776879547</v>
      </c>
      <c r="J13" s="11">
        <f>IFERROR(J12/J14,0)</f>
        <v>-8.562297734627832</v>
      </c>
      <c r="K13" s="11">
        <f>IFERROR(K12/K14,0)</f>
        <v>-10.264563106796116</v>
      </c>
      <c r="L13" s="11">
        <f>IFERROR(L12/L14,0)</f>
        <v>-13.253839935327404</v>
      </c>
      <c r="M13" s="11">
        <f>IFERROR(M12/M14,0)</f>
        <v>-1.8058109599117322</v>
      </c>
      <c r="N13" s="11">
        <f>IFERROR(N12/N14,0)</f>
        <v>-4.082758620689655</v>
      </c>
      <c r="O13" s="11">
        <f>IFERROR(O12/O14,0)</f>
        <v>-3.9979231568016615</v>
      </c>
      <c r="P13" s="11">
        <f>IFERROR(P12/P14,0)</f>
        <v>-1.5036816622957434</v>
      </c>
      <c r="Q13" s="11">
        <f>IFERROR(Q12/Q14,0)</f>
        <v>-1.2418384210033988</v>
      </c>
      <c r="R13" s="11">
        <f>IFERROR(R12/R14,0)</f>
        <v>-1.253538249799289</v>
      </c>
    </row>
    <row r="14">
      <c r="A14" s="2" t="inlineStr">
        <is>
          <t>Shares</t>
        </is>
      </c>
      <c r="B14" s="23" t="n"/>
      <c r="C14" s="23" t="n">
        <v>0.48</v>
      </c>
      <c r="D14" s="23" t="n">
        <v>0.664</v>
      </c>
      <c r="E14" s="23" t="n">
        <v>0.923</v>
      </c>
      <c r="F14" s="23" t="n">
        <v>1.003</v>
      </c>
      <c r="G14" s="23" t="n">
        <v>1.236</v>
      </c>
      <c r="H14" s="23" t="n">
        <v>1.237</v>
      </c>
      <c r="I14" s="23" t="n">
        <v>1.237</v>
      </c>
      <c r="J14" s="23" t="n">
        <v>1.236</v>
      </c>
      <c r="K14" s="23" t="n">
        <v>1.236</v>
      </c>
      <c r="L14" s="23" t="n">
        <v>1.237</v>
      </c>
      <c r="M14" s="23" t="n">
        <v>8.157</v>
      </c>
      <c r="N14" s="23" t="n">
        <v>8.119999999999999</v>
      </c>
      <c r="O14" s="23" t="n">
        <v>10.593</v>
      </c>
      <c r="P14" s="23" t="n">
        <v>19.828</v>
      </c>
      <c r="Q14" s="23" t="n">
        <v>32.071</v>
      </c>
      <c r="R14" s="23" t="n">
        <v>43.595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Achieve Life Sciences,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0.912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54.648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368.2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984.4957967239703</v>
      </c>
      <c r="C29" s="42">
        <f>NPV!B25</f>
        <v>1156.8867967239703</v>
      </c>
      <c r="D29" s="43">
        <f>NPV!B27</f>
        <v>11.24255396272695</v>
      </c>
      <c r="E29" s="44">
        <f>NPV!B29</f>
        <v>0.7269668145509909</v>
      </c>
    </row>
    <row r="30">
      <c r="A30" s="45" t="n">
        <v>1</v>
      </c>
      <c r="B30" s="46">
        <f t="dataTable" ref="B30:E32" r1="B4"/>
        <v>396.9676530817292</v>
      </c>
      <c r="C30" s="46">
        <v>569.3586530817292</v>
      </c>
      <c r="D30" s="47">
        <v>5.532991991561421</v>
      </c>
      <c r="E30" s="48">
        <v>-0.1500780350904114</v>
      </c>
    </row>
    <row r="31">
      <c r="A31" s="45" t="n">
        <v>2</v>
      </c>
      <c r="B31" s="46">
        <v>984.4957967239703</v>
      </c>
      <c r="C31" s="46">
        <v>1156.8867967239703</v>
      </c>
      <c r="D31" s="47">
        <v>11.24255396272695</v>
      </c>
      <c r="E31" s="48">
        <v>0.7269668145509909</v>
      </c>
    </row>
    <row r="32">
      <c r="A32" s="45" t="n">
        <v>3</v>
      </c>
      <c r="B32" s="46">
        <v>1705.427356153605</v>
      </c>
      <c r="C32" s="46">
        <v>1877.818356153605</v>
      </c>
      <c r="D32" s="47">
        <v>18.24852203434149</v>
      </c>
      <c r="E32" s="48">
        <v>1.8031523862275716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11.24255396272695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4.3747867712195605</v>
      </c>
      <c r="C37" s="47">
        <v>5.949679656983075</v>
      </c>
      <c r="D37" s="47">
        <v>7.499291310689175</v>
      </c>
      <c r="E37" s="47">
        <v>10.571558298401367</v>
      </c>
      <c r="F37" s="47">
        <v>13.628430165691153</v>
      </c>
    </row>
    <row r="38">
      <c r="A38" s="50" t="n">
        <v>0.8</v>
      </c>
      <c r="B38" s="47">
        <v>5.24882387631424</v>
      </c>
      <c r="C38" s="47">
        <v>7.3219309273035105</v>
      </c>
      <c r="D38" s="47">
        <v>9.374950796370497</v>
      </c>
      <c r="E38" s="47">
        <v>13.455410925641406</v>
      </c>
      <c r="F38" s="47">
        <v>17.516817193727388</v>
      </c>
    </row>
    <row r="39">
      <c r="A39" s="50" t="n">
        <v>1</v>
      </c>
      <c r="B39" s="47">
        <v>6.110279910911137</v>
      </c>
      <c r="C39" s="47">
        <v>8.68866726762788</v>
      </c>
      <c r="D39" s="47">
        <v>11.24255396272695</v>
      </c>
      <c r="E39" s="47">
        <v>16.328446386656143</v>
      </c>
      <c r="F39" s="47">
        <v>21.405204221763622</v>
      </c>
    </row>
    <row r="40">
      <c r="A40" s="50" t="n">
        <v>1.2</v>
      </c>
      <c r="B40" s="47">
        <v>6.384062810927844</v>
      </c>
      <c r="C40" s="47">
        <v>9.120114076759046</v>
      </c>
      <c r="D40" s="47">
        <v>11.83641900466047</v>
      </c>
      <c r="E40" s="47">
        <v>17.24202125912793</v>
      </c>
      <c r="F40" s="47">
        <v>22.637585379761845</v>
      </c>
    </row>
    <row r="41">
      <c r="A41" s="50" t="n">
        <v>1.4</v>
      </c>
      <c r="B41" s="47">
        <v>6.384062810927844</v>
      </c>
      <c r="C41" s="47">
        <v>9.120114076759046</v>
      </c>
      <c r="D41" s="47">
        <v>11.83641900466047</v>
      </c>
      <c r="E41" s="47">
        <v>17.24202125912793</v>
      </c>
      <c r="F41" s="47">
        <v>22.637585379761845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Achieve Life Sciences,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Anxiety / PTSD / addiction</t>
        </is>
      </c>
      <c r="C4" s="14" t="inlineStr">
        <is>
          <t>Cytisinicline</t>
        </is>
      </c>
      <c r="D4" s="14" t="inlineStr">
        <is>
          <t>Filed (NDA/BLA)</t>
        </is>
      </c>
      <c r="E4" s="14" t="inlineStr">
        <is>
          <t>Psychiatry / area</t>
        </is>
      </c>
      <c r="F4" s="14" t="inlineStr">
        <is>
          <t>Owned</t>
        </is>
      </c>
      <c r="G4" s="40" t="n">
        <v>800</v>
      </c>
      <c r="H4" s="27" t="n">
        <v>0.912</v>
      </c>
      <c r="I4" s="26" t="n">
        <v>2027</v>
      </c>
      <c r="J4" s="39">
        <f>I4+Assumptions!$B$25</f>
        <v>2039.0</v>
      </c>
      <c r="K4" s="53">
        <f>Assumptions!$E$13</f>
        <v>0.4</v>
      </c>
      <c r="L4" s="23">
        <f>K4*SUMPRODUCT(M4:AF4,NPV!$C$15:$V$15)</f>
        <v>1314.5403215007382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72.96000000000001</v>
      </c>
      <c r="O4" s="23">
        <f>IF(O$3&lt;$I4,0,$G4*Assumptions!$E$11*INDEX(Assumptions!$B$24:$G$24,MIN(6,O$3-$I4+1))*IF(O$3&gt;$J4,(1-Assumptions!$B$26)^(O$3-$J4),1)*IF($H4&gt;=1,1,MIN(0.97,$H4*Assumptions!$E$12)))</f>
        <v>182.4</v>
      </c>
      <c r="P4" s="23">
        <f>IF(P$3&lt;$I4,0,$G4*Assumptions!$E$11*INDEX(Assumptions!$B$24:$G$24,MIN(6,P$3-$I4+1))*IF(P$3&gt;$J4,(1-Assumptions!$B$26)^(P$3-$J4),1)*IF($H4&gt;=1,1,MIN(0.97,$H4*Assumptions!$E$12)))</f>
        <v>328.32</v>
      </c>
      <c r="Q4" s="23">
        <f>IF(Q$3&lt;$I4,0,$G4*Assumptions!$E$11*INDEX(Assumptions!$B$24:$G$24,MIN(6,Q$3-$I4+1))*IF(Q$3&gt;$J4,(1-Assumptions!$B$26)^(Q$3-$J4),1)*IF($H4&gt;=1,1,MIN(0.97,$H4*Assumptions!$E$12)))</f>
        <v>474.24</v>
      </c>
      <c r="R4" s="23">
        <f>IF(R$3&lt;$I4,0,$G4*Assumptions!$E$11*INDEX(Assumptions!$B$24:$G$24,MIN(6,R$3-$I4+1))*IF(R$3&gt;$J4,(1-Assumptions!$B$26)^(R$3-$J4),1)*IF($H4&gt;=1,1,MIN(0.97,$H4*Assumptions!$E$12)))</f>
        <v>620.16</v>
      </c>
      <c r="S4" s="23">
        <f>IF(S$3&lt;$I4,0,$G4*Assumptions!$E$11*INDEX(Assumptions!$B$24:$G$24,MIN(6,S$3-$I4+1))*IF(S$3&gt;$J4,(1-Assumptions!$B$26)^(S$3-$J4),1)*IF($H4&gt;=1,1,MIN(0.97,$H4*Assumptions!$E$12)))</f>
        <v>729.6</v>
      </c>
      <c r="T4" s="23">
        <f>IF(T$3&lt;$I4,0,$G4*Assumptions!$E$11*INDEX(Assumptions!$B$24:$G$24,MIN(6,T$3-$I4+1))*IF(T$3&gt;$J4,(1-Assumptions!$B$26)^(T$3-$J4),1)*IF($H4&gt;=1,1,MIN(0.97,$H4*Assumptions!$E$12)))</f>
        <v>729.6</v>
      </c>
      <c r="U4" s="23">
        <f>IF(U$3&lt;$I4,0,$G4*Assumptions!$E$11*INDEX(Assumptions!$B$24:$G$24,MIN(6,U$3-$I4+1))*IF(U$3&gt;$J4,(1-Assumptions!$B$26)^(U$3-$J4),1)*IF($H4&gt;=1,1,MIN(0.97,$H4*Assumptions!$E$12)))</f>
        <v>729.6</v>
      </c>
      <c r="V4" s="23">
        <f>IF(V$3&lt;$I4,0,$G4*Assumptions!$E$11*INDEX(Assumptions!$B$24:$G$24,MIN(6,V$3-$I4+1))*IF(V$3&gt;$J4,(1-Assumptions!$B$26)^(V$3-$J4),1)*IF($H4&gt;=1,1,MIN(0.97,$H4*Assumptions!$E$12)))</f>
        <v>729.6</v>
      </c>
      <c r="W4" s="23">
        <f>IF(W$3&lt;$I4,0,$G4*Assumptions!$E$11*INDEX(Assumptions!$B$24:$G$24,MIN(6,W$3-$I4+1))*IF(W$3&gt;$J4,(1-Assumptions!$B$26)^(W$3-$J4),1)*IF($H4&gt;=1,1,MIN(0.97,$H4*Assumptions!$E$12)))</f>
        <v>729.6</v>
      </c>
      <c r="X4" s="23">
        <f>IF(X$3&lt;$I4,0,$G4*Assumptions!$E$11*INDEX(Assumptions!$B$24:$G$24,MIN(6,X$3-$I4+1))*IF(X$3&gt;$J4,(1-Assumptions!$B$26)^(X$3-$J4),1)*IF($H4&gt;=1,1,MIN(0.97,$H4*Assumptions!$E$12)))</f>
        <v>729.6</v>
      </c>
      <c r="Y4" s="23">
        <f>IF(Y$3&lt;$I4,0,$G4*Assumptions!$E$11*INDEX(Assumptions!$B$24:$G$24,MIN(6,Y$3-$I4+1))*IF(Y$3&gt;$J4,(1-Assumptions!$B$26)^(Y$3-$J4),1)*IF($H4&gt;=1,1,MIN(0.97,$H4*Assumptions!$E$12)))</f>
        <v>729.6</v>
      </c>
      <c r="Z4" s="23">
        <f>IF(Z$3&lt;$I4,0,$G4*Assumptions!$E$11*INDEX(Assumptions!$B$24:$G$24,MIN(6,Z$3-$I4+1))*IF(Z$3&gt;$J4,(1-Assumptions!$B$26)^(Z$3-$J4),1)*IF($H4&gt;=1,1,MIN(0.97,$H4*Assumptions!$E$12)))</f>
        <v>729.6</v>
      </c>
      <c r="AA4" s="23">
        <f>IF(AA$3&lt;$I4,0,$G4*Assumptions!$E$11*INDEX(Assumptions!$B$24:$G$24,MIN(6,AA$3-$I4+1))*IF(AA$3&gt;$J4,(1-Assumptions!$B$26)^(AA$3-$J4),1)*IF($H4&gt;=1,1,MIN(0.97,$H4*Assumptions!$E$12)))</f>
        <v>364.8</v>
      </c>
      <c r="AB4" s="23">
        <f>IF(AB$3&lt;$I4,0,$G4*Assumptions!$E$11*INDEX(Assumptions!$B$24:$G$24,MIN(6,AB$3-$I4+1))*IF(AB$3&gt;$J4,(1-Assumptions!$B$26)^(AB$3-$J4),1)*IF($H4&gt;=1,1,MIN(0.97,$H4*Assumptions!$E$12)))</f>
        <v>182.4</v>
      </c>
      <c r="AC4" s="23">
        <f>IF(AC$3&lt;$I4,0,$G4*Assumptions!$E$11*INDEX(Assumptions!$B$24:$G$24,MIN(6,AC$3-$I4+1))*IF(AC$3&gt;$J4,(1-Assumptions!$B$26)^(AC$3-$J4),1)*IF($H4&gt;=1,1,MIN(0.97,$H4*Assumptions!$E$12)))</f>
        <v>91.2</v>
      </c>
      <c r="AD4" s="23">
        <f>IF(AD$3&lt;$I4,0,$G4*Assumptions!$E$11*INDEX(Assumptions!$B$24:$G$24,MIN(6,AD$3-$I4+1))*IF(AD$3&gt;$J4,(1-Assumptions!$B$26)^(AD$3-$J4),1)*IF($H4&gt;=1,1,MIN(0.97,$H4*Assumptions!$E$12)))</f>
        <v>45.6</v>
      </c>
      <c r="AE4" s="23">
        <f>IF(AE$3&lt;$I4,0,$G4*Assumptions!$E$11*INDEX(Assumptions!$B$24:$G$24,MIN(6,AE$3-$I4+1))*IF(AE$3&gt;$J4,(1-Assumptions!$B$26)^(AE$3-$J4),1)*IF($H4&gt;=1,1,MIN(0.97,$H4*Assumptions!$E$12)))</f>
        <v>22.8</v>
      </c>
      <c r="AF4" s="23">
        <f>IF(AF$3&lt;$I4,0,$G4*Assumptions!$E$11*INDEX(Assumptions!$B$24:$G$24,MIN(6,AF$3-$I4+1))*IF(AF$3&gt;$J4,(1-Assumptions!$B$26)^(AF$3-$J4),1)*IF($H4&gt;=1,1,MIN(0.97,$H4*Assumptions!$E$12)))</f>
        <v>11.4</v>
      </c>
      <c r="AG4" s="35">
        <f>IF(F4="Owned",1-IF(H4&gt;=1,1,MIN(0.97,H4*Assumptions!$E$12)),1)</f>
        <v>0.08799999999999997</v>
      </c>
    </row>
    <row r="5">
      <c r="B5" s="24" t="inlineStr">
        <is>
          <t>Risked revenue</t>
        </is>
      </c>
      <c r="L5" s="54">
        <f>SUM(L4:L4)</f>
        <v>1314.5403215007382</v>
      </c>
      <c r="M5" s="54">
        <f>SUM(M4:M4)</f>
        <v>0.0</v>
      </c>
      <c r="N5" s="54">
        <f>SUM(N4:N4)</f>
        <v>72.96000000000001</v>
      </c>
      <c r="O5" s="54">
        <f>SUM(O4:O4)</f>
        <v>182.4</v>
      </c>
      <c r="P5" s="54">
        <f>SUM(P4:P4)</f>
        <v>328.32</v>
      </c>
      <c r="Q5" s="54">
        <f>SUM(Q4:Q4)</f>
        <v>474.24</v>
      </c>
      <c r="R5" s="54">
        <f>SUM(R4:R4)</f>
        <v>620.16</v>
      </c>
      <c r="S5" s="54">
        <f>SUM(S4:S4)</f>
        <v>729.6</v>
      </c>
      <c r="T5" s="54">
        <f>SUM(T4:T4)</f>
        <v>729.6</v>
      </c>
      <c r="U5" s="54">
        <f>SUM(U4:U4)</f>
        <v>729.6</v>
      </c>
      <c r="V5" s="54">
        <f>SUM(V4:V4)</f>
        <v>729.6</v>
      </c>
      <c r="W5" s="54">
        <f>SUM(W4:W4)</f>
        <v>729.6</v>
      </c>
      <c r="X5" s="54">
        <f>SUM(X4:X4)</f>
        <v>729.6</v>
      </c>
      <c r="Y5" s="54">
        <f>SUM(Y4:Y4)</f>
        <v>729.6</v>
      </c>
      <c r="Z5" s="54">
        <f>SUM(Z4:Z4)</f>
        <v>729.6</v>
      </c>
      <c r="AA5" s="54">
        <f>SUM(AA4:AA4)</f>
        <v>364.8</v>
      </c>
      <c r="AB5" s="54">
        <f>SUM(AB4:AB4)</f>
        <v>182.4</v>
      </c>
      <c r="AC5" s="54">
        <f>SUM(AC4:AC4)</f>
        <v>91.2</v>
      </c>
      <c r="AD5" s="54">
        <f>SUM(AD4:AD4)</f>
        <v>45.6</v>
      </c>
      <c r="AE5" s="54">
        <f>SUM(AE4:AE4)</f>
        <v>22.8</v>
      </c>
      <c r="AF5" s="54">
        <f>SUM(AF4:AF4)</f>
        <v>11.4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29.184000000000005</v>
      </c>
      <c r="O6" s="55">
        <f>SUMPRODUCT(O4:O4,$K$4:$K$4)</f>
        <v>72.96000000000001</v>
      </c>
      <c r="P6" s="55">
        <f>SUMPRODUCT(P4:P4,$K$4:$K$4)</f>
        <v>131.328</v>
      </c>
      <c r="Q6" s="55">
        <f>SUMPRODUCT(Q4:Q4,$K$4:$K$4)</f>
        <v>189.69600000000003</v>
      </c>
      <c r="R6" s="55">
        <f>SUMPRODUCT(R4:R4,$K$4:$K$4)</f>
        <v>248.064</v>
      </c>
      <c r="S6" s="55">
        <f>SUMPRODUCT(S4:S4,$K$4:$K$4)</f>
        <v>291.84000000000003</v>
      </c>
      <c r="T6" s="55">
        <f>SUMPRODUCT(T4:T4,$K$4:$K$4)</f>
        <v>291.84000000000003</v>
      </c>
      <c r="U6" s="55">
        <f>SUMPRODUCT(U4:U4,$K$4:$K$4)</f>
        <v>291.84000000000003</v>
      </c>
      <c r="V6" s="55">
        <f>SUMPRODUCT(V4:V4,$K$4:$K$4)</f>
        <v>291.84000000000003</v>
      </c>
      <c r="W6" s="55">
        <f>SUMPRODUCT(W4:W4,$K$4:$K$4)</f>
        <v>291.84000000000003</v>
      </c>
      <c r="X6" s="55">
        <f>SUMPRODUCT(X4:X4,$K$4:$K$4)</f>
        <v>291.84000000000003</v>
      </c>
      <c r="Y6" s="55">
        <f>SUMPRODUCT(Y4:Y4,$K$4:$K$4)</f>
        <v>291.84000000000003</v>
      </c>
      <c r="Z6" s="55">
        <f>SUMPRODUCT(Z4:Z4,$K$4:$K$4)</f>
        <v>291.84000000000003</v>
      </c>
      <c r="AA6" s="55">
        <f>SUMPRODUCT(AA4:AA4,$K$4:$K$4)</f>
        <v>145.92000000000002</v>
      </c>
      <c r="AB6" s="55">
        <f>SUMPRODUCT(AB4:AB4,$K$4:$K$4)</f>
        <v>72.96000000000001</v>
      </c>
      <c r="AC6" s="55">
        <f>SUMPRODUCT(AC4:AC4,$K$4:$K$4)</f>
        <v>36.480000000000004</v>
      </c>
      <c r="AD6" s="55">
        <f>SUMPRODUCT(AD4:AD4,$K$4:$K$4)</f>
        <v>18.240000000000002</v>
      </c>
      <c r="AE6" s="55">
        <f>SUMPRODUCT(AE4:AE4,$K$4:$K$4)</f>
        <v>9.120000000000001</v>
      </c>
      <c r="AF6" s="55">
        <f>SUMPRODUCT(AF4:AF4,$K$4:$K$4)</f>
        <v>4.5600000000000005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Achieve Life Sciences,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72.96000000000001</v>
      </c>
      <c r="E4" s="57">
        <f>Pipeline!O5</f>
        <v>182.4</v>
      </c>
      <c r="F4" s="57">
        <f>Pipeline!P5</f>
        <v>328.32</v>
      </c>
      <c r="G4" s="57">
        <f>Pipeline!Q5</f>
        <v>474.24</v>
      </c>
      <c r="H4" s="57">
        <f>Pipeline!R5</f>
        <v>620.16</v>
      </c>
      <c r="I4" s="57">
        <f>Pipeline!S5</f>
        <v>729.6</v>
      </c>
      <c r="J4" s="57">
        <f>Pipeline!T5</f>
        <v>729.6</v>
      </c>
      <c r="K4" s="57">
        <f>Pipeline!U5</f>
        <v>729.6</v>
      </c>
      <c r="L4" s="57">
        <f>Pipeline!V5</f>
        <v>729.6</v>
      </c>
      <c r="M4" s="57">
        <f>Pipeline!W5</f>
        <v>729.6</v>
      </c>
      <c r="N4" s="57">
        <f>Pipeline!X5</f>
        <v>729.6</v>
      </c>
      <c r="O4" s="57">
        <f>Pipeline!Y5</f>
        <v>729.6</v>
      </c>
      <c r="P4" s="57">
        <f>Pipeline!Z5</f>
        <v>729.6</v>
      </c>
      <c r="Q4" s="57">
        <f>Pipeline!AA5</f>
        <v>364.8</v>
      </c>
      <c r="R4" s="57">
        <f>Pipeline!AB5</f>
        <v>182.4</v>
      </c>
      <c r="S4" s="57">
        <f>Pipeline!AC5</f>
        <v>91.2</v>
      </c>
      <c r="T4" s="57">
        <f>Pipeline!AD5</f>
        <v>45.6</v>
      </c>
      <c r="U4" s="57">
        <f>Pipeline!AE5</f>
        <v>22.8</v>
      </c>
      <c r="V4" s="57">
        <f>Pipeline!AF5</f>
        <v>11.4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29.184000000000005</v>
      </c>
      <c r="E5" s="57">
        <f>Pipeline!O6</f>
        <v>72.96000000000001</v>
      </c>
      <c r="F5" s="57">
        <f>Pipeline!P6</f>
        <v>131.328</v>
      </c>
      <c r="G5" s="57">
        <f>Pipeline!Q6</f>
        <v>189.69600000000003</v>
      </c>
      <c r="H5" s="57">
        <f>Pipeline!R6</f>
        <v>248.064</v>
      </c>
      <c r="I5" s="57">
        <f>Pipeline!S6</f>
        <v>291.84000000000003</v>
      </c>
      <c r="J5" s="57">
        <f>Pipeline!T6</f>
        <v>291.84000000000003</v>
      </c>
      <c r="K5" s="57">
        <f>Pipeline!U6</f>
        <v>291.84000000000003</v>
      </c>
      <c r="L5" s="57">
        <f>Pipeline!V6</f>
        <v>291.84000000000003</v>
      </c>
      <c r="M5" s="57">
        <f>Pipeline!W6</f>
        <v>291.84000000000003</v>
      </c>
      <c r="N5" s="57">
        <f>Pipeline!X6</f>
        <v>291.84000000000003</v>
      </c>
      <c r="O5" s="57">
        <f>Pipeline!Y6</f>
        <v>291.84000000000003</v>
      </c>
      <c r="P5" s="57">
        <f>Pipeline!Z6</f>
        <v>291.84000000000003</v>
      </c>
      <c r="Q5" s="57">
        <f>Pipeline!AA6</f>
        <v>145.92000000000002</v>
      </c>
      <c r="R5" s="57">
        <f>Pipeline!AB6</f>
        <v>72.96000000000001</v>
      </c>
      <c r="S5" s="57">
        <f>Pipeline!AC6</f>
        <v>36.480000000000004</v>
      </c>
      <c r="T5" s="57">
        <f>Pipeline!AD6</f>
        <v>18.240000000000002</v>
      </c>
      <c r="U5" s="57">
        <f>Pipeline!AE6</f>
        <v>9.120000000000001</v>
      </c>
      <c r="V5" s="57">
        <f>Pipeline!AF6</f>
        <v>4.5600000000000005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-54.648</v>
      </c>
      <c r="D6" s="23">
        <f>-IF(D3-2026&lt;Assumptions!$B$19,Assumptions!$B$18,Assumptions!$B$18*Assumptions!$B$20*Assumptions!$B$16)</f>
        <v>-14.951692800000002</v>
      </c>
      <c r="E6" s="23">
        <f>-IF(E3-2026&lt;Assumptions!$B$19,Assumptions!$B$18,Assumptions!$B$18*Assumptions!$B$20*Assumptions!$B$16)</f>
        <v>-14.951692800000002</v>
      </c>
      <c r="F6" s="23">
        <f>-IF(F3-2026&lt;Assumptions!$B$19,Assumptions!$B$18,Assumptions!$B$18*Assumptions!$B$20*Assumptions!$B$16)</f>
        <v>-14.951692800000002</v>
      </c>
      <c r="G6" s="23">
        <f>-IF(G3-2026&lt;Assumptions!$B$19,Assumptions!$B$18,Assumptions!$B$18*Assumptions!$B$20*Assumptions!$B$16)</f>
        <v>-14.951692800000002</v>
      </c>
      <c r="H6" s="23">
        <f>-IF(H3-2026&lt;Assumptions!$B$19,Assumptions!$B$18,Assumptions!$B$18*Assumptions!$B$20*Assumptions!$B$16)</f>
        <v>-14.951692800000002</v>
      </c>
      <c r="I6" s="23">
        <f>-IF(I3-2026&lt;Assumptions!$B$19,Assumptions!$B$18,Assumptions!$B$18*Assumptions!$B$20*Assumptions!$B$16)</f>
        <v>-14.951692800000002</v>
      </c>
      <c r="J6" s="23">
        <f>-IF(J3-2026&lt;Assumptions!$B$19,Assumptions!$B$18,Assumptions!$B$18*Assumptions!$B$20*Assumptions!$B$16)</f>
        <v>-14.951692800000002</v>
      </c>
      <c r="K6" s="23">
        <f>-IF(K3-2026&lt;Assumptions!$B$19,Assumptions!$B$18,Assumptions!$B$18*Assumptions!$B$20*Assumptions!$B$16)</f>
        <v>-14.951692800000002</v>
      </c>
      <c r="L6" s="23">
        <f>-IF(L3-2026&lt;Assumptions!$B$19,Assumptions!$B$18,Assumptions!$B$18*Assumptions!$B$20*Assumptions!$B$16)</f>
        <v>-14.951692800000002</v>
      </c>
      <c r="M6" s="23">
        <f>-IF(M3-2026&lt;Assumptions!$B$19,Assumptions!$B$18,Assumptions!$B$18*Assumptions!$B$20*Assumptions!$B$16)</f>
        <v>-14.951692800000002</v>
      </c>
      <c r="N6" s="23">
        <f>-IF(N3-2026&lt;Assumptions!$B$19,Assumptions!$B$18,Assumptions!$B$18*Assumptions!$B$20*Assumptions!$B$16)</f>
        <v>-14.951692800000002</v>
      </c>
      <c r="O6" s="23">
        <f>-IF(O3-2026&lt;Assumptions!$B$19,Assumptions!$B$18,Assumptions!$B$18*Assumptions!$B$20*Assumptions!$B$16)</f>
        <v>-14.951692800000002</v>
      </c>
      <c r="P6" s="23">
        <f>-IF(P3-2026&lt;Assumptions!$B$19,Assumptions!$B$18,Assumptions!$B$18*Assumptions!$B$20*Assumptions!$B$16)</f>
        <v>-14.951692800000002</v>
      </c>
      <c r="Q6" s="23">
        <f>-IF(Q3-2026&lt;Assumptions!$B$19,Assumptions!$B$18,Assumptions!$B$18*Assumptions!$B$20*Assumptions!$B$16)</f>
        <v>-14.951692800000002</v>
      </c>
      <c r="R6" s="23">
        <f>-IF(R3-2026&lt;Assumptions!$B$19,Assumptions!$B$18,Assumptions!$B$18*Assumptions!$B$20*Assumptions!$B$16)</f>
        <v>-14.951692800000002</v>
      </c>
      <c r="S6" s="23">
        <f>-IF(S3-2026&lt;Assumptions!$B$19,Assumptions!$B$18,Assumptions!$B$18*Assumptions!$B$20*Assumptions!$B$16)</f>
        <v>-14.951692800000002</v>
      </c>
      <c r="T6" s="23">
        <f>-IF(T3-2026&lt;Assumptions!$B$19,Assumptions!$B$18,Assumptions!$B$18*Assumptions!$B$20*Assumptions!$B$16)</f>
        <v>-14.951692800000002</v>
      </c>
      <c r="U6" s="23">
        <f>-IF(U3-2026&lt;Assumptions!$B$19,Assumptions!$B$18,Assumptions!$B$18*Assumptions!$B$20*Assumptions!$B$16)</f>
        <v>-14.951692800000002</v>
      </c>
      <c r="V6" s="23">
        <f>-IF(V3-2026&lt;Assumptions!$B$19,Assumptions!$B$18,Assumptions!$B$18*Assumptions!$B$20*Assumptions!$B$16)</f>
        <v>-14.951692800000002</v>
      </c>
    </row>
    <row r="7">
      <c r="A7" s="14" t="inlineStr">
        <is>
          <t>Pre-tax cash flow</t>
        </is>
      </c>
      <c r="C7" s="23">
        <f>C5+C6</f>
        <v>-54.648</v>
      </c>
      <c r="D7" s="23">
        <f>D5+D6</f>
        <v>14.232307200000003</v>
      </c>
      <c r="E7" s="23">
        <f>E5+E6</f>
        <v>58.008307200000004</v>
      </c>
      <c r="F7" s="23">
        <f>F5+F6</f>
        <v>116.3763072</v>
      </c>
      <c r="G7" s="23">
        <f>G5+G6</f>
        <v>174.74430720000004</v>
      </c>
      <c r="H7" s="23">
        <f>H5+H6</f>
        <v>233.1123072</v>
      </c>
      <c r="I7" s="23">
        <f>I5+I6</f>
        <v>276.88830720000004</v>
      </c>
      <c r="J7" s="23">
        <f>J5+J6</f>
        <v>276.88830720000004</v>
      </c>
      <c r="K7" s="23">
        <f>K5+K6</f>
        <v>276.88830720000004</v>
      </c>
      <c r="L7" s="23">
        <f>L5+L6</f>
        <v>276.88830720000004</v>
      </c>
      <c r="M7" s="23">
        <f>M5+M6</f>
        <v>276.88830720000004</v>
      </c>
      <c r="N7" s="23">
        <f>N5+N6</f>
        <v>276.88830720000004</v>
      </c>
      <c r="O7" s="23">
        <f>O5+O6</f>
        <v>276.88830720000004</v>
      </c>
      <c r="P7" s="23">
        <f>P5+P6</f>
        <v>276.88830720000004</v>
      </c>
      <c r="Q7" s="23">
        <f>Q5+Q6</f>
        <v>130.96830720000003</v>
      </c>
      <c r="R7" s="23">
        <f>R5+R6</f>
        <v>58.008307200000004</v>
      </c>
      <c r="S7" s="23">
        <f>S5+S6</f>
        <v>21.5283072</v>
      </c>
      <c r="T7" s="23">
        <f>T5+T6</f>
        <v>3.2883072</v>
      </c>
      <c r="U7" s="23">
        <f>U5+U6</f>
        <v>-5.831692800000001</v>
      </c>
      <c r="V7" s="23">
        <f>V5+V6</f>
        <v>-10.391692800000001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14.232307200000003</v>
      </c>
      <c r="E8" s="23">
        <f>MIN(D17,MAX(0,E7))</f>
        <v>58.008307200000004</v>
      </c>
      <c r="F8" s="23">
        <f>MIN(E17,MAX(0,F7))</f>
        <v>116.3763072</v>
      </c>
      <c r="G8" s="23">
        <f>MIN(F17,MAX(0,G7))</f>
        <v>174.74430720000004</v>
      </c>
      <c r="H8" s="23">
        <f>MIN(G17,MAX(0,H7))</f>
        <v>59.48677120000002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173.62553599999998</v>
      </c>
      <c r="I9" s="23">
        <f>MAX(0,I7)-I8</f>
        <v>276.88830720000004</v>
      </c>
      <c r="J9" s="23">
        <f>MAX(0,J7)-J8</f>
        <v>276.88830720000004</v>
      </c>
      <c r="K9" s="23">
        <f>MAX(0,K7)-K8</f>
        <v>276.88830720000004</v>
      </c>
      <c r="L9" s="23">
        <f>MAX(0,L7)-L8</f>
        <v>276.88830720000004</v>
      </c>
      <c r="M9" s="23">
        <f>MAX(0,M7)-M8</f>
        <v>276.88830720000004</v>
      </c>
      <c r="N9" s="23">
        <f>MAX(0,N7)-N8</f>
        <v>276.88830720000004</v>
      </c>
      <c r="O9" s="23">
        <f>MAX(0,O7)-O8</f>
        <v>276.88830720000004</v>
      </c>
      <c r="P9" s="23">
        <f>MAX(0,P7)-P8</f>
        <v>276.88830720000004</v>
      </c>
      <c r="Q9" s="23">
        <f>MAX(0,Q7)-Q8</f>
        <v>130.96830720000003</v>
      </c>
      <c r="R9" s="23">
        <f>MAX(0,R7)-R8</f>
        <v>58.008307200000004</v>
      </c>
      <c r="S9" s="23">
        <f>MAX(0,S7)-S8</f>
        <v>21.5283072</v>
      </c>
      <c r="T9" s="23">
        <f>MAX(0,T7)-T8</f>
        <v>3.2883072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36.46136256</v>
      </c>
      <c r="I10" s="23">
        <f>I9*Assumptions!$E$15</f>
        <v>58.146544512000006</v>
      </c>
      <c r="J10" s="23">
        <f>J9*Assumptions!$E$15</f>
        <v>58.146544512000006</v>
      </c>
      <c r="K10" s="23">
        <f>K9*Assumptions!$E$15</f>
        <v>58.146544512000006</v>
      </c>
      <c r="L10" s="23">
        <f>L9*Assumptions!$E$15</f>
        <v>58.146544512000006</v>
      </c>
      <c r="M10" s="23">
        <f>M9*Assumptions!$E$15</f>
        <v>58.146544512000006</v>
      </c>
      <c r="N10" s="23">
        <f>N9*Assumptions!$E$15</f>
        <v>58.146544512000006</v>
      </c>
      <c r="O10" s="23">
        <f>O9*Assumptions!$E$15</f>
        <v>58.146544512000006</v>
      </c>
      <c r="P10" s="23">
        <f>P9*Assumptions!$E$15</f>
        <v>58.146544512000006</v>
      </c>
      <c r="Q10" s="23">
        <f>Q9*Assumptions!$E$15</f>
        <v>27.503344512000005</v>
      </c>
      <c r="R10" s="23">
        <f>R9*Assumptions!$E$15</f>
        <v>12.181744512</v>
      </c>
      <c r="S10" s="23">
        <f>S9*Assumptions!$E$15</f>
        <v>4.520944512</v>
      </c>
      <c r="T10" s="23">
        <f>T9*Assumptions!$E$15</f>
        <v>0.690544512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-54.648</v>
      </c>
      <c r="D11" s="55">
        <f>D7-D10</f>
        <v>14.232307200000003</v>
      </c>
      <c r="E11" s="55">
        <f>E7-E10</f>
        <v>58.008307200000004</v>
      </c>
      <c r="F11" s="55">
        <f>F7-F10</f>
        <v>116.3763072</v>
      </c>
      <c r="G11" s="55">
        <f>G7-G10</f>
        <v>174.74430720000004</v>
      </c>
      <c r="H11" s="55">
        <f>H7-H10</f>
        <v>196.65094464</v>
      </c>
      <c r="I11" s="55">
        <f>I7-I10</f>
        <v>218.74176268800005</v>
      </c>
      <c r="J11" s="55">
        <f>J7-J10</f>
        <v>218.74176268800005</v>
      </c>
      <c r="K11" s="55">
        <f>K7-K10</f>
        <v>218.74176268800005</v>
      </c>
      <c r="L11" s="55">
        <f>L7-L10</f>
        <v>218.74176268800005</v>
      </c>
      <c r="M11" s="55">
        <f>M7-M10</f>
        <v>218.74176268800005</v>
      </c>
      <c r="N11" s="55">
        <f>N7-N10</f>
        <v>218.74176268800005</v>
      </c>
      <c r="O11" s="55">
        <f>O7-O10</f>
        <v>218.74176268800005</v>
      </c>
      <c r="P11" s="55">
        <f>P7-P10</f>
        <v>218.74176268800005</v>
      </c>
      <c r="Q11" s="55">
        <f>Q7-Q10</f>
        <v>103.46496268800001</v>
      </c>
      <c r="R11" s="55">
        <f>R7-R10</f>
        <v>45.826562688</v>
      </c>
      <c r="S11" s="55">
        <f>S7-S10</f>
        <v>17.007362688</v>
      </c>
      <c r="T11" s="55">
        <f>T7-T10</f>
        <v>2.5977626880000004</v>
      </c>
      <c r="U11" s="55">
        <f>U7-U10</f>
        <v>-5.831692800000001</v>
      </c>
      <c r="V11" s="55">
        <f>V7-V10</f>
        <v>-10.391692800000001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-26.772292864953208</v>
      </c>
      <c r="D16" s="55">
        <f>D11*D15</f>
        <v>12.701514043392244</v>
      </c>
      <c r="E16" s="55">
        <f>E11*E15</f>
        <v>46.222385235702326</v>
      </c>
      <c r="F16" s="55">
        <f>F11*F15</f>
        <v>82.79587693301904</v>
      </c>
      <c r="G16" s="55">
        <f>G11*G15</f>
        <v>111.00157772182745</v>
      </c>
      <c r="H16" s="55">
        <f>H11*H15</f>
        <v>111.53319151859155</v>
      </c>
      <c r="I16" s="55">
        <f>I11*I15</f>
        <v>110.76990354868838</v>
      </c>
      <c r="J16" s="55">
        <f>J11*J15</f>
        <v>98.90169959704319</v>
      </c>
      <c r="K16" s="55">
        <f>K11*K15</f>
        <v>88.3050889259314</v>
      </c>
      <c r="L16" s="55">
        <f>L11*L15</f>
        <v>78.84382939815303</v>
      </c>
      <c r="M16" s="55">
        <f>M11*M15</f>
        <v>70.39627624835092</v>
      </c>
      <c r="N16" s="55">
        <f>N11*N15</f>
        <v>62.853818078884736</v>
      </c>
      <c r="O16" s="55">
        <f>O11*O15</f>
        <v>56.11948042757565</v>
      </c>
      <c r="P16" s="55">
        <f>P11*P15</f>
        <v>50.106678953192535</v>
      </c>
      <c r="Q16" s="55">
        <f>Q11*Q15</f>
        <v>21.161146516709113</v>
      </c>
      <c r="R16" s="55">
        <f>R11*R15</f>
        <v>8.368452384785588</v>
      </c>
      <c r="S16" s="55">
        <f>S11*S15</f>
        <v>2.772980507083252</v>
      </c>
      <c r="T16" s="55">
        <f>T11*T15</f>
        <v>0.3781736762652027</v>
      </c>
      <c r="U16" s="55">
        <f>U11*U15</f>
        <v>-0.7579986572995566</v>
      </c>
      <c r="V16" s="55">
        <f>V11*V15</f>
        <v>-1.205985468972581</v>
      </c>
    </row>
    <row r="17">
      <c r="A17" s="14" t="inlineStr">
        <is>
          <t>Tax-loss carryforward, end of year</t>
        </is>
      </c>
      <c r="C17" s="23">
        <f>Assumptions!$B$21-C8+MAX(0,-C7)</f>
        <v>422.848</v>
      </c>
      <c r="D17" s="23">
        <f>C17-D8+MAX(0,-D7)</f>
        <v>408.61569280000003</v>
      </c>
      <c r="E17" s="23">
        <f>D17-E8+MAX(0,-E7)</f>
        <v>350.60738560000004</v>
      </c>
      <c r="F17" s="23">
        <f>E17-F8+MAX(0,-F7)</f>
        <v>234.23107840000006</v>
      </c>
      <c r="G17" s="23">
        <f>F17-G8+MAX(0,-G7)</f>
        <v>59.48677120000002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5.831692800000001</v>
      </c>
      <c r="V17" s="23">
        <f>U17-V8+MAX(0,-V7)</f>
        <v>16.2233856</v>
      </c>
    </row>
    <row r="19">
      <c r="A19" s="14" t="inlineStr">
        <is>
          <t>PV of risked pipeline contribution</t>
        </is>
      </c>
      <c r="B19" s="23">
        <f>SUMPRODUCT(C5:V5,C15:V15)</f>
        <v>1314.5403215007377</v>
      </c>
    </row>
    <row r="20">
      <c r="A20" s="14" t="inlineStr">
        <is>
          <t>PV of corporate burn</t>
        </is>
      </c>
      <c r="B20" s="23">
        <f>SUMPRODUCT(C6:V6,C15:V15)</f>
        <v>-136.85196555616446</v>
      </c>
    </row>
    <row r="21">
      <c r="A21" s="14" t="inlineStr">
        <is>
          <t>PV of taxes</t>
        </is>
      </c>
      <c r="B21" s="23">
        <f>-SUMPRODUCT(C10:V10,C15:V15)</f>
        <v>-193.1925592206034</v>
      </c>
    </row>
    <row r="22">
      <c r="A22" s="24" t="inlineStr">
        <is>
          <t>Pipeline rNPV (operations)</t>
        </is>
      </c>
      <c r="B22" s="54">
        <f>SUM(C16:V16)</f>
        <v>984.4957967239703</v>
      </c>
    </row>
    <row r="23">
      <c r="A23" s="14" t="inlineStr">
        <is>
          <t>Cash &amp; investments</t>
        </is>
      </c>
      <c r="B23" s="57">
        <f>Main!C7</f>
        <v>187.303</v>
      </c>
    </row>
    <row r="24">
      <c r="A24" s="14" t="inlineStr">
        <is>
          <t>Debt</t>
        </is>
      </c>
      <c r="B24" s="57">
        <f>Main!C8</f>
        <v>14.911999999999999</v>
      </c>
    </row>
    <row r="25">
      <c r="A25" s="24" t="inlineStr">
        <is>
          <t>Equity value</t>
        </is>
      </c>
      <c r="B25" s="54">
        <f>B22+B23-B24</f>
        <v>1156.8867967239703</v>
      </c>
    </row>
    <row r="26">
      <c r="A26" s="14" t="inlineStr">
        <is>
          <t>Shares (mm)</t>
        </is>
      </c>
      <c r="B26" s="57">
        <f>Main!C4</f>
        <v>102.90249</v>
      </c>
    </row>
    <row r="27">
      <c r="A27" s="24" t="inlineStr">
        <is>
          <t>rNPV / share</t>
        </is>
      </c>
      <c r="B27" s="60">
        <f>B25/B26</f>
        <v>11.24255396272695</v>
      </c>
    </row>
    <row r="28">
      <c r="A28" s="14" t="inlineStr">
        <is>
          <t>Price</t>
        </is>
      </c>
      <c r="B28" s="61">
        <f>Main!C3</f>
        <v>6.51</v>
      </c>
    </row>
    <row r="29">
      <c r="A29" s="14" t="inlineStr">
        <is>
          <t>Upside</t>
        </is>
      </c>
      <c r="B29" s="62">
        <f>B27/B28-1</f>
        <v>0.7269668145509909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2026-10-21T06:24:37Z</dcterms:modified>
  <cp:lastModifiedBy>Wang, Eric</cp:lastModifiedBy>
</cp:coreProperties>
</file>