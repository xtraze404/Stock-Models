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Phibro Animal Health Corp</t>
        </is>
      </c>
      <c r="C2" s="10" t="n"/>
    </row>
    <row r="3">
      <c r="B3" t="inlineStr">
        <is>
          <t>Price</t>
        </is>
      </c>
      <c r="C3" s="11">
        <f>INDEX([1]Pharma!$F$1:$F$1000,MATCH("PAHC",[1]Pharma!$B$1:$B$1000,0))</f>
        <v>38.8</v>
      </c>
      <c r="F3" s="1" t="n"/>
    </row>
    <row r="4">
      <c r="B4" t="inlineStr">
        <is>
          <t>Shares</t>
        </is>
      </c>
      <c r="C4" s="51" t="n">
        <v>40.601603</v>
      </c>
      <c r="F4" s="1" t="n"/>
    </row>
    <row r="5">
      <c r="B5" t="inlineStr">
        <is>
          <t>Market Cap.</t>
        </is>
      </c>
      <c r="C5" s="13">
        <f>C3*C4</f>
        <v>1575.3421963999997</v>
      </c>
      <c r="F5" s="1" t="n"/>
    </row>
    <row r="6"/>
    <row r="7">
      <c r="B7" t="inlineStr">
        <is>
          <t>Cash</t>
        </is>
      </c>
      <c r="C7" s="51">
        <f>61.419+20.575</f>
        <v>81.994</v>
      </c>
    </row>
    <row r="8">
      <c r="B8" t="inlineStr">
        <is>
          <t>Debt</t>
        </is>
      </c>
      <c r="C8" s="51">
        <f>25.025+591.769+116</f>
        <v>732.794</v>
      </c>
    </row>
    <row r="9">
      <c r="B9" t="inlineStr">
        <is>
          <t>Enterprise V.</t>
        </is>
      </c>
      <c r="C9" s="13">
        <f>C5-C7+C8</f>
        <v>2226.1421963999996</v>
      </c>
    </row>
    <row r="10"/>
    <row r="11">
      <c r="B11" s="14" t="inlineStr">
        <is>
          <t>NPV / Share</t>
        </is>
      </c>
      <c r="C11" s="11">
        <f>NPV!B28</f>
        <v>90.16967970162064</v>
      </c>
    </row>
    <row r="12">
      <c r="B12" s="14" t="inlineStr">
        <is>
          <t>Upside</t>
        </is>
      </c>
      <c r="C12" s="15">
        <f>IFERROR(C11/C3-1,"")</f>
        <v>1.3239608170520785</v>
      </c>
    </row>
    <row r="13">
      <c r="B13" s="14" t="inlineStr">
        <is>
          <t>Cash / Share</t>
        </is>
      </c>
      <c r="C13" s="11">
        <f>IFERROR((C7-C8)/C4,"")</f>
        <v>-16.028923784117588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16" t="n">
        <v>2036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654.101</v>
      </c>
      <c r="C2" s="52" t="n">
        <v>653.151</v>
      </c>
      <c r="D2" s="52" t="n">
        <v>691.914</v>
      </c>
      <c r="E2" s="52" t="n">
        <v>748.591</v>
      </c>
      <c r="F2" s="52" t="n">
        <v>751.526</v>
      </c>
      <c r="G2" s="52" t="n">
        <v>764.2809999999999</v>
      </c>
      <c r="H2" s="52" t="n">
        <v>819.982</v>
      </c>
      <c r="I2" s="52" t="n">
        <v>827.995</v>
      </c>
      <c r="J2" s="52" t="n">
        <v>800.354</v>
      </c>
      <c r="K2" s="52" t="n">
        <v>833.35</v>
      </c>
      <c r="L2" s="52" t="n">
        <v>942.261</v>
      </c>
      <c r="M2" s="52" t="n">
        <v>977.889</v>
      </c>
      <c r="N2" s="52" t="n">
        <v>1017.679</v>
      </c>
      <c r="O2" s="52" t="n">
        <v>1296.215</v>
      </c>
      <c r="P2" s="52" t="n">
        <v>1518.093</v>
      </c>
      <c r="Q2" s="52">
        <f>P2*(1+NPV!C5)</f>
        <v>1777.9905216000002</v>
      </c>
      <c r="R2" s="52">
        <f>Q2*(1+NPV!D5)</f>
        <v>2053.50003064704</v>
      </c>
      <c r="S2" s="52">
        <f>R2*(1+NPV!E5)</f>
        <v>2338.343301564792</v>
      </c>
      <c r="T2" s="52">
        <f>S2*(1+NPV!F5)</f>
        <v>2624.71241122976</v>
      </c>
      <c r="U2" s="52">
        <f>T2*(1+NPV!G5)</f>
        <v>2903.5151962448326</v>
      </c>
      <c r="V2" s="52">
        <f>U2*(1+NPV!H5)</f>
        <v>3164.767041346951</v>
      </c>
      <c r="W2" s="52">
        <f>V2*(1+NPV!I5)</f>
        <v>3398.115864528933</v>
      </c>
      <c r="X2" s="52">
        <f>W2*(1+NPV!J5)</f>
        <v>3593.4697698964073</v>
      </c>
      <c r="Y2" s="52">
        <f>X2*(1+NPV!K5)</f>
        <v>3741.68043418369</v>
      </c>
      <c r="Z2" s="52">
        <f>Y2*(1+NPV!L5)</f>
        <v>3835.222445038282</v>
      </c>
    </row>
    <row r="3" customFormat="1" s="1">
      <c r="A3" s="5" t="inlineStr">
        <is>
          <t>Cost of Sales</t>
        </is>
      </c>
      <c r="B3" s="52" t="n">
        <v>489.962</v>
      </c>
      <c r="C3" s="52" t="n">
        <v>474.187</v>
      </c>
      <c r="D3" s="52" t="n">
        <v>487.5</v>
      </c>
      <c r="E3" s="52" t="n">
        <v>515.311</v>
      </c>
      <c r="F3" s="52" t="n">
        <v>512.494</v>
      </c>
      <c r="G3" s="52" t="n">
        <v>516.038</v>
      </c>
      <c r="H3" s="52" t="n">
        <v>553.103</v>
      </c>
      <c r="I3" s="52" t="n">
        <v>563.371</v>
      </c>
      <c r="J3" s="52" t="n">
        <v>543.472</v>
      </c>
      <c r="K3" s="52" t="n">
        <v>561.973</v>
      </c>
      <c r="L3" s="52" t="n">
        <v>656.861</v>
      </c>
      <c r="M3" s="52" t="n">
        <v>679.652</v>
      </c>
      <c r="N3" s="52" t="n">
        <v>704.587</v>
      </c>
      <c r="O3" s="52" t="n">
        <v>896.273</v>
      </c>
      <c r="P3" s="52" t="n">
        <v>1005.578</v>
      </c>
      <c r="Q3" s="52">
        <f>Q2*(1-Assumptions!$B$19)</f>
        <v>1177.74092150784</v>
      </c>
      <c r="R3" s="52">
        <f>R2*(1-Assumptions!$B$19)</f>
        <v>1360.2384203005993</v>
      </c>
      <c r="S3" s="52">
        <f>S2*(1-Assumptions!$B$19)</f>
        <v>1548.9186029565183</v>
      </c>
      <c r="T3" s="52">
        <f>T2*(1-Assumptions!$B$19)</f>
        <v>1738.609501198593</v>
      </c>
      <c r="U3" s="52">
        <f>U2*(1-Assumptions!$B$19)</f>
        <v>1923.2884659925771</v>
      </c>
      <c r="V3" s="52">
        <f>V2*(1-Assumptions!$B$19)</f>
        <v>2096.3416881882204</v>
      </c>
      <c r="W3" s="52">
        <f>W2*(1-Assumptions!$B$19)</f>
        <v>2250.911948663965</v>
      </c>
      <c r="X3" s="52">
        <f>X2*(1-Assumptions!$B$19)</f>
        <v>2380.3143755793803</v>
      </c>
      <c r="Y3" s="52">
        <f>Y2*(1-Assumptions!$B$19)</f>
        <v>2478.4891196032763</v>
      </c>
      <c r="Z3" s="52">
        <f>Z2*(1-Assumptions!$B$19)</f>
        <v>2540.4513475933577</v>
      </c>
    </row>
    <row r="4" customFormat="1" s="1">
      <c r="A4" s="5" t="inlineStr">
        <is>
          <t>Gross Margin</t>
        </is>
      </c>
      <c r="B4" s="52">
        <f>B2-B3</f>
        <v>164.139</v>
      </c>
      <c r="C4" s="52">
        <f>C2-C3</f>
        <v>178.96399999999994</v>
      </c>
      <c r="D4" s="52">
        <f>D2-D3</f>
        <v>204.414</v>
      </c>
      <c r="E4" s="52">
        <f>E2-E3</f>
        <v>233.27999999999997</v>
      </c>
      <c r="F4" s="52">
        <f>F2-F3</f>
        <v>239.03199999999993</v>
      </c>
      <c r="G4" s="52">
        <f>G2-G3</f>
        <v>248.24299999999994</v>
      </c>
      <c r="H4" s="52">
        <f>H2-H3</f>
        <v>266.879</v>
      </c>
      <c r="I4" s="52">
        <f>I2-I3</f>
        <v>264.624</v>
      </c>
      <c r="J4" s="52">
        <f>J2-J3</f>
        <v>256.88200000000006</v>
      </c>
      <c r="K4" s="52">
        <f>K2-K3</f>
        <v>271.37700000000007</v>
      </c>
      <c r="L4" s="52">
        <f>L2-L3</f>
        <v>285.4</v>
      </c>
      <c r="M4" s="52">
        <f>M2-M3</f>
        <v>298.23699999999997</v>
      </c>
      <c r="N4" s="52">
        <f>N2-N3</f>
        <v>313.092</v>
      </c>
      <c r="O4" s="52">
        <f>O2-O3</f>
        <v>399.9419999999999</v>
      </c>
      <c r="P4" s="52">
        <f>P2-P3</f>
        <v>512.5150000000001</v>
      </c>
      <c r="Q4" s="52">
        <f>Q2-Q3</f>
        <v>600.2496000921601</v>
      </c>
      <c r="R4" s="52">
        <f>R2-R3</f>
        <v>693.2616103464409</v>
      </c>
      <c r="S4" s="52">
        <f>S2-S3</f>
        <v>789.4246986082737</v>
      </c>
      <c r="T4" s="52">
        <f>T2-T3</f>
        <v>886.1029100311671</v>
      </c>
      <c r="U4" s="52">
        <f>U2-U3</f>
        <v>980.2267302522555</v>
      </c>
      <c r="V4" s="52">
        <f>V2-V3</f>
        <v>1068.4253531587306</v>
      </c>
      <c r="W4" s="52">
        <f>W2-W3</f>
        <v>1147.2039158649677</v>
      </c>
      <c r="X4" s="52">
        <f>X2-X3</f>
        <v>1213.155394317027</v>
      </c>
      <c r="Y4" s="52">
        <f>Y2-Y3</f>
        <v>1263.1913145804137</v>
      </c>
      <c r="Z4" s="52">
        <f>Z2-Z3</f>
        <v>1294.7710974449242</v>
      </c>
    </row>
    <row r="5">
      <c r="A5" s="2" t="inlineStr">
        <is>
          <t>Research &amp; Dev.</t>
        </is>
      </c>
      <c r="B5" s="52" t="n">
        <v>7.189</v>
      </c>
      <c r="C5" s="52" t="n">
        <v>6.638</v>
      </c>
      <c r="D5" s="52" t="n">
        <v>8.212</v>
      </c>
      <c r="E5" s="52" t="n">
        <v>9.510999999999999</v>
      </c>
      <c r="F5" s="52" t="n">
        <v>11.029</v>
      </c>
      <c r="G5" s="52" t="n">
        <v>9.442</v>
      </c>
      <c r="H5" s="52" t="n">
        <v>9.997999999999999</v>
      </c>
      <c r="I5" s="52" t="n">
        <v>12.093</v>
      </c>
      <c r="J5" s="52" t="n">
        <v>13.738</v>
      </c>
      <c r="K5" s="52" t="n">
        <v>17.759</v>
      </c>
      <c r="L5" s="52" t="n">
        <v>20.832</v>
      </c>
      <c r="M5" s="52" t="n">
        <v>24.395</v>
      </c>
      <c r="N5" s="52" t="n">
        <v>29.194</v>
      </c>
      <c r="O5" s="52" t="n">
        <v>23.726</v>
      </c>
      <c r="P5" s="52" t="n">
        <v>24.551</v>
      </c>
      <c r="Q5" s="52">
        <f>Q7*Assumptions!$B$20</f>
        <v>27.939449735853703</v>
      </c>
      <c r="R5" s="52">
        <f>R7*Assumptions!$B$20</f>
        <v>31.325567987512027</v>
      </c>
      <c r="S5" s="52">
        <f>S7*Assumptions!$B$20</f>
        <v>34.59667771710569</v>
      </c>
      <c r="T5" s="52">
        <f>T7*Assumptions!$B$20</f>
        <v>37.6279821158863</v>
      </c>
      <c r="U5" s="52">
        <f>U7*Assumptions!$B$20</f>
        <v>40.29120932373067</v>
      </c>
      <c r="V5" s="52">
        <f>V7*Assumptions!$B$20</f>
        <v>42.462818709886925</v>
      </c>
      <c r="W5" s="52">
        <f>W7*Assumptions!$B$20</f>
        <v>44.03285333488321</v>
      </c>
      <c r="X5" s="52">
        <f>X7*Assumptions!$B$20</f>
        <v>44.913628743608825</v>
      </c>
      <c r="Y5" s="52">
        <f>Y7*Assumptions!$B$20</f>
        <v>45.04736291848507</v>
      </c>
      <c r="Z5" s="52">
        <f>Z7*Assumptions!$B$20</f>
        <v>44.41187591354333</v>
      </c>
    </row>
    <row r="6">
      <c r="A6" s="18" t="inlineStr">
        <is>
          <t>SG&amp;A &amp; Other</t>
        </is>
      </c>
      <c r="B6" s="52" t="n">
        <v>107.625</v>
      </c>
      <c r="C6" s="52" t="n">
        <v>115.595</v>
      </c>
      <c r="D6" s="52" t="n">
        <v>132.408</v>
      </c>
      <c r="E6" s="52" t="n">
        <v>136.101</v>
      </c>
      <c r="F6" s="52" t="n">
        <v>142.259</v>
      </c>
      <c r="G6" s="52" t="n">
        <v>140.867</v>
      </c>
      <c r="H6" s="52" t="n">
        <v>157.955</v>
      </c>
      <c r="I6" s="52" t="n">
        <v>169.305</v>
      </c>
      <c r="J6" s="52" t="n">
        <v>173.95</v>
      </c>
      <c r="K6" s="52" t="n">
        <v>178.75</v>
      </c>
      <c r="L6" s="52" t="n">
        <v>185.582</v>
      </c>
      <c r="M6" s="52" t="n">
        <v>201.995</v>
      </c>
      <c r="N6" s="52" t="n">
        <v>230.583</v>
      </c>
      <c r="O6" s="52" t="n">
        <v>265.751</v>
      </c>
      <c r="P6" s="52" t="n">
        <v>293.568</v>
      </c>
      <c r="Q6" s="52">
        <f>Q7-Q5</f>
        <v>333.97052093582636</v>
      </c>
      <c r="R6" s="52">
        <f>R7-R5</f>
        <v>374.4460380683432</v>
      </c>
      <c r="S6" s="52">
        <f>S7-S5</f>
        <v>413.54681602778663</v>
      </c>
      <c r="T6" s="52">
        <f>T7-T5</f>
        <v>449.78111264948024</v>
      </c>
      <c r="U6" s="52">
        <f>U7-U5</f>
        <v>481.61564720127797</v>
      </c>
      <c r="V6" s="52">
        <f>V7-V5</f>
        <v>507.57369307621315</v>
      </c>
      <c r="W6" s="52">
        <f>W7-W5</f>
        <v>526.3408945262983</v>
      </c>
      <c r="X6" s="52">
        <f>X7-X5</f>
        <v>536.8691270026195</v>
      </c>
      <c r="Y6" s="52">
        <f>Y7-Y5</f>
        <v>538.4677007924614</v>
      </c>
      <c r="Z6" s="52">
        <f>Z7-Z5</f>
        <v>530.8714908421993</v>
      </c>
    </row>
    <row r="7">
      <c r="A7" s="2" t="inlineStr">
        <is>
          <t>Operating Expense</t>
        </is>
      </c>
      <c r="B7" s="52">
        <f>SUM(B5:B6)</f>
        <v>114.814</v>
      </c>
      <c r="C7" s="52">
        <f>SUM(C5:C6)</f>
        <v>122.233</v>
      </c>
      <c r="D7" s="52">
        <f>SUM(D5:D6)</f>
        <v>140.61999999999998</v>
      </c>
      <c r="E7" s="52">
        <f>SUM(E5:E6)</f>
        <v>145.612</v>
      </c>
      <c r="F7" s="52">
        <f>SUM(F5:F6)</f>
        <v>153.28799999999998</v>
      </c>
      <c r="G7" s="52">
        <f>SUM(G5:G6)</f>
        <v>150.309</v>
      </c>
      <c r="H7" s="52">
        <f>SUM(H5:H6)</f>
        <v>167.953</v>
      </c>
      <c r="I7" s="52">
        <f>SUM(I5:I6)</f>
        <v>181.398</v>
      </c>
      <c r="J7" s="52">
        <f>SUM(J5:J6)</f>
        <v>187.688</v>
      </c>
      <c r="K7" s="52">
        <f>SUM(K5:K6)</f>
        <v>196.50900000000001</v>
      </c>
      <c r="L7" s="52">
        <f>SUM(L5:L6)</f>
        <v>206.414</v>
      </c>
      <c r="M7" s="52">
        <f>SUM(M5:M6)</f>
        <v>226.39000000000001</v>
      </c>
      <c r="N7" s="52">
        <f>SUM(N5:N6)</f>
        <v>259.777</v>
      </c>
      <c r="O7" s="52">
        <f>SUM(O5:O6)</f>
        <v>289.477</v>
      </c>
      <c r="P7" s="52">
        <f>SUM(P5:P6)</f>
        <v>318.11899999999997</v>
      </c>
      <c r="Q7" s="52">
        <f>Q4-Q2*NPV!C6</f>
        <v>361.90997067168007</v>
      </c>
      <c r="R7" s="52">
        <f>R4-R2*NPV!D6</f>
        <v>405.7716060558553</v>
      </c>
      <c r="S7" s="52">
        <f>S4-S2*NPV!E6</f>
        <v>448.14349374489234</v>
      </c>
      <c r="T7" s="52">
        <f>T4-T2*NPV!F6</f>
        <v>487.40909476536655</v>
      </c>
      <c r="U7" s="52">
        <f>U4-U2*NPV!G6</f>
        <v>521.9068565250086</v>
      </c>
      <c r="V7" s="52">
        <f>V4-V2*NPV!H6</f>
        <v>550.0365117861</v>
      </c>
      <c r="W7" s="52">
        <f>W4-W2*NPV!I6</f>
        <v>570.3737478611814</v>
      </c>
      <c r="X7" s="52">
        <f>X4-X2*NPV!J6</f>
        <v>581.7827557462283</v>
      </c>
      <c r="Y7" s="52">
        <f>Y4-Y2*NPV!K6</f>
        <v>583.5150637109465</v>
      </c>
      <c r="Z7" s="52">
        <f>Z4-Z2*NPV!L6</f>
        <v>575.2833667557426</v>
      </c>
    </row>
    <row r="8">
      <c r="A8" s="2" t="inlineStr">
        <is>
          <t>Operating Income</t>
        </is>
      </c>
      <c r="B8" s="52">
        <f>B4-B7</f>
        <v>49.32500000000002</v>
      </c>
      <c r="C8" s="52">
        <f>C4-C7</f>
        <v>56.73099999999994</v>
      </c>
      <c r="D8" s="52">
        <f>D4-D7</f>
        <v>63.79400000000001</v>
      </c>
      <c r="E8" s="52">
        <f>E4-E7</f>
        <v>87.66799999999998</v>
      </c>
      <c r="F8" s="52">
        <f>F4-F7</f>
        <v>85.74399999999994</v>
      </c>
      <c r="G8" s="52">
        <f>G4-G7</f>
        <v>97.93399999999994</v>
      </c>
      <c r="H8" s="52">
        <f>H4-H7</f>
        <v>98.92600000000002</v>
      </c>
      <c r="I8" s="52">
        <f>I4-I7</f>
        <v>83.22600000000003</v>
      </c>
      <c r="J8" s="52">
        <f>J4-J7</f>
        <v>69.19400000000007</v>
      </c>
      <c r="K8" s="52">
        <f>K4-K7</f>
        <v>74.86800000000005</v>
      </c>
      <c r="L8" s="52">
        <f>L4-L7</f>
        <v>78.98599999999999</v>
      </c>
      <c r="M8" s="52">
        <f>M4-M7</f>
        <v>71.84699999999995</v>
      </c>
      <c r="N8" s="52">
        <f>N4-N7</f>
        <v>53.315</v>
      </c>
      <c r="O8" s="52">
        <f>O4-O7</f>
        <v>110.46499999999992</v>
      </c>
      <c r="P8" s="52">
        <f>P4-P7</f>
        <v>194.39600000000013</v>
      </c>
      <c r="Q8" s="52">
        <f>Q4-Q7</f>
        <v>238.33962942048004</v>
      </c>
      <c r="R8" s="52">
        <f>R4-R7</f>
        <v>287.4900042905856</v>
      </c>
      <c r="S8" s="52">
        <f>S4-S7</f>
        <v>341.2812048633814</v>
      </c>
      <c r="T8" s="52">
        <f>T4-T7</f>
        <v>398.69381526580054</v>
      </c>
      <c r="U8" s="52">
        <f>U4-U7</f>
        <v>458.3198737272469</v>
      </c>
      <c r="V8" s="52">
        <f>V4-V7</f>
        <v>518.3888413726305</v>
      </c>
      <c r="W8" s="52">
        <f>W4-W7</f>
        <v>576.8301680037863</v>
      </c>
      <c r="X8" s="52">
        <f>X4-X7</f>
        <v>631.3726385707987</v>
      </c>
      <c r="Y8" s="52">
        <f>Y4-Y7</f>
        <v>679.6762508694673</v>
      </c>
      <c r="Z8" s="52">
        <f>Z4-Z7</f>
        <v>719.4877306891816</v>
      </c>
    </row>
    <row r="9">
      <c r="A9" s="18" t="inlineStr">
        <is>
          <t>Interest &amp; Other</t>
        </is>
      </c>
      <c r="B9" s="52" t="n">
        <v>-36.211</v>
      </c>
      <c r="C9" s="52" t="n">
        <v>-38.883</v>
      </c>
      <c r="D9" s="52" t="n">
        <v>-57.486</v>
      </c>
      <c r="E9" s="52" t="n">
        <v>-8.904999999999999</v>
      </c>
      <c r="F9" s="52" t="n">
        <v>-8.983000000000001</v>
      </c>
      <c r="G9" s="52" t="n">
        <v>-17.391</v>
      </c>
      <c r="H9" s="52" t="n">
        <v>-10.856</v>
      </c>
      <c r="I9" s="52" t="n">
        <v>-11.721</v>
      </c>
      <c r="J9" s="52" t="n">
        <v>-13.682</v>
      </c>
      <c r="K9" s="52" t="n">
        <v>-8.4</v>
      </c>
      <c r="L9" s="52" t="n">
        <v>-6.659</v>
      </c>
      <c r="M9" s="52" t="n">
        <v>-17.776</v>
      </c>
      <c r="N9" s="52" t="n">
        <v>-42.399</v>
      </c>
      <c r="O9" s="52" t="n">
        <v>-42.472</v>
      </c>
      <c r="P9" s="52" t="n">
        <v>-57.05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</row>
    <row r="10">
      <c r="A10" s="2" t="inlineStr">
        <is>
          <t>Pretax</t>
        </is>
      </c>
      <c r="B10" s="52">
        <f>B8+B9</f>
        <v>13.114000000000019</v>
      </c>
      <c r="C10" s="52">
        <f>C8+C9</f>
        <v>17.847999999999935</v>
      </c>
      <c r="D10" s="52">
        <f>D8+D9</f>
        <v>6.308000000000014</v>
      </c>
      <c r="E10" s="52">
        <f>E8+E9</f>
        <v>78.76299999999998</v>
      </c>
      <c r="F10" s="52">
        <f>F8+F9</f>
        <v>76.76099999999994</v>
      </c>
      <c r="G10" s="52">
        <f>G8+G9</f>
        <v>80.54299999999995</v>
      </c>
      <c r="H10" s="52">
        <f>H8+H9</f>
        <v>88.07000000000002</v>
      </c>
      <c r="I10" s="52">
        <f>I8+I9</f>
        <v>71.50500000000002</v>
      </c>
      <c r="J10" s="52">
        <f>J8+J9</f>
        <v>55.51200000000007</v>
      </c>
      <c r="K10" s="52">
        <f>K8+K9</f>
        <v>66.46800000000005</v>
      </c>
      <c r="L10" s="52">
        <f>L8+L9</f>
        <v>72.32699999999998</v>
      </c>
      <c r="M10" s="52">
        <f>M8+M9</f>
        <v>54.070999999999955</v>
      </c>
      <c r="N10" s="52">
        <f>N8+N9</f>
        <v>10.915999999999997</v>
      </c>
      <c r="O10" s="52">
        <f>O8+O9</f>
        <v>67.99299999999991</v>
      </c>
      <c r="P10" s="52">
        <f>P8+P9</f>
        <v>137.34600000000012</v>
      </c>
      <c r="Q10" s="52">
        <f>Q8+Q9</f>
        <v>238.33962942048004</v>
      </c>
      <c r="R10" s="52">
        <f>R8+R9</f>
        <v>287.4900042905856</v>
      </c>
      <c r="S10" s="52">
        <f>S8+S9</f>
        <v>341.2812048633814</v>
      </c>
      <c r="T10" s="52">
        <f>T8+T9</f>
        <v>398.69381526580054</v>
      </c>
      <c r="U10" s="52">
        <f>U8+U9</f>
        <v>458.3198737272469</v>
      </c>
      <c r="V10" s="52">
        <f>V8+V9</f>
        <v>518.3888413726305</v>
      </c>
      <c r="W10" s="52">
        <f>W8+W9</f>
        <v>576.8301680037863</v>
      </c>
      <c r="X10" s="52">
        <f>X8+X9</f>
        <v>631.3726385707987</v>
      </c>
      <c r="Y10" s="52">
        <f>Y8+Y9</f>
        <v>679.6762508694673</v>
      </c>
      <c r="Z10" s="52">
        <f>Z8+Z9</f>
        <v>719.4877306891816</v>
      </c>
    </row>
    <row r="11">
      <c r="A11" s="2" t="inlineStr">
        <is>
          <t>Taxes</t>
        </is>
      </c>
      <c r="B11" s="52" t="n">
        <v>6.138</v>
      </c>
      <c r="C11" s="52" t="n">
        <v>-7.043</v>
      </c>
      <c r="D11" s="52" t="n">
        <v>9.435</v>
      </c>
      <c r="E11" s="52" t="n">
        <v>18.483</v>
      </c>
      <c r="F11" s="52" t="n">
        <v>-5.967</v>
      </c>
      <c r="G11" s="52" t="n">
        <v>15.928</v>
      </c>
      <c r="H11" s="52" t="n">
        <v>23.187</v>
      </c>
      <c r="I11" s="52" t="n">
        <v>16.792</v>
      </c>
      <c r="J11" s="52" t="n">
        <v>21.96</v>
      </c>
      <c r="K11" s="52" t="n">
        <v>12.083</v>
      </c>
      <c r="L11" s="52" t="n">
        <v>23.152</v>
      </c>
      <c r="M11" s="52" t="n">
        <v>21.465</v>
      </c>
      <c r="N11" s="52" t="n">
        <v>8.5</v>
      </c>
      <c r="O11" s="52" t="n">
        <v>19.729</v>
      </c>
      <c r="P11" s="52" t="n">
        <v>37.626</v>
      </c>
      <c r="Q11" s="52">
        <f>MAX(0,Q10)*Assumptions!$E$14</f>
        <v>40.517737001481606</v>
      </c>
      <c r="R11" s="52">
        <f>MAX(0,R10)*Assumptions!$E$14</f>
        <v>48.87330072939955</v>
      </c>
      <c r="S11" s="52">
        <f>MAX(0,S10)*Assumptions!$E$14</f>
        <v>58.01780482677484</v>
      </c>
      <c r="T11" s="52">
        <f>MAX(0,T10)*Assumptions!$E$14</f>
        <v>67.7779485951861</v>
      </c>
      <c r="U11" s="52">
        <f>MAX(0,U10)*Assumptions!$E$14</f>
        <v>77.91437853363198</v>
      </c>
      <c r="V11" s="52">
        <f>MAX(0,V10)*Assumptions!$E$14</f>
        <v>88.12610303334719</v>
      </c>
      <c r="W11" s="52">
        <f>MAX(0,W10)*Assumptions!$E$14</f>
        <v>98.06112856064368</v>
      </c>
      <c r="X11" s="52">
        <f>MAX(0,X10)*Assumptions!$E$14</f>
        <v>107.33334855703579</v>
      </c>
      <c r="Y11" s="52">
        <f>MAX(0,Y10)*Assumptions!$E$14</f>
        <v>115.54496264780944</v>
      </c>
      <c r="Z11" s="52">
        <f>MAX(0,Z10)*Assumptions!$E$14</f>
        <v>122.31291421716088</v>
      </c>
    </row>
    <row r="12">
      <c r="A12" s="2" t="inlineStr">
        <is>
          <t>Net Income</t>
        </is>
      </c>
      <c r="B12" s="52" t="n">
        <v>6.976</v>
      </c>
      <c r="C12" s="52" t="n">
        <v>24.891</v>
      </c>
      <c r="D12" s="52" t="n">
        <v>-3.127</v>
      </c>
      <c r="E12" s="52" t="n">
        <v>60.28</v>
      </c>
      <c r="F12" s="52" t="n">
        <v>82.72799999999999</v>
      </c>
      <c r="G12" s="52" t="n">
        <v>64.61499999999999</v>
      </c>
      <c r="H12" s="52" t="n">
        <v>64.883</v>
      </c>
      <c r="I12" s="52" t="n">
        <v>54.713</v>
      </c>
      <c r="J12" s="52" t="n">
        <v>33.552</v>
      </c>
      <c r="K12" s="52" t="n">
        <v>54.385</v>
      </c>
      <c r="L12" s="52" t="n">
        <v>49.175</v>
      </c>
      <c r="M12" s="52" t="n">
        <v>32.606</v>
      </c>
      <c r="N12" s="52" t="n">
        <v>2.416</v>
      </c>
      <c r="O12" s="52" t="n">
        <v>48.264</v>
      </c>
      <c r="P12" s="52" t="n">
        <v>99.72</v>
      </c>
      <c r="Q12" s="52">
        <f>Q10-Q11</f>
        <v>197.82189241899843</v>
      </c>
      <c r="R12" s="52">
        <f>R10-R11</f>
        <v>238.61670356118606</v>
      </c>
      <c r="S12" s="52">
        <f>S10-S11</f>
        <v>283.2634000366065</v>
      </c>
      <c r="T12" s="52">
        <f>T10-T11</f>
        <v>330.91586667061443</v>
      </c>
      <c r="U12" s="52">
        <f>U10-U11</f>
        <v>380.4054951936149</v>
      </c>
      <c r="V12" s="52">
        <f>V10-V11</f>
        <v>430.2627383392833</v>
      </c>
      <c r="W12" s="52">
        <f>W10-W11</f>
        <v>478.7690394431426</v>
      </c>
      <c r="X12" s="52">
        <f>X10-X11</f>
        <v>524.0392900137629</v>
      </c>
      <c r="Y12" s="52">
        <f>Y10-Y11</f>
        <v>564.1312882216578</v>
      </c>
      <c r="Z12" s="52">
        <f>Z10-Z11</f>
        <v>597.1748164720207</v>
      </c>
    </row>
    <row r="13">
      <c r="A13" s="2" t="inlineStr">
        <is>
          <t>Earnings per Share</t>
        </is>
      </c>
      <c r="B13" s="11">
        <f>IFERROR(B12/B14,0)</f>
        <v>0.2290367062840633</v>
      </c>
      <c r="C13" s="11">
        <f>IFERROR(C12/C14,0)</f>
        <v>0.8172237179066255</v>
      </c>
      <c r="D13" s="11">
        <f>IFERROR(D12/D14,0)</f>
        <v>-0.09713291709377815</v>
      </c>
      <c r="E13" s="11">
        <f>IFERROR(E12/E14,0)</f>
        <v>1.5140022604546026</v>
      </c>
      <c r="F13" s="11">
        <f>IFERROR(F12/F14,0)</f>
        <v>2.070166658325409</v>
      </c>
      <c r="G13" s="11">
        <f>IFERROR(G12/G14,0)</f>
        <v>1.6136806353329003</v>
      </c>
      <c r="H13" s="11">
        <f>IFERROR(H12/H14,0)</f>
        <v>1.606611365606042</v>
      </c>
      <c r="I13" s="11">
        <f>IFERROR(I12/I14,0)</f>
        <v>1.3501715075389285</v>
      </c>
      <c r="J13" s="11">
        <f>IFERROR(J12/J14,0)</f>
        <v>0.8283626308512739</v>
      </c>
      <c r="K13" s="11">
        <f>IFERROR(K12/K14,0)</f>
        <v>1.342706893146356</v>
      </c>
      <c r="L13" s="11">
        <f>IFERROR(L12/L14,0)</f>
        <v>1.214077621963263</v>
      </c>
      <c r="M13" s="11">
        <f>IFERROR(M12/M14,0)</f>
        <v>0.8050069128974917</v>
      </c>
      <c r="N13" s="11">
        <f>IFERROR(N12/N14,0)</f>
        <v>0.05962046245342151</v>
      </c>
      <c r="O13" s="11">
        <f>IFERROR(O12/O14,0)</f>
        <v>1.1864890112591575</v>
      </c>
      <c r="P13" s="11">
        <f>IFERROR(P12/P14,0)</f>
        <v>2.4343325847085246</v>
      </c>
      <c r="Q13" s="11">
        <f>IFERROR(Q12/Q14,0)</f>
        <v>4.8722680338261135</v>
      </c>
      <c r="R13" s="11">
        <f>IFERROR(R12/R14,0)</f>
        <v>5.87702666717829</v>
      </c>
      <c r="S13" s="11">
        <f>IFERROR(S12/S14,0)</f>
        <v>6.97665557777624</v>
      </c>
      <c r="T13" s="11">
        <f>IFERROR(T12/T14,0)</f>
        <v>8.150315313181464</v>
      </c>
      <c r="U13" s="11">
        <f>IFERROR(U12/U14,0)</f>
        <v>9.369223554883163</v>
      </c>
      <c r="V13" s="11">
        <f>IFERROR(V12/V14,0)</f>
        <v>10.597185986456823</v>
      </c>
      <c r="W13" s="11">
        <f>IFERROR(W12/W14,0)</f>
        <v>11.791875297217764</v>
      </c>
      <c r="X13" s="11">
        <f>IFERROR(X12/X14,0)</f>
        <v>12.90686207669591</v>
      </c>
      <c r="Y13" s="11">
        <f>IFERROR(Y12/Y14,0)</f>
        <v>13.894310730087623</v>
      </c>
      <c r="Z13" s="11">
        <f>IFERROR(Z12/Z14,0)</f>
        <v>14.708158603295065</v>
      </c>
    </row>
    <row r="14">
      <c r="A14" s="2" t="inlineStr">
        <is>
          <t>Shares</t>
        </is>
      </c>
      <c r="B14" s="52" t="n">
        <v>30.458</v>
      </c>
      <c r="C14" s="52" t="n">
        <v>30.458</v>
      </c>
      <c r="D14" s="52" t="n">
        <v>32.193</v>
      </c>
      <c r="E14" s="52" t="n">
        <v>39.815</v>
      </c>
      <c r="F14" s="52" t="n">
        <v>39.962</v>
      </c>
      <c r="G14" s="52" t="n">
        <v>40.042</v>
      </c>
      <c r="H14" s="52" t="n">
        <v>40.385</v>
      </c>
      <c r="I14" s="52" t="n">
        <v>40.523</v>
      </c>
      <c r="J14" s="52" t="n">
        <v>40.504</v>
      </c>
      <c r="K14" s="52" t="n">
        <v>40.504</v>
      </c>
      <c r="L14" s="52" t="n">
        <v>40.504</v>
      </c>
      <c r="M14" s="52" t="n">
        <v>40.504</v>
      </c>
      <c r="N14" s="52" t="n">
        <v>40.523</v>
      </c>
      <c r="O14" s="52" t="n">
        <v>40.678</v>
      </c>
      <c r="P14" s="52" t="n">
        <v>40.964</v>
      </c>
      <c r="Q14" s="52">
        <f>Main!$C$4</f>
        <v>40.601603</v>
      </c>
      <c r="R14" s="52">
        <f>Main!$C$4</f>
        <v>40.601603</v>
      </c>
      <c r="S14" s="52">
        <f>Main!$C$4</f>
        <v>40.601603</v>
      </c>
      <c r="T14" s="52">
        <f>Main!$C$4</f>
        <v>40.601603</v>
      </c>
      <c r="U14" s="52">
        <f>Main!$C$4</f>
        <v>40.601603</v>
      </c>
      <c r="V14" s="52">
        <f>Main!$C$4</f>
        <v>40.601603</v>
      </c>
      <c r="W14" s="52">
        <f>Main!$C$4</f>
        <v>40.601603</v>
      </c>
      <c r="X14" s="52">
        <f>Main!$C$4</f>
        <v>40.601603</v>
      </c>
      <c r="Y14" s="52">
        <f>Main!$C$4</f>
        <v>40.601603</v>
      </c>
      <c r="Z14" s="52">
        <f>Main!$C$4</f>
        <v>40.601603</v>
      </c>
    </row>
    <row r="15"/>
    <row r="16" customFormat="1" s="4">
      <c r="A16" s="3" t="inlineStr">
        <is>
          <t>Revenue Change</t>
        </is>
      </c>
      <c r="C16" s="15">
        <f>IFERROR(C2/B2-1,"")</f>
        <v>-0.0014523750919200884</v>
      </c>
      <c r="D16" s="15">
        <f>IFERROR(D2/C2-1,"")</f>
        <v>0.0593476852978867</v>
      </c>
      <c r="E16" s="15">
        <f>IFERROR(E2/D2-1,"")</f>
        <v>0.08191335917469522</v>
      </c>
      <c r="F16" s="15">
        <f>IFERROR(F2/E2-1,"")</f>
        <v>0.003920699019891893</v>
      </c>
      <c r="G16" s="15">
        <f>IFERROR(G2/F2-1,"")</f>
        <v>0.016972134031290942</v>
      </c>
      <c r="H16" s="15">
        <f>IFERROR(H2/G2-1,"")</f>
        <v>0.07288026262591907</v>
      </c>
      <c r="I16" s="15">
        <f>IFERROR(I2/H2-1,"")</f>
        <v>0.009772165730467242</v>
      </c>
      <c r="J16" s="15">
        <f>IFERROR(J2/I2-1,"")</f>
        <v>-0.0333830518300231</v>
      </c>
      <c r="K16" s="15">
        <f>IFERROR(K2/J2-1,"")</f>
        <v>0.04122675715995672</v>
      </c>
      <c r="L16" s="15">
        <f>IFERROR(L2/K2-1,"")</f>
        <v>0.13069058618827611</v>
      </c>
      <c r="M16" s="15">
        <f>IFERROR(M2/L2-1,"")</f>
        <v>0.037811179704986264</v>
      </c>
      <c r="N16" s="15">
        <f>IFERROR(N2/M2-1,"")</f>
        <v>0.0406896897296114</v>
      </c>
      <c r="O16" s="15">
        <f>IFERROR(O2/N2-1,"")</f>
        <v>0.27369730533891334</v>
      </c>
      <c r="P16" s="15">
        <f>IFERROR(P2/O2-1,"")</f>
        <v>0.17117376361174674</v>
      </c>
      <c r="Q16" s="15">
        <f>IFERROR(Q2/P2-1,"")</f>
        <v>0.17120000000000002</v>
      </c>
      <c r="R16" s="15">
        <f>IFERROR(R2/Q2-1,"")</f>
        <v>0.1549555555555555</v>
      </c>
      <c r="S16" s="15">
        <f>IFERROR(S2/R2-1,"")</f>
        <v>0.13871111111111123</v>
      </c>
      <c r="T16" s="15">
        <f>IFERROR(T2/S2-1,"")</f>
        <v>0.12246666666666672</v>
      </c>
      <c r="U16" s="15">
        <f>IFERROR(U2/T2-1,"")</f>
        <v>0.10622222222222222</v>
      </c>
      <c r="V16" s="15">
        <f>IFERROR(V2/U2-1,"")</f>
        <v>0.08997777777777771</v>
      </c>
      <c r="W16" s="15">
        <f>IFERROR(W2/V2-1,"")</f>
        <v>0.07373333333333343</v>
      </c>
      <c r="X16" s="15">
        <f>IFERROR(X2/W2-1,"")</f>
        <v>0.05748888888888892</v>
      </c>
      <c r="Y16" s="15">
        <f>IFERROR(Y2/X2-1,"")</f>
        <v>0.04124444444444442</v>
      </c>
      <c r="Z16" s="15">
        <f>IFERROR(Z2/Y2-1,"")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0.2509383107501747</v>
      </c>
      <c r="C17" s="15">
        <f>IFERROR(C4/C2,"")</f>
        <v>0.2740009584307457</v>
      </c>
      <c r="D17" s="15">
        <f>IFERROR(D4/D2,"")</f>
        <v>0.2954326693779863</v>
      </c>
      <c r="E17" s="15">
        <f>IFERROR(E4/E2,"")</f>
        <v>0.31162544032722805</v>
      </c>
      <c r="F17" s="15">
        <f>IFERROR(F4/F2,"")</f>
        <v>0.31806218281203835</v>
      </c>
      <c r="G17" s="15">
        <f>IFERROR(G4/G2,"")</f>
        <v>0.32480592870946673</v>
      </c>
      <c r="H17" s="15">
        <f>IFERROR(H4/H2,"")</f>
        <v>0.32546933957086865</v>
      </c>
      <c r="I17" s="15">
        <f>IFERROR(I4/I2,"")</f>
        <v>0.3195961328268891</v>
      </c>
      <c r="J17" s="15">
        <f>IFERROR(J4/J2,"")</f>
        <v>0.32096047498981706</v>
      </c>
      <c r="K17" s="15">
        <f>IFERROR(K4/K2,"")</f>
        <v>0.32564588708225845</v>
      </c>
      <c r="L17" s="15">
        <f>IFERROR(L4/L2,"")</f>
        <v>0.302888477820901</v>
      </c>
      <c r="M17" s="15">
        <f>IFERROR(M4/M2,"")</f>
        <v>0.3049804221133482</v>
      </c>
      <c r="N17" s="15">
        <f>IFERROR(N4/N2,"")</f>
        <v>0.30765300256760725</v>
      </c>
      <c r="O17" s="15">
        <f>IFERROR(O4/O2,"")</f>
        <v>0.30854603595854074</v>
      </c>
      <c r="P17" s="15">
        <f>IFERROR(P4/P2,"")</f>
        <v>0.33760448141187666</v>
      </c>
      <c r="Q17" s="15">
        <f>IFERROR(Q4/Q2,"")</f>
        <v>0.3376</v>
      </c>
      <c r="R17" s="15">
        <f>IFERROR(R4/R2,"")</f>
        <v>0.33760000000000007</v>
      </c>
      <c r="S17" s="15">
        <f>IFERROR(S4/S2,"")</f>
        <v>0.33759999999999996</v>
      </c>
      <c r="T17" s="15">
        <f>IFERROR(T4/T2,"")</f>
        <v>0.3376</v>
      </c>
      <c r="U17" s="15">
        <f>IFERROR(U4/U2,"")</f>
        <v>0.3376</v>
      </c>
      <c r="V17" s="15">
        <f>IFERROR(V4/V2,"")</f>
        <v>0.33759999999999996</v>
      </c>
      <c r="W17" s="15">
        <f>IFERROR(W4/W2,"")</f>
        <v>0.3376</v>
      </c>
      <c r="X17" s="15">
        <f>IFERROR(X4/X2,"")</f>
        <v>0.33759999999999996</v>
      </c>
      <c r="Y17" s="15">
        <f>IFERROR(Y4/Y2,"")</f>
        <v>0.3376</v>
      </c>
      <c r="Z17" s="15">
        <f>IFERROR(Z4/Z2,"")</f>
        <v>0.33760000000000007</v>
      </c>
    </row>
    <row r="18">
      <c r="A18" s="14" t="inlineStr">
        <is>
          <t>Operating Margin</t>
        </is>
      </c>
      <c r="B18" s="15">
        <f>IFERROR(B8/B2,"")</f>
        <v>0.07540884358837552</v>
      </c>
      <c r="C18" s="15">
        <f>IFERROR(C8/C2,"")</f>
        <v>0.08685740357130271</v>
      </c>
      <c r="D18" s="15">
        <f>IFERROR(D8/D2,"")</f>
        <v>0.09219931956861693</v>
      </c>
      <c r="E18" s="15">
        <f>IFERROR(E8/E2,"")</f>
        <v>0.1171106785948535</v>
      </c>
      <c r="F18" s="15">
        <f>IFERROR(F8/F2,"")</f>
        <v>0.1140931917192485</v>
      </c>
      <c r="G18" s="15">
        <f>IFERROR(G8/G2,"")</f>
        <v>0.12813873431368822</v>
      </c>
      <c r="H18" s="15">
        <f>IFERROR(H8/H2,"")</f>
        <v>0.12064411170001295</v>
      </c>
      <c r="I18" s="15">
        <f>IFERROR(I8/I2,"")</f>
        <v>0.10051509972886313</v>
      </c>
      <c r="J18" s="15">
        <f>IFERROR(J8/J2,"")</f>
        <v>0.0864542439970314</v>
      </c>
      <c r="K18" s="15">
        <f>IFERROR(K8/K2,"")</f>
        <v>0.08983980320393598</v>
      </c>
      <c r="L18" s="15">
        <f>IFERROR(L8/L2,"")</f>
        <v>0.08382603121640395</v>
      </c>
      <c r="M18" s="15">
        <f>IFERROR(M8/M2,"")</f>
        <v>0.07347152897721515</v>
      </c>
      <c r="N18" s="15">
        <f>IFERROR(N8/N2,"")</f>
        <v>0.05238881808507398</v>
      </c>
      <c r="O18" s="15">
        <f>IFERROR(O8/O2,"")</f>
        <v>0.08522120172965127</v>
      </c>
      <c r="P18" s="15">
        <f>IFERROR(P8/P2,"")</f>
        <v>0.1280527609309839</v>
      </c>
      <c r="Q18" s="15">
        <f>IFERROR(Q8/Q2,"")</f>
        <v>0.13405</v>
      </c>
      <c r="R18" s="15">
        <f>IFERROR(R8/R2,"")</f>
        <v>0.13999999999999999</v>
      </c>
      <c r="S18" s="15">
        <f>IFERROR(S8/S2,"")</f>
        <v>0.14595</v>
      </c>
      <c r="T18" s="15">
        <f>IFERROR(T8/T2,"")</f>
        <v>0.15189999999999998</v>
      </c>
      <c r="U18" s="15">
        <f>IFERROR(U8/U2,"")</f>
        <v>0.15785000000000002</v>
      </c>
      <c r="V18" s="15">
        <f>IFERROR(V8/V2,"")</f>
        <v>0.16379999999999997</v>
      </c>
      <c r="W18" s="15">
        <f>IFERROR(W8/W2,"")</f>
        <v>0.16974999999999998</v>
      </c>
      <c r="X18" s="15">
        <f>IFERROR(X8/X2,"")</f>
        <v>0.17569999999999997</v>
      </c>
      <c r="Y18" s="15">
        <f>IFERROR(Y8/Y2,"")</f>
        <v>0.18164999999999998</v>
      </c>
      <c r="Z18" s="15">
        <f>IFERROR(Z8/Z2,"")</f>
        <v>0.1876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Phibro Animal Health Corp: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0.1212</v>
      </c>
      <c r="C12" s="53" t="n">
        <v>0.1712</v>
      </c>
      <c r="D12" s="53" t="n">
        <v>0.2212</v>
      </c>
      <c r="E12" s="54">
        <f>CHOOSE($B$4,B12,C12,D12)</f>
        <v>0.1712</v>
      </c>
    </row>
    <row r="13">
      <c r="A13" s="14" t="inlineStr">
        <is>
          <t>Operating margin, year 10</t>
        </is>
      </c>
      <c r="B13" s="53" t="n">
        <v>0.1376</v>
      </c>
      <c r="C13" s="53" t="n">
        <v>0.1876</v>
      </c>
      <c r="D13" s="53" t="n">
        <v>0.2376</v>
      </c>
      <c r="E13" s="54">
        <f>CHOOSE($B$4,B13,C13,D13)</f>
        <v>0.1876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0.1281</v>
      </c>
    </row>
    <row r="19">
      <c r="A19" s="14" t="inlineStr">
        <is>
          <t>Gross margin (forecast)</t>
        </is>
      </c>
      <c r="B19" s="53" t="n">
        <v>0.3376</v>
      </c>
    </row>
    <row r="20">
      <c r="A20" s="14" t="inlineStr">
        <is>
          <t>R&amp;D share of operating expense (forecast)</t>
        </is>
      </c>
      <c r="B20" s="53" t="n">
        <v>0.0772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FY2026</t>
        </is>
      </c>
      <c r="B25" s="55">
        <f>'Yearly Model'!P2</f>
        <v>1518.093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4311.833537882359</v>
      </c>
      <c r="C29" s="56">
        <f>NPV!B26</f>
        <v>3661.0335378823593</v>
      </c>
      <c r="D29" s="35">
        <f>NPV!B28</f>
        <v>90.16967970162064</v>
      </c>
      <c r="E29" s="57">
        <f>NPV!B30</f>
        <v>1.3239608170520785</v>
      </c>
    </row>
    <row r="30">
      <c r="A30" s="58" t="n">
        <v>1</v>
      </c>
      <c r="B30" s="59">
        <f t="dataTable" ref="B30:E32" r1="B4"/>
        <v>2356.3835780877052</v>
      </c>
      <c r="C30" s="59">
        <v>1705.5835780877055</v>
      </c>
      <c r="D30" s="39">
        <v>42.00778915275108</v>
      </c>
      <c r="E30" s="60">
        <v>0.08267497816368774</v>
      </c>
    </row>
    <row r="31">
      <c r="A31" s="58" t="n">
        <v>2</v>
      </c>
      <c r="B31" s="59">
        <v>4311.833537882359</v>
      </c>
      <c r="C31" s="59">
        <v>3661.0335378823593</v>
      </c>
      <c r="D31" s="39">
        <v>90.16967970162064</v>
      </c>
      <c r="E31" s="60">
        <v>1.3239608170520785</v>
      </c>
    </row>
    <row r="32">
      <c r="A32" s="58" t="n">
        <v>3</v>
      </c>
      <c r="B32" s="59">
        <v>8000.530090716577</v>
      </c>
      <c r="C32" s="59">
        <v>7349.730090716577</v>
      </c>
      <c r="D32" s="39">
        <v>181.02068755060182</v>
      </c>
      <c r="E32" s="60">
        <v>3.6654816379021087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90.16967970162064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112.83823918112319</v>
      </c>
      <c r="C37" s="39">
        <v>120.41741079810032</v>
      </c>
      <c r="D37" s="39">
        <v>129.15636914537194</v>
      </c>
      <c r="E37" s="39">
        <v>139.34501436092606</v>
      </c>
      <c r="F37" s="39">
        <v>151.37866468306825</v>
      </c>
    </row>
    <row r="38">
      <c r="A38" s="62" t="n">
        <v>0.1</v>
      </c>
      <c r="B38" s="39">
        <v>95.10849349074097</v>
      </c>
      <c r="C38" s="39">
        <v>100.66743725223321</v>
      </c>
      <c r="D38" s="39">
        <v>106.96241750048164</v>
      </c>
      <c r="E38" s="39">
        <v>114.15111827663391</v>
      </c>
      <c r="F38" s="39">
        <v>122.43974168384786</v>
      </c>
    </row>
    <row r="39">
      <c r="A39" s="62" t="n">
        <v>0.11</v>
      </c>
      <c r="B39" s="39">
        <v>81.27325501623223</v>
      </c>
      <c r="C39" s="39">
        <v>85.47639105917602</v>
      </c>
      <c r="D39" s="39">
        <v>90.16967970162064</v>
      </c>
      <c r="E39" s="39">
        <v>95.44499282469292</v>
      </c>
      <c r="F39" s="39">
        <v>101.41870139299483</v>
      </c>
    </row>
    <row r="40">
      <c r="A40" s="62" t="n">
        <v>0.12</v>
      </c>
      <c r="B40" s="39">
        <v>70.20688845064865</v>
      </c>
      <c r="C40" s="39">
        <v>73.46301241267872</v>
      </c>
      <c r="D40" s="39">
        <v>77.05819485657068</v>
      </c>
      <c r="E40" s="39">
        <v>81.04891868978055</v>
      </c>
      <c r="F40" s="39">
        <v>85.50495684561821</v>
      </c>
    </row>
    <row r="41">
      <c r="A41" s="62" t="n">
        <v>0.13</v>
      </c>
      <c r="B41" s="39">
        <v>61.17652158026442</v>
      </c>
      <c r="C41" s="39">
        <v>63.749619867716476</v>
      </c>
      <c r="D41" s="39">
        <v>66.56459788653648</v>
      </c>
      <c r="E41" s="39">
        <v>69.65771463575219</v>
      </c>
      <c r="F41" s="39">
        <v>73.07286252933073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Phibro Animal Health Corp: free-cash-flow DCF ($mm)</t>
        </is>
      </c>
    </row>
    <row r="3">
      <c r="A3" s="20" t="inlineStr">
        <is>
          <t>Fiscal year</t>
        </is>
      </c>
      <c r="B3" s="43">
        <f>'Yearly Model'!P1</f>
        <v>2026</v>
      </c>
      <c r="C3" s="43">
        <f>'Yearly Model'!Q1</f>
        <v>2027</v>
      </c>
      <c r="D3" s="43">
        <f>'Yearly Model'!R1</f>
        <v>2028</v>
      </c>
      <c r="E3" s="43">
        <f>'Yearly Model'!S1</f>
        <v>2029</v>
      </c>
      <c r="F3" s="43">
        <f>'Yearly Model'!T1</f>
        <v>2030</v>
      </c>
      <c r="G3" s="43">
        <f>'Yearly Model'!U1</f>
        <v>2031</v>
      </c>
      <c r="H3" s="43">
        <f>'Yearly Model'!V1</f>
        <v>2032</v>
      </c>
      <c r="I3" s="43">
        <f>'Yearly Model'!W1</f>
        <v>2033</v>
      </c>
      <c r="J3" s="43">
        <f>'Yearly Model'!X1</f>
        <v>2034</v>
      </c>
      <c r="K3" s="43">
        <f>'Yearly Model'!Y1</f>
        <v>2035</v>
      </c>
      <c r="L3" s="43">
        <f>'Yearly Model'!Z1</f>
        <v>2036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0.1712</v>
      </c>
      <c r="D5" s="63">
        <f>Assumptions!$E$12+(Assumptions!$E$11-Assumptions!$E$12)*(D4-1)/(Assumptions!$B$21-1)</f>
        <v>0.15495555555555554</v>
      </c>
      <c r="E5" s="63">
        <f>Assumptions!$E$12+(Assumptions!$E$11-Assumptions!$E$12)*(E4-1)/(Assumptions!$B$21-1)</f>
        <v>0.13871111111111112</v>
      </c>
      <c r="F5" s="63">
        <f>Assumptions!$E$12+(Assumptions!$E$11-Assumptions!$E$12)*(F4-1)/(Assumptions!$B$21-1)</f>
        <v>0.12246666666666667</v>
      </c>
      <c r="G5" s="63">
        <f>Assumptions!$E$12+(Assumptions!$E$11-Assumptions!$E$12)*(G4-1)/(Assumptions!$B$21-1)</f>
        <v>0.10622222222222222</v>
      </c>
      <c r="H5" s="63">
        <f>Assumptions!$E$12+(Assumptions!$E$11-Assumptions!$E$12)*(H4-1)/(Assumptions!$B$21-1)</f>
        <v>0.08997777777777777</v>
      </c>
      <c r="I5" s="63">
        <f>Assumptions!$E$12+(Assumptions!$E$11-Assumptions!$E$12)*(I4-1)/(Assumptions!$B$21-1)</f>
        <v>0.07373333333333333</v>
      </c>
      <c r="J5" s="63">
        <f>Assumptions!$E$12+(Assumptions!$E$11-Assumptions!$E$12)*(J4-1)/(Assumptions!$B$21-1)</f>
        <v>0.05748888888888887</v>
      </c>
      <c r="K5" s="63">
        <f>Assumptions!$E$12+(Assumptions!$E$11-Assumptions!$E$12)*(K4-1)/(Assumptions!$B$21-1)</f>
        <v>0.041244444444444445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0.1280527609309839</v>
      </c>
      <c r="C6" s="63">
        <f>Assumptions!$B$18+(Assumptions!$E$13-Assumptions!$B$18)*C4/Assumptions!$B$21</f>
        <v>0.13405</v>
      </c>
      <c r="D6" s="63">
        <f>Assumptions!$B$18+(Assumptions!$E$13-Assumptions!$B$18)*D4/Assumptions!$B$21</f>
        <v>0.13999999999999999</v>
      </c>
      <c r="E6" s="63">
        <f>Assumptions!$B$18+(Assumptions!$E$13-Assumptions!$B$18)*E4/Assumptions!$B$21</f>
        <v>0.14595</v>
      </c>
      <c r="F6" s="63">
        <f>Assumptions!$B$18+(Assumptions!$E$13-Assumptions!$B$18)*F4/Assumptions!$B$21</f>
        <v>0.15189999999999998</v>
      </c>
      <c r="G6" s="63">
        <f>Assumptions!$B$18+(Assumptions!$E$13-Assumptions!$B$18)*G4/Assumptions!$B$21</f>
        <v>0.15785</v>
      </c>
      <c r="H6" s="63">
        <f>Assumptions!$B$18+(Assumptions!$E$13-Assumptions!$B$18)*H4/Assumptions!$B$21</f>
        <v>0.1638</v>
      </c>
      <c r="I6" s="63">
        <f>Assumptions!$B$18+(Assumptions!$E$13-Assumptions!$B$18)*I4/Assumptions!$B$21</f>
        <v>0.16974999999999998</v>
      </c>
      <c r="J6" s="63">
        <f>Assumptions!$B$18+(Assumptions!$E$13-Assumptions!$B$18)*J4/Assumptions!$B$21</f>
        <v>0.1757</v>
      </c>
      <c r="K6" s="63">
        <f>Assumptions!$B$18+(Assumptions!$E$13-Assumptions!$B$18)*K4/Assumptions!$B$21</f>
        <v>0.18164999999999998</v>
      </c>
      <c r="L6" s="63">
        <f>Assumptions!$B$18+(Assumptions!$E$13-Assumptions!$B$18)*L4/Assumptions!$B$21</f>
        <v>0.1876</v>
      </c>
    </row>
    <row r="7">
      <c r="A7" s="14" t="inlineStr">
        <is>
          <t>Revenue</t>
        </is>
      </c>
      <c r="B7" s="55">
        <f>'Yearly Model'!P2</f>
        <v>1518.093</v>
      </c>
      <c r="C7" s="55">
        <f>'Yearly Model'!Q2</f>
        <v>1777.9905216000002</v>
      </c>
      <c r="D7" s="55">
        <f>'Yearly Model'!R2</f>
        <v>2053.50003064704</v>
      </c>
      <c r="E7" s="55">
        <f>'Yearly Model'!S2</f>
        <v>2338.343301564792</v>
      </c>
      <c r="F7" s="55">
        <f>'Yearly Model'!T2</f>
        <v>2624.71241122976</v>
      </c>
      <c r="G7" s="55">
        <f>'Yearly Model'!U2</f>
        <v>2903.5151962448326</v>
      </c>
      <c r="H7" s="55">
        <f>'Yearly Model'!V2</f>
        <v>3164.767041346951</v>
      </c>
      <c r="I7" s="55">
        <f>'Yearly Model'!W2</f>
        <v>3398.115864528933</v>
      </c>
      <c r="J7" s="55">
        <f>'Yearly Model'!X2</f>
        <v>3593.4697698964073</v>
      </c>
      <c r="K7" s="55">
        <f>'Yearly Model'!Y2</f>
        <v>3741.68043418369</v>
      </c>
      <c r="L7" s="55">
        <f>'Yearly Model'!Z2</f>
        <v>3835.222445038282</v>
      </c>
    </row>
    <row r="8">
      <c r="A8" s="14" t="inlineStr">
        <is>
          <t>Operating income</t>
        </is>
      </c>
      <c r="B8" s="55">
        <f>'Yearly Model'!P8</f>
        <v>194.39600000000013</v>
      </c>
      <c r="C8" s="55">
        <f>'Yearly Model'!Q8</f>
        <v>238.33962942048004</v>
      </c>
      <c r="D8" s="55">
        <f>'Yearly Model'!R8</f>
        <v>287.4900042905856</v>
      </c>
      <c r="E8" s="55">
        <f>'Yearly Model'!S8</f>
        <v>341.2812048633814</v>
      </c>
      <c r="F8" s="55">
        <f>'Yearly Model'!T8</f>
        <v>398.69381526580054</v>
      </c>
      <c r="G8" s="55">
        <f>'Yearly Model'!U8</f>
        <v>458.3198737272469</v>
      </c>
      <c r="H8" s="55">
        <f>'Yearly Model'!V8</f>
        <v>518.3888413726305</v>
      </c>
      <c r="I8" s="55">
        <f>'Yearly Model'!W8</f>
        <v>576.8301680037863</v>
      </c>
      <c r="J8" s="55">
        <f>'Yearly Model'!X8</f>
        <v>631.3726385707987</v>
      </c>
      <c r="K8" s="55">
        <f>'Yearly Model'!Y8</f>
        <v>679.6762508694673</v>
      </c>
      <c r="L8" s="55">
        <f>'Yearly Model'!Z8</f>
        <v>719.4877306891816</v>
      </c>
    </row>
    <row r="9">
      <c r="A9" s="14" t="inlineStr">
        <is>
          <t>Tax on operating income</t>
        </is>
      </c>
      <c r="C9" s="52">
        <f>MAX(0,C8)*Assumptions!$E$14</f>
        <v>40.517737001481606</v>
      </c>
      <c r="D9" s="52">
        <f>MAX(0,D8)*Assumptions!$E$14</f>
        <v>48.87330072939955</v>
      </c>
      <c r="E9" s="52">
        <f>MAX(0,E8)*Assumptions!$E$14</f>
        <v>58.01780482677484</v>
      </c>
      <c r="F9" s="52">
        <f>MAX(0,F8)*Assumptions!$E$14</f>
        <v>67.7779485951861</v>
      </c>
      <c r="G9" s="52">
        <f>MAX(0,G8)*Assumptions!$E$14</f>
        <v>77.91437853363198</v>
      </c>
      <c r="H9" s="52">
        <f>MAX(0,H8)*Assumptions!$E$14</f>
        <v>88.12610303334719</v>
      </c>
      <c r="I9" s="52">
        <f>MAX(0,I8)*Assumptions!$E$14</f>
        <v>98.06112856064368</v>
      </c>
      <c r="J9" s="52">
        <f>MAX(0,J8)*Assumptions!$E$14</f>
        <v>107.33334855703579</v>
      </c>
      <c r="K9" s="52">
        <f>MAX(0,K8)*Assumptions!$E$14</f>
        <v>115.54496264780944</v>
      </c>
      <c r="L9" s="52">
        <f>MAX(0,L8)*Assumptions!$E$14</f>
        <v>122.31291421716088</v>
      </c>
    </row>
    <row r="10">
      <c r="A10" s="14" t="inlineStr">
        <is>
          <t>NOPAT</t>
        </is>
      </c>
      <c r="C10" s="52">
        <f>C8-C9</f>
        <v>197.82189241899843</v>
      </c>
      <c r="D10" s="52">
        <f>D8-D9</f>
        <v>238.61670356118606</v>
      </c>
      <c r="E10" s="52">
        <f>E8-E9</f>
        <v>283.2634000366065</v>
      </c>
      <c r="F10" s="52">
        <f>F8-F9</f>
        <v>330.91586667061443</v>
      </c>
      <c r="G10" s="52">
        <f>G8-G9</f>
        <v>380.4054951936149</v>
      </c>
      <c r="H10" s="52">
        <f>H8-H9</f>
        <v>430.2627383392833</v>
      </c>
      <c r="I10" s="52">
        <f>I8-I9</f>
        <v>478.7690394431426</v>
      </c>
      <c r="J10" s="52">
        <f>J8-J9</f>
        <v>524.0392900137629</v>
      </c>
      <c r="K10" s="52">
        <f>K8-K9</f>
        <v>564.1312882216578</v>
      </c>
      <c r="L10" s="52">
        <f>L8-L9</f>
        <v>597.1748164720207</v>
      </c>
    </row>
    <row r="11">
      <c r="A11" s="14" t="inlineStr">
        <is>
          <t>Reinvestment</t>
        </is>
      </c>
      <c r="C11" s="52">
        <f>(C7-B7)*Assumptions!$E$15</f>
        <v>64.97438040000003</v>
      </c>
      <c r="D11" s="52">
        <f>(D7-C7)*Assumptions!$E$15</f>
        <v>68.87737726175999</v>
      </c>
      <c r="E11" s="52">
        <f>(E7-D7)*Assumptions!$E$15</f>
        <v>71.21081772943796</v>
      </c>
      <c r="F11" s="52">
        <f>(F7-E7)*Assumptions!$E$15</f>
        <v>71.59227741624204</v>
      </c>
      <c r="G11" s="52">
        <f>(G7-F7)*Assumptions!$E$15</f>
        <v>69.70069625376811</v>
      </c>
      <c r="H11" s="52">
        <f>(H7-G7)*Assumptions!$E$15</f>
        <v>65.31296127552957</v>
      </c>
      <c r="I11" s="52">
        <f>(I7-H7)*Assumptions!$E$15</f>
        <v>58.33720579549549</v>
      </c>
      <c r="J11" s="52">
        <f>(J7-I7)*Assumptions!$E$15</f>
        <v>48.83847634186861</v>
      </c>
      <c r="K11" s="52">
        <f>(K7-J7)*Assumptions!$E$15</f>
        <v>37.05266607182068</v>
      </c>
      <c r="L11" s="52">
        <f>(L7-K7)*Assumptions!$E$15</f>
        <v>23.385502713647952</v>
      </c>
    </row>
    <row r="12">
      <c r="A12" s="20" t="inlineStr">
        <is>
          <t>Free cash flow</t>
        </is>
      </c>
      <c r="C12" s="64">
        <f>C10-C11</f>
        <v>132.8475120189984</v>
      </c>
      <c r="D12" s="64">
        <f>D10-D11</f>
        <v>169.73932629942607</v>
      </c>
      <c r="E12" s="64">
        <f>E10-E11</f>
        <v>212.05258230716856</v>
      </c>
      <c r="F12" s="64">
        <f>F10-F11</f>
        <v>259.3235892543724</v>
      </c>
      <c r="G12" s="64">
        <f>G10-G11</f>
        <v>310.7047989398468</v>
      </c>
      <c r="H12" s="64">
        <f>H10-H11</f>
        <v>364.94977706375374</v>
      </c>
      <c r="I12" s="64">
        <f>I10-I11</f>
        <v>420.4318336476471</v>
      </c>
      <c r="J12" s="64">
        <f>J10-J11</f>
        <v>475.20081367189425</v>
      </c>
      <c r="K12" s="64">
        <f>K10-K11</f>
        <v>527.0786221498371</v>
      </c>
      <c r="L12" s="64">
        <f>L10-L11</f>
        <v>573.7893137583727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0.949157995752499</v>
      </c>
      <c r="D15" s="65">
        <f>1/(1+Assumptions!$E$10)^D14</f>
        <v>0.8550972934707196</v>
      </c>
      <c r="E15" s="65">
        <f>1/(1+Assumptions!$E$10)^E14</f>
        <v>0.7703579220456934</v>
      </c>
      <c r="F15" s="65">
        <f>1/(1+Assumptions!$E$10)^F14</f>
        <v>0.694016145987111</v>
      </c>
      <c r="G15" s="65">
        <f>1/(1+Assumptions!$E$10)^G14</f>
        <v>0.6252397711595595</v>
      </c>
      <c r="H15" s="65">
        <f>1/(1+Assumptions!$E$10)^H14</f>
        <v>0.5632790731167202</v>
      </c>
      <c r="I15" s="65">
        <f>1/(1+Assumptions!$E$10)^I14</f>
        <v>0.5074586244294776</v>
      </c>
      <c r="J15" s="65">
        <f>1/(1+Assumptions!$E$10)^J14</f>
        <v>0.4571699319184483</v>
      </c>
      <c r="K15" s="65">
        <f>1/(1+Assumptions!$E$10)^K14</f>
        <v>0.4118648035301335</v>
      </c>
      <c r="L15" s="65">
        <f>1/(1+Assumptions!$E$10)^L14</f>
        <v>0.37104937254966985</v>
      </c>
    </row>
    <row r="16">
      <c r="A16" s="20" t="inlineStr">
        <is>
          <t>PV of free cash flow</t>
        </is>
      </c>
      <c r="C16" s="64">
        <f>C12*C13*C15</f>
        <v>126.09327824865855</v>
      </c>
      <c r="D16" s="64">
        <f>D12*D13*D15</f>
        <v>145.14363851418256</v>
      </c>
      <c r="E16" s="64">
        <f>E12*E13*E15</f>
        <v>163.35638667057376</v>
      </c>
      <c r="F16" s="64">
        <f>F12*F13*F15</f>
        <v>179.97475797786413</v>
      </c>
      <c r="G16" s="64">
        <f>G12*G13*G15</f>
        <v>194.26499738732676</v>
      </c>
      <c r="H16" s="64">
        <f>H12*H13*H15</f>
        <v>205.56857215862487</v>
      </c>
      <c r="I16" s="64">
        <f>I12*I13*I15</f>
        <v>213.35175996919799</v>
      </c>
      <c r="J16" s="64">
        <f>J12*J13*J15</f>
        <v>217.24752363397113</v>
      </c>
      <c r="K16" s="64">
        <f>K12*K13*K15</f>
        <v>217.0851331566761</v>
      </c>
      <c r="L16" s="64">
        <f>L12*L13*L15</f>
        <v>212.90416484574985</v>
      </c>
    </row>
    <row r="19">
      <c r="A19" s="14" t="inlineStr">
        <is>
          <t>PV of forecast free cash flow</t>
        </is>
      </c>
      <c r="B19" s="52">
        <f>SUM(C16:L16)</f>
        <v>1874.990212562826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588.1340466023319</v>
      </c>
    </row>
    <row r="21">
      <c r="A21" s="14" t="inlineStr">
        <is>
          <t>Terminal value</t>
        </is>
      </c>
      <c r="B21" s="52">
        <f>B20/(Assumptions!$E$10-Assumptions!$E$11)</f>
        <v>6919.224077674493</v>
      </c>
    </row>
    <row r="22">
      <c r="A22" s="14" t="inlineStr">
        <is>
          <t>PV of terminal value</t>
        </is>
      </c>
      <c r="B22" s="52">
        <f>B21/(1+Assumptions!$E$10)^(L14+0.5)</f>
        <v>2436.843325319533</v>
      </c>
    </row>
    <row r="23">
      <c r="A23" s="20" t="inlineStr">
        <is>
          <t>Enterprise value</t>
        </is>
      </c>
      <c r="B23" s="66">
        <f>B19+B22</f>
        <v>4311.833537882359</v>
      </c>
    </row>
    <row r="24">
      <c r="A24" s="14" t="inlineStr">
        <is>
          <t>Cash &amp; investments</t>
        </is>
      </c>
      <c r="B24" s="55">
        <f>Main!C7</f>
        <v>81.994</v>
      </c>
    </row>
    <row r="25">
      <c r="A25" s="14" t="inlineStr">
        <is>
          <t>Debt</t>
        </is>
      </c>
      <c r="B25" s="55">
        <f>Main!C8</f>
        <v>732.794</v>
      </c>
    </row>
    <row r="26">
      <c r="A26" s="20" t="inlineStr">
        <is>
          <t>Equity value</t>
        </is>
      </c>
      <c r="B26" s="66">
        <f>B23+B24-B25</f>
        <v>3661.0335378823593</v>
      </c>
    </row>
    <row r="27">
      <c r="A27" s="14" t="inlineStr">
        <is>
          <t>Shares (mm)</t>
        </is>
      </c>
      <c r="B27" s="55">
        <f>Main!C4</f>
        <v>40.601603</v>
      </c>
    </row>
    <row r="28">
      <c r="A28" s="20" t="inlineStr">
        <is>
          <t>NPV / share</t>
        </is>
      </c>
      <c r="B28" s="49">
        <f>B26/B27</f>
        <v>90.16967970162064</v>
      </c>
    </row>
    <row r="29">
      <c r="A29" s="14" t="inlineStr">
        <is>
          <t>Price</t>
        </is>
      </c>
      <c r="B29" s="50">
        <f>Main!C3</f>
        <v>38.8</v>
      </c>
    </row>
    <row r="30">
      <c r="A30" s="14" t="inlineStr">
        <is>
          <t>Upside</t>
        </is>
      </c>
      <c r="B30" s="63">
        <f>B28/B29-1</f>
        <v>1.3239608170520785</v>
      </c>
    </row>
    <row r="31">
      <c r="A31" s="14" t="inlineStr">
        <is>
          <t>Terminal value, % of EV</t>
        </is>
      </c>
      <c r="B31" s="63">
        <f>IFERROR(B22/B23,0)</f>
        <v>0.5651524586722155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2026-10-21T06:22:59Z</dcterms:modified>
  <cp:lastModifiedBy>Wang, Eric</cp:lastModifiedBy>
</cp:coreProperties>
</file>