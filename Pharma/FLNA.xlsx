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Filana Therapeutics, Inc.</t>
        </is>
      </c>
      <c r="C2" s="10" t="n"/>
    </row>
    <row r="3">
      <c r="B3" t="inlineStr">
        <is>
          <t>Price</t>
        </is>
      </c>
      <c r="C3" s="11">
        <f>INDEX([1]Pharma!$F$1:$F$1000,MATCH("FLNA",[1]Pharma!$B$1:$B$1000,0))</f>
        <v>0.6885</v>
      </c>
      <c r="F3" s="1" t="n"/>
    </row>
    <row r="4">
      <c r="B4" t="inlineStr">
        <is>
          <t>Shares</t>
        </is>
      </c>
      <c r="C4" s="21" t="n">
        <v>48.307896</v>
      </c>
      <c r="F4" s="1" t="n"/>
    </row>
    <row r="5">
      <c r="B5" t="inlineStr">
        <is>
          <t>Market Cap.</t>
        </is>
      </c>
      <c r="C5" s="13">
        <f>C3*C4</f>
        <v>33.259986396</v>
      </c>
      <c r="F5" s="1" t="n"/>
    </row>
    <row r="6"/>
    <row r="7">
      <c r="B7" t="inlineStr">
        <is>
          <t>Cash</t>
        </is>
      </c>
      <c r="C7" s="21" t="n">
        <v>86.57299999999999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-53.31301360399999</v>
      </c>
    </row>
    <row r="10"/>
    <row r="11">
      <c r="B11" s="14" t="inlineStr">
        <is>
          <t>Net Cash / Share</t>
        </is>
      </c>
      <c r="C11" s="11">
        <f>(C7-C8)/C4</f>
        <v>1.7921086855035042</v>
      </c>
    </row>
    <row r="12">
      <c r="B12" s="14" t="inlineStr">
        <is>
          <t>Upside</t>
        </is>
      </c>
      <c r="C12" s="15">
        <f>IFERROR(C11/C3-1,"")</f>
        <v>1.6029174807603548</v>
      </c>
    </row>
    <row r="13">
      <c r="B13" s="14" t="inlineStr">
        <is>
          <t>Cash / Share</t>
        </is>
      </c>
      <c r="C13" s="11">
        <f>IFERROR((C7-C8)/C4,"")</f>
        <v>1.7921086855035042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-29.794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2.905719272336712</v>
      </c>
    </row>
    <row r="19">
      <c r="B19" s="14" t="inlineStr">
        <is>
          <t>Implied Pipeline Value</t>
        </is>
      </c>
      <c r="C19" s="13">
        <f>C9</f>
        <v>-53.31301360399999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20.563</v>
      </c>
      <c r="C2" s="23" t="n">
        <v>16.809</v>
      </c>
      <c r="D2" s="23" t="n">
        <v>11.484</v>
      </c>
      <c r="E2" s="23" t="n">
        <v>10.89</v>
      </c>
      <c r="F2" s="23" t="n">
        <v>41.119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20.563</v>
      </c>
      <c r="C4" s="23">
        <f>C2-C3</f>
        <v>16.809</v>
      </c>
      <c r="D4" s="23">
        <f>D2-D3</f>
        <v>11.484</v>
      </c>
      <c r="E4" s="23">
        <f>E2-E3</f>
        <v>10.89</v>
      </c>
      <c r="F4" s="23">
        <f>F2-F3</f>
        <v>41.119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</row>
    <row r="5">
      <c r="A5" s="2" t="inlineStr">
        <is>
          <t>Research &amp; Dev.</t>
        </is>
      </c>
      <c r="B5" s="23" t="n">
        <v>21.059</v>
      </c>
      <c r="C5" s="23" t="n">
        <v>15.746</v>
      </c>
      <c r="D5" s="23" t="n">
        <v>8.300000000000001</v>
      </c>
      <c r="E5" s="23" t="n">
        <v>7.605</v>
      </c>
      <c r="F5" s="23" t="n">
        <v>4.917</v>
      </c>
      <c r="G5" s="23" t="n">
        <v>7.306</v>
      </c>
      <c r="H5" s="23" t="n">
        <v>9.1</v>
      </c>
      <c r="I5" s="23" t="n">
        <v>9.176</v>
      </c>
      <c r="J5" s="23" t="n">
        <v>7.615</v>
      </c>
      <c r="K5" s="23" t="n">
        <v>2.969</v>
      </c>
      <c r="L5" s="23" t="n">
        <v>0</v>
      </c>
      <c r="M5" s="23" t="n">
        <v>0</v>
      </c>
      <c r="N5" s="23" t="n">
        <v>24.813</v>
      </c>
      <c r="O5" s="23" t="n">
        <v>68.032</v>
      </c>
      <c r="P5" s="23" t="n">
        <v>89.423</v>
      </c>
      <c r="Q5" s="23" t="n">
        <v>69.637</v>
      </c>
      <c r="R5" s="23" t="n">
        <v>26.59</v>
      </c>
    </row>
    <row r="6">
      <c r="A6" s="19" t="inlineStr">
        <is>
          <t>SG&amp;A &amp; Other</t>
        </is>
      </c>
      <c r="B6" s="23" t="n">
        <v>6.258</v>
      </c>
      <c r="C6" s="23" t="n">
        <v>14.766</v>
      </c>
      <c r="D6" s="23" t="n">
        <v>6.698</v>
      </c>
      <c r="E6" s="23" t="n">
        <v>7.182</v>
      </c>
      <c r="F6" s="23" t="n">
        <v>4.837</v>
      </c>
      <c r="G6" s="23" t="n">
        <v>5.127</v>
      </c>
      <c r="H6" s="23" t="n">
        <v>5.102</v>
      </c>
      <c r="I6" s="23" t="n">
        <v>5.781</v>
      </c>
      <c r="J6" s="23" t="n">
        <v>4.334</v>
      </c>
      <c r="K6" s="23" t="n">
        <v>3.693</v>
      </c>
      <c r="L6" s="23" t="n">
        <v>4.959</v>
      </c>
      <c r="M6" s="23" t="n">
        <v>6.446</v>
      </c>
      <c r="N6" s="23" t="n">
        <v>8.055</v>
      </c>
      <c r="O6" s="23" t="n">
        <v>11.988</v>
      </c>
      <c r="P6" s="23" t="n">
        <v>16.534</v>
      </c>
      <c r="Q6" s="23" t="n">
        <v>71.809</v>
      </c>
      <c r="R6" s="23" t="n">
        <v>68.8</v>
      </c>
    </row>
    <row r="7">
      <c r="A7" s="2" t="inlineStr">
        <is>
          <t>Operating Expense</t>
        </is>
      </c>
      <c r="B7" s="23">
        <f>SUM(B5:B6)</f>
        <v>27.317</v>
      </c>
      <c r="C7" s="23">
        <f>SUM(C5:C6)</f>
        <v>30.512</v>
      </c>
      <c r="D7" s="23">
        <f>SUM(D5:D6)</f>
        <v>14.998000000000001</v>
      </c>
      <c r="E7" s="23">
        <f>SUM(E5:E6)</f>
        <v>14.787</v>
      </c>
      <c r="F7" s="23">
        <f>SUM(F5:F6)</f>
        <v>9.754</v>
      </c>
      <c r="G7" s="23">
        <f>SUM(G5:G6)</f>
        <v>12.433</v>
      </c>
      <c r="H7" s="23">
        <f>SUM(H5:H6)</f>
        <v>14.202</v>
      </c>
      <c r="I7" s="23">
        <f>SUM(I5:I6)</f>
        <v>14.957</v>
      </c>
      <c r="J7" s="23">
        <f>SUM(J5:J6)</f>
        <v>11.949</v>
      </c>
      <c r="K7" s="23">
        <f>SUM(K5:K6)</f>
        <v>6.662</v>
      </c>
      <c r="L7" s="23">
        <f>SUM(L5:L6)</f>
        <v>4.959</v>
      </c>
      <c r="M7" s="23">
        <f>SUM(M5:M6)</f>
        <v>6.446</v>
      </c>
      <c r="N7" s="23">
        <f>SUM(N5:N6)</f>
        <v>32.867999999999995</v>
      </c>
      <c r="O7" s="23">
        <f>SUM(O5:O6)</f>
        <v>80.02</v>
      </c>
      <c r="P7" s="23">
        <f>SUM(P5:P6)</f>
        <v>105.957</v>
      </c>
      <c r="Q7" s="23">
        <f>SUM(Q5:Q6)</f>
        <v>141.446</v>
      </c>
      <c r="R7" s="23">
        <f>SUM(R5:R6)</f>
        <v>95.39</v>
      </c>
    </row>
    <row r="8">
      <c r="A8" s="2" t="inlineStr">
        <is>
          <t>Operating Income</t>
        </is>
      </c>
      <c r="B8" s="23">
        <f>B4-B7</f>
        <v>-6.754000000000001</v>
      </c>
      <c r="C8" s="23">
        <f>C4-C7</f>
        <v>-13.703</v>
      </c>
      <c r="D8" s="23">
        <f>D4-D7</f>
        <v>-3.514000000000001</v>
      </c>
      <c r="E8" s="23">
        <f>E4-E7</f>
        <v>-3.8970000000000002</v>
      </c>
      <c r="F8" s="23">
        <f>F4-F7</f>
        <v>31.365000000000002</v>
      </c>
      <c r="G8" s="23">
        <f>G4-G7</f>
        <v>-12.433</v>
      </c>
      <c r="H8" s="23">
        <f>H4-H7</f>
        <v>-14.202</v>
      </c>
      <c r="I8" s="23">
        <f>I4-I7</f>
        <v>-14.957</v>
      </c>
      <c r="J8" s="23">
        <f>J4-J7</f>
        <v>-11.949</v>
      </c>
      <c r="K8" s="23">
        <f>K4-K7</f>
        <v>-6.662</v>
      </c>
      <c r="L8" s="23">
        <f>L4-L7</f>
        <v>-4.959</v>
      </c>
      <c r="M8" s="23">
        <f>M4-M7</f>
        <v>-6.446</v>
      </c>
      <c r="N8" s="23">
        <f>N4-N7</f>
        <v>-32.867999999999995</v>
      </c>
      <c r="O8" s="23">
        <f>O4-O7</f>
        <v>-80.02</v>
      </c>
      <c r="P8" s="23">
        <f>P4-P7</f>
        <v>-105.957</v>
      </c>
      <c r="Q8" s="23">
        <f>Q4-Q7</f>
        <v>-141.446</v>
      </c>
      <c r="R8" s="23">
        <f>R4-R7</f>
        <v>-95.39</v>
      </c>
    </row>
    <row r="9">
      <c r="A9" s="19" t="inlineStr">
        <is>
          <t>Interest &amp; Other</t>
        </is>
      </c>
      <c r="B9" s="23" t="n">
        <v>1.777</v>
      </c>
      <c r="C9" s="23" t="n">
        <v>1.68</v>
      </c>
      <c r="D9" s="23" t="n">
        <v>0.901</v>
      </c>
      <c r="E9" s="23" t="n">
        <v>0.451</v>
      </c>
      <c r="F9" s="23" t="n">
        <v>0.106</v>
      </c>
      <c r="G9" s="23" t="n">
        <v>0.047</v>
      </c>
      <c r="H9" s="23" t="n">
        <v>0.057</v>
      </c>
      <c r="I9" s="23" t="n">
        <v>0.107</v>
      </c>
      <c r="J9" s="23" t="n">
        <v>0.038</v>
      </c>
      <c r="K9" s="23" t="n">
        <v>0.105</v>
      </c>
      <c r="L9" s="23" t="n">
        <v>0.328</v>
      </c>
      <c r="M9" s="23" t="n">
        <v>0.112</v>
      </c>
      <c r="N9" s="23" t="n">
        <v>0.483</v>
      </c>
      <c r="O9" s="23" t="n">
        <v>3.774</v>
      </c>
      <c r="P9" s="23" t="n">
        <v>8.74</v>
      </c>
      <c r="Q9" s="23" t="n">
        <v>117.104</v>
      </c>
      <c r="R9" s="23" t="n">
        <v>4.417</v>
      </c>
    </row>
    <row r="10">
      <c r="A10" s="2" t="inlineStr">
        <is>
          <t>Pretax</t>
        </is>
      </c>
      <c r="B10" s="23">
        <f>B8+B9</f>
        <v>-4.977000000000001</v>
      </c>
      <c r="C10" s="23">
        <f>C8+C9</f>
        <v>-12.023</v>
      </c>
      <c r="D10" s="23">
        <f>D8+D9</f>
        <v>-2.6130000000000013</v>
      </c>
      <c r="E10" s="23">
        <f>E8+E9</f>
        <v>-3.446</v>
      </c>
      <c r="F10" s="23">
        <f>F8+F9</f>
        <v>31.471000000000004</v>
      </c>
      <c r="G10" s="23">
        <f>G8+G9</f>
        <v>-12.386</v>
      </c>
      <c r="H10" s="23">
        <f>H8+H9</f>
        <v>-14.145</v>
      </c>
      <c r="I10" s="23">
        <f>I8+I9</f>
        <v>-14.850000000000001</v>
      </c>
      <c r="J10" s="23">
        <f>J8+J9</f>
        <v>-11.911</v>
      </c>
      <c r="K10" s="23">
        <f>K8+K9</f>
        <v>-6.5569999999999995</v>
      </c>
      <c r="L10" s="23">
        <f>L8+L9</f>
        <v>-4.630999999999999</v>
      </c>
      <c r="M10" s="23">
        <f>M8+M9</f>
        <v>-6.334</v>
      </c>
      <c r="N10" s="23">
        <f>N8+N9</f>
        <v>-32.385</v>
      </c>
      <c r="O10" s="23">
        <f>O8+O9</f>
        <v>-76.246</v>
      </c>
      <c r="P10" s="23">
        <f>P8+P9</f>
        <v>-97.217</v>
      </c>
      <c r="Q10" s="23">
        <f>Q8+Q9</f>
        <v>-24.342</v>
      </c>
      <c r="R10" s="23">
        <f>R8+R9</f>
        <v>-90.973</v>
      </c>
    </row>
    <row r="11">
      <c r="A11" s="2" t="inlineStr">
        <is>
          <t>Taxes</t>
        </is>
      </c>
      <c r="B11" s="23" t="n">
        <v>-1.51</v>
      </c>
      <c r="C11" s="23" t="n">
        <v>0</v>
      </c>
      <c r="D11" s="23" t="n">
        <v>0</v>
      </c>
      <c r="E11" s="23" t="n">
        <v>0</v>
      </c>
      <c r="F11" s="23" t="n">
        <v>-0.073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-3.467</v>
      </c>
      <c r="C12" s="23" t="n">
        <v>-12.023</v>
      </c>
      <c r="D12" s="23" t="n">
        <v>-2.613</v>
      </c>
      <c r="E12" s="23" t="n">
        <v>-3.446</v>
      </c>
      <c r="F12" s="23" t="n">
        <v>31.544</v>
      </c>
      <c r="G12" s="23" t="n">
        <v>-12.386</v>
      </c>
      <c r="H12" s="23" t="n">
        <v>-14.145</v>
      </c>
      <c r="I12" s="23" t="n">
        <v>-14.85</v>
      </c>
      <c r="J12" s="23" t="n">
        <v>-11.911</v>
      </c>
      <c r="K12" s="23" t="n">
        <v>-6.557</v>
      </c>
      <c r="L12" s="23" t="n">
        <v>-4.631</v>
      </c>
      <c r="M12" s="23" t="n">
        <v>-6.334</v>
      </c>
      <c r="N12" s="23" t="n">
        <v>-32.385</v>
      </c>
      <c r="O12" s="23" t="n">
        <v>-76.246</v>
      </c>
      <c r="P12" s="23" t="n">
        <v>-97.217</v>
      </c>
      <c r="Q12" s="23" t="n">
        <v>-24.342</v>
      </c>
      <c r="R12" s="23" t="n">
        <v>-90.973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-1.9735718975705845</v>
      </c>
      <c r="D13" s="11">
        <f>IFERROR(D12/D14,0)</f>
        <v>-0.4141702330004755</v>
      </c>
      <c r="E13" s="11">
        <f>IFERROR(E12/E14,0)</f>
        <v>-0.5390270608478023</v>
      </c>
      <c r="F13" s="11">
        <f>IFERROR(F12/F14,0)</f>
        <v>4.884484360483122</v>
      </c>
      <c r="G13" s="11">
        <f>IFERROR(G12/G14,0)</f>
        <v>-1.9152620998917582</v>
      </c>
      <c r="H13" s="11">
        <f>IFERROR(H12/H14,0)</f>
        <v>-2.1638366223038092</v>
      </c>
      <c r="I13" s="11">
        <f>IFERROR(I12/I14,0)</f>
        <v>-2.2776073619631902</v>
      </c>
      <c r="J13" s="11">
        <f>IFERROR(J12/J14,0)</f>
        <v>-1.8220896435673857</v>
      </c>
      <c r="K13" s="11">
        <f>IFERROR(K12/K14,0)</f>
        <v>-0.6138363602321663</v>
      </c>
      <c r="L13" s="11">
        <f>IFERROR(L12/L14,0)</f>
        <v>-0.2659660004594533</v>
      </c>
      <c r="M13" s="11">
        <f>IFERROR(M12/M14,0)</f>
        <v>-0.24263551043861328</v>
      </c>
      <c r="N13" s="11">
        <f>IFERROR(N12/N14,0)</f>
        <v>-0.8218500190331175</v>
      </c>
      <c r="O13" s="11">
        <f>IFERROR(O12/O14,0)</f>
        <v>-1.8965723098353315</v>
      </c>
      <c r="P13" s="11">
        <f>IFERROR(P12/P14,0)</f>
        <v>-2.3184441476676523</v>
      </c>
      <c r="Q13" s="11">
        <f>IFERROR(Q12/Q14,0)</f>
        <v>-0.52231568105742</v>
      </c>
      <c r="R13" s="11">
        <f>IFERROR(R12/R14,0)</f>
        <v>-1.883615959583411</v>
      </c>
    </row>
    <row r="14">
      <c r="A14" s="2" t="inlineStr">
        <is>
          <t>Shares</t>
        </is>
      </c>
      <c r="B14" s="23" t="n"/>
      <c r="C14" s="23" t="n">
        <v>6.092</v>
      </c>
      <c r="D14" s="23" t="n">
        <v>6.309</v>
      </c>
      <c r="E14" s="23" t="n">
        <v>6.393</v>
      </c>
      <c r="F14" s="23" t="n">
        <v>6.458</v>
      </c>
      <c r="G14" s="23" t="n">
        <v>6.467</v>
      </c>
      <c r="H14" s="23" t="n">
        <v>6.537</v>
      </c>
      <c r="I14" s="23" t="n">
        <v>6.52</v>
      </c>
      <c r="J14" s="23" t="n">
        <v>6.537</v>
      </c>
      <c r="K14" s="23" t="n">
        <v>10.682</v>
      </c>
      <c r="L14" s="23" t="n">
        <v>17.412</v>
      </c>
      <c r="M14" s="23" t="n">
        <v>26.105</v>
      </c>
      <c r="N14" s="23" t="n">
        <v>39.405</v>
      </c>
      <c r="O14" s="23" t="n">
        <v>40.202</v>
      </c>
      <c r="P14" s="23" t="n">
        <v>41.932</v>
      </c>
      <c r="Q14" s="23" t="n">
        <v>46.604</v>
      </c>
      <c r="R14" s="23" t="n">
        <v>48.297</v>
      </c>
    </row>
    <row r="15"/>
    <row r="16" customFormat="1" s="4">
      <c r="A16" s="3" t="inlineStr">
        <is>
          <t>Revenue Change</t>
        </is>
      </c>
      <c r="C16" s="15">
        <f>IFERROR(C2/B2-1,"")</f>
        <v>-0.18256091037299993</v>
      </c>
      <c r="D16" s="15">
        <f>IFERROR(D2/C2-1,"")</f>
        <v>-0.31679457433517766</v>
      </c>
      <c r="E16" s="15">
        <f>IFERROR(E2/D2-1,"")</f>
        <v>-0.051724137931034475</v>
      </c>
      <c r="F16" s="15">
        <f>IFERROR(F2/E2-1,"")</f>
        <v>2.7758494031221304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>-0.32845401935515256</v>
      </c>
      <c r="C18" s="15">
        <f>IFERROR(C8/C2,"")</f>
        <v>-0.8152180379558569</v>
      </c>
      <c r="D18" s="15">
        <f>IFERROR(D8/D2,"")</f>
        <v>-0.3059909439219785</v>
      </c>
      <c r="E18" s="15">
        <f>IFERROR(E8/E2,"")</f>
        <v>-0.3578512396694215</v>
      </c>
      <c r="F18" s="15">
        <f>IFERROR(F8/F2,"")</f>
        <v>0.7627860599722757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2026-10-21T01:06:19Z</dcterms:modified>
  <cp:lastModifiedBy>Wang, Eric</cp:lastModifiedBy>
</cp:coreProperties>
</file>