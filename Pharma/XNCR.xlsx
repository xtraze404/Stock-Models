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Xencor, Inc.</t>
        </is>
      </c>
      <c r="C2" s="10" t="n"/>
    </row>
    <row r="3">
      <c r="B3" t="inlineStr">
        <is>
          <t>Price</t>
        </is>
      </c>
      <c r="C3" s="11">
        <f>INDEX([1]Pharma!$F$1:$F$1000,MATCH("XNCR",[1]Pharma!$B$1:$B$1000,0))</f>
        <v>24.94</v>
      </c>
      <c r="F3" s="1" t="n"/>
    </row>
    <row r="4">
      <c r="B4" t="inlineStr">
        <is>
          <t>Shares</t>
        </is>
      </c>
      <c r="C4" s="51" t="n">
        <v>74.353397</v>
      </c>
      <c r="F4" s="1" t="n"/>
    </row>
    <row r="5">
      <c r="B5" t="inlineStr">
        <is>
          <t>Market Cap.</t>
        </is>
      </c>
      <c r="C5" s="13">
        <f>C3*C4</f>
        <v>1854.37372118</v>
      </c>
      <c r="F5" s="1" t="n"/>
    </row>
    <row r="6"/>
    <row r="7">
      <c r="B7" t="inlineStr">
        <is>
          <t>Cash</t>
        </is>
      </c>
      <c r="C7" s="51">
        <f>44.663+333.152</f>
        <v>377.815</v>
      </c>
    </row>
    <row r="8">
      <c r="B8" t="inlineStr">
        <is>
          <t>Debt</t>
        </is>
      </c>
      <c r="C8" s="51">
        <f>27.358+77.537</f>
        <v>104.89500000000001</v>
      </c>
    </row>
    <row r="9">
      <c r="B9" t="inlineStr">
        <is>
          <t>Enterprise V.</t>
        </is>
      </c>
      <c r="C9" s="13">
        <f>C5-C7+C8</f>
        <v>1581.45372118</v>
      </c>
    </row>
    <row r="10"/>
    <row r="11">
      <c r="B11" s="14" t="inlineStr">
        <is>
          <t>NPV / Share</t>
        </is>
      </c>
      <c r="C11" s="11">
        <f>NPV!B28</f>
        <v>-0.2709043622380798</v>
      </c>
    </row>
    <row r="12">
      <c r="B12" s="14" t="inlineStr">
        <is>
          <t>Upside</t>
        </is>
      </c>
      <c r="C12" s="15">
        <f>IFERROR(C11/C3-1,"")</f>
        <v>-1.0108622438748227</v>
      </c>
    </row>
    <row r="13">
      <c r="B13" s="14" t="inlineStr">
        <is>
          <t>Cash / Share</t>
        </is>
      </c>
      <c r="C13" s="11">
        <f>IFERROR((C7-C8)/C4,"")</f>
        <v>3.6705787632002873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2012</v>
      </c>
      <c r="C1" s="16" t="n">
        <v>2013</v>
      </c>
      <c r="D1" s="16" t="n">
        <v>2014</v>
      </c>
      <c r="E1" s="16" t="n">
        <v>2015</v>
      </c>
      <c r="F1" s="16" t="n">
        <v>2016</v>
      </c>
      <c r="G1" s="16" t="n">
        <v>2017</v>
      </c>
      <c r="H1" s="16" t="n">
        <v>2018</v>
      </c>
      <c r="I1" s="16" t="n">
        <v>2019</v>
      </c>
      <c r="J1" s="16" t="n">
        <v>2020</v>
      </c>
      <c r="K1" s="16" t="n">
        <v>2021</v>
      </c>
      <c r="L1" s="16" t="n">
        <v>2022</v>
      </c>
      <c r="M1" s="16" t="n">
        <v>2023</v>
      </c>
      <c r="N1" s="16" t="n">
        <v>2024</v>
      </c>
      <c r="O1" s="16" t="n">
        <v>2025</v>
      </c>
      <c r="P1" s="16" t="n">
        <v>2026</v>
      </c>
      <c r="Q1" s="16" t="n">
        <v>2027</v>
      </c>
      <c r="R1" s="16" t="n">
        <v>2028</v>
      </c>
      <c r="S1" s="16" t="n">
        <v>2029</v>
      </c>
      <c r="T1" s="16" t="n">
        <v>2030</v>
      </c>
      <c r="U1" s="16" t="n">
        <v>2031</v>
      </c>
      <c r="V1" s="16" t="n">
        <v>2032</v>
      </c>
      <c r="W1" s="16" t="n">
        <v>2033</v>
      </c>
      <c r="X1" s="16" t="n">
        <v>2034</v>
      </c>
      <c r="Y1" s="16" t="n">
        <v>2035</v>
      </c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109.02</v>
      </c>
      <c r="G2" s="52" t="n">
        <v>46.15</v>
      </c>
      <c r="H2" s="52" t="n">
        <v>40.603</v>
      </c>
      <c r="I2" s="52" t="n">
        <v>156.7</v>
      </c>
      <c r="J2" s="52" t="n">
        <v>122.694</v>
      </c>
      <c r="K2" s="52" t="n">
        <v>275.111</v>
      </c>
      <c r="L2" s="52" t="n">
        <v>164.579</v>
      </c>
      <c r="M2" s="52" t="n">
        <v>174.615</v>
      </c>
      <c r="N2" s="52" t="n">
        <v>110.493</v>
      </c>
      <c r="O2" s="52" t="n">
        <v>125.576</v>
      </c>
      <c r="P2" s="52">
        <f>O2*(1+NPV!C5)</f>
        <v>113.0184</v>
      </c>
      <c r="Q2" s="52">
        <f>P2*(1+NPV!D5)</f>
        <v>103.28626</v>
      </c>
      <c r="R2" s="52">
        <f>Q2*(1+NPV!E5)</f>
        <v>95.82669677777778</v>
      </c>
      <c r="S2" s="52">
        <f>R2*(1+NPV!F5)</f>
        <v>90.23680613240741</v>
      </c>
      <c r="T2" s="52">
        <f>S2*(1+NPV!G5)</f>
        <v>86.22628141541152</v>
      </c>
      <c r="U2" s="52">
        <f>T2*(1+NPV!H5)</f>
        <v>83.59158948327395</v>
      </c>
      <c r="V2" s="52">
        <f>U2*(1+NPV!I5)</f>
        <v>82.19839632521938</v>
      </c>
      <c r="W2" s="52">
        <f>V2*(1+NPV!J5)</f>
        <v>81.97006744653821</v>
      </c>
      <c r="X2" s="52">
        <f>W2*(1+NPV!K5)</f>
        <v>82.88084597372196</v>
      </c>
      <c r="Y2" s="52">
        <f>X2*(1+NPV!L5)</f>
        <v>84.952867123065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109.02</v>
      </c>
      <c r="G4" s="52">
        <f>G2-G3</f>
        <v>46.15</v>
      </c>
      <c r="H4" s="52">
        <f>H2-H3</f>
        <v>40.603</v>
      </c>
      <c r="I4" s="52">
        <f>I2-I3</f>
        <v>156.7</v>
      </c>
      <c r="J4" s="52">
        <f>J2-J3</f>
        <v>122.694</v>
      </c>
      <c r="K4" s="52">
        <f>K2-K3</f>
        <v>275.111</v>
      </c>
      <c r="L4" s="52">
        <f>L2-L3</f>
        <v>164.579</v>
      </c>
      <c r="M4" s="52">
        <f>M2-M3</f>
        <v>174.615</v>
      </c>
      <c r="N4" s="52">
        <f>N2-N3</f>
        <v>110.493</v>
      </c>
      <c r="O4" s="52">
        <f>O2-O3</f>
        <v>125.576</v>
      </c>
      <c r="P4" s="52">
        <f>P2-P3</f>
        <v>113.0184</v>
      </c>
      <c r="Q4" s="52">
        <f>Q2-Q3</f>
        <v>103.28626</v>
      </c>
      <c r="R4" s="52">
        <f>R2-R3</f>
        <v>95.82669677777778</v>
      </c>
      <c r="S4" s="52">
        <f>S2-S3</f>
        <v>90.23680613240741</v>
      </c>
      <c r="T4" s="52">
        <f>T2-T3</f>
        <v>86.22628141541152</v>
      </c>
      <c r="U4" s="52">
        <f>U2-U3</f>
        <v>83.59158948327395</v>
      </c>
      <c r="V4" s="52">
        <f>V2-V3</f>
        <v>82.19839632521938</v>
      </c>
      <c r="W4" s="52">
        <f>W2-W3</f>
        <v>81.97006744653821</v>
      </c>
      <c r="X4" s="52">
        <f>X2-X3</f>
        <v>82.88084597372196</v>
      </c>
      <c r="Y4" s="52">
        <f>Y2-Y3</f>
        <v>84.952867123065</v>
      </c>
    </row>
    <row r="5">
      <c r="A5" s="2" t="inlineStr">
        <is>
          <t>Research &amp; Dev.</t>
        </is>
      </c>
      <c r="B5" s="52" t="n">
        <v>12.668</v>
      </c>
      <c r="C5" s="52" t="n">
        <v>17</v>
      </c>
      <c r="D5" s="52" t="n">
        <v>18.516</v>
      </c>
      <c r="E5" s="52" t="n">
        <v>34.14</v>
      </c>
      <c r="F5" s="52" t="n">
        <v>51.872</v>
      </c>
      <c r="G5" s="52" t="n">
        <v>71.77200000000001</v>
      </c>
      <c r="H5" s="52" t="n">
        <v>97.501</v>
      </c>
      <c r="I5" s="52" t="n">
        <v>118.59</v>
      </c>
      <c r="J5" s="52" t="n">
        <v>169.802</v>
      </c>
      <c r="K5" s="52" t="n">
        <v>192.507</v>
      </c>
      <c r="L5" s="52" t="n">
        <v>199.563</v>
      </c>
      <c r="M5" s="52" t="n">
        <v>253.598</v>
      </c>
      <c r="N5" s="52" t="n">
        <v>227.686</v>
      </c>
      <c r="O5" s="52" t="n">
        <v>239.434</v>
      </c>
      <c r="P5" s="52">
        <f>P7*Assumptions!$B$20</f>
        <v>201.08216775239998</v>
      </c>
      <c r="Q5" s="52">
        <f>Q7*Assumptions!$B$20</f>
        <v>170.60122080232</v>
      </c>
      <c r="R5" s="52">
        <f>R7*Assumptions!$B$20</f>
        <v>146.06532787732786</v>
      </c>
      <c r="S5" s="52">
        <f>S7*Assumptions!$B$20</f>
        <v>126.04268056894053</v>
      </c>
      <c r="T5" s="52">
        <f>T7*Assumptions!$B$20</f>
        <v>109.44982135472786</v>
      </c>
      <c r="U5" s="52">
        <f>U7*Assumptions!$B$20</f>
        <v>95.4503939169081</v>
      </c>
      <c r="V5" s="52">
        <f>V7*Assumptions!$B$20</f>
        <v>83.38201213310438</v>
      </c>
      <c r="W5" s="52">
        <f>W7*Assumptions!$B$20</f>
        <v>72.70195783056047</v>
      </c>
      <c r="X5" s="52">
        <f>X7*Assumptions!$B$20</f>
        <v>62.94522600870171</v>
      </c>
      <c r="Y5" s="52">
        <f>Y7*Assumptions!$B$20</f>
        <v>53.69021202177711</v>
      </c>
    </row>
    <row r="6">
      <c r="A6" s="18" t="inlineStr">
        <is>
          <t>SG&amp;A &amp; Other</t>
        </is>
      </c>
      <c r="B6" s="52" t="n">
        <v>-6.438</v>
      </c>
      <c r="C6" s="52" t="n">
        <v>-6.48</v>
      </c>
      <c r="D6" s="52" t="n">
        <v>-2.059</v>
      </c>
      <c r="E6" s="52" t="n">
        <v>-15.802</v>
      </c>
      <c r="F6" s="52" t="n">
        <v>13.108</v>
      </c>
      <c r="G6" s="52" t="n">
        <v>17.501</v>
      </c>
      <c r="H6" s="52" t="n">
        <v>22.472</v>
      </c>
      <c r="I6" s="52" t="n">
        <v>24.286</v>
      </c>
      <c r="J6" s="52" t="n">
        <v>29.689</v>
      </c>
      <c r="K6" s="52" t="n">
        <v>38.837</v>
      </c>
      <c r="L6" s="52" t="n">
        <v>47.489</v>
      </c>
      <c r="M6" s="52" t="n">
        <v>53.379</v>
      </c>
      <c r="N6" s="52" t="n">
        <v>61.215</v>
      </c>
      <c r="O6" s="52" t="n">
        <v>63.644</v>
      </c>
      <c r="P6" s="52">
        <f>P7-P5</f>
        <v>53.45222180759998</v>
      </c>
      <c r="Q6" s="52">
        <f>Q7-Q5</f>
        <v>45.34969160567999</v>
      </c>
      <c r="R6" s="52">
        <f>R7-R5</f>
        <v>38.827492220555484</v>
      </c>
      <c r="S6" s="52">
        <f>S7-S5</f>
        <v>33.505016353768994</v>
      </c>
      <c r="T6" s="52">
        <f>T7-T5</f>
        <v>29.094256309484607</v>
      </c>
      <c r="U6" s="52">
        <f>U7-U5</f>
        <v>25.37288952221607</v>
      </c>
      <c r="V6" s="52">
        <f>V7-V5</f>
        <v>22.16483866829357</v>
      </c>
      <c r="W6" s="52">
        <f>W7-W5</f>
        <v>19.325836891667976</v>
      </c>
      <c r="X6" s="52">
        <f>X7-X5</f>
        <v>16.732275268135893</v>
      </c>
      <c r="Y6" s="52">
        <f>Y7-Y5</f>
        <v>14.272081676674922</v>
      </c>
    </row>
    <row r="7">
      <c r="A7" s="2" t="inlineStr">
        <is>
          <t>Operating Expense</t>
        </is>
      </c>
      <c r="B7" s="52">
        <f>SUM(B5:B6)</f>
        <v>6.2299999999999995</v>
      </c>
      <c r="C7" s="52">
        <f>SUM(C5:C6)</f>
        <v>10.52</v>
      </c>
      <c r="D7" s="52">
        <f>SUM(D5:D6)</f>
        <v>16.456999999999997</v>
      </c>
      <c r="E7" s="52">
        <f>SUM(E5:E6)</f>
        <v>18.338</v>
      </c>
      <c r="F7" s="52">
        <f>SUM(F5:F6)</f>
        <v>64.98</v>
      </c>
      <c r="G7" s="52">
        <f>SUM(G5:G6)</f>
        <v>89.27300000000001</v>
      </c>
      <c r="H7" s="52">
        <f>SUM(H5:H6)</f>
        <v>119.97300000000001</v>
      </c>
      <c r="I7" s="52">
        <f>SUM(I5:I6)</f>
        <v>142.876</v>
      </c>
      <c r="J7" s="52">
        <f>SUM(J5:J6)</f>
        <v>199.49099999999999</v>
      </c>
      <c r="K7" s="52">
        <f>SUM(K5:K6)</f>
        <v>231.344</v>
      </c>
      <c r="L7" s="52">
        <f>SUM(L5:L6)</f>
        <v>247.052</v>
      </c>
      <c r="M7" s="52">
        <f>SUM(M5:M6)</f>
        <v>306.97700000000003</v>
      </c>
      <c r="N7" s="52">
        <f>SUM(N5:N6)</f>
        <v>288.901</v>
      </c>
      <c r="O7" s="52">
        <f>SUM(O5:O6)</f>
        <v>303.078</v>
      </c>
      <c r="P7" s="52">
        <f>P4-P2*NPV!C6</f>
        <v>254.53438955999997</v>
      </c>
      <c r="Q7" s="52">
        <f>Q4-Q2*NPV!D6</f>
        <v>215.950912408</v>
      </c>
      <c r="R7" s="52">
        <f>R4-R2*NPV!E6</f>
        <v>184.89282009788334</v>
      </c>
      <c r="S7" s="52">
        <f>S4-S2*NPV!F6</f>
        <v>159.54769692270952</v>
      </c>
      <c r="T7" s="52">
        <f>T4-T2*NPV!G6</f>
        <v>138.54407766421247</v>
      </c>
      <c r="U7" s="52">
        <f>U4-U2*NPV!H6</f>
        <v>120.82328343912417</v>
      </c>
      <c r="V7" s="52">
        <f>V4-V2*NPV!I6</f>
        <v>105.54685080139795</v>
      </c>
      <c r="W7" s="52">
        <f>W4-W2*NPV!J6</f>
        <v>92.02779472222845</v>
      </c>
      <c r="X7" s="52">
        <f>X4-X2*NPV!K6</f>
        <v>79.6775012768376</v>
      </c>
      <c r="Y7" s="52">
        <f>Y4-Y2*NPV!L6</f>
        <v>67.96229369845203</v>
      </c>
    </row>
    <row r="8">
      <c r="A8" s="2" t="inlineStr">
        <is>
          <t>Operating Income</t>
        </is>
      </c>
      <c r="B8" s="52">
        <f>B4-B7</f>
        <v>-6.2299999999999995</v>
      </c>
      <c r="C8" s="52">
        <f>C4-C7</f>
        <v>-10.52</v>
      </c>
      <c r="D8" s="52">
        <f>D4-D7</f>
        <v>-16.456999999999997</v>
      </c>
      <c r="E8" s="52">
        <f>E4-E7</f>
        <v>-18.338</v>
      </c>
      <c r="F8" s="52">
        <f>F4-F7</f>
        <v>44.03999999999999</v>
      </c>
      <c r="G8" s="52">
        <f>G4-G7</f>
        <v>-43.12300000000001</v>
      </c>
      <c r="H8" s="52">
        <f>H4-H7</f>
        <v>-79.37</v>
      </c>
      <c r="I8" s="52">
        <f>I4-I7</f>
        <v>13.823999999999984</v>
      </c>
      <c r="J8" s="52">
        <f>J4-J7</f>
        <v>-76.79699999999998</v>
      </c>
      <c r="K8" s="52">
        <f>K4-K7</f>
        <v>43.766999999999996</v>
      </c>
      <c r="L8" s="52">
        <f>L4-L7</f>
        <v>-82.47299999999998</v>
      </c>
      <c r="M8" s="52">
        <f>M4-M7</f>
        <v>-132.36200000000002</v>
      </c>
      <c r="N8" s="52">
        <f>N4-N7</f>
        <v>-178.40800000000002</v>
      </c>
      <c r="O8" s="52">
        <f>O4-O7</f>
        <v>-177.50199999999998</v>
      </c>
      <c r="P8" s="52">
        <f>P4-P7</f>
        <v>-141.51598955999998</v>
      </c>
      <c r="Q8" s="52">
        <f>Q4-Q7</f>
        <v>-112.664652408</v>
      </c>
      <c r="R8" s="52">
        <f>R4-R7</f>
        <v>-89.06612332010556</v>
      </c>
      <c r="S8" s="52">
        <f>S4-S7</f>
        <v>-69.31089079030211</v>
      </c>
      <c r="T8" s="52">
        <f>T4-T7</f>
        <v>-52.317796248800946</v>
      </c>
      <c r="U8" s="52">
        <f>U4-U7</f>
        <v>-37.23169395585022</v>
      </c>
      <c r="V8" s="52">
        <f>V4-V7</f>
        <v>-23.348454476178574</v>
      </c>
      <c r="W8" s="52">
        <f>W4-W7</f>
        <v>-10.05772727569024</v>
      </c>
      <c r="X8" s="52">
        <f>X4-X7</f>
        <v>3.2033446968843577</v>
      </c>
      <c r="Y8" s="52">
        <f>Y4-Y7</f>
        <v>16.990573424612975</v>
      </c>
    </row>
    <row r="9">
      <c r="A9" s="18" t="inlineStr">
        <is>
          <t>Interest &amp; Other</t>
        </is>
      </c>
      <c r="B9" s="52" t="n">
        <v>-2.364</v>
      </c>
      <c r="C9" s="52" t="n">
        <v>-49.739</v>
      </c>
      <c r="D9" s="52" t="n">
        <v>0.035</v>
      </c>
      <c r="E9" s="52" t="n">
        <v>0.746</v>
      </c>
      <c r="F9" s="52" t="n">
        <v>2.076</v>
      </c>
      <c r="G9" s="52" t="n">
        <v>4.174</v>
      </c>
      <c r="H9" s="52" t="n">
        <v>8.961</v>
      </c>
      <c r="I9" s="52" t="n">
        <v>13.363</v>
      </c>
      <c r="J9" s="52" t="n">
        <v>7.464</v>
      </c>
      <c r="K9" s="52" t="n">
        <v>38.864</v>
      </c>
      <c r="L9" s="52" t="n">
        <v>27.965</v>
      </c>
      <c r="M9" s="52" t="n">
        <v>12.891</v>
      </c>
      <c r="N9" s="52" t="n">
        <v>-52.593</v>
      </c>
      <c r="O9" s="52" t="n">
        <v>88.083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</row>
    <row r="10">
      <c r="A10" s="2" t="inlineStr">
        <is>
          <t>Pretax</t>
        </is>
      </c>
      <c r="B10" s="52">
        <f>B8+B9</f>
        <v>-8.594</v>
      </c>
      <c r="C10" s="52">
        <f>C8+C9</f>
        <v>-60.259</v>
      </c>
      <c r="D10" s="52">
        <f>D8+D9</f>
        <v>-16.421999999999997</v>
      </c>
      <c r="E10" s="52">
        <f>E8+E9</f>
        <v>-17.592000000000002</v>
      </c>
      <c r="F10" s="52">
        <f>F8+F9</f>
        <v>46.11599999999999</v>
      </c>
      <c r="G10" s="52">
        <f>G8+G9</f>
        <v>-38.94900000000001</v>
      </c>
      <c r="H10" s="52">
        <f>H8+H9</f>
        <v>-70.409</v>
      </c>
      <c r="I10" s="52">
        <f>I8+I9</f>
        <v>27.186999999999983</v>
      </c>
      <c r="J10" s="52">
        <f>J8+J9</f>
        <v>-69.33299999999998</v>
      </c>
      <c r="K10" s="52">
        <f>K8+K9</f>
        <v>82.631</v>
      </c>
      <c r="L10" s="52">
        <f>L8+L9</f>
        <v>-54.50799999999998</v>
      </c>
      <c r="M10" s="52">
        <f>M8+M9</f>
        <v>-119.47100000000002</v>
      </c>
      <c r="N10" s="52">
        <f>N8+N9</f>
        <v>-231.00100000000003</v>
      </c>
      <c r="O10" s="52">
        <f>O8+O9</f>
        <v>-89.41899999999998</v>
      </c>
      <c r="P10" s="52">
        <f>P8+P9</f>
        <v>-141.51598955999998</v>
      </c>
      <c r="Q10" s="52">
        <f>Q8+Q9</f>
        <v>-112.664652408</v>
      </c>
      <c r="R10" s="52">
        <f>R8+R9</f>
        <v>-89.06612332010556</v>
      </c>
      <c r="S10" s="52">
        <f>S8+S9</f>
        <v>-69.31089079030211</v>
      </c>
      <c r="T10" s="52">
        <f>T8+T9</f>
        <v>-52.317796248800946</v>
      </c>
      <c r="U10" s="52">
        <f>U8+U9</f>
        <v>-37.23169395585022</v>
      </c>
      <c r="V10" s="52">
        <f>V8+V9</f>
        <v>-23.348454476178574</v>
      </c>
      <c r="W10" s="52">
        <f>W8+W9</f>
        <v>-10.05772727569024</v>
      </c>
      <c r="X10" s="52">
        <f>X8+X9</f>
        <v>3.2033446968843577</v>
      </c>
      <c r="Y10" s="52">
        <f>Y8+Y9</f>
        <v>16.990573424612975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0.991</v>
      </c>
      <c r="G11" s="52" t="n">
        <v>-0.463</v>
      </c>
      <c r="H11" s="52" t="n">
        <v>0</v>
      </c>
      <c r="I11" s="52" t="n">
        <v>0.312</v>
      </c>
      <c r="J11" s="52" t="n">
        <v>0</v>
      </c>
      <c r="K11" s="52" t="n">
        <v>0</v>
      </c>
      <c r="L11" s="52" t="n">
        <v>0.673</v>
      </c>
      <c r="M11" s="52" t="n">
        <v>13.662</v>
      </c>
      <c r="N11" s="52" t="n">
        <v>1.617</v>
      </c>
      <c r="O11" s="52" t="n">
        <v>2.504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0.5445685984703409</v>
      </c>
      <c r="Y11" s="52">
        <f>MAX(0,Y10)*Assumptions!$E$14</f>
        <v>2.888397482184206</v>
      </c>
    </row>
    <row r="12">
      <c r="A12" s="2" t="inlineStr">
        <is>
          <t>Net Income</t>
        </is>
      </c>
      <c r="B12" s="52" t="n">
        <v>-8.593999999999999</v>
      </c>
      <c r="C12" s="52" t="n">
        <v>-60.259</v>
      </c>
      <c r="D12" s="52" t="n">
        <v>-16.422</v>
      </c>
      <c r="E12" s="52" t="n">
        <v>-17.592</v>
      </c>
      <c r="F12" s="52" t="n">
        <v>45.125</v>
      </c>
      <c r="G12" s="52" t="n">
        <v>-38.486</v>
      </c>
      <c r="H12" s="52" t="n">
        <v>-70.40900000000001</v>
      </c>
      <c r="I12" s="52" t="n">
        <v>26.875</v>
      </c>
      <c r="J12" s="52" t="n">
        <v>-69.333</v>
      </c>
      <c r="K12" s="52" t="n">
        <v>82.631</v>
      </c>
      <c r="L12" s="52" t="n">
        <v>-55.181</v>
      </c>
      <c r="M12" s="52" t="n">
        <v>-133.133</v>
      </c>
      <c r="N12" s="52" t="n">
        <v>-232.618</v>
      </c>
      <c r="O12" s="52" t="n">
        <v>-91.923</v>
      </c>
      <c r="P12" s="52">
        <f>P10-P11</f>
        <v>-141.51598955999998</v>
      </c>
      <c r="Q12" s="52">
        <f>Q10-Q11</f>
        <v>-112.664652408</v>
      </c>
      <c r="R12" s="52">
        <f>R10-R11</f>
        <v>-89.06612332010556</v>
      </c>
      <c r="S12" s="52">
        <f>S10-S11</f>
        <v>-69.31089079030211</v>
      </c>
      <c r="T12" s="52">
        <f>T10-T11</f>
        <v>-52.317796248800946</v>
      </c>
      <c r="U12" s="52">
        <f>U10-U11</f>
        <v>-37.23169395585022</v>
      </c>
      <c r="V12" s="52">
        <f>V10-V11</f>
        <v>-23.348454476178574</v>
      </c>
      <c r="W12" s="52">
        <f>W10-W11</f>
        <v>-10.05772727569024</v>
      </c>
      <c r="X12" s="52">
        <f>X10-X11</f>
        <v>2.658776098414017</v>
      </c>
      <c r="Y12" s="52">
        <f>Y10-Y11</f>
        <v>14.102175942428769</v>
      </c>
    </row>
    <row r="13">
      <c r="A13" s="2" t="inlineStr">
        <is>
          <t>Earnings per Share</t>
        </is>
      </c>
      <c r="B13" s="11">
        <f>IFERROR(B12/B14,0)</f>
        <v>-0.05943127437691902</v>
      </c>
      <c r="C13" s="11">
        <f>IFERROR(C12/C14,0)</f>
        <v>-1.9256998593889811</v>
      </c>
      <c r="D13" s="11">
        <f>IFERROR(D12/D14,0)</f>
        <v>-0.5231435761842567</v>
      </c>
      <c r="E13" s="11">
        <f>IFERROR(E12/E14,0)</f>
        <v>-0.4509034986543637</v>
      </c>
      <c r="F13" s="11">
        <f>IFERROR(F12/F14,0)</f>
        <v>1.0645450470640967</v>
      </c>
      <c r="G13" s="11">
        <f>IFERROR(G12/G14,0)</f>
        <v>-0.8220342603272246</v>
      </c>
      <c r="H13" s="11">
        <f>IFERROR(H12/H14,0)</f>
        <v>-1.3052723295391346</v>
      </c>
      <c r="I13" s="11">
        <f>IFERROR(I12/I14,0)</f>
        <v>0.4596531435999179</v>
      </c>
      <c r="J13" s="11">
        <f>IFERROR(J12/J14,0)</f>
        <v>-1.2118399664411934</v>
      </c>
      <c r="K13" s="11">
        <f>IFERROR(K12/K14,0)</f>
        <v>1.3659145383916027</v>
      </c>
      <c r="L13" s="11">
        <f>IFERROR(L12/L14,0)</f>
        <v>-0.9250486153020854</v>
      </c>
      <c r="M13" s="11">
        <f>IFERROR(M12/M14,0)</f>
        <v>-2.2004363419995703</v>
      </c>
      <c r="N13" s="11">
        <f>IFERROR(N12/N14,0)</f>
        <v>-3.5764825264064206</v>
      </c>
      <c r="O13" s="11">
        <f>IFERROR(O12/O14,0)</f>
        <v>-1.2382036395964384</v>
      </c>
      <c r="P13" s="11">
        <f>IFERROR(P12/P14,0)</f>
        <v>-1.9032888243155854</v>
      </c>
      <c r="Q13" s="11">
        <f>IFERROR(Q12/Q14,0)</f>
        <v>-1.5152589787928585</v>
      </c>
      <c r="R13" s="11">
        <f>IFERROR(R12/R14,0)</f>
        <v>-1.1978756440691682</v>
      </c>
      <c r="S13" s="11">
        <f>IFERROR(S12/S14,0)</f>
        <v>-0.9321818987006352</v>
      </c>
      <c r="T13" s="11">
        <f>IFERROR(T12/T14,0)</f>
        <v>-0.7036369333441611</v>
      </c>
      <c r="U13" s="11">
        <f>IFERROR(U12/U14,0)</f>
        <v>-0.5007396495394854</v>
      </c>
      <c r="V13" s="11">
        <f>IFERROR(V12/V14,0)</f>
        <v>-0.3140200100901721</v>
      </c>
      <c r="W13" s="11">
        <f>IFERROR(W12/W14,0)</f>
        <v>-0.13526923693466542</v>
      </c>
      <c r="X13" s="11">
        <f>IFERROR(X12/X14,0)</f>
        <v>0.03575863653430679</v>
      </c>
      <c r="Y13" s="11">
        <f>IFERROR(Y12/Y14,0)</f>
        <v>0.18966417825440804</v>
      </c>
    </row>
    <row r="14">
      <c r="A14" s="2" t="inlineStr">
        <is>
          <t>Shares</t>
        </is>
      </c>
      <c r="B14" s="52" t="n">
        <v>144.604</v>
      </c>
      <c r="C14" s="52" t="n">
        <v>31.292</v>
      </c>
      <c r="D14" s="52" t="n">
        <v>31.391</v>
      </c>
      <c r="E14" s="52" t="n">
        <v>39.015</v>
      </c>
      <c r="F14" s="52" t="n">
        <v>42.389</v>
      </c>
      <c r="G14" s="52" t="n">
        <v>46.818</v>
      </c>
      <c r="H14" s="52" t="n">
        <v>53.942</v>
      </c>
      <c r="I14" s="52" t="n">
        <v>58.468</v>
      </c>
      <c r="J14" s="52" t="n">
        <v>57.213</v>
      </c>
      <c r="K14" s="52" t="n">
        <v>60.495</v>
      </c>
      <c r="L14" s="52" t="n">
        <v>59.652</v>
      </c>
      <c r="M14" s="52" t="n">
        <v>60.503</v>
      </c>
      <c r="N14" s="52" t="n">
        <v>65.041</v>
      </c>
      <c r="O14" s="52" t="n">
        <v>74.239</v>
      </c>
      <c r="P14" s="52">
        <f>Main!$C$4</f>
        <v>74.353397</v>
      </c>
      <c r="Q14" s="52">
        <f>Main!$C$4</f>
        <v>74.353397</v>
      </c>
      <c r="R14" s="52">
        <f>Main!$C$4</f>
        <v>74.353397</v>
      </c>
      <c r="S14" s="52">
        <f>Main!$C$4</f>
        <v>74.353397</v>
      </c>
      <c r="T14" s="52">
        <f>Main!$C$4</f>
        <v>74.353397</v>
      </c>
      <c r="U14" s="52">
        <f>Main!$C$4</f>
        <v>74.353397</v>
      </c>
      <c r="V14" s="52">
        <f>Main!$C$4</f>
        <v>74.353397</v>
      </c>
      <c r="W14" s="52">
        <f>Main!$C$4</f>
        <v>74.353397</v>
      </c>
      <c r="X14" s="52">
        <f>Main!$C$4</f>
        <v>74.353397</v>
      </c>
      <c r="Y14" s="52">
        <f>Main!$C$4</f>
        <v>74.353397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-0.5766831773986425</v>
      </c>
      <c r="H16" s="15">
        <f>IFERROR(H2/G2-1,"")</f>
        <v>-0.1201950162513542</v>
      </c>
      <c r="I16" s="15">
        <f>IFERROR(I2/H2-1,"")</f>
        <v>2.859320739846809</v>
      </c>
      <c r="J16" s="15">
        <f>IFERROR(J2/I2-1,"")</f>
        <v>-0.21701340140395653</v>
      </c>
      <c r="K16" s="15">
        <f>IFERROR(K2/J2-1,"")</f>
        <v>1.2422530849104274</v>
      </c>
      <c r="L16" s="15">
        <f>IFERROR(L2/K2-1,"")</f>
        <v>-0.40177237551388345</v>
      </c>
      <c r="M16" s="15">
        <f>IFERROR(M2/L2-1,"")</f>
        <v>0.06097983339308177</v>
      </c>
      <c r="N16" s="15">
        <f>IFERROR(N2/M2-1,"")</f>
        <v>-0.36721931105575134</v>
      </c>
      <c r="O16" s="15">
        <f>IFERROR(O2/N2-1,"")</f>
        <v>0.13650638501986556</v>
      </c>
      <c r="P16" s="15">
        <f>IFERROR(P2/O2-1,"")</f>
        <v>-0.09999999999999998</v>
      </c>
      <c r="Q16" s="15">
        <f>IFERROR(Q2/P2-1,"")</f>
        <v>-0.08611111111111114</v>
      </c>
      <c r="R16" s="15">
        <f>IFERROR(R2/Q2-1,"")</f>
        <v>-0.07222222222222219</v>
      </c>
      <c r="S16" s="15">
        <f>IFERROR(S2/R2-1,"")</f>
        <v>-0.05833333333333335</v>
      </c>
      <c r="T16" s="15">
        <f>IFERROR(T2/S2-1,"")</f>
        <v>-0.04444444444444451</v>
      </c>
      <c r="U16" s="15">
        <f>IFERROR(U2/T2-1,"")</f>
        <v>-0.030555555555555558</v>
      </c>
      <c r="V16" s="15">
        <f>IFERROR(V2/U2-1,"")</f>
        <v>-0.01666666666666672</v>
      </c>
      <c r="W16" s="15">
        <f>IFERROR(W2/V2-1,"")</f>
        <v>-0.002777777777777768</v>
      </c>
      <c r="X16" s="15">
        <f>IFERROR(X2/W2-1,"")</f>
        <v>0.011111111111111072</v>
      </c>
      <c r="Y16" s="15">
        <f>IFERROR(Y2/X2-1,"")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0.40396257567418814</v>
      </c>
      <c r="G18" s="15">
        <f>IFERROR(G8/G2,"")</f>
        <v>-0.9344095341278442</v>
      </c>
      <c r="H18" s="15">
        <f>IFERROR(H8/H2,"")</f>
        <v>-1.9547816663793316</v>
      </c>
      <c r="I18" s="15">
        <f>IFERROR(I8/I2,"")</f>
        <v>0.08821952776005096</v>
      </c>
      <c r="J18" s="15">
        <f>IFERROR(J8/J2,"")</f>
        <v>-0.6259230280209299</v>
      </c>
      <c r="K18" s="15">
        <f>IFERROR(K8/K2,"")</f>
        <v>0.15908851336369684</v>
      </c>
      <c r="L18" s="15">
        <f>IFERROR(L8/L2,"")</f>
        <v>-0.5011149660649292</v>
      </c>
      <c r="M18" s="15">
        <f>IFERROR(M8/M2,"")</f>
        <v>-0.7580219339690176</v>
      </c>
      <c r="N18" s="15">
        <f>IFERROR(N8/N2,"")</f>
        <v>-1.6146543219932488</v>
      </c>
      <c r="O18" s="15">
        <f>IFERROR(O8/O2,"")</f>
        <v>-1.4135025801108492</v>
      </c>
      <c r="P18" s="15">
        <f>IFERROR(P8/P2,"")</f>
        <v>-1.2521499999999999</v>
      </c>
      <c r="Q18" s="15">
        <f>IFERROR(Q8/Q2,"")</f>
        <v>-1.0908</v>
      </c>
      <c r="R18" s="15">
        <f>IFERROR(R8/R2,"")</f>
        <v>-0.92945</v>
      </c>
      <c r="S18" s="15">
        <f>IFERROR(S8/S2,"")</f>
        <v>-0.7680999999999998</v>
      </c>
      <c r="T18" s="15">
        <f>IFERROR(T8/T2,"")</f>
        <v>-0.60675</v>
      </c>
      <c r="U18" s="15">
        <f>IFERROR(U8/U2,"")</f>
        <v>-0.4454</v>
      </c>
      <c r="V18" s="15">
        <f>IFERROR(V8/V2,"")</f>
        <v>-0.28405000000000014</v>
      </c>
      <c r="W18" s="15">
        <f>IFERROR(W8/W2,"")</f>
        <v>-0.12270000000000002</v>
      </c>
      <c r="X18" s="15">
        <f>IFERROR(X8/X2,"")</f>
        <v>0.038650000000000045</v>
      </c>
      <c r="Y18" s="15">
        <f>IFERROR(Y8/Y2,"")</f>
        <v>0.1999999999999997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Xencor,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-1.4135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Model'!O2</f>
        <v>125.576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-293.06265959451974</v>
      </c>
      <c r="C29" s="56">
        <f>NPV!B26</f>
        <v>-20.142659594519756</v>
      </c>
      <c r="D29" s="35">
        <f>NPV!B28</f>
        <v>-0.2709043622380798</v>
      </c>
      <c r="E29" s="57">
        <f>NPV!B30</f>
        <v>-1.0108622438748227</v>
      </c>
    </row>
    <row r="30">
      <c r="A30" s="58" t="n">
        <v>1</v>
      </c>
      <c r="B30" s="59">
        <f t="dataTable" ref="B30:E32" r1="B4"/>
        <v>-281.2189570181879</v>
      </c>
      <c r="C30" s="59">
        <v>-8.298957018187906</v>
      </c>
      <c r="D30" s="39">
        <v>-0.11161503512997403</v>
      </c>
      <c r="E30" s="60">
        <v>-1.0044753422265427</v>
      </c>
    </row>
    <row r="31">
      <c r="A31" s="58" t="n">
        <v>2</v>
      </c>
      <c r="B31" s="59">
        <v>-293.06265959451974</v>
      </c>
      <c r="C31" s="59">
        <v>-20.142659594519756</v>
      </c>
      <c r="D31" s="39">
        <v>-0.2709043622380798</v>
      </c>
      <c r="E31" s="60">
        <v>-1.0108622438748227</v>
      </c>
    </row>
    <row r="32">
      <c r="A32" s="58" t="n">
        <v>3</v>
      </c>
      <c r="B32" s="59">
        <v>-268.1427279870052</v>
      </c>
      <c r="C32" s="59">
        <v>4.777272012994814</v>
      </c>
      <c r="D32" s="39">
        <v>0.06425089109237085</v>
      </c>
      <c r="E32" s="60">
        <v>-0.9974237814317414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-0.2709043622380798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-0.18090235013158576</v>
      </c>
      <c r="C37" s="39">
        <v>-0.09573007247787435</v>
      </c>
      <c r="D37" s="39">
        <v>0.005441873622440123</v>
      </c>
      <c r="E37" s="39">
        <v>0.12664642465269618</v>
      </c>
      <c r="F37" s="39">
        <v>0.273383438914936</v>
      </c>
    </row>
    <row r="38">
      <c r="A38" s="62" t="n">
        <v>0.1</v>
      </c>
      <c r="B38" s="39">
        <v>-0.2929363359572155</v>
      </c>
      <c r="C38" s="39">
        <v>-0.23431714549490087</v>
      </c>
      <c r="D38" s="39">
        <v>-0.16549281078870384</v>
      </c>
      <c r="E38" s="39">
        <v>-0.08424988565256324</v>
      </c>
      <c r="F38" s="39">
        <v>0.012306452825429129</v>
      </c>
    </row>
    <row r="39">
      <c r="A39" s="62" t="n">
        <v>0.11</v>
      </c>
      <c r="B39" s="39">
        <v>-0.359559328967823</v>
      </c>
      <c r="C39" s="39">
        <v>-0.31864291239279435</v>
      </c>
      <c r="D39" s="39">
        <v>-0.2709043622380798</v>
      </c>
      <c r="E39" s="39">
        <v>-0.2150425875361639</v>
      </c>
      <c r="F39" s="39">
        <v>-0.14940928292080674</v>
      </c>
    </row>
    <row r="40">
      <c r="A40" s="62" t="n">
        <v>0.12</v>
      </c>
      <c r="B40" s="39">
        <v>-0.3950670553171707</v>
      </c>
      <c r="C40" s="39">
        <v>-0.36640009056119494</v>
      </c>
      <c r="D40" s="39">
        <v>-0.3330020736450635</v>
      </c>
      <c r="E40" s="39">
        <v>-0.2940661169828354</v>
      </c>
      <c r="F40" s="39">
        <v>-0.24859526469782597</v>
      </c>
    </row>
    <row r="41">
      <c r="A41" s="62" t="n">
        <v>0.13</v>
      </c>
      <c r="B41" s="39">
        <v>-0.40868533127690804</v>
      </c>
      <c r="C41" s="39">
        <v>-0.3887437027211455</v>
      </c>
      <c r="D41" s="39">
        <v>-0.3654234231329606</v>
      </c>
      <c r="E41" s="39">
        <v>-0.3382020954998341</v>
      </c>
      <c r="F41" s="39">
        <v>-0.30644716624957524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Xencor, Inc.: free-cash-flow DCF ($mm)</t>
        </is>
      </c>
    </row>
    <row r="3">
      <c r="A3" s="20" t="inlineStr">
        <is>
          <t>Fiscal year</t>
        </is>
      </c>
      <c r="B3" s="43">
        <f>'Yearly Model'!O1</f>
        <v>2025</v>
      </c>
      <c r="C3" s="43">
        <f>'Yearly Model'!P1</f>
        <v>2026</v>
      </c>
      <c r="D3" s="43">
        <f>'Yearly Model'!Q1</f>
        <v>2027</v>
      </c>
      <c r="E3" s="43">
        <f>'Yearly Model'!R1</f>
        <v>2028</v>
      </c>
      <c r="F3" s="43">
        <f>'Yearly Model'!S1</f>
        <v>2029</v>
      </c>
      <c r="G3" s="43">
        <f>'Yearly Model'!T1</f>
        <v>2030</v>
      </c>
      <c r="H3" s="43">
        <f>'Yearly Model'!U1</f>
        <v>2031</v>
      </c>
      <c r="I3" s="43">
        <f>'Yearly Model'!V1</f>
        <v>2032</v>
      </c>
      <c r="J3" s="43">
        <f>'Yearly Model'!W1</f>
        <v>2033</v>
      </c>
      <c r="K3" s="43">
        <f>'Yearly Model'!X1</f>
        <v>2034</v>
      </c>
      <c r="L3" s="43">
        <f>'Yearly Model'!Y1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-1.4135025801108492</v>
      </c>
      <c r="C6" s="63">
        <f>Assumptions!$B$18+(Assumptions!$E$13-Assumptions!$B$18)*C4/Assumptions!$B$21</f>
        <v>-1.2521499999999999</v>
      </c>
      <c r="D6" s="63">
        <f>Assumptions!$B$18+(Assumptions!$E$13-Assumptions!$B$18)*D4/Assumptions!$B$21</f>
        <v>-1.0908</v>
      </c>
      <c r="E6" s="63">
        <f>Assumptions!$B$18+(Assumptions!$E$13-Assumptions!$B$18)*E4/Assumptions!$B$21</f>
        <v>-0.92945</v>
      </c>
      <c r="F6" s="63">
        <f>Assumptions!$B$18+(Assumptions!$E$13-Assumptions!$B$18)*F4/Assumptions!$B$21</f>
        <v>-0.7681</v>
      </c>
      <c r="G6" s="63">
        <f>Assumptions!$B$18+(Assumptions!$E$13-Assumptions!$B$18)*G4/Assumptions!$B$21</f>
        <v>-0.6067500000000001</v>
      </c>
      <c r="H6" s="63">
        <f>Assumptions!$B$18+(Assumptions!$E$13-Assumptions!$B$18)*H4/Assumptions!$B$21</f>
        <v>-0.4454</v>
      </c>
      <c r="I6" s="63">
        <f>Assumptions!$B$18+(Assumptions!$E$13-Assumptions!$B$18)*I4/Assumptions!$B$21</f>
        <v>-0.28405000000000014</v>
      </c>
      <c r="J6" s="63">
        <f>Assumptions!$B$18+(Assumptions!$E$13-Assumptions!$B$18)*J4/Assumptions!$B$21</f>
        <v>-0.12270000000000003</v>
      </c>
      <c r="K6" s="63">
        <f>Assumptions!$B$18+(Assumptions!$E$13-Assumptions!$B$18)*K4/Assumptions!$B$21</f>
        <v>0.03865000000000007</v>
      </c>
      <c r="L6" s="63">
        <f>Assumptions!$B$18+(Assumptions!$E$13-Assumptions!$B$18)*L4/Assumptions!$B$21</f>
        <v>0.19999999999999973</v>
      </c>
    </row>
    <row r="7">
      <c r="A7" s="14" t="inlineStr">
        <is>
          <t>Revenue</t>
        </is>
      </c>
      <c r="B7" s="55">
        <f>'Yearly Model'!O2</f>
        <v>125.576</v>
      </c>
      <c r="C7" s="55">
        <f>'Yearly Model'!P2</f>
        <v>113.0184</v>
      </c>
      <c r="D7" s="55">
        <f>'Yearly Model'!Q2</f>
        <v>103.28626</v>
      </c>
      <c r="E7" s="55">
        <f>'Yearly Model'!R2</f>
        <v>95.82669677777778</v>
      </c>
      <c r="F7" s="55">
        <f>'Yearly Model'!S2</f>
        <v>90.23680613240741</v>
      </c>
      <c r="G7" s="55">
        <f>'Yearly Model'!T2</f>
        <v>86.22628141541152</v>
      </c>
      <c r="H7" s="55">
        <f>'Yearly Model'!U2</f>
        <v>83.59158948327395</v>
      </c>
      <c r="I7" s="55">
        <f>'Yearly Model'!V2</f>
        <v>82.19839632521938</v>
      </c>
      <c r="J7" s="55">
        <f>'Yearly Model'!W2</f>
        <v>81.97006744653821</v>
      </c>
      <c r="K7" s="55">
        <f>'Yearly Model'!X2</f>
        <v>82.88084597372196</v>
      </c>
      <c r="L7" s="55">
        <f>'Yearly Model'!Y2</f>
        <v>84.952867123065</v>
      </c>
    </row>
    <row r="8">
      <c r="A8" s="14" t="inlineStr">
        <is>
          <t>Operating income</t>
        </is>
      </c>
      <c r="B8" s="55">
        <f>'Yearly Model'!O8</f>
        <v>-177.50199999999998</v>
      </c>
      <c r="C8" s="55">
        <f>'Yearly Model'!P8</f>
        <v>-141.51598955999998</v>
      </c>
      <c r="D8" s="55">
        <f>'Yearly Model'!Q8</f>
        <v>-112.664652408</v>
      </c>
      <c r="E8" s="55">
        <f>'Yearly Model'!R8</f>
        <v>-89.06612332010556</v>
      </c>
      <c r="F8" s="55">
        <f>'Yearly Model'!S8</f>
        <v>-69.31089079030211</v>
      </c>
      <c r="G8" s="55">
        <f>'Yearly Model'!T8</f>
        <v>-52.317796248800946</v>
      </c>
      <c r="H8" s="55">
        <f>'Yearly Model'!U8</f>
        <v>-37.23169395585022</v>
      </c>
      <c r="I8" s="55">
        <f>'Yearly Model'!V8</f>
        <v>-23.348454476178574</v>
      </c>
      <c r="J8" s="55">
        <f>'Yearly Model'!W8</f>
        <v>-10.05772727569024</v>
      </c>
      <c r="K8" s="55">
        <f>'Yearly Model'!X8</f>
        <v>3.2033446968843577</v>
      </c>
      <c r="L8" s="55">
        <f>'Yearly Model'!Y8</f>
        <v>16.990573424612975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0.5445685984703409</v>
      </c>
      <c r="L9" s="52">
        <f>MAX(0,L8)*Assumptions!$E$14</f>
        <v>2.888397482184206</v>
      </c>
    </row>
    <row r="10">
      <c r="A10" s="14" t="inlineStr">
        <is>
          <t>NOPAT</t>
        </is>
      </c>
      <c r="C10" s="52">
        <f>C8-C9</f>
        <v>-141.51598955999998</v>
      </c>
      <c r="D10" s="52">
        <f>D8-D9</f>
        <v>-112.664652408</v>
      </c>
      <c r="E10" s="52">
        <f>E8-E9</f>
        <v>-89.06612332010556</v>
      </c>
      <c r="F10" s="52">
        <f>F8-F9</f>
        <v>-69.31089079030211</v>
      </c>
      <c r="G10" s="52">
        <f>G8-G9</f>
        <v>-52.317796248800946</v>
      </c>
      <c r="H10" s="52">
        <f>H8-H9</f>
        <v>-37.23169395585022</v>
      </c>
      <c r="I10" s="52">
        <f>I8-I9</f>
        <v>-23.348454476178574</v>
      </c>
      <c r="J10" s="52">
        <f>J8-J9</f>
        <v>-10.05772727569024</v>
      </c>
      <c r="K10" s="52">
        <f>K8-K9</f>
        <v>2.658776098414017</v>
      </c>
      <c r="L10" s="52">
        <f>L8-L9</f>
        <v>14.102175942428769</v>
      </c>
    </row>
    <row r="11">
      <c r="A11" s="14" t="inlineStr">
        <is>
          <t>Reinvestment</t>
        </is>
      </c>
      <c r="C11" s="52">
        <f>(C7-B7)*Assumptions!$E$15</f>
        <v>-3.1393999999999984</v>
      </c>
      <c r="D11" s="52">
        <f>(D7-C7)*Assumptions!$E$15</f>
        <v>-2.4330350000000003</v>
      </c>
      <c r="E11" s="52">
        <f>(E7-D7)*Assumptions!$E$15</f>
        <v>-1.8648908055555538</v>
      </c>
      <c r="F11" s="52">
        <f>(F7-E7)*Assumptions!$E$15</f>
        <v>-1.3974726613425936</v>
      </c>
      <c r="G11" s="52">
        <f>(G7-F7)*Assumptions!$E$15</f>
        <v>-1.0026311792489722</v>
      </c>
      <c r="H11" s="52">
        <f>(H7-G7)*Assumptions!$E$15</f>
        <v>-0.6586729830343927</v>
      </c>
      <c r="I11" s="52">
        <f>(I7-H7)*Assumptions!$E$15</f>
        <v>-0.34829828951364306</v>
      </c>
      <c r="J11" s="52">
        <f>(J7-I7)*Assumptions!$E$15</f>
        <v>-0.057082219670292034</v>
      </c>
      <c r="K11" s="52">
        <f>(K7-J7)*Assumptions!$E$15</f>
        <v>0.22769463179593785</v>
      </c>
      <c r="L11" s="52">
        <f>(L7-K7)*Assumptions!$E$15</f>
        <v>0.518005287335761</v>
      </c>
    </row>
    <row r="12">
      <c r="A12" s="20" t="inlineStr">
        <is>
          <t>Free cash flow</t>
        </is>
      </c>
      <c r="C12" s="64">
        <f>C10-C11</f>
        <v>-138.37658955999999</v>
      </c>
      <c r="D12" s="64">
        <f>D10-D11</f>
        <v>-110.23161740799999</v>
      </c>
      <c r="E12" s="64">
        <f>E10-E11</f>
        <v>-87.20123251455001</v>
      </c>
      <c r="F12" s="64">
        <f>F10-F11</f>
        <v>-67.91341812895952</v>
      </c>
      <c r="G12" s="64">
        <f>G10-G11</f>
        <v>-51.31516506955197</v>
      </c>
      <c r="H12" s="64">
        <f>H10-H11</f>
        <v>-36.573020972815826</v>
      </c>
      <c r="I12" s="64">
        <f>I10-I11</f>
        <v>-23.00015618666493</v>
      </c>
      <c r="J12" s="64">
        <f>J10-J11</f>
        <v>-10.000645056019948</v>
      </c>
      <c r="K12" s="64">
        <f>K10-K11</f>
        <v>2.431081466618079</v>
      </c>
      <c r="L12" s="64">
        <f>L10-L11</f>
        <v>13.584170655093008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-67.94471219710444</v>
      </c>
      <c r="D16" s="64">
        <f>D12*D13*D15</f>
        <v>-99.26528110503877</v>
      </c>
      <c r="E16" s="64">
        <f>E12*E13*E15</f>
        <v>-70.74420028867772</v>
      </c>
      <c r="F16" s="64">
        <f>F12*F13*F15</f>
        <v>-49.6364632118126</v>
      </c>
      <c r="G16" s="64">
        <f>G12*G13*G15</f>
        <v>-33.788428321599156</v>
      </c>
      <c r="H16" s="64">
        <f>H12*H13*H15</f>
        <v>-21.695023100140805</v>
      </c>
      <c r="I16" s="64">
        <f>I12*I13*I15</f>
        <v>-12.29156234319254</v>
      </c>
      <c r="J16" s="64">
        <f>J12*J13*J15</f>
        <v>-4.8148342124517365</v>
      </c>
      <c r="K16" s="64">
        <f>K12*K13*K15</f>
        <v>1.0544593885551614</v>
      </c>
      <c r="L16" s="64">
        <f>L12*L13*L15</f>
        <v>5.308117106322214</v>
      </c>
    </row>
    <row r="19">
      <c r="A19" s="14" t="inlineStr">
        <is>
          <t>PV of forecast free cash flow</t>
        </is>
      </c>
      <c r="B19" s="52">
        <f>SUM(C16:L16)</f>
        <v>-353.8179282851404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13.923774921470331</v>
      </c>
    </row>
    <row r="21">
      <c r="A21" s="14" t="inlineStr">
        <is>
          <t>Terminal value</t>
        </is>
      </c>
      <c r="B21" s="52">
        <f>B20/(Assumptions!$E$10-Assumptions!$E$11)</f>
        <v>163.80911672318038</v>
      </c>
    </row>
    <row r="22">
      <c r="A22" s="14" t="inlineStr">
        <is>
          <t>PV of terminal value</t>
        </is>
      </c>
      <c r="B22" s="52">
        <f>B21/(1+Assumptions!$E$10)^(L14+0.5)</f>
        <v>60.75526869062066</v>
      </c>
    </row>
    <row r="23">
      <c r="A23" s="20" t="inlineStr">
        <is>
          <t>Enterprise value</t>
        </is>
      </c>
      <c r="B23" s="66">
        <f>B19+B22</f>
        <v>-293.06265959451974</v>
      </c>
    </row>
    <row r="24">
      <c r="A24" s="14" t="inlineStr">
        <is>
          <t>Cash &amp; investments</t>
        </is>
      </c>
      <c r="B24" s="55">
        <f>Main!C7</f>
        <v>377.815</v>
      </c>
    </row>
    <row r="25">
      <c r="A25" s="14" t="inlineStr">
        <is>
          <t>Debt</t>
        </is>
      </c>
      <c r="B25" s="55">
        <f>Main!C8</f>
        <v>104.89500000000001</v>
      </c>
    </row>
    <row r="26">
      <c r="A26" s="20" t="inlineStr">
        <is>
          <t>Equity value</t>
        </is>
      </c>
      <c r="B26" s="66">
        <f>B23+B24-B25</f>
        <v>-20.142659594519756</v>
      </c>
    </row>
    <row r="27">
      <c r="A27" s="14" t="inlineStr">
        <is>
          <t>Shares (mm)</t>
        </is>
      </c>
      <c r="B27" s="55">
        <f>Main!C4</f>
        <v>74.353397</v>
      </c>
    </row>
    <row r="28">
      <c r="A28" s="20" t="inlineStr">
        <is>
          <t>NPV / share</t>
        </is>
      </c>
      <c r="B28" s="49">
        <f>B26/B27</f>
        <v>-0.2709043622380798</v>
      </c>
    </row>
    <row r="29">
      <c r="A29" s="14" t="inlineStr">
        <is>
          <t>Price</t>
        </is>
      </c>
      <c r="B29" s="50">
        <f>Main!C3</f>
        <v>24.94</v>
      </c>
    </row>
    <row r="30">
      <c r="A30" s="14" t="inlineStr">
        <is>
          <t>Upside</t>
        </is>
      </c>
      <c r="B30" s="63">
        <f>B28/B29-1</f>
        <v>-1.0108622438748227</v>
      </c>
    </row>
    <row r="31">
      <c r="A31" s="14" t="inlineStr">
        <is>
          <t>Terminal value, % of EV</t>
        </is>
      </c>
      <c r="B31" s="63">
        <f>IFERROR(B22/B23,0)</f>
        <v>-0.2073115311745324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2026-10-21T01:04:33Z</dcterms:modified>
  <cp:lastModifiedBy>Wang, Eric</cp:lastModifiedBy>
</cp:coreProperties>
</file>