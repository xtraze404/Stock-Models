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AbbVie Inc.</t>
        </is>
      </c>
      <c r="C2" s="10" t="n"/>
    </row>
    <row r="3">
      <c r="B3" t="inlineStr">
        <is>
          <t>Price</t>
        </is>
      </c>
      <c r="C3" s="11">
        <f>INDEX([1]Pharma!$F$1:$F$1000,MATCH("ABBV",[1]Pharma!$B$1:$B$1000,0))</f>
        <v>289.15</v>
      </c>
      <c r="F3" s="1" t="n"/>
    </row>
    <row r="4">
      <c r="B4" t="inlineStr">
        <is>
          <t>Shares</t>
        </is>
      </c>
      <c r="C4" s="51" t="n">
        <v>1767.117285</v>
      </c>
      <c r="F4" s="1" t="n"/>
    </row>
    <row r="5">
      <c r="B5" t="inlineStr">
        <is>
          <t>Market Cap.</t>
        </is>
      </c>
      <c r="C5" s="13">
        <f>C3*C4</f>
        <v>510961.96295774996</v>
      </c>
      <c r="F5" s="1" t="n"/>
    </row>
    <row r="6"/>
    <row r="7">
      <c r="B7" t="inlineStr">
        <is>
          <t>Cash</t>
        </is>
      </c>
      <c r="C7" s="51" t="n">
        <v>6569</v>
      </c>
    </row>
    <row r="8">
      <c r="B8" t="inlineStr">
        <is>
          <t>Debt</t>
        </is>
      </c>
      <c r="C8" s="51">
        <f>8341+62481</f>
        <v>70822.0</v>
      </c>
    </row>
    <row r="9">
      <c r="B9" t="inlineStr">
        <is>
          <t>Enterprise V.</t>
        </is>
      </c>
      <c r="C9" s="13">
        <f>C5-C7+C8</f>
        <v>575214.96295775</v>
      </c>
    </row>
    <row r="10"/>
    <row r="11">
      <c r="B11" s="14" t="inlineStr">
        <is>
          <t>NPV / Share</t>
        </is>
      </c>
      <c r="C11" s="11">
        <f>NPV!B28</f>
        <v>130.4871413635997</v>
      </c>
    </row>
    <row r="12">
      <c r="B12" s="14" t="inlineStr">
        <is>
          <t>Upside</t>
        </is>
      </c>
      <c r="C12" s="15">
        <f>IFERROR(C11/C3-1,"")</f>
        <v>-0.5487216276548514</v>
      </c>
    </row>
    <row r="13">
      <c r="B13" s="14" t="inlineStr">
        <is>
          <t>Cash / Share</t>
        </is>
      </c>
      <c r="C13" s="11">
        <f>IFERROR((C7-C8)/C4,"")</f>
        <v>-36.36034831723125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2011</v>
      </c>
      <c r="C1" s="16" t="n">
        <v>2012</v>
      </c>
      <c r="D1" s="16" t="n">
        <v>2013</v>
      </c>
      <c r="E1" s="16" t="n">
        <v>2014</v>
      </c>
      <c r="F1" s="16" t="n">
        <v>2015</v>
      </c>
      <c r="G1" s="16" t="n">
        <v>2016</v>
      </c>
      <c r="H1" s="16" t="n">
        <v>2017</v>
      </c>
      <c r="I1" s="16" t="n">
        <v>2018</v>
      </c>
      <c r="J1" s="16" t="n">
        <v>2019</v>
      </c>
      <c r="K1" s="16" t="n">
        <v>2020</v>
      </c>
      <c r="L1" s="16" t="n">
        <v>2021</v>
      </c>
      <c r="M1" s="16" t="n">
        <v>2022</v>
      </c>
      <c r="N1" s="16" t="n">
        <v>2023</v>
      </c>
      <c r="O1" s="16" t="n">
        <v>2024</v>
      </c>
      <c r="P1" s="16" t="n">
        <v>2025</v>
      </c>
      <c r="Q1" s="16" t="n">
        <v>2026</v>
      </c>
      <c r="R1" s="16" t="n">
        <v>2027</v>
      </c>
      <c r="S1" s="16" t="n">
        <v>2028</v>
      </c>
      <c r="T1" s="16" t="n">
        <v>2029</v>
      </c>
      <c r="U1" s="16" t="n">
        <v>2030</v>
      </c>
      <c r="V1" s="16" t="n">
        <v>2031</v>
      </c>
      <c r="W1" s="16" t="n">
        <v>2032</v>
      </c>
      <c r="X1" s="16" t="n">
        <v>2033</v>
      </c>
      <c r="Y1" s="16" t="n">
        <v>2034</v>
      </c>
      <c r="Z1" s="16" t="n">
        <v>2035</v>
      </c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17444</v>
      </c>
      <c r="C2" s="52" t="n">
        <v>18380</v>
      </c>
      <c r="D2" s="52" t="n">
        <v>18790</v>
      </c>
      <c r="E2" s="52" t="n">
        <v>19960</v>
      </c>
      <c r="F2" s="52" t="n">
        <v>22859</v>
      </c>
      <c r="G2" s="52" t="n">
        <v>25638</v>
      </c>
      <c r="H2" s="52" t="n">
        <v>28216</v>
      </c>
      <c r="I2" s="52" t="n">
        <v>32753</v>
      </c>
      <c r="J2" s="52" t="n">
        <v>33266</v>
      </c>
      <c r="K2" s="52" t="n">
        <v>45804</v>
      </c>
      <c r="L2" s="52" t="n">
        <v>56197</v>
      </c>
      <c r="M2" s="52" t="n">
        <v>58054</v>
      </c>
      <c r="N2" s="52" t="n">
        <v>54318</v>
      </c>
      <c r="O2" s="52" t="n">
        <v>56334</v>
      </c>
      <c r="P2" s="52" t="n">
        <v>61160</v>
      </c>
      <c r="Q2" s="52">
        <f>P2*(1+NPV!C5)</f>
        <v>66401.41200000001</v>
      </c>
      <c r="R2" s="52">
        <f>Q2*(1+NPV!D5)</f>
        <v>71644.17237413334</v>
      </c>
      <c r="S2" s="52">
        <f>R2*(1+NPV!E5)</f>
        <v>76817.67766590549</v>
      </c>
      <c r="T2" s="52">
        <f>S2*(1+NPV!F5)</f>
        <v>81846.67496376675</v>
      </c>
      <c r="U2" s="52">
        <f>T2*(1+NPV!G5)</f>
        <v>86652.89359913905</v>
      </c>
      <c r="V2" s="52">
        <f>U2*(1+NPV!H5)</f>
        <v>91156.91844643651</v>
      </c>
      <c r="W2" s="52">
        <f>V2*(1+NPV!I5)</f>
        <v>95280.24972416364</v>
      </c>
      <c r="X2" s="52">
        <f>W2*(1+NPV!J5)</f>
        <v>98947.48066910256</v>
      </c>
      <c r="Y2" s="52">
        <f>X2*(1+NPV!K5)</f>
        <v>102088.51347212061</v>
      </c>
      <c r="Z2" s="52">
        <f>Y2*(1+NPV!L5)</f>
        <v>104640.72630892362</v>
      </c>
    </row>
    <row r="3" customFormat="1" s="1">
      <c r="A3" s="5" t="inlineStr">
        <is>
          <t>Cost of Sales</t>
        </is>
      </c>
      <c r="B3" s="52" t="n">
        <v>4639</v>
      </c>
      <c r="C3" s="52" t="n">
        <v>4508</v>
      </c>
      <c r="D3" s="52" t="n">
        <v>4581</v>
      </c>
      <c r="E3" s="52" t="n">
        <v>4426</v>
      </c>
      <c r="F3" s="52" t="n">
        <v>4500</v>
      </c>
      <c r="G3" s="52" t="n">
        <v>5833</v>
      </c>
      <c r="H3" s="52" t="n">
        <v>7042</v>
      </c>
      <c r="I3" s="52" t="n">
        <v>7718</v>
      </c>
      <c r="J3" s="52" t="n">
        <v>7439</v>
      </c>
      <c r="K3" s="52" t="n">
        <v>15387</v>
      </c>
      <c r="L3" s="52" t="n">
        <v>17446</v>
      </c>
      <c r="M3" s="52" t="n">
        <v>17414</v>
      </c>
      <c r="N3" s="52" t="n">
        <v>20415</v>
      </c>
      <c r="O3" s="52" t="n">
        <v>16904</v>
      </c>
      <c r="P3" s="52" t="n">
        <v>18204</v>
      </c>
      <c r="Q3" s="52">
        <f>Q2*(1-Assumptions!$B$19)</f>
        <v>19761.0602112</v>
      </c>
      <c r="R3" s="52">
        <f>R2*(1-Assumptions!$B$19)</f>
        <v>21321.30569854208</v>
      </c>
      <c r="S3" s="52">
        <f>S2*(1-Assumptions!$B$19)</f>
        <v>22860.94087337347</v>
      </c>
      <c r="T3" s="52">
        <f>T2*(1-Assumptions!$B$19)</f>
        <v>24357.570469216982</v>
      </c>
      <c r="U3" s="52">
        <f>U2*(1-Assumptions!$B$19)</f>
        <v>25787.901135103777</v>
      </c>
      <c r="V3" s="52">
        <f>V2*(1-Assumptions!$B$19)</f>
        <v>27128.298929659504</v>
      </c>
      <c r="W3" s="52">
        <f>W2*(1-Assumptions!$B$19)</f>
        <v>28355.4023179111</v>
      </c>
      <c r="X3" s="52">
        <f>X2*(1-Assumptions!$B$19)</f>
        <v>29446.770247124918</v>
      </c>
      <c r="Y3" s="52">
        <f>Y2*(1-Assumptions!$B$19)</f>
        <v>30381.54160930309</v>
      </c>
      <c r="Z3" s="52">
        <f>Z2*(1-Assumptions!$B$19)</f>
        <v>31141.080149535668</v>
      </c>
    </row>
    <row r="4" customFormat="1" s="1">
      <c r="A4" s="5" t="inlineStr">
        <is>
          <t>Gross Margin</t>
        </is>
      </c>
      <c r="B4" s="52">
        <f>B2-B3</f>
        <v>12805.0</v>
      </c>
      <c r="C4" s="52">
        <f>C2-C3</f>
        <v>13872.0</v>
      </c>
      <c r="D4" s="52">
        <f>D2-D3</f>
        <v>14209.0</v>
      </c>
      <c r="E4" s="52">
        <f>E2-E3</f>
        <v>15534.0</v>
      </c>
      <c r="F4" s="52">
        <f>F2-F3</f>
        <v>18359.0</v>
      </c>
      <c r="G4" s="52">
        <f>G2-G3</f>
        <v>19805.0</v>
      </c>
      <c r="H4" s="52">
        <f>H2-H3</f>
        <v>21174.0</v>
      </c>
      <c r="I4" s="52">
        <f>I2-I3</f>
        <v>25035.0</v>
      </c>
      <c r="J4" s="52">
        <f>J2-J3</f>
        <v>25827.0</v>
      </c>
      <c r="K4" s="52">
        <f>K2-K3</f>
        <v>30417.0</v>
      </c>
      <c r="L4" s="52">
        <f>L2-L3</f>
        <v>38751.0</v>
      </c>
      <c r="M4" s="52">
        <f>M2-M3</f>
        <v>40640.0</v>
      </c>
      <c r="N4" s="52">
        <f>N2-N3</f>
        <v>33903.0</v>
      </c>
      <c r="O4" s="52">
        <f>O2-O3</f>
        <v>39430.0</v>
      </c>
      <c r="P4" s="52">
        <f>P2-P3</f>
        <v>42956.0</v>
      </c>
      <c r="Q4" s="52">
        <f>Q2-Q3</f>
        <v>46640.351788800006</v>
      </c>
      <c r="R4" s="52">
        <f>R2-R3</f>
        <v>50322.866675591256</v>
      </c>
      <c r="S4" s="52">
        <f>S2-S3</f>
        <v>53956.736792532014</v>
      </c>
      <c r="T4" s="52">
        <f>T2-T3</f>
        <v>57489.10449454977</v>
      </c>
      <c r="U4" s="52">
        <f>U2-U3</f>
        <v>60864.99246403527</v>
      </c>
      <c r="V4" s="52">
        <f>V2-V3</f>
        <v>64028.619516777006</v>
      </c>
      <c r="W4" s="52">
        <f>W2-W3</f>
        <v>66924.84740625255</v>
      </c>
      <c r="X4" s="52">
        <f>X2-X3</f>
        <v>69500.71042197764</v>
      </c>
      <c r="Y4" s="52">
        <f>Y2-Y3</f>
        <v>71706.97186281752</v>
      </c>
      <c r="Z4" s="52">
        <f>Z2-Z3</f>
        <v>73499.64615938795</v>
      </c>
    </row>
    <row r="5">
      <c r="A5" s="2" t="inlineStr">
        <is>
          <t>Research &amp; Dev.</t>
        </is>
      </c>
      <c r="B5" s="52" t="n">
        <v>2618</v>
      </c>
      <c r="C5" s="52" t="n">
        <v>2778</v>
      </c>
      <c r="D5" s="52" t="n">
        <v>2855</v>
      </c>
      <c r="E5" s="52" t="n">
        <v>3297</v>
      </c>
      <c r="F5" s="52" t="n">
        <v>4285</v>
      </c>
      <c r="G5" s="52" t="n">
        <v>4385</v>
      </c>
      <c r="H5" s="52" t="n">
        <v>5007</v>
      </c>
      <c r="I5" s="52" t="n">
        <v>10329</v>
      </c>
      <c r="J5" s="52" t="n">
        <v>6407</v>
      </c>
      <c r="K5" s="52" t="n">
        <v>6379</v>
      </c>
      <c r="L5" s="52" t="n">
        <v>6922</v>
      </c>
      <c r="M5" s="52" t="n">
        <v>6510</v>
      </c>
      <c r="N5" s="52" t="n">
        <v>7675</v>
      </c>
      <c r="O5" s="52" t="n">
        <v>12791</v>
      </c>
      <c r="P5" s="52" t="n">
        <v>9096</v>
      </c>
      <c r="Q5" s="52">
        <f>Q7*Assumptions!$B$20</f>
        <v>9585.262017239833</v>
      </c>
      <c r="R5" s="52">
        <f>R7*Assumptions!$B$20</f>
        <v>10391.85050578715</v>
      </c>
      <c r="S5" s="52">
        <f>S7*Assumptions!$B$20</f>
        <v>11195.630960658938</v>
      </c>
      <c r="T5" s="52">
        <f>T7*Assumptions!$B$20</f>
        <v>11985.439161728289</v>
      </c>
      <c r="U5" s="52">
        <f>U7*Assumptions!$B$20</f>
        <v>12749.457734004262</v>
      </c>
      <c r="V5" s="52">
        <f>V7*Assumptions!$B$20</f>
        <v>13475.4825887676</v>
      </c>
      <c r="W5" s="52">
        <f>W7*Assumptions!$B$20</f>
        <v>14151.2248737227</v>
      </c>
      <c r="X5" s="52">
        <f>X7*Assumptions!$B$20</f>
        <v>14764.639098782867</v>
      </c>
      <c r="Y5" s="52">
        <f>Y7*Assumptions!$B$20</f>
        <v>15304.26607608796</v>
      </c>
      <c r="Z5" s="52">
        <f>Z7*Assumptions!$B$20</f>
        <v>15759.577732473956</v>
      </c>
    </row>
    <row r="6">
      <c r="A6" s="18" t="inlineStr">
        <is>
          <t>SG&amp;A &amp; Other</t>
        </is>
      </c>
      <c r="B6" s="52" t="n">
        <v>6567</v>
      </c>
      <c r="C6" s="52" t="n">
        <v>5277</v>
      </c>
      <c r="D6" s="52" t="n">
        <v>5690</v>
      </c>
      <c r="E6" s="52" t="n">
        <v>8826</v>
      </c>
      <c r="F6" s="52" t="n">
        <v>6537</v>
      </c>
      <c r="G6" s="52" t="n">
        <v>6080</v>
      </c>
      <c r="H6" s="52" t="n">
        <v>6622</v>
      </c>
      <c r="I6" s="52" t="n">
        <v>8323</v>
      </c>
      <c r="J6" s="52" t="n">
        <v>6437</v>
      </c>
      <c r="K6" s="52" t="n">
        <v>12675</v>
      </c>
      <c r="L6" s="52" t="n">
        <v>13905</v>
      </c>
      <c r="M6" s="52" t="n">
        <v>16013</v>
      </c>
      <c r="N6" s="52" t="n">
        <v>13471</v>
      </c>
      <c r="O6" s="52" t="n">
        <v>17502</v>
      </c>
      <c r="P6" s="52" t="n">
        <v>18785</v>
      </c>
      <c r="Q6" s="52">
        <f>Q7-Q5</f>
        <v>19799.354835120168</v>
      </c>
      <c r="R6" s="52">
        <f>R7-R5</f>
        <v>21465.447182094977</v>
      </c>
      <c r="S6" s="52">
        <f>S7-S5</f>
        <v>23125.73924369097</v>
      </c>
      <c r="T6" s="52">
        <f>T7-T5</f>
        <v>24757.17016300589</v>
      </c>
      <c r="U6" s="52">
        <f>U7-U5</f>
        <v>26335.32992388741</v>
      </c>
      <c r="V6" s="52">
        <f>V7-V5</f>
        <v>27835.009712788502</v>
      </c>
      <c r="W6" s="52">
        <f>W7-W5</f>
        <v>29230.825628186256</v>
      </c>
      <c r="X6" s="52">
        <f>X7-X5</f>
        <v>30497.896458491403</v>
      </c>
      <c r="Y6" s="52">
        <f>Y7-Y5</f>
        <v>31612.55206029451</v>
      </c>
      <c r="Z6" s="52">
        <f>Z7-Z5</f>
        <v>32553.045604356077</v>
      </c>
    </row>
    <row r="7">
      <c r="A7" s="2" t="inlineStr">
        <is>
          <t>Operating Expense</t>
        </is>
      </c>
      <c r="B7" s="52">
        <f>SUM(B5:B6)</f>
        <v>9185.0</v>
      </c>
      <c r="C7" s="52">
        <f>SUM(C5:C6)</f>
        <v>8055.0</v>
      </c>
      <c r="D7" s="52">
        <f>SUM(D5:D6)</f>
        <v>8545.0</v>
      </c>
      <c r="E7" s="52">
        <f>SUM(E5:E6)</f>
        <v>12123.0</v>
      </c>
      <c r="F7" s="52">
        <f>SUM(F5:F6)</f>
        <v>10822.0</v>
      </c>
      <c r="G7" s="52">
        <f>SUM(G5:G6)</f>
        <v>10465.0</v>
      </c>
      <c r="H7" s="52">
        <f>SUM(H5:H6)</f>
        <v>11629.0</v>
      </c>
      <c r="I7" s="52">
        <f>SUM(I5:I6)</f>
        <v>18652.0</v>
      </c>
      <c r="J7" s="52">
        <f>SUM(J5:J6)</f>
        <v>12844.0</v>
      </c>
      <c r="K7" s="52">
        <f>SUM(K5:K6)</f>
        <v>19054.0</v>
      </c>
      <c r="L7" s="52">
        <f>SUM(L5:L6)</f>
        <v>20827.0</v>
      </c>
      <c r="M7" s="52">
        <f>SUM(M5:M6)</f>
        <v>22523.0</v>
      </c>
      <c r="N7" s="52">
        <f>SUM(N5:N6)</f>
        <v>21146.0</v>
      </c>
      <c r="O7" s="52">
        <f>SUM(O5:O6)</f>
        <v>30293.0</v>
      </c>
      <c r="P7" s="52">
        <f>SUM(P5:P6)</f>
        <v>27881.0</v>
      </c>
      <c r="Q7" s="52">
        <f>Q4-Q2*NPV!C6</f>
        <v>29384.616852360003</v>
      </c>
      <c r="R7" s="52">
        <f>R4-R2*NPV!D6</f>
        <v>31857.29768788213</v>
      </c>
      <c r="S7" s="52">
        <f>S4-S2*NPV!E6</f>
        <v>34321.37020434991</v>
      </c>
      <c r="T7" s="52">
        <f>T4-T2*NPV!F6</f>
        <v>36742.60932473418</v>
      </c>
      <c r="U7" s="52">
        <f>U4-U2*NPV!G6</f>
        <v>39084.78765789167</v>
      </c>
      <c r="V7" s="52">
        <f>V4-V2*NPV!H6</f>
        <v>41310.4923015561</v>
      </c>
      <c r="W7" s="52">
        <f>W4-W2*NPV!I6</f>
        <v>43382.050501908954</v>
      </c>
      <c r="X7" s="52">
        <f>X4-X2*NPV!J6</f>
        <v>45262.53555727427</v>
      </c>
      <c r="Y7" s="52">
        <f>Y4-Y2*NPV!K6</f>
        <v>46916.81813638247</v>
      </c>
      <c r="Z7" s="52">
        <f>Z4-Z2*NPV!L6</f>
        <v>48312.62333683003</v>
      </c>
    </row>
    <row r="8">
      <c r="A8" s="2" t="inlineStr">
        <is>
          <t>Operating Income</t>
        </is>
      </c>
      <c r="B8" s="52">
        <f>B4-B7</f>
        <v>3620.0</v>
      </c>
      <c r="C8" s="52">
        <f>C4-C7</f>
        <v>5817.0</v>
      </c>
      <c r="D8" s="52">
        <f>D4-D7</f>
        <v>5664.0</v>
      </c>
      <c r="E8" s="52">
        <f>E4-E7</f>
        <v>3411.0</v>
      </c>
      <c r="F8" s="52">
        <f>F4-F7</f>
        <v>7537.0</v>
      </c>
      <c r="G8" s="52">
        <f>G4-G7</f>
        <v>9340.0</v>
      </c>
      <c r="H8" s="52">
        <f>H4-H7</f>
        <v>9545.0</v>
      </c>
      <c r="I8" s="52">
        <f>I4-I7</f>
        <v>6383.0</v>
      </c>
      <c r="J8" s="52">
        <f>J4-J7</f>
        <v>12983.0</v>
      </c>
      <c r="K8" s="52">
        <f>K4-K7</f>
        <v>11363.0</v>
      </c>
      <c r="L8" s="52">
        <f>L4-L7</f>
        <v>17924.0</v>
      </c>
      <c r="M8" s="52">
        <f>M4-M7</f>
        <v>18117.0</v>
      </c>
      <c r="N8" s="52">
        <f>N4-N7</f>
        <v>12757.0</v>
      </c>
      <c r="O8" s="52">
        <f>O4-O7</f>
        <v>9137.0</v>
      </c>
      <c r="P8" s="52">
        <f>P4-P7</f>
        <v>15075.0</v>
      </c>
      <c r="Q8" s="52">
        <f>Q4-Q7</f>
        <v>17255.734936440003</v>
      </c>
      <c r="R8" s="52">
        <f>R4-R7</f>
        <v>18465.568987709128</v>
      </c>
      <c r="S8" s="52">
        <f>S4-S7</f>
        <v>19635.366588182107</v>
      </c>
      <c r="T8" s="52">
        <f>T4-T7</f>
        <v>20746.495169815593</v>
      </c>
      <c r="U8" s="52">
        <f>U4-U7</f>
        <v>21780.2048061436</v>
      </c>
      <c r="V8" s="52">
        <f>V4-V7</f>
        <v>22718.127215220906</v>
      </c>
      <c r="W8" s="52">
        <f>W4-W7</f>
        <v>23542.796904343595</v>
      </c>
      <c r="X8" s="52">
        <f>X4-X7</f>
        <v>24238.174864703367</v>
      </c>
      <c r="Y8" s="52">
        <f>Y4-Y7</f>
        <v>24790.153726435048</v>
      </c>
      <c r="Z8" s="52">
        <f>Z4-Z7</f>
        <v>25187.02282255792</v>
      </c>
    </row>
    <row r="9">
      <c r="A9" s="18" t="inlineStr">
        <is>
          <t>Interest &amp; Other</t>
        </is>
      </c>
      <c r="B9" s="52" t="n">
        <v>48</v>
      </c>
      <c r="C9" s="52" t="n">
        <v>-92</v>
      </c>
      <c r="D9" s="52" t="n">
        <v>-332</v>
      </c>
      <c r="E9" s="52" t="n">
        <v>-1042</v>
      </c>
      <c r="F9" s="52" t="n">
        <v>-892</v>
      </c>
      <c r="G9" s="52" t="n">
        <v>-1456</v>
      </c>
      <c r="H9" s="52" t="n">
        <v>-1818</v>
      </c>
      <c r="I9" s="52" t="n">
        <v>-1186</v>
      </c>
      <c r="J9" s="52" t="n">
        <v>-4557</v>
      </c>
      <c r="K9" s="52" t="n">
        <v>-7971</v>
      </c>
      <c r="L9" s="52" t="n">
        <v>-4942</v>
      </c>
      <c r="M9" s="52" t="n">
        <v>-4649</v>
      </c>
      <c r="N9" s="52" t="n">
        <v>-6517</v>
      </c>
      <c r="O9" s="52" t="n">
        <v>-5429</v>
      </c>
      <c r="P9" s="52" t="n">
        <v>-8485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</row>
    <row r="10">
      <c r="A10" s="2" t="inlineStr">
        <is>
          <t>Pretax</t>
        </is>
      </c>
      <c r="B10" s="52">
        <f>B8+B9</f>
        <v>3668.0</v>
      </c>
      <c r="C10" s="52">
        <f>C8+C9</f>
        <v>5725.0</v>
      </c>
      <c r="D10" s="52">
        <f>D8+D9</f>
        <v>5332.0</v>
      </c>
      <c r="E10" s="52">
        <f>E8+E9</f>
        <v>2369.0</v>
      </c>
      <c r="F10" s="52">
        <f>F8+F9</f>
        <v>6645.0</v>
      </c>
      <c r="G10" s="52">
        <f>G8+G9</f>
        <v>7884.0</v>
      </c>
      <c r="H10" s="52">
        <f>H8+H9</f>
        <v>7727.0</v>
      </c>
      <c r="I10" s="52">
        <f>I8+I9</f>
        <v>5197.0</v>
      </c>
      <c r="J10" s="52">
        <f>J8+J9</f>
        <v>8426.0</v>
      </c>
      <c r="K10" s="52">
        <f>K8+K9</f>
        <v>3392.0</v>
      </c>
      <c r="L10" s="52">
        <f>L8+L9</f>
        <v>12982.0</v>
      </c>
      <c r="M10" s="52">
        <f>M8+M9</f>
        <v>13468.0</v>
      </c>
      <c r="N10" s="52">
        <f>N8+N9</f>
        <v>6240.0</v>
      </c>
      <c r="O10" s="52">
        <f>O8+O9</f>
        <v>3708.0</v>
      </c>
      <c r="P10" s="52">
        <f>P8+P9</f>
        <v>6590.0</v>
      </c>
      <c r="Q10" s="52">
        <f>Q8+Q9</f>
        <v>17255.734936440003</v>
      </c>
      <c r="R10" s="52">
        <f>R8+R9</f>
        <v>18465.568987709128</v>
      </c>
      <c r="S10" s="52">
        <f>S8+S9</f>
        <v>19635.366588182107</v>
      </c>
      <c r="T10" s="52">
        <f>T8+T9</f>
        <v>20746.495169815593</v>
      </c>
      <c r="U10" s="52">
        <f>U8+U9</f>
        <v>21780.2048061436</v>
      </c>
      <c r="V10" s="52">
        <f>V8+V9</f>
        <v>22718.127215220906</v>
      </c>
      <c r="W10" s="52">
        <f>W8+W9</f>
        <v>23542.796904343595</v>
      </c>
      <c r="X10" s="52">
        <f>X8+X9</f>
        <v>24238.174864703367</v>
      </c>
      <c r="Y10" s="52">
        <f>Y8+Y9</f>
        <v>24790.153726435048</v>
      </c>
      <c r="Z10" s="52">
        <f>Z8+Z9</f>
        <v>25187.02282255792</v>
      </c>
    </row>
    <row r="11">
      <c r="A11" s="2" t="inlineStr">
        <is>
          <t>Taxes</t>
        </is>
      </c>
      <c r="B11" s="52" t="n">
        <v>235</v>
      </c>
      <c r="C11" s="52" t="n">
        <v>450</v>
      </c>
      <c r="D11" s="52" t="n">
        <v>1204</v>
      </c>
      <c r="E11" s="52" t="n">
        <v>595</v>
      </c>
      <c r="F11" s="52" t="n">
        <v>1501</v>
      </c>
      <c r="G11" s="52" t="n">
        <v>1931</v>
      </c>
      <c r="H11" s="52" t="n">
        <v>2418</v>
      </c>
      <c r="I11" s="52" t="n">
        <v>-490</v>
      </c>
      <c r="J11" s="52" t="n">
        <v>544</v>
      </c>
      <c r="K11" s="52" t="n">
        <v>-1224</v>
      </c>
      <c r="L11" s="52" t="n">
        <v>1440</v>
      </c>
      <c r="M11" s="52" t="n">
        <v>1632</v>
      </c>
      <c r="N11" s="52" t="n">
        <v>1377</v>
      </c>
      <c r="O11" s="52" t="n">
        <v>-570</v>
      </c>
      <c r="P11" s="52" t="n">
        <v>2364</v>
      </c>
      <c r="Q11" s="52">
        <f>MAX(0,Q10)*Assumptions!$E$14</f>
        <v>2933.4749391948008</v>
      </c>
      <c r="R11" s="52">
        <f>MAX(0,R10)*Assumptions!$E$14</f>
        <v>3139.146727910552</v>
      </c>
      <c r="S11" s="52">
        <f>MAX(0,S10)*Assumptions!$E$14</f>
        <v>3338.0123199909585</v>
      </c>
      <c r="T11" s="52">
        <f>MAX(0,T10)*Assumptions!$E$14</f>
        <v>3526.904178868651</v>
      </c>
      <c r="U11" s="52">
        <f>MAX(0,U10)*Assumptions!$E$14</f>
        <v>3702.634817044412</v>
      </c>
      <c r="V11" s="52">
        <f>MAX(0,V10)*Assumptions!$E$14</f>
        <v>3862.081626587554</v>
      </c>
      <c r="W11" s="52">
        <f>MAX(0,W10)*Assumptions!$E$14</f>
        <v>4002.2754737384116</v>
      </c>
      <c r="X11" s="52">
        <f>MAX(0,X10)*Assumptions!$E$14</f>
        <v>4120.489726999573</v>
      </c>
      <c r="Y11" s="52">
        <f>MAX(0,Y10)*Assumptions!$E$14</f>
        <v>4214.326133493959</v>
      </c>
      <c r="Z11" s="52">
        <f>MAX(0,Z10)*Assumptions!$E$14</f>
        <v>4281.793879834847</v>
      </c>
    </row>
    <row r="12">
      <c r="A12" s="2" t="inlineStr">
        <is>
          <t>Net Income</t>
        </is>
      </c>
      <c r="B12" s="52" t="n">
        <v>3433</v>
      </c>
      <c r="C12" s="52" t="n">
        <v>5275</v>
      </c>
      <c r="D12" s="52" t="n">
        <v>4128</v>
      </c>
      <c r="E12" s="52" t="n">
        <v>1774</v>
      </c>
      <c r="F12" s="52" t="n">
        <v>5144</v>
      </c>
      <c r="G12" s="52" t="n">
        <v>5953</v>
      </c>
      <c r="H12" s="52" t="n">
        <v>5309</v>
      </c>
      <c r="I12" s="52" t="n">
        <v>5687</v>
      </c>
      <c r="J12" s="52" t="n">
        <v>7882</v>
      </c>
      <c r="K12" s="52" t="n">
        <v>4616</v>
      </c>
      <c r="L12" s="52" t="n">
        <v>11542</v>
      </c>
      <c r="M12" s="52" t="n">
        <v>11836</v>
      </c>
      <c r="N12" s="52" t="n">
        <v>4863</v>
      </c>
      <c r="O12" s="52" t="n">
        <v>4278</v>
      </c>
      <c r="P12" s="52" t="n">
        <v>4226</v>
      </c>
      <c r="Q12" s="52">
        <f>Q10-Q11</f>
        <v>14322.259997245203</v>
      </c>
      <c r="R12" s="52">
        <f>R10-R11</f>
        <v>15326.422259798575</v>
      </c>
      <c r="S12" s="52">
        <f>S10-S11</f>
        <v>16297.35426819115</v>
      </c>
      <c r="T12" s="52">
        <f>T10-T11</f>
        <v>17219.59099094694</v>
      </c>
      <c r="U12" s="52">
        <f>U10-U11</f>
        <v>18077.56998909919</v>
      </c>
      <c r="V12" s="52">
        <f>V10-V11</f>
        <v>18856.04558863335</v>
      </c>
      <c r="W12" s="52">
        <f>W10-W11</f>
        <v>19540.521430605182</v>
      </c>
      <c r="X12" s="52">
        <f>X10-X11</f>
        <v>20117.685137703796</v>
      </c>
      <c r="Y12" s="52">
        <f>Y10-Y11</f>
        <v>20575.82759294109</v>
      </c>
      <c r="Z12" s="52">
        <f>Z10-Z11</f>
        <v>20905.22894272307</v>
      </c>
    </row>
    <row r="13">
      <c r="A13" s="2" t="inlineStr">
        <is>
          <t>Earnings per Share</t>
        </is>
      </c>
      <c r="B13" s="11">
        <f>IFERROR(B12/B14,0)</f>
        <v>2.1769181991122384</v>
      </c>
      <c r="C13" s="11">
        <f>IFERROR(C12/C14,0)</f>
        <v>3.3449587824984146</v>
      </c>
      <c r="D13" s="11">
        <f>IFERROR(D12/D14,0)</f>
        <v>2.57356608478803</v>
      </c>
      <c r="E13" s="11">
        <f>IFERROR(E12/E14,0)</f>
        <v>1.101863354037267</v>
      </c>
      <c r="F13" s="11">
        <f>IFERROR(F12/F14,0)</f>
        <v>3.1423335369578496</v>
      </c>
      <c r="G13" s="11">
        <f>IFERROR(G12/G14,0)</f>
        <v>3.6499080318822807</v>
      </c>
      <c r="H13" s="11">
        <f>IFERROR(H12/H14,0)</f>
        <v>3.3119151590767313</v>
      </c>
      <c r="I13" s="11">
        <f>IFERROR(I12/I14,0)</f>
        <v>3.678525226390686</v>
      </c>
      <c r="J13" s="11">
        <f>IFERROR(J12/J14,0)</f>
        <v>5.311320754716981</v>
      </c>
      <c r="K13" s="11">
        <f>IFERROR(K12/K14,0)</f>
        <v>2.7591153616258217</v>
      </c>
      <c r="L13" s="11">
        <f>IFERROR(L12/L14,0)</f>
        <v>6.495216657287563</v>
      </c>
      <c r="M13" s="11">
        <f>IFERROR(M12/M14,0)</f>
        <v>6.656917885264342</v>
      </c>
      <c r="N13" s="11">
        <f>IFERROR(N12/N14,0)</f>
        <v>2.742808798646362</v>
      </c>
      <c r="O13" s="11">
        <f>IFERROR(O12/O14,0)</f>
        <v>2.412859560067682</v>
      </c>
      <c r="P13" s="11">
        <f>IFERROR(P12/P14,0)</f>
        <v>2.383530738860688</v>
      </c>
      <c r="Q13" s="11">
        <f>IFERROR(Q12/Q14,0)</f>
        <v>8.104872335763046</v>
      </c>
      <c r="R13" s="11">
        <f>IFERROR(R12/R14,0)</f>
        <v>8.673121127779911</v>
      </c>
      <c r="S13" s="11">
        <f>IFERROR(S12/S14,0)</f>
        <v>9.222565138448719</v>
      </c>
      <c r="T13" s="11">
        <f>IFERROR(T12/T14,0)</f>
        <v>9.744452808601745</v>
      </c>
      <c r="U13" s="11">
        <f>IFERROR(U12/U14,0)</f>
        <v>10.2299774568156</v>
      </c>
      <c r="V13" s="11">
        <f>IFERROR(V12/V14,0)</f>
        <v>10.670511656861164</v>
      </c>
      <c r="W13" s="11">
        <f>IFERROR(W12/W14,0)</f>
        <v>11.057852014958465</v>
      </c>
      <c r="X13" s="11">
        <f>IFERROR(X12/X14,0)</f>
        <v>11.384465144713808</v>
      </c>
      <c r="Y13" s="11">
        <f>IFERROR(Y12/Y14,0)</f>
        <v>11.64372493416083</v>
      </c>
      <c r="Z13" s="11">
        <f>IFERROR(Z12/Z14,0)</f>
        <v>11.83013098234907</v>
      </c>
    </row>
    <row r="14">
      <c r="A14" s="2" t="inlineStr">
        <is>
          <t>Shares</t>
        </is>
      </c>
      <c r="B14" s="52" t="n">
        <v>1577</v>
      </c>
      <c r="C14" s="52" t="n">
        <v>1577</v>
      </c>
      <c r="D14" s="52" t="n">
        <v>1604</v>
      </c>
      <c r="E14" s="52" t="n">
        <v>1610</v>
      </c>
      <c r="F14" s="52" t="n">
        <v>1637</v>
      </c>
      <c r="G14" s="52" t="n">
        <v>1631</v>
      </c>
      <c r="H14" s="52" t="n">
        <v>1603</v>
      </c>
      <c r="I14" s="52" t="n">
        <v>1546</v>
      </c>
      <c r="J14" s="52" t="n">
        <v>1484</v>
      </c>
      <c r="K14" s="52" t="n">
        <v>1673</v>
      </c>
      <c r="L14" s="52" t="n">
        <v>1777</v>
      </c>
      <c r="M14" s="52" t="n">
        <v>1778</v>
      </c>
      <c r="N14" s="52" t="n">
        <v>1773</v>
      </c>
      <c r="O14" s="52" t="n">
        <v>1773</v>
      </c>
      <c r="P14" s="52" t="n">
        <v>1773</v>
      </c>
      <c r="Q14" s="52">
        <f>Main!$C$4</f>
        <v>1767.117285</v>
      </c>
      <c r="R14" s="52">
        <f>Main!$C$4</f>
        <v>1767.117285</v>
      </c>
      <c r="S14" s="52">
        <f>Main!$C$4</f>
        <v>1767.117285</v>
      </c>
      <c r="T14" s="52">
        <f>Main!$C$4</f>
        <v>1767.117285</v>
      </c>
      <c r="U14" s="52">
        <f>Main!$C$4</f>
        <v>1767.117285</v>
      </c>
      <c r="V14" s="52">
        <f>Main!$C$4</f>
        <v>1767.117285</v>
      </c>
      <c r="W14" s="52">
        <f>Main!$C$4</f>
        <v>1767.117285</v>
      </c>
      <c r="X14" s="52">
        <f>Main!$C$4</f>
        <v>1767.117285</v>
      </c>
      <c r="Y14" s="52">
        <f>Main!$C$4</f>
        <v>1767.117285</v>
      </c>
      <c r="Z14" s="52">
        <f>Main!$C$4</f>
        <v>1767.117285</v>
      </c>
    </row>
    <row r="15"/>
    <row r="16" customFormat="1" s="4">
      <c r="A16" s="3" t="inlineStr">
        <is>
          <t>Revenue Change</t>
        </is>
      </c>
      <c r="C16" s="15">
        <f>IFERROR(C2/B2-1,"")</f>
        <v>0.05365741802338908</v>
      </c>
      <c r="D16" s="15">
        <f>IFERROR(D2/C2-1,"")</f>
        <v>0.022306855277475446</v>
      </c>
      <c r="E16" s="15">
        <f>IFERROR(E2/D2-1,"")</f>
        <v>0.06226716338477911</v>
      </c>
      <c r="F16" s="15">
        <f>IFERROR(F2/E2-1,"")</f>
        <v>0.14524048096192388</v>
      </c>
      <c r="G16" s="15">
        <f>IFERROR(G2/F2-1,"")</f>
        <v>0.12157137232599857</v>
      </c>
      <c r="H16" s="15">
        <f>IFERROR(H2/G2-1,"")</f>
        <v>0.100553865356112</v>
      </c>
      <c r="I16" s="15">
        <f>IFERROR(I2/H2-1,"")</f>
        <v>0.16079529345052457</v>
      </c>
      <c r="J16" s="15">
        <f>IFERROR(J2/I2-1,"")</f>
        <v>0.01566268738741483</v>
      </c>
      <c r="K16" s="15">
        <f>IFERROR(K2/J2-1,"")</f>
        <v>0.37690134070823067</v>
      </c>
      <c r="L16" s="15">
        <f>IFERROR(L2/K2-1,"")</f>
        <v>0.22690158064797838</v>
      </c>
      <c r="M16" s="15">
        <f>IFERROR(M2/L2-1,"")</f>
        <v>0.03304446856593768</v>
      </c>
      <c r="N16" s="15">
        <f>IFERROR(N2/M2-1,"")</f>
        <v>-0.06435387742446685</v>
      </c>
      <c r="O16" s="15">
        <f>IFERROR(O2/N2-1,"")</f>
        <v>0.037114768584999513</v>
      </c>
      <c r="P16" s="15">
        <f>IFERROR(P2/O2-1,"")</f>
        <v>0.08566762523520421</v>
      </c>
      <c r="Q16" s="15">
        <f>IFERROR(Q2/P2-1,"")</f>
        <v>0.08570000000000011</v>
      </c>
      <c r="R16" s="15">
        <f>IFERROR(R2/Q2-1,"")</f>
        <v>0.07895555555555545</v>
      </c>
      <c r="S16" s="15">
        <f>IFERROR(S2/R2-1,"")</f>
        <v>0.07221111111111123</v>
      </c>
      <c r="T16" s="15">
        <f>IFERROR(T2/S2-1,"")</f>
        <v>0.06546666666666656</v>
      </c>
      <c r="U16" s="15">
        <f>IFERROR(U2/T2-1,"")</f>
        <v>0.05872222222222212</v>
      </c>
      <c r="V16" s="15">
        <f>IFERROR(V2/U2-1,"")</f>
        <v>0.05197777777777768</v>
      </c>
      <c r="W16" s="15">
        <f>IFERROR(W2/V2-1,"")</f>
        <v>0.04523333333333324</v>
      </c>
      <c r="X16" s="15">
        <f>IFERROR(X2/W2-1,"")</f>
        <v>0.038488888888888795</v>
      </c>
      <c r="Y16" s="15">
        <f>IFERROR(Y2/X2-1,"")</f>
        <v>0.03174444444444435</v>
      </c>
      <c r="Z16" s="15">
        <f>IFERROR(Z2/Y2-1,"")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0.734063288236643</v>
      </c>
      <c r="C17" s="15">
        <f>IFERROR(C4/C2,"")</f>
        <v>0.7547334058759522</v>
      </c>
      <c r="D17" s="15">
        <f>IFERROR(D4/D2,"")</f>
        <v>0.7562001064395956</v>
      </c>
      <c r="E17" s="15">
        <f>IFERROR(E4/E2,"")</f>
        <v>0.7782565130260521</v>
      </c>
      <c r="F17" s="15">
        <f>IFERROR(F4/F2,"")</f>
        <v>0.803140994794173</v>
      </c>
      <c r="G17" s="15">
        <f>IFERROR(G4/G2,"")</f>
        <v>0.7724861533660972</v>
      </c>
      <c r="H17" s="15">
        <f>IFERROR(H4/H2,"")</f>
        <v>0.7504252906152538</v>
      </c>
      <c r="I17" s="15">
        <f>IFERROR(I4/I2,"")</f>
        <v>0.7643574634384637</v>
      </c>
      <c r="J17" s="15">
        <f>IFERROR(J4/J2,"")</f>
        <v>0.7763782841339506</v>
      </c>
      <c r="K17" s="15">
        <f>IFERROR(K4/K2,"")</f>
        <v>0.6640686402934242</v>
      </c>
      <c r="L17" s="15">
        <f>IFERROR(L4/L2,"")</f>
        <v>0.6895563820132747</v>
      </c>
      <c r="M17" s="15">
        <f>IFERROR(M4/M2,"")</f>
        <v>0.7000378957522306</v>
      </c>
      <c r="N17" s="15">
        <f>IFERROR(N4/N2,"")</f>
        <v>0.6241577377664862</v>
      </c>
      <c r="O17" s="15">
        <f>IFERROR(O4/O2,"")</f>
        <v>0.6999325451769801</v>
      </c>
      <c r="P17" s="15">
        <f>IFERROR(P4/P2,"")</f>
        <v>0.7023544800523218</v>
      </c>
      <c r="Q17" s="15">
        <f>IFERROR(Q4/Q2,"")</f>
        <v>0.7024</v>
      </c>
      <c r="R17" s="15">
        <f>IFERROR(R4/R2,"")</f>
        <v>0.7024</v>
      </c>
      <c r="S17" s="15">
        <f>IFERROR(S4/S2,"")</f>
        <v>0.7024</v>
      </c>
      <c r="T17" s="15">
        <f>IFERROR(T4/T2,"")</f>
        <v>0.7024</v>
      </c>
      <c r="U17" s="15">
        <f>IFERROR(U4/U2,"")</f>
        <v>0.7024</v>
      </c>
      <c r="V17" s="15">
        <f>IFERROR(V4/V2,"")</f>
        <v>0.7024</v>
      </c>
      <c r="W17" s="15">
        <f>IFERROR(W4/W2,"")</f>
        <v>0.7024</v>
      </c>
      <c r="X17" s="15">
        <f>IFERROR(X4/X2,"")</f>
        <v>0.7024</v>
      </c>
      <c r="Y17" s="15">
        <f>IFERROR(Y4/Y2,"")</f>
        <v>0.7024</v>
      </c>
      <c r="Z17" s="15">
        <f>IFERROR(Z4/Z2,"")</f>
        <v>0.7024</v>
      </c>
    </row>
    <row r="18">
      <c r="A18" s="14" t="inlineStr">
        <is>
          <t>Operating Margin</t>
        </is>
      </c>
      <c r="B18" s="15">
        <f>IFERROR(B8/B2,"")</f>
        <v>0.2075212107314836</v>
      </c>
      <c r="C18" s="15">
        <f>IFERROR(C8/C2,"")</f>
        <v>0.31648531011969533</v>
      </c>
      <c r="D18" s="15">
        <f>IFERROR(D8/D2,"")</f>
        <v>0.30143693453964876</v>
      </c>
      <c r="E18" s="15">
        <f>IFERROR(E8/E2,"")</f>
        <v>0.17089178356713428</v>
      </c>
      <c r="F18" s="15">
        <f>IFERROR(F8/F2,"")</f>
        <v>0.32971696049695964</v>
      </c>
      <c r="G18" s="15">
        <f>IFERROR(G8/G2,"")</f>
        <v>0.3643029877525548</v>
      </c>
      <c r="H18" s="15">
        <f>IFERROR(H8/H2,"")</f>
        <v>0.338283243549759</v>
      </c>
      <c r="I18" s="15">
        <f>IFERROR(I8/I2,"")</f>
        <v>0.1948829114890239</v>
      </c>
      <c r="J18" s="15">
        <f>IFERROR(J8/J2,"")</f>
        <v>0.3902783622918295</v>
      </c>
      <c r="K18" s="15">
        <f>IFERROR(K8/K2,"")</f>
        <v>0.24807877041306436</v>
      </c>
      <c r="L18" s="15">
        <f>IFERROR(L8/L2,"")</f>
        <v>0.31894941011086003</v>
      </c>
      <c r="M18" s="15">
        <f>IFERROR(M8/M2,"")</f>
        <v>0.31207151961966445</v>
      </c>
      <c r="N18" s="15">
        <f>IFERROR(N8/N2,"")</f>
        <v>0.23485768990021724</v>
      </c>
      <c r="O18" s="15">
        <f>IFERROR(O8/O2,"")</f>
        <v>0.16219334682429792</v>
      </c>
      <c r="P18" s="15">
        <f>IFERROR(P8/P2,"")</f>
        <v>0.24648463047743624</v>
      </c>
      <c r="Q18" s="15">
        <f>IFERROR(Q8/Q2,"")</f>
        <v>0.25987</v>
      </c>
      <c r="R18" s="15">
        <f>IFERROR(R8/R2,"")</f>
        <v>0.25774</v>
      </c>
      <c r="S18" s="15">
        <f>IFERROR(S8/S2,"")</f>
        <v>0.25561000000000006</v>
      </c>
      <c r="T18" s="15">
        <f>IFERROR(T8/T2,"")</f>
        <v>0.25348</v>
      </c>
      <c r="U18" s="15">
        <f>IFERROR(U8/U2,"")</f>
        <v>0.25135</v>
      </c>
      <c r="V18" s="15">
        <f>IFERROR(V8/V2,"")</f>
        <v>0.24922</v>
      </c>
      <c r="W18" s="15">
        <f>IFERROR(W8/W2,"")</f>
        <v>0.24709</v>
      </c>
      <c r="X18" s="15">
        <f>IFERROR(X8/X2,"")</f>
        <v>0.24496000000000004</v>
      </c>
      <c r="Y18" s="15">
        <f>IFERROR(Y8/Y2,"")</f>
        <v>0.24283</v>
      </c>
      <c r="Z18" s="15">
        <f>IFERROR(Z8/Z2,"")</f>
        <v>0.24070000000000003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AbbVie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</v>
      </c>
      <c r="C10" s="53" t="n">
        <v>0.08</v>
      </c>
      <c r="D10" s="53" t="n">
        <v>0.07000000000000001</v>
      </c>
      <c r="E10" s="54">
        <f>IF(ISNUMBER($B$6),$B$6,CHOOSE($B$4,B10,C10,D10))</f>
        <v>0.08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0.0357</v>
      </c>
      <c r="C12" s="53" t="n">
        <v>0.0857</v>
      </c>
      <c r="D12" s="53" t="n">
        <v>0.1357</v>
      </c>
      <c r="E12" s="54">
        <f>CHOOSE($B$4,B12,C12,D12)</f>
        <v>0.0857</v>
      </c>
    </row>
    <row r="13">
      <c r="A13" s="14" t="inlineStr">
        <is>
          <t>Operating margin, year 10</t>
        </is>
      </c>
      <c r="B13" s="53" t="n">
        <v>0.1907</v>
      </c>
      <c r="C13" s="53" t="n">
        <v>0.2407</v>
      </c>
      <c r="D13" s="53" t="n">
        <v>0.2907</v>
      </c>
      <c r="E13" s="54">
        <f>CHOOSE($B$4,B13,C13,D13)</f>
        <v>0.2407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0.262</v>
      </c>
    </row>
    <row r="19">
      <c r="A19" s="14" t="inlineStr">
        <is>
          <t>Gross margin (forecast)</t>
        </is>
      </c>
      <c r="B19" s="53" t="n">
        <v>0.7024</v>
      </c>
    </row>
    <row r="20">
      <c r="A20" s="14" t="inlineStr">
        <is>
          <t>R&amp;D share of operating expense (forecast)</t>
        </is>
      </c>
      <c r="B20" s="53" t="n">
        <v>0.3262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Model'!P2</f>
        <v>61160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294839.0829738555</v>
      </c>
      <c r="C29" s="56">
        <f>NPV!B26</f>
        <v>230586.0829738555</v>
      </c>
      <c r="D29" s="35">
        <f>NPV!B28</f>
        <v>130.4871413635997</v>
      </c>
      <c r="E29" s="57">
        <f>NPV!B30</f>
        <v>-0.5487216276548514</v>
      </c>
    </row>
    <row r="30">
      <c r="A30" s="58" t="n">
        <v>1</v>
      </c>
      <c r="B30" s="59">
        <f t="dataTable" ref="B30:E32" r1="B4"/>
        <v>162558.12935757314</v>
      </c>
      <c r="C30" s="59">
        <v>98305.12935757314</v>
      </c>
      <c r="D30" s="39">
        <v>55.63022341076424</v>
      </c>
      <c r="E30" s="60">
        <v>-0.8076077350483686</v>
      </c>
    </row>
    <row r="31">
      <c r="A31" s="58" t="n">
        <v>2</v>
      </c>
      <c r="B31" s="59">
        <v>294839.0829738555</v>
      </c>
      <c r="C31" s="59">
        <v>230586.0829738555</v>
      </c>
      <c r="D31" s="39">
        <v>130.4871413635997</v>
      </c>
      <c r="E31" s="60">
        <v>-0.5487216276548514</v>
      </c>
    </row>
    <row r="32">
      <c r="A32" s="58" t="n">
        <v>3</v>
      </c>
      <c r="B32" s="59">
        <v>582299.147760428</v>
      </c>
      <c r="C32" s="59">
        <v>518046.147760428</v>
      </c>
      <c r="D32" s="39">
        <v>293.1588933897096</v>
      </c>
      <c r="E32" s="60">
        <v>0.01386440736541461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130.4871413635997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</v>
      </c>
      <c r="B37" s="39">
        <f t="dataTable" ref="B37:F41" dt2D="1" r1="B7" r2="B6"/>
        <v>176.0420184114776</v>
      </c>
      <c r="C37" s="39">
        <v>198.1059481578971</v>
      </c>
      <c r="D37" s="39">
        <v>226.44445956914095</v>
      </c>
      <c r="E37" s="39">
        <v>264.19451992944437</v>
      </c>
      <c r="F37" s="39">
        <v>317.00266687478216</v>
      </c>
    </row>
    <row r="38">
      <c r="A38" s="62" t="n">
        <v>0.07000000000000001</v>
      </c>
      <c r="B38" s="39">
        <v>137.01365642961483</v>
      </c>
      <c r="C38" s="39">
        <v>150.8538618176002</v>
      </c>
      <c r="D38" s="39">
        <v>167.74779753318518</v>
      </c>
      <c r="E38" s="39">
        <v>188.8403807569837</v>
      </c>
      <c r="F38" s="39">
        <v>215.93076468458614</v>
      </c>
    </row>
    <row r="39">
      <c r="A39" s="62" t="n">
        <v>0.08</v>
      </c>
      <c r="B39" s="39">
        <v>110.07675362617125</v>
      </c>
      <c r="C39" s="39">
        <v>119.4393579409543</v>
      </c>
      <c r="D39" s="39">
        <v>130.4871413635997</v>
      </c>
      <c r="E39" s="39">
        <v>143.72548076501164</v>
      </c>
      <c r="F39" s="39">
        <v>159.88436319490017</v>
      </c>
    </row>
    <row r="40">
      <c r="A40" s="62" t="n">
        <v>0.09</v>
      </c>
      <c r="B40" s="39">
        <v>90.38575133005178</v>
      </c>
      <c r="C40" s="39">
        <v>97.06532966496741</v>
      </c>
      <c r="D40" s="39">
        <v>104.7586901527695</v>
      </c>
      <c r="E40" s="39">
        <v>113.7191377766099</v>
      </c>
      <c r="F40" s="39">
        <v>124.29208704522317</v>
      </c>
    </row>
    <row r="41">
      <c r="A41" s="62" t="n">
        <v>0.1</v>
      </c>
      <c r="B41" s="39">
        <v>75.37639447281276</v>
      </c>
      <c r="C41" s="39">
        <v>80.33433695617566</v>
      </c>
      <c r="D41" s="39">
        <v>85.94186611980764</v>
      </c>
      <c r="E41" s="39">
        <v>92.33806426914737</v>
      </c>
      <c r="F41" s="39">
        <v>99.70480715360415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AbbVie Inc.: free-cash-flow DCF ($mm)</t>
        </is>
      </c>
    </row>
    <row r="3">
      <c r="A3" s="20" t="inlineStr">
        <is>
          <t>Fiscal year</t>
        </is>
      </c>
      <c r="B3" s="43">
        <f>'Yearly Model'!P1</f>
        <v>2025</v>
      </c>
      <c r="C3" s="43">
        <f>'Yearly Model'!Q1</f>
        <v>2026</v>
      </c>
      <c r="D3" s="43">
        <f>'Yearly Model'!R1</f>
        <v>2027</v>
      </c>
      <c r="E3" s="43">
        <f>'Yearly Model'!S1</f>
        <v>2028</v>
      </c>
      <c r="F3" s="43">
        <f>'Yearly Model'!T1</f>
        <v>2029</v>
      </c>
      <c r="G3" s="43">
        <f>'Yearly Model'!U1</f>
        <v>2030</v>
      </c>
      <c r="H3" s="43">
        <f>'Yearly Model'!V1</f>
        <v>2031</v>
      </c>
      <c r="I3" s="43">
        <f>'Yearly Model'!W1</f>
        <v>2032</v>
      </c>
      <c r="J3" s="43">
        <f>'Yearly Model'!X1</f>
        <v>2033</v>
      </c>
      <c r="K3" s="43">
        <f>'Yearly Model'!Y1</f>
        <v>2034</v>
      </c>
      <c r="L3" s="43">
        <f>'Yearly Model'!Z1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0.0857</v>
      </c>
      <c r="D5" s="63">
        <f>Assumptions!$E$12+(Assumptions!$E$11-Assumptions!$E$12)*(D4-1)/(Assumptions!$B$21-1)</f>
        <v>0.07895555555555556</v>
      </c>
      <c r="E5" s="63">
        <f>Assumptions!$E$12+(Assumptions!$E$11-Assumptions!$E$12)*(E4-1)/(Assumptions!$B$21-1)</f>
        <v>0.07221111111111111</v>
      </c>
      <c r="F5" s="63">
        <f>Assumptions!$E$12+(Assumptions!$E$11-Assumptions!$E$12)*(F4-1)/(Assumptions!$B$21-1)</f>
        <v>0.06546666666666667</v>
      </c>
      <c r="G5" s="63">
        <f>Assumptions!$E$12+(Assumptions!$E$11-Assumptions!$E$12)*(G4-1)/(Assumptions!$B$21-1)</f>
        <v>0.05872222222222222</v>
      </c>
      <c r="H5" s="63">
        <f>Assumptions!$E$12+(Assumptions!$E$11-Assumptions!$E$12)*(H4-1)/(Assumptions!$B$21-1)</f>
        <v>0.051977777777777776</v>
      </c>
      <c r="I5" s="63">
        <f>Assumptions!$E$12+(Assumptions!$E$11-Assumptions!$E$12)*(I4-1)/(Assumptions!$B$21-1)</f>
        <v>0.045233333333333334</v>
      </c>
      <c r="J5" s="63">
        <f>Assumptions!$E$12+(Assumptions!$E$11-Assumptions!$E$12)*(J4-1)/(Assumptions!$B$21-1)</f>
        <v>0.038488888888888885</v>
      </c>
      <c r="K5" s="63">
        <f>Assumptions!$E$12+(Assumptions!$E$11-Assumptions!$E$12)*(K4-1)/(Assumptions!$B$21-1)</f>
        <v>0.03174444444444444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0.24648463047743624</v>
      </c>
      <c r="C6" s="63">
        <f>Assumptions!$B$18+(Assumptions!$E$13-Assumptions!$B$18)*C4/Assumptions!$B$21</f>
        <v>0.25987</v>
      </c>
      <c r="D6" s="63">
        <f>Assumptions!$B$18+(Assumptions!$E$13-Assumptions!$B$18)*D4/Assumptions!$B$21</f>
        <v>0.25774</v>
      </c>
      <c r="E6" s="63">
        <f>Assumptions!$B$18+(Assumptions!$E$13-Assumptions!$B$18)*E4/Assumptions!$B$21</f>
        <v>0.25561</v>
      </c>
      <c r="F6" s="63">
        <f>Assumptions!$B$18+(Assumptions!$E$13-Assumptions!$B$18)*F4/Assumptions!$B$21</f>
        <v>0.25348</v>
      </c>
      <c r="G6" s="63">
        <f>Assumptions!$B$18+(Assumptions!$E$13-Assumptions!$B$18)*G4/Assumptions!$B$21</f>
        <v>0.25135</v>
      </c>
      <c r="H6" s="63">
        <f>Assumptions!$B$18+(Assumptions!$E$13-Assumptions!$B$18)*H4/Assumptions!$B$21</f>
        <v>0.24922</v>
      </c>
      <c r="I6" s="63">
        <f>Assumptions!$B$18+(Assumptions!$E$13-Assumptions!$B$18)*I4/Assumptions!$B$21</f>
        <v>0.24709</v>
      </c>
      <c r="J6" s="63">
        <f>Assumptions!$B$18+(Assumptions!$E$13-Assumptions!$B$18)*J4/Assumptions!$B$21</f>
        <v>0.24496</v>
      </c>
      <c r="K6" s="63">
        <f>Assumptions!$B$18+(Assumptions!$E$13-Assumptions!$B$18)*K4/Assumptions!$B$21</f>
        <v>0.24283</v>
      </c>
      <c r="L6" s="63">
        <f>Assumptions!$B$18+(Assumptions!$E$13-Assumptions!$B$18)*L4/Assumptions!$B$21</f>
        <v>0.2407</v>
      </c>
    </row>
    <row r="7">
      <c r="A7" s="14" t="inlineStr">
        <is>
          <t>Revenue</t>
        </is>
      </c>
      <c r="B7" s="55">
        <f>'Yearly Model'!P2</f>
        <v>61160</v>
      </c>
      <c r="C7" s="55">
        <f>'Yearly Model'!Q2</f>
        <v>66401.41200000001</v>
      </c>
      <c r="D7" s="55">
        <f>'Yearly Model'!R2</f>
        <v>71644.17237413334</v>
      </c>
      <c r="E7" s="55">
        <f>'Yearly Model'!S2</f>
        <v>76817.67766590549</v>
      </c>
      <c r="F7" s="55">
        <f>'Yearly Model'!T2</f>
        <v>81846.67496376675</v>
      </c>
      <c r="G7" s="55">
        <f>'Yearly Model'!U2</f>
        <v>86652.89359913905</v>
      </c>
      <c r="H7" s="55">
        <f>'Yearly Model'!V2</f>
        <v>91156.91844643651</v>
      </c>
      <c r="I7" s="55">
        <f>'Yearly Model'!W2</f>
        <v>95280.24972416364</v>
      </c>
      <c r="J7" s="55">
        <f>'Yearly Model'!X2</f>
        <v>98947.48066910256</v>
      </c>
      <c r="K7" s="55">
        <f>'Yearly Model'!Y2</f>
        <v>102088.51347212061</v>
      </c>
      <c r="L7" s="55">
        <f>'Yearly Model'!Z2</f>
        <v>104640.72630892362</v>
      </c>
    </row>
    <row r="8">
      <c r="A8" s="14" t="inlineStr">
        <is>
          <t>Operating income</t>
        </is>
      </c>
      <c r="B8" s="55">
        <f>'Yearly Model'!P8</f>
        <v>15075.0</v>
      </c>
      <c r="C8" s="55">
        <f>'Yearly Model'!Q8</f>
        <v>17255.734936440003</v>
      </c>
      <c r="D8" s="55">
        <f>'Yearly Model'!R8</f>
        <v>18465.568987709128</v>
      </c>
      <c r="E8" s="55">
        <f>'Yearly Model'!S8</f>
        <v>19635.366588182107</v>
      </c>
      <c r="F8" s="55">
        <f>'Yearly Model'!T8</f>
        <v>20746.495169815593</v>
      </c>
      <c r="G8" s="55">
        <f>'Yearly Model'!U8</f>
        <v>21780.2048061436</v>
      </c>
      <c r="H8" s="55">
        <f>'Yearly Model'!V8</f>
        <v>22718.127215220906</v>
      </c>
      <c r="I8" s="55">
        <f>'Yearly Model'!W8</f>
        <v>23542.796904343595</v>
      </c>
      <c r="J8" s="55">
        <f>'Yearly Model'!X8</f>
        <v>24238.174864703367</v>
      </c>
      <c r="K8" s="55">
        <f>'Yearly Model'!Y8</f>
        <v>24790.153726435048</v>
      </c>
      <c r="L8" s="55">
        <f>'Yearly Model'!Z8</f>
        <v>25187.02282255792</v>
      </c>
    </row>
    <row r="9">
      <c r="A9" s="14" t="inlineStr">
        <is>
          <t>Tax on operating income</t>
        </is>
      </c>
      <c r="C9" s="52">
        <f>MAX(0,C8)*Assumptions!$E$14</f>
        <v>2933.4749391948008</v>
      </c>
      <c r="D9" s="52">
        <f>MAX(0,D8)*Assumptions!$E$14</f>
        <v>3139.146727910552</v>
      </c>
      <c r="E9" s="52">
        <f>MAX(0,E8)*Assumptions!$E$14</f>
        <v>3338.0123199909585</v>
      </c>
      <c r="F9" s="52">
        <f>MAX(0,F8)*Assumptions!$E$14</f>
        <v>3526.904178868651</v>
      </c>
      <c r="G9" s="52">
        <f>MAX(0,G8)*Assumptions!$E$14</f>
        <v>3702.634817044412</v>
      </c>
      <c r="H9" s="52">
        <f>MAX(0,H8)*Assumptions!$E$14</f>
        <v>3862.081626587554</v>
      </c>
      <c r="I9" s="52">
        <f>MAX(0,I8)*Assumptions!$E$14</f>
        <v>4002.2754737384116</v>
      </c>
      <c r="J9" s="52">
        <f>MAX(0,J8)*Assumptions!$E$14</f>
        <v>4120.489726999573</v>
      </c>
      <c r="K9" s="52">
        <f>MAX(0,K8)*Assumptions!$E$14</f>
        <v>4214.326133493959</v>
      </c>
      <c r="L9" s="52">
        <f>MAX(0,L8)*Assumptions!$E$14</f>
        <v>4281.793879834847</v>
      </c>
    </row>
    <row r="10">
      <c r="A10" s="14" t="inlineStr">
        <is>
          <t>NOPAT</t>
        </is>
      </c>
      <c r="C10" s="52">
        <f>C8-C9</f>
        <v>14322.259997245203</v>
      </c>
      <c r="D10" s="52">
        <f>D8-D9</f>
        <v>15326.422259798575</v>
      </c>
      <c r="E10" s="52">
        <f>E8-E9</f>
        <v>16297.35426819115</v>
      </c>
      <c r="F10" s="52">
        <f>F8-F9</f>
        <v>17219.59099094694</v>
      </c>
      <c r="G10" s="52">
        <f>G8-G9</f>
        <v>18077.56998909919</v>
      </c>
      <c r="H10" s="52">
        <f>H8-H9</f>
        <v>18856.04558863335</v>
      </c>
      <c r="I10" s="52">
        <f>I8-I9</f>
        <v>19540.521430605182</v>
      </c>
      <c r="J10" s="52">
        <f>J8-J9</f>
        <v>20117.685137703796</v>
      </c>
      <c r="K10" s="52">
        <f>K8-K9</f>
        <v>20575.82759294109</v>
      </c>
      <c r="L10" s="52">
        <f>L8-L9</f>
        <v>20905.22894272307</v>
      </c>
    </row>
    <row r="11">
      <c r="A11" s="14" t="inlineStr">
        <is>
          <t>Reinvestment</t>
        </is>
      </c>
      <c r="C11" s="52">
        <f>(C7-B7)*Assumptions!$E$15</f>
        <v>1310.3530000000028</v>
      </c>
      <c r="D11" s="52">
        <f>(D7-C7)*Assumptions!$E$15</f>
        <v>1310.6900935333324</v>
      </c>
      <c r="E11" s="52">
        <f>(E7-D7)*Assumptions!$E$15</f>
        <v>1293.376322943037</v>
      </c>
      <c r="F11" s="52">
        <f>(F7-E7)*Assumptions!$E$15</f>
        <v>1257.249324465316</v>
      </c>
      <c r="G11" s="52">
        <f>(G7-F7)*Assumptions!$E$15</f>
        <v>1201.5546588430734</v>
      </c>
      <c r="H11" s="52">
        <f>(H7-G7)*Assumptions!$E$15</f>
        <v>1126.006211824366</v>
      </c>
      <c r="I11" s="52">
        <f>(I7-H7)*Assumptions!$E$15</f>
        <v>1030.8328194317837</v>
      </c>
      <c r="J11" s="52">
        <f>(J7-I7)*Assumptions!$E$15</f>
        <v>916.8077362347285</v>
      </c>
      <c r="K11" s="52">
        <f>(K7-J7)*Assumptions!$E$15</f>
        <v>785.2582007545134</v>
      </c>
      <c r="L11" s="52">
        <f>(L7-K7)*Assumptions!$E$15</f>
        <v>638.0532092007525</v>
      </c>
    </row>
    <row r="12">
      <c r="A12" s="20" t="inlineStr">
        <is>
          <t>Free cash flow</t>
        </is>
      </c>
      <c r="C12" s="64">
        <f>C10-C11</f>
        <v>13011.9069972452</v>
      </c>
      <c r="D12" s="64">
        <f>D10-D11</f>
        <v>14015.732166265243</v>
      </c>
      <c r="E12" s="64">
        <f>E10-E11</f>
        <v>15003.977945248113</v>
      </c>
      <c r="F12" s="64">
        <f>F10-F11</f>
        <v>15962.341666481625</v>
      </c>
      <c r="G12" s="64">
        <f>G10-G11</f>
        <v>16876.015330256116</v>
      </c>
      <c r="H12" s="64">
        <f>H10-H11</f>
        <v>17730.039376808985</v>
      </c>
      <c r="I12" s="64">
        <f>I10-I11</f>
        <v>18509.6886111734</v>
      </c>
      <c r="J12" s="64">
        <f>J10-J11</f>
        <v>19200.877401469068</v>
      </c>
      <c r="K12" s="64">
        <f>K10-K11</f>
        <v>19790.569392186575</v>
      </c>
      <c r="L12" s="64">
        <f>L10-L11</f>
        <v>20267.17573352232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0.9807889007237011</v>
      </c>
      <c r="D15" s="65">
        <f>1/(1+Assumptions!$E$10)^D14</f>
        <v>0.9256338051008673</v>
      </c>
      <c r="E15" s="65">
        <f>1/(1+Assumptions!$E$10)^E14</f>
        <v>0.8570683380563585</v>
      </c>
      <c r="F15" s="65">
        <f>1/(1+Assumptions!$E$10)^F14</f>
        <v>0.7935817944966281</v>
      </c>
      <c r="G15" s="65">
        <f>1/(1+Assumptions!$E$10)^G14</f>
        <v>0.7347979578672482</v>
      </c>
      <c r="H15" s="65">
        <f>1/(1+Assumptions!$E$10)^H14</f>
        <v>0.6803684795067113</v>
      </c>
      <c r="I15" s="65">
        <f>1/(1+Assumptions!$E$10)^I14</f>
        <v>0.629970814358066</v>
      </c>
      <c r="J15" s="65">
        <f>1/(1+Assumptions!$E$10)^J14</f>
        <v>0.5833063095908019</v>
      </c>
      <c r="K15" s="65">
        <f>1/(1+Assumptions!$E$10)^K14</f>
        <v>0.5400984348062979</v>
      </c>
      <c r="L15" s="65">
        <f>1/(1+Assumptions!$E$10)^L14</f>
        <v>0.5000911433391647</v>
      </c>
    </row>
    <row r="16">
      <c r="A16" s="20" t="inlineStr">
        <is>
          <t>PV of free cash flow</t>
        </is>
      </c>
      <c r="C16" s="64">
        <f>C12*C13*C15</f>
        <v>6433.29090931018</v>
      </c>
      <c r="D16" s="64">
        <f>D12*D13*D15</f>
        <v>12973.43549633472</v>
      </c>
      <c r="E16" s="64">
        <f>E12*E13*E15</f>
        <v>12859.434441768057</v>
      </c>
      <c r="F16" s="64">
        <f>F12*F13*F15</f>
        <v>12667.423744054786</v>
      </c>
      <c r="G16" s="64">
        <f>G12*G13*G15</f>
        <v>12400.46160160857</v>
      </c>
      <c r="H16" s="64">
        <f>H12*H13*H15</f>
        <v>12062.959932393649</v>
      </c>
      <c r="I16" s="64">
        <f>I12*I13*I15</f>
        <v>11660.563607895127</v>
      </c>
      <c r="J16" s="64">
        <f>J12*J13*J15</f>
        <v>11199.992937956347</v>
      </c>
      <c r="K16" s="64">
        <f>K12*K13*K15</f>
        <v>10688.855552645397</v>
      </c>
      <c r="L16" s="64">
        <f>L12*L13*L15</f>
        <v>10135.43508483295</v>
      </c>
    </row>
    <row r="19">
      <c r="A19" s="14" t="inlineStr">
        <is>
          <t>PV of forecast free cash flow</t>
        </is>
      </c>
      <c r="B19" s="52">
        <f>SUM(C16:L16)</f>
        <v>113081.8533087998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20773.855126860377</v>
      </c>
    </row>
    <row r="21">
      <c r="A21" s="14" t="inlineStr">
        <is>
          <t>Terminal value</t>
        </is>
      </c>
      <c r="B21" s="52">
        <f>B20/(Assumptions!$E$10-Assumptions!$E$11)</f>
        <v>377706.45685200684</v>
      </c>
    </row>
    <row r="22">
      <c r="A22" s="14" t="inlineStr">
        <is>
          <t>PV of terminal value</t>
        </is>
      </c>
      <c r="B22" s="52">
        <f>B21/(1+Assumptions!$E$10)^(L14+0.5)</f>
        <v>181757.2296650557</v>
      </c>
    </row>
    <row r="23">
      <c r="A23" s="20" t="inlineStr">
        <is>
          <t>Enterprise value</t>
        </is>
      </c>
      <c r="B23" s="66">
        <f>B19+B22</f>
        <v>294839.0829738555</v>
      </c>
    </row>
    <row r="24">
      <c r="A24" s="14" t="inlineStr">
        <is>
          <t>Cash &amp; investments</t>
        </is>
      </c>
      <c r="B24" s="55">
        <f>Main!C7</f>
        <v>6569</v>
      </c>
    </row>
    <row r="25">
      <c r="A25" s="14" t="inlineStr">
        <is>
          <t>Debt</t>
        </is>
      </c>
      <c r="B25" s="55">
        <f>Main!C8</f>
        <v>70822.0</v>
      </c>
    </row>
    <row r="26">
      <c r="A26" s="20" t="inlineStr">
        <is>
          <t>Equity value</t>
        </is>
      </c>
      <c r="B26" s="66">
        <f>B23+B24-B25</f>
        <v>230586.0829738555</v>
      </c>
    </row>
    <row r="27">
      <c r="A27" s="14" t="inlineStr">
        <is>
          <t>Shares (mm)</t>
        </is>
      </c>
      <c r="B27" s="55">
        <f>Main!C4</f>
        <v>1767.117285</v>
      </c>
    </row>
    <row r="28">
      <c r="A28" s="20" t="inlineStr">
        <is>
          <t>NPV / share</t>
        </is>
      </c>
      <c r="B28" s="49">
        <f>B26/B27</f>
        <v>130.4871413635997</v>
      </c>
    </row>
    <row r="29">
      <c r="A29" s="14" t="inlineStr">
        <is>
          <t>Price</t>
        </is>
      </c>
      <c r="B29" s="50">
        <f>Main!C3</f>
        <v>289.15</v>
      </c>
    </row>
    <row r="30">
      <c r="A30" s="14" t="inlineStr">
        <is>
          <t>Upside</t>
        </is>
      </c>
      <c r="B30" s="63">
        <f>B28/B29-1</f>
        <v>-0.5487216276548514</v>
      </c>
    </row>
    <row r="31">
      <c r="A31" s="14" t="inlineStr">
        <is>
          <t>Terminal value, % of EV</t>
        </is>
      </c>
      <c r="B31" s="63">
        <f>IFERROR(B22/B23,0)</f>
        <v>0.6164624710936738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2026-10-21T01:03:31Z</dcterms:modified>
  <cp:lastModifiedBy>Wang, Eric</cp:lastModifiedBy>
</cp:coreProperties>
</file>