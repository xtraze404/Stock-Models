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Maia Biotechnology Inc</t>
        </is>
      </c>
      <c r="C2" s="10" t="n"/>
    </row>
    <row r="3">
      <c r="B3" t="inlineStr">
        <is>
          <t>Price</t>
        </is>
      </c>
      <c r="C3" s="11">
        <f>INDEX([1]Pharma!$F$1:$F$1000,MATCH("MAIA",[1]Pharma!$B$1:$B$1000,0))</f>
        <v>1.12</v>
      </c>
      <c r="F3" s="1" t="n"/>
    </row>
    <row r="4">
      <c r="B4" t="inlineStr">
        <is>
          <t>Shares</t>
        </is>
      </c>
      <c r="C4" s="21" t="n">
        <v>60.825844</v>
      </c>
      <c r="F4" s="1" t="n"/>
    </row>
    <row r="5">
      <c r="B5" t="inlineStr">
        <is>
          <t>Market Cap.</t>
        </is>
      </c>
      <c r="C5" s="13">
        <f>C3*C4</f>
        <v>68.12494528</v>
      </c>
      <c r="F5" s="1" t="n"/>
    </row>
    <row r="6"/>
    <row r="7">
      <c r="B7" t="inlineStr">
        <is>
          <t>Cash</t>
        </is>
      </c>
      <c r="C7" s="21" t="n"/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68.12494528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>0.0</v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21" t="n">
        <v>-22.568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68.12494528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3.497</v>
      </c>
      <c r="C5" s="23" t="n">
        <v>8.933</v>
      </c>
      <c r="D5" s="23" t="n">
        <v>11.112</v>
      </c>
      <c r="E5" s="23" t="n">
        <v>10.009</v>
      </c>
      <c r="F5" s="23" t="n">
        <v>14.547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4.29</v>
      </c>
      <c r="C6" s="23" t="n">
        <v>7.243</v>
      </c>
      <c r="D6" s="23" t="n">
        <v>9.07</v>
      </c>
      <c r="E6" s="23" t="n">
        <v>6.948</v>
      </c>
      <c r="F6" s="23" t="n">
        <v>9.722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7.787</v>
      </c>
      <c r="C7" s="23">
        <f>SUM(C5:C6)</f>
        <v>16.176000000000002</v>
      </c>
      <c r="D7" s="23">
        <f>SUM(D5:D6)</f>
        <v>20.182000000000002</v>
      </c>
      <c r="E7" s="23">
        <f>SUM(E5:E6)</f>
        <v>16.957</v>
      </c>
      <c r="F7" s="23">
        <f>SUM(F5:F6)</f>
        <v>24.269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-7.787</v>
      </c>
      <c r="C8" s="23">
        <f>C4-C7</f>
        <v>-16.176000000000002</v>
      </c>
      <c r="D8" s="23">
        <f>D4-D7</f>
        <v>-20.182000000000002</v>
      </c>
      <c r="E8" s="23">
        <f>E4-E7</f>
        <v>-16.957</v>
      </c>
      <c r="F8" s="23">
        <f>F4-F7</f>
        <v>-24.269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-4.717</v>
      </c>
      <c r="C9" s="23" t="n">
        <v>-0.044</v>
      </c>
      <c r="D9" s="23" t="n">
        <v>0.409</v>
      </c>
      <c r="E9" s="23" t="n">
        <v>-6.295</v>
      </c>
      <c r="F9" s="23" t="n">
        <v>1.876</v>
      </c>
    </row>
    <row r="10">
      <c r="A10" s="2" t="inlineStr">
        <is>
          <t>Pretax</t>
        </is>
      </c>
      <c r="B10" s="23">
        <f>B8+B9</f>
        <v>-12.504</v>
      </c>
      <c r="C10" s="23">
        <f>C8+C9</f>
        <v>-16.220000000000002</v>
      </c>
      <c r="D10" s="23">
        <f>D8+D9</f>
        <v>-19.773000000000003</v>
      </c>
      <c r="E10" s="23">
        <f>E8+E9</f>
        <v>-23.252000000000002</v>
      </c>
      <c r="F10" s="23">
        <f>F8+F9</f>
        <v>-22.392999999999997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0.002</v>
      </c>
      <c r="F11" s="23" t="n">
        <v>0.002</v>
      </c>
    </row>
    <row r="12">
      <c r="A12" s="2" t="inlineStr">
        <is>
          <t>Net Income</t>
        </is>
      </c>
      <c r="B12" s="23" t="n">
        <v>-12.504</v>
      </c>
      <c r="C12" s="23" t="n">
        <v>-16.22</v>
      </c>
      <c r="D12" s="23" t="n">
        <v>-19.773</v>
      </c>
      <c r="E12" s="23" t="n">
        <v>-23.255</v>
      </c>
      <c r="F12" s="23" t="n">
        <v>-22.396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-2.3690791966654037</v>
      </c>
      <c r="C13" s="11">
        <f>IFERROR(C12/C14,0)</f>
        <v>-1.7484100463511911</v>
      </c>
      <c r="D13" s="11">
        <f>IFERROR(D12/D14,0)</f>
        <v>-1.4909515910119138</v>
      </c>
      <c r="E13" s="11">
        <f>IFERROR(E12/E14,0)</f>
        <v>-1.0476169024236417</v>
      </c>
      <c r="F13" s="11">
        <f>IFERROR(F12/F14,0)</f>
        <v>-0.6973688307644402</v>
      </c>
    </row>
    <row r="14">
      <c r="A14" s="2" t="inlineStr">
        <is>
          <t>Shares</t>
        </is>
      </c>
      <c r="B14" s="23" t="n">
        <v>5.278</v>
      </c>
      <c r="C14" s="23" t="n">
        <v>9.276999999999999</v>
      </c>
      <c r="D14" s="23" t="n">
        <v>13.262</v>
      </c>
      <c r="E14" s="23" t="n">
        <v>22.198</v>
      </c>
      <c r="F14" s="23" t="n">
        <v>32.115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2026-10-21T06:28:50Z</dcterms:modified>
  <cp:lastModifiedBy>Wang, Eric</cp:lastModifiedBy>
</cp:coreProperties>
</file>