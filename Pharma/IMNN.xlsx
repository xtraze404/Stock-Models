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Imunon Inc</t>
        </is>
      </c>
      <c r="C2" s="10" t="n"/>
    </row>
    <row r="3">
      <c r="B3" t="inlineStr">
        <is>
          <t>Price</t>
        </is>
      </c>
      <c r="C3" s="11">
        <f>INDEX([1]Pharma!$F$1:$F$1000,MATCH("IMNN",[1]Pharma!$B$1:$B$1000,0))</f>
        <v>1.005</v>
      </c>
      <c r="F3" s="1" t="n"/>
    </row>
    <row r="4">
      <c r="B4" t="inlineStr">
        <is>
          <t>Shares</t>
        </is>
      </c>
      <c r="C4" s="21" t="n">
        <v>5.611403</v>
      </c>
      <c r="F4" s="1" t="n"/>
    </row>
    <row r="5">
      <c r="B5" t="inlineStr">
        <is>
          <t>Market Cap.</t>
        </is>
      </c>
      <c r="C5" s="13">
        <f>C3*C4</f>
        <v>5.639460014999999</v>
      </c>
      <c r="F5" s="1" t="n"/>
    </row>
    <row r="6"/>
    <row r="7">
      <c r="B7" t="inlineStr">
        <is>
          <t>Cash</t>
        </is>
      </c>
      <c r="C7" s="21" t="n">
        <v>6.9</v>
      </c>
    </row>
    <row r="8">
      <c r="B8" t="inlineStr">
        <is>
          <t>Debt</t>
        </is>
      </c>
      <c r="C8" s="21" t="n">
        <v>1.5</v>
      </c>
    </row>
    <row r="9">
      <c r="B9" t="inlineStr">
        <is>
          <t>Enterprise V.</t>
        </is>
      </c>
      <c r="C9" s="13">
        <f>C5-C7+C8</f>
        <v>0.2394600149999988</v>
      </c>
    </row>
    <row r="10"/>
    <row r="11">
      <c r="B11" s="14" t="inlineStr">
        <is>
          <t>rNPV / Share</t>
        </is>
      </c>
      <c r="C11" s="11">
        <f>NPV!B27</f>
        <v>119.14252659473262</v>
      </c>
    </row>
    <row r="12">
      <c r="B12" s="14" t="inlineStr">
        <is>
          <t>Upside</t>
        </is>
      </c>
      <c r="C12" s="15">
        <f>IFERROR(C11/C3-1,"")</f>
        <v>117.54977770620162</v>
      </c>
    </row>
    <row r="13">
      <c r="B13" s="14" t="inlineStr">
        <is>
          <t>Cash / Share</t>
        </is>
      </c>
      <c r="C13" s="11">
        <f>IFERROR((C7-C8)/C4,"")</f>
        <v>0.9623261776065629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-15.109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0.35740287246012314</v>
      </c>
    </row>
    <row r="19">
      <c r="B19" s="14" t="inlineStr">
        <is>
          <t>Implied Pipeline Value</t>
        </is>
      </c>
      <c r="C19" s="13">
        <f>C9</f>
        <v>0.2394600149999988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0.5</v>
      </c>
      <c r="J2" s="23" t="n">
        <v>0.5</v>
      </c>
      <c r="K2" s="23" t="n">
        <v>0.5</v>
      </c>
      <c r="L2" s="23" t="n">
        <v>0.5</v>
      </c>
      <c r="M2" s="23" t="n">
        <v>0.5</v>
      </c>
      <c r="N2" s="23" t="n">
        <v>0.5</v>
      </c>
      <c r="O2" s="23" t="n">
        <v>0</v>
      </c>
      <c r="P2" s="23" t="n">
        <v>0</v>
      </c>
      <c r="Q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0.5</v>
      </c>
      <c r="J4" s="23">
        <f>J2-J3</f>
        <v>0.5</v>
      </c>
      <c r="K4" s="23">
        <f>K2-K3</f>
        <v>0.5</v>
      </c>
      <c r="L4" s="23">
        <f>L2-L3</f>
        <v>0.5</v>
      </c>
      <c r="M4" s="23">
        <f>M2-M3</f>
        <v>0.5</v>
      </c>
      <c r="N4" s="23">
        <f>N2-N3</f>
        <v>0.5</v>
      </c>
      <c r="O4" s="23">
        <f>O2-O3</f>
        <v>0.0</v>
      </c>
      <c r="P4" s="23">
        <f>P2-P3</f>
        <v>0.0</v>
      </c>
      <c r="Q4" s="23">
        <f>Q2-Q3</f>
        <v>0.0</v>
      </c>
    </row>
    <row r="5">
      <c r="A5" s="2" t="inlineStr">
        <is>
          <t>Research &amp; Dev.</t>
        </is>
      </c>
      <c r="B5" s="23" t="n">
        <v>14.714</v>
      </c>
      <c r="C5" s="23" t="n">
        <v>19.864</v>
      </c>
      <c r="D5" s="23" t="n">
        <v>15.77</v>
      </c>
      <c r="E5" s="23" t="n">
        <v>9.364000000000001</v>
      </c>
      <c r="F5" s="23" t="n">
        <v>14.969</v>
      </c>
      <c r="G5" s="23" t="n">
        <v>14.66</v>
      </c>
      <c r="H5" s="23" t="n">
        <v>14.623</v>
      </c>
      <c r="I5" s="23" t="n">
        <v>13.079</v>
      </c>
      <c r="J5" s="23" t="n">
        <v>11.866</v>
      </c>
      <c r="K5" s="23" t="n">
        <v>13.065</v>
      </c>
      <c r="L5" s="23" t="n">
        <v>11.345</v>
      </c>
      <c r="M5" s="23" t="n">
        <v>10.619</v>
      </c>
      <c r="N5" s="23" t="n">
        <v>11.734</v>
      </c>
      <c r="O5" s="23" t="n">
        <v>11.288</v>
      </c>
      <c r="P5" s="23" t="n">
        <v>11.639</v>
      </c>
      <c r="Q5" s="23" t="n">
        <v>7.781</v>
      </c>
    </row>
    <row r="6">
      <c r="A6" s="19" t="inlineStr">
        <is>
          <t>SG&amp;A &amp; Other</t>
        </is>
      </c>
      <c r="B6" s="23" t="n">
        <v>4.923</v>
      </c>
      <c r="C6" s="23" t="n">
        <v>3.155</v>
      </c>
      <c r="D6" s="23" t="n">
        <v>6.373</v>
      </c>
      <c r="E6" s="23" t="n">
        <v>6.047</v>
      </c>
      <c r="F6" s="23" t="n">
        <v>9.746</v>
      </c>
      <c r="G6" s="23" t="n">
        <v>6.187</v>
      </c>
      <c r="H6" s="23" t="n">
        <v>6.027</v>
      </c>
      <c r="I6" s="23" t="n">
        <v>5.89</v>
      </c>
      <c r="J6" s="23" t="n">
        <v>9.699999999999999</v>
      </c>
      <c r="K6" s="23" t="n">
        <v>8</v>
      </c>
      <c r="L6" s="23" t="n">
        <v>7.642</v>
      </c>
      <c r="M6" s="23" t="n">
        <v>10.888</v>
      </c>
      <c r="N6" s="23" t="n">
        <v>13.688</v>
      </c>
      <c r="O6" s="23" t="n">
        <v>9.743</v>
      </c>
      <c r="P6" s="23" t="n">
        <v>7.493</v>
      </c>
      <c r="Q6" s="23" t="n">
        <v>6.87</v>
      </c>
    </row>
    <row r="7">
      <c r="A7" s="2" t="inlineStr">
        <is>
          <t>Operating Expense</t>
        </is>
      </c>
      <c r="B7" s="23">
        <f>SUM(B5:B6)</f>
        <v>19.637</v>
      </c>
      <c r="C7" s="23">
        <f>SUM(C5:C6)</f>
        <v>23.019000000000002</v>
      </c>
      <c r="D7" s="23">
        <f>SUM(D5:D6)</f>
        <v>22.143</v>
      </c>
      <c r="E7" s="23">
        <f>SUM(E5:E6)</f>
        <v>15.411000000000001</v>
      </c>
      <c r="F7" s="23">
        <f>SUM(F5:F6)</f>
        <v>24.715</v>
      </c>
      <c r="G7" s="23">
        <f>SUM(G5:G6)</f>
        <v>20.847</v>
      </c>
      <c r="H7" s="23">
        <f>SUM(H5:H6)</f>
        <v>20.65</v>
      </c>
      <c r="I7" s="23">
        <f>SUM(I5:I6)</f>
        <v>18.969</v>
      </c>
      <c r="J7" s="23">
        <f>SUM(J5:J6)</f>
        <v>21.566</v>
      </c>
      <c r="K7" s="23">
        <f>SUM(K5:K6)</f>
        <v>21.064999999999998</v>
      </c>
      <c r="L7" s="23">
        <f>SUM(L5:L6)</f>
        <v>18.987000000000002</v>
      </c>
      <c r="M7" s="23">
        <f>SUM(M5:M6)</f>
        <v>21.506999999999998</v>
      </c>
      <c r="N7" s="23">
        <f>SUM(N5:N6)</f>
        <v>25.422</v>
      </c>
      <c r="O7" s="23">
        <f>SUM(O5:O6)</f>
        <v>21.031</v>
      </c>
      <c r="P7" s="23">
        <f>SUM(P5:P6)</f>
        <v>19.131999999999998</v>
      </c>
      <c r="Q7" s="23">
        <f>SUM(Q5:Q6)</f>
        <v>14.651</v>
      </c>
    </row>
    <row r="8">
      <c r="A8" s="2" t="inlineStr">
        <is>
          <t>Operating Income</t>
        </is>
      </c>
      <c r="B8" s="23">
        <f>B4-B7</f>
        <v>-19.637</v>
      </c>
      <c r="C8" s="23">
        <f>C4-C7</f>
        <v>-23.019000000000002</v>
      </c>
      <c r="D8" s="23">
        <f>D4-D7</f>
        <v>-22.143</v>
      </c>
      <c r="E8" s="23">
        <f>E4-E7</f>
        <v>-15.411000000000001</v>
      </c>
      <c r="F8" s="23">
        <f>F4-F7</f>
        <v>-24.715</v>
      </c>
      <c r="G8" s="23">
        <f>G4-G7</f>
        <v>-20.847</v>
      </c>
      <c r="H8" s="23">
        <f>H4-H7</f>
        <v>-20.65</v>
      </c>
      <c r="I8" s="23">
        <f>I4-I7</f>
        <v>-18.469</v>
      </c>
      <c r="J8" s="23">
        <f>J4-J7</f>
        <v>-21.066</v>
      </c>
      <c r="K8" s="23">
        <f>K4-K7</f>
        <v>-20.564999999999998</v>
      </c>
      <c r="L8" s="23">
        <f>L4-L7</f>
        <v>-18.487000000000002</v>
      </c>
      <c r="M8" s="23">
        <f>M4-M7</f>
        <v>-21.006999999999998</v>
      </c>
      <c r="N8" s="23">
        <f>N4-N7</f>
        <v>-24.922</v>
      </c>
      <c r="O8" s="23">
        <f>O4-O7</f>
        <v>-21.031</v>
      </c>
      <c r="P8" s="23">
        <f>P4-P7</f>
        <v>-19.131999999999998</v>
      </c>
      <c r="Q8" s="23">
        <f>Q4-Q7</f>
        <v>-14.651</v>
      </c>
    </row>
    <row r="9">
      <c r="A9" s="19" t="inlineStr">
        <is>
          <t>Interest &amp; Other</t>
        </is>
      </c>
      <c r="B9" s="23" t="n">
        <v>0.819</v>
      </c>
      <c r="C9" s="23" t="n">
        <v>-0.204</v>
      </c>
      <c r="D9" s="23" t="n">
        <v>-4.426</v>
      </c>
      <c r="E9" s="23" t="n">
        <v>7.16</v>
      </c>
      <c r="F9" s="23" t="n">
        <v>-0.779</v>
      </c>
      <c r="G9" s="23" t="n">
        <v>-1.614</v>
      </c>
      <c r="H9" s="23" t="n">
        <v>-1.404</v>
      </c>
      <c r="I9" s="23" t="n">
        <v>-1.934</v>
      </c>
      <c r="J9" s="23" t="n">
        <v>-1.237</v>
      </c>
      <c r="K9" s="23" t="n">
        <v>1.897</v>
      </c>
      <c r="L9" s="23" t="n">
        <v>-4.843</v>
      </c>
      <c r="M9" s="23" t="n">
        <v>-1.146</v>
      </c>
      <c r="N9" s="23" t="n">
        <v>-12.544</v>
      </c>
      <c r="O9" s="23" t="n">
        <v>0.235</v>
      </c>
      <c r="P9" s="23" t="n">
        <v>0.512</v>
      </c>
      <c r="Q9" s="23" t="n">
        <v>29.146</v>
      </c>
    </row>
    <row r="10">
      <c r="A10" s="2" t="inlineStr">
        <is>
          <t>Pretax</t>
        </is>
      </c>
      <c r="B10" s="23">
        <f>B8+B9</f>
        <v>-18.818</v>
      </c>
      <c r="C10" s="23">
        <f>C8+C9</f>
        <v>-23.223000000000003</v>
      </c>
      <c r="D10" s="23">
        <f>D8+D9</f>
        <v>-26.569000000000003</v>
      </c>
      <c r="E10" s="23">
        <f>E8+E9</f>
        <v>-8.251000000000001</v>
      </c>
      <c r="F10" s="23">
        <f>F8+F9</f>
        <v>-25.494</v>
      </c>
      <c r="G10" s="23">
        <f>G8+G9</f>
        <v>-22.461000000000002</v>
      </c>
      <c r="H10" s="23">
        <f>H8+H9</f>
        <v>-22.054</v>
      </c>
      <c r="I10" s="23">
        <f>I8+I9</f>
        <v>-20.403000000000002</v>
      </c>
      <c r="J10" s="23">
        <f>J8+J9</f>
        <v>-22.302999999999997</v>
      </c>
      <c r="K10" s="23">
        <f>K8+K9</f>
        <v>-18.668</v>
      </c>
      <c r="L10" s="23">
        <f>L8+L9</f>
        <v>-23.330000000000002</v>
      </c>
      <c r="M10" s="23">
        <f>M8+M9</f>
        <v>-22.153</v>
      </c>
      <c r="N10" s="23">
        <f>N8+N9</f>
        <v>-37.466</v>
      </c>
      <c r="O10" s="23">
        <f>O8+O9</f>
        <v>-20.796</v>
      </c>
      <c r="P10" s="23">
        <f>P8+P9</f>
        <v>-18.619999999999997</v>
      </c>
      <c r="Q10" s="23">
        <f>Q8+Q9</f>
        <v>14.495000000000001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-10.419</v>
      </c>
      <c r="K11" s="23" t="n">
        <v>-1.816</v>
      </c>
      <c r="L11" s="23" t="n">
        <v>-1.846</v>
      </c>
      <c r="M11" s="23" t="n">
        <v>-1.383</v>
      </c>
      <c r="N11" s="23" t="n">
        <v>-1.567</v>
      </c>
      <c r="O11" s="23" t="n">
        <v>-1.28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-18.818</v>
      </c>
      <c r="C12" s="23" t="n">
        <v>-23.223</v>
      </c>
      <c r="D12" s="23" t="n">
        <v>-26.568</v>
      </c>
      <c r="E12" s="23" t="n">
        <v>-8.250999999999999</v>
      </c>
      <c r="F12" s="23" t="n">
        <v>-25.494</v>
      </c>
      <c r="G12" s="23" t="n">
        <v>-22.461</v>
      </c>
      <c r="H12" s="23" t="n">
        <v>-22.054</v>
      </c>
      <c r="I12" s="23" t="n">
        <v>-20.402</v>
      </c>
      <c r="J12" s="23" t="n">
        <v>-11.883</v>
      </c>
      <c r="K12" s="23" t="n">
        <v>-16.852</v>
      </c>
      <c r="L12" s="23" t="n">
        <v>-21.484</v>
      </c>
      <c r="M12" s="23" t="n">
        <v>-20.769</v>
      </c>
      <c r="N12" s="23" t="n">
        <v>-35.898</v>
      </c>
      <c r="O12" s="23" t="n">
        <v>-19.515</v>
      </c>
      <c r="P12" s="23" t="n">
        <v>-18.62</v>
      </c>
      <c r="Q12" s="23" t="n">
        <v>14.495</v>
      </c>
    </row>
    <row r="13">
      <c r="A13" s="2" t="inlineStr">
        <is>
          <t>Earnings per Share</t>
        </is>
      </c>
      <c r="B13" s="11">
        <f>IFERROR(B12/B14,0)</f>
        <v>-18.252182347235696</v>
      </c>
      <c r="C13" s="11">
        <f>IFERROR(C12/C14,0)</f>
        <v>-60.007751937984494</v>
      </c>
      <c r="D13" s="11">
        <f>IFERROR(D12/D14,0)</f>
        <v>-41.254658385093165</v>
      </c>
      <c r="E13" s="11">
        <f>IFERROR(E12/E14,0)</f>
        <v>-7.314716312056738</v>
      </c>
      <c r="F13" s="11">
        <f>IFERROR(F12/F14,0)</f>
        <v>-16.565302144249515</v>
      </c>
      <c r="G13" s="11">
        <f>IFERROR(G12/G14,0)</f>
        <v>-12.354785478547853</v>
      </c>
      <c r="H13" s="11">
        <f>IFERROR(H12/H14,0)</f>
        <v>-11.895361380798272</v>
      </c>
      <c r="I13" s="11">
        <f>IFERROR(I12/I14,0)</f>
        <v>-2.674970499541104</v>
      </c>
      <c r="J13" s="11">
        <f>IFERROR(J12/J14,0)</f>
        <v>-0.6758232383552295</v>
      </c>
      <c r="K13" s="11">
        <f>IFERROR(K12/K14,0)</f>
        <v>-0.7718591123528604</v>
      </c>
      <c r="L13" s="11">
        <f>IFERROR(L12/L14,0)</f>
        <v>-10.08165180666354</v>
      </c>
      <c r="M13" s="11">
        <f>IFERROR(M12/M14,0)</f>
        <v>-3.8269762299613044</v>
      </c>
      <c r="N13" s="11">
        <f>IFERROR(N12/N14,0)</f>
        <v>-5.025619487610248</v>
      </c>
      <c r="O13" s="11">
        <f>IFERROR(O12/O14,0)</f>
        <v>-2.1575456053067996</v>
      </c>
      <c r="P13" s="11">
        <f>IFERROR(P12/P14,0)</f>
        <v>-16.94267515923567</v>
      </c>
      <c r="Q13" s="11">
        <f>IFERROR(Q12/Q14,0)</f>
        <v>6.8276024493641065</v>
      </c>
    </row>
    <row r="14">
      <c r="A14" s="2" t="inlineStr">
        <is>
          <t>Shares</t>
        </is>
      </c>
      <c r="B14" s="23" t="n">
        <v>1.031</v>
      </c>
      <c r="C14" s="23" t="n">
        <v>0.387</v>
      </c>
      <c r="D14" s="23" t="n">
        <v>0.644</v>
      </c>
      <c r="E14" s="23" t="n">
        <v>1.128</v>
      </c>
      <c r="F14" s="23" t="n">
        <v>1.539</v>
      </c>
      <c r="G14" s="23" t="n">
        <v>1.818</v>
      </c>
      <c r="H14" s="23" t="n">
        <v>1.854</v>
      </c>
      <c r="I14" s="23" t="n">
        <v>7.627</v>
      </c>
      <c r="J14" s="23" t="n">
        <v>17.583</v>
      </c>
      <c r="K14" s="23" t="n">
        <v>21.833</v>
      </c>
      <c r="L14" s="23" t="n">
        <v>2.131</v>
      </c>
      <c r="M14" s="23" t="n">
        <v>5.427</v>
      </c>
      <c r="N14" s="23" t="n">
        <v>7.143</v>
      </c>
      <c r="O14" s="23" t="n">
        <v>9.045</v>
      </c>
      <c r="P14" s="23" t="n">
        <v>1.099</v>
      </c>
      <c r="Q14" s="23" t="n">
        <v>2.123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0.0</v>
      </c>
      <c r="K16" s="15">
        <f>IFERROR(K2/J2-1,"")</f>
        <v>0.0</v>
      </c>
      <c r="L16" s="15">
        <f>IFERROR(L2/K2-1,"")</f>
        <v>0.0</v>
      </c>
      <c r="M16" s="15">
        <f>IFERROR(M2/L2-1,"")</f>
        <v>0.0</v>
      </c>
      <c r="N16" s="15">
        <f>IFERROR(N2/M2-1,"")</f>
        <v>0.0</v>
      </c>
      <c r="O16" s="15">
        <f>IFERROR(O2/N2-1,"")</f>
        <v>-1.0</v>
      </c>
      <c r="P16" s="15">
        <f>IFERROR(P2/O2-1,"")</f>
        <v/>
      </c>
      <c r="Q16" s="15">
        <f>IFERROR(Q2/P2-1,"")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/>
      </c>
      <c r="P17" s="15">
        <f>IFERROR(P4/P2,"")</f>
        <v/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-36.938</v>
      </c>
      <c r="J18" s="15">
        <f>IFERROR(J8/J2,"")</f>
        <v>-42.132</v>
      </c>
      <c r="K18" s="15">
        <f>IFERROR(K8/K2,"")</f>
        <v>-41.129999999999995</v>
      </c>
      <c r="L18" s="15">
        <f>IFERROR(L8/L2,"")</f>
        <v>-36.974000000000004</v>
      </c>
      <c r="M18" s="15">
        <f>IFERROR(M8/M2,"")</f>
        <v>-42.013999999999996</v>
      </c>
      <c r="N18" s="15">
        <f>IFERROR(N8/N2,"")</f>
        <v>-49.844</v>
      </c>
      <c r="O18" s="15">
        <f>IFERROR(O8/O2,"")</f>
        <v/>
      </c>
      <c r="P18" s="15">
        <f>IFERROR(P8/P2,"")</f>
        <v/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Imunon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0.5362243200000001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14.836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312.3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663.1567311612624</v>
      </c>
      <c r="C29" s="42">
        <f>NPV!B25</f>
        <v>668.5567311612624</v>
      </c>
      <c r="D29" s="43">
        <f>NPV!B27</f>
        <v>119.14252659473262</v>
      </c>
      <c r="E29" s="44">
        <f>NPV!B29</f>
        <v>117.54977770620162</v>
      </c>
    </row>
    <row r="30">
      <c r="A30" s="45" t="n">
        <v>1</v>
      </c>
      <c r="B30" s="46">
        <f t="dataTable" ref="B30:E32" r1="B4"/>
        <v>262.0948752593331</v>
      </c>
      <c r="C30" s="46">
        <v>267.49487525933307</v>
      </c>
      <c r="D30" s="47">
        <v>47.66987422919599</v>
      </c>
      <c r="E30" s="48">
        <v>46.432710675816914</v>
      </c>
    </row>
    <row r="31">
      <c r="A31" s="45" t="n">
        <v>2</v>
      </c>
      <c r="B31" s="46">
        <v>663.1567311612624</v>
      </c>
      <c r="C31" s="46">
        <v>668.5567311612624</v>
      </c>
      <c r="D31" s="47">
        <v>119.14252659473262</v>
      </c>
      <c r="E31" s="48">
        <v>117.54977770620162</v>
      </c>
    </row>
    <row r="32">
      <c r="A32" s="45" t="n">
        <v>3</v>
      </c>
      <c r="B32" s="46">
        <v>1278.6635424546778</v>
      </c>
      <c r="C32" s="46">
        <v>1284.0635424546779</v>
      </c>
      <c r="D32" s="47">
        <v>228.83110381747272</v>
      </c>
      <c r="E32" s="48">
        <v>226.69264061440074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119.14252659473262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35.19324270185083</v>
      </c>
      <c r="C37" s="47">
        <v>53.613016879690235</v>
      </c>
      <c r="D37" s="47">
        <v>71.79355483610468</v>
      </c>
      <c r="E37" s="47">
        <v>107.8734881955371</v>
      </c>
      <c r="F37" s="47">
        <v>143.81718269802712</v>
      </c>
    </row>
    <row r="38">
      <c r="A38" s="50" t="n">
        <v>0.8</v>
      </c>
      <c r="B38" s="47">
        <v>47.13791959312683</v>
      </c>
      <c r="C38" s="47">
        <v>71.41959885559432</v>
      </c>
      <c r="D38" s="47">
        <v>95.51710862473448</v>
      </c>
      <c r="E38" s="47">
        <v>143.45096418586402</v>
      </c>
      <c r="F38" s="47">
        <v>191.1461136606363</v>
      </c>
    </row>
    <row r="39">
      <c r="A39" s="50" t="n">
        <v>1</v>
      </c>
      <c r="B39" s="47">
        <v>58.97592214021832</v>
      </c>
      <c r="C39" s="47">
        <v>89.1762652609492</v>
      </c>
      <c r="D39" s="47">
        <v>119.14252659473262</v>
      </c>
      <c r="E39" s="47">
        <v>178.8781714245916</v>
      </c>
      <c r="F39" s="47">
        <v>238.49710826805702</v>
      </c>
    </row>
    <row r="40">
      <c r="A40" s="50" t="n">
        <v>1.2</v>
      </c>
      <c r="B40" s="47">
        <v>70.73927631172545</v>
      </c>
      <c r="C40" s="47">
        <v>106.83071490445127</v>
      </c>
      <c r="D40" s="47">
        <v>142.7847180959722</v>
      </c>
      <c r="E40" s="47">
        <v>214.32744230813077</v>
      </c>
      <c r="F40" s="47">
        <v>285.7809235600443</v>
      </c>
    </row>
    <row r="41">
      <c r="A41" s="50" t="n">
        <v>1.4</v>
      </c>
      <c r="B41" s="47">
        <v>82.50944249420957</v>
      </c>
      <c r="C41" s="47">
        <v>124.50744848821405</v>
      </c>
      <c r="D41" s="47">
        <v>166.33226525562975</v>
      </c>
      <c r="E41" s="47">
        <v>249.7987768364813</v>
      </c>
      <c r="F41" s="47">
        <v>333.0252847958388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Imunon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Ovarian cancer</t>
        </is>
      </c>
      <c r="C4" s="14" t="inlineStr">
        <is>
          <t>IMNN-001, IMNN-001 (IL-12 Plasmid Formulated with PEG-PEI-Ch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1200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755.3253622623151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52.656000000000006</v>
      </c>
      <c r="Q4" s="23">
        <f>IF(Q$3&lt;$I4,0,$G4*Assumptions!$E$11*INDEX(Assumptions!$B$24:$G$24,MIN(6,Q$3-$I4+1))*IF(Q$3&gt;$J4,(1-Assumptions!$B$26)^(Q$3-$J4),1)*IF($H4&gt;=1,1,MIN(0.97,$H4*Assumptions!$E$12)))</f>
        <v>131.64000000000001</v>
      </c>
      <c r="R4" s="23">
        <f>IF(R$3&lt;$I4,0,$G4*Assumptions!$E$11*INDEX(Assumptions!$B$24:$G$24,MIN(6,R$3-$I4+1))*IF(R$3&gt;$J4,(1-Assumptions!$B$26)^(R$3-$J4),1)*IF($H4&gt;=1,1,MIN(0.97,$H4*Assumptions!$E$12)))</f>
        <v>236.95200000000003</v>
      </c>
      <c r="S4" s="23">
        <f>IF(S$3&lt;$I4,0,$G4*Assumptions!$E$11*INDEX(Assumptions!$B$24:$G$24,MIN(6,S$3-$I4+1))*IF(S$3&gt;$J4,(1-Assumptions!$B$26)^(S$3-$J4),1)*IF($H4&gt;=1,1,MIN(0.97,$H4*Assumptions!$E$12)))</f>
        <v>342.264</v>
      </c>
      <c r="T4" s="23">
        <f>IF(T$3&lt;$I4,0,$G4*Assumptions!$E$11*INDEX(Assumptions!$B$24:$G$24,MIN(6,T$3-$I4+1))*IF(T$3&gt;$J4,(1-Assumptions!$B$26)^(T$3-$J4),1)*IF($H4&gt;=1,1,MIN(0.97,$H4*Assumptions!$E$12)))</f>
        <v>447.576</v>
      </c>
      <c r="U4" s="23">
        <f>IF(U$3&lt;$I4,0,$G4*Assumptions!$E$11*INDEX(Assumptions!$B$24:$G$24,MIN(6,U$3-$I4+1))*IF(U$3&gt;$J4,(1-Assumptions!$B$26)^(U$3-$J4),1)*IF($H4&gt;=1,1,MIN(0.97,$H4*Assumptions!$E$12)))</f>
        <v>526.5600000000001</v>
      </c>
      <c r="V4" s="23">
        <f>IF(V$3&lt;$I4,0,$G4*Assumptions!$E$11*INDEX(Assumptions!$B$24:$G$24,MIN(6,V$3-$I4+1))*IF(V$3&gt;$J4,(1-Assumptions!$B$26)^(V$3-$J4),1)*IF($H4&gt;=1,1,MIN(0.97,$H4*Assumptions!$E$12)))</f>
        <v>526.5600000000001</v>
      </c>
      <c r="W4" s="23">
        <f>IF(W$3&lt;$I4,0,$G4*Assumptions!$E$11*INDEX(Assumptions!$B$24:$G$24,MIN(6,W$3-$I4+1))*IF(W$3&gt;$J4,(1-Assumptions!$B$26)^(W$3-$J4),1)*IF($H4&gt;=1,1,MIN(0.97,$H4*Assumptions!$E$12)))</f>
        <v>526.5600000000001</v>
      </c>
      <c r="X4" s="23">
        <f>IF(X$3&lt;$I4,0,$G4*Assumptions!$E$11*INDEX(Assumptions!$B$24:$G$24,MIN(6,X$3-$I4+1))*IF(X$3&gt;$J4,(1-Assumptions!$B$26)^(X$3-$J4),1)*IF($H4&gt;=1,1,MIN(0.97,$H4*Assumptions!$E$12)))</f>
        <v>526.5600000000001</v>
      </c>
      <c r="Y4" s="23">
        <f>IF(Y$3&lt;$I4,0,$G4*Assumptions!$E$11*INDEX(Assumptions!$B$24:$G$24,MIN(6,Y$3-$I4+1))*IF(Y$3&gt;$J4,(1-Assumptions!$B$26)^(Y$3-$J4),1)*IF($H4&gt;=1,1,MIN(0.97,$H4*Assumptions!$E$12)))</f>
        <v>526.5600000000001</v>
      </c>
      <c r="Z4" s="23">
        <f>IF(Z$3&lt;$I4,0,$G4*Assumptions!$E$11*INDEX(Assumptions!$B$24:$G$24,MIN(6,Z$3-$I4+1))*IF(Z$3&gt;$J4,(1-Assumptions!$B$26)^(Z$3-$J4),1)*IF($H4&gt;=1,1,MIN(0.97,$H4*Assumptions!$E$12)))</f>
        <v>526.5600000000001</v>
      </c>
      <c r="AA4" s="23">
        <f>IF(AA$3&lt;$I4,0,$G4*Assumptions!$E$11*INDEX(Assumptions!$B$24:$G$24,MIN(6,AA$3-$I4+1))*IF(AA$3&gt;$J4,(1-Assumptions!$B$26)^(AA$3-$J4),1)*IF($H4&gt;=1,1,MIN(0.97,$H4*Assumptions!$E$12)))</f>
        <v>526.5600000000001</v>
      </c>
      <c r="AB4" s="23">
        <f>IF(AB$3&lt;$I4,0,$G4*Assumptions!$E$11*INDEX(Assumptions!$B$24:$G$24,MIN(6,AB$3-$I4+1))*IF(AB$3&gt;$J4,(1-Assumptions!$B$26)^(AB$3-$J4),1)*IF($H4&gt;=1,1,MIN(0.97,$H4*Assumptions!$E$12)))</f>
        <v>526.5600000000001</v>
      </c>
      <c r="AC4" s="23">
        <f>IF(AC$3&lt;$I4,0,$G4*Assumptions!$E$11*INDEX(Assumptions!$B$24:$G$24,MIN(6,AC$3-$I4+1))*IF(AC$3&gt;$J4,(1-Assumptions!$B$26)^(AC$3-$J4),1)*IF($H4&gt;=1,1,MIN(0.97,$H4*Assumptions!$E$12)))</f>
        <v>263.28000000000003</v>
      </c>
      <c r="AD4" s="23">
        <f>IF(AD$3&lt;$I4,0,$G4*Assumptions!$E$11*INDEX(Assumptions!$B$24:$G$24,MIN(6,AD$3-$I4+1))*IF(AD$3&gt;$J4,(1-Assumptions!$B$26)^(AD$3-$J4),1)*IF($H4&gt;=1,1,MIN(0.97,$H4*Assumptions!$E$12)))</f>
        <v>131.64000000000001</v>
      </c>
      <c r="AE4" s="23">
        <f>IF(AE$3&lt;$I4,0,$G4*Assumptions!$E$11*INDEX(Assumptions!$B$24:$G$24,MIN(6,AE$3-$I4+1))*IF(AE$3&gt;$J4,(1-Assumptions!$B$26)^(AE$3-$J4),1)*IF($H4&gt;=1,1,MIN(0.97,$H4*Assumptions!$E$12)))</f>
        <v>65.82000000000001</v>
      </c>
      <c r="AF4" s="23">
        <f>IF(AF$3&lt;$I4,0,$G4*Assumptions!$E$11*INDEX(Assumptions!$B$24:$G$24,MIN(6,AF$3-$I4+1))*IF(AF$3&gt;$J4,(1-Assumptions!$B$26)^(AF$3-$J4),1)*IF($H4&gt;=1,1,MIN(0.97,$H4*Assumptions!$E$12)))</f>
        <v>32.910000000000004</v>
      </c>
      <c r="AG4" s="35">
        <f>IF(F4="Owned",1-IF(H4&gt;=1,1,MIN(0.97,H4*Assumptions!$E$12)),1)</f>
        <v>0.5611999999999999</v>
      </c>
    </row>
    <row r="5">
      <c r="A5" s="39" t="n">
        <v>2</v>
      </c>
      <c r="B5" s="14" t="inlineStr">
        <is>
          <t>Bacterial / fungal infections</t>
        </is>
      </c>
      <c r="C5" s="14" t="inlineStr">
        <is>
          <t>IMNN-101</t>
        </is>
      </c>
      <c r="D5" s="14" t="inlineStr">
        <is>
          <t>Phase 1/2</t>
        </is>
      </c>
      <c r="E5" s="14" t="inlineStr">
        <is>
          <t>Infectious disease / area</t>
        </is>
      </c>
      <c r="F5" s="14" t="inlineStr">
        <is>
          <t>Owned</t>
        </is>
      </c>
      <c r="G5" s="40" t="n">
        <v>500</v>
      </c>
      <c r="H5" s="27" t="n">
        <v>0.1736</v>
      </c>
      <c r="I5" s="26" t="n">
        <v>2032</v>
      </c>
      <c r="J5" s="39">
        <f>I5+Assumptions!$B$25</f>
        <v>2044.0</v>
      </c>
      <c r="K5" s="53">
        <f>Assumptions!$E$13</f>
        <v>0.4</v>
      </c>
      <c r="L5" s="23">
        <f>K5*SUMPRODUCT(M5:AF5,NPV!$C$15:$V$15)</f>
        <v>87.14392193409896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8.68</v>
      </c>
      <c r="T5" s="23">
        <f>IF(T$3&lt;$I5,0,$G5*Assumptions!$E$11*INDEX(Assumptions!$B$24:$G$24,MIN(6,T$3-$I5+1))*IF(T$3&gt;$J5,(1-Assumptions!$B$26)^(T$3-$J5),1)*IF($H5&gt;=1,1,MIN(0.97,$H5*Assumptions!$E$12)))</f>
        <v>21.7</v>
      </c>
      <c r="U5" s="23">
        <f>IF(U$3&lt;$I5,0,$G5*Assumptions!$E$11*INDEX(Assumptions!$B$24:$G$24,MIN(6,U$3-$I5+1))*IF(U$3&gt;$J5,(1-Assumptions!$B$26)^(U$3-$J5),1)*IF($H5&gt;=1,1,MIN(0.97,$H5*Assumptions!$E$12)))</f>
        <v>39.06</v>
      </c>
      <c r="V5" s="23">
        <f>IF(V$3&lt;$I5,0,$G5*Assumptions!$E$11*INDEX(Assumptions!$B$24:$G$24,MIN(6,V$3-$I5+1))*IF(V$3&gt;$J5,(1-Assumptions!$B$26)^(V$3-$J5),1)*IF($H5&gt;=1,1,MIN(0.97,$H5*Assumptions!$E$12)))</f>
        <v>56.42</v>
      </c>
      <c r="W5" s="23">
        <f>IF(W$3&lt;$I5,0,$G5*Assumptions!$E$11*INDEX(Assumptions!$B$24:$G$24,MIN(6,W$3-$I5+1))*IF(W$3&gt;$J5,(1-Assumptions!$B$26)^(W$3-$J5),1)*IF($H5&gt;=1,1,MIN(0.97,$H5*Assumptions!$E$12)))</f>
        <v>73.78</v>
      </c>
      <c r="X5" s="23">
        <f>IF(X$3&lt;$I5,0,$G5*Assumptions!$E$11*INDEX(Assumptions!$B$24:$G$24,MIN(6,X$3-$I5+1))*IF(X$3&gt;$J5,(1-Assumptions!$B$26)^(X$3-$J5),1)*IF($H5&gt;=1,1,MIN(0.97,$H5*Assumptions!$E$12)))</f>
        <v>86.8</v>
      </c>
      <c r="Y5" s="23">
        <f>IF(Y$3&lt;$I5,0,$G5*Assumptions!$E$11*INDEX(Assumptions!$B$24:$G$24,MIN(6,Y$3-$I5+1))*IF(Y$3&gt;$J5,(1-Assumptions!$B$26)^(Y$3-$J5),1)*IF($H5&gt;=1,1,MIN(0.97,$H5*Assumptions!$E$12)))</f>
        <v>86.8</v>
      </c>
      <c r="Z5" s="23">
        <f>IF(Z$3&lt;$I5,0,$G5*Assumptions!$E$11*INDEX(Assumptions!$B$24:$G$24,MIN(6,Z$3-$I5+1))*IF(Z$3&gt;$J5,(1-Assumptions!$B$26)^(Z$3-$J5),1)*IF($H5&gt;=1,1,MIN(0.97,$H5*Assumptions!$E$12)))</f>
        <v>86.8</v>
      </c>
      <c r="AA5" s="23">
        <f>IF(AA$3&lt;$I5,0,$G5*Assumptions!$E$11*INDEX(Assumptions!$B$24:$G$24,MIN(6,AA$3-$I5+1))*IF(AA$3&gt;$J5,(1-Assumptions!$B$26)^(AA$3-$J5),1)*IF($H5&gt;=1,1,MIN(0.97,$H5*Assumptions!$E$12)))</f>
        <v>86.8</v>
      </c>
      <c r="AB5" s="23">
        <f>IF(AB$3&lt;$I5,0,$G5*Assumptions!$E$11*INDEX(Assumptions!$B$24:$G$24,MIN(6,AB$3-$I5+1))*IF(AB$3&gt;$J5,(1-Assumptions!$B$26)^(AB$3-$J5),1)*IF($H5&gt;=1,1,MIN(0.97,$H5*Assumptions!$E$12)))</f>
        <v>86.8</v>
      </c>
      <c r="AC5" s="23">
        <f>IF(AC$3&lt;$I5,0,$G5*Assumptions!$E$11*INDEX(Assumptions!$B$24:$G$24,MIN(6,AC$3-$I5+1))*IF(AC$3&gt;$J5,(1-Assumptions!$B$26)^(AC$3-$J5),1)*IF($H5&gt;=1,1,MIN(0.97,$H5*Assumptions!$E$12)))</f>
        <v>86.8</v>
      </c>
      <c r="AD5" s="23">
        <f>IF(AD$3&lt;$I5,0,$G5*Assumptions!$E$11*INDEX(Assumptions!$B$24:$G$24,MIN(6,AD$3-$I5+1))*IF(AD$3&gt;$J5,(1-Assumptions!$B$26)^(AD$3-$J5),1)*IF($H5&gt;=1,1,MIN(0.97,$H5*Assumptions!$E$12)))</f>
        <v>86.8</v>
      </c>
      <c r="AE5" s="23">
        <f>IF(AE$3&lt;$I5,0,$G5*Assumptions!$E$11*INDEX(Assumptions!$B$24:$G$24,MIN(6,AE$3-$I5+1))*IF(AE$3&gt;$J5,(1-Assumptions!$B$26)^(AE$3-$J5),1)*IF($H5&gt;=1,1,MIN(0.97,$H5*Assumptions!$E$12)))</f>
        <v>86.8</v>
      </c>
      <c r="AF5" s="23">
        <f>IF(AF$3&lt;$I5,0,$G5*Assumptions!$E$11*INDEX(Assumptions!$B$24:$G$24,MIN(6,AF$3-$I5+1))*IF(AF$3&gt;$J5,(1-Assumptions!$B$26)^(AF$3-$J5),1)*IF($H5&gt;=1,1,MIN(0.97,$H5*Assumptions!$E$12)))</f>
        <v>43.4</v>
      </c>
      <c r="AG5" s="35">
        <f>IF(F5="Owned",1-IF(H5&gt;=1,1,MIN(0.97,H5*Assumptions!$E$12)),1)</f>
        <v>0.8264</v>
      </c>
    </row>
    <row r="6">
      <c r="B6" s="24" t="inlineStr">
        <is>
          <t>Risked revenue</t>
        </is>
      </c>
      <c r="L6" s="54">
        <f>SUM(L4:L5)</f>
        <v>842.469284196414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52.656000000000006</v>
      </c>
      <c r="Q6" s="54">
        <f>SUM(Q4:Q5)</f>
        <v>131.64000000000001</v>
      </c>
      <c r="R6" s="54">
        <f>SUM(R4:R5)</f>
        <v>236.95200000000003</v>
      </c>
      <c r="S6" s="54">
        <f>SUM(S4:S5)</f>
        <v>350.944</v>
      </c>
      <c r="T6" s="54">
        <f>SUM(T4:T5)</f>
        <v>469.276</v>
      </c>
      <c r="U6" s="54">
        <f>SUM(U4:U5)</f>
        <v>565.6200000000001</v>
      </c>
      <c r="V6" s="54">
        <f>SUM(V4:V5)</f>
        <v>582.98</v>
      </c>
      <c r="W6" s="54">
        <f>SUM(W4:W5)</f>
        <v>600.34</v>
      </c>
      <c r="X6" s="54">
        <f>SUM(X4:X5)</f>
        <v>613.36</v>
      </c>
      <c r="Y6" s="54">
        <f>SUM(Y4:Y5)</f>
        <v>613.36</v>
      </c>
      <c r="Z6" s="54">
        <f>SUM(Z4:Z5)</f>
        <v>613.36</v>
      </c>
      <c r="AA6" s="54">
        <f>SUM(AA4:AA5)</f>
        <v>613.36</v>
      </c>
      <c r="AB6" s="54">
        <f>SUM(AB4:AB5)</f>
        <v>613.36</v>
      </c>
      <c r="AC6" s="54">
        <f>SUM(AC4:AC5)</f>
        <v>350.08000000000004</v>
      </c>
      <c r="AD6" s="54">
        <f>SUM(AD4:AD5)</f>
        <v>218.44</v>
      </c>
      <c r="AE6" s="54">
        <f>SUM(AE4:AE5)</f>
        <v>152.62</v>
      </c>
      <c r="AF6" s="54">
        <f>SUM(AF4:AF5)</f>
        <v>76.31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21.062400000000004</v>
      </c>
      <c r="Q7" s="55">
        <f>SUMPRODUCT(Q4:Q5,$K$4:$K$5)</f>
        <v>52.656000000000006</v>
      </c>
      <c r="R7" s="55">
        <f>SUMPRODUCT(R4:R5,$K$4:$K$5)</f>
        <v>94.78080000000001</v>
      </c>
      <c r="S7" s="55">
        <f>SUMPRODUCT(S4:S5,$K$4:$K$5)</f>
        <v>140.37760000000003</v>
      </c>
      <c r="T7" s="55">
        <f>SUMPRODUCT(T4:T5,$K$4:$K$5)</f>
        <v>187.71040000000002</v>
      </c>
      <c r="U7" s="55">
        <f>SUMPRODUCT(U4:U5,$K$4:$K$5)</f>
        <v>226.24800000000002</v>
      </c>
      <c r="V7" s="55">
        <f>SUMPRODUCT(V4:V5,$K$4:$K$5)</f>
        <v>233.19200000000004</v>
      </c>
      <c r="W7" s="55">
        <f>SUMPRODUCT(W4:W5,$K$4:$K$5)</f>
        <v>240.13600000000002</v>
      </c>
      <c r="X7" s="55">
        <f>SUMPRODUCT(X4:X5,$K$4:$K$5)</f>
        <v>245.34400000000002</v>
      </c>
      <c r="Y7" s="55">
        <f>SUMPRODUCT(Y4:Y5,$K$4:$K$5)</f>
        <v>245.34400000000002</v>
      </c>
      <c r="Z7" s="55">
        <f>SUMPRODUCT(Z4:Z5,$K$4:$K$5)</f>
        <v>245.34400000000002</v>
      </c>
      <c r="AA7" s="55">
        <f>SUMPRODUCT(AA4:AA5,$K$4:$K$5)</f>
        <v>245.34400000000002</v>
      </c>
      <c r="AB7" s="55">
        <f>SUMPRODUCT(AB4:AB5,$K$4:$K$5)</f>
        <v>245.34400000000002</v>
      </c>
      <c r="AC7" s="55">
        <f>SUMPRODUCT(AC4:AC5,$K$4:$K$5)</f>
        <v>140.032</v>
      </c>
      <c r="AD7" s="55">
        <f>SUMPRODUCT(AD4:AD5,$K$4:$K$5)</f>
        <v>87.376</v>
      </c>
      <c r="AE7" s="55">
        <f>SUMPRODUCT(AE4:AE5,$K$4:$K$5)</f>
        <v>61.048</v>
      </c>
      <c r="AF7" s="55">
        <f>SUMPRODUCT(AF4:AF5,$K$4:$K$5)</f>
        <v>30.524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Imunon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52.656000000000006</v>
      </c>
      <c r="G4" s="57">
        <f>Pipeline!Q6</f>
        <v>131.64000000000001</v>
      </c>
      <c r="H4" s="57">
        <f>Pipeline!R6</f>
        <v>236.95200000000003</v>
      </c>
      <c r="I4" s="57">
        <f>Pipeline!S6</f>
        <v>350.944</v>
      </c>
      <c r="J4" s="57">
        <f>Pipeline!T6</f>
        <v>469.276</v>
      </c>
      <c r="K4" s="57">
        <f>Pipeline!U6</f>
        <v>565.6200000000001</v>
      </c>
      <c r="L4" s="57">
        <f>Pipeline!V6</f>
        <v>582.98</v>
      </c>
      <c r="M4" s="57">
        <f>Pipeline!W6</f>
        <v>600.34</v>
      </c>
      <c r="N4" s="57">
        <f>Pipeline!X6</f>
        <v>613.36</v>
      </c>
      <c r="O4" s="57">
        <f>Pipeline!Y6</f>
        <v>613.36</v>
      </c>
      <c r="P4" s="57">
        <f>Pipeline!Z6</f>
        <v>613.36</v>
      </c>
      <c r="Q4" s="57">
        <f>Pipeline!AA6</f>
        <v>613.36</v>
      </c>
      <c r="R4" s="57">
        <f>Pipeline!AB6</f>
        <v>613.36</v>
      </c>
      <c r="S4" s="57">
        <f>Pipeline!AC6</f>
        <v>350.08000000000004</v>
      </c>
      <c r="T4" s="57">
        <f>Pipeline!AD6</f>
        <v>218.44</v>
      </c>
      <c r="U4" s="57">
        <f>Pipeline!AE6</f>
        <v>152.62</v>
      </c>
      <c r="V4" s="57">
        <f>Pipeline!AF6</f>
        <v>76.31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21.062400000000004</v>
      </c>
      <c r="G5" s="57">
        <f>Pipeline!Q7</f>
        <v>52.656000000000006</v>
      </c>
      <c r="H5" s="57">
        <f>Pipeline!R7</f>
        <v>94.78080000000001</v>
      </c>
      <c r="I5" s="57">
        <f>Pipeline!S7</f>
        <v>140.37760000000003</v>
      </c>
      <c r="J5" s="57">
        <f>Pipeline!T7</f>
        <v>187.71040000000002</v>
      </c>
      <c r="K5" s="57">
        <f>Pipeline!U7</f>
        <v>226.24800000000002</v>
      </c>
      <c r="L5" s="57">
        <f>Pipeline!V7</f>
        <v>233.19200000000004</v>
      </c>
      <c r="M5" s="57">
        <f>Pipeline!W7</f>
        <v>240.13600000000002</v>
      </c>
      <c r="N5" s="57">
        <f>Pipeline!X7</f>
        <v>245.34400000000002</v>
      </c>
      <c r="O5" s="57">
        <f>Pipeline!Y7</f>
        <v>245.34400000000002</v>
      </c>
      <c r="P5" s="57">
        <f>Pipeline!Z7</f>
        <v>245.34400000000002</v>
      </c>
      <c r="Q5" s="57">
        <f>Pipeline!AA7</f>
        <v>245.34400000000002</v>
      </c>
      <c r="R5" s="57">
        <f>Pipeline!AB7</f>
        <v>245.34400000000002</v>
      </c>
      <c r="S5" s="57">
        <f>Pipeline!AC7</f>
        <v>140.032</v>
      </c>
      <c r="T5" s="57">
        <f>Pipeline!AD7</f>
        <v>87.376</v>
      </c>
      <c r="U5" s="57">
        <f>Pipeline!AE7</f>
        <v>61.048</v>
      </c>
      <c r="V5" s="57">
        <f>Pipeline!AF7</f>
        <v>30.524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-14.836</v>
      </c>
      <c r="D6" s="23">
        <f>-IF(D3-2026&lt;Assumptions!$B$19,Assumptions!$B$18,Assumptions!$B$18*Assumptions!$B$20*Assumptions!$B$16)</f>
        <v>-14.836</v>
      </c>
      <c r="E6" s="23">
        <f>-IF(E3-2026&lt;Assumptions!$B$19,Assumptions!$B$18,Assumptions!$B$18*Assumptions!$B$20*Assumptions!$B$16)</f>
        <v>-14.836</v>
      </c>
      <c r="F6" s="23">
        <f>-IF(F3-2026&lt;Assumptions!$B$19,Assumptions!$B$18,Assumptions!$B$18*Assumptions!$B$20*Assumptions!$B$16)</f>
        <v>-2.3866272034560003</v>
      </c>
      <c r="G6" s="23">
        <f>-IF(G3-2026&lt;Assumptions!$B$19,Assumptions!$B$18,Assumptions!$B$18*Assumptions!$B$20*Assumptions!$B$16)</f>
        <v>-2.3866272034560003</v>
      </c>
      <c r="H6" s="23">
        <f>-IF(H3-2026&lt;Assumptions!$B$19,Assumptions!$B$18,Assumptions!$B$18*Assumptions!$B$20*Assumptions!$B$16)</f>
        <v>-2.3866272034560003</v>
      </c>
      <c r="I6" s="23">
        <f>-IF(I3-2026&lt;Assumptions!$B$19,Assumptions!$B$18,Assumptions!$B$18*Assumptions!$B$20*Assumptions!$B$16)</f>
        <v>-2.3866272034560003</v>
      </c>
      <c r="J6" s="23">
        <f>-IF(J3-2026&lt;Assumptions!$B$19,Assumptions!$B$18,Assumptions!$B$18*Assumptions!$B$20*Assumptions!$B$16)</f>
        <v>-2.3866272034560003</v>
      </c>
      <c r="K6" s="23">
        <f>-IF(K3-2026&lt;Assumptions!$B$19,Assumptions!$B$18,Assumptions!$B$18*Assumptions!$B$20*Assumptions!$B$16)</f>
        <v>-2.3866272034560003</v>
      </c>
      <c r="L6" s="23">
        <f>-IF(L3-2026&lt;Assumptions!$B$19,Assumptions!$B$18,Assumptions!$B$18*Assumptions!$B$20*Assumptions!$B$16)</f>
        <v>-2.3866272034560003</v>
      </c>
      <c r="M6" s="23">
        <f>-IF(M3-2026&lt;Assumptions!$B$19,Assumptions!$B$18,Assumptions!$B$18*Assumptions!$B$20*Assumptions!$B$16)</f>
        <v>-2.3866272034560003</v>
      </c>
      <c r="N6" s="23">
        <f>-IF(N3-2026&lt;Assumptions!$B$19,Assumptions!$B$18,Assumptions!$B$18*Assumptions!$B$20*Assumptions!$B$16)</f>
        <v>-2.3866272034560003</v>
      </c>
      <c r="O6" s="23">
        <f>-IF(O3-2026&lt;Assumptions!$B$19,Assumptions!$B$18,Assumptions!$B$18*Assumptions!$B$20*Assumptions!$B$16)</f>
        <v>-2.3866272034560003</v>
      </c>
      <c r="P6" s="23">
        <f>-IF(P3-2026&lt;Assumptions!$B$19,Assumptions!$B$18,Assumptions!$B$18*Assumptions!$B$20*Assumptions!$B$16)</f>
        <v>-2.3866272034560003</v>
      </c>
      <c r="Q6" s="23">
        <f>-IF(Q3-2026&lt;Assumptions!$B$19,Assumptions!$B$18,Assumptions!$B$18*Assumptions!$B$20*Assumptions!$B$16)</f>
        <v>-2.3866272034560003</v>
      </c>
      <c r="R6" s="23">
        <f>-IF(R3-2026&lt;Assumptions!$B$19,Assumptions!$B$18,Assumptions!$B$18*Assumptions!$B$20*Assumptions!$B$16)</f>
        <v>-2.3866272034560003</v>
      </c>
      <c r="S6" s="23">
        <f>-IF(S3-2026&lt;Assumptions!$B$19,Assumptions!$B$18,Assumptions!$B$18*Assumptions!$B$20*Assumptions!$B$16)</f>
        <v>-2.3866272034560003</v>
      </c>
      <c r="T6" s="23">
        <f>-IF(T3-2026&lt;Assumptions!$B$19,Assumptions!$B$18,Assumptions!$B$18*Assumptions!$B$20*Assumptions!$B$16)</f>
        <v>-2.3866272034560003</v>
      </c>
      <c r="U6" s="23">
        <f>-IF(U3-2026&lt;Assumptions!$B$19,Assumptions!$B$18,Assumptions!$B$18*Assumptions!$B$20*Assumptions!$B$16)</f>
        <v>-2.3866272034560003</v>
      </c>
      <c r="V6" s="23">
        <f>-IF(V3-2026&lt;Assumptions!$B$19,Assumptions!$B$18,Assumptions!$B$18*Assumptions!$B$20*Assumptions!$B$16)</f>
        <v>-2.3866272034560003</v>
      </c>
    </row>
    <row r="7">
      <c r="A7" s="14" t="inlineStr">
        <is>
          <t>Pre-tax cash flow</t>
        </is>
      </c>
      <c r="C7" s="23">
        <f>C5+C6</f>
        <v>-14.836</v>
      </c>
      <c r="D7" s="23">
        <f>D5+D6</f>
        <v>-14.836</v>
      </c>
      <c r="E7" s="23">
        <f>E5+E6</f>
        <v>-14.836</v>
      </c>
      <c r="F7" s="23">
        <f>F5+F6</f>
        <v>18.675772796544003</v>
      </c>
      <c r="G7" s="23">
        <f>G5+G6</f>
        <v>50.269372796544005</v>
      </c>
      <c r="H7" s="23">
        <f>H5+H6</f>
        <v>92.39417279654401</v>
      </c>
      <c r="I7" s="23">
        <f>I5+I6</f>
        <v>137.99097279654404</v>
      </c>
      <c r="J7" s="23">
        <f>J5+J6</f>
        <v>185.32377279654403</v>
      </c>
      <c r="K7" s="23">
        <f>K5+K6</f>
        <v>223.86137279654403</v>
      </c>
      <c r="L7" s="23">
        <f>L5+L6</f>
        <v>230.80537279654405</v>
      </c>
      <c r="M7" s="23">
        <f>M5+M6</f>
        <v>237.74937279654404</v>
      </c>
      <c r="N7" s="23">
        <f>N5+N6</f>
        <v>242.95737279654404</v>
      </c>
      <c r="O7" s="23">
        <f>O5+O6</f>
        <v>242.95737279654404</v>
      </c>
      <c r="P7" s="23">
        <f>P5+P6</f>
        <v>242.95737279654404</v>
      </c>
      <c r="Q7" s="23">
        <f>Q5+Q6</f>
        <v>242.95737279654404</v>
      </c>
      <c r="R7" s="23">
        <f>R5+R6</f>
        <v>242.95737279654404</v>
      </c>
      <c r="S7" s="23">
        <f>S5+S6</f>
        <v>137.64537279654402</v>
      </c>
      <c r="T7" s="23">
        <f>T5+T6</f>
        <v>84.989372796544</v>
      </c>
      <c r="U7" s="23">
        <f>U5+U6</f>
        <v>58.661372796544</v>
      </c>
      <c r="V7" s="23">
        <f>V5+V6</f>
        <v>28.137372796544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18.675772796544003</v>
      </c>
      <c r="G8" s="23">
        <f>MIN(F17,MAX(0,G7))</f>
        <v>50.269372796544005</v>
      </c>
      <c r="H8" s="23">
        <f>MIN(G17,MAX(0,H7))</f>
        <v>92.39417279654401</v>
      </c>
      <c r="I8" s="23">
        <f>MIN(H17,MAX(0,I7))</f>
        <v>137.99097279654404</v>
      </c>
      <c r="J8" s="23">
        <f>MIN(I17,MAX(0,J7))</f>
        <v>57.477708813823995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127.84606398272004</v>
      </c>
      <c r="K9" s="23">
        <f>MAX(0,K7)-K8</f>
        <v>223.86137279654403</v>
      </c>
      <c r="L9" s="23">
        <f>MAX(0,L7)-L8</f>
        <v>230.80537279654405</v>
      </c>
      <c r="M9" s="23">
        <f>MAX(0,M7)-M8</f>
        <v>237.74937279654404</v>
      </c>
      <c r="N9" s="23">
        <f>MAX(0,N7)-N8</f>
        <v>242.95737279654404</v>
      </c>
      <c r="O9" s="23">
        <f>MAX(0,O7)-O8</f>
        <v>242.95737279654404</v>
      </c>
      <c r="P9" s="23">
        <f>MAX(0,P7)-P8</f>
        <v>242.95737279654404</v>
      </c>
      <c r="Q9" s="23">
        <f>MAX(0,Q7)-Q8</f>
        <v>242.95737279654404</v>
      </c>
      <c r="R9" s="23">
        <f>MAX(0,R7)-R8</f>
        <v>242.95737279654404</v>
      </c>
      <c r="S9" s="23">
        <f>MAX(0,S7)-S8</f>
        <v>137.64537279654402</v>
      </c>
      <c r="T9" s="23">
        <f>MAX(0,T7)-T8</f>
        <v>84.989372796544</v>
      </c>
      <c r="U9" s="23">
        <f>MAX(0,U7)-U8</f>
        <v>58.661372796544</v>
      </c>
      <c r="V9" s="23">
        <f>MAX(0,V7)-V8</f>
        <v>28.137372796544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26.847673436371206</v>
      </c>
      <c r="K10" s="23">
        <f>K9*Assumptions!$E$15</f>
        <v>47.01088828727425</v>
      </c>
      <c r="L10" s="23">
        <f>L9*Assumptions!$E$15</f>
        <v>48.46912828727425</v>
      </c>
      <c r="M10" s="23">
        <f>M9*Assumptions!$E$15</f>
        <v>49.92736828727425</v>
      </c>
      <c r="N10" s="23">
        <f>N9*Assumptions!$E$15</f>
        <v>51.02104828727425</v>
      </c>
      <c r="O10" s="23">
        <f>O9*Assumptions!$E$15</f>
        <v>51.02104828727425</v>
      </c>
      <c r="P10" s="23">
        <f>P9*Assumptions!$E$15</f>
        <v>51.02104828727425</v>
      </c>
      <c r="Q10" s="23">
        <f>Q9*Assumptions!$E$15</f>
        <v>51.02104828727425</v>
      </c>
      <c r="R10" s="23">
        <f>R9*Assumptions!$E$15</f>
        <v>51.02104828727425</v>
      </c>
      <c r="S10" s="23">
        <f>S9*Assumptions!$E$15</f>
        <v>28.905528287274244</v>
      </c>
      <c r="T10" s="23">
        <f>T9*Assumptions!$E$15</f>
        <v>17.84776828727424</v>
      </c>
      <c r="U10" s="23">
        <f>U9*Assumptions!$E$15</f>
        <v>12.31888828727424</v>
      </c>
      <c r="V10" s="23">
        <f>V9*Assumptions!$E$15</f>
        <v>5.90884828727424</v>
      </c>
    </row>
    <row r="11">
      <c r="A11" s="24" t="inlineStr">
        <is>
          <t>Free cash flow</t>
        </is>
      </c>
      <c r="C11" s="55">
        <f>C7-C10</f>
        <v>-14.836</v>
      </c>
      <c r="D11" s="55">
        <f>D7-D10</f>
        <v>-14.836</v>
      </c>
      <c r="E11" s="55">
        <f>E7-E10</f>
        <v>-14.836</v>
      </c>
      <c r="F11" s="55">
        <f>F7-F10</f>
        <v>18.675772796544003</v>
      </c>
      <c r="G11" s="55">
        <f>G7-G10</f>
        <v>50.269372796544005</v>
      </c>
      <c r="H11" s="55">
        <f>H7-H10</f>
        <v>92.39417279654401</v>
      </c>
      <c r="I11" s="55">
        <f>I7-I10</f>
        <v>137.99097279654404</v>
      </c>
      <c r="J11" s="55">
        <f>J7-J10</f>
        <v>158.47609936017284</v>
      </c>
      <c r="K11" s="55">
        <f>K7-K10</f>
        <v>176.8504845092698</v>
      </c>
      <c r="L11" s="55">
        <f>L7-L10</f>
        <v>182.3362445092698</v>
      </c>
      <c r="M11" s="55">
        <f>M7-M10</f>
        <v>187.8220045092698</v>
      </c>
      <c r="N11" s="55">
        <f>N7-N10</f>
        <v>191.93632450926978</v>
      </c>
      <c r="O11" s="55">
        <f>O7-O10</f>
        <v>191.93632450926978</v>
      </c>
      <c r="P11" s="55">
        <f>P7-P10</f>
        <v>191.93632450926978</v>
      </c>
      <c r="Q11" s="55">
        <f>Q7-Q10</f>
        <v>191.93632450926978</v>
      </c>
      <c r="R11" s="55">
        <f>R7-R10</f>
        <v>191.93632450926978</v>
      </c>
      <c r="S11" s="55">
        <f>S7-S10</f>
        <v>108.73984450926977</v>
      </c>
      <c r="T11" s="55">
        <f>T7-T10</f>
        <v>67.14160450926977</v>
      </c>
      <c r="U11" s="55">
        <f>U7-U10</f>
        <v>46.34248450926976</v>
      </c>
      <c r="V11" s="55">
        <f>V7-V10</f>
        <v>22.22852450926976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-7.268220921981515</v>
      </c>
      <c r="D16" s="55">
        <f>D11*D15</f>
        <v>-13.240275079768324</v>
      </c>
      <c r="E16" s="55">
        <f>E11*E15</f>
        <v>-11.821674178364571</v>
      </c>
      <c r="F16" s="55">
        <f>F11*F15</f>
        <v>13.286871041837648</v>
      </c>
      <c r="G16" s="55">
        <f>G11*G15</f>
        <v>31.932254508964604</v>
      </c>
      <c r="H16" s="55">
        <f>H11*H15</f>
        <v>52.402580565192366</v>
      </c>
      <c r="I16" s="55">
        <f>I11*I15</f>
        <v>69.87804504924289</v>
      </c>
      <c r="J16" s="55">
        <f>J11*J15</f>
        <v>71.65323795340714</v>
      </c>
      <c r="K16" s="55">
        <f>K11*K15</f>
        <v>71.39376390351198</v>
      </c>
      <c r="L16" s="55">
        <f>L11*L15</f>
        <v>65.72173314564517</v>
      </c>
      <c r="M16" s="55">
        <f>M11*M15</f>
        <v>60.44556628087788</v>
      </c>
      <c r="N16" s="55">
        <f>N11*N15</f>
        <v>55.15147484955895</v>
      </c>
      <c r="O16" s="55">
        <f>O11*O15</f>
        <v>49.242388258534774</v>
      </c>
      <c r="P16" s="55">
        <f>P11*P15</f>
        <v>43.96641808797747</v>
      </c>
      <c r="Q16" s="55">
        <f>Q11*Q15</f>
        <v>39.25573043569417</v>
      </c>
      <c r="R16" s="55">
        <f>R11*R15</f>
        <v>35.04975931758408</v>
      </c>
      <c r="S16" s="55">
        <f>S11*S15</f>
        <v>17.729584221792592</v>
      </c>
      <c r="T16" s="55">
        <f>T11*T15</f>
        <v>9.774252099664793</v>
      </c>
      <c r="U16" s="55">
        <f>U11*U15</f>
        <v>6.02355820833909</v>
      </c>
      <c r="V16" s="55">
        <f>V11*V15</f>
        <v>2.5796834135512747</v>
      </c>
    </row>
    <row r="17">
      <c r="A17" s="14" t="inlineStr">
        <is>
          <t>Tax-loss carryforward, end of year</t>
        </is>
      </c>
      <c r="C17" s="23">
        <f>Assumptions!$B$21-C8+MAX(0,-C7)</f>
        <v>327.136</v>
      </c>
      <c r="D17" s="23">
        <f>C17-D8+MAX(0,-D7)</f>
        <v>341.97200000000004</v>
      </c>
      <c r="E17" s="23">
        <f>D17-E8+MAX(0,-E7)</f>
        <v>356.80800000000005</v>
      </c>
      <c r="F17" s="23">
        <f>E17-F8+MAX(0,-F7)</f>
        <v>338.13222720345607</v>
      </c>
      <c r="G17" s="23">
        <f>F17-G8+MAX(0,-G7)</f>
        <v>287.86285440691205</v>
      </c>
      <c r="H17" s="23">
        <f>G17-H8+MAX(0,-H7)</f>
        <v>195.46868161036804</v>
      </c>
      <c r="I17" s="23">
        <f>H17-I8+MAX(0,-I7)</f>
        <v>57.477708813823995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842.4692841964139</v>
      </c>
    </row>
    <row r="20">
      <c r="A20" s="14" t="inlineStr">
        <is>
          <t>PV of corporate burn</t>
        </is>
      </c>
      <c r="B20" s="23">
        <f>SUMPRODUCT(C6:V6,C15:V15)</f>
        <v>-45.86971928551291</v>
      </c>
    </row>
    <row r="21">
      <c r="A21" s="14" t="inlineStr">
        <is>
          <t>PV of taxes</t>
        </is>
      </c>
      <c r="B21" s="23">
        <f>-SUMPRODUCT(C10:V10,C15:V15)</f>
        <v>-133.44283374963868</v>
      </c>
    </row>
    <row r="22">
      <c r="A22" s="24" t="inlineStr">
        <is>
          <t>Pipeline rNPV (operations)</t>
        </is>
      </c>
      <c r="B22" s="54">
        <f>SUM(C16:V16)</f>
        <v>663.1567311612624</v>
      </c>
    </row>
    <row r="23">
      <c r="A23" s="14" t="inlineStr">
        <is>
          <t>Cash &amp; investments</t>
        </is>
      </c>
      <c r="B23" s="57">
        <f>Main!C7</f>
        <v>6.9</v>
      </c>
    </row>
    <row r="24">
      <c r="A24" s="14" t="inlineStr">
        <is>
          <t>Debt</t>
        </is>
      </c>
      <c r="B24" s="57">
        <f>Main!C8</f>
        <v>1.5</v>
      </c>
    </row>
    <row r="25">
      <c r="A25" s="24" t="inlineStr">
        <is>
          <t>Equity value</t>
        </is>
      </c>
      <c r="B25" s="54">
        <f>B22+B23-B24</f>
        <v>668.5567311612624</v>
      </c>
    </row>
    <row r="26">
      <c r="A26" s="14" t="inlineStr">
        <is>
          <t>Shares (mm)</t>
        </is>
      </c>
      <c r="B26" s="57">
        <f>Main!C4</f>
        <v>5.611403</v>
      </c>
    </row>
    <row r="27">
      <c r="A27" s="24" t="inlineStr">
        <is>
          <t>rNPV / share</t>
        </is>
      </c>
      <c r="B27" s="60">
        <f>B25/B26</f>
        <v>119.14252659473262</v>
      </c>
    </row>
    <row r="28">
      <c r="A28" s="14" t="inlineStr">
        <is>
          <t>Price</t>
        </is>
      </c>
      <c r="B28" s="61">
        <f>Main!C3</f>
        <v>1.005</v>
      </c>
    </row>
    <row r="29">
      <c r="A29" s="14" t="inlineStr">
        <is>
          <t>Upside</t>
        </is>
      </c>
      <c r="B29" s="62">
        <f>B27/B28-1</f>
        <v>117.54977770620162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2026-10-21T06:31:19Z</dcterms:modified>
  <cp:lastModifiedBy>Wang, Eric</cp:lastModifiedBy>
</cp:coreProperties>
</file>