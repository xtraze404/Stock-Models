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Imunon Inc</t>
        </is>
      </c>
      <c r="C2" s="10" t="n"/>
    </row>
    <row r="3">
      <c r="B3" t="inlineStr">
        <is>
          <t>Price</t>
        </is>
      </c>
      <c r="C3" s="11">
        <f>INDEX([1]Pharma!$F$1:$F$1000,MATCH("IMNN",[1]Pharma!$B$1:$B$1000,0))</f>
        <v>1.005</v>
      </c>
      <c r="F3" s="1" t="n"/>
    </row>
    <row r="4">
      <c r="B4" t="inlineStr">
        <is>
          <t>Shares</t>
        </is>
      </c>
      <c r="C4" s="21" t="n">
        <v>5.611403</v>
      </c>
      <c r="F4" s="1" t="n"/>
    </row>
    <row r="5">
      <c r="B5" t="inlineStr">
        <is>
          <t>Market Cap.</t>
        </is>
      </c>
      <c r="C5" s="13">
        <f>C3*C4</f>
        <v>5.639460014999999</v>
      </c>
      <c r="F5" s="1" t="n"/>
    </row>
    <row r="6"/>
    <row r="7">
      <c r="B7" t="inlineStr">
        <is>
          <t>Cash</t>
        </is>
      </c>
      <c r="C7" s="21" t="n">
        <v>6.9</v>
      </c>
    </row>
    <row r="8">
      <c r="B8" t="inlineStr">
        <is>
          <t>Debt</t>
        </is>
      </c>
      <c r="C8" s="21" t="n">
        <v>1.5</v>
      </c>
    </row>
    <row r="9">
      <c r="B9" t="inlineStr">
        <is>
          <t>Enterprise V.</t>
        </is>
      </c>
      <c r="C9" s="13">
        <f>C5-C7+C8</f>
        <v>0.2394600149999988</v>
      </c>
    </row>
    <row r="10"/>
    <row r="11">
      <c r="B11" s="14" t="inlineStr">
        <is>
          <t>Net Cash / Share</t>
        </is>
      </c>
      <c r="C11" s="11">
        <f>(C7-C8)/C4</f>
        <v>0.9623261776065629</v>
      </c>
    </row>
    <row r="12">
      <c r="B12" s="14" t="inlineStr">
        <is>
          <t>Upside</t>
        </is>
      </c>
      <c r="C12" s="15">
        <f>IFERROR(C11/C3-1,"")</f>
        <v>-0.04246151481934024</v>
      </c>
    </row>
    <row r="13">
      <c r="B13" s="14" t="inlineStr">
        <is>
          <t>Cash / Share</t>
        </is>
      </c>
      <c r="C13" s="11">
        <f>IFERROR((C7-C8)/C4,"")</f>
        <v>0.9623261776065629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-15.109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0.35740287246012314</v>
      </c>
    </row>
    <row r="19">
      <c r="B19" s="14" t="inlineStr">
        <is>
          <t>Implied Pipeline Value</t>
        </is>
      </c>
      <c r="C19" s="13">
        <f>C9</f>
        <v>0.2394600149999988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0.5</v>
      </c>
      <c r="J2" s="23" t="n">
        <v>0.5</v>
      </c>
      <c r="K2" s="23" t="n">
        <v>0.5</v>
      </c>
      <c r="L2" s="23" t="n">
        <v>0.5</v>
      </c>
      <c r="M2" s="23" t="n">
        <v>0.5</v>
      </c>
      <c r="N2" s="23" t="n">
        <v>0.5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0.5</v>
      </c>
      <c r="J4" s="23">
        <f>J2-J3</f>
        <v>0.5</v>
      </c>
      <c r="K4" s="23">
        <f>K2-K3</f>
        <v>0.5</v>
      </c>
      <c r="L4" s="23">
        <f>L2-L3</f>
        <v>0.5</v>
      </c>
      <c r="M4" s="23">
        <f>M2-M3</f>
        <v>0.5</v>
      </c>
      <c r="N4" s="23">
        <f>N2-N3</f>
        <v>0.5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14.714</v>
      </c>
      <c r="C5" s="23" t="n">
        <v>19.864</v>
      </c>
      <c r="D5" s="23" t="n">
        <v>15.77</v>
      </c>
      <c r="E5" s="23" t="n">
        <v>9.364000000000001</v>
      </c>
      <c r="F5" s="23" t="n">
        <v>14.969</v>
      </c>
      <c r="G5" s="23" t="n">
        <v>14.66</v>
      </c>
      <c r="H5" s="23" t="n">
        <v>14.623</v>
      </c>
      <c r="I5" s="23" t="n">
        <v>13.079</v>
      </c>
      <c r="J5" s="23" t="n">
        <v>11.866</v>
      </c>
      <c r="K5" s="23" t="n">
        <v>13.065</v>
      </c>
      <c r="L5" s="23" t="n">
        <v>11.345</v>
      </c>
      <c r="M5" s="23" t="n">
        <v>10.619</v>
      </c>
      <c r="N5" s="23" t="n">
        <v>11.734</v>
      </c>
      <c r="O5" s="23" t="n">
        <v>11.288</v>
      </c>
      <c r="P5" s="23" t="n">
        <v>11.639</v>
      </c>
      <c r="Q5" s="23" t="n">
        <v>7.781</v>
      </c>
    </row>
    <row r="6">
      <c r="A6" s="19" t="inlineStr">
        <is>
          <t>SG&amp;A &amp; Other</t>
        </is>
      </c>
      <c r="B6" s="23" t="n">
        <v>4.923</v>
      </c>
      <c r="C6" s="23" t="n">
        <v>3.155</v>
      </c>
      <c r="D6" s="23" t="n">
        <v>6.373</v>
      </c>
      <c r="E6" s="23" t="n">
        <v>6.047</v>
      </c>
      <c r="F6" s="23" t="n">
        <v>9.746</v>
      </c>
      <c r="G6" s="23" t="n">
        <v>6.187</v>
      </c>
      <c r="H6" s="23" t="n">
        <v>6.027</v>
      </c>
      <c r="I6" s="23" t="n">
        <v>5.89</v>
      </c>
      <c r="J6" s="23" t="n">
        <v>9.699999999999999</v>
      </c>
      <c r="K6" s="23" t="n">
        <v>8</v>
      </c>
      <c r="L6" s="23" t="n">
        <v>7.642</v>
      </c>
      <c r="M6" s="23" t="n">
        <v>10.888</v>
      </c>
      <c r="N6" s="23" t="n">
        <v>13.688</v>
      </c>
      <c r="O6" s="23" t="n">
        <v>9.743</v>
      </c>
      <c r="P6" s="23" t="n">
        <v>7.493</v>
      </c>
      <c r="Q6" s="23" t="n">
        <v>6.87</v>
      </c>
    </row>
    <row r="7">
      <c r="A7" s="2" t="inlineStr">
        <is>
          <t>Operating Expense</t>
        </is>
      </c>
      <c r="B7" s="23">
        <f>SUM(B5:B6)</f>
        <v>19.637</v>
      </c>
      <c r="C7" s="23">
        <f>SUM(C5:C6)</f>
        <v>23.019000000000002</v>
      </c>
      <c r="D7" s="23">
        <f>SUM(D5:D6)</f>
        <v>22.143</v>
      </c>
      <c r="E7" s="23">
        <f>SUM(E5:E6)</f>
        <v>15.411000000000001</v>
      </c>
      <c r="F7" s="23">
        <f>SUM(F5:F6)</f>
        <v>24.715</v>
      </c>
      <c r="G7" s="23">
        <f>SUM(G5:G6)</f>
        <v>20.847</v>
      </c>
      <c r="H7" s="23">
        <f>SUM(H5:H6)</f>
        <v>20.65</v>
      </c>
      <c r="I7" s="23">
        <f>SUM(I5:I6)</f>
        <v>18.969</v>
      </c>
      <c r="J7" s="23">
        <f>SUM(J5:J6)</f>
        <v>21.566</v>
      </c>
      <c r="K7" s="23">
        <f>SUM(K5:K6)</f>
        <v>21.064999999999998</v>
      </c>
      <c r="L7" s="23">
        <f>SUM(L5:L6)</f>
        <v>18.987000000000002</v>
      </c>
      <c r="M7" s="23">
        <f>SUM(M5:M6)</f>
        <v>21.506999999999998</v>
      </c>
      <c r="N7" s="23">
        <f>SUM(N5:N6)</f>
        <v>25.422</v>
      </c>
      <c r="O7" s="23">
        <f>SUM(O5:O6)</f>
        <v>21.031</v>
      </c>
      <c r="P7" s="23">
        <f>SUM(P5:P6)</f>
        <v>19.131999999999998</v>
      </c>
      <c r="Q7" s="23">
        <f>SUM(Q5:Q6)</f>
        <v>14.651</v>
      </c>
    </row>
    <row r="8">
      <c r="A8" s="2" t="inlineStr">
        <is>
          <t>Operating Income</t>
        </is>
      </c>
      <c r="B8" s="23">
        <f>B4-B7</f>
        <v>-19.637</v>
      </c>
      <c r="C8" s="23">
        <f>C4-C7</f>
        <v>-23.019000000000002</v>
      </c>
      <c r="D8" s="23">
        <f>D4-D7</f>
        <v>-22.143</v>
      </c>
      <c r="E8" s="23">
        <f>E4-E7</f>
        <v>-15.411000000000001</v>
      </c>
      <c r="F8" s="23">
        <f>F4-F7</f>
        <v>-24.715</v>
      </c>
      <c r="G8" s="23">
        <f>G4-G7</f>
        <v>-20.847</v>
      </c>
      <c r="H8" s="23">
        <f>H4-H7</f>
        <v>-20.65</v>
      </c>
      <c r="I8" s="23">
        <f>I4-I7</f>
        <v>-18.469</v>
      </c>
      <c r="J8" s="23">
        <f>J4-J7</f>
        <v>-21.066</v>
      </c>
      <c r="K8" s="23">
        <f>K4-K7</f>
        <v>-20.564999999999998</v>
      </c>
      <c r="L8" s="23">
        <f>L4-L7</f>
        <v>-18.487000000000002</v>
      </c>
      <c r="M8" s="23">
        <f>M4-M7</f>
        <v>-21.006999999999998</v>
      </c>
      <c r="N8" s="23">
        <f>N4-N7</f>
        <v>-24.922</v>
      </c>
      <c r="O8" s="23">
        <f>O4-O7</f>
        <v>-21.031</v>
      </c>
      <c r="P8" s="23">
        <f>P4-P7</f>
        <v>-19.131999999999998</v>
      </c>
      <c r="Q8" s="23">
        <f>Q4-Q7</f>
        <v>-14.651</v>
      </c>
    </row>
    <row r="9">
      <c r="A9" s="19" t="inlineStr">
        <is>
          <t>Interest &amp; Other</t>
        </is>
      </c>
      <c r="B9" s="23" t="n">
        <v>0.819</v>
      </c>
      <c r="C9" s="23" t="n">
        <v>-0.204</v>
      </c>
      <c r="D9" s="23" t="n">
        <v>-4.426</v>
      </c>
      <c r="E9" s="23" t="n">
        <v>7.16</v>
      </c>
      <c r="F9" s="23" t="n">
        <v>-0.779</v>
      </c>
      <c r="G9" s="23" t="n">
        <v>-1.614</v>
      </c>
      <c r="H9" s="23" t="n">
        <v>-1.404</v>
      </c>
      <c r="I9" s="23" t="n">
        <v>-1.934</v>
      </c>
      <c r="J9" s="23" t="n">
        <v>-1.237</v>
      </c>
      <c r="K9" s="23" t="n">
        <v>1.897</v>
      </c>
      <c r="L9" s="23" t="n">
        <v>-4.843</v>
      </c>
      <c r="M9" s="23" t="n">
        <v>-1.146</v>
      </c>
      <c r="N9" s="23" t="n">
        <v>-12.544</v>
      </c>
      <c r="O9" s="23" t="n">
        <v>0.235</v>
      </c>
      <c r="P9" s="23" t="n">
        <v>0.512</v>
      </c>
      <c r="Q9" s="23" t="n">
        <v>29.146</v>
      </c>
    </row>
    <row r="10">
      <c r="A10" s="2" t="inlineStr">
        <is>
          <t>Pretax</t>
        </is>
      </c>
      <c r="B10" s="23">
        <f>B8+B9</f>
        <v>-18.818</v>
      </c>
      <c r="C10" s="23">
        <f>C8+C9</f>
        <v>-23.223000000000003</v>
      </c>
      <c r="D10" s="23">
        <f>D8+D9</f>
        <v>-26.569000000000003</v>
      </c>
      <c r="E10" s="23">
        <f>E8+E9</f>
        <v>-8.251000000000001</v>
      </c>
      <c r="F10" s="23">
        <f>F8+F9</f>
        <v>-25.494</v>
      </c>
      <c r="G10" s="23">
        <f>G8+G9</f>
        <v>-22.461000000000002</v>
      </c>
      <c r="H10" s="23">
        <f>H8+H9</f>
        <v>-22.054</v>
      </c>
      <c r="I10" s="23">
        <f>I8+I9</f>
        <v>-20.403000000000002</v>
      </c>
      <c r="J10" s="23">
        <f>J8+J9</f>
        <v>-22.302999999999997</v>
      </c>
      <c r="K10" s="23">
        <f>K8+K9</f>
        <v>-18.668</v>
      </c>
      <c r="L10" s="23">
        <f>L8+L9</f>
        <v>-23.330000000000002</v>
      </c>
      <c r="M10" s="23">
        <f>M8+M9</f>
        <v>-22.153</v>
      </c>
      <c r="N10" s="23">
        <f>N8+N9</f>
        <v>-37.466</v>
      </c>
      <c r="O10" s="23">
        <f>O8+O9</f>
        <v>-20.796</v>
      </c>
      <c r="P10" s="23">
        <f>P8+P9</f>
        <v>-18.619999999999997</v>
      </c>
      <c r="Q10" s="23">
        <f>Q8+Q9</f>
        <v>14.495000000000001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-10.419</v>
      </c>
      <c r="K11" s="23" t="n">
        <v>-1.816</v>
      </c>
      <c r="L11" s="23" t="n">
        <v>-1.846</v>
      </c>
      <c r="M11" s="23" t="n">
        <v>-1.383</v>
      </c>
      <c r="N11" s="23" t="n">
        <v>-1.567</v>
      </c>
      <c r="O11" s="23" t="n">
        <v>-1.28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-18.818</v>
      </c>
      <c r="C12" s="23" t="n">
        <v>-23.223</v>
      </c>
      <c r="D12" s="23" t="n">
        <v>-26.568</v>
      </c>
      <c r="E12" s="23" t="n">
        <v>-8.250999999999999</v>
      </c>
      <c r="F12" s="23" t="n">
        <v>-25.494</v>
      </c>
      <c r="G12" s="23" t="n">
        <v>-22.461</v>
      </c>
      <c r="H12" s="23" t="n">
        <v>-22.054</v>
      </c>
      <c r="I12" s="23" t="n">
        <v>-20.402</v>
      </c>
      <c r="J12" s="23" t="n">
        <v>-11.883</v>
      </c>
      <c r="K12" s="23" t="n">
        <v>-16.852</v>
      </c>
      <c r="L12" s="23" t="n">
        <v>-21.484</v>
      </c>
      <c r="M12" s="23" t="n">
        <v>-20.769</v>
      </c>
      <c r="N12" s="23" t="n">
        <v>-35.898</v>
      </c>
      <c r="O12" s="23" t="n">
        <v>-19.515</v>
      </c>
      <c r="P12" s="23" t="n">
        <v>-18.62</v>
      </c>
      <c r="Q12" s="23" t="n">
        <v>14.495</v>
      </c>
    </row>
    <row r="13">
      <c r="A13" s="2" t="inlineStr">
        <is>
          <t>Earnings per Share</t>
        </is>
      </c>
      <c r="B13" s="11">
        <f>IFERROR(B12/B14,0)</f>
        <v>-18.252182347235696</v>
      </c>
      <c r="C13" s="11">
        <f>IFERROR(C12/C14,0)</f>
        <v>-60.007751937984494</v>
      </c>
      <c r="D13" s="11">
        <f>IFERROR(D12/D14,0)</f>
        <v>-41.254658385093165</v>
      </c>
      <c r="E13" s="11">
        <f>IFERROR(E12/E14,0)</f>
        <v>-7.314716312056738</v>
      </c>
      <c r="F13" s="11">
        <f>IFERROR(F12/F14,0)</f>
        <v>-16.565302144249515</v>
      </c>
      <c r="G13" s="11">
        <f>IFERROR(G12/G14,0)</f>
        <v>-12.354785478547853</v>
      </c>
      <c r="H13" s="11">
        <f>IFERROR(H12/H14,0)</f>
        <v>-11.895361380798272</v>
      </c>
      <c r="I13" s="11">
        <f>IFERROR(I12/I14,0)</f>
        <v>-2.674970499541104</v>
      </c>
      <c r="J13" s="11">
        <f>IFERROR(J12/J14,0)</f>
        <v>-0.6758232383552295</v>
      </c>
      <c r="K13" s="11">
        <f>IFERROR(K12/K14,0)</f>
        <v>-0.7718591123528604</v>
      </c>
      <c r="L13" s="11">
        <f>IFERROR(L12/L14,0)</f>
        <v>-10.08165180666354</v>
      </c>
      <c r="M13" s="11">
        <f>IFERROR(M12/M14,0)</f>
        <v>-3.8269762299613044</v>
      </c>
      <c r="N13" s="11">
        <f>IFERROR(N12/N14,0)</f>
        <v>-5.025619487610248</v>
      </c>
      <c r="O13" s="11">
        <f>IFERROR(O12/O14,0)</f>
        <v>-2.1575456053067996</v>
      </c>
      <c r="P13" s="11">
        <f>IFERROR(P12/P14,0)</f>
        <v>-16.94267515923567</v>
      </c>
      <c r="Q13" s="11">
        <f>IFERROR(Q12/Q14,0)</f>
        <v>6.8276024493641065</v>
      </c>
    </row>
    <row r="14">
      <c r="A14" s="2" t="inlineStr">
        <is>
          <t>Shares</t>
        </is>
      </c>
      <c r="B14" s="23" t="n">
        <v>1.031</v>
      </c>
      <c r="C14" s="23" t="n">
        <v>0.387</v>
      </c>
      <c r="D14" s="23" t="n">
        <v>0.644</v>
      </c>
      <c r="E14" s="23" t="n">
        <v>1.128</v>
      </c>
      <c r="F14" s="23" t="n">
        <v>1.539</v>
      </c>
      <c r="G14" s="23" t="n">
        <v>1.818</v>
      </c>
      <c r="H14" s="23" t="n">
        <v>1.854</v>
      </c>
      <c r="I14" s="23" t="n">
        <v>7.627</v>
      </c>
      <c r="J14" s="23" t="n">
        <v>17.583</v>
      </c>
      <c r="K14" s="23" t="n">
        <v>21.833</v>
      </c>
      <c r="L14" s="23" t="n">
        <v>2.131</v>
      </c>
      <c r="M14" s="23" t="n">
        <v>5.427</v>
      </c>
      <c r="N14" s="23" t="n">
        <v>7.143</v>
      </c>
      <c r="O14" s="23" t="n">
        <v>9.045</v>
      </c>
      <c r="P14" s="23" t="n">
        <v>1.099</v>
      </c>
      <c r="Q14" s="23" t="n">
        <v>2.123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0.0</v>
      </c>
      <c r="K16" s="15">
        <f>IFERROR(K2/J2-1,"")</f>
        <v>0.0</v>
      </c>
      <c r="L16" s="15">
        <f>IFERROR(L2/K2-1,"")</f>
        <v>0.0</v>
      </c>
      <c r="M16" s="15">
        <f>IFERROR(M2/L2-1,"")</f>
        <v>0.0</v>
      </c>
      <c r="N16" s="15">
        <f>IFERROR(N2/M2-1,"")</f>
        <v>0.0</v>
      </c>
      <c r="O16" s="15">
        <f>IFERROR(O2/N2-1,"")</f>
        <v>-1.0</v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-36.938</v>
      </c>
      <c r="J18" s="15">
        <f>IFERROR(J8/J2,"")</f>
        <v>-42.132</v>
      </c>
      <c r="K18" s="15">
        <f>IFERROR(K8/K2,"")</f>
        <v>-41.129999999999995</v>
      </c>
      <c r="L18" s="15">
        <f>IFERROR(L8/L2,"")</f>
        <v>-36.974000000000004</v>
      </c>
      <c r="M18" s="15">
        <f>IFERROR(M8/M2,"")</f>
        <v>-42.013999999999996</v>
      </c>
      <c r="N18" s="15">
        <f>IFERROR(N8/N2,"")</f>
        <v>-49.844</v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2026-10-21T01:06:45Z</dcterms:modified>
  <cp:lastModifiedBy>Wang, Eric</cp:lastModifiedBy>
</cp:coreProperties>
</file>