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Jasper Therapeutics, Inc.</t>
        </is>
      </c>
      <c r="C2" s="10" t="n"/>
    </row>
    <row r="3">
      <c r="B3" t="inlineStr">
        <is>
          <t>Price</t>
        </is>
      </c>
      <c r="C3" s="11">
        <f>INDEX([1]Pharma!$F$1:$F$1000,MATCH("JSPR",[1]Pharma!$B$1:$B$1000,0))</f>
        <v>0.4999</v>
      </c>
      <c r="F3" s="1" t="n"/>
    </row>
    <row r="4">
      <c r="B4" t="inlineStr">
        <is>
          <t>Shares</t>
        </is>
      </c>
      <c r="C4" s="21" t="n">
        <v>33.274561</v>
      </c>
      <c r="F4" s="1" t="n"/>
    </row>
    <row r="5">
      <c r="B5" t="inlineStr">
        <is>
          <t>Market Cap.</t>
        </is>
      </c>
      <c r="C5" s="13">
        <f>C3*C4</f>
        <v>16.6339530439</v>
      </c>
      <c r="F5" s="1" t="n"/>
    </row>
    <row r="6"/>
    <row r="7">
      <c r="B7" t="inlineStr">
        <is>
          <t>Cash</t>
        </is>
      </c>
      <c r="C7" s="21" t="n">
        <v>7.314</v>
      </c>
    </row>
    <row r="8">
      <c r="B8" t="inlineStr">
        <is>
          <t>Debt</t>
        </is>
      </c>
      <c r="C8" s="21" t="n">
        <v>0.4</v>
      </c>
    </row>
    <row r="9">
      <c r="B9" t="inlineStr">
        <is>
          <t>Enterprise V.</t>
        </is>
      </c>
      <c r="C9" s="13">
        <f>C5-C7+C8</f>
        <v>9.7199530439</v>
      </c>
    </row>
    <row r="10"/>
    <row r="11">
      <c r="B11" s="14" t="inlineStr">
        <is>
          <t>Net Cash / Share</t>
        </is>
      </c>
      <c r="C11" s="11">
        <f>(C7-C8)/C4</f>
        <v>0.2077863626810884</v>
      </c>
    </row>
    <row r="12">
      <c r="B12" s="14" t="inlineStr">
        <is>
          <t>Upside</t>
        </is>
      </c>
      <c r="C12" s="15">
        <f>IFERROR(C11/C3-1,"")</f>
        <v>-0.5843441434665164</v>
      </c>
    </row>
    <row r="13">
      <c r="B13" s="14" t="inlineStr">
        <is>
          <t>Cash / Share</t>
        </is>
      </c>
      <c r="C13" s="11">
        <f>IFERROR((C7-C8)/C4,"")</f>
        <v>0.2077863626810884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-60.333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0.11459731821722771</v>
      </c>
    </row>
    <row r="19">
      <c r="B19" s="14" t="inlineStr">
        <is>
          <t>Implied Pipeline Value</t>
        </is>
      </c>
      <c r="C19" s="13">
        <f>C9</f>
        <v>9.7199530439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34.268</v>
      </c>
      <c r="G3" s="23" t="n">
        <v>41.635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-34.268</v>
      </c>
      <c r="G4" s="23">
        <f>G2-G3</f>
        <v>-41.635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15.883</v>
      </c>
      <c r="C5" s="23" t="n">
        <v>25.421</v>
      </c>
      <c r="D5" s="23" t="n">
        <v>34.627</v>
      </c>
      <c r="E5" s="23" t="n">
        <v>51.785</v>
      </c>
      <c r="F5" s="23" t="n">
        <v>55.821</v>
      </c>
      <c r="G5" s="23" t="n">
        <v>63.104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4.8</v>
      </c>
      <c r="C6" s="23" t="n">
        <v>11.412</v>
      </c>
      <c r="D6" s="23" t="n">
        <v>16.569</v>
      </c>
      <c r="E6" s="23" t="n">
        <v>17.076</v>
      </c>
      <c r="F6" s="23" t="n">
        <v>-13.85</v>
      </c>
      <c r="G6" s="23" t="n">
        <v>-20.856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20.683</v>
      </c>
      <c r="C7" s="23">
        <f>SUM(C5:C6)</f>
        <v>36.833</v>
      </c>
      <c r="D7" s="23">
        <f>SUM(D5:D6)</f>
        <v>51.196</v>
      </c>
      <c r="E7" s="23">
        <f>SUM(E5:E6)</f>
        <v>68.86099999999999</v>
      </c>
      <c r="F7" s="23">
        <f>SUM(F5:F6)</f>
        <v>41.971</v>
      </c>
      <c r="G7" s="23">
        <f>SUM(G5:G6)</f>
        <v>42.248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-20.683</v>
      </c>
      <c r="C8" s="23">
        <f>C4-C7</f>
        <v>-36.833</v>
      </c>
      <c r="D8" s="23">
        <f>D4-D7</f>
        <v>-51.196</v>
      </c>
      <c r="E8" s="23">
        <f>E4-E7</f>
        <v>-68.86099999999999</v>
      </c>
      <c r="F8" s="23">
        <f>F4-F7</f>
        <v>-76.239</v>
      </c>
      <c r="G8" s="23">
        <f>G4-G7</f>
        <v>-83.883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-10.948</v>
      </c>
      <c r="C9" s="23" t="n">
        <v>6.196</v>
      </c>
      <c r="D9" s="23" t="n">
        <v>13.511</v>
      </c>
      <c r="E9" s="23" t="n">
        <v>4.363</v>
      </c>
      <c r="F9" s="23" t="n">
        <v>4.941</v>
      </c>
      <c r="G9" s="23" t="n">
        <v>83.883</v>
      </c>
    </row>
    <row r="10">
      <c r="A10" s="2" t="inlineStr">
        <is>
          <t>Pretax</t>
        </is>
      </c>
      <c r="B10" s="23">
        <f>B8+B9</f>
        <v>-31.631</v>
      </c>
      <c r="C10" s="23">
        <f>C8+C9</f>
        <v>-30.637</v>
      </c>
      <c r="D10" s="23">
        <f>D8+D9</f>
        <v>-37.685</v>
      </c>
      <c r="E10" s="23">
        <f>E8+E9</f>
        <v>-64.49799999999999</v>
      </c>
      <c r="F10" s="23">
        <f>F8+F9</f>
        <v>-71.298</v>
      </c>
      <c r="G10" s="23">
        <f>G8+G9</f>
        <v>0.0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0.038</v>
      </c>
      <c r="C11" s="23" t="n">
        <v>0</v>
      </c>
      <c r="D11" s="23" t="n">
        <v>0</v>
      </c>
      <c r="E11" s="23" t="n">
        <v>0.002</v>
      </c>
      <c r="F11" s="23" t="n">
        <v>0.002</v>
      </c>
      <c r="G11" s="23" t="n">
        <v>0</v>
      </c>
    </row>
    <row r="12">
      <c r="A12" s="2" t="inlineStr">
        <is>
          <t>Net Income</t>
        </is>
      </c>
      <c r="B12" s="23" t="n">
        <v>-31.669</v>
      </c>
      <c r="C12" s="23" t="n">
        <v>-30.637</v>
      </c>
      <c r="D12" s="23" t="n">
        <v>-37.685</v>
      </c>
      <c r="E12" s="23" t="n">
        <v>-64.5</v>
      </c>
      <c r="F12" s="23" t="n">
        <v>-71.3</v>
      </c>
      <c r="G12" s="23" t="n">
        <v>-0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-5.169604962455109</v>
      </c>
      <c r="C13" s="11">
        <f>IFERROR(C12/C14,0)</f>
        <v>-2.688871335790767</v>
      </c>
      <c r="D13" s="11">
        <f>IFERROR(D12/D14,0)</f>
        <v>-10.33031798245614</v>
      </c>
      <c r="E13" s="11">
        <f>IFERROR(E12/E14,0)</f>
        <v>-6.178752754095219</v>
      </c>
      <c r="F13" s="11">
        <f>IFERROR(F12/F14,0)</f>
        <v>-4.888584161810078</v>
      </c>
      <c r="G13" s="11">
        <f>IFERROR(G12/G14,0)</f>
        <v>0.0</v>
      </c>
    </row>
    <row r="14">
      <c r="A14" s="2" t="inlineStr">
        <is>
          <t>Shares</t>
        </is>
      </c>
      <c r="B14" s="23" t="n">
        <v>6.126</v>
      </c>
      <c r="C14" s="23" t="n">
        <v>11.394</v>
      </c>
      <c r="D14" s="23" t="n">
        <v>3.648</v>
      </c>
      <c r="E14" s="23" t="n">
        <v>10.439</v>
      </c>
      <c r="F14" s="23" t="n">
        <v>14.585</v>
      </c>
      <c r="G14" s="23" t="n">
        <v>19.168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2026-10-21T01:06:30Z</dcterms:modified>
  <cp:lastModifiedBy>Wang, Eric</cp:lastModifiedBy>
</cp:coreProperties>
</file>