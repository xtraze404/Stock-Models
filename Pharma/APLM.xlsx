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Apollomics Inc</t>
        </is>
      </c>
      <c r="C2" s="10" t="n"/>
    </row>
    <row r="3">
      <c r="B3" t="inlineStr">
        <is>
          <t>Price</t>
        </is>
      </c>
      <c r="C3" s="11">
        <f>INDEX([1]Pharma!$F$1:$F$1000,MATCH("APLM",[1]Pharma!$B$1:$B$1000,0))</f>
        <v>22.0481</v>
      </c>
      <c r="F3" s="1" t="n"/>
    </row>
    <row r="4">
      <c r="B4" t="inlineStr">
        <is>
          <t>Shares</t>
        </is>
      </c>
      <c r="C4" s="21" t="n">
        <v>2.196052</v>
      </c>
      <c r="F4" s="1" t="n"/>
    </row>
    <row r="5">
      <c r="B5" t="inlineStr">
        <is>
          <t>Market Cap.</t>
        </is>
      </c>
      <c r="C5" s="13">
        <f>C3*C4</f>
        <v>48.4187741012</v>
      </c>
      <c r="F5" s="1" t="n"/>
    </row>
    <row r="6"/>
    <row r="7">
      <c r="B7" t="inlineStr">
        <is>
          <t>Cash</t>
        </is>
      </c>
      <c r="C7" s="21" t="n"/>
    </row>
    <row r="8">
      <c r="B8" t="inlineStr">
        <is>
          <t>Debt</t>
        </is>
      </c>
      <c r="C8" s="21" t="n"/>
    </row>
    <row r="9">
      <c r="B9" t="inlineStr">
        <is>
          <t>Enterprise V.</t>
        </is>
      </c>
      <c r="C9" s="13">
        <f>C5-C7+C8</f>
        <v>48.4187741012</v>
      </c>
    </row>
    <row r="10"/>
    <row r="11">
      <c r="B11" s="14" t="inlineStr">
        <is>
          <t>NPV / Share</t>
        </is>
      </c>
      <c r="C11" s="11" t="n"/>
    </row>
    <row r="12">
      <c r="B12" s="14" t="inlineStr">
        <is>
          <t>Upside</t>
        </is>
      </c>
      <c r="C12" s="15" t="n"/>
    </row>
    <row r="13">
      <c r="B13" s="14" t="inlineStr">
        <is>
          <t>Cash / Share</t>
        </is>
      </c>
      <c r="C13" s="11">
        <f>IFERROR((C7-C8)/C4,"")</f>
        <v>0.0</v>
      </c>
    </row>
    <row r="14">
      <c r="B14" s="14" t="inlineStr">
        <is>
          <t>Scenario</t>
        </is>
      </c>
      <c r="C14" s="14" t="inlineStr">
        <is>
          <t>no data</t>
        </is>
      </c>
    </row>
    <row r="15">
      <c r="B15" s="14" t="inlineStr">
        <is>
          <t>Model</t>
        </is>
      </c>
      <c r="C15" s="14" t="inlineStr">
        <is>
          <t>n/a</t>
        </is>
      </c>
    </row>
    <row r="16"/>
    <row r="17">
      <c r="B17" s="14" t="inlineStr">
        <is>
          <t>TTM Operating Cash Flow</t>
        </is>
      </c>
      <c r="C17" s="21" t="n">
        <v>-28.743</v>
      </c>
    </row>
    <row r="18">
      <c r="B18" s="14" t="inlineStr">
        <is>
          <t>Runway (years)</t>
        </is>
      </c>
      <c r="C18" s="22" t="str">
        <f>IF(AND(ISNUMBER(C17),C17&lt;0),IF(C7&gt;C8,(C7-C8)/-C17,"net debt"),"n/a")</f>
        <v>net debt</v>
      </c>
    </row>
    <row r="19">
      <c r="B19" s="14" t="inlineStr">
        <is>
          <t>Implied Pipeline Value</t>
        </is>
      </c>
      <c r="C19" s="13">
        <f>C9</f>
        <v>48.4187741012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31.441</v>
      </c>
      <c r="C5" s="23" t="n">
        <v>35.568</v>
      </c>
      <c r="D5" s="23" t="n">
        <v>35.457</v>
      </c>
      <c r="E5" s="23" t="n">
        <v>34.193</v>
      </c>
      <c r="F5" s="23" t="n">
        <v>24.566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11.043</v>
      </c>
      <c r="C6" s="23" t="n">
        <v>15.291</v>
      </c>
      <c r="D6" s="23" t="n">
        <v>-36.433</v>
      </c>
      <c r="E6" s="23" t="n">
        <v>20.641</v>
      </c>
      <c r="F6" s="23" t="n">
        <v>17.768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42.483999999999995</v>
      </c>
      <c r="C7" s="23">
        <f>SUM(C5:C6)</f>
        <v>50.858999999999995</v>
      </c>
      <c r="D7" s="23">
        <f>SUM(D5:D6)</f>
        <v>-0.9759999999999991</v>
      </c>
      <c r="E7" s="23">
        <f>SUM(E5:E6)</f>
        <v>54.833999999999996</v>
      </c>
      <c r="F7" s="23">
        <f>SUM(F5:F6)</f>
        <v>42.334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-42.483999999999995</v>
      </c>
      <c r="C8" s="23">
        <f>C4-C7</f>
        <v>-50.858999999999995</v>
      </c>
      <c r="D8" s="23">
        <f>D4-D7</f>
        <v>0.9759999999999991</v>
      </c>
      <c r="E8" s="23">
        <f>E4-E7</f>
        <v>-54.833999999999996</v>
      </c>
      <c r="F8" s="23">
        <f>F4-F7</f>
        <v>-42.334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-32.421</v>
      </c>
      <c r="C9" s="23" t="n">
        <v>-43.937</v>
      </c>
      <c r="D9" s="23" t="n">
        <v>-241.786</v>
      </c>
      <c r="E9" s="23" t="n">
        <v>-117.757</v>
      </c>
      <c r="F9" s="23" t="n">
        <v>-11.265</v>
      </c>
    </row>
    <row r="10">
      <c r="A10" s="2" t="inlineStr">
        <is>
          <t>Pretax</t>
        </is>
      </c>
      <c r="B10" s="23">
        <f>B8+B9</f>
        <v>-74.905</v>
      </c>
      <c r="C10" s="23">
        <f>C8+C9</f>
        <v>-94.79599999999999</v>
      </c>
      <c r="D10" s="23">
        <f>D8+D9</f>
        <v>-240.81</v>
      </c>
      <c r="E10" s="23">
        <f>E8+E9</f>
        <v>-172.591</v>
      </c>
      <c r="F10" s="23">
        <f>F8+F9</f>
        <v>-53.599000000000004</v>
      </c>
      <c r="I10" s="1" t="n"/>
      <c r="J10" s="1" t="n"/>
      <c r="K10" s="1" t="n"/>
    </row>
    <row r="11">
      <c r="A11" s="2" t="inlineStr">
        <is>
          <t>Taxes</t>
        </is>
      </c>
      <c r="B11" s="23" t="n">
        <v>-0.08500000000000001</v>
      </c>
      <c r="C11" s="23" t="n">
        <v>0.001</v>
      </c>
      <c r="D11" s="23" t="n">
        <v>0.001</v>
      </c>
      <c r="E11" s="23" t="n">
        <v>0.01</v>
      </c>
      <c r="F11" s="23" t="n">
        <v>0.259</v>
      </c>
    </row>
    <row r="12">
      <c r="A12" s="2" t="inlineStr">
        <is>
          <t>Net Income</t>
        </is>
      </c>
      <c r="B12" s="23" t="n">
        <v>-74.81999999999999</v>
      </c>
      <c r="C12" s="23" t="n">
        <v>-94.797</v>
      </c>
      <c r="D12" s="23" t="n">
        <v>-240.811</v>
      </c>
      <c r="E12" s="23" t="n">
        <v>-172.601</v>
      </c>
      <c r="F12" s="23" t="n">
        <v>-53.858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-266.26334519572947</v>
      </c>
      <c r="C13" s="11">
        <f>IFERROR(C12/C14,0)</f>
        <v>-333.7922535211268</v>
      </c>
      <c r="D13" s="11">
        <f>IFERROR(D12/D14,0)</f>
        <v>-844.9508771929826</v>
      </c>
      <c r="E13" s="11">
        <f>IFERROR(E12/E14,0)</f>
        <v>-231.99059139784947</v>
      </c>
      <c r="F13" s="11">
        <f>IFERROR(F12/F14,0)</f>
        <v>-52.80196078431372</v>
      </c>
    </row>
    <row r="14">
      <c r="A14" s="2" t="inlineStr">
        <is>
          <t>Shares</t>
        </is>
      </c>
      <c r="B14" s="23" t="n">
        <v>0.281</v>
      </c>
      <c r="C14" s="23" t="n">
        <v>0.284</v>
      </c>
      <c r="D14" s="23" t="n">
        <v>0.285</v>
      </c>
      <c r="E14" s="23" t="n">
        <v>0.744</v>
      </c>
      <c r="F14" s="23" t="n">
        <v>1.02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2026-10-21T06:29:24Z</dcterms:modified>
  <cp:lastModifiedBy>Wang, Eric</cp:lastModifiedBy>
</cp:coreProperties>
</file>