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BioVie Inc</t>
        </is>
      </c>
      <c r="C2" s="10" t="n"/>
    </row>
    <row r="3">
      <c r="B3" t="inlineStr">
        <is>
          <t>Price</t>
        </is>
      </c>
      <c r="C3" s="11">
        <f>INDEX([1]Pharma!$F$1:$F$1000,MATCH("BIVI",[1]Pharma!$B$1:$B$1000,0))</f>
        <v>1.37</v>
      </c>
      <c r="F3" s="1" t="n"/>
    </row>
    <row r="4">
      <c r="B4" t="inlineStr">
        <is>
          <t>Shares</t>
        </is>
      </c>
      <c r="C4" s="21" t="n">
        <v>7.542638</v>
      </c>
      <c r="F4" s="1" t="n"/>
    </row>
    <row r="5">
      <c r="B5" t="inlineStr">
        <is>
          <t>Market Cap.</t>
        </is>
      </c>
      <c r="C5" s="13">
        <f>C3*C4</f>
        <v>10.33341406</v>
      </c>
      <c r="F5" s="1" t="n"/>
    </row>
    <row r="6"/>
    <row r="7">
      <c r="B7" t="inlineStr">
        <is>
          <t>Cash</t>
        </is>
      </c>
      <c r="C7" s="21" t="n">
        <v>8.977370000000001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1.3560440600000003</v>
      </c>
    </row>
    <row r="10"/>
    <row r="11">
      <c r="B11" s="14" t="inlineStr">
        <is>
          <t>rNPV / Share</t>
        </is>
      </c>
      <c r="C11" s="11">
        <f>NPV!B27</f>
        <v>45.00597667693245</v>
      </c>
    </row>
    <row r="12">
      <c r="B12" s="14" t="inlineStr">
        <is>
          <t>Upside</t>
        </is>
      </c>
      <c r="C12" s="15">
        <f>IFERROR(C11/C3-1,"")</f>
        <v>31.851077866374048</v>
      </c>
    </row>
    <row r="13">
      <c r="B13" s="14" t="inlineStr">
        <is>
          <t>Cash / Share</t>
        </is>
      </c>
      <c r="C13" s="11">
        <f>IFERROR((C7-C8)/C4,"")</f>
        <v>1.1902162081754422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-19.025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0.471872273324573</v>
      </c>
    </row>
    <row r="19">
      <c r="B19" s="14" t="inlineStr">
        <is>
          <t>Implied Pipeline Value</t>
        </is>
      </c>
      <c r="C19" s="13">
        <f>C9</f>
        <v>1.3560440600000003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2013</v>
      </c>
      <c r="C1" s="17" t="n">
        <v>2014</v>
      </c>
      <c r="D1" s="17" t="n">
        <v>2015</v>
      </c>
      <c r="E1" s="17" t="n">
        <v>2016</v>
      </c>
      <c r="F1" s="17" t="n">
        <v>2017</v>
      </c>
      <c r="G1" s="17" t="n">
        <v>2018</v>
      </c>
      <c r="H1" s="17" t="n">
        <v>2019</v>
      </c>
      <c r="I1" s="17" t="n">
        <v>2020</v>
      </c>
      <c r="J1" s="17" t="n">
        <v>2021</v>
      </c>
      <c r="K1" s="17" t="n">
        <v>2022</v>
      </c>
      <c r="L1" s="17" t="n">
        <v>2023</v>
      </c>
      <c r="M1" s="17" t="n">
        <v>2024</v>
      </c>
      <c r="N1" s="17" t="n">
        <v>2025</v>
      </c>
      <c r="O1" s="17" t="n">
        <v>2026</v>
      </c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</v>
      </c>
      <c r="L2" s="23" t="n">
        <v>0</v>
      </c>
      <c r="M2" s="23" t="n">
        <v>0</v>
      </c>
      <c r="N2" s="23" t="n">
        <v>0</v>
      </c>
      <c r="O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  <c r="L4" s="23">
        <f>L2-L3</f>
        <v>0.0</v>
      </c>
      <c r="M4" s="23">
        <f>M2-M3</f>
        <v>0.0</v>
      </c>
      <c r="N4" s="23">
        <f>N2-N3</f>
        <v>0.0</v>
      </c>
      <c r="O4" s="23">
        <f>O2-O3</f>
        <v>0.0</v>
      </c>
    </row>
    <row r="5">
      <c r="A5" s="2" t="inlineStr">
        <is>
          <t>Research &amp; Dev.</t>
        </is>
      </c>
      <c r="B5" s="23" t="n">
        <v>0</v>
      </c>
      <c r="C5" s="23" t="n">
        <v>0.049</v>
      </c>
      <c r="D5" s="23" t="n">
        <v>0.004</v>
      </c>
      <c r="E5" s="23" t="n">
        <v>0.038</v>
      </c>
      <c r="F5" s="23" t="n">
        <v>0.466</v>
      </c>
      <c r="G5" s="23" t="n">
        <v>0.371</v>
      </c>
      <c r="H5" s="23" t="n">
        <v>1.008</v>
      </c>
      <c r="I5" s="23" t="n">
        <v>1.151</v>
      </c>
      <c r="J5" s="23" t="n">
        <v>2.545</v>
      </c>
      <c r="K5" s="23" t="n">
        <v>17.258</v>
      </c>
      <c r="L5" s="23" t="n">
        <v>33.3</v>
      </c>
      <c r="M5" s="23" t="n">
        <v>23.1</v>
      </c>
      <c r="N5" s="23" t="n">
        <v>9.266999999999999</v>
      </c>
      <c r="O5" s="23" t="n">
        <v>13.962</v>
      </c>
    </row>
    <row r="6">
      <c r="A6" s="19" t="inlineStr">
        <is>
          <t>SG&amp;A &amp; Other</t>
        </is>
      </c>
      <c r="B6" s="23" t="n">
        <v>0.018</v>
      </c>
      <c r="C6" s="23" t="n">
        <v>0.273</v>
      </c>
      <c r="D6" s="23" t="n">
        <v>0.229</v>
      </c>
      <c r="E6" s="23" t="n">
        <v>0.394</v>
      </c>
      <c r="F6" s="23" t="n">
        <v>1.087</v>
      </c>
      <c r="G6" s="23" t="n">
        <v>2.001</v>
      </c>
      <c r="H6" s="23" t="n">
        <v>1.488</v>
      </c>
      <c r="I6" s="23" t="n">
        <v>1.542</v>
      </c>
      <c r="J6" s="23" t="n">
        <v>135.509</v>
      </c>
      <c r="K6" s="23" t="n">
        <v>9.994999999999999</v>
      </c>
      <c r="L6" s="23" t="n">
        <v>11.781</v>
      </c>
      <c r="M6" s="23" t="n">
        <v>9.079000000000001</v>
      </c>
      <c r="N6" s="23" t="n">
        <v>8.798999999999999</v>
      </c>
      <c r="O6" s="23" t="n">
        <v>8.689</v>
      </c>
    </row>
    <row r="7">
      <c r="A7" s="2" t="inlineStr">
        <is>
          <t>Operating Expense</t>
        </is>
      </c>
      <c r="B7" s="23">
        <f>SUM(B5:B6)</f>
        <v>0.018</v>
      </c>
      <c r="C7" s="23">
        <f>SUM(C5:C6)</f>
        <v>0.322</v>
      </c>
      <c r="D7" s="23">
        <f>SUM(D5:D6)</f>
        <v>0.233</v>
      </c>
      <c r="E7" s="23">
        <f>SUM(E5:E6)</f>
        <v>0.432</v>
      </c>
      <c r="F7" s="23">
        <f>SUM(F5:F6)</f>
        <v>1.553</v>
      </c>
      <c r="G7" s="23">
        <f>SUM(G5:G6)</f>
        <v>2.372</v>
      </c>
      <c r="H7" s="23">
        <f>SUM(H5:H6)</f>
        <v>2.496</v>
      </c>
      <c r="I7" s="23">
        <f>SUM(I5:I6)</f>
        <v>2.693</v>
      </c>
      <c r="J7" s="23">
        <f>SUM(J5:J6)</f>
        <v>138.05399999999997</v>
      </c>
      <c r="K7" s="23">
        <f>SUM(K5:K6)</f>
        <v>27.253</v>
      </c>
      <c r="L7" s="23">
        <f>SUM(L5:L6)</f>
        <v>45.080999999999996</v>
      </c>
      <c r="M7" s="23">
        <f>SUM(M5:M6)</f>
        <v>32.179</v>
      </c>
      <c r="N7" s="23">
        <f>SUM(N5:N6)</f>
        <v>18.066</v>
      </c>
      <c r="O7" s="23">
        <f>SUM(O5:O6)</f>
        <v>22.651</v>
      </c>
    </row>
    <row r="8">
      <c r="A8" s="2" t="inlineStr">
        <is>
          <t>Operating Income</t>
        </is>
      </c>
      <c r="B8" s="23">
        <f>B4-B7</f>
        <v>-0.018</v>
      </c>
      <c r="C8" s="23">
        <f>C4-C7</f>
        <v>-0.322</v>
      </c>
      <c r="D8" s="23">
        <f>D4-D7</f>
        <v>-0.233</v>
      </c>
      <c r="E8" s="23">
        <f>E4-E7</f>
        <v>-0.432</v>
      </c>
      <c r="F8" s="23">
        <f>F4-F7</f>
        <v>-1.553</v>
      </c>
      <c r="G8" s="23">
        <f>G4-G7</f>
        <v>-2.372</v>
      </c>
      <c r="H8" s="23">
        <f>H4-H7</f>
        <v>-2.496</v>
      </c>
      <c r="I8" s="23">
        <f>I4-I7</f>
        <v>-2.693</v>
      </c>
      <c r="J8" s="23">
        <f>J4-J7</f>
        <v>-138.05399999999997</v>
      </c>
      <c r="K8" s="23">
        <f>K4-K7</f>
        <v>-27.253</v>
      </c>
      <c r="L8" s="23">
        <f>L4-L7</f>
        <v>-45.080999999999996</v>
      </c>
      <c r="M8" s="23">
        <f>M4-M7</f>
        <v>-32.179</v>
      </c>
      <c r="N8" s="23">
        <f>N4-N7</f>
        <v>-18.066</v>
      </c>
      <c r="O8" s="23">
        <f>O4-O7</f>
        <v>-22.651</v>
      </c>
    </row>
    <row r="9">
      <c r="A9" s="19" t="inlineStr">
        <is>
          <t>Interest &amp; Other</t>
        </is>
      </c>
      <c r="B9" s="23" t="n">
        <v>0</v>
      </c>
      <c r="C9" s="23" t="n">
        <v>0</v>
      </c>
      <c r="D9" s="23" t="n">
        <v>0</v>
      </c>
      <c r="E9" s="23" t="n">
        <v>0</v>
      </c>
      <c r="F9" s="23" t="n">
        <v>0.223</v>
      </c>
      <c r="G9" s="23" t="n">
        <v>-0.062</v>
      </c>
      <c r="H9" s="23" t="n">
        <v>0.052</v>
      </c>
      <c r="I9" s="23" t="n">
        <v>-13.984</v>
      </c>
      <c r="J9" s="23" t="n">
        <v>7.805</v>
      </c>
      <c r="K9" s="23" t="n">
        <v>1.169</v>
      </c>
      <c r="L9" s="23" t="n">
        <v>-5.175</v>
      </c>
      <c r="M9" s="23" t="n">
        <v>0.059</v>
      </c>
      <c r="N9" s="23" t="n">
        <v>0.524</v>
      </c>
      <c r="O9" s="23" t="n">
        <v>0.579</v>
      </c>
    </row>
    <row r="10">
      <c r="A10" s="2" t="inlineStr">
        <is>
          <t>Pretax</t>
        </is>
      </c>
      <c r="B10" s="23">
        <f>B8+B9</f>
        <v>-0.018</v>
      </c>
      <c r="C10" s="23">
        <f>C8+C9</f>
        <v>-0.322</v>
      </c>
      <c r="D10" s="23">
        <f>D8+D9</f>
        <v>-0.233</v>
      </c>
      <c r="E10" s="23">
        <f>E8+E9</f>
        <v>-0.432</v>
      </c>
      <c r="F10" s="23">
        <f>F8+F9</f>
        <v>-1.3299999999999998</v>
      </c>
      <c r="G10" s="23">
        <f>G8+G9</f>
        <v>-2.4339999999999997</v>
      </c>
      <c r="H10" s="23">
        <f>H8+H9</f>
        <v>-2.444</v>
      </c>
      <c r="I10" s="23">
        <f>I8+I9</f>
        <v>-16.677</v>
      </c>
      <c r="J10" s="23">
        <f>J8+J9</f>
        <v>-130.24899999999997</v>
      </c>
      <c r="K10" s="23">
        <f>K8+K9</f>
        <v>-26.084</v>
      </c>
      <c r="L10" s="23">
        <f>L8+L9</f>
        <v>-50.25599999999999</v>
      </c>
      <c r="M10" s="23">
        <f>M8+M9</f>
        <v>-32.120000000000005</v>
      </c>
      <c r="N10" s="23">
        <f>N8+N9</f>
        <v>-17.541999999999998</v>
      </c>
      <c r="O10" s="23">
        <f>O8+O9</f>
        <v>-22.072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0</v>
      </c>
    </row>
    <row r="12">
      <c r="A12" s="2" t="inlineStr">
        <is>
          <t>Net Income</t>
        </is>
      </c>
      <c r="B12" s="23" t="n">
        <v>-0.018</v>
      </c>
      <c r="C12" s="23" t="n">
        <v>-0.322</v>
      </c>
      <c r="D12" s="23" t="n">
        <v>-0.233</v>
      </c>
      <c r="E12" s="23" t="n">
        <v>-0.432</v>
      </c>
      <c r="F12" s="23" t="n">
        <v>-1.331</v>
      </c>
      <c r="G12" s="23" t="n">
        <v>-2.434</v>
      </c>
      <c r="H12" s="23" t="n">
        <v>-2.444</v>
      </c>
      <c r="I12" s="23" t="n">
        <v>-16.677</v>
      </c>
      <c r="J12" s="23" t="n">
        <v>-130.249</v>
      </c>
      <c r="K12" s="23" t="n">
        <v>-26.084</v>
      </c>
      <c r="L12" s="23" t="n">
        <v>-50.256</v>
      </c>
      <c r="M12" s="23" t="n">
        <v>-32.121</v>
      </c>
      <c r="N12" s="23" t="n">
        <v>-17.542</v>
      </c>
      <c r="O12" s="23" t="n">
        <v>-22.073</v>
      </c>
    </row>
    <row r="13">
      <c r="A13" s="2" t="inlineStr">
        <is>
          <t>Earnings per Share</t>
        </is>
      </c>
      <c r="B13" s="11">
        <f>IFERROR(B12/B14,0)</f>
        <v>-0.0016591390911604754</v>
      </c>
      <c r="C13" s="11">
        <f>IFERROR(C12/C14,0)</f>
        <v>-0.014050704717022298</v>
      </c>
      <c r="D13" s="11">
        <f>IFERROR(D12/D14,0)</f>
        <v>-0.010152505446623095</v>
      </c>
      <c r="E13" s="11">
        <f>IFERROR(E12/E14,0)</f>
        <v>-0.01882599032553275</v>
      </c>
      <c r="F13" s="11">
        <f>IFERROR(F12/F14,0)</f>
        <v>-0.05658051351810916</v>
      </c>
      <c r="G13" s="11">
        <f>IFERROR(G12/G14,0)</f>
        <v>-0.0965911345688321</v>
      </c>
      <c r="H13" s="11">
        <f>IFERROR(H12/H14,0)</f>
        <v>-0.09623562765789888</v>
      </c>
      <c r="I13" s="11">
        <f>IFERROR(I12/I14,0)</f>
        <v>-0.3383101734455827</v>
      </c>
      <c r="J13" s="11">
        <f>IFERROR(J12/J14,0)</f>
        <v>-1.0501241615067078</v>
      </c>
      <c r="K13" s="11">
        <f>IFERROR(K12/K14,0)</f>
        <v>-0.21152676522345576</v>
      </c>
      <c r="L13" s="11">
        <f>IFERROR(L12/L14,0)</f>
        <v>-3.09420022164758</v>
      </c>
      <c r="M13" s="11">
        <f>IFERROR(M12/M14,0)</f>
        <v>-14.219123505976098</v>
      </c>
      <c r="N13" s="11">
        <f>IFERROR(N12/N14,0)</f>
        <v>-2.374712332475972</v>
      </c>
      <c r="O13" s="11">
        <f>IFERROR(O12/O14,0)</f>
        <v>-3.0462324040850124</v>
      </c>
    </row>
    <row r="14">
      <c r="A14" s="2" t="inlineStr">
        <is>
          <t>Shares</t>
        </is>
      </c>
      <c r="B14" s="23" t="n">
        <v>10.849</v>
      </c>
      <c r="C14" s="23" t="n">
        <v>22.917</v>
      </c>
      <c r="D14" s="23" t="n">
        <v>22.95</v>
      </c>
      <c r="E14" s="23" t="n">
        <v>22.947</v>
      </c>
      <c r="F14" s="23" t="n">
        <v>23.524</v>
      </c>
      <c r="G14" s="23" t="n">
        <v>25.199</v>
      </c>
      <c r="H14" s="23" t="n">
        <v>25.396</v>
      </c>
      <c r="I14" s="23" t="n">
        <v>49.295</v>
      </c>
      <c r="J14" s="23" t="n">
        <v>124.032</v>
      </c>
      <c r="K14" s="23" t="n">
        <v>123.313</v>
      </c>
      <c r="L14" s="23" t="n">
        <v>16.242</v>
      </c>
      <c r="M14" s="23" t="n">
        <v>2.259</v>
      </c>
      <c r="N14" s="23" t="n">
        <v>7.387</v>
      </c>
      <c r="O14" s="23" t="n">
        <v>7.246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  <c r="M16" s="15">
        <f>IFERROR(M2/L2-1,"")</f>
        <v/>
      </c>
      <c r="N16" s="15">
        <f>IFERROR(N2/M2-1,"")</f>
        <v/>
      </c>
      <c r="O16" s="15">
        <f>IFERROR(O2/N2-1,"")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  <c r="M17" s="15">
        <f>IFERROR(M4/M2,"")</f>
        <v/>
      </c>
      <c r="N17" s="15">
        <f>IFERROR(N4/N2,"")</f>
        <v/>
      </c>
      <c r="O17" s="15">
        <f>IFERROR(O4/O2,"")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  <c r="M18" s="15">
        <f>IFERROR(M8/M2,"")</f>
        <v/>
      </c>
      <c r="N18" s="15">
        <f>IFERROR(N8/N2,"")</f>
        <v/>
      </c>
      <c r="O18" s="15">
        <f>IFERROR(O8/O2,"")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BioVie Inc: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1-PRODUCT(Pipeline!AG4:AG5)</f>
        <v>0.32352777999999993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22.652</v>
      </c>
    </row>
    <row r="19">
      <c r="A19" s="14" t="inlineStr">
        <is>
          <t>Years of full burn (until the first launch, max 4)</t>
        </is>
      </c>
      <c r="B19" s="39">
        <f>MIN(4,MAX(1,MIN(Pipeline!I4:I5)-2026))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302.2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330.4864199105444</v>
      </c>
      <c r="C29" s="42">
        <f>NPV!B25</f>
        <v>339.4637899105444</v>
      </c>
      <c r="D29" s="43">
        <f>NPV!B27</f>
        <v>45.00597667693245</v>
      </c>
      <c r="E29" s="44">
        <f>NPV!B29</f>
        <v>31.851077866374048</v>
      </c>
    </row>
    <row r="30">
      <c r="A30" s="45" t="n">
        <v>1</v>
      </c>
      <c r="B30" s="46">
        <f t="dataTable" ref="B30:E32" r1="B4"/>
        <v>100.43871829967108</v>
      </c>
      <c r="C30" s="46">
        <v>109.41608829967109</v>
      </c>
      <c r="D30" s="47">
        <v>14.506342250505869</v>
      </c>
      <c r="E30" s="48">
        <v>9.588570985770707</v>
      </c>
    </row>
    <row r="31">
      <c r="A31" s="45" t="n">
        <v>2</v>
      </c>
      <c r="B31" s="46">
        <v>330.4864199105444</v>
      </c>
      <c r="C31" s="46">
        <v>339.4637899105444</v>
      </c>
      <c r="D31" s="47">
        <v>45.00597667693245</v>
      </c>
      <c r="E31" s="48">
        <v>31.851077866374048</v>
      </c>
    </row>
    <row r="32">
      <c r="A32" s="45" t="n">
        <v>3</v>
      </c>
      <c r="B32" s="46">
        <v>696.3725833075547</v>
      </c>
      <c r="C32" s="46">
        <v>705.3499533075546</v>
      </c>
      <c r="D32" s="47">
        <v>93.51502131052222</v>
      </c>
      <c r="E32" s="48">
        <v>67.25913964271695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45.00597667693245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9.742551771406216</v>
      </c>
      <c r="C37" s="47">
        <v>17.632313123457823</v>
      </c>
      <c r="D37" s="47">
        <v>25.31797669271718</v>
      </c>
      <c r="E37" s="47">
        <v>40.44411835581953</v>
      </c>
      <c r="F37" s="47">
        <v>55.4387446376871</v>
      </c>
    </row>
    <row r="38">
      <c r="A38" s="50" t="n">
        <v>0.8</v>
      </c>
      <c r="B38" s="47">
        <v>14.792098967784312</v>
      </c>
      <c r="C38" s="47">
        <v>25.0828310074701</v>
      </c>
      <c r="D38" s="47">
        <v>35.193762028025176</v>
      </c>
      <c r="E38" s="47">
        <v>55.20918885145059</v>
      </c>
      <c r="F38" s="47">
        <v>75.11786565283384</v>
      </c>
    </row>
    <row r="39">
      <c r="A39" s="50" t="n">
        <v>1</v>
      </c>
      <c r="B39" s="47">
        <v>19.7386876823087</v>
      </c>
      <c r="C39" s="47">
        <v>32.46082009733647</v>
      </c>
      <c r="D39" s="47">
        <v>45.00597667693245</v>
      </c>
      <c r="E39" s="47">
        <v>69.91942494097073</v>
      </c>
      <c r="F39" s="47">
        <v>94.7140579357423</v>
      </c>
    </row>
    <row r="40">
      <c r="A40" s="50" t="n">
        <v>1.2</v>
      </c>
      <c r="B40" s="47">
        <v>24.637997650745486</v>
      </c>
      <c r="C40" s="47">
        <v>39.77238651151103</v>
      </c>
      <c r="D40" s="47">
        <v>54.77493010313525</v>
      </c>
      <c r="E40" s="47">
        <v>84.60685187908726</v>
      </c>
      <c r="F40" s="47">
        <v>114.29662116965622</v>
      </c>
    </row>
    <row r="41">
      <c r="A41" s="50" t="n">
        <v>1.4</v>
      </c>
      <c r="B41" s="47">
        <v>29.49875938281653</v>
      </c>
      <c r="C41" s="47">
        <v>47.09233600687203</v>
      </c>
      <c r="D41" s="47">
        <v>64.52456554174806</v>
      </c>
      <c r="E41" s="47">
        <v>99.24931228658947</v>
      </c>
      <c r="F41" s="47">
        <v>133.88737645891993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BioVie Inc: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Vaccines / respiratory viruses</t>
        </is>
      </c>
      <c r="C4" s="14" t="inlineStr">
        <is>
          <t>NE3107</t>
        </is>
      </c>
      <c r="D4" s="14" t="inlineStr">
        <is>
          <t>Phase 2</t>
        </is>
      </c>
      <c r="E4" s="14" t="inlineStr">
        <is>
          <t>Infectious disease / area</t>
        </is>
      </c>
      <c r="F4" s="14" t="inlineStr">
        <is>
          <t>Owned</t>
        </is>
      </c>
      <c r="G4" s="40" t="n">
        <v>1000</v>
      </c>
      <c r="H4" s="27" t="n">
        <v>0.2283</v>
      </c>
      <c r="I4" s="26" t="n">
        <v>2031</v>
      </c>
      <c r="J4" s="39">
        <f>I4+Assumptions!$B$25</f>
        <v>2043.0</v>
      </c>
      <c r="K4" s="53">
        <f>Assumptions!$E$13</f>
        <v>0.4</v>
      </c>
      <c r="L4" s="23">
        <f>K4*SUMPRODUCT(M4:AF4,NPV!$C$15:$V$15)</f>
        <v>259.35861380517326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22.830000000000002</v>
      </c>
      <c r="S4" s="23">
        <f>IF(S$3&lt;$I4,0,$G4*Assumptions!$E$11*INDEX(Assumptions!$B$24:$G$24,MIN(6,S$3-$I4+1))*IF(S$3&gt;$J4,(1-Assumptions!$B$26)^(S$3-$J4),1)*IF($H4&gt;=1,1,MIN(0.97,$H4*Assumptions!$E$12)))</f>
        <v>57.075</v>
      </c>
      <c r="T4" s="23">
        <f>IF(T$3&lt;$I4,0,$G4*Assumptions!$E$11*INDEX(Assumptions!$B$24:$G$24,MIN(6,T$3-$I4+1))*IF(T$3&gt;$J4,(1-Assumptions!$B$26)^(T$3-$J4),1)*IF($H4&gt;=1,1,MIN(0.97,$H4*Assumptions!$E$12)))</f>
        <v>102.735</v>
      </c>
      <c r="U4" s="23">
        <f>IF(U$3&lt;$I4,0,$G4*Assumptions!$E$11*INDEX(Assumptions!$B$24:$G$24,MIN(6,U$3-$I4+1))*IF(U$3&gt;$J4,(1-Assumptions!$B$26)^(U$3-$J4),1)*IF($H4&gt;=1,1,MIN(0.97,$H4*Assumptions!$E$12)))</f>
        <v>148.395</v>
      </c>
      <c r="V4" s="23">
        <f>IF(V$3&lt;$I4,0,$G4*Assumptions!$E$11*INDEX(Assumptions!$B$24:$G$24,MIN(6,V$3-$I4+1))*IF(V$3&gt;$J4,(1-Assumptions!$B$26)^(V$3-$J4),1)*IF($H4&gt;=1,1,MIN(0.97,$H4*Assumptions!$E$12)))</f>
        <v>194.055</v>
      </c>
      <c r="W4" s="23">
        <f>IF(W$3&lt;$I4,0,$G4*Assumptions!$E$11*INDEX(Assumptions!$B$24:$G$24,MIN(6,W$3-$I4+1))*IF(W$3&gt;$J4,(1-Assumptions!$B$26)^(W$3-$J4),1)*IF($H4&gt;=1,1,MIN(0.97,$H4*Assumptions!$E$12)))</f>
        <v>228.3</v>
      </c>
      <c r="X4" s="23">
        <f>IF(X$3&lt;$I4,0,$G4*Assumptions!$E$11*INDEX(Assumptions!$B$24:$G$24,MIN(6,X$3-$I4+1))*IF(X$3&gt;$J4,(1-Assumptions!$B$26)^(X$3-$J4),1)*IF($H4&gt;=1,1,MIN(0.97,$H4*Assumptions!$E$12)))</f>
        <v>228.3</v>
      </c>
      <c r="Y4" s="23">
        <f>IF(Y$3&lt;$I4,0,$G4*Assumptions!$E$11*INDEX(Assumptions!$B$24:$G$24,MIN(6,Y$3-$I4+1))*IF(Y$3&gt;$J4,(1-Assumptions!$B$26)^(Y$3-$J4),1)*IF($H4&gt;=1,1,MIN(0.97,$H4*Assumptions!$E$12)))</f>
        <v>228.3</v>
      </c>
      <c r="Z4" s="23">
        <f>IF(Z$3&lt;$I4,0,$G4*Assumptions!$E$11*INDEX(Assumptions!$B$24:$G$24,MIN(6,Z$3-$I4+1))*IF(Z$3&gt;$J4,(1-Assumptions!$B$26)^(Z$3-$J4),1)*IF($H4&gt;=1,1,MIN(0.97,$H4*Assumptions!$E$12)))</f>
        <v>228.3</v>
      </c>
      <c r="AA4" s="23">
        <f>IF(AA$3&lt;$I4,0,$G4*Assumptions!$E$11*INDEX(Assumptions!$B$24:$G$24,MIN(6,AA$3-$I4+1))*IF(AA$3&gt;$J4,(1-Assumptions!$B$26)^(AA$3-$J4),1)*IF($H4&gt;=1,1,MIN(0.97,$H4*Assumptions!$E$12)))</f>
        <v>228.3</v>
      </c>
      <c r="AB4" s="23">
        <f>IF(AB$3&lt;$I4,0,$G4*Assumptions!$E$11*INDEX(Assumptions!$B$24:$G$24,MIN(6,AB$3-$I4+1))*IF(AB$3&gt;$J4,(1-Assumptions!$B$26)^(AB$3-$J4),1)*IF($H4&gt;=1,1,MIN(0.97,$H4*Assumptions!$E$12)))</f>
        <v>228.3</v>
      </c>
      <c r="AC4" s="23">
        <f>IF(AC$3&lt;$I4,0,$G4*Assumptions!$E$11*INDEX(Assumptions!$B$24:$G$24,MIN(6,AC$3-$I4+1))*IF(AC$3&gt;$J4,(1-Assumptions!$B$26)^(AC$3-$J4),1)*IF($H4&gt;=1,1,MIN(0.97,$H4*Assumptions!$E$12)))</f>
        <v>228.3</v>
      </c>
      <c r="AD4" s="23">
        <f>IF(AD$3&lt;$I4,0,$G4*Assumptions!$E$11*INDEX(Assumptions!$B$24:$G$24,MIN(6,AD$3-$I4+1))*IF(AD$3&gt;$J4,(1-Assumptions!$B$26)^(AD$3-$J4),1)*IF($H4&gt;=1,1,MIN(0.97,$H4*Assumptions!$E$12)))</f>
        <v>228.3</v>
      </c>
      <c r="AE4" s="23">
        <f>IF(AE$3&lt;$I4,0,$G4*Assumptions!$E$11*INDEX(Assumptions!$B$24:$G$24,MIN(6,AE$3-$I4+1))*IF(AE$3&gt;$J4,(1-Assumptions!$B$26)^(AE$3-$J4),1)*IF($H4&gt;=1,1,MIN(0.97,$H4*Assumptions!$E$12)))</f>
        <v>114.15</v>
      </c>
      <c r="AF4" s="23">
        <f>IF(AF$3&lt;$I4,0,$G4*Assumptions!$E$11*INDEX(Assumptions!$B$24:$G$24,MIN(6,AF$3-$I4+1))*IF(AF$3&gt;$J4,(1-Assumptions!$B$26)^(AF$3-$J4),1)*IF($H4&gt;=1,1,MIN(0.97,$H4*Assumptions!$E$12)))</f>
        <v>57.075</v>
      </c>
      <c r="AG4" s="35">
        <f>IF(F4="Owned",1-IF(H4&gt;=1,1,MIN(0.97,H4*Assumptions!$E$12)),1)</f>
        <v>0.7717</v>
      </c>
    </row>
    <row r="5">
      <c r="A5" s="39" t="n">
        <v>2</v>
      </c>
      <c r="B5" s="14" t="inlineStr">
        <is>
          <t>Parkinson's disease</t>
        </is>
      </c>
      <c r="C5" s="14" t="inlineStr">
        <is>
          <t>NE3107</t>
        </is>
      </c>
      <c r="D5" s="14" t="inlineStr">
        <is>
          <t>Phase 2</t>
        </is>
      </c>
      <c r="E5" s="14" t="inlineStr">
        <is>
          <t>Neurology / area</t>
        </is>
      </c>
      <c r="F5" s="14" t="inlineStr">
        <is>
          <t>Owned</t>
        </is>
      </c>
      <c r="G5" s="40" t="n">
        <v>1500</v>
      </c>
      <c r="H5" s="27" t="n">
        <v>0.1234</v>
      </c>
      <c r="I5" s="26" t="n">
        <v>2031</v>
      </c>
      <c r="J5" s="39">
        <f>I5+Assumptions!$B$25</f>
        <v>2043.0</v>
      </c>
      <c r="K5" s="53">
        <f>Assumptions!$E$13</f>
        <v>0.4</v>
      </c>
      <c r="L5" s="23">
        <f>K5*SUMPRODUCT(M5:AF5,NPV!$C$15:$V$15)</f>
        <v>210.28155679079097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0</v>
      </c>
      <c r="Q5" s="23">
        <f>IF(Q$3&lt;$I5,0,$G5*Assumptions!$E$11*INDEX(Assumptions!$B$24:$G$24,MIN(6,Q$3-$I5+1))*IF(Q$3&gt;$J5,(1-Assumptions!$B$26)^(Q$3-$J5),1)*IF($H5&gt;=1,1,MIN(0.97,$H5*Assumptions!$E$12)))</f>
        <v>0</v>
      </c>
      <c r="R5" s="23">
        <f>IF(R$3&lt;$I5,0,$G5*Assumptions!$E$11*INDEX(Assumptions!$B$24:$G$24,MIN(6,R$3-$I5+1))*IF(R$3&gt;$J5,(1-Assumptions!$B$26)^(R$3-$J5),1)*IF($H5&gt;=1,1,MIN(0.97,$H5*Assumptions!$E$12)))</f>
        <v>18.509999999999998</v>
      </c>
      <c r="S5" s="23">
        <f>IF(S$3&lt;$I5,0,$G5*Assumptions!$E$11*INDEX(Assumptions!$B$24:$G$24,MIN(6,S$3-$I5+1))*IF(S$3&gt;$J5,(1-Assumptions!$B$26)^(S$3-$J5),1)*IF($H5&gt;=1,1,MIN(0.97,$H5*Assumptions!$E$12)))</f>
        <v>46.275</v>
      </c>
      <c r="T5" s="23">
        <f>IF(T$3&lt;$I5,0,$G5*Assumptions!$E$11*INDEX(Assumptions!$B$24:$G$24,MIN(6,T$3-$I5+1))*IF(T$3&gt;$J5,(1-Assumptions!$B$26)^(T$3-$J5),1)*IF($H5&gt;=1,1,MIN(0.97,$H5*Assumptions!$E$12)))</f>
        <v>83.295</v>
      </c>
      <c r="U5" s="23">
        <f>IF(U$3&lt;$I5,0,$G5*Assumptions!$E$11*INDEX(Assumptions!$B$24:$G$24,MIN(6,U$3-$I5+1))*IF(U$3&gt;$J5,(1-Assumptions!$B$26)^(U$3-$J5),1)*IF($H5&gt;=1,1,MIN(0.97,$H5*Assumptions!$E$12)))</f>
        <v>120.315</v>
      </c>
      <c r="V5" s="23">
        <f>IF(V$3&lt;$I5,0,$G5*Assumptions!$E$11*INDEX(Assumptions!$B$24:$G$24,MIN(6,V$3-$I5+1))*IF(V$3&gt;$J5,(1-Assumptions!$B$26)^(V$3-$J5),1)*IF($H5&gt;=1,1,MIN(0.97,$H5*Assumptions!$E$12)))</f>
        <v>157.335</v>
      </c>
      <c r="W5" s="23">
        <f>IF(W$3&lt;$I5,0,$G5*Assumptions!$E$11*INDEX(Assumptions!$B$24:$G$24,MIN(6,W$3-$I5+1))*IF(W$3&gt;$J5,(1-Assumptions!$B$26)^(W$3-$J5),1)*IF($H5&gt;=1,1,MIN(0.97,$H5*Assumptions!$E$12)))</f>
        <v>185.1</v>
      </c>
      <c r="X5" s="23">
        <f>IF(X$3&lt;$I5,0,$G5*Assumptions!$E$11*INDEX(Assumptions!$B$24:$G$24,MIN(6,X$3-$I5+1))*IF(X$3&gt;$J5,(1-Assumptions!$B$26)^(X$3-$J5),1)*IF($H5&gt;=1,1,MIN(0.97,$H5*Assumptions!$E$12)))</f>
        <v>185.1</v>
      </c>
      <c r="Y5" s="23">
        <f>IF(Y$3&lt;$I5,0,$G5*Assumptions!$E$11*INDEX(Assumptions!$B$24:$G$24,MIN(6,Y$3-$I5+1))*IF(Y$3&gt;$J5,(1-Assumptions!$B$26)^(Y$3-$J5),1)*IF($H5&gt;=1,1,MIN(0.97,$H5*Assumptions!$E$12)))</f>
        <v>185.1</v>
      </c>
      <c r="Z5" s="23">
        <f>IF(Z$3&lt;$I5,0,$G5*Assumptions!$E$11*INDEX(Assumptions!$B$24:$G$24,MIN(6,Z$3-$I5+1))*IF(Z$3&gt;$J5,(1-Assumptions!$B$26)^(Z$3-$J5),1)*IF($H5&gt;=1,1,MIN(0.97,$H5*Assumptions!$E$12)))</f>
        <v>185.1</v>
      </c>
      <c r="AA5" s="23">
        <f>IF(AA$3&lt;$I5,0,$G5*Assumptions!$E$11*INDEX(Assumptions!$B$24:$G$24,MIN(6,AA$3-$I5+1))*IF(AA$3&gt;$J5,(1-Assumptions!$B$26)^(AA$3-$J5),1)*IF($H5&gt;=1,1,MIN(0.97,$H5*Assumptions!$E$12)))</f>
        <v>185.1</v>
      </c>
      <c r="AB5" s="23">
        <f>IF(AB$3&lt;$I5,0,$G5*Assumptions!$E$11*INDEX(Assumptions!$B$24:$G$24,MIN(6,AB$3-$I5+1))*IF(AB$3&gt;$J5,(1-Assumptions!$B$26)^(AB$3-$J5),1)*IF($H5&gt;=1,1,MIN(0.97,$H5*Assumptions!$E$12)))</f>
        <v>185.1</v>
      </c>
      <c r="AC5" s="23">
        <f>IF(AC$3&lt;$I5,0,$G5*Assumptions!$E$11*INDEX(Assumptions!$B$24:$G$24,MIN(6,AC$3-$I5+1))*IF(AC$3&gt;$J5,(1-Assumptions!$B$26)^(AC$3-$J5),1)*IF($H5&gt;=1,1,MIN(0.97,$H5*Assumptions!$E$12)))</f>
        <v>185.1</v>
      </c>
      <c r="AD5" s="23">
        <f>IF(AD$3&lt;$I5,0,$G5*Assumptions!$E$11*INDEX(Assumptions!$B$24:$G$24,MIN(6,AD$3-$I5+1))*IF(AD$3&gt;$J5,(1-Assumptions!$B$26)^(AD$3-$J5),1)*IF($H5&gt;=1,1,MIN(0.97,$H5*Assumptions!$E$12)))</f>
        <v>185.1</v>
      </c>
      <c r="AE5" s="23">
        <f>IF(AE$3&lt;$I5,0,$G5*Assumptions!$E$11*INDEX(Assumptions!$B$24:$G$24,MIN(6,AE$3-$I5+1))*IF(AE$3&gt;$J5,(1-Assumptions!$B$26)^(AE$3-$J5),1)*IF($H5&gt;=1,1,MIN(0.97,$H5*Assumptions!$E$12)))</f>
        <v>92.55</v>
      </c>
      <c r="AF5" s="23">
        <f>IF(AF$3&lt;$I5,0,$G5*Assumptions!$E$11*INDEX(Assumptions!$B$24:$G$24,MIN(6,AF$3-$I5+1))*IF(AF$3&gt;$J5,(1-Assumptions!$B$26)^(AF$3-$J5),1)*IF($H5&gt;=1,1,MIN(0.97,$H5*Assumptions!$E$12)))</f>
        <v>46.275</v>
      </c>
      <c r="AG5" s="35">
        <f>IF(F5="Owned",1-IF(H5&gt;=1,1,MIN(0.97,H5*Assumptions!$E$12)),1)</f>
        <v>0.8766</v>
      </c>
    </row>
    <row r="6">
      <c r="B6" s="24" t="inlineStr">
        <is>
          <t>Risked revenue</t>
        </is>
      </c>
      <c r="L6" s="54">
        <f>SUM(L4:L5)</f>
        <v>469.64017059596426</v>
      </c>
      <c r="M6" s="54">
        <f>SUM(M4:M5)</f>
        <v>0.0</v>
      </c>
      <c r="N6" s="54">
        <f>SUM(N4:N5)</f>
        <v>0.0</v>
      </c>
      <c r="O6" s="54">
        <f>SUM(O4:O5)</f>
        <v>0.0</v>
      </c>
      <c r="P6" s="54">
        <f>SUM(P4:P5)</f>
        <v>0.0</v>
      </c>
      <c r="Q6" s="54">
        <f>SUM(Q4:Q5)</f>
        <v>0.0</v>
      </c>
      <c r="R6" s="54">
        <f>SUM(R4:R5)</f>
        <v>41.34</v>
      </c>
      <c r="S6" s="54">
        <f>SUM(S4:S5)</f>
        <v>103.35</v>
      </c>
      <c r="T6" s="54">
        <f>SUM(T4:T5)</f>
        <v>186.03</v>
      </c>
      <c r="U6" s="54">
        <f>SUM(U4:U5)</f>
        <v>268.71000000000004</v>
      </c>
      <c r="V6" s="54">
        <f>SUM(V4:V5)</f>
        <v>351.39</v>
      </c>
      <c r="W6" s="54">
        <f>SUM(W4:W5)</f>
        <v>413.4</v>
      </c>
      <c r="X6" s="54">
        <f>SUM(X4:X5)</f>
        <v>413.4</v>
      </c>
      <c r="Y6" s="54">
        <f>SUM(Y4:Y5)</f>
        <v>413.4</v>
      </c>
      <c r="Z6" s="54">
        <f>SUM(Z4:Z5)</f>
        <v>413.4</v>
      </c>
      <c r="AA6" s="54">
        <f>SUM(AA4:AA5)</f>
        <v>413.4</v>
      </c>
      <c r="AB6" s="54">
        <f>SUM(AB4:AB5)</f>
        <v>413.4</v>
      </c>
      <c r="AC6" s="54">
        <f>SUM(AC4:AC5)</f>
        <v>413.4</v>
      </c>
      <c r="AD6" s="54">
        <f>SUM(AD4:AD5)</f>
        <v>413.4</v>
      </c>
      <c r="AE6" s="54">
        <f>SUM(AE4:AE5)</f>
        <v>206.7</v>
      </c>
      <c r="AF6" s="54">
        <f>SUM(AF4:AF5)</f>
        <v>103.35</v>
      </c>
    </row>
    <row r="7">
      <c r="B7" s="24" t="inlineStr">
        <is>
          <t>Risked contribution (revenue x share)</t>
        </is>
      </c>
      <c r="M7" s="55">
        <f>SUMPRODUCT(M4:M5,$K$4:$K$5)</f>
        <v>0.0</v>
      </c>
      <c r="N7" s="55">
        <f>SUMPRODUCT(N4:N5,$K$4:$K$5)</f>
        <v>0.0</v>
      </c>
      <c r="O7" s="55">
        <f>SUMPRODUCT(O4:O5,$K$4:$K$5)</f>
        <v>0.0</v>
      </c>
      <c r="P7" s="55">
        <f>SUMPRODUCT(P4:P5,$K$4:$K$5)</f>
        <v>0.0</v>
      </c>
      <c r="Q7" s="55">
        <f>SUMPRODUCT(Q4:Q5,$K$4:$K$5)</f>
        <v>0.0</v>
      </c>
      <c r="R7" s="55">
        <f>SUMPRODUCT(R4:R5,$K$4:$K$5)</f>
        <v>16.536</v>
      </c>
      <c r="S7" s="55">
        <f>SUMPRODUCT(S4:S5,$K$4:$K$5)</f>
        <v>41.34</v>
      </c>
      <c r="T7" s="55">
        <f>SUMPRODUCT(T4:T5,$K$4:$K$5)</f>
        <v>74.412</v>
      </c>
      <c r="U7" s="55">
        <f>SUMPRODUCT(U4:U5,$K$4:$K$5)</f>
        <v>107.48400000000001</v>
      </c>
      <c r="V7" s="55">
        <f>SUMPRODUCT(V4:V5,$K$4:$K$5)</f>
        <v>140.556</v>
      </c>
      <c r="W7" s="55">
        <f>SUMPRODUCT(W4:W5,$K$4:$K$5)</f>
        <v>165.36</v>
      </c>
      <c r="X7" s="55">
        <f>SUMPRODUCT(X4:X5,$K$4:$K$5)</f>
        <v>165.36</v>
      </c>
      <c r="Y7" s="55">
        <f>SUMPRODUCT(Y4:Y5,$K$4:$K$5)</f>
        <v>165.36</v>
      </c>
      <c r="Z7" s="55">
        <f>SUMPRODUCT(Z4:Z5,$K$4:$K$5)</f>
        <v>165.36</v>
      </c>
      <c r="AA7" s="55">
        <f>SUMPRODUCT(AA4:AA5,$K$4:$K$5)</f>
        <v>165.36</v>
      </c>
      <c r="AB7" s="55">
        <f>SUMPRODUCT(AB4:AB5,$K$4:$K$5)</f>
        <v>165.36</v>
      </c>
      <c r="AC7" s="55">
        <f>SUMPRODUCT(AC4:AC5,$K$4:$K$5)</f>
        <v>165.36</v>
      </c>
      <c r="AD7" s="55">
        <f>SUMPRODUCT(AD4:AD5,$K$4:$K$5)</f>
        <v>165.36</v>
      </c>
      <c r="AE7" s="55">
        <f>SUMPRODUCT(AE4:AE5,$K$4:$K$5)</f>
        <v>82.68</v>
      </c>
      <c r="AF7" s="55">
        <f>SUMPRODUCT(AF4:AF5,$K$4:$K$5)</f>
        <v>41.34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BioVie Inc: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Pipeline!M6</f>
        <v>0.0</v>
      </c>
      <c r="D4" s="57">
        <f>Pipeline!N6</f>
        <v>0.0</v>
      </c>
      <c r="E4" s="57">
        <f>Pipeline!O6</f>
        <v>0.0</v>
      </c>
      <c r="F4" s="57">
        <f>Pipeline!P6</f>
        <v>0.0</v>
      </c>
      <c r="G4" s="57">
        <f>Pipeline!Q6</f>
        <v>0.0</v>
      </c>
      <c r="H4" s="57">
        <f>Pipeline!R6</f>
        <v>41.34</v>
      </c>
      <c r="I4" s="57">
        <f>Pipeline!S6</f>
        <v>103.35</v>
      </c>
      <c r="J4" s="57">
        <f>Pipeline!T6</f>
        <v>186.03</v>
      </c>
      <c r="K4" s="57">
        <f>Pipeline!U6</f>
        <v>268.71000000000004</v>
      </c>
      <c r="L4" s="57">
        <f>Pipeline!V6</f>
        <v>351.39</v>
      </c>
      <c r="M4" s="57">
        <f>Pipeline!W6</f>
        <v>413.4</v>
      </c>
      <c r="N4" s="57">
        <f>Pipeline!X6</f>
        <v>413.4</v>
      </c>
      <c r="O4" s="57">
        <f>Pipeline!Y6</f>
        <v>413.4</v>
      </c>
      <c r="P4" s="57">
        <f>Pipeline!Z6</f>
        <v>413.4</v>
      </c>
      <c r="Q4" s="57">
        <f>Pipeline!AA6</f>
        <v>413.4</v>
      </c>
      <c r="R4" s="57">
        <f>Pipeline!AB6</f>
        <v>413.4</v>
      </c>
      <c r="S4" s="57">
        <f>Pipeline!AC6</f>
        <v>413.4</v>
      </c>
      <c r="T4" s="57">
        <f>Pipeline!AD6</f>
        <v>413.4</v>
      </c>
      <c r="U4" s="57">
        <f>Pipeline!AE6</f>
        <v>206.7</v>
      </c>
      <c r="V4" s="57">
        <f>Pipeline!AF6</f>
        <v>103.35</v>
      </c>
    </row>
    <row r="5">
      <c r="A5" s="14" t="inlineStr">
        <is>
          <t>Risked contribution</t>
        </is>
      </c>
      <c r="C5" s="57">
        <f>Pipeline!M7</f>
        <v>0.0</v>
      </c>
      <c r="D5" s="57">
        <f>Pipeline!N7</f>
        <v>0.0</v>
      </c>
      <c r="E5" s="57">
        <f>Pipeline!O7</f>
        <v>0.0</v>
      </c>
      <c r="F5" s="57">
        <f>Pipeline!P7</f>
        <v>0.0</v>
      </c>
      <c r="G5" s="57">
        <f>Pipeline!Q7</f>
        <v>0.0</v>
      </c>
      <c r="H5" s="57">
        <f>Pipeline!R7</f>
        <v>16.536</v>
      </c>
      <c r="I5" s="57">
        <f>Pipeline!S7</f>
        <v>41.34</v>
      </c>
      <c r="J5" s="57">
        <f>Pipeline!T7</f>
        <v>74.412</v>
      </c>
      <c r="K5" s="57">
        <f>Pipeline!U7</f>
        <v>107.48400000000001</v>
      </c>
      <c r="L5" s="57">
        <f>Pipeline!V7</f>
        <v>140.556</v>
      </c>
      <c r="M5" s="57">
        <f>Pipeline!W7</f>
        <v>165.36</v>
      </c>
      <c r="N5" s="57">
        <f>Pipeline!X7</f>
        <v>165.36</v>
      </c>
      <c r="O5" s="57">
        <f>Pipeline!Y7</f>
        <v>165.36</v>
      </c>
      <c r="P5" s="57">
        <f>Pipeline!Z7</f>
        <v>165.36</v>
      </c>
      <c r="Q5" s="57">
        <f>Pipeline!AA7</f>
        <v>165.36</v>
      </c>
      <c r="R5" s="57">
        <f>Pipeline!AB7</f>
        <v>165.36</v>
      </c>
      <c r="S5" s="57">
        <f>Pipeline!AC7</f>
        <v>165.36</v>
      </c>
      <c r="T5" s="57">
        <f>Pipeline!AD7</f>
        <v>165.36</v>
      </c>
      <c r="U5" s="57">
        <f>Pipeline!AE7</f>
        <v>82.68</v>
      </c>
      <c r="V5" s="57">
        <f>Pipeline!AF7</f>
        <v>41.34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-22.652</v>
      </c>
      <c r="D6" s="23">
        <f>-IF(D3-2026&lt;Assumptions!$B$19,Assumptions!$B$18,Assumptions!$B$18*Assumptions!$B$20*Assumptions!$B$16)</f>
        <v>-22.652</v>
      </c>
      <c r="E6" s="23">
        <f>-IF(E3-2026&lt;Assumptions!$B$19,Assumptions!$B$18,Assumptions!$B$18*Assumptions!$B$20*Assumptions!$B$16)</f>
        <v>-22.652</v>
      </c>
      <c r="F6" s="23">
        <f>-IF(F3-2026&lt;Assumptions!$B$19,Assumptions!$B$18,Assumptions!$B$18*Assumptions!$B$20*Assumptions!$B$16)</f>
        <v>-22.652</v>
      </c>
      <c r="G6" s="23">
        <f>-IF(G3-2026&lt;Assumptions!$B$19,Assumptions!$B$18,Assumptions!$B$18*Assumptions!$B$20*Assumptions!$B$16)</f>
        <v>-2.1985653817679998</v>
      </c>
      <c r="H6" s="23">
        <f>-IF(H3-2026&lt;Assumptions!$B$19,Assumptions!$B$18,Assumptions!$B$18*Assumptions!$B$20*Assumptions!$B$16)</f>
        <v>-2.1985653817679998</v>
      </c>
      <c r="I6" s="23">
        <f>-IF(I3-2026&lt;Assumptions!$B$19,Assumptions!$B$18,Assumptions!$B$18*Assumptions!$B$20*Assumptions!$B$16)</f>
        <v>-2.1985653817679998</v>
      </c>
      <c r="J6" s="23">
        <f>-IF(J3-2026&lt;Assumptions!$B$19,Assumptions!$B$18,Assumptions!$B$18*Assumptions!$B$20*Assumptions!$B$16)</f>
        <v>-2.1985653817679998</v>
      </c>
      <c r="K6" s="23">
        <f>-IF(K3-2026&lt;Assumptions!$B$19,Assumptions!$B$18,Assumptions!$B$18*Assumptions!$B$20*Assumptions!$B$16)</f>
        <v>-2.1985653817679998</v>
      </c>
      <c r="L6" s="23">
        <f>-IF(L3-2026&lt;Assumptions!$B$19,Assumptions!$B$18,Assumptions!$B$18*Assumptions!$B$20*Assumptions!$B$16)</f>
        <v>-2.1985653817679998</v>
      </c>
      <c r="M6" s="23">
        <f>-IF(M3-2026&lt;Assumptions!$B$19,Assumptions!$B$18,Assumptions!$B$18*Assumptions!$B$20*Assumptions!$B$16)</f>
        <v>-2.1985653817679998</v>
      </c>
      <c r="N6" s="23">
        <f>-IF(N3-2026&lt;Assumptions!$B$19,Assumptions!$B$18,Assumptions!$B$18*Assumptions!$B$20*Assumptions!$B$16)</f>
        <v>-2.1985653817679998</v>
      </c>
      <c r="O6" s="23">
        <f>-IF(O3-2026&lt;Assumptions!$B$19,Assumptions!$B$18,Assumptions!$B$18*Assumptions!$B$20*Assumptions!$B$16)</f>
        <v>-2.1985653817679998</v>
      </c>
      <c r="P6" s="23">
        <f>-IF(P3-2026&lt;Assumptions!$B$19,Assumptions!$B$18,Assumptions!$B$18*Assumptions!$B$20*Assumptions!$B$16)</f>
        <v>-2.1985653817679998</v>
      </c>
      <c r="Q6" s="23">
        <f>-IF(Q3-2026&lt;Assumptions!$B$19,Assumptions!$B$18,Assumptions!$B$18*Assumptions!$B$20*Assumptions!$B$16)</f>
        <v>-2.1985653817679998</v>
      </c>
      <c r="R6" s="23">
        <f>-IF(R3-2026&lt;Assumptions!$B$19,Assumptions!$B$18,Assumptions!$B$18*Assumptions!$B$20*Assumptions!$B$16)</f>
        <v>-2.1985653817679998</v>
      </c>
      <c r="S6" s="23">
        <f>-IF(S3-2026&lt;Assumptions!$B$19,Assumptions!$B$18,Assumptions!$B$18*Assumptions!$B$20*Assumptions!$B$16)</f>
        <v>-2.1985653817679998</v>
      </c>
      <c r="T6" s="23">
        <f>-IF(T3-2026&lt;Assumptions!$B$19,Assumptions!$B$18,Assumptions!$B$18*Assumptions!$B$20*Assumptions!$B$16)</f>
        <v>-2.1985653817679998</v>
      </c>
      <c r="U6" s="23">
        <f>-IF(U3-2026&lt;Assumptions!$B$19,Assumptions!$B$18,Assumptions!$B$18*Assumptions!$B$20*Assumptions!$B$16)</f>
        <v>-2.1985653817679998</v>
      </c>
      <c r="V6" s="23">
        <f>-IF(V3-2026&lt;Assumptions!$B$19,Assumptions!$B$18,Assumptions!$B$18*Assumptions!$B$20*Assumptions!$B$16)</f>
        <v>-2.1985653817679998</v>
      </c>
    </row>
    <row r="7">
      <c r="A7" s="14" t="inlineStr">
        <is>
          <t>Pre-tax cash flow</t>
        </is>
      </c>
      <c r="C7" s="23">
        <f>C5+C6</f>
        <v>-22.652</v>
      </c>
      <c r="D7" s="23">
        <f>D5+D6</f>
        <v>-22.652</v>
      </c>
      <c r="E7" s="23">
        <f>E5+E6</f>
        <v>-22.652</v>
      </c>
      <c r="F7" s="23">
        <f>F5+F6</f>
        <v>-22.652</v>
      </c>
      <c r="G7" s="23">
        <f>G5+G6</f>
        <v>-2.1985653817679998</v>
      </c>
      <c r="H7" s="23">
        <f>H5+H6</f>
        <v>14.337434618232002</v>
      </c>
      <c r="I7" s="23">
        <f>I5+I6</f>
        <v>39.141434618232005</v>
      </c>
      <c r="J7" s="23">
        <f>J5+J6</f>
        <v>72.213434618232</v>
      </c>
      <c r="K7" s="23">
        <f>K5+K6</f>
        <v>105.285434618232</v>
      </c>
      <c r="L7" s="23">
        <f>L5+L6</f>
        <v>138.35743461823202</v>
      </c>
      <c r="M7" s="23">
        <f>M5+M6</f>
        <v>163.16143461823202</v>
      </c>
      <c r="N7" s="23">
        <f>N5+N6</f>
        <v>163.16143461823202</v>
      </c>
      <c r="O7" s="23">
        <f>O5+O6</f>
        <v>163.16143461823202</v>
      </c>
      <c r="P7" s="23">
        <f>P5+P6</f>
        <v>163.16143461823202</v>
      </c>
      <c r="Q7" s="23">
        <f>Q5+Q6</f>
        <v>163.16143461823202</v>
      </c>
      <c r="R7" s="23">
        <f>R5+R6</f>
        <v>163.16143461823202</v>
      </c>
      <c r="S7" s="23">
        <f>S5+S6</f>
        <v>163.16143461823202</v>
      </c>
      <c r="T7" s="23">
        <f>T5+T6</f>
        <v>163.16143461823202</v>
      </c>
      <c r="U7" s="23">
        <f>U5+U6</f>
        <v>80.481434618232</v>
      </c>
      <c r="V7" s="23">
        <f>V5+V6</f>
        <v>39.141434618232005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14.337434618232002</v>
      </c>
      <c r="I8" s="23">
        <f>MIN(H17,MAX(0,I7))</f>
        <v>39.141434618232005</v>
      </c>
      <c r="J8" s="23">
        <f>MIN(I17,MAX(0,J7))</f>
        <v>72.213434618232</v>
      </c>
      <c r="K8" s="23">
        <f>MIN(J17,MAX(0,K7))</f>
        <v>105.285434618232</v>
      </c>
      <c r="L8" s="23">
        <f>MIN(K17,MAX(0,L7))</f>
        <v>138.35743461823202</v>
      </c>
      <c r="M8" s="23">
        <f>MIN(L17,MAX(0,M7))</f>
        <v>25.67139229060794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137.49004232762408</v>
      </c>
      <c r="N9" s="23">
        <f>MAX(0,N7)-N8</f>
        <v>163.16143461823202</v>
      </c>
      <c r="O9" s="23">
        <f>MAX(0,O7)-O8</f>
        <v>163.16143461823202</v>
      </c>
      <c r="P9" s="23">
        <f>MAX(0,P7)-P8</f>
        <v>163.16143461823202</v>
      </c>
      <c r="Q9" s="23">
        <f>MAX(0,Q7)-Q8</f>
        <v>163.16143461823202</v>
      </c>
      <c r="R9" s="23">
        <f>MAX(0,R7)-R8</f>
        <v>163.16143461823202</v>
      </c>
      <c r="S9" s="23">
        <f>MAX(0,S7)-S8</f>
        <v>163.16143461823202</v>
      </c>
      <c r="T9" s="23">
        <f>MAX(0,T7)-T8</f>
        <v>163.16143461823202</v>
      </c>
      <c r="U9" s="23">
        <f>MAX(0,U7)-U8</f>
        <v>80.481434618232</v>
      </c>
      <c r="V9" s="23">
        <f>MAX(0,V7)-V8</f>
        <v>39.141434618232005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28.872908888801057</v>
      </c>
      <c r="N10" s="23">
        <f>N9*Assumptions!$E$15</f>
        <v>34.26390126982872</v>
      </c>
      <c r="O10" s="23">
        <f>O9*Assumptions!$E$15</f>
        <v>34.26390126982872</v>
      </c>
      <c r="P10" s="23">
        <f>P9*Assumptions!$E$15</f>
        <v>34.26390126982872</v>
      </c>
      <c r="Q10" s="23">
        <f>Q9*Assumptions!$E$15</f>
        <v>34.26390126982872</v>
      </c>
      <c r="R10" s="23">
        <f>R9*Assumptions!$E$15</f>
        <v>34.26390126982872</v>
      </c>
      <c r="S10" s="23">
        <f>S9*Assumptions!$E$15</f>
        <v>34.26390126982872</v>
      </c>
      <c r="T10" s="23">
        <f>T9*Assumptions!$E$15</f>
        <v>34.26390126982872</v>
      </c>
      <c r="U10" s="23">
        <f>U9*Assumptions!$E$15</f>
        <v>16.901101269828718</v>
      </c>
      <c r="V10" s="23">
        <f>V9*Assumptions!$E$15</f>
        <v>8.21970126982872</v>
      </c>
    </row>
    <row r="11">
      <c r="A11" s="24" t="inlineStr">
        <is>
          <t>Free cash flow</t>
        </is>
      </c>
      <c r="C11" s="55">
        <f>C7-C10</f>
        <v>-22.652</v>
      </c>
      <c r="D11" s="55">
        <f>D7-D10</f>
        <v>-22.652</v>
      </c>
      <c r="E11" s="55">
        <f>E7-E10</f>
        <v>-22.652</v>
      </c>
      <c r="F11" s="55">
        <f>F7-F10</f>
        <v>-22.652</v>
      </c>
      <c r="G11" s="55">
        <f>G7-G10</f>
        <v>-2.1985653817679998</v>
      </c>
      <c r="H11" s="55">
        <f>H7-H10</f>
        <v>14.337434618232002</v>
      </c>
      <c r="I11" s="55">
        <f>I7-I10</f>
        <v>39.141434618232005</v>
      </c>
      <c r="J11" s="55">
        <f>J7-J10</f>
        <v>72.213434618232</v>
      </c>
      <c r="K11" s="55">
        <f>K7-K10</f>
        <v>105.285434618232</v>
      </c>
      <c r="L11" s="55">
        <f>L7-L10</f>
        <v>138.35743461823202</v>
      </c>
      <c r="M11" s="55">
        <f>M7-M10</f>
        <v>134.28852572943097</v>
      </c>
      <c r="N11" s="55">
        <f>N7-N10</f>
        <v>128.8975333484033</v>
      </c>
      <c r="O11" s="55">
        <f>O7-O10</f>
        <v>128.8975333484033</v>
      </c>
      <c r="P11" s="55">
        <f>P7-P10</f>
        <v>128.8975333484033</v>
      </c>
      <c r="Q11" s="55">
        <f>Q7-Q10</f>
        <v>128.8975333484033</v>
      </c>
      <c r="R11" s="55">
        <f>R7-R10</f>
        <v>128.8975333484033</v>
      </c>
      <c r="S11" s="55">
        <f>S7-S10</f>
        <v>128.8975333484033</v>
      </c>
      <c r="T11" s="55">
        <f>T7-T10</f>
        <v>128.8975333484033</v>
      </c>
      <c r="U11" s="55">
        <f>U7-U10</f>
        <v>63.580333348403286</v>
      </c>
      <c r="V11" s="55">
        <f>V7-V10</f>
        <v>30.921733348403286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-11.097313313880107</v>
      </c>
      <c r="D16" s="55">
        <f>D11*D15</f>
        <v>-20.21560468501699</v>
      </c>
      <c r="E16" s="55">
        <f>E11*E15</f>
        <v>-18.049647040193737</v>
      </c>
      <c r="F16" s="55">
        <f>F11*F15</f>
        <v>-16.115756285887265</v>
      </c>
      <c r="G16" s="55">
        <f>G11*G15</f>
        <v>-1.3965789788020047</v>
      </c>
      <c r="H16" s="55">
        <f>H11*H15</f>
        <v>8.131666207289033</v>
      </c>
      <c r="I16" s="55">
        <f>I11*I15</f>
        <v>19.82105695839628</v>
      </c>
      <c r="J16" s="55">
        <f>J11*J15</f>
        <v>32.65051597700646</v>
      </c>
      <c r="K16" s="55">
        <f>K11*K15</f>
        <v>42.50326756225939</v>
      </c>
      <c r="L16" s="55">
        <f>L11*L15</f>
        <v>49.86990063971188</v>
      </c>
      <c r="M16" s="55">
        <f>M11*M15</f>
        <v>43.2172258194544</v>
      </c>
      <c r="N16" s="55">
        <f>N11*N15</f>
        <v>37.03774721543821</v>
      </c>
      <c r="O16" s="55">
        <f>O11*O15</f>
        <v>33.06941715664125</v>
      </c>
      <c r="P16" s="55">
        <f>P11*P15</f>
        <v>29.526265318429687</v>
      </c>
      <c r="Q16" s="55">
        <f>Q11*Q15</f>
        <v>26.36273689145508</v>
      </c>
      <c r="R16" s="55">
        <f>R11*R15</f>
        <v>23.538157938799177</v>
      </c>
      <c r="S16" s="55">
        <f>S11*S15</f>
        <v>21.016212445356402</v>
      </c>
      <c r="T16" s="55">
        <f>T11*T15</f>
        <v>18.764475397639647</v>
      </c>
      <c r="U16" s="55">
        <f>U11*U15</f>
        <v>8.264119692441259</v>
      </c>
      <c r="V16" s="55">
        <f>V11*V15</f>
        <v>3.5885549940062926</v>
      </c>
    </row>
    <row r="17">
      <c r="A17" s="14" t="inlineStr">
        <is>
          <t>Tax-loss carryforward, end of year</t>
        </is>
      </c>
      <c r="C17" s="23">
        <f>Assumptions!$B$21-C8+MAX(0,-C7)</f>
        <v>324.852</v>
      </c>
      <c r="D17" s="23">
        <f>C17-D8+MAX(0,-D7)</f>
        <v>347.50399999999996</v>
      </c>
      <c r="E17" s="23">
        <f>D17-E8+MAX(0,-E7)</f>
        <v>370.15599999999995</v>
      </c>
      <c r="F17" s="23">
        <f>E17-F8+MAX(0,-F7)</f>
        <v>392.80799999999994</v>
      </c>
      <c r="G17" s="23">
        <f>F17-G8+MAX(0,-G7)</f>
        <v>395.0065653817679</v>
      </c>
      <c r="H17" s="23">
        <f>G17-H8+MAX(0,-H7)</f>
        <v>380.6691307635359</v>
      </c>
      <c r="I17" s="23">
        <f>H17-I8+MAX(0,-I7)</f>
        <v>341.52769614530393</v>
      </c>
      <c r="J17" s="23">
        <f>I17-J8+MAX(0,-J7)</f>
        <v>269.31426152707195</v>
      </c>
      <c r="K17" s="23">
        <f>J17-K8+MAX(0,-K7)</f>
        <v>164.02882690883996</v>
      </c>
      <c r="L17" s="23">
        <f>K17-L8+MAX(0,-L7)</f>
        <v>25.67139229060794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469.6401705959642</v>
      </c>
    </row>
    <row r="20">
      <c r="A20" s="14" t="inlineStr">
        <is>
          <t>PV of corporate burn</t>
        </is>
      </c>
      <c r="B20" s="23">
        <f>SUMPRODUCT(C6:V6,C15:V15)</f>
        <v>-76.38681047723595</v>
      </c>
    </row>
    <row r="21">
      <c r="A21" s="14" t="inlineStr">
        <is>
          <t>PV of taxes</t>
        </is>
      </c>
      <c r="B21" s="23">
        <f>-SUMPRODUCT(C10:V10,C15:V15)</f>
        <v>-62.76694020818391</v>
      </c>
    </row>
    <row r="22">
      <c r="A22" s="24" t="inlineStr">
        <is>
          <t>Pipeline rNPV (operations)</t>
        </is>
      </c>
      <c r="B22" s="54">
        <f>SUM(C16:V16)</f>
        <v>330.4864199105444</v>
      </c>
    </row>
    <row r="23">
      <c r="A23" s="14" t="inlineStr">
        <is>
          <t>Cash &amp; investments</t>
        </is>
      </c>
      <c r="B23" s="57">
        <f>Main!C7</f>
        <v>8.97737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339.4637899105444</v>
      </c>
    </row>
    <row r="26">
      <c r="A26" s="14" t="inlineStr">
        <is>
          <t>Shares (mm)</t>
        </is>
      </c>
      <c r="B26" s="57">
        <f>Main!C4</f>
        <v>7.542638</v>
      </c>
    </row>
    <row r="27">
      <c r="A27" s="24" t="inlineStr">
        <is>
          <t>rNPV / share</t>
        </is>
      </c>
      <c r="B27" s="60">
        <f>B25/B26</f>
        <v>45.00597667693245</v>
      </c>
    </row>
    <row r="28">
      <c r="A28" s="14" t="inlineStr">
        <is>
          <t>Price</t>
        </is>
      </c>
      <c r="B28" s="61">
        <f>Main!C3</f>
        <v>1.37</v>
      </c>
    </row>
    <row r="29">
      <c r="A29" s="14" t="inlineStr">
        <is>
          <t>Upside</t>
        </is>
      </c>
      <c r="B29" s="62">
        <f>B27/B28-1</f>
        <v>31.851077866374048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2026-10-21T06:31:05Z</dcterms:modified>
  <cp:lastModifiedBy>Wang, Eric</cp:lastModifiedBy>
</cp:coreProperties>
</file>