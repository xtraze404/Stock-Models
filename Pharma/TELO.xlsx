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Telomir Pharmaceuticals Inc</t>
        </is>
      </c>
      <c r="C2" s="10" t="n"/>
    </row>
    <row r="3">
      <c r="B3" t="inlineStr">
        <is>
          <t>Price</t>
        </is>
      </c>
      <c r="C3" s="11">
        <f>INDEX([1]Pharma!$F$1:$F$1000,MATCH("TELO",[1]Pharma!$B$1:$B$1000,0))</f>
        <v>1.01</v>
      </c>
      <c r="F3" s="1" t="n"/>
    </row>
    <row r="4">
      <c r="B4" t="inlineStr">
        <is>
          <t>Shares</t>
        </is>
      </c>
      <c r="C4" s="21" t="n">
        <v>68.774956</v>
      </c>
      <c r="F4" s="1" t="n"/>
    </row>
    <row r="5">
      <c r="B5" t="inlineStr">
        <is>
          <t>Market Cap.</t>
        </is>
      </c>
      <c r="C5" s="13">
        <f>C3*C4</f>
        <v>69.46270556</v>
      </c>
      <c r="F5" s="1" t="n"/>
    </row>
    <row r="6"/>
    <row r="7">
      <c r="B7" t="inlineStr">
        <is>
          <t>Cash</t>
        </is>
      </c>
      <c r="C7" s="21" t="n">
        <v>5.170286</v>
      </c>
    </row>
    <row r="8">
      <c r="B8" t="inlineStr">
        <is>
          <t>Debt</t>
        </is>
      </c>
      <c r="C8" s="21" t="n">
        <v>0.136372</v>
      </c>
    </row>
    <row r="9">
      <c r="B9" t="inlineStr">
        <is>
          <t>Enterprise V.</t>
        </is>
      </c>
      <c r="C9" s="13">
        <f>C5-C7+C8</f>
        <v>64.42879156</v>
      </c>
    </row>
    <row r="10"/>
    <row r="11">
      <c r="B11" s="14" t="inlineStr">
        <is>
          <t>rNPV / Share</t>
        </is>
      </c>
      <c r="C11" s="11">
        <f>NPV!B27</f>
        <v>2.5044871323939164</v>
      </c>
    </row>
    <row r="12">
      <c r="B12" s="14" t="inlineStr">
        <is>
          <t>Upside</t>
        </is>
      </c>
      <c r="C12" s="15">
        <f>IFERROR(C11/C3-1,"")</f>
        <v>1.4796902300929866</v>
      </c>
    </row>
    <row r="13">
      <c r="B13" s="14" t="inlineStr">
        <is>
          <t>Cash / Share</t>
        </is>
      </c>
      <c r="C13" s="11">
        <f>IFERROR((C7-C8)/C4,"")</f>
        <v>0.07319399811757059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-4.914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1.0244025234025236</v>
      </c>
    </row>
    <row r="19">
      <c r="B19" s="14" t="inlineStr">
        <is>
          <t>Implied Pipeline Value</t>
        </is>
      </c>
      <c r="C19" s="13">
        <f>C9</f>
        <v>64.42879156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0.833</v>
      </c>
      <c r="C5" s="23" t="n">
        <v>1.574</v>
      </c>
      <c r="D5" s="23" t="n">
        <v>2.235</v>
      </c>
      <c r="E5" s="23" t="n">
        <v>2.436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0.021</v>
      </c>
      <c r="C6" s="23" t="n">
        <v>2.368</v>
      </c>
      <c r="D6" s="23" t="n">
        <v>10.007</v>
      </c>
      <c r="E6" s="23" t="n">
        <v>8.103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0.854</v>
      </c>
      <c r="C7" s="23">
        <f>SUM(C5:C6)</f>
        <v>3.942</v>
      </c>
      <c r="D7" s="23">
        <f>SUM(D5:D6)</f>
        <v>12.241999999999999</v>
      </c>
      <c r="E7" s="23">
        <f>SUM(E5:E6)</f>
        <v>10.539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-0.854</v>
      </c>
      <c r="C8" s="23">
        <f>C4-C7</f>
        <v>-3.942</v>
      </c>
      <c r="D8" s="23">
        <f>D4-D7</f>
        <v>-12.241999999999999</v>
      </c>
      <c r="E8" s="23">
        <f>E4-E7</f>
        <v>-10.539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-9.130000000000001</v>
      </c>
      <c r="D9" s="23" t="n">
        <v>-4.291</v>
      </c>
      <c r="E9" s="23" t="n">
        <v>0.126</v>
      </c>
    </row>
    <row r="10">
      <c r="A10" s="2" t="inlineStr">
        <is>
          <t>Pretax</t>
        </is>
      </c>
      <c r="B10" s="23">
        <f>B8+B9</f>
        <v>-0.854</v>
      </c>
      <c r="C10" s="23">
        <f>C8+C9</f>
        <v>-13.072000000000001</v>
      </c>
      <c r="D10" s="23">
        <f>D8+D9</f>
        <v>-16.533</v>
      </c>
      <c r="E10" s="23">
        <f>E8+E9</f>
        <v>-10.413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-0.854</v>
      </c>
      <c r="C12" s="23" t="n">
        <v>-13.072</v>
      </c>
      <c r="D12" s="23" t="n">
        <v>-16.533</v>
      </c>
      <c r="E12" s="23" t="n">
        <v>-10.413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-0.03183122740318312</v>
      </c>
      <c r="C13" s="11">
        <f>IFERROR(C12/C14,0)</f>
        <v>-0.47874015748031495</v>
      </c>
      <c r="D13" s="11">
        <f>IFERROR(D12/D14,0)</f>
        <v>-0.5597007346220252</v>
      </c>
      <c r="E13" s="11">
        <f>IFERROR(E12/E14,0)</f>
        <v>-0.32897355700881437</v>
      </c>
    </row>
    <row r="14">
      <c r="A14" s="2" t="inlineStr">
        <is>
          <t>Shares</t>
        </is>
      </c>
      <c r="B14" s="23" t="n">
        <v>26.829</v>
      </c>
      <c r="C14" s="23" t="n">
        <v>27.305</v>
      </c>
      <c r="D14" s="23" t="n">
        <v>29.539</v>
      </c>
      <c r="E14" s="23" t="n">
        <v>31.653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Telomir Pharmaceuticals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0.07540000000000002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6.087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40.9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167.2120783329578</v>
      </c>
      <c r="C29" s="42">
        <f>NPV!B25</f>
        <v>172.2459923329578</v>
      </c>
      <c r="D29" s="43">
        <f>NPV!B27</f>
        <v>2.5044871323939164</v>
      </c>
      <c r="E29" s="44">
        <f>NPV!B29</f>
        <v>1.4796902300929866</v>
      </c>
    </row>
    <row r="30">
      <c r="A30" s="45" t="n">
        <v>1</v>
      </c>
      <c r="B30" s="46">
        <f t="dataTable" ref="B30:E32" r1="B4"/>
        <v>56.676721086322374</v>
      </c>
      <c r="C30" s="46">
        <v>61.71063508632237</v>
      </c>
      <c r="D30" s="47">
        <v>0.8972835269617965</v>
      </c>
      <c r="E30" s="48">
        <v>-0.11160046835465698</v>
      </c>
    </row>
    <row r="31">
      <c r="A31" s="45" t="n">
        <v>2</v>
      </c>
      <c r="B31" s="46">
        <v>167.2120783329578</v>
      </c>
      <c r="C31" s="46">
        <v>172.2459923329578</v>
      </c>
      <c r="D31" s="47">
        <v>2.5044871323939164</v>
      </c>
      <c r="E31" s="48">
        <v>1.4796902300929866</v>
      </c>
    </row>
    <row r="32">
      <c r="A32" s="45" t="n">
        <v>3</v>
      </c>
      <c r="B32" s="46">
        <v>348.99471291540203</v>
      </c>
      <c r="C32" s="46">
        <v>354.028626915402</v>
      </c>
      <c r="D32" s="47">
        <v>5.147638726448651</v>
      </c>
      <c r="E32" s="48">
        <v>4.096672006384803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2.5044871323939164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0.6680999847326105</v>
      </c>
      <c r="C37" s="47">
        <v>1.0644288309229848</v>
      </c>
      <c r="D37" s="47">
        <v>1.4588703344913723</v>
      </c>
      <c r="E37" s="47">
        <v>2.2461719193780025</v>
      </c>
      <c r="F37" s="47">
        <v>3.0306736419311404</v>
      </c>
    </row>
    <row r="38">
      <c r="A38" s="50" t="n">
        <v>0.8</v>
      </c>
      <c r="B38" s="47">
        <v>0.9307853261097254</v>
      </c>
      <c r="C38" s="47">
        <v>1.4572367768329662</v>
      </c>
      <c r="D38" s="47">
        <v>1.9821045000907196</v>
      </c>
      <c r="E38" s="47">
        <v>3.029058268804547</v>
      </c>
      <c r="F38" s="47">
        <v>4.074969795372622</v>
      </c>
    </row>
    <row r="39">
      <c r="A39" s="50" t="n">
        <v>1</v>
      </c>
      <c r="B39" s="47">
        <v>1.193113212480201</v>
      </c>
      <c r="C39" s="47">
        <v>1.8492540116178755</v>
      </c>
      <c r="D39" s="47">
        <v>2.5044871323939164</v>
      </c>
      <c r="E39" s="47">
        <v>3.811876540604009</v>
      </c>
      <c r="F39" s="47">
        <v>5.119265948814103</v>
      </c>
    </row>
    <row r="40">
      <c r="A40" s="50" t="n">
        <v>1.2</v>
      </c>
      <c r="B40" s="47">
        <v>1.4539696615161548</v>
      </c>
      <c r="C40" s="47">
        <v>2.241271246402785</v>
      </c>
      <c r="D40" s="47">
        <v>3.025827522551362</v>
      </c>
      <c r="E40" s="47">
        <v>4.594694812403473</v>
      </c>
      <c r="F40" s="47">
        <v>6.1620689628361305</v>
      </c>
    </row>
    <row r="41">
      <c r="A41" s="50" t="n">
        <v>1.4</v>
      </c>
      <c r="B41" s="47">
        <v>1.714769965486625</v>
      </c>
      <c r="C41" s="47">
        <v>2.631995326961739</v>
      </c>
      <c r="D41" s="47">
        <v>3.5471679127088045</v>
      </c>
      <c r="E41" s="47">
        <v>5.377441528704665</v>
      </c>
      <c r="F41" s="47">
        <v>7.204507688843873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Telomir Pharmaceuticals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Breast cancer</t>
        </is>
      </c>
      <c r="C4" s="14" t="inlineStr">
        <is>
          <t>Zn-Telomir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3000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227.09625739047448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22.619999999999997</v>
      </c>
      <c r="T4" s="23">
        <f>IF(T$3&lt;$I4,0,$G4*Assumptions!$E$11*INDEX(Assumptions!$B$24:$G$24,MIN(6,T$3-$I4+1))*IF(T$3&gt;$J4,(1-Assumptions!$B$26)^(T$3-$J4),1)*IF($H4&gt;=1,1,MIN(0.97,$H4*Assumptions!$E$12)))</f>
        <v>56.55</v>
      </c>
      <c r="U4" s="23">
        <f>IF(U$3&lt;$I4,0,$G4*Assumptions!$E$11*INDEX(Assumptions!$B$24:$G$24,MIN(6,U$3-$I4+1))*IF(U$3&gt;$J4,(1-Assumptions!$B$26)^(U$3-$J4),1)*IF($H4&gt;=1,1,MIN(0.97,$H4*Assumptions!$E$12)))</f>
        <v>101.78999999999999</v>
      </c>
      <c r="V4" s="23">
        <f>IF(V$3&lt;$I4,0,$G4*Assumptions!$E$11*INDEX(Assumptions!$B$24:$G$24,MIN(6,V$3-$I4+1))*IF(V$3&gt;$J4,(1-Assumptions!$B$26)^(V$3-$J4),1)*IF($H4&gt;=1,1,MIN(0.97,$H4*Assumptions!$E$12)))</f>
        <v>147.03</v>
      </c>
      <c r="W4" s="23">
        <f>IF(W$3&lt;$I4,0,$G4*Assumptions!$E$11*INDEX(Assumptions!$B$24:$G$24,MIN(6,W$3-$I4+1))*IF(W$3&gt;$J4,(1-Assumptions!$B$26)^(W$3-$J4),1)*IF($H4&gt;=1,1,MIN(0.97,$H4*Assumptions!$E$12)))</f>
        <v>192.26999999999998</v>
      </c>
      <c r="X4" s="23">
        <f>IF(X$3&lt;$I4,0,$G4*Assumptions!$E$11*INDEX(Assumptions!$B$24:$G$24,MIN(6,X$3-$I4+1))*IF(X$3&gt;$J4,(1-Assumptions!$B$26)^(X$3-$J4),1)*IF($H4&gt;=1,1,MIN(0.97,$H4*Assumptions!$E$12)))</f>
        <v>226.2</v>
      </c>
      <c r="Y4" s="23">
        <f>IF(Y$3&lt;$I4,0,$G4*Assumptions!$E$11*INDEX(Assumptions!$B$24:$G$24,MIN(6,Y$3-$I4+1))*IF(Y$3&gt;$J4,(1-Assumptions!$B$26)^(Y$3-$J4),1)*IF($H4&gt;=1,1,MIN(0.97,$H4*Assumptions!$E$12)))</f>
        <v>226.2</v>
      </c>
      <c r="Z4" s="23">
        <f>IF(Z$3&lt;$I4,0,$G4*Assumptions!$E$11*INDEX(Assumptions!$B$24:$G$24,MIN(6,Z$3-$I4+1))*IF(Z$3&gt;$J4,(1-Assumptions!$B$26)^(Z$3-$J4),1)*IF($H4&gt;=1,1,MIN(0.97,$H4*Assumptions!$E$12)))</f>
        <v>226.2</v>
      </c>
      <c r="AA4" s="23">
        <f>IF(AA$3&lt;$I4,0,$G4*Assumptions!$E$11*INDEX(Assumptions!$B$24:$G$24,MIN(6,AA$3-$I4+1))*IF(AA$3&gt;$J4,(1-Assumptions!$B$26)^(AA$3-$J4),1)*IF($H4&gt;=1,1,MIN(0.97,$H4*Assumptions!$E$12)))</f>
        <v>226.2</v>
      </c>
      <c r="AB4" s="23">
        <f>IF(AB$3&lt;$I4,0,$G4*Assumptions!$E$11*INDEX(Assumptions!$B$24:$G$24,MIN(6,AB$3-$I4+1))*IF(AB$3&gt;$J4,(1-Assumptions!$B$26)^(AB$3-$J4),1)*IF($H4&gt;=1,1,MIN(0.97,$H4*Assumptions!$E$12)))</f>
        <v>226.2</v>
      </c>
      <c r="AC4" s="23">
        <f>IF(AC$3&lt;$I4,0,$G4*Assumptions!$E$11*INDEX(Assumptions!$B$24:$G$24,MIN(6,AC$3-$I4+1))*IF(AC$3&gt;$J4,(1-Assumptions!$B$26)^(AC$3-$J4),1)*IF($H4&gt;=1,1,MIN(0.97,$H4*Assumptions!$E$12)))</f>
        <v>226.2</v>
      </c>
      <c r="AD4" s="23">
        <f>IF(AD$3&lt;$I4,0,$G4*Assumptions!$E$11*INDEX(Assumptions!$B$24:$G$24,MIN(6,AD$3-$I4+1))*IF(AD$3&gt;$J4,(1-Assumptions!$B$26)^(AD$3-$J4),1)*IF($H4&gt;=1,1,MIN(0.97,$H4*Assumptions!$E$12)))</f>
        <v>226.2</v>
      </c>
      <c r="AE4" s="23">
        <f>IF(AE$3&lt;$I4,0,$G4*Assumptions!$E$11*INDEX(Assumptions!$B$24:$G$24,MIN(6,AE$3-$I4+1))*IF(AE$3&gt;$J4,(1-Assumptions!$B$26)^(AE$3-$J4),1)*IF($H4&gt;=1,1,MIN(0.97,$H4*Assumptions!$E$12)))</f>
        <v>226.2</v>
      </c>
      <c r="AF4" s="23">
        <f>IF(AF$3&lt;$I4,0,$G4*Assumptions!$E$11*INDEX(Assumptions!$B$24:$G$24,MIN(6,AF$3-$I4+1))*IF(AF$3&gt;$J4,(1-Assumptions!$B$26)^(AF$3-$J4),1)*IF($H4&gt;=1,1,MIN(0.97,$H4*Assumptions!$E$12)))</f>
        <v>113.1</v>
      </c>
      <c r="AG4" s="35">
        <f>IF(F4="Owned",1-IF(H4&gt;=1,1,MIN(0.97,H4*Assumptions!$E$12)),1)</f>
        <v>0.9246</v>
      </c>
    </row>
    <row r="5">
      <c r="B5" s="24" t="inlineStr">
        <is>
          <t>Risked revenue</t>
        </is>
      </c>
      <c r="L5" s="54">
        <f>SUM(L4:L4)</f>
        <v>227.09625739047448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22.619999999999997</v>
      </c>
      <c r="T5" s="54">
        <f>SUM(T4:T4)</f>
        <v>56.55</v>
      </c>
      <c r="U5" s="54">
        <f>SUM(U4:U4)</f>
        <v>101.78999999999999</v>
      </c>
      <c r="V5" s="54">
        <f>SUM(V4:V4)</f>
        <v>147.03</v>
      </c>
      <c r="W5" s="54">
        <f>SUM(W4:W4)</f>
        <v>192.26999999999998</v>
      </c>
      <c r="X5" s="54">
        <f>SUM(X4:X4)</f>
        <v>226.2</v>
      </c>
      <c r="Y5" s="54">
        <f>SUM(Y4:Y4)</f>
        <v>226.2</v>
      </c>
      <c r="Z5" s="54">
        <f>SUM(Z4:Z4)</f>
        <v>226.2</v>
      </c>
      <c r="AA5" s="54">
        <f>SUM(AA4:AA4)</f>
        <v>226.2</v>
      </c>
      <c r="AB5" s="54">
        <f>SUM(AB4:AB4)</f>
        <v>226.2</v>
      </c>
      <c r="AC5" s="54">
        <f>SUM(AC4:AC4)</f>
        <v>226.2</v>
      </c>
      <c r="AD5" s="54">
        <f>SUM(AD4:AD4)</f>
        <v>226.2</v>
      </c>
      <c r="AE5" s="54">
        <f>SUM(AE4:AE4)</f>
        <v>226.2</v>
      </c>
      <c r="AF5" s="54">
        <f>SUM(AF4:AF4)</f>
        <v>113.1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9.048</v>
      </c>
      <c r="T6" s="55">
        <f>SUMPRODUCT(T4:T4,$K$4:$K$4)</f>
        <v>22.62</v>
      </c>
      <c r="U6" s="55">
        <f>SUMPRODUCT(U4:U4,$K$4:$K$4)</f>
        <v>40.716</v>
      </c>
      <c r="V6" s="55">
        <f>SUMPRODUCT(V4:V4,$K$4:$K$4)</f>
        <v>58.812000000000005</v>
      </c>
      <c r="W6" s="55">
        <f>SUMPRODUCT(W4:W4,$K$4:$K$4)</f>
        <v>76.908</v>
      </c>
      <c r="X6" s="55">
        <f>SUMPRODUCT(X4:X4,$K$4:$K$4)</f>
        <v>90.48</v>
      </c>
      <c r="Y6" s="55">
        <f>SUMPRODUCT(Y4:Y4,$K$4:$K$4)</f>
        <v>90.48</v>
      </c>
      <c r="Z6" s="55">
        <f>SUMPRODUCT(Z4:Z4,$K$4:$K$4)</f>
        <v>90.48</v>
      </c>
      <c r="AA6" s="55">
        <f>SUMPRODUCT(AA4:AA4,$K$4:$K$4)</f>
        <v>90.48</v>
      </c>
      <c r="AB6" s="55">
        <f>SUMPRODUCT(AB4:AB4,$K$4:$K$4)</f>
        <v>90.48</v>
      </c>
      <c r="AC6" s="55">
        <f>SUMPRODUCT(AC4:AC4,$K$4:$K$4)</f>
        <v>90.48</v>
      </c>
      <c r="AD6" s="55">
        <f>SUMPRODUCT(AD4:AD4,$K$4:$K$4)</f>
        <v>90.48</v>
      </c>
      <c r="AE6" s="55">
        <f>SUMPRODUCT(AE4:AE4,$K$4:$K$4)</f>
        <v>90.48</v>
      </c>
      <c r="AF6" s="55">
        <f>SUMPRODUCT(AF4:AF4,$K$4:$K$4)</f>
        <v>45.24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Telomir Pharmaceuticals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22.619999999999997</v>
      </c>
      <c r="J4" s="57">
        <f>Pipeline!T5</f>
        <v>56.55</v>
      </c>
      <c r="K4" s="57">
        <f>Pipeline!U5</f>
        <v>101.78999999999999</v>
      </c>
      <c r="L4" s="57">
        <f>Pipeline!V5</f>
        <v>147.03</v>
      </c>
      <c r="M4" s="57">
        <f>Pipeline!W5</f>
        <v>192.26999999999998</v>
      </c>
      <c r="N4" s="57">
        <f>Pipeline!X5</f>
        <v>226.2</v>
      </c>
      <c r="O4" s="57">
        <f>Pipeline!Y5</f>
        <v>226.2</v>
      </c>
      <c r="P4" s="57">
        <f>Pipeline!Z5</f>
        <v>226.2</v>
      </c>
      <c r="Q4" s="57">
        <f>Pipeline!AA5</f>
        <v>226.2</v>
      </c>
      <c r="R4" s="57">
        <f>Pipeline!AB5</f>
        <v>226.2</v>
      </c>
      <c r="S4" s="57">
        <f>Pipeline!AC5</f>
        <v>226.2</v>
      </c>
      <c r="T4" s="57">
        <f>Pipeline!AD5</f>
        <v>226.2</v>
      </c>
      <c r="U4" s="57">
        <f>Pipeline!AE5</f>
        <v>226.2</v>
      </c>
      <c r="V4" s="57">
        <f>Pipeline!AF5</f>
        <v>113.1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9.048</v>
      </c>
      <c r="J5" s="57">
        <f>Pipeline!T6</f>
        <v>22.62</v>
      </c>
      <c r="K5" s="57">
        <f>Pipeline!U6</f>
        <v>40.716</v>
      </c>
      <c r="L5" s="57">
        <f>Pipeline!V6</f>
        <v>58.812000000000005</v>
      </c>
      <c r="M5" s="57">
        <f>Pipeline!W6</f>
        <v>76.908</v>
      </c>
      <c r="N5" s="57">
        <f>Pipeline!X6</f>
        <v>90.48</v>
      </c>
      <c r="O5" s="57">
        <f>Pipeline!Y6</f>
        <v>90.48</v>
      </c>
      <c r="P5" s="57">
        <f>Pipeline!Z6</f>
        <v>90.48</v>
      </c>
      <c r="Q5" s="57">
        <f>Pipeline!AA6</f>
        <v>90.48</v>
      </c>
      <c r="R5" s="57">
        <f>Pipeline!AB6</f>
        <v>90.48</v>
      </c>
      <c r="S5" s="57">
        <f>Pipeline!AC6</f>
        <v>90.48</v>
      </c>
      <c r="T5" s="57">
        <f>Pipeline!AD6</f>
        <v>90.48</v>
      </c>
      <c r="U5" s="57">
        <f>Pipeline!AE6</f>
        <v>90.48</v>
      </c>
      <c r="V5" s="57">
        <f>Pipeline!AF6</f>
        <v>45.24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-6.087</v>
      </c>
      <c r="D6" s="23">
        <f>-IF(D3-2026&lt;Assumptions!$B$19,Assumptions!$B$18,Assumptions!$B$18*Assumptions!$B$20*Assumptions!$B$16)</f>
        <v>-6.087</v>
      </c>
      <c r="E6" s="23">
        <f>-IF(E3-2026&lt;Assumptions!$B$19,Assumptions!$B$18,Assumptions!$B$18*Assumptions!$B$20*Assumptions!$B$16)</f>
        <v>-6.087</v>
      </c>
      <c r="F6" s="23">
        <f>-IF(F3-2026&lt;Assumptions!$B$19,Assumptions!$B$18,Assumptions!$B$18*Assumptions!$B$20*Assumptions!$B$16)</f>
        <v>-6.087</v>
      </c>
      <c r="G6" s="23">
        <f>-IF(G3-2026&lt;Assumptions!$B$19,Assumptions!$B$18,Assumptions!$B$18*Assumptions!$B$20*Assumptions!$B$16)</f>
        <v>-0.13768794000000004</v>
      </c>
      <c r="H6" s="23">
        <f>-IF(H3-2026&lt;Assumptions!$B$19,Assumptions!$B$18,Assumptions!$B$18*Assumptions!$B$20*Assumptions!$B$16)</f>
        <v>-0.13768794000000004</v>
      </c>
      <c r="I6" s="23">
        <f>-IF(I3-2026&lt;Assumptions!$B$19,Assumptions!$B$18,Assumptions!$B$18*Assumptions!$B$20*Assumptions!$B$16)</f>
        <v>-0.13768794000000004</v>
      </c>
      <c r="J6" s="23">
        <f>-IF(J3-2026&lt;Assumptions!$B$19,Assumptions!$B$18,Assumptions!$B$18*Assumptions!$B$20*Assumptions!$B$16)</f>
        <v>-0.13768794000000004</v>
      </c>
      <c r="K6" s="23">
        <f>-IF(K3-2026&lt;Assumptions!$B$19,Assumptions!$B$18,Assumptions!$B$18*Assumptions!$B$20*Assumptions!$B$16)</f>
        <v>-0.13768794000000004</v>
      </c>
      <c r="L6" s="23">
        <f>-IF(L3-2026&lt;Assumptions!$B$19,Assumptions!$B$18,Assumptions!$B$18*Assumptions!$B$20*Assumptions!$B$16)</f>
        <v>-0.13768794000000004</v>
      </c>
      <c r="M6" s="23">
        <f>-IF(M3-2026&lt;Assumptions!$B$19,Assumptions!$B$18,Assumptions!$B$18*Assumptions!$B$20*Assumptions!$B$16)</f>
        <v>-0.13768794000000004</v>
      </c>
      <c r="N6" s="23">
        <f>-IF(N3-2026&lt;Assumptions!$B$19,Assumptions!$B$18,Assumptions!$B$18*Assumptions!$B$20*Assumptions!$B$16)</f>
        <v>-0.13768794000000004</v>
      </c>
      <c r="O6" s="23">
        <f>-IF(O3-2026&lt;Assumptions!$B$19,Assumptions!$B$18,Assumptions!$B$18*Assumptions!$B$20*Assumptions!$B$16)</f>
        <v>-0.13768794000000004</v>
      </c>
      <c r="P6" s="23">
        <f>-IF(P3-2026&lt;Assumptions!$B$19,Assumptions!$B$18,Assumptions!$B$18*Assumptions!$B$20*Assumptions!$B$16)</f>
        <v>-0.13768794000000004</v>
      </c>
      <c r="Q6" s="23">
        <f>-IF(Q3-2026&lt;Assumptions!$B$19,Assumptions!$B$18,Assumptions!$B$18*Assumptions!$B$20*Assumptions!$B$16)</f>
        <v>-0.13768794000000004</v>
      </c>
      <c r="R6" s="23">
        <f>-IF(R3-2026&lt;Assumptions!$B$19,Assumptions!$B$18,Assumptions!$B$18*Assumptions!$B$20*Assumptions!$B$16)</f>
        <v>-0.13768794000000004</v>
      </c>
      <c r="S6" s="23">
        <f>-IF(S3-2026&lt;Assumptions!$B$19,Assumptions!$B$18,Assumptions!$B$18*Assumptions!$B$20*Assumptions!$B$16)</f>
        <v>-0.13768794000000004</v>
      </c>
      <c r="T6" s="23">
        <f>-IF(T3-2026&lt;Assumptions!$B$19,Assumptions!$B$18,Assumptions!$B$18*Assumptions!$B$20*Assumptions!$B$16)</f>
        <v>-0.13768794000000004</v>
      </c>
      <c r="U6" s="23">
        <f>-IF(U3-2026&lt;Assumptions!$B$19,Assumptions!$B$18,Assumptions!$B$18*Assumptions!$B$20*Assumptions!$B$16)</f>
        <v>-0.13768794000000004</v>
      </c>
      <c r="V6" s="23">
        <f>-IF(V3-2026&lt;Assumptions!$B$19,Assumptions!$B$18,Assumptions!$B$18*Assumptions!$B$20*Assumptions!$B$16)</f>
        <v>-0.13768794000000004</v>
      </c>
    </row>
    <row r="7">
      <c r="A7" s="14" t="inlineStr">
        <is>
          <t>Pre-tax cash flow</t>
        </is>
      </c>
      <c r="C7" s="23">
        <f>C5+C6</f>
        <v>-6.087</v>
      </c>
      <c r="D7" s="23">
        <f>D5+D6</f>
        <v>-6.087</v>
      </c>
      <c r="E7" s="23">
        <f>E5+E6</f>
        <v>-6.087</v>
      </c>
      <c r="F7" s="23">
        <f>F5+F6</f>
        <v>-6.087</v>
      </c>
      <c r="G7" s="23">
        <f>G5+G6</f>
        <v>-0.13768794000000004</v>
      </c>
      <c r="H7" s="23">
        <f>H5+H6</f>
        <v>-0.13768794000000004</v>
      </c>
      <c r="I7" s="23">
        <f>I5+I6</f>
        <v>8.91031206</v>
      </c>
      <c r="J7" s="23">
        <f>J5+J6</f>
        <v>22.48231206</v>
      </c>
      <c r="K7" s="23">
        <f>K5+K6</f>
        <v>40.57831206</v>
      </c>
      <c r="L7" s="23">
        <f>L5+L6</f>
        <v>58.674312060000005</v>
      </c>
      <c r="M7" s="23">
        <f>M5+M6</f>
        <v>76.77031206</v>
      </c>
      <c r="N7" s="23">
        <f>N5+N6</f>
        <v>90.34231206</v>
      </c>
      <c r="O7" s="23">
        <f>O5+O6</f>
        <v>90.34231206</v>
      </c>
      <c r="P7" s="23">
        <f>P5+P6</f>
        <v>90.34231206</v>
      </c>
      <c r="Q7" s="23">
        <f>Q5+Q6</f>
        <v>90.34231206</v>
      </c>
      <c r="R7" s="23">
        <f>R5+R6</f>
        <v>90.34231206</v>
      </c>
      <c r="S7" s="23">
        <f>S5+S6</f>
        <v>90.34231206</v>
      </c>
      <c r="T7" s="23">
        <f>T5+T6</f>
        <v>90.34231206</v>
      </c>
      <c r="U7" s="23">
        <f>U5+U6</f>
        <v>90.34231206</v>
      </c>
      <c r="V7" s="23">
        <f>V5+V6</f>
        <v>45.10231206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8.91031206</v>
      </c>
      <c r="J8" s="23">
        <f>MIN(I17,MAX(0,J7))</f>
        <v>22.48231206</v>
      </c>
      <c r="K8" s="23">
        <f>MIN(J17,MAX(0,K7))</f>
        <v>34.13075176000001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6.447560299999992</v>
      </c>
      <c r="L9" s="23">
        <f>MAX(0,L7)-L8</f>
        <v>58.674312060000005</v>
      </c>
      <c r="M9" s="23">
        <f>MAX(0,M7)-M8</f>
        <v>76.77031206</v>
      </c>
      <c r="N9" s="23">
        <f>MAX(0,N7)-N8</f>
        <v>90.34231206</v>
      </c>
      <c r="O9" s="23">
        <f>MAX(0,O7)-O8</f>
        <v>90.34231206</v>
      </c>
      <c r="P9" s="23">
        <f>MAX(0,P7)-P8</f>
        <v>90.34231206</v>
      </c>
      <c r="Q9" s="23">
        <f>MAX(0,Q7)-Q8</f>
        <v>90.34231206</v>
      </c>
      <c r="R9" s="23">
        <f>MAX(0,R7)-R8</f>
        <v>90.34231206</v>
      </c>
      <c r="S9" s="23">
        <f>MAX(0,S7)-S8</f>
        <v>90.34231206</v>
      </c>
      <c r="T9" s="23">
        <f>MAX(0,T7)-T8</f>
        <v>90.34231206</v>
      </c>
      <c r="U9" s="23">
        <f>MAX(0,U7)-U8</f>
        <v>90.34231206</v>
      </c>
      <c r="V9" s="23">
        <f>MAX(0,V7)-V8</f>
        <v>45.10231206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1.3539876629999983</v>
      </c>
      <c r="L10" s="23">
        <f>L9*Assumptions!$E$15</f>
        <v>12.321605532600001</v>
      </c>
      <c r="M10" s="23">
        <f>M9*Assumptions!$E$15</f>
        <v>16.121765532599998</v>
      </c>
      <c r="N10" s="23">
        <f>N9*Assumptions!$E$15</f>
        <v>18.971885532599998</v>
      </c>
      <c r="O10" s="23">
        <f>O9*Assumptions!$E$15</f>
        <v>18.971885532599998</v>
      </c>
      <c r="P10" s="23">
        <f>P9*Assumptions!$E$15</f>
        <v>18.971885532599998</v>
      </c>
      <c r="Q10" s="23">
        <f>Q9*Assumptions!$E$15</f>
        <v>18.971885532599998</v>
      </c>
      <c r="R10" s="23">
        <f>R9*Assumptions!$E$15</f>
        <v>18.971885532599998</v>
      </c>
      <c r="S10" s="23">
        <f>S9*Assumptions!$E$15</f>
        <v>18.971885532599998</v>
      </c>
      <c r="T10" s="23">
        <f>T9*Assumptions!$E$15</f>
        <v>18.971885532599998</v>
      </c>
      <c r="U10" s="23">
        <f>U9*Assumptions!$E$15</f>
        <v>18.971885532599998</v>
      </c>
      <c r="V10" s="23">
        <f>V9*Assumptions!$E$15</f>
        <v>9.471485532600001</v>
      </c>
    </row>
    <row r="11">
      <c r="A11" s="24" t="inlineStr">
        <is>
          <t>Free cash flow</t>
        </is>
      </c>
      <c r="C11" s="55">
        <f>C7-C10</f>
        <v>-6.087</v>
      </c>
      <c r="D11" s="55">
        <f>D7-D10</f>
        <v>-6.087</v>
      </c>
      <c r="E11" s="55">
        <f>E7-E10</f>
        <v>-6.087</v>
      </c>
      <c r="F11" s="55">
        <f>F7-F10</f>
        <v>-6.087</v>
      </c>
      <c r="G11" s="55">
        <f>G7-G10</f>
        <v>-0.13768794000000004</v>
      </c>
      <c r="H11" s="55">
        <f>H7-H10</f>
        <v>-0.13768794000000004</v>
      </c>
      <c r="I11" s="55">
        <f>I7-I10</f>
        <v>8.91031206</v>
      </c>
      <c r="J11" s="55">
        <f>J7-J10</f>
        <v>22.48231206</v>
      </c>
      <c r="K11" s="55">
        <f>K7-K10</f>
        <v>39.224324397000004</v>
      </c>
      <c r="L11" s="55">
        <f>L7-L10</f>
        <v>46.3527065274</v>
      </c>
      <c r="M11" s="55">
        <f>M7-M10</f>
        <v>60.6485465274</v>
      </c>
      <c r="N11" s="55">
        <f>N7-N10</f>
        <v>71.3704265274</v>
      </c>
      <c r="O11" s="55">
        <f>O7-O10</f>
        <v>71.3704265274</v>
      </c>
      <c r="P11" s="55">
        <f>P7-P10</f>
        <v>71.3704265274</v>
      </c>
      <c r="Q11" s="55">
        <f>Q7-Q10</f>
        <v>71.3704265274</v>
      </c>
      <c r="R11" s="55">
        <f>R7-R10</f>
        <v>71.3704265274</v>
      </c>
      <c r="S11" s="55">
        <f>S7-S10</f>
        <v>71.3704265274</v>
      </c>
      <c r="T11" s="55">
        <f>T7-T10</f>
        <v>71.3704265274</v>
      </c>
      <c r="U11" s="55">
        <f>U7-U10</f>
        <v>71.3704265274</v>
      </c>
      <c r="V11" s="55">
        <f>V7-V10</f>
        <v>35.630826527400004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-2.9820477724522427</v>
      </c>
      <c r="D16" s="55">
        <f>D11*D15</f>
        <v>-5.432296738376232</v>
      </c>
      <c r="E16" s="55">
        <f>E11*E15</f>
        <v>-4.850264944978777</v>
      </c>
      <c r="F16" s="55">
        <f>F11*F15</f>
        <v>-4.330593700873909</v>
      </c>
      <c r="G16" s="55">
        <f>G11*G15</f>
        <v>-0.08746252635157842</v>
      </c>
      <c r="H16" s="55">
        <f>H11*H15</f>
        <v>-0.07809154138533787</v>
      </c>
      <c r="I16" s="55">
        <f>I11*I15</f>
        <v>4.512144344757355</v>
      </c>
      <c r="J16" s="55">
        <f>J11*J15</f>
        <v>10.165131917569038</v>
      </c>
      <c r="K16" s="55">
        <f>K11*K15</f>
        <v>15.83468749347644</v>
      </c>
      <c r="L16" s="55">
        <f>L11*L15</f>
        <v>16.707485761654553</v>
      </c>
      <c r="M16" s="55">
        <f>M11*M15</f>
        <v>19.518137656655313</v>
      </c>
      <c r="N16" s="55">
        <f>N11*N15</f>
        <v>20.50776106967753</v>
      </c>
      <c r="O16" s="55">
        <f>O11*O15</f>
        <v>18.310500955069223</v>
      </c>
      <c r="P16" s="55">
        <f>P11*P15</f>
        <v>16.348661567026088</v>
      </c>
      <c r="Q16" s="55">
        <f>Q11*Q15</f>
        <v>14.597019256273294</v>
      </c>
      <c r="R16" s="55">
        <f>R11*R15</f>
        <v>13.03305290738687</v>
      </c>
      <c r="S16" s="55">
        <f>S11*S15</f>
        <v>11.636654381595417</v>
      </c>
      <c r="T16" s="55">
        <f>T11*T15</f>
        <v>10.389869983567337</v>
      </c>
      <c r="U16" s="55">
        <f>U11*U15</f>
        <v>9.27666962818512</v>
      </c>
      <c r="V16" s="55">
        <f>V11*V15</f>
        <v>4.135058634482264</v>
      </c>
    </row>
    <row r="17">
      <c r="A17" s="14" t="inlineStr">
        <is>
          <t>Tax-loss carryforward, end of year</t>
        </is>
      </c>
      <c r="C17" s="23">
        <f>Assumptions!$B$21-C8+MAX(0,-C7)</f>
        <v>46.986999999999995</v>
      </c>
      <c r="D17" s="23">
        <f>C17-D8+MAX(0,-D7)</f>
        <v>53.074</v>
      </c>
      <c r="E17" s="23">
        <f>D17-E8+MAX(0,-E7)</f>
        <v>59.161</v>
      </c>
      <c r="F17" s="23">
        <f>E17-F8+MAX(0,-F7)</f>
        <v>65.248</v>
      </c>
      <c r="G17" s="23">
        <f>F17-G8+MAX(0,-G7)</f>
        <v>65.38568794000001</v>
      </c>
      <c r="H17" s="23">
        <f>G17-H8+MAX(0,-H7)</f>
        <v>65.52337588000002</v>
      </c>
      <c r="I17" s="23">
        <f>H17-I8+MAX(0,-I7)</f>
        <v>56.613063820000015</v>
      </c>
      <c r="J17" s="23">
        <f>I17-J8+MAX(0,-J7)</f>
        <v>34.13075176000001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227.09625739047448</v>
      </c>
    </row>
    <row r="20">
      <c r="A20" s="14" t="inlineStr">
        <is>
          <t>PV of corporate burn</t>
        </is>
      </c>
      <c r="B20" s="23">
        <f>SUMPRODUCT(C6:V6,C15:V15)</f>
        <v>-18.278361097919603</v>
      </c>
    </row>
    <row r="21">
      <c r="A21" s="14" t="inlineStr">
        <is>
          <t>PV of taxes</t>
        </is>
      </c>
      <c r="B21" s="23">
        <f>-SUMPRODUCT(C10:V10,C15:V15)</f>
        <v>-41.60581795959711</v>
      </c>
    </row>
    <row r="22">
      <c r="A22" s="24" t="inlineStr">
        <is>
          <t>Pipeline rNPV (operations)</t>
        </is>
      </c>
      <c r="B22" s="54">
        <f>SUM(C16:V16)</f>
        <v>167.2120783329578</v>
      </c>
    </row>
    <row r="23">
      <c r="A23" s="14" t="inlineStr">
        <is>
          <t>Cash &amp; investments</t>
        </is>
      </c>
      <c r="B23" s="57">
        <f>Main!C7</f>
        <v>5.170286</v>
      </c>
    </row>
    <row r="24">
      <c r="A24" s="14" t="inlineStr">
        <is>
          <t>Debt</t>
        </is>
      </c>
      <c r="B24" s="57">
        <f>Main!C8</f>
        <v>0.136372</v>
      </c>
    </row>
    <row r="25">
      <c r="A25" s="24" t="inlineStr">
        <is>
          <t>Equity value</t>
        </is>
      </c>
      <c r="B25" s="54">
        <f>B22+B23-B24</f>
        <v>172.2459923329578</v>
      </c>
    </row>
    <row r="26">
      <c r="A26" s="14" t="inlineStr">
        <is>
          <t>Shares (mm)</t>
        </is>
      </c>
      <c r="B26" s="57">
        <f>Main!C4</f>
        <v>68.774956</v>
      </c>
    </row>
    <row r="27">
      <c r="A27" s="24" t="inlineStr">
        <is>
          <t>rNPV / share</t>
        </is>
      </c>
      <c r="B27" s="60">
        <f>B25/B26</f>
        <v>2.5044871323939164</v>
      </c>
    </row>
    <row r="28">
      <c r="A28" s="14" t="inlineStr">
        <is>
          <t>Price</t>
        </is>
      </c>
      <c r="B28" s="61">
        <f>Main!C3</f>
        <v>1.01</v>
      </c>
    </row>
    <row r="29">
      <c r="A29" s="14" t="inlineStr">
        <is>
          <t>Upside</t>
        </is>
      </c>
      <c r="B29" s="62">
        <f>B27/B28-1</f>
        <v>1.4796902300929866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2026-10-21T06:28:34Z</dcterms:modified>
  <cp:lastModifiedBy>Wang, Eric</cp:lastModifiedBy>
</cp:coreProperties>
</file>