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Cullinan Therapeutics, Inc.</t>
        </is>
      </c>
      <c r="C2" s="10" t="n"/>
    </row>
    <row r="3">
      <c r="B3" t="inlineStr">
        <is>
          <t>Price</t>
        </is>
      </c>
      <c r="C3" s="11">
        <f>INDEX([1]Pharma!$F$1:$F$1000,MATCH("CGEM",[1]Pharma!$B$1:$B$1000,0))</f>
        <v>14.83</v>
      </c>
      <c r="F3" s="1" t="n"/>
    </row>
    <row r="4">
      <c r="B4" t="inlineStr">
        <is>
          <t>Shares</t>
        </is>
      </c>
      <c r="C4" s="21" t="n">
        <v>64.35469399999999</v>
      </c>
      <c r="F4" s="1" t="n"/>
    </row>
    <row r="5">
      <c r="B5" t="inlineStr">
        <is>
          <t>Market Cap.</t>
        </is>
      </c>
      <c r="C5" s="13">
        <f>C3*C4</f>
        <v>954.38011202</v>
      </c>
      <c r="F5" s="1" t="n"/>
    </row>
    <row r="6"/>
    <row r="7">
      <c r="B7" t="inlineStr">
        <is>
          <t>Cash</t>
        </is>
      </c>
      <c r="C7" s="21">
        <f>78.64+255.898</f>
        <v>334.538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619.84211202</v>
      </c>
    </row>
    <row r="10"/>
    <row r="11">
      <c r="B11" s="14" t="inlineStr">
        <is>
          <t>rNPV / Share</t>
        </is>
      </c>
      <c r="C11" s="11">
        <f>NPV!B27</f>
        <v>20.449748196660366</v>
      </c>
    </row>
    <row r="12">
      <c r="B12" s="14" t="inlineStr">
        <is>
          <t>Upside</t>
        </is>
      </c>
      <c r="C12" s="15">
        <f>IFERROR(C11/C3-1,"")</f>
        <v>0.37894458507487294</v>
      </c>
    </row>
    <row r="13">
      <c r="B13" s="14" t="inlineStr">
        <is>
          <t>Cash / Share</t>
        </is>
      </c>
      <c r="C13" s="11">
        <f>IFERROR((C7-C8)/C4,"")</f>
        <v>5.198346526206776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-159.25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2.1007095761381476</v>
      </c>
    </row>
    <row r="19">
      <c r="B19" s="14" t="inlineStr">
        <is>
          <t>Implied Pipeline Value</t>
        </is>
      </c>
      <c r="C19" s="13">
        <f>C9</f>
        <v>619.84211202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18.943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18.943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43.211</v>
      </c>
      <c r="C5" s="23" t="n">
        <v>57.751</v>
      </c>
      <c r="D5" s="23" t="n">
        <v>91.94799999999999</v>
      </c>
      <c r="E5" s="23" t="n">
        <v>148.156</v>
      </c>
      <c r="F5" s="23" t="n">
        <v>142.903</v>
      </c>
      <c r="G5" s="23" t="n">
        <v>187.402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17.124</v>
      </c>
      <c r="C6" s="23" t="n">
        <v>29.146</v>
      </c>
      <c r="D6" s="23" t="n">
        <v>-236.596</v>
      </c>
      <c r="E6" s="23" t="n">
        <v>42.933</v>
      </c>
      <c r="F6" s="23" t="n">
        <v>54.016</v>
      </c>
      <c r="G6" s="23" t="n">
        <v>54.246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60.334999999999994</v>
      </c>
      <c r="C7" s="23">
        <f>SUM(C5:C6)</f>
        <v>86.89699999999999</v>
      </c>
      <c r="D7" s="23">
        <f>SUM(D5:D6)</f>
        <v>-144.64800000000002</v>
      </c>
      <c r="E7" s="23">
        <f>SUM(E5:E6)</f>
        <v>191.089</v>
      </c>
      <c r="F7" s="23">
        <f>SUM(F5:F6)</f>
        <v>196.91899999999998</v>
      </c>
      <c r="G7" s="23">
        <f>SUM(G5:G6)</f>
        <v>241.648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-60.334999999999994</v>
      </c>
      <c r="C8" s="23">
        <f>C4-C7</f>
        <v>-67.954</v>
      </c>
      <c r="D8" s="23">
        <f>D4-D7</f>
        <v>144.64800000000002</v>
      </c>
      <c r="E8" s="23">
        <f>E4-E7</f>
        <v>-191.089</v>
      </c>
      <c r="F8" s="23">
        <f>F4-F7</f>
        <v>-196.91899999999998</v>
      </c>
      <c r="G8" s="23">
        <f>G4-G7</f>
        <v>-241.648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8.536</v>
      </c>
      <c r="C9" s="23" t="n">
        <v>2.384</v>
      </c>
      <c r="D9" s="23" t="n">
        <v>8.686999999999999</v>
      </c>
      <c r="E9" s="23" t="n">
        <v>21.866</v>
      </c>
      <c r="F9" s="23" t="n">
        <v>29.461</v>
      </c>
      <c r="G9" s="23" t="n">
        <v>21.769</v>
      </c>
    </row>
    <row r="10">
      <c r="A10" s="2" t="inlineStr">
        <is>
          <t>Pretax</t>
        </is>
      </c>
      <c r="B10" s="23">
        <f>B8+B9</f>
        <v>-51.79899999999999</v>
      </c>
      <c r="C10" s="23">
        <f>C8+C9</f>
        <v>-65.57</v>
      </c>
      <c r="D10" s="23">
        <f>D8+D9</f>
        <v>153.33500000000004</v>
      </c>
      <c r="E10" s="23">
        <f>E8+E9</f>
        <v>-169.223</v>
      </c>
      <c r="F10" s="23">
        <f>F8+F9</f>
        <v>-167.45799999999997</v>
      </c>
      <c r="G10" s="23">
        <f>G8+G9</f>
        <v>-219.879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42.121</v>
      </c>
      <c r="E11" s="23" t="n">
        <v>-14.122</v>
      </c>
      <c r="F11" s="23" t="n">
        <v>0.117</v>
      </c>
      <c r="G11" s="23" t="n">
        <v>0</v>
      </c>
    </row>
    <row r="12">
      <c r="A12" s="2" t="inlineStr">
        <is>
          <t>Net Income</t>
        </is>
      </c>
      <c r="B12" s="23" t="n">
        <v>-51.799</v>
      </c>
      <c r="C12" s="23" t="n">
        <v>-65.56999999999999</v>
      </c>
      <c r="D12" s="23" t="n">
        <v>111.214</v>
      </c>
      <c r="E12" s="23" t="n">
        <v>-155.101</v>
      </c>
      <c r="F12" s="23" t="n">
        <v>-167.575</v>
      </c>
      <c r="G12" s="23" t="n">
        <v>-219.879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-2.6046663649620356</v>
      </c>
      <c r="C13" s="11">
        <f>IFERROR(C12/C14,0)</f>
        <v>-1.5221579961464353</v>
      </c>
      <c r="D13" s="11">
        <f>IFERROR(D12/D14,0)</f>
        <v>2.3845197255574613</v>
      </c>
      <c r="E13" s="11">
        <f>IFERROR(E12/E14,0)</f>
        <v>-3.732876052948255</v>
      </c>
      <c r="F13" s="11">
        <f>IFERROR(F12/F14,0)</f>
        <v>0</v>
      </c>
      <c r="G13" s="11">
        <f>IFERROR(G12/G14,0)</f>
        <v>0</v>
      </c>
    </row>
    <row r="14">
      <c r="A14" s="2" t="inlineStr">
        <is>
          <t>Shares</t>
        </is>
      </c>
      <c r="B14" s="23" t="n">
        <v>19.887</v>
      </c>
      <c r="C14" s="23" t="n">
        <v>43.077</v>
      </c>
      <c r="D14" s="23" t="n">
        <v>46.64</v>
      </c>
      <c r="E14" s="23" t="n">
        <v>41.55</v>
      </c>
      <c r="F14" s="23" t="n"/>
      <c r="G14" s="23" t="n"/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-1.0</v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-3.5872881803304644</v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Cullinan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1-PRODUCT(Pipeline!AG4:AG10)</f>
        <v>0.9569458618615755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221.805</v>
      </c>
    </row>
    <row r="19">
      <c r="A19" s="14" t="inlineStr">
        <is>
          <t>Years of full burn (until the first launch, max 4)</t>
        </is>
      </c>
      <c r="B19" s="39">
        <f>MIN(4,MAX(1,MIN(Pipeline!I4:I10)-2026))</f>
        <v>1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659.9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981.4992875731297</v>
      </c>
      <c r="C29" s="42">
        <f>NPV!B25</f>
        <v>1316.0372875731296</v>
      </c>
      <c r="D29" s="43">
        <f>NPV!B27</f>
        <v>20.449748196660366</v>
      </c>
      <c r="E29" s="44">
        <f>NPV!B29</f>
        <v>0.37894458507487294</v>
      </c>
    </row>
    <row r="30">
      <c r="A30" s="45" t="n">
        <v>1</v>
      </c>
      <c r="B30" s="46">
        <f t="dataTable" ref="B30:E32" r1="B4"/>
        <v>206.03008416841607</v>
      </c>
      <c r="C30" s="46">
        <v>540.5680841684161</v>
      </c>
      <c r="D30" s="47">
        <v>8.399823704676711</v>
      </c>
      <c r="E30" s="48">
        <v>-0.4335924676549756</v>
      </c>
    </row>
    <row r="31">
      <c r="A31" s="45" t="n">
        <v>2</v>
      </c>
      <c r="B31" s="46">
        <v>981.4992875731297</v>
      </c>
      <c r="C31" s="46">
        <v>1316.0372875731296</v>
      </c>
      <c r="D31" s="47">
        <v>20.449748196660366</v>
      </c>
      <c r="E31" s="48">
        <v>0.37894458507487294</v>
      </c>
    </row>
    <row r="32">
      <c r="A32" s="45" t="n">
        <v>3</v>
      </c>
      <c r="B32" s="46">
        <v>2095.800004876432</v>
      </c>
      <c r="C32" s="46">
        <v>2430.338004876432</v>
      </c>
      <c r="D32" s="47">
        <v>37.76473562093904</v>
      </c>
      <c r="E32" s="48">
        <v>1.5465094821941365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20.449748196660366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6.378921196087992</v>
      </c>
      <c r="C37" s="47">
        <v>9.91300904333685</v>
      </c>
      <c r="D37" s="47">
        <v>13.313812507435744</v>
      </c>
      <c r="E37" s="47">
        <v>19.981134996676623</v>
      </c>
      <c r="F37" s="47">
        <v>26.561487595753803</v>
      </c>
    </row>
    <row r="38">
      <c r="A38" s="50" t="n">
        <v>0.8</v>
      </c>
      <c r="B38" s="47">
        <v>7.735463378298672</v>
      </c>
      <c r="C38" s="47">
        <v>12.319882491649878</v>
      </c>
      <c r="D38" s="47">
        <v>16.797691216158736</v>
      </c>
      <c r="E38" s="47">
        <v>25.60142959385875</v>
      </c>
      <c r="F38" s="47">
        <v>34.31167208998423</v>
      </c>
    </row>
    <row r="39">
      <c r="A39" s="50" t="n">
        <v>1</v>
      </c>
      <c r="B39" s="47">
        <v>9.249469124895754</v>
      </c>
      <c r="C39" s="47">
        <v>14.904405671421088</v>
      </c>
      <c r="D39" s="47">
        <v>20.449748196660366</v>
      </c>
      <c r="E39" s="47">
        <v>31.385612157520043</v>
      </c>
      <c r="F39" s="47">
        <v>42.22236666100655</v>
      </c>
    </row>
    <row r="40">
      <c r="A40" s="50" t="n">
        <v>1.2</v>
      </c>
      <c r="B40" s="47">
        <v>10.362022379377974</v>
      </c>
      <c r="C40" s="47">
        <v>16.63264849736198</v>
      </c>
      <c r="D40" s="47">
        <v>22.80178552244496</v>
      </c>
      <c r="E40" s="47">
        <v>34.97782346596733</v>
      </c>
      <c r="F40" s="47">
        <v>47.06050598524217</v>
      </c>
    </row>
    <row r="41">
      <c r="A41" s="50" t="n">
        <v>1.4</v>
      </c>
      <c r="B41" s="47">
        <v>11.287248459007536</v>
      </c>
      <c r="C41" s="47">
        <v>18.005387058277094</v>
      </c>
      <c r="D41" s="47">
        <v>24.624519808527904</v>
      </c>
      <c r="E41" s="47">
        <v>37.71559238389405</v>
      </c>
      <c r="F41" s="47">
        <v>50.714405926346735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Cullinan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Lung cancer</t>
        </is>
      </c>
      <c r="C4" s="14" t="inlineStr">
        <is>
          <t>zipalertinib (CLN-081)</t>
        </is>
      </c>
      <c r="D4" s="14" t="inlineStr">
        <is>
          <t>Filed (NDA/BLA)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1200</v>
      </c>
      <c r="H4" s="27" t="n">
        <v>0.92</v>
      </c>
      <c r="I4" s="26" t="n">
        <v>2027</v>
      </c>
      <c r="J4" s="39">
        <f>I4+Assumptions!$B$25</f>
        <v>2039.0</v>
      </c>
      <c r="K4" s="33" t="n">
        <v>0.2</v>
      </c>
      <c r="L4" s="23">
        <f>K4*SUMPRODUCT(M4:AF4,NPV!$C$15:$V$15)</f>
        <v>994.5535327143742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110.4</v>
      </c>
      <c r="O4" s="23">
        <f>IF(O$3&lt;$I4,0,$G4*Assumptions!$E$11*INDEX(Assumptions!$B$24:$G$24,MIN(6,O$3-$I4+1))*IF(O$3&gt;$J4,(1-Assumptions!$B$26)^(O$3-$J4),1)*IF($H4&gt;=1,1,MIN(0.97,$H4*Assumptions!$E$12)))</f>
        <v>276.0</v>
      </c>
      <c r="P4" s="23">
        <f>IF(P$3&lt;$I4,0,$G4*Assumptions!$E$11*INDEX(Assumptions!$B$24:$G$24,MIN(6,P$3-$I4+1))*IF(P$3&gt;$J4,(1-Assumptions!$B$26)^(P$3-$J4),1)*IF($H4&gt;=1,1,MIN(0.97,$H4*Assumptions!$E$12)))</f>
        <v>496.8</v>
      </c>
      <c r="Q4" s="23">
        <f>IF(Q$3&lt;$I4,0,$G4*Assumptions!$E$11*INDEX(Assumptions!$B$24:$G$24,MIN(6,Q$3-$I4+1))*IF(Q$3&gt;$J4,(1-Assumptions!$B$26)^(Q$3-$J4),1)*IF($H4&gt;=1,1,MIN(0.97,$H4*Assumptions!$E$12)))</f>
        <v>717.6</v>
      </c>
      <c r="R4" s="23">
        <f>IF(R$3&lt;$I4,0,$G4*Assumptions!$E$11*INDEX(Assumptions!$B$24:$G$24,MIN(6,R$3-$I4+1))*IF(R$3&gt;$J4,(1-Assumptions!$B$26)^(R$3-$J4),1)*IF($H4&gt;=1,1,MIN(0.97,$H4*Assumptions!$E$12)))</f>
        <v>938.4000000000001</v>
      </c>
      <c r="S4" s="23">
        <f>IF(S$3&lt;$I4,0,$G4*Assumptions!$E$11*INDEX(Assumptions!$B$24:$G$24,MIN(6,S$3-$I4+1))*IF(S$3&gt;$J4,(1-Assumptions!$B$26)^(S$3-$J4),1)*IF($H4&gt;=1,1,MIN(0.97,$H4*Assumptions!$E$12)))</f>
        <v>1104.0</v>
      </c>
      <c r="T4" s="23">
        <f>IF(T$3&lt;$I4,0,$G4*Assumptions!$E$11*INDEX(Assumptions!$B$24:$G$24,MIN(6,T$3-$I4+1))*IF(T$3&gt;$J4,(1-Assumptions!$B$26)^(T$3-$J4),1)*IF($H4&gt;=1,1,MIN(0.97,$H4*Assumptions!$E$12)))</f>
        <v>1104.0</v>
      </c>
      <c r="U4" s="23">
        <f>IF(U$3&lt;$I4,0,$G4*Assumptions!$E$11*INDEX(Assumptions!$B$24:$G$24,MIN(6,U$3-$I4+1))*IF(U$3&gt;$J4,(1-Assumptions!$B$26)^(U$3-$J4),1)*IF($H4&gt;=1,1,MIN(0.97,$H4*Assumptions!$E$12)))</f>
        <v>1104.0</v>
      </c>
      <c r="V4" s="23">
        <f>IF(V$3&lt;$I4,0,$G4*Assumptions!$E$11*INDEX(Assumptions!$B$24:$G$24,MIN(6,V$3-$I4+1))*IF(V$3&gt;$J4,(1-Assumptions!$B$26)^(V$3-$J4),1)*IF($H4&gt;=1,1,MIN(0.97,$H4*Assumptions!$E$12)))</f>
        <v>1104.0</v>
      </c>
      <c r="W4" s="23">
        <f>IF(W$3&lt;$I4,0,$G4*Assumptions!$E$11*INDEX(Assumptions!$B$24:$G$24,MIN(6,W$3-$I4+1))*IF(W$3&gt;$J4,(1-Assumptions!$B$26)^(W$3-$J4),1)*IF($H4&gt;=1,1,MIN(0.97,$H4*Assumptions!$E$12)))</f>
        <v>1104.0</v>
      </c>
      <c r="X4" s="23">
        <f>IF(X$3&lt;$I4,0,$G4*Assumptions!$E$11*INDEX(Assumptions!$B$24:$G$24,MIN(6,X$3-$I4+1))*IF(X$3&gt;$J4,(1-Assumptions!$B$26)^(X$3-$J4),1)*IF($H4&gt;=1,1,MIN(0.97,$H4*Assumptions!$E$12)))</f>
        <v>1104.0</v>
      </c>
      <c r="Y4" s="23">
        <f>IF(Y$3&lt;$I4,0,$G4*Assumptions!$E$11*INDEX(Assumptions!$B$24:$G$24,MIN(6,Y$3-$I4+1))*IF(Y$3&gt;$J4,(1-Assumptions!$B$26)^(Y$3-$J4),1)*IF($H4&gt;=1,1,MIN(0.97,$H4*Assumptions!$E$12)))</f>
        <v>1104.0</v>
      </c>
      <c r="Z4" s="23">
        <f>IF(Z$3&lt;$I4,0,$G4*Assumptions!$E$11*INDEX(Assumptions!$B$24:$G$24,MIN(6,Z$3-$I4+1))*IF(Z$3&gt;$J4,(1-Assumptions!$B$26)^(Z$3-$J4),1)*IF($H4&gt;=1,1,MIN(0.97,$H4*Assumptions!$E$12)))</f>
        <v>1104.0</v>
      </c>
      <c r="AA4" s="23">
        <f>IF(AA$3&lt;$I4,0,$G4*Assumptions!$E$11*INDEX(Assumptions!$B$24:$G$24,MIN(6,AA$3-$I4+1))*IF(AA$3&gt;$J4,(1-Assumptions!$B$26)^(AA$3-$J4),1)*IF($H4&gt;=1,1,MIN(0.97,$H4*Assumptions!$E$12)))</f>
        <v>552.0</v>
      </c>
      <c r="AB4" s="23">
        <f>IF(AB$3&lt;$I4,0,$G4*Assumptions!$E$11*INDEX(Assumptions!$B$24:$G$24,MIN(6,AB$3-$I4+1))*IF(AB$3&gt;$J4,(1-Assumptions!$B$26)^(AB$3-$J4),1)*IF($H4&gt;=1,1,MIN(0.97,$H4*Assumptions!$E$12)))</f>
        <v>276.0</v>
      </c>
      <c r="AC4" s="23">
        <f>IF(AC$3&lt;$I4,0,$G4*Assumptions!$E$11*INDEX(Assumptions!$B$24:$G$24,MIN(6,AC$3-$I4+1))*IF(AC$3&gt;$J4,(1-Assumptions!$B$26)^(AC$3-$J4),1)*IF($H4&gt;=1,1,MIN(0.97,$H4*Assumptions!$E$12)))</f>
        <v>138.0</v>
      </c>
      <c r="AD4" s="23">
        <f>IF(AD$3&lt;$I4,0,$G4*Assumptions!$E$11*INDEX(Assumptions!$B$24:$G$24,MIN(6,AD$3-$I4+1))*IF(AD$3&gt;$J4,(1-Assumptions!$B$26)^(AD$3-$J4),1)*IF($H4&gt;=1,1,MIN(0.97,$H4*Assumptions!$E$12)))</f>
        <v>69.0</v>
      </c>
      <c r="AE4" s="23">
        <f>IF(AE$3&lt;$I4,0,$G4*Assumptions!$E$11*INDEX(Assumptions!$B$24:$G$24,MIN(6,AE$3-$I4+1))*IF(AE$3&gt;$J4,(1-Assumptions!$B$26)^(AE$3-$J4),1)*IF($H4&gt;=1,1,MIN(0.97,$H4*Assumptions!$E$12)))</f>
        <v>34.5</v>
      </c>
      <c r="AF4" s="23">
        <f>IF(AF$3&lt;$I4,0,$G4*Assumptions!$E$11*INDEX(Assumptions!$B$24:$G$24,MIN(6,AF$3-$I4+1))*IF(AF$3&gt;$J4,(1-Assumptions!$B$26)^(AF$3-$J4),1)*IF($H4&gt;=1,1,MIN(0.97,$H4*Assumptions!$E$12)))</f>
        <v>17.25</v>
      </c>
      <c r="AG4" s="35">
        <f>IF(F4="Owned",1-IF(H4&gt;=1,1,MIN(0.97,H4*Assumptions!$E$12)),1)</f>
        <v>0.07999999999999996</v>
      </c>
    </row>
    <row r="5">
      <c r="A5" s="39" t="n">
        <v>2</v>
      </c>
      <c r="B5" s="14" t="inlineStr">
        <is>
          <t>Rheumatoid / spondyloarthritis</t>
        </is>
      </c>
      <c r="C5" s="14" t="inlineStr">
        <is>
          <t>CLN-978</t>
        </is>
      </c>
      <c r="D5" s="14" t="inlineStr">
        <is>
          <t>Phase 1</t>
        </is>
      </c>
      <c r="E5" s="14" t="inlineStr">
        <is>
          <t>Autoimmune / area</t>
        </is>
      </c>
      <c r="F5" s="14" t="inlineStr">
        <is>
          <t>Owned</t>
        </is>
      </c>
      <c r="G5" s="40" t="n">
        <v>2000</v>
      </c>
      <c r="H5" s="27" t="n">
        <v>0.1065</v>
      </c>
      <c r="I5" s="26" t="n">
        <v>2033</v>
      </c>
      <c r="J5" s="39">
        <f>I5+Assumptions!$B$25</f>
        <v>2045.0</v>
      </c>
      <c r="K5" s="53">
        <f>Assumptions!$E$13</f>
        <v>0.4</v>
      </c>
      <c r="L5" s="23">
        <f>K5*SUMPRODUCT(M5:AF5,NPV!$C$15:$V$15)</f>
        <v>186.5179507901639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0</v>
      </c>
      <c r="T5" s="23">
        <f>IF(T$3&lt;$I5,0,$G5*Assumptions!$E$11*INDEX(Assumptions!$B$24:$G$24,MIN(6,T$3-$I5+1))*IF(T$3&gt;$J5,(1-Assumptions!$B$26)^(T$3-$J5),1)*IF($H5&gt;=1,1,MIN(0.97,$H5*Assumptions!$E$12)))</f>
        <v>21.3</v>
      </c>
      <c r="U5" s="23">
        <f>IF(U$3&lt;$I5,0,$G5*Assumptions!$E$11*INDEX(Assumptions!$B$24:$G$24,MIN(6,U$3-$I5+1))*IF(U$3&gt;$J5,(1-Assumptions!$B$26)^(U$3-$J5),1)*IF($H5&gt;=1,1,MIN(0.97,$H5*Assumptions!$E$12)))</f>
        <v>53.25</v>
      </c>
      <c r="V5" s="23">
        <f>IF(V$3&lt;$I5,0,$G5*Assumptions!$E$11*INDEX(Assumptions!$B$24:$G$24,MIN(6,V$3-$I5+1))*IF(V$3&gt;$J5,(1-Assumptions!$B$26)^(V$3-$J5),1)*IF($H5&gt;=1,1,MIN(0.97,$H5*Assumptions!$E$12)))</f>
        <v>95.85</v>
      </c>
      <c r="W5" s="23">
        <f>IF(W$3&lt;$I5,0,$G5*Assumptions!$E$11*INDEX(Assumptions!$B$24:$G$24,MIN(6,W$3-$I5+1))*IF(W$3&gt;$J5,(1-Assumptions!$B$26)^(W$3-$J5),1)*IF($H5&gt;=1,1,MIN(0.97,$H5*Assumptions!$E$12)))</f>
        <v>138.45</v>
      </c>
      <c r="X5" s="23">
        <f>IF(X$3&lt;$I5,0,$G5*Assumptions!$E$11*INDEX(Assumptions!$B$24:$G$24,MIN(6,X$3-$I5+1))*IF(X$3&gt;$J5,(1-Assumptions!$B$26)^(X$3-$J5),1)*IF($H5&gt;=1,1,MIN(0.97,$H5*Assumptions!$E$12)))</f>
        <v>181.04999999999998</v>
      </c>
      <c r="Y5" s="23">
        <f>IF(Y$3&lt;$I5,0,$G5*Assumptions!$E$11*INDEX(Assumptions!$B$24:$G$24,MIN(6,Y$3-$I5+1))*IF(Y$3&gt;$J5,(1-Assumptions!$B$26)^(Y$3-$J5),1)*IF($H5&gt;=1,1,MIN(0.97,$H5*Assumptions!$E$12)))</f>
        <v>213.0</v>
      </c>
      <c r="Z5" s="23">
        <f>IF(Z$3&lt;$I5,0,$G5*Assumptions!$E$11*INDEX(Assumptions!$B$24:$G$24,MIN(6,Z$3-$I5+1))*IF(Z$3&gt;$J5,(1-Assumptions!$B$26)^(Z$3-$J5),1)*IF($H5&gt;=1,1,MIN(0.97,$H5*Assumptions!$E$12)))</f>
        <v>213.0</v>
      </c>
      <c r="AA5" s="23">
        <f>IF(AA$3&lt;$I5,0,$G5*Assumptions!$E$11*INDEX(Assumptions!$B$24:$G$24,MIN(6,AA$3-$I5+1))*IF(AA$3&gt;$J5,(1-Assumptions!$B$26)^(AA$3-$J5),1)*IF($H5&gt;=1,1,MIN(0.97,$H5*Assumptions!$E$12)))</f>
        <v>213.0</v>
      </c>
      <c r="AB5" s="23">
        <f>IF(AB$3&lt;$I5,0,$G5*Assumptions!$E$11*INDEX(Assumptions!$B$24:$G$24,MIN(6,AB$3-$I5+1))*IF(AB$3&gt;$J5,(1-Assumptions!$B$26)^(AB$3-$J5),1)*IF($H5&gt;=1,1,MIN(0.97,$H5*Assumptions!$E$12)))</f>
        <v>213.0</v>
      </c>
      <c r="AC5" s="23">
        <f>IF(AC$3&lt;$I5,0,$G5*Assumptions!$E$11*INDEX(Assumptions!$B$24:$G$24,MIN(6,AC$3-$I5+1))*IF(AC$3&gt;$J5,(1-Assumptions!$B$26)^(AC$3-$J5),1)*IF($H5&gt;=1,1,MIN(0.97,$H5*Assumptions!$E$12)))</f>
        <v>213.0</v>
      </c>
      <c r="AD5" s="23">
        <f>IF(AD$3&lt;$I5,0,$G5*Assumptions!$E$11*INDEX(Assumptions!$B$24:$G$24,MIN(6,AD$3-$I5+1))*IF(AD$3&gt;$J5,(1-Assumptions!$B$26)^(AD$3-$J5),1)*IF($H5&gt;=1,1,MIN(0.97,$H5*Assumptions!$E$12)))</f>
        <v>213.0</v>
      </c>
      <c r="AE5" s="23">
        <f>IF(AE$3&lt;$I5,0,$G5*Assumptions!$E$11*INDEX(Assumptions!$B$24:$G$24,MIN(6,AE$3-$I5+1))*IF(AE$3&gt;$J5,(1-Assumptions!$B$26)^(AE$3-$J5),1)*IF($H5&gt;=1,1,MIN(0.97,$H5*Assumptions!$E$12)))</f>
        <v>213.0</v>
      </c>
      <c r="AF5" s="23">
        <f>IF(AF$3&lt;$I5,0,$G5*Assumptions!$E$11*INDEX(Assumptions!$B$24:$G$24,MIN(6,AF$3-$I5+1))*IF(AF$3&gt;$J5,(1-Assumptions!$B$26)^(AF$3-$J5),1)*IF($H5&gt;=1,1,MIN(0.97,$H5*Assumptions!$E$12)))</f>
        <v>213.0</v>
      </c>
      <c r="AG5" s="35">
        <f>IF(F5="Owned",1-IF(H5&gt;=1,1,MIN(0.97,H5*Assumptions!$E$12)),1)</f>
        <v>0.8935</v>
      </c>
    </row>
    <row r="6">
      <c r="A6" s="39" t="n">
        <v>3</v>
      </c>
      <c r="B6" s="14" t="inlineStr">
        <is>
          <t>Rare autoimmune</t>
        </is>
      </c>
      <c r="C6" s="14" t="inlineStr">
        <is>
          <t>Velinotamig specified dose on specified days.</t>
        </is>
      </c>
      <c r="D6" s="14" t="inlineStr">
        <is>
          <t>Phase 1/2</t>
        </is>
      </c>
      <c r="E6" s="14" t="inlineStr">
        <is>
          <t>Autoimmune / rare</t>
        </is>
      </c>
      <c r="F6" s="14" t="inlineStr">
        <is>
          <t>Owned</t>
        </is>
      </c>
      <c r="G6" s="40" t="n">
        <v>800</v>
      </c>
      <c r="H6" s="27" t="n">
        <v>0.207</v>
      </c>
      <c r="I6" s="26" t="n">
        <v>2032</v>
      </c>
      <c r="J6" s="39">
        <f>I6+Assumptions!$B$25</f>
        <v>2044.0</v>
      </c>
      <c r="K6" s="53">
        <f>Assumptions!$E$13</f>
        <v>0.4</v>
      </c>
      <c r="L6" s="23">
        <f>K6*SUMPRODUCT(M6:AF6,NPV!$C$15:$V$15)</f>
        <v>166.25614599408743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0</v>
      </c>
      <c r="S6" s="23">
        <f>IF(S$3&lt;$I6,0,$G6*Assumptions!$E$11*INDEX(Assumptions!$B$24:$G$24,MIN(6,S$3-$I6+1))*IF(S$3&gt;$J6,(1-Assumptions!$B$26)^(S$3-$J6),1)*IF($H6&gt;=1,1,MIN(0.97,$H6*Assumptions!$E$12)))</f>
        <v>16.56</v>
      </c>
      <c r="T6" s="23">
        <f>IF(T$3&lt;$I6,0,$G6*Assumptions!$E$11*INDEX(Assumptions!$B$24:$G$24,MIN(6,T$3-$I6+1))*IF(T$3&gt;$J6,(1-Assumptions!$B$26)^(T$3-$J6),1)*IF($H6&gt;=1,1,MIN(0.97,$H6*Assumptions!$E$12)))</f>
        <v>41.4</v>
      </c>
      <c r="U6" s="23">
        <f>IF(U$3&lt;$I6,0,$G6*Assumptions!$E$11*INDEX(Assumptions!$B$24:$G$24,MIN(6,U$3-$I6+1))*IF(U$3&gt;$J6,(1-Assumptions!$B$26)^(U$3-$J6),1)*IF($H6&gt;=1,1,MIN(0.97,$H6*Assumptions!$E$12)))</f>
        <v>74.52</v>
      </c>
      <c r="V6" s="23">
        <f>IF(V$3&lt;$I6,0,$G6*Assumptions!$E$11*INDEX(Assumptions!$B$24:$G$24,MIN(6,V$3-$I6+1))*IF(V$3&gt;$J6,(1-Assumptions!$B$26)^(V$3-$J6),1)*IF($H6&gt;=1,1,MIN(0.97,$H6*Assumptions!$E$12)))</f>
        <v>107.64</v>
      </c>
      <c r="W6" s="23">
        <f>IF(W$3&lt;$I6,0,$G6*Assumptions!$E$11*INDEX(Assumptions!$B$24:$G$24,MIN(6,W$3-$I6+1))*IF(W$3&gt;$J6,(1-Assumptions!$B$26)^(W$3-$J6),1)*IF($H6&gt;=1,1,MIN(0.97,$H6*Assumptions!$E$12)))</f>
        <v>140.76</v>
      </c>
      <c r="X6" s="23">
        <f>IF(X$3&lt;$I6,0,$G6*Assumptions!$E$11*INDEX(Assumptions!$B$24:$G$24,MIN(6,X$3-$I6+1))*IF(X$3&gt;$J6,(1-Assumptions!$B$26)^(X$3-$J6),1)*IF($H6&gt;=1,1,MIN(0.97,$H6*Assumptions!$E$12)))</f>
        <v>165.6</v>
      </c>
      <c r="Y6" s="23">
        <f>IF(Y$3&lt;$I6,0,$G6*Assumptions!$E$11*INDEX(Assumptions!$B$24:$G$24,MIN(6,Y$3-$I6+1))*IF(Y$3&gt;$J6,(1-Assumptions!$B$26)^(Y$3-$J6),1)*IF($H6&gt;=1,1,MIN(0.97,$H6*Assumptions!$E$12)))</f>
        <v>165.6</v>
      </c>
      <c r="Z6" s="23">
        <f>IF(Z$3&lt;$I6,0,$G6*Assumptions!$E$11*INDEX(Assumptions!$B$24:$G$24,MIN(6,Z$3-$I6+1))*IF(Z$3&gt;$J6,(1-Assumptions!$B$26)^(Z$3-$J6),1)*IF($H6&gt;=1,1,MIN(0.97,$H6*Assumptions!$E$12)))</f>
        <v>165.6</v>
      </c>
      <c r="AA6" s="23">
        <f>IF(AA$3&lt;$I6,0,$G6*Assumptions!$E$11*INDEX(Assumptions!$B$24:$G$24,MIN(6,AA$3-$I6+1))*IF(AA$3&gt;$J6,(1-Assumptions!$B$26)^(AA$3-$J6),1)*IF($H6&gt;=1,1,MIN(0.97,$H6*Assumptions!$E$12)))</f>
        <v>165.6</v>
      </c>
      <c r="AB6" s="23">
        <f>IF(AB$3&lt;$I6,0,$G6*Assumptions!$E$11*INDEX(Assumptions!$B$24:$G$24,MIN(6,AB$3-$I6+1))*IF(AB$3&gt;$J6,(1-Assumptions!$B$26)^(AB$3-$J6),1)*IF($H6&gt;=1,1,MIN(0.97,$H6*Assumptions!$E$12)))</f>
        <v>165.6</v>
      </c>
      <c r="AC6" s="23">
        <f>IF(AC$3&lt;$I6,0,$G6*Assumptions!$E$11*INDEX(Assumptions!$B$24:$G$24,MIN(6,AC$3-$I6+1))*IF(AC$3&gt;$J6,(1-Assumptions!$B$26)^(AC$3-$J6),1)*IF($H6&gt;=1,1,MIN(0.97,$H6*Assumptions!$E$12)))</f>
        <v>165.6</v>
      </c>
      <c r="AD6" s="23">
        <f>IF(AD$3&lt;$I6,0,$G6*Assumptions!$E$11*INDEX(Assumptions!$B$24:$G$24,MIN(6,AD$3-$I6+1))*IF(AD$3&gt;$J6,(1-Assumptions!$B$26)^(AD$3-$J6),1)*IF($H6&gt;=1,1,MIN(0.97,$H6*Assumptions!$E$12)))</f>
        <v>165.6</v>
      </c>
      <c r="AE6" s="23">
        <f>IF(AE$3&lt;$I6,0,$G6*Assumptions!$E$11*INDEX(Assumptions!$B$24:$G$24,MIN(6,AE$3-$I6+1))*IF(AE$3&gt;$J6,(1-Assumptions!$B$26)^(AE$3-$J6),1)*IF($H6&gt;=1,1,MIN(0.97,$H6*Assumptions!$E$12)))</f>
        <v>165.6</v>
      </c>
      <c r="AF6" s="23">
        <f>IF(AF$3&lt;$I6,0,$G6*Assumptions!$E$11*INDEX(Assumptions!$B$24:$G$24,MIN(6,AF$3-$I6+1))*IF(AF$3&gt;$J6,(1-Assumptions!$B$26)^(AF$3-$J6),1)*IF($H6&gt;=1,1,MIN(0.97,$H6*Assumptions!$E$12)))</f>
        <v>82.8</v>
      </c>
      <c r="AG6" s="35">
        <f>IF(F6="Owned",1-IF(H6&gt;=1,1,MIN(0.97,H6*Assumptions!$E$12)),1)</f>
        <v>0.793</v>
      </c>
    </row>
    <row r="7">
      <c r="A7" s="39" t="n">
        <v>4</v>
      </c>
      <c r="B7" s="14" t="inlineStr">
        <is>
          <t>Lupus / Sjogren's</t>
        </is>
      </c>
      <c r="C7" s="14" t="inlineStr">
        <is>
          <t>CLN-978</t>
        </is>
      </c>
      <c r="D7" s="14" t="inlineStr">
        <is>
          <t>Phase 1</t>
        </is>
      </c>
      <c r="E7" s="14" t="inlineStr">
        <is>
          <t>Autoimmune / area</t>
        </is>
      </c>
      <c r="F7" s="14" t="inlineStr">
        <is>
          <t>Owned</t>
        </is>
      </c>
      <c r="G7" s="40" t="n">
        <v>1500</v>
      </c>
      <c r="H7" s="27" t="n">
        <v>0.1065</v>
      </c>
      <c r="I7" s="26" t="n">
        <v>2033</v>
      </c>
      <c r="J7" s="39">
        <f>I7+Assumptions!$B$25</f>
        <v>2045.0</v>
      </c>
      <c r="K7" s="53">
        <f>Assumptions!$E$13</f>
        <v>0.4</v>
      </c>
      <c r="L7" s="23">
        <f>K7*SUMPRODUCT(M7:AF7,NPV!$C$15:$V$15)</f>
        <v>139.88846309262294</v>
      </c>
      <c r="M7" s="23">
        <f>IF(M$3&lt;$I7,0,$G7*Assumptions!$E$11*INDEX(Assumptions!$B$24:$G$24,MIN(6,M$3-$I7+1))*IF(M$3&gt;$J7,(1-Assumptions!$B$26)^(M$3-$J7),1)*IF($H7&gt;=1,1,MIN(0.97,$H7*Assumptions!$E$12)))</f>
        <v>0</v>
      </c>
      <c r="N7" s="23">
        <f>IF(N$3&lt;$I7,0,$G7*Assumptions!$E$11*INDEX(Assumptions!$B$24:$G$24,MIN(6,N$3-$I7+1))*IF(N$3&gt;$J7,(1-Assumptions!$B$26)^(N$3-$J7),1)*IF($H7&gt;=1,1,MIN(0.97,$H7*Assumptions!$E$12)))</f>
        <v>0</v>
      </c>
      <c r="O7" s="23">
        <f>IF(O$3&lt;$I7,0,$G7*Assumptions!$E$11*INDEX(Assumptions!$B$24:$G$24,MIN(6,O$3-$I7+1))*IF(O$3&gt;$J7,(1-Assumptions!$B$26)^(O$3-$J7),1)*IF($H7&gt;=1,1,MIN(0.97,$H7*Assumptions!$E$12)))</f>
        <v>0</v>
      </c>
      <c r="P7" s="23">
        <f>IF(P$3&lt;$I7,0,$G7*Assumptions!$E$11*INDEX(Assumptions!$B$24:$G$24,MIN(6,P$3-$I7+1))*IF(P$3&gt;$J7,(1-Assumptions!$B$26)^(P$3-$J7),1)*IF($H7&gt;=1,1,MIN(0.97,$H7*Assumptions!$E$12)))</f>
        <v>0</v>
      </c>
      <c r="Q7" s="23">
        <f>IF(Q$3&lt;$I7,0,$G7*Assumptions!$E$11*INDEX(Assumptions!$B$24:$G$24,MIN(6,Q$3-$I7+1))*IF(Q$3&gt;$J7,(1-Assumptions!$B$26)^(Q$3-$J7),1)*IF($H7&gt;=1,1,MIN(0.97,$H7*Assumptions!$E$12)))</f>
        <v>0</v>
      </c>
      <c r="R7" s="23">
        <f>IF(R$3&lt;$I7,0,$G7*Assumptions!$E$11*INDEX(Assumptions!$B$24:$G$24,MIN(6,R$3-$I7+1))*IF(R$3&gt;$J7,(1-Assumptions!$B$26)^(R$3-$J7),1)*IF($H7&gt;=1,1,MIN(0.97,$H7*Assumptions!$E$12)))</f>
        <v>0</v>
      </c>
      <c r="S7" s="23">
        <f>IF(S$3&lt;$I7,0,$G7*Assumptions!$E$11*INDEX(Assumptions!$B$24:$G$24,MIN(6,S$3-$I7+1))*IF(S$3&gt;$J7,(1-Assumptions!$B$26)^(S$3-$J7),1)*IF($H7&gt;=1,1,MIN(0.97,$H7*Assumptions!$E$12)))</f>
        <v>0</v>
      </c>
      <c r="T7" s="23">
        <f>IF(T$3&lt;$I7,0,$G7*Assumptions!$E$11*INDEX(Assumptions!$B$24:$G$24,MIN(6,T$3-$I7+1))*IF(T$3&gt;$J7,(1-Assumptions!$B$26)^(T$3-$J7),1)*IF($H7&gt;=1,1,MIN(0.97,$H7*Assumptions!$E$12)))</f>
        <v>15.975</v>
      </c>
      <c r="U7" s="23">
        <f>IF(U$3&lt;$I7,0,$G7*Assumptions!$E$11*INDEX(Assumptions!$B$24:$G$24,MIN(6,U$3-$I7+1))*IF(U$3&gt;$J7,(1-Assumptions!$B$26)^(U$3-$J7),1)*IF($H7&gt;=1,1,MIN(0.97,$H7*Assumptions!$E$12)))</f>
        <v>39.9375</v>
      </c>
      <c r="V7" s="23">
        <f>IF(V$3&lt;$I7,0,$G7*Assumptions!$E$11*INDEX(Assumptions!$B$24:$G$24,MIN(6,V$3-$I7+1))*IF(V$3&gt;$J7,(1-Assumptions!$B$26)^(V$3-$J7),1)*IF($H7&gt;=1,1,MIN(0.97,$H7*Assumptions!$E$12)))</f>
        <v>71.8875</v>
      </c>
      <c r="W7" s="23">
        <f>IF(W$3&lt;$I7,0,$G7*Assumptions!$E$11*INDEX(Assumptions!$B$24:$G$24,MIN(6,W$3-$I7+1))*IF(W$3&gt;$J7,(1-Assumptions!$B$26)^(W$3-$J7),1)*IF($H7&gt;=1,1,MIN(0.97,$H7*Assumptions!$E$12)))</f>
        <v>103.83749999999999</v>
      </c>
      <c r="X7" s="23">
        <f>IF(X$3&lt;$I7,0,$G7*Assumptions!$E$11*INDEX(Assumptions!$B$24:$G$24,MIN(6,X$3-$I7+1))*IF(X$3&gt;$J7,(1-Assumptions!$B$26)^(X$3-$J7),1)*IF($H7&gt;=1,1,MIN(0.97,$H7*Assumptions!$E$12)))</f>
        <v>135.7875</v>
      </c>
      <c r="Y7" s="23">
        <f>IF(Y$3&lt;$I7,0,$G7*Assumptions!$E$11*INDEX(Assumptions!$B$24:$G$24,MIN(6,Y$3-$I7+1))*IF(Y$3&gt;$J7,(1-Assumptions!$B$26)^(Y$3-$J7),1)*IF($H7&gt;=1,1,MIN(0.97,$H7*Assumptions!$E$12)))</f>
        <v>159.75</v>
      </c>
      <c r="Z7" s="23">
        <f>IF(Z$3&lt;$I7,0,$G7*Assumptions!$E$11*INDEX(Assumptions!$B$24:$G$24,MIN(6,Z$3-$I7+1))*IF(Z$3&gt;$J7,(1-Assumptions!$B$26)^(Z$3-$J7),1)*IF($H7&gt;=1,1,MIN(0.97,$H7*Assumptions!$E$12)))</f>
        <v>159.75</v>
      </c>
      <c r="AA7" s="23">
        <f>IF(AA$3&lt;$I7,0,$G7*Assumptions!$E$11*INDEX(Assumptions!$B$24:$G$24,MIN(6,AA$3-$I7+1))*IF(AA$3&gt;$J7,(1-Assumptions!$B$26)^(AA$3-$J7),1)*IF($H7&gt;=1,1,MIN(0.97,$H7*Assumptions!$E$12)))</f>
        <v>159.75</v>
      </c>
      <c r="AB7" s="23">
        <f>IF(AB$3&lt;$I7,0,$G7*Assumptions!$E$11*INDEX(Assumptions!$B$24:$G$24,MIN(6,AB$3-$I7+1))*IF(AB$3&gt;$J7,(1-Assumptions!$B$26)^(AB$3-$J7),1)*IF($H7&gt;=1,1,MIN(0.97,$H7*Assumptions!$E$12)))</f>
        <v>159.75</v>
      </c>
      <c r="AC7" s="23">
        <f>IF(AC$3&lt;$I7,0,$G7*Assumptions!$E$11*INDEX(Assumptions!$B$24:$G$24,MIN(6,AC$3-$I7+1))*IF(AC$3&gt;$J7,(1-Assumptions!$B$26)^(AC$3-$J7),1)*IF($H7&gt;=1,1,MIN(0.97,$H7*Assumptions!$E$12)))</f>
        <v>159.75</v>
      </c>
      <c r="AD7" s="23">
        <f>IF(AD$3&lt;$I7,0,$G7*Assumptions!$E$11*INDEX(Assumptions!$B$24:$G$24,MIN(6,AD$3-$I7+1))*IF(AD$3&gt;$J7,(1-Assumptions!$B$26)^(AD$3-$J7),1)*IF($H7&gt;=1,1,MIN(0.97,$H7*Assumptions!$E$12)))</f>
        <v>159.75</v>
      </c>
      <c r="AE7" s="23">
        <f>IF(AE$3&lt;$I7,0,$G7*Assumptions!$E$11*INDEX(Assumptions!$B$24:$G$24,MIN(6,AE$3-$I7+1))*IF(AE$3&gt;$J7,(1-Assumptions!$B$26)^(AE$3-$J7),1)*IF($H7&gt;=1,1,MIN(0.97,$H7*Assumptions!$E$12)))</f>
        <v>159.75</v>
      </c>
      <c r="AF7" s="23">
        <f>IF(AF$3&lt;$I7,0,$G7*Assumptions!$E$11*INDEX(Assumptions!$B$24:$G$24,MIN(6,AF$3-$I7+1))*IF(AF$3&gt;$J7,(1-Assumptions!$B$26)^(AF$3-$J7),1)*IF($H7&gt;=1,1,MIN(0.97,$H7*Assumptions!$E$12)))</f>
        <v>159.75</v>
      </c>
      <c r="AG7" s="35">
        <f>IF(F7="Owned",1-IF(H7&gt;=1,1,MIN(0.97,H7*Assumptions!$E$12)),1)</f>
        <v>0.8935</v>
      </c>
    </row>
    <row r="8">
      <c r="A8" s="39" t="n">
        <v>5</v>
      </c>
      <c r="B8" s="14" t="inlineStr">
        <is>
          <t>Multiple myeloma</t>
        </is>
      </c>
      <c r="C8" s="14" t="inlineStr">
        <is>
          <t>CLN-619</t>
        </is>
      </c>
      <c r="D8" s="14" t="inlineStr">
        <is>
          <t>Phase 1</t>
        </is>
      </c>
      <c r="E8" s="14" t="inlineStr">
        <is>
          <t>Oncology / area</t>
        </is>
      </c>
      <c r="F8" s="14" t="inlineStr">
        <is>
          <t>Owned</t>
        </is>
      </c>
      <c r="G8" s="40" t="n">
        <v>2500</v>
      </c>
      <c r="H8" s="27" t="n">
        <v>0.0527</v>
      </c>
      <c r="I8" s="26" t="n">
        <v>2033</v>
      </c>
      <c r="J8" s="39">
        <f>I8+Assumptions!$B$25</f>
        <v>2045.0</v>
      </c>
      <c r="K8" s="53">
        <f>Assumptions!$E$13</f>
        <v>0.4</v>
      </c>
      <c r="L8" s="23">
        <f>K8*SUMPRODUCT(M8:AF8,NPV!$C$15:$V$15)</f>
        <v>115.36967143945586</v>
      </c>
      <c r="M8" s="23">
        <f>IF(M$3&lt;$I8,0,$G8*Assumptions!$E$11*INDEX(Assumptions!$B$24:$G$24,MIN(6,M$3-$I8+1))*IF(M$3&gt;$J8,(1-Assumptions!$B$26)^(M$3-$J8),1)*IF($H8&gt;=1,1,MIN(0.97,$H8*Assumptions!$E$12)))</f>
        <v>0</v>
      </c>
      <c r="N8" s="23">
        <f>IF(N$3&lt;$I8,0,$G8*Assumptions!$E$11*INDEX(Assumptions!$B$24:$G$24,MIN(6,N$3-$I8+1))*IF(N$3&gt;$J8,(1-Assumptions!$B$26)^(N$3-$J8),1)*IF($H8&gt;=1,1,MIN(0.97,$H8*Assumptions!$E$12)))</f>
        <v>0</v>
      </c>
      <c r="O8" s="23">
        <f>IF(O$3&lt;$I8,0,$G8*Assumptions!$E$11*INDEX(Assumptions!$B$24:$G$24,MIN(6,O$3-$I8+1))*IF(O$3&gt;$J8,(1-Assumptions!$B$26)^(O$3-$J8),1)*IF($H8&gt;=1,1,MIN(0.97,$H8*Assumptions!$E$12)))</f>
        <v>0</v>
      </c>
      <c r="P8" s="23">
        <f>IF(P$3&lt;$I8,0,$G8*Assumptions!$E$11*INDEX(Assumptions!$B$24:$G$24,MIN(6,P$3-$I8+1))*IF(P$3&gt;$J8,(1-Assumptions!$B$26)^(P$3-$J8),1)*IF($H8&gt;=1,1,MIN(0.97,$H8*Assumptions!$E$12)))</f>
        <v>0</v>
      </c>
      <c r="Q8" s="23">
        <f>IF(Q$3&lt;$I8,0,$G8*Assumptions!$E$11*INDEX(Assumptions!$B$24:$G$24,MIN(6,Q$3-$I8+1))*IF(Q$3&gt;$J8,(1-Assumptions!$B$26)^(Q$3-$J8),1)*IF($H8&gt;=1,1,MIN(0.97,$H8*Assumptions!$E$12)))</f>
        <v>0</v>
      </c>
      <c r="R8" s="23">
        <f>IF(R$3&lt;$I8,0,$G8*Assumptions!$E$11*INDEX(Assumptions!$B$24:$G$24,MIN(6,R$3-$I8+1))*IF(R$3&gt;$J8,(1-Assumptions!$B$26)^(R$3-$J8),1)*IF($H8&gt;=1,1,MIN(0.97,$H8*Assumptions!$E$12)))</f>
        <v>0</v>
      </c>
      <c r="S8" s="23">
        <f>IF(S$3&lt;$I8,0,$G8*Assumptions!$E$11*INDEX(Assumptions!$B$24:$G$24,MIN(6,S$3-$I8+1))*IF(S$3&gt;$J8,(1-Assumptions!$B$26)^(S$3-$J8),1)*IF($H8&gt;=1,1,MIN(0.97,$H8*Assumptions!$E$12)))</f>
        <v>0</v>
      </c>
      <c r="T8" s="23">
        <f>IF(T$3&lt;$I8,0,$G8*Assumptions!$E$11*INDEX(Assumptions!$B$24:$G$24,MIN(6,T$3-$I8+1))*IF(T$3&gt;$J8,(1-Assumptions!$B$26)^(T$3-$J8),1)*IF($H8&gt;=1,1,MIN(0.97,$H8*Assumptions!$E$12)))</f>
        <v>13.174999999999999</v>
      </c>
      <c r="U8" s="23">
        <f>IF(U$3&lt;$I8,0,$G8*Assumptions!$E$11*INDEX(Assumptions!$B$24:$G$24,MIN(6,U$3-$I8+1))*IF(U$3&gt;$J8,(1-Assumptions!$B$26)^(U$3-$J8),1)*IF($H8&gt;=1,1,MIN(0.97,$H8*Assumptions!$E$12)))</f>
        <v>32.9375</v>
      </c>
      <c r="V8" s="23">
        <f>IF(V$3&lt;$I8,0,$G8*Assumptions!$E$11*INDEX(Assumptions!$B$24:$G$24,MIN(6,V$3-$I8+1))*IF(V$3&gt;$J8,(1-Assumptions!$B$26)^(V$3-$J8),1)*IF($H8&gt;=1,1,MIN(0.97,$H8*Assumptions!$E$12)))</f>
        <v>59.287499999999994</v>
      </c>
      <c r="W8" s="23">
        <f>IF(W$3&lt;$I8,0,$G8*Assumptions!$E$11*INDEX(Assumptions!$B$24:$G$24,MIN(6,W$3-$I8+1))*IF(W$3&gt;$J8,(1-Assumptions!$B$26)^(W$3-$J8),1)*IF($H8&gt;=1,1,MIN(0.97,$H8*Assumptions!$E$12)))</f>
        <v>85.63749999999999</v>
      </c>
      <c r="X8" s="23">
        <f>IF(X$3&lt;$I8,0,$G8*Assumptions!$E$11*INDEX(Assumptions!$B$24:$G$24,MIN(6,X$3-$I8+1))*IF(X$3&gt;$J8,(1-Assumptions!$B$26)^(X$3-$J8),1)*IF($H8&gt;=1,1,MIN(0.97,$H8*Assumptions!$E$12)))</f>
        <v>111.9875</v>
      </c>
      <c r="Y8" s="23">
        <f>IF(Y$3&lt;$I8,0,$G8*Assumptions!$E$11*INDEX(Assumptions!$B$24:$G$24,MIN(6,Y$3-$I8+1))*IF(Y$3&gt;$J8,(1-Assumptions!$B$26)^(Y$3-$J8),1)*IF($H8&gt;=1,1,MIN(0.97,$H8*Assumptions!$E$12)))</f>
        <v>131.75</v>
      </c>
      <c r="Z8" s="23">
        <f>IF(Z$3&lt;$I8,0,$G8*Assumptions!$E$11*INDEX(Assumptions!$B$24:$G$24,MIN(6,Z$3-$I8+1))*IF(Z$3&gt;$J8,(1-Assumptions!$B$26)^(Z$3-$J8),1)*IF($H8&gt;=1,1,MIN(0.97,$H8*Assumptions!$E$12)))</f>
        <v>131.75</v>
      </c>
      <c r="AA8" s="23">
        <f>IF(AA$3&lt;$I8,0,$G8*Assumptions!$E$11*INDEX(Assumptions!$B$24:$G$24,MIN(6,AA$3-$I8+1))*IF(AA$3&gt;$J8,(1-Assumptions!$B$26)^(AA$3-$J8),1)*IF($H8&gt;=1,1,MIN(0.97,$H8*Assumptions!$E$12)))</f>
        <v>131.75</v>
      </c>
      <c r="AB8" s="23">
        <f>IF(AB$3&lt;$I8,0,$G8*Assumptions!$E$11*INDEX(Assumptions!$B$24:$G$24,MIN(6,AB$3-$I8+1))*IF(AB$3&gt;$J8,(1-Assumptions!$B$26)^(AB$3-$J8),1)*IF($H8&gt;=1,1,MIN(0.97,$H8*Assumptions!$E$12)))</f>
        <v>131.75</v>
      </c>
      <c r="AC8" s="23">
        <f>IF(AC$3&lt;$I8,0,$G8*Assumptions!$E$11*INDEX(Assumptions!$B$24:$G$24,MIN(6,AC$3-$I8+1))*IF(AC$3&gt;$J8,(1-Assumptions!$B$26)^(AC$3-$J8),1)*IF($H8&gt;=1,1,MIN(0.97,$H8*Assumptions!$E$12)))</f>
        <v>131.75</v>
      </c>
      <c r="AD8" s="23">
        <f>IF(AD$3&lt;$I8,0,$G8*Assumptions!$E$11*INDEX(Assumptions!$B$24:$G$24,MIN(6,AD$3-$I8+1))*IF(AD$3&gt;$J8,(1-Assumptions!$B$26)^(AD$3-$J8),1)*IF($H8&gt;=1,1,MIN(0.97,$H8*Assumptions!$E$12)))</f>
        <v>131.75</v>
      </c>
      <c r="AE8" s="23">
        <f>IF(AE$3&lt;$I8,0,$G8*Assumptions!$E$11*INDEX(Assumptions!$B$24:$G$24,MIN(6,AE$3-$I8+1))*IF(AE$3&gt;$J8,(1-Assumptions!$B$26)^(AE$3-$J8),1)*IF($H8&gt;=1,1,MIN(0.97,$H8*Assumptions!$E$12)))</f>
        <v>131.75</v>
      </c>
      <c r="AF8" s="23">
        <f>IF(AF$3&lt;$I8,0,$G8*Assumptions!$E$11*INDEX(Assumptions!$B$24:$G$24,MIN(6,AF$3-$I8+1))*IF(AF$3&gt;$J8,(1-Assumptions!$B$26)^(AF$3-$J8),1)*IF($H8&gt;=1,1,MIN(0.97,$H8*Assumptions!$E$12)))</f>
        <v>131.75</v>
      </c>
      <c r="AG8" s="35">
        <f>IF(F8="Owned",1-IF(H8&gt;=1,1,MIN(0.97,H8*Assumptions!$E$12)),1)</f>
        <v>0.9473</v>
      </c>
    </row>
    <row r="9">
      <c r="A9" s="39" t="n">
        <v>6</v>
      </c>
      <c r="B9" s="14" t="inlineStr">
        <is>
          <t>Leukemia</t>
        </is>
      </c>
      <c r="C9" s="14" t="inlineStr">
        <is>
          <t>CLN-049</t>
        </is>
      </c>
      <c r="D9" s="14" t="inlineStr">
        <is>
          <t>Phase 1</t>
        </is>
      </c>
      <c r="E9" s="14" t="inlineStr">
        <is>
          <t>Oncology / area</t>
        </is>
      </c>
      <c r="F9" s="14" t="inlineStr">
        <is>
          <t>Owned</t>
        </is>
      </c>
      <c r="G9" s="40" t="n">
        <v>1500</v>
      </c>
      <c r="H9" s="27" t="n">
        <v>0.0527</v>
      </c>
      <c r="I9" s="26" t="n">
        <v>2033</v>
      </c>
      <c r="J9" s="39">
        <f>I9+Assumptions!$B$25</f>
        <v>2045.0</v>
      </c>
      <c r="K9" s="53">
        <f>Assumptions!$E$13</f>
        <v>0.4</v>
      </c>
      <c r="L9" s="23">
        <f>K9*SUMPRODUCT(M9:AF9,NPV!$C$15:$V$15)</f>
        <v>69.22180286367352</v>
      </c>
      <c r="M9" s="23">
        <f>IF(M$3&lt;$I9,0,$G9*Assumptions!$E$11*INDEX(Assumptions!$B$24:$G$24,MIN(6,M$3-$I9+1))*IF(M$3&gt;$J9,(1-Assumptions!$B$26)^(M$3-$J9),1)*IF($H9&gt;=1,1,MIN(0.97,$H9*Assumptions!$E$12)))</f>
        <v>0</v>
      </c>
      <c r="N9" s="23">
        <f>IF(N$3&lt;$I9,0,$G9*Assumptions!$E$11*INDEX(Assumptions!$B$24:$G$24,MIN(6,N$3-$I9+1))*IF(N$3&gt;$J9,(1-Assumptions!$B$26)^(N$3-$J9),1)*IF($H9&gt;=1,1,MIN(0.97,$H9*Assumptions!$E$12)))</f>
        <v>0</v>
      </c>
      <c r="O9" s="23">
        <f>IF(O$3&lt;$I9,0,$G9*Assumptions!$E$11*INDEX(Assumptions!$B$24:$G$24,MIN(6,O$3-$I9+1))*IF(O$3&gt;$J9,(1-Assumptions!$B$26)^(O$3-$J9),1)*IF($H9&gt;=1,1,MIN(0.97,$H9*Assumptions!$E$12)))</f>
        <v>0</v>
      </c>
      <c r="P9" s="23">
        <f>IF(P$3&lt;$I9,0,$G9*Assumptions!$E$11*INDEX(Assumptions!$B$24:$G$24,MIN(6,P$3-$I9+1))*IF(P$3&gt;$J9,(1-Assumptions!$B$26)^(P$3-$J9),1)*IF($H9&gt;=1,1,MIN(0.97,$H9*Assumptions!$E$12)))</f>
        <v>0</v>
      </c>
      <c r="Q9" s="23">
        <f>IF(Q$3&lt;$I9,0,$G9*Assumptions!$E$11*INDEX(Assumptions!$B$24:$G$24,MIN(6,Q$3-$I9+1))*IF(Q$3&gt;$J9,(1-Assumptions!$B$26)^(Q$3-$J9),1)*IF($H9&gt;=1,1,MIN(0.97,$H9*Assumptions!$E$12)))</f>
        <v>0</v>
      </c>
      <c r="R9" s="23">
        <f>IF(R$3&lt;$I9,0,$G9*Assumptions!$E$11*INDEX(Assumptions!$B$24:$G$24,MIN(6,R$3-$I9+1))*IF(R$3&gt;$J9,(1-Assumptions!$B$26)^(R$3-$J9),1)*IF($H9&gt;=1,1,MIN(0.97,$H9*Assumptions!$E$12)))</f>
        <v>0</v>
      </c>
      <c r="S9" s="23">
        <f>IF(S$3&lt;$I9,0,$G9*Assumptions!$E$11*INDEX(Assumptions!$B$24:$G$24,MIN(6,S$3-$I9+1))*IF(S$3&gt;$J9,(1-Assumptions!$B$26)^(S$3-$J9),1)*IF($H9&gt;=1,1,MIN(0.97,$H9*Assumptions!$E$12)))</f>
        <v>0</v>
      </c>
      <c r="T9" s="23">
        <f>IF(T$3&lt;$I9,0,$G9*Assumptions!$E$11*INDEX(Assumptions!$B$24:$G$24,MIN(6,T$3-$I9+1))*IF(T$3&gt;$J9,(1-Assumptions!$B$26)^(T$3-$J9),1)*IF($H9&gt;=1,1,MIN(0.97,$H9*Assumptions!$E$12)))</f>
        <v>7.904999999999999</v>
      </c>
      <c r="U9" s="23">
        <f>IF(U$3&lt;$I9,0,$G9*Assumptions!$E$11*INDEX(Assumptions!$B$24:$G$24,MIN(6,U$3-$I9+1))*IF(U$3&gt;$J9,(1-Assumptions!$B$26)^(U$3-$J9),1)*IF($H9&gt;=1,1,MIN(0.97,$H9*Assumptions!$E$12)))</f>
        <v>19.7625</v>
      </c>
      <c r="V9" s="23">
        <f>IF(V$3&lt;$I9,0,$G9*Assumptions!$E$11*INDEX(Assumptions!$B$24:$G$24,MIN(6,V$3-$I9+1))*IF(V$3&gt;$J9,(1-Assumptions!$B$26)^(V$3-$J9),1)*IF($H9&gt;=1,1,MIN(0.97,$H9*Assumptions!$E$12)))</f>
        <v>35.5725</v>
      </c>
      <c r="W9" s="23">
        <f>IF(W$3&lt;$I9,0,$G9*Assumptions!$E$11*INDEX(Assumptions!$B$24:$G$24,MIN(6,W$3-$I9+1))*IF(W$3&gt;$J9,(1-Assumptions!$B$26)^(W$3-$J9),1)*IF($H9&gt;=1,1,MIN(0.97,$H9*Assumptions!$E$12)))</f>
        <v>51.3825</v>
      </c>
      <c r="X9" s="23">
        <f>IF(X$3&lt;$I9,0,$G9*Assumptions!$E$11*INDEX(Assumptions!$B$24:$G$24,MIN(6,X$3-$I9+1))*IF(X$3&gt;$J9,(1-Assumptions!$B$26)^(X$3-$J9),1)*IF($H9&gt;=1,1,MIN(0.97,$H9*Assumptions!$E$12)))</f>
        <v>67.1925</v>
      </c>
      <c r="Y9" s="23">
        <f>IF(Y$3&lt;$I9,0,$G9*Assumptions!$E$11*INDEX(Assumptions!$B$24:$G$24,MIN(6,Y$3-$I9+1))*IF(Y$3&gt;$J9,(1-Assumptions!$B$26)^(Y$3-$J9),1)*IF($H9&gt;=1,1,MIN(0.97,$H9*Assumptions!$E$12)))</f>
        <v>79.05</v>
      </c>
      <c r="Z9" s="23">
        <f>IF(Z$3&lt;$I9,0,$G9*Assumptions!$E$11*INDEX(Assumptions!$B$24:$G$24,MIN(6,Z$3-$I9+1))*IF(Z$3&gt;$J9,(1-Assumptions!$B$26)^(Z$3-$J9),1)*IF($H9&gt;=1,1,MIN(0.97,$H9*Assumptions!$E$12)))</f>
        <v>79.05</v>
      </c>
      <c r="AA9" s="23">
        <f>IF(AA$3&lt;$I9,0,$G9*Assumptions!$E$11*INDEX(Assumptions!$B$24:$G$24,MIN(6,AA$3-$I9+1))*IF(AA$3&gt;$J9,(1-Assumptions!$B$26)^(AA$3-$J9),1)*IF($H9&gt;=1,1,MIN(0.97,$H9*Assumptions!$E$12)))</f>
        <v>79.05</v>
      </c>
      <c r="AB9" s="23">
        <f>IF(AB$3&lt;$I9,0,$G9*Assumptions!$E$11*INDEX(Assumptions!$B$24:$G$24,MIN(6,AB$3-$I9+1))*IF(AB$3&gt;$J9,(1-Assumptions!$B$26)^(AB$3-$J9),1)*IF($H9&gt;=1,1,MIN(0.97,$H9*Assumptions!$E$12)))</f>
        <v>79.05</v>
      </c>
      <c r="AC9" s="23">
        <f>IF(AC$3&lt;$I9,0,$G9*Assumptions!$E$11*INDEX(Assumptions!$B$24:$G$24,MIN(6,AC$3-$I9+1))*IF(AC$3&gt;$J9,(1-Assumptions!$B$26)^(AC$3-$J9),1)*IF($H9&gt;=1,1,MIN(0.97,$H9*Assumptions!$E$12)))</f>
        <v>79.05</v>
      </c>
      <c r="AD9" s="23">
        <f>IF(AD$3&lt;$I9,0,$G9*Assumptions!$E$11*INDEX(Assumptions!$B$24:$G$24,MIN(6,AD$3-$I9+1))*IF(AD$3&gt;$J9,(1-Assumptions!$B$26)^(AD$3-$J9),1)*IF($H9&gt;=1,1,MIN(0.97,$H9*Assumptions!$E$12)))</f>
        <v>79.05</v>
      </c>
      <c r="AE9" s="23">
        <f>IF(AE$3&lt;$I9,0,$G9*Assumptions!$E$11*INDEX(Assumptions!$B$24:$G$24,MIN(6,AE$3-$I9+1))*IF(AE$3&gt;$J9,(1-Assumptions!$B$26)^(AE$3-$J9),1)*IF($H9&gt;=1,1,MIN(0.97,$H9*Assumptions!$E$12)))</f>
        <v>79.05</v>
      </c>
      <c r="AF9" s="23">
        <f>IF(AF$3&lt;$I9,0,$G9*Assumptions!$E$11*INDEX(Assumptions!$B$24:$G$24,MIN(6,AF$3-$I9+1))*IF(AF$3&gt;$J9,(1-Assumptions!$B$26)^(AF$3-$J9),1)*IF($H9&gt;=1,1,MIN(0.97,$H9*Assumptions!$E$12)))</f>
        <v>79.05</v>
      </c>
      <c r="AG9" s="35">
        <f>IF(F9="Owned",1-IF(H9&gt;=1,1,MIN(0.97,H9*Assumptions!$E$12)),1)</f>
        <v>0.9473</v>
      </c>
    </row>
    <row r="10">
      <c r="A10" s="39" t="n">
        <v>7</v>
      </c>
      <c r="B10" s="14" t="inlineStr">
        <is>
          <t>Solid tumors (basket)</t>
        </is>
      </c>
      <c r="C10" s="14" t="inlineStr">
        <is>
          <t>CLN-619, Datopotamab deruxtecan-dlnk (Dato-DXd)</t>
        </is>
      </c>
      <c r="D10" s="14" t="inlineStr">
        <is>
          <t>Phase 1</t>
        </is>
      </c>
      <c r="E10" s="14" t="inlineStr">
        <is>
          <t>Oncology / area</t>
        </is>
      </c>
      <c r="F10" s="14" t="inlineStr">
        <is>
          <t>Owned</t>
        </is>
      </c>
      <c r="G10" s="40" t="n">
        <v>1500</v>
      </c>
      <c r="H10" s="27" t="n">
        <v>0.0527</v>
      </c>
      <c r="I10" s="26" t="n">
        <v>2033</v>
      </c>
      <c r="J10" s="39">
        <f>I10+Assumptions!$B$25</f>
        <v>2045.0</v>
      </c>
      <c r="K10" s="53">
        <f>Assumptions!$E$13</f>
        <v>0.4</v>
      </c>
      <c r="L10" s="23">
        <f>K10*SUMPRODUCT(M10:AF10,NPV!$C$15:$V$15)</f>
        <v>69.22180286367352</v>
      </c>
      <c r="M10" s="23">
        <f>IF(M$3&lt;$I10,0,$G10*Assumptions!$E$11*INDEX(Assumptions!$B$24:$G$24,MIN(6,M$3-$I10+1))*IF(M$3&gt;$J10,(1-Assumptions!$B$26)^(M$3-$J10),1)*IF($H10&gt;=1,1,MIN(0.97,$H10*Assumptions!$E$12)))</f>
        <v>0</v>
      </c>
      <c r="N10" s="23">
        <f>IF(N$3&lt;$I10,0,$G10*Assumptions!$E$11*INDEX(Assumptions!$B$24:$G$24,MIN(6,N$3-$I10+1))*IF(N$3&gt;$J10,(1-Assumptions!$B$26)^(N$3-$J10),1)*IF($H10&gt;=1,1,MIN(0.97,$H10*Assumptions!$E$12)))</f>
        <v>0</v>
      </c>
      <c r="O10" s="23">
        <f>IF(O$3&lt;$I10,0,$G10*Assumptions!$E$11*INDEX(Assumptions!$B$24:$G$24,MIN(6,O$3-$I10+1))*IF(O$3&gt;$J10,(1-Assumptions!$B$26)^(O$3-$J10),1)*IF($H10&gt;=1,1,MIN(0.97,$H10*Assumptions!$E$12)))</f>
        <v>0</v>
      </c>
      <c r="P10" s="23">
        <f>IF(P$3&lt;$I10,0,$G10*Assumptions!$E$11*INDEX(Assumptions!$B$24:$G$24,MIN(6,P$3-$I10+1))*IF(P$3&gt;$J10,(1-Assumptions!$B$26)^(P$3-$J10),1)*IF($H10&gt;=1,1,MIN(0.97,$H10*Assumptions!$E$12)))</f>
        <v>0</v>
      </c>
      <c r="Q10" s="23">
        <f>IF(Q$3&lt;$I10,0,$G10*Assumptions!$E$11*INDEX(Assumptions!$B$24:$G$24,MIN(6,Q$3-$I10+1))*IF(Q$3&gt;$J10,(1-Assumptions!$B$26)^(Q$3-$J10),1)*IF($H10&gt;=1,1,MIN(0.97,$H10*Assumptions!$E$12)))</f>
        <v>0</v>
      </c>
      <c r="R10" s="23">
        <f>IF(R$3&lt;$I10,0,$G10*Assumptions!$E$11*INDEX(Assumptions!$B$24:$G$24,MIN(6,R$3-$I10+1))*IF(R$3&gt;$J10,(1-Assumptions!$B$26)^(R$3-$J10),1)*IF($H10&gt;=1,1,MIN(0.97,$H10*Assumptions!$E$12)))</f>
        <v>0</v>
      </c>
      <c r="S10" s="23">
        <f>IF(S$3&lt;$I10,0,$G10*Assumptions!$E$11*INDEX(Assumptions!$B$24:$G$24,MIN(6,S$3-$I10+1))*IF(S$3&gt;$J10,(1-Assumptions!$B$26)^(S$3-$J10),1)*IF($H10&gt;=1,1,MIN(0.97,$H10*Assumptions!$E$12)))</f>
        <v>0</v>
      </c>
      <c r="T10" s="23">
        <f>IF(T$3&lt;$I10,0,$G10*Assumptions!$E$11*INDEX(Assumptions!$B$24:$G$24,MIN(6,T$3-$I10+1))*IF(T$3&gt;$J10,(1-Assumptions!$B$26)^(T$3-$J10),1)*IF($H10&gt;=1,1,MIN(0.97,$H10*Assumptions!$E$12)))</f>
        <v>7.904999999999999</v>
      </c>
      <c r="U10" s="23">
        <f>IF(U$3&lt;$I10,0,$G10*Assumptions!$E$11*INDEX(Assumptions!$B$24:$G$24,MIN(6,U$3-$I10+1))*IF(U$3&gt;$J10,(1-Assumptions!$B$26)^(U$3-$J10),1)*IF($H10&gt;=1,1,MIN(0.97,$H10*Assumptions!$E$12)))</f>
        <v>19.7625</v>
      </c>
      <c r="V10" s="23">
        <f>IF(V$3&lt;$I10,0,$G10*Assumptions!$E$11*INDEX(Assumptions!$B$24:$G$24,MIN(6,V$3-$I10+1))*IF(V$3&gt;$J10,(1-Assumptions!$B$26)^(V$3-$J10),1)*IF($H10&gt;=1,1,MIN(0.97,$H10*Assumptions!$E$12)))</f>
        <v>35.5725</v>
      </c>
      <c r="W10" s="23">
        <f>IF(W$3&lt;$I10,0,$G10*Assumptions!$E$11*INDEX(Assumptions!$B$24:$G$24,MIN(6,W$3-$I10+1))*IF(W$3&gt;$J10,(1-Assumptions!$B$26)^(W$3-$J10),1)*IF($H10&gt;=1,1,MIN(0.97,$H10*Assumptions!$E$12)))</f>
        <v>51.3825</v>
      </c>
      <c r="X10" s="23">
        <f>IF(X$3&lt;$I10,0,$G10*Assumptions!$E$11*INDEX(Assumptions!$B$24:$G$24,MIN(6,X$3-$I10+1))*IF(X$3&gt;$J10,(1-Assumptions!$B$26)^(X$3-$J10),1)*IF($H10&gt;=1,1,MIN(0.97,$H10*Assumptions!$E$12)))</f>
        <v>67.1925</v>
      </c>
      <c r="Y10" s="23">
        <f>IF(Y$3&lt;$I10,0,$G10*Assumptions!$E$11*INDEX(Assumptions!$B$24:$G$24,MIN(6,Y$3-$I10+1))*IF(Y$3&gt;$J10,(1-Assumptions!$B$26)^(Y$3-$J10),1)*IF($H10&gt;=1,1,MIN(0.97,$H10*Assumptions!$E$12)))</f>
        <v>79.05</v>
      </c>
      <c r="Z10" s="23">
        <f>IF(Z$3&lt;$I10,0,$G10*Assumptions!$E$11*INDEX(Assumptions!$B$24:$G$24,MIN(6,Z$3-$I10+1))*IF(Z$3&gt;$J10,(1-Assumptions!$B$26)^(Z$3-$J10),1)*IF($H10&gt;=1,1,MIN(0.97,$H10*Assumptions!$E$12)))</f>
        <v>79.05</v>
      </c>
      <c r="AA10" s="23">
        <f>IF(AA$3&lt;$I10,0,$G10*Assumptions!$E$11*INDEX(Assumptions!$B$24:$G$24,MIN(6,AA$3-$I10+1))*IF(AA$3&gt;$J10,(1-Assumptions!$B$26)^(AA$3-$J10),1)*IF($H10&gt;=1,1,MIN(0.97,$H10*Assumptions!$E$12)))</f>
        <v>79.05</v>
      </c>
      <c r="AB10" s="23">
        <f>IF(AB$3&lt;$I10,0,$G10*Assumptions!$E$11*INDEX(Assumptions!$B$24:$G$24,MIN(6,AB$3-$I10+1))*IF(AB$3&gt;$J10,(1-Assumptions!$B$26)^(AB$3-$J10),1)*IF($H10&gt;=1,1,MIN(0.97,$H10*Assumptions!$E$12)))</f>
        <v>79.05</v>
      </c>
      <c r="AC10" s="23">
        <f>IF(AC$3&lt;$I10,0,$G10*Assumptions!$E$11*INDEX(Assumptions!$B$24:$G$24,MIN(6,AC$3-$I10+1))*IF(AC$3&gt;$J10,(1-Assumptions!$B$26)^(AC$3-$J10),1)*IF($H10&gt;=1,1,MIN(0.97,$H10*Assumptions!$E$12)))</f>
        <v>79.05</v>
      </c>
      <c r="AD10" s="23">
        <f>IF(AD$3&lt;$I10,0,$G10*Assumptions!$E$11*INDEX(Assumptions!$B$24:$G$24,MIN(6,AD$3-$I10+1))*IF(AD$3&gt;$J10,(1-Assumptions!$B$26)^(AD$3-$J10),1)*IF($H10&gt;=1,1,MIN(0.97,$H10*Assumptions!$E$12)))</f>
        <v>79.05</v>
      </c>
      <c r="AE10" s="23">
        <f>IF(AE$3&lt;$I10,0,$G10*Assumptions!$E$11*INDEX(Assumptions!$B$24:$G$24,MIN(6,AE$3-$I10+1))*IF(AE$3&gt;$J10,(1-Assumptions!$B$26)^(AE$3-$J10),1)*IF($H10&gt;=1,1,MIN(0.97,$H10*Assumptions!$E$12)))</f>
        <v>79.05</v>
      </c>
      <c r="AF10" s="23">
        <f>IF(AF$3&lt;$I10,0,$G10*Assumptions!$E$11*INDEX(Assumptions!$B$24:$G$24,MIN(6,AF$3-$I10+1))*IF(AF$3&gt;$J10,(1-Assumptions!$B$26)^(AF$3-$J10),1)*IF($H10&gt;=1,1,MIN(0.97,$H10*Assumptions!$E$12)))</f>
        <v>79.05</v>
      </c>
      <c r="AG10" s="35">
        <f>IF(F10="Owned",1-IF(H10&gt;=1,1,MIN(0.97,H10*Assumptions!$E$12)),1)</f>
        <v>0.9473</v>
      </c>
    </row>
    <row r="11">
      <c r="B11" s="24" t="inlineStr">
        <is>
          <t>Risked revenue</t>
        </is>
      </c>
      <c r="L11" s="54">
        <f>SUM(L4:L10)</f>
        <v>1741.0293697580512</v>
      </c>
      <c r="M11" s="54">
        <f>SUM(M4:M10)</f>
        <v>0.0</v>
      </c>
      <c r="N11" s="54">
        <f>SUM(N4:N10)</f>
        <v>110.4</v>
      </c>
      <c r="O11" s="54">
        <f>SUM(O4:O10)</f>
        <v>276.0</v>
      </c>
      <c r="P11" s="54">
        <f>SUM(P4:P10)</f>
        <v>496.8</v>
      </c>
      <c r="Q11" s="54">
        <f>SUM(Q4:Q10)</f>
        <v>717.6</v>
      </c>
      <c r="R11" s="54">
        <f>SUM(R4:R10)</f>
        <v>938.4000000000001</v>
      </c>
      <c r="S11" s="54">
        <f>SUM(S4:S10)</f>
        <v>1120.56</v>
      </c>
      <c r="T11" s="54">
        <f>SUM(T4:T10)</f>
        <v>1211.6599999999999</v>
      </c>
      <c r="U11" s="54">
        <f>SUM(U4:U10)</f>
        <v>1344.17</v>
      </c>
      <c r="V11" s="54">
        <f>SUM(V4:V10)</f>
        <v>1509.81</v>
      </c>
      <c r="W11" s="54">
        <f>SUM(W4:W10)</f>
        <v>1675.45</v>
      </c>
      <c r="X11" s="54">
        <f>SUM(X4:X10)</f>
        <v>1832.81</v>
      </c>
      <c r="Y11" s="54">
        <f>SUM(Y4:Y10)</f>
        <v>1932.1999999999998</v>
      </c>
      <c r="Z11" s="54">
        <f>SUM(Z4:Z10)</f>
        <v>1932.1999999999998</v>
      </c>
      <c r="AA11" s="54">
        <f>SUM(AA4:AA10)</f>
        <v>1380.1999999999998</v>
      </c>
      <c r="AB11" s="54">
        <f>SUM(AB4:AB10)</f>
        <v>1104.2</v>
      </c>
      <c r="AC11" s="54">
        <f>SUM(AC4:AC10)</f>
        <v>966.1999999999999</v>
      </c>
      <c r="AD11" s="54">
        <f>SUM(AD4:AD10)</f>
        <v>897.1999999999999</v>
      </c>
      <c r="AE11" s="54">
        <f>SUM(AE4:AE10)</f>
        <v>862.6999999999999</v>
      </c>
      <c r="AF11" s="54">
        <f>SUM(AF4:AF10)</f>
        <v>762.6499999999999</v>
      </c>
    </row>
    <row r="12">
      <c r="B12" s="24" t="inlineStr">
        <is>
          <t>Risked contribution (revenue x share)</t>
        </is>
      </c>
      <c r="M12" s="55">
        <f>SUMPRODUCT(M4:M10,$K$4:$K$10)</f>
        <v>0.0</v>
      </c>
      <c r="N12" s="55">
        <f>SUMPRODUCT(N4:N10,$K$4:$K$10)</f>
        <v>22.080000000000002</v>
      </c>
      <c r="O12" s="55">
        <f>SUMPRODUCT(O4:O10,$K$4:$K$10)</f>
        <v>55.2</v>
      </c>
      <c r="P12" s="55">
        <f>SUMPRODUCT(P4:P10,$K$4:$K$10)</f>
        <v>99.36000000000001</v>
      </c>
      <c r="Q12" s="55">
        <f>SUMPRODUCT(Q4:Q10,$K$4:$K$10)</f>
        <v>143.52</v>
      </c>
      <c r="R12" s="55">
        <f>SUMPRODUCT(R4:R10,$K$4:$K$10)</f>
        <v>187.68000000000004</v>
      </c>
      <c r="S12" s="55">
        <f>SUMPRODUCT(S4:S10,$K$4:$K$10)</f>
        <v>227.424</v>
      </c>
      <c r="T12" s="55">
        <f>SUMPRODUCT(T4:T10,$K$4:$K$10)</f>
        <v>263.864</v>
      </c>
      <c r="U12" s="55">
        <f>SUMPRODUCT(U4:U10,$K$4:$K$10)</f>
        <v>316.868</v>
      </c>
      <c r="V12" s="55">
        <f>SUMPRODUCT(V4:V10,$K$4:$K$10)</f>
        <v>383.1239999999999</v>
      </c>
      <c r="W12" s="55">
        <f>SUMPRODUCT(W4:W10,$K$4:$K$10)</f>
        <v>449.38</v>
      </c>
      <c r="X12" s="55">
        <f>SUMPRODUCT(X4:X10,$K$4:$K$10)</f>
        <v>512.3240000000001</v>
      </c>
      <c r="Y12" s="55">
        <f>SUMPRODUCT(Y4:Y10,$K$4:$K$10)</f>
        <v>552.0799999999999</v>
      </c>
      <c r="Z12" s="55">
        <f>SUMPRODUCT(Z4:Z10,$K$4:$K$10)</f>
        <v>552.0799999999999</v>
      </c>
      <c r="AA12" s="55">
        <f>SUMPRODUCT(AA4:AA10,$K$4:$K$10)</f>
        <v>441.68</v>
      </c>
      <c r="AB12" s="55">
        <f>SUMPRODUCT(AB4:AB10,$K$4:$K$10)</f>
        <v>386.47999999999996</v>
      </c>
      <c r="AC12" s="55">
        <f>SUMPRODUCT(AC4:AC10,$K$4:$K$10)</f>
        <v>358.88000000000005</v>
      </c>
      <c r="AD12" s="55">
        <f>SUMPRODUCT(AD4:AD10,$K$4:$K$10)</f>
        <v>345.08000000000004</v>
      </c>
      <c r="AE12" s="55">
        <f>SUMPRODUCT(AE4:AE10,$K$4:$K$10)</f>
        <v>338.18</v>
      </c>
      <c r="AF12" s="55">
        <f>SUMPRODUCT(AF4:AF10,$K$4:$K$10)</f>
        <v>301.61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Cullinan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Pipeline!M11</f>
        <v>0.0</v>
      </c>
      <c r="D4" s="57">
        <f>Pipeline!N11</f>
        <v>110.4</v>
      </c>
      <c r="E4" s="57">
        <f>Pipeline!O11</f>
        <v>276.0</v>
      </c>
      <c r="F4" s="57">
        <f>Pipeline!P11</f>
        <v>496.8</v>
      </c>
      <c r="G4" s="57">
        <f>Pipeline!Q11</f>
        <v>717.6</v>
      </c>
      <c r="H4" s="57">
        <f>Pipeline!R11</f>
        <v>938.4000000000001</v>
      </c>
      <c r="I4" s="57">
        <f>Pipeline!S11</f>
        <v>1120.56</v>
      </c>
      <c r="J4" s="57">
        <f>Pipeline!T11</f>
        <v>1211.6599999999999</v>
      </c>
      <c r="K4" s="57">
        <f>Pipeline!U11</f>
        <v>1344.17</v>
      </c>
      <c r="L4" s="57">
        <f>Pipeline!V11</f>
        <v>1509.81</v>
      </c>
      <c r="M4" s="57">
        <f>Pipeline!W11</f>
        <v>1675.45</v>
      </c>
      <c r="N4" s="57">
        <f>Pipeline!X11</f>
        <v>1832.81</v>
      </c>
      <c r="O4" s="57">
        <f>Pipeline!Y11</f>
        <v>1932.1999999999998</v>
      </c>
      <c r="P4" s="57">
        <f>Pipeline!Z11</f>
        <v>1932.1999999999998</v>
      </c>
      <c r="Q4" s="57">
        <f>Pipeline!AA11</f>
        <v>1380.1999999999998</v>
      </c>
      <c r="R4" s="57">
        <f>Pipeline!AB11</f>
        <v>1104.2</v>
      </c>
      <c r="S4" s="57">
        <f>Pipeline!AC11</f>
        <v>966.1999999999999</v>
      </c>
      <c r="T4" s="57">
        <f>Pipeline!AD11</f>
        <v>897.1999999999999</v>
      </c>
      <c r="U4" s="57">
        <f>Pipeline!AE11</f>
        <v>862.6999999999999</v>
      </c>
      <c r="V4" s="57">
        <f>Pipeline!AF11</f>
        <v>762.6499999999999</v>
      </c>
    </row>
    <row r="5">
      <c r="A5" s="14" t="inlineStr">
        <is>
          <t>Risked contribution</t>
        </is>
      </c>
      <c r="C5" s="57">
        <f>Pipeline!M12</f>
        <v>0.0</v>
      </c>
      <c r="D5" s="57">
        <f>Pipeline!N12</f>
        <v>22.080000000000002</v>
      </c>
      <c r="E5" s="57">
        <f>Pipeline!O12</f>
        <v>55.2</v>
      </c>
      <c r="F5" s="57">
        <f>Pipeline!P12</f>
        <v>99.36000000000001</v>
      </c>
      <c r="G5" s="57">
        <f>Pipeline!Q12</f>
        <v>143.52</v>
      </c>
      <c r="H5" s="57">
        <f>Pipeline!R12</f>
        <v>187.68000000000004</v>
      </c>
      <c r="I5" s="57">
        <f>Pipeline!S12</f>
        <v>227.424</v>
      </c>
      <c r="J5" s="57">
        <f>Pipeline!T12</f>
        <v>263.864</v>
      </c>
      <c r="K5" s="57">
        <f>Pipeline!U12</f>
        <v>316.868</v>
      </c>
      <c r="L5" s="57">
        <f>Pipeline!V12</f>
        <v>383.1239999999999</v>
      </c>
      <c r="M5" s="57">
        <f>Pipeline!W12</f>
        <v>449.38</v>
      </c>
      <c r="N5" s="57">
        <f>Pipeline!X12</f>
        <v>512.3240000000001</v>
      </c>
      <c r="O5" s="57">
        <f>Pipeline!Y12</f>
        <v>552.0799999999999</v>
      </c>
      <c r="P5" s="57">
        <f>Pipeline!Z12</f>
        <v>552.0799999999999</v>
      </c>
      <c r="Q5" s="57">
        <f>Pipeline!AA12</f>
        <v>441.68</v>
      </c>
      <c r="R5" s="57">
        <f>Pipeline!AB12</f>
        <v>386.47999999999996</v>
      </c>
      <c r="S5" s="57">
        <f>Pipeline!AC12</f>
        <v>358.88000000000005</v>
      </c>
      <c r="T5" s="57">
        <f>Pipeline!AD12</f>
        <v>345.08000000000004</v>
      </c>
      <c r="U5" s="57">
        <f>Pipeline!AE12</f>
        <v>338.18</v>
      </c>
      <c r="V5" s="57">
        <f>Pipeline!AF12</f>
        <v>301.61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-221.805</v>
      </c>
      <c r="D6" s="23">
        <f>-IF(D3-2026&lt;Assumptions!$B$19,Assumptions!$B$18,Assumptions!$B$18*Assumptions!$B$20*Assumptions!$B$16)</f>
        <v>-63.67661306706202</v>
      </c>
      <c r="E6" s="23">
        <f>-IF(E3-2026&lt;Assumptions!$B$19,Assumptions!$B$18,Assumptions!$B$18*Assumptions!$B$20*Assumptions!$B$16)</f>
        <v>-63.67661306706202</v>
      </c>
      <c r="F6" s="23">
        <f>-IF(F3-2026&lt;Assumptions!$B$19,Assumptions!$B$18,Assumptions!$B$18*Assumptions!$B$20*Assumptions!$B$16)</f>
        <v>-63.67661306706202</v>
      </c>
      <c r="G6" s="23">
        <f>-IF(G3-2026&lt;Assumptions!$B$19,Assumptions!$B$18,Assumptions!$B$18*Assumptions!$B$20*Assumptions!$B$16)</f>
        <v>-63.67661306706202</v>
      </c>
      <c r="H6" s="23">
        <f>-IF(H3-2026&lt;Assumptions!$B$19,Assumptions!$B$18,Assumptions!$B$18*Assumptions!$B$20*Assumptions!$B$16)</f>
        <v>-63.67661306706202</v>
      </c>
      <c r="I6" s="23">
        <f>-IF(I3-2026&lt;Assumptions!$B$19,Assumptions!$B$18,Assumptions!$B$18*Assumptions!$B$20*Assumptions!$B$16)</f>
        <v>-63.67661306706202</v>
      </c>
      <c r="J6" s="23">
        <f>-IF(J3-2026&lt;Assumptions!$B$19,Assumptions!$B$18,Assumptions!$B$18*Assumptions!$B$20*Assumptions!$B$16)</f>
        <v>-63.67661306706202</v>
      </c>
      <c r="K6" s="23">
        <f>-IF(K3-2026&lt;Assumptions!$B$19,Assumptions!$B$18,Assumptions!$B$18*Assumptions!$B$20*Assumptions!$B$16)</f>
        <v>-63.67661306706202</v>
      </c>
      <c r="L6" s="23">
        <f>-IF(L3-2026&lt;Assumptions!$B$19,Assumptions!$B$18,Assumptions!$B$18*Assumptions!$B$20*Assumptions!$B$16)</f>
        <v>-63.67661306706202</v>
      </c>
      <c r="M6" s="23">
        <f>-IF(M3-2026&lt;Assumptions!$B$19,Assumptions!$B$18,Assumptions!$B$18*Assumptions!$B$20*Assumptions!$B$16)</f>
        <v>-63.67661306706202</v>
      </c>
      <c r="N6" s="23">
        <f>-IF(N3-2026&lt;Assumptions!$B$19,Assumptions!$B$18,Assumptions!$B$18*Assumptions!$B$20*Assumptions!$B$16)</f>
        <v>-63.67661306706202</v>
      </c>
      <c r="O6" s="23">
        <f>-IF(O3-2026&lt;Assumptions!$B$19,Assumptions!$B$18,Assumptions!$B$18*Assumptions!$B$20*Assumptions!$B$16)</f>
        <v>-63.67661306706202</v>
      </c>
      <c r="P6" s="23">
        <f>-IF(P3-2026&lt;Assumptions!$B$19,Assumptions!$B$18,Assumptions!$B$18*Assumptions!$B$20*Assumptions!$B$16)</f>
        <v>-63.67661306706202</v>
      </c>
      <c r="Q6" s="23">
        <f>-IF(Q3-2026&lt;Assumptions!$B$19,Assumptions!$B$18,Assumptions!$B$18*Assumptions!$B$20*Assumptions!$B$16)</f>
        <v>-63.67661306706202</v>
      </c>
      <c r="R6" s="23">
        <f>-IF(R3-2026&lt;Assumptions!$B$19,Assumptions!$B$18,Assumptions!$B$18*Assumptions!$B$20*Assumptions!$B$16)</f>
        <v>-63.67661306706202</v>
      </c>
      <c r="S6" s="23">
        <f>-IF(S3-2026&lt;Assumptions!$B$19,Assumptions!$B$18,Assumptions!$B$18*Assumptions!$B$20*Assumptions!$B$16)</f>
        <v>-63.67661306706202</v>
      </c>
      <c r="T6" s="23">
        <f>-IF(T3-2026&lt;Assumptions!$B$19,Assumptions!$B$18,Assumptions!$B$18*Assumptions!$B$20*Assumptions!$B$16)</f>
        <v>-63.67661306706202</v>
      </c>
      <c r="U6" s="23">
        <f>-IF(U3-2026&lt;Assumptions!$B$19,Assumptions!$B$18,Assumptions!$B$18*Assumptions!$B$20*Assumptions!$B$16)</f>
        <v>-63.67661306706202</v>
      </c>
      <c r="V6" s="23">
        <f>-IF(V3-2026&lt;Assumptions!$B$19,Assumptions!$B$18,Assumptions!$B$18*Assumptions!$B$20*Assumptions!$B$16)</f>
        <v>-63.67661306706202</v>
      </c>
    </row>
    <row r="7">
      <c r="A7" s="14" t="inlineStr">
        <is>
          <t>Pre-tax cash flow</t>
        </is>
      </c>
      <c r="C7" s="23">
        <f>C5+C6</f>
        <v>-221.805</v>
      </c>
      <c r="D7" s="23">
        <f>D5+D6</f>
        <v>-41.59661306706202</v>
      </c>
      <c r="E7" s="23">
        <f>E5+E6</f>
        <v>-8.476613067062019</v>
      </c>
      <c r="F7" s="23">
        <f>F5+F6</f>
        <v>35.68338693293799</v>
      </c>
      <c r="G7" s="23">
        <f>G5+G6</f>
        <v>79.84338693293799</v>
      </c>
      <c r="H7" s="23">
        <f>H5+H6</f>
        <v>124.00338693293801</v>
      </c>
      <c r="I7" s="23">
        <f>I5+I6</f>
        <v>163.74738693293799</v>
      </c>
      <c r="J7" s="23">
        <f>J5+J6</f>
        <v>200.18738693293795</v>
      </c>
      <c r="K7" s="23">
        <f>K5+K6</f>
        <v>253.19138693293797</v>
      </c>
      <c r="L7" s="23">
        <f>L5+L6</f>
        <v>319.4473869329379</v>
      </c>
      <c r="M7" s="23">
        <f>M5+M6</f>
        <v>385.703386932938</v>
      </c>
      <c r="N7" s="23">
        <f>N5+N6</f>
        <v>448.64738693293805</v>
      </c>
      <c r="O7" s="23">
        <f>O5+O6</f>
        <v>488.4033869329379</v>
      </c>
      <c r="P7" s="23">
        <f>P5+P6</f>
        <v>488.4033869329379</v>
      </c>
      <c r="Q7" s="23">
        <f>Q5+Q6</f>
        <v>378.003386932938</v>
      </c>
      <c r="R7" s="23">
        <f>R5+R6</f>
        <v>322.80338693293794</v>
      </c>
      <c r="S7" s="23">
        <f>S5+S6</f>
        <v>295.20338693293803</v>
      </c>
      <c r="T7" s="23">
        <f>T5+T6</f>
        <v>281.403386932938</v>
      </c>
      <c r="U7" s="23">
        <f>U5+U6</f>
        <v>274.503386932938</v>
      </c>
      <c r="V7" s="23">
        <f>V5+V6</f>
        <v>237.933386932938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35.68338693293799</v>
      </c>
      <c r="G8" s="23">
        <f>MIN(F17,MAX(0,G7))</f>
        <v>79.84338693293799</v>
      </c>
      <c r="H8" s="23">
        <f>MIN(G17,MAX(0,H7))</f>
        <v>124.00338693293801</v>
      </c>
      <c r="I8" s="23">
        <f>MIN(H17,MAX(0,I7))</f>
        <v>163.74738693293799</v>
      </c>
      <c r="J8" s="23">
        <f>MIN(I17,MAX(0,J7))</f>
        <v>200.18738693293795</v>
      </c>
      <c r="K8" s="23">
        <f>MIN(J17,MAX(0,K7))</f>
        <v>253.19138693293797</v>
      </c>
      <c r="L8" s="23">
        <f>MIN(K17,MAX(0,L7))</f>
        <v>75.121904536496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244.32548239644188</v>
      </c>
      <c r="M9" s="23">
        <f>MAX(0,M7)-M8</f>
        <v>385.703386932938</v>
      </c>
      <c r="N9" s="23">
        <f>MAX(0,N7)-N8</f>
        <v>448.64738693293805</v>
      </c>
      <c r="O9" s="23">
        <f>MAX(0,O7)-O8</f>
        <v>488.4033869329379</v>
      </c>
      <c r="P9" s="23">
        <f>MAX(0,P7)-P8</f>
        <v>488.4033869329379</v>
      </c>
      <c r="Q9" s="23">
        <f>MAX(0,Q7)-Q8</f>
        <v>378.003386932938</v>
      </c>
      <c r="R9" s="23">
        <f>MAX(0,R7)-R8</f>
        <v>322.80338693293794</v>
      </c>
      <c r="S9" s="23">
        <f>MAX(0,S7)-S8</f>
        <v>295.20338693293803</v>
      </c>
      <c r="T9" s="23">
        <f>MAX(0,T7)-T8</f>
        <v>281.403386932938</v>
      </c>
      <c r="U9" s="23">
        <f>MAX(0,U7)-U8</f>
        <v>274.503386932938</v>
      </c>
      <c r="V9" s="23">
        <f>MAX(0,V7)-V8</f>
        <v>237.933386932938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51.30835130325279</v>
      </c>
      <c r="M10" s="23">
        <f>M9*Assumptions!$E$15</f>
        <v>80.99771125591697</v>
      </c>
      <c r="N10" s="23">
        <f>N9*Assumptions!$E$15</f>
        <v>94.21595125591699</v>
      </c>
      <c r="O10" s="23">
        <f>O9*Assumptions!$E$15</f>
        <v>102.56471125591696</v>
      </c>
      <c r="P10" s="23">
        <f>P9*Assumptions!$E$15</f>
        <v>102.56471125591696</v>
      </c>
      <c r="Q10" s="23">
        <f>Q9*Assumptions!$E$15</f>
        <v>79.38071125591698</v>
      </c>
      <c r="R10" s="23">
        <f>R9*Assumptions!$E$15</f>
        <v>67.78871125591697</v>
      </c>
      <c r="S10" s="23">
        <f>S9*Assumptions!$E$15</f>
        <v>61.99271125591699</v>
      </c>
      <c r="T10" s="23">
        <f>T9*Assumptions!$E$15</f>
        <v>59.094711255916984</v>
      </c>
      <c r="U10" s="23">
        <f>U9*Assumptions!$E$15</f>
        <v>57.64571125591697</v>
      </c>
      <c r="V10" s="23">
        <f>V9*Assumptions!$E$15</f>
        <v>49.966011255916975</v>
      </c>
    </row>
    <row r="11">
      <c r="A11" s="24" t="inlineStr">
        <is>
          <t>Free cash flow</t>
        </is>
      </c>
      <c r="C11" s="55">
        <f>C7-C10</f>
        <v>-221.805</v>
      </c>
      <c r="D11" s="55">
        <f>D7-D10</f>
        <v>-41.59661306706202</v>
      </c>
      <c r="E11" s="55">
        <f>E7-E10</f>
        <v>-8.476613067062019</v>
      </c>
      <c r="F11" s="55">
        <f>F7-F10</f>
        <v>35.68338693293799</v>
      </c>
      <c r="G11" s="55">
        <f>G7-G10</f>
        <v>79.84338693293799</v>
      </c>
      <c r="H11" s="55">
        <f>H7-H10</f>
        <v>124.00338693293801</v>
      </c>
      <c r="I11" s="55">
        <f>I7-I10</f>
        <v>163.74738693293799</v>
      </c>
      <c r="J11" s="55">
        <f>J7-J10</f>
        <v>200.18738693293795</v>
      </c>
      <c r="K11" s="55">
        <f>K7-K10</f>
        <v>253.19138693293797</v>
      </c>
      <c r="L11" s="55">
        <f>L7-L10</f>
        <v>268.1390356296851</v>
      </c>
      <c r="M11" s="55">
        <f>M7-M10</f>
        <v>304.705675677021</v>
      </c>
      <c r="N11" s="55">
        <f>N7-N10</f>
        <v>354.43143567702106</v>
      </c>
      <c r="O11" s="55">
        <f>O7-O10</f>
        <v>385.83867567702094</v>
      </c>
      <c r="P11" s="55">
        <f>P7-P10</f>
        <v>385.83867567702094</v>
      </c>
      <c r="Q11" s="55">
        <f>Q7-Q10</f>
        <v>298.622675677021</v>
      </c>
      <c r="R11" s="55">
        <f>R7-R10</f>
        <v>255.014675677021</v>
      </c>
      <c r="S11" s="55">
        <f>S7-S10</f>
        <v>233.21067567702104</v>
      </c>
      <c r="T11" s="55">
        <f>T7-T10</f>
        <v>222.30867567702103</v>
      </c>
      <c r="U11" s="55">
        <f>U7-U10</f>
        <v>216.857675677021</v>
      </c>
      <c r="V11" s="55">
        <f>V7-V10</f>
        <v>187.967375677021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-108.66323413319694</v>
      </c>
      <c r="D16" s="55">
        <f>D11*D15</f>
        <v>-37.12258016949223</v>
      </c>
      <c r="E16" s="55">
        <f>E11*E15</f>
        <v>-6.7543649106817725</v>
      </c>
      <c r="F16" s="55">
        <f>F11*F15</f>
        <v>25.386931276101137</v>
      </c>
      <c r="G16" s="55">
        <f>G11*G15</f>
        <v>50.718344203721536</v>
      </c>
      <c r="H16" s="55">
        <f>H11*H15</f>
        <v>70.33016560924356</v>
      </c>
      <c r="I16" s="55">
        <f>I11*I15</f>
        <v>82.92098424196499</v>
      </c>
      <c r="J16" s="55">
        <f>J11*J15</f>
        <v>90.51254119131511</v>
      </c>
      <c r="K16" s="55">
        <f>K11*K15</f>
        <v>102.21225093757342</v>
      </c>
      <c r="L16" s="55">
        <f>L11*L15</f>
        <v>96.64870631186493</v>
      </c>
      <c r="M16" s="55">
        <f>M11*M15</f>
        <v>98.06149797738978</v>
      </c>
      <c r="N16" s="55">
        <f>N11*N15</f>
        <v>101.84323608682125</v>
      </c>
      <c r="O16" s="55">
        <f>O11*O15</f>
        <v>98.98917217167579</v>
      </c>
      <c r="P16" s="55">
        <f>P11*P15</f>
        <v>88.38318943899624</v>
      </c>
      <c r="Q16" s="55">
        <f>Q11*Q15</f>
        <v>61.07573065356216</v>
      </c>
      <c r="R16" s="55">
        <f>R11*R15</f>
        <v>46.56858480427798</v>
      </c>
      <c r="S16" s="55">
        <f>S11*S15</f>
        <v>38.024041090884836</v>
      </c>
      <c r="T16" s="55">
        <f>T11*T15</f>
        <v>32.362959686342094</v>
      </c>
      <c r="U16" s="55">
        <f>U11*U15</f>
        <v>28.18698320122154</v>
      </c>
      <c r="V16" s="55">
        <f>V11*V15</f>
        <v>21.814147903544406</v>
      </c>
    </row>
    <row r="17">
      <c r="A17" s="14" t="inlineStr">
        <is>
          <t>Tax-loss carryforward, end of year</t>
        </is>
      </c>
      <c r="C17" s="23">
        <f>Assumptions!$B$21-C8+MAX(0,-C7)</f>
        <v>881.7049999999999</v>
      </c>
      <c r="D17" s="23">
        <f>C17-D8+MAX(0,-D7)</f>
        <v>923.3016130670619</v>
      </c>
      <c r="E17" s="23">
        <f>D17-E8+MAX(0,-E7)</f>
        <v>931.7782261341239</v>
      </c>
      <c r="F17" s="23">
        <f>E17-F8+MAX(0,-F7)</f>
        <v>896.0948392011859</v>
      </c>
      <c r="G17" s="23">
        <f>F17-G8+MAX(0,-G7)</f>
        <v>816.2514522682479</v>
      </c>
      <c r="H17" s="23">
        <f>G17-H8+MAX(0,-H7)</f>
        <v>692.2480653353099</v>
      </c>
      <c r="I17" s="23">
        <f>H17-I8+MAX(0,-I7)</f>
        <v>528.5006784023719</v>
      </c>
      <c r="J17" s="23">
        <f>I17-J8+MAX(0,-J7)</f>
        <v>328.313291469434</v>
      </c>
      <c r="K17" s="23">
        <f>J17-K8+MAX(0,-K7)</f>
        <v>75.121904536496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1741.0293697580512</v>
      </c>
    </row>
    <row r="20">
      <c r="A20" s="14" t="inlineStr">
        <is>
          <t>PV of corporate burn</t>
        </is>
      </c>
      <c r="B20" s="23">
        <f>SUMPRODUCT(C6:V6,C15:V15)</f>
        <v>-577.473075150469</v>
      </c>
    </row>
    <row r="21">
      <c r="A21" s="14" t="inlineStr">
        <is>
          <t>PV of taxes</t>
        </is>
      </c>
      <c r="B21" s="23">
        <f>-SUMPRODUCT(C10:V10,C15:V15)</f>
        <v>-182.05700703445237</v>
      </c>
    </row>
    <row r="22">
      <c r="A22" s="24" t="inlineStr">
        <is>
          <t>Pipeline rNPV (operations)</t>
        </is>
      </c>
      <c r="B22" s="54">
        <f>SUM(C16:V16)</f>
        <v>981.4992875731297</v>
      </c>
    </row>
    <row r="23">
      <c r="A23" s="14" t="inlineStr">
        <is>
          <t>Cash &amp; investments</t>
        </is>
      </c>
      <c r="B23" s="57">
        <f>Main!C7</f>
        <v>334.538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1316.0372875731296</v>
      </c>
    </row>
    <row r="26">
      <c r="A26" s="14" t="inlineStr">
        <is>
          <t>Shares (mm)</t>
        </is>
      </c>
      <c r="B26" s="57">
        <f>Main!C4</f>
        <v>64.354694</v>
      </c>
    </row>
    <row r="27">
      <c r="A27" s="24" t="inlineStr">
        <is>
          <t>rNPV / share</t>
        </is>
      </c>
      <c r="B27" s="60">
        <f>B25/B26</f>
        <v>20.449748196660366</v>
      </c>
    </row>
    <row r="28">
      <c r="A28" s="14" t="inlineStr">
        <is>
          <t>Price</t>
        </is>
      </c>
      <c r="B28" s="61">
        <f>Main!C3</f>
        <v>14.83</v>
      </c>
    </row>
    <row r="29">
      <c r="A29" s="14" t="inlineStr">
        <is>
          <t>Upside</t>
        </is>
      </c>
      <c r="B29" s="62">
        <f>B27/B28-1</f>
        <v>0.37894458507487294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2026-10-21T06:24:08Z</dcterms:modified>
  <cp:lastModifiedBy>Wang, Eric</cp:lastModifiedBy>
</cp:coreProperties>
</file>