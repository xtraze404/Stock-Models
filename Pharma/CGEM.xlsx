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Cullinan Therapeutics, Inc.</t>
        </is>
      </c>
      <c r="C2" s="10" t="n"/>
    </row>
    <row r="3">
      <c r="B3" t="inlineStr">
        <is>
          <t>Price</t>
        </is>
      </c>
      <c r="C3" s="11">
        <f>INDEX([1]Pharma!$F$1:$F$1000,MATCH("CGEM",[1]Pharma!$B$1:$B$1000,0))</f>
        <v>14.83</v>
      </c>
      <c r="F3" s="1" t="n"/>
    </row>
    <row r="4">
      <c r="B4" t="inlineStr">
        <is>
          <t>Shares</t>
        </is>
      </c>
      <c r="C4" s="21" t="n">
        <v>64.35469399999999</v>
      </c>
      <c r="F4" s="1" t="n"/>
    </row>
    <row r="5">
      <c r="B5" t="inlineStr">
        <is>
          <t>Market Cap.</t>
        </is>
      </c>
      <c r="C5" s="13">
        <f>C3*C4</f>
        <v>954.38011202</v>
      </c>
      <c r="F5" s="1" t="n"/>
    </row>
    <row r="6"/>
    <row r="7">
      <c r="B7" t="inlineStr">
        <is>
          <t>Cash</t>
        </is>
      </c>
      <c r="C7" s="21">
        <f>78.64+255.898</f>
        <v>334.538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619.84211202</v>
      </c>
    </row>
    <row r="10"/>
    <row r="11">
      <c r="B11" s="14" t="inlineStr">
        <is>
          <t>Net Cash / Share</t>
        </is>
      </c>
      <c r="C11" s="11">
        <f>(C7-C8)/C4</f>
        <v>5.198346526206776</v>
      </c>
    </row>
    <row r="12">
      <c r="B12" s="14" t="inlineStr">
        <is>
          <t>Upside</t>
        </is>
      </c>
      <c r="C12" s="15">
        <f>IFERROR(C11/C3-1,"")</f>
        <v>-0.6494709018066908</v>
      </c>
    </row>
    <row r="13">
      <c r="B13" s="14" t="inlineStr">
        <is>
          <t>Cash / Share</t>
        </is>
      </c>
      <c r="C13" s="11">
        <f>IFERROR((C7-C8)/C4,"")</f>
        <v>5.198346526206776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-159.25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2.1007095761381476</v>
      </c>
    </row>
    <row r="19">
      <c r="B19" s="14" t="inlineStr">
        <is>
          <t>Implied Pipeline Value</t>
        </is>
      </c>
      <c r="C19" s="13">
        <f>C9</f>
        <v>619.84211202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18.943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18.943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43.211</v>
      </c>
      <c r="C5" s="23" t="n">
        <v>57.751</v>
      </c>
      <c r="D5" s="23" t="n">
        <v>91.94799999999999</v>
      </c>
      <c r="E5" s="23" t="n">
        <v>148.156</v>
      </c>
      <c r="F5" s="23" t="n">
        <v>142.903</v>
      </c>
      <c r="G5" s="23" t="n">
        <v>187.402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17.124</v>
      </c>
      <c r="C6" s="23" t="n">
        <v>29.146</v>
      </c>
      <c r="D6" s="23" t="n">
        <v>-236.596</v>
      </c>
      <c r="E6" s="23" t="n">
        <v>42.933</v>
      </c>
      <c r="F6" s="23" t="n">
        <v>54.016</v>
      </c>
      <c r="G6" s="23" t="n">
        <v>54.246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60.334999999999994</v>
      </c>
      <c r="C7" s="23">
        <f>SUM(C5:C6)</f>
        <v>86.89699999999999</v>
      </c>
      <c r="D7" s="23">
        <f>SUM(D5:D6)</f>
        <v>-144.64800000000002</v>
      </c>
      <c r="E7" s="23">
        <f>SUM(E5:E6)</f>
        <v>191.089</v>
      </c>
      <c r="F7" s="23">
        <f>SUM(F5:F6)</f>
        <v>196.91899999999998</v>
      </c>
      <c r="G7" s="23">
        <f>SUM(G5:G6)</f>
        <v>241.648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-60.334999999999994</v>
      </c>
      <c r="C8" s="23">
        <f>C4-C7</f>
        <v>-67.954</v>
      </c>
      <c r="D8" s="23">
        <f>D4-D7</f>
        <v>144.64800000000002</v>
      </c>
      <c r="E8" s="23">
        <f>E4-E7</f>
        <v>-191.089</v>
      </c>
      <c r="F8" s="23">
        <f>F4-F7</f>
        <v>-196.91899999999998</v>
      </c>
      <c r="G8" s="23">
        <f>G4-G7</f>
        <v>-241.648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8.536</v>
      </c>
      <c r="C9" s="23" t="n">
        <v>2.384</v>
      </c>
      <c r="D9" s="23" t="n">
        <v>8.686999999999999</v>
      </c>
      <c r="E9" s="23" t="n">
        <v>21.866</v>
      </c>
      <c r="F9" s="23" t="n">
        <v>29.461</v>
      </c>
      <c r="G9" s="23" t="n">
        <v>21.769</v>
      </c>
    </row>
    <row r="10">
      <c r="A10" s="2" t="inlineStr">
        <is>
          <t>Pretax</t>
        </is>
      </c>
      <c r="B10" s="23">
        <f>B8+B9</f>
        <v>-51.79899999999999</v>
      </c>
      <c r="C10" s="23">
        <f>C8+C9</f>
        <v>-65.57</v>
      </c>
      <c r="D10" s="23">
        <f>D8+D9</f>
        <v>153.33500000000004</v>
      </c>
      <c r="E10" s="23">
        <f>E8+E9</f>
        <v>-169.223</v>
      </c>
      <c r="F10" s="23">
        <f>F8+F9</f>
        <v>-167.45799999999997</v>
      </c>
      <c r="G10" s="23">
        <f>G8+G9</f>
        <v>-219.879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42.121</v>
      </c>
      <c r="E11" s="23" t="n">
        <v>-14.122</v>
      </c>
      <c r="F11" s="23" t="n">
        <v>0.117</v>
      </c>
      <c r="G11" s="23" t="n">
        <v>0</v>
      </c>
    </row>
    <row r="12">
      <c r="A12" s="2" t="inlineStr">
        <is>
          <t>Net Income</t>
        </is>
      </c>
      <c r="B12" s="23" t="n">
        <v>-51.799</v>
      </c>
      <c r="C12" s="23" t="n">
        <v>-65.56999999999999</v>
      </c>
      <c r="D12" s="23" t="n">
        <v>111.214</v>
      </c>
      <c r="E12" s="23" t="n">
        <v>-155.101</v>
      </c>
      <c r="F12" s="23" t="n">
        <v>-167.575</v>
      </c>
      <c r="G12" s="23" t="n">
        <v>-219.879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-2.6046663649620356</v>
      </c>
      <c r="C13" s="11">
        <f>IFERROR(C12/C14,0)</f>
        <v>-1.5221579961464353</v>
      </c>
      <c r="D13" s="11">
        <f>IFERROR(D12/D14,0)</f>
        <v>2.3845197255574613</v>
      </c>
      <c r="E13" s="11">
        <f>IFERROR(E12/E14,0)</f>
        <v>-3.732876052948255</v>
      </c>
      <c r="F13" s="11">
        <f>IFERROR(F12/F14,0)</f>
        <v>0</v>
      </c>
      <c r="G13" s="11">
        <f>IFERROR(G12/G14,0)</f>
        <v>0</v>
      </c>
    </row>
    <row r="14">
      <c r="A14" s="2" t="inlineStr">
        <is>
          <t>Shares</t>
        </is>
      </c>
      <c r="B14" s="23" t="n">
        <v>19.887</v>
      </c>
      <c r="C14" s="23" t="n">
        <v>43.077</v>
      </c>
      <c r="D14" s="23" t="n">
        <v>46.64</v>
      </c>
      <c r="E14" s="23" t="n">
        <v>41.55</v>
      </c>
      <c r="F14" s="23" t="n"/>
      <c r="G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-3.5872881803304644</v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2026-10-21T01:04:54Z</dcterms:modified>
  <cp:lastModifiedBy>Wang, Eric</cp:lastModifiedBy>
</cp:coreProperties>
</file>