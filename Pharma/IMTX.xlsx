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Immatics N.V.</t>
        </is>
      </c>
      <c r="C2" s="10" t="n"/>
    </row>
    <row r="3">
      <c r="B3" t="inlineStr">
        <is>
          <t>Price</t>
        </is>
      </c>
      <c r="C3" s="11">
        <f>INDEX([1]Pharma!$F$1:$F$1000,MATCH("IMTX",[1]Pharma!$B$1:$B$1000,0))</f>
        <v>7.51</v>
      </c>
      <c r="F3" s="1" t="n"/>
    </row>
    <row r="4">
      <c r="B4" t="inlineStr">
        <is>
          <t>Shares</t>
        </is>
      </c>
      <c r="C4" s="21" t="n">
        <v>134.071432</v>
      </c>
      <c r="F4" s="1" t="n"/>
    </row>
    <row r="5">
      <c r="B5" t="inlineStr">
        <is>
          <t>Market Cap.</t>
        </is>
      </c>
      <c r="C5" s="13">
        <f>C3*C4</f>
        <v>1006.8764543199999</v>
      </c>
      <c r="F5" s="1" t="n"/>
    </row>
    <row r="6"/>
    <row r="7">
      <c r="B7" t="inlineStr">
        <is>
          <t>Cash</t>
        </is>
      </c>
      <c r="C7" s="21">
        <f>(345.918+123.419)/0.88865</f>
        <v>528.1460642547685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478.7303900652314</v>
      </c>
    </row>
    <row r="10"/>
    <row r="11">
      <c r="B11" s="14" t="inlineStr">
        <is>
          <t>Net Cash / Share</t>
        </is>
      </c>
      <c r="C11" s="11">
        <f>(C7-C8)/C4</f>
        <v>3.9392886044117774</v>
      </c>
    </row>
    <row r="12">
      <c r="B12" s="14" t="inlineStr">
        <is>
          <t>Upside</t>
        </is>
      </c>
      <c r="C12" s="15">
        <f>IFERROR(C11/C3-1,"")</f>
        <v>-0.4754609048719337</v>
      </c>
    </row>
    <row r="13">
      <c r="B13" s="14" t="inlineStr">
        <is>
          <t>Cash / Share</t>
        </is>
      </c>
      <c r="C13" s="11">
        <f>IFERROR((C7-C8)/C4,"")</f>
        <v>3.9392886044117774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-198.758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2.657231730319124</v>
      </c>
    </row>
    <row r="19">
      <c r="B19" s="14" t="inlineStr">
        <is>
          <t>Implied Pipeline Value</t>
        </is>
      </c>
      <c r="C19" s="13">
        <f>C9</f>
        <v>478.7303900652314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38.228</v>
      </c>
      <c r="C5" s="23" t="n">
        <v>45.114</v>
      </c>
      <c r="D5" s="23" t="n">
        <v>75.491</v>
      </c>
      <c r="E5" s="23" t="n">
        <v>98.547</v>
      </c>
      <c r="F5" s="23" t="n">
        <v>120.159</v>
      </c>
      <c r="G5" s="23" t="n">
        <v>133.532</v>
      </c>
      <c r="H5" s="23" t="n">
        <v>166.634</v>
      </c>
      <c r="I5" s="23" t="n">
        <v>206.867</v>
      </c>
      <c r="J5" s="1" t="n"/>
      <c r="K5" s="1" t="n"/>
    </row>
    <row r="6">
      <c r="A6" s="19" t="inlineStr">
        <is>
          <t>SG&amp;A &amp; Other</t>
        </is>
      </c>
      <c r="B6" s="23" t="n">
        <v>0.493</v>
      </c>
      <c r="C6" s="23" t="n">
        <v>-7.965</v>
      </c>
      <c r="D6" s="23" t="n">
        <v>2.96</v>
      </c>
      <c r="E6" s="23" t="n">
        <v>-1.44</v>
      </c>
      <c r="F6" s="23" t="n">
        <v>-153.866</v>
      </c>
      <c r="G6" s="23" t="n">
        <v>-19.06</v>
      </c>
      <c r="H6" s="23" t="n">
        <v>-123.18</v>
      </c>
      <c r="I6" s="23" t="n">
        <v>-2.044</v>
      </c>
      <c r="J6" s="1" t="n"/>
      <c r="K6" s="1" t="n"/>
    </row>
    <row r="7">
      <c r="A7" s="2" t="inlineStr">
        <is>
          <t>Operating Expense</t>
        </is>
      </c>
      <c r="B7" s="23">
        <f>SUM(B5:B6)</f>
        <v>38.721000000000004</v>
      </c>
      <c r="C7" s="23">
        <f>SUM(C5:C6)</f>
        <v>37.149</v>
      </c>
      <c r="D7" s="23">
        <f>SUM(D5:D6)</f>
        <v>78.451</v>
      </c>
      <c r="E7" s="23">
        <f>SUM(E5:E6)</f>
        <v>97.107</v>
      </c>
      <c r="F7" s="23">
        <f>SUM(F5:F6)</f>
        <v>-33.70700000000001</v>
      </c>
      <c r="G7" s="23">
        <f>SUM(G5:G6)</f>
        <v>114.47200000000001</v>
      </c>
      <c r="H7" s="23">
        <f>SUM(H5:H6)</f>
        <v>43.45399999999998</v>
      </c>
      <c r="I7" s="23">
        <f>SUM(I5:I6)</f>
        <v>204.82299999999998</v>
      </c>
      <c r="J7" s="1" t="n"/>
      <c r="K7" s="1" t="n"/>
    </row>
    <row r="8">
      <c r="A8" s="2" t="inlineStr">
        <is>
          <t>Operating Income</t>
        </is>
      </c>
      <c r="B8" s="23">
        <f>B4-B7</f>
        <v>-38.721000000000004</v>
      </c>
      <c r="C8" s="23">
        <f>C4-C7</f>
        <v>-37.149</v>
      </c>
      <c r="D8" s="23">
        <f>D4-D7</f>
        <v>-78.451</v>
      </c>
      <c r="E8" s="23">
        <f>E4-E7</f>
        <v>-97.107</v>
      </c>
      <c r="F8" s="23">
        <f>F4-F7</f>
        <v>33.70700000000001</v>
      </c>
      <c r="G8" s="23">
        <f>G4-G7</f>
        <v>-114.47200000000001</v>
      </c>
      <c r="H8" s="23">
        <f>H4-H7</f>
        <v>-43.45399999999998</v>
      </c>
      <c r="I8" s="23">
        <f>I4-I7</f>
        <v>-204.82299999999998</v>
      </c>
      <c r="J8" s="1" t="n"/>
      <c r="K8" s="1" t="n"/>
    </row>
    <row r="9">
      <c r="A9" s="19" t="inlineStr">
        <is>
          <t>Interest &amp; Other</t>
        </is>
      </c>
      <c r="B9" s="23" t="n">
        <v>3.337</v>
      </c>
      <c r="C9" s="23" t="n">
        <v>1.623</v>
      </c>
      <c r="D9" s="23" t="n">
        <v>-159.308</v>
      </c>
      <c r="E9" s="23" t="n">
        <v>-7.923</v>
      </c>
      <c r="F9" s="23" t="n">
        <v>13.596</v>
      </c>
      <c r="G9" s="23" t="n">
        <v>5.324</v>
      </c>
      <c r="H9" s="23" t="n">
        <v>67.474</v>
      </c>
      <c r="I9" s="23" t="n">
        <v>-18.477</v>
      </c>
    </row>
    <row r="10">
      <c r="A10" s="2" t="inlineStr">
        <is>
          <t>Pretax</t>
        </is>
      </c>
      <c r="B10" s="23">
        <f>B8+B9</f>
        <v>-35.384</v>
      </c>
      <c r="C10" s="23">
        <f>C8+C9</f>
        <v>-35.526</v>
      </c>
      <c r="D10" s="23">
        <f>D8+D9</f>
        <v>-237.759</v>
      </c>
      <c r="E10" s="23">
        <f>E8+E9</f>
        <v>-105.03</v>
      </c>
      <c r="F10" s="23">
        <f>F8+F9</f>
        <v>47.30300000000001</v>
      </c>
      <c r="G10" s="23">
        <f>G8+G9</f>
        <v>-109.14800000000001</v>
      </c>
      <c r="H10" s="23">
        <f>H8+H9</f>
        <v>24.020000000000024</v>
      </c>
      <c r="I10" s="23">
        <f>I8+I9</f>
        <v>-223.29999999999998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16.129</v>
      </c>
      <c r="G11" s="23" t="n">
        <v>-2.639</v>
      </c>
      <c r="H11" s="23" t="n">
        <v>6.896</v>
      </c>
      <c r="I11" s="23" t="n">
        <v>-2.238</v>
      </c>
    </row>
    <row r="12">
      <c r="A12" s="2" t="inlineStr">
        <is>
          <t>Net Income</t>
        </is>
      </c>
      <c r="B12" s="23" t="n">
        <v>-35.384</v>
      </c>
      <c r="C12" s="23" t="n">
        <v>-35.527</v>
      </c>
      <c r="D12" s="23" t="n">
        <v>-237.758</v>
      </c>
      <c r="E12" s="23" t="n">
        <v>-105.03</v>
      </c>
      <c r="F12" s="23" t="n">
        <v>31.174</v>
      </c>
      <c r="G12" s="23" t="n">
        <v>-106.509</v>
      </c>
      <c r="H12" s="23" t="n">
        <v>17.125</v>
      </c>
      <c r="I12" s="23" t="n">
        <v>-221.062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-1.069196833262827</v>
      </c>
      <c r="C13" s="11">
        <f>IFERROR(C12/C14,0)</f>
        <v>-1.0735178582220342</v>
      </c>
      <c r="D13" s="11">
        <f>IFERROR(D12/D14,0)</f>
        <v>-4.9531884752401</v>
      </c>
      <c r="E13" s="11">
        <f>IFERROR(E12/E14,0)</f>
        <v>-1.66944828572791</v>
      </c>
      <c r="F13" s="11">
        <f>IFERROR(F12/F14,0)</f>
        <v>0.4529458772248456</v>
      </c>
      <c r="G13" s="11">
        <f>IFERROR(G12/G14,0)</f>
        <v>-1.322321129278558</v>
      </c>
      <c r="H13" s="11">
        <f>IFERROR(H12/H14,0)</f>
        <v>0.160353949154923</v>
      </c>
      <c r="I13" s="11">
        <f>IFERROR(I12/I14,0)</f>
        <v>-1.806829698891686</v>
      </c>
    </row>
    <row r="14">
      <c r="A14" s="2" t="inlineStr">
        <is>
          <t>Shares</t>
        </is>
      </c>
      <c r="B14" s="23" t="n">
        <v>33.094</v>
      </c>
      <c r="C14" s="23" t="n">
        <v>33.094</v>
      </c>
      <c r="D14" s="23" t="n">
        <v>48.001</v>
      </c>
      <c r="E14" s="23" t="n">
        <v>62.913</v>
      </c>
      <c r="F14" s="23" t="n">
        <v>68.825</v>
      </c>
      <c r="G14" s="23" t="n">
        <v>80.547</v>
      </c>
      <c r="H14" s="23" t="n">
        <v>106.795</v>
      </c>
      <c r="I14" s="23" t="n">
        <v>122.348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2026-10-21T01:04:52Z</dcterms:modified>
  <cp:lastModifiedBy>Wang, Eric</cp:lastModifiedBy>
</cp:coreProperties>
</file>