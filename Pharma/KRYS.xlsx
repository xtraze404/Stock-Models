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Krystal Biotech, Inc.</t>
        </is>
      </c>
      <c r="C2" s="10" t="n"/>
    </row>
    <row r="3">
      <c r="B3" t="inlineStr">
        <is>
          <t>Price</t>
        </is>
      </c>
      <c r="C3" s="11">
        <f>INDEX([1]Pharma!$F$1:$F$1000,MATCH("KRYS",[1]Pharma!$B$1:$B$1000,0))</f>
        <v>325.42</v>
      </c>
      <c r="F3" s="1" t="n"/>
    </row>
    <row r="4">
      <c r="B4" t="inlineStr">
        <is>
          <t>Shares</t>
        </is>
      </c>
      <c r="C4" s="51" t="n">
        <v>29.598836</v>
      </c>
      <c r="F4" s="1" t="n"/>
    </row>
    <row r="5">
      <c r="B5" t="inlineStr">
        <is>
          <t>Market Cap.</t>
        </is>
      </c>
      <c r="C5" s="13">
        <f>C3*C4</f>
        <v>9632.05321112</v>
      </c>
      <c r="F5" s="1" t="n"/>
    </row>
    <row r="6"/>
    <row r="7">
      <c r="B7" t="inlineStr">
        <is>
          <t>Cash</t>
        </is>
      </c>
      <c r="C7" s="51">
        <f>427.74+417.891</f>
        <v>845.6310000000001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8786.42221112</v>
      </c>
    </row>
    <row r="10"/>
    <row r="11">
      <c r="B11" s="14" t="inlineStr">
        <is>
          <t>NPV / Share</t>
        </is>
      </c>
      <c r="C11" s="11">
        <f>NPV!B28</f>
        <v>175.66781215787773</v>
      </c>
    </row>
    <row r="12">
      <c r="B12" s="14" t="inlineStr">
        <is>
          <t>Upside</t>
        </is>
      </c>
      <c r="C12" s="15">
        <f>IFERROR(C11/C3-1,"")</f>
        <v>-0.46018126680020366</v>
      </c>
    </row>
    <row r="13">
      <c r="B13" s="14" t="inlineStr">
        <is>
          <t>Cash / Share</t>
        </is>
      </c>
      <c r="C13" s="11">
        <f>IFERROR((C7-C8)/C4,"")</f>
        <v>28.569738350521625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50.699</v>
      </c>
      <c r="J2" s="52" t="n">
        <v>290.515</v>
      </c>
      <c r="K2" s="52" t="n">
        <v>389.13</v>
      </c>
      <c r="L2" s="52">
        <f>K2*(1+NPV!C5)</f>
        <v>497.619444</v>
      </c>
      <c r="M2" s="52">
        <f>L2*(1+NPV!D5)</f>
        <v>622.3228766663999</v>
      </c>
      <c r="N2" s="52">
        <f>M2*(1+NPV!E5)</f>
        <v>760.7274844370072</v>
      </c>
      <c r="O2" s="52">
        <f>N2*(1+NPV!F5)</f>
        <v>908.460761914674</v>
      </c>
      <c r="P2" s="52">
        <f>O2*(1+NPV!G5)</f>
        <v>1059.2652483925099</v>
      </c>
      <c r="Q2" s="52">
        <f>P2*(1+NPV!H5)</f>
        <v>1205.2319996209976</v>
      </c>
      <c r="R2" s="52">
        <f>Q2*(1+NPV!I5)</f>
        <v>1337.325426779459</v>
      </c>
      <c r="S2" s="52">
        <f>R2*(1+NPV!J5)</f>
        <v>1446.1837165193067</v>
      </c>
      <c r="T2" s="52">
        <f>S2*(1+NPV!K5)</f>
        <v>1523.1206902381336</v>
      </c>
      <c r="U2" s="52">
        <f>T2*(1+NPV!L5)</f>
        <v>1561.1987074940869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50.699</v>
      </c>
      <c r="J4" s="52">
        <f>J2-J3</f>
        <v>290.515</v>
      </c>
      <c r="K4" s="52">
        <f>K2-K3</f>
        <v>389.13</v>
      </c>
      <c r="L4" s="52">
        <f>L2-L3</f>
        <v>497.619444</v>
      </c>
      <c r="M4" s="52">
        <f>M2-M3</f>
        <v>622.3228766663999</v>
      </c>
      <c r="N4" s="52">
        <f>N2-N3</f>
        <v>760.7274844370072</v>
      </c>
      <c r="O4" s="52">
        <f>O2-O3</f>
        <v>908.460761914674</v>
      </c>
      <c r="P4" s="52">
        <f>P2-P3</f>
        <v>1059.2652483925099</v>
      </c>
      <c r="Q4" s="52">
        <f>Q2-Q3</f>
        <v>1205.2319996209976</v>
      </c>
      <c r="R4" s="52">
        <f>R2-R3</f>
        <v>1337.325426779459</v>
      </c>
      <c r="S4" s="52">
        <f>S2-S3</f>
        <v>1446.1837165193067</v>
      </c>
      <c r="T4" s="52">
        <f>T2-T3</f>
        <v>1523.1206902381336</v>
      </c>
      <c r="U4" s="52">
        <f>U2-U3</f>
        <v>1561.1987074940869</v>
      </c>
    </row>
    <row r="5">
      <c r="A5" s="2" t="inlineStr">
        <is>
          <t>Research &amp; Dev.</t>
        </is>
      </c>
      <c r="B5" s="52" t="n">
        <v>0.741</v>
      </c>
      <c r="C5" s="52" t="n">
        <v>3.208</v>
      </c>
      <c r="D5" s="52" t="n">
        <v>7.761</v>
      </c>
      <c r="E5" s="52" t="n">
        <v>15.616</v>
      </c>
      <c r="F5" s="52" t="n">
        <v>17.936</v>
      </c>
      <c r="G5" s="52" t="n">
        <v>27.884</v>
      </c>
      <c r="H5" s="52" t="n">
        <v>42.461</v>
      </c>
      <c r="I5" s="52" t="n">
        <v>46.433</v>
      </c>
      <c r="J5" s="52" t="n">
        <v>53.58</v>
      </c>
      <c r="K5" s="52" t="n">
        <v>58.045</v>
      </c>
      <c r="L5" s="52">
        <f>L7*Assumptions!$B$20</f>
        <v>71.50515729108024</v>
      </c>
      <c r="M5" s="52">
        <f>M7*Assumptions!$B$20</f>
        <v>91.46194682454853</v>
      </c>
      <c r="N5" s="52">
        <f>N7*Assumptions!$B$20</f>
        <v>114.29384251332209</v>
      </c>
      <c r="O5" s="52">
        <f>O7*Assumptions!$B$20</f>
        <v>139.464170786855</v>
      </c>
      <c r="P5" s="52">
        <f>P7*Assumptions!$B$20</f>
        <v>166.08344822845473</v>
      </c>
      <c r="Q5" s="52">
        <f>Q7*Assumptions!$B$20</f>
        <v>192.91589390285486</v>
      </c>
      <c r="R5" s="52">
        <f>R7*Assumptions!$B$20</f>
        <v>218.43812004046052</v>
      </c>
      <c r="S5" s="52">
        <f>S7*Assumptions!$B$20</f>
        <v>240.95404881270719</v>
      </c>
      <c r="T5" s="52">
        <f>T7*Assumptions!$B$20</f>
        <v>258.759775511107</v>
      </c>
      <c r="U5" s="52">
        <f>U7*Assumptions!$B$20</f>
        <v>270.3404154829877</v>
      </c>
    </row>
    <row r="6">
      <c r="A6" s="18" t="inlineStr">
        <is>
          <t>SG&amp;A &amp; Other</t>
        </is>
      </c>
      <c r="B6" s="52" t="n">
        <v>0.402</v>
      </c>
      <c r="C6" s="52" t="n">
        <v>1.564</v>
      </c>
      <c r="D6" s="52" t="n">
        <v>4.155</v>
      </c>
      <c r="E6" s="52" t="n">
        <v>6.465</v>
      </c>
      <c r="F6" s="52" t="n">
        <v>15.063</v>
      </c>
      <c r="G6" s="52" t="n">
        <v>40.391</v>
      </c>
      <c r="H6" s="52" t="n">
        <v>102.735</v>
      </c>
      <c r="I6" s="52" t="n">
        <v>113.883</v>
      </c>
      <c r="J6" s="52" t="n">
        <v>171.187</v>
      </c>
      <c r="K6" s="52" t="n">
        <v>169.79</v>
      </c>
      <c r="L6" s="52">
        <f>L7-L5</f>
        <v>209.1273281527197</v>
      </c>
      <c r="M6" s="52">
        <f>M7-M5</f>
        <v>267.4938884366309</v>
      </c>
      <c r="N6" s="52">
        <f>N7-N5</f>
        <v>334.2691186849592</v>
      </c>
      <c r="O6" s="52">
        <f>O7-O5</f>
        <v>407.883438266736</v>
      </c>
      <c r="P6" s="52">
        <f>P7-P5</f>
        <v>485.73542236987623</v>
      </c>
      <c r="Q6" s="52">
        <f>Q7-Q5</f>
        <v>564.2108482590559</v>
      </c>
      <c r="R6" s="52">
        <f>R7-R5</f>
        <v>638.8543447965117</v>
      </c>
      <c r="S6" s="52">
        <f>S7-S5</f>
        <v>704.7054834192675</v>
      </c>
      <c r="T6" s="52">
        <f>T7-T5</f>
        <v>756.7809447051685</v>
      </c>
      <c r="U6" s="52">
        <f>U7-U5</f>
        <v>790.6502261299936</v>
      </c>
    </row>
    <row r="7">
      <c r="A7" s="2" t="inlineStr">
        <is>
          <t>Operating Expense</t>
        </is>
      </c>
      <c r="B7" s="52">
        <f>SUM(B5:B6)</f>
        <v>1.143</v>
      </c>
      <c r="C7" s="52">
        <f>SUM(C5:C6)</f>
        <v>4.772</v>
      </c>
      <c r="D7" s="52">
        <f>SUM(D5:D6)</f>
        <v>11.916</v>
      </c>
      <c r="E7" s="52">
        <f>SUM(E5:E6)</f>
        <v>22.081</v>
      </c>
      <c r="F7" s="52">
        <f>SUM(F5:F6)</f>
        <v>32.999</v>
      </c>
      <c r="G7" s="52">
        <f>SUM(G5:G6)</f>
        <v>68.275</v>
      </c>
      <c r="H7" s="52">
        <f>SUM(H5:H6)</f>
        <v>145.196</v>
      </c>
      <c r="I7" s="52">
        <f>SUM(I5:I6)</f>
        <v>160.316</v>
      </c>
      <c r="J7" s="52">
        <f>SUM(J5:J6)</f>
        <v>224.767</v>
      </c>
      <c r="K7" s="52">
        <f>SUM(K5:K6)</f>
        <v>227.83499999999998</v>
      </c>
      <c r="L7" s="52">
        <f>L4-L2*NPV!C6</f>
        <v>280.63248544379996</v>
      </c>
      <c r="M7" s="52">
        <f>M4-M2*NPV!D6</f>
        <v>358.95583526117946</v>
      </c>
      <c r="N7" s="52">
        <f>N4-N2*NPV!E6</f>
        <v>448.5629611982813</v>
      </c>
      <c r="O7" s="52">
        <f>O4-O2*NPV!F6</f>
        <v>547.347609053591</v>
      </c>
      <c r="P7" s="52">
        <f>P4-P2*NPV!G6</f>
        <v>651.8188705983309</v>
      </c>
      <c r="Q7" s="52">
        <f>Q4-Q2*NPV!H6</f>
        <v>757.1267421619107</v>
      </c>
      <c r="R7" s="52">
        <f>R4-R2*NPV!I6</f>
        <v>857.2924648369722</v>
      </c>
      <c r="S7" s="52">
        <f>S4-S2*NPV!J6</f>
        <v>945.6595322319747</v>
      </c>
      <c r="T7" s="52">
        <f>T4-T2*NPV!K6</f>
        <v>1015.5407202162755</v>
      </c>
      <c r="U7" s="52">
        <f>U4-U2*NPV!L6</f>
        <v>1060.9906416129813</v>
      </c>
    </row>
    <row r="8">
      <c r="A8" s="2" t="inlineStr">
        <is>
          <t>Operating Income</t>
        </is>
      </c>
      <c r="B8" s="52">
        <f>B4-B7</f>
        <v>-1.143</v>
      </c>
      <c r="C8" s="52">
        <f>C4-C7</f>
        <v>-4.772</v>
      </c>
      <c r="D8" s="52">
        <f>D4-D7</f>
        <v>-11.916</v>
      </c>
      <c r="E8" s="52">
        <f>E4-E7</f>
        <v>-22.081</v>
      </c>
      <c r="F8" s="52">
        <f>F4-F7</f>
        <v>-32.999</v>
      </c>
      <c r="G8" s="52">
        <f>G4-G7</f>
        <v>-68.275</v>
      </c>
      <c r="H8" s="52">
        <f>H4-H7</f>
        <v>-145.196</v>
      </c>
      <c r="I8" s="52">
        <f>I4-I7</f>
        <v>-109.617</v>
      </c>
      <c r="J8" s="52">
        <f>J4-J7</f>
        <v>65.74799999999999</v>
      </c>
      <c r="K8" s="52">
        <f>K4-K7</f>
        <v>161.29500000000002</v>
      </c>
      <c r="L8" s="52">
        <f>L4-L7</f>
        <v>216.98695855620002</v>
      </c>
      <c r="M8" s="52">
        <f>M4-M7</f>
        <v>263.36704140522045</v>
      </c>
      <c r="N8" s="52">
        <f>N4-N7</f>
        <v>312.1645232387259</v>
      </c>
      <c r="O8" s="52">
        <f>O4-O7</f>
        <v>361.113152861083</v>
      </c>
      <c r="P8" s="52">
        <f>P4-P7</f>
        <v>407.44637779417894</v>
      </c>
      <c r="Q8" s="52">
        <f>Q4-Q7</f>
        <v>448.10525745908694</v>
      </c>
      <c r="R8" s="52">
        <f>R4-R7</f>
        <v>480.03296194248674</v>
      </c>
      <c r="S8" s="52">
        <f>S4-S7</f>
        <v>500.524184287332</v>
      </c>
      <c r="T8" s="52">
        <f>T4-T7</f>
        <v>507.5799700218581</v>
      </c>
      <c r="U8" s="52">
        <f>U4-U7</f>
        <v>500.20806588110554</v>
      </c>
    </row>
    <row r="9">
      <c r="A9" s="18" t="inlineStr">
        <is>
          <t>Interest &amp; Other</t>
        </is>
      </c>
      <c r="B9" s="52" t="n">
        <v>-0.007</v>
      </c>
      <c r="C9" s="52" t="n">
        <v>-3.148</v>
      </c>
      <c r="D9" s="52" t="n">
        <v>1.027</v>
      </c>
      <c r="E9" s="52" t="n">
        <v>2.993</v>
      </c>
      <c r="F9" s="52" t="n">
        <v>0.832</v>
      </c>
      <c r="G9" s="52" t="n">
        <v>-1.295</v>
      </c>
      <c r="H9" s="52" t="n">
        <v>5.221</v>
      </c>
      <c r="I9" s="52" t="n">
        <v>122.514</v>
      </c>
      <c r="J9" s="52" t="n">
        <v>29.608</v>
      </c>
      <c r="K9" s="52" t="n">
        <v>28.176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-1.15</v>
      </c>
      <c r="C10" s="52">
        <f>C8+C9</f>
        <v>-7.92</v>
      </c>
      <c r="D10" s="52">
        <f>D8+D9</f>
        <v>-10.889000000000001</v>
      </c>
      <c r="E10" s="52">
        <f>E8+E9</f>
        <v>-19.088</v>
      </c>
      <c r="F10" s="52">
        <f>F8+F9</f>
        <v>-32.167</v>
      </c>
      <c r="G10" s="52">
        <f>G8+G9</f>
        <v>-69.57000000000001</v>
      </c>
      <c r="H10" s="52">
        <f>H8+H9</f>
        <v>-139.975</v>
      </c>
      <c r="I10" s="52">
        <f>I8+I9</f>
        <v>12.896999999999991</v>
      </c>
      <c r="J10" s="52">
        <f>J8+J9</f>
        <v>95.356</v>
      </c>
      <c r="K10" s="52">
        <f>K8+K9</f>
        <v>189.471</v>
      </c>
      <c r="L10" s="52">
        <f>L8+L9</f>
        <v>216.98695855620002</v>
      </c>
      <c r="M10" s="52">
        <f>M8+M9</f>
        <v>263.36704140522045</v>
      </c>
      <c r="N10" s="52">
        <f>N8+N9</f>
        <v>312.1645232387259</v>
      </c>
      <c r="O10" s="52">
        <f>O8+O9</f>
        <v>361.113152861083</v>
      </c>
      <c r="P10" s="52">
        <f>P8+P9</f>
        <v>407.44637779417894</v>
      </c>
      <c r="Q10" s="52">
        <f>Q8+Q9</f>
        <v>448.10525745908694</v>
      </c>
      <c r="R10" s="52">
        <f>R8+R9</f>
        <v>480.03296194248674</v>
      </c>
      <c r="S10" s="52">
        <f>S8+S9</f>
        <v>500.524184287332</v>
      </c>
      <c r="T10" s="52">
        <f>T8+T9</f>
        <v>507.5799700218581</v>
      </c>
      <c r="U10" s="52">
        <f>U8+U9</f>
        <v>500.20806588110554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1.965</v>
      </c>
      <c r="J11" s="52" t="n">
        <v>6.197</v>
      </c>
      <c r="K11" s="52" t="n">
        <v>-15.36</v>
      </c>
      <c r="L11" s="52">
        <f>MAX(0,L10)*Assumptions!$E$14</f>
        <v>36.887782954554005</v>
      </c>
      <c r="M11" s="52">
        <f>MAX(0,M10)*Assumptions!$E$14</f>
        <v>44.772397038887476</v>
      </c>
      <c r="N11" s="52">
        <f>MAX(0,N10)*Assumptions!$E$14</f>
        <v>53.067968950583406</v>
      </c>
      <c r="O11" s="52">
        <f>MAX(0,O10)*Assumptions!$E$14</f>
        <v>61.389235986384115</v>
      </c>
      <c r="P11" s="52">
        <f>MAX(0,P10)*Assumptions!$E$14</f>
        <v>69.26588422501042</v>
      </c>
      <c r="Q11" s="52">
        <f>MAX(0,Q10)*Assumptions!$E$14</f>
        <v>76.17789376804478</v>
      </c>
      <c r="R11" s="52">
        <f>MAX(0,R10)*Assumptions!$E$14</f>
        <v>81.60560353022275</v>
      </c>
      <c r="S11" s="52">
        <f>MAX(0,S10)*Assumptions!$E$14</f>
        <v>85.08911132884644</v>
      </c>
      <c r="T11" s="52">
        <f>MAX(0,T10)*Assumptions!$E$14</f>
        <v>86.28859490371589</v>
      </c>
      <c r="U11" s="52">
        <f>MAX(0,U10)*Assumptions!$E$14</f>
        <v>85.03537119978795</v>
      </c>
    </row>
    <row r="12">
      <c r="A12" s="2" t="inlineStr">
        <is>
          <t>Net Income</t>
        </is>
      </c>
      <c r="B12" s="52" t="n">
        <v>-1.15</v>
      </c>
      <c r="C12" s="52" t="n">
        <v>-7.92</v>
      </c>
      <c r="D12" s="52" t="n">
        <v>-10.889</v>
      </c>
      <c r="E12" s="52" t="n">
        <v>-19.088</v>
      </c>
      <c r="F12" s="52" t="n">
        <v>-32.167</v>
      </c>
      <c r="G12" s="52" t="n">
        <v>-69.56999999999999</v>
      </c>
      <c r="H12" s="52" t="n">
        <v>-139.975</v>
      </c>
      <c r="I12" s="52" t="n">
        <v>10.932</v>
      </c>
      <c r="J12" s="52" t="n">
        <v>89.15900000000001</v>
      </c>
      <c r="K12" s="52" t="n">
        <v>204.831</v>
      </c>
      <c r="L12" s="52">
        <f>L10-L11</f>
        <v>180.099175601646</v>
      </c>
      <c r="M12" s="52">
        <f>M10-M11</f>
        <v>218.59464436633297</v>
      </c>
      <c r="N12" s="52">
        <f>N10-N11</f>
        <v>259.0965542881425</v>
      </c>
      <c r="O12" s="52">
        <f>O10-O11</f>
        <v>299.7239168746989</v>
      </c>
      <c r="P12" s="52">
        <f>P10-P11</f>
        <v>338.1804935691685</v>
      </c>
      <c r="Q12" s="52">
        <f>Q10-Q11</f>
        <v>371.92736369104216</v>
      </c>
      <c r="R12" s="52">
        <f>R10-R11</f>
        <v>398.42735841226397</v>
      </c>
      <c r="S12" s="52">
        <f>S10-S11</f>
        <v>415.43507295848553</v>
      </c>
      <c r="T12" s="52">
        <f>T10-T11</f>
        <v>421.29137511814224</v>
      </c>
      <c r="U12" s="52">
        <f>U10-U11</f>
        <v>415.1726946813176</v>
      </c>
    </row>
    <row r="13">
      <c r="A13" s="2" t="inlineStr">
        <is>
          <t>Earnings per Share</t>
        </is>
      </c>
      <c r="B13" s="11">
        <f>IFERROR(B12/B14,0)</f>
        <v>-0.21842355175688508</v>
      </c>
      <c r="C13" s="11">
        <f>IFERROR(C12/C14,0)</f>
        <v>-1.4773363178511472</v>
      </c>
      <c r="D13" s="11">
        <f>IFERROR(D12/D14,0)</f>
        <v>-0.9719717932696599</v>
      </c>
      <c r="E13" s="11">
        <f>IFERROR(E12/E14,0)</f>
        <v>-1.2004276460599963</v>
      </c>
      <c r="F13" s="11">
        <f>IFERROR(F12/F14,0)</f>
        <v>-1.7121946026507693</v>
      </c>
      <c r="G13" s="11">
        <f>IFERROR(G12/G14,0)</f>
        <v>-3.1342073253142315</v>
      </c>
      <c r="H13" s="11">
        <f>IFERROR(H12/H14,0)</f>
        <v>-5.490938333594853</v>
      </c>
      <c r="I13" s="11">
        <f>IFERROR(I12/I14,0)</f>
        <v>0.39391755549149615</v>
      </c>
      <c r="J13" s="11">
        <f>IFERROR(J12/J14,0)</f>
        <v>2.9979488903833227</v>
      </c>
      <c r="K13" s="11">
        <f>IFERROR(K12/K14,0)</f>
        <v>6.838870154585823</v>
      </c>
      <c r="L13" s="11">
        <f>IFERROR(L12/L14,0)</f>
        <v>6.0846708837349555</v>
      </c>
      <c r="M13" s="11">
        <f>IFERROR(M12/M14,0)</f>
        <v>7.385244621320007</v>
      </c>
      <c r="N13" s="11">
        <f>IFERROR(N12/N14,0)</f>
        <v>8.753606198843174</v>
      </c>
      <c r="O13" s="11">
        <f>IFERROR(O12/O14,0)</f>
        <v>10.126206208740738</v>
      </c>
      <c r="P13" s="11">
        <f>IFERROR(P12/P14,0)</f>
        <v>11.425465973363565</v>
      </c>
      <c r="Q13" s="11">
        <f>IFERROR(Q12/Q14,0)</f>
        <v>12.565607772246253</v>
      </c>
      <c r="R13" s="11">
        <f>IFERROR(R12/R14,0)</f>
        <v>13.460913071455376</v>
      </c>
      <c r="S13" s="11">
        <f>IFERROR(S12/S14,0)</f>
        <v>14.035520618394775</v>
      </c>
      <c r="T13" s="11">
        <f>IFERROR(T12/T14,0)</f>
        <v>14.233376444875814</v>
      </c>
      <c r="U13" s="11">
        <f>IFERROR(U12/U14,0)</f>
        <v>14.026656138819702</v>
      </c>
    </row>
    <row r="14">
      <c r="A14" s="2" t="inlineStr">
        <is>
          <t>Shares</t>
        </is>
      </c>
      <c r="B14" s="52" t="n">
        <v>5.265</v>
      </c>
      <c r="C14" s="52" t="n">
        <v>5.361</v>
      </c>
      <c r="D14" s="52" t="n">
        <v>11.203</v>
      </c>
      <c r="E14" s="52" t="n">
        <v>15.901</v>
      </c>
      <c r="F14" s="52" t="n">
        <v>18.787</v>
      </c>
      <c r="G14" s="52" t="n">
        <v>22.197</v>
      </c>
      <c r="H14" s="52" t="n">
        <v>25.492</v>
      </c>
      <c r="I14" s="52" t="n">
        <v>27.752</v>
      </c>
      <c r="J14" s="52" t="n">
        <v>29.74</v>
      </c>
      <c r="K14" s="52" t="n">
        <v>29.951</v>
      </c>
      <c r="L14" s="52">
        <f>Main!$C$4</f>
        <v>29.598836</v>
      </c>
      <c r="M14" s="52">
        <f>Main!$C$4</f>
        <v>29.598836</v>
      </c>
      <c r="N14" s="52">
        <f>Main!$C$4</f>
        <v>29.598836</v>
      </c>
      <c r="O14" s="52">
        <f>Main!$C$4</f>
        <v>29.598836</v>
      </c>
      <c r="P14" s="52">
        <f>Main!$C$4</f>
        <v>29.598836</v>
      </c>
      <c r="Q14" s="52">
        <f>Main!$C$4</f>
        <v>29.598836</v>
      </c>
      <c r="R14" s="52">
        <f>Main!$C$4</f>
        <v>29.598836</v>
      </c>
      <c r="S14" s="52">
        <f>Main!$C$4</f>
        <v>29.598836</v>
      </c>
      <c r="T14" s="52">
        <f>Main!$C$4</f>
        <v>29.598836</v>
      </c>
      <c r="U14" s="52">
        <f>Main!$C$4</f>
        <v>29.598836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4.730191917000336</v>
      </c>
      <c r="K16" s="15">
        <f>IFERROR(K2/J2-1,"")</f>
        <v>0.3394489096948523</v>
      </c>
      <c r="L16" s="15">
        <f>IFERROR(L2/K2-1,"")</f>
        <v>0.27879999999999994</v>
      </c>
      <c r="M16" s="15">
        <f>IFERROR(M2/L2-1,"")</f>
        <v>0.25059999999999993</v>
      </c>
      <c r="N16" s="15">
        <f>IFERROR(N2/M2-1,"")</f>
        <v>0.22239999999999993</v>
      </c>
      <c r="O16" s="15">
        <f>IFERROR(O2/N2-1,"")</f>
        <v>0.19419999999999993</v>
      </c>
      <c r="P16" s="15">
        <f>IFERROR(P2/O2-1,"")</f>
        <v>0.16599999999999993</v>
      </c>
      <c r="Q16" s="15">
        <f>IFERROR(Q2/P2-1,"")</f>
        <v>0.13779999999999992</v>
      </c>
      <c r="R16" s="15">
        <f>IFERROR(R2/Q2-1,"")</f>
        <v>0.10959999999999992</v>
      </c>
      <c r="S16" s="15">
        <f>IFERROR(S2/R2-1,"")</f>
        <v>0.08139999999999992</v>
      </c>
      <c r="T16" s="15">
        <f>IFERROR(T2/S2-1,"")</f>
        <v>0.053199999999999914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-2.1621136511568277</v>
      </c>
      <c r="J18" s="15">
        <f>IFERROR(J8/J2,"")</f>
        <v>0.2263153365574927</v>
      </c>
      <c r="K18" s="15">
        <f>IFERROR(K8/K2,"")</f>
        <v>0.4145015804486933</v>
      </c>
      <c r="L18" s="15">
        <f>IFERROR(L8/L2,"")</f>
        <v>0.43605000000000005</v>
      </c>
      <c r="M18" s="15">
        <f>IFERROR(M8/M2,"")</f>
        <v>0.4232</v>
      </c>
      <c r="N18" s="15">
        <f>IFERROR(N8/N2,"")</f>
        <v>0.41035</v>
      </c>
      <c r="O18" s="15">
        <f>IFERROR(O8/O2,"")</f>
        <v>0.3975000000000001</v>
      </c>
      <c r="P18" s="15">
        <f>IFERROR(P8/P2,"")</f>
        <v>0.38465</v>
      </c>
      <c r="Q18" s="15">
        <f>IFERROR(Q8/Q2,"")</f>
        <v>0.3718</v>
      </c>
      <c r="R18" s="15">
        <f>IFERROR(R8/R2,"")</f>
        <v>0.35895</v>
      </c>
      <c r="S18" s="15">
        <f>IFERROR(S8/S2,"")</f>
        <v>0.34609999999999996</v>
      </c>
      <c r="T18" s="15">
        <f>IFERROR(T8/T2,"")</f>
        <v>0.33325000000000005</v>
      </c>
      <c r="U18" s="15">
        <f>IFERROR(U8/U2,"")</f>
        <v>0.3204000000000001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Krystal Biotech,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0.2288</v>
      </c>
      <c r="C12" s="53" t="n">
        <v>0.2788</v>
      </c>
      <c r="D12" s="53" t="n">
        <v>0.3288</v>
      </c>
      <c r="E12" s="54">
        <f>CHOOSE($B$4,B12,C12,D12)</f>
        <v>0.2788</v>
      </c>
    </row>
    <row r="13">
      <c r="A13" s="14" t="inlineStr">
        <is>
          <t>Operating margin, year 10</t>
        </is>
      </c>
      <c r="B13" s="53" t="n">
        <v>0.2704</v>
      </c>
      <c r="C13" s="53" t="n">
        <v>0.3204</v>
      </c>
      <c r="D13" s="53" t="n">
        <v>0.3704</v>
      </c>
      <c r="E13" s="54">
        <f>CHOOSE($B$4,B13,C13,D13)</f>
        <v>0.3204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0.4489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0.2548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389.13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4353.931762539829</v>
      </c>
      <c r="C29" s="56">
        <f>NPV!B26</f>
        <v>5199.562762539829</v>
      </c>
      <c r="D29" s="35">
        <f>NPV!B28</f>
        <v>175.66781215787773</v>
      </c>
      <c r="E29" s="57">
        <f>NPV!B30</f>
        <v>-0.46018126680020366</v>
      </c>
    </row>
    <row r="30">
      <c r="A30" s="58" t="n">
        <v>1</v>
      </c>
      <c r="B30" s="59">
        <f t="dataTable" ref="B30:E32" r1="B4"/>
        <v>2653.307064937984</v>
      </c>
      <c r="C30" s="59">
        <v>3498.9380649379837</v>
      </c>
      <c r="D30" s="39">
        <v>118.21201566635877</v>
      </c>
      <c r="E30" s="60">
        <v>-0.6367401645063033</v>
      </c>
    </row>
    <row r="31">
      <c r="A31" s="58" t="n">
        <v>2</v>
      </c>
      <c r="B31" s="59">
        <v>4353.931762539829</v>
      </c>
      <c r="C31" s="59">
        <v>5199.562762539829</v>
      </c>
      <c r="D31" s="39">
        <v>175.66781215787773</v>
      </c>
      <c r="E31" s="60">
        <v>-0.46018126680020366</v>
      </c>
    </row>
    <row r="32">
      <c r="A32" s="58" t="n">
        <v>3</v>
      </c>
      <c r="B32" s="59">
        <v>7534.587209867634</v>
      </c>
      <c r="C32" s="59">
        <v>8380.218209867633</v>
      </c>
      <c r="D32" s="39">
        <v>283.12661382588266</v>
      </c>
      <c r="E32" s="60">
        <v>-0.12996554045269915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175.66781215787773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208.36508058997242</v>
      </c>
      <c r="C37" s="39">
        <v>221.9227911094579</v>
      </c>
      <c r="D37" s="39">
        <v>238.16828958913302</v>
      </c>
      <c r="E37" s="39">
        <v>257.9972330158626</v>
      </c>
      <c r="F37" s="39">
        <v>282.75310387223755</v>
      </c>
    </row>
    <row r="38">
      <c r="A38" s="62" t="n">
        <v>0.08500000000000001</v>
      </c>
      <c r="B38" s="39">
        <v>181.19280634717572</v>
      </c>
      <c r="C38" s="39">
        <v>190.64103655617205</v>
      </c>
      <c r="D38" s="39">
        <v>201.6450396106974</v>
      </c>
      <c r="E38" s="39">
        <v>214.6289044897963</v>
      </c>
      <c r="F38" s="39">
        <v>230.1863534677985</v>
      </c>
    </row>
    <row r="39">
      <c r="A39" s="62" t="n">
        <v>0.095</v>
      </c>
      <c r="B39" s="39">
        <v>160.91464286050171</v>
      </c>
      <c r="C39" s="39">
        <v>167.80669723443867</v>
      </c>
      <c r="D39" s="39">
        <v>175.66781215787773</v>
      </c>
      <c r="E39" s="39">
        <v>184.7214452628844</v>
      </c>
      <c r="F39" s="39">
        <v>195.2655382283668</v>
      </c>
    </row>
    <row r="40">
      <c r="A40" s="62" t="n">
        <v>0.105</v>
      </c>
      <c r="B40" s="39">
        <v>145.22379199595122</v>
      </c>
      <c r="C40" s="39">
        <v>150.4290982964892</v>
      </c>
      <c r="D40" s="39">
        <v>156.27208291043908</v>
      </c>
      <c r="E40" s="39">
        <v>162.88013956048363</v>
      </c>
      <c r="F40" s="39">
        <v>170.41705867621644</v>
      </c>
    </row>
    <row r="41">
      <c r="A41" s="62" t="n">
        <v>0.115</v>
      </c>
      <c r="B41" s="39">
        <v>132.7371004340516</v>
      </c>
      <c r="C41" s="39">
        <v>136.7777761822072</v>
      </c>
      <c r="D41" s="39">
        <v>141.25637849744524</v>
      </c>
      <c r="E41" s="39">
        <v>146.25006913724127</v>
      </c>
      <c r="F41" s="39">
        <v>151.85529904533172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Krystal Biotech, Inc.: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0.2788</v>
      </c>
      <c r="D5" s="63">
        <f>Assumptions!$E$12+(Assumptions!$E$11-Assumptions!$E$12)*(D4-1)/(Assumptions!$B$21-1)</f>
        <v>0.2506</v>
      </c>
      <c r="E5" s="63">
        <f>Assumptions!$E$12+(Assumptions!$E$11-Assumptions!$E$12)*(E4-1)/(Assumptions!$B$21-1)</f>
        <v>0.2224</v>
      </c>
      <c r="F5" s="63">
        <f>Assumptions!$E$12+(Assumptions!$E$11-Assumptions!$E$12)*(F4-1)/(Assumptions!$B$21-1)</f>
        <v>0.1942</v>
      </c>
      <c r="G5" s="63">
        <f>Assumptions!$E$12+(Assumptions!$E$11-Assumptions!$E$12)*(G4-1)/(Assumptions!$B$21-1)</f>
        <v>0.166</v>
      </c>
      <c r="H5" s="63">
        <f>Assumptions!$E$12+(Assumptions!$E$11-Assumptions!$E$12)*(H4-1)/(Assumptions!$B$21-1)</f>
        <v>0.1378</v>
      </c>
      <c r="I5" s="63">
        <f>Assumptions!$E$12+(Assumptions!$E$11-Assumptions!$E$12)*(I4-1)/(Assumptions!$B$21-1)</f>
        <v>0.10960000000000003</v>
      </c>
      <c r="J5" s="63">
        <f>Assumptions!$E$12+(Assumptions!$E$11-Assumptions!$E$12)*(J4-1)/(Assumptions!$B$21-1)</f>
        <v>0.08140000000000003</v>
      </c>
      <c r="K5" s="63">
        <f>Assumptions!$E$12+(Assumptions!$E$11-Assumptions!$E$12)*(K4-1)/(Assumptions!$B$21-1)</f>
        <v>0.053200000000000025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0.4145015804486933</v>
      </c>
      <c r="C6" s="63">
        <f>Assumptions!$B$18+(Assumptions!$E$13-Assumptions!$B$18)*C4/Assumptions!$B$21</f>
        <v>0.43605000000000005</v>
      </c>
      <c r="D6" s="63">
        <f>Assumptions!$B$18+(Assumptions!$E$13-Assumptions!$B$18)*D4/Assumptions!$B$21</f>
        <v>0.4232</v>
      </c>
      <c r="E6" s="63">
        <f>Assumptions!$B$18+(Assumptions!$E$13-Assumptions!$B$18)*E4/Assumptions!$B$21</f>
        <v>0.41035</v>
      </c>
      <c r="F6" s="63">
        <f>Assumptions!$B$18+(Assumptions!$E$13-Assumptions!$B$18)*F4/Assumptions!$B$21</f>
        <v>0.3975</v>
      </c>
      <c r="G6" s="63">
        <f>Assumptions!$B$18+(Assumptions!$E$13-Assumptions!$B$18)*G4/Assumptions!$B$21</f>
        <v>0.38465000000000005</v>
      </c>
      <c r="H6" s="63">
        <f>Assumptions!$B$18+(Assumptions!$E$13-Assumptions!$B$18)*H4/Assumptions!$B$21</f>
        <v>0.3718</v>
      </c>
      <c r="I6" s="63">
        <f>Assumptions!$B$18+(Assumptions!$E$13-Assumptions!$B$18)*I4/Assumptions!$B$21</f>
        <v>0.35895</v>
      </c>
      <c r="J6" s="63">
        <f>Assumptions!$B$18+(Assumptions!$E$13-Assumptions!$B$18)*J4/Assumptions!$B$21</f>
        <v>0.3461</v>
      </c>
      <c r="K6" s="63">
        <f>Assumptions!$B$18+(Assumptions!$E$13-Assumptions!$B$18)*K4/Assumptions!$B$21</f>
        <v>0.33325000000000005</v>
      </c>
      <c r="L6" s="63">
        <f>Assumptions!$B$18+(Assumptions!$E$13-Assumptions!$B$18)*L4/Assumptions!$B$21</f>
        <v>0.3204</v>
      </c>
    </row>
    <row r="7">
      <c r="A7" s="14" t="inlineStr">
        <is>
          <t>Revenue</t>
        </is>
      </c>
      <c r="B7" s="55">
        <f>'Yearly Model'!K2</f>
        <v>389.13</v>
      </c>
      <c r="C7" s="55">
        <f>'Yearly Model'!L2</f>
        <v>497.619444</v>
      </c>
      <c r="D7" s="55">
        <f>'Yearly Model'!M2</f>
        <v>622.3228766663999</v>
      </c>
      <c r="E7" s="55">
        <f>'Yearly Model'!N2</f>
        <v>760.7274844370072</v>
      </c>
      <c r="F7" s="55">
        <f>'Yearly Model'!O2</f>
        <v>908.460761914674</v>
      </c>
      <c r="G7" s="55">
        <f>'Yearly Model'!P2</f>
        <v>1059.2652483925099</v>
      </c>
      <c r="H7" s="55">
        <f>'Yearly Model'!Q2</f>
        <v>1205.2319996209976</v>
      </c>
      <c r="I7" s="55">
        <f>'Yearly Model'!R2</f>
        <v>1337.325426779459</v>
      </c>
      <c r="J7" s="55">
        <f>'Yearly Model'!S2</f>
        <v>1446.1837165193067</v>
      </c>
      <c r="K7" s="55">
        <f>'Yearly Model'!T2</f>
        <v>1523.1206902381336</v>
      </c>
      <c r="L7" s="55">
        <f>'Yearly Model'!U2</f>
        <v>1561.1987074940869</v>
      </c>
    </row>
    <row r="8">
      <c r="A8" s="14" t="inlineStr">
        <is>
          <t>Operating income</t>
        </is>
      </c>
      <c r="B8" s="55">
        <f>'Yearly Model'!K8</f>
        <v>161.29500000000002</v>
      </c>
      <c r="C8" s="55">
        <f>'Yearly Model'!L8</f>
        <v>216.98695855620002</v>
      </c>
      <c r="D8" s="55">
        <f>'Yearly Model'!M8</f>
        <v>263.36704140522045</v>
      </c>
      <c r="E8" s="55">
        <f>'Yearly Model'!N8</f>
        <v>312.1645232387259</v>
      </c>
      <c r="F8" s="55">
        <f>'Yearly Model'!O8</f>
        <v>361.113152861083</v>
      </c>
      <c r="G8" s="55">
        <f>'Yearly Model'!P8</f>
        <v>407.44637779417894</v>
      </c>
      <c r="H8" s="55">
        <f>'Yearly Model'!Q8</f>
        <v>448.10525745908694</v>
      </c>
      <c r="I8" s="55">
        <f>'Yearly Model'!R8</f>
        <v>480.03296194248674</v>
      </c>
      <c r="J8" s="55">
        <f>'Yearly Model'!S8</f>
        <v>500.524184287332</v>
      </c>
      <c r="K8" s="55">
        <f>'Yearly Model'!T8</f>
        <v>507.5799700218581</v>
      </c>
      <c r="L8" s="55">
        <f>'Yearly Model'!U8</f>
        <v>500.20806588110554</v>
      </c>
    </row>
    <row r="9">
      <c r="A9" s="14" t="inlineStr">
        <is>
          <t>Tax on operating income</t>
        </is>
      </c>
      <c r="C9" s="52">
        <f>MAX(0,C8)*Assumptions!$E$14</f>
        <v>36.887782954554005</v>
      </c>
      <c r="D9" s="52">
        <f>MAX(0,D8)*Assumptions!$E$14</f>
        <v>44.772397038887476</v>
      </c>
      <c r="E9" s="52">
        <f>MAX(0,E8)*Assumptions!$E$14</f>
        <v>53.067968950583406</v>
      </c>
      <c r="F9" s="52">
        <f>MAX(0,F8)*Assumptions!$E$14</f>
        <v>61.389235986384115</v>
      </c>
      <c r="G9" s="52">
        <f>MAX(0,G8)*Assumptions!$E$14</f>
        <v>69.26588422501042</v>
      </c>
      <c r="H9" s="52">
        <f>MAX(0,H8)*Assumptions!$E$14</f>
        <v>76.17789376804478</v>
      </c>
      <c r="I9" s="52">
        <f>MAX(0,I8)*Assumptions!$E$14</f>
        <v>81.60560353022275</v>
      </c>
      <c r="J9" s="52">
        <f>MAX(0,J8)*Assumptions!$E$14</f>
        <v>85.08911132884644</v>
      </c>
      <c r="K9" s="52">
        <f>MAX(0,K8)*Assumptions!$E$14</f>
        <v>86.28859490371589</v>
      </c>
      <c r="L9" s="52">
        <f>MAX(0,L8)*Assumptions!$E$14</f>
        <v>85.03537119978795</v>
      </c>
    </row>
    <row r="10">
      <c r="A10" s="14" t="inlineStr">
        <is>
          <t>NOPAT</t>
        </is>
      </c>
      <c r="C10" s="52">
        <f>C8-C9</f>
        <v>180.099175601646</v>
      </c>
      <c r="D10" s="52">
        <f>D8-D9</f>
        <v>218.59464436633297</v>
      </c>
      <c r="E10" s="52">
        <f>E8-E9</f>
        <v>259.0965542881425</v>
      </c>
      <c r="F10" s="52">
        <f>F8-F9</f>
        <v>299.7239168746989</v>
      </c>
      <c r="G10" s="52">
        <f>G8-G9</f>
        <v>338.1804935691685</v>
      </c>
      <c r="H10" s="52">
        <f>H8-H9</f>
        <v>371.92736369104216</v>
      </c>
      <c r="I10" s="52">
        <f>I8-I9</f>
        <v>398.42735841226397</v>
      </c>
      <c r="J10" s="52">
        <f>J8-J9</f>
        <v>415.43507295848553</v>
      </c>
      <c r="K10" s="52">
        <f>K8-K9</f>
        <v>421.29137511814224</v>
      </c>
      <c r="L10" s="52">
        <f>L8-L9</f>
        <v>415.1726946813176</v>
      </c>
    </row>
    <row r="11">
      <c r="A11" s="14" t="inlineStr">
        <is>
          <t>Reinvestment</t>
        </is>
      </c>
      <c r="C11" s="52">
        <f>(C7-B7)*Assumptions!$E$15</f>
        <v>27.122360999999998</v>
      </c>
      <c r="D11" s="52">
        <f>(D7-C7)*Assumptions!$E$15</f>
        <v>31.17585816659998</v>
      </c>
      <c r="E11" s="52">
        <f>(E7-D7)*Assumptions!$E$15</f>
        <v>34.601151942651825</v>
      </c>
      <c r="F11" s="52">
        <f>(F7-E7)*Assumptions!$E$15</f>
        <v>36.933319369416694</v>
      </c>
      <c r="G11" s="52">
        <f>(G7-F7)*Assumptions!$E$15</f>
        <v>37.701121619458974</v>
      </c>
      <c r="H11" s="52">
        <f>(H7-G7)*Assumptions!$E$15</f>
        <v>36.491687807121934</v>
      </c>
      <c r="I11" s="52">
        <f>(I7-H7)*Assumptions!$E$15</f>
        <v>33.02335678961532</v>
      </c>
      <c r="J11" s="52">
        <f>(J7-I7)*Assumptions!$E$15</f>
        <v>27.21457243496195</v>
      </c>
      <c r="K11" s="52">
        <f>(K7-J7)*Assumptions!$E$15</f>
        <v>19.234243429706737</v>
      </c>
      <c r="L11" s="52">
        <f>(L7-K7)*Assumptions!$E$15</f>
        <v>9.519504313988307</v>
      </c>
    </row>
    <row r="12">
      <c r="A12" s="20" t="inlineStr">
        <is>
          <t>Free cash flow</t>
        </is>
      </c>
      <c r="C12" s="64">
        <f>C10-C11</f>
        <v>152.97681460164603</v>
      </c>
      <c r="D12" s="64">
        <f>D10-D11</f>
        <v>187.418786199733</v>
      </c>
      <c r="E12" s="64">
        <f>E10-E11</f>
        <v>224.49540234549067</v>
      </c>
      <c r="F12" s="64">
        <f>F10-F11</f>
        <v>262.7905975052822</v>
      </c>
      <c r="G12" s="64">
        <f>G10-G11</f>
        <v>300.4793719497095</v>
      </c>
      <c r="H12" s="64">
        <f>H10-H11</f>
        <v>335.4356758839202</v>
      </c>
      <c r="I12" s="64">
        <f>I10-I11</f>
        <v>365.40400162264865</v>
      </c>
      <c r="J12" s="64">
        <f>J10-J11</f>
        <v>388.2205005235236</v>
      </c>
      <c r="K12" s="64">
        <f>K10-K11</f>
        <v>402.0571316884355</v>
      </c>
      <c r="L12" s="64">
        <f>L10-L11</f>
        <v>405.6531903673293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75.37164295933748</v>
      </c>
      <c r="D16" s="64">
        <f>D12*D13*D15</f>
        <v>171.09503376693752</v>
      </c>
      <c r="E16" s="64">
        <f>E12*E13*E15</f>
        <v>187.16197305451647</v>
      </c>
      <c r="F16" s="64">
        <f>F12*F13*F15</f>
        <v>200.08100811923524</v>
      </c>
      <c r="G16" s="64">
        <f>G12*G13*G15</f>
        <v>208.9279717724744</v>
      </c>
      <c r="H16" s="64">
        <f>H12*H13*H15</f>
        <v>212.99875117622224</v>
      </c>
      <c r="I16" s="64">
        <f>I12*I13*I15</f>
        <v>211.89806270415244</v>
      </c>
      <c r="J16" s="64">
        <f>J12*J13*J15</f>
        <v>205.59759637950538</v>
      </c>
      <c r="K16" s="64">
        <f>K12*K13*K15</f>
        <v>194.45236015318244</v>
      </c>
      <c r="L16" s="64">
        <f>L12*L13*L15</f>
        <v>179.17038441330152</v>
      </c>
    </row>
    <row r="19">
      <c r="A19" s="14" t="inlineStr">
        <is>
          <t>PV of forecast free cash flow</t>
        </is>
      </c>
      <c r="B19" s="52">
        <f>SUM(C16:L16)</f>
        <v>1846.754784498865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415.79452012651245</v>
      </c>
    </row>
    <row r="21">
      <c r="A21" s="14" t="inlineStr">
        <is>
          <t>Terminal value</t>
        </is>
      </c>
      <c r="B21" s="52">
        <f>B20/(Assumptions!$E$10-Assumptions!$E$11)</f>
        <v>5939.921716093035</v>
      </c>
    </row>
    <row r="22">
      <c r="A22" s="14" t="inlineStr">
        <is>
          <t>PV of terminal value</t>
        </is>
      </c>
      <c r="B22" s="52">
        <f>B21/(1+Assumptions!$E$10)^(L14+0.5)</f>
        <v>2507.176978040964</v>
      </c>
    </row>
    <row r="23">
      <c r="A23" s="20" t="inlineStr">
        <is>
          <t>Enterprise value</t>
        </is>
      </c>
      <c r="B23" s="66">
        <f>B19+B22</f>
        <v>4353.931762539829</v>
      </c>
    </row>
    <row r="24">
      <c r="A24" s="14" t="inlineStr">
        <is>
          <t>Cash &amp; investments</t>
        </is>
      </c>
      <c r="B24" s="55">
        <f>Main!C7</f>
        <v>845.6310000000001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5199.562762539829</v>
      </c>
    </row>
    <row r="27">
      <c r="A27" s="14" t="inlineStr">
        <is>
          <t>Shares (mm)</t>
        </is>
      </c>
      <c r="B27" s="55">
        <f>Main!C4</f>
        <v>29.598836</v>
      </c>
    </row>
    <row r="28">
      <c r="A28" s="20" t="inlineStr">
        <is>
          <t>NPV / share</t>
        </is>
      </c>
      <c r="B28" s="49">
        <f>B26/B27</f>
        <v>175.66781215787773</v>
      </c>
    </row>
    <row r="29">
      <c r="A29" s="14" t="inlineStr">
        <is>
          <t>Price</t>
        </is>
      </c>
      <c r="B29" s="50">
        <f>Main!C3</f>
        <v>325.42</v>
      </c>
    </row>
    <row r="30">
      <c r="A30" s="14" t="inlineStr">
        <is>
          <t>Upside</t>
        </is>
      </c>
      <c r="B30" s="63">
        <f>B28/B29-1</f>
        <v>-0.46018126680020366</v>
      </c>
    </row>
    <row r="31">
      <c r="A31" s="14" t="inlineStr">
        <is>
          <t>Terminal value, % of EV</t>
        </is>
      </c>
      <c r="B31" s="63">
        <f>IFERROR(B22/B23,0)</f>
        <v>0.5758420468625866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2026-10-21T06:21:25Z</dcterms:modified>
  <cp:lastModifiedBy>Wang, Eric</cp:lastModifiedBy>
</cp:coreProperties>
</file>