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DiaMedica Therapeutics Inc</t>
        </is>
      </c>
      <c r="C2" s="10" t="n"/>
    </row>
    <row r="3">
      <c r="B3" t="inlineStr">
        <is>
          <t>Price</t>
        </is>
      </c>
      <c r="C3" s="11">
        <f>INDEX([1]Pharma!$F$1:$F$1000,MATCH("DMAC",[1]Pharma!$B$1:$B$1000,0))</f>
        <v>8.67</v>
      </c>
      <c r="F3" s="1" t="n"/>
    </row>
    <row r="4">
      <c r="B4" t="inlineStr">
        <is>
          <t>Shares</t>
        </is>
      </c>
      <c r="C4" s="21" t="n">
        <v>53.925697</v>
      </c>
      <c r="F4" s="1" t="n"/>
    </row>
    <row r="5">
      <c r="B5" t="inlineStr">
        <is>
          <t>Market Cap.</t>
        </is>
      </c>
      <c r="C5" s="13">
        <f>C3*C4</f>
        <v>467.53579299</v>
      </c>
      <c r="F5" s="1" t="n"/>
    </row>
    <row r="6"/>
    <row r="7">
      <c r="B7" t="inlineStr">
        <is>
          <t>Cash</t>
        </is>
      </c>
      <c r="C7" s="21">
        <f>5.129+38.375</f>
        <v>43.504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424.03179299</v>
      </c>
    </row>
    <row r="10"/>
    <row r="11">
      <c r="B11" s="14" t="inlineStr">
        <is>
          <t>rNPV / Share</t>
        </is>
      </c>
      <c r="C11" s="11">
        <f>NPV!B27</f>
        <v>4.909990726100733</v>
      </c>
    </row>
    <row r="12">
      <c r="B12" s="14" t="inlineStr">
        <is>
          <t>Upside</t>
        </is>
      </c>
      <c r="C12" s="15">
        <f>IFERROR(C11/C3-1,"")</f>
        <v>-0.4336804237484737</v>
      </c>
    </row>
    <row r="13">
      <c r="B13" s="14" t="inlineStr">
        <is>
          <t>Cash / Share</t>
        </is>
      </c>
      <c r="C13" s="11">
        <f>IFERROR((C7-C8)/C4,"")</f>
        <v>0.8067396885013837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-31.511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1.380597251753356</v>
      </c>
    </row>
    <row r="19">
      <c r="B19" s="14" t="inlineStr">
        <is>
          <t>Implied Pipeline Value</t>
        </is>
      </c>
      <c r="C19" s="13">
        <f>C9</f>
        <v>424.03179299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0.5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0.5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3.206</v>
      </c>
      <c r="C5" s="23" t="n">
        <v>4.522</v>
      </c>
      <c r="D5" s="23" t="n">
        <v>7.9</v>
      </c>
      <c r="E5" s="23" t="n">
        <v>8.205</v>
      </c>
      <c r="F5" s="23" t="n">
        <v>8.765000000000001</v>
      </c>
      <c r="G5" s="23" t="n">
        <v>7.839</v>
      </c>
      <c r="H5" s="23" t="n">
        <v>13.11</v>
      </c>
      <c r="I5" s="23" t="n">
        <v>19.057</v>
      </c>
      <c r="J5" s="23" t="n">
        <v>24.614</v>
      </c>
      <c r="K5" s="1" t="n"/>
    </row>
    <row r="6">
      <c r="A6" s="19" t="inlineStr">
        <is>
          <t>SG&amp;A &amp; Other</t>
        </is>
      </c>
      <c r="B6" s="23" t="n">
        <v>1.313</v>
      </c>
      <c r="C6" s="23" t="n">
        <v>2.739</v>
      </c>
      <c r="D6" s="23" t="n">
        <v>3.693</v>
      </c>
      <c r="E6" s="23" t="n">
        <v>4.494</v>
      </c>
      <c r="F6" s="23" t="n">
        <v>4.881</v>
      </c>
      <c r="G6" s="23" t="n">
        <v>6.162</v>
      </c>
      <c r="H6" s="23" t="n">
        <v>8.157</v>
      </c>
      <c r="I6" s="23" t="n">
        <v>7.624</v>
      </c>
      <c r="J6" s="23" t="n">
        <v>9.782999999999999</v>
      </c>
      <c r="K6" s="1" t="n"/>
    </row>
    <row r="7">
      <c r="A7" s="2" t="inlineStr">
        <is>
          <t>Operating Expense</t>
        </is>
      </c>
      <c r="B7" s="23">
        <f>SUM(B5:B6)</f>
        <v>4.519</v>
      </c>
      <c r="C7" s="23">
        <f>SUM(C5:C6)</f>
        <v>7.261</v>
      </c>
      <c r="D7" s="23">
        <f>SUM(D5:D6)</f>
        <v>11.593</v>
      </c>
      <c r="E7" s="23">
        <f>SUM(E5:E6)</f>
        <v>12.699</v>
      </c>
      <c r="F7" s="23">
        <f>SUM(F5:F6)</f>
        <v>13.646</v>
      </c>
      <c r="G7" s="23">
        <f>SUM(G5:G6)</f>
        <v>14.001000000000001</v>
      </c>
      <c r="H7" s="23">
        <f>SUM(H5:H6)</f>
        <v>21.267</v>
      </c>
      <c r="I7" s="23">
        <f>SUM(I5:I6)</f>
        <v>26.680999999999997</v>
      </c>
      <c r="J7" s="23">
        <f>SUM(J5:J6)</f>
        <v>34.397</v>
      </c>
      <c r="K7" s="1" t="n"/>
    </row>
    <row r="8">
      <c r="A8" s="2" t="inlineStr">
        <is>
          <t>Operating Income</t>
        </is>
      </c>
      <c r="B8" s="23">
        <f>B4-B7</f>
        <v>-4.519</v>
      </c>
      <c r="C8" s="23">
        <f>C4-C7</f>
        <v>-6.761</v>
      </c>
      <c r="D8" s="23">
        <f>D4-D7</f>
        <v>-11.593</v>
      </c>
      <c r="E8" s="23">
        <f>E4-E7</f>
        <v>-12.699</v>
      </c>
      <c r="F8" s="23">
        <f>F4-F7</f>
        <v>-13.646</v>
      </c>
      <c r="G8" s="23">
        <f>G4-G7</f>
        <v>-14.001000000000001</v>
      </c>
      <c r="H8" s="23">
        <f>H4-H7</f>
        <v>-21.267</v>
      </c>
      <c r="I8" s="23">
        <f>I4-I7</f>
        <v>-26.680999999999997</v>
      </c>
      <c r="J8" s="23">
        <f>J4-J7</f>
        <v>-34.397</v>
      </c>
      <c r="K8" s="1" t="n"/>
    </row>
    <row r="9">
      <c r="A9" s="19" t="inlineStr">
        <is>
          <t>Interest &amp; Other</t>
        </is>
      </c>
      <c r="B9" s="23" t="n">
        <v>0.259</v>
      </c>
      <c r="C9" s="23" t="n">
        <v>1.107</v>
      </c>
      <c r="D9" s="23" t="n">
        <v>0.975</v>
      </c>
      <c r="E9" s="23" t="n">
        <v>0.434</v>
      </c>
      <c r="F9" s="23" t="n">
        <v>0.082</v>
      </c>
      <c r="G9" s="23" t="n">
        <v>0.353</v>
      </c>
      <c r="H9" s="23" t="n">
        <v>1.929</v>
      </c>
      <c r="I9" s="23" t="n">
        <v>2.267</v>
      </c>
      <c r="J9" s="23" t="n">
        <v>1.659</v>
      </c>
    </row>
    <row r="10">
      <c r="A10" s="2" t="inlineStr">
        <is>
          <t>Pretax</t>
        </is>
      </c>
      <c r="B10" s="23">
        <f>B8+B9</f>
        <v>-4.26</v>
      </c>
      <c r="C10" s="23">
        <f>C8+C9</f>
        <v>-5.654</v>
      </c>
      <c r="D10" s="23">
        <f>D8+D9</f>
        <v>-10.618</v>
      </c>
      <c r="E10" s="23">
        <f>E8+E9</f>
        <v>-12.265</v>
      </c>
      <c r="F10" s="23">
        <f>F8+F9</f>
        <v>-13.564</v>
      </c>
      <c r="G10" s="23">
        <f>G8+G9</f>
        <v>-13.648000000000001</v>
      </c>
      <c r="H10" s="23">
        <f>H8+H9</f>
        <v>-19.338</v>
      </c>
      <c r="I10" s="23">
        <f>I8+I9</f>
        <v>-24.413999999999998</v>
      </c>
      <c r="J10" s="23">
        <f>J8+J9</f>
        <v>-32.738</v>
      </c>
      <c r="K10" s="1" t="n"/>
    </row>
    <row r="11">
      <c r="A11" s="2" t="inlineStr">
        <is>
          <t>Taxes</t>
        </is>
      </c>
      <c r="B11" s="23" t="n">
        <v>0</v>
      </c>
      <c r="C11" s="23" t="n">
        <v>0.08</v>
      </c>
      <c r="D11" s="23" t="n">
        <v>0.031</v>
      </c>
      <c r="E11" s="23" t="n">
        <v>0.027</v>
      </c>
      <c r="F11" s="23" t="n">
        <v>0.028</v>
      </c>
      <c r="G11" s="23" t="n">
        <v>0.028</v>
      </c>
      <c r="H11" s="23" t="n">
        <v>0.043</v>
      </c>
      <c r="I11" s="23" t="n">
        <v>0.03</v>
      </c>
      <c r="J11" s="23" t="n">
        <v>0.028</v>
      </c>
    </row>
    <row r="12">
      <c r="A12" s="2" t="inlineStr">
        <is>
          <t>Net Income</t>
        </is>
      </c>
      <c r="B12" s="23" t="n">
        <v>-4.26</v>
      </c>
      <c r="C12" s="23" t="n">
        <v>-5.734</v>
      </c>
      <c r="D12" s="23" t="n">
        <v>-10.649</v>
      </c>
      <c r="E12" s="23" t="n">
        <v>-12.292</v>
      </c>
      <c r="F12" s="23" t="n">
        <v>-13.592</v>
      </c>
      <c r="G12" s="23" t="n">
        <v>-13.676</v>
      </c>
      <c r="H12" s="23" t="n">
        <v>-19.381</v>
      </c>
      <c r="I12" s="23" t="n">
        <v>-24.444</v>
      </c>
      <c r="J12" s="23" t="n">
        <v>-32.766</v>
      </c>
      <c r="K12" s="1" t="n"/>
    </row>
    <row r="13">
      <c r="A13" s="2" t="inlineStr">
        <is>
          <t>Earnings per Share</t>
        </is>
      </c>
      <c r="B13" s="11">
        <f>IFERROR(B12/B14,0)</f>
        <v>-0.717654986522911</v>
      </c>
      <c r="C13" s="11">
        <f>IFERROR(C12/C14,0)</f>
        <v>-0.7404442148760331</v>
      </c>
      <c r="D13" s="11">
        <f>IFERROR(D12/D14,0)</f>
        <v>-0.8883049716383049</v>
      </c>
      <c r="E13" s="11">
        <f>IFERROR(E12/E14,0)</f>
        <v>-0.7839285714285714</v>
      </c>
      <c r="F13" s="11">
        <f>IFERROR(F12/F14,0)</f>
        <v>-0.6543108843209936</v>
      </c>
      <c r="G13" s="11">
        <f>IFERROR(G12/G14,0)</f>
        <v>-0.5171879136255342</v>
      </c>
      <c r="H13" s="11">
        <f>IFERROR(H12/H14,0)</f>
        <v>-0.5951116160530598</v>
      </c>
      <c r="I13" s="11">
        <f>IFERROR(I12/I14,0)</f>
        <v>-0.6049746318524934</v>
      </c>
      <c r="J13" s="11">
        <f>IFERROR(J12/J14,0)</f>
        <v>-0.6974308763117004</v>
      </c>
    </row>
    <row r="14">
      <c r="A14" s="2" t="inlineStr">
        <is>
          <t>Shares</t>
        </is>
      </c>
      <c r="B14" s="23" t="n">
        <v>5.936</v>
      </c>
      <c r="C14" s="23" t="n">
        <v>7.744</v>
      </c>
      <c r="D14" s="23" t="n">
        <v>11.988</v>
      </c>
      <c r="E14" s="23" t="n">
        <v>15.68</v>
      </c>
      <c r="F14" s="23" t="n">
        <v>20.773</v>
      </c>
      <c r="G14" s="23" t="n">
        <v>26.443</v>
      </c>
      <c r="H14" s="23" t="n">
        <v>32.567</v>
      </c>
      <c r="I14" s="23" t="n">
        <v>40.405</v>
      </c>
      <c r="J14" s="23" t="n">
        <v>46.981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-13.522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DiaMedica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0.2087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39.226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136.8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221.27067216851813</v>
      </c>
      <c r="C29" s="42">
        <f>NPV!B25</f>
        <v>264.7746721685181</v>
      </c>
      <c r="D29" s="43">
        <f>NPV!B27</f>
        <v>4.909990726100733</v>
      </c>
      <c r="E29" s="44">
        <f>NPV!B29</f>
        <v>-0.4336804237484737</v>
      </c>
    </row>
    <row r="30">
      <c r="A30" s="45" t="n">
        <v>1</v>
      </c>
      <c r="B30" s="46">
        <f t="dataTable" ref="B30:E32" r1="B4"/>
        <v>30.33711990245706</v>
      </c>
      <c r="C30" s="46">
        <v>73.84111990245705</v>
      </c>
      <c r="D30" s="47">
        <v>1.3693122947016716</v>
      </c>
      <c r="E30" s="48">
        <v>-0.8420631724680886</v>
      </c>
    </row>
    <row r="31">
      <c r="A31" s="45" t="n">
        <v>2</v>
      </c>
      <c r="B31" s="46">
        <v>221.27067216851813</v>
      </c>
      <c r="C31" s="46">
        <v>264.7746721685181</v>
      </c>
      <c r="D31" s="47">
        <v>4.909990726100733</v>
      </c>
      <c r="E31" s="48">
        <v>-0.4336804237484737</v>
      </c>
    </row>
    <row r="32">
      <c r="A32" s="45" t="n">
        <v>3</v>
      </c>
      <c r="B32" s="46">
        <v>518.878453498218</v>
      </c>
      <c r="C32" s="46">
        <v>562.3824534982181</v>
      </c>
      <c r="D32" s="47">
        <v>10.42883976999348</v>
      </c>
      <c r="E32" s="48">
        <v>0.20286502537410378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4.909990726100733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0.7291517594259783</v>
      </c>
      <c r="C37" s="47">
        <v>1.6689677705648014</v>
      </c>
      <c r="D37" s="47">
        <v>2.5843164238840046</v>
      </c>
      <c r="E37" s="47">
        <v>4.386367303295139</v>
      </c>
      <c r="F37" s="47">
        <v>6.172703883132665</v>
      </c>
    </row>
    <row r="38">
      <c r="A38" s="50" t="n">
        <v>0.8</v>
      </c>
      <c r="B38" s="47">
        <v>1.3207567114283212</v>
      </c>
      <c r="C38" s="47">
        <v>2.5467119058055254</v>
      </c>
      <c r="D38" s="47">
        <v>3.7512599935330955</v>
      </c>
      <c r="E38" s="47">
        <v>6.13595626174509</v>
      </c>
      <c r="F38" s="47">
        <v>8.508335825072527</v>
      </c>
    </row>
    <row r="39">
      <c r="A39" s="50" t="n">
        <v>1</v>
      </c>
      <c r="B39" s="47">
        <v>1.8993511046738323</v>
      </c>
      <c r="C39" s="47">
        <v>3.415125690825999</v>
      </c>
      <c r="D39" s="47">
        <v>4.909990726100733</v>
      </c>
      <c r="E39" s="47">
        <v>7.8784933128530925</v>
      </c>
      <c r="F39" s="47">
        <v>10.8327222436323</v>
      </c>
    </row>
    <row r="40">
      <c r="A40" s="50" t="n">
        <v>1.2</v>
      </c>
      <c r="B40" s="47">
        <v>2.4715028696485666</v>
      </c>
      <c r="C40" s="47">
        <v>4.27488341633869</v>
      </c>
      <c r="D40" s="47">
        <v>6.062461018969937</v>
      </c>
      <c r="E40" s="47">
        <v>9.61700612246426</v>
      </c>
      <c r="F40" s="47">
        <v>13.155023578228823</v>
      </c>
    </row>
    <row r="41">
      <c r="A41" s="50" t="n">
        <v>1.4</v>
      </c>
      <c r="B41" s="47">
        <v>3.038058925779947</v>
      </c>
      <c r="C41" s="47">
        <v>5.134641141851379</v>
      </c>
      <c r="D41" s="47">
        <v>7.211903179246079</v>
      </c>
      <c r="E41" s="47">
        <v>11.349637881100023</v>
      </c>
      <c r="F41" s="47">
        <v>15.477324912825344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DiaMedica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Thrombosis / cardiovascular</t>
        </is>
      </c>
      <c r="C4" s="14" t="inlineStr">
        <is>
          <t>Recombinant human tissue kallikrein</t>
        </is>
      </c>
      <c r="D4" s="14" t="inlineStr">
        <is>
          <t>Phase 2/3</t>
        </is>
      </c>
      <c r="E4" s="14" t="inlineStr">
        <is>
          <t>Cardiovascular / area</t>
        </is>
      </c>
      <c r="F4" s="14" t="inlineStr">
        <is>
          <t>Owned</t>
        </is>
      </c>
      <c r="G4" s="40" t="n">
        <v>1500</v>
      </c>
      <c r="H4" s="27" t="n">
        <v>0.2087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400.13136482389405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31.305</v>
      </c>
      <c r="R4" s="23">
        <f>IF(R$3&lt;$I4,0,$G4*Assumptions!$E$11*INDEX(Assumptions!$B$24:$G$24,MIN(6,R$3-$I4+1))*IF(R$3&gt;$J4,(1-Assumptions!$B$26)^(R$3-$J4),1)*IF($H4&gt;=1,1,MIN(0.97,$H4*Assumptions!$E$12)))</f>
        <v>78.2625</v>
      </c>
      <c r="S4" s="23">
        <f>IF(S$3&lt;$I4,0,$G4*Assumptions!$E$11*INDEX(Assumptions!$B$24:$G$24,MIN(6,S$3-$I4+1))*IF(S$3&gt;$J4,(1-Assumptions!$B$26)^(S$3-$J4),1)*IF($H4&gt;=1,1,MIN(0.97,$H4*Assumptions!$E$12)))</f>
        <v>140.8725</v>
      </c>
      <c r="T4" s="23">
        <f>IF(T$3&lt;$I4,0,$G4*Assumptions!$E$11*INDEX(Assumptions!$B$24:$G$24,MIN(6,T$3-$I4+1))*IF(T$3&gt;$J4,(1-Assumptions!$B$26)^(T$3-$J4),1)*IF($H4&gt;=1,1,MIN(0.97,$H4*Assumptions!$E$12)))</f>
        <v>203.4825</v>
      </c>
      <c r="U4" s="23">
        <f>IF(U$3&lt;$I4,0,$G4*Assumptions!$E$11*INDEX(Assumptions!$B$24:$G$24,MIN(6,U$3-$I4+1))*IF(U$3&gt;$J4,(1-Assumptions!$B$26)^(U$3-$J4),1)*IF($H4&gt;=1,1,MIN(0.97,$H4*Assumptions!$E$12)))</f>
        <v>266.0925</v>
      </c>
      <c r="V4" s="23">
        <f>IF(V$3&lt;$I4,0,$G4*Assumptions!$E$11*INDEX(Assumptions!$B$24:$G$24,MIN(6,V$3-$I4+1))*IF(V$3&gt;$J4,(1-Assumptions!$B$26)^(V$3-$J4),1)*IF($H4&gt;=1,1,MIN(0.97,$H4*Assumptions!$E$12)))</f>
        <v>313.05</v>
      </c>
      <c r="W4" s="23">
        <f>IF(W$3&lt;$I4,0,$G4*Assumptions!$E$11*INDEX(Assumptions!$B$24:$G$24,MIN(6,W$3-$I4+1))*IF(W$3&gt;$J4,(1-Assumptions!$B$26)^(W$3-$J4),1)*IF($H4&gt;=1,1,MIN(0.97,$H4*Assumptions!$E$12)))</f>
        <v>313.05</v>
      </c>
      <c r="X4" s="23">
        <f>IF(X$3&lt;$I4,0,$G4*Assumptions!$E$11*INDEX(Assumptions!$B$24:$G$24,MIN(6,X$3-$I4+1))*IF(X$3&gt;$J4,(1-Assumptions!$B$26)^(X$3-$J4),1)*IF($H4&gt;=1,1,MIN(0.97,$H4*Assumptions!$E$12)))</f>
        <v>313.05</v>
      </c>
      <c r="Y4" s="23">
        <f>IF(Y$3&lt;$I4,0,$G4*Assumptions!$E$11*INDEX(Assumptions!$B$24:$G$24,MIN(6,Y$3-$I4+1))*IF(Y$3&gt;$J4,(1-Assumptions!$B$26)^(Y$3-$J4),1)*IF($H4&gt;=1,1,MIN(0.97,$H4*Assumptions!$E$12)))</f>
        <v>313.05</v>
      </c>
      <c r="Z4" s="23">
        <f>IF(Z$3&lt;$I4,0,$G4*Assumptions!$E$11*INDEX(Assumptions!$B$24:$G$24,MIN(6,Z$3-$I4+1))*IF(Z$3&gt;$J4,(1-Assumptions!$B$26)^(Z$3-$J4),1)*IF($H4&gt;=1,1,MIN(0.97,$H4*Assumptions!$E$12)))</f>
        <v>313.05</v>
      </c>
      <c r="AA4" s="23">
        <f>IF(AA$3&lt;$I4,0,$G4*Assumptions!$E$11*INDEX(Assumptions!$B$24:$G$24,MIN(6,AA$3-$I4+1))*IF(AA$3&gt;$J4,(1-Assumptions!$B$26)^(AA$3-$J4),1)*IF($H4&gt;=1,1,MIN(0.97,$H4*Assumptions!$E$12)))</f>
        <v>313.05</v>
      </c>
      <c r="AB4" s="23">
        <f>IF(AB$3&lt;$I4,0,$G4*Assumptions!$E$11*INDEX(Assumptions!$B$24:$G$24,MIN(6,AB$3-$I4+1))*IF(AB$3&gt;$J4,(1-Assumptions!$B$26)^(AB$3-$J4),1)*IF($H4&gt;=1,1,MIN(0.97,$H4*Assumptions!$E$12)))</f>
        <v>313.05</v>
      </c>
      <c r="AC4" s="23">
        <f>IF(AC$3&lt;$I4,0,$G4*Assumptions!$E$11*INDEX(Assumptions!$B$24:$G$24,MIN(6,AC$3-$I4+1))*IF(AC$3&gt;$J4,(1-Assumptions!$B$26)^(AC$3-$J4),1)*IF($H4&gt;=1,1,MIN(0.97,$H4*Assumptions!$E$12)))</f>
        <v>313.05</v>
      </c>
      <c r="AD4" s="23">
        <f>IF(AD$3&lt;$I4,0,$G4*Assumptions!$E$11*INDEX(Assumptions!$B$24:$G$24,MIN(6,AD$3-$I4+1))*IF(AD$3&gt;$J4,(1-Assumptions!$B$26)^(AD$3-$J4),1)*IF($H4&gt;=1,1,MIN(0.97,$H4*Assumptions!$E$12)))</f>
        <v>156.525</v>
      </c>
      <c r="AE4" s="23">
        <f>IF(AE$3&lt;$I4,0,$G4*Assumptions!$E$11*INDEX(Assumptions!$B$24:$G$24,MIN(6,AE$3-$I4+1))*IF(AE$3&gt;$J4,(1-Assumptions!$B$26)^(AE$3-$J4),1)*IF($H4&gt;=1,1,MIN(0.97,$H4*Assumptions!$E$12)))</f>
        <v>78.2625</v>
      </c>
      <c r="AF4" s="23">
        <f>IF(AF$3&lt;$I4,0,$G4*Assumptions!$E$11*INDEX(Assumptions!$B$24:$G$24,MIN(6,AF$3-$I4+1))*IF(AF$3&gt;$J4,(1-Assumptions!$B$26)^(AF$3-$J4),1)*IF($H4&gt;=1,1,MIN(0.97,$H4*Assumptions!$E$12)))</f>
        <v>39.13125</v>
      </c>
      <c r="AG4" s="35">
        <f>IF(F4="Owned",1-IF(H4&gt;=1,1,MIN(0.97,H4*Assumptions!$E$12)),1)</f>
        <v>0.7913</v>
      </c>
    </row>
    <row r="5">
      <c r="B5" s="24" t="inlineStr">
        <is>
          <t>Risked revenue</t>
        </is>
      </c>
      <c r="L5" s="54">
        <f>SUM(L4:L4)</f>
        <v>400.13136482389405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31.305</v>
      </c>
      <c r="R5" s="54">
        <f>SUM(R4:R4)</f>
        <v>78.2625</v>
      </c>
      <c r="S5" s="54">
        <f>SUM(S4:S4)</f>
        <v>140.8725</v>
      </c>
      <c r="T5" s="54">
        <f>SUM(T4:T4)</f>
        <v>203.4825</v>
      </c>
      <c r="U5" s="54">
        <f>SUM(U4:U4)</f>
        <v>266.0925</v>
      </c>
      <c r="V5" s="54">
        <f>SUM(V4:V4)</f>
        <v>313.05</v>
      </c>
      <c r="W5" s="54">
        <f>SUM(W4:W4)</f>
        <v>313.05</v>
      </c>
      <c r="X5" s="54">
        <f>SUM(X4:X4)</f>
        <v>313.05</v>
      </c>
      <c r="Y5" s="54">
        <f>SUM(Y4:Y4)</f>
        <v>313.05</v>
      </c>
      <c r="Z5" s="54">
        <f>SUM(Z4:Z4)</f>
        <v>313.05</v>
      </c>
      <c r="AA5" s="54">
        <f>SUM(AA4:AA4)</f>
        <v>313.05</v>
      </c>
      <c r="AB5" s="54">
        <f>SUM(AB4:AB4)</f>
        <v>313.05</v>
      </c>
      <c r="AC5" s="54">
        <f>SUM(AC4:AC4)</f>
        <v>313.05</v>
      </c>
      <c r="AD5" s="54">
        <f>SUM(AD4:AD4)</f>
        <v>156.525</v>
      </c>
      <c r="AE5" s="54">
        <f>SUM(AE4:AE4)</f>
        <v>78.2625</v>
      </c>
      <c r="AF5" s="54">
        <f>SUM(AF4:AF4)</f>
        <v>39.13125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12.522</v>
      </c>
      <c r="R6" s="55">
        <f>SUMPRODUCT(R4:R4,$K$4:$K$4)</f>
        <v>31.305000000000003</v>
      </c>
      <c r="S6" s="55">
        <f>SUMPRODUCT(S4:S4,$K$4:$K$4)</f>
        <v>56.349000000000004</v>
      </c>
      <c r="T6" s="55">
        <f>SUMPRODUCT(T4:T4,$K$4:$K$4)</f>
        <v>81.393</v>
      </c>
      <c r="U6" s="55">
        <f>SUMPRODUCT(U4:U4,$K$4:$K$4)</f>
        <v>106.437</v>
      </c>
      <c r="V6" s="55">
        <f>SUMPRODUCT(V4:V4,$K$4:$K$4)</f>
        <v>125.22000000000001</v>
      </c>
      <c r="W6" s="55">
        <f>SUMPRODUCT(W4:W4,$K$4:$K$4)</f>
        <v>125.22000000000001</v>
      </c>
      <c r="X6" s="55">
        <f>SUMPRODUCT(X4:X4,$K$4:$K$4)</f>
        <v>125.22000000000001</v>
      </c>
      <c r="Y6" s="55">
        <f>SUMPRODUCT(Y4:Y4,$K$4:$K$4)</f>
        <v>125.22000000000001</v>
      </c>
      <c r="Z6" s="55">
        <f>SUMPRODUCT(Z4:Z4,$K$4:$K$4)</f>
        <v>125.22000000000001</v>
      </c>
      <c r="AA6" s="55">
        <f>SUMPRODUCT(AA4:AA4,$K$4:$K$4)</f>
        <v>125.22000000000001</v>
      </c>
      <c r="AB6" s="55">
        <f>SUMPRODUCT(AB4:AB4,$K$4:$K$4)</f>
        <v>125.22000000000001</v>
      </c>
      <c r="AC6" s="55">
        <f>SUMPRODUCT(AC4:AC4,$K$4:$K$4)</f>
        <v>125.22000000000001</v>
      </c>
      <c r="AD6" s="55">
        <f>SUMPRODUCT(AD4:AD4,$K$4:$K$4)</f>
        <v>62.61000000000001</v>
      </c>
      <c r="AE6" s="55">
        <f>SUMPRODUCT(AE4:AE4,$K$4:$K$4)</f>
        <v>31.305000000000003</v>
      </c>
      <c r="AF6" s="55">
        <f>SUMPRODUCT(AF4:AF4,$K$4:$K$4)</f>
        <v>15.652500000000002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DiaMedica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31.305</v>
      </c>
      <c r="H4" s="57">
        <f>Pipeline!R5</f>
        <v>78.2625</v>
      </c>
      <c r="I4" s="57">
        <f>Pipeline!S5</f>
        <v>140.8725</v>
      </c>
      <c r="J4" s="57">
        <f>Pipeline!T5</f>
        <v>203.4825</v>
      </c>
      <c r="K4" s="57">
        <f>Pipeline!U5</f>
        <v>266.0925</v>
      </c>
      <c r="L4" s="57">
        <f>Pipeline!V5</f>
        <v>313.05</v>
      </c>
      <c r="M4" s="57">
        <f>Pipeline!W5</f>
        <v>313.05</v>
      </c>
      <c r="N4" s="57">
        <f>Pipeline!X5</f>
        <v>313.05</v>
      </c>
      <c r="O4" s="57">
        <f>Pipeline!Y5</f>
        <v>313.05</v>
      </c>
      <c r="P4" s="57">
        <f>Pipeline!Z5</f>
        <v>313.05</v>
      </c>
      <c r="Q4" s="57">
        <f>Pipeline!AA5</f>
        <v>313.05</v>
      </c>
      <c r="R4" s="57">
        <f>Pipeline!AB5</f>
        <v>313.05</v>
      </c>
      <c r="S4" s="57">
        <f>Pipeline!AC5</f>
        <v>313.05</v>
      </c>
      <c r="T4" s="57">
        <f>Pipeline!AD5</f>
        <v>156.525</v>
      </c>
      <c r="U4" s="57">
        <f>Pipeline!AE5</f>
        <v>78.2625</v>
      </c>
      <c r="V4" s="57">
        <f>Pipeline!AF5</f>
        <v>39.13125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12.522</v>
      </c>
      <c r="H5" s="57">
        <f>Pipeline!R6</f>
        <v>31.305000000000003</v>
      </c>
      <c r="I5" s="57">
        <f>Pipeline!S6</f>
        <v>56.349000000000004</v>
      </c>
      <c r="J5" s="57">
        <f>Pipeline!T6</f>
        <v>81.393</v>
      </c>
      <c r="K5" s="57">
        <f>Pipeline!U6</f>
        <v>106.437</v>
      </c>
      <c r="L5" s="57">
        <f>Pipeline!V6</f>
        <v>125.22000000000001</v>
      </c>
      <c r="M5" s="57">
        <f>Pipeline!W6</f>
        <v>125.22000000000001</v>
      </c>
      <c r="N5" s="57">
        <f>Pipeline!X6</f>
        <v>125.22000000000001</v>
      </c>
      <c r="O5" s="57">
        <f>Pipeline!Y6</f>
        <v>125.22000000000001</v>
      </c>
      <c r="P5" s="57">
        <f>Pipeline!Z6</f>
        <v>125.22000000000001</v>
      </c>
      <c r="Q5" s="57">
        <f>Pipeline!AA6</f>
        <v>125.22000000000001</v>
      </c>
      <c r="R5" s="57">
        <f>Pipeline!AB6</f>
        <v>125.22000000000001</v>
      </c>
      <c r="S5" s="57">
        <f>Pipeline!AC6</f>
        <v>125.22000000000001</v>
      </c>
      <c r="T5" s="57">
        <f>Pipeline!AD6</f>
        <v>62.61000000000001</v>
      </c>
      <c r="U5" s="57">
        <f>Pipeline!AE6</f>
        <v>31.305000000000003</v>
      </c>
      <c r="V5" s="57">
        <f>Pipeline!AF6</f>
        <v>15.652500000000002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-39.226</v>
      </c>
      <c r="D6" s="23">
        <f>-IF(D3-2026&lt;Assumptions!$B$19,Assumptions!$B$18,Assumptions!$B$18*Assumptions!$B$20*Assumptions!$B$16)</f>
        <v>-39.226</v>
      </c>
      <c r="E6" s="23">
        <f>-IF(E3-2026&lt;Assumptions!$B$19,Assumptions!$B$18,Assumptions!$B$18*Assumptions!$B$20*Assumptions!$B$16)</f>
        <v>-39.226</v>
      </c>
      <c r="F6" s="23">
        <f>-IF(F3-2026&lt;Assumptions!$B$19,Assumptions!$B$18,Assumptions!$B$18*Assumptions!$B$20*Assumptions!$B$16)</f>
        <v>-39.226</v>
      </c>
      <c r="G6" s="23">
        <f>-IF(G3-2026&lt;Assumptions!$B$19,Assumptions!$B$18,Assumptions!$B$18*Assumptions!$B$20*Assumptions!$B$16)</f>
        <v>-2.45593986</v>
      </c>
      <c r="H6" s="23">
        <f>-IF(H3-2026&lt;Assumptions!$B$19,Assumptions!$B$18,Assumptions!$B$18*Assumptions!$B$20*Assumptions!$B$16)</f>
        <v>-2.45593986</v>
      </c>
      <c r="I6" s="23">
        <f>-IF(I3-2026&lt;Assumptions!$B$19,Assumptions!$B$18,Assumptions!$B$18*Assumptions!$B$20*Assumptions!$B$16)</f>
        <v>-2.45593986</v>
      </c>
      <c r="J6" s="23">
        <f>-IF(J3-2026&lt;Assumptions!$B$19,Assumptions!$B$18,Assumptions!$B$18*Assumptions!$B$20*Assumptions!$B$16)</f>
        <v>-2.45593986</v>
      </c>
      <c r="K6" s="23">
        <f>-IF(K3-2026&lt;Assumptions!$B$19,Assumptions!$B$18,Assumptions!$B$18*Assumptions!$B$20*Assumptions!$B$16)</f>
        <v>-2.45593986</v>
      </c>
      <c r="L6" s="23">
        <f>-IF(L3-2026&lt;Assumptions!$B$19,Assumptions!$B$18,Assumptions!$B$18*Assumptions!$B$20*Assumptions!$B$16)</f>
        <v>-2.45593986</v>
      </c>
      <c r="M6" s="23">
        <f>-IF(M3-2026&lt;Assumptions!$B$19,Assumptions!$B$18,Assumptions!$B$18*Assumptions!$B$20*Assumptions!$B$16)</f>
        <v>-2.45593986</v>
      </c>
      <c r="N6" s="23">
        <f>-IF(N3-2026&lt;Assumptions!$B$19,Assumptions!$B$18,Assumptions!$B$18*Assumptions!$B$20*Assumptions!$B$16)</f>
        <v>-2.45593986</v>
      </c>
      <c r="O6" s="23">
        <f>-IF(O3-2026&lt;Assumptions!$B$19,Assumptions!$B$18,Assumptions!$B$18*Assumptions!$B$20*Assumptions!$B$16)</f>
        <v>-2.45593986</v>
      </c>
      <c r="P6" s="23">
        <f>-IF(P3-2026&lt;Assumptions!$B$19,Assumptions!$B$18,Assumptions!$B$18*Assumptions!$B$20*Assumptions!$B$16)</f>
        <v>-2.45593986</v>
      </c>
      <c r="Q6" s="23">
        <f>-IF(Q3-2026&lt;Assumptions!$B$19,Assumptions!$B$18,Assumptions!$B$18*Assumptions!$B$20*Assumptions!$B$16)</f>
        <v>-2.45593986</v>
      </c>
      <c r="R6" s="23">
        <f>-IF(R3-2026&lt;Assumptions!$B$19,Assumptions!$B$18,Assumptions!$B$18*Assumptions!$B$20*Assumptions!$B$16)</f>
        <v>-2.45593986</v>
      </c>
      <c r="S6" s="23">
        <f>-IF(S3-2026&lt;Assumptions!$B$19,Assumptions!$B$18,Assumptions!$B$18*Assumptions!$B$20*Assumptions!$B$16)</f>
        <v>-2.45593986</v>
      </c>
      <c r="T6" s="23">
        <f>-IF(T3-2026&lt;Assumptions!$B$19,Assumptions!$B$18,Assumptions!$B$18*Assumptions!$B$20*Assumptions!$B$16)</f>
        <v>-2.45593986</v>
      </c>
      <c r="U6" s="23">
        <f>-IF(U3-2026&lt;Assumptions!$B$19,Assumptions!$B$18,Assumptions!$B$18*Assumptions!$B$20*Assumptions!$B$16)</f>
        <v>-2.45593986</v>
      </c>
      <c r="V6" s="23">
        <f>-IF(V3-2026&lt;Assumptions!$B$19,Assumptions!$B$18,Assumptions!$B$18*Assumptions!$B$20*Assumptions!$B$16)</f>
        <v>-2.45593986</v>
      </c>
    </row>
    <row r="7">
      <c r="A7" s="14" t="inlineStr">
        <is>
          <t>Pre-tax cash flow</t>
        </is>
      </c>
      <c r="C7" s="23">
        <f>C5+C6</f>
        <v>-39.226</v>
      </c>
      <c r="D7" s="23">
        <f>D5+D6</f>
        <v>-39.226</v>
      </c>
      <c r="E7" s="23">
        <f>E5+E6</f>
        <v>-39.226</v>
      </c>
      <c r="F7" s="23">
        <f>F5+F6</f>
        <v>-39.226</v>
      </c>
      <c r="G7" s="23">
        <f>G5+G6</f>
        <v>10.066060140000001</v>
      </c>
      <c r="H7" s="23">
        <f>H5+H6</f>
        <v>28.849060140000002</v>
      </c>
      <c r="I7" s="23">
        <f>I5+I6</f>
        <v>53.89306014</v>
      </c>
      <c r="J7" s="23">
        <f>J5+J6</f>
        <v>78.93706014</v>
      </c>
      <c r="K7" s="23">
        <f>K5+K6</f>
        <v>103.98106014</v>
      </c>
      <c r="L7" s="23">
        <f>L5+L6</f>
        <v>122.76406014000001</v>
      </c>
      <c r="M7" s="23">
        <f>M5+M6</f>
        <v>122.76406014000001</v>
      </c>
      <c r="N7" s="23">
        <f>N5+N6</f>
        <v>122.76406014000001</v>
      </c>
      <c r="O7" s="23">
        <f>O5+O6</f>
        <v>122.76406014000001</v>
      </c>
      <c r="P7" s="23">
        <f>P5+P6</f>
        <v>122.76406014000001</v>
      </c>
      <c r="Q7" s="23">
        <f>Q5+Q6</f>
        <v>122.76406014000001</v>
      </c>
      <c r="R7" s="23">
        <f>R5+R6</f>
        <v>122.76406014000001</v>
      </c>
      <c r="S7" s="23">
        <f>S5+S6</f>
        <v>122.76406014000001</v>
      </c>
      <c r="T7" s="23">
        <f>T5+T6</f>
        <v>60.154060140000006</v>
      </c>
      <c r="U7" s="23">
        <f>U5+U6</f>
        <v>28.849060140000002</v>
      </c>
      <c r="V7" s="23">
        <f>V5+V6</f>
        <v>13.196560140000003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10.066060140000001</v>
      </c>
      <c r="H8" s="23">
        <f>MIN(G17,MAX(0,H7))</f>
        <v>28.849060140000002</v>
      </c>
      <c r="I8" s="23">
        <f>MIN(H17,MAX(0,I7))</f>
        <v>53.89306014</v>
      </c>
      <c r="J8" s="23">
        <f>MIN(I17,MAX(0,J7))</f>
        <v>78.93706014</v>
      </c>
      <c r="K8" s="23">
        <f>MIN(J17,MAX(0,K7))</f>
        <v>103.98106014</v>
      </c>
      <c r="L8" s="23">
        <f>MIN(K17,MAX(0,L7))</f>
        <v>17.977699300000026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104.78636083999999</v>
      </c>
      <c r="M9" s="23">
        <f>MAX(0,M7)-M8</f>
        <v>122.76406014000001</v>
      </c>
      <c r="N9" s="23">
        <f>MAX(0,N7)-N8</f>
        <v>122.76406014000001</v>
      </c>
      <c r="O9" s="23">
        <f>MAX(0,O7)-O8</f>
        <v>122.76406014000001</v>
      </c>
      <c r="P9" s="23">
        <f>MAX(0,P7)-P8</f>
        <v>122.76406014000001</v>
      </c>
      <c r="Q9" s="23">
        <f>MAX(0,Q7)-Q8</f>
        <v>122.76406014000001</v>
      </c>
      <c r="R9" s="23">
        <f>MAX(0,R7)-R8</f>
        <v>122.76406014000001</v>
      </c>
      <c r="S9" s="23">
        <f>MAX(0,S7)-S8</f>
        <v>122.76406014000001</v>
      </c>
      <c r="T9" s="23">
        <f>MAX(0,T7)-T8</f>
        <v>60.154060140000006</v>
      </c>
      <c r="U9" s="23">
        <f>MAX(0,U7)-U8</f>
        <v>28.849060140000002</v>
      </c>
      <c r="V9" s="23">
        <f>MAX(0,V7)-V8</f>
        <v>13.196560140000003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22.005135776399996</v>
      </c>
      <c r="M10" s="23">
        <f>M9*Assumptions!$E$15</f>
        <v>25.780452629400003</v>
      </c>
      <c r="N10" s="23">
        <f>N9*Assumptions!$E$15</f>
        <v>25.780452629400003</v>
      </c>
      <c r="O10" s="23">
        <f>O9*Assumptions!$E$15</f>
        <v>25.780452629400003</v>
      </c>
      <c r="P10" s="23">
        <f>P9*Assumptions!$E$15</f>
        <v>25.780452629400003</v>
      </c>
      <c r="Q10" s="23">
        <f>Q9*Assumptions!$E$15</f>
        <v>25.780452629400003</v>
      </c>
      <c r="R10" s="23">
        <f>R9*Assumptions!$E$15</f>
        <v>25.780452629400003</v>
      </c>
      <c r="S10" s="23">
        <f>S9*Assumptions!$E$15</f>
        <v>25.780452629400003</v>
      </c>
      <c r="T10" s="23">
        <f>T9*Assumptions!$E$15</f>
        <v>12.632352629400001</v>
      </c>
      <c r="U10" s="23">
        <f>U9*Assumptions!$E$15</f>
        <v>6.0583026294</v>
      </c>
      <c r="V10" s="23">
        <f>V9*Assumptions!$E$15</f>
        <v>2.7712776294000006</v>
      </c>
    </row>
    <row r="11">
      <c r="A11" s="24" t="inlineStr">
        <is>
          <t>Free cash flow</t>
        </is>
      </c>
      <c r="C11" s="55">
        <f>C7-C10</f>
        <v>-39.226</v>
      </c>
      <c r="D11" s="55">
        <f>D7-D10</f>
        <v>-39.226</v>
      </c>
      <c r="E11" s="55">
        <f>E7-E10</f>
        <v>-39.226</v>
      </c>
      <c r="F11" s="55">
        <f>F7-F10</f>
        <v>-39.226</v>
      </c>
      <c r="G11" s="55">
        <f>G7-G10</f>
        <v>10.066060140000001</v>
      </c>
      <c r="H11" s="55">
        <f>H7-H10</f>
        <v>28.849060140000002</v>
      </c>
      <c r="I11" s="55">
        <f>I7-I10</f>
        <v>53.89306014</v>
      </c>
      <c r="J11" s="55">
        <f>J7-J10</f>
        <v>78.93706014</v>
      </c>
      <c r="K11" s="55">
        <f>K7-K10</f>
        <v>103.98106014</v>
      </c>
      <c r="L11" s="55">
        <f>L7-L10</f>
        <v>100.75892436360002</v>
      </c>
      <c r="M11" s="55">
        <f>M7-M10</f>
        <v>96.98360751060001</v>
      </c>
      <c r="N11" s="55">
        <f>N7-N10</f>
        <v>96.98360751060001</v>
      </c>
      <c r="O11" s="55">
        <f>O7-O10</f>
        <v>96.98360751060001</v>
      </c>
      <c r="P11" s="55">
        <f>P7-P10</f>
        <v>96.98360751060001</v>
      </c>
      <c r="Q11" s="55">
        <f>Q7-Q10</f>
        <v>96.98360751060001</v>
      </c>
      <c r="R11" s="55">
        <f>R7-R10</f>
        <v>96.98360751060001</v>
      </c>
      <c r="S11" s="55">
        <f>S7-S10</f>
        <v>96.98360751060001</v>
      </c>
      <c r="T11" s="55">
        <f>T7-T10</f>
        <v>47.5217075106</v>
      </c>
      <c r="U11" s="55">
        <f>U7-U10</f>
        <v>22.790757510600002</v>
      </c>
      <c r="V11" s="55">
        <f>V7-V10</f>
        <v>10.425282510600002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-19.216987994449102</v>
      </c>
      <c r="D16" s="55">
        <f>D11*D15</f>
        <v>-35.00694461303534</v>
      </c>
      <c r="E16" s="55">
        <f>E11*E15</f>
        <v>-31.256200547352968</v>
      </c>
      <c r="F16" s="55">
        <f>F11*F15</f>
        <v>-27.907321917279436</v>
      </c>
      <c r="G16" s="55">
        <f>G11*G15</f>
        <v>6.394191461149924</v>
      </c>
      <c r="H16" s="55">
        <f>H11*H15</f>
        <v>16.36212709588734</v>
      </c>
      <c r="I16" s="55">
        <f>I11*I15</f>
        <v>27.291217736808317</v>
      </c>
      <c r="J16" s="55">
        <f>J11*J15</f>
        <v>35.69052984260466</v>
      </c>
      <c r="K16" s="55">
        <f>K11*K15</f>
        <v>41.97669731395576</v>
      </c>
      <c r="L16" s="55">
        <f>L11*L15</f>
        <v>36.31779933215696</v>
      </c>
      <c r="M16" s="55">
        <f>M11*M15</f>
        <v>31.211620231916402</v>
      </c>
      <c r="N16" s="55">
        <f>N11*N15</f>
        <v>27.86751806421107</v>
      </c>
      <c r="O16" s="55">
        <f>O11*O15</f>
        <v>24.88171255733131</v>
      </c>
      <c r="P16" s="55">
        <f>P11*P15</f>
        <v>22.215814783331524</v>
      </c>
      <c r="Q16" s="55">
        <f>Q11*Q15</f>
        <v>19.83554891368886</v>
      </c>
      <c r="R16" s="55">
        <f>R11*R15</f>
        <v>17.710311530079338</v>
      </c>
      <c r="S16" s="55">
        <f>S11*S15</f>
        <v>15.81277815185655</v>
      </c>
      <c r="T16" s="55">
        <f>T11*T15</f>
        <v>6.918052566810635</v>
      </c>
      <c r="U16" s="55">
        <f>U11*U15</f>
        <v>2.9623240085408105</v>
      </c>
      <c r="V16" s="55">
        <f>V11*V15</f>
        <v>1.2098836503055201</v>
      </c>
    </row>
    <row r="17">
      <c r="A17" s="14" t="inlineStr">
        <is>
          <t>Tax-loss carryforward, end of year</t>
        </is>
      </c>
      <c r="C17" s="23">
        <f>Assumptions!$B$21-C8+MAX(0,-C7)</f>
        <v>176.026</v>
      </c>
      <c r="D17" s="23">
        <f>C17-D8+MAX(0,-D7)</f>
        <v>215.252</v>
      </c>
      <c r="E17" s="23">
        <f>D17-E8+MAX(0,-E7)</f>
        <v>254.478</v>
      </c>
      <c r="F17" s="23">
        <f>E17-F8+MAX(0,-F7)</f>
        <v>293.704</v>
      </c>
      <c r="G17" s="23">
        <f>F17-G8+MAX(0,-G7)</f>
        <v>283.63793986</v>
      </c>
      <c r="H17" s="23">
        <f>G17-H8+MAX(0,-H7)</f>
        <v>254.78887972</v>
      </c>
      <c r="I17" s="23">
        <f>H17-I8+MAX(0,-I7)</f>
        <v>200.89581958000002</v>
      </c>
      <c r="J17" s="23">
        <f>I17-J8+MAX(0,-J7)</f>
        <v>121.95875944000002</v>
      </c>
      <c r="K17" s="23">
        <f>J17-K8+MAX(0,-K7)</f>
        <v>17.977699300000026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400.13136482389405</v>
      </c>
    </row>
    <row r="20">
      <c r="A20" s="14" t="inlineStr">
        <is>
          <t>PV of corporate burn</t>
        </is>
      </c>
      <c r="B20" s="23">
        <f>SUMPRODUCT(C6:V6,C15:V15)</f>
        <v>-125.5729436382398</v>
      </c>
    </row>
    <row r="21">
      <c r="A21" s="14" t="inlineStr">
        <is>
          <t>PV of taxes</t>
        </is>
      </c>
      <c r="B21" s="23">
        <f>-SUMPRODUCT(C10:V10,C15:V15)</f>
        <v>-53.28774901713607</v>
      </c>
    </row>
    <row r="22">
      <c r="A22" s="24" t="inlineStr">
        <is>
          <t>Pipeline rNPV (operations)</t>
        </is>
      </c>
      <c r="B22" s="54">
        <f>SUM(C16:V16)</f>
        <v>221.27067216851813</v>
      </c>
    </row>
    <row r="23">
      <c r="A23" s="14" t="inlineStr">
        <is>
          <t>Cash &amp; investments</t>
        </is>
      </c>
      <c r="B23" s="57">
        <f>Main!C7</f>
        <v>43.504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264.7746721685181</v>
      </c>
    </row>
    <row r="26">
      <c r="A26" s="14" t="inlineStr">
        <is>
          <t>Shares (mm)</t>
        </is>
      </c>
      <c r="B26" s="57">
        <f>Main!C4</f>
        <v>53.925697</v>
      </c>
    </row>
    <row r="27">
      <c r="A27" s="24" t="inlineStr">
        <is>
          <t>rNPV / share</t>
        </is>
      </c>
      <c r="B27" s="60">
        <f>B25/B26</f>
        <v>4.909990726100733</v>
      </c>
    </row>
    <row r="28">
      <c r="A28" s="14" t="inlineStr">
        <is>
          <t>Price</t>
        </is>
      </c>
      <c r="B28" s="61">
        <f>Main!C3</f>
        <v>8.67</v>
      </c>
    </row>
    <row r="29">
      <c r="A29" s="14" t="inlineStr">
        <is>
          <t>Upside</t>
        </is>
      </c>
      <c r="B29" s="62">
        <f>B27/B28-1</f>
        <v>-0.4336804237484737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2026-10-21T06:25:31Z</dcterms:modified>
  <cp:lastModifiedBy>Wang, Eric</cp:lastModifiedBy>
</cp:coreProperties>
</file>