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DiaMedica Therapeutics Inc</t>
        </is>
      </c>
      <c r="C2" s="10" t="n"/>
    </row>
    <row r="3">
      <c r="B3" t="inlineStr">
        <is>
          <t>Price</t>
        </is>
      </c>
      <c r="C3" s="11">
        <f>INDEX([1]Pharma!$F$1:$F$1000,MATCH("DMAC",[1]Pharma!$B$1:$B$1000,0))</f>
        <v>8.67</v>
      </c>
      <c r="F3" s="1" t="n"/>
    </row>
    <row r="4">
      <c r="B4" t="inlineStr">
        <is>
          <t>Shares</t>
        </is>
      </c>
      <c r="C4" s="21" t="n">
        <v>53.925697</v>
      </c>
      <c r="F4" s="1" t="n"/>
    </row>
    <row r="5">
      <c r="B5" t="inlineStr">
        <is>
          <t>Market Cap.</t>
        </is>
      </c>
      <c r="C5" s="13">
        <f>C3*C4</f>
        <v>467.53579299</v>
      </c>
      <c r="F5" s="1" t="n"/>
    </row>
    <row r="6"/>
    <row r="7">
      <c r="B7" t="inlineStr">
        <is>
          <t>Cash</t>
        </is>
      </c>
      <c r="C7" s="21">
        <f>5.129+38.375</f>
        <v>43.504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424.03179299</v>
      </c>
    </row>
    <row r="10"/>
    <row r="11">
      <c r="B11" s="14" t="inlineStr">
        <is>
          <t>Net Cash / Share</t>
        </is>
      </c>
      <c r="C11" s="11">
        <f>(C7-C8)/C4</f>
        <v>0.8067396885013837</v>
      </c>
    </row>
    <row r="12">
      <c r="B12" s="14" t="inlineStr">
        <is>
          <t>Upside</t>
        </is>
      </c>
      <c r="C12" s="15">
        <f>IFERROR(C11/C3-1,"")</f>
        <v>-0.9069504396192176</v>
      </c>
    </row>
    <row r="13">
      <c r="B13" s="14" t="inlineStr">
        <is>
          <t>Cash / Share</t>
        </is>
      </c>
      <c r="C13" s="11">
        <f>IFERROR((C7-C8)/C4,"")</f>
        <v>0.8067396885013837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-31.511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1.380597251753356</v>
      </c>
    </row>
    <row r="19">
      <c r="B19" s="14" t="inlineStr">
        <is>
          <t>Implied Pipeline Value</t>
        </is>
      </c>
      <c r="C19" s="13">
        <f>C9</f>
        <v>424.03179299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0.5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0.5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1" t="n"/>
    </row>
    <row r="5">
      <c r="A5" s="2" t="inlineStr">
        <is>
          <t>Research &amp; Dev.</t>
        </is>
      </c>
      <c r="B5" s="23" t="n">
        <v>3.206</v>
      </c>
      <c r="C5" s="23" t="n">
        <v>4.522</v>
      </c>
      <c r="D5" s="23" t="n">
        <v>7.9</v>
      </c>
      <c r="E5" s="23" t="n">
        <v>8.205</v>
      </c>
      <c r="F5" s="23" t="n">
        <v>8.765000000000001</v>
      </c>
      <c r="G5" s="23" t="n">
        <v>7.839</v>
      </c>
      <c r="H5" s="23" t="n">
        <v>13.11</v>
      </c>
      <c r="I5" s="23" t="n">
        <v>19.057</v>
      </c>
      <c r="J5" s="23" t="n">
        <v>24.614</v>
      </c>
      <c r="K5" s="1" t="n"/>
    </row>
    <row r="6">
      <c r="A6" s="19" t="inlineStr">
        <is>
          <t>SG&amp;A &amp; Other</t>
        </is>
      </c>
      <c r="B6" s="23" t="n">
        <v>1.313</v>
      </c>
      <c r="C6" s="23" t="n">
        <v>2.739</v>
      </c>
      <c r="D6" s="23" t="n">
        <v>3.693</v>
      </c>
      <c r="E6" s="23" t="n">
        <v>4.494</v>
      </c>
      <c r="F6" s="23" t="n">
        <v>4.881</v>
      </c>
      <c r="G6" s="23" t="n">
        <v>6.162</v>
      </c>
      <c r="H6" s="23" t="n">
        <v>8.157</v>
      </c>
      <c r="I6" s="23" t="n">
        <v>7.624</v>
      </c>
      <c r="J6" s="23" t="n">
        <v>9.782999999999999</v>
      </c>
      <c r="K6" s="1" t="n"/>
    </row>
    <row r="7">
      <c r="A7" s="2" t="inlineStr">
        <is>
          <t>Operating Expense</t>
        </is>
      </c>
      <c r="B7" s="23">
        <f>SUM(B5:B6)</f>
        <v>4.519</v>
      </c>
      <c r="C7" s="23">
        <f>SUM(C5:C6)</f>
        <v>7.261</v>
      </c>
      <c r="D7" s="23">
        <f>SUM(D5:D6)</f>
        <v>11.593</v>
      </c>
      <c r="E7" s="23">
        <f>SUM(E5:E6)</f>
        <v>12.699</v>
      </c>
      <c r="F7" s="23">
        <f>SUM(F5:F6)</f>
        <v>13.646</v>
      </c>
      <c r="G7" s="23">
        <f>SUM(G5:G6)</f>
        <v>14.001000000000001</v>
      </c>
      <c r="H7" s="23">
        <f>SUM(H5:H6)</f>
        <v>21.267</v>
      </c>
      <c r="I7" s="23">
        <f>SUM(I5:I6)</f>
        <v>26.680999999999997</v>
      </c>
      <c r="J7" s="23">
        <f>SUM(J5:J6)</f>
        <v>34.397</v>
      </c>
      <c r="K7" s="1" t="n"/>
    </row>
    <row r="8">
      <c r="A8" s="2" t="inlineStr">
        <is>
          <t>Operating Income</t>
        </is>
      </c>
      <c r="B8" s="23">
        <f>B4-B7</f>
        <v>-4.519</v>
      </c>
      <c r="C8" s="23">
        <f>C4-C7</f>
        <v>-6.761</v>
      </c>
      <c r="D8" s="23">
        <f>D4-D7</f>
        <v>-11.593</v>
      </c>
      <c r="E8" s="23">
        <f>E4-E7</f>
        <v>-12.699</v>
      </c>
      <c r="F8" s="23">
        <f>F4-F7</f>
        <v>-13.646</v>
      </c>
      <c r="G8" s="23">
        <f>G4-G7</f>
        <v>-14.001000000000001</v>
      </c>
      <c r="H8" s="23">
        <f>H4-H7</f>
        <v>-21.267</v>
      </c>
      <c r="I8" s="23">
        <f>I4-I7</f>
        <v>-26.680999999999997</v>
      </c>
      <c r="J8" s="23">
        <f>J4-J7</f>
        <v>-34.397</v>
      </c>
      <c r="K8" s="1" t="n"/>
    </row>
    <row r="9">
      <c r="A9" s="19" t="inlineStr">
        <is>
          <t>Interest &amp; Other</t>
        </is>
      </c>
      <c r="B9" s="23" t="n">
        <v>0.259</v>
      </c>
      <c r="C9" s="23" t="n">
        <v>1.107</v>
      </c>
      <c r="D9" s="23" t="n">
        <v>0.975</v>
      </c>
      <c r="E9" s="23" t="n">
        <v>0.434</v>
      </c>
      <c r="F9" s="23" t="n">
        <v>0.082</v>
      </c>
      <c r="G9" s="23" t="n">
        <v>0.353</v>
      </c>
      <c r="H9" s="23" t="n">
        <v>1.929</v>
      </c>
      <c r="I9" s="23" t="n">
        <v>2.267</v>
      </c>
      <c r="J9" s="23" t="n">
        <v>1.659</v>
      </c>
    </row>
    <row r="10">
      <c r="A10" s="2" t="inlineStr">
        <is>
          <t>Pretax</t>
        </is>
      </c>
      <c r="B10" s="23">
        <f>B8+B9</f>
        <v>-4.26</v>
      </c>
      <c r="C10" s="23">
        <f>C8+C9</f>
        <v>-5.654</v>
      </c>
      <c r="D10" s="23">
        <f>D8+D9</f>
        <v>-10.618</v>
      </c>
      <c r="E10" s="23">
        <f>E8+E9</f>
        <v>-12.265</v>
      </c>
      <c r="F10" s="23">
        <f>F8+F9</f>
        <v>-13.564</v>
      </c>
      <c r="G10" s="23">
        <f>G8+G9</f>
        <v>-13.648000000000001</v>
      </c>
      <c r="H10" s="23">
        <f>H8+H9</f>
        <v>-19.338</v>
      </c>
      <c r="I10" s="23">
        <f>I8+I9</f>
        <v>-24.413999999999998</v>
      </c>
      <c r="J10" s="23">
        <f>J8+J9</f>
        <v>-32.738</v>
      </c>
      <c r="K10" s="1" t="n"/>
    </row>
    <row r="11">
      <c r="A11" s="2" t="inlineStr">
        <is>
          <t>Taxes</t>
        </is>
      </c>
      <c r="B11" s="23" t="n">
        <v>0</v>
      </c>
      <c r="C11" s="23" t="n">
        <v>0.08</v>
      </c>
      <c r="D11" s="23" t="n">
        <v>0.031</v>
      </c>
      <c r="E11" s="23" t="n">
        <v>0.027</v>
      </c>
      <c r="F11" s="23" t="n">
        <v>0.028</v>
      </c>
      <c r="G11" s="23" t="n">
        <v>0.028</v>
      </c>
      <c r="H11" s="23" t="n">
        <v>0.043</v>
      </c>
      <c r="I11" s="23" t="n">
        <v>0.03</v>
      </c>
      <c r="J11" s="23" t="n">
        <v>0.028</v>
      </c>
    </row>
    <row r="12">
      <c r="A12" s="2" t="inlineStr">
        <is>
          <t>Net Income</t>
        </is>
      </c>
      <c r="B12" s="23" t="n">
        <v>-4.26</v>
      </c>
      <c r="C12" s="23" t="n">
        <v>-5.734</v>
      </c>
      <c r="D12" s="23" t="n">
        <v>-10.649</v>
      </c>
      <c r="E12" s="23" t="n">
        <v>-12.292</v>
      </c>
      <c r="F12" s="23" t="n">
        <v>-13.592</v>
      </c>
      <c r="G12" s="23" t="n">
        <v>-13.676</v>
      </c>
      <c r="H12" s="23" t="n">
        <v>-19.381</v>
      </c>
      <c r="I12" s="23" t="n">
        <v>-24.444</v>
      </c>
      <c r="J12" s="23" t="n">
        <v>-32.766</v>
      </c>
      <c r="K12" s="1" t="n"/>
    </row>
    <row r="13">
      <c r="A13" s="2" t="inlineStr">
        <is>
          <t>Earnings per Share</t>
        </is>
      </c>
      <c r="B13" s="11">
        <f>IFERROR(B12/B14,0)</f>
        <v>-0.717654986522911</v>
      </c>
      <c r="C13" s="11">
        <f>IFERROR(C12/C14,0)</f>
        <v>-0.7404442148760331</v>
      </c>
      <c r="D13" s="11">
        <f>IFERROR(D12/D14,0)</f>
        <v>-0.8883049716383049</v>
      </c>
      <c r="E13" s="11">
        <f>IFERROR(E12/E14,0)</f>
        <v>-0.7839285714285714</v>
      </c>
      <c r="F13" s="11">
        <f>IFERROR(F12/F14,0)</f>
        <v>-0.6543108843209936</v>
      </c>
      <c r="G13" s="11">
        <f>IFERROR(G12/G14,0)</f>
        <v>-0.5171879136255342</v>
      </c>
      <c r="H13" s="11">
        <f>IFERROR(H12/H14,0)</f>
        <v>-0.5951116160530598</v>
      </c>
      <c r="I13" s="11">
        <f>IFERROR(I12/I14,0)</f>
        <v>-0.6049746318524934</v>
      </c>
      <c r="J13" s="11">
        <f>IFERROR(J12/J14,0)</f>
        <v>-0.6974308763117004</v>
      </c>
    </row>
    <row r="14">
      <c r="A14" s="2" t="inlineStr">
        <is>
          <t>Shares</t>
        </is>
      </c>
      <c r="B14" s="23" t="n">
        <v>5.936</v>
      </c>
      <c r="C14" s="23" t="n">
        <v>7.744</v>
      </c>
      <c r="D14" s="23" t="n">
        <v>11.988</v>
      </c>
      <c r="E14" s="23" t="n">
        <v>15.68</v>
      </c>
      <c r="F14" s="23" t="n">
        <v>20.773</v>
      </c>
      <c r="G14" s="23" t="n">
        <v>26.443</v>
      </c>
      <c r="H14" s="23" t="n">
        <v>32.567</v>
      </c>
      <c r="I14" s="23" t="n">
        <v>40.405</v>
      </c>
      <c r="J14" s="23" t="n">
        <v>46.981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-13.522</v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2026-10-21T01:05:15Z</dcterms:modified>
  <cp:lastModifiedBy>Wang, Eric</cp:lastModifiedBy>
</cp:coreProperties>
</file>