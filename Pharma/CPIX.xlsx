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Cumberland Pharmaceuticals Inc.</t>
        </is>
      </c>
      <c r="C2" s="10" t="n"/>
    </row>
    <row r="3">
      <c r="B3" t="inlineStr">
        <is>
          <t>Price</t>
        </is>
      </c>
      <c r="C3" s="11">
        <f>INDEX([1]Pharma!$F$1:$F$1000,MATCH("CPIX",[1]Pharma!$B$1:$B$1000,0))</f>
        <v>7.96</v>
      </c>
      <c r="F3" s="1" t="n"/>
    </row>
    <row r="4">
      <c r="B4" t="inlineStr">
        <is>
          <t>Shares</t>
        </is>
      </c>
      <c r="C4" s="21" t="n">
        <v>14.983107</v>
      </c>
      <c r="F4" s="1" t="n"/>
    </row>
    <row r="5">
      <c r="B5" t="inlineStr">
        <is>
          <t>Market Cap.</t>
        </is>
      </c>
      <c r="C5" s="13">
        <f>C3*C4</f>
        <v>119.26553172</v>
      </c>
      <c r="F5" s="1" t="n"/>
    </row>
    <row r="6"/>
    <row r="7">
      <c r="B7" t="inlineStr">
        <is>
          <t>Cash</t>
        </is>
      </c>
      <c r="C7" s="21" t="n">
        <v>3.862402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115.40312972</v>
      </c>
    </row>
    <row r="10"/>
    <row r="11">
      <c r="B11" s="14" t="inlineStr">
        <is>
          <t>rNPV / Share</t>
        </is>
      </c>
      <c r="C11" s="11">
        <f>NPV!B27</f>
        <v>28.292703263619238</v>
      </c>
    </row>
    <row r="12">
      <c r="B12" s="14" t="inlineStr">
        <is>
          <t>Upside</t>
        </is>
      </c>
      <c r="C12" s="15">
        <f>IFERROR(C11/C3-1,"")</f>
        <v>2.5543597064848287</v>
      </c>
    </row>
    <row r="13">
      <c r="B13" s="14" t="inlineStr">
        <is>
          <t>Cash / Share</t>
        </is>
      </c>
      <c r="C13" s="11">
        <f>IFERROR((C7-C8)/C4,"")</f>
        <v>0.2577837827628141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0.746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115.40312972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43.537</v>
      </c>
      <c r="C2" s="23" t="n">
        <v>45.876</v>
      </c>
      <c r="D2" s="23" t="n">
        <v>51.143</v>
      </c>
      <c r="E2" s="23" t="n">
        <v>48.851</v>
      </c>
      <c r="F2" s="23" t="n">
        <v>32.027</v>
      </c>
      <c r="G2" s="23" t="n">
        <v>36.902</v>
      </c>
      <c r="H2" s="23" t="n">
        <v>33.519</v>
      </c>
      <c r="I2" s="23" t="n">
        <v>33.026</v>
      </c>
      <c r="J2" s="23" t="n">
        <v>41.15</v>
      </c>
      <c r="K2" s="23" t="n">
        <v>29.345</v>
      </c>
      <c r="L2" s="23" t="n">
        <v>34.388</v>
      </c>
      <c r="M2" s="23" t="n">
        <v>37.441</v>
      </c>
      <c r="N2" s="23" t="n">
        <v>35.985</v>
      </c>
      <c r="O2" s="23" t="n">
        <v>42.011</v>
      </c>
      <c r="P2" s="23" t="n">
        <v>39.553</v>
      </c>
      <c r="Q2" s="23" t="n">
        <v>37.868</v>
      </c>
      <c r="R2" s="23" t="n">
        <v>44.521</v>
      </c>
    </row>
    <row r="3" customFormat="1" s="1">
      <c r="A3" s="5" t="inlineStr">
        <is>
          <t>Cost of Sales</t>
        </is>
      </c>
      <c r="B3" s="23" t="n">
        <v>4.137</v>
      </c>
      <c r="C3" s="23" t="n">
        <v>3.587</v>
      </c>
      <c r="D3" s="23" t="n">
        <v>5.363</v>
      </c>
      <c r="E3" s="23" t="n">
        <v>5.046</v>
      </c>
      <c r="F3" s="23" t="n">
        <v>5.439</v>
      </c>
      <c r="G3" s="23" t="n">
        <v>5.053</v>
      </c>
      <c r="H3" s="23" t="n">
        <v>4.968</v>
      </c>
      <c r="I3" s="23" t="n">
        <v>5.959</v>
      </c>
      <c r="J3" s="23" t="n">
        <v>7.371</v>
      </c>
      <c r="K3" s="23" t="n">
        <v>6.017</v>
      </c>
      <c r="L3" s="23" t="n">
        <v>7.421</v>
      </c>
      <c r="M3" s="23" t="n">
        <v>8.653</v>
      </c>
      <c r="N3" s="23" t="n">
        <v>8.811</v>
      </c>
      <c r="O3" s="23" t="n">
        <v>9.119</v>
      </c>
      <c r="P3" s="23" t="n">
        <v>6.067</v>
      </c>
      <c r="Q3" s="23" t="n">
        <v>6.586</v>
      </c>
      <c r="R3" s="23" t="n">
        <v>6.667</v>
      </c>
    </row>
    <row r="4" customFormat="1" s="1">
      <c r="A4" s="5" t="inlineStr">
        <is>
          <t>Gross Margin</t>
        </is>
      </c>
      <c r="B4" s="23">
        <f>B2-B3</f>
        <v>39.4</v>
      </c>
      <c r="C4" s="23">
        <f>C2-C3</f>
        <v>42.288999999999994</v>
      </c>
      <c r="D4" s="23">
        <f>D2-D3</f>
        <v>45.78</v>
      </c>
      <c r="E4" s="23">
        <f>E2-E3</f>
        <v>43.805</v>
      </c>
      <c r="F4" s="23">
        <f>F2-F3</f>
        <v>26.588</v>
      </c>
      <c r="G4" s="23">
        <f>G2-G3</f>
        <v>31.849</v>
      </c>
      <c r="H4" s="23">
        <f>H2-H3</f>
        <v>28.551</v>
      </c>
      <c r="I4" s="23">
        <f>I2-I3</f>
        <v>27.067000000000004</v>
      </c>
      <c r="J4" s="23">
        <f>J2-J3</f>
        <v>33.778999999999996</v>
      </c>
      <c r="K4" s="23">
        <f>K2-K3</f>
        <v>23.328</v>
      </c>
      <c r="L4" s="23">
        <f>L2-L3</f>
        <v>26.967</v>
      </c>
      <c r="M4" s="23">
        <f>M2-M3</f>
        <v>28.788000000000004</v>
      </c>
      <c r="N4" s="23">
        <f>N2-N3</f>
        <v>27.174</v>
      </c>
      <c r="O4" s="23">
        <f>O2-O3</f>
        <v>32.892</v>
      </c>
      <c r="P4" s="23">
        <f>P2-P3</f>
        <v>33.486</v>
      </c>
      <c r="Q4" s="23">
        <f>Q2-Q3</f>
        <v>31.282000000000004</v>
      </c>
      <c r="R4" s="23">
        <f>R2-R3</f>
        <v>37.854</v>
      </c>
    </row>
    <row r="5">
      <c r="A5" s="2" t="inlineStr">
        <is>
          <t>Research &amp; Dev.</t>
        </is>
      </c>
      <c r="B5" s="23" t="n">
        <v>4.993</v>
      </c>
      <c r="C5" s="23" t="n">
        <v>4.327</v>
      </c>
      <c r="D5" s="23" t="n">
        <v>5.028</v>
      </c>
      <c r="E5" s="23" t="n">
        <v>5.095</v>
      </c>
      <c r="F5" s="23" t="n">
        <v>5.616</v>
      </c>
      <c r="G5" s="23" t="n">
        <v>3.389</v>
      </c>
      <c r="H5" s="23" t="n">
        <v>3.848</v>
      </c>
      <c r="I5" s="23" t="n">
        <v>3.191</v>
      </c>
      <c r="J5" s="23" t="n">
        <v>4.248</v>
      </c>
      <c r="K5" s="23" t="n">
        <v>7.576</v>
      </c>
      <c r="L5" s="23" t="n">
        <v>6.868</v>
      </c>
      <c r="M5" s="23" t="n">
        <v>5.774</v>
      </c>
      <c r="N5" s="23" t="n">
        <v>5.684</v>
      </c>
      <c r="O5" s="23" t="n">
        <v>6.689</v>
      </c>
      <c r="P5" s="23" t="n">
        <v>5.834</v>
      </c>
      <c r="Q5" s="23" t="n">
        <v>4.816</v>
      </c>
      <c r="R5" s="23" t="n">
        <v>5.566</v>
      </c>
    </row>
    <row r="6">
      <c r="A6" s="19" t="inlineStr">
        <is>
          <t>SG&amp;A &amp; Other</t>
        </is>
      </c>
      <c r="B6" s="23" t="n">
        <v>28.631</v>
      </c>
      <c r="C6" s="23" t="n">
        <v>31.46</v>
      </c>
      <c r="D6" s="23" t="n">
        <v>30.903</v>
      </c>
      <c r="E6" s="23" t="n">
        <v>29.892</v>
      </c>
      <c r="F6" s="23" t="n">
        <v>24.774</v>
      </c>
      <c r="G6" s="23" t="n">
        <v>24.9</v>
      </c>
      <c r="H6" s="23" t="n">
        <v>23.592</v>
      </c>
      <c r="I6" s="23" t="n">
        <v>25.309</v>
      </c>
      <c r="J6" s="23" t="n">
        <v>38.411</v>
      </c>
      <c r="K6" s="23" t="n">
        <v>26.925</v>
      </c>
      <c r="L6" s="23" t="n">
        <v>29.387</v>
      </c>
      <c r="M6" s="23" t="n">
        <v>29.396</v>
      </c>
      <c r="N6" s="23" t="n">
        <v>29.167</v>
      </c>
      <c r="O6" s="23" t="n">
        <v>31.908</v>
      </c>
      <c r="P6" s="23" t="n">
        <v>37.206</v>
      </c>
      <c r="Q6" s="23" t="n">
        <v>32.898</v>
      </c>
      <c r="R6" s="23" t="n">
        <v>35.08</v>
      </c>
    </row>
    <row r="7">
      <c r="A7" s="2" t="inlineStr">
        <is>
          <t>Operating Expense</t>
        </is>
      </c>
      <c r="B7" s="23">
        <f>SUM(B5:B6)</f>
        <v>33.624</v>
      </c>
      <c r="C7" s="23">
        <f>SUM(C5:C6)</f>
        <v>35.787</v>
      </c>
      <c r="D7" s="23">
        <f>SUM(D5:D6)</f>
        <v>35.931</v>
      </c>
      <c r="E7" s="23">
        <f>SUM(E5:E6)</f>
        <v>34.987</v>
      </c>
      <c r="F7" s="23">
        <f>SUM(F5:F6)</f>
        <v>30.39</v>
      </c>
      <c r="G7" s="23">
        <f>SUM(G5:G6)</f>
        <v>28.288999999999998</v>
      </c>
      <c r="H7" s="23">
        <f>SUM(H5:H6)</f>
        <v>27.439999999999998</v>
      </c>
      <c r="I7" s="23">
        <f>SUM(I5:I6)</f>
        <v>28.5</v>
      </c>
      <c r="J7" s="23">
        <f>SUM(J5:J6)</f>
        <v>42.659</v>
      </c>
      <c r="K7" s="23">
        <f>SUM(K5:K6)</f>
        <v>34.501</v>
      </c>
      <c r="L7" s="23">
        <f>SUM(L5:L6)</f>
        <v>36.255</v>
      </c>
      <c r="M7" s="23">
        <f>SUM(M5:M6)</f>
        <v>35.17</v>
      </c>
      <c r="N7" s="23">
        <f>SUM(N5:N6)</f>
        <v>34.851</v>
      </c>
      <c r="O7" s="23">
        <f>SUM(O5:O6)</f>
        <v>38.597</v>
      </c>
      <c r="P7" s="23">
        <f>SUM(P5:P6)</f>
        <v>43.040000000000006</v>
      </c>
      <c r="Q7" s="23">
        <f>SUM(Q5:Q6)</f>
        <v>37.714000000000006</v>
      </c>
      <c r="R7" s="23">
        <f>SUM(R5:R6)</f>
        <v>40.646</v>
      </c>
    </row>
    <row r="8">
      <c r="A8" s="2" t="inlineStr">
        <is>
          <t>Operating Income</t>
        </is>
      </c>
      <c r="B8" s="23">
        <f>B4-B7</f>
        <v>5.775999999999996</v>
      </c>
      <c r="C8" s="23">
        <f>C4-C7</f>
        <v>6.501999999999995</v>
      </c>
      <c r="D8" s="23">
        <f>D4-D7</f>
        <v>9.849000000000004</v>
      </c>
      <c r="E8" s="23">
        <f>E4-E7</f>
        <v>8.817999999999998</v>
      </c>
      <c r="F8" s="23">
        <f>F4-F7</f>
        <v>-3.8019999999999996</v>
      </c>
      <c r="G8" s="23">
        <f>G4-G7</f>
        <v>3.5600000000000023</v>
      </c>
      <c r="H8" s="23">
        <f>H4-H7</f>
        <v>1.1110000000000007</v>
      </c>
      <c r="I8" s="23">
        <f>I4-I7</f>
        <v>-1.4329999999999963</v>
      </c>
      <c r="J8" s="23">
        <f>J4-J7</f>
        <v>-8.880000000000003</v>
      </c>
      <c r="K8" s="23">
        <f>K4-K7</f>
        <v>-11.172999999999998</v>
      </c>
      <c r="L8" s="23">
        <f>L4-L7</f>
        <v>-9.288000000000004</v>
      </c>
      <c r="M8" s="23">
        <f>M4-M7</f>
        <v>-6.381999999999998</v>
      </c>
      <c r="N8" s="23">
        <f>N4-N7</f>
        <v>-7.677</v>
      </c>
      <c r="O8" s="23">
        <f>O4-O7</f>
        <v>-5.704999999999998</v>
      </c>
      <c r="P8" s="23">
        <f>P4-P7</f>
        <v>-9.55400000000001</v>
      </c>
      <c r="Q8" s="23">
        <f>Q4-Q7</f>
        <v>-6.432000000000002</v>
      </c>
      <c r="R8" s="23">
        <f>R4-R7</f>
        <v>-2.7920000000000016</v>
      </c>
    </row>
    <row r="9">
      <c r="A9" s="19" t="inlineStr">
        <is>
          <t>Interest &amp; Other</t>
        </is>
      </c>
      <c r="B9" s="23" t="n">
        <v>-0.661</v>
      </c>
      <c r="C9" s="23" t="n">
        <v>-1.194</v>
      </c>
      <c r="D9" s="23" t="n">
        <v>-0.111</v>
      </c>
      <c r="E9" s="23" t="n">
        <v>0.269</v>
      </c>
      <c r="F9" s="23" t="n">
        <v>0.174</v>
      </c>
      <c r="G9" s="23" t="n">
        <v>0.246</v>
      </c>
      <c r="H9" s="23" t="n">
        <v>0.196</v>
      </c>
      <c r="I9" s="23" t="n">
        <v>0.158</v>
      </c>
      <c r="J9" s="23" t="n">
        <v>5.076</v>
      </c>
      <c r="K9" s="23" t="n">
        <v>4.227</v>
      </c>
      <c r="L9" s="23" t="n">
        <v>5.671</v>
      </c>
      <c r="M9" s="23" t="n">
        <v>3.098</v>
      </c>
      <c r="N9" s="23" t="n">
        <v>4.205</v>
      </c>
      <c r="O9" s="23" t="n">
        <v>0.204</v>
      </c>
      <c r="P9" s="23" t="n">
        <v>3.321</v>
      </c>
      <c r="Q9" s="23" t="n">
        <v>-0.07000000000000001</v>
      </c>
      <c r="R9" s="23" t="n">
        <v>-0.004</v>
      </c>
    </row>
    <row r="10">
      <c r="A10" s="2" t="inlineStr">
        <is>
          <t>Pretax</t>
        </is>
      </c>
      <c r="B10" s="23">
        <f>B8+B9</f>
        <v>5.114999999999997</v>
      </c>
      <c r="C10" s="23">
        <f>C8+C9</f>
        <v>5.307999999999995</v>
      </c>
      <c r="D10" s="23">
        <f>D8+D9</f>
        <v>9.738000000000003</v>
      </c>
      <c r="E10" s="23">
        <f>E8+E9</f>
        <v>9.086999999999998</v>
      </c>
      <c r="F10" s="23">
        <f>F8+F9</f>
        <v>-3.6279999999999997</v>
      </c>
      <c r="G10" s="23">
        <f>G8+G9</f>
        <v>3.8060000000000023</v>
      </c>
      <c r="H10" s="23">
        <f>H8+H9</f>
        <v>1.3070000000000006</v>
      </c>
      <c r="I10" s="23">
        <f>I8+I9</f>
        <v>-1.2749999999999964</v>
      </c>
      <c r="J10" s="23">
        <f>J8+J9</f>
        <v>-3.804000000000003</v>
      </c>
      <c r="K10" s="23">
        <f>K8+K9</f>
        <v>-6.945999999999998</v>
      </c>
      <c r="L10" s="23">
        <f>L8+L9</f>
        <v>-3.6170000000000035</v>
      </c>
      <c r="M10" s="23">
        <f>M8+M9</f>
        <v>-3.283999999999998</v>
      </c>
      <c r="N10" s="23">
        <f>N8+N9</f>
        <v>-3.4719999999999995</v>
      </c>
      <c r="O10" s="23">
        <f>O8+O9</f>
        <v>-5.500999999999999</v>
      </c>
      <c r="P10" s="23">
        <f>P8+P9</f>
        <v>-6.233000000000009</v>
      </c>
      <c r="Q10" s="23">
        <f>Q8+Q9</f>
        <v>-6.5020000000000024</v>
      </c>
      <c r="R10" s="23">
        <f>R8+R9</f>
        <v>-2.7960000000000016</v>
      </c>
    </row>
    <row r="11">
      <c r="A11" s="2" t="inlineStr">
        <is>
          <t>Taxes</t>
        </is>
      </c>
      <c r="B11" s="23" t="n">
        <v>2.024</v>
      </c>
      <c r="C11" s="23" t="n">
        <v>2.851</v>
      </c>
      <c r="D11" s="23" t="n">
        <v>4.08</v>
      </c>
      <c r="E11" s="23" t="n">
        <v>3.245</v>
      </c>
      <c r="F11" s="23" t="n">
        <v>-1.523</v>
      </c>
      <c r="G11" s="23" t="n">
        <v>1.381</v>
      </c>
      <c r="H11" s="23" t="n">
        <v>0.576</v>
      </c>
      <c r="I11" s="23" t="n">
        <v>-0.331</v>
      </c>
      <c r="J11" s="23" t="n">
        <v>4.175</v>
      </c>
      <c r="K11" s="23" t="n">
        <v>0.017</v>
      </c>
      <c r="L11" s="23" t="n">
        <v>-0.079</v>
      </c>
      <c r="M11" s="23" t="n">
        <v>0.056</v>
      </c>
      <c r="N11" s="23" t="n">
        <v>0.035</v>
      </c>
      <c r="O11" s="23" t="n">
        <v>0.06900000000000001</v>
      </c>
      <c r="P11" s="23" t="n">
        <v>0.046</v>
      </c>
      <c r="Q11" s="23" t="n">
        <v>-0.023</v>
      </c>
      <c r="R11" s="23" t="n">
        <v>0.04</v>
      </c>
    </row>
    <row r="12">
      <c r="A12" s="2" t="inlineStr">
        <is>
          <t>Net Income</t>
        </is>
      </c>
      <c r="B12" s="23" t="n">
        <v>3.091</v>
      </c>
      <c r="C12" s="23" t="n">
        <v>2.457</v>
      </c>
      <c r="D12" s="23" t="n">
        <v>5.658</v>
      </c>
      <c r="E12" s="23" t="n">
        <v>5.842</v>
      </c>
      <c r="F12" s="23" t="n">
        <v>-2.105</v>
      </c>
      <c r="G12" s="23" t="n">
        <v>2.424</v>
      </c>
      <c r="H12" s="23" t="n">
        <v>0.731</v>
      </c>
      <c r="I12" s="23" t="n">
        <v>-0.945</v>
      </c>
      <c r="J12" s="23" t="n">
        <v>-7.979</v>
      </c>
      <c r="K12" s="23" t="n">
        <v>-6.963</v>
      </c>
      <c r="L12" s="23" t="n">
        <v>-3.538</v>
      </c>
      <c r="M12" s="23" t="n">
        <v>-3.339</v>
      </c>
      <c r="N12" s="23" t="n">
        <v>-3.508</v>
      </c>
      <c r="O12" s="23" t="n">
        <v>-5.57</v>
      </c>
      <c r="P12" s="23" t="n">
        <v>-6.279</v>
      </c>
      <c r="Q12" s="23" t="n">
        <v>-6.48</v>
      </c>
      <c r="R12" s="23" t="n">
        <v>-2.836</v>
      </c>
    </row>
    <row r="13">
      <c r="A13" s="2" t="inlineStr">
        <is>
          <t>Earnings per Share</t>
        </is>
      </c>
      <c r="B13" s="11">
        <f>IFERROR(B12/B14,0)</f>
        <v>0.169518481956784</v>
      </c>
      <c r="C13" s="11">
        <f>IFERROR(C12/C14,0)</f>
        <v>0.1166722066574861</v>
      </c>
      <c r="D13" s="11">
        <f>IFERROR(D12/D14,0)</f>
        <v>0.275034026832588</v>
      </c>
      <c r="E13" s="11">
        <f>IFERROR(E12/E14,0)</f>
        <v>0.2952294319789771</v>
      </c>
      <c r="F13" s="11">
        <f>IFERROR(F12/F14,0)</f>
        <v>-0.11482026945944472</v>
      </c>
      <c r="G13" s="11">
        <f>IFERROR(G12/G14,0)</f>
        <v>0.13541899441340782</v>
      </c>
      <c r="H13" s="11">
        <f>IFERROR(H12/H14,0)</f>
        <v>0.042761041240128694</v>
      </c>
      <c r="I13" s="11">
        <f>IFERROR(I12/I14,0)</f>
        <v>-0.05820040647902938</v>
      </c>
      <c r="J13" s="11">
        <f>IFERROR(J12/J14,0)</f>
        <v>-0.5014454499748617</v>
      </c>
      <c r="K13" s="11">
        <f>IFERROR(K12/K14,0)</f>
        <v>-0.44594594594594594</v>
      </c>
      <c r="L13" s="11">
        <f>IFERROR(L12/L14,0)</f>
        <v>-0.22979994803845152</v>
      </c>
      <c r="M13" s="11">
        <f>IFERROR(M12/M14,0)</f>
        <v>-0.22022160664819942</v>
      </c>
      <c r="N13" s="11">
        <f>IFERROR(N12/N14,0)</f>
        <v>-0.23535726266353574</v>
      </c>
      <c r="O13" s="11">
        <f>IFERROR(O12/O14,0)</f>
        <v>-0.3824498764075804</v>
      </c>
      <c r="P13" s="11">
        <f>IFERROR(P12/P14,0)</f>
        <v>-0.4391216168962865</v>
      </c>
      <c r="Q13" s="11">
        <f>IFERROR(Q12/Q14,0)</f>
        <v>-0.4608819345661451</v>
      </c>
      <c r="R13" s="11">
        <f>IFERROR(R12/R14,0)</f>
        <v>-0.19091215079097945</v>
      </c>
    </row>
    <row r="14">
      <c r="A14" s="2" t="inlineStr">
        <is>
          <t>Shares</t>
        </is>
      </c>
      <c r="B14" s="23" t="n">
        <v>18.234</v>
      </c>
      <c r="C14" s="23" t="n">
        <v>21.059</v>
      </c>
      <c r="D14" s="23" t="n">
        <v>20.572</v>
      </c>
      <c r="E14" s="23" t="n">
        <v>19.788</v>
      </c>
      <c r="F14" s="23" t="n">
        <v>18.333</v>
      </c>
      <c r="G14" s="23" t="n">
        <v>17.9</v>
      </c>
      <c r="H14" s="23" t="n">
        <v>17.095</v>
      </c>
      <c r="I14" s="23" t="n">
        <v>16.237</v>
      </c>
      <c r="J14" s="23" t="n">
        <v>15.912</v>
      </c>
      <c r="K14" s="23" t="n">
        <v>15.614</v>
      </c>
      <c r="L14" s="23" t="n">
        <v>15.396</v>
      </c>
      <c r="M14" s="23" t="n">
        <v>15.162</v>
      </c>
      <c r="N14" s="23" t="n">
        <v>14.905</v>
      </c>
      <c r="O14" s="23" t="n">
        <v>14.564</v>
      </c>
      <c r="P14" s="23" t="n">
        <v>14.299</v>
      </c>
      <c r="Q14" s="23" t="n">
        <v>14.06</v>
      </c>
      <c r="R14" s="23" t="n">
        <v>14.855</v>
      </c>
    </row>
    <row r="15"/>
    <row r="16" customFormat="1" s="4">
      <c r="A16" s="3" t="inlineStr">
        <is>
          <t>Revenue Change</t>
        </is>
      </c>
      <c r="C16" s="15">
        <f>IFERROR(C2/B2-1,"")</f>
        <v>0.053724418310862054</v>
      </c>
      <c r="D16" s="15">
        <f>IFERROR(D2/C2-1,"")</f>
        <v>0.1148094864417124</v>
      </c>
      <c r="E16" s="15">
        <f>IFERROR(E2/D2-1,"")</f>
        <v>-0.04481551727509148</v>
      </c>
      <c r="F16" s="15">
        <f>IFERROR(F2/E2-1,"")</f>
        <v>-0.34439417821538965</v>
      </c>
      <c r="G16" s="15">
        <f>IFERROR(G2/F2-1,"")</f>
        <v>0.1522153183251631</v>
      </c>
      <c r="H16" s="15">
        <f>IFERROR(H2/G2-1,"")</f>
        <v>-0.09167524795404047</v>
      </c>
      <c r="I16" s="15">
        <f>IFERROR(I2/H2-1,"")</f>
        <v>-0.014708076016587412</v>
      </c>
      <c r="J16" s="15">
        <f>IFERROR(J2/I2-1,"")</f>
        <v>0.24598800944710209</v>
      </c>
      <c r="K16" s="15">
        <f>IFERROR(K2/J2-1,"")</f>
        <v>-0.28687727825030374</v>
      </c>
      <c r="L16" s="15">
        <f>IFERROR(L2/K2-1,"")</f>
        <v>0.17185210427670805</v>
      </c>
      <c r="M16" s="15">
        <f>IFERROR(M2/L2-1,"")</f>
        <v>0.08878097010585106</v>
      </c>
      <c r="N16" s="15">
        <f>IFERROR(N2/M2-1,"")</f>
        <v>-0.038887850217675934</v>
      </c>
      <c r="O16" s="15">
        <f>IFERROR(O2/N2-1,"")</f>
        <v>0.16745866333194392</v>
      </c>
      <c r="P16" s="15">
        <f>IFERROR(P2/O2-1,"")</f>
        <v>-0.058508485872747706</v>
      </c>
      <c r="Q16" s="15">
        <f>IFERROR(Q2/P2-1,"")</f>
        <v>-0.04260106692286292</v>
      </c>
      <c r="R16" s="15">
        <f>IFERROR(R2/Q2-1,"")</f>
        <v>0.17568923629449662</v>
      </c>
    </row>
    <row r="17" customFormat="1" s="4">
      <c r="A17" s="3" t="inlineStr">
        <is>
          <t>Gross Margin</t>
        </is>
      </c>
      <c r="B17" s="15">
        <f>IFERROR(B4/B2,"")</f>
        <v>0.9049773755656109</v>
      </c>
      <c r="C17" s="15">
        <f>IFERROR(C4/C2,"")</f>
        <v>0.92181096869823</v>
      </c>
      <c r="D17" s="15">
        <f>IFERROR(D4/D2,"")</f>
        <v>0.8951371644213284</v>
      </c>
      <c r="E17" s="15">
        <f>IFERROR(E4/E2,"")</f>
        <v>0.8967063110274099</v>
      </c>
      <c r="F17" s="15">
        <f>IFERROR(F4/F2,"")</f>
        <v>0.8301745402316795</v>
      </c>
      <c r="G17" s="15">
        <f>IFERROR(G4/G2,"")</f>
        <v>0.8630697523169476</v>
      </c>
      <c r="H17" s="15">
        <f>IFERROR(H4/H2,"")</f>
        <v>0.8517855544616486</v>
      </c>
      <c r="I17" s="15">
        <f>IFERROR(I4/I2,"")</f>
        <v>0.8195664022285473</v>
      </c>
      <c r="J17" s="15">
        <f>IFERROR(J4/J2,"")</f>
        <v>0.8208748481166463</v>
      </c>
      <c r="K17" s="15">
        <f>IFERROR(K4/K2,"")</f>
        <v>0.7949565513716136</v>
      </c>
      <c r="L17" s="15">
        <f>IFERROR(L4/L2,"")</f>
        <v>0.7841979760381529</v>
      </c>
      <c r="M17" s="15">
        <f>IFERROR(M4/M2,"")</f>
        <v>0.7688897198258594</v>
      </c>
      <c r="N17" s="15">
        <f>IFERROR(N4/N2,"")</f>
        <v>0.7551479783243018</v>
      </c>
      <c r="O17" s="15">
        <f>IFERROR(O4/O2,"")</f>
        <v>0.782937802004237</v>
      </c>
      <c r="P17" s="15">
        <f>IFERROR(P4/P2,"")</f>
        <v>0.8466108765453948</v>
      </c>
      <c r="Q17" s="15">
        <f>IFERROR(Q4/Q2,"")</f>
        <v>0.8260800676032535</v>
      </c>
      <c r="R17" s="15">
        <f>IFERROR(R4/R2,"")</f>
        <v>0.8502504436108802</v>
      </c>
    </row>
    <row r="18">
      <c r="A18" s="14" t="inlineStr">
        <is>
          <t>Operating Margin</t>
        </is>
      </c>
      <c r="B18" s="15">
        <f>IFERROR(B8/B2,"")</f>
        <v>0.13266876449916154</v>
      </c>
      <c r="C18" s="15">
        <f>IFERROR(C8/C2,"")</f>
        <v>0.14172988054756291</v>
      </c>
      <c r="D18" s="15">
        <f>IFERROR(D8/D2,"")</f>
        <v>0.19257767436403816</v>
      </c>
      <c r="E18" s="15">
        <f>IFERROR(E8/E2,"")</f>
        <v>0.18050807557675377</v>
      </c>
      <c r="F18" s="15">
        <f>IFERROR(F8/F2,"")</f>
        <v>-0.11871233646610671</v>
      </c>
      <c r="G18" s="15">
        <f>IFERROR(G8/G2,"")</f>
        <v>0.0964717359492711</v>
      </c>
      <c r="H18" s="15">
        <f>IFERROR(H8/H2,"")</f>
        <v>0.03314538023210718</v>
      </c>
      <c r="I18" s="15">
        <f>IFERROR(I8/I2,"")</f>
        <v>-0.043390056319263494</v>
      </c>
      <c r="J18" s="15">
        <f>IFERROR(J8/J2,"")</f>
        <v>-0.21579586877278256</v>
      </c>
      <c r="K18" s="15">
        <f>IFERROR(K8/K2,"")</f>
        <v>-0.38074629408757876</v>
      </c>
      <c r="L18" s="15">
        <f>IFERROR(L8/L2,"")</f>
        <v>-0.2700942189135746</v>
      </c>
      <c r="M18" s="15">
        <f>IFERROR(M8/M2,"")</f>
        <v>-0.1704548489623674</v>
      </c>
      <c r="N18" s="15">
        <f>IFERROR(N8/N2,"")</f>
        <v>-0.21333889120466862</v>
      </c>
      <c r="O18" s="15">
        <f>IFERROR(O8/O2,"")</f>
        <v>-0.1357977672514341</v>
      </c>
      <c r="P18" s="15">
        <f>IFERROR(P8/P2,"")</f>
        <v>-0.24154931357924836</v>
      </c>
      <c r="Q18" s="15">
        <f>IFERROR(Q8/Q2,"")</f>
        <v>-0.16985317418400767</v>
      </c>
      <c r="R18" s="15">
        <f>IFERROR(R8/R2,"")</f>
        <v>-0.06271197861683254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Cumberland Pharmaceuticals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0.35306649999999995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3.042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49.5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420.0501983180563</v>
      </c>
      <c r="C29" s="42">
        <f>NPV!B25</f>
        <v>423.91260031805626</v>
      </c>
      <c r="D29" s="43">
        <f>NPV!B27</f>
        <v>28.292703263619238</v>
      </c>
      <c r="E29" s="44">
        <f>NPV!B29</f>
        <v>2.5543597064848287</v>
      </c>
    </row>
    <row r="30">
      <c r="A30" s="45" t="n">
        <v>1</v>
      </c>
      <c r="B30" s="46">
        <f t="dataTable" ref="B30:E32" r1="B4"/>
        <v>162.79381417441863</v>
      </c>
      <c r="C30" s="46">
        <v>166.65621617441863</v>
      </c>
      <c r="D30" s="47">
        <v>11.12294106785853</v>
      </c>
      <c r="E30" s="48">
        <v>0.39735440550986567</v>
      </c>
    </row>
    <row r="31">
      <c r="A31" s="45" t="n">
        <v>2</v>
      </c>
      <c r="B31" s="46">
        <v>420.0501983180563</v>
      </c>
      <c r="C31" s="46">
        <v>423.91260031805626</v>
      </c>
      <c r="D31" s="47">
        <v>28.292703263619238</v>
      </c>
      <c r="E31" s="48">
        <v>2.5543597064848287</v>
      </c>
    </row>
    <row r="32">
      <c r="A32" s="45" t="n">
        <v>3</v>
      </c>
      <c r="B32" s="46">
        <v>834.3574581146775</v>
      </c>
      <c r="C32" s="46">
        <v>838.2198601146774</v>
      </c>
      <c r="D32" s="47">
        <v>55.94432851041359</v>
      </c>
      <c r="E32" s="48">
        <v>6.0281819736700495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28.292703263619238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8.492353703694965</v>
      </c>
      <c r="C37" s="47">
        <v>12.751945987322529</v>
      </c>
      <c r="D37" s="47">
        <v>16.999866830924894</v>
      </c>
      <c r="E37" s="47">
        <v>25.49570851812962</v>
      </c>
      <c r="F37" s="47">
        <v>33.978643920982115</v>
      </c>
    </row>
    <row r="38">
      <c r="A38" s="50" t="n">
        <v>0.8</v>
      </c>
      <c r="B38" s="47">
        <v>11.317866519599384</v>
      </c>
      <c r="C38" s="47">
        <v>16.983352426539618</v>
      </c>
      <c r="D38" s="47">
        <v>22.6472468846761</v>
      </c>
      <c r="E38" s="47">
        <v>33.96227086216672</v>
      </c>
      <c r="F38" s="47">
        <v>45.269973189315934</v>
      </c>
    </row>
    <row r="39">
      <c r="A39" s="50" t="n">
        <v>1</v>
      </c>
      <c r="B39" s="47">
        <v>14.13555308544006</v>
      </c>
      <c r="C39" s="47">
        <v>21.21542115811067</v>
      </c>
      <c r="D39" s="47">
        <v>28.292703263619238</v>
      </c>
      <c r="E39" s="47">
        <v>42.42733117255574</v>
      </c>
      <c r="F39" s="47">
        <v>56.56195908149225</v>
      </c>
    </row>
    <row r="40">
      <c r="A40" s="50" t="n">
        <v>1.2</v>
      </c>
      <c r="B40" s="47">
        <v>16.952310494830947</v>
      </c>
      <c r="C40" s="47">
        <v>25.44815218203568</v>
      </c>
      <c r="D40" s="47">
        <v>33.93149461606349</v>
      </c>
      <c r="E40" s="47">
        <v>50.89304810678729</v>
      </c>
      <c r="F40" s="47">
        <v>67.8546015975111</v>
      </c>
    </row>
    <row r="41">
      <c r="A41" s="50" t="n">
        <v>1.4</v>
      </c>
      <c r="B41" s="47">
        <v>19.7697301965758</v>
      </c>
      <c r="C41" s="47">
        <v>29.676703056094706</v>
      </c>
      <c r="D41" s="47">
        <v>39.57094259235026</v>
      </c>
      <c r="E41" s="47">
        <v>59.35942166486138</v>
      </c>
      <c r="F41" s="47">
        <v>79.14790073737247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Cumberland Pharmaceuticals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Idiopathic pulmonary fibrosis</t>
        </is>
      </c>
      <c r="C4" s="14" t="inlineStr">
        <is>
          <t>Ifetroban Sodium</t>
        </is>
      </c>
      <c r="D4" s="14" t="inlineStr">
        <is>
          <t>Phase 2</t>
        </is>
      </c>
      <c r="E4" s="14" t="inlineStr">
        <is>
          <t>Respiratory / area</t>
        </is>
      </c>
      <c r="F4" s="14" t="inlineStr">
        <is>
          <t>Owned</t>
        </is>
      </c>
      <c r="G4" s="40" t="n">
        <v>2000</v>
      </c>
      <c r="H4" s="27" t="n">
        <v>0.135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306.73160633988954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27.0</v>
      </c>
      <c r="S4" s="23">
        <f>IF(S$3&lt;$I4,0,$G4*Assumptions!$E$11*INDEX(Assumptions!$B$24:$G$24,MIN(6,S$3-$I4+1))*IF(S$3&gt;$J4,(1-Assumptions!$B$26)^(S$3-$J4),1)*IF($H4&gt;=1,1,MIN(0.97,$H4*Assumptions!$E$12)))</f>
        <v>67.5</v>
      </c>
      <c r="T4" s="23">
        <f>IF(T$3&lt;$I4,0,$G4*Assumptions!$E$11*INDEX(Assumptions!$B$24:$G$24,MIN(6,T$3-$I4+1))*IF(T$3&gt;$J4,(1-Assumptions!$B$26)^(T$3-$J4),1)*IF($H4&gt;=1,1,MIN(0.97,$H4*Assumptions!$E$12)))</f>
        <v>121.50000000000001</v>
      </c>
      <c r="U4" s="23">
        <f>IF(U$3&lt;$I4,0,$G4*Assumptions!$E$11*INDEX(Assumptions!$B$24:$G$24,MIN(6,U$3-$I4+1))*IF(U$3&gt;$J4,(1-Assumptions!$B$26)^(U$3-$J4),1)*IF($H4&gt;=1,1,MIN(0.97,$H4*Assumptions!$E$12)))</f>
        <v>175.5</v>
      </c>
      <c r="V4" s="23">
        <f>IF(V$3&lt;$I4,0,$G4*Assumptions!$E$11*INDEX(Assumptions!$B$24:$G$24,MIN(6,V$3-$I4+1))*IF(V$3&gt;$J4,(1-Assumptions!$B$26)^(V$3-$J4),1)*IF($H4&gt;=1,1,MIN(0.97,$H4*Assumptions!$E$12)))</f>
        <v>229.50000000000003</v>
      </c>
      <c r="W4" s="23">
        <f>IF(W$3&lt;$I4,0,$G4*Assumptions!$E$11*INDEX(Assumptions!$B$24:$G$24,MIN(6,W$3-$I4+1))*IF(W$3&gt;$J4,(1-Assumptions!$B$26)^(W$3-$J4),1)*IF($H4&gt;=1,1,MIN(0.97,$H4*Assumptions!$E$12)))</f>
        <v>270.0</v>
      </c>
      <c r="X4" s="23">
        <f>IF(X$3&lt;$I4,0,$G4*Assumptions!$E$11*INDEX(Assumptions!$B$24:$G$24,MIN(6,X$3-$I4+1))*IF(X$3&gt;$J4,(1-Assumptions!$B$26)^(X$3-$J4),1)*IF($H4&gt;=1,1,MIN(0.97,$H4*Assumptions!$E$12)))</f>
        <v>270.0</v>
      </c>
      <c r="Y4" s="23">
        <f>IF(Y$3&lt;$I4,0,$G4*Assumptions!$E$11*INDEX(Assumptions!$B$24:$G$24,MIN(6,Y$3-$I4+1))*IF(Y$3&gt;$J4,(1-Assumptions!$B$26)^(Y$3-$J4),1)*IF($H4&gt;=1,1,MIN(0.97,$H4*Assumptions!$E$12)))</f>
        <v>270.0</v>
      </c>
      <c r="Z4" s="23">
        <f>IF(Z$3&lt;$I4,0,$G4*Assumptions!$E$11*INDEX(Assumptions!$B$24:$G$24,MIN(6,Z$3-$I4+1))*IF(Z$3&gt;$J4,(1-Assumptions!$B$26)^(Z$3-$J4),1)*IF($H4&gt;=1,1,MIN(0.97,$H4*Assumptions!$E$12)))</f>
        <v>270.0</v>
      </c>
      <c r="AA4" s="23">
        <f>IF(AA$3&lt;$I4,0,$G4*Assumptions!$E$11*INDEX(Assumptions!$B$24:$G$24,MIN(6,AA$3-$I4+1))*IF(AA$3&gt;$J4,(1-Assumptions!$B$26)^(AA$3-$J4),1)*IF($H4&gt;=1,1,MIN(0.97,$H4*Assumptions!$E$12)))</f>
        <v>270.0</v>
      </c>
      <c r="AB4" s="23">
        <f>IF(AB$3&lt;$I4,0,$G4*Assumptions!$E$11*INDEX(Assumptions!$B$24:$G$24,MIN(6,AB$3-$I4+1))*IF(AB$3&gt;$J4,(1-Assumptions!$B$26)^(AB$3-$J4),1)*IF($H4&gt;=1,1,MIN(0.97,$H4*Assumptions!$E$12)))</f>
        <v>270.0</v>
      </c>
      <c r="AC4" s="23">
        <f>IF(AC$3&lt;$I4,0,$G4*Assumptions!$E$11*INDEX(Assumptions!$B$24:$G$24,MIN(6,AC$3-$I4+1))*IF(AC$3&gt;$J4,(1-Assumptions!$B$26)^(AC$3-$J4),1)*IF($H4&gt;=1,1,MIN(0.97,$H4*Assumptions!$E$12)))</f>
        <v>270.0</v>
      </c>
      <c r="AD4" s="23">
        <f>IF(AD$3&lt;$I4,0,$G4*Assumptions!$E$11*INDEX(Assumptions!$B$24:$G$24,MIN(6,AD$3-$I4+1))*IF(AD$3&gt;$J4,(1-Assumptions!$B$26)^(AD$3-$J4),1)*IF($H4&gt;=1,1,MIN(0.97,$H4*Assumptions!$E$12)))</f>
        <v>270.0</v>
      </c>
      <c r="AE4" s="23">
        <f>IF(AE$3&lt;$I4,0,$G4*Assumptions!$E$11*INDEX(Assumptions!$B$24:$G$24,MIN(6,AE$3-$I4+1))*IF(AE$3&gt;$J4,(1-Assumptions!$B$26)^(AE$3-$J4),1)*IF($H4&gt;=1,1,MIN(0.97,$H4*Assumptions!$E$12)))</f>
        <v>135.0</v>
      </c>
      <c r="AF4" s="23">
        <f>IF(AF$3&lt;$I4,0,$G4*Assumptions!$E$11*INDEX(Assumptions!$B$24:$G$24,MIN(6,AF$3-$I4+1))*IF(AF$3&gt;$J4,(1-Assumptions!$B$26)^(AF$3-$J4),1)*IF($H4&gt;=1,1,MIN(0.97,$H4*Assumptions!$E$12)))</f>
        <v>67.5</v>
      </c>
      <c r="AG4" s="35">
        <f>IF(F4="Owned",1-IF(H4&gt;=1,1,MIN(0.97,H4*Assumptions!$E$12)),1)</f>
        <v>0.865</v>
      </c>
    </row>
    <row r="5">
      <c r="A5" s="39" t="n">
        <v>2</v>
      </c>
      <c r="B5" s="14" t="inlineStr">
        <is>
          <t>Rare autoimmune</t>
        </is>
      </c>
      <c r="C5" s="14" t="inlineStr">
        <is>
          <t>Oral Ifetroban</t>
        </is>
      </c>
      <c r="D5" s="14" t="inlineStr">
        <is>
          <t>Phase 2</t>
        </is>
      </c>
      <c r="E5" s="14" t="inlineStr">
        <is>
          <t>Autoimmune / rare</t>
        </is>
      </c>
      <c r="F5" s="14" t="inlineStr">
        <is>
          <t>Owned</t>
        </is>
      </c>
      <c r="G5" s="40" t="n">
        <v>800</v>
      </c>
      <c r="H5" s="27" t="n">
        <v>0.2521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229.11714950603306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20.168</v>
      </c>
      <c r="S5" s="23">
        <f>IF(S$3&lt;$I5,0,$G5*Assumptions!$E$11*INDEX(Assumptions!$B$24:$G$24,MIN(6,S$3-$I5+1))*IF(S$3&gt;$J5,(1-Assumptions!$B$26)^(S$3-$J5),1)*IF($H5&gt;=1,1,MIN(0.97,$H5*Assumptions!$E$12)))</f>
        <v>50.42</v>
      </c>
      <c r="T5" s="23">
        <f>IF(T$3&lt;$I5,0,$G5*Assumptions!$E$11*INDEX(Assumptions!$B$24:$G$24,MIN(6,T$3-$I5+1))*IF(T$3&gt;$J5,(1-Assumptions!$B$26)^(T$3-$J5),1)*IF($H5&gt;=1,1,MIN(0.97,$H5*Assumptions!$E$12)))</f>
        <v>90.756</v>
      </c>
      <c r="U5" s="23">
        <f>IF(U$3&lt;$I5,0,$G5*Assumptions!$E$11*INDEX(Assumptions!$B$24:$G$24,MIN(6,U$3-$I5+1))*IF(U$3&gt;$J5,(1-Assumptions!$B$26)^(U$3-$J5),1)*IF($H5&gt;=1,1,MIN(0.97,$H5*Assumptions!$E$12)))</f>
        <v>131.09199999999998</v>
      </c>
      <c r="V5" s="23">
        <f>IF(V$3&lt;$I5,0,$G5*Assumptions!$E$11*INDEX(Assumptions!$B$24:$G$24,MIN(6,V$3-$I5+1))*IF(V$3&gt;$J5,(1-Assumptions!$B$26)^(V$3-$J5),1)*IF($H5&gt;=1,1,MIN(0.97,$H5*Assumptions!$E$12)))</f>
        <v>171.428</v>
      </c>
      <c r="W5" s="23">
        <f>IF(W$3&lt;$I5,0,$G5*Assumptions!$E$11*INDEX(Assumptions!$B$24:$G$24,MIN(6,W$3-$I5+1))*IF(W$3&gt;$J5,(1-Assumptions!$B$26)^(W$3-$J5),1)*IF($H5&gt;=1,1,MIN(0.97,$H5*Assumptions!$E$12)))</f>
        <v>201.68</v>
      </c>
      <c r="X5" s="23">
        <f>IF(X$3&lt;$I5,0,$G5*Assumptions!$E$11*INDEX(Assumptions!$B$24:$G$24,MIN(6,X$3-$I5+1))*IF(X$3&gt;$J5,(1-Assumptions!$B$26)^(X$3-$J5),1)*IF($H5&gt;=1,1,MIN(0.97,$H5*Assumptions!$E$12)))</f>
        <v>201.68</v>
      </c>
      <c r="Y5" s="23">
        <f>IF(Y$3&lt;$I5,0,$G5*Assumptions!$E$11*INDEX(Assumptions!$B$24:$G$24,MIN(6,Y$3-$I5+1))*IF(Y$3&gt;$J5,(1-Assumptions!$B$26)^(Y$3-$J5),1)*IF($H5&gt;=1,1,MIN(0.97,$H5*Assumptions!$E$12)))</f>
        <v>201.68</v>
      </c>
      <c r="Z5" s="23">
        <f>IF(Z$3&lt;$I5,0,$G5*Assumptions!$E$11*INDEX(Assumptions!$B$24:$G$24,MIN(6,Z$3-$I5+1))*IF(Z$3&gt;$J5,(1-Assumptions!$B$26)^(Z$3-$J5),1)*IF($H5&gt;=1,1,MIN(0.97,$H5*Assumptions!$E$12)))</f>
        <v>201.68</v>
      </c>
      <c r="AA5" s="23">
        <f>IF(AA$3&lt;$I5,0,$G5*Assumptions!$E$11*INDEX(Assumptions!$B$24:$G$24,MIN(6,AA$3-$I5+1))*IF(AA$3&gt;$J5,(1-Assumptions!$B$26)^(AA$3-$J5),1)*IF($H5&gt;=1,1,MIN(0.97,$H5*Assumptions!$E$12)))</f>
        <v>201.68</v>
      </c>
      <c r="AB5" s="23">
        <f>IF(AB$3&lt;$I5,0,$G5*Assumptions!$E$11*INDEX(Assumptions!$B$24:$G$24,MIN(6,AB$3-$I5+1))*IF(AB$3&gt;$J5,(1-Assumptions!$B$26)^(AB$3-$J5),1)*IF($H5&gt;=1,1,MIN(0.97,$H5*Assumptions!$E$12)))</f>
        <v>201.68</v>
      </c>
      <c r="AC5" s="23">
        <f>IF(AC$3&lt;$I5,0,$G5*Assumptions!$E$11*INDEX(Assumptions!$B$24:$G$24,MIN(6,AC$3-$I5+1))*IF(AC$3&gt;$J5,(1-Assumptions!$B$26)^(AC$3-$J5),1)*IF($H5&gt;=1,1,MIN(0.97,$H5*Assumptions!$E$12)))</f>
        <v>201.68</v>
      </c>
      <c r="AD5" s="23">
        <f>IF(AD$3&lt;$I5,0,$G5*Assumptions!$E$11*INDEX(Assumptions!$B$24:$G$24,MIN(6,AD$3-$I5+1))*IF(AD$3&gt;$J5,(1-Assumptions!$B$26)^(AD$3-$J5),1)*IF($H5&gt;=1,1,MIN(0.97,$H5*Assumptions!$E$12)))</f>
        <v>201.68</v>
      </c>
      <c r="AE5" s="23">
        <f>IF(AE$3&lt;$I5,0,$G5*Assumptions!$E$11*INDEX(Assumptions!$B$24:$G$24,MIN(6,AE$3-$I5+1))*IF(AE$3&gt;$J5,(1-Assumptions!$B$26)^(AE$3-$J5),1)*IF($H5&gt;=1,1,MIN(0.97,$H5*Assumptions!$E$12)))</f>
        <v>100.84</v>
      </c>
      <c r="AF5" s="23">
        <f>IF(AF$3&lt;$I5,0,$G5*Assumptions!$E$11*INDEX(Assumptions!$B$24:$G$24,MIN(6,AF$3-$I5+1))*IF(AF$3&gt;$J5,(1-Assumptions!$B$26)^(AF$3-$J5),1)*IF($H5&gt;=1,1,MIN(0.97,$H5*Assumptions!$E$12)))</f>
        <v>50.42</v>
      </c>
      <c r="AG5" s="35">
        <f>IF(F5="Owned",1-IF(H5&gt;=1,1,MIN(0.97,H5*Assumptions!$E$12)),1)</f>
        <v>0.7479</v>
      </c>
    </row>
    <row r="6">
      <c r="B6" s="24" t="inlineStr">
        <is>
          <t>Risked revenue</t>
        </is>
      </c>
      <c r="L6" s="54">
        <f>SUM(L4:L5)</f>
        <v>535.8487558459226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47.168</v>
      </c>
      <c r="S6" s="54">
        <f>SUM(S4:S5)</f>
        <v>117.92</v>
      </c>
      <c r="T6" s="54">
        <f>SUM(T4:T5)</f>
        <v>212.25600000000003</v>
      </c>
      <c r="U6" s="54">
        <f>SUM(U4:U5)</f>
        <v>306.592</v>
      </c>
      <c r="V6" s="54">
        <f>SUM(V4:V5)</f>
        <v>400.928</v>
      </c>
      <c r="W6" s="54">
        <f>SUM(W4:W5)</f>
        <v>471.68</v>
      </c>
      <c r="X6" s="54">
        <f>SUM(X4:X5)</f>
        <v>471.68</v>
      </c>
      <c r="Y6" s="54">
        <f>SUM(Y4:Y5)</f>
        <v>471.68</v>
      </c>
      <c r="Z6" s="54">
        <f>SUM(Z4:Z5)</f>
        <v>471.68</v>
      </c>
      <c r="AA6" s="54">
        <f>SUM(AA4:AA5)</f>
        <v>471.68</v>
      </c>
      <c r="AB6" s="54">
        <f>SUM(AB4:AB5)</f>
        <v>471.68</v>
      </c>
      <c r="AC6" s="54">
        <f>SUM(AC4:AC5)</f>
        <v>471.68</v>
      </c>
      <c r="AD6" s="54">
        <f>SUM(AD4:AD5)</f>
        <v>471.68</v>
      </c>
      <c r="AE6" s="54">
        <f>SUM(AE4:AE5)</f>
        <v>235.84</v>
      </c>
      <c r="AF6" s="54">
        <f>SUM(AF4:AF5)</f>
        <v>117.92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18.8672</v>
      </c>
      <c r="S7" s="55">
        <f>SUMPRODUCT(S4:S5,$K$4:$K$5)</f>
        <v>47.168000000000006</v>
      </c>
      <c r="T7" s="55">
        <f>SUMPRODUCT(T4:T5,$K$4:$K$5)</f>
        <v>84.9024</v>
      </c>
      <c r="U7" s="55">
        <f>SUMPRODUCT(U4:U5,$K$4:$K$5)</f>
        <v>122.6368</v>
      </c>
      <c r="V7" s="55">
        <f>SUMPRODUCT(V4:V5,$K$4:$K$5)</f>
        <v>160.37120000000002</v>
      </c>
      <c r="W7" s="55">
        <f>SUMPRODUCT(W4:W5,$K$4:$K$5)</f>
        <v>188.67200000000003</v>
      </c>
      <c r="X7" s="55">
        <f>SUMPRODUCT(X4:X5,$K$4:$K$5)</f>
        <v>188.67200000000003</v>
      </c>
      <c r="Y7" s="55">
        <f>SUMPRODUCT(Y4:Y5,$K$4:$K$5)</f>
        <v>188.67200000000003</v>
      </c>
      <c r="Z7" s="55">
        <f>SUMPRODUCT(Z4:Z5,$K$4:$K$5)</f>
        <v>188.67200000000003</v>
      </c>
      <c r="AA7" s="55">
        <f>SUMPRODUCT(AA4:AA5,$K$4:$K$5)</f>
        <v>188.67200000000003</v>
      </c>
      <c r="AB7" s="55">
        <f>SUMPRODUCT(AB4:AB5,$K$4:$K$5)</f>
        <v>188.67200000000003</v>
      </c>
      <c r="AC7" s="55">
        <f>SUMPRODUCT(AC4:AC5,$K$4:$K$5)</f>
        <v>188.67200000000003</v>
      </c>
      <c r="AD7" s="55">
        <f>SUMPRODUCT(AD4:AD5,$K$4:$K$5)</f>
        <v>188.67200000000003</v>
      </c>
      <c r="AE7" s="55">
        <f>SUMPRODUCT(AE4:AE5,$K$4:$K$5)</f>
        <v>94.33600000000001</v>
      </c>
      <c r="AF7" s="55">
        <f>SUMPRODUCT(AF4:AF5,$K$4:$K$5)</f>
        <v>47.168000000000006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Cumberland Pharmaceuticals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47.168</v>
      </c>
      <c r="I4" s="57">
        <f>Pipeline!S6</f>
        <v>117.92</v>
      </c>
      <c r="J4" s="57">
        <f>Pipeline!T6</f>
        <v>212.25600000000003</v>
      </c>
      <c r="K4" s="57">
        <f>Pipeline!U6</f>
        <v>306.592</v>
      </c>
      <c r="L4" s="57">
        <f>Pipeline!V6</f>
        <v>400.928</v>
      </c>
      <c r="M4" s="57">
        <f>Pipeline!W6</f>
        <v>471.68</v>
      </c>
      <c r="N4" s="57">
        <f>Pipeline!X6</f>
        <v>471.68</v>
      </c>
      <c r="O4" s="57">
        <f>Pipeline!Y6</f>
        <v>471.68</v>
      </c>
      <c r="P4" s="57">
        <f>Pipeline!Z6</f>
        <v>471.68</v>
      </c>
      <c r="Q4" s="57">
        <f>Pipeline!AA6</f>
        <v>471.68</v>
      </c>
      <c r="R4" s="57">
        <f>Pipeline!AB6</f>
        <v>471.68</v>
      </c>
      <c r="S4" s="57">
        <f>Pipeline!AC6</f>
        <v>471.68</v>
      </c>
      <c r="T4" s="57">
        <f>Pipeline!AD6</f>
        <v>471.68</v>
      </c>
      <c r="U4" s="57">
        <f>Pipeline!AE6</f>
        <v>235.84</v>
      </c>
      <c r="V4" s="57">
        <f>Pipeline!AF6</f>
        <v>117.92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18.8672</v>
      </c>
      <c r="I5" s="57">
        <f>Pipeline!S7</f>
        <v>47.168000000000006</v>
      </c>
      <c r="J5" s="57">
        <f>Pipeline!T7</f>
        <v>84.9024</v>
      </c>
      <c r="K5" s="57">
        <f>Pipeline!U7</f>
        <v>122.6368</v>
      </c>
      <c r="L5" s="57">
        <f>Pipeline!V7</f>
        <v>160.37120000000002</v>
      </c>
      <c r="M5" s="57">
        <f>Pipeline!W7</f>
        <v>188.67200000000003</v>
      </c>
      <c r="N5" s="57">
        <f>Pipeline!X7</f>
        <v>188.67200000000003</v>
      </c>
      <c r="O5" s="57">
        <f>Pipeline!Y7</f>
        <v>188.67200000000003</v>
      </c>
      <c r="P5" s="57">
        <f>Pipeline!Z7</f>
        <v>188.67200000000003</v>
      </c>
      <c r="Q5" s="57">
        <f>Pipeline!AA7</f>
        <v>188.67200000000003</v>
      </c>
      <c r="R5" s="57">
        <f>Pipeline!AB7</f>
        <v>188.67200000000003</v>
      </c>
      <c r="S5" s="57">
        <f>Pipeline!AC7</f>
        <v>188.67200000000003</v>
      </c>
      <c r="T5" s="57">
        <f>Pipeline!AD7</f>
        <v>188.67200000000003</v>
      </c>
      <c r="U5" s="57">
        <f>Pipeline!AE7</f>
        <v>94.33600000000001</v>
      </c>
      <c r="V5" s="57">
        <f>Pipeline!AF7</f>
        <v>47.168000000000006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-3.042</v>
      </c>
      <c r="D6" s="23">
        <f>-IF(D3-2026&lt;Assumptions!$B$19,Assumptions!$B$18,Assumptions!$B$18*Assumptions!$B$20*Assumptions!$B$16)</f>
        <v>-3.042</v>
      </c>
      <c r="E6" s="23">
        <f>-IF(E3-2026&lt;Assumptions!$B$19,Assumptions!$B$18,Assumptions!$B$18*Assumptions!$B$20*Assumptions!$B$16)</f>
        <v>-3.042</v>
      </c>
      <c r="F6" s="23">
        <f>-IF(F3-2026&lt;Assumptions!$B$19,Assumptions!$B$18,Assumptions!$B$18*Assumptions!$B$20*Assumptions!$B$16)</f>
        <v>-3.042</v>
      </c>
      <c r="G6" s="23">
        <f>-IF(G3-2026&lt;Assumptions!$B$19,Assumptions!$B$18,Assumptions!$B$18*Assumptions!$B$20*Assumptions!$B$16)</f>
        <v>-0.3222084878999999</v>
      </c>
      <c r="H6" s="23">
        <f>-IF(H3-2026&lt;Assumptions!$B$19,Assumptions!$B$18,Assumptions!$B$18*Assumptions!$B$20*Assumptions!$B$16)</f>
        <v>-0.3222084878999999</v>
      </c>
      <c r="I6" s="23">
        <f>-IF(I3-2026&lt;Assumptions!$B$19,Assumptions!$B$18,Assumptions!$B$18*Assumptions!$B$20*Assumptions!$B$16)</f>
        <v>-0.3222084878999999</v>
      </c>
      <c r="J6" s="23">
        <f>-IF(J3-2026&lt;Assumptions!$B$19,Assumptions!$B$18,Assumptions!$B$18*Assumptions!$B$20*Assumptions!$B$16)</f>
        <v>-0.3222084878999999</v>
      </c>
      <c r="K6" s="23">
        <f>-IF(K3-2026&lt;Assumptions!$B$19,Assumptions!$B$18,Assumptions!$B$18*Assumptions!$B$20*Assumptions!$B$16)</f>
        <v>-0.3222084878999999</v>
      </c>
      <c r="L6" s="23">
        <f>-IF(L3-2026&lt;Assumptions!$B$19,Assumptions!$B$18,Assumptions!$B$18*Assumptions!$B$20*Assumptions!$B$16)</f>
        <v>-0.3222084878999999</v>
      </c>
      <c r="M6" s="23">
        <f>-IF(M3-2026&lt;Assumptions!$B$19,Assumptions!$B$18,Assumptions!$B$18*Assumptions!$B$20*Assumptions!$B$16)</f>
        <v>-0.3222084878999999</v>
      </c>
      <c r="N6" s="23">
        <f>-IF(N3-2026&lt;Assumptions!$B$19,Assumptions!$B$18,Assumptions!$B$18*Assumptions!$B$20*Assumptions!$B$16)</f>
        <v>-0.3222084878999999</v>
      </c>
      <c r="O6" s="23">
        <f>-IF(O3-2026&lt;Assumptions!$B$19,Assumptions!$B$18,Assumptions!$B$18*Assumptions!$B$20*Assumptions!$B$16)</f>
        <v>-0.3222084878999999</v>
      </c>
      <c r="P6" s="23">
        <f>-IF(P3-2026&lt;Assumptions!$B$19,Assumptions!$B$18,Assumptions!$B$18*Assumptions!$B$20*Assumptions!$B$16)</f>
        <v>-0.3222084878999999</v>
      </c>
      <c r="Q6" s="23">
        <f>-IF(Q3-2026&lt;Assumptions!$B$19,Assumptions!$B$18,Assumptions!$B$18*Assumptions!$B$20*Assumptions!$B$16)</f>
        <v>-0.3222084878999999</v>
      </c>
      <c r="R6" s="23">
        <f>-IF(R3-2026&lt;Assumptions!$B$19,Assumptions!$B$18,Assumptions!$B$18*Assumptions!$B$20*Assumptions!$B$16)</f>
        <v>-0.3222084878999999</v>
      </c>
      <c r="S6" s="23">
        <f>-IF(S3-2026&lt;Assumptions!$B$19,Assumptions!$B$18,Assumptions!$B$18*Assumptions!$B$20*Assumptions!$B$16)</f>
        <v>-0.3222084878999999</v>
      </c>
      <c r="T6" s="23">
        <f>-IF(T3-2026&lt;Assumptions!$B$19,Assumptions!$B$18,Assumptions!$B$18*Assumptions!$B$20*Assumptions!$B$16)</f>
        <v>-0.3222084878999999</v>
      </c>
      <c r="U6" s="23">
        <f>-IF(U3-2026&lt;Assumptions!$B$19,Assumptions!$B$18,Assumptions!$B$18*Assumptions!$B$20*Assumptions!$B$16)</f>
        <v>-0.3222084878999999</v>
      </c>
      <c r="V6" s="23">
        <f>-IF(V3-2026&lt;Assumptions!$B$19,Assumptions!$B$18,Assumptions!$B$18*Assumptions!$B$20*Assumptions!$B$16)</f>
        <v>-0.3222084878999999</v>
      </c>
    </row>
    <row r="7">
      <c r="A7" s="14" t="inlineStr">
        <is>
          <t>Pre-tax cash flow</t>
        </is>
      </c>
      <c r="C7" s="23">
        <f>C5+C6</f>
        <v>-3.042</v>
      </c>
      <c r="D7" s="23">
        <f>D5+D6</f>
        <v>-3.042</v>
      </c>
      <c r="E7" s="23">
        <f>E5+E6</f>
        <v>-3.042</v>
      </c>
      <c r="F7" s="23">
        <f>F5+F6</f>
        <v>-3.042</v>
      </c>
      <c r="G7" s="23">
        <f>G5+G6</f>
        <v>-0.3222084878999999</v>
      </c>
      <c r="H7" s="23">
        <f>H5+H6</f>
        <v>18.5449915121</v>
      </c>
      <c r="I7" s="23">
        <f>I5+I6</f>
        <v>46.84579151210001</v>
      </c>
      <c r="J7" s="23">
        <f>J5+J6</f>
        <v>84.5801915121</v>
      </c>
      <c r="K7" s="23">
        <f>K5+K6</f>
        <v>122.3145915121</v>
      </c>
      <c r="L7" s="23">
        <f>L5+L6</f>
        <v>160.0489915121</v>
      </c>
      <c r="M7" s="23">
        <f>M5+M6</f>
        <v>188.3497915121</v>
      </c>
      <c r="N7" s="23">
        <f>N5+N6</f>
        <v>188.3497915121</v>
      </c>
      <c r="O7" s="23">
        <f>O5+O6</f>
        <v>188.3497915121</v>
      </c>
      <c r="P7" s="23">
        <f>P5+P6</f>
        <v>188.3497915121</v>
      </c>
      <c r="Q7" s="23">
        <f>Q5+Q6</f>
        <v>188.3497915121</v>
      </c>
      <c r="R7" s="23">
        <f>R5+R6</f>
        <v>188.3497915121</v>
      </c>
      <c r="S7" s="23">
        <f>S5+S6</f>
        <v>188.3497915121</v>
      </c>
      <c r="T7" s="23">
        <f>T5+T6</f>
        <v>188.3497915121</v>
      </c>
      <c r="U7" s="23">
        <f>U5+U6</f>
        <v>94.01379151210001</v>
      </c>
      <c r="V7" s="23">
        <f>V5+V6</f>
        <v>46.84579151210001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18.5449915121</v>
      </c>
      <c r="I8" s="23">
        <f>MIN(H17,MAX(0,I7))</f>
        <v>43.44521697580001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3.400574536299999</v>
      </c>
      <c r="J9" s="23">
        <f>MAX(0,J7)-J8</f>
        <v>84.5801915121</v>
      </c>
      <c r="K9" s="23">
        <f>MAX(0,K7)-K8</f>
        <v>122.3145915121</v>
      </c>
      <c r="L9" s="23">
        <f>MAX(0,L7)-L8</f>
        <v>160.0489915121</v>
      </c>
      <c r="M9" s="23">
        <f>MAX(0,M7)-M8</f>
        <v>188.3497915121</v>
      </c>
      <c r="N9" s="23">
        <f>MAX(0,N7)-N8</f>
        <v>188.3497915121</v>
      </c>
      <c r="O9" s="23">
        <f>MAX(0,O7)-O8</f>
        <v>188.3497915121</v>
      </c>
      <c r="P9" s="23">
        <f>MAX(0,P7)-P8</f>
        <v>188.3497915121</v>
      </c>
      <c r="Q9" s="23">
        <f>MAX(0,Q7)-Q8</f>
        <v>188.3497915121</v>
      </c>
      <c r="R9" s="23">
        <f>MAX(0,R7)-R8</f>
        <v>188.3497915121</v>
      </c>
      <c r="S9" s="23">
        <f>MAX(0,S7)-S8</f>
        <v>188.3497915121</v>
      </c>
      <c r="T9" s="23">
        <f>MAX(0,T7)-T8</f>
        <v>188.3497915121</v>
      </c>
      <c r="U9" s="23">
        <f>MAX(0,U7)-U8</f>
        <v>94.01379151210001</v>
      </c>
      <c r="V9" s="23">
        <f>MAX(0,V7)-V8</f>
        <v>46.84579151210001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0.7141206526229997</v>
      </c>
      <c r="J10" s="23">
        <f>J9*Assumptions!$E$15</f>
        <v>17.761840217541</v>
      </c>
      <c r="K10" s="23">
        <f>K9*Assumptions!$E$15</f>
        <v>25.686064217541</v>
      </c>
      <c r="L10" s="23">
        <f>L9*Assumptions!$E$15</f>
        <v>33.610288217541</v>
      </c>
      <c r="M10" s="23">
        <f>M9*Assumptions!$E$15</f>
        <v>39.553456217541004</v>
      </c>
      <c r="N10" s="23">
        <f>N9*Assumptions!$E$15</f>
        <v>39.553456217541004</v>
      </c>
      <c r="O10" s="23">
        <f>O9*Assumptions!$E$15</f>
        <v>39.553456217541004</v>
      </c>
      <c r="P10" s="23">
        <f>P9*Assumptions!$E$15</f>
        <v>39.553456217541004</v>
      </c>
      <c r="Q10" s="23">
        <f>Q9*Assumptions!$E$15</f>
        <v>39.553456217541004</v>
      </c>
      <c r="R10" s="23">
        <f>R9*Assumptions!$E$15</f>
        <v>39.553456217541004</v>
      </c>
      <c r="S10" s="23">
        <f>S9*Assumptions!$E$15</f>
        <v>39.553456217541004</v>
      </c>
      <c r="T10" s="23">
        <f>T9*Assumptions!$E$15</f>
        <v>39.553456217541004</v>
      </c>
      <c r="U10" s="23">
        <f>U9*Assumptions!$E$15</f>
        <v>19.742896217541002</v>
      </c>
      <c r="V10" s="23">
        <f>V9*Assumptions!$E$15</f>
        <v>9.837616217541001</v>
      </c>
    </row>
    <row r="11">
      <c r="A11" s="24" t="inlineStr">
        <is>
          <t>Free cash flow</t>
        </is>
      </c>
      <c r="C11" s="55">
        <f>C7-C10</f>
        <v>-3.042</v>
      </c>
      <c r="D11" s="55">
        <f>D7-D10</f>
        <v>-3.042</v>
      </c>
      <c r="E11" s="55">
        <f>E7-E10</f>
        <v>-3.042</v>
      </c>
      <c r="F11" s="55">
        <f>F7-F10</f>
        <v>-3.042</v>
      </c>
      <c r="G11" s="55">
        <f>G7-G10</f>
        <v>-0.3222084878999999</v>
      </c>
      <c r="H11" s="55">
        <f>H7-H10</f>
        <v>18.5449915121</v>
      </c>
      <c r="I11" s="55">
        <f>I7-I10</f>
        <v>46.131670859477005</v>
      </c>
      <c r="J11" s="55">
        <f>J7-J10</f>
        <v>66.818351294559</v>
      </c>
      <c r="K11" s="55">
        <f>K7-K10</f>
        <v>96.62852729455899</v>
      </c>
      <c r="L11" s="55">
        <f>L7-L10</f>
        <v>126.438703294559</v>
      </c>
      <c r="M11" s="55">
        <f>M7-M10</f>
        <v>148.79633529455901</v>
      </c>
      <c r="N11" s="55">
        <f>N7-N10</f>
        <v>148.79633529455901</v>
      </c>
      <c r="O11" s="55">
        <f>O7-O10</f>
        <v>148.79633529455901</v>
      </c>
      <c r="P11" s="55">
        <f>P7-P10</f>
        <v>148.79633529455901</v>
      </c>
      <c r="Q11" s="55">
        <f>Q7-Q10</f>
        <v>148.79633529455901</v>
      </c>
      <c r="R11" s="55">
        <f>R7-R10</f>
        <v>148.79633529455901</v>
      </c>
      <c r="S11" s="55">
        <f>S7-S10</f>
        <v>148.79633529455901</v>
      </c>
      <c r="T11" s="55">
        <f>T7-T10</f>
        <v>148.79633529455901</v>
      </c>
      <c r="U11" s="55">
        <f>U7-U10</f>
        <v>74.27089529455901</v>
      </c>
      <c r="V11" s="55">
        <f>V7-V10</f>
        <v>37.00817529455901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-1.4902890297025995</v>
      </c>
      <c r="D16" s="55">
        <f>D11*D15</f>
        <v>-2.7148097056251848</v>
      </c>
      <c r="E16" s="55">
        <f>E11*E15</f>
        <v>-2.4239372371653425</v>
      </c>
      <c r="F16" s="55">
        <f>F11*F15</f>
        <v>-2.1642296760404847</v>
      </c>
      <c r="G16" s="55">
        <f>G11*G15</f>
        <v>-0.20467419560243236</v>
      </c>
      <c r="H16" s="55">
        <f>H11*H15</f>
        <v>10.518037906282107</v>
      </c>
      <c r="I16" s="55">
        <f>I11*I15</f>
        <v>23.360883028691234</v>
      </c>
      <c r="J16" s="55">
        <f>J11*J15</f>
        <v>30.21118796016134</v>
      </c>
      <c r="K16" s="55">
        <f>K11*K15</f>
        <v>39.008512095143324</v>
      </c>
      <c r="L16" s="55">
        <f>L11*L15</f>
        <v>45.57388323737223</v>
      </c>
      <c r="M16" s="55">
        <f>M11*M15</f>
        <v>47.886182297426714</v>
      </c>
      <c r="N16" s="55">
        <f>N11*N15</f>
        <v>42.7555199084167</v>
      </c>
      <c r="O16" s="55">
        <f>O11*O15</f>
        <v>38.174571346800626</v>
      </c>
      <c r="P16" s="55">
        <f>P11*P15</f>
        <v>34.08443870250055</v>
      </c>
      <c r="Q16" s="55">
        <f>Q11*Q15</f>
        <v>30.432534555804065</v>
      </c>
      <c r="R16" s="55">
        <f>R11*R15</f>
        <v>27.171905853396485</v>
      </c>
      <c r="S16" s="55">
        <f>S11*S15</f>
        <v>24.260630226246857</v>
      </c>
      <c r="T16" s="55">
        <f>T11*T15</f>
        <v>21.661276987720406</v>
      </c>
      <c r="U16" s="55">
        <f>U11*U15</f>
        <v>9.653670184703776</v>
      </c>
      <c r="V16" s="55">
        <f>V11*V15</f>
        <v>4.29490387152594</v>
      </c>
    </row>
    <row r="17">
      <c r="A17" s="14" t="inlineStr">
        <is>
          <t>Tax-loss carryforward, end of year</t>
        </is>
      </c>
      <c r="C17" s="23">
        <f>Assumptions!$B$21-C8+MAX(0,-C7)</f>
        <v>52.542</v>
      </c>
      <c r="D17" s="23">
        <f>C17-D8+MAX(0,-D7)</f>
        <v>55.584</v>
      </c>
      <c r="E17" s="23">
        <f>D17-E8+MAX(0,-E7)</f>
        <v>58.626000000000005</v>
      </c>
      <c r="F17" s="23">
        <f>E17-F8+MAX(0,-F7)</f>
        <v>61.668000000000006</v>
      </c>
      <c r="G17" s="23">
        <f>F17-G8+MAX(0,-G7)</f>
        <v>61.990208487900006</v>
      </c>
      <c r="H17" s="23">
        <f>G17-H8+MAX(0,-H7)</f>
        <v>43.44521697580001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535.8487558459226</v>
      </c>
    </row>
    <row r="20">
      <c r="A20" s="14" t="inlineStr">
        <is>
          <t>PV of corporate burn</t>
        </is>
      </c>
      <c r="B20" s="23">
        <f>SUMPRODUCT(C6:V6,C15:V15)</f>
        <v>-10.391948054874463</v>
      </c>
    </row>
    <row r="21">
      <c r="A21" s="14" t="inlineStr">
        <is>
          <t>PV of taxes</t>
        </is>
      </c>
      <c r="B21" s="23">
        <f>-SUMPRODUCT(C10:V10,C15:V15)</f>
        <v>-105.40660947299182</v>
      </c>
    </row>
    <row r="22">
      <c r="A22" s="24" t="inlineStr">
        <is>
          <t>Pipeline rNPV (operations)</t>
        </is>
      </c>
      <c r="B22" s="54">
        <f>SUM(C16:V16)</f>
        <v>420.0501983180563</v>
      </c>
    </row>
    <row r="23">
      <c r="A23" s="14" t="inlineStr">
        <is>
          <t>Cash &amp; investments</t>
        </is>
      </c>
      <c r="B23" s="57">
        <f>Main!C7</f>
        <v>3.862402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423.91260031805626</v>
      </c>
    </row>
    <row r="26">
      <c r="A26" s="14" t="inlineStr">
        <is>
          <t>Shares (mm)</t>
        </is>
      </c>
      <c r="B26" s="57">
        <f>Main!C4</f>
        <v>14.983107</v>
      </c>
    </row>
    <row r="27">
      <c r="A27" s="24" t="inlineStr">
        <is>
          <t>rNPV / share</t>
        </is>
      </c>
      <c r="B27" s="60">
        <f>B25/B26</f>
        <v>28.292703263619238</v>
      </c>
    </row>
    <row r="28">
      <c r="A28" s="14" t="inlineStr">
        <is>
          <t>Price</t>
        </is>
      </c>
      <c r="B28" s="61">
        <f>Main!C3</f>
        <v>7.96</v>
      </c>
    </row>
    <row r="29">
      <c r="A29" s="14" t="inlineStr">
        <is>
          <t>Upside</t>
        </is>
      </c>
      <c r="B29" s="62">
        <f>B27/B28-1</f>
        <v>2.5543597064848287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2026-10-21T06:28:03Z</dcterms:modified>
  <cp:lastModifiedBy>Wang, Eric</cp:lastModifiedBy>
</cp:coreProperties>
</file>