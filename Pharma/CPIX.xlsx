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Cumberland Pharmaceuticals Inc.</t>
        </is>
      </c>
      <c r="C2" s="10" t="n"/>
    </row>
    <row r="3">
      <c r="B3" t="inlineStr">
        <is>
          <t>Price</t>
        </is>
      </c>
      <c r="C3" s="11">
        <f>INDEX([1]Pharma!$F$1:$F$1000,MATCH("CPIX",[1]Pharma!$B$1:$B$1000,0))</f>
        <v>7.96</v>
      </c>
      <c r="F3" s="1" t="n"/>
    </row>
    <row r="4">
      <c r="B4" t="inlineStr">
        <is>
          <t>Shares</t>
        </is>
      </c>
      <c r="C4" s="21" t="n">
        <v>14.983107</v>
      </c>
      <c r="F4" s="1" t="n"/>
    </row>
    <row r="5">
      <c r="B5" t="inlineStr">
        <is>
          <t>Market Cap.</t>
        </is>
      </c>
      <c r="C5" s="13">
        <f>C3*C4</f>
        <v>119.26553172</v>
      </c>
      <c r="F5" s="1" t="n"/>
    </row>
    <row r="6"/>
    <row r="7">
      <c r="B7" t="inlineStr">
        <is>
          <t>Cash</t>
        </is>
      </c>
      <c r="C7" s="21" t="n">
        <v>3.862402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115.40312972</v>
      </c>
    </row>
    <row r="10"/>
    <row r="11">
      <c r="B11" s="14" t="inlineStr">
        <is>
          <t>Net Cash / Share</t>
        </is>
      </c>
      <c r="C11" s="11">
        <f>(C7-C8)/C4</f>
        <v>0.2577837827628141</v>
      </c>
    </row>
    <row r="12">
      <c r="B12" s="14" t="inlineStr">
        <is>
          <t>Upside</t>
        </is>
      </c>
      <c r="C12" s="15">
        <f>IFERROR(C11/C3-1,"")</f>
        <v>-0.9676151026679882</v>
      </c>
    </row>
    <row r="13">
      <c r="B13" s="14" t="inlineStr">
        <is>
          <t>Cash / Share</t>
        </is>
      </c>
      <c r="C13" s="11">
        <f>IFERROR((C7-C8)/C4,"")</f>
        <v>0.2577837827628141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0.746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115.40312972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2009</v>
      </c>
      <c r="C1" s="17" t="n">
        <v>2010</v>
      </c>
      <c r="D1" s="17" t="n">
        <v>2011</v>
      </c>
      <c r="E1" s="17" t="n">
        <v>2012</v>
      </c>
      <c r="F1" s="17" t="n">
        <v>2013</v>
      </c>
      <c r="G1" s="17" t="n">
        <v>2014</v>
      </c>
      <c r="H1" s="17" t="n">
        <v>2015</v>
      </c>
      <c r="I1" s="17" t="n">
        <v>2016</v>
      </c>
      <c r="J1" s="17" t="n">
        <v>2017</v>
      </c>
      <c r="K1" s="17" t="n">
        <v>2018</v>
      </c>
      <c r="L1" s="17" t="n">
        <v>2019</v>
      </c>
      <c r="M1" s="17" t="n">
        <v>2020</v>
      </c>
      <c r="N1" s="17" t="n">
        <v>2021</v>
      </c>
      <c r="O1" s="17" t="n">
        <v>2022</v>
      </c>
      <c r="P1" s="17" t="n">
        <v>2023</v>
      </c>
      <c r="Q1" s="17" t="n">
        <v>2024</v>
      </c>
      <c r="R1" s="17" t="n">
        <v>2025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43.537</v>
      </c>
      <c r="C2" s="23" t="n">
        <v>45.876</v>
      </c>
      <c r="D2" s="23" t="n">
        <v>51.143</v>
      </c>
      <c r="E2" s="23" t="n">
        <v>48.851</v>
      </c>
      <c r="F2" s="23" t="n">
        <v>32.027</v>
      </c>
      <c r="G2" s="23" t="n">
        <v>36.902</v>
      </c>
      <c r="H2" s="23" t="n">
        <v>33.519</v>
      </c>
      <c r="I2" s="23" t="n">
        <v>33.026</v>
      </c>
      <c r="J2" s="23" t="n">
        <v>41.15</v>
      </c>
      <c r="K2" s="23" t="n">
        <v>29.345</v>
      </c>
      <c r="L2" s="23" t="n">
        <v>34.388</v>
      </c>
      <c r="M2" s="23" t="n">
        <v>37.441</v>
      </c>
      <c r="N2" s="23" t="n">
        <v>35.985</v>
      </c>
      <c r="O2" s="23" t="n">
        <v>42.011</v>
      </c>
      <c r="P2" s="23" t="n">
        <v>39.553</v>
      </c>
      <c r="Q2" s="23" t="n">
        <v>37.868</v>
      </c>
      <c r="R2" s="23" t="n">
        <v>44.521</v>
      </c>
    </row>
    <row r="3" customFormat="1" s="1">
      <c r="A3" s="5" t="inlineStr">
        <is>
          <t>Cost of Sales</t>
        </is>
      </c>
      <c r="B3" s="23" t="n">
        <v>4.137</v>
      </c>
      <c r="C3" s="23" t="n">
        <v>3.587</v>
      </c>
      <c r="D3" s="23" t="n">
        <v>5.363</v>
      </c>
      <c r="E3" s="23" t="n">
        <v>5.046</v>
      </c>
      <c r="F3" s="23" t="n">
        <v>5.439</v>
      </c>
      <c r="G3" s="23" t="n">
        <v>5.053</v>
      </c>
      <c r="H3" s="23" t="n">
        <v>4.968</v>
      </c>
      <c r="I3" s="23" t="n">
        <v>5.959</v>
      </c>
      <c r="J3" s="23" t="n">
        <v>7.371</v>
      </c>
      <c r="K3" s="23" t="n">
        <v>6.017</v>
      </c>
      <c r="L3" s="23" t="n">
        <v>7.421</v>
      </c>
      <c r="M3" s="23" t="n">
        <v>8.653</v>
      </c>
      <c r="N3" s="23" t="n">
        <v>8.811</v>
      </c>
      <c r="O3" s="23" t="n">
        <v>9.119</v>
      </c>
      <c r="P3" s="23" t="n">
        <v>6.067</v>
      </c>
      <c r="Q3" s="23" t="n">
        <v>6.586</v>
      </c>
      <c r="R3" s="23" t="n">
        <v>6.667</v>
      </c>
    </row>
    <row r="4" customFormat="1" s="1">
      <c r="A4" s="5" t="inlineStr">
        <is>
          <t>Gross Margin</t>
        </is>
      </c>
      <c r="B4" s="23">
        <f>B2-B3</f>
        <v>39.4</v>
      </c>
      <c r="C4" s="23">
        <f>C2-C3</f>
        <v>42.288999999999994</v>
      </c>
      <c r="D4" s="23">
        <f>D2-D3</f>
        <v>45.78</v>
      </c>
      <c r="E4" s="23">
        <f>E2-E3</f>
        <v>43.805</v>
      </c>
      <c r="F4" s="23">
        <f>F2-F3</f>
        <v>26.588</v>
      </c>
      <c r="G4" s="23">
        <f>G2-G3</f>
        <v>31.849</v>
      </c>
      <c r="H4" s="23">
        <f>H2-H3</f>
        <v>28.551</v>
      </c>
      <c r="I4" s="23">
        <f>I2-I3</f>
        <v>27.067000000000004</v>
      </c>
      <c r="J4" s="23">
        <f>J2-J3</f>
        <v>33.778999999999996</v>
      </c>
      <c r="K4" s="23">
        <f>K2-K3</f>
        <v>23.328</v>
      </c>
      <c r="L4" s="23">
        <f>L2-L3</f>
        <v>26.967</v>
      </c>
      <c r="M4" s="23">
        <f>M2-M3</f>
        <v>28.788000000000004</v>
      </c>
      <c r="N4" s="23">
        <f>N2-N3</f>
        <v>27.174</v>
      </c>
      <c r="O4" s="23">
        <f>O2-O3</f>
        <v>32.892</v>
      </c>
      <c r="P4" s="23">
        <f>P2-P3</f>
        <v>33.486</v>
      </c>
      <c r="Q4" s="23">
        <f>Q2-Q3</f>
        <v>31.282000000000004</v>
      </c>
      <c r="R4" s="23">
        <f>R2-R3</f>
        <v>37.854</v>
      </c>
    </row>
    <row r="5">
      <c r="A5" s="2" t="inlineStr">
        <is>
          <t>Research &amp; Dev.</t>
        </is>
      </c>
      <c r="B5" s="23" t="n">
        <v>4.993</v>
      </c>
      <c r="C5" s="23" t="n">
        <v>4.327</v>
      </c>
      <c r="D5" s="23" t="n">
        <v>5.028</v>
      </c>
      <c r="E5" s="23" t="n">
        <v>5.095</v>
      </c>
      <c r="F5" s="23" t="n">
        <v>5.616</v>
      </c>
      <c r="G5" s="23" t="n">
        <v>3.389</v>
      </c>
      <c r="H5" s="23" t="n">
        <v>3.848</v>
      </c>
      <c r="I5" s="23" t="n">
        <v>3.191</v>
      </c>
      <c r="J5" s="23" t="n">
        <v>4.248</v>
      </c>
      <c r="K5" s="23" t="n">
        <v>7.576</v>
      </c>
      <c r="L5" s="23" t="n">
        <v>6.868</v>
      </c>
      <c r="M5" s="23" t="n">
        <v>5.774</v>
      </c>
      <c r="N5" s="23" t="n">
        <v>5.684</v>
      </c>
      <c r="O5" s="23" t="n">
        <v>6.689</v>
      </c>
      <c r="P5" s="23" t="n">
        <v>5.834</v>
      </c>
      <c r="Q5" s="23" t="n">
        <v>4.816</v>
      </c>
      <c r="R5" s="23" t="n">
        <v>5.566</v>
      </c>
    </row>
    <row r="6">
      <c r="A6" s="19" t="inlineStr">
        <is>
          <t>SG&amp;A &amp; Other</t>
        </is>
      </c>
      <c r="B6" s="23" t="n">
        <v>28.631</v>
      </c>
      <c r="C6" s="23" t="n">
        <v>31.46</v>
      </c>
      <c r="D6" s="23" t="n">
        <v>30.903</v>
      </c>
      <c r="E6" s="23" t="n">
        <v>29.892</v>
      </c>
      <c r="F6" s="23" t="n">
        <v>24.774</v>
      </c>
      <c r="G6" s="23" t="n">
        <v>24.9</v>
      </c>
      <c r="H6" s="23" t="n">
        <v>23.592</v>
      </c>
      <c r="I6" s="23" t="n">
        <v>25.309</v>
      </c>
      <c r="J6" s="23" t="n">
        <v>38.411</v>
      </c>
      <c r="K6" s="23" t="n">
        <v>26.925</v>
      </c>
      <c r="L6" s="23" t="n">
        <v>29.387</v>
      </c>
      <c r="M6" s="23" t="n">
        <v>29.396</v>
      </c>
      <c r="N6" s="23" t="n">
        <v>29.167</v>
      </c>
      <c r="O6" s="23" t="n">
        <v>31.908</v>
      </c>
      <c r="P6" s="23" t="n">
        <v>37.206</v>
      </c>
      <c r="Q6" s="23" t="n">
        <v>32.898</v>
      </c>
      <c r="R6" s="23" t="n">
        <v>35.08</v>
      </c>
    </row>
    <row r="7">
      <c r="A7" s="2" t="inlineStr">
        <is>
          <t>Operating Expense</t>
        </is>
      </c>
      <c r="B7" s="23">
        <f>SUM(B5:B6)</f>
        <v>33.624</v>
      </c>
      <c r="C7" s="23">
        <f>SUM(C5:C6)</f>
        <v>35.787</v>
      </c>
      <c r="D7" s="23">
        <f>SUM(D5:D6)</f>
        <v>35.931</v>
      </c>
      <c r="E7" s="23">
        <f>SUM(E5:E6)</f>
        <v>34.987</v>
      </c>
      <c r="F7" s="23">
        <f>SUM(F5:F6)</f>
        <v>30.39</v>
      </c>
      <c r="G7" s="23">
        <f>SUM(G5:G6)</f>
        <v>28.288999999999998</v>
      </c>
      <c r="H7" s="23">
        <f>SUM(H5:H6)</f>
        <v>27.439999999999998</v>
      </c>
      <c r="I7" s="23">
        <f>SUM(I5:I6)</f>
        <v>28.5</v>
      </c>
      <c r="J7" s="23">
        <f>SUM(J5:J6)</f>
        <v>42.659</v>
      </c>
      <c r="K7" s="23">
        <f>SUM(K5:K6)</f>
        <v>34.501</v>
      </c>
      <c r="L7" s="23">
        <f>SUM(L5:L6)</f>
        <v>36.255</v>
      </c>
      <c r="M7" s="23">
        <f>SUM(M5:M6)</f>
        <v>35.17</v>
      </c>
      <c r="N7" s="23">
        <f>SUM(N5:N6)</f>
        <v>34.851</v>
      </c>
      <c r="O7" s="23">
        <f>SUM(O5:O6)</f>
        <v>38.597</v>
      </c>
      <c r="P7" s="23">
        <f>SUM(P5:P6)</f>
        <v>43.040000000000006</v>
      </c>
      <c r="Q7" s="23">
        <f>SUM(Q5:Q6)</f>
        <v>37.714000000000006</v>
      </c>
      <c r="R7" s="23">
        <f>SUM(R5:R6)</f>
        <v>40.646</v>
      </c>
    </row>
    <row r="8">
      <c r="A8" s="2" t="inlineStr">
        <is>
          <t>Operating Income</t>
        </is>
      </c>
      <c r="B8" s="23">
        <f>B4-B7</f>
        <v>5.775999999999996</v>
      </c>
      <c r="C8" s="23">
        <f>C4-C7</f>
        <v>6.501999999999995</v>
      </c>
      <c r="D8" s="23">
        <f>D4-D7</f>
        <v>9.849000000000004</v>
      </c>
      <c r="E8" s="23">
        <f>E4-E7</f>
        <v>8.817999999999998</v>
      </c>
      <c r="F8" s="23">
        <f>F4-F7</f>
        <v>-3.8019999999999996</v>
      </c>
      <c r="G8" s="23">
        <f>G4-G7</f>
        <v>3.5600000000000023</v>
      </c>
      <c r="H8" s="23">
        <f>H4-H7</f>
        <v>1.1110000000000007</v>
      </c>
      <c r="I8" s="23">
        <f>I4-I7</f>
        <v>-1.4329999999999963</v>
      </c>
      <c r="J8" s="23">
        <f>J4-J7</f>
        <v>-8.880000000000003</v>
      </c>
      <c r="K8" s="23">
        <f>K4-K7</f>
        <v>-11.172999999999998</v>
      </c>
      <c r="L8" s="23">
        <f>L4-L7</f>
        <v>-9.288000000000004</v>
      </c>
      <c r="M8" s="23">
        <f>M4-M7</f>
        <v>-6.381999999999998</v>
      </c>
      <c r="N8" s="23">
        <f>N4-N7</f>
        <v>-7.677</v>
      </c>
      <c r="O8" s="23">
        <f>O4-O7</f>
        <v>-5.704999999999998</v>
      </c>
      <c r="P8" s="23">
        <f>P4-P7</f>
        <v>-9.55400000000001</v>
      </c>
      <c r="Q8" s="23">
        <f>Q4-Q7</f>
        <v>-6.432000000000002</v>
      </c>
      <c r="R8" s="23">
        <f>R4-R7</f>
        <v>-2.7920000000000016</v>
      </c>
    </row>
    <row r="9">
      <c r="A9" s="19" t="inlineStr">
        <is>
          <t>Interest &amp; Other</t>
        </is>
      </c>
      <c r="B9" s="23" t="n">
        <v>-0.661</v>
      </c>
      <c r="C9" s="23" t="n">
        <v>-1.194</v>
      </c>
      <c r="D9" s="23" t="n">
        <v>-0.111</v>
      </c>
      <c r="E9" s="23" t="n">
        <v>0.269</v>
      </c>
      <c r="F9" s="23" t="n">
        <v>0.174</v>
      </c>
      <c r="G9" s="23" t="n">
        <v>0.246</v>
      </c>
      <c r="H9" s="23" t="n">
        <v>0.196</v>
      </c>
      <c r="I9" s="23" t="n">
        <v>0.158</v>
      </c>
      <c r="J9" s="23" t="n">
        <v>5.076</v>
      </c>
      <c r="K9" s="23" t="n">
        <v>4.227</v>
      </c>
      <c r="L9" s="23" t="n">
        <v>5.671</v>
      </c>
      <c r="M9" s="23" t="n">
        <v>3.098</v>
      </c>
      <c r="N9" s="23" t="n">
        <v>4.205</v>
      </c>
      <c r="O9" s="23" t="n">
        <v>0.204</v>
      </c>
      <c r="P9" s="23" t="n">
        <v>3.321</v>
      </c>
      <c r="Q9" s="23" t="n">
        <v>-0.07000000000000001</v>
      </c>
      <c r="R9" s="23" t="n">
        <v>-0.004</v>
      </c>
    </row>
    <row r="10">
      <c r="A10" s="2" t="inlineStr">
        <is>
          <t>Pretax</t>
        </is>
      </c>
      <c r="B10" s="23">
        <f>B8+B9</f>
        <v>5.114999999999997</v>
      </c>
      <c r="C10" s="23">
        <f>C8+C9</f>
        <v>5.307999999999995</v>
      </c>
      <c r="D10" s="23">
        <f>D8+D9</f>
        <v>9.738000000000003</v>
      </c>
      <c r="E10" s="23">
        <f>E8+E9</f>
        <v>9.086999999999998</v>
      </c>
      <c r="F10" s="23">
        <f>F8+F9</f>
        <v>-3.6279999999999997</v>
      </c>
      <c r="G10" s="23">
        <f>G8+G9</f>
        <v>3.8060000000000023</v>
      </c>
      <c r="H10" s="23">
        <f>H8+H9</f>
        <v>1.3070000000000006</v>
      </c>
      <c r="I10" s="23">
        <f>I8+I9</f>
        <v>-1.2749999999999964</v>
      </c>
      <c r="J10" s="23">
        <f>J8+J9</f>
        <v>-3.804000000000003</v>
      </c>
      <c r="K10" s="23">
        <f>K8+K9</f>
        <v>-6.945999999999998</v>
      </c>
      <c r="L10" s="23">
        <f>L8+L9</f>
        <v>-3.6170000000000035</v>
      </c>
      <c r="M10" s="23">
        <f>M8+M9</f>
        <v>-3.283999999999998</v>
      </c>
      <c r="N10" s="23">
        <f>N8+N9</f>
        <v>-3.4719999999999995</v>
      </c>
      <c r="O10" s="23">
        <f>O8+O9</f>
        <v>-5.500999999999999</v>
      </c>
      <c r="P10" s="23">
        <f>P8+P9</f>
        <v>-6.233000000000009</v>
      </c>
      <c r="Q10" s="23">
        <f>Q8+Q9</f>
        <v>-6.5020000000000024</v>
      </c>
      <c r="R10" s="23">
        <f>R8+R9</f>
        <v>-2.7960000000000016</v>
      </c>
    </row>
    <row r="11">
      <c r="A11" s="2" t="inlineStr">
        <is>
          <t>Taxes</t>
        </is>
      </c>
      <c r="B11" s="23" t="n">
        <v>2.024</v>
      </c>
      <c r="C11" s="23" t="n">
        <v>2.851</v>
      </c>
      <c r="D11" s="23" t="n">
        <v>4.08</v>
      </c>
      <c r="E11" s="23" t="n">
        <v>3.245</v>
      </c>
      <c r="F11" s="23" t="n">
        <v>-1.523</v>
      </c>
      <c r="G11" s="23" t="n">
        <v>1.381</v>
      </c>
      <c r="H11" s="23" t="n">
        <v>0.576</v>
      </c>
      <c r="I11" s="23" t="n">
        <v>-0.331</v>
      </c>
      <c r="J11" s="23" t="n">
        <v>4.175</v>
      </c>
      <c r="K11" s="23" t="n">
        <v>0.017</v>
      </c>
      <c r="L11" s="23" t="n">
        <v>-0.079</v>
      </c>
      <c r="M11" s="23" t="n">
        <v>0.056</v>
      </c>
      <c r="N11" s="23" t="n">
        <v>0.035</v>
      </c>
      <c r="O11" s="23" t="n">
        <v>0.06900000000000001</v>
      </c>
      <c r="P11" s="23" t="n">
        <v>0.046</v>
      </c>
      <c r="Q11" s="23" t="n">
        <v>-0.023</v>
      </c>
      <c r="R11" s="23" t="n">
        <v>0.04</v>
      </c>
    </row>
    <row r="12">
      <c r="A12" s="2" t="inlineStr">
        <is>
          <t>Net Income</t>
        </is>
      </c>
      <c r="B12" s="23" t="n">
        <v>3.091</v>
      </c>
      <c r="C12" s="23" t="n">
        <v>2.457</v>
      </c>
      <c r="D12" s="23" t="n">
        <v>5.658</v>
      </c>
      <c r="E12" s="23" t="n">
        <v>5.842</v>
      </c>
      <c r="F12" s="23" t="n">
        <v>-2.105</v>
      </c>
      <c r="G12" s="23" t="n">
        <v>2.424</v>
      </c>
      <c r="H12" s="23" t="n">
        <v>0.731</v>
      </c>
      <c r="I12" s="23" t="n">
        <v>-0.945</v>
      </c>
      <c r="J12" s="23" t="n">
        <v>-7.979</v>
      </c>
      <c r="K12" s="23" t="n">
        <v>-6.963</v>
      </c>
      <c r="L12" s="23" t="n">
        <v>-3.538</v>
      </c>
      <c r="M12" s="23" t="n">
        <v>-3.339</v>
      </c>
      <c r="N12" s="23" t="n">
        <v>-3.508</v>
      </c>
      <c r="O12" s="23" t="n">
        <v>-5.57</v>
      </c>
      <c r="P12" s="23" t="n">
        <v>-6.279</v>
      </c>
      <c r="Q12" s="23" t="n">
        <v>-6.48</v>
      </c>
      <c r="R12" s="23" t="n">
        <v>-2.836</v>
      </c>
    </row>
    <row r="13">
      <c r="A13" s="2" t="inlineStr">
        <is>
          <t>Earnings per Share</t>
        </is>
      </c>
      <c r="B13" s="11">
        <f>IFERROR(B12/B14,0)</f>
        <v>0.169518481956784</v>
      </c>
      <c r="C13" s="11">
        <f>IFERROR(C12/C14,0)</f>
        <v>0.1166722066574861</v>
      </c>
      <c r="D13" s="11">
        <f>IFERROR(D12/D14,0)</f>
        <v>0.275034026832588</v>
      </c>
      <c r="E13" s="11">
        <f>IFERROR(E12/E14,0)</f>
        <v>0.2952294319789771</v>
      </c>
      <c r="F13" s="11">
        <f>IFERROR(F12/F14,0)</f>
        <v>-0.11482026945944472</v>
      </c>
      <c r="G13" s="11">
        <f>IFERROR(G12/G14,0)</f>
        <v>0.13541899441340782</v>
      </c>
      <c r="H13" s="11">
        <f>IFERROR(H12/H14,0)</f>
        <v>0.042761041240128694</v>
      </c>
      <c r="I13" s="11">
        <f>IFERROR(I12/I14,0)</f>
        <v>-0.05820040647902938</v>
      </c>
      <c r="J13" s="11">
        <f>IFERROR(J12/J14,0)</f>
        <v>-0.5014454499748617</v>
      </c>
      <c r="K13" s="11">
        <f>IFERROR(K12/K14,0)</f>
        <v>-0.44594594594594594</v>
      </c>
      <c r="L13" s="11">
        <f>IFERROR(L12/L14,0)</f>
        <v>-0.22979994803845152</v>
      </c>
      <c r="M13" s="11">
        <f>IFERROR(M12/M14,0)</f>
        <v>-0.22022160664819942</v>
      </c>
      <c r="N13" s="11">
        <f>IFERROR(N12/N14,0)</f>
        <v>-0.23535726266353574</v>
      </c>
      <c r="O13" s="11">
        <f>IFERROR(O12/O14,0)</f>
        <v>-0.3824498764075804</v>
      </c>
      <c r="P13" s="11">
        <f>IFERROR(P12/P14,0)</f>
        <v>-0.4391216168962865</v>
      </c>
      <c r="Q13" s="11">
        <f>IFERROR(Q12/Q14,0)</f>
        <v>-0.4608819345661451</v>
      </c>
      <c r="R13" s="11">
        <f>IFERROR(R12/R14,0)</f>
        <v>-0.19091215079097945</v>
      </c>
    </row>
    <row r="14">
      <c r="A14" s="2" t="inlineStr">
        <is>
          <t>Shares</t>
        </is>
      </c>
      <c r="B14" s="23" t="n">
        <v>18.234</v>
      </c>
      <c r="C14" s="23" t="n">
        <v>21.059</v>
      </c>
      <c r="D14" s="23" t="n">
        <v>20.572</v>
      </c>
      <c r="E14" s="23" t="n">
        <v>19.788</v>
      </c>
      <c r="F14" s="23" t="n">
        <v>18.333</v>
      </c>
      <c r="G14" s="23" t="n">
        <v>17.9</v>
      </c>
      <c r="H14" s="23" t="n">
        <v>17.095</v>
      </c>
      <c r="I14" s="23" t="n">
        <v>16.237</v>
      </c>
      <c r="J14" s="23" t="n">
        <v>15.912</v>
      </c>
      <c r="K14" s="23" t="n">
        <v>15.614</v>
      </c>
      <c r="L14" s="23" t="n">
        <v>15.396</v>
      </c>
      <c r="M14" s="23" t="n">
        <v>15.162</v>
      </c>
      <c r="N14" s="23" t="n">
        <v>14.905</v>
      </c>
      <c r="O14" s="23" t="n">
        <v>14.564</v>
      </c>
      <c r="P14" s="23" t="n">
        <v>14.299</v>
      </c>
      <c r="Q14" s="23" t="n">
        <v>14.06</v>
      </c>
      <c r="R14" s="23" t="n">
        <v>14.855</v>
      </c>
    </row>
    <row r="15"/>
    <row r="16" customFormat="1" s="4">
      <c r="A16" s="3" t="inlineStr">
        <is>
          <t>Revenue Change</t>
        </is>
      </c>
      <c r="C16" s="15">
        <f>IFERROR(C2/B2-1,"")</f>
        <v>0.053724418310862054</v>
      </c>
      <c r="D16" s="15">
        <f>IFERROR(D2/C2-1,"")</f>
        <v>0.1148094864417124</v>
      </c>
      <c r="E16" s="15">
        <f>IFERROR(E2/D2-1,"")</f>
        <v>-0.04481551727509148</v>
      </c>
      <c r="F16" s="15">
        <f>IFERROR(F2/E2-1,"")</f>
        <v>-0.34439417821538965</v>
      </c>
      <c r="G16" s="15">
        <f>IFERROR(G2/F2-1,"")</f>
        <v>0.1522153183251631</v>
      </c>
      <c r="H16" s="15">
        <f>IFERROR(H2/G2-1,"")</f>
        <v>-0.09167524795404047</v>
      </c>
      <c r="I16" s="15">
        <f>IFERROR(I2/H2-1,"")</f>
        <v>-0.014708076016587412</v>
      </c>
      <c r="J16" s="15">
        <f>IFERROR(J2/I2-1,"")</f>
        <v>0.24598800944710209</v>
      </c>
      <c r="K16" s="15">
        <f>IFERROR(K2/J2-1,"")</f>
        <v>-0.28687727825030374</v>
      </c>
      <c r="L16" s="15">
        <f>IFERROR(L2/K2-1,"")</f>
        <v>0.17185210427670805</v>
      </c>
      <c r="M16" s="15">
        <f>IFERROR(M2/L2-1,"")</f>
        <v>0.08878097010585106</v>
      </c>
      <c r="N16" s="15">
        <f>IFERROR(N2/M2-1,"")</f>
        <v>-0.038887850217675934</v>
      </c>
      <c r="O16" s="15">
        <f>IFERROR(O2/N2-1,"")</f>
        <v>0.16745866333194392</v>
      </c>
      <c r="P16" s="15">
        <f>IFERROR(P2/O2-1,"")</f>
        <v>-0.058508485872747706</v>
      </c>
      <c r="Q16" s="15">
        <f>IFERROR(Q2/P2-1,"")</f>
        <v>-0.04260106692286292</v>
      </c>
      <c r="R16" s="15">
        <f>IFERROR(R2/Q2-1,"")</f>
        <v>0.17568923629449662</v>
      </c>
    </row>
    <row r="17" customFormat="1" s="4">
      <c r="A17" s="3" t="inlineStr">
        <is>
          <t>Gross Margin</t>
        </is>
      </c>
      <c r="B17" s="15">
        <f>IFERROR(B4/B2,"")</f>
        <v>0.9049773755656109</v>
      </c>
      <c r="C17" s="15">
        <f>IFERROR(C4/C2,"")</f>
        <v>0.92181096869823</v>
      </c>
      <c r="D17" s="15">
        <f>IFERROR(D4/D2,"")</f>
        <v>0.8951371644213284</v>
      </c>
      <c r="E17" s="15">
        <f>IFERROR(E4/E2,"")</f>
        <v>0.8967063110274099</v>
      </c>
      <c r="F17" s="15">
        <f>IFERROR(F4/F2,"")</f>
        <v>0.8301745402316795</v>
      </c>
      <c r="G17" s="15">
        <f>IFERROR(G4/G2,"")</f>
        <v>0.8630697523169476</v>
      </c>
      <c r="H17" s="15">
        <f>IFERROR(H4/H2,"")</f>
        <v>0.8517855544616486</v>
      </c>
      <c r="I17" s="15">
        <f>IFERROR(I4/I2,"")</f>
        <v>0.8195664022285473</v>
      </c>
      <c r="J17" s="15">
        <f>IFERROR(J4/J2,"")</f>
        <v>0.8208748481166463</v>
      </c>
      <c r="K17" s="15">
        <f>IFERROR(K4/K2,"")</f>
        <v>0.7949565513716136</v>
      </c>
      <c r="L17" s="15">
        <f>IFERROR(L4/L2,"")</f>
        <v>0.7841979760381529</v>
      </c>
      <c r="M17" s="15">
        <f>IFERROR(M4/M2,"")</f>
        <v>0.7688897198258594</v>
      </c>
      <c r="N17" s="15">
        <f>IFERROR(N4/N2,"")</f>
        <v>0.7551479783243018</v>
      </c>
      <c r="O17" s="15">
        <f>IFERROR(O4/O2,"")</f>
        <v>0.782937802004237</v>
      </c>
      <c r="P17" s="15">
        <f>IFERROR(P4/P2,"")</f>
        <v>0.8466108765453948</v>
      </c>
      <c r="Q17" s="15">
        <f>IFERROR(Q4/Q2,"")</f>
        <v>0.8260800676032535</v>
      </c>
      <c r="R17" s="15">
        <f>IFERROR(R4/R2,"")</f>
        <v>0.8502504436108802</v>
      </c>
    </row>
    <row r="18">
      <c r="A18" s="14" t="inlineStr">
        <is>
          <t>Operating Margin</t>
        </is>
      </c>
      <c r="B18" s="15">
        <f>IFERROR(B8/B2,"")</f>
        <v>0.13266876449916154</v>
      </c>
      <c r="C18" s="15">
        <f>IFERROR(C8/C2,"")</f>
        <v>0.14172988054756291</v>
      </c>
      <c r="D18" s="15">
        <f>IFERROR(D8/D2,"")</f>
        <v>0.19257767436403816</v>
      </c>
      <c r="E18" s="15">
        <f>IFERROR(E8/E2,"")</f>
        <v>0.18050807557675377</v>
      </c>
      <c r="F18" s="15">
        <f>IFERROR(F8/F2,"")</f>
        <v>-0.11871233646610671</v>
      </c>
      <c r="G18" s="15">
        <f>IFERROR(G8/G2,"")</f>
        <v>0.0964717359492711</v>
      </c>
      <c r="H18" s="15">
        <f>IFERROR(H8/H2,"")</f>
        <v>0.03314538023210718</v>
      </c>
      <c r="I18" s="15">
        <f>IFERROR(I8/I2,"")</f>
        <v>-0.043390056319263494</v>
      </c>
      <c r="J18" s="15">
        <f>IFERROR(J8/J2,"")</f>
        <v>-0.21579586877278256</v>
      </c>
      <c r="K18" s="15">
        <f>IFERROR(K8/K2,"")</f>
        <v>-0.38074629408757876</v>
      </c>
      <c r="L18" s="15">
        <f>IFERROR(L8/L2,"")</f>
        <v>-0.2700942189135746</v>
      </c>
      <c r="M18" s="15">
        <f>IFERROR(M8/M2,"")</f>
        <v>-0.1704548489623674</v>
      </c>
      <c r="N18" s="15">
        <f>IFERROR(N8/N2,"")</f>
        <v>-0.21333889120466862</v>
      </c>
      <c r="O18" s="15">
        <f>IFERROR(O8/O2,"")</f>
        <v>-0.1357977672514341</v>
      </c>
      <c r="P18" s="15">
        <f>IFERROR(P8/P2,"")</f>
        <v>-0.24154931357924836</v>
      </c>
      <c r="Q18" s="15">
        <f>IFERROR(Q8/Q2,"")</f>
        <v>-0.16985317418400767</v>
      </c>
      <c r="R18" s="15">
        <f>IFERROR(R8/R2,"")</f>
        <v>-0.06271197861683254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2026-10-21T01:05:54Z</dcterms:modified>
  <cp:lastModifiedBy>Wang, Eric</cp:lastModifiedBy>
</cp:coreProperties>
</file>