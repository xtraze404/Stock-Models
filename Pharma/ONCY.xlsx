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Oncolytics Biotech Inc</t>
        </is>
      </c>
      <c r="C2" s="10" t="n"/>
    </row>
    <row r="3">
      <c r="B3" t="inlineStr">
        <is>
          <t>Price</t>
        </is>
      </c>
      <c r="C3" s="11">
        <f>INDEX([1]Pharma!$F$1:$F$1000,MATCH("ONCY",[1]Pharma!$B$1:$B$1000,0))</f>
        <v>0.4986</v>
      </c>
      <c r="F3" s="1" t="n"/>
    </row>
    <row r="4">
      <c r="B4" t="inlineStr">
        <is>
          <t>Shares</t>
        </is>
      </c>
      <c r="C4" s="21" t="n">
        <v>127.510505</v>
      </c>
      <c r="F4" s="1" t="n"/>
    </row>
    <row r="5">
      <c r="B5" t="inlineStr">
        <is>
          <t>Market Cap.</t>
        </is>
      </c>
      <c r="C5" s="13">
        <f>C3*C4</f>
        <v>63.57673779299999</v>
      </c>
      <c r="F5" s="1" t="n"/>
    </row>
    <row r="6"/>
    <row r="7">
      <c r="B7" t="inlineStr">
        <is>
          <t>Cash</t>
        </is>
      </c>
      <c r="C7" s="21" t="n">
        <v>4.115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59.46173779299999</v>
      </c>
    </row>
    <row r="10"/>
    <row r="11">
      <c r="B11" s="14" t="inlineStr">
        <is>
          <t>Net Cash / Share</t>
        </is>
      </c>
      <c r="C11" s="11">
        <f>(C7-C8)/C4</f>
        <v>0.03227185085652355</v>
      </c>
    </row>
    <row r="12">
      <c r="B12" s="14" t="inlineStr">
        <is>
          <t>Upside</t>
        </is>
      </c>
      <c r="C12" s="15">
        <f>IFERROR(C11/C3-1,"")</f>
        <v>-0.9352750684786932</v>
      </c>
    </row>
    <row r="13">
      <c r="B13" s="14" t="inlineStr">
        <is>
          <t>Cash / Share</t>
        </is>
      </c>
      <c r="C13" s="11">
        <f>IFERROR((C7-C8)/C4,"")</f>
        <v>0.03227185085652355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-26.704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0.15409676452965848</v>
      </c>
    </row>
    <row r="19">
      <c r="B19" s="14" t="inlineStr">
        <is>
          <t>Implied Pipeline Value</t>
        </is>
      </c>
      <c r="C19" s="13">
        <f>C9</f>
        <v>59.46173779299999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2015</v>
      </c>
      <c r="C1" s="17" t="n">
        <v>2016</v>
      </c>
      <c r="D1" s="17" t="n">
        <v>2017</v>
      </c>
      <c r="E1" s="17" t="n">
        <v>2018</v>
      </c>
      <c r="F1" s="17" t="n">
        <v>2019</v>
      </c>
      <c r="G1" s="17" t="n">
        <v>2020</v>
      </c>
      <c r="H1" s="17" t="n">
        <v>2021</v>
      </c>
      <c r="I1" s="17" t="n">
        <v>2022</v>
      </c>
      <c r="J1" s="17" t="n">
        <v>2023</v>
      </c>
      <c r="K1" s="17" t="n">
        <v>2024</v>
      </c>
      <c r="L1" s="17" t="n">
        <v>2025</v>
      </c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4.366</v>
      </c>
      <c r="E2" s="23" t="n">
        <v>0.387</v>
      </c>
      <c r="F2" s="23" t="n">
        <v>0</v>
      </c>
      <c r="G2" s="23" t="n">
        <v>0</v>
      </c>
      <c r="H2" s="23" t="n">
        <v>0</v>
      </c>
      <c r="I2" s="23" t="n">
        <v>0</v>
      </c>
      <c r="J2" s="23" t="n">
        <v>0</v>
      </c>
      <c r="K2" s="23" t="n">
        <v>0</v>
      </c>
      <c r="L2" s="23" t="n">
        <v>0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  <c r="L3" s="23" t="n">
        <v>0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4.366</v>
      </c>
      <c r="E4" s="23">
        <f>E2-E3</f>
        <v>0.387</v>
      </c>
      <c r="F4" s="23">
        <f>F2-F3</f>
        <v>0.0</v>
      </c>
      <c r="G4" s="23">
        <f>G2-G3</f>
        <v>0.0</v>
      </c>
      <c r="H4" s="23">
        <f>H2-H3</f>
        <v>0.0</v>
      </c>
      <c r="I4" s="23">
        <f>I2-I3</f>
        <v>0.0</v>
      </c>
      <c r="J4" s="23">
        <f>J2-J3</f>
        <v>0.0</v>
      </c>
      <c r="K4" s="23">
        <f>K2-K3</f>
        <v>0.0</v>
      </c>
      <c r="L4" s="23">
        <f>L2-L3</f>
        <v>0.0</v>
      </c>
    </row>
    <row r="5">
      <c r="A5" s="2" t="inlineStr">
        <is>
          <t>Research &amp; Dev.</t>
        </is>
      </c>
      <c r="B5" s="23" t="n">
        <v>6.074</v>
      </c>
      <c r="C5" s="23" t="n">
        <v>6.899</v>
      </c>
      <c r="D5" s="23" t="n">
        <v>6.633</v>
      </c>
      <c r="E5" s="23" t="n">
        <v>7.081</v>
      </c>
      <c r="F5" s="23" t="n">
        <v>7.639</v>
      </c>
      <c r="G5" s="23" t="n">
        <v>9.141</v>
      </c>
      <c r="H5" s="23" t="n">
        <v>9.124000000000001</v>
      </c>
      <c r="I5" s="23" t="n">
        <v>10.898</v>
      </c>
      <c r="J5" s="23" t="n">
        <v>12.505</v>
      </c>
      <c r="K5" s="23" t="n">
        <v>15.443</v>
      </c>
      <c r="L5" s="23" t="n">
        <v>13.314</v>
      </c>
    </row>
    <row r="6">
      <c r="A6" s="19" t="inlineStr">
        <is>
          <t>SG&amp;A &amp; Other</t>
        </is>
      </c>
      <c r="B6" s="23" t="n">
        <v>3.754</v>
      </c>
      <c r="C6" s="23" t="n">
        <v>3.901</v>
      </c>
      <c r="D6" s="23" t="n">
        <v>8.753</v>
      </c>
      <c r="E6" s="23" t="n">
        <v>5.503</v>
      </c>
      <c r="F6" s="23" t="n">
        <v>6.75</v>
      </c>
      <c r="G6" s="23" t="n">
        <v>8.837</v>
      </c>
      <c r="H6" s="23" t="n">
        <v>9.403</v>
      </c>
      <c r="I6" s="23" t="n">
        <v>8.115</v>
      </c>
      <c r="J6" s="23" t="n">
        <v>11.357</v>
      </c>
      <c r="K6" s="23" t="n">
        <v>10.099</v>
      </c>
      <c r="L6" s="23" t="n">
        <v>15.411</v>
      </c>
    </row>
    <row r="7">
      <c r="A7" s="2" t="inlineStr">
        <is>
          <t>Operating Expense</t>
        </is>
      </c>
      <c r="B7" s="23">
        <f>SUM(B5:B6)</f>
        <v>9.828</v>
      </c>
      <c r="C7" s="23">
        <f>SUM(C5:C6)</f>
        <v>10.8</v>
      </c>
      <c r="D7" s="23">
        <f>SUM(D5:D6)</f>
        <v>15.386</v>
      </c>
      <c r="E7" s="23">
        <f>SUM(E5:E6)</f>
        <v>12.584</v>
      </c>
      <c r="F7" s="23">
        <f>SUM(F5:F6)</f>
        <v>14.389</v>
      </c>
      <c r="G7" s="23">
        <f>SUM(G5:G6)</f>
        <v>17.978</v>
      </c>
      <c r="H7" s="23">
        <f>SUM(H5:H6)</f>
        <v>18.527</v>
      </c>
      <c r="I7" s="23">
        <f>SUM(I5:I6)</f>
        <v>19.012999999999998</v>
      </c>
      <c r="J7" s="23">
        <f>SUM(J5:J6)</f>
        <v>23.862000000000002</v>
      </c>
      <c r="K7" s="23">
        <f>SUM(K5:K6)</f>
        <v>25.542</v>
      </c>
      <c r="L7" s="23">
        <f>SUM(L5:L6)</f>
        <v>28.725</v>
      </c>
    </row>
    <row r="8">
      <c r="A8" s="2" t="inlineStr">
        <is>
          <t>Operating Income</t>
        </is>
      </c>
      <c r="B8" s="23">
        <f>B4-B7</f>
        <v>-9.828</v>
      </c>
      <c r="C8" s="23">
        <f>C4-C7</f>
        <v>-10.8</v>
      </c>
      <c r="D8" s="23">
        <f>D4-D7</f>
        <v>-11.02</v>
      </c>
      <c r="E8" s="23">
        <f>E4-E7</f>
        <v>-12.197</v>
      </c>
      <c r="F8" s="23">
        <f>F4-F7</f>
        <v>-14.389</v>
      </c>
      <c r="G8" s="23">
        <f>G4-G7</f>
        <v>-17.978</v>
      </c>
      <c r="H8" s="23">
        <f>H4-H7</f>
        <v>-18.527</v>
      </c>
      <c r="I8" s="23">
        <f>I4-I7</f>
        <v>-19.012999999999998</v>
      </c>
      <c r="J8" s="23">
        <f>J4-J7</f>
        <v>-23.862000000000002</v>
      </c>
      <c r="K8" s="23">
        <f>K4-K7</f>
        <v>-25.542</v>
      </c>
      <c r="L8" s="23">
        <f>L4-L7</f>
        <v>-28.725</v>
      </c>
    </row>
    <row r="9">
      <c r="A9" s="19" t="inlineStr">
        <is>
          <t>Interest &amp; Other</t>
        </is>
      </c>
      <c r="B9" s="23" t="n">
        <v>0.14</v>
      </c>
      <c r="C9" s="23" t="n">
        <v>0.116</v>
      </c>
      <c r="D9" s="23" t="n">
        <v>0.092</v>
      </c>
      <c r="E9" s="23" t="n">
        <v>0.553</v>
      </c>
      <c r="F9" s="23" t="n">
        <v>-9.000999999999999</v>
      </c>
      <c r="G9" s="23" t="n">
        <v>2.086</v>
      </c>
      <c r="H9" s="23" t="n">
        <v>-0.014</v>
      </c>
      <c r="I9" s="23" t="n">
        <v>1.534</v>
      </c>
      <c r="J9" s="23" t="n">
        <v>4.333</v>
      </c>
      <c r="K9" s="23" t="n">
        <v>2.843</v>
      </c>
      <c r="L9" s="23" t="n">
        <v>0.045</v>
      </c>
    </row>
    <row r="10">
      <c r="A10" s="2" t="inlineStr">
        <is>
          <t>Pretax</t>
        </is>
      </c>
      <c r="B10" s="23">
        <f>B8+B9</f>
        <v>-9.687999999999999</v>
      </c>
      <c r="C10" s="23">
        <f>C8+C9</f>
        <v>-10.684000000000001</v>
      </c>
      <c r="D10" s="23">
        <f>D8+D9</f>
        <v>-10.927999999999999</v>
      </c>
      <c r="E10" s="23">
        <f>E8+E9</f>
        <v>-11.643999999999998</v>
      </c>
      <c r="F10" s="23">
        <f>F8+F9</f>
        <v>-23.39</v>
      </c>
      <c r="G10" s="23">
        <f>G8+G9</f>
        <v>-15.892000000000001</v>
      </c>
      <c r="H10" s="23">
        <f>H8+H9</f>
        <v>-18.541</v>
      </c>
      <c r="I10" s="23">
        <f>I8+I9</f>
        <v>-17.479</v>
      </c>
      <c r="J10" s="23">
        <f>J8+J9</f>
        <v>-19.529000000000003</v>
      </c>
      <c r="K10" s="23">
        <f>K8+K9</f>
        <v>-22.699</v>
      </c>
      <c r="L10" s="23">
        <f>L8+L9</f>
        <v>-28.68</v>
      </c>
    </row>
    <row r="11">
      <c r="A11" s="2" t="inlineStr">
        <is>
          <t>Taxes</t>
        </is>
      </c>
      <c r="B11" s="23" t="n">
        <v>0.002</v>
      </c>
      <c r="C11" s="23" t="n">
        <v>0.007</v>
      </c>
      <c r="D11" s="23" t="n">
        <v>0.1</v>
      </c>
      <c r="E11" s="23" t="n">
        <v>0.387</v>
      </c>
      <c r="F11" s="23" t="n">
        <v>0</v>
      </c>
      <c r="G11" s="23" t="n">
        <v>0</v>
      </c>
      <c r="H11" s="23" t="n">
        <v>0.035</v>
      </c>
      <c r="I11" s="23" t="n">
        <v>0.059</v>
      </c>
      <c r="J11" s="23" t="n">
        <v>0.068</v>
      </c>
      <c r="K11" s="23" t="n">
        <v>0.095</v>
      </c>
      <c r="L11" s="23" t="n">
        <v>0.079</v>
      </c>
    </row>
    <row r="12">
      <c r="A12" s="2" t="inlineStr">
        <is>
          <t>Net Income</t>
        </is>
      </c>
      <c r="B12" s="23" t="n">
        <v>-9.691000000000001</v>
      </c>
      <c r="C12" s="23" t="n">
        <v>-10.691</v>
      </c>
      <c r="D12" s="23" t="n">
        <v>-11.028</v>
      </c>
      <c r="E12" s="23" t="n">
        <v>-12.031</v>
      </c>
      <c r="F12" s="23" t="n">
        <v>-23.39</v>
      </c>
      <c r="G12" s="23" t="n">
        <v>-15.892</v>
      </c>
      <c r="H12" s="23" t="n">
        <v>-18.575</v>
      </c>
      <c r="I12" s="23" t="n">
        <v>-17.538</v>
      </c>
      <c r="J12" s="23" t="n">
        <v>-19.597</v>
      </c>
      <c r="K12" s="23" t="n">
        <v>-22.794</v>
      </c>
      <c r="L12" s="23" t="n">
        <v>-28.759</v>
      </c>
    </row>
    <row r="13">
      <c r="A13" s="2" t="inlineStr">
        <is>
          <t>Earnings per Share</t>
        </is>
      </c>
      <c r="B13" s="11">
        <f>IFERROR(B12/B14,0)</f>
        <v>-0.7744745464716696</v>
      </c>
      <c r="C13" s="11">
        <f>IFERROR(C12/C14,0)</f>
        <v>-0.8472145177906333</v>
      </c>
      <c r="D13" s="11">
        <f>IFERROR(D12/D14,0)</f>
        <v>-0.7913318025258325</v>
      </c>
      <c r="E13" s="11">
        <f>IFERROR(E12/E14,0)</f>
        <v>-0.7511863136863138</v>
      </c>
      <c r="F13" s="11">
        <f>IFERROR(F12/F14,0)</f>
        <v>-1.056554340952209</v>
      </c>
      <c r="G13" s="11">
        <f>IFERROR(G12/G14,0)</f>
        <v>-0.393961179007908</v>
      </c>
      <c r="H13" s="11">
        <f>IFERROR(H12/H14,0)</f>
        <v>-0.34711191673051406</v>
      </c>
      <c r="I13" s="11">
        <f>IFERROR(I12/I14,0)</f>
        <v>-0.30222298810959847</v>
      </c>
      <c r="J13" s="11">
        <f>IFERROR(J12/J14,0)</f>
        <v>-0.28979356441500065</v>
      </c>
      <c r="K13" s="11">
        <f>IFERROR(K12/K14,0)</f>
        <v>-0.2980270125387341</v>
      </c>
      <c r="L13" s="11">
        <f>IFERROR(L12/L14,0)</f>
        <v>-0.3000198211919839</v>
      </c>
    </row>
    <row r="14">
      <c r="A14" s="2" t="inlineStr">
        <is>
          <t>Shares</t>
        </is>
      </c>
      <c r="B14" s="23" t="n">
        <v>12.513</v>
      </c>
      <c r="C14" s="23" t="n">
        <v>12.619</v>
      </c>
      <c r="D14" s="23" t="n">
        <v>13.936</v>
      </c>
      <c r="E14" s="23" t="n">
        <v>16.016</v>
      </c>
      <c r="F14" s="23" t="n">
        <v>22.138</v>
      </c>
      <c r="G14" s="23" t="n">
        <v>40.339</v>
      </c>
      <c r="H14" s="23" t="n">
        <v>53.513</v>
      </c>
      <c r="I14" s="23" t="n">
        <v>58.03</v>
      </c>
      <c r="J14" s="23" t="n">
        <v>67.624</v>
      </c>
      <c r="K14" s="23" t="n">
        <v>76.483</v>
      </c>
      <c r="L14" s="23" t="n">
        <v>95.857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>-0.9113605130554283</v>
      </c>
      <c r="F16" s="15">
        <f>IFERROR(F2/E2-1,"")</f>
        <v>-1.0</v>
      </c>
      <c r="G16" s="15">
        <f>IFERROR(G2/F2-1,"")</f>
        <v/>
      </c>
      <c r="H16" s="15">
        <f>IFERROR(H2/G2-1,"")</f>
        <v/>
      </c>
      <c r="I16" s="15">
        <f>IFERROR(I2/H2-1,"")</f>
        <v/>
      </c>
      <c r="J16" s="15">
        <f>IFERROR(J2/I2-1,"")</f>
        <v/>
      </c>
      <c r="K16" s="15">
        <f>IFERROR(K2/J2-1,"")</f>
        <v/>
      </c>
      <c r="L16" s="15">
        <f>IFERROR(L2/K2-1,"")</f>
        <v/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>1.0</v>
      </c>
      <c r="E17" s="15">
        <f>IFERROR(E4/E2,"")</f>
        <v>1.0</v>
      </c>
      <c r="F17" s="15">
        <f>IFERROR(F4/F2,"")</f>
        <v/>
      </c>
      <c r="G17" s="15">
        <f>IFERROR(G4/G2,"")</f>
        <v/>
      </c>
      <c r="H17" s="15">
        <f>IFERROR(H4/H2,"")</f>
        <v/>
      </c>
      <c r="I17" s="15">
        <f>IFERROR(I4/I2,"")</f>
        <v/>
      </c>
      <c r="J17" s="15">
        <f>IFERROR(J4/J2,"")</f>
        <v/>
      </c>
      <c r="K17" s="15">
        <f>IFERROR(K4/K2,"")</f>
        <v/>
      </c>
      <c r="L17" s="15">
        <f>IFERROR(L4/L2,"")</f>
        <v/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>-2.5240494732020156</v>
      </c>
      <c r="E18" s="15">
        <f>IFERROR(E8/E2,"")</f>
        <v>-31.51679586563307</v>
      </c>
      <c r="F18" s="15">
        <f>IFERROR(F8/F2,"")</f>
        <v/>
      </c>
      <c r="G18" s="15">
        <f>IFERROR(G8/G2,"")</f>
        <v/>
      </c>
      <c r="H18" s="15">
        <f>IFERROR(H8/H2,"")</f>
        <v/>
      </c>
      <c r="I18" s="15">
        <f>IFERROR(I8/I2,"")</f>
        <v/>
      </c>
      <c r="J18" s="15">
        <f>IFERROR(J8/J2,"")</f>
        <v/>
      </c>
      <c r="K18" s="15">
        <f>IFERROR(K8/K2,"")</f>
        <v/>
      </c>
      <c r="L18" s="15">
        <f>IFERROR(L8/L2,"")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2026-10-21T01:06:06Z</dcterms:modified>
  <cp:lastModifiedBy>Wang, Eric</cp:lastModifiedBy>
</cp:coreProperties>
</file>