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Oncolytics Biotech Inc</t>
        </is>
      </c>
      <c r="C2" s="10" t="n"/>
    </row>
    <row r="3">
      <c r="B3" t="inlineStr">
        <is>
          <t>Price</t>
        </is>
      </c>
      <c r="C3" s="11">
        <f>INDEX([1]Pharma!$F$1:$F$1000,MATCH("ONCY",[1]Pharma!$B$1:$B$1000,0))</f>
        <v>0.4986</v>
      </c>
      <c r="F3" s="1" t="n"/>
    </row>
    <row r="4">
      <c r="B4" t="inlineStr">
        <is>
          <t>Shares</t>
        </is>
      </c>
      <c r="C4" s="21" t="n">
        <v>127.510505</v>
      </c>
      <c r="F4" s="1" t="n"/>
    </row>
    <row r="5">
      <c r="B5" t="inlineStr">
        <is>
          <t>Market Cap.</t>
        </is>
      </c>
      <c r="C5" s="13">
        <f>C3*C4</f>
        <v>63.57673779299999</v>
      </c>
      <c r="F5" s="1" t="n"/>
    </row>
    <row r="6"/>
    <row r="7">
      <c r="B7" t="inlineStr">
        <is>
          <t>Cash</t>
        </is>
      </c>
      <c r="C7" s="21" t="n">
        <v>4.115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59.46173779299999</v>
      </c>
    </row>
    <row r="10"/>
    <row r="11">
      <c r="B11" s="14" t="inlineStr">
        <is>
          <t>rNPV / Share</t>
        </is>
      </c>
      <c r="C11" s="11">
        <f>NPV!B27</f>
        <v>3.8374894887466935</v>
      </c>
    </row>
    <row r="12">
      <c r="B12" s="14" t="inlineStr">
        <is>
          <t>Upside</t>
        </is>
      </c>
      <c r="C12" s="15">
        <f>IFERROR(C11/C3-1,"")</f>
        <v>6.696529259419762</v>
      </c>
    </row>
    <row r="13">
      <c r="B13" s="14" t="inlineStr">
        <is>
          <t>Cash / Share</t>
        </is>
      </c>
      <c r="C13" s="11">
        <f>IFERROR((C7-C8)/C4,"")</f>
        <v>0.03227185085652355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-26.704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0.15409676452965848</v>
      </c>
    </row>
    <row r="19">
      <c r="B19" s="14" t="inlineStr">
        <is>
          <t>Implied Pipeline Value</t>
        </is>
      </c>
      <c r="C19" s="13">
        <f>C9</f>
        <v>59.46173779299999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4.366</v>
      </c>
      <c r="E2" s="23" t="n">
        <v>0.387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4.366</v>
      </c>
      <c r="E4" s="23">
        <f>E2-E3</f>
        <v>0.387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6.074</v>
      </c>
      <c r="C5" s="23" t="n">
        <v>6.899</v>
      </c>
      <c r="D5" s="23" t="n">
        <v>6.633</v>
      </c>
      <c r="E5" s="23" t="n">
        <v>7.081</v>
      </c>
      <c r="F5" s="23" t="n">
        <v>7.639</v>
      </c>
      <c r="G5" s="23" t="n">
        <v>9.141</v>
      </c>
      <c r="H5" s="23" t="n">
        <v>9.124000000000001</v>
      </c>
      <c r="I5" s="23" t="n">
        <v>10.898</v>
      </c>
      <c r="J5" s="23" t="n">
        <v>12.505</v>
      </c>
      <c r="K5" s="23" t="n">
        <v>15.443</v>
      </c>
      <c r="L5" s="23" t="n">
        <v>13.314</v>
      </c>
    </row>
    <row r="6">
      <c r="A6" s="19" t="inlineStr">
        <is>
          <t>SG&amp;A &amp; Other</t>
        </is>
      </c>
      <c r="B6" s="23" t="n">
        <v>3.754</v>
      </c>
      <c r="C6" s="23" t="n">
        <v>3.901</v>
      </c>
      <c r="D6" s="23" t="n">
        <v>8.753</v>
      </c>
      <c r="E6" s="23" t="n">
        <v>5.503</v>
      </c>
      <c r="F6" s="23" t="n">
        <v>6.75</v>
      </c>
      <c r="G6" s="23" t="n">
        <v>8.837</v>
      </c>
      <c r="H6" s="23" t="n">
        <v>9.403</v>
      </c>
      <c r="I6" s="23" t="n">
        <v>8.115</v>
      </c>
      <c r="J6" s="23" t="n">
        <v>11.357</v>
      </c>
      <c r="K6" s="23" t="n">
        <v>10.099</v>
      </c>
      <c r="L6" s="23" t="n">
        <v>15.411</v>
      </c>
    </row>
    <row r="7">
      <c r="A7" s="2" t="inlineStr">
        <is>
          <t>Operating Expense</t>
        </is>
      </c>
      <c r="B7" s="23">
        <f>SUM(B5:B6)</f>
        <v>9.828</v>
      </c>
      <c r="C7" s="23">
        <f>SUM(C5:C6)</f>
        <v>10.8</v>
      </c>
      <c r="D7" s="23">
        <f>SUM(D5:D6)</f>
        <v>15.386</v>
      </c>
      <c r="E7" s="23">
        <f>SUM(E5:E6)</f>
        <v>12.584</v>
      </c>
      <c r="F7" s="23">
        <f>SUM(F5:F6)</f>
        <v>14.389</v>
      </c>
      <c r="G7" s="23">
        <f>SUM(G5:G6)</f>
        <v>17.978</v>
      </c>
      <c r="H7" s="23">
        <f>SUM(H5:H6)</f>
        <v>18.527</v>
      </c>
      <c r="I7" s="23">
        <f>SUM(I5:I6)</f>
        <v>19.012999999999998</v>
      </c>
      <c r="J7" s="23">
        <f>SUM(J5:J6)</f>
        <v>23.862000000000002</v>
      </c>
      <c r="K7" s="23">
        <f>SUM(K5:K6)</f>
        <v>25.542</v>
      </c>
      <c r="L7" s="23">
        <f>SUM(L5:L6)</f>
        <v>28.725</v>
      </c>
    </row>
    <row r="8">
      <c r="A8" s="2" t="inlineStr">
        <is>
          <t>Operating Income</t>
        </is>
      </c>
      <c r="B8" s="23">
        <f>B4-B7</f>
        <v>-9.828</v>
      </c>
      <c r="C8" s="23">
        <f>C4-C7</f>
        <v>-10.8</v>
      </c>
      <c r="D8" s="23">
        <f>D4-D7</f>
        <v>-11.02</v>
      </c>
      <c r="E8" s="23">
        <f>E4-E7</f>
        <v>-12.197</v>
      </c>
      <c r="F8" s="23">
        <f>F4-F7</f>
        <v>-14.389</v>
      </c>
      <c r="G8" s="23">
        <f>G4-G7</f>
        <v>-17.978</v>
      </c>
      <c r="H8" s="23">
        <f>H4-H7</f>
        <v>-18.527</v>
      </c>
      <c r="I8" s="23">
        <f>I4-I7</f>
        <v>-19.012999999999998</v>
      </c>
      <c r="J8" s="23">
        <f>J4-J7</f>
        <v>-23.862000000000002</v>
      </c>
      <c r="K8" s="23">
        <f>K4-K7</f>
        <v>-25.542</v>
      </c>
      <c r="L8" s="23">
        <f>L4-L7</f>
        <v>-28.725</v>
      </c>
    </row>
    <row r="9">
      <c r="A9" s="19" t="inlineStr">
        <is>
          <t>Interest &amp; Other</t>
        </is>
      </c>
      <c r="B9" s="23" t="n">
        <v>0.14</v>
      </c>
      <c r="C9" s="23" t="n">
        <v>0.116</v>
      </c>
      <c r="D9" s="23" t="n">
        <v>0.092</v>
      </c>
      <c r="E9" s="23" t="n">
        <v>0.553</v>
      </c>
      <c r="F9" s="23" t="n">
        <v>-9.000999999999999</v>
      </c>
      <c r="G9" s="23" t="n">
        <v>2.086</v>
      </c>
      <c r="H9" s="23" t="n">
        <v>-0.014</v>
      </c>
      <c r="I9" s="23" t="n">
        <v>1.534</v>
      </c>
      <c r="J9" s="23" t="n">
        <v>4.333</v>
      </c>
      <c r="K9" s="23" t="n">
        <v>2.843</v>
      </c>
      <c r="L9" s="23" t="n">
        <v>0.045</v>
      </c>
    </row>
    <row r="10">
      <c r="A10" s="2" t="inlineStr">
        <is>
          <t>Pretax</t>
        </is>
      </c>
      <c r="B10" s="23">
        <f>B8+B9</f>
        <v>-9.687999999999999</v>
      </c>
      <c r="C10" s="23">
        <f>C8+C9</f>
        <v>-10.684000000000001</v>
      </c>
      <c r="D10" s="23">
        <f>D8+D9</f>
        <v>-10.927999999999999</v>
      </c>
      <c r="E10" s="23">
        <f>E8+E9</f>
        <v>-11.643999999999998</v>
      </c>
      <c r="F10" s="23">
        <f>F8+F9</f>
        <v>-23.39</v>
      </c>
      <c r="G10" s="23">
        <f>G8+G9</f>
        <v>-15.892000000000001</v>
      </c>
      <c r="H10" s="23">
        <f>H8+H9</f>
        <v>-18.541</v>
      </c>
      <c r="I10" s="23">
        <f>I8+I9</f>
        <v>-17.479</v>
      </c>
      <c r="J10" s="23">
        <f>J8+J9</f>
        <v>-19.529000000000003</v>
      </c>
      <c r="K10" s="23">
        <f>K8+K9</f>
        <v>-22.699</v>
      </c>
      <c r="L10" s="23">
        <f>L8+L9</f>
        <v>-28.68</v>
      </c>
    </row>
    <row r="11">
      <c r="A11" s="2" t="inlineStr">
        <is>
          <t>Taxes</t>
        </is>
      </c>
      <c r="B11" s="23" t="n">
        <v>0.002</v>
      </c>
      <c r="C11" s="23" t="n">
        <v>0.007</v>
      </c>
      <c r="D11" s="23" t="n">
        <v>0.1</v>
      </c>
      <c r="E11" s="23" t="n">
        <v>0.387</v>
      </c>
      <c r="F11" s="23" t="n">
        <v>0</v>
      </c>
      <c r="G11" s="23" t="n">
        <v>0</v>
      </c>
      <c r="H11" s="23" t="n">
        <v>0.035</v>
      </c>
      <c r="I11" s="23" t="n">
        <v>0.059</v>
      </c>
      <c r="J11" s="23" t="n">
        <v>0.068</v>
      </c>
      <c r="K11" s="23" t="n">
        <v>0.095</v>
      </c>
      <c r="L11" s="23" t="n">
        <v>0.079</v>
      </c>
    </row>
    <row r="12">
      <c r="A12" s="2" t="inlineStr">
        <is>
          <t>Net Income</t>
        </is>
      </c>
      <c r="B12" s="23" t="n">
        <v>-9.691000000000001</v>
      </c>
      <c r="C12" s="23" t="n">
        <v>-10.691</v>
      </c>
      <c r="D12" s="23" t="n">
        <v>-11.028</v>
      </c>
      <c r="E12" s="23" t="n">
        <v>-12.031</v>
      </c>
      <c r="F12" s="23" t="n">
        <v>-23.39</v>
      </c>
      <c r="G12" s="23" t="n">
        <v>-15.892</v>
      </c>
      <c r="H12" s="23" t="n">
        <v>-18.575</v>
      </c>
      <c r="I12" s="23" t="n">
        <v>-17.538</v>
      </c>
      <c r="J12" s="23" t="n">
        <v>-19.597</v>
      </c>
      <c r="K12" s="23" t="n">
        <v>-22.794</v>
      </c>
      <c r="L12" s="23" t="n">
        <v>-28.759</v>
      </c>
    </row>
    <row r="13">
      <c r="A13" s="2" t="inlineStr">
        <is>
          <t>Earnings per Share</t>
        </is>
      </c>
      <c r="B13" s="11">
        <f>IFERROR(B12/B14,0)</f>
        <v>-0.7744745464716696</v>
      </c>
      <c r="C13" s="11">
        <f>IFERROR(C12/C14,0)</f>
        <v>-0.8472145177906333</v>
      </c>
      <c r="D13" s="11">
        <f>IFERROR(D12/D14,0)</f>
        <v>-0.7913318025258325</v>
      </c>
      <c r="E13" s="11">
        <f>IFERROR(E12/E14,0)</f>
        <v>-0.7511863136863138</v>
      </c>
      <c r="F13" s="11">
        <f>IFERROR(F12/F14,0)</f>
        <v>-1.056554340952209</v>
      </c>
      <c r="G13" s="11">
        <f>IFERROR(G12/G14,0)</f>
        <v>-0.393961179007908</v>
      </c>
      <c r="H13" s="11">
        <f>IFERROR(H12/H14,0)</f>
        <v>-0.34711191673051406</v>
      </c>
      <c r="I13" s="11">
        <f>IFERROR(I12/I14,0)</f>
        <v>-0.30222298810959847</v>
      </c>
      <c r="J13" s="11">
        <f>IFERROR(J12/J14,0)</f>
        <v>-0.28979356441500065</v>
      </c>
      <c r="K13" s="11">
        <f>IFERROR(K12/K14,0)</f>
        <v>-0.2980270125387341</v>
      </c>
      <c r="L13" s="11">
        <f>IFERROR(L12/L14,0)</f>
        <v>-0.3000198211919839</v>
      </c>
    </row>
    <row r="14">
      <c r="A14" s="2" t="inlineStr">
        <is>
          <t>Shares</t>
        </is>
      </c>
      <c r="B14" s="23" t="n">
        <v>12.513</v>
      </c>
      <c r="C14" s="23" t="n">
        <v>12.619</v>
      </c>
      <c r="D14" s="23" t="n">
        <v>13.936</v>
      </c>
      <c r="E14" s="23" t="n">
        <v>16.016</v>
      </c>
      <c r="F14" s="23" t="n">
        <v>22.138</v>
      </c>
      <c r="G14" s="23" t="n">
        <v>40.339</v>
      </c>
      <c r="H14" s="23" t="n">
        <v>53.513</v>
      </c>
      <c r="I14" s="23" t="n">
        <v>58.03</v>
      </c>
      <c r="J14" s="23" t="n">
        <v>67.624</v>
      </c>
      <c r="K14" s="23" t="n">
        <v>76.483</v>
      </c>
      <c r="L14" s="23" t="n">
        <v>95.857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-0.9113605130554283</v>
      </c>
      <c r="F16" s="15">
        <f>IFERROR(F2/E2-1,"")</f>
        <v>-1.0</v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-2.5240494732020156</v>
      </c>
      <c r="E18" s="15">
        <f>IFERROR(E8/E2,"")</f>
        <v>-31.51679586563307</v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Oncolytics Biotech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0.2643290656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37.713</v>
      </c>
    </row>
    <row r="19">
      <c r="A19" s="14" t="inlineStr">
        <is>
          <t>Years of full burn (until the first launch, max 4)</t>
        </is>
      </c>
      <c r="B19" s="39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190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485.20522264228265</v>
      </c>
      <c r="C29" s="42">
        <f>NPV!B25</f>
        <v>489.32022264228266</v>
      </c>
      <c r="D29" s="43">
        <f>NPV!B27</f>
        <v>3.8374894887466935</v>
      </c>
      <c r="E29" s="44">
        <f>NPV!B29</f>
        <v>6.696529259419762</v>
      </c>
    </row>
    <row r="30">
      <c r="A30" s="45" t="n">
        <v>1</v>
      </c>
      <c r="B30" s="46">
        <f t="dataTable" ref="B30:E32" r1="B4"/>
        <v>135.32742646326116</v>
      </c>
      <c r="C30" s="46">
        <v>139.44242646326117</v>
      </c>
      <c r="D30" s="47">
        <v>1.0935759878236007</v>
      </c>
      <c r="E30" s="48">
        <v>1.1932931965976747</v>
      </c>
    </row>
    <row r="31">
      <c r="A31" s="45" t="n">
        <v>2</v>
      </c>
      <c r="B31" s="46">
        <v>485.20522264228265</v>
      </c>
      <c r="C31" s="46">
        <v>489.32022264228266</v>
      </c>
      <c r="D31" s="47">
        <v>3.8374894887466935</v>
      </c>
      <c r="E31" s="48">
        <v>6.696529259419762</v>
      </c>
    </row>
    <row r="32">
      <c r="A32" s="45" t="n">
        <v>3</v>
      </c>
      <c r="B32" s="46">
        <v>1048.922894226134</v>
      </c>
      <c r="C32" s="46">
        <v>1053.037894226134</v>
      </c>
      <c r="D32" s="47">
        <v>8.258440308319178</v>
      </c>
      <c r="E32" s="48">
        <v>15.563257738305612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3.8374894887466935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0.6665195663455065</v>
      </c>
      <c r="C37" s="47">
        <v>1.362733775270736</v>
      </c>
      <c r="D37" s="47">
        <v>2.0511254430409442</v>
      </c>
      <c r="E37" s="47">
        <v>3.418107185298247</v>
      </c>
      <c r="F37" s="47">
        <v>4.7792382586197855</v>
      </c>
    </row>
    <row r="38">
      <c r="A38" s="50" t="n">
        <v>0.8</v>
      </c>
      <c r="B38" s="47">
        <v>1.1129211624354738</v>
      </c>
      <c r="C38" s="47">
        <v>2.0325480784600978</v>
      </c>
      <c r="D38" s="47">
        <v>2.9443979811540015</v>
      </c>
      <c r="E38" s="47">
        <v>4.761084217699193</v>
      </c>
      <c r="F38" s="47">
        <v>6.572531907727626</v>
      </c>
    </row>
    <row r="39">
      <c r="A39" s="50" t="n">
        <v>1</v>
      </c>
      <c r="B39" s="47">
        <v>1.5558001719750794</v>
      </c>
      <c r="C39" s="47">
        <v>2.699112488553383</v>
      </c>
      <c r="D39" s="47">
        <v>3.8374894887466935</v>
      </c>
      <c r="E39" s="47">
        <v>6.102255925707511</v>
      </c>
      <c r="F39" s="47">
        <v>8.364614562236794</v>
      </c>
    </row>
    <row r="40">
      <c r="A40" s="50" t="n">
        <v>1.2</v>
      </c>
      <c r="B40" s="47">
        <v>1.9976495953864386</v>
      </c>
      <c r="C40" s="47">
        <v>3.365261626134555</v>
      </c>
      <c r="D40" s="47">
        <v>4.726980968714185</v>
      </c>
      <c r="E40" s="47">
        <v>7.444152503756834</v>
      </c>
      <c r="F40" s="47">
        <v>10.153521506924132</v>
      </c>
    </row>
    <row r="41">
      <c r="A41" s="50" t="n">
        <v>1.4</v>
      </c>
      <c r="B41" s="47">
        <v>2.438400711994413</v>
      </c>
      <c r="C41" s="47">
        <v>4.031708654155944</v>
      </c>
      <c r="D41" s="47">
        <v>5.616725382930822</v>
      </c>
      <c r="E41" s="47">
        <v>8.783632401541631</v>
      </c>
      <c r="F41" s="47">
        <v>11.943131051357991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Oncolytics Biotech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Breast cancer</t>
        </is>
      </c>
      <c r="C4" s="14" t="inlineStr">
        <is>
          <t>Pelareorep, Avelumab</t>
        </is>
      </c>
      <c r="D4" s="14" t="inlineStr">
        <is>
          <t>Phase 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0.108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368.0779276078674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32.4</v>
      </c>
      <c r="S4" s="23">
        <f>IF(S$3&lt;$I4,0,$G4*Assumptions!$E$11*INDEX(Assumptions!$B$24:$G$24,MIN(6,S$3-$I4+1))*IF(S$3&gt;$J4,(1-Assumptions!$B$26)^(S$3-$J4),1)*IF($H4&gt;=1,1,MIN(0.97,$H4*Assumptions!$E$12)))</f>
        <v>81.0</v>
      </c>
      <c r="T4" s="23">
        <f>IF(T$3&lt;$I4,0,$G4*Assumptions!$E$11*INDEX(Assumptions!$B$24:$G$24,MIN(6,T$3-$I4+1))*IF(T$3&gt;$J4,(1-Assumptions!$B$26)^(T$3-$J4),1)*IF($H4&gt;=1,1,MIN(0.97,$H4*Assumptions!$E$12)))</f>
        <v>145.8</v>
      </c>
      <c r="U4" s="23">
        <f>IF(U$3&lt;$I4,0,$G4*Assumptions!$E$11*INDEX(Assumptions!$B$24:$G$24,MIN(6,U$3-$I4+1))*IF(U$3&gt;$J4,(1-Assumptions!$B$26)^(U$3-$J4),1)*IF($H4&gt;=1,1,MIN(0.97,$H4*Assumptions!$E$12)))</f>
        <v>210.6</v>
      </c>
      <c r="V4" s="23">
        <f>IF(V$3&lt;$I4,0,$G4*Assumptions!$E$11*INDEX(Assumptions!$B$24:$G$24,MIN(6,V$3-$I4+1))*IF(V$3&gt;$J4,(1-Assumptions!$B$26)^(V$3-$J4),1)*IF($H4&gt;=1,1,MIN(0.97,$H4*Assumptions!$E$12)))</f>
        <v>275.4</v>
      </c>
      <c r="W4" s="23">
        <f>IF(W$3&lt;$I4,0,$G4*Assumptions!$E$11*INDEX(Assumptions!$B$24:$G$24,MIN(6,W$3-$I4+1))*IF(W$3&gt;$J4,(1-Assumptions!$B$26)^(W$3-$J4),1)*IF($H4&gt;=1,1,MIN(0.97,$H4*Assumptions!$E$12)))</f>
        <v>324.0</v>
      </c>
      <c r="X4" s="23">
        <f>IF(X$3&lt;$I4,0,$G4*Assumptions!$E$11*INDEX(Assumptions!$B$24:$G$24,MIN(6,X$3-$I4+1))*IF(X$3&gt;$J4,(1-Assumptions!$B$26)^(X$3-$J4),1)*IF($H4&gt;=1,1,MIN(0.97,$H4*Assumptions!$E$12)))</f>
        <v>324.0</v>
      </c>
      <c r="Y4" s="23">
        <f>IF(Y$3&lt;$I4,0,$G4*Assumptions!$E$11*INDEX(Assumptions!$B$24:$G$24,MIN(6,Y$3-$I4+1))*IF(Y$3&gt;$J4,(1-Assumptions!$B$26)^(Y$3-$J4),1)*IF($H4&gt;=1,1,MIN(0.97,$H4*Assumptions!$E$12)))</f>
        <v>324.0</v>
      </c>
      <c r="Z4" s="23">
        <f>IF(Z$3&lt;$I4,0,$G4*Assumptions!$E$11*INDEX(Assumptions!$B$24:$G$24,MIN(6,Z$3-$I4+1))*IF(Z$3&gt;$J4,(1-Assumptions!$B$26)^(Z$3-$J4),1)*IF($H4&gt;=1,1,MIN(0.97,$H4*Assumptions!$E$12)))</f>
        <v>324.0</v>
      </c>
      <c r="AA4" s="23">
        <f>IF(AA$3&lt;$I4,0,$G4*Assumptions!$E$11*INDEX(Assumptions!$B$24:$G$24,MIN(6,AA$3-$I4+1))*IF(AA$3&gt;$J4,(1-Assumptions!$B$26)^(AA$3-$J4),1)*IF($H4&gt;=1,1,MIN(0.97,$H4*Assumptions!$E$12)))</f>
        <v>324.0</v>
      </c>
      <c r="AB4" s="23">
        <f>IF(AB$3&lt;$I4,0,$G4*Assumptions!$E$11*INDEX(Assumptions!$B$24:$G$24,MIN(6,AB$3-$I4+1))*IF(AB$3&gt;$J4,(1-Assumptions!$B$26)^(AB$3-$J4),1)*IF($H4&gt;=1,1,MIN(0.97,$H4*Assumptions!$E$12)))</f>
        <v>324.0</v>
      </c>
      <c r="AC4" s="23">
        <f>IF(AC$3&lt;$I4,0,$G4*Assumptions!$E$11*INDEX(Assumptions!$B$24:$G$24,MIN(6,AC$3-$I4+1))*IF(AC$3&gt;$J4,(1-Assumptions!$B$26)^(AC$3-$J4),1)*IF($H4&gt;=1,1,MIN(0.97,$H4*Assumptions!$E$12)))</f>
        <v>324.0</v>
      </c>
      <c r="AD4" s="23">
        <f>IF(AD$3&lt;$I4,0,$G4*Assumptions!$E$11*INDEX(Assumptions!$B$24:$G$24,MIN(6,AD$3-$I4+1))*IF(AD$3&gt;$J4,(1-Assumptions!$B$26)^(AD$3-$J4),1)*IF($H4&gt;=1,1,MIN(0.97,$H4*Assumptions!$E$12)))</f>
        <v>324.0</v>
      </c>
      <c r="AE4" s="23">
        <f>IF(AE$3&lt;$I4,0,$G4*Assumptions!$E$11*INDEX(Assumptions!$B$24:$G$24,MIN(6,AE$3-$I4+1))*IF(AE$3&gt;$J4,(1-Assumptions!$B$26)^(AE$3-$J4),1)*IF($H4&gt;=1,1,MIN(0.97,$H4*Assumptions!$E$12)))</f>
        <v>162.0</v>
      </c>
      <c r="AF4" s="23">
        <f>IF(AF$3&lt;$I4,0,$G4*Assumptions!$E$11*INDEX(Assumptions!$B$24:$G$24,MIN(6,AF$3-$I4+1))*IF(AF$3&gt;$J4,(1-Assumptions!$B$26)^(AF$3-$J4),1)*IF($H4&gt;=1,1,MIN(0.97,$H4*Assumptions!$E$12)))</f>
        <v>81.0</v>
      </c>
      <c r="AG4" s="35">
        <f>IF(F4="Owned",1-IF(H4&gt;=1,1,MIN(0.97,H4*Assumptions!$E$12)),1)</f>
        <v>0.892</v>
      </c>
    </row>
    <row r="5">
      <c r="A5" s="39" t="n">
        <v>2</v>
      </c>
      <c r="B5" s="14" t="inlineStr">
        <is>
          <t>Colorectal cancer</t>
        </is>
      </c>
      <c r="C5" s="14" t="inlineStr">
        <is>
          <t>Pelareorep</t>
        </is>
      </c>
      <c r="D5" s="14" t="inlineStr">
        <is>
          <t>Phase 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2000</v>
      </c>
      <c r="H5" s="27" t="n">
        <v>0.108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245.3852850719116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21.6</v>
      </c>
      <c r="S5" s="23">
        <f>IF(S$3&lt;$I5,0,$G5*Assumptions!$E$11*INDEX(Assumptions!$B$24:$G$24,MIN(6,S$3-$I5+1))*IF(S$3&gt;$J5,(1-Assumptions!$B$26)^(S$3-$J5),1)*IF($H5&gt;=1,1,MIN(0.97,$H5*Assumptions!$E$12)))</f>
        <v>54.0</v>
      </c>
      <c r="T5" s="23">
        <f>IF(T$3&lt;$I5,0,$G5*Assumptions!$E$11*INDEX(Assumptions!$B$24:$G$24,MIN(6,T$3-$I5+1))*IF(T$3&gt;$J5,(1-Assumptions!$B$26)^(T$3-$J5),1)*IF($H5&gt;=1,1,MIN(0.97,$H5*Assumptions!$E$12)))</f>
        <v>97.2</v>
      </c>
      <c r="U5" s="23">
        <f>IF(U$3&lt;$I5,0,$G5*Assumptions!$E$11*INDEX(Assumptions!$B$24:$G$24,MIN(6,U$3-$I5+1))*IF(U$3&gt;$J5,(1-Assumptions!$B$26)^(U$3-$J5),1)*IF($H5&gt;=1,1,MIN(0.97,$H5*Assumptions!$E$12)))</f>
        <v>140.4</v>
      </c>
      <c r="V5" s="23">
        <f>IF(V$3&lt;$I5,0,$G5*Assumptions!$E$11*INDEX(Assumptions!$B$24:$G$24,MIN(6,V$3-$I5+1))*IF(V$3&gt;$J5,(1-Assumptions!$B$26)^(V$3-$J5),1)*IF($H5&gt;=1,1,MIN(0.97,$H5*Assumptions!$E$12)))</f>
        <v>183.6</v>
      </c>
      <c r="W5" s="23">
        <f>IF(W$3&lt;$I5,0,$G5*Assumptions!$E$11*INDEX(Assumptions!$B$24:$G$24,MIN(6,W$3-$I5+1))*IF(W$3&gt;$J5,(1-Assumptions!$B$26)^(W$3-$J5),1)*IF($H5&gt;=1,1,MIN(0.97,$H5*Assumptions!$E$12)))</f>
        <v>216.0</v>
      </c>
      <c r="X5" s="23">
        <f>IF(X$3&lt;$I5,0,$G5*Assumptions!$E$11*INDEX(Assumptions!$B$24:$G$24,MIN(6,X$3-$I5+1))*IF(X$3&gt;$J5,(1-Assumptions!$B$26)^(X$3-$J5),1)*IF($H5&gt;=1,1,MIN(0.97,$H5*Assumptions!$E$12)))</f>
        <v>216.0</v>
      </c>
      <c r="Y5" s="23">
        <f>IF(Y$3&lt;$I5,0,$G5*Assumptions!$E$11*INDEX(Assumptions!$B$24:$G$24,MIN(6,Y$3-$I5+1))*IF(Y$3&gt;$J5,(1-Assumptions!$B$26)^(Y$3-$J5),1)*IF($H5&gt;=1,1,MIN(0.97,$H5*Assumptions!$E$12)))</f>
        <v>216.0</v>
      </c>
      <c r="Z5" s="23">
        <f>IF(Z$3&lt;$I5,0,$G5*Assumptions!$E$11*INDEX(Assumptions!$B$24:$G$24,MIN(6,Z$3-$I5+1))*IF(Z$3&gt;$J5,(1-Assumptions!$B$26)^(Z$3-$J5),1)*IF($H5&gt;=1,1,MIN(0.97,$H5*Assumptions!$E$12)))</f>
        <v>216.0</v>
      </c>
      <c r="AA5" s="23">
        <f>IF(AA$3&lt;$I5,0,$G5*Assumptions!$E$11*INDEX(Assumptions!$B$24:$G$24,MIN(6,AA$3-$I5+1))*IF(AA$3&gt;$J5,(1-Assumptions!$B$26)^(AA$3-$J5),1)*IF($H5&gt;=1,1,MIN(0.97,$H5*Assumptions!$E$12)))</f>
        <v>216.0</v>
      </c>
      <c r="AB5" s="23">
        <f>IF(AB$3&lt;$I5,0,$G5*Assumptions!$E$11*INDEX(Assumptions!$B$24:$G$24,MIN(6,AB$3-$I5+1))*IF(AB$3&gt;$J5,(1-Assumptions!$B$26)^(AB$3-$J5),1)*IF($H5&gt;=1,1,MIN(0.97,$H5*Assumptions!$E$12)))</f>
        <v>216.0</v>
      </c>
      <c r="AC5" s="23">
        <f>IF(AC$3&lt;$I5,0,$G5*Assumptions!$E$11*INDEX(Assumptions!$B$24:$G$24,MIN(6,AC$3-$I5+1))*IF(AC$3&gt;$J5,(1-Assumptions!$B$26)^(AC$3-$J5),1)*IF($H5&gt;=1,1,MIN(0.97,$H5*Assumptions!$E$12)))</f>
        <v>216.0</v>
      </c>
      <c r="AD5" s="23">
        <f>IF(AD$3&lt;$I5,0,$G5*Assumptions!$E$11*INDEX(Assumptions!$B$24:$G$24,MIN(6,AD$3-$I5+1))*IF(AD$3&gt;$J5,(1-Assumptions!$B$26)^(AD$3-$J5),1)*IF($H5&gt;=1,1,MIN(0.97,$H5*Assumptions!$E$12)))</f>
        <v>216.0</v>
      </c>
      <c r="AE5" s="23">
        <f>IF(AE$3&lt;$I5,0,$G5*Assumptions!$E$11*INDEX(Assumptions!$B$24:$G$24,MIN(6,AE$3-$I5+1))*IF(AE$3&gt;$J5,(1-Assumptions!$B$26)^(AE$3-$J5),1)*IF($H5&gt;=1,1,MIN(0.97,$H5*Assumptions!$E$12)))</f>
        <v>108.0</v>
      </c>
      <c r="AF5" s="23">
        <f>IF(AF$3&lt;$I5,0,$G5*Assumptions!$E$11*INDEX(Assumptions!$B$24:$G$24,MIN(6,AF$3-$I5+1))*IF(AF$3&gt;$J5,(1-Assumptions!$B$26)^(AF$3-$J5),1)*IF($H5&gt;=1,1,MIN(0.97,$H5*Assumptions!$E$12)))</f>
        <v>54.0</v>
      </c>
      <c r="AG5" s="35">
        <f>IF(F5="Owned",1-IF(H5&gt;=1,1,MIN(0.97,H5*Assumptions!$E$12)),1)</f>
        <v>0.892</v>
      </c>
    </row>
    <row r="6">
      <c r="A6" s="39" t="n">
        <v>3</v>
      </c>
      <c r="B6" s="14" t="inlineStr">
        <is>
          <t>Solid tumors (basket)</t>
        </is>
      </c>
      <c r="C6" s="14" t="inlineStr">
        <is>
          <t>Pelareorep, Trifluridine Tipiracil</t>
        </is>
      </c>
      <c r="D6" s="14" t="inlineStr">
        <is>
          <t>Phase 1/2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1500</v>
      </c>
      <c r="H6" s="27" t="n">
        <v>0.07539999999999999</v>
      </c>
      <c r="I6" s="26" t="n">
        <v>2032</v>
      </c>
      <c r="J6" s="39">
        <f>I6+Assumptions!$B$25</f>
        <v>2044.0</v>
      </c>
      <c r="K6" s="53">
        <f>Assumptions!$E$13</f>
        <v>0.4</v>
      </c>
      <c r="L6" s="23">
        <f>K6*SUMPRODUCT(M6:AF6,NPV!$C$15:$V$15)</f>
        <v>113.54812869523724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11.309999999999999</v>
      </c>
      <c r="T6" s="23">
        <f>IF(T$3&lt;$I6,0,$G6*Assumptions!$E$11*INDEX(Assumptions!$B$24:$G$24,MIN(6,T$3-$I6+1))*IF(T$3&gt;$J6,(1-Assumptions!$B$26)^(T$3-$J6),1)*IF($H6&gt;=1,1,MIN(0.97,$H6*Assumptions!$E$12)))</f>
        <v>28.275</v>
      </c>
      <c r="U6" s="23">
        <f>IF(U$3&lt;$I6,0,$G6*Assumptions!$E$11*INDEX(Assumptions!$B$24:$G$24,MIN(6,U$3-$I6+1))*IF(U$3&gt;$J6,(1-Assumptions!$B$26)^(U$3-$J6),1)*IF($H6&gt;=1,1,MIN(0.97,$H6*Assumptions!$E$12)))</f>
        <v>50.894999999999996</v>
      </c>
      <c r="V6" s="23">
        <f>IF(V$3&lt;$I6,0,$G6*Assumptions!$E$11*INDEX(Assumptions!$B$24:$G$24,MIN(6,V$3-$I6+1))*IF(V$3&gt;$J6,(1-Assumptions!$B$26)^(V$3-$J6),1)*IF($H6&gt;=1,1,MIN(0.97,$H6*Assumptions!$E$12)))</f>
        <v>73.515</v>
      </c>
      <c r="W6" s="23">
        <f>IF(W$3&lt;$I6,0,$G6*Assumptions!$E$11*INDEX(Assumptions!$B$24:$G$24,MIN(6,W$3-$I6+1))*IF(W$3&gt;$J6,(1-Assumptions!$B$26)^(W$3-$J6),1)*IF($H6&gt;=1,1,MIN(0.97,$H6*Assumptions!$E$12)))</f>
        <v>96.13499999999999</v>
      </c>
      <c r="X6" s="23">
        <f>IF(X$3&lt;$I6,0,$G6*Assumptions!$E$11*INDEX(Assumptions!$B$24:$G$24,MIN(6,X$3-$I6+1))*IF(X$3&gt;$J6,(1-Assumptions!$B$26)^(X$3-$J6),1)*IF($H6&gt;=1,1,MIN(0.97,$H6*Assumptions!$E$12)))</f>
        <v>113.1</v>
      </c>
      <c r="Y6" s="23">
        <f>IF(Y$3&lt;$I6,0,$G6*Assumptions!$E$11*INDEX(Assumptions!$B$24:$G$24,MIN(6,Y$3-$I6+1))*IF(Y$3&gt;$J6,(1-Assumptions!$B$26)^(Y$3-$J6),1)*IF($H6&gt;=1,1,MIN(0.97,$H6*Assumptions!$E$12)))</f>
        <v>113.1</v>
      </c>
      <c r="Z6" s="23">
        <f>IF(Z$3&lt;$I6,0,$G6*Assumptions!$E$11*INDEX(Assumptions!$B$24:$G$24,MIN(6,Z$3-$I6+1))*IF(Z$3&gt;$J6,(1-Assumptions!$B$26)^(Z$3-$J6),1)*IF($H6&gt;=1,1,MIN(0.97,$H6*Assumptions!$E$12)))</f>
        <v>113.1</v>
      </c>
      <c r="AA6" s="23">
        <f>IF(AA$3&lt;$I6,0,$G6*Assumptions!$E$11*INDEX(Assumptions!$B$24:$G$24,MIN(6,AA$3-$I6+1))*IF(AA$3&gt;$J6,(1-Assumptions!$B$26)^(AA$3-$J6),1)*IF($H6&gt;=1,1,MIN(0.97,$H6*Assumptions!$E$12)))</f>
        <v>113.1</v>
      </c>
      <c r="AB6" s="23">
        <f>IF(AB$3&lt;$I6,0,$G6*Assumptions!$E$11*INDEX(Assumptions!$B$24:$G$24,MIN(6,AB$3-$I6+1))*IF(AB$3&gt;$J6,(1-Assumptions!$B$26)^(AB$3-$J6),1)*IF($H6&gt;=1,1,MIN(0.97,$H6*Assumptions!$E$12)))</f>
        <v>113.1</v>
      </c>
      <c r="AC6" s="23">
        <f>IF(AC$3&lt;$I6,0,$G6*Assumptions!$E$11*INDEX(Assumptions!$B$24:$G$24,MIN(6,AC$3-$I6+1))*IF(AC$3&gt;$J6,(1-Assumptions!$B$26)^(AC$3-$J6),1)*IF($H6&gt;=1,1,MIN(0.97,$H6*Assumptions!$E$12)))</f>
        <v>113.1</v>
      </c>
      <c r="AD6" s="23">
        <f>IF(AD$3&lt;$I6,0,$G6*Assumptions!$E$11*INDEX(Assumptions!$B$24:$G$24,MIN(6,AD$3-$I6+1))*IF(AD$3&gt;$J6,(1-Assumptions!$B$26)^(AD$3-$J6),1)*IF($H6&gt;=1,1,MIN(0.97,$H6*Assumptions!$E$12)))</f>
        <v>113.1</v>
      </c>
      <c r="AE6" s="23">
        <f>IF(AE$3&lt;$I6,0,$G6*Assumptions!$E$11*INDEX(Assumptions!$B$24:$G$24,MIN(6,AE$3-$I6+1))*IF(AE$3&gt;$J6,(1-Assumptions!$B$26)^(AE$3-$J6),1)*IF($H6&gt;=1,1,MIN(0.97,$H6*Assumptions!$E$12)))</f>
        <v>113.1</v>
      </c>
      <c r="AF6" s="23">
        <f>IF(AF$3&lt;$I6,0,$G6*Assumptions!$E$11*INDEX(Assumptions!$B$24:$G$24,MIN(6,AF$3-$I6+1))*IF(AF$3&gt;$J6,(1-Assumptions!$B$26)^(AF$3-$J6),1)*IF($H6&gt;=1,1,MIN(0.97,$H6*Assumptions!$E$12)))</f>
        <v>56.55</v>
      </c>
      <c r="AG6" s="35">
        <f>IF(F6="Owned",1-IF(H6&gt;=1,1,MIN(0.97,H6*Assumptions!$E$12)),1)</f>
        <v>0.9246</v>
      </c>
    </row>
    <row r="7">
      <c r="B7" s="24" t="inlineStr">
        <is>
          <t>Risked revenue</t>
        </is>
      </c>
      <c r="L7" s="54">
        <f>SUM(L4:L6)</f>
        <v>727.0113413750162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0.0</v>
      </c>
      <c r="Q7" s="54">
        <f>SUM(Q4:Q6)</f>
        <v>0.0</v>
      </c>
      <c r="R7" s="54">
        <f>SUM(R4:R6)</f>
        <v>54.0</v>
      </c>
      <c r="S7" s="54">
        <f>SUM(S4:S6)</f>
        <v>146.31</v>
      </c>
      <c r="T7" s="54">
        <f>SUM(T4:T6)</f>
        <v>271.275</v>
      </c>
      <c r="U7" s="54">
        <f>SUM(U4:U6)</f>
        <v>401.895</v>
      </c>
      <c r="V7" s="54">
        <f>SUM(V4:V6)</f>
        <v>532.515</v>
      </c>
      <c r="W7" s="54">
        <f>SUM(W4:W6)</f>
        <v>636.135</v>
      </c>
      <c r="X7" s="54">
        <f>SUM(X4:X6)</f>
        <v>653.1</v>
      </c>
      <c r="Y7" s="54">
        <f>SUM(Y4:Y6)</f>
        <v>653.1</v>
      </c>
      <c r="Z7" s="54">
        <f>SUM(Z4:Z6)</f>
        <v>653.1</v>
      </c>
      <c r="AA7" s="54">
        <f>SUM(AA4:AA6)</f>
        <v>653.1</v>
      </c>
      <c r="AB7" s="54">
        <f>SUM(AB4:AB6)</f>
        <v>653.1</v>
      </c>
      <c r="AC7" s="54">
        <f>SUM(AC4:AC6)</f>
        <v>653.1</v>
      </c>
      <c r="AD7" s="54">
        <f>SUM(AD4:AD6)</f>
        <v>653.1</v>
      </c>
      <c r="AE7" s="54">
        <f>SUM(AE4:AE6)</f>
        <v>383.1</v>
      </c>
      <c r="AF7" s="54">
        <f>SUM(AF4:AF6)</f>
        <v>191.55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0.0</v>
      </c>
      <c r="Q8" s="55">
        <f>SUMPRODUCT(Q4:Q6,$K$4:$K$6)</f>
        <v>0.0</v>
      </c>
      <c r="R8" s="55">
        <f>SUMPRODUCT(R4:R6,$K$4:$K$6)</f>
        <v>21.6</v>
      </c>
      <c r="S8" s="55">
        <f>SUMPRODUCT(S4:S6,$K$4:$K$6)</f>
        <v>58.524</v>
      </c>
      <c r="T8" s="55">
        <f>SUMPRODUCT(T4:T6,$K$4:$K$6)</f>
        <v>108.51000000000002</v>
      </c>
      <c r="U8" s="55">
        <f>SUMPRODUCT(U4:U6,$K$4:$K$6)</f>
        <v>160.758</v>
      </c>
      <c r="V8" s="55">
        <f>SUMPRODUCT(V4:V6,$K$4:$K$6)</f>
        <v>213.006</v>
      </c>
      <c r="W8" s="55">
        <f>SUMPRODUCT(W4:W6,$K$4:$K$6)</f>
        <v>254.454</v>
      </c>
      <c r="X8" s="55">
        <f>SUMPRODUCT(X4:X6,$K$4:$K$6)</f>
        <v>261.24</v>
      </c>
      <c r="Y8" s="55">
        <f>SUMPRODUCT(Y4:Y6,$K$4:$K$6)</f>
        <v>261.24</v>
      </c>
      <c r="Z8" s="55">
        <f>SUMPRODUCT(Z4:Z6,$K$4:$K$6)</f>
        <v>261.24</v>
      </c>
      <c r="AA8" s="55">
        <f>SUMPRODUCT(AA4:AA6,$K$4:$K$6)</f>
        <v>261.24</v>
      </c>
      <c r="AB8" s="55">
        <f>SUMPRODUCT(AB4:AB6,$K$4:$K$6)</f>
        <v>261.24</v>
      </c>
      <c r="AC8" s="55">
        <f>SUMPRODUCT(AC4:AC6,$K$4:$K$6)</f>
        <v>261.24</v>
      </c>
      <c r="AD8" s="55">
        <f>SUMPRODUCT(AD4:AD6,$K$4:$K$6)</f>
        <v>261.24</v>
      </c>
      <c r="AE8" s="55">
        <f>SUMPRODUCT(AE4:AE6,$K$4:$K$6)</f>
        <v>153.24</v>
      </c>
      <c r="AF8" s="55">
        <f>SUMPRODUCT(AF4:AF6,$K$4:$K$6)</f>
        <v>76.62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Oncolytics Biotech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0.0</v>
      </c>
      <c r="G4" s="57">
        <f>Pipeline!Q7</f>
        <v>0.0</v>
      </c>
      <c r="H4" s="57">
        <f>Pipeline!R7</f>
        <v>54.0</v>
      </c>
      <c r="I4" s="57">
        <f>Pipeline!S7</f>
        <v>146.31</v>
      </c>
      <c r="J4" s="57">
        <f>Pipeline!T7</f>
        <v>271.275</v>
      </c>
      <c r="K4" s="57">
        <f>Pipeline!U7</f>
        <v>401.895</v>
      </c>
      <c r="L4" s="57">
        <f>Pipeline!V7</f>
        <v>532.515</v>
      </c>
      <c r="M4" s="57">
        <f>Pipeline!W7</f>
        <v>636.135</v>
      </c>
      <c r="N4" s="57">
        <f>Pipeline!X7</f>
        <v>653.1</v>
      </c>
      <c r="O4" s="57">
        <f>Pipeline!Y7</f>
        <v>653.1</v>
      </c>
      <c r="P4" s="57">
        <f>Pipeline!Z7</f>
        <v>653.1</v>
      </c>
      <c r="Q4" s="57">
        <f>Pipeline!AA7</f>
        <v>653.1</v>
      </c>
      <c r="R4" s="57">
        <f>Pipeline!AB7</f>
        <v>653.1</v>
      </c>
      <c r="S4" s="57">
        <f>Pipeline!AC7</f>
        <v>653.1</v>
      </c>
      <c r="T4" s="57">
        <f>Pipeline!AD7</f>
        <v>653.1</v>
      </c>
      <c r="U4" s="57">
        <f>Pipeline!AE7</f>
        <v>383.1</v>
      </c>
      <c r="V4" s="57">
        <f>Pipeline!AF7</f>
        <v>191.55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0.0</v>
      </c>
      <c r="G5" s="57">
        <f>Pipeline!Q8</f>
        <v>0.0</v>
      </c>
      <c r="H5" s="57">
        <f>Pipeline!R8</f>
        <v>21.6</v>
      </c>
      <c r="I5" s="57">
        <f>Pipeline!S8</f>
        <v>58.524</v>
      </c>
      <c r="J5" s="57">
        <f>Pipeline!T8</f>
        <v>108.51000000000002</v>
      </c>
      <c r="K5" s="57">
        <f>Pipeline!U8</f>
        <v>160.758</v>
      </c>
      <c r="L5" s="57">
        <f>Pipeline!V8</f>
        <v>213.006</v>
      </c>
      <c r="M5" s="57">
        <f>Pipeline!W8</f>
        <v>254.454</v>
      </c>
      <c r="N5" s="57">
        <f>Pipeline!X8</f>
        <v>261.24</v>
      </c>
      <c r="O5" s="57">
        <f>Pipeline!Y8</f>
        <v>261.24</v>
      </c>
      <c r="P5" s="57">
        <f>Pipeline!Z8</f>
        <v>261.24</v>
      </c>
      <c r="Q5" s="57">
        <f>Pipeline!AA8</f>
        <v>261.24</v>
      </c>
      <c r="R5" s="57">
        <f>Pipeline!AB8</f>
        <v>261.24</v>
      </c>
      <c r="S5" s="57">
        <f>Pipeline!AC8</f>
        <v>261.24</v>
      </c>
      <c r="T5" s="57">
        <f>Pipeline!AD8</f>
        <v>261.24</v>
      </c>
      <c r="U5" s="57">
        <f>Pipeline!AE8</f>
        <v>153.24</v>
      </c>
      <c r="V5" s="57">
        <f>Pipeline!AF8</f>
        <v>76.62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-37.713</v>
      </c>
      <c r="D6" s="23">
        <f>-IF(D3-2026&lt;Assumptions!$B$19,Assumptions!$B$18,Assumptions!$B$18*Assumptions!$B$20*Assumptions!$B$16)</f>
        <v>-37.713</v>
      </c>
      <c r="E6" s="23">
        <f>-IF(E3-2026&lt;Assumptions!$B$19,Assumptions!$B$18,Assumptions!$B$18*Assumptions!$B$20*Assumptions!$B$16)</f>
        <v>-37.713</v>
      </c>
      <c r="F6" s="23">
        <f>-IF(F3-2026&lt;Assumptions!$B$19,Assumptions!$B$18,Assumptions!$B$18*Assumptions!$B$20*Assumptions!$B$16)</f>
        <v>-37.713</v>
      </c>
      <c r="G6" s="23">
        <f>-IF(G3-2026&lt;Assumptions!$B$19,Assumptions!$B$18,Assumptions!$B$18*Assumptions!$B$20*Assumptions!$B$16)</f>
        <v>-2.9905926152918405</v>
      </c>
      <c r="H6" s="23">
        <f>-IF(H3-2026&lt;Assumptions!$B$19,Assumptions!$B$18,Assumptions!$B$18*Assumptions!$B$20*Assumptions!$B$16)</f>
        <v>-2.9905926152918405</v>
      </c>
      <c r="I6" s="23">
        <f>-IF(I3-2026&lt;Assumptions!$B$19,Assumptions!$B$18,Assumptions!$B$18*Assumptions!$B$20*Assumptions!$B$16)</f>
        <v>-2.9905926152918405</v>
      </c>
      <c r="J6" s="23">
        <f>-IF(J3-2026&lt;Assumptions!$B$19,Assumptions!$B$18,Assumptions!$B$18*Assumptions!$B$20*Assumptions!$B$16)</f>
        <v>-2.9905926152918405</v>
      </c>
      <c r="K6" s="23">
        <f>-IF(K3-2026&lt;Assumptions!$B$19,Assumptions!$B$18,Assumptions!$B$18*Assumptions!$B$20*Assumptions!$B$16)</f>
        <v>-2.9905926152918405</v>
      </c>
      <c r="L6" s="23">
        <f>-IF(L3-2026&lt;Assumptions!$B$19,Assumptions!$B$18,Assumptions!$B$18*Assumptions!$B$20*Assumptions!$B$16)</f>
        <v>-2.9905926152918405</v>
      </c>
      <c r="M6" s="23">
        <f>-IF(M3-2026&lt;Assumptions!$B$19,Assumptions!$B$18,Assumptions!$B$18*Assumptions!$B$20*Assumptions!$B$16)</f>
        <v>-2.9905926152918405</v>
      </c>
      <c r="N6" s="23">
        <f>-IF(N3-2026&lt;Assumptions!$B$19,Assumptions!$B$18,Assumptions!$B$18*Assumptions!$B$20*Assumptions!$B$16)</f>
        <v>-2.9905926152918405</v>
      </c>
      <c r="O6" s="23">
        <f>-IF(O3-2026&lt;Assumptions!$B$19,Assumptions!$B$18,Assumptions!$B$18*Assumptions!$B$20*Assumptions!$B$16)</f>
        <v>-2.9905926152918405</v>
      </c>
      <c r="P6" s="23">
        <f>-IF(P3-2026&lt;Assumptions!$B$19,Assumptions!$B$18,Assumptions!$B$18*Assumptions!$B$20*Assumptions!$B$16)</f>
        <v>-2.9905926152918405</v>
      </c>
      <c r="Q6" s="23">
        <f>-IF(Q3-2026&lt;Assumptions!$B$19,Assumptions!$B$18,Assumptions!$B$18*Assumptions!$B$20*Assumptions!$B$16)</f>
        <v>-2.9905926152918405</v>
      </c>
      <c r="R6" s="23">
        <f>-IF(R3-2026&lt;Assumptions!$B$19,Assumptions!$B$18,Assumptions!$B$18*Assumptions!$B$20*Assumptions!$B$16)</f>
        <v>-2.9905926152918405</v>
      </c>
      <c r="S6" s="23">
        <f>-IF(S3-2026&lt;Assumptions!$B$19,Assumptions!$B$18,Assumptions!$B$18*Assumptions!$B$20*Assumptions!$B$16)</f>
        <v>-2.9905926152918405</v>
      </c>
      <c r="T6" s="23">
        <f>-IF(T3-2026&lt;Assumptions!$B$19,Assumptions!$B$18,Assumptions!$B$18*Assumptions!$B$20*Assumptions!$B$16)</f>
        <v>-2.9905926152918405</v>
      </c>
      <c r="U6" s="23">
        <f>-IF(U3-2026&lt;Assumptions!$B$19,Assumptions!$B$18,Assumptions!$B$18*Assumptions!$B$20*Assumptions!$B$16)</f>
        <v>-2.9905926152918405</v>
      </c>
      <c r="V6" s="23">
        <f>-IF(V3-2026&lt;Assumptions!$B$19,Assumptions!$B$18,Assumptions!$B$18*Assumptions!$B$20*Assumptions!$B$16)</f>
        <v>-2.9905926152918405</v>
      </c>
    </row>
    <row r="7">
      <c r="A7" s="14" t="inlineStr">
        <is>
          <t>Pre-tax cash flow</t>
        </is>
      </c>
      <c r="C7" s="23">
        <f>C5+C6</f>
        <v>-37.713</v>
      </c>
      <c r="D7" s="23">
        <f>D5+D6</f>
        <v>-37.713</v>
      </c>
      <c r="E7" s="23">
        <f>E5+E6</f>
        <v>-37.713</v>
      </c>
      <c r="F7" s="23">
        <f>F5+F6</f>
        <v>-37.713</v>
      </c>
      <c r="G7" s="23">
        <f>G5+G6</f>
        <v>-2.9905926152918405</v>
      </c>
      <c r="H7" s="23">
        <f>H5+H6</f>
        <v>18.60940738470816</v>
      </c>
      <c r="I7" s="23">
        <f>I5+I6</f>
        <v>55.53340738470816</v>
      </c>
      <c r="J7" s="23">
        <f>J5+J6</f>
        <v>105.51940738470817</v>
      </c>
      <c r="K7" s="23">
        <f>K5+K6</f>
        <v>157.76740738470818</v>
      </c>
      <c r="L7" s="23">
        <f>L5+L6</f>
        <v>210.01540738470817</v>
      </c>
      <c r="M7" s="23">
        <f>M5+M6</f>
        <v>251.46340738470818</v>
      </c>
      <c r="N7" s="23">
        <f>N5+N6</f>
        <v>258.24940738470815</v>
      </c>
      <c r="O7" s="23">
        <f>O5+O6</f>
        <v>258.24940738470815</v>
      </c>
      <c r="P7" s="23">
        <f>P5+P6</f>
        <v>258.24940738470815</v>
      </c>
      <c r="Q7" s="23">
        <f>Q5+Q6</f>
        <v>258.24940738470815</v>
      </c>
      <c r="R7" s="23">
        <f>R5+R6</f>
        <v>258.24940738470815</v>
      </c>
      <c r="S7" s="23">
        <f>S5+S6</f>
        <v>258.24940738470815</v>
      </c>
      <c r="T7" s="23">
        <f>T5+T6</f>
        <v>258.24940738470815</v>
      </c>
      <c r="U7" s="23">
        <f>U5+U6</f>
        <v>150.24940738470818</v>
      </c>
      <c r="V7" s="23">
        <f>V5+V6</f>
        <v>73.62940738470816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18.60940738470816</v>
      </c>
      <c r="I8" s="23">
        <f>MIN(H17,MAX(0,I7))</f>
        <v>55.53340738470816</v>
      </c>
      <c r="J8" s="23">
        <f>MIN(I17,MAX(0,J7))</f>
        <v>105.51940738470817</v>
      </c>
      <c r="K8" s="23">
        <f>MIN(J17,MAX(0,K7))</f>
        <v>157.76740738470818</v>
      </c>
      <c r="L8" s="23">
        <f>MIN(K17,MAX(0,L7))</f>
        <v>6.412963076459221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203.60244430824895</v>
      </c>
      <c r="M9" s="23">
        <f>MAX(0,M7)-M8</f>
        <v>251.46340738470818</v>
      </c>
      <c r="N9" s="23">
        <f>MAX(0,N7)-N8</f>
        <v>258.24940738470815</v>
      </c>
      <c r="O9" s="23">
        <f>MAX(0,O7)-O8</f>
        <v>258.24940738470815</v>
      </c>
      <c r="P9" s="23">
        <f>MAX(0,P7)-P8</f>
        <v>258.24940738470815</v>
      </c>
      <c r="Q9" s="23">
        <f>MAX(0,Q7)-Q8</f>
        <v>258.24940738470815</v>
      </c>
      <c r="R9" s="23">
        <f>MAX(0,R7)-R8</f>
        <v>258.24940738470815</v>
      </c>
      <c r="S9" s="23">
        <f>MAX(0,S7)-S8</f>
        <v>258.24940738470815</v>
      </c>
      <c r="T9" s="23">
        <f>MAX(0,T7)-T8</f>
        <v>258.24940738470815</v>
      </c>
      <c r="U9" s="23">
        <f>MAX(0,U7)-U8</f>
        <v>150.24940738470818</v>
      </c>
      <c r="V9" s="23">
        <f>MAX(0,V7)-V8</f>
        <v>73.62940738470816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42.75651330473228</v>
      </c>
      <c r="M10" s="23">
        <f>M9*Assumptions!$E$15</f>
        <v>52.807315550788715</v>
      </c>
      <c r="N10" s="23">
        <f>N9*Assumptions!$E$15</f>
        <v>54.23237555078871</v>
      </c>
      <c r="O10" s="23">
        <f>O9*Assumptions!$E$15</f>
        <v>54.23237555078871</v>
      </c>
      <c r="P10" s="23">
        <f>P9*Assumptions!$E$15</f>
        <v>54.23237555078871</v>
      </c>
      <c r="Q10" s="23">
        <f>Q9*Assumptions!$E$15</f>
        <v>54.23237555078871</v>
      </c>
      <c r="R10" s="23">
        <f>R9*Assumptions!$E$15</f>
        <v>54.23237555078871</v>
      </c>
      <c r="S10" s="23">
        <f>S9*Assumptions!$E$15</f>
        <v>54.23237555078871</v>
      </c>
      <c r="T10" s="23">
        <f>T9*Assumptions!$E$15</f>
        <v>54.23237555078871</v>
      </c>
      <c r="U10" s="23">
        <f>U9*Assumptions!$E$15</f>
        <v>31.552375550788717</v>
      </c>
      <c r="V10" s="23">
        <f>V9*Assumptions!$E$15</f>
        <v>15.462175550788713</v>
      </c>
    </row>
    <row r="11">
      <c r="A11" s="24" t="inlineStr">
        <is>
          <t>Free cash flow</t>
        </is>
      </c>
      <c r="C11" s="55">
        <f>C7-C10</f>
        <v>-37.713</v>
      </c>
      <c r="D11" s="55">
        <f>D7-D10</f>
        <v>-37.713</v>
      </c>
      <c r="E11" s="55">
        <f>E7-E10</f>
        <v>-37.713</v>
      </c>
      <c r="F11" s="55">
        <f>F7-F10</f>
        <v>-37.713</v>
      </c>
      <c r="G11" s="55">
        <f>G7-G10</f>
        <v>-2.9905926152918405</v>
      </c>
      <c r="H11" s="55">
        <f>H7-H10</f>
        <v>18.60940738470816</v>
      </c>
      <c r="I11" s="55">
        <f>I7-I10</f>
        <v>55.53340738470816</v>
      </c>
      <c r="J11" s="55">
        <f>J7-J10</f>
        <v>105.51940738470817</v>
      </c>
      <c r="K11" s="55">
        <f>K7-K10</f>
        <v>157.76740738470818</v>
      </c>
      <c r="L11" s="55">
        <f>L7-L10</f>
        <v>167.2588940799759</v>
      </c>
      <c r="M11" s="55">
        <f>M7-M10</f>
        <v>198.65609183391945</v>
      </c>
      <c r="N11" s="55">
        <f>N7-N10</f>
        <v>204.01703183391945</v>
      </c>
      <c r="O11" s="55">
        <f>O7-O10</f>
        <v>204.01703183391945</v>
      </c>
      <c r="P11" s="55">
        <f>P7-P10</f>
        <v>204.01703183391945</v>
      </c>
      <c r="Q11" s="55">
        <f>Q7-Q10</f>
        <v>204.01703183391945</v>
      </c>
      <c r="R11" s="55">
        <f>R7-R10</f>
        <v>204.01703183391945</v>
      </c>
      <c r="S11" s="55">
        <f>S7-S10</f>
        <v>204.01703183391945</v>
      </c>
      <c r="T11" s="55">
        <f>T7-T10</f>
        <v>204.01703183391945</v>
      </c>
      <c r="U11" s="55">
        <f>U7-U10</f>
        <v>118.69703183391945</v>
      </c>
      <c r="V11" s="55">
        <f>V7-V10</f>
        <v>58.167231833919445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-18.47576271438992</v>
      </c>
      <c r="D16" s="55">
        <f>D11*D15</f>
        <v>-33.65667929922505</v>
      </c>
      <c r="E16" s="55">
        <f>E11*E15</f>
        <v>-30.05060651716521</v>
      </c>
      <c r="F16" s="55">
        <f>F11*F15</f>
        <v>-26.83089867604037</v>
      </c>
      <c r="G16" s="55">
        <f>G11*G15</f>
        <v>-1.8996927793516145</v>
      </c>
      <c r="H16" s="55">
        <f>H11*H15</f>
        <v>10.554572222807234</v>
      </c>
      <c r="I16" s="55">
        <f>I11*I15</f>
        <v>28.121882644368043</v>
      </c>
      <c r="J16" s="55">
        <f>J11*J15</f>
        <v>47.70944790138577</v>
      </c>
      <c r="K16" s="55">
        <f>K11*K15</f>
        <v>63.690009477484104</v>
      </c>
      <c r="L16" s="55">
        <f>L11*L15</f>
        <v>60.287215153216884</v>
      </c>
      <c r="M16" s="55">
        <f>M11*M15</f>
        <v>63.93223199497215</v>
      </c>
      <c r="N16" s="55">
        <f>N11*N15</f>
        <v>58.62277621934277</v>
      </c>
      <c r="O16" s="55">
        <f>O11*O15</f>
        <v>52.341764481556034</v>
      </c>
      <c r="P16" s="55">
        <f>P11*P15</f>
        <v>46.7337182871036</v>
      </c>
      <c r="Q16" s="55">
        <f>Q11*Q15</f>
        <v>41.72653418491392</v>
      </c>
      <c r="R16" s="55">
        <f>R11*R15</f>
        <v>37.255834093673144</v>
      </c>
      <c r="S16" s="55">
        <f>S11*S15</f>
        <v>33.26413758363673</v>
      </c>
      <c r="T16" s="55">
        <f>T11*T15</f>
        <v>29.700122842532796</v>
      </c>
      <c r="U16" s="55">
        <f>U11*U15</f>
        <v>15.428143052314699</v>
      </c>
      <c r="V16" s="55">
        <f>V11*V15</f>
        <v>6.750472489146925</v>
      </c>
    </row>
    <row r="17">
      <c r="A17" s="14" t="inlineStr">
        <is>
          <t>Tax-loss carryforward, end of year</t>
        </is>
      </c>
      <c r="C17" s="23">
        <f>Assumptions!$B$21-C8+MAX(0,-C7)</f>
        <v>227.713</v>
      </c>
      <c r="D17" s="23">
        <f>C17-D8+MAX(0,-D7)</f>
        <v>265.426</v>
      </c>
      <c r="E17" s="23">
        <f>D17-E8+MAX(0,-E7)</f>
        <v>303.139</v>
      </c>
      <c r="F17" s="23">
        <f>E17-F8+MAX(0,-F7)</f>
        <v>340.85200000000003</v>
      </c>
      <c r="G17" s="23">
        <f>F17-G8+MAX(0,-G7)</f>
        <v>343.8425926152919</v>
      </c>
      <c r="H17" s="23">
        <f>G17-H8+MAX(0,-H7)</f>
        <v>325.23318523058373</v>
      </c>
      <c r="I17" s="23">
        <f>H17-I8+MAX(0,-I7)</f>
        <v>269.6997778458756</v>
      </c>
      <c r="J17" s="23">
        <f>I17-J8+MAX(0,-J7)</f>
        <v>164.1803704611674</v>
      </c>
      <c r="K17" s="23">
        <f>J17-K8+MAX(0,-K7)</f>
        <v>6.412963076459221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727.0113413750164</v>
      </c>
    </row>
    <row r="20">
      <c r="A20" s="14" t="inlineStr">
        <is>
          <t>PV of corporate burn</t>
        </is>
      </c>
      <c r="B20" s="23">
        <f>SUMPRODUCT(C6:V6,C15:V15)</f>
        <v>-123.85219007795115</v>
      </c>
    </row>
    <row r="21">
      <c r="A21" s="14" t="inlineStr">
        <is>
          <t>PV of taxes</t>
        </is>
      </c>
      <c r="B21" s="23">
        <f>-SUMPRODUCT(C10:V10,C15:V15)</f>
        <v>-117.95392865478249</v>
      </c>
    </row>
    <row r="22">
      <c r="A22" s="24" t="inlineStr">
        <is>
          <t>Pipeline rNPV (operations)</t>
        </is>
      </c>
      <c r="B22" s="54">
        <f>SUM(C16:V16)</f>
        <v>485.20522264228265</v>
      </c>
    </row>
    <row r="23">
      <c r="A23" s="14" t="inlineStr">
        <is>
          <t>Cash &amp; investments</t>
        </is>
      </c>
      <c r="B23" s="57">
        <f>Main!C7</f>
        <v>4.115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489.32022264228266</v>
      </c>
    </row>
    <row r="26">
      <c r="A26" s="14" t="inlineStr">
        <is>
          <t>Shares (mm)</t>
        </is>
      </c>
      <c r="B26" s="57">
        <f>Main!C4</f>
        <v>127.510505</v>
      </c>
    </row>
    <row r="27">
      <c r="A27" s="24" t="inlineStr">
        <is>
          <t>rNPV / share</t>
        </is>
      </c>
      <c r="B27" s="60">
        <f>B25/B26</f>
        <v>3.8374894887466935</v>
      </c>
    </row>
    <row r="28">
      <c r="A28" s="14" t="inlineStr">
        <is>
          <t>Price</t>
        </is>
      </c>
      <c r="B28" s="61">
        <f>Main!C3</f>
        <v>0.4986</v>
      </c>
    </row>
    <row r="29">
      <c r="A29" s="14" t="inlineStr">
        <is>
          <t>Upside</t>
        </is>
      </c>
      <c r="B29" s="62">
        <f>B27/B28-1</f>
        <v>6.696529259419762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2026-10-21T06:28:53Z</dcterms:modified>
  <cp:lastModifiedBy>Wang, Eric</cp:lastModifiedBy>
</cp:coreProperties>
</file>