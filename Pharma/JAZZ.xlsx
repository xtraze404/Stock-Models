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Jazz Pharmaceuticals PLC</t>
        </is>
      </c>
      <c r="C2" s="10" t="n"/>
    </row>
    <row r="3">
      <c r="B3" t="inlineStr">
        <is>
          <t>Price</t>
        </is>
      </c>
      <c r="C3" s="11">
        <f>INDEX([1]Pharma!$F$1:$F$1000,MATCH("JAZZ",[1]Pharma!$B$1:$B$1000,0))</f>
        <v>213.76</v>
      </c>
      <c r="F3" s="1" t="n"/>
    </row>
    <row r="4">
      <c r="B4" t="inlineStr">
        <is>
          <t>Shares</t>
        </is>
      </c>
      <c r="C4" s="51" t="n">
        <v>64.91457699999999</v>
      </c>
      <c r="F4" s="1" t="n"/>
    </row>
    <row r="5">
      <c r="B5" t="inlineStr">
        <is>
          <t>Market Cap.</t>
        </is>
      </c>
      <c r="C5" s="13">
        <f>C3*C4</f>
        <v>13876.139979519998</v>
      </c>
      <c r="F5" s="1" t="n"/>
    </row>
    <row r="6"/>
    <row r="7">
      <c r="B7" t="inlineStr">
        <is>
          <t>Cash</t>
        </is>
      </c>
      <c r="C7" s="51" t="n">
        <v>2199.8</v>
      </c>
    </row>
    <row r="8">
      <c r="B8" t="inlineStr">
        <is>
          <t>Debt</t>
        </is>
      </c>
      <c r="C8" s="51">
        <f>1016.4+3335</f>
        <v>4351.4</v>
      </c>
    </row>
    <row r="9">
      <c r="B9" t="inlineStr">
        <is>
          <t>Enterprise V.</t>
        </is>
      </c>
      <c r="C9" s="13">
        <f>C5-C7+C8</f>
        <v>16027.739979519998</v>
      </c>
    </row>
    <row r="10"/>
    <row r="11">
      <c r="B11" s="14" t="inlineStr">
        <is>
          <t>NPV / Share</t>
        </is>
      </c>
      <c r="C11" s="11">
        <f>NPV!B28</f>
        <v>148.69299690082684</v>
      </c>
    </row>
    <row r="12">
      <c r="B12" s="14" t="inlineStr">
        <is>
          <t>Upside</t>
        </is>
      </c>
      <c r="C12" s="15">
        <f>IFERROR(C11/C3-1,"")</f>
        <v>-0.30439279144448517</v>
      </c>
    </row>
    <row r="13">
      <c r="B13" s="14" t="inlineStr">
        <is>
          <t>Cash / Share</t>
        </is>
      </c>
      <c r="C13" s="11">
        <f>IFERROR((C7-C8)/C4,"")</f>
        <v>-33.14509774900019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128.449</v>
      </c>
      <c r="C2" s="52" t="n">
        <v>173.781</v>
      </c>
      <c r="D2" s="52" t="n">
        <v>272.277</v>
      </c>
      <c r="E2" s="52" t="n">
        <v>585.979</v>
      </c>
      <c r="F2" s="52" t="n">
        <v>872.423</v>
      </c>
      <c r="G2" s="52" t="n">
        <v>1172.875</v>
      </c>
      <c r="H2" s="52" t="n">
        <v>1324.803</v>
      </c>
      <c r="I2" s="52" t="n">
        <v>1487.973</v>
      </c>
      <c r="J2" s="52" t="n">
        <v>1618.693</v>
      </c>
      <c r="K2" s="52" t="n">
        <v>1890.922</v>
      </c>
      <c r="L2" s="52" t="n">
        <v>2161.761</v>
      </c>
      <c r="M2" s="52" t="n">
        <v>2363.567</v>
      </c>
      <c r="N2" s="52" t="n">
        <v>3094.238</v>
      </c>
      <c r="O2" s="52" t="n">
        <v>3659.374</v>
      </c>
      <c r="P2" s="52" t="n">
        <v>3834.204</v>
      </c>
      <c r="Q2" s="52" t="n">
        <v>4068.95</v>
      </c>
      <c r="R2" s="52" t="n">
        <v>4267.586</v>
      </c>
      <c r="S2" s="52">
        <f>R2*(1+NPV!C5)</f>
        <v>4528.7622632</v>
      </c>
      <c r="T2" s="52">
        <f>S2*(1+NPV!D5)</f>
        <v>4787.706825493636</v>
      </c>
      <c r="U2" s="52">
        <f>T2*(1+NPV!E5)</f>
        <v>5042.200041639876</v>
      </c>
      <c r="V2" s="52">
        <f>U2*(1+NPV!F5)</f>
        <v>5289.940137019114</v>
      </c>
      <c r="W2" s="52">
        <f>V2*(1+NPV!G5)</f>
        <v>5528.57521431131</v>
      </c>
      <c r="X2" s="52">
        <f>W2*(1+NPV!H5)</f>
        <v>5755.738227006013</v>
      </c>
      <c r="Y2" s="52">
        <f>X2*(1+NPV!I5)</f>
        <v>5969.084257287036</v>
      </c>
      <c r="Z2" s="52">
        <f>Y2*(1+NPV!J5)</f>
        <v>6166.329330411166</v>
      </c>
      <c r="AA2" s="52">
        <f>Z2*(1+NPV!K5)</f>
        <v>6345.289910533766</v>
      </c>
      <c r="AB2" s="52">
        <f>AA2*(1+NPV!L5)</f>
        <v>6503.9221582971095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 t="n">
        <v>0</v>
      </c>
      <c r="R3" s="52" t="n">
        <v>0</v>
      </c>
      <c r="S3" s="52">
        <f>S2*(1-Assumptions!$B$19)</f>
        <v>0.0</v>
      </c>
      <c r="T3" s="52">
        <f>T2*(1-Assumptions!$B$19)</f>
        <v>0.0</v>
      </c>
      <c r="U3" s="52">
        <f>U2*(1-Assumptions!$B$19)</f>
        <v>0.0</v>
      </c>
      <c r="V3" s="52">
        <f>V2*(1-Assumptions!$B$19)</f>
        <v>0.0</v>
      </c>
      <c r="W3" s="52">
        <f>W2*(1-Assumptions!$B$19)</f>
        <v>0.0</v>
      </c>
      <c r="X3" s="52">
        <f>X2*(1-Assumptions!$B$19)</f>
        <v>0.0</v>
      </c>
      <c r="Y3" s="52">
        <f>Y2*(1-Assumptions!$B$19)</f>
        <v>0.0</v>
      </c>
      <c r="Z3" s="52">
        <f>Z2*(1-Assumptions!$B$19)</f>
        <v>0.0</v>
      </c>
      <c r="AA3" s="52">
        <f>AA2*(1-Assumptions!$B$19)</f>
        <v>0.0</v>
      </c>
      <c r="AB3" s="52">
        <f>AB2*(1-Assumptions!$B$19)</f>
        <v>0.0</v>
      </c>
    </row>
    <row r="4" customFormat="1" s="1">
      <c r="A4" s="5" t="inlineStr">
        <is>
          <t>Gross Margin</t>
        </is>
      </c>
      <c r="B4" s="52">
        <f>B2-B3</f>
        <v>128.449</v>
      </c>
      <c r="C4" s="52">
        <f>C2-C3</f>
        <v>173.781</v>
      </c>
      <c r="D4" s="52">
        <f>D2-D3</f>
        <v>272.277</v>
      </c>
      <c r="E4" s="52">
        <f>E2-E3</f>
        <v>585.979</v>
      </c>
      <c r="F4" s="52">
        <f>F2-F3</f>
        <v>872.423</v>
      </c>
      <c r="G4" s="52">
        <f>G2-G3</f>
        <v>1172.875</v>
      </c>
      <c r="H4" s="52">
        <f>H2-H3</f>
        <v>1324.803</v>
      </c>
      <c r="I4" s="52">
        <f>I2-I3</f>
        <v>1487.973</v>
      </c>
      <c r="J4" s="52">
        <f>J2-J3</f>
        <v>1618.693</v>
      </c>
      <c r="K4" s="52">
        <f>K2-K3</f>
        <v>1890.922</v>
      </c>
      <c r="L4" s="52">
        <f>L2-L3</f>
        <v>2161.761</v>
      </c>
      <c r="M4" s="52">
        <f>M2-M3</f>
        <v>2363.567</v>
      </c>
      <c r="N4" s="52">
        <f>N2-N3</f>
        <v>3094.238</v>
      </c>
      <c r="O4" s="52">
        <f>O2-O3</f>
        <v>3659.374</v>
      </c>
      <c r="P4" s="52">
        <f>P2-P3</f>
        <v>3834.204</v>
      </c>
      <c r="Q4" s="52">
        <f>Q2-Q3</f>
        <v>4068.95</v>
      </c>
      <c r="R4" s="52">
        <f>R2-R3</f>
        <v>4267.586</v>
      </c>
      <c r="S4" s="52">
        <f>S2-S3</f>
        <v>4528.7622632</v>
      </c>
      <c r="T4" s="52">
        <f>T2-T3</f>
        <v>4787.706825493636</v>
      </c>
      <c r="U4" s="52">
        <f>U2-U3</f>
        <v>5042.200041639876</v>
      </c>
      <c r="V4" s="52">
        <f>V2-V3</f>
        <v>5289.940137019114</v>
      </c>
      <c r="W4" s="52">
        <f>W2-W3</f>
        <v>5528.57521431131</v>
      </c>
      <c r="X4" s="52">
        <f>X2-X3</f>
        <v>5755.738227006013</v>
      </c>
      <c r="Y4" s="52">
        <f>Y2-Y3</f>
        <v>5969.084257287036</v>
      </c>
      <c r="Z4" s="52">
        <f>Z2-Z3</f>
        <v>6166.329330411166</v>
      </c>
      <c r="AA4" s="52">
        <f>AA2-AA3</f>
        <v>6345.289910533766</v>
      </c>
      <c r="AB4" s="52">
        <f>AB2-AB3</f>
        <v>6503.9221582971095</v>
      </c>
    </row>
    <row r="5">
      <c r="A5" s="2" t="inlineStr">
        <is>
          <t>Research &amp; Dev.</t>
        </is>
      </c>
      <c r="B5" s="52" t="n">
        <v>36.561</v>
      </c>
      <c r="C5" s="52" t="n">
        <v>25.612</v>
      </c>
      <c r="D5" s="52" t="n">
        <v>14.12</v>
      </c>
      <c r="E5" s="52" t="n">
        <v>20.477</v>
      </c>
      <c r="F5" s="52" t="n">
        <v>41.632</v>
      </c>
      <c r="G5" s="52" t="n">
        <v>85.181</v>
      </c>
      <c r="H5" s="52" t="n">
        <v>135.253</v>
      </c>
      <c r="I5" s="52" t="n">
        <v>162.297</v>
      </c>
      <c r="J5" s="52" t="n">
        <v>198.442</v>
      </c>
      <c r="K5" s="52" t="n">
        <v>226.616</v>
      </c>
      <c r="L5" s="52" t="n">
        <v>299.726</v>
      </c>
      <c r="M5" s="52" t="n">
        <v>335.375</v>
      </c>
      <c r="N5" s="52" t="n">
        <v>505.748</v>
      </c>
      <c r="O5" s="52" t="n">
        <v>590.453</v>
      </c>
      <c r="P5" s="52" t="n">
        <v>849.658</v>
      </c>
      <c r="Q5" s="52" t="n">
        <v>884</v>
      </c>
      <c r="R5" s="52" t="n">
        <v>782.736</v>
      </c>
      <c r="S5" s="52">
        <f>S7*Assumptions!$B$20</f>
        <v>607.0565517693915</v>
      </c>
      <c r="T5" s="52">
        <f>T7*Assumptions!$B$20</f>
        <v>641.3599040868709</v>
      </c>
      <c r="U5" s="52">
        <f>U7*Assumptions!$B$20</f>
        <v>675.0233305309285</v>
      </c>
      <c r="V5" s="52">
        <f>V7*Assumptions!$B$20</f>
        <v>707.7400117839993</v>
      </c>
      <c r="W5" s="52">
        <f>W7*Assumptions!$B$20</f>
        <v>739.1972091717074</v>
      </c>
      <c r="X5" s="52">
        <f>X7*Assumptions!$B$20</f>
        <v>769.0809591121447</v>
      </c>
      <c r="Y5" s="52">
        <f>Y7*Assumptions!$B$20</f>
        <v>797.08105745023</v>
      </c>
      <c r="Z5" s="52">
        <f>Z7*Assumptions!$B$20</f>
        <v>822.8962298329756</v>
      </c>
      <c r="AA5" s="52">
        <f>AA7*Assumptions!$B$20</f>
        <v>846.2393731784787</v>
      </c>
      <c r="AB5" s="52">
        <f>AB7*Assumptions!$B$20</f>
        <v>866.8427452578387</v>
      </c>
    </row>
    <row r="6">
      <c r="A6" s="18" t="inlineStr">
        <is>
          <t>SG&amp;A &amp; Other</t>
        </is>
      </c>
      <c r="B6" s="52" t="n">
        <v>75.958</v>
      </c>
      <c r="C6" s="52" t="n">
        <v>90.38</v>
      </c>
      <c r="D6" s="52" t="n">
        <v>130.326</v>
      </c>
      <c r="E6" s="52" t="n">
        <v>367.658</v>
      </c>
      <c r="F6" s="52" t="n">
        <v>490.479</v>
      </c>
      <c r="G6" s="52" t="n">
        <v>892.107</v>
      </c>
      <c r="H6" s="52" t="n">
        <v>681.33</v>
      </c>
      <c r="I6" s="52" t="n">
        <v>734.022</v>
      </c>
      <c r="J6" s="52" t="n">
        <v>891.409</v>
      </c>
      <c r="K6" s="52" t="n">
        <v>1049.468</v>
      </c>
      <c r="L6" s="52" t="n">
        <v>1329.661</v>
      </c>
      <c r="M6" s="52" t="n">
        <v>1650.119</v>
      </c>
      <c r="N6" s="52" t="n">
        <v>2418.212</v>
      </c>
      <c r="O6" s="52" t="n">
        <v>3134.449</v>
      </c>
      <c r="P6" s="52" t="n">
        <v>2405.966</v>
      </c>
      <c r="Q6" s="52" t="n">
        <v>2468.32</v>
      </c>
      <c r="R6" s="52" t="n">
        <v>3915.09</v>
      </c>
      <c r="S6" s="52">
        <f>S7-S5</f>
        <v>3036.740277578697</v>
      </c>
      <c r="T6" s="52">
        <f>T7-T5</f>
        <v>3208.339400156052</v>
      </c>
      <c r="U6" s="52">
        <f>U7-U5</f>
        <v>3376.737356929627</v>
      </c>
      <c r="V6" s="52">
        <f>V7-V5</f>
        <v>3540.3993146505704</v>
      </c>
      <c r="W6" s="52">
        <f>W7-W5</f>
        <v>3697.760829073835</v>
      </c>
      <c r="X6" s="52">
        <f>X7-X5</f>
        <v>3847.2513284757583</v>
      </c>
      <c r="Y6" s="52">
        <f>Y7-Y5</f>
        <v>3987.3190472930473</v>
      </c>
      <c r="Z6" s="52">
        <f>Z7-Z5</f>
        <v>4116.4568904129765</v>
      </c>
      <c r="AA6" s="52">
        <f>AA7-AA5</f>
        <v>4233.228653102906</v>
      </c>
      <c r="AB6" s="52">
        <f>AB7-AB5</f>
        <v>4336.294981379849</v>
      </c>
    </row>
    <row r="7">
      <c r="A7" s="2" t="inlineStr">
        <is>
          <t>Operating Expense</t>
        </is>
      </c>
      <c r="B7" s="52">
        <f>SUM(B5:B6)</f>
        <v>112.519</v>
      </c>
      <c r="C7" s="52">
        <f>SUM(C5:C6)</f>
        <v>115.99199999999999</v>
      </c>
      <c r="D7" s="52">
        <f>SUM(D5:D6)</f>
        <v>144.446</v>
      </c>
      <c r="E7" s="52">
        <f>SUM(E5:E6)</f>
        <v>388.135</v>
      </c>
      <c r="F7" s="52">
        <f>SUM(F5:F6)</f>
        <v>532.111</v>
      </c>
      <c r="G7" s="52">
        <f>SUM(G5:G6)</f>
        <v>977.288</v>
      </c>
      <c r="H7" s="52">
        <f>SUM(H5:H6)</f>
        <v>816.5830000000001</v>
      </c>
      <c r="I7" s="52">
        <f>SUM(I5:I6)</f>
        <v>896.3190000000001</v>
      </c>
      <c r="J7" s="52">
        <f>SUM(J5:J6)</f>
        <v>1089.851</v>
      </c>
      <c r="K7" s="52">
        <f>SUM(K5:K6)</f>
        <v>1276.084</v>
      </c>
      <c r="L7" s="52">
        <f>SUM(L5:L6)</f>
        <v>1629.3870000000002</v>
      </c>
      <c r="M7" s="52">
        <f>SUM(M5:M6)</f>
        <v>1985.494</v>
      </c>
      <c r="N7" s="52">
        <f>SUM(N5:N6)</f>
        <v>2923.96</v>
      </c>
      <c r="O7" s="52">
        <f>SUM(O5:O6)</f>
        <v>3724.902</v>
      </c>
      <c r="P7" s="52">
        <f>SUM(P5:P6)</f>
        <v>3255.624</v>
      </c>
      <c r="Q7" s="52">
        <f>SUM(Q5:Q6)</f>
        <v>3352.32</v>
      </c>
      <c r="R7" s="52">
        <f>SUM(R5:R6)</f>
        <v>4697.826</v>
      </c>
      <c r="S7" s="52">
        <f>S4-S2*NPV!C6</f>
        <v>3643.796829348088</v>
      </c>
      <c r="T7" s="52">
        <f>T4-T2*NPV!D6</f>
        <v>3849.6993042429226</v>
      </c>
      <c r="U7" s="52">
        <f>U4-U2*NPV!E6</f>
        <v>4051.7606874605553</v>
      </c>
      <c r="V7" s="52">
        <f>V4-V2*NPV!F6</f>
        <v>4248.13932643457</v>
      </c>
      <c r="W7" s="52">
        <f>W4-W2*NPV!G6</f>
        <v>4436.958038245542</v>
      </c>
      <c r="X7" s="52">
        <f>X4-X2*NPV!H6</f>
        <v>4616.332287587903</v>
      </c>
      <c r="Y7" s="52">
        <f>Y4-Y2*NPV!I6</f>
        <v>4784.400104743278</v>
      </c>
      <c r="Z7" s="52">
        <f>Z4-Z2*NPV!J6</f>
        <v>4939.353120245952</v>
      </c>
      <c r="AA7" s="52">
        <f>AA4-AA2*NPV!K6</f>
        <v>5079.4680262813845</v>
      </c>
      <c r="AB7" s="52">
        <f>AB4-AB2*NPV!L6</f>
        <v>5203.137726637688</v>
      </c>
    </row>
    <row r="8">
      <c r="A8" s="2" t="inlineStr">
        <is>
          <t>Operating Income</t>
        </is>
      </c>
      <c r="B8" s="52">
        <f>B4-B7</f>
        <v>15.930000000000007</v>
      </c>
      <c r="C8" s="52">
        <f>C4-C7</f>
        <v>57.789000000000016</v>
      </c>
      <c r="D8" s="52">
        <f>D4-D7</f>
        <v>127.83099999999999</v>
      </c>
      <c r="E8" s="52">
        <f>E4-E7</f>
        <v>197.84400000000005</v>
      </c>
      <c r="F8" s="52">
        <f>F4-F7</f>
        <v>340.312</v>
      </c>
      <c r="G8" s="52">
        <f>G4-G7</f>
        <v>195.587</v>
      </c>
      <c r="H8" s="52">
        <f>H4-H7</f>
        <v>508.22</v>
      </c>
      <c r="I8" s="52">
        <f>I4-I7</f>
        <v>591.6539999999999</v>
      </c>
      <c r="J8" s="52">
        <f>J4-J7</f>
        <v>528.8419999999999</v>
      </c>
      <c r="K8" s="52">
        <f>K4-K7</f>
        <v>614.838</v>
      </c>
      <c r="L8" s="52">
        <f>L4-L7</f>
        <v>532.3739999999998</v>
      </c>
      <c r="M8" s="52">
        <f>M4-M7</f>
        <v>378.0730000000001</v>
      </c>
      <c r="N8" s="52">
        <f>N4-N7</f>
        <v>170.2779999999998</v>
      </c>
      <c r="O8" s="52">
        <f>O4-O7</f>
        <v>-65.52800000000025</v>
      </c>
      <c r="P8" s="52">
        <f>P4-P7</f>
        <v>578.5800000000004</v>
      </c>
      <c r="Q8" s="52">
        <f>Q4-Q7</f>
        <v>716.6299999999997</v>
      </c>
      <c r="R8" s="52">
        <f>R4-R7</f>
        <v>-430.2399999999998</v>
      </c>
      <c r="S8" s="52">
        <f>S4-S7</f>
        <v>884.9654338519122</v>
      </c>
      <c r="T8" s="52">
        <f>T4-T7</f>
        <v>938.0075212507131</v>
      </c>
      <c r="U8" s="52">
        <f>U4-U7</f>
        <v>990.4393541793206</v>
      </c>
      <c r="V8" s="52">
        <f>V4-V7</f>
        <v>1041.8008105845447</v>
      </c>
      <c r="W8" s="52">
        <f>W4-W7</f>
        <v>1091.617176065768</v>
      </c>
      <c r="X8" s="52">
        <f>X4-X7</f>
        <v>1139.4059394181104</v>
      </c>
      <c r="Y8" s="52">
        <f>Y4-Y7</f>
        <v>1184.6841525437585</v>
      </c>
      <c r="Z8" s="52">
        <f>Z4-Z7</f>
        <v>1226.976210165214</v>
      </c>
      <c r="AA8" s="52">
        <f>AA4-AA7</f>
        <v>1265.821884252381</v>
      </c>
      <c r="AB8" s="52">
        <f>AB4-AB7</f>
        <v>1300.784431659422</v>
      </c>
    </row>
    <row r="9">
      <c r="A9" s="18" t="inlineStr">
        <is>
          <t>Interest &amp; Other</t>
        </is>
      </c>
      <c r="B9" s="52" t="n">
        <v>-22.766</v>
      </c>
      <c r="C9" s="52" t="n">
        <v>-25.011</v>
      </c>
      <c r="D9" s="52" t="n">
        <v>-2.847</v>
      </c>
      <c r="E9" s="52" t="n">
        <v>6.948</v>
      </c>
      <c r="F9" s="52" t="n">
        <v>-32.362</v>
      </c>
      <c r="G9" s="52" t="n">
        <v>-42.969</v>
      </c>
      <c r="H9" s="52" t="n">
        <v>-72.286</v>
      </c>
      <c r="I9" s="52" t="n">
        <v>-59.587</v>
      </c>
      <c r="J9" s="52" t="n">
        <v>-88.73399999999999</v>
      </c>
      <c r="K9" s="52" t="n">
        <v>-87.578</v>
      </c>
      <c r="L9" s="52" t="n">
        <v>-82.161</v>
      </c>
      <c r="M9" s="52" t="n">
        <v>-105.94</v>
      </c>
      <c r="N9" s="52" t="n">
        <v>-283.83</v>
      </c>
      <c r="O9" s="52" t="n">
        <v>-317.177</v>
      </c>
      <c r="P9" s="52" t="n">
        <v>-283.66</v>
      </c>
      <c r="Q9" s="52" t="n">
        <v>-247.939</v>
      </c>
      <c r="R9" s="52" t="n">
        <v>-198.351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-6.835999999999991</v>
      </c>
      <c r="C10" s="52">
        <f>C8+C9</f>
        <v>32.77800000000002</v>
      </c>
      <c r="D10" s="52">
        <f>D8+D9</f>
        <v>124.984</v>
      </c>
      <c r="E10" s="52">
        <f>E8+E9</f>
        <v>204.79200000000006</v>
      </c>
      <c r="F10" s="52">
        <f>F8+F9</f>
        <v>307.95</v>
      </c>
      <c r="G10" s="52">
        <f>G8+G9</f>
        <v>152.618</v>
      </c>
      <c r="H10" s="52">
        <f>H8+H9</f>
        <v>435.934</v>
      </c>
      <c r="I10" s="52">
        <f>I8+I9</f>
        <v>532.0669999999999</v>
      </c>
      <c r="J10" s="52">
        <f>J8+J9</f>
        <v>440.1079999999999</v>
      </c>
      <c r="K10" s="52">
        <f>K8+K9</f>
        <v>527.26</v>
      </c>
      <c r="L10" s="52">
        <f>L8+L9</f>
        <v>450.2129999999998</v>
      </c>
      <c r="M10" s="52">
        <f>M8+M9</f>
        <v>272.1330000000001</v>
      </c>
      <c r="N10" s="52">
        <f>N8+N9</f>
        <v>-113.55200000000019</v>
      </c>
      <c r="O10" s="52">
        <f>O8+O9</f>
        <v>-382.70500000000027</v>
      </c>
      <c r="P10" s="52">
        <f>P8+P9</f>
        <v>294.92000000000036</v>
      </c>
      <c r="Q10" s="52">
        <f>Q8+Q9</f>
        <v>468.6909999999997</v>
      </c>
      <c r="R10" s="52">
        <f>R8+R9</f>
        <v>-628.5909999999998</v>
      </c>
      <c r="S10" s="52">
        <f>S8+S9</f>
        <v>884.9654338519122</v>
      </c>
      <c r="T10" s="52">
        <f>T8+T9</f>
        <v>938.0075212507131</v>
      </c>
      <c r="U10" s="52">
        <f>U8+U9</f>
        <v>990.4393541793206</v>
      </c>
      <c r="V10" s="52">
        <f>V8+V9</f>
        <v>1041.8008105845447</v>
      </c>
      <c r="W10" s="52">
        <f>W8+W9</f>
        <v>1091.617176065768</v>
      </c>
      <c r="X10" s="52">
        <f>X8+X9</f>
        <v>1139.4059394181104</v>
      </c>
      <c r="Y10" s="52">
        <f>Y8+Y9</f>
        <v>1184.6841525437585</v>
      </c>
      <c r="Z10" s="52">
        <f>Z8+Z9</f>
        <v>1226.976210165214</v>
      </c>
      <c r="AA10" s="52">
        <f>AA8+AA9</f>
        <v>1265.821884252381</v>
      </c>
      <c r="AB10" s="52">
        <f>AB8+AB9</f>
        <v>1300.784431659422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-83.794</v>
      </c>
      <c r="F11" s="52" t="n">
        <v>91.63800000000001</v>
      </c>
      <c r="G11" s="52" t="n">
        <v>94.23099999999999</v>
      </c>
      <c r="H11" s="52" t="n">
        <v>106.399</v>
      </c>
      <c r="I11" s="52" t="n">
        <v>135.236</v>
      </c>
      <c r="J11" s="52" t="n">
        <v>-47.74</v>
      </c>
      <c r="K11" s="52" t="n">
        <v>80.16200000000001</v>
      </c>
      <c r="L11" s="52" t="n">
        <v>-73.154</v>
      </c>
      <c r="M11" s="52" t="n">
        <v>33.517</v>
      </c>
      <c r="N11" s="52" t="n">
        <v>216.116</v>
      </c>
      <c r="O11" s="52" t="n">
        <v>-158.645</v>
      </c>
      <c r="P11" s="52" t="n">
        <v>-119.912</v>
      </c>
      <c r="Q11" s="52" t="n">
        <v>-91.429</v>
      </c>
      <c r="R11" s="52" t="n">
        <v>-272.443</v>
      </c>
      <c r="S11" s="52">
        <f>MAX(0,S10)*Assumptions!$E$14</f>
        <v>150.44412375482509</v>
      </c>
      <c r="T11" s="52">
        <f>MAX(0,T10)*Assumptions!$E$14</f>
        <v>159.46127861262124</v>
      </c>
      <c r="U11" s="52">
        <f>MAX(0,U10)*Assumptions!$E$14</f>
        <v>168.37469021048452</v>
      </c>
      <c r="V11" s="52">
        <f>MAX(0,V10)*Assumptions!$E$14</f>
        <v>177.10613779937262</v>
      </c>
      <c r="W11" s="52">
        <f>MAX(0,W10)*Assumptions!$E$14</f>
        <v>185.57491993118057</v>
      </c>
      <c r="X11" s="52">
        <f>MAX(0,X10)*Assumptions!$E$14</f>
        <v>193.69900970107878</v>
      </c>
      <c r="Y11" s="52">
        <f>MAX(0,Y10)*Assumptions!$E$14</f>
        <v>201.39630593243896</v>
      </c>
      <c r="Z11" s="52">
        <f>MAX(0,Z10)*Assumptions!$E$14</f>
        <v>208.58595572808642</v>
      </c>
      <c r="AA11" s="52">
        <f>MAX(0,AA10)*Assumptions!$E$14</f>
        <v>215.1897203229048</v>
      </c>
      <c r="AB11" s="52">
        <f>MAX(0,AB10)*Assumptions!$E$14</f>
        <v>221.13335338210175</v>
      </c>
    </row>
    <row r="12">
      <c r="A12" s="2" t="inlineStr">
        <is>
          <t>Net Income</t>
        </is>
      </c>
      <c r="B12" s="52" t="n">
        <v>-6.836</v>
      </c>
      <c r="C12" s="52" t="n">
        <v>32.778</v>
      </c>
      <c r="D12" s="52" t="n">
        <v>124.984</v>
      </c>
      <c r="E12" s="52" t="n">
        <v>288.586</v>
      </c>
      <c r="F12" s="52" t="n">
        <v>216.312</v>
      </c>
      <c r="G12" s="52" t="n">
        <v>58.387</v>
      </c>
      <c r="H12" s="52" t="n">
        <v>329.535</v>
      </c>
      <c r="I12" s="52" t="n">
        <v>396.831</v>
      </c>
      <c r="J12" s="52" t="n">
        <v>487.848</v>
      </c>
      <c r="K12" s="52" t="n">
        <v>447.098</v>
      </c>
      <c r="L12" s="52" t="n">
        <v>523.367</v>
      </c>
      <c r="M12" s="52" t="n">
        <v>238.616</v>
      </c>
      <c r="N12" s="52" t="n">
        <v>-329.668</v>
      </c>
      <c r="O12" s="52" t="n">
        <v>-224.06</v>
      </c>
      <c r="P12" s="52" t="n">
        <v>414.832</v>
      </c>
      <c r="Q12" s="52" t="n">
        <v>560.12</v>
      </c>
      <c r="R12" s="52" t="n">
        <v>-356.148</v>
      </c>
      <c r="S12" s="52">
        <f>S10-S11</f>
        <v>734.521310097087</v>
      </c>
      <c r="T12" s="52">
        <f>T10-T11</f>
        <v>778.5462426380918</v>
      </c>
      <c r="U12" s="52">
        <f>U10-U11</f>
        <v>822.0646639688362</v>
      </c>
      <c r="V12" s="52">
        <f>V10-V11</f>
        <v>864.6946727851721</v>
      </c>
      <c r="W12" s="52">
        <f>W10-W11</f>
        <v>906.0422561345874</v>
      </c>
      <c r="X12" s="52">
        <f>X10-X11</f>
        <v>945.7069297170316</v>
      </c>
      <c r="Y12" s="52">
        <f>Y10-Y11</f>
        <v>983.2878466113195</v>
      </c>
      <c r="Z12" s="52">
        <f>Z10-Z11</f>
        <v>1018.3902544371276</v>
      </c>
      <c r="AA12" s="52">
        <f>AA10-AA11</f>
        <v>1050.6321639294763</v>
      </c>
      <c r="AB12" s="52">
        <f>AB10-AB11</f>
        <v>1079.6510782773203</v>
      </c>
    </row>
    <row r="13">
      <c r="A13" s="2" t="inlineStr">
        <is>
          <t>Earnings per Share</t>
        </is>
      </c>
      <c r="B13" s="11">
        <f>IFERROR(B12/B14,0)</f>
        <v>-0.22773002864947697</v>
      </c>
      <c r="C13" s="11">
        <f>IFERROR(C12/C14,0)</f>
        <v>0.8316967344142497</v>
      </c>
      <c r="D13" s="11">
        <f>IFERROR(D12/D14,0)</f>
        <v>2.670712423607846</v>
      </c>
      <c r="E13" s="11">
        <f>IFERROR(E12/E14,0)</f>
        <v>4.794185563585016</v>
      </c>
      <c r="F13" s="11">
        <f>IFERROR(F12/F14,0)</f>
        <v>3.5133265117185597</v>
      </c>
      <c r="G13" s="11">
        <f>IFERROR(G12/G14,0)</f>
        <v>0.9324911361676302</v>
      </c>
      <c r="H13" s="11">
        <f>IFERROR(H12/H14,0)</f>
        <v>5.227727013135351</v>
      </c>
      <c r="I13" s="11">
        <f>IFERROR(I12/I14,0)</f>
        <v>6.413948601907225</v>
      </c>
      <c r="J13" s="11">
        <f>IFERROR(J12/J14,0)</f>
        <v>7.956162238857087</v>
      </c>
      <c r="K13" s="11">
        <f>IFERROR(K12/K14,0)</f>
        <v>7.30301693863217</v>
      </c>
      <c r="L13" s="11">
        <f>IFERROR(L12/L14,0)</f>
        <v>9.094126846220677</v>
      </c>
      <c r="M13" s="11">
        <f>IFERROR(M12/M14,0)</f>
        <v>4.222021692588071</v>
      </c>
      <c r="N13" s="11">
        <f>IFERROR(N12/N14,0)</f>
        <v>-5.522632090327336</v>
      </c>
      <c r="O13" s="11">
        <f>IFERROR(O12/O14,0)</f>
        <v>-3.582724379986888</v>
      </c>
      <c r="P13" s="11">
        <f>IFERROR(P12/P14,0)</f>
        <v>5.7562789665029275</v>
      </c>
      <c r="Q13" s="11">
        <f>IFERROR(Q12/Q14,0)</f>
        <v>8.4857666611117</v>
      </c>
      <c r="R13" s="11">
        <f>IFERROR(R12/R14,0)</f>
        <v>-5.84031091651498</v>
      </c>
      <c r="S13" s="11">
        <f>IFERROR(S12/S14,0)</f>
        <v>11.315198281228685</v>
      </c>
      <c r="T13" s="11">
        <f>IFERROR(T12/T14,0)</f>
        <v>11.993396223441337</v>
      </c>
      <c r="U13" s="11">
        <f>IFERROR(U12/U14,0)</f>
        <v>12.663791431142442</v>
      </c>
      <c r="V13" s="11">
        <f>IFERROR(V12/V14,0)</f>
        <v>13.320500768035076</v>
      </c>
      <c r="W13" s="11">
        <f>IFERROR(W12/W14,0)</f>
        <v>13.957454519569426</v>
      </c>
      <c r="X13" s="11">
        <f>IFERROR(X12/X14,0)</f>
        <v>14.568483280989902</v>
      </c>
      <c r="Y13" s="11">
        <f>IFERROR(Y12/Y14,0)</f>
        <v>15.147412061412949</v>
      </c>
      <c r="Z13" s="11">
        <f>IFERROR(Z12/Z14,0)</f>
        <v>15.688159755506497</v>
      </c>
      <c r="AA13" s="11">
        <f>IFERROR(AA12/AA14,0)</f>
        <v>16.184841871949292</v>
      </c>
      <c r="AB13" s="11">
        <f>IFERROR(AB12/AB14,0)</f>
        <v>16.6318741979528</v>
      </c>
    </row>
    <row r="14">
      <c r="A14" s="2" t="inlineStr">
        <is>
          <t>Shares</t>
        </is>
      </c>
      <c r="B14" s="52" t="n">
        <v>30.018</v>
      </c>
      <c r="C14" s="52" t="n">
        <v>39.411</v>
      </c>
      <c r="D14" s="52" t="n">
        <v>46.798</v>
      </c>
      <c r="E14" s="52" t="n">
        <v>60.195</v>
      </c>
      <c r="F14" s="52" t="n">
        <v>61.569</v>
      </c>
      <c r="G14" s="52" t="n">
        <v>62.614</v>
      </c>
      <c r="H14" s="52" t="n">
        <v>63.036</v>
      </c>
      <c r="I14" s="52" t="n">
        <v>61.87</v>
      </c>
      <c r="J14" s="52" t="n">
        <v>61.317</v>
      </c>
      <c r="K14" s="52" t="n">
        <v>61.221</v>
      </c>
      <c r="L14" s="52" t="n">
        <v>57.55</v>
      </c>
      <c r="M14" s="52" t="n">
        <v>56.517</v>
      </c>
      <c r="N14" s="52" t="n">
        <v>59.694</v>
      </c>
      <c r="O14" s="52" t="n">
        <v>62.539</v>
      </c>
      <c r="P14" s="52" t="n">
        <v>72.066</v>
      </c>
      <c r="Q14" s="52" t="n">
        <v>66.00700000000001</v>
      </c>
      <c r="R14" s="52" t="n">
        <v>60.981</v>
      </c>
      <c r="S14" s="52">
        <f>Main!$C$4</f>
        <v>64.914577</v>
      </c>
      <c r="T14" s="52">
        <f>Main!$C$4</f>
        <v>64.914577</v>
      </c>
      <c r="U14" s="52">
        <f>Main!$C$4</f>
        <v>64.914577</v>
      </c>
      <c r="V14" s="52">
        <f>Main!$C$4</f>
        <v>64.914577</v>
      </c>
      <c r="W14" s="52">
        <f>Main!$C$4</f>
        <v>64.914577</v>
      </c>
      <c r="X14" s="52">
        <f>Main!$C$4</f>
        <v>64.914577</v>
      </c>
      <c r="Y14" s="52">
        <f>Main!$C$4</f>
        <v>64.914577</v>
      </c>
      <c r="Z14" s="52">
        <f>Main!$C$4</f>
        <v>64.914577</v>
      </c>
      <c r="AA14" s="52">
        <f>Main!$C$4</f>
        <v>64.914577</v>
      </c>
      <c r="AB14" s="52">
        <f>Main!$C$4</f>
        <v>64.914577</v>
      </c>
    </row>
    <row r="15"/>
    <row r="16" customFormat="1" s="4">
      <c r="A16" s="3" t="inlineStr">
        <is>
          <t>Revenue Change</t>
        </is>
      </c>
      <c r="C16" s="15">
        <f>IFERROR(C2/B2-1,"")</f>
        <v>0.3529182788499714</v>
      </c>
      <c r="D16" s="15">
        <f>IFERROR(D2/C2-1,"")</f>
        <v>0.5667823294836603</v>
      </c>
      <c r="E16" s="15">
        <f>IFERROR(E2/D2-1,"")</f>
        <v>1.1521428545194787</v>
      </c>
      <c r="F16" s="15">
        <f>IFERROR(F2/E2-1,"")</f>
        <v>0.48882980448104796</v>
      </c>
      <c r="G16" s="15">
        <f>IFERROR(G2/F2-1,"")</f>
        <v>0.34438798610307164</v>
      </c>
      <c r="H16" s="15">
        <f>IFERROR(H2/G2-1,"")</f>
        <v>0.12953469039752763</v>
      </c>
      <c r="I16" s="15">
        <f>IFERROR(I2/H2-1,"")</f>
        <v>0.12316548196222366</v>
      </c>
      <c r="J16" s="15">
        <f>IFERROR(J2/I2-1,"")</f>
        <v>0.08785105643717994</v>
      </c>
      <c r="K16" s="15">
        <f>IFERROR(K2/J2-1,"")</f>
        <v>0.16817827716558975</v>
      </c>
      <c r="L16" s="15">
        <f>IFERROR(L2/K2-1,"")</f>
        <v>0.143231185633252</v>
      </c>
      <c r="M16" s="15">
        <f>IFERROR(M2/L2-1,"")</f>
        <v>0.09335259540717034</v>
      </c>
      <c r="N16" s="15">
        <f>IFERROR(N2/M2-1,"")</f>
        <v>0.3091391105054351</v>
      </c>
      <c r="O16" s="15">
        <f>IFERROR(O2/N2-1,"")</f>
        <v>0.18264141284542434</v>
      </c>
      <c r="P16" s="15">
        <f>IFERROR(P2/O2-1,"")</f>
        <v>0.047775931074550027</v>
      </c>
      <c r="Q16" s="15">
        <f>IFERROR(Q2/P2-1,"")</f>
        <v>0.061224181081653395</v>
      </c>
      <c r="R16" s="15">
        <f>IFERROR(R2/Q2-1,"")</f>
        <v>0.04881750820236186</v>
      </c>
      <c r="S16" s="15">
        <f>IFERROR(S2/R2-1,"")</f>
        <v>0.06119999999999992</v>
      </c>
      <c r="T16" s="15">
        <f>IFERROR(T2/S2-1,"")</f>
        <v>0.05717777777777777</v>
      </c>
      <c r="U16" s="15">
        <f>IFERROR(U2/T2-1,"")</f>
        <v>0.05315555555555562</v>
      </c>
      <c r="V16" s="15">
        <f>IFERROR(V2/U2-1,"")</f>
        <v>0.04913333333333325</v>
      </c>
      <c r="W16" s="15">
        <f>IFERROR(W2/V2-1,"")</f>
        <v>0.0451111111111111</v>
      </c>
      <c r="X16" s="15">
        <f>IFERROR(X2/W2-1,"")</f>
        <v>0.04108888888888895</v>
      </c>
      <c r="Y16" s="15">
        <f>IFERROR(Y2/X2-1,"")</f>
        <v>0.03706666666666658</v>
      </c>
      <c r="Z16" s="15">
        <f>IFERROR(Z2/Y2-1,"")</f>
        <v>0.03304444444444443</v>
      </c>
      <c r="AA16" s="15">
        <f>IFERROR(AA2/Z2-1,"")</f>
        <v>0.029022222222222283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  <c r="X17" s="15">
        <f>IFERROR(X4/X2,"")</f>
        <v>1.0</v>
      </c>
      <c r="Y17" s="15">
        <f>IFERROR(Y4/Y2,"")</f>
        <v>1.0</v>
      </c>
      <c r="Z17" s="15">
        <f>IFERROR(Z4/Z2,"")</f>
        <v>1.0</v>
      </c>
      <c r="AA17" s="15">
        <f>IFERROR(AA4/AA2,"")</f>
        <v>1.0</v>
      </c>
      <c r="AB17" s="15">
        <f>IFERROR(AB4/AB2,"")</f>
        <v>1.0</v>
      </c>
    </row>
    <row r="18">
      <c r="A18" s="14" t="inlineStr">
        <is>
          <t>Operating Margin</t>
        </is>
      </c>
      <c r="B18" s="15">
        <f>IFERROR(B8/B2,"")</f>
        <v>0.12401809278390649</v>
      </c>
      <c r="C18" s="15">
        <f>IFERROR(C8/C2,"")</f>
        <v>0.3325392304106894</v>
      </c>
      <c r="D18" s="15">
        <f>IFERROR(D8/D2,"")</f>
        <v>0.46948879266335386</v>
      </c>
      <c r="E18" s="15">
        <f>IFERROR(E8/E2,"")</f>
        <v>0.3376298468033838</v>
      </c>
      <c r="F18" s="15">
        <f>IFERROR(F8/F2,"")</f>
        <v>0.3900768319954884</v>
      </c>
      <c r="G18" s="15">
        <f>IFERROR(G8/G2,"")</f>
        <v>0.16675860598955558</v>
      </c>
      <c r="H18" s="15">
        <f>IFERROR(H8/H2,"")</f>
        <v>0.3836193003789997</v>
      </c>
      <c r="I18" s="15">
        <f>IFERROR(I8/I2,"")</f>
        <v>0.39762415043821353</v>
      </c>
      <c r="J18" s="15">
        <f>IFERROR(J8/J2,"")</f>
        <v>0.32670926482044454</v>
      </c>
      <c r="K18" s="15">
        <f>IFERROR(K8/K2,"")</f>
        <v>0.32515249174741206</v>
      </c>
      <c r="L18" s="15">
        <f>IFERROR(L8/L2,"")</f>
        <v>0.24626866707281694</v>
      </c>
      <c r="M18" s="15">
        <f>IFERROR(M8/M2,"")</f>
        <v>0.15995865570978107</v>
      </c>
      <c r="N18" s="15">
        <f>IFERROR(N8/N2,"")</f>
        <v>0.05503067314149713</v>
      </c>
      <c r="O18" s="15">
        <f>IFERROR(O8/O2,"")</f>
        <v>-0.017906887899405814</v>
      </c>
      <c r="P18" s="15">
        <f>IFERROR(P8/P2,"")</f>
        <v>0.1508996391428313</v>
      </c>
      <c r="Q18" s="15">
        <f>IFERROR(Q8/Q2,"")</f>
        <v>0.17612160385357395</v>
      </c>
      <c r="R18" s="15">
        <f>IFERROR(R8/R2,"")</f>
        <v>-0.10081577735047396</v>
      </c>
      <c r="S18" s="15">
        <f>IFERROR(S8/S2,"")</f>
        <v>0.19541000000000003</v>
      </c>
      <c r="T18" s="15">
        <f>IFERROR(T8/T2,"")</f>
        <v>0.19592</v>
      </c>
      <c r="U18" s="15">
        <f>IFERROR(U8/U2,"")</f>
        <v>0.19642999999999997</v>
      </c>
      <c r="V18" s="15">
        <f>IFERROR(V8/V2,"")</f>
        <v>0.19694000000000006</v>
      </c>
      <c r="W18" s="15">
        <f>IFERROR(W8/W2,"")</f>
        <v>0.19744999999999996</v>
      </c>
      <c r="X18" s="15">
        <f>IFERROR(X8/X2,"")</f>
        <v>0.19796</v>
      </c>
      <c r="Y18" s="15">
        <f>IFERROR(Y8/Y2,"")</f>
        <v>0.19847000000000006</v>
      </c>
      <c r="Z18" s="15">
        <f>IFERROR(Z8/Z2,"")</f>
        <v>0.19898000000000005</v>
      </c>
      <c r="AA18" s="15">
        <f>IFERROR(AA8/AA2,"")</f>
        <v>0.19949000000000003</v>
      </c>
      <c r="AB18" s="15">
        <f>IFERROR(AB8/AB2,"")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Jazz Pharmaceuticals PLC: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0.0112</v>
      </c>
      <c r="C12" s="53" t="n">
        <v>0.0612</v>
      </c>
      <c r="D12" s="53" t="n">
        <v>0.1112</v>
      </c>
      <c r="E12" s="54">
        <f>CHOOSE($B$4,B12,C12,D12)</f>
        <v>0.0612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0.1949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0.1666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4267.586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11803.942996679483</v>
      </c>
      <c r="C29" s="56">
        <f>NPV!B26</f>
        <v>9652.342996679485</v>
      </c>
      <c r="D29" s="35">
        <f>NPV!B28</f>
        <v>148.69299690082684</v>
      </c>
      <c r="E29" s="57">
        <f>NPV!B30</f>
        <v>-0.30439279144448517</v>
      </c>
    </row>
    <row r="30">
      <c r="A30" s="58" t="n">
        <v>1</v>
      </c>
      <c r="B30" s="59">
        <f t="dataTable" ref="B30:E32" r1="B4"/>
        <v>6669.585900204037</v>
      </c>
      <c r="C30" s="59">
        <v>4517.9859002040375</v>
      </c>
      <c r="D30" s="39">
        <v>69.59894231774841</v>
      </c>
      <c r="E30" s="60">
        <v>-0.6744061455943655</v>
      </c>
    </row>
    <row r="31">
      <c r="A31" s="58" t="n">
        <v>2</v>
      </c>
      <c r="B31" s="59">
        <v>11803.942996679483</v>
      </c>
      <c r="C31" s="59">
        <v>9652.342996679485</v>
      </c>
      <c r="D31" s="39">
        <v>148.69299690082684</v>
      </c>
      <c r="E31" s="60">
        <v>-0.30439279144448517</v>
      </c>
    </row>
    <row r="32">
      <c r="A32" s="58" t="n">
        <v>3</v>
      </c>
      <c r="B32" s="59">
        <v>22018.77315112207</v>
      </c>
      <c r="C32" s="59">
        <v>19867.17315112207</v>
      </c>
      <c r="D32" s="39">
        <v>306.05102997316106</v>
      </c>
      <c r="E32" s="60">
        <v>0.4317507015960005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148.69299690082684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187.77062486450401</v>
      </c>
      <c r="C37" s="39">
        <v>203.35119941187443</v>
      </c>
      <c r="D37" s="39">
        <v>222.0242268580561</v>
      </c>
      <c r="E37" s="39">
        <v>244.82029392742203</v>
      </c>
      <c r="F37" s="39">
        <v>273.28527867389744</v>
      </c>
    </row>
    <row r="38">
      <c r="A38" s="62" t="n">
        <v>0.08500000000000001</v>
      </c>
      <c r="B38" s="39">
        <v>155.77547622718413</v>
      </c>
      <c r="C38" s="39">
        <v>166.59225075611667</v>
      </c>
      <c r="D38" s="39">
        <v>179.19300969071654</v>
      </c>
      <c r="E38" s="39">
        <v>194.06411473796155</v>
      </c>
      <c r="F38" s="39">
        <v>211.88647075155836</v>
      </c>
    </row>
    <row r="39">
      <c r="A39" s="62" t="n">
        <v>0.095</v>
      </c>
      <c r="B39" s="39">
        <v>131.86678024831792</v>
      </c>
      <c r="C39" s="39">
        <v>139.72619230251243</v>
      </c>
      <c r="D39" s="39">
        <v>148.69299690082684</v>
      </c>
      <c r="E39" s="39">
        <v>159.02260191636756</v>
      </c>
      <c r="F39" s="39">
        <v>171.05554997091755</v>
      </c>
    </row>
    <row r="40">
      <c r="A40" s="62" t="n">
        <v>0.105</v>
      </c>
      <c r="B40" s="39">
        <v>113.33976162700787</v>
      </c>
      <c r="C40" s="39">
        <v>119.25164792485053</v>
      </c>
      <c r="D40" s="39">
        <v>125.88968334717475</v>
      </c>
      <c r="E40" s="39">
        <v>133.3989790095819</v>
      </c>
      <c r="F40" s="39">
        <v>141.9661053676897</v>
      </c>
    </row>
    <row r="41">
      <c r="A41" s="62" t="n">
        <v>0.115</v>
      </c>
      <c r="B41" s="39">
        <v>98.57261691433736</v>
      </c>
      <c r="C41" s="39">
        <v>103.14262787487401</v>
      </c>
      <c r="D41" s="39">
        <v>108.20953459893056</v>
      </c>
      <c r="E41" s="39">
        <v>113.8609251376264</v>
      </c>
      <c r="F41" s="39">
        <v>120.20628374609537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Jazz Pharmaceuticals PLC: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0.0612</v>
      </c>
      <c r="D5" s="63">
        <f>Assumptions!$E$12+(Assumptions!$E$11-Assumptions!$E$12)*(D4-1)/(Assumptions!$B$21-1)</f>
        <v>0.05717777777777777</v>
      </c>
      <c r="E5" s="63">
        <f>Assumptions!$E$12+(Assumptions!$E$11-Assumptions!$E$12)*(E4-1)/(Assumptions!$B$21-1)</f>
        <v>0.05315555555555555</v>
      </c>
      <c r="F5" s="63">
        <f>Assumptions!$E$12+(Assumptions!$E$11-Assumptions!$E$12)*(F4-1)/(Assumptions!$B$21-1)</f>
        <v>0.049133333333333334</v>
      </c>
      <c r="G5" s="63">
        <f>Assumptions!$E$12+(Assumptions!$E$11-Assumptions!$E$12)*(G4-1)/(Assumptions!$B$21-1)</f>
        <v>0.04511111111111111</v>
      </c>
      <c r="H5" s="63">
        <f>Assumptions!$E$12+(Assumptions!$E$11-Assumptions!$E$12)*(H4-1)/(Assumptions!$B$21-1)</f>
        <v>0.04108888888888888</v>
      </c>
      <c r="I5" s="63">
        <f>Assumptions!$E$12+(Assumptions!$E$11-Assumptions!$E$12)*(I4-1)/(Assumptions!$B$21-1)</f>
        <v>0.037066666666666664</v>
      </c>
      <c r="J5" s="63">
        <f>Assumptions!$E$12+(Assumptions!$E$11-Assumptions!$E$12)*(J4-1)/(Assumptions!$B$21-1)</f>
        <v>0.033044444444444446</v>
      </c>
      <c r="K5" s="63">
        <f>Assumptions!$E$12+(Assumptions!$E$11-Assumptions!$E$12)*(K4-1)/(Assumptions!$B$21-1)</f>
        <v>0.02902222222222222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-0.10081577735047396</v>
      </c>
      <c r="C6" s="63">
        <f>Assumptions!$B$18+(Assumptions!$E$13-Assumptions!$B$18)*C4/Assumptions!$B$21</f>
        <v>0.19541</v>
      </c>
      <c r="D6" s="63">
        <f>Assumptions!$B$18+(Assumptions!$E$13-Assumptions!$B$18)*D4/Assumptions!$B$21</f>
        <v>0.19591999999999998</v>
      </c>
      <c r="E6" s="63">
        <f>Assumptions!$B$18+(Assumptions!$E$13-Assumptions!$B$18)*E4/Assumptions!$B$21</f>
        <v>0.19643</v>
      </c>
      <c r="F6" s="63">
        <f>Assumptions!$B$18+(Assumptions!$E$13-Assumptions!$B$18)*F4/Assumptions!$B$21</f>
        <v>0.19694</v>
      </c>
      <c r="G6" s="63">
        <f>Assumptions!$B$18+(Assumptions!$E$13-Assumptions!$B$18)*G4/Assumptions!$B$21</f>
        <v>0.19745000000000001</v>
      </c>
      <c r="H6" s="63">
        <f>Assumptions!$B$18+(Assumptions!$E$13-Assumptions!$B$18)*H4/Assumptions!$B$21</f>
        <v>0.19796</v>
      </c>
      <c r="I6" s="63">
        <f>Assumptions!$B$18+(Assumptions!$E$13-Assumptions!$B$18)*I4/Assumptions!$B$21</f>
        <v>0.19847</v>
      </c>
      <c r="J6" s="63">
        <f>Assumptions!$B$18+(Assumptions!$E$13-Assumptions!$B$18)*J4/Assumptions!$B$21</f>
        <v>0.19898000000000002</v>
      </c>
      <c r="K6" s="63">
        <f>Assumptions!$B$18+(Assumptions!$E$13-Assumptions!$B$18)*K4/Assumptions!$B$21</f>
        <v>0.19949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Model'!R2</f>
        <v>4267.586</v>
      </c>
      <c r="C7" s="55">
        <f>'Yearly Model'!S2</f>
        <v>4528.7622632</v>
      </c>
      <c r="D7" s="55">
        <f>'Yearly Model'!T2</f>
        <v>4787.706825493636</v>
      </c>
      <c r="E7" s="55">
        <f>'Yearly Model'!U2</f>
        <v>5042.200041639876</v>
      </c>
      <c r="F7" s="55">
        <f>'Yearly Model'!V2</f>
        <v>5289.940137019114</v>
      </c>
      <c r="G7" s="55">
        <f>'Yearly Model'!W2</f>
        <v>5528.57521431131</v>
      </c>
      <c r="H7" s="55">
        <f>'Yearly Model'!X2</f>
        <v>5755.738227006013</v>
      </c>
      <c r="I7" s="55">
        <f>'Yearly Model'!Y2</f>
        <v>5969.084257287036</v>
      </c>
      <c r="J7" s="55">
        <f>'Yearly Model'!Z2</f>
        <v>6166.329330411166</v>
      </c>
      <c r="K7" s="55">
        <f>'Yearly Model'!AA2</f>
        <v>6345.289910533766</v>
      </c>
      <c r="L7" s="55">
        <f>'Yearly Model'!AB2</f>
        <v>6503.9221582971095</v>
      </c>
    </row>
    <row r="8">
      <c r="A8" s="14" t="inlineStr">
        <is>
          <t>Operating income</t>
        </is>
      </c>
      <c r="B8" s="55">
        <f>'Yearly Model'!R8</f>
        <v>-430.2399999999998</v>
      </c>
      <c r="C8" s="55">
        <f>'Yearly Model'!S8</f>
        <v>884.9654338519122</v>
      </c>
      <c r="D8" s="55">
        <f>'Yearly Model'!T8</f>
        <v>938.0075212507131</v>
      </c>
      <c r="E8" s="55">
        <f>'Yearly Model'!U8</f>
        <v>990.4393541793206</v>
      </c>
      <c r="F8" s="55">
        <f>'Yearly Model'!V8</f>
        <v>1041.8008105845447</v>
      </c>
      <c r="G8" s="55">
        <f>'Yearly Model'!W8</f>
        <v>1091.617176065768</v>
      </c>
      <c r="H8" s="55">
        <f>'Yearly Model'!X8</f>
        <v>1139.4059394181104</v>
      </c>
      <c r="I8" s="55">
        <f>'Yearly Model'!Y8</f>
        <v>1184.6841525437585</v>
      </c>
      <c r="J8" s="55">
        <f>'Yearly Model'!Z8</f>
        <v>1226.976210165214</v>
      </c>
      <c r="K8" s="55">
        <f>'Yearly Model'!AA8</f>
        <v>1265.821884252381</v>
      </c>
      <c r="L8" s="55">
        <f>'Yearly Model'!AB8</f>
        <v>1300.784431659422</v>
      </c>
    </row>
    <row r="9">
      <c r="A9" s="14" t="inlineStr">
        <is>
          <t>Tax on operating income</t>
        </is>
      </c>
      <c r="C9" s="52">
        <f>MAX(0,C8)*Assumptions!$E$14</f>
        <v>150.44412375482509</v>
      </c>
      <c r="D9" s="52">
        <f>MAX(0,D8)*Assumptions!$E$14</f>
        <v>159.46127861262124</v>
      </c>
      <c r="E9" s="52">
        <f>MAX(0,E8)*Assumptions!$E$14</f>
        <v>168.37469021048452</v>
      </c>
      <c r="F9" s="52">
        <f>MAX(0,F8)*Assumptions!$E$14</f>
        <v>177.10613779937262</v>
      </c>
      <c r="G9" s="52">
        <f>MAX(0,G8)*Assumptions!$E$14</f>
        <v>185.57491993118057</v>
      </c>
      <c r="H9" s="52">
        <f>MAX(0,H8)*Assumptions!$E$14</f>
        <v>193.69900970107878</v>
      </c>
      <c r="I9" s="52">
        <f>MAX(0,I8)*Assumptions!$E$14</f>
        <v>201.39630593243896</v>
      </c>
      <c r="J9" s="52">
        <f>MAX(0,J8)*Assumptions!$E$14</f>
        <v>208.58595572808642</v>
      </c>
      <c r="K9" s="52">
        <f>MAX(0,K8)*Assumptions!$E$14</f>
        <v>215.1897203229048</v>
      </c>
      <c r="L9" s="52">
        <f>MAX(0,L8)*Assumptions!$E$14</f>
        <v>221.13335338210175</v>
      </c>
    </row>
    <row r="10">
      <c r="A10" s="14" t="inlineStr">
        <is>
          <t>NOPAT</t>
        </is>
      </c>
      <c r="C10" s="52">
        <f>C8-C9</f>
        <v>734.521310097087</v>
      </c>
      <c r="D10" s="52">
        <f>D8-D9</f>
        <v>778.5462426380918</v>
      </c>
      <c r="E10" s="52">
        <f>E8-E9</f>
        <v>822.0646639688362</v>
      </c>
      <c r="F10" s="52">
        <f>F8-F9</f>
        <v>864.6946727851721</v>
      </c>
      <c r="G10" s="52">
        <f>G8-G9</f>
        <v>906.0422561345874</v>
      </c>
      <c r="H10" s="52">
        <f>H8-H9</f>
        <v>945.7069297170316</v>
      </c>
      <c r="I10" s="52">
        <f>I8-I9</f>
        <v>983.2878466113195</v>
      </c>
      <c r="J10" s="52">
        <f>J8-J9</f>
        <v>1018.3902544371276</v>
      </c>
      <c r="K10" s="52">
        <f>K8-K9</f>
        <v>1050.6321639294763</v>
      </c>
      <c r="L10" s="52">
        <f>L8-L9</f>
        <v>1079.6510782773203</v>
      </c>
    </row>
    <row r="11">
      <c r="A11" s="14" t="inlineStr">
        <is>
          <t>Reinvestment</t>
        </is>
      </c>
      <c r="C11" s="52">
        <f>(C7-B7)*Assumptions!$E$15</f>
        <v>65.2940658</v>
      </c>
      <c r="D11" s="52">
        <f>(D7-C7)*Assumptions!$E$15</f>
        <v>64.73614057340887</v>
      </c>
      <c r="E11" s="52">
        <f>(E7-D7)*Assumptions!$E$15</f>
        <v>63.62330403656006</v>
      </c>
      <c r="F11" s="52">
        <f>(F7-E7)*Assumptions!$E$15</f>
        <v>61.93502384480962</v>
      </c>
      <c r="G11" s="52">
        <f>(G7-F7)*Assumptions!$E$15</f>
        <v>59.658769323049</v>
      </c>
      <c r="H11" s="52">
        <f>(H7-G7)*Assumptions!$E$15</f>
        <v>56.79075317367574</v>
      </c>
      <c r="I11" s="52">
        <f>(I7-H7)*Assumptions!$E$15</f>
        <v>53.33650757025566</v>
      </c>
      <c r="J11" s="52">
        <f>(J7-I7)*Assumptions!$E$15</f>
        <v>49.311268281032426</v>
      </c>
      <c r="K11" s="52">
        <f>(K7-J7)*Assumptions!$E$15</f>
        <v>44.740145030649956</v>
      </c>
      <c r="L11" s="52">
        <f>(L7-K7)*Assumptions!$E$15</f>
        <v>39.65806194083598</v>
      </c>
    </row>
    <row r="12">
      <c r="A12" s="20" t="inlineStr">
        <is>
          <t>Free cash flow</t>
        </is>
      </c>
      <c r="C12" s="64">
        <f>C10-C11</f>
        <v>669.227244297087</v>
      </c>
      <c r="D12" s="64">
        <f>D10-D11</f>
        <v>713.810102064683</v>
      </c>
      <c r="E12" s="64">
        <f>E10-E11</f>
        <v>758.4413599322761</v>
      </c>
      <c r="F12" s="64">
        <f>F10-F11</f>
        <v>802.7596489403625</v>
      </c>
      <c r="G12" s="64">
        <f>G10-G11</f>
        <v>846.3834868115384</v>
      </c>
      <c r="H12" s="64">
        <f>H10-H11</f>
        <v>888.9161765433558</v>
      </c>
      <c r="I12" s="64">
        <f>I10-I11</f>
        <v>929.9513390410639</v>
      </c>
      <c r="J12" s="64">
        <f>J10-J11</f>
        <v>969.0789861560952</v>
      </c>
      <c r="K12" s="64">
        <f>K10-K11</f>
        <v>1005.8920188988263</v>
      </c>
      <c r="L12" s="64">
        <f>L10-L11</f>
        <v>1039.9930163364843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329.7281162976878</v>
      </c>
      <c r="D16" s="64">
        <f>D12*D13*D15</f>
        <v>651.6388564473161</v>
      </c>
      <c r="E16" s="64">
        <f>E12*E13*E15</f>
        <v>632.3130892124784</v>
      </c>
      <c r="F16" s="64">
        <f>F12*F13*F15</f>
        <v>611.1975137702657</v>
      </c>
      <c r="G16" s="64">
        <f>G12*G13*G15</f>
        <v>588.503577113592</v>
      </c>
      <c r="H16" s="64">
        <f>H12*H13*H15</f>
        <v>564.4540790276548</v>
      </c>
      <c r="I16" s="64">
        <f>I12*I13*I15</f>
        <v>539.2794996137775</v>
      </c>
      <c r="J16" s="64">
        <f>J12*J13*J15</f>
        <v>513.214294420056</v>
      </c>
      <c r="K16" s="64">
        <f>K12*K13*K15</f>
        <v>486.4932411787198</v>
      </c>
      <c r="L16" s="64">
        <f>L12*L13*L15</f>
        <v>459.3479182437218</v>
      </c>
    </row>
    <row r="19">
      <c r="A19" s="14" t="inlineStr">
        <is>
          <t>PV of forecast free cash flow</t>
        </is>
      </c>
      <c r="B19" s="52">
        <f>SUM(C16:L16)</f>
        <v>5376.170185325271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1065.9928417448964</v>
      </c>
    </row>
    <row r="21">
      <c r="A21" s="14" t="inlineStr">
        <is>
          <t>Terminal value</t>
        </is>
      </c>
      <c r="B21" s="52">
        <f>B20/(Assumptions!$E$10-Assumptions!$E$11)</f>
        <v>15228.469167784233</v>
      </c>
    </row>
    <row r="22">
      <c r="A22" s="14" t="inlineStr">
        <is>
          <t>PV of terminal value</t>
        </is>
      </c>
      <c r="B22" s="52">
        <f>B21/(1+Assumptions!$E$10)^(L14+0.5)</f>
        <v>6427.7728113542125</v>
      </c>
    </row>
    <row r="23">
      <c r="A23" s="20" t="inlineStr">
        <is>
          <t>Enterprise value</t>
        </is>
      </c>
      <c r="B23" s="66">
        <f>B19+B22</f>
        <v>11803.942996679483</v>
      </c>
    </row>
    <row r="24">
      <c r="A24" s="14" t="inlineStr">
        <is>
          <t>Cash &amp; investments</t>
        </is>
      </c>
      <c r="B24" s="55">
        <f>Main!C7</f>
        <v>2199.8</v>
      </c>
    </row>
    <row r="25">
      <c r="A25" s="14" t="inlineStr">
        <is>
          <t>Debt</t>
        </is>
      </c>
      <c r="B25" s="55">
        <f>Main!C8</f>
        <v>4351.4</v>
      </c>
    </row>
    <row r="26">
      <c r="A26" s="20" t="inlineStr">
        <is>
          <t>Equity value</t>
        </is>
      </c>
      <c r="B26" s="66">
        <f>B23+B24-B25</f>
        <v>9652.342996679485</v>
      </c>
    </row>
    <row r="27">
      <c r="A27" s="14" t="inlineStr">
        <is>
          <t>Shares (mm)</t>
        </is>
      </c>
      <c r="B27" s="55">
        <f>Main!C4</f>
        <v>64.914577</v>
      </c>
    </row>
    <row r="28">
      <c r="A28" s="20" t="inlineStr">
        <is>
          <t>NPV / share</t>
        </is>
      </c>
      <c r="B28" s="49">
        <f>B26/B27</f>
        <v>148.69299690082684</v>
      </c>
    </row>
    <row r="29">
      <c r="A29" s="14" t="inlineStr">
        <is>
          <t>Price</t>
        </is>
      </c>
      <c r="B29" s="50">
        <f>Main!C3</f>
        <v>213.76</v>
      </c>
    </row>
    <row r="30">
      <c r="A30" s="14" t="inlineStr">
        <is>
          <t>Upside</t>
        </is>
      </c>
      <c r="B30" s="63">
        <f>B28/B29-1</f>
        <v>-0.30439279144448517</v>
      </c>
    </row>
    <row r="31">
      <c r="A31" s="14" t="inlineStr">
        <is>
          <t>Terminal value, % of EV</t>
        </is>
      </c>
      <c r="B31" s="63">
        <f>IFERROR(B22/B23,0)</f>
        <v>0.5445445486446675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2026-10-21T01:03:51Z</dcterms:modified>
  <cp:lastModifiedBy>Wang, Eric</cp:lastModifiedBy>
</cp:coreProperties>
</file>