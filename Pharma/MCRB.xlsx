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Seres Therapeutics, Inc.</t>
        </is>
      </c>
      <c r="C2" s="10" t="n"/>
    </row>
    <row r="3">
      <c r="B3" t="inlineStr">
        <is>
          <t>Price</t>
        </is>
      </c>
      <c r="C3" s="11">
        <f>INDEX([1]Pharma!$F$1:$F$1000,MATCH("MCRB",[1]Pharma!$B$1:$B$1000,0))</f>
        <v>2.31</v>
      </c>
      <c r="F3" s="1" t="n"/>
    </row>
    <row r="4">
      <c r="B4" t="inlineStr">
        <is>
          <t>Shares</t>
        </is>
      </c>
      <c r="C4" s="21" t="n">
        <v>9.941261000000001</v>
      </c>
      <c r="F4" s="1" t="n"/>
    </row>
    <row r="5">
      <c r="B5" t="inlineStr">
        <is>
          <t>Market Cap.</t>
        </is>
      </c>
      <c r="C5" s="13">
        <f>C3*C4</f>
        <v>22.964312910000004</v>
      </c>
      <c r="F5" s="1" t="n"/>
    </row>
    <row r="6"/>
    <row r="7">
      <c r="B7" t="inlineStr">
        <is>
          <t>Cash</t>
        </is>
      </c>
      <c r="C7" s="21" t="n">
        <v>15.594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7.370312910000004</v>
      </c>
    </row>
    <row r="10"/>
    <row r="11">
      <c r="B11" s="14" t="inlineStr">
        <is>
          <t>Net Cash / Share</t>
        </is>
      </c>
      <c r="C11" s="11">
        <f>(C7-C8)/C4</f>
        <v>1.5686138810760524</v>
      </c>
    </row>
    <row r="12">
      <c r="B12" s="14" t="inlineStr">
        <is>
          <t>Upside</t>
        </is>
      </c>
      <c r="C12" s="15">
        <f>IFERROR(C11/C3-1,"")</f>
        <v>-0.3209463718285488</v>
      </c>
    </row>
    <row r="13">
      <c r="B13" s="14" t="inlineStr">
        <is>
          <t>Cash / Share</t>
        </is>
      </c>
      <c r="C13" s="11">
        <f>IFERROR((C7-C8)/C4,"")</f>
        <v>1.5686138810760524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-51.258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0.30422568184478516</v>
      </c>
    </row>
    <row r="19">
      <c r="B19" s="14" t="inlineStr">
        <is>
          <t>Implied Pipeline Value</t>
        </is>
      </c>
      <c r="C19" s="13">
        <f>C9</f>
        <v>7.370312910000004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21.766</v>
      </c>
      <c r="F2" s="23" t="n">
        <v>32.1</v>
      </c>
      <c r="G2" s="23" t="n">
        <v>28.267</v>
      </c>
      <c r="H2" s="23" t="n">
        <v>34.505</v>
      </c>
      <c r="I2" s="23" t="n">
        <v>33.215</v>
      </c>
      <c r="J2" s="23" t="n">
        <v>144.927</v>
      </c>
      <c r="K2" s="23" t="n">
        <v>7.128</v>
      </c>
      <c r="L2" s="23" t="n">
        <v>0</v>
      </c>
      <c r="M2" s="23" t="n">
        <v>0</v>
      </c>
      <c r="N2" s="23" t="n">
        <v>0.789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21.766</v>
      </c>
      <c r="F4" s="23">
        <f>F2-F3</f>
        <v>32.1</v>
      </c>
      <c r="G4" s="23">
        <f>G2-G3</f>
        <v>28.267</v>
      </c>
      <c r="H4" s="23">
        <f>H2-H3</f>
        <v>34.505</v>
      </c>
      <c r="I4" s="23">
        <f>I2-I3</f>
        <v>33.215</v>
      </c>
      <c r="J4" s="23">
        <f>J2-J3</f>
        <v>144.927</v>
      </c>
      <c r="K4" s="23">
        <f>K2-K3</f>
        <v>7.128</v>
      </c>
      <c r="L4" s="23">
        <f>L2-L3</f>
        <v>0.0</v>
      </c>
      <c r="M4" s="23">
        <f>M2-M3</f>
        <v>0.0</v>
      </c>
      <c r="N4" s="23">
        <f>N2-N3</f>
        <v>0.789</v>
      </c>
    </row>
    <row r="5">
      <c r="A5" s="2" t="inlineStr">
        <is>
          <t>Research &amp; Dev.</t>
        </is>
      </c>
      <c r="B5" s="23" t="n">
        <v>4.805</v>
      </c>
      <c r="C5" s="23" t="n">
        <v>10.718</v>
      </c>
      <c r="D5" s="23" t="n">
        <v>38.095</v>
      </c>
      <c r="E5" s="23" t="n">
        <v>81.989</v>
      </c>
      <c r="F5" s="23" t="n">
        <v>89.455</v>
      </c>
      <c r="G5" s="23" t="n">
        <v>95.955</v>
      </c>
      <c r="H5" s="23" t="n">
        <v>80.14100000000001</v>
      </c>
      <c r="I5" s="23" t="n">
        <v>90.56999999999999</v>
      </c>
      <c r="J5" s="23" t="n">
        <v>141.891</v>
      </c>
      <c r="K5" s="23" t="n">
        <v>109.651</v>
      </c>
      <c r="L5" s="23" t="n">
        <v>117.597</v>
      </c>
      <c r="M5" s="23" t="n">
        <v>64.59999999999999</v>
      </c>
      <c r="N5" s="23" t="n">
        <v>49.06</v>
      </c>
    </row>
    <row r="6">
      <c r="A6" s="19" t="inlineStr">
        <is>
          <t>SG&amp;A &amp; Other</t>
        </is>
      </c>
      <c r="B6" s="23" t="n">
        <v>1.247</v>
      </c>
      <c r="C6" s="23" t="n">
        <v>4.364</v>
      </c>
      <c r="D6" s="23" t="n">
        <v>16.761</v>
      </c>
      <c r="E6" s="23" t="n">
        <v>32.616</v>
      </c>
      <c r="F6" s="23" t="n">
        <v>34.04</v>
      </c>
      <c r="G6" s="23" t="n">
        <v>32.596</v>
      </c>
      <c r="H6" s="23" t="n">
        <v>26.24</v>
      </c>
      <c r="I6" s="23" t="n">
        <v>30.775</v>
      </c>
      <c r="J6" s="23" t="n">
        <v>67.529</v>
      </c>
      <c r="K6" s="23" t="n">
        <v>77.39100000000001</v>
      </c>
      <c r="L6" s="23" t="n">
        <v>77.5</v>
      </c>
      <c r="M6" s="23" t="n">
        <v>56.715</v>
      </c>
      <c r="N6" s="23" t="n">
        <v>45.7</v>
      </c>
    </row>
    <row r="7">
      <c r="A7" s="2" t="inlineStr">
        <is>
          <t>Operating Expense</t>
        </is>
      </c>
      <c r="B7" s="23">
        <f>SUM(B5:B6)</f>
        <v>6.052</v>
      </c>
      <c r="C7" s="23">
        <f>SUM(C5:C6)</f>
        <v>15.082</v>
      </c>
      <c r="D7" s="23">
        <f>SUM(D5:D6)</f>
        <v>54.855999999999995</v>
      </c>
      <c r="E7" s="23">
        <f>SUM(E5:E6)</f>
        <v>114.605</v>
      </c>
      <c r="F7" s="23">
        <f>SUM(F5:F6)</f>
        <v>123.495</v>
      </c>
      <c r="G7" s="23">
        <f>SUM(G5:G6)</f>
        <v>128.551</v>
      </c>
      <c r="H7" s="23">
        <f>SUM(H5:H6)</f>
        <v>106.381</v>
      </c>
      <c r="I7" s="23">
        <f>SUM(I5:I6)</f>
        <v>121.345</v>
      </c>
      <c r="J7" s="23">
        <f>SUM(J5:J6)</f>
        <v>209.42</v>
      </c>
      <c r="K7" s="23">
        <f>SUM(K5:K6)</f>
        <v>187.042</v>
      </c>
      <c r="L7" s="23">
        <f>SUM(L5:L6)</f>
        <v>195.09699999999998</v>
      </c>
      <c r="M7" s="23">
        <f>SUM(M5:M6)</f>
        <v>121.315</v>
      </c>
      <c r="N7" s="23">
        <f>SUM(N5:N6)</f>
        <v>94.76</v>
      </c>
    </row>
    <row r="8">
      <c r="A8" s="2" t="inlineStr">
        <is>
          <t>Operating Income</t>
        </is>
      </c>
      <c r="B8" s="23">
        <f>B4-B7</f>
        <v>-6.052</v>
      </c>
      <c r="C8" s="23">
        <f>C4-C7</f>
        <v>-15.082</v>
      </c>
      <c r="D8" s="23">
        <f>D4-D7</f>
        <v>-54.855999999999995</v>
      </c>
      <c r="E8" s="23">
        <f>E4-E7</f>
        <v>-92.839</v>
      </c>
      <c r="F8" s="23">
        <f>F4-F7</f>
        <v>-91.39500000000001</v>
      </c>
      <c r="G8" s="23">
        <f>G4-G7</f>
        <v>-100.28399999999999</v>
      </c>
      <c r="H8" s="23">
        <f>H4-H7</f>
        <v>-71.876</v>
      </c>
      <c r="I8" s="23">
        <f>I4-I7</f>
        <v>-88.13</v>
      </c>
      <c r="J8" s="23">
        <f>J4-J7</f>
        <v>-64.493</v>
      </c>
      <c r="K8" s="23">
        <f>K4-K7</f>
        <v>-179.914</v>
      </c>
      <c r="L8" s="23">
        <f>L4-L7</f>
        <v>-195.09699999999998</v>
      </c>
      <c r="M8" s="23">
        <f>M4-M7</f>
        <v>-121.315</v>
      </c>
      <c r="N8" s="23">
        <f>N4-N7</f>
        <v>-93.971</v>
      </c>
    </row>
    <row r="9">
      <c r="A9" s="19" t="inlineStr">
        <is>
          <t>Interest &amp; Other</t>
        </is>
      </c>
      <c r="B9" s="23" t="n">
        <v>-0.05</v>
      </c>
      <c r="C9" s="23" t="n">
        <v>-1.627</v>
      </c>
      <c r="D9" s="23" t="n">
        <v>0.076</v>
      </c>
      <c r="E9" s="23" t="n">
        <v>1.26</v>
      </c>
      <c r="F9" s="23" t="n">
        <v>2.015</v>
      </c>
      <c r="G9" s="23" t="n">
        <v>1.342</v>
      </c>
      <c r="H9" s="23" t="n">
        <v>1.597</v>
      </c>
      <c r="I9" s="23" t="n">
        <v>-0.997</v>
      </c>
      <c r="J9" s="23" t="n">
        <v>-1.085</v>
      </c>
      <c r="K9" s="23" t="n">
        <v>-70.24299999999999</v>
      </c>
      <c r="L9" s="23" t="n">
        <v>81.373</v>
      </c>
      <c r="M9" s="23" t="n">
        <v>121.451</v>
      </c>
      <c r="N9" s="23" t="n">
        <v>99.667</v>
      </c>
    </row>
    <row r="10">
      <c r="A10" s="2" t="inlineStr">
        <is>
          <t>Pretax</t>
        </is>
      </c>
      <c r="B10" s="23">
        <f>B8+B9</f>
        <v>-6.101999999999999</v>
      </c>
      <c r="C10" s="23">
        <f>C8+C9</f>
        <v>-16.709</v>
      </c>
      <c r="D10" s="23">
        <f>D8+D9</f>
        <v>-54.779999999999994</v>
      </c>
      <c r="E10" s="23">
        <f>E8+E9</f>
        <v>-91.579</v>
      </c>
      <c r="F10" s="23">
        <f>F8+F9</f>
        <v>-89.38000000000001</v>
      </c>
      <c r="G10" s="23">
        <f>G8+G9</f>
        <v>-98.942</v>
      </c>
      <c r="H10" s="23">
        <f>H8+H9</f>
        <v>-70.27900000000001</v>
      </c>
      <c r="I10" s="23">
        <f>I8+I9</f>
        <v>-89.127</v>
      </c>
      <c r="J10" s="23">
        <f>J8+J9</f>
        <v>-65.57799999999999</v>
      </c>
      <c r="K10" s="23">
        <f>K8+K9</f>
        <v>-250.15699999999998</v>
      </c>
      <c r="L10" s="23">
        <f>L8+L9</f>
        <v>-113.72399999999998</v>
      </c>
      <c r="M10" s="23">
        <f>M8+M9</f>
        <v>0.13599999999999568</v>
      </c>
      <c r="N10" s="23">
        <f>N8+N9</f>
        <v>5.695999999999998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</row>
    <row r="12">
      <c r="A12" s="2" t="inlineStr">
        <is>
          <t>Net Income</t>
        </is>
      </c>
      <c r="B12" s="23" t="n">
        <v>-6.102</v>
      </c>
      <c r="C12" s="23" t="n">
        <v>-16.709</v>
      </c>
      <c r="D12" s="23" t="n">
        <v>-54.78</v>
      </c>
      <c r="E12" s="23" t="n">
        <v>-91.57899999999999</v>
      </c>
      <c r="F12" s="23" t="n">
        <v>-89.38</v>
      </c>
      <c r="G12" s="23" t="n">
        <v>-98.94199999999999</v>
      </c>
      <c r="H12" s="23" t="n">
        <v>-70.279</v>
      </c>
      <c r="I12" s="23" t="n">
        <v>-89.127</v>
      </c>
      <c r="J12" s="23" t="n">
        <v>-65.578</v>
      </c>
      <c r="K12" s="23" t="n">
        <v>-250.157</v>
      </c>
      <c r="L12" s="23" t="n">
        <v>-113.724</v>
      </c>
      <c r="M12" s="23" t="n">
        <v>0.136</v>
      </c>
      <c r="N12" s="23" t="n">
        <v>5.696</v>
      </c>
    </row>
    <row r="13">
      <c r="A13" s="2" t="inlineStr">
        <is>
          <t>Earnings per Share</t>
        </is>
      </c>
      <c r="B13" s="11">
        <f>IFERROR(B12/B14,0)</f>
        <v>-16.22872340425532</v>
      </c>
      <c r="C13" s="11">
        <f>IFERROR(C12/C14,0)</f>
        <v>-42.088161209068005</v>
      </c>
      <c r="D13" s="11">
        <f>IFERROR(D12/D14,0)</f>
        <v>-39.58092485549133</v>
      </c>
      <c r="E13" s="11">
        <f>IFERROR(E12/E14,0)</f>
        <v>-39.06953924914676</v>
      </c>
      <c r="F13" s="11">
        <f>IFERROR(F12/F14,0)</f>
        <v>-37.57040773434216</v>
      </c>
      <c r="G13" s="11">
        <f>IFERROR(G12/G14,0)</f>
        <v>-41.27743012098456</v>
      </c>
      <c r="H13" s="11">
        <f>IFERROR(H12/H14,0)</f>
        <v>-21.092136854741895</v>
      </c>
      <c r="I13" s="11">
        <f>IFERROR(I12/I14,0)</f>
        <v>-18.991476667376944</v>
      </c>
      <c r="J13" s="11">
        <f>IFERROR(J12/J14,0)</f>
        <v>-12.157582499073044</v>
      </c>
      <c r="K13" s="11">
        <f>IFERROR(K12/K14,0)</f>
        <v>-39.35142362749725</v>
      </c>
      <c r="L13" s="11">
        <f>IFERROR(L12/L14,0)</f>
        <v>-17.769375</v>
      </c>
      <c r="M13" s="11">
        <f>IFERROR(M12/M14,0)</f>
        <v>0.017503217503217504</v>
      </c>
      <c r="N13" s="11">
        <f>IFERROR(N12/N14,0)</f>
        <v>0.6421645997745209</v>
      </c>
    </row>
    <row r="14">
      <c r="A14" s="2" t="inlineStr">
        <is>
          <t>Shares</t>
        </is>
      </c>
      <c r="B14" s="23" t="n">
        <v>0.376</v>
      </c>
      <c r="C14" s="23" t="n">
        <v>0.397</v>
      </c>
      <c r="D14" s="23" t="n">
        <v>1.384</v>
      </c>
      <c r="E14" s="23" t="n">
        <v>2.344</v>
      </c>
      <c r="F14" s="23" t="n">
        <v>2.379</v>
      </c>
      <c r="G14" s="23" t="n">
        <v>2.397</v>
      </c>
      <c r="H14" s="23" t="n">
        <v>3.332</v>
      </c>
      <c r="I14" s="23" t="n">
        <v>4.693</v>
      </c>
      <c r="J14" s="23" t="n">
        <v>5.394</v>
      </c>
      <c r="K14" s="23" t="n">
        <v>6.357</v>
      </c>
      <c r="L14" s="23" t="n">
        <v>6.4</v>
      </c>
      <c r="M14" s="23" t="n">
        <v>7.77</v>
      </c>
      <c r="N14" s="23" t="n">
        <v>8.869999999999999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0.474777175411192</v>
      </c>
      <c r="G16" s="15">
        <f>IFERROR(G2/F2-1,"")</f>
        <v>-0.11940809968847355</v>
      </c>
      <c r="H16" s="15">
        <f>IFERROR(H2/G2-1,"")</f>
        <v>0.220681359889624</v>
      </c>
      <c r="I16" s="15">
        <f>IFERROR(I2/H2-1,"")</f>
        <v>-0.03738588610346327</v>
      </c>
      <c r="J16" s="15">
        <f>IFERROR(J2/I2-1,"")</f>
        <v>3.3632997139846452</v>
      </c>
      <c r="K16" s="15">
        <f>IFERROR(K2/J2-1,"")</f>
        <v>-0.9508166180214866</v>
      </c>
      <c r="L16" s="15">
        <f>IFERROR(L2/K2-1,"")</f>
        <v>-1.0</v>
      </c>
      <c r="M16" s="15">
        <f>IFERROR(M2/L2-1,"")</f>
        <v/>
      </c>
      <c r="N16" s="15">
        <f>IFERROR(N2/M2-1,"")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/>
      </c>
      <c r="M17" s="15">
        <f>IFERROR(M4/M2,"")</f>
        <v/>
      </c>
      <c r="N17" s="15">
        <f>IFERROR(N4/N2,"")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-4.265322061931453</v>
      </c>
      <c r="F18" s="15">
        <f>IFERROR(F8/F2,"")</f>
        <v>-2.8471962616822433</v>
      </c>
      <c r="G18" s="15">
        <f>IFERROR(G8/G2,"")</f>
        <v>-3.5477411822973783</v>
      </c>
      <c r="H18" s="15">
        <f>IFERROR(H8/H2,"")</f>
        <v>-2.083060426025214</v>
      </c>
      <c r="I18" s="15">
        <f>IFERROR(I8/I2,"")</f>
        <v>-2.6533192834562693</v>
      </c>
      <c r="J18" s="15">
        <f>IFERROR(J8/J2,"")</f>
        <v>-0.4450033465123821</v>
      </c>
      <c r="K18" s="15">
        <f>IFERROR(K8/K2,"")</f>
        <v>-25.240460157126822</v>
      </c>
      <c r="L18" s="15">
        <f>IFERROR(L8/L2,"")</f>
        <v/>
      </c>
      <c r="M18" s="15">
        <f>IFERROR(M8/M2,"")</f>
        <v/>
      </c>
      <c r="N18" s="15">
        <f>IFERROR(N8/N2,"")</f>
        <v>-119.10139416983523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2026-10-21T06:30:00Z</dcterms:modified>
  <cp:lastModifiedBy>Wang, Eric</cp:lastModifiedBy>
</cp:coreProperties>
</file>