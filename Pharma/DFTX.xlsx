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Definium Therapeutics Inc</t>
        </is>
      </c>
      <c r="C2" s="10" t="n"/>
    </row>
    <row r="3">
      <c r="B3" t="inlineStr">
        <is>
          <t>Price</t>
        </is>
      </c>
      <c r="C3" s="11">
        <f>INDEX([1]Pharma!$F$1:$F$1000,MATCH("DFTX",[1]Pharma!$B$1:$B$1000,0))</f>
        <v>35.09</v>
      </c>
      <c r="F3" s="1" t="n"/>
    </row>
    <row r="4">
      <c r="B4" t="inlineStr">
        <is>
          <t>Shares</t>
        </is>
      </c>
      <c r="C4" s="21" t="n">
        <v>134.36695</v>
      </c>
      <c r="F4" s="1" t="n"/>
    </row>
    <row r="5">
      <c r="B5" t="inlineStr">
        <is>
          <t>Market Cap.</t>
        </is>
      </c>
      <c r="C5" s="13">
        <f>C3*C4</f>
        <v>4714.9362755</v>
      </c>
      <c r="F5" s="1" t="n"/>
    </row>
    <row r="6"/>
    <row r="7">
      <c r="B7" t="inlineStr">
        <is>
          <t>Cash</t>
        </is>
      </c>
      <c r="C7" s="21">
        <f>655.267+428.612</f>
        <v>1083.8790000000001</v>
      </c>
    </row>
    <row r="8">
      <c r="B8" t="inlineStr">
        <is>
          <t>Debt</t>
        </is>
      </c>
      <c r="C8" s="21" t="n">
        <v>36.467</v>
      </c>
    </row>
    <row r="9">
      <c r="B9" t="inlineStr">
        <is>
          <t>Enterprise V.</t>
        </is>
      </c>
      <c r="C9" s="13">
        <f>C5-C7+C8</f>
        <v>3667.5242755000004</v>
      </c>
    </row>
    <row r="10"/>
    <row r="11">
      <c r="B11" s="14" t="inlineStr">
        <is>
          <t>rNPV / Share</t>
        </is>
      </c>
      <c r="C11" s="11">
        <f>NPV!B27</f>
        <v>16.05695248785764</v>
      </c>
    </row>
    <row r="12">
      <c r="B12" s="14" t="inlineStr">
        <is>
          <t>Upside</t>
        </is>
      </c>
      <c r="C12" s="15">
        <f>IFERROR(C11/C3-1,"")</f>
        <v>-0.542406597667209</v>
      </c>
    </row>
    <row r="13">
      <c r="B13" s="14" t="inlineStr">
        <is>
          <t>Cash / Share</t>
        </is>
      </c>
      <c r="C13" s="11">
        <f>IFERROR((C7-C8)/C4,"")</f>
        <v>7.795160938013403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-167.951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6.2364141922346406</v>
      </c>
    </row>
    <row r="19">
      <c r="B19" s="14" t="inlineStr">
        <is>
          <t>Implied Pipeline Value</t>
        </is>
      </c>
      <c r="C19" s="13">
        <f>C9</f>
        <v>3667.5242755000004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18.631</v>
      </c>
      <c r="C5" s="23" t="n">
        <v>34.789</v>
      </c>
      <c r="D5" s="23" t="n">
        <v>36.169</v>
      </c>
      <c r="E5" s="23" t="n">
        <v>52.124</v>
      </c>
      <c r="F5" s="23" t="n">
        <v>65.297</v>
      </c>
      <c r="G5" s="23" t="n">
        <v>117.665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14.399</v>
      </c>
      <c r="C6" s="23" t="n">
        <v>59.065</v>
      </c>
      <c r="D6" s="23" t="n">
        <v>30.162</v>
      </c>
      <c r="E6" s="23" t="n">
        <v>41.742</v>
      </c>
      <c r="F6" s="23" t="n">
        <v>38.619</v>
      </c>
      <c r="G6" s="23" t="n">
        <v>48.644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33.03</v>
      </c>
      <c r="C7" s="23">
        <f>SUM(C5:C6)</f>
        <v>93.854</v>
      </c>
      <c r="D7" s="23">
        <f>SUM(D5:D6)</f>
        <v>66.33099999999999</v>
      </c>
      <c r="E7" s="23">
        <f>SUM(E5:E6)</f>
        <v>93.866</v>
      </c>
      <c r="F7" s="23">
        <f>SUM(F5:F6)</f>
        <v>103.916</v>
      </c>
      <c r="G7" s="23">
        <f>SUM(G5:G6)</f>
        <v>166.309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-33.03</v>
      </c>
      <c r="C8" s="23">
        <f>C4-C7</f>
        <v>-93.854</v>
      </c>
      <c r="D8" s="23">
        <f>D4-D7</f>
        <v>-66.33099999999999</v>
      </c>
      <c r="E8" s="23">
        <f>E4-E7</f>
        <v>-93.866</v>
      </c>
      <c r="F8" s="23">
        <f>F4-F7</f>
        <v>-103.916</v>
      </c>
      <c r="G8" s="23">
        <f>G4-G7</f>
        <v>-166.309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-0.907</v>
      </c>
      <c r="C9" s="23" t="n">
        <v>-0.339</v>
      </c>
      <c r="D9" s="23" t="n">
        <v>9.535</v>
      </c>
      <c r="E9" s="23" t="n">
        <v>-1.866</v>
      </c>
      <c r="F9" s="23" t="n">
        <v>-4.763</v>
      </c>
      <c r="G9" s="23" t="n">
        <v>-17.484</v>
      </c>
    </row>
    <row r="10">
      <c r="A10" s="2" t="inlineStr">
        <is>
          <t>Pretax</t>
        </is>
      </c>
      <c r="B10" s="23">
        <f>B8+B9</f>
        <v>-33.937</v>
      </c>
      <c r="C10" s="23">
        <f>C8+C9</f>
        <v>-94.193</v>
      </c>
      <c r="D10" s="23">
        <f>D8+D9</f>
        <v>-56.79599999999999</v>
      </c>
      <c r="E10" s="23">
        <f>E8+E9</f>
        <v>-95.732</v>
      </c>
      <c r="F10" s="23">
        <f>F8+F9</f>
        <v>-108.679</v>
      </c>
      <c r="G10" s="23">
        <f>G8+G9</f>
        <v>-183.793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-1.157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-33.937</v>
      </c>
      <c r="C12" s="23" t="n">
        <v>-93.036</v>
      </c>
      <c r="D12" s="23" t="n">
        <v>-56.796</v>
      </c>
      <c r="E12" s="23" t="n">
        <v>-95.732</v>
      </c>
      <c r="F12" s="23" t="n">
        <v>-108.679</v>
      </c>
      <c r="G12" s="23" t="n">
        <v>-183.793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-0.12747679559463754</v>
      </c>
      <c r="C13" s="11">
        <f>IFERROR(C12/C14,0)</f>
        <v>-3.3983270628629874</v>
      </c>
      <c r="D13" s="11">
        <f>IFERROR(D12/D14,0)</f>
        <v>-1.8406196324982986</v>
      </c>
      <c r="E13" s="11">
        <f>IFERROR(E12/E14,0)</f>
        <v>-2.4448246801338205</v>
      </c>
      <c r="F13" s="11">
        <f>IFERROR(F12/F14,0)</f>
        <v>-1.542399341479684</v>
      </c>
      <c r="G13" s="11">
        <f>IFERROR(G12/G14,0)</f>
        <v>-2.057507164606842</v>
      </c>
    </row>
    <row r="14">
      <c r="A14" s="2" t="inlineStr">
        <is>
          <t>Shares</t>
        </is>
      </c>
      <c r="B14" s="23" t="n">
        <v>266.221</v>
      </c>
      <c r="C14" s="23" t="n">
        <v>27.377</v>
      </c>
      <c r="D14" s="23" t="n">
        <v>30.857</v>
      </c>
      <c r="E14" s="23" t="n">
        <v>39.157</v>
      </c>
      <c r="F14" s="23" t="n">
        <v>70.461</v>
      </c>
      <c r="G14" s="23" t="n">
        <v>89.328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Definium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0.7815615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227.544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572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1110.1117320883427</v>
      </c>
      <c r="C29" s="42">
        <f>NPV!B25</f>
        <v>2157.523732088343</v>
      </c>
      <c r="D29" s="43">
        <f>NPV!B27</f>
        <v>16.05695248785764</v>
      </c>
      <c r="E29" s="44">
        <f>NPV!B29</f>
        <v>-0.542406597667209</v>
      </c>
    </row>
    <row r="30">
      <c r="A30" s="45" t="n">
        <v>1</v>
      </c>
      <c r="B30" s="46">
        <f t="dataTable" ref="B30:E32" r1="B4"/>
        <v>127.2849553685734</v>
      </c>
      <c r="C30" s="46">
        <v>1174.6969553685735</v>
      </c>
      <c r="D30" s="47">
        <v>8.742454564672142</v>
      </c>
      <c r="E30" s="48">
        <v>-0.7508562392512926</v>
      </c>
    </row>
    <row r="31">
      <c r="A31" s="45" t="n">
        <v>2</v>
      </c>
      <c r="B31" s="46">
        <v>1110.1117320883427</v>
      </c>
      <c r="C31" s="46">
        <v>2157.523732088343</v>
      </c>
      <c r="D31" s="47">
        <v>16.05695248785764</v>
      </c>
      <c r="E31" s="48">
        <v>-0.542406597667209</v>
      </c>
    </row>
    <row r="32">
      <c r="A32" s="45" t="n">
        <v>3</v>
      </c>
      <c r="B32" s="46">
        <v>2623.1902211255815</v>
      </c>
      <c r="C32" s="46">
        <v>3670.6022211255818</v>
      </c>
      <c r="D32" s="47">
        <v>27.317746076141354</v>
      </c>
      <c r="E32" s="48">
        <v>-0.22149483966539318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16.05695248785764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7.347233040039629</v>
      </c>
      <c r="C37" s="47">
        <v>9.412328698644757</v>
      </c>
      <c r="D37" s="47">
        <v>11.412419383396315</v>
      </c>
      <c r="E37" s="47">
        <v>15.337380941427073</v>
      </c>
      <c r="F37" s="47">
        <v>19.224489726022906</v>
      </c>
    </row>
    <row r="38">
      <c r="A38" s="50" t="n">
        <v>0.8</v>
      </c>
      <c r="B38" s="47">
        <v>8.398908585784827</v>
      </c>
      <c r="C38" s="47">
        <v>11.089604431503451</v>
      </c>
      <c r="D38" s="47">
        <v>13.717087437430889</v>
      </c>
      <c r="E38" s="47">
        <v>18.91132835623113</v>
      </c>
      <c r="F38" s="47">
        <v>24.074877153442458</v>
      </c>
    </row>
    <row r="39">
      <c r="A39" s="50" t="n">
        <v>1</v>
      </c>
      <c r="B39" s="47">
        <v>9.480436464468797</v>
      </c>
      <c r="C39" s="47">
        <v>12.796510160964033</v>
      </c>
      <c r="D39" s="47">
        <v>16.05695248785764</v>
      </c>
      <c r="E39" s="47">
        <v>22.523931077971092</v>
      </c>
      <c r="F39" s="47">
        <v>28.953958677007414</v>
      </c>
    </row>
    <row r="40">
      <c r="A40" s="50" t="n">
        <v>1.2</v>
      </c>
      <c r="B40" s="47">
        <v>10.600802206109973</v>
      </c>
      <c r="C40" s="47">
        <v>14.544418486165908</v>
      </c>
      <c r="D40" s="47">
        <v>18.441720549321218</v>
      </c>
      <c r="E40" s="47">
        <v>26.18208511112402</v>
      </c>
      <c r="F40" s="47">
        <v>33.882661083737666</v>
      </c>
    </row>
    <row r="41">
      <c r="A41" s="50" t="n">
        <v>1.4</v>
      </c>
      <c r="B41" s="47">
        <v>11.765222956505971</v>
      </c>
      <c r="C41" s="47">
        <v>16.340996571685327</v>
      </c>
      <c r="D41" s="47">
        <v>20.86997005058511</v>
      </c>
      <c r="E41" s="47">
        <v>29.87984866723936</v>
      </c>
      <c r="F41" s="47">
        <v>38.86385396862196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Definium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Depression / mood</t>
        </is>
      </c>
      <c r="C4" s="14" t="inlineStr">
        <is>
          <t>DT120</t>
        </is>
      </c>
      <c r="D4" s="14" t="inlineStr">
        <is>
          <t>Phase 3</t>
        </is>
      </c>
      <c r="E4" s="14" t="inlineStr">
        <is>
          <t>Psychiatry / chronic</t>
        </is>
      </c>
      <c r="F4" s="14" t="inlineStr">
        <is>
          <t>Owned</t>
        </is>
      </c>
      <c r="G4" s="40" t="n">
        <v>2000</v>
      </c>
      <c r="H4" s="27" t="n">
        <v>0.551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1580.7667677246109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110.2</v>
      </c>
      <c r="Q4" s="23">
        <f>IF(Q$3&lt;$I4,0,$G4*Assumptions!$E$11*INDEX(Assumptions!$B$24:$G$24,MIN(6,Q$3-$I4+1))*IF(Q$3&gt;$J4,(1-Assumptions!$B$26)^(Q$3-$J4),1)*IF($H4&gt;=1,1,MIN(0.97,$H4*Assumptions!$E$12)))</f>
        <v>275.5</v>
      </c>
      <c r="R4" s="23">
        <f>IF(R$3&lt;$I4,0,$G4*Assumptions!$E$11*INDEX(Assumptions!$B$24:$G$24,MIN(6,R$3-$I4+1))*IF(R$3&gt;$J4,(1-Assumptions!$B$26)^(R$3-$J4),1)*IF($H4&gt;=1,1,MIN(0.97,$H4*Assumptions!$E$12)))</f>
        <v>495.90000000000003</v>
      </c>
      <c r="S4" s="23">
        <f>IF(S$3&lt;$I4,0,$G4*Assumptions!$E$11*INDEX(Assumptions!$B$24:$G$24,MIN(6,S$3-$I4+1))*IF(S$3&gt;$J4,(1-Assumptions!$B$26)^(S$3-$J4),1)*IF($H4&gt;=1,1,MIN(0.97,$H4*Assumptions!$E$12)))</f>
        <v>716.3000000000001</v>
      </c>
      <c r="T4" s="23">
        <f>IF(T$3&lt;$I4,0,$G4*Assumptions!$E$11*INDEX(Assumptions!$B$24:$G$24,MIN(6,T$3-$I4+1))*IF(T$3&gt;$J4,(1-Assumptions!$B$26)^(T$3-$J4),1)*IF($H4&gt;=1,1,MIN(0.97,$H4*Assumptions!$E$12)))</f>
        <v>936.7</v>
      </c>
      <c r="U4" s="23">
        <f>IF(U$3&lt;$I4,0,$G4*Assumptions!$E$11*INDEX(Assumptions!$B$24:$G$24,MIN(6,U$3-$I4+1))*IF(U$3&gt;$J4,(1-Assumptions!$B$26)^(U$3-$J4),1)*IF($H4&gt;=1,1,MIN(0.97,$H4*Assumptions!$E$12)))</f>
        <v>1102.0</v>
      </c>
      <c r="V4" s="23">
        <f>IF(V$3&lt;$I4,0,$G4*Assumptions!$E$11*INDEX(Assumptions!$B$24:$G$24,MIN(6,V$3-$I4+1))*IF(V$3&gt;$J4,(1-Assumptions!$B$26)^(V$3-$J4),1)*IF($H4&gt;=1,1,MIN(0.97,$H4*Assumptions!$E$12)))</f>
        <v>1102.0</v>
      </c>
      <c r="W4" s="23">
        <f>IF(W$3&lt;$I4,0,$G4*Assumptions!$E$11*INDEX(Assumptions!$B$24:$G$24,MIN(6,W$3-$I4+1))*IF(W$3&gt;$J4,(1-Assumptions!$B$26)^(W$3-$J4),1)*IF($H4&gt;=1,1,MIN(0.97,$H4*Assumptions!$E$12)))</f>
        <v>1102.0</v>
      </c>
      <c r="X4" s="23">
        <f>IF(X$3&lt;$I4,0,$G4*Assumptions!$E$11*INDEX(Assumptions!$B$24:$G$24,MIN(6,X$3-$I4+1))*IF(X$3&gt;$J4,(1-Assumptions!$B$26)^(X$3-$J4),1)*IF($H4&gt;=1,1,MIN(0.97,$H4*Assumptions!$E$12)))</f>
        <v>1102.0</v>
      </c>
      <c r="Y4" s="23">
        <f>IF(Y$3&lt;$I4,0,$G4*Assumptions!$E$11*INDEX(Assumptions!$B$24:$G$24,MIN(6,Y$3-$I4+1))*IF(Y$3&gt;$J4,(1-Assumptions!$B$26)^(Y$3-$J4),1)*IF($H4&gt;=1,1,MIN(0.97,$H4*Assumptions!$E$12)))</f>
        <v>1102.0</v>
      </c>
      <c r="Z4" s="23">
        <f>IF(Z$3&lt;$I4,0,$G4*Assumptions!$E$11*INDEX(Assumptions!$B$24:$G$24,MIN(6,Z$3-$I4+1))*IF(Z$3&gt;$J4,(1-Assumptions!$B$26)^(Z$3-$J4),1)*IF($H4&gt;=1,1,MIN(0.97,$H4*Assumptions!$E$12)))</f>
        <v>1102.0</v>
      </c>
      <c r="AA4" s="23">
        <f>IF(AA$3&lt;$I4,0,$G4*Assumptions!$E$11*INDEX(Assumptions!$B$24:$G$24,MIN(6,AA$3-$I4+1))*IF(AA$3&gt;$J4,(1-Assumptions!$B$26)^(AA$3-$J4),1)*IF($H4&gt;=1,1,MIN(0.97,$H4*Assumptions!$E$12)))</f>
        <v>1102.0</v>
      </c>
      <c r="AB4" s="23">
        <f>IF(AB$3&lt;$I4,0,$G4*Assumptions!$E$11*INDEX(Assumptions!$B$24:$G$24,MIN(6,AB$3-$I4+1))*IF(AB$3&gt;$J4,(1-Assumptions!$B$26)^(AB$3-$J4),1)*IF($H4&gt;=1,1,MIN(0.97,$H4*Assumptions!$E$12)))</f>
        <v>1102.0</v>
      </c>
      <c r="AC4" s="23">
        <f>IF(AC$3&lt;$I4,0,$G4*Assumptions!$E$11*INDEX(Assumptions!$B$24:$G$24,MIN(6,AC$3-$I4+1))*IF(AC$3&gt;$J4,(1-Assumptions!$B$26)^(AC$3-$J4),1)*IF($H4&gt;=1,1,MIN(0.97,$H4*Assumptions!$E$12)))</f>
        <v>551.0</v>
      </c>
      <c r="AD4" s="23">
        <f>IF(AD$3&lt;$I4,0,$G4*Assumptions!$E$11*INDEX(Assumptions!$B$24:$G$24,MIN(6,AD$3-$I4+1))*IF(AD$3&gt;$J4,(1-Assumptions!$B$26)^(AD$3-$J4),1)*IF($H4&gt;=1,1,MIN(0.97,$H4*Assumptions!$E$12)))</f>
        <v>275.5</v>
      </c>
      <c r="AE4" s="23">
        <f>IF(AE$3&lt;$I4,0,$G4*Assumptions!$E$11*INDEX(Assumptions!$B$24:$G$24,MIN(6,AE$3-$I4+1))*IF(AE$3&gt;$J4,(1-Assumptions!$B$26)^(AE$3-$J4),1)*IF($H4&gt;=1,1,MIN(0.97,$H4*Assumptions!$E$12)))</f>
        <v>137.75</v>
      </c>
      <c r="AF4" s="23">
        <f>IF(AF$3&lt;$I4,0,$G4*Assumptions!$E$11*INDEX(Assumptions!$B$24:$G$24,MIN(6,AF$3-$I4+1))*IF(AF$3&gt;$J4,(1-Assumptions!$B$26)^(AF$3-$J4),1)*IF($H4&gt;=1,1,MIN(0.97,$H4*Assumptions!$E$12)))</f>
        <v>68.875</v>
      </c>
      <c r="AG4" s="35">
        <f>IF(F4="Owned",1-IF(H4&gt;=1,1,MIN(0.97,H4*Assumptions!$E$12)),1)</f>
        <v>0.44899999999999995</v>
      </c>
    </row>
    <row r="5">
      <c r="A5" s="39" t="n">
        <v>2</v>
      </c>
      <c r="B5" s="14" t="inlineStr">
        <is>
          <t>Anxiety / PTSD / addiction</t>
        </is>
      </c>
      <c r="C5" s="14" t="inlineStr">
        <is>
          <t>MM120, DT120</t>
        </is>
      </c>
      <c r="D5" s="14" t="inlineStr">
        <is>
          <t>Phase 3</t>
        </is>
      </c>
      <c r="E5" s="14" t="inlineStr">
        <is>
          <t>Psychiatry / area</t>
        </is>
      </c>
      <c r="F5" s="14" t="inlineStr">
        <is>
          <t>Owned</t>
        </is>
      </c>
      <c r="G5" s="40" t="n">
        <v>800</v>
      </c>
      <c r="H5" s="27" t="n">
        <v>0.5135</v>
      </c>
      <c r="I5" s="26" t="n">
        <v>2029</v>
      </c>
      <c r="J5" s="39">
        <f>I5+Assumptions!$B$25</f>
        <v>2041.0</v>
      </c>
      <c r="K5" s="53">
        <f>Assumptions!$E$13</f>
        <v>0.4</v>
      </c>
      <c r="L5" s="23">
        <f>K5*SUMPRODUCT(M5:AF5,NPV!$C$15:$V$15)</f>
        <v>589.2731290211162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41.08</v>
      </c>
      <c r="Q5" s="23">
        <f>IF(Q$3&lt;$I5,0,$G5*Assumptions!$E$11*INDEX(Assumptions!$B$24:$G$24,MIN(6,Q$3-$I5+1))*IF(Q$3&gt;$J5,(1-Assumptions!$B$26)^(Q$3-$J5),1)*IF($H5&gt;=1,1,MIN(0.97,$H5*Assumptions!$E$12)))</f>
        <v>102.69999999999999</v>
      </c>
      <c r="R5" s="23">
        <f>IF(R$3&lt;$I5,0,$G5*Assumptions!$E$11*INDEX(Assumptions!$B$24:$G$24,MIN(6,R$3-$I5+1))*IF(R$3&gt;$J5,(1-Assumptions!$B$26)^(R$3-$J5),1)*IF($H5&gt;=1,1,MIN(0.97,$H5*Assumptions!$E$12)))</f>
        <v>184.85999999999999</v>
      </c>
      <c r="S5" s="23">
        <f>IF(S$3&lt;$I5,0,$G5*Assumptions!$E$11*INDEX(Assumptions!$B$24:$G$24,MIN(6,S$3-$I5+1))*IF(S$3&gt;$J5,(1-Assumptions!$B$26)^(S$3-$J5),1)*IF($H5&gt;=1,1,MIN(0.97,$H5*Assumptions!$E$12)))</f>
        <v>267.02</v>
      </c>
      <c r="T5" s="23">
        <f>IF(T$3&lt;$I5,0,$G5*Assumptions!$E$11*INDEX(Assumptions!$B$24:$G$24,MIN(6,T$3-$I5+1))*IF(T$3&gt;$J5,(1-Assumptions!$B$26)^(T$3-$J5),1)*IF($H5&gt;=1,1,MIN(0.97,$H5*Assumptions!$E$12)))</f>
        <v>349.17999999999995</v>
      </c>
      <c r="U5" s="23">
        <f>IF(U$3&lt;$I5,0,$G5*Assumptions!$E$11*INDEX(Assumptions!$B$24:$G$24,MIN(6,U$3-$I5+1))*IF(U$3&gt;$J5,(1-Assumptions!$B$26)^(U$3-$J5),1)*IF($H5&gt;=1,1,MIN(0.97,$H5*Assumptions!$E$12)))</f>
        <v>410.79999999999995</v>
      </c>
      <c r="V5" s="23">
        <f>IF(V$3&lt;$I5,0,$G5*Assumptions!$E$11*INDEX(Assumptions!$B$24:$G$24,MIN(6,V$3-$I5+1))*IF(V$3&gt;$J5,(1-Assumptions!$B$26)^(V$3-$J5),1)*IF($H5&gt;=1,1,MIN(0.97,$H5*Assumptions!$E$12)))</f>
        <v>410.79999999999995</v>
      </c>
      <c r="W5" s="23">
        <f>IF(W$3&lt;$I5,0,$G5*Assumptions!$E$11*INDEX(Assumptions!$B$24:$G$24,MIN(6,W$3-$I5+1))*IF(W$3&gt;$J5,(1-Assumptions!$B$26)^(W$3-$J5),1)*IF($H5&gt;=1,1,MIN(0.97,$H5*Assumptions!$E$12)))</f>
        <v>410.79999999999995</v>
      </c>
      <c r="X5" s="23">
        <f>IF(X$3&lt;$I5,0,$G5*Assumptions!$E$11*INDEX(Assumptions!$B$24:$G$24,MIN(6,X$3-$I5+1))*IF(X$3&gt;$J5,(1-Assumptions!$B$26)^(X$3-$J5),1)*IF($H5&gt;=1,1,MIN(0.97,$H5*Assumptions!$E$12)))</f>
        <v>410.79999999999995</v>
      </c>
      <c r="Y5" s="23">
        <f>IF(Y$3&lt;$I5,0,$G5*Assumptions!$E$11*INDEX(Assumptions!$B$24:$G$24,MIN(6,Y$3-$I5+1))*IF(Y$3&gt;$J5,(1-Assumptions!$B$26)^(Y$3-$J5),1)*IF($H5&gt;=1,1,MIN(0.97,$H5*Assumptions!$E$12)))</f>
        <v>410.79999999999995</v>
      </c>
      <c r="Z5" s="23">
        <f>IF(Z$3&lt;$I5,0,$G5*Assumptions!$E$11*INDEX(Assumptions!$B$24:$G$24,MIN(6,Z$3-$I5+1))*IF(Z$3&gt;$J5,(1-Assumptions!$B$26)^(Z$3-$J5),1)*IF($H5&gt;=1,1,MIN(0.97,$H5*Assumptions!$E$12)))</f>
        <v>410.79999999999995</v>
      </c>
      <c r="AA5" s="23">
        <f>IF(AA$3&lt;$I5,0,$G5*Assumptions!$E$11*INDEX(Assumptions!$B$24:$G$24,MIN(6,AA$3-$I5+1))*IF(AA$3&gt;$J5,(1-Assumptions!$B$26)^(AA$3-$J5),1)*IF($H5&gt;=1,1,MIN(0.97,$H5*Assumptions!$E$12)))</f>
        <v>410.79999999999995</v>
      </c>
      <c r="AB5" s="23">
        <f>IF(AB$3&lt;$I5,0,$G5*Assumptions!$E$11*INDEX(Assumptions!$B$24:$G$24,MIN(6,AB$3-$I5+1))*IF(AB$3&gt;$J5,(1-Assumptions!$B$26)^(AB$3-$J5),1)*IF($H5&gt;=1,1,MIN(0.97,$H5*Assumptions!$E$12)))</f>
        <v>410.79999999999995</v>
      </c>
      <c r="AC5" s="23">
        <f>IF(AC$3&lt;$I5,0,$G5*Assumptions!$E$11*INDEX(Assumptions!$B$24:$G$24,MIN(6,AC$3-$I5+1))*IF(AC$3&gt;$J5,(1-Assumptions!$B$26)^(AC$3-$J5),1)*IF($H5&gt;=1,1,MIN(0.97,$H5*Assumptions!$E$12)))</f>
        <v>205.39999999999998</v>
      </c>
      <c r="AD5" s="23">
        <f>IF(AD$3&lt;$I5,0,$G5*Assumptions!$E$11*INDEX(Assumptions!$B$24:$G$24,MIN(6,AD$3-$I5+1))*IF(AD$3&gt;$J5,(1-Assumptions!$B$26)^(AD$3-$J5),1)*IF($H5&gt;=1,1,MIN(0.97,$H5*Assumptions!$E$12)))</f>
        <v>102.69999999999999</v>
      </c>
      <c r="AE5" s="23">
        <f>IF(AE$3&lt;$I5,0,$G5*Assumptions!$E$11*INDEX(Assumptions!$B$24:$G$24,MIN(6,AE$3-$I5+1))*IF(AE$3&gt;$J5,(1-Assumptions!$B$26)^(AE$3-$J5),1)*IF($H5&gt;=1,1,MIN(0.97,$H5*Assumptions!$E$12)))</f>
        <v>51.349999999999994</v>
      </c>
      <c r="AF5" s="23">
        <f>IF(AF$3&lt;$I5,0,$G5*Assumptions!$E$11*INDEX(Assumptions!$B$24:$G$24,MIN(6,AF$3-$I5+1))*IF(AF$3&gt;$J5,(1-Assumptions!$B$26)^(AF$3-$J5),1)*IF($H5&gt;=1,1,MIN(0.97,$H5*Assumptions!$E$12)))</f>
        <v>25.674999999999997</v>
      </c>
      <c r="AG5" s="35">
        <f>IF(F5="Owned",1-IF(H5&gt;=1,1,MIN(0.97,H5*Assumptions!$E$12)),1)</f>
        <v>0.48650000000000004</v>
      </c>
    </row>
    <row r="6">
      <c r="B6" s="24" t="inlineStr">
        <is>
          <t>Risked revenue</t>
        </is>
      </c>
      <c r="L6" s="54">
        <f>SUM(L4:L5)</f>
        <v>2170.039896745727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151.28</v>
      </c>
      <c r="Q6" s="54">
        <f>SUM(Q4:Q5)</f>
        <v>378.2</v>
      </c>
      <c r="R6" s="54">
        <f>SUM(R4:R5)</f>
        <v>680.76</v>
      </c>
      <c r="S6" s="54">
        <f>SUM(S4:S5)</f>
        <v>983.32</v>
      </c>
      <c r="T6" s="54">
        <f>SUM(T4:T5)</f>
        <v>1285.88</v>
      </c>
      <c r="U6" s="54">
        <f>SUM(U4:U5)</f>
        <v>1512.8</v>
      </c>
      <c r="V6" s="54">
        <f>SUM(V4:V5)</f>
        <v>1512.8</v>
      </c>
      <c r="W6" s="54">
        <f>SUM(W4:W5)</f>
        <v>1512.8</v>
      </c>
      <c r="X6" s="54">
        <f>SUM(X4:X5)</f>
        <v>1512.8</v>
      </c>
      <c r="Y6" s="54">
        <f>SUM(Y4:Y5)</f>
        <v>1512.8</v>
      </c>
      <c r="Z6" s="54">
        <f>SUM(Z4:Z5)</f>
        <v>1512.8</v>
      </c>
      <c r="AA6" s="54">
        <f>SUM(AA4:AA5)</f>
        <v>1512.8</v>
      </c>
      <c r="AB6" s="54">
        <f>SUM(AB4:AB5)</f>
        <v>1512.8</v>
      </c>
      <c r="AC6" s="54">
        <f>SUM(AC4:AC5)</f>
        <v>756.4</v>
      </c>
      <c r="AD6" s="54">
        <f>SUM(AD4:AD5)</f>
        <v>378.2</v>
      </c>
      <c r="AE6" s="54">
        <f>SUM(AE4:AE5)</f>
        <v>189.1</v>
      </c>
      <c r="AF6" s="54">
        <f>SUM(AF4:AF5)</f>
        <v>94.55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60.512</v>
      </c>
      <c r="Q7" s="55">
        <f>SUMPRODUCT(Q4:Q5,$K$4:$K$5)</f>
        <v>151.28</v>
      </c>
      <c r="R7" s="55">
        <f>SUMPRODUCT(R4:R5,$K$4:$K$5)</f>
        <v>272.30400000000003</v>
      </c>
      <c r="S7" s="55">
        <f>SUMPRODUCT(S4:S5,$K$4:$K$5)</f>
        <v>393.32800000000003</v>
      </c>
      <c r="T7" s="55">
        <f>SUMPRODUCT(T4:T5,$K$4:$K$5)</f>
        <v>514.3520000000001</v>
      </c>
      <c r="U7" s="55">
        <f>SUMPRODUCT(U4:U5,$K$4:$K$5)</f>
        <v>605.12</v>
      </c>
      <c r="V7" s="55">
        <f>SUMPRODUCT(V4:V5,$K$4:$K$5)</f>
        <v>605.12</v>
      </c>
      <c r="W7" s="55">
        <f>SUMPRODUCT(W4:W5,$K$4:$K$5)</f>
        <v>605.12</v>
      </c>
      <c r="X7" s="55">
        <f>SUMPRODUCT(X4:X5,$K$4:$K$5)</f>
        <v>605.12</v>
      </c>
      <c r="Y7" s="55">
        <f>SUMPRODUCT(Y4:Y5,$K$4:$K$5)</f>
        <v>605.12</v>
      </c>
      <c r="Z7" s="55">
        <f>SUMPRODUCT(Z4:Z5,$K$4:$K$5)</f>
        <v>605.12</v>
      </c>
      <c r="AA7" s="55">
        <f>SUMPRODUCT(AA4:AA5,$K$4:$K$5)</f>
        <v>605.12</v>
      </c>
      <c r="AB7" s="55">
        <f>SUMPRODUCT(AB4:AB5,$K$4:$K$5)</f>
        <v>605.12</v>
      </c>
      <c r="AC7" s="55">
        <f>SUMPRODUCT(AC4:AC5,$K$4:$K$5)</f>
        <v>302.56</v>
      </c>
      <c r="AD7" s="55">
        <f>SUMPRODUCT(AD4:AD5,$K$4:$K$5)</f>
        <v>151.28</v>
      </c>
      <c r="AE7" s="55">
        <f>SUMPRODUCT(AE4:AE5,$K$4:$K$5)</f>
        <v>75.64</v>
      </c>
      <c r="AF7" s="55">
        <f>SUMPRODUCT(AF4:AF5,$K$4:$K$5)</f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Definium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151.28</v>
      </c>
      <c r="G4" s="57">
        <f>Pipeline!Q6</f>
        <v>378.2</v>
      </c>
      <c r="H4" s="57">
        <f>Pipeline!R6</f>
        <v>680.76</v>
      </c>
      <c r="I4" s="57">
        <f>Pipeline!S6</f>
        <v>983.32</v>
      </c>
      <c r="J4" s="57">
        <f>Pipeline!T6</f>
        <v>1285.88</v>
      </c>
      <c r="K4" s="57">
        <f>Pipeline!U6</f>
        <v>1512.8</v>
      </c>
      <c r="L4" s="57">
        <f>Pipeline!V6</f>
        <v>1512.8</v>
      </c>
      <c r="M4" s="57">
        <f>Pipeline!W6</f>
        <v>1512.8</v>
      </c>
      <c r="N4" s="57">
        <f>Pipeline!X6</f>
        <v>1512.8</v>
      </c>
      <c r="O4" s="57">
        <f>Pipeline!Y6</f>
        <v>1512.8</v>
      </c>
      <c r="P4" s="57">
        <f>Pipeline!Z6</f>
        <v>1512.8</v>
      </c>
      <c r="Q4" s="57">
        <f>Pipeline!AA6</f>
        <v>1512.8</v>
      </c>
      <c r="R4" s="57">
        <f>Pipeline!AB6</f>
        <v>1512.8</v>
      </c>
      <c r="S4" s="57">
        <f>Pipeline!AC6</f>
        <v>756.4</v>
      </c>
      <c r="T4" s="57">
        <f>Pipeline!AD6</f>
        <v>378.2</v>
      </c>
      <c r="U4" s="57">
        <f>Pipeline!AE6</f>
        <v>189.1</v>
      </c>
      <c r="V4" s="57">
        <f>Pipeline!AF6</f>
        <v>94.55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60.512</v>
      </c>
      <c r="G5" s="57">
        <f>Pipeline!Q7</f>
        <v>151.28</v>
      </c>
      <c r="H5" s="57">
        <f>Pipeline!R7</f>
        <v>272.30400000000003</v>
      </c>
      <c r="I5" s="57">
        <f>Pipeline!S7</f>
        <v>393.32800000000003</v>
      </c>
      <c r="J5" s="57">
        <f>Pipeline!T7</f>
        <v>514.3520000000001</v>
      </c>
      <c r="K5" s="57">
        <f>Pipeline!U7</f>
        <v>605.12</v>
      </c>
      <c r="L5" s="57">
        <f>Pipeline!V7</f>
        <v>605.12</v>
      </c>
      <c r="M5" s="57">
        <f>Pipeline!W7</f>
        <v>605.12</v>
      </c>
      <c r="N5" s="57">
        <f>Pipeline!X7</f>
        <v>605.12</v>
      </c>
      <c r="O5" s="57">
        <f>Pipeline!Y7</f>
        <v>605.12</v>
      </c>
      <c r="P5" s="57">
        <f>Pipeline!Z7</f>
        <v>605.12</v>
      </c>
      <c r="Q5" s="57">
        <f>Pipeline!AA7</f>
        <v>605.12</v>
      </c>
      <c r="R5" s="57">
        <f>Pipeline!AB7</f>
        <v>605.12</v>
      </c>
      <c r="S5" s="57">
        <f>Pipeline!AC7</f>
        <v>302.56</v>
      </c>
      <c r="T5" s="57">
        <f>Pipeline!AD7</f>
        <v>151.28</v>
      </c>
      <c r="U5" s="57">
        <f>Pipeline!AE7</f>
        <v>75.64</v>
      </c>
      <c r="V5" s="57">
        <f>Pipeline!AF7</f>
        <v>37.82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-227.544</v>
      </c>
      <c r="D6" s="23">
        <f>-IF(D3-2026&lt;Assumptions!$B$19,Assumptions!$B$18,Assumptions!$B$18*Assumptions!$B$20*Assumptions!$B$16)</f>
        <v>-227.544</v>
      </c>
      <c r="E6" s="23">
        <f>-IF(E3-2026&lt;Assumptions!$B$19,Assumptions!$B$18,Assumptions!$B$18*Assumptions!$B$20*Assumptions!$B$16)</f>
        <v>-227.544</v>
      </c>
      <c r="F6" s="23">
        <f>-IF(F3-2026&lt;Assumptions!$B$19,Assumptions!$B$18,Assumptions!$B$18*Assumptions!$B$20*Assumptions!$B$16)</f>
        <v>-53.3518889868</v>
      </c>
      <c r="G6" s="23">
        <f>-IF(G3-2026&lt;Assumptions!$B$19,Assumptions!$B$18,Assumptions!$B$18*Assumptions!$B$20*Assumptions!$B$16)</f>
        <v>-53.3518889868</v>
      </c>
      <c r="H6" s="23">
        <f>-IF(H3-2026&lt;Assumptions!$B$19,Assumptions!$B$18,Assumptions!$B$18*Assumptions!$B$20*Assumptions!$B$16)</f>
        <v>-53.3518889868</v>
      </c>
      <c r="I6" s="23">
        <f>-IF(I3-2026&lt;Assumptions!$B$19,Assumptions!$B$18,Assumptions!$B$18*Assumptions!$B$20*Assumptions!$B$16)</f>
        <v>-53.3518889868</v>
      </c>
      <c r="J6" s="23">
        <f>-IF(J3-2026&lt;Assumptions!$B$19,Assumptions!$B$18,Assumptions!$B$18*Assumptions!$B$20*Assumptions!$B$16)</f>
        <v>-53.3518889868</v>
      </c>
      <c r="K6" s="23">
        <f>-IF(K3-2026&lt;Assumptions!$B$19,Assumptions!$B$18,Assumptions!$B$18*Assumptions!$B$20*Assumptions!$B$16)</f>
        <v>-53.3518889868</v>
      </c>
      <c r="L6" s="23">
        <f>-IF(L3-2026&lt;Assumptions!$B$19,Assumptions!$B$18,Assumptions!$B$18*Assumptions!$B$20*Assumptions!$B$16)</f>
        <v>-53.3518889868</v>
      </c>
      <c r="M6" s="23">
        <f>-IF(M3-2026&lt;Assumptions!$B$19,Assumptions!$B$18,Assumptions!$B$18*Assumptions!$B$20*Assumptions!$B$16)</f>
        <v>-53.3518889868</v>
      </c>
      <c r="N6" s="23">
        <f>-IF(N3-2026&lt;Assumptions!$B$19,Assumptions!$B$18,Assumptions!$B$18*Assumptions!$B$20*Assumptions!$B$16)</f>
        <v>-53.3518889868</v>
      </c>
      <c r="O6" s="23">
        <f>-IF(O3-2026&lt;Assumptions!$B$19,Assumptions!$B$18,Assumptions!$B$18*Assumptions!$B$20*Assumptions!$B$16)</f>
        <v>-53.3518889868</v>
      </c>
      <c r="P6" s="23">
        <f>-IF(P3-2026&lt;Assumptions!$B$19,Assumptions!$B$18,Assumptions!$B$18*Assumptions!$B$20*Assumptions!$B$16)</f>
        <v>-53.3518889868</v>
      </c>
      <c r="Q6" s="23">
        <f>-IF(Q3-2026&lt;Assumptions!$B$19,Assumptions!$B$18,Assumptions!$B$18*Assumptions!$B$20*Assumptions!$B$16)</f>
        <v>-53.3518889868</v>
      </c>
      <c r="R6" s="23">
        <f>-IF(R3-2026&lt;Assumptions!$B$19,Assumptions!$B$18,Assumptions!$B$18*Assumptions!$B$20*Assumptions!$B$16)</f>
        <v>-53.3518889868</v>
      </c>
      <c r="S6" s="23">
        <f>-IF(S3-2026&lt;Assumptions!$B$19,Assumptions!$B$18,Assumptions!$B$18*Assumptions!$B$20*Assumptions!$B$16)</f>
        <v>-53.3518889868</v>
      </c>
      <c r="T6" s="23">
        <f>-IF(T3-2026&lt;Assumptions!$B$19,Assumptions!$B$18,Assumptions!$B$18*Assumptions!$B$20*Assumptions!$B$16)</f>
        <v>-53.3518889868</v>
      </c>
      <c r="U6" s="23">
        <f>-IF(U3-2026&lt;Assumptions!$B$19,Assumptions!$B$18,Assumptions!$B$18*Assumptions!$B$20*Assumptions!$B$16)</f>
        <v>-53.3518889868</v>
      </c>
      <c r="V6" s="23">
        <f>-IF(V3-2026&lt;Assumptions!$B$19,Assumptions!$B$18,Assumptions!$B$18*Assumptions!$B$20*Assumptions!$B$16)</f>
        <v>-53.3518889868</v>
      </c>
    </row>
    <row r="7">
      <c r="A7" s="14" t="inlineStr">
        <is>
          <t>Pre-tax cash flow</t>
        </is>
      </c>
      <c r="C7" s="23">
        <f>C5+C6</f>
        <v>-227.544</v>
      </c>
      <c r="D7" s="23">
        <f>D5+D6</f>
        <v>-227.544</v>
      </c>
      <c r="E7" s="23">
        <f>E5+E6</f>
        <v>-227.544</v>
      </c>
      <c r="F7" s="23">
        <f>F5+F6</f>
        <v>7.160111013200002</v>
      </c>
      <c r="G7" s="23">
        <f>G5+G6</f>
        <v>97.92811101320001</v>
      </c>
      <c r="H7" s="23">
        <f>H5+H6</f>
        <v>218.95211101320004</v>
      </c>
      <c r="I7" s="23">
        <f>I5+I6</f>
        <v>339.9761110132</v>
      </c>
      <c r="J7" s="23">
        <f>J5+J6</f>
        <v>461.00011101320007</v>
      </c>
      <c r="K7" s="23">
        <f>K5+K6</f>
        <v>551.7681110132</v>
      </c>
      <c r="L7" s="23">
        <f>L5+L6</f>
        <v>551.7681110132</v>
      </c>
      <c r="M7" s="23">
        <f>M5+M6</f>
        <v>551.7681110132</v>
      </c>
      <c r="N7" s="23">
        <f>N5+N6</f>
        <v>551.7681110132</v>
      </c>
      <c r="O7" s="23">
        <f>O5+O6</f>
        <v>551.7681110132</v>
      </c>
      <c r="P7" s="23">
        <f>P5+P6</f>
        <v>551.7681110132</v>
      </c>
      <c r="Q7" s="23">
        <f>Q5+Q6</f>
        <v>551.7681110132</v>
      </c>
      <c r="R7" s="23">
        <f>R5+R6</f>
        <v>551.7681110132</v>
      </c>
      <c r="S7" s="23">
        <f>S5+S6</f>
        <v>249.2081110132</v>
      </c>
      <c r="T7" s="23">
        <f>T5+T6</f>
        <v>97.92811101320001</v>
      </c>
      <c r="U7" s="23">
        <f>U5+U6</f>
        <v>22.2881110132</v>
      </c>
      <c r="V7" s="23">
        <f>V5+V6</f>
        <v>-15.531888986799999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7.160111013200002</v>
      </c>
      <c r="G8" s="23">
        <f>MIN(F17,MAX(0,G7))</f>
        <v>97.92811101320001</v>
      </c>
      <c r="H8" s="23">
        <f>MIN(G17,MAX(0,H7))</f>
        <v>218.95211101320004</v>
      </c>
      <c r="I8" s="23">
        <f>MIN(H17,MAX(0,I7))</f>
        <v>339.9761110132</v>
      </c>
      <c r="J8" s="23">
        <f>MIN(I17,MAX(0,J7))</f>
        <v>461.00011101320007</v>
      </c>
      <c r="K8" s="23">
        <f>MIN(J17,MAX(0,K7))</f>
        <v>129.61544493399975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422.1526660792003</v>
      </c>
      <c r="L9" s="23">
        <f>MAX(0,L7)-L8</f>
        <v>551.7681110132</v>
      </c>
      <c r="M9" s="23">
        <f>MAX(0,M7)-M8</f>
        <v>551.7681110132</v>
      </c>
      <c r="N9" s="23">
        <f>MAX(0,N7)-N8</f>
        <v>551.7681110132</v>
      </c>
      <c r="O9" s="23">
        <f>MAX(0,O7)-O8</f>
        <v>551.7681110132</v>
      </c>
      <c r="P9" s="23">
        <f>MAX(0,P7)-P8</f>
        <v>551.7681110132</v>
      </c>
      <c r="Q9" s="23">
        <f>MAX(0,Q7)-Q8</f>
        <v>551.7681110132</v>
      </c>
      <c r="R9" s="23">
        <f>MAX(0,R7)-R8</f>
        <v>551.7681110132</v>
      </c>
      <c r="S9" s="23">
        <f>MAX(0,S7)-S8</f>
        <v>249.2081110132</v>
      </c>
      <c r="T9" s="23">
        <f>MAX(0,T7)-T8</f>
        <v>97.92811101320001</v>
      </c>
      <c r="U9" s="23">
        <f>MAX(0,U7)-U8</f>
        <v>22.2881110132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88.65205987663205</v>
      </c>
      <c r="L10" s="23">
        <f>L9*Assumptions!$E$15</f>
        <v>115.871303312772</v>
      </c>
      <c r="M10" s="23">
        <f>M9*Assumptions!$E$15</f>
        <v>115.871303312772</v>
      </c>
      <c r="N10" s="23">
        <f>N9*Assumptions!$E$15</f>
        <v>115.871303312772</v>
      </c>
      <c r="O10" s="23">
        <f>O9*Assumptions!$E$15</f>
        <v>115.871303312772</v>
      </c>
      <c r="P10" s="23">
        <f>P9*Assumptions!$E$15</f>
        <v>115.871303312772</v>
      </c>
      <c r="Q10" s="23">
        <f>Q9*Assumptions!$E$15</f>
        <v>115.871303312772</v>
      </c>
      <c r="R10" s="23">
        <f>R9*Assumptions!$E$15</f>
        <v>115.871303312772</v>
      </c>
      <c r="S10" s="23">
        <f>S9*Assumptions!$E$15</f>
        <v>52.333703312772</v>
      </c>
      <c r="T10" s="23">
        <f>T9*Assumptions!$E$15</f>
        <v>20.564903312772</v>
      </c>
      <c r="U10" s="23">
        <f>U9*Assumptions!$E$15</f>
        <v>4.680503312772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-227.544</v>
      </c>
      <c r="D11" s="55">
        <f>D7-D10</f>
        <v>-227.544</v>
      </c>
      <c r="E11" s="55">
        <f>E7-E10</f>
        <v>-227.544</v>
      </c>
      <c r="F11" s="55">
        <f>F7-F10</f>
        <v>7.160111013200002</v>
      </c>
      <c r="G11" s="55">
        <f>G7-G10</f>
        <v>97.92811101320001</v>
      </c>
      <c r="H11" s="55">
        <f>H7-H10</f>
        <v>218.95211101320004</v>
      </c>
      <c r="I11" s="55">
        <f>I7-I10</f>
        <v>339.9761110132</v>
      </c>
      <c r="J11" s="55">
        <f>J7-J10</f>
        <v>461.00011101320007</v>
      </c>
      <c r="K11" s="55">
        <f>K7-K10</f>
        <v>463.116051136568</v>
      </c>
      <c r="L11" s="55">
        <f>L7-L10</f>
        <v>435.89680770042804</v>
      </c>
      <c r="M11" s="55">
        <f>M7-M10</f>
        <v>435.89680770042804</v>
      </c>
      <c r="N11" s="55">
        <f>N7-N10</f>
        <v>435.89680770042804</v>
      </c>
      <c r="O11" s="55">
        <f>O7-O10</f>
        <v>435.89680770042804</v>
      </c>
      <c r="P11" s="55">
        <f>P7-P10</f>
        <v>435.89680770042804</v>
      </c>
      <c r="Q11" s="55">
        <f>Q7-Q10</f>
        <v>435.89680770042804</v>
      </c>
      <c r="R11" s="55">
        <f>R7-R10</f>
        <v>435.89680770042804</v>
      </c>
      <c r="S11" s="55">
        <f>S7-S10</f>
        <v>196.874407700428</v>
      </c>
      <c r="T11" s="55">
        <f>T7-T10</f>
        <v>77.363207700428</v>
      </c>
      <c r="U11" s="55">
        <f>U7-U10</f>
        <v>17.607607700428</v>
      </c>
      <c r="V11" s="55">
        <f>V7-V10</f>
        <v>-15.531888986799999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-111.47479519219208</v>
      </c>
      <c r="D16" s="55">
        <f>D11*D15</f>
        <v>-203.06990784246452</v>
      </c>
      <c r="E16" s="55">
        <f>E11*E15</f>
        <v>-181.31241771648612</v>
      </c>
      <c r="F16" s="55">
        <f>F11*F15</f>
        <v>5.094058099445019</v>
      </c>
      <c r="G16" s="55">
        <f>G11*G15</f>
        <v>62.20617426662277</v>
      </c>
      <c r="H16" s="55">
        <f>H11*H15</f>
        <v>124.18159381710844</v>
      </c>
      <c r="I16" s="55">
        <f>I11*I15</f>
        <v>172.1624648307558</v>
      </c>
      <c r="J16" s="55">
        <f>J11*J15</f>
        <v>208.43616661653746</v>
      </c>
      <c r="K16" s="55">
        <f>K11*K15</f>
        <v>186.95791592834374</v>
      </c>
      <c r="L16" s="55">
        <f>L11*L15</f>
        <v>157.11573829891904</v>
      </c>
      <c r="M16" s="55">
        <f>M11*M15</f>
        <v>140.2819091954634</v>
      </c>
      <c r="N16" s="55">
        <f>N11*N15</f>
        <v>125.25170463880659</v>
      </c>
      <c r="O16" s="55">
        <f>O11*O15</f>
        <v>111.83187914179159</v>
      </c>
      <c r="P16" s="55">
        <f>P11*P15</f>
        <v>99.84989209088533</v>
      </c>
      <c r="Q16" s="55">
        <f>Q11*Q15</f>
        <v>89.1516893668619</v>
      </c>
      <c r="R16" s="55">
        <f>R11*R15</f>
        <v>79.59972264898384</v>
      </c>
      <c r="S16" s="55">
        <f>S11*S15</f>
        <v>32.09956210800646</v>
      </c>
      <c r="T16" s="55">
        <f>T11*T15</f>
        <v>11.262279190815484</v>
      </c>
      <c r="U16" s="55">
        <f>U11*U15</f>
        <v>2.2886224382707123</v>
      </c>
      <c r="V16" s="55">
        <f>V11*V15</f>
        <v>-1.8025198381322494</v>
      </c>
    </row>
    <row r="17">
      <c r="A17" s="14" t="inlineStr">
        <is>
          <t>Tax-loss carryforward, end of year</t>
        </is>
      </c>
      <c r="C17" s="23">
        <f>Assumptions!$B$21-C8+MAX(0,-C7)</f>
        <v>799.544</v>
      </c>
      <c r="D17" s="23">
        <f>C17-D8+MAX(0,-D7)</f>
        <v>1027.088</v>
      </c>
      <c r="E17" s="23">
        <f>D17-E8+MAX(0,-E7)</f>
        <v>1254.632</v>
      </c>
      <c r="F17" s="23">
        <f>E17-F8+MAX(0,-F7)</f>
        <v>1247.4718889868</v>
      </c>
      <c r="G17" s="23">
        <f>F17-G8+MAX(0,-G7)</f>
        <v>1149.5437779735998</v>
      </c>
      <c r="H17" s="23">
        <f>G17-H8+MAX(0,-H7)</f>
        <v>930.5916669603998</v>
      </c>
      <c r="I17" s="23">
        <f>H17-I8+MAX(0,-I7)</f>
        <v>590.6155559471998</v>
      </c>
      <c r="J17" s="23">
        <f>I17-J8+MAX(0,-J7)</f>
        <v>129.61544493399975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15.531888986799999</v>
      </c>
    </row>
    <row r="19">
      <c r="A19" s="14" t="inlineStr">
        <is>
          <t>PV of risked pipeline contribution</t>
        </is>
      </c>
      <c r="B19" s="23">
        <f>SUMPRODUCT(C5:V5,C15:V15)</f>
        <v>2170.0398967457277</v>
      </c>
    </row>
    <row r="20">
      <c r="A20" s="14" t="inlineStr">
        <is>
          <t>PV of corporate burn</t>
        </is>
      </c>
      <c r="B20" s="23">
        <f>SUMPRODUCT(C6:V6,C15:V15)</f>
        <v>-798.5271480417562</v>
      </c>
    </row>
    <row r="21">
      <c r="A21" s="14" t="inlineStr">
        <is>
          <t>PV of taxes</t>
        </is>
      </c>
      <c r="B21" s="23">
        <f>-SUMPRODUCT(C10:V10,C15:V15)</f>
        <v>-261.40101661562875</v>
      </c>
    </row>
    <row r="22">
      <c r="A22" s="24" t="inlineStr">
        <is>
          <t>Pipeline rNPV (operations)</t>
        </is>
      </c>
      <c r="B22" s="54">
        <f>SUM(C16:V16)</f>
        <v>1110.1117320883427</v>
      </c>
    </row>
    <row r="23">
      <c r="A23" s="14" t="inlineStr">
        <is>
          <t>Cash &amp; investments</t>
        </is>
      </c>
      <c r="B23" s="57">
        <f>Main!C7</f>
        <v>1083.8790000000001</v>
      </c>
    </row>
    <row r="24">
      <c r="A24" s="14" t="inlineStr">
        <is>
          <t>Debt</t>
        </is>
      </c>
      <c r="B24" s="57">
        <f>Main!C8</f>
        <v>36.467</v>
      </c>
    </row>
    <row r="25">
      <c r="A25" s="24" t="inlineStr">
        <is>
          <t>Equity value</t>
        </is>
      </c>
      <c r="B25" s="54">
        <f>B22+B23-B24</f>
        <v>2157.523732088343</v>
      </c>
    </row>
    <row r="26">
      <c r="A26" s="14" t="inlineStr">
        <is>
          <t>Shares (mm)</t>
        </is>
      </c>
      <c r="B26" s="57">
        <f>Main!C4</f>
        <v>134.36695</v>
      </c>
    </row>
    <row r="27">
      <c r="A27" s="24" t="inlineStr">
        <is>
          <t>rNPV / share</t>
        </is>
      </c>
      <c r="B27" s="60">
        <f>B25/B26</f>
        <v>16.05695248785764</v>
      </c>
    </row>
    <row r="28">
      <c r="A28" s="14" t="inlineStr">
        <is>
          <t>Price</t>
        </is>
      </c>
      <c r="B28" s="61">
        <f>Main!C3</f>
        <v>35.09</v>
      </c>
    </row>
    <row r="29">
      <c r="A29" s="14" t="inlineStr">
        <is>
          <t>Upside</t>
        </is>
      </c>
      <c r="B29" s="62">
        <f>B27/B28-1</f>
        <v>-0.542406597667209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2026-10-21T06:21:51Z</dcterms:modified>
  <cp:lastModifiedBy>Wang, Eric</cp:lastModifiedBy>
</cp:coreProperties>
</file>