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Definium Therapeutics Inc</t>
        </is>
      </c>
      <c r="C2" s="10" t="n"/>
    </row>
    <row r="3">
      <c r="B3" t="inlineStr">
        <is>
          <t>Price</t>
        </is>
      </c>
      <c r="C3" s="11">
        <f>INDEX([1]Pharma!$F$1:$F$1000,MATCH("DFTX",[1]Pharma!$B$1:$B$1000,0))</f>
        <v>35.09</v>
      </c>
      <c r="F3" s="1" t="n"/>
    </row>
    <row r="4">
      <c r="B4" t="inlineStr">
        <is>
          <t>Shares</t>
        </is>
      </c>
      <c r="C4" s="21" t="n">
        <v>134.36695</v>
      </c>
      <c r="F4" s="1" t="n"/>
    </row>
    <row r="5">
      <c r="B5" t="inlineStr">
        <is>
          <t>Market Cap.</t>
        </is>
      </c>
      <c r="C5" s="13">
        <f>C3*C4</f>
        <v>4714.9362755</v>
      </c>
      <c r="F5" s="1" t="n"/>
    </row>
    <row r="6"/>
    <row r="7">
      <c r="B7" t="inlineStr">
        <is>
          <t>Cash</t>
        </is>
      </c>
      <c r="C7" s="21">
        <f>655.267+428.612</f>
        <v>1083.8790000000001</v>
      </c>
    </row>
    <row r="8">
      <c r="B8" t="inlineStr">
        <is>
          <t>Debt</t>
        </is>
      </c>
      <c r="C8" s="21" t="n">
        <v>36.467</v>
      </c>
    </row>
    <row r="9">
      <c r="B9" t="inlineStr">
        <is>
          <t>Enterprise V.</t>
        </is>
      </c>
      <c r="C9" s="13">
        <f>C5-C7+C8</f>
        <v>3667.5242755000004</v>
      </c>
    </row>
    <row r="10"/>
    <row r="11">
      <c r="B11" s="14" t="inlineStr">
        <is>
          <t>Net Cash / Share</t>
        </is>
      </c>
      <c r="C11" s="11">
        <f>(C7-C8)/C4</f>
        <v>7.795160938013403</v>
      </c>
    </row>
    <row r="12">
      <c r="B12" s="14" t="inlineStr">
        <is>
          <t>Upside</t>
        </is>
      </c>
      <c r="C12" s="15">
        <f>IFERROR(C11/C3-1,"")</f>
        <v>-0.7778523528636819</v>
      </c>
    </row>
    <row r="13">
      <c r="B13" s="14" t="inlineStr">
        <is>
          <t>Cash / Share</t>
        </is>
      </c>
      <c r="C13" s="11">
        <f>IFERROR((C7-C8)/C4,"")</f>
        <v>7.795160938013403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-167.951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6.2364141922346406</v>
      </c>
    </row>
    <row r="19">
      <c r="B19" s="14" t="inlineStr">
        <is>
          <t>Implied Pipeline Value</t>
        </is>
      </c>
      <c r="C19" s="13">
        <f>C9</f>
        <v>3667.5242755000004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18.631</v>
      </c>
      <c r="C5" s="23" t="n">
        <v>34.789</v>
      </c>
      <c r="D5" s="23" t="n">
        <v>36.169</v>
      </c>
      <c r="E5" s="23" t="n">
        <v>52.124</v>
      </c>
      <c r="F5" s="23" t="n">
        <v>65.297</v>
      </c>
      <c r="G5" s="23" t="n">
        <v>117.665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14.399</v>
      </c>
      <c r="C6" s="23" t="n">
        <v>59.065</v>
      </c>
      <c r="D6" s="23" t="n">
        <v>30.162</v>
      </c>
      <c r="E6" s="23" t="n">
        <v>41.742</v>
      </c>
      <c r="F6" s="23" t="n">
        <v>38.619</v>
      </c>
      <c r="G6" s="23" t="n">
        <v>48.644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33.03</v>
      </c>
      <c r="C7" s="23">
        <f>SUM(C5:C6)</f>
        <v>93.854</v>
      </c>
      <c r="D7" s="23">
        <f>SUM(D5:D6)</f>
        <v>66.33099999999999</v>
      </c>
      <c r="E7" s="23">
        <f>SUM(E5:E6)</f>
        <v>93.866</v>
      </c>
      <c r="F7" s="23">
        <f>SUM(F5:F6)</f>
        <v>103.916</v>
      </c>
      <c r="G7" s="23">
        <f>SUM(G5:G6)</f>
        <v>166.309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-33.03</v>
      </c>
      <c r="C8" s="23">
        <f>C4-C7</f>
        <v>-93.854</v>
      </c>
      <c r="D8" s="23">
        <f>D4-D7</f>
        <v>-66.33099999999999</v>
      </c>
      <c r="E8" s="23">
        <f>E4-E7</f>
        <v>-93.866</v>
      </c>
      <c r="F8" s="23">
        <f>F4-F7</f>
        <v>-103.916</v>
      </c>
      <c r="G8" s="23">
        <f>G4-G7</f>
        <v>-166.309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-0.907</v>
      </c>
      <c r="C9" s="23" t="n">
        <v>-0.339</v>
      </c>
      <c r="D9" s="23" t="n">
        <v>9.535</v>
      </c>
      <c r="E9" s="23" t="n">
        <v>-1.866</v>
      </c>
      <c r="F9" s="23" t="n">
        <v>-4.763</v>
      </c>
      <c r="G9" s="23" t="n">
        <v>-17.484</v>
      </c>
    </row>
    <row r="10">
      <c r="A10" s="2" t="inlineStr">
        <is>
          <t>Pretax</t>
        </is>
      </c>
      <c r="B10" s="23">
        <f>B8+B9</f>
        <v>-33.937</v>
      </c>
      <c r="C10" s="23">
        <f>C8+C9</f>
        <v>-94.193</v>
      </c>
      <c r="D10" s="23">
        <f>D8+D9</f>
        <v>-56.79599999999999</v>
      </c>
      <c r="E10" s="23">
        <f>E8+E9</f>
        <v>-95.732</v>
      </c>
      <c r="F10" s="23">
        <f>F8+F9</f>
        <v>-108.679</v>
      </c>
      <c r="G10" s="23">
        <f>G8+G9</f>
        <v>-183.793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-1.157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-33.937</v>
      </c>
      <c r="C12" s="23" t="n">
        <v>-93.036</v>
      </c>
      <c r="D12" s="23" t="n">
        <v>-56.796</v>
      </c>
      <c r="E12" s="23" t="n">
        <v>-95.732</v>
      </c>
      <c r="F12" s="23" t="n">
        <v>-108.679</v>
      </c>
      <c r="G12" s="23" t="n">
        <v>-183.793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-0.12747679559463754</v>
      </c>
      <c r="C13" s="11">
        <f>IFERROR(C12/C14,0)</f>
        <v>-3.3983270628629874</v>
      </c>
      <c r="D13" s="11">
        <f>IFERROR(D12/D14,0)</f>
        <v>-1.8406196324982986</v>
      </c>
      <c r="E13" s="11">
        <f>IFERROR(E12/E14,0)</f>
        <v>-2.4448246801338205</v>
      </c>
      <c r="F13" s="11">
        <f>IFERROR(F12/F14,0)</f>
        <v>-1.542399341479684</v>
      </c>
      <c r="G13" s="11">
        <f>IFERROR(G12/G14,0)</f>
        <v>-2.057507164606842</v>
      </c>
    </row>
    <row r="14">
      <c r="A14" s="2" t="inlineStr">
        <is>
          <t>Shares</t>
        </is>
      </c>
      <c r="B14" s="23" t="n">
        <v>266.221</v>
      </c>
      <c r="C14" s="23" t="n">
        <v>27.377</v>
      </c>
      <c r="D14" s="23" t="n">
        <v>30.857</v>
      </c>
      <c r="E14" s="23" t="n">
        <v>39.157</v>
      </c>
      <c r="F14" s="23" t="n">
        <v>70.461</v>
      </c>
      <c r="G14" s="23" t="n">
        <v>89.328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2026-10-21T01:04:08Z</dcterms:modified>
  <cp:lastModifiedBy>Wang, Eric</cp:lastModifiedBy>
</cp:coreProperties>
</file>