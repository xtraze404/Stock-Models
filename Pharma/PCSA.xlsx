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Processa Pharmaceuticals Inc</t>
        </is>
      </c>
      <c r="C2" s="10" t="n"/>
    </row>
    <row r="3">
      <c r="B3" t="inlineStr">
        <is>
          <t>Price</t>
        </is>
      </c>
      <c r="C3" s="11">
        <f>INDEX([1]Pharma!$F$1:$F$1000,MATCH("PCSA",[1]Pharma!$B$1:$B$1000,0))</f>
        <v>1.79</v>
      </c>
      <c r="F3" s="1" t="n"/>
    </row>
    <row r="4">
      <c r="B4" t="inlineStr">
        <is>
          <t>Shares</t>
        </is>
      </c>
      <c r="C4" s="21" t="n">
        <v>2.793386</v>
      </c>
      <c r="F4" s="1" t="n"/>
    </row>
    <row r="5">
      <c r="B5" t="inlineStr">
        <is>
          <t>Market Cap.</t>
        </is>
      </c>
      <c r="C5" s="13">
        <f>C3*C4</f>
        <v>5.00016094</v>
      </c>
      <c r="F5" s="1" t="n"/>
    </row>
    <row r="6"/>
    <row r="7">
      <c r="B7" t="inlineStr">
        <is>
          <t>Cash</t>
        </is>
      </c>
      <c r="C7" s="21" t="n">
        <v>0.196325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4.80383594</v>
      </c>
    </row>
    <row r="10"/>
    <row r="11">
      <c r="B11" s="14" t="inlineStr">
        <is>
          <t>Net Cash / Share</t>
        </is>
      </c>
      <c r="C11" s="11">
        <f>(C7-C8)/C4</f>
        <v>0.07028208776015918</v>
      </c>
    </row>
    <row r="12">
      <c r="B12" s="14" t="inlineStr">
        <is>
          <t>Upside</t>
        </is>
      </c>
      <c r="C12" s="15">
        <f>IFERROR(C11/C3-1,"")</f>
        <v>-0.9607362638211401</v>
      </c>
    </row>
    <row r="13">
      <c r="B13" s="14" t="inlineStr">
        <is>
          <t>Cash / Share</t>
        </is>
      </c>
      <c r="C13" s="11">
        <f>IFERROR((C7-C8)/C4,"")</f>
        <v>0.07028208776015918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-11.972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0.016398680253925827</v>
      </c>
    </row>
    <row r="19">
      <c r="B19" s="14" t="inlineStr">
        <is>
          <t>Implied Pipeline Value</t>
        </is>
      </c>
      <c r="C19" s="13">
        <f>C9</f>
        <v>4.80383594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0.192</v>
      </c>
      <c r="C2" s="23" t="n">
        <v>0.312</v>
      </c>
      <c r="D2" s="23" t="n">
        <v>0.107</v>
      </c>
      <c r="E2" s="23" t="n">
        <v>0.113</v>
      </c>
      <c r="F2" s="23" t="n">
        <v>0.005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0.133</v>
      </c>
      <c r="C3" s="23" t="n">
        <v>0.188</v>
      </c>
      <c r="D3" s="23" t="n">
        <v>0.067</v>
      </c>
      <c r="E3" s="23" t="n">
        <v>0.126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0.059</v>
      </c>
      <c r="C4" s="23">
        <f>C2-C3</f>
        <v>0.124</v>
      </c>
      <c r="D4" s="23">
        <f>D2-D3</f>
        <v>0.039999999999999994</v>
      </c>
      <c r="E4" s="23">
        <f>E2-E3</f>
        <v>-0.012999999999999998</v>
      </c>
      <c r="F4" s="23">
        <f>F2-F3</f>
        <v>0.005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0.448</v>
      </c>
      <c r="C5" s="23" t="n">
        <v>0.267</v>
      </c>
      <c r="D5" s="23" t="n">
        <v>0.178</v>
      </c>
      <c r="E5" s="23" t="n">
        <v>0.029</v>
      </c>
      <c r="F5" s="23" t="n">
        <v>1.537</v>
      </c>
      <c r="G5" s="23" t="n">
        <v>0.964</v>
      </c>
      <c r="H5" s="23" t="n">
        <v>3.085</v>
      </c>
      <c r="I5" s="23" t="n">
        <v>2.321</v>
      </c>
      <c r="J5" s="23" t="n">
        <v>3.172</v>
      </c>
      <c r="K5" s="23" t="n">
        <v>6.878</v>
      </c>
      <c r="L5" s="23" t="n">
        <v>11.494</v>
      </c>
      <c r="M5" s="23" t="n">
        <v>5.8</v>
      </c>
      <c r="N5" s="23" t="n">
        <v>7.269</v>
      </c>
      <c r="O5" s="23" t="n">
        <v>7.81</v>
      </c>
    </row>
    <row r="6">
      <c r="A6" s="19" t="inlineStr">
        <is>
          <t>SG&amp;A &amp; Other</t>
        </is>
      </c>
      <c r="B6" s="23" t="n">
        <v>1.75</v>
      </c>
      <c r="C6" s="23" t="n">
        <v>2.631</v>
      </c>
      <c r="D6" s="23" t="n">
        <v>3.166</v>
      </c>
      <c r="E6" s="23" t="n">
        <v>2.524</v>
      </c>
      <c r="F6" s="23" t="n">
        <v>0.39</v>
      </c>
      <c r="G6" s="23" t="n">
        <v>0.838</v>
      </c>
      <c r="H6" s="23" t="n">
        <v>1.44</v>
      </c>
      <c r="I6" s="23" t="n">
        <v>1.615</v>
      </c>
      <c r="J6" s="23" t="n">
        <v>11.964</v>
      </c>
      <c r="K6" s="23" t="n">
        <v>5.256</v>
      </c>
      <c r="L6" s="23" t="n">
        <v>16.031</v>
      </c>
      <c r="M6" s="23" t="n">
        <v>5.658</v>
      </c>
      <c r="N6" s="23" t="n">
        <v>4.782</v>
      </c>
      <c r="O6" s="23" t="n">
        <v>6.178</v>
      </c>
    </row>
    <row r="7">
      <c r="A7" s="2" t="inlineStr">
        <is>
          <t>Operating Expense</t>
        </is>
      </c>
      <c r="B7" s="23">
        <f>SUM(B5:B6)</f>
        <v>2.198</v>
      </c>
      <c r="C7" s="23">
        <f>SUM(C5:C6)</f>
        <v>2.8979999999999997</v>
      </c>
      <c r="D7" s="23">
        <f>SUM(D5:D6)</f>
        <v>3.344</v>
      </c>
      <c r="E7" s="23">
        <f>SUM(E5:E6)</f>
        <v>2.553</v>
      </c>
      <c r="F7" s="23">
        <f>SUM(F5:F6)</f>
        <v>1.927</v>
      </c>
      <c r="G7" s="23">
        <f>SUM(G5:G6)</f>
        <v>1.802</v>
      </c>
      <c r="H7" s="23">
        <f>SUM(H5:H6)</f>
        <v>4.525</v>
      </c>
      <c r="I7" s="23">
        <f>SUM(I5:I6)</f>
        <v>3.936</v>
      </c>
      <c r="J7" s="23">
        <f>SUM(J5:J6)</f>
        <v>15.136000000000001</v>
      </c>
      <c r="K7" s="23">
        <f>SUM(K5:K6)</f>
        <v>12.134</v>
      </c>
      <c r="L7" s="23">
        <f>SUM(L5:L6)</f>
        <v>27.525</v>
      </c>
      <c r="M7" s="23">
        <f>SUM(M5:M6)</f>
        <v>11.458</v>
      </c>
      <c r="N7" s="23">
        <f>SUM(N5:N6)</f>
        <v>12.051</v>
      </c>
      <c r="O7" s="23">
        <f>SUM(O5:O6)</f>
        <v>13.988</v>
      </c>
    </row>
    <row r="8">
      <c r="A8" s="2" t="inlineStr">
        <is>
          <t>Operating Income</t>
        </is>
      </c>
      <c r="B8" s="23">
        <f>B4-B7</f>
        <v>-2.139</v>
      </c>
      <c r="C8" s="23">
        <f>C4-C7</f>
        <v>-2.7739999999999996</v>
      </c>
      <c r="D8" s="23">
        <f>D4-D7</f>
        <v>-3.304</v>
      </c>
      <c r="E8" s="23">
        <f>E4-E7</f>
        <v>-2.566</v>
      </c>
      <c r="F8" s="23">
        <f>F4-F7</f>
        <v>-1.9220000000000002</v>
      </c>
      <c r="G8" s="23">
        <f>G4-G7</f>
        <v>-1.802</v>
      </c>
      <c r="H8" s="23">
        <f>H4-H7</f>
        <v>-4.525</v>
      </c>
      <c r="I8" s="23">
        <f>I4-I7</f>
        <v>-3.936</v>
      </c>
      <c r="J8" s="23">
        <f>J4-J7</f>
        <v>-15.136000000000001</v>
      </c>
      <c r="K8" s="23">
        <f>K4-K7</f>
        <v>-12.134</v>
      </c>
      <c r="L8" s="23">
        <f>L4-L7</f>
        <v>-27.525</v>
      </c>
      <c r="M8" s="23">
        <f>M4-M7</f>
        <v>-11.458</v>
      </c>
      <c r="N8" s="23">
        <f>N4-N7</f>
        <v>-12.051</v>
      </c>
      <c r="O8" s="23">
        <f>O4-O7</f>
        <v>-13.988</v>
      </c>
    </row>
    <row r="9">
      <c r="A9" s="19" t="inlineStr">
        <is>
          <t>Interest &amp; Other</t>
        </is>
      </c>
      <c r="B9" s="23" t="n">
        <v>-0.301</v>
      </c>
      <c r="C9" s="23" t="n">
        <v>-0.295</v>
      </c>
      <c r="D9" s="23" t="n">
        <v>-1.223</v>
      </c>
      <c r="E9" s="23" t="n">
        <v>-0.789</v>
      </c>
      <c r="F9" s="23" t="n">
        <v>0.004</v>
      </c>
      <c r="G9" s="23" t="n">
        <v>0.205</v>
      </c>
      <c r="H9" s="23" t="n">
        <v>-0.143</v>
      </c>
      <c r="I9" s="23" t="n">
        <v>-0.025</v>
      </c>
      <c r="J9" s="23" t="n">
        <v>-0.278</v>
      </c>
      <c r="K9" s="23" t="n">
        <v>0.175</v>
      </c>
      <c r="L9" s="23" t="n">
        <v>0.101</v>
      </c>
      <c r="M9" s="23" t="n">
        <v>0.335</v>
      </c>
      <c r="N9" s="23" t="n">
        <v>0.201</v>
      </c>
      <c r="O9" s="23" t="n">
        <v>0.425</v>
      </c>
    </row>
    <row r="10">
      <c r="A10" s="2" t="inlineStr">
        <is>
          <t>Pretax</t>
        </is>
      </c>
      <c r="B10" s="23">
        <f>B8+B9</f>
        <v>-2.44</v>
      </c>
      <c r="C10" s="23">
        <f>C8+C9</f>
        <v>-3.0689999999999995</v>
      </c>
      <c r="D10" s="23">
        <f>D8+D9</f>
        <v>-4.527</v>
      </c>
      <c r="E10" s="23">
        <f>E8+E9</f>
        <v>-3.355</v>
      </c>
      <c r="F10" s="23">
        <f>F8+F9</f>
        <v>-1.9180000000000001</v>
      </c>
      <c r="G10" s="23">
        <f>G8+G9</f>
        <v>-1.597</v>
      </c>
      <c r="H10" s="23">
        <f>H8+H9</f>
        <v>-4.668</v>
      </c>
      <c r="I10" s="23">
        <f>I8+I9</f>
        <v>-3.961</v>
      </c>
      <c r="J10" s="23">
        <f>J8+J9</f>
        <v>-15.414000000000001</v>
      </c>
      <c r="K10" s="23">
        <f>K8+K9</f>
        <v>-11.959</v>
      </c>
      <c r="L10" s="23">
        <f>L8+L9</f>
        <v>-27.424</v>
      </c>
      <c r="M10" s="23">
        <f>M8+M9</f>
        <v>-11.123</v>
      </c>
      <c r="N10" s="23">
        <f>N8+N9</f>
        <v>-11.85</v>
      </c>
      <c r="O10" s="23">
        <f>O8+O9</f>
        <v>-13.562999999999999</v>
      </c>
    </row>
    <row r="11">
      <c r="A11" s="2" t="inlineStr">
        <is>
          <t>Taxes</t>
        </is>
      </c>
      <c r="B11" s="23" t="n">
        <v>-0</v>
      </c>
      <c r="C11" s="23" t="n">
        <v>-0</v>
      </c>
      <c r="D11" s="23" t="n">
        <v>-0</v>
      </c>
      <c r="E11" s="23" t="n">
        <v>-0</v>
      </c>
      <c r="F11" s="23" t="n">
        <v>0</v>
      </c>
      <c r="G11" s="23" t="n">
        <v>0.259</v>
      </c>
      <c r="H11" s="23" t="n">
        <v>-0.903</v>
      </c>
      <c r="I11" s="23" t="n">
        <v>-0.603</v>
      </c>
      <c r="J11" s="23" t="n">
        <v>-1.001</v>
      </c>
      <c r="K11" s="23" t="n">
        <v>-0.531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-2.441</v>
      </c>
      <c r="C12" s="23" t="n">
        <v>-3.069</v>
      </c>
      <c r="D12" s="23" t="n">
        <v>-4.526</v>
      </c>
      <c r="E12" s="23" t="n">
        <v>-3.354</v>
      </c>
      <c r="F12" s="23" t="n">
        <v>-1.917</v>
      </c>
      <c r="G12" s="23" t="n">
        <v>-1.856</v>
      </c>
      <c r="H12" s="23" t="n">
        <v>-3.765</v>
      </c>
      <c r="I12" s="23" t="n">
        <v>-3.358</v>
      </c>
      <c r="J12" s="23" t="n">
        <v>-14.414</v>
      </c>
      <c r="K12" s="23" t="n">
        <v>-11.428</v>
      </c>
      <c r="L12" s="23" t="n">
        <v>-27.424</v>
      </c>
      <c r="M12" s="23" t="n">
        <v>-11.122</v>
      </c>
      <c r="N12" s="23" t="n">
        <v>-11.85</v>
      </c>
      <c r="O12" s="23" t="n">
        <v>-13.564</v>
      </c>
    </row>
    <row r="13">
      <c r="A13" s="2" t="inlineStr">
        <is>
          <t>Earnings per Share</t>
        </is>
      </c>
      <c r="B13" s="11">
        <f>IFERROR(B12/B14,0)</f>
        <v>-152.5625</v>
      </c>
      <c r="C13" s="11">
        <f>IFERROR(C12/C14,0)</f>
        <v>-69.75</v>
      </c>
      <c r="D13" s="11">
        <f>IFERROR(D12/D14,0)</f>
        <v>-58.02564102564102</v>
      </c>
      <c r="E13" s="11">
        <f>IFERROR(E12/E14,0)</f>
        <v>-34.577319587628864</v>
      </c>
      <c r="F13" s="11">
        <f>IFERROR(F12/F14,0)</f>
        <v>-7.4591439688715955</v>
      </c>
      <c r="G13" s="11">
        <f>IFERROR(G12/G14,0)</f>
        <v>-6.48951048951049</v>
      </c>
      <c r="H13" s="11">
        <f>IFERROR(H12/H14,0)</f>
        <v>-13.398576512455515</v>
      </c>
      <c r="I13" s="11">
        <f>IFERROR(I12/I14,0)</f>
        <v>-11.539518900343644</v>
      </c>
      <c r="J13" s="11">
        <f>IFERROR(J12/J14,0)</f>
        <v>-36.49113924050633</v>
      </c>
      <c r="K13" s="11">
        <f>IFERROR(K12/K14,0)</f>
        <v>-14.178660049627792</v>
      </c>
      <c r="L13" s="11">
        <f>IFERROR(L12/L14,0)</f>
        <v>-34.06708074534161</v>
      </c>
      <c r="M13" s="11">
        <f>IFERROR(M12/M14,0)</f>
        <v>-8.477134146341463</v>
      </c>
      <c r="N13" s="11">
        <f>IFERROR(N12/N14,0)</f>
        <v>-97.1311475409836</v>
      </c>
      <c r="O13" s="11">
        <f>IFERROR(O12/O14,0)</f>
        <v>-10.36210847975554</v>
      </c>
    </row>
    <row r="14">
      <c r="A14" s="2" t="inlineStr">
        <is>
          <t>Shares</t>
        </is>
      </c>
      <c r="B14" s="23" t="n">
        <v>0.016</v>
      </c>
      <c r="C14" s="23" t="n">
        <v>0.044</v>
      </c>
      <c r="D14" s="23" t="n">
        <v>0.078</v>
      </c>
      <c r="E14" s="23" t="n">
        <v>0.097</v>
      </c>
      <c r="F14" s="23" t="n">
        <v>0.257</v>
      </c>
      <c r="G14" s="23" t="n">
        <v>0.286</v>
      </c>
      <c r="H14" s="23" t="n">
        <v>0.281</v>
      </c>
      <c r="I14" s="23" t="n">
        <v>0.291</v>
      </c>
      <c r="J14" s="23" t="n">
        <v>0.395</v>
      </c>
      <c r="K14" s="23" t="n">
        <v>0.806</v>
      </c>
      <c r="L14" s="23" t="n">
        <v>0.805</v>
      </c>
      <c r="M14" s="23" t="n">
        <v>1.312</v>
      </c>
      <c r="N14" s="23" t="n">
        <v>0.122</v>
      </c>
      <c r="O14" s="23" t="n">
        <v>1.309</v>
      </c>
    </row>
    <row r="15"/>
    <row r="16" customFormat="1" s="4">
      <c r="A16" s="3" t="inlineStr">
        <is>
          <t>Revenue Change</t>
        </is>
      </c>
      <c r="C16" s="15">
        <f>IFERROR(C2/B2-1,"")</f>
        <v>0.625</v>
      </c>
      <c r="D16" s="15">
        <f>IFERROR(D2/C2-1,"")</f>
        <v>-0.657051282051282</v>
      </c>
      <c r="E16" s="15">
        <f>IFERROR(E2/D2-1,"")</f>
        <v>0.05607476635514019</v>
      </c>
      <c r="F16" s="15">
        <f>IFERROR(F2/E2-1,"")</f>
        <v>-0.9557522123893806</v>
      </c>
      <c r="G16" s="15">
        <f>IFERROR(G2/F2-1,"")</f>
        <v>-1.0</v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>0.30729166666666663</v>
      </c>
      <c r="C17" s="15">
        <f>IFERROR(C4/C2,"")</f>
        <v>0.3974358974358974</v>
      </c>
      <c r="D17" s="15">
        <f>IFERROR(D4/D2,"")</f>
        <v>0.3738317757009345</v>
      </c>
      <c r="E17" s="15">
        <f>IFERROR(E4/E2,"")</f>
        <v>-0.11504424778761059</v>
      </c>
      <c r="F17" s="15">
        <f>IFERROR(F4/F2,"")</f>
        <v>1.0</v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>-11.140624999999998</v>
      </c>
      <c r="C18" s="15">
        <f>IFERROR(C8/C2,"")</f>
        <v>-8.89102564102564</v>
      </c>
      <c r="D18" s="15">
        <f>IFERROR(D8/D2,"")</f>
        <v>-30.878504672897193</v>
      </c>
      <c r="E18" s="15">
        <f>IFERROR(E8/E2,"")</f>
        <v>-22.70796460176991</v>
      </c>
      <c r="F18" s="15">
        <f>IFERROR(F8/F2,"")</f>
        <v>-384.40000000000003</v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2026-10-21T06:31:28Z</dcterms:modified>
  <cp:lastModifiedBy>Wang, Eric</cp:lastModifiedBy>
</cp:coreProperties>
</file>