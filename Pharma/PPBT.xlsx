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Purple Biotech Ltd</t>
        </is>
      </c>
      <c r="C2" s="10" t="n"/>
    </row>
    <row r="3">
      <c r="B3" t="inlineStr">
        <is>
          <t>Price</t>
        </is>
      </c>
      <c r="C3" s="11">
        <f>INDEX([1]Pharma!$F$1:$F$1000,MATCH("PPBT",[1]Pharma!$B$1:$B$1000,0))</f>
        <v>1.085</v>
      </c>
      <c r="F3" s="1" t="n"/>
    </row>
    <row r="4">
      <c r="B4" t="inlineStr">
        <is>
          <t>Shares</t>
        </is>
      </c>
      <c r="C4" s="21">
        <f>1858.911801/2000</f>
        <v>0.9294559004999999</v>
      </c>
      <c r="F4" s="1" t="n"/>
    </row>
    <row r="5">
      <c r="B5" t="inlineStr">
        <is>
          <t>Market Cap.</t>
        </is>
      </c>
      <c r="C5" s="13">
        <f>C3*C4</f>
        <v>1.0084596520425</v>
      </c>
      <c r="F5" s="1" t="n"/>
    </row>
    <row r="6"/>
    <row r="7">
      <c r="B7" t="inlineStr">
        <is>
          <t>Cash</t>
        </is>
      </c>
      <c r="C7" s="21" t="n">
        <v>8.717000000000001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-7.7085403479575</v>
      </c>
    </row>
    <row r="10"/>
    <row r="11">
      <c r="B11" s="14" t="inlineStr">
        <is>
          <t>Net Cash / Share</t>
        </is>
      </c>
      <c r="C11" s="11">
        <f>(C7-C8)/C4</f>
        <v>9.37860526283248</v>
      </c>
    </row>
    <row r="12">
      <c r="B12" s="14" t="inlineStr">
        <is>
          <t>Upside</t>
        </is>
      </c>
      <c r="C12" s="15">
        <f>IFERROR(C11/C3-1,"")</f>
        <v>7.643875818278783</v>
      </c>
    </row>
    <row r="13">
      <c r="B13" s="14" t="inlineStr">
        <is>
          <t>Cash / Share</t>
        </is>
      </c>
      <c r="C13" s="11">
        <f>IFERROR((C7-C8)/C4,"")</f>
        <v>9.37860526283248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-5.656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1.5411951909476664</v>
      </c>
    </row>
    <row r="19">
      <c r="B19" s="14" t="inlineStr">
        <is>
          <t>Implied Pipeline Value</t>
        </is>
      </c>
      <c r="C19" s="13">
        <f>C9</f>
        <v>-7.7085403479575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2015</v>
      </c>
      <c r="C1" s="17" t="n">
        <v>2016</v>
      </c>
      <c r="D1" s="17" t="n">
        <v>2017</v>
      </c>
      <c r="E1" s="17" t="n">
        <v>2018</v>
      </c>
      <c r="F1" s="17" t="n">
        <v>2019</v>
      </c>
      <c r="G1" s="17" t="n">
        <v>2020</v>
      </c>
      <c r="H1" s="17" t="n">
        <v>2021</v>
      </c>
      <c r="I1" s="17" t="n">
        <v>2022</v>
      </c>
      <c r="J1" s="17" t="n">
        <v>2023</v>
      </c>
      <c r="K1" s="17" t="n">
        <v>2024</v>
      </c>
      <c r="L1" s="17" t="n">
        <v>2025</v>
      </c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0.1</v>
      </c>
      <c r="E2" s="23" t="n">
        <v>1</v>
      </c>
      <c r="F2" s="23" t="n">
        <v>1</v>
      </c>
      <c r="G2" s="23" t="n">
        <v>1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0.1</v>
      </c>
      <c r="E4" s="23">
        <f>E2-E3</f>
        <v>1.0</v>
      </c>
      <c r="F4" s="23">
        <f>F2-F3</f>
        <v>1.0</v>
      </c>
      <c r="G4" s="23">
        <f>G2-G3</f>
        <v>1.0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</row>
    <row r="5">
      <c r="A5" s="2" t="inlineStr">
        <is>
          <t>Research &amp; Dev.</t>
        </is>
      </c>
      <c r="B5" s="23" t="n">
        <v>2.56</v>
      </c>
      <c r="C5" s="23" t="n">
        <v>4.18</v>
      </c>
      <c r="D5" s="23" t="n">
        <v>4.64</v>
      </c>
      <c r="E5" s="23" t="n">
        <v>5.268</v>
      </c>
      <c r="F5" s="23" t="n">
        <v>2.278</v>
      </c>
      <c r="G5" s="23" t="n">
        <v>7.238</v>
      </c>
      <c r="H5" s="23" t="n">
        <v>11.827</v>
      </c>
      <c r="I5" s="23" t="n">
        <v>16.32</v>
      </c>
      <c r="J5" s="23" t="n">
        <v>17.034</v>
      </c>
      <c r="K5" s="23" t="n">
        <v>7.62</v>
      </c>
      <c r="L5" s="23" t="n">
        <v>3.731</v>
      </c>
    </row>
    <row r="6">
      <c r="A6" s="19" t="inlineStr">
        <is>
          <t>SG&amp;A &amp; Other</t>
        </is>
      </c>
      <c r="B6" s="23" t="n">
        <v>1.509</v>
      </c>
      <c r="C6" s="23" t="n">
        <v>3.003</v>
      </c>
      <c r="D6" s="23" t="n">
        <v>7.426</v>
      </c>
      <c r="E6" s="23" t="n">
        <v>3.558</v>
      </c>
      <c r="F6" s="23" t="n">
        <v>5.878</v>
      </c>
      <c r="G6" s="23" t="n">
        <v>6.374</v>
      </c>
      <c r="H6" s="23" t="n">
        <v>6.107</v>
      </c>
      <c r="I6" s="23" t="n">
        <v>6.283</v>
      </c>
      <c r="J6" s="23" t="n">
        <v>5.237</v>
      </c>
      <c r="K6" s="23" t="n">
        <v>3.385</v>
      </c>
      <c r="L6" s="23" t="n">
        <v>23.727</v>
      </c>
    </row>
    <row r="7">
      <c r="A7" s="2" t="inlineStr">
        <is>
          <t>Operating Expense</t>
        </is>
      </c>
      <c r="B7" s="23">
        <f>SUM(B5:B6)</f>
        <v>4.069</v>
      </c>
      <c r="C7" s="23">
        <f>SUM(C5:C6)</f>
        <v>7.183</v>
      </c>
      <c r="D7" s="23">
        <f>SUM(D5:D6)</f>
        <v>12.065999999999999</v>
      </c>
      <c r="E7" s="23">
        <f>SUM(E5:E6)</f>
        <v>8.826</v>
      </c>
      <c r="F7" s="23">
        <f>SUM(F5:F6)</f>
        <v>8.156</v>
      </c>
      <c r="G7" s="23">
        <f>SUM(G5:G6)</f>
        <v>13.612</v>
      </c>
      <c r="H7" s="23">
        <f>SUM(H5:H6)</f>
        <v>17.934</v>
      </c>
      <c r="I7" s="23">
        <f>SUM(I5:I6)</f>
        <v>22.603</v>
      </c>
      <c r="J7" s="23">
        <f>SUM(J5:J6)</f>
        <v>22.271</v>
      </c>
      <c r="K7" s="23">
        <f>SUM(K5:K6)</f>
        <v>11.004999999999999</v>
      </c>
      <c r="L7" s="23">
        <f>SUM(L5:L6)</f>
        <v>27.458</v>
      </c>
    </row>
    <row r="8">
      <c r="A8" s="2" t="inlineStr">
        <is>
          <t>Operating Income</t>
        </is>
      </c>
      <c r="B8" s="23">
        <f>B4-B7</f>
        <v>-4.069</v>
      </c>
      <c r="C8" s="23">
        <f>C4-C7</f>
        <v>-7.183</v>
      </c>
      <c r="D8" s="23">
        <f>D4-D7</f>
        <v>-11.966</v>
      </c>
      <c r="E8" s="23">
        <f>E4-E7</f>
        <v>-7.8260000000000005</v>
      </c>
      <c r="F8" s="23">
        <f>F4-F7</f>
        <v>-7.156000000000001</v>
      </c>
      <c r="G8" s="23">
        <f>G4-G7</f>
        <v>-12.612</v>
      </c>
      <c r="H8" s="23">
        <f>H4-H7</f>
        <v>-17.934</v>
      </c>
      <c r="I8" s="23">
        <f>I4-I7</f>
        <v>-22.603</v>
      </c>
      <c r="J8" s="23">
        <f>J4-J7</f>
        <v>-22.271</v>
      </c>
      <c r="K8" s="23">
        <f>K4-K7</f>
        <v>-11.004999999999999</v>
      </c>
      <c r="L8" s="23">
        <f>L4-L7</f>
        <v>-27.458</v>
      </c>
    </row>
    <row r="9">
      <c r="A9" s="19" t="inlineStr">
        <is>
          <t>Interest &amp; Other</t>
        </is>
      </c>
      <c r="B9" s="23" t="n">
        <v>8.271000000000001</v>
      </c>
      <c r="C9" s="23" t="n">
        <v>19.308</v>
      </c>
      <c r="D9" s="23" t="n">
        <v>24.143</v>
      </c>
      <c r="E9" s="23" t="n">
        <v>13.026</v>
      </c>
      <c r="F9" s="23" t="n">
        <v>12.78</v>
      </c>
      <c r="G9" s="23" t="n">
        <v>41.313</v>
      </c>
      <c r="H9" s="23" t="n">
        <v>35.76</v>
      </c>
      <c r="I9" s="23" t="n">
        <v>0.9350000000000001</v>
      </c>
      <c r="J9" s="23" t="n">
        <v>2.391</v>
      </c>
      <c r="K9" s="23" t="n">
        <v>3.765</v>
      </c>
      <c r="L9" s="23" t="n">
        <v>1.072</v>
      </c>
    </row>
    <row r="10">
      <c r="A10" s="2" t="inlineStr">
        <is>
          <t>Pretax</t>
        </is>
      </c>
      <c r="B10" s="23">
        <f>B8+B9</f>
        <v>4.202000000000001</v>
      </c>
      <c r="C10" s="23">
        <f>C8+C9</f>
        <v>12.125</v>
      </c>
      <c r="D10" s="23">
        <f>D8+D9</f>
        <v>12.177000000000001</v>
      </c>
      <c r="E10" s="23">
        <f>E8+E9</f>
        <v>5.199999999999999</v>
      </c>
      <c r="F10" s="23">
        <f>F8+F9</f>
        <v>5.623999999999999</v>
      </c>
      <c r="G10" s="23">
        <f>G8+G9</f>
        <v>28.701</v>
      </c>
      <c r="H10" s="23">
        <f>H8+H9</f>
        <v>17.825999999999997</v>
      </c>
      <c r="I10" s="23">
        <f>I8+I9</f>
        <v>-21.668000000000003</v>
      </c>
      <c r="J10" s="23">
        <f>J8+J9</f>
        <v>-19.880000000000003</v>
      </c>
      <c r="K10" s="23">
        <f>K8+K9</f>
        <v>-7.239999999999998</v>
      </c>
      <c r="L10" s="23">
        <f>L8+L9</f>
        <v>-26.386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0.216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</row>
    <row r="12">
      <c r="A12" s="2" t="inlineStr">
        <is>
          <t>Net Income</t>
        </is>
      </c>
      <c r="B12" s="23" t="n">
        <v>4.202</v>
      </c>
      <c r="C12" s="23" t="n">
        <v>12.125</v>
      </c>
      <c r="D12" s="23" t="n">
        <v>12.177</v>
      </c>
      <c r="E12" s="23" t="n">
        <v>5.2</v>
      </c>
      <c r="F12" s="23" t="n">
        <v>5.408</v>
      </c>
      <c r="G12" s="23" t="n">
        <v>28.701</v>
      </c>
      <c r="H12" s="23" t="n">
        <v>17.826</v>
      </c>
      <c r="I12" s="23" t="n">
        <v>-21.668</v>
      </c>
      <c r="J12" s="23" t="n">
        <v>-19.88</v>
      </c>
      <c r="K12" s="23" t="n">
        <v>-7.24</v>
      </c>
      <c r="L12" s="23" t="n">
        <v>-26.386</v>
      </c>
    </row>
    <row r="13">
      <c r="A13" s="2" t="inlineStr">
        <is>
          <t>Earnings per Share</t>
        </is>
      </c>
      <c r="B13" s="11">
        <f>IFERROR(B12/B14,0)</f>
        <v>0.21828571428571428</v>
      </c>
      <c r="C13" s="11">
        <f>IFERROR(C12/C14,0)</f>
        <v>2.1064975677553854</v>
      </c>
      <c r="D13" s="11">
        <f>IFERROR(D12/D14,0)</f>
        <v>1.2876176377286666</v>
      </c>
      <c r="E13" s="11">
        <f>IFERROR(E12/E14,0)</f>
        <v>0.36606828581485396</v>
      </c>
      <c r="F13" s="11">
        <f>IFERROR(F12/F14,0)</f>
        <v>0.27923787886611245</v>
      </c>
      <c r="G13" s="11">
        <f>IFERROR(G12/G14,0)</f>
        <v>2.4957391304347825</v>
      </c>
      <c r="H13" s="11">
        <f>IFERROR(H12/H14,0)</f>
        <v>1.0146857923497268</v>
      </c>
      <c r="I13" s="11">
        <f>IFERROR(I12/I14,0)</f>
        <v>-23.969026548672566</v>
      </c>
      <c r="J13" s="11">
        <f>IFERROR(J12/J14,0)</f>
        <v>-17.95844625112918</v>
      </c>
      <c r="K13" s="11">
        <f>IFERROR(K12/K14,0)</f>
        <v>-4.414634146341464</v>
      </c>
      <c r="L13" s="11">
        <f>IFERROR(L12/L14,0)</f>
        <v>-54.97083333333333</v>
      </c>
    </row>
    <row r="14">
      <c r="A14" s="2" t="inlineStr">
        <is>
          <t>Shares</t>
        </is>
      </c>
      <c r="B14" s="23" t="n">
        <v>19.25</v>
      </c>
      <c r="C14" s="23" t="n">
        <v>5.756</v>
      </c>
      <c r="D14" s="23" t="n">
        <v>9.457000000000001</v>
      </c>
      <c r="E14" s="23" t="n">
        <v>14.205</v>
      </c>
      <c r="F14" s="23" t="n">
        <v>19.367</v>
      </c>
      <c r="G14" s="23" t="n">
        <v>11.5</v>
      </c>
      <c r="H14" s="23" t="n">
        <v>17.568</v>
      </c>
      <c r="I14" s="23" t="n">
        <v>0.904</v>
      </c>
      <c r="J14" s="23" t="n">
        <v>1.107</v>
      </c>
      <c r="K14" s="23" t="n">
        <v>1.64</v>
      </c>
      <c r="L14" s="23" t="n">
        <v>0.48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>9.0</v>
      </c>
      <c r="F16" s="15">
        <f>IFERROR(F2/E2-1,"")</f>
        <v>0.0</v>
      </c>
      <c r="G16" s="15">
        <f>IFERROR(G2/F2-1,"")</f>
        <v>0.0</v>
      </c>
      <c r="H16" s="15">
        <f>IFERROR(H2/G2-1,"")</f>
        <v>-1.0</v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>-119.65999999999998</v>
      </c>
      <c r="E18" s="15">
        <f>IFERROR(E8/E2,"")</f>
        <v>-7.8260000000000005</v>
      </c>
      <c r="F18" s="15">
        <f>IFERROR(F8/F2,"")</f>
        <v>-7.156000000000001</v>
      </c>
      <c r="G18" s="15">
        <f>IFERROR(G8/G2,"")</f>
        <v>-12.612</v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2026-10-21T06:31:44Z</dcterms:modified>
  <cp:lastModifiedBy>Wang, Eric</cp:lastModifiedBy>
</cp:coreProperties>
</file>