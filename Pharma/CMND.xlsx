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Clearmind Medicine Inc</t>
        </is>
      </c>
      <c r="C2" s="10" t="n"/>
    </row>
    <row r="3">
      <c r="B3" t="inlineStr">
        <is>
          <t>Price</t>
        </is>
      </c>
      <c r="C3" s="11">
        <f>INDEX([1]Pharma!$F$1:$F$1000,MATCH("CMND",[1]Pharma!$B$1:$B$1000,0))</f>
        <v>6.12</v>
      </c>
      <c r="F3" s="1" t="n"/>
    </row>
    <row r="4">
      <c r="B4" t="inlineStr">
        <is>
          <t>Shares</t>
        </is>
      </c>
      <c r="C4" s="21" t="n">
        <v>0.158076</v>
      </c>
      <c r="F4" s="1" t="n"/>
    </row>
    <row r="5">
      <c r="B5" t="inlineStr">
        <is>
          <t>Market Cap.</t>
        </is>
      </c>
      <c r="C5" s="13">
        <f>C3*C4</f>
        <v>0.96742512</v>
      </c>
      <c r="F5" s="1" t="n"/>
    </row>
    <row r="6"/>
    <row r="7">
      <c r="B7" t="inlineStr">
        <is>
          <t>Cash</t>
        </is>
      </c>
      <c r="C7" s="21">
        <f>9.257766+1.089438</f>
        <v>10.347204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-9.37977888</v>
      </c>
    </row>
    <row r="10"/>
    <row r="11">
      <c r="B11" s="14" t="inlineStr">
        <is>
          <t>rNPV / Share</t>
        </is>
      </c>
      <c r="C11" s="11">
        <f>NPV!B27</f>
        <v>420.85688743512225</v>
      </c>
    </row>
    <row r="12">
      <c r="B12" s="14" t="inlineStr">
        <is>
          <t>Upside</t>
        </is>
      </c>
      <c r="C12" s="15">
        <f>IFERROR(C11/C3-1,"")</f>
        <v>67.76746526717683</v>
      </c>
    </row>
    <row r="13">
      <c r="B13" s="14" t="inlineStr">
        <is>
          <t>Cash / Share</t>
        </is>
      </c>
      <c r="C13" s="11">
        <f>IFERROR((C7-C8)/C4,"")</f>
        <v>65.45714719502011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-5.554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1.8630183651422396</v>
      </c>
    </row>
    <row r="19">
      <c r="B19" s="14" t="inlineStr">
        <is>
          <t>Implied Pipeline Value</t>
        </is>
      </c>
      <c r="C19" s="13">
        <f>C9</f>
        <v>-9.37977888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0.474</v>
      </c>
      <c r="D5" s="23" t="n">
        <v>3.081</v>
      </c>
      <c r="E5" s="23" t="n">
        <v>1.544</v>
      </c>
      <c r="F5" s="23" t="n">
        <v>1.383</v>
      </c>
      <c r="G5" s="23" t="n">
        <v>2.057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0.165</v>
      </c>
      <c r="C6" s="23" t="n">
        <v>2.122</v>
      </c>
      <c r="D6" s="23" t="n">
        <v>2.944</v>
      </c>
      <c r="E6" s="23" t="n">
        <v>4.759</v>
      </c>
      <c r="F6" s="23" t="n">
        <v>4.362</v>
      </c>
      <c r="G6" s="23" t="n">
        <v>3.611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0.165</v>
      </c>
      <c r="C7" s="23">
        <f>SUM(C5:C6)</f>
        <v>2.596</v>
      </c>
      <c r="D7" s="23">
        <f>SUM(D5:D6)</f>
        <v>6.025</v>
      </c>
      <c r="E7" s="23">
        <f>SUM(E5:E6)</f>
        <v>6.303000000000001</v>
      </c>
      <c r="F7" s="23">
        <f>SUM(F5:F6)</f>
        <v>5.745</v>
      </c>
      <c r="G7" s="23">
        <f>SUM(G5:G6)</f>
        <v>5.668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-0.165</v>
      </c>
      <c r="C8" s="23">
        <f>C4-C7</f>
        <v>-2.596</v>
      </c>
      <c r="D8" s="23">
        <f>D4-D7</f>
        <v>-6.025</v>
      </c>
      <c r="E8" s="23">
        <f>E4-E7</f>
        <v>-6.303000000000001</v>
      </c>
      <c r="F8" s="23">
        <f>F4-F7</f>
        <v>-5.745</v>
      </c>
      <c r="G8" s="23">
        <f>G4-G7</f>
        <v>-5.668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-0.127</v>
      </c>
      <c r="C9" s="23" t="n">
        <v>-0.129</v>
      </c>
      <c r="D9" s="23" t="n">
        <v>-0.84</v>
      </c>
      <c r="E9" s="23" t="n">
        <v>-2.3</v>
      </c>
      <c r="F9" s="23" t="n">
        <v>0.868</v>
      </c>
      <c r="G9" s="23" t="n">
        <v>1.881</v>
      </c>
    </row>
    <row r="10">
      <c r="A10" s="2" t="inlineStr">
        <is>
          <t>Pretax</t>
        </is>
      </c>
      <c r="B10" s="23">
        <f>B8+B9</f>
        <v>-0.29200000000000004</v>
      </c>
      <c r="C10" s="23">
        <f>C8+C9</f>
        <v>-2.725</v>
      </c>
      <c r="D10" s="23">
        <f>D8+D9</f>
        <v>-6.865</v>
      </c>
      <c r="E10" s="23">
        <f>E8+E9</f>
        <v>-8.603000000000002</v>
      </c>
      <c r="F10" s="23">
        <f>F8+F9</f>
        <v>-4.877</v>
      </c>
      <c r="G10" s="23">
        <f>G8+G9</f>
        <v>-3.787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0.03</v>
      </c>
      <c r="E11" s="23" t="n">
        <v>0.017</v>
      </c>
      <c r="F11" s="23" t="n">
        <v>0.378</v>
      </c>
      <c r="G11" s="23" t="n">
        <v>0.07000000000000001</v>
      </c>
    </row>
    <row r="12">
      <c r="A12" s="2" t="inlineStr">
        <is>
          <t>Net Income</t>
        </is>
      </c>
      <c r="B12" s="23" t="n">
        <v>-0.292</v>
      </c>
      <c r="C12" s="23" t="n">
        <v>-2.725</v>
      </c>
      <c r="D12" s="23" t="n">
        <v>-6.895</v>
      </c>
      <c r="E12" s="23" t="n">
        <v>-8.621</v>
      </c>
      <c r="F12" s="23" t="n">
        <v>-5.255</v>
      </c>
      <c r="G12" s="23" t="n">
        <v>-3.857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-0.5367647058823529</v>
      </c>
      <c r="C13" s="11">
        <f>IFERROR(C12/C14,0)</f>
        <v>-87.90322580645162</v>
      </c>
      <c r="D13" s="11">
        <f>IFERROR(D12/D14,0)</f>
        <v>-160.34883720930233</v>
      </c>
      <c r="E13" s="11">
        <f>IFERROR(E12/E14,0)</f>
        <v>-1724.2</v>
      </c>
      <c r="F13" s="11">
        <f>IFERROR(F12/F14,0)</f>
        <v>-67.37179487179488</v>
      </c>
      <c r="G13" s="11">
        <f>IFERROR(G12/G14,0)</f>
        <v>-30.37007874015748</v>
      </c>
    </row>
    <row r="14">
      <c r="A14" s="2" t="inlineStr">
        <is>
          <t>Shares</t>
        </is>
      </c>
      <c r="B14" s="23" t="n">
        <v>0.544</v>
      </c>
      <c r="C14" s="23" t="n">
        <v>0.031</v>
      </c>
      <c r="D14" s="23" t="n">
        <v>0.043</v>
      </c>
      <c r="E14" s="23" t="n">
        <v>0.005</v>
      </c>
      <c r="F14" s="23" t="n">
        <v>0.078</v>
      </c>
      <c r="G14" s="23" t="n">
        <v>0.127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Clearmind Medicine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0.09989999999999999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2.236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27.6</v>
      </c>
    </row>
    <row r="22">
      <c r="A22" s="14" t="inlineStr">
        <is>
          <t>First year, fraction after the balance sheet date</t>
        </is>
      </c>
      <c r="B22" s="28" t="n">
        <v>0.9151</v>
      </c>
    </row>
    <row r="23">
      <c r="A23" s="14" t="inlineStr">
        <is>
          <t>Balance sheet date</t>
        </is>
      </c>
      <c r="B23" s="41" t="n">
        <v>46053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56.180169338194375</v>
      </c>
      <c r="C29" s="42">
        <f>NPV!B25</f>
        <v>66.52737333819438</v>
      </c>
      <c r="D29" s="43">
        <f>NPV!B27</f>
        <v>420.85688743512225</v>
      </c>
      <c r="E29" s="44">
        <f>NPV!B29</f>
        <v>67.76746526717683</v>
      </c>
    </row>
    <row r="30">
      <c r="A30" s="45" t="n">
        <v>1</v>
      </c>
      <c r="B30" s="46">
        <f t="dataTable" ref="B30:E32" r1="B4"/>
        <v>18.517642260312112</v>
      </c>
      <c r="C30" s="46">
        <v>28.864846260312113</v>
      </c>
      <c r="D30" s="47">
        <v>182.60106695710996</v>
      </c>
      <c r="E30" s="48">
        <v>28.836775646586595</v>
      </c>
    </row>
    <row r="31">
      <c r="A31" s="45" t="n">
        <v>2</v>
      </c>
      <c r="B31" s="46">
        <v>56.180169338194375</v>
      </c>
      <c r="C31" s="46">
        <v>66.52737333819438</v>
      </c>
      <c r="D31" s="47">
        <v>420.85688743512225</v>
      </c>
      <c r="E31" s="48">
        <v>67.76746526717683</v>
      </c>
    </row>
    <row r="32">
      <c r="A32" s="45" t="n">
        <v>3</v>
      </c>
      <c r="B32" s="46">
        <v>118.59724606393826</v>
      </c>
      <c r="C32" s="46">
        <v>128.94445006393826</v>
      </c>
      <c r="D32" s="47">
        <v>815.7117466531179</v>
      </c>
      <c r="E32" s="48">
        <v>132.28623311325455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420.85688743512225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150.01162845227404</v>
      </c>
      <c r="C37" s="47">
        <v>208.79568894182145</v>
      </c>
      <c r="D37" s="47">
        <v>267.05732006098594</v>
      </c>
      <c r="E37" s="47">
        <v>383.0120966637336</v>
      </c>
      <c r="F37" s="47">
        <v>498.52746742118757</v>
      </c>
    </row>
    <row r="38">
      <c r="A38" s="50" t="n">
        <v>0.8</v>
      </c>
      <c r="B38" s="47">
        <v>188.93068743299452</v>
      </c>
      <c r="C38" s="47">
        <v>266.72321576211453</v>
      </c>
      <c r="D38" s="47">
        <v>344.17680667070096</v>
      </c>
      <c r="E38" s="47">
        <v>498.1973010139729</v>
      </c>
      <c r="F38" s="47">
        <v>651.9925450119395</v>
      </c>
    </row>
    <row r="39">
      <c r="A39" s="50" t="n">
        <v>1</v>
      </c>
      <c r="B39" s="47">
        <v>227.64607164260744</v>
      </c>
      <c r="C39" s="47">
        <v>324.4872824056027</v>
      </c>
      <c r="D39" s="47">
        <v>420.85688743512225</v>
      </c>
      <c r="E39" s="47">
        <v>613.3011947821606</v>
      </c>
      <c r="F39" s="47">
        <v>805.1254907227112</v>
      </c>
    </row>
    <row r="40">
      <c r="A40" s="50" t="n">
        <v>1.2</v>
      </c>
      <c r="B40" s="47">
        <v>266.0550071643718</v>
      </c>
      <c r="C40" s="47">
        <v>382.02159744208944</v>
      </c>
      <c r="D40" s="47">
        <v>497.53696819954354</v>
      </c>
      <c r="E40" s="47">
        <v>728.0692813048223</v>
      </c>
      <c r="F40" s="47">
        <v>958.2584364334828</v>
      </c>
    </row>
    <row r="41">
      <c r="A41" s="50" t="n">
        <v>1.4</v>
      </c>
      <c r="B41" s="47">
        <v>304.45301682707344</v>
      </c>
      <c r="C41" s="47">
        <v>439.4491164136017</v>
      </c>
      <c r="D41" s="47">
        <v>574.2170489639647</v>
      </c>
      <c r="E41" s="47">
        <v>842.8373678274842</v>
      </c>
      <c r="F41" s="47">
        <v>1111.3913821442545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Clearmind Medicine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Anxiety / PTSD / addiction</t>
        </is>
      </c>
      <c r="C4" s="14" t="inlineStr">
        <is>
          <t>CMND-100</t>
        </is>
      </c>
      <c r="D4" s="14" t="inlineStr">
        <is>
          <t>Phase 1/2</t>
        </is>
      </c>
      <c r="E4" s="14" t="inlineStr">
        <is>
          <t>Psychiatry / area</t>
        </is>
      </c>
      <c r="F4" s="14" t="inlineStr">
        <is>
          <t>Owned</t>
        </is>
      </c>
      <c r="G4" s="40" t="n">
        <v>800</v>
      </c>
      <c r="H4" s="27" t="n">
        <v>0.0999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76.58509303931169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7.992</v>
      </c>
      <c r="T4" s="23">
        <f>IF(T$3&lt;$I4,0,$G4*Assumptions!$E$11*INDEX(Assumptions!$B$24:$G$24,MIN(6,T$3-$I4+1))*IF(T$3&gt;$J4,(1-Assumptions!$B$26)^(T$3-$J4),1)*IF($H4&gt;=1,1,MIN(0.97,$H4*Assumptions!$E$12)))</f>
        <v>19.98</v>
      </c>
      <c r="U4" s="23">
        <f>IF(U$3&lt;$I4,0,$G4*Assumptions!$E$11*INDEX(Assumptions!$B$24:$G$24,MIN(6,U$3-$I4+1))*IF(U$3&gt;$J4,(1-Assumptions!$B$26)^(U$3-$J4),1)*IF($H4&gt;=1,1,MIN(0.97,$H4*Assumptions!$E$12)))</f>
        <v>35.964</v>
      </c>
      <c r="V4" s="23">
        <f>IF(V$3&lt;$I4,0,$G4*Assumptions!$E$11*INDEX(Assumptions!$B$24:$G$24,MIN(6,V$3-$I4+1))*IF(V$3&gt;$J4,(1-Assumptions!$B$26)^(V$3-$J4),1)*IF($H4&gt;=1,1,MIN(0.97,$H4*Assumptions!$E$12)))</f>
        <v>51.948</v>
      </c>
      <c r="W4" s="23">
        <f>IF(W$3&lt;$I4,0,$G4*Assumptions!$E$11*INDEX(Assumptions!$B$24:$G$24,MIN(6,W$3-$I4+1))*IF(W$3&gt;$J4,(1-Assumptions!$B$26)^(W$3-$J4),1)*IF($H4&gt;=1,1,MIN(0.97,$H4*Assumptions!$E$12)))</f>
        <v>67.932</v>
      </c>
      <c r="X4" s="23">
        <f>IF(X$3&lt;$I4,0,$G4*Assumptions!$E$11*INDEX(Assumptions!$B$24:$G$24,MIN(6,X$3-$I4+1))*IF(X$3&gt;$J4,(1-Assumptions!$B$26)^(X$3-$J4),1)*IF($H4&gt;=1,1,MIN(0.97,$H4*Assumptions!$E$12)))</f>
        <v>79.92</v>
      </c>
      <c r="Y4" s="23">
        <f>IF(Y$3&lt;$I4,0,$G4*Assumptions!$E$11*INDEX(Assumptions!$B$24:$G$24,MIN(6,Y$3-$I4+1))*IF(Y$3&gt;$J4,(1-Assumptions!$B$26)^(Y$3-$J4),1)*IF($H4&gt;=1,1,MIN(0.97,$H4*Assumptions!$E$12)))</f>
        <v>79.92</v>
      </c>
      <c r="Z4" s="23">
        <f>IF(Z$3&lt;$I4,0,$G4*Assumptions!$E$11*INDEX(Assumptions!$B$24:$G$24,MIN(6,Z$3-$I4+1))*IF(Z$3&gt;$J4,(1-Assumptions!$B$26)^(Z$3-$J4),1)*IF($H4&gt;=1,1,MIN(0.97,$H4*Assumptions!$E$12)))</f>
        <v>79.92</v>
      </c>
      <c r="AA4" s="23">
        <f>IF(AA$3&lt;$I4,0,$G4*Assumptions!$E$11*INDEX(Assumptions!$B$24:$G$24,MIN(6,AA$3-$I4+1))*IF(AA$3&gt;$J4,(1-Assumptions!$B$26)^(AA$3-$J4),1)*IF($H4&gt;=1,1,MIN(0.97,$H4*Assumptions!$E$12)))</f>
        <v>79.92</v>
      </c>
      <c r="AB4" s="23">
        <f>IF(AB$3&lt;$I4,0,$G4*Assumptions!$E$11*INDEX(Assumptions!$B$24:$G$24,MIN(6,AB$3-$I4+1))*IF(AB$3&gt;$J4,(1-Assumptions!$B$26)^(AB$3-$J4),1)*IF($H4&gt;=1,1,MIN(0.97,$H4*Assumptions!$E$12)))</f>
        <v>79.92</v>
      </c>
      <c r="AC4" s="23">
        <f>IF(AC$3&lt;$I4,0,$G4*Assumptions!$E$11*INDEX(Assumptions!$B$24:$G$24,MIN(6,AC$3-$I4+1))*IF(AC$3&gt;$J4,(1-Assumptions!$B$26)^(AC$3-$J4),1)*IF($H4&gt;=1,1,MIN(0.97,$H4*Assumptions!$E$12)))</f>
        <v>79.92</v>
      </c>
      <c r="AD4" s="23">
        <f>IF(AD$3&lt;$I4,0,$G4*Assumptions!$E$11*INDEX(Assumptions!$B$24:$G$24,MIN(6,AD$3-$I4+1))*IF(AD$3&gt;$J4,(1-Assumptions!$B$26)^(AD$3-$J4),1)*IF($H4&gt;=1,1,MIN(0.97,$H4*Assumptions!$E$12)))</f>
        <v>79.92</v>
      </c>
      <c r="AE4" s="23">
        <f>IF(AE$3&lt;$I4,0,$G4*Assumptions!$E$11*INDEX(Assumptions!$B$24:$G$24,MIN(6,AE$3-$I4+1))*IF(AE$3&gt;$J4,(1-Assumptions!$B$26)^(AE$3-$J4),1)*IF($H4&gt;=1,1,MIN(0.97,$H4*Assumptions!$E$12)))</f>
        <v>79.92</v>
      </c>
      <c r="AF4" s="23">
        <f>IF(AF$3&lt;$I4,0,$G4*Assumptions!$E$11*INDEX(Assumptions!$B$24:$G$24,MIN(6,AF$3-$I4+1))*IF(AF$3&gt;$J4,(1-Assumptions!$B$26)^(AF$3-$J4),1)*IF($H4&gt;=1,1,MIN(0.97,$H4*Assumptions!$E$12)))</f>
        <v>39.96</v>
      </c>
      <c r="AG4" s="35">
        <f>IF(F4="Owned",1-IF(H4&gt;=1,1,MIN(0.97,H4*Assumptions!$E$12)),1)</f>
        <v>0.9001</v>
      </c>
    </row>
    <row r="5">
      <c r="B5" s="24" t="inlineStr">
        <is>
          <t>Risked revenue</t>
        </is>
      </c>
      <c r="L5" s="54">
        <f>SUM(L4:L4)</f>
        <v>76.58509303931169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7.992</v>
      </c>
      <c r="T5" s="54">
        <f>SUM(T4:T4)</f>
        <v>19.98</v>
      </c>
      <c r="U5" s="54">
        <f>SUM(U4:U4)</f>
        <v>35.964</v>
      </c>
      <c r="V5" s="54">
        <f>SUM(V4:V4)</f>
        <v>51.948</v>
      </c>
      <c r="W5" s="54">
        <f>SUM(W4:W4)</f>
        <v>67.932</v>
      </c>
      <c r="X5" s="54">
        <f>SUM(X4:X4)</f>
        <v>79.92</v>
      </c>
      <c r="Y5" s="54">
        <f>SUM(Y4:Y4)</f>
        <v>79.92</v>
      </c>
      <c r="Z5" s="54">
        <f>SUM(Z4:Z4)</f>
        <v>79.92</v>
      </c>
      <c r="AA5" s="54">
        <f>SUM(AA4:AA4)</f>
        <v>79.92</v>
      </c>
      <c r="AB5" s="54">
        <f>SUM(AB4:AB4)</f>
        <v>79.92</v>
      </c>
      <c r="AC5" s="54">
        <f>SUM(AC4:AC4)</f>
        <v>79.92</v>
      </c>
      <c r="AD5" s="54">
        <f>SUM(AD4:AD4)</f>
        <v>79.92</v>
      </c>
      <c r="AE5" s="54">
        <f>SUM(AE4:AE4)</f>
        <v>79.92</v>
      </c>
      <c r="AF5" s="54">
        <f>SUM(AF4:AF4)</f>
        <v>39.96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3.1968</v>
      </c>
      <c r="T6" s="55">
        <f>SUMPRODUCT(T4:T4,$K$4:$K$4)</f>
        <v>7.992000000000001</v>
      </c>
      <c r="U6" s="55">
        <f>SUMPRODUCT(U4:U4,$K$4:$K$4)</f>
        <v>14.3856</v>
      </c>
      <c r="V6" s="55">
        <f>SUMPRODUCT(V4:V4,$K$4:$K$4)</f>
        <v>20.779200000000003</v>
      </c>
      <c r="W6" s="55">
        <f>SUMPRODUCT(W4:W4,$K$4:$K$4)</f>
        <v>27.172800000000002</v>
      </c>
      <c r="X6" s="55">
        <f>SUMPRODUCT(X4:X4,$K$4:$K$4)</f>
        <v>31.968000000000004</v>
      </c>
      <c r="Y6" s="55">
        <f>SUMPRODUCT(Y4:Y4,$K$4:$K$4)</f>
        <v>31.968000000000004</v>
      </c>
      <c r="Z6" s="55">
        <f>SUMPRODUCT(Z4:Z4,$K$4:$K$4)</f>
        <v>31.968000000000004</v>
      </c>
      <c r="AA6" s="55">
        <f>SUMPRODUCT(AA4:AA4,$K$4:$K$4)</f>
        <v>31.968000000000004</v>
      </c>
      <c r="AB6" s="55">
        <f>SUMPRODUCT(AB4:AB4,$K$4:$K$4)</f>
        <v>31.968000000000004</v>
      </c>
      <c r="AC6" s="55">
        <f>SUMPRODUCT(AC4:AC4,$K$4:$K$4)</f>
        <v>31.968000000000004</v>
      </c>
      <c r="AD6" s="55">
        <f>SUMPRODUCT(AD4:AD4,$K$4:$K$4)</f>
        <v>31.968000000000004</v>
      </c>
      <c r="AE6" s="55">
        <f>SUMPRODUCT(AE4:AE4,$K$4:$K$4)</f>
        <v>31.968000000000004</v>
      </c>
      <c r="AF6" s="55">
        <f>SUMPRODUCT(AF4:AF4,$K$4:$K$4)</f>
        <v>15.984000000000002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Clearmind Medicine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7.992</v>
      </c>
      <c r="J4" s="57">
        <f>Pipeline!T5</f>
        <v>19.98</v>
      </c>
      <c r="K4" s="57">
        <f>Pipeline!U5</f>
        <v>35.964</v>
      </c>
      <c r="L4" s="57">
        <f>Pipeline!V5</f>
        <v>51.948</v>
      </c>
      <c r="M4" s="57">
        <f>Pipeline!W5</f>
        <v>67.932</v>
      </c>
      <c r="N4" s="57">
        <f>Pipeline!X5</f>
        <v>79.92</v>
      </c>
      <c r="O4" s="57">
        <f>Pipeline!Y5</f>
        <v>79.92</v>
      </c>
      <c r="P4" s="57">
        <f>Pipeline!Z5</f>
        <v>79.92</v>
      </c>
      <c r="Q4" s="57">
        <f>Pipeline!AA5</f>
        <v>79.92</v>
      </c>
      <c r="R4" s="57">
        <f>Pipeline!AB5</f>
        <v>79.92</v>
      </c>
      <c r="S4" s="57">
        <f>Pipeline!AC5</f>
        <v>79.92</v>
      </c>
      <c r="T4" s="57">
        <f>Pipeline!AD5</f>
        <v>79.92</v>
      </c>
      <c r="U4" s="57">
        <f>Pipeline!AE5</f>
        <v>79.92</v>
      </c>
      <c r="V4" s="57">
        <f>Pipeline!AF5</f>
        <v>39.96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3.1968</v>
      </c>
      <c r="J5" s="57">
        <f>Pipeline!T6</f>
        <v>7.992000000000001</v>
      </c>
      <c r="K5" s="57">
        <f>Pipeline!U6</f>
        <v>14.3856</v>
      </c>
      <c r="L5" s="57">
        <f>Pipeline!V6</f>
        <v>20.779200000000003</v>
      </c>
      <c r="M5" s="57">
        <f>Pipeline!W6</f>
        <v>27.172800000000002</v>
      </c>
      <c r="N5" s="57">
        <f>Pipeline!X6</f>
        <v>31.968000000000004</v>
      </c>
      <c r="O5" s="57">
        <f>Pipeline!Y6</f>
        <v>31.968000000000004</v>
      </c>
      <c r="P5" s="57">
        <f>Pipeline!Z6</f>
        <v>31.968000000000004</v>
      </c>
      <c r="Q5" s="57">
        <f>Pipeline!AA6</f>
        <v>31.968000000000004</v>
      </c>
      <c r="R5" s="57">
        <f>Pipeline!AB6</f>
        <v>31.968000000000004</v>
      </c>
      <c r="S5" s="57">
        <f>Pipeline!AC6</f>
        <v>31.968000000000004</v>
      </c>
      <c r="T5" s="57">
        <f>Pipeline!AD6</f>
        <v>31.968000000000004</v>
      </c>
      <c r="U5" s="57">
        <f>Pipeline!AE6</f>
        <v>31.968000000000004</v>
      </c>
      <c r="V5" s="57">
        <f>Pipeline!AF6</f>
        <v>15.984000000000002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-2.236</v>
      </c>
      <c r="D6" s="23">
        <f>-IF(D3-2026&lt;Assumptions!$B$19,Assumptions!$B$18,Assumptions!$B$18*Assumptions!$B$20*Assumptions!$B$16)</f>
        <v>-2.236</v>
      </c>
      <c r="E6" s="23">
        <f>-IF(E3-2026&lt;Assumptions!$B$19,Assumptions!$B$18,Assumptions!$B$18*Assumptions!$B$20*Assumptions!$B$16)</f>
        <v>-2.236</v>
      </c>
      <c r="F6" s="23">
        <f>-IF(F3-2026&lt;Assumptions!$B$19,Assumptions!$B$18,Assumptions!$B$18*Assumptions!$B$20*Assumptions!$B$16)</f>
        <v>-2.236</v>
      </c>
      <c r="G6" s="23">
        <f>-IF(G3-2026&lt;Assumptions!$B$19,Assumptions!$B$18,Assumptions!$B$18*Assumptions!$B$20*Assumptions!$B$16)</f>
        <v>-0.06701292</v>
      </c>
      <c r="H6" s="23">
        <f>-IF(H3-2026&lt;Assumptions!$B$19,Assumptions!$B$18,Assumptions!$B$18*Assumptions!$B$20*Assumptions!$B$16)</f>
        <v>-0.06701292</v>
      </c>
      <c r="I6" s="23">
        <f>-IF(I3-2026&lt;Assumptions!$B$19,Assumptions!$B$18,Assumptions!$B$18*Assumptions!$B$20*Assumptions!$B$16)</f>
        <v>-0.06701292</v>
      </c>
      <c r="J6" s="23">
        <f>-IF(J3-2026&lt;Assumptions!$B$19,Assumptions!$B$18,Assumptions!$B$18*Assumptions!$B$20*Assumptions!$B$16)</f>
        <v>-0.06701292</v>
      </c>
      <c r="K6" s="23">
        <f>-IF(K3-2026&lt;Assumptions!$B$19,Assumptions!$B$18,Assumptions!$B$18*Assumptions!$B$20*Assumptions!$B$16)</f>
        <v>-0.06701292</v>
      </c>
      <c r="L6" s="23">
        <f>-IF(L3-2026&lt;Assumptions!$B$19,Assumptions!$B$18,Assumptions!$B$18*Assumptions!$B$20*Assumptions!$B$16)</f>
        <v>-0.06701292</v>
      </c>
      <c r="M6" s="23">
        <f>-IF(M3-2026&lt;Assumptions!$B$19,Assumptions!$B$18,Assumptions!$B$18*Assumptions!$B$20*Assumptions!$B$16)</f>
        <v>-0.06701292</v>
      </c>
      <c r="N6" s="23">
        <f>-IF(N3-2026&lt;Assumptions!$B$19,Assumptions!$B$18,Assumptions!$B$18*Assumptions!$B$20*Assumptions!$B$16)</f>
        <v>-0.06701292</v>
      </c>
      <c r="O6" s="23">
        <f>-IF(O3-2026&lt;Assumptions!$B$19,Assumptions!$B$18,Assumptions!$B$18*Assumptions!$B$20*Assumptions!$B$16)</f>
        <v>-0.06701292</v>
      </c>
      <c r="P6" s="23">
        <f>-IF(P3-2026&lt;Assumptions!$B$19,Assumptions!$B$18,Assumptions!$B$18*Assumptions!$B$20*Assumptions!$B$16)</f>
        <v>-0.06701292</v>
      </c>
      <c r="Q6" s="23">
        <f>-IF(Q3-2026&lt;Assumptions!$B$19,Assumptions!$B$18,Assumptions!$B$18*Assumptions!$B$20*Assumptions!$B$16)</f>
        <v>-0.06701292</v>
      </c>
      <c r="R6" s="23">
        <f>-IF(R3-2026&lt;Assumptions!$B$19,Assumptions!$B$18,Assumptions!$B$18*Assumptions!$B$20*Assumptions!$B$16)</f>
        <v>-0.06701292</v>
      </c>
      <c r="S6" s="23">
        <f>-IF(S3-2026&lt;Assumptions!$B$19,Assumptions!$B$18,Assumptions!$B$18*Assumptions!$B$20*Assumptions!$B$16)</f>
        <v>-0.06701292</v>
      </c>
      <c r="T6" s="23">
        <f>-IF(T3-2026&lt;Assumptions!$B$19,Assumptions!$B$18,Assumptions!$B$18*Assumptions!$B$20*Assumptions!$B$16)</f>
        <v>-0.06701292</v>
      </c>
      <c r="U6" s="23">
        <f>-IF(U3-2026&lt;Assumptions!$B$19,Assumptions!$B$18,Assumptions!$B$18*Assumptions!$B$20*Assumptions!$B$16)</f>
        <v>-0.06701292</v>
      </c>
      <c r="V6" s="23">
        <f>-IF(V3-2026&lt;Assumptions!$B$19,Assumptions!$B$18,Assumptions!$B$18*Assumptions!$B$20*Assumptions!$B$16)</f>
        <v>-0.06701292</v>
      </c>
    </row>
    <row r="7">
      <c r="A7" s="14" t="inlineStr">
        <is>
          <t>Pre-tax cash flow</t>
        </is>
      </c>
      <c r="C7" s="23">
        <f>C5+C6</f>
        <v>-2.236</v>
      </c>
      <c r="D7" s="23">
        <f>D5+D6</f>
        <v>-2.236</v>
      </c>
      <c r="E7" s="23">
        <f>E5+E6</f>
        <v>-2.236</v>
      </c>
      <c r="F7" s="23">
        <f>F5+F6</f>
        <v>-2.236</v>
      </c>
      <c r="G7" s="23">
        <f>G5+G6</f>
        <v>-0.06701292</v>
      </c>
      <c r="H7" s="23">
        <f>H5+H6</f>
        <v>-0.06701292</v>
      </c>
      <c r="I7" s="23">
        <f>I5+I6</f>
        <v>3.1297870800000003</v>
      </c>
      <c r="J7" s="23">
        <f>J5+J6</f>
        <v>7.924987080000001</v>
      </c>
      <c r="K7" s="23">
        <f>K5+K6</f>
        <v>14.31858708</v>
      </c>
      <c r="L7" s="23">
        <f>L5+L6</f>
        <v>20.712187080000003</v>
      </c>
      <c r="M7" s="23">
        <f>M5+M6</f>
        <v>27.105787080000002</v>
      </c>
      <c r="N7" s="23">
        <f>N5+N6</f>
        <v>31.900987080000004</v>
      </c>
      <c r="O7" s="23">
        <f>O5+O6</f>
        <v>31.900987080000004</v>
      </c>
      <c r="P7" s="23">
        <f>P5+P6</f>
        <v>31.900987080000004</v>
      </c>
      <c r="Q7" s="23">
        <f>Q5+Q6</f>
        <v>31.900987080000004</v>
      </c>
      <c r="R7" s="23">
        <f>R5+R6</f>
        <v>31.900987080000004</v>
      </c>
      <c r="S7" s="23">
        <f>S5+S6</f>
        <v>31.900987080000004</v>
      </c>
      <c r="T7" s="23">
        <f>T5+T6</f>
        <v>31.900987080000004</v>
      </c>
      <c r="U7" s="23">
        <f>U5+U6</f>
        <v>31.900987080000004</v>
      </c>
      <c r="V7" s="23">
        <f>V5+V6</f>
        <v>15.916987080000002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3.1297870800000003</v>
      </c>
      <c r="J8" s="23">
        <f>MIN(I17,MAX(0,J7))</f>
        <v>7.924987080000001</v>
      </c>
      <c r="K8" s="23">
        <f>MIN(J17,MAX(0,K7))</f>
        <v>14.31858708</v>
      </c>
      <c r="L8" s="23">
        <f>MIN(K17,MAX(0,L7))</f>
        <v>11.304664600000002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9.40752248</v>
      </c>
      <c r="M9" s="23">
        <f>MAX(0,M7)-M8</f>
        <v>27.105787080000002</v>
      </c>
      <c r="N9" s="23">
        <f>MAX(0,N7)-N8</f>
        <v>31.900987080000004</v>
      </c>
      <c r="O9" s="23">
        <f>MAX(0,O7)-O8</f>
        <v>31.900987080000004</v>
      </c>
      <c r="P9" s="23">
        <f>MAX(0,P7)-P8</f>
        <v>31.900987080000004</v>
      </c>
      <c r="Q9" s="23">
        <f>MAX(0,Q7)-Q8</f>
        <v>31.900987080000004</v>
      </c>
      <c r="R9" s="23">
        <f>MAX(0,R7)-R8</f>
        <v>31.900987080000004</v>
      </c>
      <c r="S9" s="23">
        <f>MAX(0,S7)-S8</f>
        <v>31.900987080000004</v>
      </c>
      <c r="T9" s="23">
        <f>MAX(0,T7)-T8</f>
        <v>31.900987080000004</v>
      </c>
      <c r="U9" s="23">
        <f>MAX(0,U7)-U8</f>
        <v>31.900987080000004</v>
      </c>
      <c r="V9" s="23">
        <f>MAX(0,V7)-V8</f>
        <v>15.916987080000002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1.9755797208</v>
      </c>
      <c r="M10" s="23">
        <f>M9*Assumptions!$E$15</f>
        <v>5.692215286800001</v>
      </c>
      <c r="N10" s="23">
        <f>N9*Assumptions!$E$15</f>
        <v>6.6992072868</v>
      </c>
      <c r="O10" s="23">
        <f>O9*Assumptions!$E$15</f>
        <v>6.6992072868</v>
      </c>
      <c r="P10" s="23">
        <f>P9*Assumptions!$E$15</f>
        <v>6.6992072868</v>
      </c>
      <c r="Q10" s="23">
        <f>Q9*Assumptions!$E$15</f>
        <v>6.6992072868</v>
      </c>
      <c r="R10" s="23">
        <f>R9*Assumptions!$E$15</f>
        <v>6.6992072868</v>
      </c>
      <c r="S10" s="23">
        <f>S9*Assumptions!$E$15</f>
        <v>6.6992072868</v>
      </c>
      <c r="T10" s="23">
        <f>T9*Assumptions!$E$15</f>
        <v>6.6992072868</v>
      </c>
      <c r="U10" s="23">
        <f>U9*Assumptions!$E$15</f>
        <v>6.6992072868</v>
      </c>
      <c r="V10" s="23">
        <f>V9*Assumptions!$E$15</f>
        <v>3.3425672868000005</v>
      </c>
    </row>
    <row r="11">
      <c r="A11" s="24" t="inlineStr">
        <is>
          <t>Free cash flow</t>
        </is>
      </c>
      <c r="C11" s="55">
        <f>C7-C10</f>
        <v>-2.236</v>
      </c>
      <c r="D11" s="55">
        <f>D7-D10</f>
        <v>-2.236</v>
      </c>
      <c r="E11" s="55">
        <f>E7-E10</f>
        <v>-2.236</v>
      </c>
      <c r="F11" s="55">
        <f>F7-F10</f>
        <v>-2.236</v>
      </c>
      <c r="G11" s="55">
        <f>G7-G10</f>
        <v>-0.06701292</v>
      </c>
      <c r="H11" s="55">
        <f>H7-H10</f>
        <v>-0.06701292</v>
      </c>
      <c r="I11" s="55">
        <f>I7-I10</f>
        <v>3.1297870800000003</v>
      </c>
      <c r="J11" s="55">
        <f>J7-J10</f>
        <v>7.924987080000001</v>
      </c>
      <c r="K11" s="55">
        <f>K7-K10</f>
        <v>14.31858708</v>
      </c>
      <c r="L11" s="55">
        <f>L7-L10</f>
        <v>18.736607359200004</v>
      </c>
      <c r="M11" s="55">
        <f>M7-M10</f>
        <v>21.413571793200003</v>
      </c>
      <c r="N11" s="55">
        <f>N7-N10</f>
        <v>25.201779793200004</v>
      </c>
      <c r="O11" s="55">
        <f>O7-O10</f>
        <v>25.201779793200004</v>
      </c>
      <c r="P11" s="55">
        <f>P7-P10</f>
        <v>25.201779793200004</v>
      </c>
      <c r="Q11" s="55">
        <f>Q7-Q10</f>
        <v>25.201779793200004</v>
      </c>
      <c r="R11" s="55">
        <f>R7-R10</f>
        <v>25.201779793200004</v>
      </c>
      <c r="S11" s="55">
        <f>S7-S10</f>
        <v>25.201779793200004</v>
      </c>
      <c r="T11" s="55">
        <f>T7-T10</f>
        <v>25.201779793200004</v>
      </c>
      <c r="U11" s="55">
        <f>U7-U10</f>
        <v>25.201779793200004</v>
      </c>
      <c r="V11" s="55">
        <f>V7-V10</f>
        <v>12.5744197932</v>
      </c>
    </row>
    <row r="12">
      <c r="A12" s="14" t="inlineStr">
        <is>
          <t>Year fraction</t>
        </is>
      </c>
      <c r="C12" s="58">
        <f>Assumptions!$B$22</f>
        <v>0.9151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0.45755</v>
      </c>
      <c r="D13" s="11">
        <f>C13+C12/2+D12/2</f>
        <v>1.4151</v>
      </c>
      <c r="E13" s="11">
        <f>D13+D12/2+E12/2</f>
        <v>2.4151</v>
      </c>
      <c r="F13" s="11">
        <f>E13+E12/2+F12/2</f>
        <v>3.4151</v>
      </c>
      <c r="G13" s="11">
        <f>F13+F12/2+G12/2</f>
        <v>4.4151</v>
      </c>
      <c r="H13" s="11">
        <f>G13+G12/2+H12/2</f>
        <v>5.4151</v>
      </c>
      <c r="I13" s="11">
        <f>H13+H12/2+I12/2</f>
        <v>6.4151</v>
      </c>
      <c r="J13" s="11">
        <f>I13+I12/2+J12/2</f>
        <v>7.4151</v>
      </c>
      <c r="K13" s="11">
        <f>J13+J12/2+K12/2</f>
        <v>8.415099999999999</v>
      </c>
      <c r="L13" s="11">
        <f>K13+K12/2+L12/2</f>
        <v>9.415099999999999</v>
      </c>
      <c r="M13" s="11">
        <f>L13+L12/2+M12/2</f>
        <v>10.415099999999999</v>
      </c>
      <c r="N13" s="11">
        <f>M13+M12/2+N12/2</f>
        <v>11.415099999999999</v>
      </c>
      <c r="O13" s="11">
        <f>N13+N12/2+O12/2</f>
        <v>12.415099999999999</v>
      </c>
      <c r="P13" s="11">
        <f>O13+O12/2+P12/2</f>
        <v>13.415099999999999</v>
      </c>
      <c r="Q13" s="11">
        <f>P13+P12/2+Q12/2</f>
        <v>14.415099999999999</v>
      </c>
      <c r="R13" s="11">
        <f>Q13+Q12/2+R12/2</f>
        <v>15.415099999999999</v>
      </c>
      <c r="S13" s="11">
        <f>R13+R12/2+S12/2</f>
        <v>16.4151</v>
      </c>
      <c r="T13" s="11">
        <f>S13+S12/2+T12/2</f>
        <v>17.4151</v>
      </c>
      <c r="U13" s="11">
        <f>T13+T12/2+U12/2</f>
        <v>18.4151</v>
      </c>
      <c r="V13" s="11">
        <f>U13+U12/2+V12/2</f>
        <v>19.4151</v>
      </c>
    </row>
    <row r="14">
      <c r="A14" s="14" t="inlineStr">
        <is>
          <t>Discount factor</t>
        </is>
      </c>
      <c r="C14" s="59">
        <f>1/(1+Assumptions!$E$10)^C13</f>
        <v>0.9494679157669004</v>
      </c>
      <c r="D14" s="59">
        <f>1/(1+Assumptions!$E$10)^D13</f>
        <v>0.8518273422946948</v>
      </c>
      <c r="E14" s="59">
        <f>1/(1+Assumptions!$E$10)^E13</f>
        <v>0.7605601270488346</v>
      </c>
      <c r="F14" s="59">
        <f>1/(1+Assumptions!$E$10)^F13</f>
        <v>0.679071542007888</v>
      </c>
      <c r="G14" s="59">
        <f>1/(1+Assumptions!$E$10)^G13</f>
        <v>0.6063138767927572</v>
      </c>
      <c r="H14" s="59">
        <f>1/(1+Assumptions!$E$10)^H13</f>
        <v>0.5413516757078188</v>
      </c>
      <c r="I14" s="59">
        <f>1/(1+Assumptions!$E$10)^I13</f>
        <v>0.4833497104534096</v>
      </c>
      <c r="J14" s="59">
        <f>1/(1+Assumptions!$E$10)^J13</f>
        <v>0.4315622414762585</v>
      </c>
      <c r="K14" s="59">
        <f>1/(1+Assumptions!$E$10)^K13</f>
        <v>0.38532342988951657</v>
      </c>
      <c r="L14" s="59">
        <f>1/(1+Assumptions!$E$10)^L13</f>
        <v>0.34403877668706834</v>
      </c>
      <c r="M14" s="59">
        <f>1/(1+Assumptions!$E$10)^M13</f>
        <v>0.30717747918488236</v>
      </c>
      <c r="N14" s="59">
        <f>1/(1+Assumptions!$E$10)^N13</f>
        <v>0.2742656064150735</v>
      </c>
      <c r="O14" s="59">
        <f>1/(1+Assumptions!$E$10)^O13</f>
        <v>0.24488000572774418</v>
      </c>
      <c r="P14" s="59">
        <f>1/(1+Assumptions!$E$10)^P13</f>
        <v>0.21864286225691443</v>
      </c>
      <c r="Q14" s="59">
        <f>1/(1+Assumptions!$E$10)^Q13</f>
        <v>0.19521684130081646</v>
      </c>
      <c r="R14" s="59">
        <f>1/(1+Assumptions!$E$10)^R13</f>
        <v>0.17430075116144325</v>
      </c>
      <c r="S14" s="59">
        <f>1/(1+Assumptions!$E$10)^S13</f>
        <v>0.15562567067986002</v>
      </c>
      <c r="T14" s="59">
        <f>1/(1+Assumptions!$E$10)^T13</f>
        <v>0.13895149167844642</v>
      </c>
      <c r="U14" s="59">
        <f>1/(1+Assumptions!$E$10)^U13</f>
        <v>0.12406383185575574</v>
      </c>
      <c r="V14" s="59">
        <f>1/(1+Assumptions!$E$10)^V13</f>
        <v>0.11077127844263904</v>
      </c>
    </row>
    <row r="15">
      <c r="A15" s="14" t="inlineStr">
        <is>
          <t>PV factor</t>
        </is>
      </c>
      <c r="C15" s="59">
        <f>C12*C14</f>
        <v>0.8688580897182906</v>
      </c>
      <c r="D15" s="59">
        <f>D12*D14</f>
        <v>0.8518273422946948</v>
      </c>
      <c r="E15" s="59">
        <f>E12*E14</f>
        <v>0.7605601270488346</v>
      </c>
      <c r="F15" s="59">
        <f>F12*F14</f>
        <v>0.679071542007888</v>
      </c>
      <c r="G15" s="59">
        <f>G12*G14</f>
        <v>0.6063138767927572</v>
      </c>
      <c r="H15" s="59">
        <f>H12*H14</f>
        <v>0.5413516757078188</v>
      </c>
      <c r="I15" s="59">
        <f>I12*I14</f>
        <v>0.4833497104534096</v>
      </c>
      <c r="J15" s="59">
        <f>J12*J14</f>
        <v>0.4315622414762585</v>
      </c>
      <c r="K15" s="59">
        <f>K12*K14</f>
        <v>0.38532342988951657</v>
      </c>
      <c r="L15" s="59">
        <f>L12*L14</f>
        <v>0.34403877668706834</v>
      </c>
      <c r="M15" s="59">
        <f>M12*M14</f>
        <v>0.30717747918488236</v>
      </c>
      <c r="N15" s="59">
        <f>N12*N14</f>
        <v>0.2742656064150735</v>
      </c>
      <c r="O15" s="59">
        <f>O12*O14</f>
        <v>0.24488000572774418</v>
      </c>
      <c r="P15" s="59">
        <f>P12*P14</f>
        <v>0.21864286225691443</v>
      </c>
      <c r="Q15" s="59">
        <f>Q12*Q14</f>
        <v>0.19521684130081646</v>
      </c>
      <c r="R15" s="59">
        <f>R12*R14</f>
        <v>0.17430075116144325</v>
      </c>
      <c r="S15" s="59">
        <f>S12*S14</f>
        <v>0.15562567067986002</v>
      </c>
      <c r="T15" s="59">
        <f>T12*T14</f>
        <v>0.13895149167844642</v>
      </c>
      <c r="U15" s="59">
        <f>U12*U14</f>
        <v>0.12406383185575574</v>
      </c>
      <c r="V15" s="59">
        <f>V12*V14</f>
        <v>0.11077127844263904</v>
      </c>
    </row>
    <row r="16">
      <c r="A16" s="24" t="inlineStr">
        <is>
          <t>PV of free cash flow</t>
        </is>
      </c>
      <c r="C16" s="55">
        <f>C11*C15</f>
        <v>-1.942766688610098</v>
      </c>
      <c r="D16" s="55">
        <f>D11*D15</f>
        <v>-1.9046859373709377</v>
      </c>
      <c r="E16" s="55">
        <f>E11*E15</f>
        <v>-1.7006124440811943</v>
      </c>
      <c r="F16" s="55">
        <f>F11*F15</f>
        <v>-1.5184039679296377</v>
      </c>
      <c r="G16" s="55">
        <f>G11*G15</f>
        <v>-0.040630863320402895</v>
      </c>
      <c r="H16" s="55">
        <f>H11*H15</f>
        <v>-0.03627755653607401</v>
      </c>
      <c r="I16" s="55">
        <f>I11*I15</f>
        <v>1.5127816788988224</v>
      </c>
      <c r="J16" s="55">
        <f>J11*J15</f>
        <v>3.4201251879151893</v>
      </c>
      <c r="K16" s="55">
        <f>K11*K15</f>
        <v>5.517287084837318</v>
      </c>
      <c r="L16" s="55">
        <f>L11*L15</f>
        <v>6.446119475125092</v>
      </c>
      <c r="M16" s="55">
        <f>M11*M15</f>
        <v>6.577767003779678</v>
      </c>
      <c r="N16" s="55">
        <f>N11*N15</f>
        <v>6.911981417721146</v>
      </c>
      <c r="O16" s="55">
        <f>O11*O15</f>
        <v>6.171411980108164</v>
      </c>
      <c r="P16" s="55">
        <f>P11*P15</f>
        <v>5.510189267953717</v>
      </c>
      <c r="Q16" s="55">
        <f>Q11*Q15</f>
        <v>4.919811846387248</v>
      </c>
      <c r="R16" s="55">
        <f>R11*R15</f>
        <v>4.392689148560042</v>
      </c>
      <c r="S16" s="55">
        <f>S11*S15</f>
        <v>3.9220438826428947</v>
      </c>
      <c r="T16" s="55">
        <f>T11*T15</f>
        <v>3.5018248952168696</v>
      </c>
      <c r="U16" s="55">
        <f>U11*U15</f>
        <v>3.126629370729348</v>
      </c>
      <c r="V16" s="55">
        <f>V11*V15</f>
        <v>1.3928845561671888</v>
      </c>
    </row>
    <row r="17">
      <c r="A17" s="14" t="inlineStr">
        <is>
          <t>Tax-loss carryforward, end of year</t>
        </is>
      </c>
      <c r="C17" s="23">
        <f>Assumptions!$B$21-C8+MAX(0,-C7)</f>
        <v>29.836000000000002</v>
      </c>
      <c r="D17" s="23">
        <f>C17-D8+MAX(0,-D7)</f>
        <v>32.072</v>
      </c>
      <c r="E17" s="23">
        <f>D17-E8+MAX(0,-E7)</f>
        <v>34.308</v>
      </c>
      <c r="F17" s="23">
        <f>E17-F8+MAX(0,-F7)</f>
        <v>36.544</v>
      </c>
      <c r="G17" s="23">
        <f>F17-G8+MAX(0,-G7)</f>
        <v>36.61101292</v>
      </c>
      <c r="H17" s="23">
        <f>G17-H8+MAX(0,-H7)</f>
        <v>36.678025840000004</v>
      </c>
      <c r="I17" s="23">
        <f>H17-I8+MAX(0,-I7)</f>
        <v>33.548238760000004</v>
      </c>
      <c r="J17" s="23">
        <f>I17-J8+MAX(0,-J7)</f>
        <v>25.623251680000003</v>
      </c>
      <c r="K17" s="23">
        <f>J17-K8+MAX(0,-K7)</f>
        <v>11.304664600000002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76.58509303931169</v>
      </c>
    </row>
    <row r="20">
      <c r="A20" s="14" t="inlineStr">
        <is>
          <t>PV of corporate burn</t>
        </is>
      </c>
      <c r="B20" s="23">
        <f>SUMPRODUCT(C6:V6,C15:V15)</f>
        <v>-7.383831205477509</v>
      </c>
    </row>
    <row r="21">
      <c r="A21" s="14" t="inlineStr">
        <is>
          <t>PV of taxes</t>
        </is>
      </c>
      <c r="B21" s="23">
        <f>-SUMPRODUCT(C10:V10,C15:V15)</f>
        <v>-13.021092495639815</v>
      </c>
    </row>
    <row r="22">
      <c r="A22" s="24" t="inlineStr">
        <is>
          <t>Pipeline rNPV (operations)</t>
        </is>
      </c>
      <c r="B22" s="54">
        <f>SUM(C16:V16)</f>
        <v>56.180169338194375</v>
      </c>
    </row>
    <row r="23">
      <c r="A23" s="14" t="inlineStr">
        <is>
          <t>Cash &amp; investments</t>
        </is>
      </c>
      <c r="B23" s="57">
        <f>Main!C7</f>
        <v>10.347204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66.52737333819438</v>
      </c>
    </row>
    <row r="26">
      <c r="A26" s="14" t="inlineStr">
        <is>
          <t>Shares (mm)</t>
        </is>
      </c>
      <c r="B26" s="57">
        <f>Main!C4</f>
        <v>0.158076</v>
      </c>
    </row>
    <row r="27">
      <c r="A27" s="24" t="inlineStr">
        <is>
          <t>rNPV / share</t>
        </is>
      </c>
      <c r="B27" s="60">
        <f>B25/B26</f>
        <v>420.85688743512225</v>
      </c>
    </row>
    <row r="28">
      <c r="A28" s="14" t="inlineStr">
        <is>
          <t>Price</t>
        </is>
      </c>
      <c r="B28" s="61">
        <f>Main!C3</f>
        <v>6.12</v>
      </c>
    </row>
    <row r="29">
      <c r="A29" s="14" t="inlineStr">
        <is>
          <t>Upside</t>
        </is>
      </c>
      <c r="B29" s="62">
        <f>B27/B28-1</f>
        <v>67.76746526717683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2026-10-21T06:31:45Z</dcterms:modified>
  <cp:lastModifiedBy>Wang, Eric</cp:lastModifiedBy>
</cp:coreProperties>
</file>