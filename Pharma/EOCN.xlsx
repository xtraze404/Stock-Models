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Eocene Ltd</t>
        </is>
      </c>
      <c r="C2" s="10" t="n"/>
    </row>
    <row r="3">
      <c r="B3" t="inlineStr">
        <is>
          <t>Price</t>
        </is>
      </c>
      <c r="C3" s="11">
        <f>INDEX([1]Pharma!$F$1:$F$1000,MATCH("EOCN",[1]Pharma!$B$1:$B$1000,0))</f>
        <v>3.07</v>
      </c>
      <c r="F3" s="1" t="n"/>
    </row>
    <row r="4">
      <c r="B4" t="inlineStr">
        <is>
          <t>Shares</t>
        </is>
      </c>
      <c r="C4" s="21" t="n">
        <v>1.001394</v>
      </c>
      <c r="F4" s="1" t="n"/>
    </row>
    <row r="5">
      <c r="B5" t="inlineStr">
        <is>
          <t>Market Cap.</t>
        </is>
      </c>
      <c r="C5" s="13">
        <f>C3*C4</f>
        <v>3.0742795799999993</v>
      </c>
      <c r="F5" s="1" t="n"/>
    </row>
    <row r="6"/>
    <row r="7">
      <c r="B7" t="inlineStr">
        <is>
          <t>Cash</t>
        </is>
      </c>
      <c r="C7" s="21">
        <f>2.885+5.881</f>
        <v>8.766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-5.691720420000001</v>
      </c>
    </row>
    <row r="10"/>
    <row r="11">
      <c r="B11" s="14" t="inlineStr">
        <is>
          <t>Net Cash / Share</t>
        </is>
      </c>
      <c r="C11" s="11">
        <f>(C7-C8)/C4</f>
        <v>8.75379720669387</v>
      </c>
    </row>
    <row r="12">
      <c r="B12" s="14" t="inlineStr">
        <is>
          <t>Upside</t>
        </is>
      </c>
      <c r="C12" s="15">
        <f>IFERROR(C11/C3-1,"")</f>
        <v>1.8513997415940944</v>
      </c>
    </row>
    <row r="13">
      <c r="B13" s="14" t="inlineStr">
        <is>
          <t>Cash / Share</t>
        </is>
      </c>
      <c r="C13" s="11">
        <f>IFERROR((C7-C8)/C4,"")</f>
        <v>8.75379720669387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-8.542999999999999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1.0261032424206955</v>
      </c>
    </row>
    <row r="19">
      <c r="B19" s="14" t="inlineStr">
        <is>
          <t>Implied Pipeline Value</t>
        </is>
      </c>
      <c r="C19" s="13">
        <f>C9</f>
        <v>-5.691720420000001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0.467</v>
      </c>
      <c r="G2" s="23" t="n">
        <v>1.085</v>
      </c>
      <c r="H2" s="23" t="n">
        <v>2.038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0.467</v>
      </c>
      <c r="G4" s="23">
        <f>G2-G3</f>
        <v>1.085</v>
      </c>
      <c r="H4" s="23">
        <f>H2-H3</f>
        <v>2.038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2.443</v>
      </c>
      <c r="C5" s="23" t="n">
        <v>7.207</v>
      </c>
      <c r="D5" s="23" t="n">
        <v>6.664</v>
      </c>
      <c r="E5" s="23" t="n">
        <v>7.629</v>
      </c>
      <c r="F5" s="23" t="n">
        <v>14.271</v>
      </c>
      <c r="G5" s="23" t="n">
        <v>9.65</v>
      </c>
      <c r="H5" s="23" t="n">
        <v>8.313000000000001</v>
      </c>
      <c r="I5" s="23" t="n">
        <v>18.18</v>
      </c>
      <c r="J5" s="23" t="n">
        <v>26.082</v>
      </c>
      <c r="K5" s="23" t="n">
        <v>27.22</v>
      </c>
      <c r="L5" s="23" t="n">
        <v>12.995</v>
      </c>
      <c r="M5" s="23" t="n">
        <v>3.569</v>
      </c>
      <c r="N5" s="23" t="n">
        <v>2.979</v>
      </c>
      <c r="O5" s="23" t="n">
        <v>4.874</v>
      </c>
    </row>
    <row r="6">
      <c r="A6" s="19" t="inlineStr">
        <is>
          <t>SG&amp;A &amp; Other</t>
        </is>
      </c>
      <c r="B6" s="23" t="n">
        <v>0.694</v>
      </c>
      <c r="C6" s="23" t="n">
        <v>7.365</v>
      </c>
      <c r="D6" s="23" t="n">
        <v>2.478</v>
      </c>
      <c r="E6" s="23" t="n">
        <v>3.246</v>
      </c>
      <c r="F6" s="23" t="n">
        <v>2.611</v>
      </c>
      <c r="G6" s="23" t="n">
        <v>3.799</v>
      </c>
      <c r="H6" s="23" t="n">
        <v>4.44</v>
      </c>
      <c r="I6" s="23" t="n">
        <v>4.196</v>
      </c>
      <c r="J6" s="23" t="n">
        <v>4.128</v>
      </c>
      <c r="K6" s="23" t="n">
        <v>5.661</v>
      </c>
      <c r="L6" s="23" t="n">
        <v>4.656</v>
      </c>
      <c r="M6" s="23" t="n">
        <v>3.923</v>
      </c>
      <c r="N6" s="23" t="n">
        <v>3.299</v>
      </c>
      <c r="O6" s="23" t="n">
        <v>3.636</v>
      </c>
    </row>
    <row r="7">
      <c r="A7" s="2" t="inlineStr">
        <is>
          <t>Operating Expense</t>
        </is>
      </c>
      <c r="B7" s="23">
        <f>SUM(B5:B6)</f>
        <v>3.137</v>
      </c>
      <c r="C7" s="23">
        <f>SUM(C5:C6)</f>
        <v>14.572</v>
      </c>
      <c r="D7" s="23">
        <f>SUM(D5:D6)</f>
        <v>9.142</v>
      </c>
      <c r="E7" s="23">
        <f>SUM(E5:E6)</f>
        <v>10.875</v>
      </c>
      <c r="F7" s="23">
        <f>SUM(F5:F6)</f>
        <v>16.882</v>
      </c>
      <c r="G7" s="23">
        <f>SUM(G5:G6)</f>
        <v>13.449</v>
      </c>
      <c r="H7" s="23">
        <f>SUM(H5:H6)</f>
        <v>12.753</v>
      </c>
      <c r="I7" s="23">
        <f>SUM(I5:I6)</f>
        <v>22.375999999999998</v>
      </c>
      <c r="J7" s="23">
        <f>SUM(J5:J6)</f>
        <v>30.21</v>
      </c>
      <c r="K7" s="23">
        <f>SUM(K5:K6)</f>
        <v>32.881</v>
      </c>
      <c r="L7" s="23">
        <f>SUM(L5:L6)</f>
        <v>17.651</v>
      </c>
      <c r="M7" s="23">
        <f>SUM(M5:M6)</f>
        <v>7.492</v>
      </c>
      <c r="N7" s="23">
        <f>SUM(N5:N6)</f>
        <v>6.2780000000000005</v>
      </c>
      <c r="O7" s="23">
        <f>SUM(O5:O6)</f>
        <v>8.51</v>
      </c>
    </row>
    <row r="8">
      <c r="A8" s="2" t="inlineStr">
        <is>
          <t>Operating Income</t>
        </is>
      </c>
      <c r="B8" s="23">
        <f>B4-B7</f>
        <v>-3.137</v>
      </c>
      <c r="C8" s="23">
        <f>C4-C7</f>
        <v>-14.572</v>
      </c>
      <c r="D8" s="23">
        <f>D4-D7</f>
        <v>-9.142</v>
      </c>
      <c r="E8" s="23">
        <f>E4-E7</f>
        <v>-10.875</v>
      </c>
      <c r="F8" s="23">
        <f>F4-F7</f>
        <v>-16.415000000000003</v>
      </c>
      <c r="G8" s="23">
        <f>G4-G7</f>
        <v>-12.364</v>
      </c>
      <c r="H8" s="23">
        <f>H4-H7</f>
        <v>-10.715</v>
      </c>
      <c r="I8" s="23">
        <f>I4-I7</f>
        <v>-22.375999999999998</v>
      </c>
      <c r="J8" s="23">
        <f>J4-J7</f>
        <v>-30.21</v>
      </c>
      <c r="K8" s="23">
        <f>K4-K7</f>
        <v>-32.881</v>
      </c>
      <c r="L8" s="23">
        <f>L4-L7</f>
        <v>-17.651</v>
      </c>
      <c r="M8" s="23">
        <f>M4-M7</f>
        <v>-7.492</v>
      </c>
      <c r="N8" s="23">
        <f>N4-N7</f>
        <v>-6.2780000000000005</v>
      </c>
      <c r="O8" s="23">
        <f>O4-O7</f>
        <v>-8.51</v>
      </c>
    </row>
    <row r="9">
      <c r="A9" s="19" t="inlineStr">
        <is>
          <t>Interest &amp; Other</t>
        </is>
      </c>
      <c r="B9" s="23" t="n">
        <v>-0.006</v>
      </c>
      <c r="C9" s="23" t="n">
        <v>-2.912</v>
      </c>
      <c r="D9" s="23" t="n">
        <v>0.04</v>
      </c>
      <c r="E9" s="23" t="n">
        <v>0.253</v>
      </c>
      <c r="F9" s="23" t="n">
        <v>-0.432</v>
      </c>
      <c r="G9" s="23" t="n">
        <v>0.065</v>
      </c>
      <c r="H9" s="23" t="n">
        <v>0.9340000000000001</v>
      </c>
      <c r="I9" s="23" t="n">
        <v>1.915</v>
      </c>
      <c r="J9" s="23" t="n">
        <v>1.439</v>
      </c>
      <c r="K9" s="23" t="n">
        <v>0.414</v>
      </c>
      <c r="L9" s="23" t="n">
        <v>-0.215</v>
      </c>
      <c r="M9" s="23" t="n">
        <v>0.58</v>
      </c>
      <c r="N9" s="23" t="n">
        <v>-1.239</v>
      </c>
      <c r="O9" s="23" t="n">
        <v>-1.799</v>
      </c>
    </row>
    <row r="10">
      <c r="A10" s="2" t="inlineStr">
        <is>
          <t>Pretax</t>
        </is>
      </c>
      <c r="B10" s="23">
        <f>B8+B9</f>
        <v>-3.143</v>
      </c>
      <c r="C10" s="23">
        <f>C8+C9</f>
        <v>-17.483999999999998</v>
      </c>
      <c r="D10" s="23">
        <f>D8+D9</f>
        <v>-9.102</v>
      </c>
      <c r="E10" s="23">
        <f>E8+E9</f>
        <v>-10.622</v>
      </c>
      <c r="F10" s="23">
        <f>F8+F9</f>
        <v>-16.847</v>
      </c>
      <c r="G10" s="23">
        <f>G8+G9</f>
        <v>-12.299000000000001</v>
      </c>
      <c r="H10" s="23">
        <f>H8+H9</f>
        <v>-9.781</v>
      </c>
      <c r="I10" s="23">
        <f>I8+I9</f>
        <v>-20.461</v>
      </c>
      <c r="J10" s="23">
        <f>J8+J9</f>
        <v>-28.771</v>
      </c>
      <c r="K10" s="23">
        <f>K8+K9</f>
        <v>-32.467</v>
      </c>
      <c r="L10" s="23">
        <f>L8+L9</f>
        <v>-17.866</v>
      </c>
      <c r="M10" s="23">
        <f>M8+M9</f>
        <v>-6.912</v>
      </c>
      <c r="N10" s="23">
        <f>N8+N9</f>
        <v>-7.517</v>
      </c>
      <c r="O10" s="23">
        <f>O8+O9</f>
        <v>-10.309</v>
      </c>
    </row>
    <row r="11">
      <c r="A11" s="2" t="inlineStr">
        <is>
          <t>Taxes</t>
        </is>
      </c>
      <c r="B11" s="23" t="n">
        <v>0.006</v>
      </c>
      <c r="C11" s="23" t="n">
        <v>0.001</v>
      </c>
      <c r="D11" s="23" t="n">
        <v>0.001</v>
      </c>
      <c r="E11" s="23" t="n">
        <v>0</v>
      </c>
      <c r="F11" s="23" t="n">
        <v>0.106</v>
      </c>
      <c r="G11" s="23" t="n">
        <v>0</v>
      </c>
      <c r="H11" s="23" t="n">
        <v>0.075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-3.149</v>
      </c>
      <c r="C12" s="23" t="n">
        <v>-17.485</v>
      </c>
      <c r="D12" s="23" t="n">
        <v>-9.103</v>
      </c>
      <c r="E12" s="23" t="n">
        <v>-10.622</v>
      </c>
      <c r="F12" s="23" t="n">
        <v>-16.953</v>
      </c>
      <c r="G12" s="23" t="n">
        <v>-12.299</v>
      </c>
      <c r="H12" s="23" t="n">
        <v>-9.856</v>
      </c>
      <c r="I12" s="23" t="n">
        <v>-20.461</v>
      </c>
      <c r="J12" s="23" t="n">
        <v>-28.771</v>
      </c>
      <c r="K12" s="23" t="n">
        <v>-32.467</v>
      </c>
      <c r="L12" s="23" t="n">
        <v>-17.866</v>
      </c>
      <c r="M12" s="23" t="n">
        <v>-6.912</v>
      </c>
      <c r="N12" s="23" t="n">
        <v>-7.517</v>
      </c>
      <c r="O12" s="23" t="n">
        <v>-10.309</v>
      </c>
    </row>
    <row r="13">
      <c r="A13" s="2" t="inlineStr">
        <is>
          <t>Earnings per Share</t>
        </is>
      </c>
      <c r="B13" s="11">
        <f>IFERROR(B12/B14,0)</f>
        <v>-1.0324590163934426</v>
      </c>
      <c r="C13" s="11">
        <f>IFERROR(C12/C14,0)</f>
        <v>-5.604166666666666</v>
      </c>
      <c r="D13" s="11">
        <f>IFERROR(D12/D14,0)</f>
        <v>-2.865281712307208</v>
      </c>
      <c r="E13" s="11">
        <f>IFERROR(E12/E14,0)</f>
        <v>-3.1094847775175642</v>
      </c>
      <c r="F13" s="11">
        <f>IFERROR(F12/F14,0)</f>
        <v>-4.843714285714285</v>
      </c>
      <c r="G13" s="11">
        <f>IFERROR(G12/G14,0)</f>
        <v>-3.2011972930765222</v>
      </c>
      <c r="H13" s="11">
        <f>IFERROR(H12/H14,0)</f>
        <v>-1.765991757749507</v>
      </c>
      <c r="I13" s="11">
        <f>IFERROR(I12/I14,0)</f>
        <v>-3.1492996767738957</v>
      </c>
      <c r="J13" s="11">
        <f>IFERROR(J12/J14,0)</f>
        <v>-4.393860720830788</v>
      </c>
      <c r="K13" s="11">
        <f>IFERROR(K12/K14,0)</f>
        <v>-4.94999237688672</v>
      </c>
      <c r="L13" s="11">
        <f>IFERROR(L12/L14,0)</f>
        <v>-31.960644007155633</v>
      </c>
      <c r="M13" s="11">
        <f>IFERROR(M12/M14,0)</f>
        <v>-7.488624052004333</v>
      </c>
      <c r="N13" s="11">
        <f>IFERROR(N12/N14,0)</f>
        <v>-8.074113856068744</v>
      </c>
      <c r="O13" s="11">
        <f>IFERROR(O12/O14,0)</f>
        <v>-2.3913245186731618</v>
      </c>
    </row>
    <row r="14">
      <c r="A14" s="2" t="inlineStr">
        <is>
          <t>Shares</t>
        </is>
      </c>
      <c r="B14" s="23" t="n">
        <v>3.05</v>
      </c>
      <c r="C14" s="23" t="n">
        <v>3.12</v>
      </c>
      <c r="D14" s="23" t="n">
        <v>3.177</v>
      </c>
      <c r="E14" s="23" t="n">
        <v>3.416</v>
      </c>
      <c r="F14" s="23" t="n">
        <v>3.5</v>
      </c>
      <c r="G14" s="23" t="n">
        <v>3.842</v>
      </c>
      <c r="H14" s="23" t="n">
        <v>5.581</v>
      </c>
      <c r="I14" s="23" t="n">
        <v>6.497</v>
      </c>
      <c r="J14" s="23" t="n">
        <v>6.548</v>
      </c>
      <c r="K14" s="23" t="n">
        <v>6.559</v>
      </c>
      <c r="L14" s="23" t="n">
        <v>0.5590000000000001</v>
      </c>
      <c r="M14" s="23" t="n">
        <v>0.923</v>
      </c>
      <c r="N14" s="23" t="n">
        <v>0.931</v>
      </c>
      <c r="O14" s="23" t="n">
        <v>4.311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1.3233404710920769</v>
      </c>
      <c r="H16" s="15">
        <f>IFERROR(H2/G2-1,"")</f>
        <v>0.8783410138248846</v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-35.14989293361885</v>
      </c>
      <c r="G18" s="15">
        <f>IFERROR(G8/G2,"")</f>
        <v>-11.395391705069125</v>
      </c>
      <c r="H18" s="15">
        <f>IFERROR(H8/H2,"")</f>
        <v>-5.257605495583906</v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2026-10-21T06:31:35Z</dcterms:modified>
  <cp:lastModifiedBy>Wang, Eric</cp:lastModifiedBy>
</cp:coreProperties>
</file>