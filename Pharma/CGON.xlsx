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CG Oncology, Inc.</t>
        </is>
      </c>
      <c r="C2" s="10" t="n"/>
    </row>
    <row r="3">
      <c r="B3" t="inlineStr">
        <is>
          <t>Price</t>
        </is>
      </c>
      <c r="C3" s="11">
        <f>INDEX([1]Pharma!$F$1:$F$1000,MATCH("CGON",[1]Pharma!$B$1:$B$1000,0))</f>
        <v>61.93</v>
      </c>
      <c r="F3" s="1" t="n"/>
    </row>
    <row r="4">
      <c r="B4" t="inlineStr">
        <is>
          <t>Shares</t>
        </is>
      </c>
      <c r="C4" s="21" t="n">
        <v>88.64037500000001</v>
      </c>
      <c r="F4" s="1" t="n"/>
    </row>
    <row r="5">
      <c r="B5" t="inlineStr">
        <is>
          <t>Market Cap.</t>
        </is>
      </c>
      <c r="C5" s="13">
        <f>C3*C4</f>
        <v>5489.49842375</v>
      </c>
      <c r="F5" s="1" t="n"/>
    </row>
    <row r="6"/>
    <row r="7">
      <c r="B7" t="inlineStr">
        <is>
          <t>Cash</t>
        </is>
      </c>
      <c r="C7" s="21">
        <f>19.636+1008.642</f>
        <v>1028.278</v>
      </c>
    </row>
    <row r="8">
      <c r="B8" t="inlineStr">
        <is>
          <t>Debt</t>
        </is>
      </c>
      <c r="C8" s="21" t="n">
        <v>3</v>
      </c>
    </row>
    <row r="9">
      <c r="B9" t="inlineStr">
        <is>
          <t>Enterprise V.</t>
        </is>
      </c>
      <c r="C9" s="13">
        <f>C5-C7+C8</f>
        <v>4464.22042375</v>
      </c>
    </row>
    <row r="10"/>
    <row r="11">
      <c r="B11" s="14" t="inlineStr">
        <is>
          <t>Net Cash / Share</t>
        </is>
      </c>
      <c r="C11" s="11">
        <f>(C7-C8)/C4</f>
        <v>11.566715506336699</v>
      </c>
    </row>
    <row r="12">
      <c r="B12" s="14" t="inlineStr">
        <is>
          <t>Upside</t>
        </is>
      </c>
      <c r="C12" s="15">
        <f>IFERROR(C11/C3-1,"")</f>
        <v>-0.8132292022228855</v>
      </c>
    </row>
    <row r="13">
      <c r="B13" s="14" t="inlineStr">
        <is>
          <t>Cash / Share</t>
        </is>
      </c>
      <c r="C13" s="11">
        <f>IFERROR((C7-C8)/C4,"")</f>
        <v>11.566715506336699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-178.467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5.744916427126583</v>
      </c>
    </row>
    <row r="19">
      <c r="B19" s="14" t="inlineStr">
        <is>
          <t>Implied Pipeline Value</t>
        </is>
      </c>
      <c r="C19" s="13">
        <f>C9</f>
        <v>4464.22042375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0.204</v>
      </c>
      <c r="C2" s="23" t="n">
        <v>1.139</v>
      </c>
      <c r="D2" s="23" t="n">
        <v>4.04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0.204</v>
      </c>
      <c r="C4" s="23">
        <f>C2-C3</f>
        <v>1.139</v>
      </c>
      <c r="D4" s="23">
        <f>D2-D3</f>
        <v>4.04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45.752</v>
      </c>
      <c r="C5" s="23" t="n">
        <v>82.102</v>
      </c>
      <c r="D5" s="23" t="n">
        <v>116.641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9.901</v>
      </c>
      <c r="C6" s="23" t="n">
        <v>33.703</v>
      </c>
      <c r="D6" s="23" t="n">
        <v>78.173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55.653000000000006</v>
      </c>
      <c r="C7" s="23">
        <f>SUM(C5:C6)</f>
        <v>115.805</v>
      </c>
      <c r="D7" s="23">
        <f>SUM(D5:D6)</f>
        <v>194.81400000000002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-55.449000000000005</v>
      </c>
      <c r="C8" s="23">
        <f>C4-C7</f>
        <v>-114.66600000000001</v>
      </c>
      <c r="D8" s="23">
        <f>D4-D7</f>
        <v>-190.77400000000003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6.843</v>
      </c>
      <c r="C9" s="23" t="n">
        <v>26.627</v>
      </c>
      <c r="D9" s="23" t="n">
        <v>29.504</v>
      </c>
    </row>
    <row r="10">
      <c r="A10" s="2" t="inlineStr">
        <is>
          <t>Pretax</t>
        </is>
      </c>
      <c r="B10" s="23">
        <f>B8+B9</f>
        <v>-48.60600000000001</v>
      </c>
      <c r="C10" s="23">
        <f>C8+C9</f>
        <v>-88.03900000000002</v>
      </c>
      <c r="D10" s="23">
        <f>D8+D9</f>
        <v>-161.27000000000004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0.001</v>
      </c>
      <c r="D11" s="23" t="n">
        <v>-0.27</v>
      </c>
    </row>
    <row r="12">
      <c r="A12" s="2" t="inlineStr">
        <is>
          <t>Net Income</t>
        </is>
      </c>
      <c r="B12" s="23" t="n">
        <v>-48.607</v>
      </c>
      <c r="C12" s="23" t="n">
        <v>-88.04000000000001</v>
      </c>
      <c r="D12" s="23" t="n">
        <v>-161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-11.223043177095358</v>
      </c>
      <c r="C13" s="11">
        <f>IFERROR(C12/C14,0)</f>
        <v>-1.4087076179656624</v>
      </c>
      <c r="D13" s="11">
        <f>IFERROR(D12/D14,0)</f>
        <v>-2.0827134781315086</v>
      </c>
    </row>
    <row r="14">
      <c r="A14" s="2" t="inlineStr">
        <is>
          <t>Shares</t>
        </is>
      </c>
      <c r="B14" s="23" t="n">
        <v>4.331</v>
      </c>
      <c r="C14" s="23" t="n">
        <v>62.497</v>
      </c>
      <c r="D14" s="23" t="n">
        <v>77.303</v>
      </c>
    </row>
    <row r="15"/>
    <row r="16" customFormat="1" s="4">
      <c r="A16" s="3" t="inlineStr">
        <is>
          <t>Revenue Change</t>
        </is>
      </c>
      <c r="C16" s="15">
        <f>IFERROR(C2/B2-1,"")</f>
        <v>4.583333333333334</v>
      </c>
      <c r="D16" s="15">
        <f>IFERROR(D2/C2-1,"")</f>
        <v>2.546971027216857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-271.8088235294118</v>
      </c>
      <c r="C18" s="15">
        <f>IFERROR(C8/C2,"")</f>
        <v>-100.67251975417034</v>
      </c>
      <c r="D18" s="15">
        <f>IFERROR(D8/D2,"")</f>
        <v>-47.22128712871288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2026-10-21T01:04:04Z</dcterms:modified>
  <cp:lastModifiedBy>Wang, Eric</cp:lastModifiedBy>
</cp:coreProperties>
</file>