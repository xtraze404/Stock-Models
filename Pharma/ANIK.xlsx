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Anika Therapeutics Inc</t>
        </is>
      </c>
      <c r="C2" s="10" t="n"/>
    </row>
    <row r="3">
      <c r="B3" t="inlineStr">
        <is>
          <t>Price</t>
        </is>
      </c>
      <c r="C3" s="11">
        <f>INDEX([1]Pharma!$F$1:$F$1000,MATCH("ANIK",[1]Pharma!$B$1:$B$1000,0))</f>
        <v>20.44</v>
      </c>
      <c r="F3" s="1" t="n"/>
    </row>
    <row r="4">
      <c r="B4" t="inlineStr">
        <is>
          <t>Shares</t>
        </is>
      </c>
      <c r="C4" s="51" t="n">
        <v>13.382966</v>
      </c>
      <c r="F4" s="1" t="n"/>
    </row>
    <row r="5">
      <c r="B5" t="inlineStr">
        <is>
          <t>Market Cap.</t>
        </is>
      </c>
      <c r="C5" s="13">
        <f>C3*C4</f>
        <v>273.54782504</v>
      </c>
      <c r="F5" s="1" t="n"/>
    </row>
    <row r="6"/>
    <row r="7">
      <c r="B7" t="inlineStr">
        <is>
          <t>Cash</t>
        </is>
      </c>
      <c r="C7" s="51" t="n">
        <v>38.412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235.13582504000001</v>
      </c>
    </row>
    <row r="10"/>
    <row r="11">
      <c r="B11" s="14" t="inlineStr">
        <is>
          <t>NPV / Share</t>
        </is>
      </c>
      <c r="C11" s="11">
        <f>NPV!B28</f>
        <v>10.827834147688835</v>
      </c>
    </row>
    <row r="12">
      <c r="B12" s="14" t="inlineStr">
        <is>
          <t>Upside</t>
        </is>
      </c>
      <c r="C12" s="15">
        <f>IFERROR(C11/C3-1,"")</f>
        <v>-0.47026251723635837</v>
      </c>
    </row>
    <row r="13">
      <c r="B13" s="14" t="inlineStr">
        <is>
          <t>Cash / Share</t>
        </is>
      </c>
      <c r="C13" s="11">
        <f>IFERROR((C7-C8)/C4,"")</f>
        <v>2.8702157653243683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40.136</v>
      </c>
      <c r="C2" s="52" t="n">
        <v>55.557</v>
      </c>
      <c r="D2" s="52" t="n">
        <v>64.779</v>
      </c>
      <c r="E2" s="52" t="n">
        <v>71.35899999999999</v>
      </c>
      <c r="F2" s="52" t="n">
        <v>75.081</v>
      </c>
      <c r="G2" s="52" t="n">
        <v>105.595</v>
      </c>
      <c r="H2" s="52" t="n">
        <v>92.999</v>
      </c>
      <c r="I2" s="52" t="n">
        <v>103.379</v>
      </c>
      <c r="J2" s="52" t="n">
        <v>113.42</v>
      </c>
      <c r="K2" s="52" t="n">
        <v>105.555</v>
      </c>
      <c r="L2" s="52" t="n">
        <v>114.61</v>
      </c>
      <c r="M2" s="52" t="n">
        <v>130.457</v>
      </c>
      <c r="N2" s="52" t="n">
        <v>147.794</v>
      </c>
      <c r="O2" s="52" t="n">
        <v>113.827</v>
      </c>
      <c r="P2" s="52" t="n">
        <v>120.792</v>
      </c>
      <c r="Q2" s="52" t="n">
        <v>119.907</v>
      </c>
      <c r="R2" s="52" t="n">
        <v>112.819</v>
      </c>
      <c r="S2" s="52">
        <f>R2*(1+NPV!C5)</f>
        <v>111.9954213</v>
      </c>
      <c r="T2" s="52">
        <f>S2*(1+NPV!D5)</f>
        <v>111.57979384762001</v>
      </c>
      <c r="U2" s="52">
        <f>T2*(1+NPV!E5)</f>
        <v>111.56615631726085</v>
      </c>
      <c r="V2" s="52">
        <f>U2*(1+NPV!F5)</f>
        <v>111.95291899249402</v>
      </c>
      <c r="W2" s="52">
        <f>V2*(1+NPV!G5)</f>
        <v>112.74280903205218</v>
      </c>
      <c r="X2" s="52">
        <f>W2*(1+NPV!H5)</f>
        <v>113.94289359930447</v>
      </c>
      <c r="Y2" s="52">
        <f>X2*(1+NPV!I5)</f>
        <v>115.5646807848679</v>
      </c>
      <c r="Z2" s="52">
        <f>Y2*(1+NPV!J5)</f>
        <v>117.62430020685599</v>
      </c>
      <c r="AA2" s="52">
        <f>Z2*(1+NPV!K5)</f>
        <v>120.14276716795166</v>
      </c>
      <c r="AB2" s="52">
        <f>AA2*(1+NPV!L5)</f>
        <v>123.14633634715044</v>
      </c>
    </row>
    <row r="3" customFormat="1" s="1">
      <c r="A3" s="5" t="inlineStr">
        <is>
          <t>Cost of Sales</t>
        </is>
      </c>
      <c r="B3" s="52" t="n">
        <v>13.67</v>
      </c>
      <c r="C3" s="52" t="n">
        <v>23.827</v>
      </c>
      <c r="D3" s="52" t="n">
        <v>26.784</v>
      </c>
      <c r="E3" s="52" t="n">
        <v>28.989</v>
      </c>
      <c r="F3" s="52" t="n">
        <v>22.765</v>
      </c>
      <c r="G3" s="52" t="n">
        <v>20.93</v>
      </c>
      <c r="H3" s="52" t="n">
        <v>21.053</v>
      </c>
      <c r="I3" s="52" t="n">
        <v>24.027</v>
      </c>
      <c r="J3" s="52" t="n">
        <v>27.364</v>
      </c>
      <c r="K3" s="52" t="n">
        <v>31.28</v>
      </c>
      <c r="L3" s="52" t="n">
        <v>28.747</v>
      </c>
      <c r="M3" s="52" t="n">
        <v>61.431</v>
      </c>
      <c r="N3" s="52" t="n">
        <v>64.851</v>
      </c>
      <c r="O3" s="52" t="n">
        <v>40.607</v>
      </c>
      <c r="P3" s="52" t="n">
        <v>38.26</v>
      </c>
      <c r="Q3" s="52" t="n">
        <v>43.909</v>
      </c>
      <c r="R3" s="52" t="n">
        <v>49.012</v>
      </c>
      <c r="S3" s="52">
        <f>S2*(1-Assumptions!$B$19)</f>
        <v>48.650811012720006</v>
      </c>
      <c r="T3" s="52">
        <f>T2*(1-Assumptions!$B$19)</f>
        <v>48.470262447406135</v>
      </c>
      <c r="U3" s="52">
        <f>U2*(1-Assumptions!$B$19)</f>
        <v>48.46433830421811</v>
      </c>
      <c r="V3" s="52">
        <f>V2*(1-Assumptions!$B$19)</f>
        <v>48.632348010339406</v>
      </c>
      <c r="W3" s="52">
        <f>W2*(1-Assumptions!$B$19)</f>
        <v>48.97547624352347</v>
      </c>
      <c r="X3" s="52">
        <f>X2*(1-Assumptions!$B$19)</f>
        <v>49.496792979537865</v>
      </c>
      <c r="Y3" s="52">
        <f>Y2*(1-Assumptions!$B$19)</f>
        <v>50.201297332946616</v>
      </c>
      <c r="Z3" s="52">
        <f>Z2*(1-Assumptions!$B$19)</f>
        <v>51.09599600985825</v>
      </c>
      <c r="AA3" s="52">
        <f>AA2*(1-Assumptions!$B$19)</f>
        <v>52.1900180577582</v>
      </c>
      <c r="AB3" s="52">
        <f>AB2*(1-Assumptions!$B$19)</f>
        <v>53.49476850920215</v>
      </c>
    </row>
    <row r="4" customFormat="1" s="1">
      <c r="A4" s="5" t="inlineStr">
        <is>
          <t>Gross Margin</t>
        </is>
      </c>
      <c r="B4" s="52">
        <f>B2-B3</f>
        <v>26.466</v>
      </c>
      <c r="C4" s="52">
        <f>C2-C3</f>
        <v>31.73</v>
      </c>
      <c r="D4" s="52">
        <f>D2-D3</f>
        <v>37.995</v>
      </c>
      <c r="E4" s="52">
        <f>E2-E3</f>
        <v>42.36999999999999</v>
      </c>
      <c r="F4" s="52">
        <f>F2-F3</f>
        <v>52.316</v>
      </c>
      <c r="G4" s="52">
        <f>G2-G3</f>
        <v>84.66499999999999</v>
      </c>
      <c r="H4" s="52">
        <f>H2-H3</f>
        <v>71.946</v>
      </c>
      <c r="I4" s="52">
        <f>I2-I3</f>
        <v>79.352</v>
      </c>
      <c r="J4" s="52">
        <f>J2-J3</f>
        <v>86.056</v>
      </c>
      <c r="K4" s="52">
        <f>K2-K3</f>
        <v>74.275</v>
      </c>
      <c r="L4" s="52">
        <f>L2-L3</f>
        <v>85.863</v>
      </c>
      <c r="M4" s="52">
        <f>M2-M3</f>
        <v>69.026</v>
      </c>
      <c r="N4" s="52">
        <f>N2-N3</f>
        <v>82.94300000000001</v>
      </c>
      <c r="O4" s="52">
        <f>O2-O3</f>
        <v>73.22</v>
      </c>
      <c r="P4" s="52">
        <f>P2-P3</f>
        <v>82.53200000000001</v>
      </c>
      <c r="Q4" s="52">
        <f>Q2-Q3</f>
        <v>75.99799999999999</v>
      </c>
      <c r="R4" s="52">
        <f>R2-R3</f>
        <v>63.807</v>
      </c>
      <c r="S4" s="52">
        <f>S2-S3</f>
        <v>63.34461028728</v>
      </c>
      <c r="T4" s="52">
        <f>T2-T3</f>
        <v>63.109531400213875</v>
      </c>
      <c r="U4" s="52">
        <f>U2-U3</f>
        <v>63.10181801304274</v>
      </c>
      <c r="V4" s="52">
        <f>V2-V3</f>
        <v>63.320570982154614</v>
      </c>
      <c r="W4" s="52">
        <f>W2-W3</f>
        <v>63.76733278852871</v>
      </c>
      <c r="X4" s="52">
        <f>X2-X3</f>
        <v>64.44610061976661</v>
      </c>
      <c r="Y4" s="52">
        <f>Y2-Y3</f>
        <v>65.3633834519213</v>
      </c>
      <c r="Z4" s="52">
        <f>Z2-Z3</f>
        <v>66.52830419699774</v>
      </c>
      <c r="AA4" s="52">
        <f>AA2-AA3</f>
        <v>67.95274911019345</v>
      </c>
      <c r="AB4" s="52">
        <f>AB2-AB3</f>
        <v>69.65156783794828</v>
      </c>
    </row>
    <row r="5">
      <c r="A5" s="2" t="inlineStr">
        <is>
          <t>Research &amp; Dev.</t>
        </is>
      </c>
      <c r="B5" s="52" t="n">
        <v>8.182</v>
      </c>
      <c r="C5" s="52" t="n">
        <v>6.875</v>
      </c>
      <c r="D5" s="52" t="n">
        <v>6.169</v>
      </c>
      <c r="E5" s="52" t="n">
        <v>5.388</v>
      </c>
      <c r="F5" s="52" t="n">
        <v>7.06</v>
      </c>
      <c r="G5" s="52" t="n">
        <v>8.144</v>
      </c>
      <c r="H5" s="52" t="n">
        <v>8.987</v>
      </c>
      <c r="I5" s="52" t="n">
        <v>10.732</v>
      </c>
      <c r="J5" s="52" t="n">
        <v>18.787</v>
      </c>
      <c r="K5" s="52" t="n">
        <v>18.19</v>
      </c>
      <c r="L5" s="52" t="n">
        <v>16.665</v>
      </c>
      <c r="M5" s="52" t="n">
        <v>23.431</v>
      </c>
      <c r="N5" s="52" t="n">
        <v>27.327</v>
      </c>
      <c r="O5" s="52" t="n">
        <v>18.321</v>
      </c>
      <c r="P5" s="52" t="n">
        <v>21.763</v>
      </c>
      <c r="Q5" s="52" t="n">
        <v>25.544</v>
      </c>
      <c r="R5" s="52" t="n">
        <v>25.77</v>
      </c>
      <c r="S5" s="52">
        <f>S7*Assumptions!$B$20</f>
        <v>22.509799349643696</v>
      </c>
      <c r="T5" s="52">
        <f>T7*Assumptions!$B$20</f>
        <v>21.495036769121487</v>
      </c>
      <c r="U5" s="52">
        <f>U7*Assumptions!$B$20</f>
        <v>20.561297200451214</v>
      </c>
      <c r="V5" s="52">
        <f>V7*Assumptions!$B$20</f>
        <v>19.69823611025848</v>
      </c>
      <c r="W5" s="52">
        <f>W7*Assumptions!$B$20</f>
        <v>18.896285566091272</v>
      </c>
      <c r="X5" s="52">
        <f>X7*Assumptions!$B$20</f>
        <v>18.146477780432217</v>
      </c>
      <c r="Y5" s="52">
        <f>Y7*Assumptions!$B$20</f>
        <v>17.440279236542903</v>
      </c>
      <c r="Z5" s="52">
        <f>Z7*Assumptions!$B$20</f>
        <v>16.769431120070188</v>
      </c>
      <c r="AA5" s="52">
        <f>AA7*Assumptions!$B$20</f>
        <v>16.125791922253295</v>
      </c>
      <c r="AB5" s="52">
        <f>AB7*Assumptions!$B$20</f>
        <v>15.501178085740813</v>
      </c>
    </row>
    <row r="6">
      <c r="A6" s="18" t="inlineStr">
        <is>
          <t>SG&amp;A &amp; Other</t>
        </is>
      </c>
      <c r="B6" s="52" t="n">
        <v>12.697</v>
      </c>
      <c r="C6" s="52" t="n">
        <v>17.318</v>
      </c>
      <c r="D6" s="52" t="n">
        <v>17.859</v>
      </c>
      <c r="E6" s="52" t="n">
        <v>17.267</v>
      </c>
      <c r="F6" s="52" t="n">
        <v>12.649</v>
      </c>
      <c r="G6" s="52" t="n">
        <v>15.074</v>
      </c>
      <c r="H6" s="52" t="n">
        <v>14.825</v>
      </c>
      <c r="I6" s="52" t="n">
        <v>18.013</v>
      </c>
      <c r="J6" s="52" t="n">
        <v>21.54</v>
      </c>
      <c r="K6" s="52" t="n">
        <v>34.336</v>
      </c>
      <c r="L6" s="52" t="n">
        <v>34.95</v>
      </c>
      <c r="M6" s="52" t="n">
        <v>73.917</v>
      </c>
      <c r="N6" s="52" t="n">
        <v>53.001</v>
      </c>
      <c r="O6" s="52" t="n">
        <v>51.229</v>
      </c>
      <c r="P6" s="52" t="n">
        <v>59.925</v>
      </c>
      <c r="Q6" s="52" t="n">
        <v>55.555</v>
      </c>
      <c r="R6" s="52" t="n">
        <v>49.088</v>
      </c>
      <c r="S6" s="52">
        <f>S7-S5</f>
        <v>42.86864778844429</v>
      </c>
      <c r="T6" s="52">
        <f>T7-T5</f>
        <v>40.936089484498865</v>
      </c>
      <c r="U6" s="52">
        <f>U7-U5</f>
        <v>39.15783495305217</v>
      </c>
      <c r="V6" s="52">
        <f>V7-V5</f>
        <v>37.51418361166566</v>
      </c>
      <c r="W6" s="52">
        <f>W7-W5</f>
        <v>35.986913870711724</v>
      </c>
      <c r="X6" s="52">
        <f>X7-X5</f>
        <v>34.55894708286206</v>
      </c>
      <c r="Y6" s="52">
        <f>Y7-Y5</f>
        <v>33.2140316450804</v>
      </c>
      <c r="Z6" s="52">
        <f>Z7-Z5</f>
        <v>31.936439109584732</v>
      </c>
      <c r="AA6" s="52">
        <f>AA7-AA5</f>
        <v>30.710664430500973</v>
      </c>
      <c r="AB6" s="52">
        <f>AB7-AB5</f>
        <v>29.52112248277738</v>
      </c>
    </row>
    <row r="7">
      <c r="A7" s="2" t="inlineStr">
        <is>
          <t>Operating Expense</t>
        </is>
      </c>
      <c r="B7" s="52">
        <f>SUM(B5:B6)</f>
        <v>20.878999999999998</v>
      </c>
      <c r="C7" s="52">
        <f>SUM(C5:C6)</f>
        <v>24.193</v>
      </c>
      <c r="D7" s="52">
        <f>SUM(D5:D6)</f>
        <v>24.028000000000002</v>
      </c>
      <c r="E7" s="52">
        <f>SUM(E5:E6)</f>
        <v>22.655</v>
      </c>
      <c r="F7" s="52">
        <f>SUM(F5:F6)</f>
        <v>19.709</v>
      </c>
      <c r="G7" s="52">
        <f>SUM(G5:G6)</f>
        <v>23.218</v>
      </c>
      <c r="H7" s="52">
        <f>SUM(H5:H6)</f>
        <v>23.811999999999998</v>
      </c>
      <c r="I7" s="52">
        <f>SUM(I5:I6)</f>
        <v>28.745</v>
      </c>
      <c r="J7" s="52">
        <f>SUM(J5:J6)</f>
        <v>40.327</v>
      </c>
      <c r="K7" s="52">
        <f>SUM(K5:K6)</f>
        <v>52.525999999999996</v>
      </c>
      <c r="L7" s="52">
        <f>SUM(L5:L6)</f>
        <v>51.615</v>
      </c>
      <c r="M7" s="52">
        <f>SUM(M5:M6)</f>
        <v>97.348</v>
      </c>
      <c r="N7" s="52">
        <f>SUM(N5:N6)</f>
        <v>80.328</v>
      </c>
      <c r="O7" s="52">
        <f>SUM(O5:O6)</f>
        <v>69.55</v>
      </c>
      <c r="P7" s="52">
        <f>SUM(P5:P6)</f>
        <v>81.688</v>
      </c>
      <c r="Q7" s="52">
        <f>SUM(Q5:Q6)</f>
        <v>81.099</v>
      </c>
      <c r="R7" s="52">
        <f>SUM(R5:R6)</f>
        <v>74.858</v>
      </c>
      <c r="S7" s="52">
        <f>S4-S2*NPV!C6</f>
        <v>65.37844713808799</v>
      </c>
      <c r="T7" s="52">
        <f>T4-T2*NPV!D6</f>
        <v>62.43112625362035</v>
      </c>
      <c r="U7" s="52">
        <f>U4-U2*NPV!E6</f>
        <v>59.71913215350339</v>
      </c>
      <c r="V7" s="52">
        <f>V4-V2*NPV!F6</f>
        <v>57.21241972192414</v>
      </c>
      <c r="W7" s="52">
        <f>W4-W2*NPV!G6</f>
        <v>54.883199436803</v>
      </c>
      <c r="X7" s="52">
        <f>X4-X2*NPV!H6</f>
        <v>52.705424863294276</v>
      </c>
      <c r="Y7" s="52">
        <f>Y4-Y2*NPV!I6</f>
        <v>50.6543108816233</v>
      </c>
      <c r="Z7" s="52">
        <f>Z4-Z2*NPV!J6</f>
        <v>48.70587022965492</v>
      </c>
      <c r="AA7" s="52">
        <f>AA4-AA2*NPV!K6</f>
        <v>46.83645635275427</v>
      </c>
      <c r="AB7" s="52">
        <f>AB4-AB2*NPV!L6</f>
        <v>45.02230056851819</v>
      </c>
    </row>
    <row r="8">
      <c r="A8" s="2" t="inlineStr">
        <is>
          <t>Operating Income</t>
        </is>
      </c>
      <c r="B8" s="52">
        <f>B4-B7</f>
        <v>5.587000000000003</v>
      </c>
      <c r="C8" s="52">
        <f>C4-C7</f>
        <v>7.536999999999999</v>
      </c>
      <c r="D8" s="52">
        <f>D4-D7</f>
        <v>13.966999999999995</v>
      </c>
      <c r="E8" s="52">
        <f>E4-E7</f>
        <v>19.71499999999999</v>
      </c>
      <c r="F8" s="52">
        <f>F4-F7</f>
        <v>32.607</v>
      </c>
      <c r="G8" s="52">
        <f>G4-G7</f>
        <v>61.44699999999999</v>
      </c>
      <c r="H8" s="52">
        <f>H4-H7</f>
        <v>48.134</v>
      </c>
      <c r="I8" s="52">
        <f>I4-I7</f>
        <v>50.607</v>
      </c>
      <c r="J8" s="52">
        <f>J4-J7</f>
        <v>45.729</v>
      </c>
      <c r="K8" s="52">
        <f>K4-K7</f>
        <v>21.74900000000001</v>
      </c>
      <c r="L8" s="52">
        <f>L4-L7</f>
        <v>34.248</v>
      </c>
      <c r="M8" s="52">
        <f>M4-M7</f>
        <v>-28.322000000000003</v>
      </c>
      <c r="N8" s="52">
        <f>N4-N7</f>
        <v>2.615000000000009</v>
      </c>
      <c r="O8" s="52">
        <f>O4-O7</f>
        <v>3.6700000000000017</v>
      </c>
      <c r="P8" s="52">
        <f>P4-P7</f>
        <v>0.8440000000000083</v>
      </c>
      <c r="Q8" s="52">
        <f>Q4-Q7</f>
        <v>-5.101000000000013</v>
      </c>
      <c r="R8" s="52">
        <f>R4-R7</f>
        <v>-11.051000000000002</v>
      </c>
      <c r="S8" s="52">
        <f>S4-S7</f>
        <v>-2.033836850807994</v>
      </c>
      <c r="T8" s="52">
        <f>T4-T7</f>
        <v>0.6784051465935264</v>
      </c>
      <c r="U8" s="52">
        <f>U4-U7</f>
        <v>3.3826858595393503</v>
      </c>
      <c r="V8" s="52">
        <f>V4-V7</f>
        <v>6.108151260230471</v>
      </c>
      <c r="W8" s="52">
        <f>W4-W7</f>
        <v>8.884133351725715</v>
      </c>
      <c r="X8" s="52">
        <f>X4-X7</f>
        <v>11.740675756472335</v>
      </c>
      <c r="Y8" s="52">
        <f>Y4-Y7</f>
        <v>14.709072570297991</v>
      </c>
      <c r="Z8" s="52">
        <f>Z4-Z7</f>
        <v>17.822433967342818</v>
      </c>
      <c r="AA8" s="52">
        <f>AA4-AA7</f>
        <v>21.116292757439183</v>
      </c>
      <c r="AB8" s="52">
        <f>AB4-AB7</f>
        <v>24.629267269430088</v>
      </c>
    </row>
    <row r="9">
      <c r="A9" s="18" t="inlineStr">
        <is>
          <t>Interest &amp; Other</t>
        </is>
      </c>
      <c r="B9" s="52" t="n">
        <v>-0.074</v>
      </c>
      <c r="C9" s="52" t="n">
        <v>-0.195</v>
      </c>
      <c r="D9" s="52" t="n">
        <v>-0.182</v>
      </c>
      <c r="E9" s="52" t="n">
        <v>-0.188</v>
      </c>
      <c r="F9" s="52" t="n">
        <v>-0.127</v>
      </c>
      <c r="G9" s="52" t="n">
        <v>0.058</v>
      </c>
      <c r="H9" s="52" t="n">
        <v>0.12</v>
      </c>
      <c r="I9" s="52" t="n">
        <v>0.263</v>
      </c>
      <c r="J9" s="52" t="n">
        <v>0.473</v>
      </c>
      <c r="K9" s="52" t="n">
        <v>1.458</v>
      </c>
      <c r="L9" s="52" t="n">
        <v>1.873</v>
      </c>
      <c r="M9" s="52" t="n">
        <v>-0.302</v>
      </c>
      <c r="N9" s="52" t="n">
        <v>-0.322</v>
      </c>
      <c r="O9" s="52" t="n">
        <v>-16.546</v>
      </c>
      <c r="P9" s="52" t="n">
        <v>-77.249</v>
      </c>
      <c r="Q9" s="52" t="n">
        <v>-44.835</v>
      </c>
      <c r="R9" s="52" t="n">
        <v>0.723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5.5130000000000035</v>
      </c>
      <c r="C10" s="52">
        <f>C8+C9</f>
        <v>7.341999999999999</v>
      </c>
      <c r="D10" s="52">
        <f>D8+D9</f>
        <v>13.784999999999995</v>
      </c>
      <c r="E10" s="52">
        <f>E8+E9</f>
        <v>19.52699999999999</v>
      </c>
      <c r="F10" s="52">
        <f>F8+F9</f>
        <v>32.48</v>
      </c>
      <c r="G10" s="52">
        <f>G8+G9</f>
        <v>61.50499999999999</v>
      </c>
      <c r="H10" s="52">
        <f>H8+H9</f>
        <v>48.254</v>
      </c>
      <c r="I10" s="52">
        <f>I8+I9</f>
        <v>50.87</v>
      </c>
      <c r="J10" s="52">
        <f>J8+J9</f>
        <v>46.202</v>
      </c>
      <c r="K10" s="52">
        <f>K8+K9</f>
        <v>23.207000000000008</v>
      </c>
      <c r="L10" s="52">
        <f>L8+L9</f>
        <v>36.120999999999995</v>
      </c>
      <c r="M10" s="52">
        <f>M8+M9</f>
        <v>-28.624000000000002</v>
      </c>
      <c r="N10" s="52">
        <f>N8+N9</f>
        <v>2.293000000000009</v>
      </c>
      <c r="O10" s="52">
        <f>O8+O9</f>
        <v>-12.875999999999998</v>
      </c>
      <c r="P10" s="52">
        <f>P8+P9</f>
        <v>-76.40499999999999</v>
      </c>
      <c r="Q10" s="52">
        <f>Q8+Q9</f>
        <v>-49.936000000000014</v>
      </c>
      <c r="R10" s="52">
        <f>R8+R9</f>
        <v>-10.328000000000001</v>
      </c>
      <c r="S10" s="52">
        <f>S8+S9</f>
        <v>-2.033836850807994</v>
      </c>
      <c r="T10" s="52">
        <f>T8+T9</f>
        <v>0.6784051465935264</v>
      </c>
      <c r="U10" s="52">
        <f>U8+U9</f>
        <v>3.3826858595393503</v>
      </c>
      <c r="V10" s="52">
        <f>V8+V9</f>
        <v>6.108151260230471</v>
      </c>
      <c r="W10" s="52">
        <f>W8+W9</f>
        <v>8.884133351725715</v>
      </c>
      <c r="X10" s="52">
        <f>X8+X9</f>
        <v>11.740675756472335</v>
      </c>
      <c r="Y10" s="52">
        <f>Y8+Y9</f>
        <v>14.709072570297991</v>
      </c>
      <c r="Z10" s="52">
        <f>Z8+Z9</f>
        <v>17.822433967342818</v>
      </c>
      <c r="AA10" s="52">
        <f>AA8+AA9</f>
        <v>21.116292757439183</v>
      </c>
      <c r="AB10" s="52">
        <f>AB8+AB9</f>
        <v>24.629267269430088</v>
      </c>
    </row>
    <row r="11">
      <c r="A11" s="2" t="inlineStr">
        <is>
          <t>Taxes</t>
        </is>
      </c>
      <c r="B11" s="52" t="n">
        <v>1.825</v>
      </c>
      <c r="C11" s="52" t="n">
        <v>3.027</v>
      </c>
      <c r="D11" s="52" t="n">
        <v>5.318</v>
      </c>
      <c r="E11" s="52" t="n">
        <v>7.77</v>
      </c>
      <c r="F11" s="52" t="n">
        <v>11.905</v>
      </c>
      <c r="G11" s="52" t="n">
        <v>23.186</v>
      </c>
      <c r="H11" s="52" t="n">
        <v>17.496</v>
      </c>
      <c r="I11" s="52" t="n">
        <v>18.323</v>
      </c>
      <c r="J11" s="52" t="n">
        <v>14.386</v>
      </c>
      <c r="K11" s="52" t="n">
        <v>4.485</v>
      </c>
      <c r="L11" s="52" t="n">
        <v>8.928000000000001</v>
      </c>
      <c r="M11" s="52" t="n">
        <v>-4.642</v>
      </c>
      <c r="N11" s="52" t="n">
        <v>-1.707</v>
      </c>
      <c r="O11" s="52" t="n">
        <v>2.124</v>
      </c>
      <c r="P11" s="52" t="n">
        <v>6.595</v>
      </c>
      <c r="Q11" s="52" t="n">
        <v>6.064</v>
      </c>
      <c r="R11" s="52" t="n">
        <v>0.672</v>
      </c>
      <c r="S11" s="52">
        <f>MAX(0,S10)*Assumptions!$E$14</f>
        <v>0.0</v>
      </c>
      <c r="T11" s="52">
        <f>MAX(0,T10)*Assumptions!$E$14</f>
        <v>0.1153288749208995</v>
      </c>
      <c r="U11" s="52">
        <f>MAX(0,U10)*Assumptions!$E$14</f>
        <v>0.5750565961216896</v>
      </c>
      <c r="V11" s="52">
        <f>MAX(0,V10)*Assumptions!$E$14</f>
        <v>1.0383857142391801</v>
      </c>
      <c r="W11" s="52">
        <f>MAX(0,W10)*Assumptions!$E$14</f>
        <v>1.5103026697933717</v>
      </c>
      <c r="X11" s="52">
        <f>MAX(0,X10)*Assumptions!$E$14</f>
        <v>1.9959148786002971</v>
      </c>
      <c r="Y11" s="52">
        <f>MAX(0,Y10)*Assumptions!$E$14</f>
        <v>2.5005423369506588</v>
      </c>
      <c r="Z11" s="52">
        <f>MAX(0,Z10)*Assumptions!$E$14</f>
        <v>3.029813774448279</v>
      </c>
      <c r="AA11" s="52">
        <f>MAX(0,AA10)*Assumptions!$E$14</f>
        <v>3.5897697687646613</v>
      </c>
      <c r="AB11" s="52">
        <f>MAX(0,AB10)*Assumptions!$E$14</f>
        <v>4.186975435803115</v>
      </c>
    </row>
    <row r="12">
      <c r="A12" s="2" t="inlineStr">
        <is>
          <t>Net Income</t>
        </is>
      </c>
      <c r="B12" s="52" t="n">
        <v>3.688</v>
      </c>
      <c r="C12" s="52" t="n">
        <v>4.316</v>
      </c>
      <c r="D12" s="52" t="n">
        <v>8.467000000000001</v>
      </c>
      <c r="E12" s="52" t="n">
        <v>11.757</v>
      </c>
      <c r="F12" s="52" t="n">
        <v>20.575</v>
      </c>
      <c r="G12" s="52" t="n">
        <v>38.319</v>
      </c>
      <c r="H12" s="52" t="n">
        <v>30.758</v>
      </c>
      <c r="I12" s="52" t="n">
        <v>32.547</v>
      </c>
      <c r="J12" s="52" t="n">
        <v>31.816</v>
      </c>
      <c r="K12" s="52" t="n">
        <v>18.722</v>
      </c>
      <c r="L12" s="52" t="n">
        <v>27.193</v>
      </c>
      <c r="M12" s="52" t="n">
        <v>-23.982</v>
      </c>
      <c r="N12" s="52" t="n">
        <v>4</v>
      </c>
      <c r="O12" s="52" t="n">
        <v>-15</v>
      </c>
      <c r="P12" s="52" t="n">
        <v>-83</v>
      </c>
      <c r="Q12" s="52" t="n">
        <v>-56</v>
      </c>
      <c r="R12" s="52" t="n">
        <v>-11</v>
      </c>
      <c r="S12" s="52">
        <f>S10-S11</f>
        <v>-2.033836850807994</v>
      </c>
      <c r="T12" s="52">
        <f>T10-T11</f>
        <v>0.5630762716726269</v>
      </c>
      <c r="U12" s="52">
        <f>U10-U11</f>
        <v>2.8076292634176605</v>
      </c>
      <c r="V12" s="52">
        <f>V10-V11</f>
        <v>5.069765545991292</v>
      </c>
      <c r="W12" s="52">
        <f>W10-W11</f>
        <v>7.373830681932343</v>
      </c>
      <c r="X12" s="52">
        <f>X10-X11</f>
        <v>9.744760877872038</v>
      </c>
      <c r="Y12" s="52">
        <f>Y10-Y11</f>
        <v>12.208530233347332</v>
      </c>
      <c r="Z12" s="52">
        <f>Z10-Z11</f>
        <v>14.792620192894539</v>
      </c>
      <c r="AA12" s="52">
        <f>AA10-AA11</f>
        <v>17.52652298867452</v>
      </c>
      <c r="AB12" s="52">
        <f>AB10-AB11</f>
        <v>20.442291833626975</v>
      </c>
    </row>
    <row r="13">
      <c r="A13" s="2" t="inlineStr">
        <is>
          <t>Earnings per Share</t>
        </is>
      </c>
      <c r="B13" s="11">
        <f>IFERROR(B12/B14,0)</f>
        <v>0.318975955717004</v>
      </c>
      <c r="C13" s="11">
        <f>IFERROR(C12/C14,0)</f>
        <v>0.3162599838792408</v>
      </c>
      <c r="D13" s="11">
        <f>IFERROR(D12/D14,0)</f>
        <v>0.6158713994762876</v>
      </c>
      <c r="E13" s="11">
        <f>IFERROR(E12/E14,0)</f>
        <v>0.819588706866504</v>
      </c>
      <c r="F13" s="11">
        <f>IFERROR(F12/F14,0)</f>
        <v>1.3877647376230944</v>
      </c>
      <c r="G13" s="11">
        <f>IFERROR(G12/G14,0)</f>
        <v>2.5095946034448886</v>
      </c>
      <c r="H13" s="11">
        <f>IFERROR(H12/H14,0)</f>
        <v>2.0075713073559167</v>
      </c>
      <c r="I13" s="11">
        <f>IFERROR(I12/I14,0)</f>
        <v>2.153148981211961</v>
      </c>
      <c r="J13" s="11">
        <f>IFERROR(J12/J14,0)</f>
        <v>2.1114945580037165</v>
      </c>
      <c r="K13" s="11">
        <f>IFERROR(K12/K14,0)</f>
        <v>1.27455919395466</v>
      </c>
      <c r="L13" s="11">
        <f>IFERROR(L12/L14,0)</f>
        <v>1.8918185612912204</v>
      </c>
      <c r="M13" s="11">
        <f>IFERROR(M12/M14,0)</f>
        <v>-1.686260722823794</v>
      </c>
      <c r="N13" s="11">
        <f>IFERROR(N12/N14,0)</f>
        <v>0.2733360666940003</v>
      </c>
      <c r="O13" s="11">
        <f>IFERROR(O12/O14,0)</f>
        <v>-1.0144045445323595</v>
      </c>
      <c r="P13" s="11">
        <f>IFERROR(P12/P14,0)</f>
        <v>-5.663209606986899</v>
      </c>
      <c r="Q13" s="11">
        <f>IFERROR(Q12/Q14,0)</f>
        <v>-3.8040893961008084</v>
      </c>
      <c r="R13" s="11">
        <f>IFERROR(R12/R14,0)</f>
        <v>-0.767138573122254</v>
      </c>
      <c r="S13" s="11">
        <f>IFERROR(S12/S14,0)</f>
        <v>-0.15197205543285353</v>
      </c>
      <c r="T13" s="11">
        <f>IFERROR(T12/T14,0)</f>
        <v>0.04207410163581279</v>
      </c>
      <c r="U13" s="11">
        <f>IFERROR(U12/U14,0)</f>
        <v>0.20979125729062306</v>
      </c>
      <c r="V13" s="11">
        <f>IFERROR(V12/V14,0)</f>
        <v>0.3788222689941297</v>
      </c>
      <c r="W13" s="11">
        <f>IFERROR(W12/W14,0)</f>
        <v>0.5509862822585325</v>
      </c>
      <c r="X13" s="11">
        <f>IFERROR(X12/X14,0)</f>
        <v>0.7281465766162776</v>
      </c>
      <c r="Y13" s="11">
        <f>IFERROR(Y12/Y14,0)</f>
        <v>0.9122439848795351</v>
      </c>
      <c r="Z13" s="11">
        <f>IFERROR(Z12/Z14,0)</f>
        <v>1.1053319714698924</v>
      </c>
      <c r="AA13" s="11">
        <f>IFERROR(AA12/AA14,0)</f>
        <v>1.3096142505835047</v>
      </c>
      <c r="AB13" s="11">
        <f>IFERROR(AB12/AB14,0)</f>
        <v>1.5274858976423444</v>
      </c>
    </row>
    <row r="14">
      <c r="A14" s="2" t="inlineStr">
        <is>
          <t>Shares</t>
        </is>
      </c>
      <c r="B14" s="52" t="n">
        <v>11.562</v>
      </c>
      <c r="C14" s="52" t="n">
        <v>13.647</v>
      </c>
      <c r="D14" s="52" t="n">
        <v>13.748</v>
      </c>
      <c r="E14" s="52" t="n">
        <v>14.345</v>
      </c>
      <c r="F14" s="52" t="n">
        <v>14.826</v>
      </c>
      <c r="G14" s="52" t="n">
        <v>15.269</v>
      </c>
      <c r="H14" s="52" t="n">
        <v>15.321</v>
      </c>
      <c r="I14" s="52" t="n">
        <v>15.116</v>
      </c>
      <c r="J14" s="52" t="n">
        <v>15.068</v>
      </c>
      <c r="K14" s="52" t="n">
        <v>14.689</v>
      </c>
      <c r="L14" s="52" t="n">
        <v>14.374</v>
      </c>
      <c r="M14" s="52" t="n">
        <v>14.222</v>
      </c>
      <c r="N14" s="52" t="n">
        <v>14.634</v>
      </c>
      <c r="O14" s="52" t="n">
        <v>14.787</v>
      </c>
      <c r="P14" s="52" t="n">
        <v>14.656</v>
      </c>
      <c r="Q14" s="52" t="n">
        <v>14.721</v>
      </c>
      <c r="R14" s="52" t="n">
        <v>14.339</v>
      </c>
      <c r="S14" s="52">
        <f>Main!$C$4</f>
        <v>13.382966</v>
      </c>
      <c r="T14" s="52">
        <f>Main!$C$4</f>
        <v>13.382966</v>
      </c>
      <c r="U14" s="52">
        <f>Main!$C$4</f>
        <v>13.382966</v>
      </c>
      <c r="V14" s="52">
        <f>Main!$C$4</f>
        <v>13.382966</v>
      </c>
      <c r="W14" s="52">
        <f>Main!$C$4</f>
        <v>13.382966</v>
      </c>
      <c r="X14" s="52">
        <f>Main!$C$4</f>
        <v>13.382966</v>
      </c>
      <c r="Y14" s="52">
        <f>Main!$C$4</f>
        <v>13.382966</v>
      </c>
      <c r="Z14" s="52">
        <f>Main!$C$4</f>
        <v>13.382966</v>
      </c>
      <c r="AA14" s="52">
        <f>Main!$C$4</f>
        <v>13.382966</v>
      </c>
      <c r="AB14" s="52">
        <f>Main!$C$4</f>
        <v>13.382966</v>
      </c>
    </row>
    <row r="15"/>
    <row r="16" customFormat="1" s="4">
      <c r="A16" s="3" t="inlineStr">
        <is>
          <t>Revenue Change</t>
        </is>
      </c>
      <c r="C16" s="15">
        <f>IFERROR(C2/B2-1,"")</f>
        <v>0.38421865656766996</v>
      </c>
      <c r="D16" s="15">
        <f>IFERROR(D2/C2-1,"")</f>
        <v>0.16599168421621036</v>
      </c>
      <c r="E16" s="15">
        <f>IFERROR(E2/D2-1,"")</f>
        <v>0.1015761280661942</v>
      </c>
      <c r="F16" s="15">
        <f>IFERROR(F2/E2-1,"")</f>
        <v>0.05215880267380446</v>
      </c>
      <c r="G16" s="15">
        <f>IFERROR(G2/F2-1,"")</f>
        <v>0.40641440577509624</v>
      </c>
      <c r="H16" s="15">
        <f>IFERROR(H2/G2-1,"")</f>
        <v>-0.11928595103934847</v>
      </c>
      <c r="I16" s="15">
        <f>IFERROR(I2/H2-1,"")</f>
        <v>0.11161410337745581</v>
      </c>
      <c r="J16" s="15">
        <f>IFERROR(J2/I2-1,"")</f>
        <v>0.09712804341307235</v>
      </c>
      <c r="K16" s="15">
        <f>IFERROR(K2/J2-1,"")</f>
        <v>-0.06934403103509079</v>
      </c>
      <c r="L16" s="15">
        <f>IFERROR(L2/K2-1,"")</f>
        <v>0.08578466202453683</v>
      </c>
      <c r="M16" s="15">
        <f>IFERROR(M2/L2-1,"")</f>
        <v>0.13826891196230684</v>
      </c>
      <c r="N16" s="15">
        <f>IFERROR(N2/M2-1,"")</f>
        <v>0.1328943636600568</v>
      </c>
      <c r="O16" s="15">
        <f>IFERROR(O2/N2-1,"")</f>
        <v>-0.22982665060827911</v>
      </c>
      <c r="P16" s="15">
        <f>IFERROR(P2/O2-1,"")</f>
        <v>0.06118934874853954</v>
      </c>
      <c r="Q16" s="15">
        <f>IFERROR(Q2/P2-1,"")</f>
        <v>-0.007326644148619166</v>
      </c>
      <c r="R16" s="15">
        <f>IFERROR(R2/Q2-1,"")</f>
        <v>-0.059112478837765936</v>
      </c>
      <c r="S16" s="15">
        <f>IFERROR(S2/R2-1,"")</f>
        <v>-0.007299999999999973</v>
      </c>
      <c r="T16" s="15">
        <f>IFERROR(T2/S2-1,"")</f>
        <v>-0.0037111111111111095</v>
      </c>
      <c r="U16" s="15">
        <f>IFERROR(U2/T2-1,"")</f>
        <v>-0.00012222222222224577</v>
      </c>
      <c r="V16" s="15">
        <f>IFERROR(V2/U2-1,"")</f>
        <v>0.003466666666666729</v>
      </c>
      <c r="W16" s="15">
        <f>IFERROR(W2/V2-1,"")</f>
        <v>0.007055555555555593</v>
      </c>
      <c r="X16" s="15">
        <f>IFERROR(X2/W2-1,"")</f>
        <v>0.010644444444444456</v>
      </c>
      <c r="Y16" s="15">
        <f>IFERROR(Y2/X2-1,"")</f>
        <v>0.01423333333333332</v>
      </c>
      <c r="Z16" s="15">
        <f>IFERROR(Z2/Y2-1,"")</f>
        <v>0.017822222222222184</v>
      </c>
      <c r="AA16" s="15">
        <f>IFERROR(AA2/Z2-1,"")</f>
        <v>0.021411111111111047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0.6594080127566274</v>
      </c>
      <c r="C17" s="15">
        <f>IFERROR(C4/C2,"")</f>
        <v>0.5711251507460806</v>
      </c>
      <c r="D17" s="15">
        <f>IFERROR(D4/D2,"")</f>
        <v>0.5865326726253879</v>
      </c>
      <c r="E17" s="15">
        <f>IFERROR(E4/E2,"")</f>
        <v>0.5937583206042685</v>
      </c>
      <c r="F17" s="15">
        <f>IFERROR(F4/F2,"")</f>
        <v>0.6967941290073387</v>
      </c>
      <c r="G17" s="15">
        <f>IFERROR(G4/G2,"")</f>
        <v>0.8017898574743122</v>
      </c>
      <c r="H17" s="15">
        <f>IFERROR(H4/H2,"")</f>
        <v>0.7736212217335671</v>
      </c>
      <c r="I17" s="15">
        <f>IFERROR(I4/I2,"")</f>
        <v>0.7675833583222899</v>
      </c>
      <c r="J17" s="15">
        <f>IFERROR(J4/J2,"")</f>
        <v>0.758737436078293</v>
      </c>
      <c r="K17" s="15">
        <f>IFERROR(K4/K2,"")</f>
        <v>0.703661598218938</v>
      </c>
      <c r="L17" s="15">
        <f>IFERROR(L4/L2,"")</f>
        <v>0.7491754646191432</v>
      </c>
      <c r="M17" s="15">
        <f>IFERROR(M4/M2,"")</f>
        <v>0.5291092083981696</v>
      </c>
      <c r="N17" s="15">
        <f>IFERROR(N4/N2,"")</f>
        <v>0.561206814890997</v>
      </c>
      <c r="O17" s="15">
        <f>IFERROR(O4/O2,"")</f>
        <v>0.6432568722710781</v>
      </c>
      <c r="P17" s="15">
        <f>IFERROR(P4/P2,"")</f>
        <v>0.6832571693489636</v>
      </c>
      <c r="Q17" s="15">
        <f>IFERROR(Q4/Q2,"")</f>
        <v>0.6338078677641839</v>
      </c>
      <c r="R17" s="15">
        <f>IFERROR(R4/R2,"")</f>
        <v>0.5655696292291192</v>
      </c>
      <c r="S17" s="15">
        <f>IFERROR(S4/S2,"")</f>
        <v>0.5656</v>
      </c>
      <c r="T17" s="15">
        <f>IFERROR(T4/T2,"")</f>
        <v>0.5656</v>
      </c>
      <c r="U17" s="15">
        <f>IFERROR(U4/U2,"")</f>
        <v>0.5656</v>
      </c>
      <c r="V17" s="15">
        <f>IFERROR(V4/V2,"")</f>
        <v>0.5656</v>
      </c>
      <c r="W17" s="15">
        <f>IFERROR(W4/W2,"")</f>
        <v>0.5656</v>
      </c>
      <c r="X17" s="15">
        <f>IFERROR(X4/X2,"")</f>
        <v>0.5656</v>
      </c>
      <c r="Y17" s="15">
        <f>IFERROR(Y4/Y2,"")</f>
        <v>0.5656000000000001</v>
      </c>
      <c r="Z17" s="15">
        <f>IFERROR(Z4/Z2,"")</f>
        <v>0.5655999999999999</v>
      </c>
      <c r="AA17" s="15">
        <f>IFERROR(AA4/AA2,"")</f>
        <v>0.5655999999999999</v>
      </c>
      <c r="AB17" s="15">
        <f>IFERROR(AB4/AB2,"")</f>
        <v>0.5655999999999999</v>
      </c>
    </row>
    <row r="18">
      <c r="A18" s="14" t="inlineStr">
        <is>
          <t>Operating Margin</t>
        </is>
      </c>
      <c r="B18" s="15">
        <f>IFERROR(B8/B2,"")</f>
        <v>0.1392017141718159</v>
      </c>
      <c r="C18" s="15">
        <f>IFERROR(C8/C2,"")</f>
        <v>0.1356624727757078</v>
      </c>
      <c r="D18" s="15">
        <f>IFERROR(D8/D2,"")</f>
        <v>0.21560999706695064</v>
      </c>
      <c r="E18" s="15">
        <f>IFERROR(E8/E2,"")</f>
        <v>0.2762790958393474</v>
      </c>
      <c r="F18" s="15">
        <f>IFERROR(F8/F2,"")</f>
        <v>0.43429096575698245</v>
      </c>
      <c r="G18" s="15">
        <f>IFERROR(G8/G2,"")</f>
        <v>0.581912022349543</v>
      </c>
      <c r="H18" s="15">
        <f>IFERROR(H8/H2,"")</f>
        <v>0.5175754578006215</v>
      </c>
      <c r="I18" s="15">
        <f>IFERROR(I8/I2,"")</f>
        <v>0.48952882113388596</v>
      </c>
      <c r="J18" s="15">
        <f>IFERROR(J8/J2,"")</f>
        <v>0.4031828601657556</v>
      </c>
      <c r="K18" s="15">
        <f>IFERROR(K8/K2,"")</f>
        <v>0.20604424233811763</v>
      </c>
      <c r="L18" s="15">
        <f>IFERROR(L8/L2,"")</f>
        <v>0.29882209231306167</v>
      </c>
      <c r="M18" s="15">
        <f>IFERROR(M8/M2,"")</f>
        <v>-0.21709835424699328</v>
      </c>
      <c r="N18" s="15">
        <f>IFERROR(N8/N2,"")</f>
        <v>0.01769354642272358</v>
      </c>
      <c r="O18" s="15">
        <f>IFERROR(O8/O2,"")</f>
        <v>0.03224191097015648</v>
      </c>
      <c r="P18" s="15">
        <f>IFERROR(P8/P2,"")</f>
        <v>0.006987217696536263</v>
      </c>
      <c r="Q18" s="15">
        <f>IFERROR(Q8/Q2,"")</f>
        <v>-0.042541302843036796</v>
      </c>
      <c r="R18" s="15">
        <f>IFERROR(R8/R2,"")</f>
        <v>-0.09795335892004008</v>
      </c>
      <c r="S18" s="15">
        <f>IFERROR(S8/S2,"")</f>
        <v>-0.018159999999999944</v>
      </c>
      <c r="T18" s="15">
        <f>IFERROR(T8/T2,"")</f>
        <v>0.00607999999999997</v>
      </c>
      <c r="U18" s="15">
        <f>IFERROR(U8/U2,"")</f>
        <v>0.030320000000000014</v>
      </c>
      <c r="V18" s="15">
        <f>IFERROR(V8/V2,"")</f>
        <v>0.05455999999999998</v>
      </c>
      <c r="W18" s="15">
        <f>IFERROR(W8/W2,"")</f>
        <v>0.07880000000000004</v>
      </c>
      <c r="X18" s="15">
        <f>IFERROR(X8/X2,"")</f>
        <v>0.10304000000000002</v>
      </c>
      <c r="Y18" s="15">
        <f>IFERROR(Y8/Y2,"")</f>
        <v>0.12728000000000003</v>
      </c>
      <c r="Z18" s="15">
        <f>IFERROR(Z8/Z2,"")</f>
        <v>0.15152</v>
      </c>
      <c r="AA18" s="15">
        <f>IFERROR(AA8/AA2,"")</f>
        <v>0.17576</v>
      </c>
      <c r="AB18" s="15">
        <f>IFERROR(AB8/AB2,"")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Anika Therapeutics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-0.0573</v>
      </c>
      <c r="C12" s="53" t="n">
        <v>-0.0073</v>
      </c>
      <c r="D12" s="53" t="n">
        <v>0.0427</v>
      </c>
      <c r="E12" s="54">
        <f>CHOOSE($B$4,B12,C12,D12)</f>
        <v>-0.0073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-0.0424</v>
      </c>
    </row>
    <row r="19">
      <c r="A19" s="14" t="inlineStr">
        <is>
          <t>Gross margin (forecast)</t>
        </is>
      </c>
      <c r="B19" s="53" t="n">
        <v>0.5656</v>
      </c>
    </row>
    <row r="20">
      <c r="A20" s="14" t="inlineStr">
        <is>
          <t>R&amp;D share of operating expense (forecast)</t>
        </is>
      </c>
      <c r="B20" s="53" t="n">
        <v>0.3443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112.819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106.49653625215866</v>
      </c>
      <c r="C29" s="56">
        <f>NPV!B26</f>
        <v>144.90853625215865</v>
      </c>
      <c r="D29" s="35">
        <f>NPV!B28</f>
        <v>10.827834147688835</v>
      </c>
      <c r="E29" s="57">
        <f>NPV!B30</f>
        <v>-0.47026251723635837</v>
      </c>
    </row>
    <row r="30">
      <c r="A30" s="58" t="n">
        <v>1</v>
      </c>
      <c r="B30" s="59">
        <f t="dataTable" ref="B30:E32" r1="B4"/>
        <v>53.806337071549734</v>
      </c>
      <c r="C30" s="59">
        <v>92.21833707154974</v>
      </c>
      <c r="D30" s="39">
        <v>6.890724901456803</v>
      </c>
      <c r="E30" s="60">
        <v>-0.6628803864257924</v>
      </c>
    </row>
    <row r="31">
      <c r="A31" s="58" t="n">
        <v>2</v>
      </c>
      <c r="B31" s="59">
        <v>106.49653625215866</v>
      </c>
      <c r="C31" s="59">
        <v>144.90853625215865</v>
      </c>
      <c r="D31" s="39">
        <v>10.827834147688835</v>
      </c>
      <c r="E31" s="60">
        <v>-0.47026251723635837</v>
      </c>
    </row>
    <row r="32">
      <c r="A32" s="58" t="n">
        <v>3</v>
      </c>
      <c r="B32" s="59">
        <v>205.1312757443483</v>
      </c>
      <c r="C32" s="59">
        <v>243.5432757443483</v>
      </c>
      <c r="D32" s="39">
        <v>18.198004518904728</v>
      </c>
      <c r="E32" s="60">
        <v>-0.10968666737256716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10.827834147688835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12.435589579240187</v>
      </c>
      <c r="C37" s="39">
        <v>12.96562187686138</v>
      </c>
      <c r="D37" s="39">
        <v>13.562721500685033</v>
      </c>
      <c r="E37" s="39">
        <v>14.240313964822494</v>
      </c>
      <c r="F37" s="39">
        <v>15.0156608247247</v>
      </c>
    </row>
    <row r="38">
      <c r="A38" s="62" t="n">
        <v>0.115</v>
      </c>
      <c r="B38" s="39">
        <v>11.173179319681182</v>
      </c>
      <c r="C38" s="39">
        <v>11.580149932098797</v>
      </c>
      <c r="D38" s="39">
        <v>12.033023472778584</v>
      </c>
      <c r="E38" s="39">
        <v>12.539910376000433</v>
      </c>
      <c r="F38" s="39">
        <v>13.110948831508518</v>
      </c>
    </row>
    <row r="39">
      <c r="A39" s="62" t="n">
        <v>0.125</v>
      </c>
      <c r="B39" s="39">
        <v>10.156937057770588</v>
      </c>
      <c r="C39" s="39">
        <v>10.476133972782945</v>
      </c>
      <c r="D39" s="39">
        <v>10.827834147688835</v>
      </c>
      <c r="E39" s="39">
        <v>11.21717796582945</v>
      </c>
      <c r="F39" s="39">
        <v>11.65044823974639</v>
      </c>
    </row>
    <row r="40">
      <c r="A40" s="62" t="n">
        <v>0.135</v>
      </c>
      <c r="B40" s="39">
        <v>9.324097707993824</v>
      </c>
      <c r="C40" s="39">
        <v>9.578860442954205</v>
      </c>
      <c r="D40" s="39">
        <v>9.857287332169888</v>
      </c>
      <c r="E40" s="39">
        <v>10.162765985633559</v>
      </c>
      <c r="F40" s="39">
        <v>10.499361637677566</v>
      </c>
    </row>
    <row r="41">
      <c r="A41" s="62" t="n">
        <v>0.145</v>
      </c>
      <c r="B41" s="39">
        <v>8.631316718980257</v>
      </c>
      <c r="C41" s="39">
        <v>8.837638207740248</v>
      </c>
      <c r="D41" s="39">
        <v>9.061592717478836</v>
      </c>
      <c r="E41" s="39">
        <v>9.305486209006649</v>
      </c>
      <c r="F41" s="39">
        <v>9.57204399568589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Anika Therapeutics Inc: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-0.0073</v>
      </c>
      <c r="D5" s="63">
        <f>Assumptions!$E$12+(Assumptions!$E$11-Assumptions!$E$12)*(D4-1)/(Assumptions!$B$21-1)</f>
        <v>-0.0037111111111111108</v>
      </c>
      <c r="E5" s="63">
        <f>Assumptions!$E$12+(Assumptions!$E$11-Assumptions!$E$12)*(E4-1)/(Assumptions!$B$21-1)</f>
        <v>-0.00012222222222222148</v>
      </c>
      <c r="F5" s="63">
        <f>Assumptions!$E$12+(Assumptions!$E$11-Assumptions!$E$12)*(F4-1)/(Assumptions!$B$21-1)</f>
        <v>0.0034666666666666674</v>
      </c>
      <c r="G5" s="63">
        <f>Assumptions!$E$12+(Assumptions!$E$11-Assumptions!$E$12)*(G4-1)/(Assumptions!$B$21-1)</f>
        <v>0.007055555555555557</v>
      </c>
      <c r="H5" s="63">
        <f>Assumptions!$E$12+(Assumptions!$E$11-Assumptions!$E$12)*(H4-1)/(Assumptions!$B$21-1)</f>
        <v>0.010644444444444442</v>
      </c>
      <c r="I5" s="63">
        <f>Assumptions!$E$12+(Assumptions!$E$11-Assumptions!$E$12)*(I4-1)/(Assumptions!$B$21-1)</f>
        <v>0.014233333333333334</v>
      </c>
      <c r="J5" s="63">
        <f>Assumptions!$E$12+(Assumptions!$E$11-Assumptions!$E$12)*(J4-1)/(Assumptions!$B$21-1)</f>
        <v>0.017822222222222225</v>
      </c>
      <c r="K5" s="63">
        <f>Assumptions!$E$12+(Assumptions!$E$11-Assumptions!$E$12)*(K4-1)/(Assumptions!$B$21-1)</f>
        <v>0.021411111111111113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-0.09795335892004008</v>
      </c>
      <c r="C6" s="63">
        <f>Assumptions!$B$18+(Assumptions!$E$13-Assumptions!$B$18)*C4/Assumptions!$B$21</f>
        <v>-0.01816</v>
      </c>
      <c r="D6" s="63">
        <f>Assumptions!$B$18+(Assumptions!$E$13-Assumptions!$B$18)*D4/Assumptions!$B$21</f>
        <v>0.006080000000000002</v>
      </c>
      <c r="E6" s="63">
        <f>Assumptions!$B$18+(Assumptions!$E$13-Assumptions!$B$18)*E4/Assumptions!$B$21</f>
        <v>0.030320000000000007</v>
      </c>
      <c r="F6" s="63">
        <f>Assumptions!$B$18+(Assumptions!$E$13-Assumptions!$B$18)*F4/Assumptions!$B$21</f>
        <v>0.054560000000000004</v>
      </c>
      <c r="G6" s="63">
        <f>Assumptions!$B$18+(Assumptions!$E$13-Assumptions!$B$18)*G4/Assumptions!$B$21</f>
        <v>0.07880000000000001</v>
      </c>
      <c r="H6" s="63">
        <f>Assumptions!$B$18+(Assumptions!$E$13-Assumptions!$B$18)*H4/Assumptions!$B$21</f>
        <v>0.10304000000000002</v>
      </c>
      <c r="I6" s="63">
        <f>Assumptions!$B$18+(Assumptions!$E$13-Assumptions!$B$18)*I4/Assumptions!$B$21</f>
        <v>0.12728</v>
      </c>
      <c r="J6" s="63">
        <f>Assumptions!$B$18+(Assumptions!$E$13-Assumptions!$B$18)*J4/Assumptions!$B$21</f>
        <v>0.15152000000000002</v>
      </c>
      <c r="K6" s="63">
        <f>Assumptions!$B$18+(Assumptions!$E$13-Assumptions!$B$18)*K4/Assumptions!$B$21</f>
        <v>0.17576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Model'!R2</f>
        <v>112.819</v>
      </c>
      <c r="C7" s="55">
        <f>'Yearly Model'!S2</f>
        <v>111.9954213</v>
      </c>
      <c r="D7" s="55">
        <f>'Yearly Model'!T2</f>
        <v>111.57979384762001</v>
      </c>
      <c r="E7" s="55">
        <f>'Yearly Model'!U2</f>
        <v>111.56615631726085</v>
      </c>
      <c r="F7" s="55">
        <f>'Yearly Model'!V2</f>
        <v>111.95291899249402</v>
      </c>
      <c r="G7" s="55">
        <f>'Yearly Model'!W2</f>
        <v>112.74280903205218</v>
      </c>
      <c r="H7" s="55">
        <f>'Yearly Model'!X2</f>
        <v>113.94289359930447</v>
      </c>
      <c r="I7" s="55">
        <f>'Yearly Model'!Y2</f>
        <v>115.5646807848679</v>
      </c>
      <c r="J7" s="55">
        <f>'Yearly Model'!Z2</f>
        <v>117.62430020685599</v>
      </c>
      <c r="K7" s="55">
        <f>'Yearly Model'!AA2</f>
        <v>120.14276716795166</v>
      </c>
      <c r="L7" s="55">
        <f>'Yearly Model'!AB2</f>
        <v>123.14633634715044</v>
      </c>
    </row>
    <row r="8">
      <c r="A8" s="14" t="inlineStr">
        <is>
          <t>Operating income</t>
        </is>
      </c>
      <c r="B8" s="55">
        <f>'Yearly Model'!R8</f>
        <v>-11.051000000000002</v>
      </c>
      <c r="C8" s="55">
        <f>'Yearly Model'!S8</f>
        <v>-2.033836850807994</v>
      </c>
      <c r="D8" s="55">
        <f>'Yearly Model'!T8</f>
        <v>0.6784051465935264</v>
      </c>
      <c r="E8" s="55">
        <f>'Yearly Model'!U8</f>
        <v>3.3826858595393503</v>
      </c>
      <c r="F8" s="55">
        <f>'Yearly Model'!V8</f>
        <v>6.108151260230471</v>
      </c>
      <c r="G8" s="55">
        <f>'Yearly Model'!W8</f>
        <v>8.884133351725715</v>
      </c>
      <c r="H8" s="55">
        <f>'Yearly Model'!X8</f>
        <v>11.740675756472335</v>
      </c>
      <c r="I8" s="55">
        <f>'Yearly Model'!Y8</f>
        <v>14.709072570297991</v>
      </c>
      <c r="J8" s="55">
        <f>'Yearly Model'!Z8</f>
        <v>17.822433967342818</v>
      </c>
      <c r="K8" s="55">
        <f>'Yearly Model'!AA8</f>
        <v>21.116292757439183</v>
      </c>
      <c r="L8" s="55">
        <f>'Yearly Model'!AB8</f>
        <v>24.629267269430088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0.1153288749208995</v>
      </c>
      <c r="E9" s="52">
        <f>MAX(0,E8)*Assumptions!$E$14</f>
        <v>0.5750565961216896</v>
      </c>
      <c r="F9" s="52">
        <f>MAX(0,F8)*Assumptions!$E$14</f>
        <v>1.0383857142391801</v>
      </c>
      <c r="G9" s="52">
        <f>MAX(0,G8)*Assumptions!$E$14</f>
        <v>1.5103026697933717</v>
      </c>
      <c r="H9" s="52">
        <f>MAX(0,H8)*Assumptions!$E$14</f>
        <v>1.9959148786002971</v>
      </c>
      <c r="I9" s="52">
        <f>MAX(0,I8)*Assumptions!$E$14</f>
        <v>2.5005423369506588</v>
      </c>
      <c r="J9" s="52">
        <f>MAX(0,J8)*Assumptions!$E$14</f>
        <v>3.029813774448279</v>
      </c>
      <c r="K9" s="52">
        <f>MAX(0,K8)*Assumptions!$E$14</f>
        <v>3.5897697687646613</v>
      </c>
      <c r="L9" s="52">
        <f>MAX(0,L8)*Assumptions!$E$14</f>
        <v>4.186975435803115</v>
      </c>
    </row>
    <row r="10">
      <c r="A10" s="14" t="inlineStr">
        <is>
          <t>NOPAT</t>
        </is>
      </c>
      <c r="C10" s="52">
        <f>C8-C9</f>
        <v>-2.033836850807994</v>
      </c>
      <c r="D10" s="52">
        <f>D8-D9</f>
        <v>0.5630762716726269</v>
      </c>
      <c r="E10" s="52">
        <f>E8-E9</f>
        <v>2.8076292634176605</v>
      </c>
      <c r="F10" s="52">
        <f>F8-F9</f>
        <v>5.069765545991292</v>
      </c>
      <c r="G10" s="52">
        <f>G8-G9</f>
        <v>7.373830681932343</v>
      </c>
      <c r="H10" s="52">
        <f>H8-H9</f>
        <v>9.744760877872038</v>
      </c>
      <c r="I10" s="52">
        <f>I8-I9</f>
        <v>12.208530233347332</v>
      </c>
      <c r="J10" s="52">
        <f>J8-J9</f>
        <v>14.792620192894539</v>
      </c>
      <c r="K10" s="52">
        <f>K8-K9</f>
        <v>17.52652298867452</v>
      </c>
      <c r="L10" s="52">
        <f>L8-L9</f>
        <v>20.442291833626975</v>
      </c>
    </row>
    <row r="11">
      <c r="A11" s="14" t="inlineStr">
        <is>
          <t>Reinvestment</t>
        </is>
      </c>
      <c r="C11" s="52">
        <f>(C7-B7)*Assumptions!$E$15</f>
        <v>-0.2058946749999997</v>
      </c>
      <c r="D11" s="52">
        <f>(D7-C7)*Assumptions!$E$15</f>
        <v>-0.10390686309499841</v>
      </c>
      <c r="E11" s="52">
        <f>(E7-D7)*Assumptions!$E$15</f>
        <v>-0.0034093825897905106</v>
      </c>
      <c r="F11" s="52">
        <f>(F7-E7)*Assumptions!$E$15</f>
        <v>0.09669066880829291</v>
      </c>
      <c r="G11" s="52">
        <f>(G7-F7)*Assumptions!$E$15</f>
        <v>0.1974725098895398</v>
      </c>
      <c r="H11" s="52">
        <f>(H7-G7)*Assumptions!$E$15</f>
        <v>0.3000211418130725</v>
      </c>
      <c r="I11" s="52">
        <f>(I7-H7)*Assumptions!$E$15</f>
        <v>0.40544679639085857</v>
      </c>
      <c r="J11" s="52">
        <f>(J7-I7)*Assumptions!$E$15</f>
        <v>0.5149048554970221</v>
      </c>
      <c r="K11" s="52">
        <f>(K7-J7)*Assumptions!$E$15</f>
        <v>0.6296167402739172</v>
      </c>
      <c r="L11" s="52">
        <f>(L7-K7)*Assumptions!$E$15</f>
        <v>0.7508922947996943</v>
      </c>
    </row>
    <row r="12">
      <c r="A12" s="20" t="inlineStr">
        <is>
          <t>Free cash flow</t>
        </is>
      </c>
      <c r="C12" s="64">
        <f>C10-C11</f>
        <v>-1.8279421758079941</v>
      </c>
      <c r="D12" s="64">
        <f>D10-D11</f>
        <v>0.6669831347676253</v>
      </c>
      <c r="E12" s="64">
        <f>E10-E11</f>
        <v>2.811038646007451</v>
      </c>
      <c r="F12" s="64">
        <f>F10-F11</f>
        <v>4.973074877182999</v>
      </c>
      <c r="G12" s="64">
        <f>G10-G11</f>
        <v>7.176358172042804</v>
      </c>
      <c r="H12" s="64">
        <f>H10-H11</f>
        <v>9.444739736058965</v>
      </c>
      <c r="I12" s="64">
        <f>I10-I11</f>
        <v>11.803083436956474</v>
      </c>
      <c r="J12" s="64">
        <f>J10-J11</f>
        <v>14.277715337397517</v>
      </c>
      <c r="K12" s="64">
        <f>K10-K11</f>
        <v>16.896906248400605</v>
      </c>
      <c r="L12" s="64">
        <f>L10-L11</f>
        <v>19.69139953882728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-0.8945119721075684</v>
      </c>
      <c r="D16" s="64">
        <f>D12*D13*D15</f>
        <v>0.592587661691522</v>
      </c>
      <c r="E16" s="64">
        <f>E12*E13*E15</f>
        <v>2.2199952543593167</v>
      </c>
      <c r="F16" s="64">
        <f>F12*F13*F15</f>
        <v>3.4910631556379257</v>
      </c>
      <c r="G16" s="64">
        <f>G12*G13*G15</f>
        <v>4.4780020811718035</v>
      </c>
      <c r="H16" s="64">
        <f>H12*H13*H15</f>
        <v>5.238629174082894</v>
      </c>
      <c r="I16" s="64">
        <f>I12*I13*I15</f>
        <v>5.819298263364496</v>
      </c>
      <c r="J16" s="64">
        <f>J12*J13*J15</f>
        <v>6.257218727745869</v>
      </c>
      <c r="K16" s="64">
        <f>K12*K13*K15</f>
        <v>6.5822942004376905</v>
      </c>
      <c r="L16" s="64">
        <f>L12*L13*L15</f>
        <v>6.818583398376349</v>
      </c>
    </row>
    <row r="19">
      <c r="A19" s="14" t="inlineStr">
        <is>
          <t>PV of forecast free cash flow</t>
        </is>
      </c>
      <c r="B19" s="52">
        <f>SUM(C16:L16)</f>
        <v>40.60315994476029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20.183684527297956</v>
      </c>
    </row>
    <row r="21">
      <c r="A21" s="14" t="inlineStr">
        <is>
          <t>Terminal value</t>
        </is>
      </c>
      <c r="B21" s="52">
        <f>B20/(Assumptions!$E$10-Assumptions!$E$11)</f>
        <v>201.83684527297956</v>
      </c>
    </row>
    <row r="22">
      <c r="A22" s="14" t="inlineStr">
        <is>
          <t>PV of terminal value</t>
        </is>
      </c>
      <c r="B22" s="52">
        <f>B21/(1+Assumptions!$E$10)^(L14+0.5)</f>
        <v>65.89337630739837</v>
      </c>
    </row>
    <row r="23">
      <c r="A23" s="20" t="inlineStr">
        <is>
          <t>Enterprise value</t>
        </is>
      </c>
      <c r="B23" s="66">
        <f>B19+B22</f>
        <v>106.49653625215866</v>
      </c>
    </row>
    <row r="24">
      <c r="A24" s="14" t="inlineStr">
        <is>
          <t>Cash &amp; investments</t>
        </is>
      </c>
      <c r="B24" s="55">
        <f>Main!C7</f>
        <v>38.412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144.90853625215865</v>
      </c>
    </row>
    <row r="27">
      <c r="A27" s="14" t="inlineStr">
        <is>
          <t>Shares (mm)</t>
        </is>
      </c>
      <c r="B27" s="55">
        <f>Main!C4</f>
        <v>13.382966</v>
      </c>
    </row>
    <row r="28">
      <c r="A28" s="20" t="inlineStr">
        <is>
          <t>NPV / share</t>
        </is>
      </c>
      <c r="B28" s="49">
        <f>B26/B27</f>
        <v>10.827834147688835</v>
      </c>
    </row>
    <row r="29">
      <c r="A29" s="14" t="inlineStr">
        <is>
          <t>Price</t>
        </is>
      </c>
      <c r="B29" s="50">
        <f>Main!C3</f>
        <v>20.44</v>
      </c>
    </row>
    <row r="30">
      <c r="A30" s="14" t="inlineStr">
        <is>
          <t>Upside</t>
        </is>
      </c>
      <c r="B30" s="63">
        <f>B28/B29-1</f>
        <v>-0.47026251723635837</v>
      </c>
    </row>
    <row r="31">
      <c r="A31" s="14" t="inlineStr">
        <is>
          <t>Terminal value, % of EV</t>
        </is>
      </c>
      <c r="B31" s="63">
        <f>IFERROR(B22/B23,0)</f>
        <v>0.6187372718994203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2026-10-21T06:26:12Z</dcterms:modified>
  <cp:lastModifiedBy>Wang, Eric</cp:lastModifiedBy>
</cp:coreProperties>
</file>