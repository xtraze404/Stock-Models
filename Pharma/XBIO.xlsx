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Xenetic Biosciences Inc</t>
        </is>
      </c>
      <c r="C2" s="10" t="n"/>
    </row>
    <row r="3">
      <c r="B3" t="inlineStr">
        <is>
          <t>Price</t>
        </is>
      </c>
      <c r="C3" s="11">
        <f>INDEX([1]Pharma!$F$1:$F$1000,MATCH("XBIO",[1]Pharma!$B$1:$B$1000,0))</f>
        <v>2</v>
      </c>
      <c r="F3" s="1" t="n"/>
    </row>
    <row r="4">
      <c r="B4" t="inlineStr">
        <is>
          <t>Shares</t>
        </is>
      </c>
      <c r="C4" s="21" t="n">
        <v>2.343181</v>
      </c>
      <c r="F4" s="1" t="n"/>
    </row>
    <row r="5">
      <c r="B5" t="inlineStr">
        <is>
          <t>Market Cap.</t>
        </is>
      </c>
      <c r="C5" s="13">
        <f>C3*C4</f>
        <v>4.686362</v>
      </c>
      <c r="F5" s="1" t="n"/>
    </row>
    <row r="6"/>
    <row r="7">
      <c r="B7" t="inlineStr">
        <is>
          <t>Cash</t>
        </is>
      </c>
      <c r="C7" s="21" t="n">
        <v>6.471766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-1.7854039999999998</v>
      </c>
    </row>
    <row r="10"/>
    <row r="11">
      <c r="B11" s="14" t="inlineStr">
        <is>
          <t>Net Cash / Share</t>
        </is>
      </c>
      <c r="C11" s="11">
        <f>(C7-C8)/C4</f>
        <v>2.7619573562605706</v>
      </c>
    </row>
    <row r="12">
      <c r="B12" s="14" t="inlineStr">
        <is>
          <t>Upside</t>
        </is>
      </c>
      <c r="C12" s="15">
        <f>IFERROR(C11/C3-1,"")</f>
        <v>0.3809786781302853</v>
      </c>
    </row>
    <row r="13">
      <c r="B13" s="14" t="inlineStr">
        <is>
          <t>Cash / Share</t>
        </is>
      </c>
      <c r="C13" s="11">
        <f>IFERROR((C7-C8)/C4,"")</f>
        <v>2.7619573562605706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-2.313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2.7979965412883696</v>
      </c>
    </row>
    <row r="19">
      <c r="B19" s="14" t="inlineStr">
        <is>
          <t>Implied Pipeline Value</t>
        </is>
      </c>
      <c r="C19" s="13">
        <f>C9</f>
        <v>-1.7854039999999998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0.294</v>
      </c>
      <c r="C2" s="23" t="n">
        <v>1</v>
      </c>
      <c r="D2" s="23" t="n">
        <v>0</v>
      </c>
      <c r="E2" s="23" t="n">
        <v>0</v>
      </c>
      <c r="F2" s="23" t="n">
        <v>3</v>
      </c>
      <c r="G2" s="23" t="n">
        <v>7.585</v>
      </c>
      <c r="H2" s="23" t="n">
        <v>0</v>
      </c>
      <c r="I2" s="23" t="n">
        <v>0.017</v>
      </c>
      <c r="J2" s="23" t="n">
        <v>0.437</v>
      </c>
      <c r="K2" s="23" t="n">
        <v>1.161</v>
      </c>
      <c r="L2" s="23" t="n">
        <v>1.707</v>
      </c>
      <c r="M2" s="23" t="n">
        <v>2.54</v>
      </c>
      <c r="N2" s="23" t="n">
        <v>2.5</v>
      </c>
      <c r="O2" s="23" t="n">
        <v>2.976</v>
      </c>
    </row>
    <row r="3" customFormat="1" s="1">
      <c r="A3" s="5" t="inlineStr">
        <is>
          <t>Cost of Sales</t>
        </is>
      </c>
      <c r="B3" s="23" t="n">
        <v>0.045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0.249</v>
      </c>
      <c r="C4" s="23">
        <f>C2-C3</f>
        <v>1.0</v>
      </c>
      <c r="D4" s="23">
        <f>D2-D3</f>
        <v>0.0</v>
      </c>
      <c r="E4" s="23">
        <f>E2-E3</f>
        <v>0.0</v>
      </c>
      <c r="F4" s="23">
        <f>F2-F3</f>
        <v>3.0</v>
      </c>
      <c r="G4" s="23">
        <f>G2-G3</f>
        <v>7.585</v>
      </c>
      <c r="H4" s="23">
        <f>H2-H3</f>
        <v>0.0</v>
      </c>
      <c r="I4" s="23">
        <f>I2-I3</f>
        <v>0.017</v>
      </c>
      <c r="J4" s="23">
        <f>J2-J3</f>
        <v>0.437</v>
      </c>
      <c r="K4" s="23">
        <f>K2-K3</f>
        <v>1.161</v>
      </c>
      <c r="L4" s="23">
        <f>L2-L3</f>
        <v>1.707</v>
      </c>
      <c r="M4" s="23">
        <f>M2-M3</f>
        <v>2.54</v>
      </c>
      <c r="N4" s="23">
        <f>N2-N3</f>
        <v>2.5</v>
      </c>
      <c r="O4" s="23">
        <f>O2-O3</f>
        <v>2.976</v>
      </c>
    </row>
    <row r="5">
      <c r="A5" s="2" t="inlineStr">
        <is>
          <t>Research &amp; Dev.</t>
        </is>
      </c>
      <c r="B5" s="23" t="n">
        <v>1.944</v>
      </c>
      <c r="C5" s="23" t="n">
        <v>3.06</v>
      </c>
      <c r="D5" s="23" t="n">
        <v>6.324</v>
      </c>
      <c r="E5" s="23" t="n">
        <v>3.434</v>
      </c>
      <c r="F5" s="23" t="n">
        <v>43.738</v>
      </c>
      <c r="G5" s="23" t="n">
        <v>4.06</v>
      </c>
      <c r="H5" s="23" t="n">
        <v>2.884</v>
      </c>
      <c r="I5" s="23" t="n">
        <v>4.889</v>
      </c>
      <c r="J5" s="23" t="n">
        <v>1.731</v>
      </c>
      <c r="K5" s="23" t="n">
        <v>3.163</v>
      </c>
      <c r="L5" s="23" t="n">
        <v>4.771</v>
      </c>
      <c r="M5" s="23" t="n">
        <v>3.495</v>
      </c>
      <c r="N5" s="23" t="n">
        <v>3.288</v>
      </c>
      <c r="O5" s="23" t="n">
        <v>3.065</v>
      </c>
    </row>
    <row r="6">
      <c r="A6" s="19" t="inlineStr">
        <is>
          <t>SG&amp;A &amp; Other</t>
        </is>
      </c>
      <c r="B6" s="23" t="n">
        <v>4.65</v>
      </c>
      <c r="C6" s="23" t="n">
        <v>6.553</v>
      </c>
      <c r="D6" s="23" t="n">
        <v>6.601</v>
      </c>
      <c r="E6" s="23" t="n">
        <v>6.388</v>
      </c>
      <c r="F6" s="23" t="n">
        <v>6.693</v>
      </c>
      <c r="G6" s="23" t="n">
        <v>7.094</v>
      </c>
      <c r="H6" s="23" t="n">
        <v>4.392</v>
      </c>
      <c r="I6" s="23" t="n">
        <v>8.015000000000001</v>
      </c>
      <c r="J6" s="23" t="n">
        <v>12.643</v>
      </c>
      <c r="K6" s="23" t="n">
        <v>3.744</v>
      </c>
      <c r="L6" s="23" t="n">
        <v>3.654</v>
      </c>
      <c r="M6" s="23" t="n">
        <v>3.561</v>
      </c>
      <c r="N6" s="23" t="n">
        <v>3.416</v>
      </c>
      <c r="O6" s="23" t="n">
        <v>2.746</v>
      </c>
    </row>
    <row r="7">
      <c r="A7" s="2" t="inlineStr">
        <is>
          <t>Operating Expense</t>
        </is>
      </c>
      <c r="B7" s="23">
        <f>SUM(B5:B6)</f>
        <v>6.594</v>
      </c>
      <c r="C7" s="23">
        <f>SUM(C5:C6)</f>
        <v>9.613</v>
      </c>
      <c r="D7" s="23">
        <f>SUM(D5:D6)</f>
        <v>12.925</v>
      </c>
      <c r="E7" s="23">
        <f>SUM(E5:E6)</f>
        <v>9.822</v>
      </c>
      <c r="F7" s="23">
        <f>SUM(F5:F6)</f>
        <v>50.431</v>
      </c>
      <c r="G7" s="23">
        <f>SUM(G5:G6)</f>
        <v>11.154</v>
      </c>
      <c r="H7" s="23">
        <f>SUM(H5:H6)</f>
        <v>7.276</v>
      </c>
      <c r="I7" s="23">
        <f>SUM(I5:I6)</f>
        <v>12.904</v>
      </c>
      <c r="J7" s="23">
        <f>SUM(J5:J6)</f>
        <v>14.374</v>
      </c>
      <c r="K7" s="23">
        <f>SUM(K5:K6)</f>
        <v>6.907</v>
      </c>
      <c r="L7" s="23">
        <f>SUM(L5:L6)</f>
        <v>8.425</v>
      </c>
      <c r="M7" s="23">
        <f>SUM(M5:M6)</f>
        <v>7.056</v>
      </c>
      <c r="N7" s="23">
        <f>SUM(N5:N6)</f>
        <v>6.704</v>
      </c>
      <c r="O7" s="23">
        <f>SUM(O5:O6)</f>
        <v>5.811</v>
      </c>
    </row>
    <row r="8">
      <c r="A8" s="2" t="inlineStr">
        <is>
          <t>Operating Income</t>
        </is>
      </c>
      <c r="B8" s="23">
        <f>B4-B7</f>
        <v>-6.345000000000001</v>
      </c>
      <c r="C8" s="23">
        <f>C4-C7</f>
        <v>-8.613</v>
      </c>
      <c r="D8" s="23">
        <f>D4-D7</f>
        <v>-12.925</v>
      </c>
      <c r="E8" s="23">
        <f>E4-E7</f>
        <v>-9.822</v>
      </c>
      <c r="F8" s="23">
        <f>F4-F7</f>
        <v>-47.431</v>
      </c>
      <c r="G8" s="23">
        <f>G4-G7</f>
        <v>-3.569</v>
      </c>
      <c r="H8" s="23">
        <f>H4-H7</f>
        <v>-7.276</v>
      </c>
      <c r="I8" s="23">
        <f>I4-I7</f>
        <v>-12.887</v>
      </c>
      <c r="J8" s="23">
        <f>J4-J7</f>
        <v>-13.937000000000001</v>
      </c>
      <c r="K8" s="23">
        <f>K4-K7</f>
        <v>-5.746</v>
      </c>
      <c r="L8" s="23">
        <f>L4-L7</f>
        <v>-6.718000000000001</v>
      </c>
      <c r="M8" s="23">
        <f>M4-M7</f>
        <v>-4.516</v>
      </c>
      <c r="N8" s="23">
        <f>N4-N7</f>
        <v>-4.204</v>
      </c>
      <c r="O8" s="23">
        <f>O4-O7</f>
        <v>-2.835</v>
      </c>
    </row>
    <row r="9">
      <c r="A9" s="19" t="inlineStr">
        <is>
          <t>Interest &amp; Other</t>
        </is>
      </c>
      <c r="B9" s="23" t="n">
        <v>6.255</v>
      </c>
      <c r="C9" s="23" t="n">
        <v>0.034</v>
      </c>
      <c r="D9" s="23" t="n">
        <v>-1.382</v>
      </c>
      <c r="E9" s="23" t="n">
        <v>-2.685</v>
      </c>
      <c r="F9" s="23" t="n">
        <v>-6.776</v>
      </c>
      <c r="G9" s="23" t="n">
        <v>-0.026</v>
      </c>
      <c r="H9" s="23" t="n">
        <v>-0.024</v>
      </c>
      <c r="I9" s="23" t="n">
        <v>0.112</v>
      </c>
      <c r="J9" s="23" t="n">
        <v>0.126</v>
      </c>
      <c r="K9" s="23" t="n">
        <v>0.102</v>
      </c>
      <c r="L9" s="23" t="n">
        <v>0.166</v>
      </c>
      <c r="M9" s="23" t="n">
        <v>0.381</v>
      </c>
      <c r="N9" s="23" t="n">
        <v>0.244</v>
      </c>
      <c r="O9" s="23" t="n">
        <v>0.154</v>
      </c>
    </row>
    <row r="10">
      <c r="A10" s="2" t="inlineStr">
        <is>
          <t>Pretax</t>
        </is>
      </c>
      <c r="B10" s="23">
        <f>B8+B9</f>
        <v>-0.09000000000000075</v>
      </c>
      <c r="C10" s="23">
        <f>C8+C9</f>
        <v>-8.578999999999999</v>
      </c>
      <c r="D10" s="23">
        <f>D8+D9</f>
        <v>-14.307</v>
      </c>
      <c r="E10" s="23">
        <f>E8+E9</f>
        <v>-12.507</v>
      </c>
      <c r="F10" s="23">
        <f>F8+F9</f>
        <v>-54.206999999999994</v>
      </c>
      <c r="G10" s="23">
        <f>G8+G9</f>
        <v>-3.5949999999999998</v>
      </c>
      <c r="H10" s="23">
        <f>H8+H9</f>
        <v>-7.3</v>
      </c>
      <c r="I10" s="23">
        <f>I8+I9</f>
        <v>-12.775</v>
      </c>
      <c r="J10" s="23">
        <f>J8+J9</f>
        <v>-13.811000000000002</v>
      </c>
      <c r="K10" s="23">
        <f>K8+K9</f>
        <v>-5.644</v>
      </c>
      <c r="L10" s="23">
        <f>L8+L9</f>
        <v>-6.5520000000000005</v>
      </c>
      <c r="M10" s="23">
        <f>M8+M9</f>
        <v>-4.135</v>
      </c>
      <c r="N10" s="23">
        <f>N8+N9</f>
        <v>-3.96</v>
      </c>
      <c r="O10" s="23">
        <f>O8+O9</f>
        <v>-2.681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-2.919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</row>
    <row r="12">
      <c r="A12" s="2" t="inlineStr">
        <is>
          <t>Net Income</t>
        </is>
      </c>
      <c r="B12" s="23" t="n">
        <v>-0.089</v>
      </c>
      <c r="C12" s="23" t="n">
        <v>-8.579000000000001</v>
      </c>
      <c r="D12" s="23" t="n">
        <v>-14.307</v>
      </c>
      <c r="E12" s="23" t="n">
        <v>-12.507</v>
      </c>
      <c r="F12" s="23" t="n">
        <v>-54.206</v>
      </c>
      <c r="G12" s="23" t="n">
        <v>-3.595</v>
      </c>
      <c r="H12" s="23" t="n">
        <v>-7.3</v>
      </c>
      <c r="I12" s="23" t="n">
        <v>-12.775</v>
      </c>
      <c r="J12" s="23" t="n">
        <v>-10.893</v>
      </c>
      <c r="K12" s="23" t="n">
        <v>-5.645</v>
      </c>
      <c r="L12" s="23" t="n">
        <v>-6.552</v>
      </c>
      <c r="M12" s="23" t="n">
        <v>-4.135</v>
      </c>
      <c r="N12" s="23" t="n">
        <v>-3.96</v>
      </c>
      <c r="O12" s="23" t="n">
        <v>-2.681</v>
      </c>
    </row>
    <row r="13">
      <c r="A13" s="2" t="inlineStr">
        <is>
          <t>Earnings per Share</t>
        </is>
      </c>
      <c r="B13" s="11">
        <f>IFERROR(B12/B14,0)</f>
        <v>-0.023765020026702267</v>
      </c>
      <c r="C13" s="11">
        <f>IFERROR(C12/C14,0)</f>
        <v>-2.290787716955941</v>
      </c>
      <c r="D13" s="11">
        <f>IFERROR(D12/D14,0)</f>
        <v>-3.368730868848599</v>
      </c>
      <c r="E13" s="11">
        <f>IFERROR(E12/E14,0)</f>
        <v>-2.9609375</v>
      </c>
      <c r="F13" s="11">
        <f>IFERROR(F12/F14,0)</f>
        <v>-7.294576772978065</v>
      </c>
      <c r="G13" s="11">
        <f>IFERROR(G12/G14,0)</f>
        <v>-0.4148396030463882</v>
      </c>
      <c r="H13" s="11">
        <f>IFERROR(H12/H14,0)</f>
        <v>-9.656084656084655</v>
      </c>
      <c r="I13" s="11">
        <f>IFERROR(I12/I14,0)</f>
        <v>-4.479312762973352</v>
      </c>
      <c r="J13" s="11">
        <f>IFERROR(J12/J14,0)</f>
        <v>-1.7041614518147685</v>
      </c>
      <c r="K13" s="11">
        <f>IFERROR(K12/K14,0)</f>
        <v>-0.5491779355968479</v>
      </c>
      <c r="L13" s="11">
        <f>IFERROR(L12/L14,0)</f>
        <v>-4.6075949367088604</v>
      </c>
      <c r="M13" s="11">
        <f>IFERROR(M12/M14,0)</f>
        <v>-2.706151832460733</v>
      </c>
      <c r="N13" s="11">
        <f>IFERROR(N12/N14,0)</f>
        <v>-2.5697598961713175</v>
      </c>
      <c r="O13" s="11">
        <f>IFERROR(O12/O14,0)</f>
        <v>-1.575205640423032</v>
      </c>
    </row>
    <row r="14">
      <c r="A14" s="2" t="inlineStr">
        <is>
          <t>Shares</t>
        </is>
      </c>
      <c r="B14" s="23" t="n">
        <v>3.745</v>
      </c>
      <c r="C14" s="23" t="n">
        <v>3.745</v>
      </c>
      <c r="D14" s="23" t="n">
        <v>4.247</v>
      </c>
      <c r="E14" s="23" t="n">
        <v>4.224</v>
      </c>
      <c r="F14" s="23" t="n">
        <v>7.431</v>
      </c>
      <c r="G14" s="23" t="n">
        <v>8.666</v>
      </c>
      <c r="H14" s="23" t="n">
        <v>0.756</v>
      </c>
      <c r="I14" s="23" t="n">
        <v>2.852</v>
      </c>
      <c r="J14" s="23" t="n">
        <v>6.392</v>
      </c>
      <c r="K14" s="23" t="n">
        <v>10.279</v>
      </c>
      <c r="L14" s="23" t="n">
        <v>1.422</v>
      </c>
      <c r="M14" s="23" t="n">
        <v>1.528</v>
      </c>
      <c r="N14" s="23" t="n">
        <v>1.541</v>
      </c>
      <c r="O14" s="23" t="n">
        <v>1.702</v>
      </c>
    </row>
    <row r="15"/>
    <row r="16" customFormat="1" s="4">
      <c r="A16" s="3" t="inlineStr">
        <is>
          <t>Revenue Change</t>
        </is>
      </c>
      <c r="C16" s="15">
        <f>IFERROR(C2/B2-1,"")</f>
        <v>2.4013605442176873</v>
      </c>
      <c r="D16" s="15">
        <f>IFERROR(D2/C2-1,"")</f>
        <v>-1.0</v>
      </c>
      <c r="E16" s="15">
        <f>IFERROR(E2/D2-1,"")</f>
        <v/>
      </c>
      <c r="F16" s="15">
        <f>IFERROR(F2/E2-1,"")</f>
        <v/>
      </c>
      <c r="G16" s="15">
        <f>IFERROR(G2/F2-1,"")</f>
        <v>1.5283333333333333</v>
      </c>
      <c r="H16" s="15">
        <f>IFERROR(H2/G2-1,"")</f>
        <v>-1.0</v>
      </c>
      <c r="I16" s="15">
        <f>IFERROR(I2/H2-1,"")</f>
        <v/>
      </c>
      <c r="J16" s="15">
        <f>IFERROR(J2/I2-1,"")</f>
        <v>24.705882352941174</v>
      </c>
      <c r="K16" s="15">
        <f>IFERROR(K2/J2-1,"")</f>
        <v>1.6567505720823799</v>
      </c>
      <c r="L16" s="15">
        <f>IFERROR(L2/K2-1,"")</f>
        <v>0.4702842377260983</v>
      </c>
      <c r="M16" s="15">
        <f>IFERROR(M2/L2-1,"")</f>
        <v>0.48799062683069705</v>
      </c>
      <c r="N16" s="15">
        <f>IFERROR(N2/M2-1,"")</f>
        <v>-0.015748031496062964</v>
      </c>
      <c r="O16" s="15">
        <f>IFERROR(O2/N2-1,"")</f>
        <v>0.1903999999999999</v>
      </c>
    </row>
    <row r="17" customFormat="1" s="4">
      <c r="A17" s="3" t="inlineStr">
        <is>
          <t>Gross Margin</t>
        </is>
      </c>
      <c r="B17" s="15">
        <f>IFERROR(B4/B2,"")</f>
        <v>0.8469387755102041</v>
      </c>
      <c r="C17" s="15">
        <f>IFERROR(C4/C2,"")</f>
        <v>1.0</v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15">
        <f>IFERROR(I4/I2,"")</f>
        <v>1.0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</row>
    <row r="18">
      <c r="A18" s="14" t="inlineStr">
        <is>
          <t>Operating Margin</t>
        </is>
      </c>
      <c r="B18" s="15">
        <f>IFERROR(B8/B2,"")</f>
        <v>-21.581632653061227</v>
      </c>
      <c r="C18" s="15">
        <f>IFERROR(C8/C2,"")</f>
        <v>-8.613</v>
      </c>
      <c r="D18" s="15">
        <f>IFERROR(D8/D2,"")</f>
        <v/>
      </c>
      <c r="E18" s="15">
        <f>IFERROR(E8/E2,"")</f>
        <v/>
      </c>
      <c r="F18" s="15">
        <f>IFERROR(F8/F2,"")</f>
        <v>-15.810333333333332</v>
      </c>
      <c r="G18" s="15">
        <f>IFERROR(G8/G2,"")</f>
        <v>-0.47053394858272907</v>
      </c>
      <c r="H18" s="15">
        <f>IFERROR(H8/H2,"")</f>
        <v/>
      </c>
      <c r="I18" s="15">
        <f>IFERROR(I8/I2,"")</f>
        <v>-758.0588235294117</v>
      </c>
      <c r="J18" s="15">
        <f>IFERROR(J8/J2,"")</f>
        <v>-31.892448512585815</v>
      </c>
      <c r="K18" s="15">
        <f>IFERROR(K8/K2,"")</f>
        <v>-4.949181739879415</v>
      </c>
      <c r="L18" s="15">
        <f>IFERROR(L8/L2,"")</f>
        <v>-3.9355594610427653</v>
      </c>
      <c r="M18" s="15">
        <f>IFERROR(M8/M2,"")</f>
        <v>-1.7779527559055117</v>
      </c>
      <c r="N18" s="15">
        <f>IFERROR(N8/N2,"")</f>
        <v>-1.6816</v>
      </c>
      <c r="O18" s="15">
        <f>IFERROR(O8/O2,"")</f>
        <v>-0.9526209677419355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2026-10-21T01:06:47Z</dcterms:modified>
  <cp:lastModifiedBy>Wang, Eric</cp:lastModifiedBy>
</cp:coreProperties>
</file>