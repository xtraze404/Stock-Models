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Ocular Therapeutix, Inc.</t>
        </is>
      </c>
      <c r="C2" s="10" t="n"/>
    </row>
    <row r="3">
      <c r="B3" t="inlineStr">
        <is>
          <t>Price</t>
        </is>
      </c>
      <c r="C3" s="11">
        <f>INDEX([1]Pharma!$F$1:$F$1000,MATCH("OCUL",[1]Pharma!$B$1:$B$1000,0))</f>
        <v>6.65</v>
      </c>
      <c r="F3" s="1" t="n"/>
    </row>
    <row r="4">
      <c r="B4" t="inlineStr">
        <is>
          <t>Shares</t>
        </is>
      </c>
      <c r="C4" s="51" t="n">
        <v>219.615868</v>
      </c>
      <c r="F4" s="1" t="n"/>
    </row>
    <row r="5">
      <c r="B5" t="inlineStr">
        <is>
          <t>Market Cap.</t>
        </is>
      </c>
      <c r="C5" s="13">
        <f>C3*C4</f>
        <v>1460.4455222000001</v>
      </c>
      <c r="F5" s="1" t="n"/>
    </row>
    <row r="6"/>
    <row r="7">
      <c r="B7" t="inlineStr">
        <is>
          <t>Cash</t>
        </is>
      </c>
      <c r="C7" s="51" t="n">
        <v>598.641</v>
      </c>
    </row>
    <row r="8">
      <c r="B8" t="inlineStr">
        <is>
          <t>Debt</t>
        </is>
      </c>
      <c r="C8" s="51" t="n">
        <v>72.795</v>
      </c>
    </row>
    <row r="9">
      <c r="B9" t="inlineStr">
        <is>
          <t>Enterprise V.</t>
        </is>
      </c>
      <c r="C9" s="13">
        <f>C5-C7+C8</f>
        <v>934.5995222000001</v>
      </c>
    </row>
    <row r="10"/>
    <row r="11">
      <c r="B11" s="14" t="inlineStr">
        <is>
          <t>NPV / Share</t>
        </is>
      </c>
      <c r="C11" s="11">
        <f>NPV!B28</f>
        <v>1.6233398913836945</v>
      </c>
    </row>
    <row r="12">
      <c r="B12" s="14" t="inlineStr">
        <is>
          <t>Upside</t>
        </is>
      </c>
      <c r="C12" s="15">
        <f>IFERROR(C11/C3-1,"")</f>
        <v>-0.7558887381377903</v>
      </c>
    </row>
    <row r="13">
      <c r="B13" s="14" t="inlineStr">
        <is>
          <t>Cash / Share</t>
        </is>
      </c>
      <c r="C13" s="11">
        <f>IFERROR((C7-C8)/C4,"")</f>
        <v>2.3943898261486276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0.01</v>
      </c>
      <c r="C2" s="52" t="n">
        <v>0</v>
      </c>
      <c r="D2" s="52" t="n">
        <v>0.772</v>
      </c>
      <c r="E2" s="52" t="n">
        <v>1.75</v>
      </c>
      <c r="F2" s="52" t="n">
        <v>1.887</v>
      </c>
      <c r="G2" s="52" t="n">
        <v>1.923</v>
      </c>
      <c r="H2" s="52" t="n">
        <v>1.99</v>
      </c>
      <c r="I2" s="52" t="n">
        <v>4.227</v>
      </c>
      <c r="J2" s="52" t="n">
        <v>17.403</v>
      </c>
      <c r="K2" s="52" t="n">
        <v>43.522</v>
      </c>
      <c r="L2" s="52" t="n">
        <v>51.494</v>
      </c>
      <c r="M2" s="52" t="n">
        <v>58.443</v>
      </c>
      <c r="N2" s="52" t="n">
        <v>63.723</v>
      </c>
      <c r="O2" s="52" t="n">
        <v>51.951</v>
      </c>
      <c r="P2" s="52">
        <f>O2*(1+NPV!C5)</f>
        <v>52.1743893</v>
      </c>
      <c r="Q2" s="52">
        <f>P2*(1+NPV!D5)</f>
        <v>52.51874026938</v>
      </c>
      <c r="R2" s="52">
        <f>Q2*(1+NPV!E5)</f>
        <v>52.986157057777476</v>
      </c>
      <c r="S2" s="52">
        <f>R2*(1+NPV!F5)</f>
        <v>53.57960201682459</v>
      </c>
      <c r="T2" s="52">
        <f>S2*(1+NPV!G5)</f>
        <v>54.30292664405172</v>
      </c>
      <c r="U2" s="52">
        <f>T2*(1+NPV!H5)</f>
        <v>55.16091288502774</v>
      </c>
      <c r="V2" s="52">
        <f>U2*(1+NPV!I5)</f>
        <v>56.159325408246744</v>
      </c>
      <c r="W2" s="52">
        <f>V2*(1+NPV!J5)</f>
        <v>57.304975646574974</v>
      </c>
      <c r="X2" s="52">
        <f>W2*(1+NPV!K5)</f>
        <v>58.60579859375222</v>
      </c>
      <c r="Y2" s="52">
        <f>X2*(1+NPV!L5)</f>
        <v>60.07094355859602</v>
      </c>
    </row>
    <row r="3" customFormat="1" s="1">
      <c r="A3" s="5" t="inlineStr">
        <is>
          <t>Cost of Sales</t>
        </is>
      </c>
      <c r="B3" s="52" t="n">
        <v>0.007</v>
      </c>
      <c r="C3" s="52" t="n">
        <v>0</v>
      </c>
      <c r="D3" s="52" t="n">
        <v>0.091</v>
      </c>
      <c r="E3" s="52" t="n">
        <v>0.319</v>
      </c>
      <c r="F3" s="52" t="n">
        <v>0.443</v>
      </c>
      <c r="G3" s="52" t="n">
        <v>0.457</v>
      </c>
      <c r="H3" s="52" t="n">
        <v>0.465</v>
      </c>
      <c r="I3" s="52" t="n">
        <v>2.325</v>
      </c>
      <c r="J3" s="52" t="n">
        <v>2.083</v>
      </c>
      <c r="K3" s="52" t="n">
        <v>4.406</v>
      </c>
      <c r="L3" s="52" t="n">
        <v>4.54</v>
      </c>
      <c r="M3" s="52" t="n">
        <v>5.281</v>
      </c>
      <c r="N3" s="52" t="n">
        <v>5.626</v>
      </c>
      <c r="O3" s="52" t="n">
        <v>6.574</v>
      </c>
      <c r="P3" s="52">
        <f>P2*(1-Assumptions!$B$19)</f>
        <v>6.600060246449997</v>
      </c>
      <c r="Q3" s="52">
        <f>Q2*(1-Assumptions!$B$19)</f>
        <v>6.643620644076567</v>
      </c>
      <c r="R3" s="52">
        <f>R2*(1-Assumptions!$B$19)</f>
        <v>6.702748867808848</v>
      </c>
      <c r="S3" s="52">
        <f>S2*(1-Assumptions!$B$19)</f>
        <v>6.777819655128307</v>
      </c>
      <c r="T3" s="52">
        <f>T2*(1-Assumptions!$B$19)</f>
        <v>6.86932022047254</v>
      </c>
      <c r="U3" s="52">
        <f>U2*(1-Assumptions!$B$19)</f>
        <v>6.977855479956006</v>
      </c>
      <c r="V3" s="52">
        <f>V2*(1-Assumptions!$B$19)</f>
        <v>7.10415466414321</v>
      </c>
      <c r="W3" s="52">
        <f>W2*(1-Assumptions!$B$19)</f>
        <v>7.249079419291731</v>
      </c>
      <c r="X3" s="52">
        <f>X2*(1-Assumptions!$B$19)</f>
        <v>7.413633522109652</v>
      </c>
      <c r="Y3" s="52">
        <f>Y2*(1-Assumptions!$B$19)</f>
        <v>7.598974360162393</v>
      </c>
    </row>
    <row r="4" customFormat="1" s="1">
      <c r="A4" s="5" t="inlineStr">
        <is>
          <t>Gross Margin</t>
        </is>
      </c>
      <c r="B4" s="52">
        <f>B2-B3</f>
        <v>0.003</v>
      </c>
      <c r="C4" s="52">
        <f>C2-C3</f>
        <v>0.0</v>
      </c>
      <c r="D4" s="52">
        <f>D2-D3</f>
        <v>0.681</v>
      </c>
      <c r="E4" s="52">
        <f>E2-E3</f>
        <v>1.431</v>
      </c>
      <c r="F4" s="52">
        <f>F2-F3</f>
        <v>1.444</v>
      </c>
      <c r="G4" s="52">
        <f>G2-G3</f>
        <v>1.466</v>
      </c>
      <c r="H4" s="52">
        <f>H2-H3</f>
        <v>1.525</v>
      </c>
      <c r="I4" s="52">
        <f>I2-I3</f>
        <v>1.9020000000000001</v>
      </c>
      <c r="J4" s="52">
        <f>J2-J3</f>
        <v>15.319999999999999</v>
      </c>
      <c r="K4" s="52">
        <f>K2-K3</f>
        <v>39.116</v>
      </c>
      <c r="L4" s="52">
        <f>L2-L3</f>
        <v>46.954</v>
      </c>
      <c r="M4" s="52">
        <f>M2-M3</f>
        <v>53.162</v>
      </c>
      <c r="N4" s="52">
        <f>N2-N3</f>
        <v>58.097</v>
      </c>
      <c r="O4" s="52">
        <f>O2-O3</f>
        <v>45.377</v>
      </c>
      <c r="P4" s="52">
        <f>P2-P3</f>
        <v>45.57432905355</v>
      </c>
      <c r="Q4" s="52">
        <f>Q2-Q3</f>
        <v>45.87511962530343</v>
      </c>
      <c r="R4" s="52">
        <f>R2-R3</f>
        <v>46.283408189968625</v>
      </c>
      <c r="S4" s="52">
        <f>S2-S3</f>
        <v>46.80178236169628</v>
      </c>
      <c r="T4" s="52">
        <f>T2-T3</f>
        <v>47.433606423579185</v>
      </c>
      <c r="U4" s="52">
        <f>U2-U3</f>
        <v>48.183057405071736</v>
      </c>
      <c r="V4" s="52">
        <f>V2-V3</f>
        <v>49.055170744103535</v>
      </c>
      <c r="W4" s="52">
        <f>W2-W3</f>
        <v>50.05589622728324</v>
      </c>
      <c r="X4" s="52">
        <f>X2-X3</f>
        <v>51.19216507164256</v>
      </c>
      <c r="Y4" s="52">
        <f>Y2-Y3</f>
        <v>52.47196919843363</v>
      </c>
    </row>
    <row r="5">
      <c r="A5" s="2" t="inlineStr">
        <is>
          <t>Research &amp; Dev.</t>
        </is>
      </c>
      <c r="B5" s="52" t="n">
        <v>11.54</v>
      </c>
      <c r="C5" s="52" t="n">
        <v>10.517</v>
      </c>
      <c r="D5" s="52" t="n">
        <v>18.88</v>
      </c>
      <c r="E5" s="52" t="n">
        <v>26.611</v>
      </c>
      <c r="F5" s="52" t="n">
        <v>27.065</v>
      </c>
      <c r="G5" s="52" t="n">
        <v>30.88</v>
      </c>
      <c r="H5" s="52" t="n">
        <v>36.915</v>
      </c>
      <c r="I5" s="52" t="n">
        <v>41.091</v>
      </c>
      <c r="J5" s="52" t="n">
        <v>28.694</v>
      </c>
      <c r="K5" s="52" t="n">
        <v>50.083</v>
      </c>
      <c r="L5" s="52" t="n">
        <v>53.462</v>
      </c>
      <c r="M5" s="52" t="n">
        <v>61.055</v>
      </c>
      <c r="N5" s="52" t="n">
        <v>127.635</v>
      </c>
      <c r="O5" s="52" t="n">
        <v>197.096</v>
      </c>
      <c r="P5" s="52">
        <f>P7*Assumptions!$B$20</f>
        <v>71.84242013741151</v>
      </c>
      <c r="Q5" s="52">
        <f>Q7*Assumptions!$B$20</f>
        <v>66.73735677528137</v>
      </c>
      <c r="R5" s="52">
        <f>R7*Assumptions!$B$20</f>
        <v>61.702440827862496</v>
      </c>
      <c r="S5" s="52">
        <f>S7*Assumptions!$B$20</f>
        <v>56.701586304081225</v>
      </c>
      <c r="T5" s="52">
        <f>T7*Assumptions!$B$20</f>
        <v>51.69829491300878</v>
      </c>
      <c r="U5" s="52">
        <f>U7*Assumptions!$B$20</f>
        <v>46.65521871411917</v>
      </c>
      <c r="V5" s="52">
        <f>V7*Assumptions!$B$20</f>
        <v>41.53370455675045</v>
      </c>
      <c r="W5" s="52">
        <f>W7*Assumptions!$B$20</f>
        <v>36.29331265184556</v>
      </c>
      <c r="X5" s="52">
        <f>X7*Assumptions!$B$20</f>
        <v>30.891301047032375</v>
      </c>
      <c r="Y5" s="52">
        <f>Y7*Assumptions!$B$20</f>
        <v>25.282067026147846</v>
      </c>
    </row>
    <row r="6">
      <c r="A6" s="18" t="inlineStr">
        <is>
          <t>SG&amp;A &amp; Other</t>
        </is>
      </c>
      <c r="B6" s="52" t="n">
        <v>2.134</v>
      </c>
      <c r="C6" s="52" t="n">
        <v>2.386</v>
      </c>
      <c r="D6" s="52" t="n">
        <v>8.895</v>
      </c>
      <c r="E6" s="52" t="n">
        <v>13.017</v>
      </c>
      <c r="F6" s="52" t="n">
        <v>17.705</v>
      </c>
      <c r="G6" s="52" t="n">
        <v>32.509</v>
      </c>
      <c r="H6" s="52" t="n">
        <v>23.728</v>
      </c>
      <c r="I6" s="52" t="n">
        <v>46.613</v>
      </c>
      <c r="J6" s="52" t="n">
        <v>49.473</v>
      </c>
      <c r="K6" s="52" t="n">
        <v>67.06999999999999</v>
      </c>
      <c r="L6" s="52" t="n">
        <v>72.146</v>
      </c>
      <c r="M6" s="52" t="n">
        <v>74.489</v>
      </c>
      <c r="N6" s="52" t="n">
        <v>102.243</v>
      </c>
      <c r="O6" s="52" t="n">
        <v>118.298</v>
      </c>
      <c r="P6" s="52">
        <f>P7-P5</f>
        <v>43.1238466851385</v>
      </c>
      <c r="Q6" s="52">
        <f>Q7-Q5</f>
        <v>40.05950156250286</v>
      </c>
      <c r="R6" s="52">
        <f>R7-R5</f>
        <v>37.03726284930584</v>
      </c>
      <c r="S6" s="52">
        <f>S7-S5</f>
        <v>34.03546971141122</v>
      </c>
      <c r="T6" s="52">
        <f>T7-T5</f>
        <v>31.032213829204025</v>
      </c>
      <c r="U6" s="52">
        <f>U7-U5</f>
        <v>28.00507687576588</v>
      </c>
      <c r="V6" s="52">
        <f>V7-V5</f>
        <v>24.93085706390957</v>
      </c>
      <c r="W6" s="52">
        <f>W7-W5</f>
        <v>21.785280165958184</v>
      </c>
      <c r="X6" s="52">
        <f>X7-X5</f>
        <v>18.542690066797636</v>
      </c>
      <c r="Y6" s="52">
        <f>Y7-Y5</f>
        <v>15.17571346056658</v>
      </c>
    </row>
    <row r="7">
      <c r="A7" s="2" t="inlineStr">
        <is>
          <t>Operating Expense</t>
        </is>
      </c>
      <c r="B7" s="52">
        <f>SUM(B5:B6)</f>
        <v>13.674</v>
      </c>
      <c r="C7" s="52">
        <f>SUM(C5:C6)</f>
        <v>12.902999999999999</v>
      </c>
      <c r="D7" s="52">
        <f>SUM(D5:D6)</f>
        <v>27.775</v>
      </c>
      <c r="E7" s="52">
        <f>SUM(E5:E6)</f>
        <v>39.628</v>
      </c>
      <c r="F7" s="52">
        <f>SUM(F5:F6)</f>
        <v>44.769999999999996</v>
      </c>
      <c r="G7" s="52">
        <f>SUM(G5:G6)</f>
        <v>63.388999999999996</v>
      </c>
      <c r="H7" s="52">
        <f>SUM(H5:H6)</f>
        <v>60.643</v>
      </c>
      <c r="I7" s="52">
        <f>SUM(I5:I6)</f>
        <v>87.70400000000001</v>
      </c>
      <c r="J7" s="52">
        <f>SUM(J5:J6)</f>
        <v>78.167</v>
      </c>
      <c r="K7" s="52">
        <f>SUM(K5:K6)</f>
        <v>117.15299999999999</v>
      </c>
      <c r="L7" s="52">
        <f>SUM(L5:L6)</f>
        <v>125.608</v>
      </c>
      <c r="M7" s="52">
        <f>SUM(M5:M6)</f>
        <v>135.544</v>
      </c>
      <c r="N7" s="52">
        <f>SUM(N5:N6)</f>
        <v>229.878</v>
      </c>
      <c r="O7" s="52">
        <f>SUM(O5:O6)</f>
        <v>315.394</v>
      </c>
      <c r="P7" s="52">
        <f>P4-P2*NPV!C6</f>
        <v>114.96626682255001</v>
      </c>
      <c r="Q7" s="52">
        <f>Q4-Q2*NPV!D6</f>
        <v>106.79685833778423</v>
      </c>
      <c r="R7" s="52">
        <f>R4-R2*NPV!E6</f>
        <v>98.73970367716834</v>
      </c>
      <c r="S7" s="52">
        <f>S4-S2*NPV!F6</f>
        <v>90.73705601549244</v>
      </c>
      <c r="T7" s="52">
        <f>T4-T2*NPV!G6</f>
        <v>82.7305087422128</v>
      </c>
      <c r="U7" s="52">
        <f>U4-U2*NPV!H6</f>
        <v>74.66029558988505</v>
      </c>
      <c r="V7" s="52">
        <f>V4-V2*NPV!I6</f>
        <v>66.46456162066002</v>
      </c>
      <c r="W7" s="52">
        <f>W4-W2*NPV!J6</f>
        <v>58.078592817803745</v>
      </c>
      <c r="X7" s="52">
        <f>X4-X2*NPV!K6</f>
        <v>49.43399111383001</v>
      </c>
      <c r="Y7" s="52">
        <f>Y4-Y2*NPV!L6</f>
        <v>40.45778048671443</v>
      </c>
    </row>
    <row r="8">
      <c r="A8" s="2" t="inlineStr">
        <is>
          <t>Operating Income</t>
        </is>
      </c>
      <c r="B8" s="52">
        <f>B4-B7</f>
        <v>-13.671</v>
      </c>
      <c r="C8" s="52">
        <f>C4-C7</f>
        <v>-12.902999999999999</v>
      </c>
      <c r="D8" s="52">
        <f>D4-D7</f>
        <v>-27.093999999999998</v>
      </c>
      <c r="E8" s="52">
        <f>E4-E7</f>
        <v>-38.197</v>
      </c>
      <c r="F8" s="52">
        <f>F4-F7</f>
        <v>-43.32599999999999</v>
      </c>
      <c r="G8" s="52">
        <f>G4-G7</f>
        <v>-61.922999999999995</v>
      </c>
      <c r="H8" s="52">
        <f>H4-H7</f>
        <v>-59.118</v>
      </c>
      <c r="I8" s="52">
        <f>I4-I7</f>
        <v>-85.802</v>
      </c>
      <c r="J8" s="52">
        <f>J4-J7</f>
        <v>-62.847</v>
      </c>
      <c r="K8" s="52">
        <f>K4-K7</f>
        <v>-78.03699999999999</v>
      </c>
      <c r="L8" s="52">
        <f>L4-L7</f>
        <v>-78.654</v>
      </c>
      <c r="M8" s="52">
        <f>M4-M7</f>
        <v>-82.382</v>
      </c>
      <c r="N8" s="52">
        <f>N4-N7</f>
        <v>-171.78099999999998</v>
      </c>
      <c r="O8" s="52">
        <f>O4-O7</f>
        <v>-270.017</v>
      </c>
      <c r="P8" s="52">
        <f>P4-P7</f>
        <v>-69.39193776900001</v>
      </c>
      <c r="Q8" s="52">
        <f>Q4-Q7</f>
        <v>-60.9217387124808</v>
      </c>
      <c r="R8" s="52">
        <f>R4-R7</f>
        <v>-52.45629548719971</v>
      </c>
      <c r="S8" s="52">
        <f>S4-S7</f>
        <v>-43.93527365379616</v>
      </c>
      <c r="T8" s="52">
        <f>T4-T7</f>
        <v>-35.29690231863362</v>
      </c>
      <c r="U8" s="52">
        <f>U4-U7</f>
        <v>-26.477238184813316</v>
      </c>
      <c r="V8" s="52">
        <f>V4-V7</f>
        <v>-17.409390876556486</v>
      </c>
      <c r="W8" s="52">
        <f>W4-W7</f>
        <v>-8.022696590520503</v>
      </c>
      <c r="X8" s="52">
        <f>X4-X7</f>
        <v>1.7581739578125521</v>
      </c>
      <c r="Y8" s="52">
        <f>Y4-Y7</f>
        <v>12.0141887117192</v>
      </c>
    </row>
    <row r="9">
      <c r="A9" s="18" t="inlineStr">
        <is>
          <t>Interest &amp; Other</t>
        </is>
      </c>
      <c r="B9" s="52" t="n">
        <v>-0.422</v>
      </c>
      <c r="C9" s="52" t="n">
        <v>-0.414</v>
      </c>
      <c r="D9" s="52" t="n">
        <v>-1.554</v>
      </c>
      <c r="E9" s="52" t="n">
        <v>-1.551</v>
      </c>
      <c r="F9" s="52" t="n">
        <v>-1.377</v>
      </c>
      <c r="G9" s="52" t="n">
        <v>-1.463</v>
      </c>
      <c r="H9" s="52" t="n">
        <v>-0.86</v>
      </c>
      <c r="I9" s="52" t="n">
        <v>-0.57</v>
      </c>
      <c r="J9" s="52" t="n">
        <v>-92.789</v>
      </c>
      <c r="K9" s="52" t="n">
        <v>71.48399999999999</v>
      </c>
      <c r="L9" s="52" t="n">
        <v>7.616</v>
      </c>
      <c r="M9" s="52" t="n">
        <v>1.646</v>
      </c>
      <c r="N9" s="52" t="n">
        <v>-21.725</v>
      </c>
      <c r="O9" s="52" t="n">
        <v>4.078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-14.093</v>
      </c>
      <c r="C10" s="52">
        <f>C8+C9</f>
        <v>-13.316999999999998</v>
      </c>
      <c r="D10" s="52">
        <f>D8+D9</f>
        <v>-28.647999999999996</v>
      </c>
      <c r="E10" s="52">
        <f>E8+E9</f>
        <v>-39.748000000000005</v>
      </c>
      <c r="F10" s="52">
        <f>F8+F9</f>
        <v>-44.702999999999996</v>
      </c>
      <c r="G10" s="52">
        <f>G8+G9</f>
        <v>-63.385999999999996</v>
      </c>
      <c r="H10" s="52">
        <f>H8+H9</f>
        <v>-59.978</v>
      </c>
      <c r="I10" s="52">
        <f>I8+I9</f>
        <v>-86.372</v>
      </c>
      <c r="J10" s="52">
        <f>J8+J9</f>
        <v>-155.636</v>
      </c>
      <c r="K10" s="52">
        <f>K8+K9</f>
        <v>-6.552999999999997</v>
      </c>
      <c r="L10" s="52">
        <f>L8+L9</f>
        <v>-71.038</v>
      </c>
      <c r="M10" s="52">
        <f>M8+M9</f>
        <v>-80.736</v>
      </c>
      <c r="N10" s="52">
        <f>N8+N9</f>
        <v>-193.50599999999997</v>
      </c>
      <c r="O10" s="52">
        <f>O8+O9</f>
        <v>-265.939</v>
      </c>
      <c r="P10" s="52">
        <f>P8+P9</f>
        <v>-69.39193776900001</v>
      </c>
      <c r="Q10" s="52">
        <f>Q8+Q9</f>
        <v>-60.9217387124808</v>
      </c>
      <c r="R10" s="52">
        <f>R8+R9</f>
        <v>-52.45629548719971</v>
      </c>
      <c r="S10" s="52">
        <f>S8+S9</f>
        <v>-43.93527365379616</v>
      </c>
      <c r="T10" s="52">
        <f>T8+T9</f>
        <v>-35.29690231863362</v>
      </c>
      <c r="U10" s="52">
        <f>U8+U9</f>
        <v>-26.477238184813316</v>
      </c>
      <c r="V10" s="52">
        <f>V8+V9</f>
        <v>-17.409390876556486</v>
      </c>
      <c r="W10" s="52">
        <f>W8+W9</f>
        <v>-8.022696590520503</v>
      </c>
      <c r="X10" s="52">
        <f>X8+X9</f>
        <v>1.7581739578125521</v>
      </c>
      <c r="Y10" s="52">
        <f>Y8+Y9</f>
        <v>12.0141887117192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0.2988895728281339</v>
      </c>
      <c r="Y11" s="52">
        <f>MAX(0,Y10)*Assumptions!$E$14</f>
        <v>2.042412080992264</v>
      </c>
    </row>
    <row r="12">
      <c r="A12" s="2" t="inlineStr">
        <is>
          <t>Net Income</t>
        </is>
      </c>
      <c r="B12" s="52" t="n">
        <v>-14.093</v>
      </c>
      <c r="C12" s="52" t="n">
        <v>-13.317</v>
      </c>
      <c r="D12" s="52" t="n">
        <v>-28.648</v>
      </c>
      <c r="E12" s="52" t="n">
        <v>-39.748</v>
      </c>
      <c r="F12" s="52" t="n">
        <v>-44.703</v>
      </c>
      <c r="G12" s="52" t="n">
        <v>-63.386</v>
      </c>
      <c r="H12" s="52" t="n">
        <v>-59.978</v>
      </c>
      <c r="I12" s="52" t="n">
        <v>-86.372</v>
      </c>
      <c r="J12" s="52" t="n">
        <v>-155.636</v>
      </c>
      <c r="K12" s="52" t="n">
        <v>-6.553</v>
      </c>
      <c r="L12" s="52" t="n">
        <v>-71.038</v>
      </c>
      <c r="M12" s="52" t="n">
        <v>-80.736</v>
      </c>
      <c r="N12" s="52" t="n">
        <v>-193.506</v>
      </c>
      <c r="O12" s="52" t="n">
        <v>-265.939</v>
      </c>
      <c r="P12" s="52">
        <f>P10-P11</f>
        <v>-69.39193776900001</v>
      </c>
      <c r="Q12" s="52">
        <f>Q10-Q11</f>
        <v>-60.9217387124808</v>
      </c>
      <c r="R12" s="52">
        <f>R10-R11</f>
        <v>-52.45629548719971</v>
      </c>
      <c r="S12" s="52">
        <f>S10-S11</f>
        <v>-43.93527365379616</v>
      </c>
      <c r="T12" s="52">
        <f>T10-T11</f>
        <v>-35.29690231863362</v>
      </c>
      <c r="U12" s="52">
        <f>U10-U11</f>
        <v>-26.477238184813316</v>
      </c>
      <c r="V12" s="52">
        <f>V10-V11</f>
        <v>-17.409390876556486</v>
      </c>
      <c r="W12" s="52">
        <f>W10-W11</f>
        <v>-8.022696590520503</v>
      </c>
      <c r="X12" s="52">
        <f>X10-X11</f>
        <v>1.4592843849844184</v>
      </c>
      <c r="Y12" s="52">
        <f>Y10-Y11</f>
        <v>9.971776630726936</v>
      </c>
    </row>
    <row r="13">
      <c r="A13" s="2" t="inlineStr">
        <is>
          <t>Earnings per Share</t>
        </is>
      </c>
      <c r="B13" s="11">
        <f>IFERROR(B12/B14,0)</f>
        <v>-5.585810543004359</v>
      </c>
      <c r="C13" s="11">
        <f>IFERROR(C12/C14,0)</f>
        <v>-5.104254503641242</v>
      </c>
      <c r="D13" s="11">
        <f>IFERROR(D12/D14,0)</f>
        <v>-2.689195531775087</v>
      </c>
      <c r="E13" s="11">
        <f>IFERROR(E12/E14,0)</f>
        <v>-1.7100326966098778</v>
      </c>
      <c r="F13" s="11">
        <f>IFERROR(F12/F14,0)</f>
        <v>-1.8013781431334626</v>
      </c>
      <c r="G13" s="11">
        <f>IFERROR(G12/G14,0)</f>
        <v>-2.19952807273232</v>
      </c>
      <c r="H13" s="11">
        <f>IFERROR(H12/H14,0)</f>
        <v>-1.57360619178801</v>
      </c>
      <c r="I13" s="11">
        <f>IFERROR(I12/I14,0)</f>
        <v>-1.9078037682503919</v>
      </c>
      <c r="J13" s="11">
        <f>IFERROR(J12/J14,0)</f>
        <v>-2.561825125098762</v>
      </c>
      <c r="K13" s="11">
        <f>IFERROR(K12/K14,0)</f>
        <v>-0.07975706530999732</v>
      </c>
      <c r="L13" s="11">
        <f>IFERROR(L12/L14,0)</f>
        <v>-0.8595663327041284</v>
      </c>
      <c r="M13" s="11">
        <f>IFERROR(M12/M14,0)</f>
        <v>-0.9432106265406499</v>
      </c>
      <c r="N13" s="11">
        <f>IFERROR(N12/N14,0)</f>
        <v>-1.222670836887499</v>
      </c>
      <c r="O13" s="11">
        <f>IFERROR(O12/O14,0)</f>
        <v>-1.4203032455498528</v>
      </c>
      <c r="P13" s="11">
        <f>IFERROR(P12/P14,0)</f>
        <v>-0.3159695991047423</v>
      </c>
      <c r="Q13" s="11">
        <f>IFERROR(Q12/Q14,0)</f>
        <v>-0.27740135203928346</v>
      </c>
      <c r="R13" s="11">
        <f>IFERROR(R12/R14,0)</f>
        <v>-0.2388547601997489</v>
      </c>
      <c r="S13" s="11">
        <f>IFERROR(S12/S14,0)</f>
        <v>-0.20005509644592784</v>
      </c>
      <c r="T13" s="11">
        <f>IFERROR(T12/T14,0)</f>
        <v>-0.1607210928794709</v>
      </c>
      <c r="U13" s="11">
        <f>IFERROR(U12/U14,0)</f>
        <v>-0.1205615897700676</v>
      </c>
      <c r="V13" s="11">
        <f>IFERROR(V12/V14,0)</f>
        <v>-0.07927200814358498</v>
      </c>
      <c r="W13" s="11">
        <f>IFERROR(W12/W14,0)</f>
        <v>-0.03653058708180642</v>
      </c>
      <c r="X13" s="11">
        <f>IFERROR(X12/X14,0)</f>
        <v>0.006644712871951577</v>
      </c>
      <c r="Y13" s="11">
        <f>IFERROR(Y12/Y14,0)</f>
        <v>0.04540553795833612</v>
      </c>
    </row>
    <row r="14">
      <c r="A14" s="2" t="inlineStr">
        <is>
          <t>Shares</t>
        </is>
      </c>
      <c r="B14" s="52" t="n">
        <v>2.523</v>
      </c>
      <c r="C14" s="52" t="n">
        <v>2.609</v>
      </c>
      <c r="D14" s="52" t="n">
        <v>10.653</v>
      </c>
      <c r="E14" s="52" t="n">
        <v>23.244</v>
      </c>
      <c r="F14" s="52" t="n">
        <v>24.816</v>
      </c>
      <c r="G14" s="52" t="n">
        <v>28.818</v>
      </c>
      <c r="H14" s="52" t="n">
        <v>38.115</v>
      </c>
      <c r="I14" s="52" t="n">
        <v>45.273</v>
      </c>
      <c r="J14" s="52" t="n">
        <v>60.752</v>
      </c>
      <c r="K14" s="52" t="n">
        <v>82.16200000000001</v>
      </c>
      <c r="L14" s="52" t="n">
        <v>82.64400000000001</v>
      </c>
      <c r="M14" s="52" t="n">
        <v>85.59699999999999</v>
      </c>
      <c r="N14" s="52" t="n">
        <v>158.265</v>
      </c>
      <c r="O14" s="52" t="n">
        <v>187.241</v>
      </c>
      <c r="P14" s="52">
        <f>Main!$C$4</f>
        <v>219.615868</v>
      </c>
      <c r="Q14" s="52">
        <f>Main!$C$4</f>
        <v>219.615868</v>
      </c>
      <c r="R14" s="52">
        <f>Main!$C$4</f>
        <v>219.615868</v>
      </c>
      <c r="S14" s="52">
        <f>Main!$C$4</f>
        <v>219.615868</v>
      </c>
      <c r="T14" s="52">
        <f>Main!$C$4</f>
        <v>219.615868</v>
      </c>
      <c r="U14" s="52">
        <f>Main!$C$4</f>
        <v>219.615868</v>
      </c>
      <c r="V14" s="52">
        <f>Main!$C$4</f>
        <v>219.615868</v>
      </c>
      <c r="W14" s="52">
        <f>Main!$C$4</f>
        <v>219.615868</v>
      </c>
      <c r="X14" s="52">
        <f>Main!$C$4</f>
        <v>219.615868</v>
      </c>
      <c r="Y14" s="52">
        <f>Main!$C$4</f>
        <v>219.615868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>1.266839378238342</v>
      </c>
      <c r="F16" s="15">
        <f>IFERROR(F2/E2-1,"")</f>
        <v>0.07828571428571429</v>
      </c>
      <c r="G16" s="15">
        <f>IFERROR(G2/F2-1,"")</f>
        <v>0.019077901430842648</v>
      </c>
      <c r="H16" s="15">
        <f>IFERROR(H2/G2-1,"")</f>
        <v>0.03484139365574612</v>
      </c>
      <c r="I16" s="15">
        <f>IFERROR(I2/H2-1,"")</f>
        <v>1.1241206030150757</v>
      </c>
      <c r="J16" s="15">
        <f>IFERROR(J2/I2-1,"")</f>
        <v>3.1171043293115677</v>
      </c>
      <c r="K16" s="15">
        <f>IFERROR(K2/J2-1,"")</f>
        <v>1.5008331896799403</v>
      </c>
      <c r="L16" s="15">
        <f>IFERROR(L2/K2-1,"")</f>
        <v>0.18317172924038427</v>
      </c>
      <c r="M16" s="15">
        <f>IFERROR(M2/L2-1,"")</f>
        <v>0.13494776090418292</v>
      </c>
      <c r="N16" s="15">
        <f>IFERROR(N2/M2-1,"")</f>
        <v>0.09034443817052518</v>
      </c>
      <c r="O16" s="15">
        <f>IFERROR(O2/N2-1,"")</f>
        <v>-0.18473706510992893</v>
      </c>
      <c r="P16" s="15">
        <f>IFERROR(P2/O2-1,"")</f>
        <v>0.0042999999999999705</v>
      </c>
      <c r="Q16" s="15">
        <f>IFERROR(Q2/P2-1,"")</f>
        <v>0.006599999999999939</v>
      </c>
      <c r="R16" s="15">
        <f>IFERROR(R2/Q2-1,"")</f>
        <v>0.008899999999999908</v>
      </c>
      <c r="S16" s="15">
        <f>IFERROR(S2/R2-1,"")</f>
        <v>0.011200000000000099</v>
      </c>
      <c r="T16" s="15">
        <f>IFERROR(T2/S2-1,"")</f>
        <v>0.013500000000000068</v>
      </c>
      <c r="U16" s="15">
        <f>IFERROR(U2/T2-1,"")</f>
        <v>0.015800000000000036</v>
      </c>
      <c r="V16" s="15">
        <f>IFERROR(V2/U2-1,"")</f>
        <v>0.018100000000000005</v>
      </c>
      <c r="W16" s="15">
        <f>IFERROR(W2/V2-1,"")</f>
        <v>0.020399999999999974</v>
      </c>
      <c r="X16" s="15">
        <f>IFERROR(X2/W2-1,"")</f>
        <v>0.022699999999999942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</v>
      </c>
      <c r="C17" s="15">
        <f>IFERROR(C4/C2,"")</f>
        <v/>
      </c>
      <c r="D17" s="15">
        <f>IFERROR(D4/D2,"")</f>
        <v>0.8821243523316062</v>
      </c>
      <c r="E17" s="15">
        <f>IFERROR(E4/E2,"")</f>
        <v>0.8177142857142857</v>
      </c>
      <c r="F17" s="15">
        <f>IFERROR(F4/F2,"")</f>
        <v>0.7652358240593534</v>
      </c>
      <c r="G17" s="15">
        <f>IFERROR(G4/G2,"")</f>
        <v>0.7623504940197607</v>
      </c>
      <c r="H17" s="15">
        <f>IFERROR(H4/H2,"")</f>
        <v>0.7663316582914572</v>
      </c>
      <c r="I17" s="15">
        <f>IFERROR(I4/I2,"")</f>
        <v>0.44996451383960256</v>
      </c>
      <c r="J17" s="15">
        <f>IFERROR(J4/J2,"")</f>
        <v>0.8803079928747917</v>
      </c>
      <c r="K17" s="15">
        <f>IFERROR(K4/K2,"")</f>
        <v>0.8987638435733653</v>
      </c>
      <c r="L17" s="15">
        <f>IFERROR(L4/L2,"")</f>
        <v>0.9118343884724434</v>
      </c>
      <c r="M17" s="15">
        <f>IFERROR(M4/M2,"")</f>
        <v>0.9096384511404274</v>
      </c>
      <c r="N17" s="15">
        <f>IFERROR(N4/N2,"")</f>
        <v>0.9117116268851122</v>
      </c>
      <c r="O17" s="15">
        <f>IFERROR(O4/O2,"")</f>
        <v>0.8734576812765876</v>
      </c>
      <c r="P17" s="15">
        <f>IFERROR(P4/P2,"")</f>
        <v>0.8735</v>
      </c>
      <c r="Q17" s="15">
        <f>IFERROR(Q4/Q2,"")</f>
        <v>0.8734999999999999</v>
      </c>
      <c r="R17" s="15">
        <f>IFERROR(R4/R2,"")</f>
        <v>0.8735</v>
      </c>
      <c r="S17" s="15">
        <f>IFERROR(S4/S2,"")</f>
        <v>0.8735</v>
      </c>
      <c r="T17" s="15">
        <f>IFERROR(T4/T2,"")</f>
        <v>0.8735</v>
      </c>
      <c r="U17" s="15">
        <f>IFERROR(U4/U2,"")</f>
        <v>0.8735</v>
      </c>
      <c r="V17" s="15">
        <f>IFERROR(V4/V2,"")</f>
        <v>0.8735</v>
      </c>
      <c r="W17" s="15">
        <f>IFERROR(W4/W2,"")</f>
        <v>0.8735</v>
      </c>
      <c r="X17" s="15">
        <f>IFERROR(X4/X2,"")</f>
        <v>0.8734999999999999</v>
      </c>
      <c r="Y17" s="15">
        <f>IFERROR(Y4/Y2,"")</f>
        <v>0.8735</v>
      </c>
    </row>
    <row r="18">
      <c r="A18" s="14" t="inlineStr">
        <is>
          <t>Operating Margin</t>
        </is>
      </c>
      <c r="B18" s="15">
        <f>IFERROR(B8/B2,"")</f>
        <v>-1367.1</v>
      </c>
      <c r="C18" s="15">
        <f>IFERROR(C8/C2,"")</f>
        <v/>
      </c>
      <c r="D18" s="15">
        <f>IFERROR(D8/D2,"")</f>
        <v>-35.09585492227979</v>
      </c>
      <c r="E18" s="15">
        <f>IFERROR(E8/E2,"")</f>
        <v>-21.826857142857143</v>
      </c>
      <c r="F18" s="15">
        <f>IFERROR(F8/F2,"")</f>
        <v>-22.960254372019076</v>
      </c>
      <c r="G18" s="15">
        <f>IFERROR(G8/G2,"")</f>
        <v>-32.20124804992199</v>
      </c>
      <c r="H18" s="15">
        <f>IFERROR(H8/H2,"")</f>
        <v>-29.707537688442212</v>
      </c>
      <c r="I18" s="15">
        <f>IFERROR(I8/I2,"")</f>
        <v>-20.298556896143836</v>
      </c>
      <c r="J18" s="15">
        <f>IFERROR(J8/J2,"")</f>
        <v>-3.6112739182899505</v>
      </c>
      <c r="K18" s="15">
        <f>IFERROR(K8/K2,"")</f>
        <v>-1.7930471945223105</v>
      </c>
      <c r="L18" s="15">
        <f>IFERROR(L8/L2,"")</f>
        <v>-1.5274400901075853</v>
      </c>
      <c r="M18" s="15">
        <f>IFERROR(M8/M2,"")</f>
        <v>-1.4096127851068563</v>
      </c>
      <c r="N18" s="15">
        <f>IFERROR(N8/N2,"")</f>
        <v>-2.695745649137674</v>
      </c>
      <c r="O18" s="15">
        <f>IFERROR(O8/O2,"")</f>
        <v>-5.19753229004254</v>
      </c>
      <c r="P18" s="15">
        <f>IFERROR(P8/P2,"")</f>
        <v>-1.33</v>
      </c>
      <c r="Q18" s="15">
        <f>IFERROR(Q8/Q2,"")</f>
        <v>-1.1600000000000001</v>
      </c>
      <c r="R18" s="15">
        <f>IFERROR(R8/R2,"")</f>
        <v>-0.9900000000000002</v>
      </c>
      <c r="S18" s="15">
        <f>IFERROR(S8/S2,"")</f>
        <v>-0.82</v>
      </c>
      <c r="T18" s="15">
        <f>IFERROR(T8/T2,"")</f>
        <v>-0.65</v>
      </c>
      <c r="U18" s="15">
        <f>IFERROR(U8/U2,"")</f>
        <v>-0.48000000000000004</v>
      </c>
      <c r="V18" s="15">
        <f>IFERROR(V8/V2,"")</f>
        <v>-0.30999999999999994</v>
      </c>
      <c r="W18" s="15">
        <f>IFERROR(W8/W2,"")</f>
        <v>-0.14000000000000012</v>
      </c>
      <c r="X18" s="15">
        <f>IFERROR(X8/X2,"")</f>
        <v>0.029999999999999753</v>
      </c>
      <c r="Y18" s="15">
        <f>IFERROR(Y8/Y2,"")</f>
        <v>0.19999999999999993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Ocular Therapeutix,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-0.0457</v>
      </c>
      <c r="C12" s="53" t="n">
        <v>0.0043</v>
      </c>
      <c r="D12" s="53" t="n">
        <v>0.0543</v>
      </c>
      <c r="E12" s="54">
        <f>CHOOSE($B$4,B12,C12,D12)</f>
        <v>0.0043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0.8735000000000001</v>
      </c>
    </row>
    <row r="20">
      <c r="A20" s="14" t="inlineStr">
        <is>
          <t>R&amp;D share of operating expense (forecast)</t>
        </is>
      </c>
      <c r="B20" s="53" t="n">
        <v>0.6249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51.951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-169.33480069474416</v>
      </c>
      <c r="C29" s="56">
        <f>NPV!B26</f>
        <v>356.5111993052558</v>
      </c>
      <c r="D29" s="35">
        <f>NPV!B28</f>
        <v>1.6233398913836945</v>
      </c>
      <c r="E29" s="57">
        <f>NPV!B30</f>
        <v>-0.7558887381377903</v>
      </c>
    </row>
    <row r="30">
      <c r="A30" s="58" t="n">
        <v>1</v>
      </c>
      <c r="B30" s="59">
        <f t="dataTable" ref="B30:E32" r1="B4"/>
        <v>-167.18835068493948</v>
      </c>
      <c r="C30" s="59">
        <v>358.6576493150605</v>
      </c>
      <c r="D30" s="39">
        <v>1.6331135476743441</v>
      </c>
      <c r="E30" s="60">
        <v>-0.7544190153873167</v>
      </c>
    </row>
    <row r="31">
      <c r="A31" s="58" t="n">
        <v>2</v>
      </c>
      <c r="B31" s="59">
        <v>-169.33480069474416</v>
      </c>
      <c r="C31" s="59">
        <v>356.5111993052558</v>
      </c>
      <c r="D31" s="39">
        <v>1.6233398913836945</v>
      </c>
      <c r="E31" s="60">
        <v>-0.7558887381377903</v>
      </c>
    </row>
    <row r="32">
      <c r="A32" s="58" t="n">
        <v>3</v>
      </c>
      <c r="B32" s="59">
        <v>-146.32923543619245</v>
      </c>
      <c r="C32" s="59">
        <v>379.5167645638075</v>
      </c>
      <c r="D32" s="39">
        <v>1.7280935481574924</v>
      </c>
      <c r="E32" s="60">
        <v>-0.7401363085477455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1.6233398913836945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1.6471162446110004</v>
      </c>
      <c r="C37" s="39">
        <v>1.6676997410194347</v>
      </c>
      <c r="D37" s="39">
        <v>1.6920781129416633</v>
      </c>
      <c r="E37" s="39">
        <v>1.7212072885161034</v>
      </c>
      <c r="F37" s="39">
        <v>1.756390891265179</v>
      </c>
    </row>
    <row r="38">
      <c r="A38" s="62" t="n">
        <v>0.1</v>
      </c>
      <c r="B38" s="39">
        <v>1.6189363677339184</v>
      </c>
      <c r="C38" s="39">
        <v>1.6331900859003161</v>
      </c>
      <c r="D38" s="39">
        <v>1.649861505848207</v>
      </c>
      <c r="E38" s="39">
        <v>1.669474515678841</v>
      </c>
      <c r="F38" s="39">
        <v>1.6927142672450082</v>
      </c>
    </row>
    <row r="39">
      <c r="A39" s="62" t="n">
        <v>0.11</v>
      </c>
      <c r="B39" s="39">
        <v>1.6016550658424964</v>
      </c>
      <c r="C39" s="39">
        <v>1.611690217001855</v>
      </c>
      <c r="D39" s="39">
        <v>1.6233398913836945</v>
      </c>
      <c r="E39" s="39">
        <v>1.6369115942675925</v>
      </c>
      <c r="F39" s="39">
        <v>1.652794887042924</v>
      </c>
    </row>
    <row r="40">
      <c r="A40" s="62" t="n">
        <v>0.12</v>
      </c>
      <c r="B40" s="39">
        <v>1.5918455728805159</v>
      </c>
      <c r="C40" s="39">
        <v>1.5989622559625436</v>
      </c>
      <c r="D40" s="39">
        <v>1.6071975271266012</v>
      </c>
      <c r="E40" s="39">
        <v>1.6167418200049626</v>
      </c>
      <c r="F40" s="39">
        <v>1.6278304213662627</v>
      </c>
    </row>
    <row r="41">
      <c r="A41" s="62" t="n">
        <v>0.13</v>
      </c>
      <c r="B41" s="39">
        <v>1.5872966368163588</v>
      </c>
      <c r="C41" s="39">
        <v>1.5923345320466018</v>
      </c>
      <c r="D41" s="39">
        <v>1.5981705998074802</v>
      </c>
      <c r="E41" s="39">
        <v>1.604927959960148</v>
      </c>
      <c r="F41" s="39">
        <v>1.6127556902738023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Ocular Therapeutix, Inc.: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0.0043</v>
      </c>
      <c r="D5" s="63">
        <f>Assumptions!$E$12+(Assumptions!$E$11-Assumptions!$E$12)*(D4-1)/(Assumptions!$B$21-1)</f>
        <v>0.0066</v>
      </c>
      <c r="E5" s="63">
        <f>Assumptions!$E$12+(Assumptions!$E$11-Assumptions!$E$12)*(E4-1)/(Assumptions!$B$21-1)</f>
        <v>0.008900000000000002</v>
      </c>
      <c r="F5" s="63">
        <f>Assumptions!$E$12+(Assumptions!$E$11-Assumptions!$E$12)*(F4-1)/(Assumptions!$B$21-1)</f>
        <v>0.011200000000000002</v>
      </c>
      <c r="G5" s="63">
        <f>Assumptions!$E$12+(Assumptions!$E$11-Assumptions!$E$12)*(G4-1)/(Assumptions!$B$21-1)</f>
        <v>0.013500000000000002</v>
      </c>
      <c r="H5" s="63">
        <f>Assumptions!$E$12+(Assumptions!$E$11-Assumptions!$E$12)*(H4-1)/(Assumptions!$B$21-1)</f>
        <v>0.0158</v>
      </c>
      <c r="I5" s="63">
        <f>Assumptions!$E$12+(Assumptions!$E$11-Assumptions!$E$12)*(I4-1)/(Assumptions!$B$21-1)</f>
        <v>0.0181</v>
      </c>
      <c r="J5" s="63">
        <f>Assumptions!$E$12+(Assumptions!$E$11-Assumptions!$E$12)*(J4-1)/(Assumptions!$B$21-1)</f>
        <v>0.0204</v>
      </c>
      <c r="K5" s="63">
        <f>Assumptions!$E$12+(Assumptions!$E$11-Assumptions!$E$12)*(K4-1)/(Assumptions!$B$21-1)</f>
        <v>0.022700000000000005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-5.19753229004254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Model'!O2</f>
        <v>51.951</v>
      </c>
      <c r="C7" s="55">
        <f>'Yearly Model'!P2</f>
        <v>52.1743893</v>
      </c>
      <c r="D7" s="55">
        <f>'Yearly Model'!Q2</f>
        <v>52.51874026938</v>
      </c>
      <c r="E7" s="55">
        <f>'Yearly Model'!R2</f>
        <v>52.986157057777476</v>
      </c>
      <c r="F7" s="55">
        <f>'Yearly Model'!S2</f>
        <v>53.57960201682459</v>
      </c>
      <c r="G7" s="55">
        <f>'Yearly Model'!T2</f>
        <v>54.30292664405172</v>
      </c>
      <c r="H7" s="55">
        <f>'Yearly Model'!U2</f>
        <v>55.16091288502774</v>
      </c>
      <c r="I7" s="55">
        <f>'Yearly Model'!V2</f>
        <v>56.159325408246744</v>
      </c>
      <c r="J7" s="55">
        <f>'Yearly Model'!W2</f>
        <v>57.304975646574974</v>
      </c>
      <c r="K7" s="55">
        <f>'Yearly Model'!X2</f>
        <v>58.60579859375222</v>
      </c>
      <c r="L7" s="55">
        <f>'Yearly Model'!Y2</f>
        <v>60.07094355859602</v>
      </c>
    </row>
    <row r="8">
      <c r="A8" s="14" t="inlineStr">
        <is>
          <t>Operating income</t>
        </is>
      </c>
      <c r="B8" s="55">
        <f>'Yearly Model'!O8</f>
        <v>-270.017</v>
      </c>
      <c r="C8" s="55">
        <f>'Yearly Model'!P8</f>
        <v>-69.39193776900001</v>
      </c>
      <c r="D8" s="55">
        <f>'Yearly Model'!Q8</f>
        <v>-60.9217387124808</v>
      </c>
      <c r="E8" s="55">
        <f>'Yearly Model'!R8</f>
        <v>-52.45629548719971</v>
      </c>
      <c r="F8" s="55">
        <f>'Yearly Model'!S8</f>
        <v>-43.93527365379616</v>
      </c>
      <c r="G8" s="55">
        <f>'Yearly Model'!T8</f>
        <v>-35.29690231863362</v>
      </c>
      <c r="H8" s="55">
        <f>'Yearly Model'!U8</f>
        <v>-26.477238184813316</v>
      </c>
      <c r="I8" s="55">
        <f>'Yearly Model'!V8</f>
        <v>-17.409390876556486</v>
      </c>
      <c r="J8" s="55">
        <f>'Yearly Model'!W8</f>
        <v>-8.022696590520503</v>
      </c>
      <c r="K8" s="55">
        <f>'Yearly Model'!X8</f>
        <v>1.7581739578125521</v>
      </c>
      <c r="L8" s="55">
        <f>'Yearly Model'!Y8</f>
        <v>12.0141887117192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0.2988895728281339</v>
      </c>
      <c r="L9" s="52">
        <f>MAX(0,L8)*Assumptions!$E$14</f>
        <v>2.042412080992264</v>
      </c>
    </row>
    <row r="10">
      <c r="A10" s="14" t="inlineStr">
        <is>
          <t>NOPAT</t>
        </is>
      </c>
      <c r="C10" s="52">
        <f>C8-C9</f>
        <v>-69.39193776900001</v>
      </c>
      <c r="D10" s="52">
        <f>D8-D9</f>
        <v>-60.9217387124808</v>
      </c>
      <c r="E10" s="52">
        <f>E8-E9</f>
        <v>-52.45629548719971</v>
      </c>
      <c r="F10" s="52">
        <f>F8-F9</f>
        <v>-43.93527365379616</v>
      </c>
      <c r="G10" s="52">
        <f>G8-G9</f>
        <v>-35.29690231863362</v>
      </c>
      <c r="H10" s="52">
        <f>H8-H9</f>
        <v>-26.477238184813316</v>
      </c>
      <c r="I10" s="52">
        <f>I8-I9</f>
        <v>-17.409390876556486</v>
      </c>
      <c r="J10" s="52">
        <f>J8-J9</f>
        <v>-8.022696590520503</v>
      </c>
      <c r="K10" s="52">
        <f>K8-K9</f>
        <v>1.4592843849844184</v>
      </c>
      <c r="L10" s="52">
        <f>L8-L9</f>
        <v>9.971776630726936</v>
      </c>
    </row>
    <row r="11">
      <c r="A11" s="14" t="inlineStr">
        <is>
          <t>Reinvestment</t>
        </is>
      </c>
      <c r="C11" s="52">
        <f>(C7-B7)*Assumptions!$E$15</f>
        <v>0.055847325000000225</v>
      </c>
      <c r="D11" s="52">
        <f>(D7-C7)*Assumptions!$E$15</f>
        <v>0.08608774234499883</v>
      </c>
      <c r="E11" s="52">
        <f>(E7-D7)*Assumptions!$E$15</f>
        <v>0.11685419709936973</v>
      </c>
      <c r="F11" s="52">
        <f>(F7-E7)*Assumptions!$E$15</f>
        <v>0.14836123976177795</v>
      </c>
      <c r="G11" s="52">
        <f>(G7-F7)*Assumptions!$E$15</f>
        <v>0.18083115680678397</v>
      </c>
      <c r="H11" s="52">
        <f>(H7-G7)*Assumptions!$E$15</f>
        <v>0.21449656024400454</v>
      </c>
      <c r="I11" s="52">
        <f>(I7-H7)*Assumptions!$E$15</f>
        <v>0.2496031308047506</v>
      </c>
      <c r="J11" s="52">
        <f>(J7-I7)*Assumptions!$E$15</f>
        <v>0.28641255958205747</v>
      </c>
      <c r="K11" s="52">
        <f>(K7-J7)*Assumptions!$E$15</f>
        <v>0.3252057367943113</v>
      </c>
      <c r="L11" s="52">
        <f>(L7-K7)*Assumptions!$E$15</f>
        <v>0.36628624121095044</v>
      </c>
    </row>
    <row r="12">
      <c r="A12" s="20" t="inlineStr">
        <is>
          <t>Free cash flow</t>
        </is>
      </c>
      <c r="C12" s="64">
        <f>C10-C11</f>
        <v>-69.44778509400001</v>
      </c>
      <c r="D12" s="64">
        <f>D10-D11</f>
        <v>-61.0078264548258</v>
      </c>
      <c r="E12" s="64">
        <f>E10-E11</f>
        <v>-52.57314968429908</v>
      </c>
      <c r="F12" s="64">
        <f>F10-F11</f>
        <v>-44.083634893557935</v>
      </c>
      <c r="G12" s="64">
        <f>G10-G11</f>
        <v>-35.4777334754404</v>
      </c>
      <c r="H12" s="64">
        <f>H10-H11</f>
        <v>-26.69173474505732</v>
      </c>
      <c r="I12" s="64">
        <f>I10-I11</f>
        <v>-17.658994007361237</v>
      </c>
      <c r="J12" s="64">
        <f>J10-J11</f>
        <v>-8.309109150102561</v>
      </c>
      <c r="K12" s="64">
        <f>K10-K11</f>
        <v>1.134078648190107</v>
      </c>
      <c r="L12" s="64">
        <f>L10-L11</f>
        <v>9.605490389515985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-34.099769230778776</v>
      </c>
      <c r="D16" s="64">
        <f>D12*D13*D15</f>
        <v>-54.93849391895248</v>
      </c>
      <c r="E16" s="64">
        <f>E12*E13*E15</f>
        <v>-42.65129429738405</v>
      </c>
      <c r="F16" s="64">
        <f>F12*F13*F15</f>
        <v>-32.21978486610729</v>
      </c>
      <c r="G16" s="64">
        <f>G12*G13*G15</f>
        <v>-23.36028448749922</v>
      </c>
      <c r="H16" s="64">
        <f>H12*H13*H15</f>
        <v>-15.833469220583918</v>
      </c>
      <c r="I16" s="64">
        <f>I12*I13*I15</f>
        <v>-9.437180512947542</v>
      </c>
      <c r="J16" s="64">
        <f>J12*J13*J15</f>
        <v>-4.0004402502843694</v>
      </c>
      <c r="K16" s="64">
        <f>K12*K13*K15</f>
        <v>0.4918962586669539</v>
      </c>
      <c r="L16" s="64">
        <f>L12*L13*L15</f>
        <v>3.753417793826614</v>
      </c>
    </row>
    <row r="19">
      <c r="A19" s="14" t="inlineStr">
        <is>
          <t>PV of forecast free cash flow</t>
        </is>
      </c>
      <c r="B19" s="52">
        <f>SUM(C16:L16)</f>
        <v>-212.29540273204407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9.845627649253883</v>
      </c>
    </row>
    <row r="21">
      <c r="A21" s="14" t="inlineStr">
        <is>
          <t>Terminal value</t>
        </is>
      </c>
      <c r="B21" s="52">
        <f>B20/(Assumptions!$E$10-Assumptions!$E$11)</f>
        <v>115.83091352063393</v>
      </c>
    </row>
    <row r="22">
      <c r="A22" s="14" t="inlineStr">
        <is>
          <t>PV of terminal value</t>
        </is>
      </c>
      <c r="B22" s="52">
        <f>B21/(1+Assumptions!$E$10)^(L14+0.5)</f>
        <v>42.9606020372999</v>
      </c>
    </row>
    <row r="23">
      <c r="A23" s="20" t="inlineStr">
        <is>
          <t>Enterprise value</t>
        </is>
      </c>
      <c r="B23" s="66">
        <f>B19+B22</f>
        <v>-169.33480069474416</v>
      </c>
    </row>
    <row r="24">
      <c r="A24" s="14" t="inlineStr">
        <is>
          <t>Cash &amp; investments</t>
        </is>
      </c>
      <c r="B24" s="55">
        <f>Main!C7</f>
        <v>598.641</v>
      </c>
    </row>
    <row r="25">
      <c r="A25" s="14" t="inlineStr">
        <is>
          <t>Debt</t>
        </is>
      </c>
      <c r="B25" s="55">
        <f>Main!C8</f>
        <v>72.795</v>
      </c>
    </row>
    <row r="26">
      <c r="A26" s="20" t="inlineStr">
        <is>
          <t>Equity value</t>
        </is>
      </c>
      <c r="B26" s="66">
        <f>B23+B24-B25</f>
        <v>356.5111993052558</v>
      </c>
    </row>
    <row r="27">
      <c r="A27" s="14" t="inlineStr">
        <is>
          <t>Shares (mm)</t>
        </is>
      </c>
      <c r="B27" s="55">
        <f>Main!C4</f>
        <v>219.615868</v>
      </c>
    </row>
    <row r="28">
      <c r="A28" s="20" t="inlineStr">
        <is>
          <t>NPV / share</t>
        </is>
      </c>
      <c r="B28" s="49">
        <f>B26/B27</f>
        <v>1.6233398913836945</v>
      </c>
    </row>
    <row r="29">
      <c r="A29" s="14" t="inlineStr">
        <is>
          <t>Price</t>
        </is>
      </c>
      <c r="B29" s="50">
        <f>Main!C3</f>
        <v>6.65</v>
      </c>
    </row>
    <row r="30">
      <c r="A30" s="14" t="inlineStr">
        <is>
          <t>Upside</t>
        </is>
      </c>
      <c r="B30" s="63">
        <f>B28/B29-1</f>
        <v>-0.7558887381377903</v>
      </c>
    </row>
    <row r="31">
      <c r="A31" s="14" t="inlineStr">
        <is>
          <t>Terminal value, % of EV</t>
        </is>
      </c>
      <c r="B31" s="63">
        <f>IFERROR(B22/B23,0)</f>
        <v>-0.2537021442789186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2026-10-21T06:23:10Z</dcterms:modified>
  <cp:lastModifiedBy>Wang, Eric</cp:lastModifiedBy>
</cp:coreProperties>
</file>