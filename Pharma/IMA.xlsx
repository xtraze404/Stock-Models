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ImageneBio Inc</t>
        </is>
      </c>
      <c r="C2" s="10" t="n"/>
    </row>
    <row r="3">
      <c r="B3" t="inlineStr">
        <is>
          <t>Price</t>
        </is>
      </c>
      <c r="C3" s="11">
        <f>INDEX([1]Pharma!$F$1:$F$1000,MATCH("IMA",[1]Pharma!$B$1:$B$1000,0))</f>
        <v>4.13</v>
      </c>
      <c r="F3" s="1" t="n"/>
    </row>
    <row r="4">
      <c r="B4" t="inlineStr">
        <is>
          <t>Shares</t>
        </is>
      </c>
      <c r="C4" s="21" t="n">
        <v>11.351456</v>
      </c>
      <c r="F4" s="1" t="n"/>
    </row>
    <row r="5">
      <c r="B5" t="inlineStr">
        <is>
          <t>Market Cap.</t>
        </is>
      </c>
      <c r="C5" s="13">
        <f>C3*C4</f>
        <v>46.88151328</v>
      </c>
      <c r="F5" s="1" t="n"/>
    </row>
    <row r="6"/>
    <row r="7">
      <c r="B7" t="inlineStr">
        <is>
          <t>Cash</t>
        </is>
      </c>
      <c r="C7" s="21">
        <f>94.677+41.476</f>
        <v>136.15300000000002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-89.27148672000001</v>
      </c>
    </row>
    <row r="10"/>
    <row r="11">
      <c r="B11" s="14" t="inlineStr">
        <is>
          <t>Net Cash / Share</t>
        </is>
      </c>
      <c r="C11" s="11">
        <f>(C7-C8)/C4</f>
        <v>11.994320376170247</v>
      </c>
    </row>
    <row r="12">
      <c r="B12" s="14" t="inlineStr">
        <is>
          <t>Upside</t>
        </is>
      </c>
      <c r="C12" s="15">
        <f>IFERROR(C11/C3-1,"")</f>
        <v>1.9041937956828687</v>
      </c>
    </row>
    <row r="13">
      <c r="B13" s="14" t="inlineStr">
        <is>
          <t>Cash / Share</t>
        </is>
      </c>
      <c r="C13" s="11">
        <f>IFERROR((C7-C8)/C4,"")</f>
        <v>11.994320376170247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-52.586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2.5891492032099803</v>
      </c>
    </row>
    <row r="19">
      <c r="B19" s="14" t="inlineStr">
        <is>
          <t>Implied Pipeline Value</t>
        </is>
      </c>
      <c r="C19" s="13">
        <f>C9</f>
        <v>-89.27148672000001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9.194000000000001</v>
      </c>
      <c r="C2" s="23" t="n">
        <v>30.985</v>
      </c>
      <c r="D2" s="23" t="n">
        <v>15.618</v>
      </c>
      <c r="E2" s="23" t="n">
        <v>9.16</v>
      </c>
      <c r="F2" s="23" t="n">
        <v>3.5</v>
      </c>
      <c r="G2" s="23" t="n">
        <v>0.8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9.194</v>
      </c>
      <c r="C4" s="23">
        <f>C2-C3</f>
        <v>30.985</v>
      </c>
      <c r="D4" s="23">
        <f>D2-D3</f>
        <v>15.618</v>
      </c>
      <c r="E4" s="23">
        <f>E2-E3</f>
        <v>9.16</v>
      </c>
      <c r="F4" s="23">
        <f>F2-F3</f>
        <v>3.5</v>
      </c>
      <c r="G4" s="23">
        <f>G2-G3</f>
        <v>0.8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44.847</v>
      </c>
      <c r="C5" s="23" t="n">
        <v>47.108</v>
      </c>
      <c r="D5" s="23" t="n">
        <v>64.321</v>
      </c>
      <c r="E5" s="23" t="n">
        <v>59.652</v>
      </c>
      <c r="F5" s="23" t="n">
        <v>32.109</v>
      </c>
      <c r="G5" s="23" t="n">
        <v>28.525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8.866</v>
      </c>
      <c r="C6" s="23" t="n">
        <v>18.015</v>
      </c>
      <c r="D6" s="23" t="n">
        <v>22.201</v>
      </c>
      <c r="E6" s="23" t="n">
        <v>24.925</v>
      </c>
      <c r="F6" s="23" t="n">
        <v>8.391</v>
      </c>
      <c r="G6" s="23" t="n">
        <v>20.726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53.713</v>
      </c>
      <c r="C7" s="23">
        <f>SUM(C5:C6)</f>
        <v>65.12299999999999</v>
      </c>
      <c r="D7" s="23">
        <f>SUM(D5:D6)</f>
        <v>86.52199999999999</v>
      </c>
      <c r="E7" s="23">
        <f>SUM(E5:E6)</f>
        <v>84.577</v>
      </c>
      <c r="F7" s="23">
        <f>SUM(F5:F6)</f>
        <v>40.5</v>
      </c>
      <c r="G7" s="23">
        <f>SUM(G5:G6)</f>
        <v>49.251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-44.519</v>
      </c>
      <c r="C8" s="23">
        <f>C4-C7</f>
        <v>-34.13799999999999</v>
      </c>
      <c r="D8" s="23">
        <f>D4-D7</f>
        <v>-70.904</v>
      </c>
      <c r="E8" s="23">
        <f>E4-E7</f>
        <v>-75.417</v>
      </c>
      <c r="F8" s="23">
        <f>F4-F7</f>
        <v>-37.0</v>
      </c>
      <c r="G8" s="23">
        <f>G4-G7</f>
        <v>-48.451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0.263</v>
      </c>
      <c r="C9" s="23" t="n">
        <v>0.023</v>
      </c>
      <c r="D9" s="23" t="n">
        <v>2.139</v>
      </c>
      <c r="E9" s="23" t="n">
        <v>7.089</v>
      </c>
      <c r="F9" s="23" t="n">
        <v>0.445</v>
      </c>
      <c r="G9" s="23" t="n">
        <v>2.752</v>
      </c>
    </row>
    <row r="10">
      <c r="A10" s="2" t="inlineStr">
        <is>
          <t>Pretax</t>
        </is>
      </c>
      <c r="B10" s="23">
        <f>B8+B9</f>
        <v>-44.256</v>
      </c>
      <c r="C10" s="23">
        <f>C8+C9</f>
        <v>-34.11499999999999</v>
      </c>
      <c r="D10" s="23">
        <f>D8+D9</f>
        <v>-68.765</v>
      </c>
      <c r="E10" s="23">
        <f>E8+E9</f>
        <v>-68.328</v>
      </c>
      <c r="F10" s="23">
        <f>F8+F9</f>
        <v>-36.555</v>
      </c>
      <c r="G10" s="23">
        <f>G8+G9</f>
        <v>-45.699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-0.162</v>
      </c>
      <c r="F11" s="23" t="n">
        <v>0.013</v>
      </c>
      <c r="G11" s="23" t="n">
        <v>-0.35</v>
      </c>
    </row>
    <row r="12">
      <c r="A12" s="2" t="inlineStr">
        <is>
          <t>Net Income</t>
        </is>
      </c>
      <c r="B12" s="23" t="n">
        <v>-44.256</v>
      </c>
      <c r="C12" s="23" t="n">
        <v>-34.115</v>
      </c>
      <c r="D12" s="23" t="n">
        <v>-68.765</v>
      </c>
      <c r="E12" s="23" t="n">
        <v>-68.166</v>
      </c>
      <c r="F12" s="23" t="n">
        <v>-36.568</v>
      </c>
      <c r="G12" s="23" t="n">
        <v>-45.349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-16.005786618444844</v>
      </c>
      <c r="C13" s="11">
        <f>IFERROR(C12/C14,0)</f>
        <v>-12.19263759828449</v>
      </c>
      <c r="D13" s="11">
        <f>IFERROR(D12/D14,0)</f>
        <v>-19.001105277701022</v>
      </c>
      <c r="E13" s="11">
        <f>IFERROR(E12/E14,0)</f>
        <v>-16.331097268806896</v>
      </c>
      <c r="F13" s="11">
        <f>IFERROR(F12/F14,0)</f>
        <v>-7.577289680895151</v>
      </c>
      <c r="G13" s="11">
        <f>IFERROR(G12/G14,0)</f>
        <v>-9.309997947033462</v>
      </c>
    </row>
    <row r="14">
      <c r="A14" s="2" t="inlineStr">
        <is>
          <t>Shares</t>
        </is>
      </c>
      <c r="B14" s="23" t="n">
        <v>2.765</v>
      </c>
      <c r="C14" s="23" t="n">
        <v>2.798</v>
      </c>
      <c r="D14" s="23" t="n">
        <v>3.619</v>
      </c>
      <c r="E14" s="23" t="n">
        <v>4.174</v>
      </c>
      <c r="F14" s="23" t="n">
        <v>4.826</v>
      </c>
      <c r="G14" s="23" t="n">
        <v>4.871</v>
      </c>
    </row>
    <row r="15"/>
    <row r="16" customFormat="1" s="4">
      <c r="A16" s="3" t="inlineStr">
        <is>
          <t>Revenue Change</t>
        </is>
      </c>
      <c r="C16" s="15">
        <f>IFERROR(C2/B2-1,"")</f>
        <v>2.3701326952360233</v>
      </c>
      <c r="D16" s="15">
        <f>IFERROR(D2/C2-1,"")</f>
        <v>-0.49594965305793126</v>
      </c>
      <c r="E16" s="15">
        <f>IFERROR(E2/D2-1,"")</f>
        <v>-0.4134972467665514</v>
      </c>
      <c r="F16" s="15">
        <f>IFERROR(F2/E2-1,"")</f>
        <v>-0.6179039301310043</v>
      </c>
      <c r="G16" s="15">
        <f>IFERROR(G2/F2-1,"")</f>
        <v>-0.7714285714285714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-4.842179682401565</v>
      </c>
      <c r="C18" s="15">
        <f>IFERROR(C8/C2,"")</f>
        <v>-1.1017589156043244</v>
      </c>
      <c r="D18" s="15">
        <f>IFERROR(D8/D2,"")</f>
        <v>-4.539889870662056</v>
      </c>
      <c r="E18" s="15">
        <f>IFERROR(E8/E2,"")</f>
        <v>-8.23329694323144</v>
      </c>
      <c r="F18" s="15">
        <f>IFERROR(F8/F2,"")</f>
        <v>-10.571428571428571</v>
      </c>
      <c r="G18" s="15">
        <f>IFERROR(G8/G2,"")</f>
        <v>-60.56375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2026-10-21T06:29:26Z</dcterms:modified>
  <cp:lastModifiedBy>Wang, Eric</cp:lastModifiedBy>
</cp:coreProperties>
</file>