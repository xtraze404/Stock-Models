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Silo Pharma Inc</t>
        </is>
      </c>
      <c r="C2" s="10" t="n"/>
    </row>
    <row r="3">
      <c r="B3" t="inlineStr">
        <is>
          <t>Price</t>
        </is>
      </c>
      <c r="C3" s="11">
        <f>INDEX([1]Pharma!$F$1:$F$1000,MATCH("SILO",[1]Pharma!$B$1:$B$1000,0))</f>
        <v>1.2</v>
      </c>
      <c r="F3" s="1" t="n"/>
    </row>
    <row r="4">
      <c r="B4" t="inlineStr">
        <is>
          <t>Shares</t>
        </is>
      </c>
      <c r="C4" s="21" t="n">
        <v>1.58825</v>
      </c>
      <c r="F4" s="1" t="n"/>
    </row>
    <row r="5">
      <c r="B5" t="inlineStr">
        <is>
          <t>Market Cap.</t>
        </is>
      </c>
      <c r="C5" s="13">
        <f>C3*C4</f>
        <v>1.9059</v>
      </c>
      <c r="F5" s="1" t="n"/>
    </row>
    <row r="6"/>
    <row r="7">
      <c r="B7" t="inlineStr">
        <is>
          <t>Cash</t>
        </is>
      </c>
      <c r="C7" s="21">
        <f>3.277095+1.950147</f>
        <v>5.227242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-3.3213420000000005</v>
      </c>
    </row>
    <row r="10"/>
    <row r="11">
      <c r="B11" s="14" t="inlineStr">
        <is>
          <t>Net Cash / Share</t>
        </is>
      </c>
      <c r="C11" s="11">
        <f>(C7-C8)/C4</f>
        <v>3.291195970407682</v>
      </c>
    </row>
    <row r="12">
      <c r="B12" s="14" t="inlineStr">
        <is>
          <t>Upside</t>
        </is>
      </c>
      <c r="C12" s="15">
        <f>IFERROR(C11/C3-1,"")</f>
        <v>1.7426633086730683</v>
      </c>
    </row>
    <row r="13">
      <c r="B13" s="14" t="inlineStr">
        <is>
          <t>Cash / Share</t>
        </is>
      </c>
      <c r="C13" s="11">
        <f>IFERROR((C7-C8)/C4,"")</f>
        <v>3.291195970407682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-3.34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1.56504251497006</v>
      </c>
    </row>
    <row r="19">
      <c r="B19" s="14" t="inlineStr">
        <is>
          <t>Implied Pipeline Value</t>
        </is>
      </c>
      <c r="C19" s="13">
        <f>C9</f>
        <v>-3.3213420000000005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2011</v>
      </c>
      <c r="C1" s="17" t="n">
        <v>2012</v>
      </c>
      <c r="D1" s="17" t="n">
        <v>2013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0.041</v>
      </c>
      <c r="H2" s="23" t="n">
        <v>0.041</v>
      </c>
      <c r="I2" s="23" t="n">
        <v>0</v>
      </c>
      <c r="J2" s="23" t="n">
        <v>0.07199999999999999</v>
      </c>
      <c r="K2" s="23" t="n">
        <v>0.07199999999999999</v>
      </c>
      <c r="L2" s="23" t="n">
        <v>0.07199999999999999</v>
      </c>
      <c r="M2" s="23" t="n">
        <v>0.07199999999999999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0.027</v>
      </c>
      <c r="H3" s="23" t="n">
        <v>0.176</v>
      </c>
      <c r="I3" s="23" t="n">
        <v>0.005</v>
      </c>
      <c r="J3" s="23" t="n">
        <v>0.006</v>
      </c>
      <c r="K3" s="23" t="n">
        <v>0.006</v>
      </c>
      <c r="L3" s="23" t="n">
        <v>0.006</v>
      </c>
      <c r="M3" s="23" t="n">
        <v>0.044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0.014000000000000002</v>
      </c>
      <c r="H4" s="23">
        <f>H2-H3</f>
        <v>-0.13499999999999998</v>
      </c>
      <c r="I4" s="23">
        <f>I2-I3</f>
        <v>-0.005</v>
      </c>
      <c r="J4" s="23">
        <f>J2-J3</f>
        <v>0.06599999999999999</v>
      </c>
      <c r="K4" s="23">
        <f>K2-K3</f>
        <v>0.06599999999999999</v>
      </c>
      <c r="L4" s="23">
        <f>L2-L3</f>
        <v>0.06599999999999999</v>
      </c>
      <c r="M4" s="23">
        <f>M2-M3</f>
        <v>0.027999999999999997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0.026</v>
      </c>
      <c r="I5" s="23" t="n">
        <v>0.694</v>
      </c>
      <c r="J5" s="23" t="n">
        <v>1.286</v>
      </c>
      <c r="K5" s="23" t="n">
        <v>0.845</v>
      </c>
      <c r="L5" s="23" t="n">
        <v>2.368</v>
      </c>
      <c r="M5" s="23" t="n">
        <v>2.161</v>
      </c>
    </row>
    <row r="6">
      <c r="A6" s="19" t="inlineStr">
        <is>
          <t>SG&amp;A &amp; Other</t>
        </is>
      </c>
      <c r="B6" s="23" t="n">
        <v>0.05</v>
      </c>
      <c r="C6" s="23" t="n">
        <v>0.039</v>
      </c>
      <c r="D6" s="23" t="n">
        <v>0.01</v>
      </c>
      <c r="E6" s="23" t="n">
        <v>0.491</v>
      </c>
      <c r="F6" s="23" t="n">
        <v>0.594</v>
      </c>
      <c r="G6" s="23" t="n">
        <v>0.944</v>
      </c>
      <c r="H6" s="23" t="n">
        <v>2.04</v>
      </c>
      <c r="I6" s="23" t="n">
        <v>2.045</v>
      </c>
      <c r="J6" s="23" t="n">
        <v>2.407</v>
      </c>
      <c r="K6" s="23" t="n">
        <v>3.077</v>
      </c>
      <c r="L6" s="23" t="n">
        <v>2.404</v>
      </c>
      <c r="M6" s="23" t="n">
        <v>2.148</v>
      </c>
    </row>
    <row r="7">
      <c r="A7" s="2" t="inlineStr">
        <is>
          <t>Operating Expense</t>
        </is>
      </c>
      <c r="B7" s="23">
        <f>SUM(B5:B6)</f>
        <v>0.05</v>
      </c>
      <c r="C7" s="23">
        <f>SUM(C5:C6)</f>
        <v>0.039</v>
      </c>
      <c r="D7" s="23">
        <f>SUM(D5:D6)</f>
        <v>0.01</v>
      </c>
      <c r="E7" s="23">
        <f>SUM(E5:E6)</f>
        <v>0.491</v>
      </c>
      <c r="F7" s="23">
        <f>SUM(F5:F6)</f>
        <v>0.594</v>
      </c>
      <c r="G7" s="23">
        <f>SUM(G5:G6)</f>
        <v>0.944</v>
      </c>
      <c r="H7" s="23">
        <f>SUM(H5:H6)</f>
        <v>2.066</v>
      </c>
      <c r="I7" s="23">
        <f>SUM(I5:I6)</f>
        <v>2.739</v>
      </c>
      <c r="J7" s="23">
        <f>SUM(J5:J6)</f>
        <v>3.693</v>
      </c>
      <c r="K7" s="23">
        <f>SUM(K5:K6)</f>
        <v>3.9219999999999997</v>
      </c>
      <c r="L7" s="23">
        <f>SUM(L5:L6)</f>
        <v>4.772</v>
      </c>
      <c r="M7" s="23">
        <f>SUM(M5:M6)</f>
        <v>4.309</v>
      </c>
    </row>
    <row r="8">
      <c r="A8" s="2" t="inlineStr">
        <is>
          <t>Operating Income</t>
        </is>
      </c>
      <c r="B8" s="23">
        <f>B4-B7</f>
        <v>-0.05</v>
      </c>
      <c r="C8" s="23">
        <f>C4-C7</f>
        <v>-0.039</v>
      </c>
      <c r="D8" s="23">
        <f>D4-D7</f>
        <v>-0.01</v>
      </c>
      <c r="E8" s="23">
        <f>E4-E7</f>
        <v>-0.491</v>
      </c>
      <c r="F8" s="23">
        <f>F4-F7</f>
        <v>-0.594</v>
      </c>
      <c r="G8" s="23">
        <f>G4-G7</f>
        <v>-0.9299999999999999</v>
      </c>
      <c r="H8" s="23">
        <f>H4-H7</f>
        <v>-2.2009999999999996</v>
      </c>
      <c r="I8" s="23">
        <f>I4-I7</f>
        <v>-2.7439999999999998</v>
      </c>
      <c r="J8" s="23">
        <f>J4-J7</f>
        <v>-3.6270000000000002</v>
      </c>
      <c r="K8" s="23">
        <f>K4-K7</f>
        <v>-3.856</v>
      </c>
      <c r="L8" s="23">
        <f>L4-L7</f>
        <v>-4.706</v>
      </c>
      <c r="M8" s="23">
        <f>M4-M7</f>
        <v>-4.281000000000001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0.847</v>
      </c>
      <c r="F9" s="23" t="n">
        <v>-0.375</v>
      </c>
      <c r="G9" s="23" t="n">
        <v>-0.083</v>
      </c>
      <c r="H9" s="23" t="n">
        <v>-0.836</v>
      </c>
      <c r="I9" s="23" t="n">
        <v>6.673</v>
      </c>
      <c r="J9" s="23" t="n">
        <v>-0.281</v>
      </c>
      <c r="K9" s="23" t="n">
        <v>0.155</v>
      </c>
      <c r="L9" s="23" t="n">
        <v>0.313</v>
      </c>
      <c r="M9" s="23" t="n">
        <v>0.053</v>
      </c>
    </row>
    <row r="10">
      <c r="A10" s="2" t="inlineStr">
        <is>
          <t>Pretax</t>
        </is>
      </c>
      <c r="B10" s="23">
        <f>B8+B9</f>
        <v>-0.05</v>
      </c>
      <c r="C10" s="23">
        <f>C8+C9</f>
        <v>-0.039</v>
      </c>
      <c r="D10" s="23">
        <f>D8+D9</f>
        <v>-0.01</v>
      </c>
      <c r="E10" s="23">
        <f>E8+E9</f>
        <v>0.356</v>
      </c>
      <c r="F10" s="23">
        <f>F8+F9</f>
        <v>-0.969</v>
      </c>
      <c r="G10" s="23">
        <f>G8+G9</f>
        <v>-1.013</v>
      </c>
      <c r="H10" s="23">
        <f>H8+H9</f>
        <v>-3.0369999999999995</v>
      </c>
      <c r="I10" s="23">
        <f>I8+I9</f>
        <v>3.9290000000000003</v>
      </c>
      <c r="J10" s="23">
        <f>J8+J9</f>
        <v>-3.9080000000000004</v>
      </c>
      <c r="K10" s="23">
        <f>K8+K9</f>
        <v>-3.701</v>
      </c>
      <c r="L10" s="23">
        <f>L8+L9</f>
        <v>-4.393000000000001</v>
      </c>
      <c r="M10" s="23">
        <f>M8+M9</f>
        <v>-4.228000000000001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0.025</v>
      </c>
      <c r="J11" s="23" t="n">
        <v>0</v>
      </c>
      <c r="K11" s="23" t="n">
        <v>0</v>
      </c>
      <c r="L11" s="23" t="n">
        <v>0</v>
      </c>
      <c r="M11" s="23" t="n">
        <v>0</v>
      </c>
    </row>
    <row r="12">
      <c r="A12" s="2" t="inlineStr">
        <is>
          <t>Net Income</t>
        </is>
      </c>
      <c r="B12" s="23" t="n">
        <v>-0.05</v>
      </c>
      <c r="C12" s="23" t="n">
        <v>-0.039</v>
      </c>
      <c r="D12" s="23" t="n">
        <v>-0.01</v>
      </c>
      <c r="E12" s="23" t="n">
        <v>0.357</v>
      </c>
      <c r="F12" s="23" t="n">
        <v>-0.969</v>
      </c>
      <c r="G12" s="23" t="n">
        <v>-1.013</v>
      </c>
      <c r="H12" s="23" t="n">
        <v>-3.038</v>
      </c>
      <c r="I12" s="23" t="n">
        <v>3.904</v>
      </c>
      <c r="J12" s="23" t="n">
        <v>-3.909</v>
      </c>
      <c r="K12" s="23" t="n">
        <v>-3.701</v>
      </c>
      <c r="L12" s="23" t="n">
        <v>-4.393</v>
      </c>
      <c r="M12" s="23" t="n">
        <v>-4.228</v>
      </c>
    </row>
    <row r="13">
      <c r="A13" s="2" t="inlineStr">
        <is>
          <t>Earnings per Share</t>
        </is>
      </c>
      <c r="B13" s="11">
        <f>IFERROR(B12/B14,0)</f>
        <v>-0.05549389567147614</v>
      </c>
      <c r="C13" s="11">
        <f>IFERROR(C12/C14,0)</f>
        <v>-0.04328523862375139</v>
      </c>
      <c r="D13" s="11">
        <f>IFERROR(D12/D14,0)</f>
        <v>-0.010482180293501049</v>
      </c>
      <c r="E13" s="11">
        <f>IFERROR(E12/E14,0)</f>
        <v>0.23302872062663185</v>
      </c>
      <c r="F13" s="11">
        <f>IFERROR(F12/F14,0)</f>
        <v>-0.6710526315789473</v>
      </c>
      <c r="G13" s="11">
        <f>IFERROR(G12/G14,0)</f>
        <v>-1.4681159420289855</v>
      </c>
      <c r="H13" s="11">
        <f>IFERROR(H12/H14,0)</f>
        <v>-1.565979381443299</v>
      </c>
      <c r="I13" s="11">
        <f>IFERROR(I12/I14,0)</f>
        <v>2.0354535974973933</v>
      </c>
      <c r="J13" s="11">
        <f>IFERROR(J12/J14,0)</f>
        <v>-1.7114711033274956</v>
      </c>
      <c r="K13" s="11">
        <f>IFERROR(K12/K14,0)</f>
        <v>-1.2016233766233766</v>
      </c>
      <c r="L13" s="11">
        <f>IFERROR(L12/L14,0)</f>
        <v>-1.1937499999999999</v>
      </c>
      <c r="M13" s="11">
        <f>IFERROR(M12/M14,0)</f>
        <v>-0.504414220949654</v>
      </c>
    </row>
    <row r="14">
      <c r="A14" s="2" t="inlineStr">
        <is>
          <t>Shares</t>
        </is>
      </c>
      <c r="B14" s="23" t="n">
        <v>0.901</v>
      </c>
      <c r="C14" s="23" t="n">
        <v>0.901</v>
      </c>
      <c r="D14" s="23" t="n">
        <v>0.954</v>
      </c>
      <c r="E14" s="23" t="n">
        <v>1.532</v>
      </c>
      <c r="F14" s="23" t="n">
        <v>1.444</v>
      </c>
      <c r="G14" s="23" t="n">
        <v>0.6899999999999999</v>
      </c>
      <c r="H14" s="23" t="n">
        <v>1.94</v>
      </c>
      <c r="I14" s="23" t="n">
        <v>1.918</v>
      </c>
      <c r="J14" s="23" t="n">
        <v>2.284</v>
      </c>
      <c r="K14" s="23" t="n">
        <v>3.08</v>
      </c>
      <c r="L14" s="23" t="n">
        <v>3.68</v>
      </c>
      <c r="M14" s="23" t="n">
        <v>8.382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0.0</v>
      </c>
      <c r="I16" s="15">
        <f>IFERROR(I2/H2-1,"")</f>
        <v>-1.0</v>
      </c>
      <c r="J16" s="15">
        <f>IFERROR(J2/I2-1,"")</f>
        <v/>
      </c>
      <c r="K16" s="15">
        <f>IFERROR(K2/J2-1,"")</f>
        <v>0.0</v>
      </c>
      <c r="L16" s="15">
        <f>IFERROR(L2/K2-1,"")</f>
        <v>0.0</v>
      </c>
      <c r="M16" s="15">
        <f>IFERROR(M2/L2-1,"")</f>
        <v>0.0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0.34146341463414637</v>
      </c>
      <c r="H17" s="15">
        <f>IFERROR(H4/H2,"")</f>
        <v>-3.2926829268292677</v>
      </c>
      <c r="I17" s="15">
        <f>IFERROR(I4/I2,"")</f>
        <v/>
      </c>
      <c r="J17" s="15">
        <f>IFERROR(J4/J2,"")</f>
        <v>0.9166666666666666</v>
      </c>
      <c r="K17" s="15">
        <f>IFERROR(K4/K2,"")</f>
        <v>0.9166666666666666</v>
      </c>
      <c r="L17" s="15">
        <f>IFERROR(L4/L2,"")</f>
        <v>0.9166666666666666</v>
      </c>
      <c r="M17" s="15">
        <f>IFERROR(M4/M2,"")</f>
        <v>0.3888888888888889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-22.68292682926829</v>
      </c>
      <c r="H18" s="15">
        <f>IFERROR(H8/H2,"")</f>
        <v>-53.68292682926828</v>
      </c>
      <c r="I18" s="15">
        <f>IFERROR(I8/I2,"")</f>
        <v/>
      </c>
      <c r="J18" s="15">
        <f>IFERROR(J8/J2,"")</f>
        <v>-50.37500000000001</v>
      </c>
      <c r="K18" s="15">
        <f>IFERROR(K8/K2,"")</f>
        <v>-53.55555555555556</v>
      </c>
      <c r="L18" s="15">
        <f>IFERROR(L8/L2,"")</f>
        <v>-65.36111111111113</v>
      </c>
      <c r="M18" s="15">
        <f>IFERROR(M8/M2,"")</f>
        <v>-59.45833333333334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2026-10-21T01:06:53Z</dcterms:modified>
  <cp:lastModifiedBy>Wang, Eric</cp:lastModifiedBy>
</cp:coreProperties>
</file>