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SOL-GEL TECHNOLOGIES LTD.</t>
        </is>
      </c>
      <c r="C2" s="10" t="n"/>
    </row>
    <row r="3">
      <c r="B3" t="inlineStr">
        <is>
          <t>Price</t>
        </is>
      </c>
      <c r="C3" s="11">
        <f>INDEX([1]Pharma!$F$1:$F$1000,MATCH("SLGL",[1]Pharma!$B$1:$B$1000,0))</f>
        <v>65.81</v>
      </c>
      <c r="F3" s="1" t="n"/>
    </row>
    <row r="4">
      <c r="B4" t="inlineStr">
        <is>
          <t>Shares</t>
        </is>
      </c>
      <c r="C4" s="21" t="n">
        <v>2.786158</v>
      </c>
      <c r="F4" s="1" t="n"/>
    </row>
    <row r="5">
      <c r="B5" t="inlineStr">
        <is>
          <t>Market Cap.</t>
        </is>
      </c>
      <c r="C5" s="13">
        <f>C3*C4</f>
        <v>183.35705798</v>
      </c>
      <c r="F5" s="1" t="n"/>
    </row>
    <row r="6"/>
    <row r="7">
      <c r="B7" t="inlineStr">
        <is>
          <t>Cash</t>
        </is>
      </c>
      <c r="C7" s="21">
        <f>11.033+12.966</f>
        <v>23.999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159.35805798</v>
      </c>
    </row>
    <row r="10"/>
    <row r="11">
      <c r="B11" s="14" t="inlineStr">
        <is>
          <t>rNPV / Share</t>
        </is>
      </c>
      <c r="C11" s="11">
        <f>NPV!B27</f>
        <v>76.87493956711661</v>
      </c>
    </row>
    <row r="12">
      <c r="B12" s="14" t="inlineStr">
        <is>
          <t>Upside</t>
        </is>
      </c>
      <c r="C12" s="15">
        <f>IFERROR(C11/C3-1,"")</f>
        <v>0.16813462341766616</v>
      </c>
    </row>
    <row r="13">
      <c r="B13" s="14" t="inlineStr">
        <is>
          <t>Cash / Share</t>
        </is>
      </c>
      <c r="C13" s="11">
        <f>IFERROR((C7-C8)/C4,"")</f>
        <v>8.613653640604733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0.322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159.35805798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0.174</v>
      </c>
      <c r="E2" s="23" t="n">
        <v>0.129</v>
      </c>
      <c r="F2" s="23" t="n">
        <v>22.904</v>
      </c>
      <c r="G2" s="23" t="n">
        <v>8.771000000000001</v>
      </c>
      <c r="H2" s="23" t="n">
        <v>31.272</v>
      </c>
      <c r="I2" s="23" t="n">
        <v>3.883</v>
      </c>
      <c r="J2" s="23" t="n">
        <v>1.554</v>
      </c>
      <c r="K2" s="23" t="n">
        <v>11.538</v>
      </c>
      <c r="L2" s="23" t="n">
        <v>19.388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0.174</v>
      </c>
      <c r="E4" s="23">
        <f>E2-E3</f>
        <v>0.129</v>
      </c>
      <c r="F4" s="23">
        <f>F2-F3</f>
        <v>22.904</v>
      </c>
      <c r="G4" s="23">
        <f>G2-G3</f>
        <v>8.771</v>
      </c>
      <c r="H4" s="23">
        <f>H2-H3</f>
        <v>31.272</v>
      </c>
      <c r="I4" s="23">
        <f>I2-I3</f>
        <v>3.883</v>
      </c>
      <c r="J4" s="23">
        <f>J2-J3</f>
        <v>1.554</v>
      </c>
      <c r="K4" s="23">
        <f>K2-K3</f>
        <v>11.538</v>
      </c>
      <c r="L4" s="23">
        <f>L2-L3</f>
        <v>19.388</v>
      </c>
    </row>
    <row r="5">
      <c r="A5" s="2" t="inlineStr">
        <is>
          <t>Research &amp; Dev.</t>
        </is>
      </c>
      <c r="B5" s="23" t="n">
        <v>7.184</v>
      </c>
      <c r="C5" s="23" t="n">
        <v>17.023</v>
      </c>
      <c r="D5" s="23" t="n">
        <v>25.805</v>
      </c>
      <c r="E5" s="23" t="n">
        <v>28.146</v>
      </c>
      <c r="F5" s="23" t="n">
        <v>40.578</v>
      </c>
      <c r="G5" s="23" t="n">
        <v>27.913</v>
      </c>
      <c r="H5" s="23" t="n">
        <v>20.381</v>
      </c>
      <c r="I5" s="23" t="n">
        <v>12.682</v>
      </c>
      <c r="J5" s="23" t="n">
        <v>23.541</v>
      </c>
      <c r="K5" s="23" t="n">
        <v>17.803</v>
      </c>
      <c r="L5" s="23" t="n">
        <v>22.804</v>
      </c>
    </row>
    <row r="6">
      <c r="A6" s="19" t="inlineStr">
        <is>
          <t>SG&amp;A &amp; Other</t>
        </is>
      </c>
      <c r="B6" s="23" t="n">
        <v>2.463</v>
      </c>
      <c r="C6" s="23" t="n">
        <v>3.733</v>
      </c>
      <c r="D6" s="23" t="n">
        <v>6.002</v>
      </c>
      <c r="E6" s="23" t="n">
        <v>5.504</v>
      </c>
      <c r="F6" s="23" t="n">
        <v>8.276</v>
      </c>
      <c r="G6" s="23" t="n">
        <v>11.091</v>
      </c>
      <c r="H6" s="23" t="n">
        <v>7.927</v>
      </c>
      <c r="I6" s="23" t="n">
        <v>7.445</v>
      </c>
      <c r="J6" s="23" t="n">
        <v>7.318</v>
      </c>
      <c r="K6" s="23" t="n">
        <v>5.749</v>
      </c>
      <c r="L6" s="23" t="n">
        <v>4.122</v>
      </c>
    </row>
    <row r="7">
      <c r="A7" s="2" t="inlineStr">
        <is>
          <t>Operating Expense</t>
        </is>
      </c>
      <c r="B7" s="23">
        <f>SUM(B5:B6)</f>
        <v>9.647</v>
      </c>
      <c r="C7" s="23">
        <f>SUM(C5:C6)</f>
        <v>20.756</v>
      </c>
      <c r="D7" s="23">
        <f>SUM(D5:D6)</f>
        <v>31.807</v>
      </c>
      <c r="E7" s="23">
        <f>SUM(E5:E6)</f>
        <v>33.65</v>
      </c>
      <c r="F7" s="23">
        <f>SUM(F5:F6)</f>
        <v>48.854</v>
      </c>
      <c r="G7" s="23">
        <f>SUM(G5:G6)</f>
        <v>39.004</v>
      </c>
      <c r="H7" s="23">
        <f>SUM(H5:H6)</f>
        <v>28.308</v>
      </c>
      <c r="I7" s="23">
        <f>SUM(I5:I6)</f>
        <v>20.127000000000002</v>
      </c>
      <c r="J7" s="23">
        <f>SUM(J5:J6)</f>
        <v>30.859</v>
      </c>
      <c r="K7" s="23">
        <f>SUM(K5:K6)</f>
        <v>23.552</v>
      </c>
      <c r="L7" s="23">
        <f>SUM(L5:L6)</f>
        <v>26.926</v>
      </c>
    </row>
    <row r="8">
      <c r="A8" s="2" t="inlineStr">
        <is>
          <t>Operating Income</t>
        </is>
      </c>
      <c r="B8" s="23">
        <f>B4-B7</f>
        <v>-9.647</v>
      </c>
      <c r="C8" s="23">
        <f>C4-C7</f>
        <v>-20.756</v>
      </c>
      <c r="D8" s="23">
        <f>D4-D7</f>
        <v>-31.633</v>
      </c>
      <c r="E8" s="23">
        <f>E4-E7</f>
        <v>-33.521</v>
      </c>
      <c r="F8" s="23">
        <f>F4-F7</f>
        <v>-25.95</v>
      </c>
      <c r="G8" s="23">
        <f>G4-G7</f>
        <v>-30.232999999999997</v>
      </c>
      <c r="H8" s="23">
        <f>H4-H7</f>
        <v>2.9639999999999986</v>
      </c>
      <c r="I8" s="23">
        <f>I4-I7</f>
        <v>-16.244000000000003</v>
      </c>
      <c r="J8" s="23">
        <f>J4-J7</f>
        <v>-29.305000000000003</v>
      </c>
      <c r="K8" s="23">
        <f>K4-K7</f>
        <v>-12.014</v>
      </c>
      <c r="L8" s="23">
        <f>L4-L7</f>
        <v>-7.537999999999997</v>
      </c>
    </row>
    <row r="9">
      <c r="A9" s="19" t="inlineStr">
        <is>
          <t>Interest &amp; Other</t>
        </is>
      </c>
      <c r="B9" s="23" t="n">
        <v>-0.013</v>
      </c>
      <c r="C9" s="23" t="n">
        <v>-0.015</v>
      </c>
      <c r="D9" s="23" t="n">
        <v>0.065</v>
      </c>
      <c r="E9" s="23" t="n">
        <v>1.318</v>
      </c>
      <c r="F9" s="23" t="n">
        <v>1.374</v>
      </c>
      <c r="G9" s="23" t="n">
        <v>0.9429999999999999</v>
      </c>
      <c r="H9" s="23" t="n">
        <v>0.257</v>
      </c>
      <c r="I9" s="23" t="n">
        <v>1.321</v>
      </c>
      <c r="J9" s="23" t="n">
        <v>2.067</v>
      </c>
      <c r="K9" s="23" t="n">
        <v>1.434</v>
      </c>
      <c r="L9" s="23" t="n">
        <v>1.411</v>
      </c>
    </row>
    <row r="10">
      <c r="A10" s="2" t="inlineStr">
        <is>
          <t>Pretax</t>
        </is>
      </c>
      <c r="B10" s="23">
        <f>B8+B9</f>
        <v>-9.66</v>
      </c>
      <c r="C10" s="23">
        <f>C8+C9</f>
        <v>-20.771</v>
      </c>
      <c r="D10" s="23">
        <f>D8+D9</f>
        <v>-31.567999999999998</v>
      </c>
      <c r="E10" s="23">
        <f>E8+E9</f>
        <v>-32.203</v>
      </c>
      <c r="F10" s="23">
        <f>F8+F9</f>
        <v>-24.576</v>
      </c>
      <c r="G10" s="23">
        <f>G8+G9</f>
        <v>-29.289999999999996</v>
      </c>
      <c r="H10" s="23">
        <f>H8+H9</f>
        <v>3.2209999999999988</v>
      </c>
      <c r="I10" s="23">
        <f>I8+I9</f>
        <v>-14.923000000000004</v>
      </c>
      <c r="J10" s="23">
        <f>J8+J9</f>
        <v>-27.238000000000003</v>
      </c>
      <c r="K10" s="23">
        <f>K8+K9</f>
        <v>-10.58</v>
      </c>
      <c r="L10" s="23">
        <f>L8+L9</f>
        <v>-6.126999999999997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0.033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-9.66</v>
      </c>
      <c r="C12" s="23" t="n">
        <v>-20.771</v>
      </c>
      <c r="D12" s="23" t="n">
        <v>-31.568</v>
      </c>
      <c r="E12" s="23" t="n">
        <v>-32.203</v>
      </c>
      <c r="F12" s="23" t="n">
        <v>-24.609</v>
      </c>
      <c r="G12" s="23" t="n">
        <v>-29.29</v>
      </c>
      <c r="H12" s="23" t="n">
        <v>3.221</v>
      </c>
      <c r="I12" s="23" t="n">
        <v>-14.923</v>
      </c>
      <c r="J12" s="23" t="n">
        <v>-27.238</v>
      </c>
      <c r="K12" s="23" t="n">
        <v>-10.58</v>
      </c>
      <c r="L12" s="23" t="n">
        <v>-6.127</v>
      </c>
    </row>
    <row r="13">
      <c r="A13" s="2" t="inlineStr">
        <is>
          <t>Earnings per Share</t>
        </is>
      </c>
      <c r="B13" s="11">
        <f>IFERROR(B12/B14,0)</f>
        <v>-1.5357710651828298</v>
      </c>
      <c r="C13" s="11">
        <f>IFERROR(C12/C14,0)</f>
        <v>-3.3022257551669316</v>
      </c>
      <c r="D13" s="11">
        <f>IFERROR(D12/D14,0)</f>
        <v>-5.018759936406996</v>
      </c>
      <c r="E13" s="11">
        <f>IFERROR(E12/E14,0)</f>
        <v>-1.8022722184911577</v>
      </c>
      <c r="F13" s="11">
        <f>IFERROR(F12/F14,0)</f>
        <v>-1.259738930125416</v>
      </c>
      <c r="G13" s="11">
        <f>IFERROR(G12/G14,0)</f>
        <v>-1.297452934662237</v>
      </c>
      <c r="H13" s="11">
        <f>IFERROR(H12/H14,0)</f>
        <v>0.13667996265806673</v>
      </c>
      <c r="I13" s="11">
        <f>IFERROR(I12/I14,0)</f>
        <v>-0.6452073154913744</v>
      </c>
      <c r="J13" s="11">
        <f>IFERROR(J12/J14,0)</f>
        <v>-10.054632705795497</v>
      </c>
      <c r="K13" s="11">
        <f>IFERROR(K12/K14,0)</f>
        <v>-3.7975592246949033</v>
      </c>
      <c r="L13" s="11">
        <f>IFERROR(L12/L14,0)</f>
        <v>-2.199210337401292</v>
      </c>
    </row>
    <row r="14">
      <c r="A14" s="2" t="inlineStr">
        <is>
          <t>Shares</t>
        </is>
      </c>
      <c r="B14" s="23" t="n">
        <v>6.29</v>
      </c>
      <c r="C14" s="23" t="n">
        <v>6.29</v>
      </c>
      <c r="D14" s="23" t="n">
        <v>6.29</v>
      </c>
      <c r="E14" s="23" t="n">
        <v>17.868</v>
      </c>
      <c r="F14" s="23" t="n">
        <v>19.535</v>
      </c>
      <c r="G14" s="23" t="n">
        <v>22.575</v>
      </c>
      <c r="H14" s="23" t="n">
        <v>23.566</v>
      </c>
      <c r="I14" s="23" t="n">
        <v>23.129</v>
      </c>
      <c r="J14" s="23" t="n">
        <v>2.709</v>
      </c>
      <c r="K14" s="23" t="n">
        <v>2.786</v>
      </c>
      <c r="L14" s="23" t="n">
        <v>2.786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-0.2586206896551724</v>
      </c>
      <c r="F16" s="15">
        <f>IFERROR(F2/E2-1,"")</f>
        <v>176.5503875968992</v>
      </c>
      <c r="G16" s="15">
        <f>IFERROR(G2/F2-1,"")</f>
        <v>-0.6170537897310513</v>
      </c>
      <c r="H16" s="15">
        <f>IFERROR(H2/G2-1,"")</f>
        <v>2.565385930908676</v>
      </c>
      <c r="I16" s="15">
        <f>IFERROR(I2/H2-1,"")</f>
        <v>-0.8758314146840624</v>
      </c>
      <c r="J16" s="15">
        <f>IFERROR(J2/I2-1,"")</f>
        <v>-0.5997939737316508</v>
      </c>
      <c r="K16" s="15">
        <f>IFERROR(K2/J2-1,"")</f>
        <v>6.424710424710424</v>
      </c>
      <c r="L16" s="15">
        <f>IFERROR(L2/K2-1,"")</f>
        <v>0.6803605477552437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-181.79885057471265</v>
      </c>
      <c r="E18" s="15">
        <f>IFERROR(E8/E2,"")</f>
        <v>-259.85271317829455</v>
      </c>
      <c r="F18" s="15">
        <f>IFERROR(F8/F2,"")</f>
        <v>-1.132989870764932</v>
      </c>
      <c r="G18" s="15">
        <f>IFERROR(G8/G2,"")</f>
        <v>-3.4469273743016755</v>
      </c>
      <c r="H18" s="15">
        <f>IFERROR(H8/H2,"")</f>
        <v>0.09478127398311585</v>
      </c>
      <c r="I18" s="15">
        <f>IFERROR(I8/I2,"")</f>
        <v>-4.183363378830801</v>
      </c>
      <c r="J18" s="15">
        <f>IFERROR(J8/J2,"")</f>
        <v>-18.85778635778636</v>
      </c>
      <c r="K18" s="15">
        <f>IFERROR(K8/K2,"")</f>
        <v>-1.0412549835326745</v>
      </c>
      <c r="L18" s="15">
        <f>IFERROR(L8/L2,"")</f>
        <v>-0.3887971941407054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SOL-GEL TECHNOLOGIES LTD.: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7.538</v>
      </c>
    </row>
    <row r="19">
      <c r="A19" s="14" t="inlineStr">
        <is>
          <t>Years of full burn (until the first launch, max 4)</t>
        </is>
      </c>
      <c r="B19" s="39">
        <f>MIN(4,MAX(1,MIN(Pipeline!I4:I4)-2026))</f>
        <v>1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207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46022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190.1867278744385</v>
      </c>
      <c r="C29" s="42">
        <f>NPV!B25</f>
        <v>214.1857278744385</v>
      </c>
      <c r="D29" s="43">
        <f>NPV!B27</f>
        <v>76.87493956711661</v>
      </c>
      <c r="E29" s="44">
        <f>NPV!B29</f>
        <v>0.16813462341766616</v>
      </c>
    </row>
    <row r="30">
      <c r="A30" s="45" t="n">
        <v>1</v>
      </c>
      <c r="B30" s="46">
        <f t="dataTable" ref="B30:E32" r1="B4"/>
        <v>109.52102993498359</v>
      </c>
      <c r="C30" s="46">
        <v>133.5200299349836</v>
      </c>
      <c r="D30" s="47">
        <v>47.922633940711044</v>
      </c>
      <c r="E30" s="48">
        <v>-0.27180316151479955</v>
      </c>
    </row>
    <row r="31">
      <c r="A31" s="45" t="n">
        <v>2</v>
      </c>
      <c r="B31" s="46">
        <v>190.1867278744385</v>
      </c>
      <c r="C31" s="46">
        <v>214.1857278744385</v>
      </c>
      <c r="D31" s="47">
        <v>76.87493956711661</v>
      </c>
      <c r="E31" s="48">
        <v>0.16813462341766616</v>
      </c>
    </row>
    <row r="32">
      <c r="A32" s="45" t="n">
        <v>3</v>
      </c>
      <c r="B32" s="46">
        <v>278.84434364994564</v>
      </c>
      <c r="C32" s="46">
        <v>302.84334364994567</v>
      </c>
      <c r="D32" s="47">
        <v>108.69568188521458</v>
      </c>
      <c r="E32" s="48">
        <v>0.6516590470325874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76.87493956711661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43.55965409838613</v>
      </c>
      <c r="C37" s="47">
        <v>60.9824456781615</v>
      </c>
      <c r="D37" s="47">
        <v>76.87493956711661</v>
      </c>
      <c r="E37" s="47">
        <v>107.74471930207734</v>
      </c>
      <c r="F37" s="47">
        <v>138.06342525962629</v>
      </c>
    </row>
    <row r="38">
      <c r="A38" s="50" t="n">
        <v>0.8</v>
      </c>
      <c r="B38" s="47">
        <v>43.55965409838613</v>
      </c>
      <c r="C38" s="47">
        <v>60.9824456781615</v>
      </c>
      <c r="D38" s="47">
        <v>76.87493956711661</v>
      </c>
      <c r="E38" s="47">
        <v>107.74471930207734</v>
      </c>
      <c r="F38" s="47">
        <v>138.06342525962629</v>
      </c>
    </row>
    <row r="39">
      <c r="A39" s="50" t="n">
        <v>1</v>
      </c>
      <c r="B39" s="47">
        <v>43.55965409838613</v>
      </c>
      <c r="C39" s="47">
        <v>60.9824456781615</v>
      </c>
      <c r="D39" s="47">
        <v>76.87493956711661</v>
      </c>
      <c r="E39" s="47">
        <v>107.74471930207734</v>
      </c>
      <c r="F39" s="47">
        <v>138.06342525962629</v>
      </c>
    </row>
    <row r="40">
      <c r="A40" s="50" t="n">
        <v>1.2</v>
      </c>
      <c r="B40" s="47">
        <v>43.55965409838613</v>
      </c>
      <c r="C40" s="47">
        <v>60.9824456781615</v>
      </c>
      <c r="D40" s="47">
        <v>76.87493956711661</v>
      </c>
      <c r="E40" s="47">
        <v>107.74471930207734</v>
      </c>
      <c r="F40" s="47">
        <v>138.06342525962629</v>
      </c>
    </row>
    <row r="41">
      <c r="A41" s="50" t="n">
        <v>1.4</v>
      </c>
      <c r="B41" s="47">
        <v>43.55965409838613</v>
      </c>
      <c r="C41" s="47">
        <v>60.9824456781615</v>
      </c>
      <c r="D41" s="47">
        <v>76.87493956711661</v>
      </c>
      <c r="E41" s="47">
        <v>107.74471930207734</v>
      </c>
      <c r="F41" s="47">
        <v>138.06342525962629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SOL-GEL TECHNOLOGIES LTD.: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Dermatology (other)</t>
        </is>
      </c>
      <c r="C4" s="14" t="inlineStr">
        <is>
          <t>Epsolay (encapsulated benzoyl peroxide)</t>
        </is>
      </c>
      <c r="D4" s="14" t="inlineStr">
        <is>
          <t>Approved</t>
        </is>
      </c>
      <c r="E4" s="14" t="inlineStr">
        <is>
          <t>Other / area</t>
        </is>
      </c>
      <c r="F4" s="14" t="inlineStr">
        <is>
          <t>Partnered</t>
        </is>
      </c>
      <c r="G4" s="40" t="n">
        <v>300</v>
      </c>
      <c r="H4" s="27" t="n">
        <v>1</v>
      </c>
      <c r="I4" s="26" t="n">
        <v>2022</v>
      </c>
      <c r="J4" s="39">
        <f>I4+Assumptions!$B$25</f>
        <v>2034.0</v>
      </c>
      <c r="K4" s="53">
        <f>Assumptions!$E$14</f>
        <v>0.12</v>
      </c>
      <c r="L4" s="23">
        <f>K4*SUMPRODUCT(M4:AF4,NPV!$C$15:$V$15)</f>
        <v>208.97563847462035</v>
      </c>
      <c r="M4" s="23">
        <f>IF(M$3&lt;$I4,0,$G4*Assumptions!$E$11*INDEX(Assumptions!$B$24:$G$24,MIN(6,M$3-$I4+1))*IF(M$3&gt;$J4,(1-Assumptions!$B$26)^(M$3-$J4),1)*IF($H4&gt;=1,1,MIN(0.97,$H4*Assumptions!$E$12)))</f>
        <v>255.0</v>
      </c>
      <c r="N4" s="23">
        <f>IF(N$3&lt;$I4,0,$G4*Assumptions!$E$11*INDEX(Assumptions!$B$24:$G$24,MIN(6,N$3-$I4+1))*IF(N$3&gt;$J4,(1-Assumptions!$B$26)^(N$3-$J4),1)*IF($H4&gt;=1,1,MIN(0.97,$H4*Assumptions!$E$12)))</f>
        <v>300.0</v>
      </c>
      <c r="O4" s="23">
        <f>IF(O$3&lt;$I4,0,$G4*Assumptions!$E$11*INDEX(Assumptions!$B$24:$G$24,MIN(6,O$3-$I4+1))*IF(O$3&gt;$J4,(1-Assumptions!$B$26)^(O$3-$J4),1)*IF($H4&gt;=1,1,MIN(0.97,$H4*Assumptions!$E$12)))</f>
        <v>300.0</v>
      </c>
      <c r="P4" s="23">
        <f>IF(P$3&lt;$I4,0,$G4*Assumptions!$E$11*INDEX(Assumptions!$B$24:$G$24,MIN(6,P$3-$I4+1))*IF(P$3&gt;$J4,(1-Assumptions!$B$26)^(P$3-$J4),1)*IF($H4&gt;=1,1,MIN(0.97,$H4*Assumptions!$E$12)))</f>
        <v>300.0</v>
      </c>
      <c r="Q4" s="23">
        <f>IF(Q$3&lt;$I4,0,$G4*Assumptions!$E$11*INDEX(Assumptions!$B$24:$G$24,MIN(6,Q$3-$I4+1))*IF(Q$3&gt;$J4,(1-Assumptions!$B$26)^(Q$3-$J4),1)*IF($H4&gt;=1,1,MIN(0.97,$H4*Assumptions!$E$12)))</f>
        <v>300.0</v>
      </c>
      <c r="R4" s="23">
        <f>IF(R$3&lt;$I4,0,$G4*Assumptions!$E$11*INDEX(Assumptions!$B$24:$G$24,MIN(6,R$3-$I4+1))*IF(R$3&gt;$J4,(1-Assumptions!$B$26)^(R$3-$J4),1)*IF($H4&gt;=1,1,MIN(0.97,$H4*Assumptions!$E$12)))</f>
        <v>300.0</v>
      </c>
      <c r="S4" s="23">
        <f>IF(S$3&lt;$I4,0,$G4*Assumptions!$E$11*INDEX(Assumptions!$B$24:$G$24,MIN(6,S$3-$I4+1))*IF(S$3&gt;$J4,(1-Assumptions!$B$26)^(S$3-$J4),1)*IF($H4&gt;=1,1,MIN(0.97,$H4*Assumptions!$E$12)))</f>
        <v>300.0</v>
      </c>
      <c r="T4" s="23">
        <f>IF(T$3&lt;$I4,0,$G4*Assumptions!$E$11*INDEX(Assumptions!$B$24:$G$24,MIN(6,T$3-$I4+1))*IF(T$3&gt;$J4,(1-Assumptions!$B$26)^(T$3-$J4),1)*IF($H4&gt;=1,1,MIN(0.97,$H4*Assumptions!$E$12)))</f>
        <v>300.0</v>
      </c>
      <c r="U4" s="23">
        <f>IF(U$3&lt;$I4,0,$G4*Assumptions!$E$11*INDEX(Assumptions!$B$24:$G$24,MIN(6,U$3-$I4+1))*IF(U$3&gt;$J4,(1-Assumptions!$B$26)^(U$3-$J4),1)*IF($H4&gt;=1,1,MIN(0.97,$H4*Assumptions!$E$12)))</f>
        <v>300.0</v>
      </c>
      <c r="V4" s="23">
        <f>IF(V$3&lt;$I4,0,$G4*Assumptions!$E$11*INDEX(Assumptions!$B$24:$G$24,MIN(6,V$3-$I4+1))*IF(V$3&gt;$J4,(1-Assumptions!$B$26)^(V$3-$J4),1)*IF($H4&gt;=1,1,MIN(0.97,$H4*Assumptions!$E$12)))</f>
        <v>150.0</v>
      </c>
      <c r="W4" s="23">
        <f>IF(W$3&lt;$I4,0,$G4*Assumptions!$E$11*INDEX(Assumptions!$B$24:$G$24,MIN(6,W$3-$I4+1))*IF(W$3&gt;$J4,(1-Assumptions!$B$26)^(W$3-$J4),1)*IF($H4&gt;=1,1,MIN(0.97,$H4*Assumptions!$E$12)))</f>
        <v>75.0</v>
      </c>
      <c r="X4" s="23">
        <f>IF(X$3&lt;$I4,0,$G4*Assumptions!$E$11*INDEX(Assumptions!$B$24:$G$24,MIN(6,X$3-$I4+1))*IF(X$3&gt;$J4,(1-Assumptions!$B$26)^(X$3-$J4),1)*IF($H4&gt;=1,1,MIN(0.97,$H4*Assumptions!$E$12)))</f>
        <v>37.5</v>
      </c>
      <c r="Y4" s="23">
        <f>IF(Y$3&lt;$I4,0,$G4*Assumptions!$E$11*INDEX(Assumptions!$B$24:$G$24,MIN(6,Y$3-$I4+1))*IF(Y$3&gt;$J4,(1-Assumptions!$B$26)^(Y$3-$J4),1)*IF($H4&gt;=1,1,MIN(0.97,$H4*Assumptions!$E$12)))</f>
        <v>18.75</v>
      </c>
      <c r="Z4" s="23">
        <f>IF(Z$3&lt;$I4,0,$G4*Assumptions!$E$11*INDEX(Assumptions!$B$24:$G$24,MIN(6,Z$3-$I4+1))*IF(Z$3&gt;$J4,(1-Assumptions!$B$26)^(Z$3-$J4),1)*IF($H4&gt;=1,1,MIN(0.97,$H4*Assumptions!$E$12)))</f>
        <v>9.375</v>
      </c>
      <c r="AA4" s="23">
        <f>IF(AA$3&lt;$I4,0,$G4*Assumptions!$E$11*INDEX(Assumptions!$B$24:$G$24,MIN(6,AA$3-$I4+1))*IF(AA$3&gt;$J4,(1-Assumptions!$B$26)^(AA$3-$J4),1)*IF($H4&gt;=1,1,MIN(0.97,$H4*Assumptions!$E$12)))</f>
        <v>4.6875</v>
      </c>
      <c r="AB4" s="23">
        <f>IF(AB$3&lt;$I4,0,$G4*Assumptions!$E$11*INDEX(Assumptions!$B$24:$G$24,MIN(6,AB$3-$I4+1))*IF(AB$3&gt;$J4,(1-Assumptions!$B$26)^(AB$3-$J4),1)*IF($H4&gt;=1,1,MIN(0.97,$H4*Assumptions!$E$12)))</f>
        <v>2.34375</v>
      </c>
      <c r="AC4" s="23">
        <f>IF(AC$3&lt;$I4,0,$G4*Assumptions!$E$11*INDEX(Assumptions!$B$24:$G$24,MIN(6,AC$3-$I4+1))*IF(AC$3&gt;$J4,(1-Assumptions!$B$26)^(AC$3-$J4),1)*IF($H4&gt;=1,1,MIN(0.97,$H4*Assumptions!$E$12)))</f>
        <v>1.171875</v>
      </c>
      <c r="AD4" s="23">
        <f>IF(AD$3&lt;$I4,0,$G4*Assumptions!$E$11*INDEX(Assumptions!$B$24:$G$24,MIN(6,AD$3-$I4+1))*IF(AD$3&gt;$J4,(1-Assumptions!$B$26)^(AD$3-$J4),1)*IF($H4&gt;=1,1,MIN(0.97,$H4*Assumptions!$E$12)))</f>
        <v>0.5859375</v>
      </c>
      <c r="AE4" s="23">
        <f>IF(AE$3&lt;$I4,0,$G4*Assumptions!$E$11*INDEX(Assumptions!$B$24:$G$24,MIN(6,AE$3-$I4+1))*IF(AE$3&gt;$J4,(1-Assumptions!$B$26)^(AE$3-$J4),1)*IF($H4&gt;=1,1,MIN(0.97,$H4*Assumptions!$E$12)))</f>
        <v>0.29296875</v>
      </c>
      <c r="AF4" s="23">
        <f>IF(AF$3&lt;$I4,0,$G4*Assumptions!$E$11*INDEX(Assumptions!$B$24:$G$24,MIN(6,AF$3-$I4+1))*IF(AF$3&gt;$J4,(1-Assumptions!$B$26)^(AF$3-$J4),1)*IF($H4&gt;=1,1,MIN(0.97,$H4*Assumptions!$E$12)))</f>
        <v>0.146484375</v>
      </c>
      <c r="AG4" s="35">
        <f>IF(F4="Owned",1-IF(H4&gt;=1,1,MIN(0.97,H4*Assumptions!$E$12)),1)</f>
        <v>1</v>
      </c>
    </row>
    <row r="5">
      <c r="B5" s="24" t="inlineStr">
        <is>
          <t>Risked revenue</t>
        </is>
      </c>
      <c r="L5" s="54">
        <f>SUM(L4:L4)</f>
        <v>208.97563847462035</v>
      </c>
      <c r="M5" s="54">
        <f>SUM(M4:M4)</f>
        <v>255.0</v>
      </c>
      <c r="N5" s="54">
        <f>SUM(N4:N4)</f>
        <v>300.0</v>
      </c>
      <c r="O5" s="54">
        <f>SUM(O4:O4)</f>
        <v>300.0</v>
      </c>
      <c r="P5" s="54">
        <f>SUM(P4:P4)</f>
        <v>300.0</v>
      </c>
      <c r="Q5" s="54">
        <f>SUM(Q4:Q4)</f>
        <v>300.0</v>
      </c>
      <c r="R5" s="54">
        <f>SUM(R4:R4)</f>
        <v>300.0</v>
      </c>
      <c r="S5" s="54">
        <f>SUM(S4:S4)</f>
        <v>300.0</v>
      </c>
      <c r="T5" s="54">
        <f>SUM(T4:T4)</f>
        <v>300.0</v>
      </c>
      <c r="U5" s="54">
        <f>SUM(U4:U4)</f>
        <v>300.0</v>
      </c>
      <c r="V5" s="54">
        <f>SUM(V4:V4)</f>
        <v>150.0</v>
      </c>
      <c r="W5" s="54">
        <f>SUM(W4:W4)</f>
        <v>75.0</v>
      </c>
      <c r="X5" s="54">
        <f>SUM(X4:X4)</f>
        <v>37.5</v>
      </c>
      <c r="Y5" s="54">
        <f>SUM(Y4:Y4)</f>
        <v>18.75</v>
      </c>
      <c r="Z5" s="54">
        <f>SUM(Z4:Z4)</f>
        <v>9.375</v>
      </c>
      <c r="AA5" s="54">
        <f>SUM(AA4:AA4)</f>
        <v>4.6875</v>
      </c>
      <c r="AB5" s="54">
        <f>SUM(AB4:AB4)</f>
        <v>2.34375</v>
      </c>
      <c r="AC5" s="54">
        <f>SUM(AC4:AC4)</f>
        <v>1.171875</v>
      </c>
      <c r="AD5" s="54">
        <f>SUM(AD4:AD4)</f>
        <v>0.5859375</v>
      </c>
      <c r="AE5" s="54">
        <f>SUM(AE4:AE4)</f>
        <v>0.29296875</v>
      </c>
      <c r="AF5" s="54">
        <f>SUM(AF4:AF4)</f>
        <v>0.146484375</v>
      </c>
    </row>
    <row r="6">
      <c r="B6" s="24" t="inlineStr">
        <is>
          <t>Risked contribution (revenue x share)</t>
        </is>
      </c>
      <c r="M6" s="55">
        <f>SUMPRODUCT(M4:M4,$K$4:$K$4)</f>
        <v>30.599999999999998</v>
      </c>
      <c r="N6" s="55">
        <f>SUMPRODUCT(N4:N4,$K$4:$K$4)</f>
        <v>36.0</v>
      </c>
      <c r="O6" s="55">
        <f>SUMPRODUCT(O4:O4,$K$4:$K$4)</f>
        <v>36.0</v>
      </c>
      <c r="P6" s="55">
        <f>SUMPRODUCT(P4:P4,$K$4:$K$4)</f>
        <v>36.0</v>
      </c>
      <c r="Q6" s="55">
        <f>SUMPRODUCT(Q4:Q4,$K$4:$K$4)</f>
        <v>36.0</v>
      </c>
      <c r="R6" s="55">
        <f>SUMPRODUCT(R4:R4,$K$4:$K$4)</f>
        <v>36.0</v>
      </c>
      <c r="S6" s="55">
        <f>SUMPRODUCT(S4:S4,$K$4:$K$4)</f>
        <v>36.0</v>
      </c>
      <c r="T6" s="55">
        <f>SUMPRODUCT(T4:T4,$K$4:$K$4)</f>
        <v>36.0</v>
      </c>
      <c r="U6" s="55">
        <f>SUMPRODUCT(U4:U4,$K$4:$K$4)</f>
        <v>36.0</v>
      </c>
      <c r="V6" s="55">
        <f>SUMPRODUCT(V4:V4,$K$4:$K$4)</f>
        <v>18.0</v>
      </c>
      <c r="W6" s="55">
        <f>SUMPRODUCT(W4:W4,$K$4:$K$4)</f>
        <v>9.0</v>
      </c>
      <c r="X6" s="55">
        <f>SUMPRODUCT(X4:X4,$K$4:$K$4)</f>
        <v>4.5</v>
      </c>
      <c r="Y6" s="55">
        <f>SUMPRODUCT(Y4:Y4,$K$4:$K$4)</f>
        <v>2.25</v>
      </c>
      <c r="Z6" s="55">
        <f>SUMPRODUCT(Z4:Z4,$K$4:$K$4)</f>
        <v>1.125</v>
      </c>
      <c r="AA6" s="55">
        <f>SUMPRODUCT(AA4:AA4,$K$4:$K$4)</f>
        <v>0.5625</v>
      </c>
      <c r="AB6" s="55">
        <f>SUMPRODUCT(AB4:AB4,$K$4:$K$4)</f>
        <v>0.28125</v>
      </c>
      <c r="AC6" s="55">
        <f>SUMPRODUCT(AC4:AC4,$K$4:$K$4)</f>
        <v>0.140625</v>
      </c>
      <c r="AD6" s="55">
        <f>SUMPRODUCT(AD4:AD4,$K$4:$K$4)</f>
        <v>0.0703125</v>
      </c>
      <c r="AE6" s="55">
        <f>SUMPRODUCT(AE4:AE4,$K$4:$K$4)</f>
        <v>0.03515625</v>
      </c>
      <c r="AF6" s="55">
        <f>SUMPRODUCT(AF4:AF4,$K$4:$K$4)</f>
        <v>0.017578125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SOL-GEL TECHNOLOGIES LTD.: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255.0</v>
      </c>
      <c r="D4" s="57">
        <f>Pipeline!N5</f>
        <v>300.0</v>
      </c>
      <c r="E4" s="57">
        <f>Pipeline!O5</f>
        <v>300.0</v>
      </c>
      <c r="F4" s="57">
        <f>Pipeline!P5</f>
        <v>300.0</v>
      </c>
      <c r="G4" s="57">
        <f>Pipeline!Q5</f>
        <v>300.0</v>
      </c>
      <c r="H4" s="57">
        <f>Pipeline!R5</f>
        <v>300.0</v>
      </c>
      <c r="I4" s="57">
        <f>Pipeline!S5</f>
        <v>300.0</v>
      </c>
      <c r="J4" s="57">
        <f>Pipeline!T5</f>
        <v>300.0</v>
      </c>
      <c r="K4" s="57">
        <f>Pipeline!U5</f>
        <v>300.0</v>
      </c>
      <c r="L4" s="57">
        <f>Pipeline!V5</f>
        <v>150.0</v>
      </c>
      <c r="M4" s="57">
        <f>Pipeline!W5</f>
        <v>75.0</v>
      </c>
      <c r="N4" s="57">
        <f>Pipeline!X5</f>
        <v>37.5</v>
      </c>
      <c r="O4" s="57">
        <f>Pipeline!Y5</f>
        <v>18.75</v>
      </c>
      <c r="P4" s="57">
        <f>Pipeline!Z5</f>
        <v>9.375</v>
      </c>
      <c r="Q4" s="57">
        <f>Pipeline!AA5</f>
        <v>4.6875</v>
      </c>
      <c r="R4" s="57">
        <f>Pipeline!AB5</f>
        <v>2.34375</v>
      </c>
      <c r="S4" s="57">
        <f>Pipeline!AC5</f>
        <v>1.171875</v>
      </c>
      <c r="T4" s="57">
        <f>Pipeline!AD5</f>
        <v>0.5859375</v>
      </c>
      <c r="U4" s="57">
        <f>Pipeline!AE5</f>
        <v>0.29296875</v>
      </c>
      <c r="V4" s="57">
        <f>Pipeline!AF5</f>
        <v>0.146484375</v>
      </c>
    </row>
    <row r="5">
      <c r="A5" s="14" t="inlineStr">
        <is>
          <t>Risked contribution</t>
        </is>
      </c>
      <c r="C5" s="57">
        <f>Pipeline!M6</f>
        <v>30.599999999999998</v>
      </c>
      <c r="D5" s="57">
        <f>Pipeline!N6</f>
        <v>36.0</v>
      </c>
      <c r="E5" s="57">
        <f>Pipeline!O6</f>
        <v>36.0</v>
      </c>
      <c r="F5" s="57">
        <f>Pipeline!P6</f>
        <v>36.0</v>
      </c>
      <c r="G5" s="57">
        <f>Pipeline!Q6</f>
        <v>36.0</v>
      </c>
      <c r="H5" s="57">
        <f>Pipeline!R6</f>
        <v>36.0</v>
      </c>
      <c r="I5" s="57">
        <f>Pipeline!S6</f>
        <v>36.0</v>
      </c>
      <c r="J5" s="57">
        <f>Pipeline!T6</f>
        <v>36.0</v>
      </c>
      <c r="K5" s="57">
        <f>Pipeline!U6</f>
        <v>36.0</v>
      </c>
      <c r="L5" s="57">
        <f>Pipeline!V6</f>
        <v>18.0</v>
      </c>
      <c r="M5" s="57">
        <f>Pipeline!W6</f>
        <v>9.0</v>
      </c>
      <c r="N5" s="57">
        <f>Pipeline!X6</f>
        <v>4.5</v>
      </c>
      <c r="O5" s="57">
        <f>Pipeline!Y6</f>
        <v>2.25</v>
      </c>
      <c r="P5" s="57">
        <f>Pipeline!Z6</f>
        <v>1.125</v>
      </c>
      <c r="Q5" s="57">
        <f>Pipeline!AA6</f>
        <v>0.5625</v>
      </c>
      <c r="R5" s="57">
        <f>Pipeline!AB6</f>
        <v>0.28125</v>
      </c>
      <c r="S5" s="57">
        <f>Pipeline!AC6</f>
        <v>0.140625</v>
      </c>
      <c r="T5" s="57">
        <f>Pipeline!AD6</f>
        <v>0.0703125</v>
      </c>
      <c r="U5" s="57">
        <f>Pipeline!AE6</f>
        <v>0.03515625</v>
      </c>
      <c r="V5" s="57">
        <f>Pipeline!AF6</f>
        <v>0.017578125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-7.538</v>
      </c>
      <c r="D6" s="23">
        <f>-IF(D3-2026&lt;Assumptions!$B$19,Assumptions!$B$18,Assumptions!$B$18*Assumptions!$B$20*Assumptions!$B$16)</f>
        <v>-0.0</v>
      </c>
      <c r="E6" s="23">
        <f>-IF(E3-2026&lt;Assumptions!$B$19,Assumptions!$B$18,Assumptions!$B$18*Assumptions!$B$20*Assumptions!$B$16)</f>
        <v>-0.0</v>
      </c>
      <c r="F6" s="23">
        <f>-IF(F3-2026&lt;Assumptions!$B$19,Assumptions!$B$18,Assumptions!$B$18*Assumptions!$B$20*Assumptions!$B$16)</f>
        <v>-0.0</v>
      </c>
      <c r="G6" s="23">
        <f>-IF(G3-2026&lt;Assumptions!$B$19,Assumptions!$B$18,Assumptions!$B$18*Assumptions!$B$20*Assumptions!$B$16)</f>
        <v>-0.0</v>
      </c>
      <c r="H6" s="23">
        <f>-IF(H3-2026&lt;Assumptions!$B$19,Assumptions!$B$18,Assumptions!$B$18*Assumptions!$B$20*Assumptions!$B$16)</f>
        <v>-0.0</v>
      </c>
      <c r="I6" s="23">
        <f>-IF(I3-2026&lt;Assumptions!$B$19,Assumptions!$B$18,Assumptions!$B$18*Assumptions!$B$20*Assumptions!$B$16)</f>
        <v>-0.0</v>
      </c>
      <c r="J6" s="23">
        <f>-IF(J3-2026&lt;Assumptions!$B$19,Assumptions!$B$18,Assumptions!$B$18*Assumptions!$B$20*Assumptions!$B$16)</f>
        <v>-0.0</v>
      </c>
      <c r="K6" s="23">
        <f>-IF(K3-2026&lt;Assumptions!$B$19,Assumptions!$B$18,Assumptions!$B$18*Assumptions!$B$20*Assumptions!$B$16)</f>
        <v>-0.0</v>
      </c>
      <c r="L6" s="23">
        <f>-IF(L3-2026&lt;Assumptions!$B$19,Assumptions!$B$18,Assumptions!$B$18*Assumptions!$B$20*Assumptions!$B$16)</f>
        <v>-0.0</v>
      </c>
      <c r="M6" s="23">
        <f>-IF(M3-2026&lt;Assumptions!$B$19,Assumptions!$B$18,Assumptions!$B$18*Assumptions!$B$20*Assumptions!$B$16)</f>
        <v>-0.0</v>
      </c>
      <c r="N6" s="23">
        <f>-IF(N3-2026&lt;Assumptions!$B$19,Assumptions!$B$18,Assumptions!$B$18*Assumptions!$B$20*Assumptions!$B$16)</f>
        <v>-0.0</v>
      </c>
      <c r="O6" s="23">
        <f>-IF(O3-2026&lt;Assumptions!$B$19,Assumptions!$B$18,Assumptions!$B$18*Assumptions!$B$20*Assumptions!$B$16)</f>
        <v>-0.0</v>
      </c>
      <c r="P6" s="23">
        <f>-IF(P3-2026&lt;Assumptions!$B$19,Assumptions!$B$18,Assumptions!$B$18*Assumptions!$B$20*Assumptions!$B$16)</f>
        <v>-0.0</v>
      </c>
      <c r="Q6" s="23">
        <f>-IF(Q3-2026&lt;Assumptions!$B$19,Assumptions!$B$18,Assumptions!$B$18*Assumptions!$B$20*Assumptions!$B$16)</f>
        <v>-0.0</v>
      </c>
      <c r="R6" s="23">
        <f>-IF(R3-2026&lt;Assumptions!$B$19,Assumptions!$B$18,Assumptions!$B$18*Assumptions!$B$20*Assumptions!$B$16)</f>
        <v>-0.0</v>
      </c>
      <c r="S6" s="23">
        <f>-IF(S3-2026&lt;Assumptions!$B$19,Assumptions!$B$18,Assumptions!$B$18*Assumptions!$B$20*Assumptions!$B$16)</f>
        <v>-0.0</v>
      </c>
      <c r="T6" s="23">
        <f>-IF(T3-2026&lt;Assumptions!$B$19,Assumptions!$B$18,Assumptions!$B$18*Assumptions!$B$20*Assumptions!$B$16)</f>
        <v>-0.0</v>
      </c>
      <c r="U6" s="23">
        <f>-IF(U3-2026&lt;Assumptions!$B$19,Assumptions!$B$18,Assumptions!$B$18*Assumptions!$B$20*Assumptions!$B$16)</f>
        <v>-0.0</v>
      </c>
      <c r="V6" s="23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23">
        <f>C5+C6</f>
        <v>23.061999999999998</v>
      </c>
      <c r="D7" s="23">
        <f>D5+D6</f>
        <v>36.0</v>
      </c>
      <c r="E7" s="23">
        <f>E5+E6</f>
        <v>36.0</v>
      </c>
      <c r="F7" s="23">
        <f>F5+F6</f>
        <v>36.0</v>
      </c>
      <c r="G7" s="23">
        <f>G5+G6</f>
        <v>36.0</v>
      </c>
      <c r="H7" s="23">
        <f>H5+H6</f>
        <v>36.0</v>
      </c>
      <c r="I7" s="23">
        <f>I5+I6</f>
        <v>36.0</v>
      </c>
      <c r="J7" s="23">
        <f>J5+J6</f>
        <v>36.0</v>
      </c>
      <c r="K7" s="23">
        <f>K5+K6</f>
        <v>36.0</v>
      </c>
      <c r="L7" s="23">
        <f>L5+L6</f>
        <v>18.0</v>
      </c>
      <c r="M7" s="23">
        <f>M5+M6</f>
        <v>9.0</v>
      </c>
      <c r="N7" s="23">
        <f>N5+N6</f>
        <v>4.5</v>
      </c>
      <c r="O7" s="23">
        <f>O5+O6</f>
        <v>2.25</v>
      </c>
      <c r="P7" s="23">
        <f>P5+P6</f>
        <v>1.125</v>
      </c>
      <c r="Q7" s="23">
        <f>Q5+Q6</f>
        <v>0.5625</v>
      </c>
      <c r="R7" s="23">
        <f>R5+R6</f>
        <v>0.28125</v>
      </c>
      <c r="S7" s="23">
        <f>S5+S6</f>
        <v>0.140625</v>
      </c>
      <c r="T7" s="23">
        <f>T5+T6</f>
        <v>0.0703125</v>
      </c>
      <c r="U7" s="23">
        <f>U5+U6</f>
        <v>0.03515625</v>
      </c>
      <c r="V7" s="23">
        <f>V5+V6</f>
        <v>0.017578125</v>
      </c>
    </row>
    <row r="8">
      <c r="A8" s="14" t="inlineStr">
        <is>
          <t>Tax-loss carryforward used</t>
        </is>
      </c>
      <c r="C8" s="23">
        <f>MIN(Assumptions!$B$21,MAX(0,C7))</f>
        <v>23.061999999999998</v>
      </c>
      <c r="D8" s="23">
        <f>MIN(C17,MAX(0,D7))</f>
        <v>36.0</v>
      </c>
      <c r="E8" s="23">
        <f>MIN(D17,MAX(0,E7))</f>
        <v>36.0</v>
      </c>
      <c r="F8" s="23">
        <f>MIN(E17,MAX(0,F7))</f>
        <v>36.0</v>
      </c>
      <c r="G8" s="23">
        <f>MIN(F17,MAX(0,G7))</f>
        <v>36.0</v>
      </c>
      <c r="H8" s="23">
        <f>MIN(G17,MAX(0,H7))</f>
        <v>36.0</v>
      </c>
      <c r="I8" s="23">
        <f>MIN(H17,MAX(0,I7))</f>
        <v>3.937999999999988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32.06200000000001</v>
      </c>
      <c r="J9" s="23">
        <f>MAX(0,J7)-J8</f>
        <v>36.0</v>
      </c>
      <c r="K9" s="23">
        <f>MAX(0,K7)-K8</f>
        <v>36.0</v>
      </c>
      <c r="L9" s="23">
        <f>MAX(0,L7)-L8</f>
        <v>18.0</v>
      </c>
      <c r="M9" s="23">
        <f>MAX(0,M7)-M8</f>
        <v>9.0</v>
      </c>
      <c r="N9" s="23">
        <f>MAX(0,N7)-N8</f>
        <v>4.5</v>
      </c>
      <c r="O9" s="23">
        <f>MAX(0,O7)-O8</f>
        <v>2.25</v>
      </c>
      <c r="P9" s="23">
        <f>MAX(0,P7)-P8</f>
        <v>1.125</v>
      </c>
      <c r="Q9" s="23">
        <f>MAX(0,Q7)-Q8</f>
        <v>0.5625</v>
      </c>
      <c r="R9" s="23">
        <f>MAX(0,R7)-R8</f>
        <v>0.28125</v>
      </c>
      <c r="S9" s="23">
        <f>MAX(0,S7)-S8</f>
        <v>0.140625</v>
      </c>
      <c r="T9" s="23">
        <f>MAX(0,T7)-T8</f>
        <v>0.0703125</v>
      </c>
      <c r="U9" s="23">
        <f>MAX(0,U7)-U8</f>
        <v>0.03515625</v>
      </c>
      <c r="V9" s="23">
        <f>MAX(0,V7)-V8</f>
        <v>0.017578125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6.7330200000000024</v>
      </c>
      <c r="J10" s="23">
        <f>J9*Assumptions!$E$15</f>
        <v>7.56</v>
      </c>
      <c r="K10" s="23">
        <f>K9*Assumptions!$E$15</f>
        <v>7.56</v>
      </c>
      <c r="L10" s="23">
        <f>L9*Assumptions!$E$15</f>
        <v>3.78</v>
      </c>
      <c r="M10" s="23">
        <f>M9*Assumptions!$E$15</f>
        <v>1.89</v>
      </c>
      <c r="N10" s="23">
        <f>N9*Assumptions!$E$15</f>
        <v>0.945</v>
      </c>
      <c r="O10" s="23">
        <f>O9*Assumptions!$E$15</f>
        <v>0.4725</v>
      </c>
      <c r="P10" s="23">
        <f>P9*Assumptions!$E$15</f>
        <v>0.23625</v>
      </c>
      <c r="Q10" s="23">
        <f>Q9*Assumptions!$E$15</f>
        <v>0.118125</v>
      </c>
      <c r="R10" s="23">
        <f>R9*Assumptions!$E$15</f>
        <v>0.0590625</v>
      </c>
      <c r="S10" s="23">
        <f>S9*Assumptions!$E$15</f>
        <v>0.02953125</v>
      </c>
      <c r="T10" s="23">
        <f>T9*Assumptions!$E$15</f>
        <v>0.014765625</v>
      </c>
      <c r="U10" s="23">
        <f>U9*Assumptions!$E$15</f>
        <v>0.0073828125</v>
      </c>
      <c r="V10" s="23">
        <f>V9*Assumptions!$E$15</f>
        <v>0.00369140625</v>
      </c>
    </row>
    <row r="11">
      <c r="A11" s="24" t="inlineStr">
        <is>
          <t>Free cash flow</t>
        </is>
      </c>
      <c r="C11" s="55">
        <f>C7-C10</f>
        <v>23.061999999999998</v>
      </c>
      <c r="D11" s="55">
        <f>D7-D10</f>
        <v>36.0</v>
      </c>
      <c r="E11" s="55">
        <f>E7-E10</f>
        <v>36.0</v>
      </c>
      <c r="F11" s="55">
        <f>F7-F10</f>
        <v>36.0</v>
      </c>
      <c r="G11" s="55">
        <f>G7-G10</f>
        <v>36.0</v>
      </c>
      <c r="H11" s="55">
        <f>H7-H10</f>
        <v>36.0</v>
      </c>
      <c r="I11" s="55">
        <f>I7-I10</f>
        <v>29.266979999999997</v>
      </c>
      <c r="J11" s="55">
        <f>J7-J10</f>
        <v>28.44</v>
      </c>
      <c r="K11" s="55">
        <f>K7-K10</f>
        <v>28.44</v>
      </c>
      <c r="L11" s="55">
        <f>L7-L10</f>
        <v>14.22</v>
      </c>
      <c r="M11" s="55">
        <f>M7-M10</f>
        <v>7.11</v>
      </c>
      <c r="N11" s="55">
        <f>N7-N10</f>
        <v>3.555</v>
      </c>
      <c r="O11" s="55">
        <f>O7-O10</f>
        <v>1.7775</v>
      </c>
      <c r="P11" s="55">
        <f>P7-P10</f>
        <v>0.88875</v>
      </c>
      <c r="Q11" s="55">
        <f>Q7-Q10</f>
        <v>0.444375</v>
      </c>
      <c r="R11" s="55">
        <f>R7-R10</f>
        <v>0.2221875</v>
      </c>
      <c r="S11" s="55">
        <f>S7-S10</f>
        <v>0.11109375</v>
      </c>
      <c r="T11" s="55">
        <f>T7-T10</f>
        <v>0.055546875</v>
      </c>
      <c r="U11" s="55">
        <f>U7-U10</f>
        <v>0.0277734375</v>
      </c>
      <c r="V11" s="55">
        <f>V7-V10</f>
        <v>0.01388671875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21.79154169134699</v>
      </c>
      <c r="D16" s="55">
        <f>D11*D15</f>
        <v>30.37214515252718</v>
      </c>
      <c r="E16" s="55">
        <f>E11*E15</f>
        <v>27.11798674332784</v>
      </c>
      <c r="F16" s="55">
        <f>F11*F15</f>
        <v>24.212488163685567</v>
      </c>
      <c r="G16" s="55">
        <f>G11*G15</f>
        <v>21.618293003290685</v>
      </c>
      <c r="H16" s="55">
        <f>H11*H15</f>
        <v>19.302047324366683</v>
      </c>
      <c r="I16" s="55">
        <f>I11*I15</f>
        <v>14.010729985151116</v>
      </c>
      <c r="J16" s="55">
        <f>J11*J15</f>
        <v>12.156104421436284</v>
      </c>
      <c r="K16" s="55">
        <f>K11*K15</f>
        <v>10.853664661996682</v>
      </c>
      <c r="L16" s="55">
        <f>L11*L15</f>
        <v>4.845386009819947</v>
      </c>
      <c r="M16" s="55">
        <f>M11*M15</f>
        <v>2.1631187543839046</v>
      </c>
      <c r="N16" s="55">
        <f>N11*N15</f>
        <v>0.9656780153499573</v>
      </c>
      <c r="O16" s="55">
        <f>O11*O15</f>
        <v>0.43110625685265946</v>
      </c>
      <c r="P16" s="55">
        <f>P11*P15</f>
        <v>0.19245815038065153</v>
      </c>
      <c r="Q16" s="55">
        <f>Q11*Q15</f>
        <v>0.08591881713421942</v>
      </c>
      <c r="R16" s="55">
        <f>R11*R15</f>
        <v>0.03835661479206224</v>
      </c>
      <c r="S16" s="55">
        <f>S11*S15</f>
        <v>0.017123488746456354</v>
      </c>
      <c r="T16" s="55">
        <f>T11*T15</f>
        <v>0.00764441461895373</v>
      </c>
      <c r="U16" s="55">
        <f>U11*U15</f>
        <v>0.0034126850977472</v>
      </c>
      <c r="V16" s="55">
        <f>V11*V15</f>
        <v>0.001523520132922857</v>
      </c>
    </row>
    <row r="17">
      <c r="A17" s="14" t="inlineStr">
        <is>
          <t>Tax-loss carryforward, end of year</t>
        </is>
      </c>
      <c r="C17" s="23">
        <f>Assumptions!$B$21-C8+MAX(0,-C7)</f>
        <v>183.938</v>
      </c>
      <c r="D17" s="23">
        <f>C17-D8+MAX(0,-D7)</f>
        <v>147.938</v>
      </c>
      <c r="E17" s="23">
        <f>D17-E8+MAX(0,-E7)</f>
        <v>111.93799999999999</v>
      </c>
      <c r="F17" s="23">
        <f>E17-F8+MAX(0,-F7)</f>
        <v>75.93799999999999</v>
      </c>
      <c r="G17" s="23">
        <f>F17-G8+MAX(0,-G7)</f>
        <v>39.93799999999999</v>
      </c>
      <c r="H17" s="23">
        <f>G17-H8+MAX(0,-H7)</f>
        <v>3.937999999999988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208.97563847462038</v>
      </c>
    </row>
    <row r="20">
      <c r="A20" s="14" t="inlineStr">
        <is>
          <t>PV of corporate burn</t>
        </is>
      </c>
      <c r="B20" s="23">
        <f>SUMPRODUCT(C6:V6,C15:V15)</f>
        <v>-7.1227404938588865</v>
      </c>
    </row>
    <row r="21">
      <c r="A21" s="14" t="inlineStr">
        <is>
          <t>PV of taxes</t>
        </is>
      </c>
      <c r="B21" s="23">
        <f>-SUMPRODUCT(C10:V10,C15:V15)</f>
        <v>-11.666170106323</v>
      </c>
    </row>
    <row r="22">
      <c r="A22" s="24" t="inlineStr">
        <is>
          <t>Pipeline rNPV (operations)</t>
        </is>
      </c>
      <c r="B22" s="54">
        <f>SUM(C16:V16)</f>
        <v>190.1867278744385</v>
      </c>
    </row>
    <row r="23">
      <c r="A23" s="14" t="inlineStr">
        <is>
          <t>Cash &amp; investments</t>
        </is>
      </c>
      <c r="B23" s="57">
        <f>Main!C7</f>
        <v>23.999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214.1857278744385</v>
      </c>
    </row>
    <row r="26">
      <c r="A26" s="14" t="inlineStr">
        <is>
          <t>Shares (mm)</t>
        </is>
      </c>
      <c r="B26" s="57">
        <f>Main!C4</f>
        <v>2.786158</v>
      </c>
    </row>
    <row r="27">
      <c r="A27" s="24" t="inlineStr">
        <is>
          <t>rNPV / share</t>
        </is>
      </c>
      <c r="B27" s="60">
        <f>B25/B26</f>
        <v>76.87493956711661</v>
      </c>
    </row>
    <row r="28">
      <c r="A28" s="14" t="inlineStr">
        <is>
          <t>Price</t>
        </is>
      </c>
      <c r="B28" s="61">
        <f>Main!C3</f>
        <v>65.81</v>
      </c>
    </row>
    <row r="29">
      <c r="A29" s="14" t="inlineStr">
        <is>
          <t>Upside</t>
        </is>
      </c>
      <c r="B29" s="62">
        <f>B27/B28-1</f>
        <v>0.16813462341766616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2026-10-21T06:27:06Z</dcterms:modified>
  <cp:lastModifiedBy>Wang, Eric</cp:lastModifiedBy>
</cp:coreProperties>
</file>