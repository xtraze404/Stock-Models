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SOL-GEL TECHNOLOGIES LTD.</t>
        </is>
      </c>
      <c r="C2" s="10" t="n"/>
    </row>
    <row r="3">
      <c r="B3" t="inlineStr">
        <is>
          <t>Price</t>
        </is>
      </c>
      <c r="C3" s="11">
        <f>INDEX([1]Pharma!$F$1:$F$1000,MATCH("SLGL",[1]Pharma!$B$1:$B$1000,0))</f>
        <v>65.81</v>
      </c>
      <c r="F3" s="1" t="n"/>
    </row>
    <row r="4">
      <c r="B4" t="inlineStr">
        <is>
          <t>Shares</t>
        </is>
      </c>
      <c r="C4" s="21" t="n">
        <v>2.786158</v>
      </c>
      <c r="F4" s="1" t="n"/>
    </row>
    <row r="5">
      <c r="B5" t="inlineStr">
        <is>
          <t>Market Cap.</t>
        </is>
      </c>
      <c r="C5" s="13">
        <f>C3*C4</f>
        <v>183.35705798</v>
      </c>
      <c r="F5" s="1" t="n"/>
    </row>
    <row r="6"/>
    <row r="7">
      <c r="B7" t="inlineStr">
        <is>
          <t>Cash</t>
        </is>
      </c>
      <c r="C7" s="21">
        <f>11.033+12.966</f>
        <v>23.999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159.35805798</v>
      </c>
    </row>
    <row r="10"/>
    <row r="11">
      <c r="B11" s="14" t="inlineStr">
        <is>
          <t>Net Cash / Share</t>
        </is>
      </c>
      <c r="C11" s="11">
        <f>(C7-C8)/C4</f>
        <v>8.613653640604733</v>
      </c>
    </row>
    <row r="12">
      <c r="B12" s="14" t="inlineStr">
        <is>
          <t>Upside</t>
        </is>
      </c>
      <c r="C12" s="15">
        <f>IFERROR(C11/C3-1,"")</f>
        <v>-0.8691133013127985</v>
      </c>
    </row>
    <row r="13">
      <c r="B13" s="14" t="inlineStr">
        <is>
          <t>Cash / Share</t>
        </is>
      </c>
      <c r="C13" s="11">
        <f>IFERROR((C7-C8)/C4,"")</f>
        <v>8.613653640604733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0.322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159.35805798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0.174</v>
      </c>
      <c r="E2" s="23" t="n">
        <v>0.129</v>
      </c>
      <c r="F2" s="23" t="n">
        <v>22.904</v>
      </c>
      <c r="G2" s="23" t="n">
        <v>8.771000000000001</v>
      </c>
      <c r="H2" s="23" t="n">
        <v>31.272</v>
      </c>
      <c r="I2" s="23" t="n">
        <v>3.883</v>
      </c>
      <c r="J2" s="23" t="n">
        <v>1.554</v>
      </c>
      <c r="K2" s="23" t="n">
        <v>11.538</v>
      </c>
      <c r="L2" s="23" t="n">
        <v>19.388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0.174</v>
      </c>
      <c r="E4" s="23">
        <f>E2-E3</f>
        <v>0.129</v>
      </c>
      <c r="F4" s="23">
        <f>F2-F3</f>
        <v>22.904</v>
      </c>
      <c r="G4" s="23">
        <f>G2-G3</f>
        <v>8.771</v>
      </c>
      <c r="H4" s="23">
        <f>H2-H3</f>
        <v>31.272</v>
      </c>
      <c r="I4" s="23">
        <f>I2-I3</f>
        <v>3.883</v>
      </c>
      <c r="J4" s="23">
        <f>J2-J3</f>
        <v>1.554</v>
      </c>
      <c r="K4" s="23">
        <f>K2-K3</f>
        <v>11.538</v>
      </c>
      <c r="L4" s="23">
        <f>L2-L3</f>
        <v>19.388</v>
      </c>
    </row>
    <row r="5">
      <c r="A5" s="2" t="inlineStr">
        <is>
          <t>Research &amp; Dev.</t>
        </is>
      </c>
      <c r="B5" s="23" t="n">
        <v>7.184</v>
      </c>
      <c r="C5" s="23" t="n">
        <v>17.023</v>
      </c>
      <c r="D5" s="23" t="n">
        <v>25.805</v>
      </c>
      <c r="E5" s="23" t="n">
        <v>28.146</v>
      </c>
      <c r="F5" s="23" t="n">
        <v>40.578</v>
      </c>
      <c r="G5" s="23" t="n">
        <v>27.913</v>
      </c>
      <c r="H5" s="23" t="n">
        <v>20.381</v>
      </c>
      <c r="I5" s="23" t="n">
        <v>12.682</v>
      </c>
      <c r="J5" s="23" t="n">
        <v>23.541</v>
      </c>
      <c r="K5" s="23" t="n">
        <v>17.803</v>
      </c>
      <c r="L5" s="23" t="n">
        <v>22.804</v>
      </c>
    </row>
    <row r="6">
      <c r="A6" s="19" t="inlineStr">
        <is>
          <t>SG&amp;A &amp; Other</t>
        </is>
      </c>
      <c r="B6" s="23" t="n">
        <v>2.463</v>
      </c>
      <c r="C6" s="23" t="n">
        <v>3.733</v>
      </c>
      <c r="D6" s="23" t="n">
        <v>6.002</v>
      </c>
      <c r="E6" s="23" t="n">
        <v>5.504</v>
      </c>
      <c r="F6" s="23" t="n">
        <v>8.276</v>
      </c>
      <c r="G6" s="23" t="n">
        <v>11.091</v>
      </c>
      <c r="H6" s="23" t="n">
        <v>7.927</v>
      </c>
      <c r="I6" s="23" t="n">
        <v>7.445</v>
      </c>
      <c r="J6" s="23" t="n">
        <v>7.318</v>
      </c>
      <c r="K6" s="23" t="n">
        <v>5.749</v>
      </c>
      <c r="L6" s="23" t="n">
        <v>4.122</v>
      </c>
    </row>
    <row r="7">
      <c r="A7" s="2" t="inlineStr">
        <is>
          <t>Operating Expense</t>
        </is>
      </c>
      <c r="B7" s="23">
        <f>SUM(B5:B6)</f>
        <v>9.647</v>
      </c>
      <c r="C7" s="23">
        <f>SUM(C5:C6)</f>
        <v>20.756</v>
      </c>
      <c r="D7" s="23">
        <f>SUM(D5:D6)</f>
        <v>31.807</v>
      </c>
      <c r="E7" s="23">
        <f>SUM(E5:E6)</f>
        <v>33.65</v>
      </c>
      <c r="F7" s="23">
        <f>SUM(F5:F6)</f>
        <v>48.854</v>
      </c>
      <c r="G7" s="23">
        <f>SUM(G5:G6)</f>
        <v>39.004</v>
      </c>
      <c r="H7" s="23">
        <f>SUM(H5:H6)</f>
        <v>28.308</v>
      </c>
      <c r="I7" s="23">
        <f>SUM(I5:I6)</f>
        <v>20.127000000000002</v>
      </c>
      <c r="J7" s="23">
        <f>SUM(J5:J6)</f>
        <v>30.859</v>
      </c>
      <c r="K7" s="23">
        <f>SUM(K5:K6)</f>
        <v>23.552</v>
      </c>
      <c r="L7" s="23">
        <f>SUM(L5:L6)</f>
        <v>26.926</v>
      </c>
    </row>
    <row r="8">
      <c r="A8" s="2" t="inlineStr">
        <is>
          <t>Operating Income</t>
        </is>
      </c>
      <c r="B8" s="23">
        <f>B4-B7</f>
        <v>-9.647</v>
      </c>
      <c r="C8" s="23">
        <f>C4-C7</f>
        <v>-20.756</v>
      </c>
      <c r="D8" s="23">
        <f>D4-D7</f>
        <v>-31.633</v>
      </c>
      <c r="E8" s="23">
        <f>E4-E7</f>
        <v>-33.521</v>
      </c>
      <c r="F8" s="23">
        <f>F4-F7</f>
        <v>-25.95</v>
      </c>
      <c r="G8" s="23">
        <f>G4-G7</f>
        <v>-30.232999999999997</v>
      </c>
      <c r="H8" s="23">
        <f>H4-H7</f>
        <v>2.9639999999999986</v>
      </c>
      <c r="I8" s="23">
        <f>I4-I7</f>
        <v>-16.244000000000003</v>
      </c>
      <c r="J8" s="23">
        <f>J4-J7</f>
        <v>-29.305000000000003</v>
      </c>
      <c r="K8" s="23">
        <f>K4-K7</f>
        <v>-12.014</v>
      </c>
      <c r="L8" s="23">
        <f>L4-L7</f>
        <v>-7.537999999999997</v>
      </c>
    </row>
    <row r="9">
      <c r="A9" s="19" t="inlineStr">
        <is>
          <t>Interest &amp; Other</t>
        </is>
      </c>
      <c r="B9" s="23" t="n">
        <v>-0.013</v>
      </c>
      <c r="C9" s="23" t="n">
        <v>-0.015</v>
      </c>
      <c r="D9" s="23" t="n">
        <v>0.065</v>
      </c>
      <c r="E9" s="23" t="n">
        <v>1.318</v>
      </c>
      <c r="F9" s="23" t="n">
        <v>1.374</v>
      </c>
      <c r="G9" s="23" t="n">
        <v>0.9429999999999999</v>
      </c>
      <c r="H9" s="23" t="n">
        <v>0.257</v>
      </c>
      <c r="I9" s="23" t="n">
        <v>1.321</v>
      </c>
      <c r="J9" s="23" t="n">
        <v>2.067</v>
      </c>
      <c r="K9" s="23" t="n">
        <v>1.434</v>
      </c>
      <c r="L9" s="23" t="n">
        <v>1.411</v>
      </c>
    </row>
    <row r="10">
      <c r="A10" s="2" t="inlineStr">
        <is>
          <t>Pretax</t>
        </is>
      </c>
      <c r="B10" s="23">
        <f>B8+B9</f>
        <v>-9.66</v>
      </c>
      <c r="C10" s="23">
        <f>C8+C9</f>
        <v>-20.771</v>
      </c>
      <c r="D10" s="23">
        <f>D8+D9</f>
        <v>-31.567999999999998</v>
      </c>
      <c r="E10" s="23">
        <f>E8+E9</f>
        <v>-32.203</v>
      </c>
      <c r="F10" s="23">
        <f>F8+F9</f>
        <v>-24.576</v>
      </c>
      <c r="G10" s="23">
        <f>G8+G9</f>
        <v>-29.289999999999996</v>
      </c>
      <c r="H10" s="23">
        <f>H8+H9</f>
        <v>3.2209999999999988</v>
      </c>
      <c r="I10" s="23">
        <f>I8+I9</f>
        <v>-14.923000000000004</v>
      </c>
      <c r="J10" s="23">
        <f>J8+J9</f>
        <v>-27.238000000000003</v>
      </c>
      <c r="K10" s="23">
        <f>K8+K9</f>
        <v>-10.58</v>
      </c>
      <c r="L10" s="23">
        <f>L8+L9</f>
        <v>-6.126999999999997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0.033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-9.66</v>
      </c>
      <c r="C12" s="23" t="n">
        <v>-20.771</v>
      </c>
      <c r="D12" s="23" t="n">
        <v>-31.568</v>
      </c>
      <c r="E12" s="23" t="n">
        <v>-32.203</v>
      </c>
      <c r="F12" s="23" t="n">
        <v>-24.609</v>
      </c>
      <c r="G12" s="23" t="n">
        <v>-29.29</v>
      </c>
      <c r="H12" s="23" t="n">
        <v>3.221</v>
      </c>
      <c r="I12" s="23" t="n">
        <v>-14.923</v>
      </c>
      <c r="J12" s="23" t="n">
        <v>-27.238</v>
      </c>
      <c r="K12" s="23" t="n">
        <v>-10.58</v>
      </c>
      <c r="L12" s="23" t="n">
        <v>-6.127</v>
      </c>
    </row>
    <row r="13">
      <c r="A13" s="2" t="inlineStr">
        <is>
          <t>Earnings per Share</t>
        </is>
      </c>
      <c r="B13" s="11">
        <f>IFERROR(B12/B14,0)</f>
        <v>-1.5357710651828298</v>
      </c>
      <c r="C13" s="11">
        <f>IFERROR(C12/C14,0)</f>
        <v>-3.3022257551669316</v>
      </c>
      <c r="D13" s="11">
        <f>IFERROR(D12/D14,0)</f>
        <v>-5.018759936406996</v>
      </c>
      <c r="E13" s="11">
        <f>IFERROR(E12/E14,0)</f>
        <v>-1.8022722184911577</v>
      </c>
      <c r="F13" s="11">
        <f>IFERROR(F12/F14,0)</f>
        <v>-1.259738930125416</v>
      </c>
      <c r="G13" s="11">
        <f>IFERROR(G12/G14,0)</f>
        <v>-1.297452934662237</v>
      </c>
      <c r="H13" s="11">
        <f>IFERROR(H12/H14,0)</f>
        <v>0.13667996265806673</v>
      </c>
      <c r="I13" s="11">
        <f>IFERROR(I12/I14,0)</f>
        <v>-0.6452073154913744</v>
      </c>
      <c r="J13" s="11">
        <f>IFERROR(J12/J14,0)</f>
        <v>-10.054632705795497</v>
      </c>
      <c r="K13" s="11">
        <f>IFERROR(K12/K14,0)</f>
        <v>-3.7975592246949033</v>
      </c>
      <c r="L13" s="11">
        <f>IFERROR(L12/L14,0)</f>
        <v>-2.199210337401292</v>
      </c>
    </row>
    <row r="14">
      <c r="A14" s="2" t="inlineStr">
        <is>
          <t>Shares</t>
        </is>
      </c>
      <c r="B14" s="23" t="n">
        <v>6.29</v>
      </c>
      <c r="C14" s="23" t="n">
        <v>6.29</v>
      </c>
      <c r="D14" s="23" t="n">
        <v>6.29</v>
      </c>
      <c r="E14" s="23" t="n">
        <v>17.868</v>
      </c>
      <c r="F14" s="23" t="n">
        <v>19.535</v>
      </c>
      <c r="G14" s="23" t="n">
        <v>22.575</v>
      </c>
      <c r="H14" s="23" t="n">
        <v>23.566</v>
      </c>
      <c r="I14" s="23" t="n">
        <v>23.129</v>
      </c>
      <c r="J14" s="23" t="n">
        <v>2.709</v>
      </c>
      <c r="K14" s="23" t="n">
        <v>2.786</v>
      </c>
      <c r="L14" s="23" t="n">
        <v>2.786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-0.2586206896551724</v>
      </c>
      <c r="F16" s="15">
        <f>IFERROR(F2/E2-1,"")</f>
        <v>176.5503875968992</v>
      </c>
      <c r="G16" s="15">
        <f>IFERROR(G2/F2-1,"")</f>
        <v>-0.6170537897310513</v>
      </c>
      <c r="H16" s="15">
        <f>IFERROR(H2/G2-1,"")</f>
        <v>2.565385930908676</v>
      </c>
      <c r="I16" s="15">
        <f>IFERROR(I2/H2-1,"")</f>
        <v>-0.8758314146840624</v>
      </c>
      <c r="J16" s="15">
        <f>IFERROR(J2/I2-1,"")</f>
        <v>-0.5997939737316508</v>
      </c>
      <c r="K16" s="15">
        <f>IFERROR(K2/J2-1,"")</f>
        <v>6.424710424710424</v>
      </c>
      <c r="L16" s="15">
        <f>IFERROR(L2/K2-1,"")</f>
        <v>0.6803605477552437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-181.79885057471265</v>
      </c>
      <c r="E18" s="15">
        <f>IFERROR(E8/E2,"")</f>
        <v>-259.85271317829455</v>
      </c>
      <c r="F18" s="15">
        <f>IFERROR(F8/F2,"")</f>
        <v>-1.132989870764932</v>
      </c>
      <c r="G18" s="15">
        <f>IFERROR(G8/G2,"")</f>
        <v>-3.4469273743016755</v>
      </c>
      <c r="H18" s="15">
        <f>IFERROR(H8/H2,"")</f>
        <v>0.09478127398311585</v>
      </c>
      <c r="I18" s="15">
        <f>IFERROR(I8/I2,"")</f>
        <v>-4.183363378830801</v>
      </c>
      <c r="J18" s="15">
        <f>IFERROR(J8/J2,"")</f>
        <v>-18.85778635778636</v>
      </c>
      <c r="K18" s="15">
        <f>IFERROR(K8/K2,"")</f>
        <v>-1.0412549835326745</v>
      </c>
      <c r="L18" s="15">
        <f>IFERROR(L8/L2,"")</f>
        <v>-0.3887971941407054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2026-10-21T01:05:42Z</dcterms:modified>
  <cp:lastModifiedBy>Wang, Eric</cp:lastModifiedBy>
</cp:coreProperties>
</file>