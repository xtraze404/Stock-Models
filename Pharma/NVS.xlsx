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Novartis AG</t>
        </is>
      </c>
      <c r="C2" s="10" t="n"/>
    </row>
    <row r="3">
      <c r="B3" t="inlineStr">
        <is>
          <t>Price</t>
        </is>
      </c>
      <c r="C3" s="11">
        <f>INDEX([1]Pharma!$F$1:$F$1000,MATCH("NVS",[1]Pharma!$B$1:$B$1000,0))</f>
        <v>153.64</v>
      </c>
      <c r="F3" s="1" t="n"/>
    </row>
    <row r="4">
      <c r="B4" t="inlineStr">
        <is>
          <t>Shares</t>
        </is>
      </c>
      <c r="C4" s="51" t="n">
        <v>1908.151679</v>
      </c>
      <c r="F4" s="1" t="n"/>
    </row>
    <row r="5">
      <c r="B5" t="inlineStr">
        <is>
          <t>Market Cap.</t>
        </is>
      </c>
      <c r="C5" s="13">
        <f>C3*C4</f>
        <v>293168.42396156</v>
      </c>
      <c r="F5" s="1" t="n"/>
    </row>
    <row r="6"/>
    <row r="7">
      <c r="B7" t="inlineStr">
        <is>
          <t>Cash</t>
        </is>
      </c>
      <c r="C7" s="51">
        <f>11435+98</f>
        <v>11533.0</v>
      </c>
    </row>
    <row r="8">
      <c r="B8" t="inlineStr">
        <is>
          <t>Debt</t>
        </is>
      </c>
      <c r="C8" s="51">
        <f>682+794</f>
        <v>1476.0</v>
      </c>
    </row>
    <row r="9">
      <c r="B9" t="inlineStr">
        <is>
          <t>Enterprise V.</t>
        </is>
      </c>
      <c r="C9" s="13">
        <f>C5-C7+C8</f>
        <v>283111.42396156</v>
      </c>
    </row>
    <row r="10"/>
    <row r="11">
      <c r="B11" s="14" t="inlineStr">
        <is>
          <t>NPV / Share</t>
        </is>
      </c>
      <c r="C11" s="11">
        <f>NPV!B28</f>
        <v>177.13279023029418</v>
      </c>
    </row>
    <row r="12">
      <c r="B12" s="14" t="inlineStr">
        <is>
          <t>Upside</t>
        </is>
      </c>
      <c r="C12" s="15">
        <f>IFERROR(C11/C3-1,"")</f>
        <v>0.15290803326148272</v>
      </c>
    </row>
    <row r="13">
      <c r="B13" s="14" t="inlineStr">
        <is>
          <t>Cash / Share</t>
        </is>
      </c>
      <c r="C13" s="11">
        <f>IFERROR((C7-C8)/C4,"")</f>
        <v>5.270545371566345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2015</v>
      </c>
      <c r="C1" s="16" t="n">
        <v>2016</v>
      </c>
      <c r="D1" s="16" t="n">
        <v>2017</v>
      </c>
      <c r="E1" s="16" t="n">
        <v>2018</v>
      </c>
      <c r="F1" s="16" t="n">
        <v>2019</v>
      </c>
      <c r="G1" s="16" t="n">
        <v>2020</v>
      </c>
      <c r="H1" s="16" t="n">
        <v>2021</v>
      </c>
      <c r="I1" s="16" t="n">
        <v>2022</v>
      </c>
      <c r="J1" s="16" t="n">
        <v>2023</v>
      </c>
      <c r="K1" s="16" t="n">
        <v>2024</v>
      </c>
      <c r="L1" s="16" t="n">
        <v>2025</v>
      </c>
      <c r="M1" s="16" t="n">
        <v>2026</v>
      </c>
      <c r="N1" s="16" t="n">
        <v>2027</v>
      </c>
      <c r="O1" s="16" t="n">
        <v>2028</v>
      </c>
      <c r="P1" s="16" t="n">
        <v>2029</v>
      </c>
      <c r="Q1" s="16" t="n">
        <v>2030</v>
      </c>
      <c r="R1" s="16" t="n">
        <v>2031</v>
      </c>
      <c r="S1" s="16" t="n">
        <v>2032</v>
      </c>
      <c r="T1" s="16" t="n">
        <v>2033</v>
      </c>
      <c r="U1" s="16" t="n">
        <v>2034</v>
      </c>
      <c r="V1" s="16" t="n">
        <v>2035</v>
      </c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49440</v>
      </c>
      <c r="C2" s="52" t="n">
        <v>48518</v>
      </c>
      <c r="D2" s="52" t="n">
        <v>42381</v>
      </c>
      <c r="E2" s="52" t="n">
        <v>44833</v>
      </c>
      <c r="F2" s="52" t="n">
        <v>47498</v>
      </c>
      <c r="G2" s="52" t="n">
        <v>48659</v>
      </c>
      <c r="H2" s="52" t="n">
        <v>42781</v>
      </c>
      <c r="I2" s="52" t="n">
        <v>42206</v>
      </c>
      <c r="J2" s="52" t="n">
        <v>45440</v>
      </c>
      <c r="K2" s="52" t="n">
        <v>50317</v>
      </c>
      <c r="L2" s="52" t="n">
        <v>54532</v>
      </c>
      <c r="M2" s="52">
        <f>L2*(1+NPV!C5)</f>
        <v>59101.7816</v>
      </c>
      <c r="N2" s="52">
        <f>M2*(1+NPV!D5)</f>
        <v>63668.37925829333</v>
      </c>
      <c r="O2" s="52">
        <f>N2*(1+NPV!E5)</f>
        <v>68171.85595116328</v>
      </c>
      <c r="P2" s="52">
        <f>O2*(1+NPV!F5)</f>
        <v>72548.48910322796</v>
      </c>
      <c r="Q2" s="52">
        <f>P2*(1+NPV!G5)</f>
        <v>76732.11864151411</v>
      </c>
      <c r="R2" s="52">
        <f>Q2*(1+NPV!H5)</f>
        <v>80655.68764138353</v>
      </c>
      <c r="S2" s="52">
        <f>R2*(1+NPV!I5)</f>
        <v>84252.93131018923</v>
      </c>
      <c r="T2" s="52">
        <f>S2*(1+NPV!J5)</f>
        <v>87460.15956206377</v>
      </c>
      <c r="U2" s="52">
        <f>T2*(1+NPV!K5)</f>
        <v>90218.06992692086</v>
      </c>
      <c r="V2" s="52">
        <f>U2*(1+NPV!L5)</f>
        <v>92473.52167509387</v>
      </c>
    </row>
    <row r="3" customFormat="1" s="1">
      <c r="A3" s="5" t="inlineStr">
        <is>
          <t>Cost of Sales</t>
        </is>
      </c>
      <c r="B3" s="52" t="n">
        <v>17404</v>
      </c>
      <c r="C3" s="52" t="n">
        <v>17520</v>
      </c>
      <c r="D3" s="52" t="n">
        <v>13633</v>
      </c>
      <c r="E3" s="52" t="n">
        <v>14510</v>
      </c>
      <c r="F3" s="52" t="n">
        <v>14425</v>
      </c>
      <c r="G3" s="52" t="n">
        <v>15121</v>
      </c>
      <c r="H3" s="52" t="n">
        <v>11735</v>
      </c>
      <c r="I3" s="52" t="n">
        <v>11582</v>
      </c>
      <c r="J3" s="52" t="n">
        <v>12472</v>
      </c>
      <c r="K3" s="52" t="n">
        <v>12827</v>
      </c>
      <c r="L3" s="52" t="n">
        <v>13699</v>
      </c>
      <c r="M3" s="52">
        <f>M2*(1-Assumptions!$B$19)</f>
        <v>14846.36753792</v>
      </c>
      <c r="N3" s="52">
        <f>N2*(1-Assumptions!$B$19)</f>
        <v>15993.496869683284</v>
      </c>
      <c r="O3" s="52">
        <f>O2*(1-Assumptions!$B$19)</f>
        <v>17124.770214932214</v>
      </c>
      <c r="P3" s="52">
        <f>P2*(1-Assumptions!$B$19)</f>
        <v>18224.18046273086</v>
      </c>
      <c r="Q3" s="52">
        <f>Q2*(1-Assumptions!$B$19)</f>
        <v>19275.108202748343</v>
      </c>
      <c r="R3" s="52">
        <f>R2*(1-Assumptions!$B$19)</f>
        <v>20260.70873551554</v>
      </c>
      <c r="S3" s="52">
        <f>S2*(1-Assumptions!$B$19)</f>
        <v>21164.336345119533</v>
      </c>
      <c r="T3" s="52">
        <f>T2*(1-Assumptions!$B$19)</f>
        <v>21969.99208199042</v>
      </c>
      <c r="U3" s="52">
        <f>U2*(1-Assumptions!$B$19)</f>
        <v>22662.779165642518</v>
      </c>
      <c r="V3" s="52">
        <f>V2*(1-Assumptions!$B$19)</f>
        <v>23229.34864478358</v>
      </c>
    </row>
    <row r="4" customFormat="1" s="1">
      <c r="A4" s="5" t="inlineStr">
        <is>
          <t>Gross Margin</t>
        </is>
      </c>
      <c r="B4" s="52">
        <f>B2-B3</f>
        <v>32036.0</v>
      </c>
      <c r="C4" s="52">
        <f>C2-C3</f>
        <v>30998.0</v>
      </c>
      <c r="D4" s="52">
        <f>D2-D3</f>
        <v>28748.0</v>
      </c>
      <c r="E4" s="52">
        <f>E2-E3</f>
        <v>30323.0</v>
      </c>
      <c r="F4" s="52">
        <f>F2-F3</f>
        <v>33073.0</v>
      </c>
      <c r="G4" s="52">
        <f>G2-G3</f>
        <v>33538.0</v>
      </c>
      <c r="H4" s="52">
        <f>H2-H3</f>
        <v>31046.0</v>
      </c>
      <c r="I4" s="52">
        <f>I2-I3</f>
        <v>30624.0</v>
      </c>
      <c r="J4" s="52">
        <f>J2-J3</f>
        <v>32968.0</v>
      </c>
      <c r="K4" s="52">
        <f>K2-K3</f>
        <v>37490.0</v>
      </c>
      <c r="L4" s="52">
        <f>L2-L3</f>
        <v>40833.0</v>
      </c>
      <c r="M4" s="52">
        <f>M2-M3</f>
        <v>44255.41406208</v>
      </c>
      <c r="N4" s="52">
        <f>N2-N3</f>
        <v>47674.88238861004</v>
      </c>
      <c r="O4" s="52">
        <f>O2-O3</f>
        <v>51047.08573623106</v>
      </c>
      <c r="P4" s="52">
        <f>P2-P3</f>
        <v>54324.308640497096</v>
      </c>
      <c r="Q4" s="52">
        <f>Q2-Q3</f>
        <v>57457.01043876577</v>
      </c>
      <c r="R4" s="52">
        <f>R2-R3</f>
        <v>60394.97890586799</v>
      </c>
      <c r="S4" s="52">
        <f>S2-S3</f>
        <v>63088.5949650697</v>
      </c>
      <c r="T4" s="52">
        <f>T2-T3</f>
        <v>65490.167480073345</v>
      </c>
      <c r="U4" s="52">
        <f>U2-U3</f>
        <v>67555.29076127833</v>
      </c>
      <c r="V4" s="52">
        <f>V2-V3</f>
        <v>69244.1730303103</v>
      </c>
    </row>
    <row r="5">
      <c r="A5" s="2" t="inlineStr">
        <is>
          <t>Research &amp; Dev.</t>
        </is>
      </c>
      <c r="B5" s="52" t="n">
        <v>8935</v>
      </c>
      <c r="C5" s="52" t="n">
        <v>9039</v>
      </c>
      <c r="D5" s="52" t="n">
        <v>8389</v>
      </c>
      <c r="E5" s="52" t="n">
        <v>8489</v>
      </c>
      <c r="F5" s="52" t="n">
        <v>9402</v>
      </c>
      <c r="G5" s="52" t="n">
        <v>8980</v>
      </c>
      <c r="H5" s="52" t="n">
        <v>8641</v>
      </c>
      <c r="I5" s="52" t="n">
        <v>9172</v>
      </c>
      <c r="J5" s="52" t="n">
        <v>11371</v>
      </c>
      <c r="K5" s="52" t="n">
        <v>10022</v>
      </c>
      <c r="L5" s="52" t="n">
        <v>11200</v>
      </c>
      <c r="M5" s="52">
        <f>M7*Assumptions!$B$20</f>
        <v>12187.212307729706</v>
      </c>
      <c r="N5" s="52">
        <f>N7*Assumptions!$B$20</f>
        <v>13182.078239731389</v>
      </c>
      <c r="O5" s="52">
        <f>O7*Assumptions!$B$20</f>
        <v>14171.454295002623</v>
      </c>
      <c r="P5" s="52">
        <f>P7*Assumptions!$B$20</f>
        <v>15141.882452751555</v>
      </c>
      <c r="Q5" s="52">
        <f>Q7*Assumptions!$B$20</f>
        <v>16079.180931875895</v>
      </c>
      <c r="R5" s="52">
        <f>R7*Assumptions!$B$20</f>
        <v>16968.758136228742</v>
      </c>
      <c r="S5" s="52">
        <f>S7*Assumptions!$B$20</f>
        <v>17795.965655978027</v>
      </c>
      <c r="T5" s="52">
        <f>T7*Assumptions!$B$20</f>
        <v>18546.47958334405</v>
      </c>
      <c r="U5" s="52">
        <f>U7*Assumptions!$B$20</f>
        <v>19206.69722325574</v>
      </c>
      <c r="V5" s="52">
        <f>V7*Assumptions!$B$20</f>
        <v>19764.134603813625</v>
      </c>
    </row>
    <row r="6">
      <c r="A6" s="18" t="inlineStr">
        <is>
          <t>SG&amp;A &amp; Other</t>
        </is>
      </c>
      <c r="B6" s="52" t="n">
        <v>14124</v>
      </c>
      <c r="C6" s="52" t="n">
        <v>13691</v>
      </c>
      <c r="D6" s="52" t="n">
        <v>11657</v>
      </c>
      <c r="E6" s="52" t="n">
        <v>13431</v>
      </c>
      <c r="F6" s="52" t="n">
        <v>14585</v>
      </c>
      <c r="G6" s="52" t="n">
        <v>14406</v>
      </c>
      <c r="H6" s="52" t="n">
        <v>12349</v>
      </c>
      <c r="I6" s="52" t="n">
        <v>13506</v>
      </c>
      <c r="J6" s="52" t="n">
        <v>11828</v>
      </c>
      <c r="K6" s="52" t="n">
        <v>12924</v>
      </c>
      <c r="L6" s="52" t="n">
        <v>11989</v>
      </c>
      <c r="M6" s="52">
        <f>M7-M5</f>
        <v>13045.111310758299</v>
      </c>
      <c r="N6" s="52">
        <f>N7-N5</f>
        <v>14110.00921312863</v>
      </c>
      <c r="O6" s="52">
        <f>O7-O5</f>
        <v>15169.030787818541</v>
      </c>
      <c r="P6" s="52">
        <f>P7-P5</f>
        <v>16207.77065853531</v>
      </c>
      <c r="Q6" s="52">
        <f>Q7-Q5</f>
        <v>17211.048740745005</v>
      </c>
      <c r="R6" s="52">
        <f>R7-R5</f>
        <v>18163.246286605096</v>
      </c>
      <c r="S6" s="52">
        <f>S7-S5</f>
        <v>19048.68373528083</v>
      </c>
      <c r="T6" s="52">
        <f>T7-T5</f>
        <v>19852.028870784423</v>
      </c>
      <c r="U6" s="52">
        <f>U7-U5</f>
        <v>20558.72145843316</v>
      </c>
      <c r="V6" s="52">
        <f>V7-V5</f>
        <v>21155.398737415417</v>
      </c>
    </row>
    <row r="7">
      <c r="A7" s="2" t="inlineStr">
        <is>
          <t>Operating Expense</t>
        </is>
      </c>
      <c r="B7" s="52">
        <f>SUM(B5:B6)</f>
        <v>23059.0</v>
      </c>
      <c r="C7" s="52">
        <f>SUM(C5:C6)</f>
        <v>22730.0</v>
      </c>
      <c r="D7" s="52">
        <f>SUM(D5:D6)</f>
        <v>20046.0</v>
      </c>
      <c r="E7" s="52">
        <f>SUM(E5:E6)</f>
        <v>21920.0</v>
      </c>
      <c r="F7" s="52">
        <f>SUM(F5:F6)</f>
        <v>23987.0</v>
      </c>
      <c r="G7" s="52">
        <f>SUM(G5:G6)</f>
        <v>23386.0</v>
      </c>
      <c r="H7" s="52">
        <f>SUM(H5:H6)</f>
        <v>20990.0</v>
      </c>
      <c r="I7" s="52">
        <f>SUM(I5:I6)</f>
        <v>22678.0</v>
      </c>
      <c r="J7" s="52">
        <f>SUM(J5:J6)</f>
        <v>23199.0</v>
      </c>
      <c r="K7" s="52">
        <f>SUM(K5:K6)</f>
        <v>22946.0</v>
      </c>
      <c r="L7" s="52">
        <f>SUM(L5:L6)</f>
        <v>23189.0</v>
      </c>
      <c r="M7" s="52">
        <f>M4-M2*NPV!C6</f>
        <v>25232.323618488004</v>
      </c>
      <c r="N7" s="52">
        <f>N4-N2*NPV!D6</f>
        <v>27292.087452860018</v>
      </c>
      <c r="O7" s="52">
        <f>O4-O2*NPV!E6</f>
        <v>29340.485082821164</v>
      </c>
      <c r="P7" s="52">
        <f>P4-P2*NPV!F6</f>
        <v>31349.653111286865</v>
      </c>
      <c r="Q7" s="52">
        <f>Q4-Q2*NPV!G6</f>
        <v>33290.2296726209</v>
      </c>
      <c r="R7" s="52">
        <f>R4-R2*NPV!H6</f>
        <v>35132.00442283384</v>
      </c>
      <c r="S7" s="52">
        <f>S4-S2*NPV!I6</f>
        <v>36844.649391258856</v>
      </c>
      <c r="T7" s="52">
        <f>T4-T2*NPV!J6</f>
        <v>38398.508454128474</v>
      </c>
      <c r="U7" s="52">
        <f>U4-U2*NPV!K6</f>
        <v>39765.4186816889</v>
      </c>
      <c r="V7" s="52">
        <f>V4-V2*NPV!L6</f>
        <v>40919.53334122904</v>
      </c>
    </row>
    <row r="8">
      <c r="A8" s="2" t="inlineStr">
        <is>
          <t>Operating Income</t>
        </is>
      </c>
      <c r="B8" s="52">
        <f>B4-B7</f>
        <v>8977.0</v>
      </c>
      <c r="C8" s="52">
        <f>C4-C7</f>
        <v>8268.0</v>
      </c>
      <c r="D8" s="52">
        <f>D4-D7</f>
        <v>8702.0</v>
      </c>
      <c r="E8" s="52">
        <f>E4-E7</f>
        <v>8403.0</v>
      </c>
      <c r="F8" s="52">
        <f>F4-F7</f>
        <v>9086.0</v>
      </c>
      <c r="G8" s="52">
        <f>G4-G7</f>
        <v>10152.0</v>
      </c>
      <c r="H8" s="52">
        <f>H4-H7</f>
        <v>10056.0</v>
      </c>
      <c r="I8" s="52">
        <f>I4-I7</f>
        <v>7946.0</v>
      </c>
      <c r="J8" s="52">
        <f>J4-J7</f>
        <v>9769.0</v>
      </c>
      <c r="K8" s="52">
        <f>K4-K7</f>
        <v>14544.0</v>
      </c>
      <c r="L8" s="52">
        <f>L4-L7</f>
        <v>17644.0</v>
      </c>
      <c r="M8" s="52">
        <f>M4-M7</f>
        <v>19023.090443592</v>
      </c>
      <c r="N8" s="52">
        <f>N4-N7</f>
        <v>20382.794935750026</v>
      </c>
      <c r="O8" s="52">
        <f>O4-O7</f>
        <v>21706.6006534099</v>
      </c>
      <c r="P8" s="52">
        <f>P4-P7</f>
        <v>22974.65552921023</v>
      </c>
      <c r="Q8" s="52">
        <f>Q4-Q7</f>
        <v>24166.780766144868</v>
      </c>
      <c r="R8" s="52">
        <f>R4-R7</f>
        <v>25262.97448303415</v>
      </c>
      <c r="S8" s="52">
        <f>S4-S7</f>
        <v>26243.945573810845</v>
      </c>
      <c r="T8" s="52">
        <f>T4-T7</f>
        <v>27091.65902594487</v>
      </c>
      <c r="U8" s="52">
        <f>U4-U7</f>
        <v>27789.872079589433</v>
      </c>
      <c r="V8" s="52">
        <f>V4-V7</f>
        <v>28324.639689081254</v>
      </c>
    </row>
    <row r="9">
      <c r="A9" s="18" t="inlineStr">
        <is>
          <t>Interest &amp; Other</t>
        </is>
      </c>
      <c r="B9" s="52" t="n">
        <v>9912</v>
      </c>
      <c r="C9" s="52" t="n">
        <v>-437</v>
      </c>
      <c r="D9" s="52" t="n">
        <v>604</v>
      </c>
      <c r="E9" s="52" t="n">
        <v>5503</v>
      </c>
      <c r="F9" s="52" t="n">
        <v>4439</v>
      </c>
      <c r="G9" s="52" t="n">
        <v>-273</v>
      </c>
      <c r="H9" s="52" t="n">
        <v>15590</v>
      </c>
      <c r="I9" s="52" t="n">
        <v>137</v>
      </c>
      <c r="J9" s="52" t="n">
        <v>5632</v>
      </c>
      <c r="K9" s="52" t="n">
        <v>-902</v>
      </c>
      <c r="L9" s="52" t="n">
        <v>-1275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</row>
    <row r="10">
      <c r="A10" s="2" t="inlineStr">
        <is>
          <t>Pretax</t>
        </is>
      </c>
      <c r="B10" s="52">
        <f>B8+B9</f>
        <v>18889.0</v>
      </c>
      <c r="C10" s="52">
        <f>C8+C9</f>
        <v>7831.0</v>
      </c>
      <c r="D10" s="52">
        <f>D8+D9</f>
        <v>9306.0</v>
      </c>
      <c r="E10" s="52">
        <f>E8+E9</f>
        <v>13906.0</v>
      </c>
      <c r="F10" s="52">
        <f>F8+F9</f>
        <v>13525.0</v>
      </c>
      <c r="G10" s="52">
        <f>G8+G9</f>
        <v>9879.0</v>
      </c>
      <c r="H10" s="52">
        <f>H8+H9</f>
        <v>25646.0</v>
      </c>
      <c r="I10" s="52">
        <f>I8+I9</f>
        <v>8083.0</v>
      </c>
      <c r="J10" s="52">
        <f>J8+J9</f>
        <v>15401.0</v>
      </c>
      <c r="K10" s="52">
        <f>K8+K9</f>
        <v>13642.0</v>
      </c>
      <c r="L10" s="52">
        <f>L8+L9</f>
        <v>16369.0</v>
      </c>
      <c r="M10" s="52">
        <f>M8+M9</f>
        <v>19023.090443592</v>
      </c>
      <c r="N10" s="52">
        <f>N8+N9</f>
        <v>20382.794935750026</v>
      </c>
      <c r="O10" s="52">
        <f>O8+O9</f>
        <v>21706.6006534099</v>
      </c>
      <c r="P10" s="52">
        <f>P8+P9</f>
        <v>22974.65552921023</v>
      </c>
      <c r="Q10" s="52">
        <f>Q8+Q9</f>
        <v>24166.780766144868</v>
      </c>
      <c r="R10" s="52">
        <f>R8+R9</f>
        <v>25262.97448303415</v>
      </c>
      <c r="S10" s="52">
        <f>S8+S9</f>
        <v>26243.945573810845</v>
      </c>
      <c r="T10" s="52">
        <f>T8+T9</f>
        <v>27091.65902594487</v>
      </c>
      <c r="U10" s="52">
        <f>U8+U9</f>
        <v>27789.872079589433</v>
      </c>
      <c r="V10" s="52">
        <f>V8+V9</f>
        <v>28324.639689081254</v>
      </c>
    </row>
    <row r="11">
      <c r="A11" s="2" t="inlineStr">
        <is>
          <t>Taxes</t>
        </is>
      </c>
      <c r="B11" s="52" t="n">
        <v>1106</v>
      </c>
      <c r="C11" s="52" t="n">
        <v>1119</v>
      </c>
      <c r="D11" s="52" t="n">
        <v>1603</v>
      </c>
      <c r="E11" s="52" t="n">
        <v>1295</v>
      </c>
      <c r="F11" s="52" t="n">
        <v>1793</v>
      </c>
      <c r="G11" s="52" t="n">
        <v>1807</v>
      </c>
      <c r="H11" s="52" t="n">
        <v>1625</v>
      </c>
      <c r="I11" s="52" t="n">
        <v>1128</v>
      </c>
      <c r="J11" s="52" t="n">
        <v>551</v>
      </c>
      <c r="K11" s="52" t="n">
        <v>1701</v>
      </c>
      <c r="L11" s="52" t="n">
        <v>2385</v>
      </c>
      <c r="M11" s="52">
        <f>MAX(0,M10)*Assumptions!$E$14</f>
        <v>3233.92537541064</v>
      </c>
      <c r="N11" s="52">
        <f>MAX(0,N10)*Assumptions!$E$14</f>
        <v>3465.0751390775044</v>
      </c>
      <c r="O11" s="52">
        <f>MAX(0,O10)*Assumptions!$E$14</f>
        <v>3690.1221110796832</v>
      </c>
      <c r="P11" s="52">
        <f>MAX(0,P10)*Assumptions!$E$14</f>
        <v>3905.6914399657394</v>
      </c>
      <c r="Q11" s="52">
        <f>MAX(0,Q10)*Assumptions!$E$14</f>
        <v>4108.352730244628</v>
      </c>
      <c r="R11" s="52">
        <f>MAX(0,R10)*Assumptions!$E$14</f>
        <v>4294.705662115806</v>
      </c>
      <c r="S11" s="52">
        <f>MAX(0,S10)*Assumptions!$E$14</f>
        <v>4461.4707475478435</v>
      </c>
      <c r="T11" s="52">
        <f>MAX(0,T10)*Assumptions!$E$14</f>
        <v>4605.582034410629</v>
      </c>
      <c r="U11" s="52">
        <f>MAX(0,U10)*Assumptions!$E$14</f>
        <v>4724.278253530204</v>
      </c>
      <c r="V11" s="52">
        <f>MAX(0,V10)*Assumptions!$E$14</f>
        <v>4815.188747143813</v>
      </c>
    </row>
    <row r="12">
      <c r="A12" s="2" t="inlineStr">
        <is>
          <t>Net Income</t>
        </is>
      </c>
      <c r="B12" s="52" t="n">
        <v>17783</v>
      </c>
      <c r="C12" s="52" t="n">
        <v>6712</v>
      </c>
      <c r="D12" s="52" t="n">
        <v>7703</v>
      </c>
      <c r="E12" s="52" t="n">
        <v>12611</v>
      </c>
      <c r="F12" s="52" t="n">
        <v>11732</v>
      </c>
      <c r="G12" s="52" t="n">
        <v>8072</v>
      </c>
      <c r="H12" s="52" t="n">
        <v>24021</v>
      </c>
      <c r="I12" s="52" t="n">
        <v>6955</v>
      </c>
      <c r="J12" s="52" t="n">
        <v>14850</v>
      </c>
      <c r="K12" s="52" t="n">
        <v>11941</v>
      </c>
      <c r="L12" s="52" t="n">
        <v>13984</v>
      </c>
      <c r="M12" s="52">
        <f>M10-M11</f>
        <v>15789.165068181359</v>
      </c>
      <c r="N12" s="52">
        <f>N10-N11</f>
        <v>16917.71979667252</v>
      </c>
      <c r="O12" s="52">
        <f>O10-O11</f>
        <v>18016.478542330216</v>
      </c>
      <c r="P12" s="52">
        <f>P10-P11</f>
        <v>19068.96408924449</v>
      </c>
      <c r="Q12" s="52">
        <f>Q10-Q11</f>
        <v>20058.42803590024</v>
      </c>
      <c r="R12" s="52">
        <f>R10-R11</f>
        <v>20968.268820918347</v>
      </c>
      <c r="S12" s="52">
        <f>S10-S11</f>
        <v>21782.474826263002</v>
      </c>
      <c r="T12" s="52">
        <f>T10-T11</f>
        <v>22486.076991534243</v>
      </c>
      <c r="U12" s="52">
        <f>U10-U11</f>
        <v>23065.59382605923</v>
      </c>
      <c r="V12" s="52">
        <f>V10-V11</f>
        <v>23509.45094193744</v>
      </c>
    </row>
    <row r="13">
      <c r="A13" s="2" t="inlineStr">
        <is>
          <t>Earnings per Share</t>
        </is>
      </c>
      <c r="B13" s="11">
        <f>IFERROR(B12/B14,0)</f>
        <v>7.294093519278097</v>
      </c>
      <c r="C13" s="11">
        <f>IFERROR(C12/C14,0)</f>
        <v>2.796666666666667</v>
      </c>
      <c r="D13" s="11">
        <f>IFERROR(D12/D14,0)</f>
        <v>3.248840151834669</v>
      </c>
      <c r="E13" s="11">
        <f>IFERROR(E12/E14,0)</f>
        <v>5.380119453924915</v>
      </c>
      <c r="F13" s="11">
        <f>IFERROR(F12/F14,0)</f>
        <v>5.059077188443294</v>
      </c>
      <c r="G13" s="11">
        <f>IFERROR(G12/G14,0)</f>
        <v>3.515679442508711</v>
      </c>
      <c r="H13" s="11">
        <f>IFERROR(H12/H14,0)</f>
        <v>10.628761061946904</v>
      </c>
      <c r="I13" s="11">
        <f>IFERROR(I12/I14,0)</f>
        <v>3.165680473372781</v>
      </c>
      <c r="J13" s="11">
        <f>IFERROR(J12/J14,0)</f>
        <v>7.098470363288719</v>
      </c>
      <c r="K13" s="11">
        <f>IFERROR(K12/K14,0)</f>
        <v>5.8678132678132675</v>
      </c>
      <c r="L13" s="11">
        <f>IFERROR(L12/L14,0)</f>
        <v>7.152941176470589</v>
      </c>
      <c r="M13" s="11">
        <f>IFERROR(M12/M14,0)</f>
        <v>8.27458594720098</v>
      </c>
      <c r="N13" s="11">
        <f>IFERROR(N12/N14,0)</f>
        <v>8.866024636751385</v>
      </c>
      <c r="O13" s="11">
        <f>IFERROR(O12/O14,0)</f>
        <v>9.441848224440974</v>
      </c>
      <c r="P13" s="11">
        <f>IFERROR(P12/P14,0)</f>
        <v>9.993421539339007</v>
      </c>
      <c r="Q13" s="11">
        <f>IFERROR(Q12/Q14,0)</f>
        <v>10.511967290992406</v>
      </c>
      <c r="R13" s="11">
        <f>IFERROR(R12/R14,0)</f>
        <v>10.988785143069514</v>
      </c>
      <c r="S13" s="11">
        <f>IFERROR(S12/S14,0)</f>
        <v>11.415483929285163</v>
      </c>
      <c r="T13" s="11">
        <f>IFERROR(T12/T14,0)</f>
        <v>11.78421885377501</v>
      </c>
      <c r="U13" s="11">
        <f>IFERROR(U12/U14,0)</f>
        <v>12.087924707404369</v>
      </c>
      <c r="V13" s="11">
        <f>IFERROR(V12/V14,0)</f>
        <v>12.320535731340799</v>
      </c>
    </row>
    <row r="14">
      <c r="A14" s="2" t="inlineStr">
        <is>
          <t>Shares</t>
        </is>
      </c>
      <c r="B14" s="52" t="n">
        <v>2438</v>
      </c>
      <c r="C14" s="52" t="n">
        <v>2400</v>
      </c>
      <c r="D14" s="52" t="n">
        <v>2371</v>
      </c>
      <c r="E14" s="52" t="n">
        <v>2344</v>
      </c>
      <c r="F14" s="52" t="n">
        <v>2319</v>
      </c>
      <c r="G14" s="52" t="n">
        <v>2296</v>
      </c>
      <c r="H14" s="52" t="n">
        <v>2260</v>
      </c>
      <c r="I14" s="52" t="n">
        <v>2197</v>
      </c>
      <c r="J14" s="52" t="n">
        <v>2092</v>
      </c>
      <c r="K14" s="52" t="n">
        <v>2035</v>
      </c>
      <c r="L14" s="52" t="n">
        <v>1955</v>
      </c>
      <c r="M14" s="52">
        <f>Main!$C$4</f>
        <v>1908.151679</v>
      </c>
      <c r="N14" s="52">
        <f>Main!$C$4</f>
        <v>1908.151679</v>
      </c>
      <c r="O14" s="52">
        <f>Main!$C$4</f>
        <v>1908.151679</v>
      </c>
      <c r="P14" s="52">
        <f>Main!$C$4</f>
        <v>1908.151679</v>
      </c>
      <c r="Q14" s="52">
        <f>Main!$C$4</f>
        <v>1908.151679</v>
      </c>
      <c r="R14" s="52">
        <f>Main!$C$4</f>
        <v>1908.151679</v>
      </c>
      <c r="S14" s="52">
        <f>Main!$C$4</f>
        <v>1908.151679</v>
      </c>
      <c r="T14" s="52">
        <f>Main!$C$4</f>
        <v>1908.151679</v>
      </c>
      <c r="U14" s="52">
        <f>Main!$C$4</f>
        <v>1908.151679</v>
      </c>
      <c r="V14" s="52">
        <f>Main!$C$4</f>
        <v>1908.151679</v>
      </c>
    </row>
    <row r="15"/>
    <row r="16" customFormat="1" s="4">
      <c r="A16" s="3" t="inlineStr">
        <is>
          <t>Revenue Change</t>
        </is>
      </c>
      <c r="C16" s="15">
        <f>IFERROR(C2/B2-1,"")</f>
        <v>-0.018648867313915907</v>
      </c>
      <c r="D16" s="15">
        <f>IFERROR(D2/C2-1,"")</f>
        <v>-0.12648913805185702</v>
      </c>
      <c r="E16" s="15">
        <f>IFERROR(E2/D2-1,"")</f>
        <v>0.05785611476841046</v>
      </c>
      <c r="F16" s="15">
        <f>IFERROR(F2/E2-1,"")</f>
        <v>0.05944282113621657</v>
      </c>
      <c r="G16" s="15">
        <f>IFERROR(G2/F2-1,"")</f>
        <v>0.024443134447766246</v>
      </c>
      <c r="H16" s="15">
        <f>IFERROR(H2/G2-1,"")</f>
        <v>-0.12079985203148447</v>
      </c>
      <c r="I16" s="15">
        <f>IFERROR(I2/H2-1,"")</f>
        <v>-0.013440546036792012</v>
      </c>
      <c r="J16" s="15">
        <f>IFERROR(J2/I2-1,"")</f>
        <v>0.07662417665734722</v>
      </c>
      <c r="K16" s="15">
        <f>IFERROR(K2/J2-1,"")</f>
        <v>0.10732834507042255</v>
      </c>
      <c r="L16" s="15">
        <f>IFERROR(L2/K2-1,"")</f>
        <v>0.08376890514140345</v>
      </c>
      <c r="M16" s="15">
        <f>IFERROR(M2/L2-1,"")</f>
        <v>0.0838000000000001</v>
      </c>
      <c r="N16" s="15">
        <f>IFERROR(N2/M2-1,"")</f>
        <v>0.0772666666666666</v>
      </c>
      <c r="O16" s="15">
        <f>IFERROR(O2/N2-1,"")</f>
        <v>0.07073333333333331</v>
      </c>
      <c r="P16" s="15">
        <f>IFERROR(P2/O2-1,"")</f>
        <v>0.06420000000000003</v>
      </c>
      <c r="Q16" s="15">
        <f>IFERROR(Q2/P2-1,"")</f>
        <v>0.057666666666666755</v>
      </c>
      <c r="R16" s="15">
        <f>IFERROR(R2/Q2-1,"")</f>
        <v>0.05113333333333325</v>
      </c>
      <c r="S16" s="15">
        <f>IFERROR(S2/R2-1,"")</f>
        <v>0.04459999999999997</v>
      </c>
      <c r="T16" s="15">
        <f>IFERROR(T2/S2-1,"")</f>
        <v>0.03806666666666669</v>
      </c>
      <c r="U16" s="15">
        <f>IFERROR(U2/T2-1,"")</f>
        <v>0.03153333333333341</v>
      </c>
      <c r="V16" s="15">
        <f>IFERROR(V2/U2-1,"")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0.6479773462783172</v>
      </c>
      <c r="C17" s="15">
        <f>IFERROR(C4/C2,"")</f>
        <v>0.6388969042417247</v>
      </c>
      <c r="D17" s="15">
        <f>IFERROR(D4/D2,"")</f>
        <v>0.6783228333451311</v>
      </c>
      <c r="E17" s="15">
        <f>IFERROR(E4/E2,"")</f>
        <v>0.6763544710369593</v>
      </c>
      <c r="F17" s="15">
        <f>IFERROR(F4/F2,"")</f>
        <v>0.696303002231673</v>
      </c>
      <c r="G17" s="15">
        <f>IFERROR(G4/G2,"")</f>
        <v>0.689245566082328</v>
      </c>
      <c r="H17" s="15">
        <f>IFERROR(H4/H2,"")</f>
        <v>0.7256959865360791</v>
      </c>
      <c r="I17" s="15">
        <f>IFERROR(I4/I2,"")</f>
        <v>0.7255840401838601</v>
      </c>
      <c r="J17" s="15">
        <f>IFERROR(J4/J2,"")</f>
        <v>0.7255281690140845</v>
      </c>
      <c r="K17" s="15">
        <f>IFERROR(K4/K2,"")</f>
        <v>0.7450762167855794</v>
      </c>
      <c r="L17" s="15">
        <f>IFERROR(L4/L2,"")</f>
        <v>0.7487897014596934</v>
      </c>
      <c r="M17" s="15">
        <f>IFERROR(M4/M2,"")</f>
        <v>0.7488</v>
      </c>
      <c r="N17" s="15">
        <f>IFERROR(N4/N2,"")</f>
        <v>0.7487999999999999</v>
      </c>
      <c r="O17" s="15">
        <f>IFERROR(O4/O2,"")</f>
        <v>0.7488</v>
      </c>
      <c r="P17" s="15">
        <f>IFERROR(P4/P2,"")</f>
        <v>0.7488</v>
      </c>
      <c r="Q17" s="15">
        <f>IFERROR(Q4/Q2,"")</f>
        <v>0.7488</v>
      </c>
      <c r="R17" s="15">
        <f>IFERROR(R4/R2,"")</f>
        <v>0.7488</v>
      </c>
      <c r="S17" s="15">
        <f>IFERROR(S4/S2,"")</f>
        <v>0.7488</v>
      </c>
      <c r="T17" s="15">
        <f>IFERROR(T4/T2,"")</f>
        <v>0.7487999999999999</v>
      </c>
      <c r="U17" s="15">
        <f>IFERROR(U4/U2,"")</f>
        <v>0.7487999999999999</v>
      </c>
      <c r="V17" s="15">
        <f>IFERROR(V4/V2,"")</f>
        <v>0.7488</v>
      </c>
    </row>
    <row r="18">
      <c r="A18" s="14" t="inlineStr">
        <is>
          <t>Operating Margin</t>
        </is>
      </c>
      <c r="B18" s="15">
        <f>IFERROR(B8/B2,"")</f>
        <v>0.18157362459546925</v>
      </c>
      <c r="C18" s="15">
        <f>IFERROR(C8/C2,"")</f>
        <v>0.17041098149140524</v>
      </c>
      <c r="D18" s="15">
        <f>IFERROR(D8/D2,"")</f>
        <v>0.2053278591821807</v>
      </c>
      <c r="E18" s="15">
        <f>IFERROR(E8/E2,"")</f>
        <v>0.18742890281712132</v>
      </c>
      <c r="F18" s="15">
        <f>IFERROR(F8/F2,"")</f>
        <v>0.19129226493747106</v>
      </c>
      <c r="G18" s="15">
        <f>IFERROR(G8/G2,"")</f>
        <v>0.20863560697918165</v>
      </c>
      <c r="H18" s="15">
        <f>IFERROR(H8/H2,"")</f>
        <v>0.23505761903648817</v>
      </c>
      <c r="I18" s="15">
        <f>IFERROR(I8/I2,"")</f>
        <v>0.1882670710325546</v>
      </c>
      <c r="J18" s="15">
        <f>IFERROR(J8/J2,"")</f>
        <v>0.21498679577464788</v>
      </c>
      <c r="K18" s="15">
        <f>IFERROR(K8/K2,"")</f>
        <v>0.2890474392352485</v>
      </c>
      <c r="L18" s="15">
        <f>IFERROR(L8/L2,"")</f>
        <v>0.3235531431086335</v>
      </c>
      <c r="M18" s="15">
        <f>IFERROR(M8/M2,"")</f>
        <v>0.32186999999999993</v>
      </c>
      <c r="N18" s="15">
        <f>IFERROR(N8/N2,"")</f>
        <v>0.32014</v>
      </c>
      <c r="O18" s="15">
        <f>IFERROR(O8/O2,"")</f>
        <v>0.31841</v>
      </c>
      <c r="P18" s="15">
        <f>IFERROR(P8/P2,"")</f>
        <v>0.31668</v>
      </c>
      <c r="Q18" s="15">
        <f>IFERROR(Q8/Q2,"")</f>
        <v>0.31494999999999995</v>
      </c>
      <c r="R18" s="15">
        <f>IFERROR(R8/R2,"")</f>
        <v>0.31322000000000005</v>
      </c>
      <c r="S18" s="15">
        <f>IFERROR(S8/S2,"")</f>
        <v>0.31149</v>
      </c>
      <c r="T18" s="15">
        <f>IFERROR(T8/T2,"")</f>
        <v>0.30976</v>
      </c>
      <c r="U18" s="15">
        <f>IFERROR(U8/U2,"")</f>
        <v>0.30803</v>
      </c>
      <c r="V18" s="15">
        <f>IFERROR(V8/V2,"")</f>
        <v>0.3063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Novartis AG: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0.09</v>
      </c>
      <c r="C10" s="53" t="n">
        <v>0.08</v>
      </c>
      <c r="D10" s="53" t="n">
        <v>0.07000000000000001</v>
      </c>
      <c r="E10" s="54">
        <f>IF(ISNUMBER($B$6),$B$6,CHOOSE($B$4,B10,C10,D10))</f>
        <v>0.08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0.0338</v>
      </c>
      <c r="C12" s="53" t="n">
        <v>0.0838</v>
      </c>
      <c r="D12" s="53" t="n">
        <v>0.1338</v>
      </c>
      <c r="E12" s="54">
        <f>CHOOSE($B$4,B12,C12,D12)</f>
        <v>0.0838</v>
      </c>
    </row>
    <row r="13">
      <c r="A13" s="14" t="inlineStr">
        <is>
          <t>Operating margin, year 10</t>
        </is>
      </c>
      <c r="B13" s="53" t="n">
        <v>0.2563</v>
      </c>
      <c r="C13" s="53" t="n">
        <v>0.3063</v>
      </c>
      <c r="D13" s="53" t="n">
        <v>0.3563</v>
      </c>
      <c r="E13" s="54">
        <f>CHOOSE($B$4,B13,C13,D13)</f>
        <v>0.3063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0.3236</v>
      </c>
    </row>
    <row r="19">
      <c r="A19" s="14" t="inlineStr">
        <is>
          <t>Gross margin (forecast)</t>
        </is>
      </c>
      <c r="B19" s="53" t="n">
        <v>0.7488</v>
      </c>
    </row>
    <row r="20">
      <c r="A20" s="14" t="inlineStr">
        <is>
          <t>R&amp;D share of operating expense (forecast)</t>
        </is>
      </c>
      <c r="B20" s="53" t="n">
        <v>0.483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1</v>
      </c>
    </row>
    <row r="23">
      <c r="A23" s="14" t="inlineStr">
        <is>
          <t>Balance sheet date</t>
        </is>
      </c>
      <c r="B23" s="31" t="n">
        <v>46022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Model'!L2</f>
        <v>54532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327939.23108389066</v>
      </c>
      <c r="C29" s="56">
        <f>NPV!B26</f>
        <v>337996.23108389066</v>
      </c>
      <c r="D29" s="35">
        <f>NPV!B28</f>
        <v>177.13279023029418</v>
      </c>
      <c r="E29" s="57">
        <f>NPV!B30</f>
        <v>0.15290803326148272</v>
      </c>
    </row>
    <row r="30">
      <c r="A30" s="58" t="n">
        <v>1</v>
      </c>
      <c r="B30" s="59">
        <f t="dataTable" ref="B30:E32" r1="B4"/>
        <v>189529.7318281479</v>
      </c>
      <c r="C30" s="59">
        <v>199586.7318281479</v>
      </c>
      <c r="D30" s="39">
        <v>104.59689029162755</v>
      </c>
      <c r="E30" s="60">
        <v>-0.319207951759779</v>
      </c>
    </row>
    <row r="31">
      <c r="A31" s="58" t="n">
        <v>2</v>
      </c>
      <c r="B31" s="59">
        <v>327939.23108389066</v>
      </c>
      <c r="C31" s="59">
        <v>337996.23108389066</v>
      </c>
      <c r="D31" s="39">
        <v>177.13279023029418</v>
      </c>
      <c r="E31" s="60">
        <v>0.15290803326148272</v>
      </c>
    </row>
    <row r="32">
      <c r="A32" s="58" t="n">
        <v>3</v>
      </c>
      <c r="B32" s="59">
        <v>623478.7505177148</v>
      </c>
      <c r="C32" s="59">
        <v>633535.7505177148</v>
      </c>
      <c r="D32" s="39">
        <v>332.0154039587305</v>
      </c>
      <c r="E32" s="60">
        <v>1.1609958601843955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177.13279023029418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0.06</v>
      </c>
      <c r="B37" s="39">
        <f t="dataTable" ref="B37:F41" dt2D="1" r1="B7" r2="B6"/>
        <v>224.6146702798472</v>
      </c>
      <c r="C37" s="39">
        <v>247.30246416874022</v>
      </c>
      <c r="D37" s="39">
        <v>276.44303292359126</v>
      </c>
      <c r="E37" s="39">
        <v>315.2624330924892</v>
      </c>
      <c r="F37" s="39">
        <v>369.567562713143</v>
      </c>
    </row>
    <row r="38">
      <c r="A38" s="62" t="n">
        <v>0.07000000000000001</v>
      </c>
      <c r="B38" s="39">
        <v>184.14716744282</v>
      </c>
      <c r="C38" s="39">
        <v>198.3507789768595</v>
      </c>
      <c r="D38" s="39">
        <v>215.68885229889398</v>
      </c>
      <c r="E38" s="39">
        <v>237.33657300194093</v>
      </c>
      <c r="F38" s="39">
        <v>265.1406587188783</v>
      </c>
    </row>
    <row r="39">
      <c r="A39" s="62" t="n">
        <v>0.08</v>
      </c>
      <c r="B39" s="39">
        <v>156.22628288739378</v>
      </c>
      <c r="C39" s="39">
        <v>165.8162779070796</v>
      </c>
      <c r="D39" s="39">
        <v>177.13279023029418</v>
      </c>
      <c r="E39" s="39">
        <v>190.69359330951093</v>
      </c>
      <c r="F39" s="39">
        <v>207.24658019563512</v>
      </c>
    </row>
    <row r="40">
      <c r="A40" s="62" t="n">
        <v>0.09</v>
      </c>
      <c r="B40" s="39">
        <v>135.8230451415045</v>
      </c>
      <c r="C40" s="39">
        <v>142.6520091248371</v>
      </c>
      <c r="D40" s="39">
        <v>150.51774687619923</v>
      </c>
      <c r="E40" s="39">
        <v>159.6793071686175</v>
      </c>
      <c r="F40" s="39">
        <v>170.48993680656235</v>
      </c>
    </row>
    <row r="41">
      <c r="A41" s="62" t="n">
        <v>0.1</v>
      </c>
      <c r="B41" s="39">
        <v>120.27627932980617</v>
      </c>
      <c r="C41" s="39">
        <v>125.33580490480337</v>
      </c>
      <c r="D41" s="39">
        <v>131.05848206035347</v>
      </c>
      <c r="E41" s="39">
        <v>137.5862963591239</v>
      </c>
      <c r="F41" s="39">
        <v>145.10491999329147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Novartis AG: free-cash-flow DCF ($mm)</t>
        </is>
      </c>
    </row>
    <row r="3">
      <c r="A3" s="20" t="inlineStr">
        <is>
          <t>Fiscal year</t>
        </is>
      </c>
      <c r="B3" s="43">
        <f>'Yearly Model'!L1</f>
        <v>2025</v>
      </c>
      <c r="C3" s="43">
        <f>'Yearly Model'!M1</f>
        <v>2026</v>
      </c>
      <c r="D3" s="43">
        <f>'Yearly Model'!N1</f>
        <v>2027</v>
      </c>
      <c r="E3" s="43">
        <f>'Yearly Model'!O1</f>
        <v>2028</v>
      </c>
      <c r="F3" s="43">
        <f>'Yearly Model'!P1</f>
        <v>2029</v>
      </c>
      <c r="G3" s="43">
        <f>'Yearly Model'!Q1</f>
        <v>2030</v>
      </c>
      <c r="H3" s="43">
        <f>'Yearly Model'!R1</f>
        <v>2031</v>
      </c>
      <c r="I3" s="43">
        <f>'Yearly Model'!S1</f>
        <v>2032</v>
      </c>
      <c r="J3" s="43">
        <f>'Yearly Model'!T1</f>
        <v>2033</v>
      </c>
      <c r="K3" s="43">
        <f>'Yearly Model'!U1</f>
        <v>2034</v>
      </c>
      <c r="L3" s="43">
        <f>'Yearly Model'!V1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0.0838</v>
      </c>
      <c r="D5" s="63">
        <f>Assumptions!$E$12+(Assumptions!$E$11-Assumptions!$E$12)*(D4-1)/(Assumptions!$B$21-1)</f>
        <v>0.07726666666666666</v>
      </c>
      <c r="E5" s="63">
        <f>Assumptions!$E$12+(Assumptions!$E$11-Assumptions!$E$12)*(E4-1)/(Assumptions!$B$21-1)</f>
        <v>0.07073333333333333</v>
      </c>
      <c r="F5" s="63">
        <f>Assumptions!$E$12+(Assumptions!$E$11-Assumptions!$E$12)*(F4-1)/(Assumptions!$B$21-1)</f>
        <v>0.06420000000000001</v>
      </c>
      <c r="G5" s="63">
        <f>Assumptions!$E$12+(Assumptions!$E$11-Assumptions!$E$12)*(G4-1)/(Assumptions!$B$21-1)</f>
        <v>0.05766666666666667</v>
      </c>
      <c r="H5" s="63">
        <f>Assumptions!$E$12+(Assumptions!$E$11-Assumptions!$E$12)*(H4-1)/(Assumptions!$B$21-1)</f>
        <v>0.051133333333333336</v>
      </c>
      <c r="I5" s="63">
        <f>Assumptions!$E$12+(Assumptions!$E$11-Assumptions!$E$12)*(I4-1)/(Assumptions!$B$21-1)</f>
        <v>0.0446</v>
      </c>
      <c r="J5" s="63">
        <f>Assumptions!$E$12+(Assumptions!$E$11-Assumptions!$E$12)*(J4-1)/(Assumptions!$B$21-1)</f>
        <v>0.03806666666666667</v>
      </c>
      <c r="K5" s="63">
        <f>Assumptions!$E$12+(Assumptions!$E$11-Assumptions!$E$12)*(K4-1)/(Assumptions!$B$21-1)</f>
        <v>0.03153333333333334</v>
      </c>
      <c r="L5" s="63">
        <f>Assumptions!$E$12+(Assumptions!$E$11-Assumptions!$E$12)*(L4-1)/(Assumptions!$B$21-1)</f>
        <v>0.025</v>
      </c>
    </row>
    <row r="6">
      <c r="A6" s="14" t="inlineStr">
        <is>
          <t>Operating margin</t>
        </is>
      </c>
      <c r="B6" s="63">
        <f>IFERROR(B8/B7,0)</f>
        <v>0.3235531431086335</v>
      </c>
      <c r="C6" s="63">
        <f>Assumptions!$B$18+(Assumptions!$E$13-Assumptions!$B$18)*C4/Assumptions!$B$21</f>
        <v>0.32187</v>
      </c>
      <c r="D6" s="63">
        <f>Assumptions!$B$18+(Assumptions!$E$13-Assumptions!$B$18)*D4/Assumptions!$B$21</f>
        <v>0.32014</v>
      </c>
      <c r="E6" s="63">
        <f>Assumptions!$B$18+(Assumptions!$E$13-Assumptions!$B$18)*E4/Assumptions!$B$21</f>
        <v>0.31841</v>
      </c>
      <c r="F6" s="63">
        <f>Assumptions!$B$18+(Assumptions!$E$13-Assumptions!$B$18)*F4/Assumptions!$B$21</f>
        <v>0.31668</v>
      </c>
      <c r="G6" s="63">
        <f>Assumptions!$B$18+(Assumptions!$E$13-Assumptions!$B$18)*G4/Assumptions!$B$21</f>
        <v>0.31495</v>
      </c>
      <c r="H6" s="63">
        <f>Assumptions!$B$18+(Assumptions!$E$13-Assumptions!$B$18)*H4/Assumptions!$B$21</f>
        <v>0.31322</v>
      </c>
      <c r="I6" s="63">
        <f>Assumptions!$B$18+(Assumptions!$E$13-Assumptions!$B$18)*I4/Assumptions!$B$21</f>
        <v>0.31149</v>
      </c>
      <c r="J6" s="63">
        <f>Assumptions!$B$18+(Assumptions!$E$13-Assumptions!$B$18)*J4/Assumptions!$B$21</f>
        <v>0.30976000000000004</v>
      </c>
      <c r="K6" s="63">
        <f>Assumptions!$B$18+(Assumptions!$E$13-Assumptions!$B$18)*K4/Assumptions!$B$21</f>
        <v>0.30803</v>
      </c>
      <c r="L6" s="63">
        <f>Assumptions!$B$18+(Assumptions!$E$13-Assumptions!$B$18)*L4/Assumptions!$B$21</f>
        <v>0.3063</v>
      </c>
    </row>
    <row r="7">
      <c r="A7" s="14" t="inlineStr">
        <is>
          <t>Revenue</t>
        </is>
      </c>
      <c r="B7" s="55">
        <f>'Yearly Model'!L2</f>
        <v>54532</v>
      </c>
      <c r="C7" s="55">
        <f>'Yearly Model'!M2</f>
        <v>59101.7816</v>
      </c>
      <c r="D7" s="55">
        <f>'Yearly Model'!N2</f>
        <v>63668.37925829333</v>
      </c>
      <c r="E7" s="55">
        <f>'Yearly Model'!O2</f>
        <v>68171.85595116328</v>
      </c>
      <c r="F7" s="55">
        <f>'Yearly Model'!P2</f>
        <v>72548.48910322796</v>
      </c>
      <c r="G7" s="55">
        <f>'Yearly Model'!Q2</f>
        <v>76732.11864151411</v>
      </c>
      <c r="H7" s="55">
        <f>'Yearly Model'!R2</f>
        <v>80655.68764138353</v>
      </c>
      <c r="I7" s="55">
        <f>'Yearly Model'!S2</f>
        <v>84252.93131018923</v>
      </c>
      <c r="J7" s="55">
        <f>'Yearly Model'!T2</f>
        <v>87460.15956206377</v>
      </c>
      <c r="K7" s="55">
        <f>'Yearly Model'!U2</f>
        <v>90218.06992692086</v>
      </c>
      <c r="L7" s="55">
        <f>'Yearly Model'!V2</f>
        <v>92473.52167509387</v>
      </c>
    </row>
    <row r="8">
      <c r="A8" s="14" t="inlineStr">
        <is>
          <t>Operating income</t>
        </is>
      </c>
      <c r="B8" s="55">
        <f>'Yearly Model'!L8</f>
        <v>17644.0</v>
      </c>
      <c r="C8" s="55">
        <f>'Yearly Model'!M8</f>
        <v>19023.090443592</v>
      </c>
      <c r="D8" s="55">
        <f>'Yearly Model'!N8</f>
        <v>20382.794935750026</v>
      </c>
      <c r="E8" s="55">
        <f>'Yearly Model'!O8</f>
        <v>21706.6006534099</v>
      </c>
      <c r="F8" s="55">
        <f>'Yearly Model'!P8</f>
        <v>22974.65552921023</v>
      </c>
      <c r="G8" s="55">
        <f>'Yearly Model'!Q8</f>
        <v>24166.780766144868</v>
      </c>
      <c r="H8" s="55">
        <f>'Yearly Model'!R8</f>
        <v>25262.97448303415</v>
      </c>
      <c r="I8" s="55">
        <f>'Yearly Model'!S8</f>
        <v>26243.945573810845</v>
      </c>
      <c r="J8" s="55">
        <f>'Yearly Model'!T8</f>
        <v>27091.65902594487</v>
      </c>
      <c r="K8" s="55">
        <f>'Yearly Model'!U8</f>
        <v>27789.872079589433</v>
      </c>
      <c r="L8" s="55">
        <f>'Yearly Model'!V8</f>
        <v>28324.639689081254</v>
      </c>
    </row>
    <row r="9">
      <c r="A9" s="14" t="inlineStr">
        <is>
          <t>Tax on operating income</t>
        </is>
      </c>
      <c r="C9" s="52">
        <f>MAX(0,C8)*Assumptions!$E$14</f>
        <v>3233.92537541064</v>
      </c>
      <c r="D9" s="52">
        <f>MAX(0,D8)*Assumptions!$E$14</f>
        <v>3465.0751390775044</v>
      </c>
      <c r="E9" s="52">
        <f>MAX(0,E8)*Assumptions!$E$14</f>
        <v>3690.1221110796832</v>
      </c>
      <c r="F9" s="52">
        <f>MAX(0,F8)*Assumptions!$E$14</f>
        <v>3905.6914399657394</v>
      </c>
      <c r="G9" s="52">
        <f>MAX(0,G8)*Assumptions!$E$14</f>
        <v>4108.352730244628</v>
      </c>
      <c r="H9" s="52">
        <f>MAX(0,H8)*Assumptions!$E$14</f>
        <v>4294.705662115806</v>
      </c>
      <c r="I9" s="52">
        <f>MAX(0,I8)*Assumptions!$E$14</f>
        <v>4461.4707475478435</v>
      </c>
      <c r="J9" s="52">
        <f>MAX(0,J8)*Assumptions!$E$14</f>
        <v>4605.582034410629</v>
      </c>
      <c r="K9" s="52">
        <f>MAX(0,K8)*Assumptions!$E$14</f>
        <v>4724.278253530204</v>
      </c>
      <c r="L9" s="52">
        <f>MAX(0,L8)*Assumptions!$E$14</f>
        <v>4815.188747143813</v>
      </c>
    </row>
    <row r="10">
      <c r="A10" s="14" t="inlineStr">
        <is>
          <t>NOPAT</t>
        </is>
      </c>
      <c r="C10" s="52">
        <f>C8-C9</f>
        <v>15789.165068181359</v>
      </c>
      <c r="D10" s="52">
        <f>D8-D9</f>
        <v>16917.71979667252</v>
      </c>
      <c r="E10" s="52">
        <f>E8-E9</f>
        <v>18016.478542330216</v>
      </c>
      <c r="F10" s="52">
        <f>F8-F9</f>
        <v>19068.96408924449</v>
      </c>
      <c r="G10" s="52">
        <f>G8-G9</f>
        <v>20058.42803590024</v>
      </c>
      <c r="H10" s="52">
        <f>H8-H9</f>
        <v>20968.268820918347</v>
      </c>
      <c r="I10" s="52">
        <f>I8-I9</f>
        <v>21782.474826263002</v>
      </c>
      <c r="J10" s="52">
        <f>J8-J9</f>
        <v>22486.076991534243</v>
      </c>
      <c r="K10" s="52">
        <f>K8-K9</f>
        <v>23065.59382605923</v>
      </c>
      <c r="L10" s="52">
        <f>L8-L9</f>
        <v>23509.45094193744</v>
      </c>
    </row>
    <row r="11">
      <c r="A11" s="14" t="inlineStr">
        <is>
          <t>Reinvestment</t>
        </is>
      </c>
      <c r="C11" s="52">
        <f>(C7-B7)*Assumptions!$E$15</f>
        <v>1142.4454000000005</v>
      </c>
      <c r="D11" s="52">
        <f>(D7-C7)*Assumptions!$E$15</f>
        <v>1141.6494145733323</v>
      </c>
      <c r="E11" s="52">
        <f>(E7-D7)*Assumptions!$E$15</f>
        <v>1125.8691732174866</v>
      </c>
      <c r="F11" s="52">
        <f>(F7-E7)*Assumptions!$E$15</f>
        <v>1094.1582880161695</v>
      </c>
      <c r="G11" s="52">
        <f>(G7-F7)*Assumptions!$E$15</f>
        <v>1045.9073845715393</v>
      </c>
      <c r="H11" s="52">
        <f>(H7-G7)*Assumptions!$E$15</f>
        <v>980.8922499673536</v>
      </c>
      <c r="I11" s="52">
        <f>(I7-H7)*Assumptions!$E$15</f>
        <v>899.3109172014265</v>
      </c>
      <c r="J11" s="52">
        <f>(J7-I7)*Assumptions!$E$15</f>
        <v>801.8070629686335</v>
      </c>
      <c r="K11" s="52">
        <f>(K7-J7)*Assumptions!$E$15</f>
        <v>689.4775912142723</v>
      </c>
      <c r="L11" s="52">
        <f>(L7-K7)*Assumptions!$E$15</f>
        <v>563.8629370432536</v>
      </c>
    </row>
    <row r="12">
      <c r="A12" s="20" t="inlineStr">
        <is>
          <t>Free cash flow</t>
        </is>
      </c>
      <c r="C12" s="64">
        <f>C10-C11</f>
        <v>14646.719668181358</v>
      </c>
      <c r="D12" s="64">
        <f>D10-D11</f>
        <v>15776.07038209919</v>
      </c>
      <c r="E12" s="64">
        <f>E10-E11</f>
        <v>16890.60936911273</v>
      </c>
      <c r="F12" s="64">
        <f>F10-F11</f>
        <v>17974.80580122832</v>
      </c>
      <c r="G12" s="64">
        <f>G10-G11</f>
        <v>19012.5206513287</v>
      </c>
      <c r="H12" s="64">
        <f>H10-H11</f>
        <v>19987.376570950993</v>
      </c>
      <c r="I12" s="64">
        <f>I10-I11</f>
        <v>20883.163909061575</v>
      </c>
      <c r="J12" s="64">
        <f>J10-J11</f>
        <v>21684.26992856561</v>
      </c>
      <c r="K12" s="64">
        <f>K10-K11</f>
        <v>22376.116234844958</v>
      </c>
      <c r="L12" s="64">
        <f>L10-L11</f>
        <v>22945.588004894187</v>
      </c>
    </row>
    <row r="13">
      <c r="A13" s="14" t="inlineStr">
        <is>
          <t>Year fraction</t>
        </is>
      </c>
      <c r="C13" s="46">
        <f>Assumptions!$B$22</f>
        <v>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0.5</v>
      </c>
      <c r="D14" s="11">
        <f>C14+C13/2+D13/2</f>
        <v>1.5</v>
      </c>
      <c r="E14" s="11">
        <f>D14+D13/2+E13/2</f>
        <v>2.5</v>
      </c>
      <c r="F14" s="11">
        <f>E14+E13/2+F13/2</f>
        <v>3.5</v>
      </c>
      <c r="G14" s="11">
        <f>F14+F13/2+G13/2</f>
        <v>4.5</v>
      </c>
      <c r="H14" s="11">
        <f>G14+G13/2+H13/2</f>
        <v>5.5</v>
      </c>
      <c r="I14" s="11">
        <f>H14+H13/2+I13/2</f>
        <v>6.5</v>
      </c>
      <c r="J14" s="11">
        <f>I14+I13/2+J13/2</f>
        <v>7.5</v>
      </c>
      <c r="K14" s="11">
        <f>J14+J13/2+K13/2</f>
        <v>8.5</v>
      </c>
      <c r="L14" s="11">
        <f>K14+K13/2+L13/2</f>
        <v>9.5</v>
      </c>
    </row>
    <row r="15">
      <c r="A15" s="14" t="inlineStr">
        <is>
          <t>Discount factor</t>
        </is>
      </c>
      <c r="C15" s="65">
        <f>1/(1+Assumptions!$E$10)^C14</f>
        <v>0.9622504486493761</v>
      </c>
      <c r="D15" s="65">
        <f>1/(1+Assumptions!$E$10)^D14</f>
        <v>0.8909726376383114</v>
      </c>
      <c r="E15" s="65">
        <f>1/(1+Assumptions!$E$10)^E14</f>
        <v>0.8249746644799177</v>
      </c>
      <c r="F15" s="65">
        <f>1/(1+Assumptions!$E$10)^F14</f>
        <v>0.763865430073998</v>
      </c>
      <c r="G15" s="65">
        <f>1/(1+Assumptions!$E$10)^G14</f>
        <v>0.7072828056240721</v>
      </c>
      <c r="H15" s="65">
        <f>1/(1+Assumptions!$E$10)^H14</f>
        <v>0.6548914866889556</v>
      </c>
      <c r="I15" s="65">
        <f>1/(1+Assumptions!$E$10)^I14</f>
        <v>0.6063810061934773</v>
      </c>
      <c r="J15" s="65">
        <f>1/(1+Assumptions!$E$10)^J14</f>
        <v>0.5614638946235901</v>
      </c>
      <c r="K15" s="65">
        <f>1/(1+Assumptions!$E$10)^K14</f>
        <v>0.5198739765033241</v>
      </c>
      <c r="L15" s="65">
        <f>1/(1+Assumptions!$E$10)^L14</f>
        <v>0.48136479305863344</v>
      </c>
    </row>
    <row r="16">
      <c r="A16" s="20" t="inlineStr">
        <is>
          <t>PV of free cash flow</t>
        </is>
      </c>
      <c r="C16" s="64">
        <f>C12*C13*C15</f>
        <v>14093.812571949155</v>
      </c>
      <c r="D16" s="64">
        <f>D12*D13*D15</f>
        <v>14056.047039906558</v>
      </c>
      <c r="E16" s="64">
        <f>E12*E13*E15</f>
        <v>13934.324797145131</v>
      </c>
      <c r="F16" s="64">
        <f>F12*F13*F15</f>
        <v>13730.332763851866</v>
      </c>
      <c r="G16" s="64">
        <f>G12*G13*G15</f>
        <v>13447.228948257374</v>
      </c>
      <c r="H16" s="64">
        <f>H12*H13*H15</f>
        <v>13089.562757562095</v>
      </c>
      <c r="I16" s="64">
        <f>I12*I13*I15</f>
        <v>12663.15394368007</v>
      </c>
      <c r="J16" s="64">
        <f>J12*J13*J15</f>
        <v>12174.934646161646</v>
      </c>
      <c r="K16" s="64">
        <f>K12*K13*K15</f>
        <v>11632.760525709436</v>
      </c>
      <c r="L16" s="64">
        <f>L12*L13*L15</f>
        <v>11045.198221584553</v>
      </c>
    </row>
    <row r="19">
      <c r="A19" s="14" t="inlineStr">
        <is>
          <t>PV of forecast free cash flow</t>
        </is>
      </c>
      <c r="B19" s="52">
        <f>SUM(C16:L16)</f>
        <v>129867.35621580789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23519.22770501654</v>
      </c>
    </row>
    <row r="21">
      <c r="A21" s="14" t="inlineStr">
        <is>
          <t>Terminal value</t>
        </is>
      </c>
      <c r="B21" s="52">
        <f>B20/(Assumptions!$E$10-Assumptions!$E$11)</f>
        <v>427622.3219093916</v>
      </c>
    </row>
    <row r="22">
      <c r="A22" s="14" t="inlineStr">
        <is>
          <t>PV of terminal value</t>
        </is>
      </c>
      <c r="B22" s="52">
        <f>B21/(1+Assumptions!$E$10)^(L14+0.5)</f>
        <v>198071.87486808276</v>
      </c>
    </row>
    <row r="23">
      <c r="A23" s="20" t="inlineStr">
        <is>
          <t>Enterprise value</t>
        </is>
      </c>
      <c r="B23" s="66">
        <f>B19+B22</f>
        <v>327939.23108389066</v>
      </c>
    </row>
    <row r="24">
      <c r="A24" s="14" t="inlineStr">
        <is>
          <t>Cash &amp; investments</t>
        </is>
      </c>
      <c r="B24" s="55">
        <f>Main!C7</f>
        <v>11533.0</v>
      </c>
    </row>
    <row r="25">
      <c r="A25" s="14" t="inlineStr">
        <is>
          <t>Debt</t>
        </is>
      </c>
      <c r="B25" s="55">
        <f>Main!C8</f>
        <v>1476.0</v>
      </c>
    </row>
    <row r="26">
      <c r="A26" s="20" t="inlineStr">
        <is>
          <t>Equity value</t>
        </is>
      </c>
      <c r="B26" s="66">
        <f>B23+B24-B25</f>
        <v>337996.23108389066</v>
      </c>
    </row>
    <row r="27">
      <c r="A27" s="14" t="inlineStr">
        <is>
          <t>Shares (mm)</t>
        </is>
      </c>
      <c r="B27" s="55">
        <f>Main!C4</f>
        <v>1908.151679</v>
      </c>
    </row>
    <row r="28">
      <c r="A28" s="20" t="inlineStr">
        <is>
          <t>NPV / share</t>
        </is>
      </c>
      <c r="B28" s="49">
        <f>B26/B27</f>
        <v>177.13279023029418</v>
      </c>
    </row>
    <row r="29">
      <c r="A29" s="14" t="inlineStr">
        <is>
          <t>Price</t>
        </is>
      </c>
      <c r="B29" s="50">
        <f>Main!C3</f>
        <v>153.64</v>
      </c>
    </row>
    <row r="30">
      <c r="A30" s="14" t="inlineStr">
        <is>
          <t>Upside</t>
        </is>
      </c>
      <c r="B30" s="63">
        <f>B28/B29-1</f>
        <v>0.15290803326148272</v>
      </c>
    </row>
    <row r="31">
      <c r="A31" s="14" t="inlineStr">
        <is>
          <t>Terminal value, % of EV</t>
        </is>
      </c>
      <c r="B31" s="63">
        <f>IFERROR(B22/B23,0)</f>
        <v>0.6039895690839553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2026-10-21T06:20:57Z</dcterms:modified>
  <cp:lastModifiedBy>Wang, Eric</cp:lastModifiedBy>
</cp:coreProperties>
</file>