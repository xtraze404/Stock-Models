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Kura Oncology, Inc.</t>
        </is>
      </c>
      <c r="C2" s="10" t="n"/>
    </row>
    <row r="3">
      <c r="B3" t="inlineStr">
        <is>
          <t>Price</t>
        </is>
      </c>
      <c r="C3" s="11">
        <f>INDEX([1]Pharma!$F$1:$F$1000,MATCH("KURA",[1]Pharma!$B$1:$B$1000,0))</f>
        <v>9.98</v>
      </c>
      <c r="F3" s="1" t="n"/>
    </row>
    <row r="4">
      <c r="B4" t="inlineStr">
        <is>
          <t>Shares</t>
        </is>
      </c>
      <c r="C4" s="51" t="n">
        <v>88.96061899999999</v>
      </c>
      <c r="F4" s="1" t="n"/>
    </row>
    <row r="5">
      <c r="B5" t="inlineStr">
        <is>
          <t>Market Cap.</t>
        </is>
      </c>
      <c r="C5" s="13">
        <f>C3*C4</f>
        <v>887.82697762</v>
      </c>
      <c r="F5" s="1" t="n"/>
    </row>
    <row r="6"/>
    <row r="7">
      <c r="B7" t="inlineStr">
        <is>
          <t>Cash</t>
        </is>
      </c>
      <c r="C7" s="51">
        <f>70.242+448.783</f>
        <v>519.025</v>
      </c>
    </row>
    <row r="8">
      <c r="B8" t="inlineStr">
        <is>
          <t>Debt</t>
        </is>
      </c>
      <c r="C8" s="51">
        <f>4.217+5.573</f>
        <v>9.79</v>
      </c>
    </row>
    <row r="9">
      <c r="B9" t="inlineStr">
        <is>
          <t>Enterprise V.</t>
        </is>
      </c>
      <c r="C9" s="13">
        <f>C5-C7+C8</f>
        <v>378.59197762</v>
      </c>
    </row>
    <row r="10"/>
    <row r="11">
      <c r="B11" s="14" t="inlineStr">
        <is>
          <t>NPV / Share</t>
        </is>
      </c>
      <c r="C11" s="11">
        <f>NPV!B28</f>
        <v>0.9987353623944326</v>
      </c>
    </row>
    <row r="12">
      <c r="B12" s="14" t="inlineStr">
        <is>
          <t>Upside</t>
        </is>
      </c>
      <c r="C12" s="15">
        <f>IFERROR(C11/C3-1,"")</f>
        <v>-0.8999263163933434</v>
      </c>
    </row>
    <row r="13">
      <c r="B13" s="14" t="inlineStr">
        <is>
          <t>Cash / Share</t>
        </is>
      </c>
      <c r="C13" s="11">
        <f>IFERROR((C7-C8)/C4,"")</f>
        <v>5.724274468009266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2007</v>
      </c>
      <c r="C1" s="16" t="n">
        <v>2008</v>
      </c>
      <c r="D1" s="16" t="n">
        <v>2009</v>
      </c>
      <c r="E1" s="16" t="n">
        <v>2010</v>
      </c>
      <c r="F1" s="16" t="n">
        <v>2011</v>
      </c>
      <c r="G1" s="16" t="n">
        <v>2012</v>
      </c>
      <c r="H1" s="16" t="n">
        <v>2013</v>
      </c>
      <c r="I1" s="16" t="n">
        <v>2014</v>
      </c>
      <c r="J1" s="16" t="n">
        <v>2015</v>
      </c>
      <c r="K1" s="16" t="n">
        <v>2016</v>
      </c>
      <c r="L1" s="16" t="n">
        <v>2017</v>
      </c>
      <c r="M1" s="16" t="n">
        <v>2018</v>
      </c>
      <c r="N1" s="16" t="n">
        <v>2019</v>
      </c>
      <c r="O1" s="16" t="n">
        <v>2020</v>
      </c>
      <c r="P1" s="16" t="n">
        <v>2021</v>
      </c>
      <c r="Q1" s="16" t="n">
        <v>2022</v>
      </c>
      <c r="R1" s="16" t="n">
        <v>2023</v>
      </c>
      <c r="S1" s="16" t="n">
        <v>2024</v>
      </c>
      <c r="T1" s="16" t="n">
        <v>2025</v>
      </c>
      <c r="U1" s="16" t="n">
        <v>2026</v>
      </c>
      <c r="V1" s="16" t="n">
        <v>2027</v>
      </c>
      <c r="W1" s="16" t="n">
        <v>2028</v>
      </c>
      <c r="X1" s="16" t="n">
        <v>2029</v>
      </c>
      <c r="Y1" s="16" t="n">
        <v>2030</v>
      </c>
      <c r="Z1" s="16" t="n">
        <v>2031</v>
      </c>
      <c r="AA1" s="16" t="n">
        <v>2032</v>
      </c>
      <c r="AB1" s="16" t="n">
        <v>2033</v>
      </c>
      <c r="AC1" s="16" t="n">
        <v>2034</v>
      </c>
      <c r="AD1" s="16" t="n">
        <v>2035</v>
      </c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0</v>
      </c>
      <c r="J2" s="52" t="n">
        <v>0</v>
      </c>
      <c r="K2" s="52" t="n">
        <v>0</v>
      </c>
      <c r="L2" s="52" t="n">
        <v>0</v>
      </c>
      <c r="M2" s="52" t="n">
        <v>0</v>
      </c>
      <c r="N2" s="52" t="n">
        <v>0</v>
      </c>
      <c r="O2" s="52" t="n">
        <v>0</v>
      </c>
      <c r="P2" s="52" t="n">
        <v>0</v>
      </c>
      <c r="Q2" s="52" t="n">
        <v>0</v>
      </c>
      <c r="R2" s="52" t="n">
        <v>0</v>
      </c>
      <c r="S2" s="52" t="n">
        <v>53.883</v>
      </c>
      <c r="T2" s="52" t="n">
        <v>67.482</v>
      </c>
      <c r="U2" s="52">
        <f>T2*(1+NPV!C5)</f>
        <v>87.1799958</v>
      </c>
      <c r="V2" s="52">
        <f>U2*(1+NPV!D5)</f>
        <v>110.04246536524</v>
      </c>
      <c r="W2" s="52">
        <f>V2*(1+NPV!E5)</f>
        <v>135.63712011513522</v>
      </c>
      <c r="X2" s="52">
        <f>W2*(1+NPV!F5)</f>
        <v>163.16241302383332</v>
      </c>
      <c r="Y2" s="52">
        <f>X2*(1+NPV!G5)</f>
        <v>191.43483336946312</v>
      </c>
      <c r="Z2" s="52">
        <f>Y2*(1+NPV!H5)</f>
        <v>218.92912954872625</v>
      </c>
      <c r="AA2" s="52">
        <f>Z2*(1+NPV!I5)</f>
        <v>243.87975267962943</v>
      </c>
      <c r="AB2" s="52">
        <f>AA2*(1+NPV!J5)</f>
        <v>264.44152560555193</v>
      </c>
      <c r="AC2" s="52">
        <f>AB2*(1+NPV!K5)</f>
        <v>278.89472409948206</v>
      </c>
      <c r="AD2" s="52">
        <f>AC2*(1+NPV!L5)</f>
        <v>285.8670922019691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 t="n">
        <v>0</v>
      </c>
      <c r="T3" s="52" t="n">
        <v>0</v>
      </c>
      <c r="U3" s="52">
        <f>U2*(1-Assumptions!$B$19)</f>
        <v>0.0</v>
      </c>
      <c r="V3" s="52">
        <f>V2*(1-Assumptions!$B$19)</f>
        <v>0.0</v>
      </c>
      <c r="W3" s="52">
        <f>W2*(1-Assumptions!$B$19)</f>
        <v>0.0</v>
      </c>
      <c r="X3" s="52">
        <f>X2*(1-Assumptions!$B$19)</f>
        <v>0.0</v>
      </c>
      <c r="Y3" s="52">
        <f>Y2*(1-Assumptions!$B$19)</f>
        <v>0.0</v>
      </c>
      <c r="Z3" s="52">
        <f>Z2*(1-Assumptions!$B$19)</f>
        <v>0.0</v>
      </c>
      <c r="AA3" s="52">
        <f>AA2*(1-Assumptions!$B$19)</f>
        <v>0.0</v>
      </c>
      <c r="AB3" s="52">
        <f>AB2*(1-Assumptions!$B$19)</f>
        <v>0.0</v>
      </c>
      <c r="AC3" s="52">
        <f>AC2*(1-Assumptions!$B$19)</f>
        <v>0.0</v>
      </c>
      <c r="AD3" s="52">
        <f>AD2*(1-Assumptions!$B$19)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0.0</v>
      </c>
      <c r="K4" s="52">
        <f>K2-K3</f>
        <v>0.0</v>
      </c>
      <c r="L4" s="52">
        <f>L2-L3</f>
        <v>0.0</v>
      </c>
      <c r="M4" s="52">
        <f>M2-M3</f>
        <v>0.0</v>
      </c>
      <c r="N4" s="52">
        <f>N2-N3</f>
        <v>0.0</v>
      </c>
      <c r="O4" s="52">
        <f>O2-O3</f>
        <v>0.0</v>
      </c>
      <c r="P4" s="52">
        <f>P2-P3</f>
        <v>0.0</v>
      </c>
      <c r="Q4" s="52">
        <f>Q2-Q3</f>
        <v>0.0</v>
      </c>
      <c r="R4" s="52">
        <f>R2-R3</f>
        <v>0.0</v>
      </c>
      <c r="S4" s="52">
        <f>S2-S3</f>
        <v>53.883</v>
      </c>
      <c r="T4" s="52">
        <f>T2-T3</f>
        <v>67.482</v>
      </c>
      <c r="U4" s="52">
        <f>U2-U3</f>
        <v>87.1799958</v>
      </c>
      <c r="V4" s="52">
        <f>V2-V3</f>
        <v>110.04246536524</v>
      </c>
      <c r="W4" s="52">
        <f>W2-W3</f>
        <v>135.63712011513522</v>
      </c>
      <c r="X4" s="52">
        <f>X2-X3</f>
        <v>163.16241302383332</v>
      </c>
      <c r="Y4" s="52">
        <f>Y2-Y3</f>
        <v>191.43483336946312</v>
      </c>
      <c r="Z4" s="52">
        <f>Z2-Z3</f>
        <v>218.92912954872625</v>
      </c>
      <c r="AA4" s="52">
        <f>AA2-AA3</f>
        <v>243.87975267962943</v>
      </c>
      <c r="AB4" s="52">
        <f>AB2-AB3</f>
        <v>264.44152560555193</v>
      </c>
      <c r="AC4" s="52">
        <f>AC2-AC3</f>
        <v>278.89472409948206</v>
      </c>
      <c r="AD4" s="52">
        <f>AD2-AD3</f>
        <v>285.8670922019691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</v>
      </c>
      <c r="E5" s="52" t="n">
        <v>0</v>
      </c>
      <c r="F5" s="52" t="n">
        <v>0</v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26.426</v>
      </c>
      <c r="M5" s="52" t="n">
        <v>46.787</v>
      </c>
      <c r="N5" s="52" t="n">
        <v>47.826</v>
      </c>
      <c r="O5" s="52" t="n">
        <v>60.397</v>
      </c>
      <c r="P5" s="52" t="n">
        <v>84.721</v>
      </c>
      <c r="Q5" s="52" t="n">
        <v>92.812</v>
      </c>
      <c r="R5" s="52" t="n">
        <v>115.235</v>
      </c>
      <c r="S5" s="52" t="n">
        <v>169.967</v>
      </c>
      <c r="T5" s="52" t="n">
        <v>251.074</v>
      </c>
      <c r="U5" s="52">
        <f>U7*Assumptions!$B$20</f>
        <v>137.417032479771</v>
      </c>
      <c r="V5" s="52">
        <f>V7*Assumptions!$B$20</f>
        <v>160.79845209030333</v>
      </c>
      <c r="W5" s="52">
        <f>W7*Assumptions!$B$20</f>
        <v>182.59943839819906</v>
      </c>
      <c r="X5" s="52">
        <f>X7*Assumptions!$B$20</f>
        <v>200.8904577873343</v>
      </c>
      <c r="Y5" s="52">
        <f>Y7*Assumptions!$B$20</f>
        <v>213.68434687782897</v>
      </c>
      <c r="Z5" s="52">
        <f>Z7*Assumptions!$B$20</f>
        <v>219.1962230867757</v>
      </c>
      <c r="AA5" s="52">
        <f>AA7*Assumptions!$B$20</f>
        <v>216.1298950209778</v>
      </c>
      <c r="AB5" s="52">
        <f>AB7*Assumptions!$B$20</f>
        <v>203.93994896225772</v>
      </c>
      <c r="AC5" s="52">
        <f>AC7*Assumptions!$B$20</f>
        <v>183.01211242770066</v>
      </c>
      <c r="AD5" s="52">
        <f>AD7*Assumptions!$B$20</f>
        <v>154.7112702997057</v>
      </c>
    </row>
    <row r="6">
      <c r="A6" s="18" t="inlineStr">
        <is>
          <t>SG&amp;A &amp; Other</t>
        </is>
      </c>
      <c r="B6" s="52" t="n">
        <v>0.015</v>
      </c>
      <c r="C6" s="52" t="n">
        <v>0.034</v>
      </c>
      <c r="D6" s="52" t="n">
        <v>0.02</v>
      </c>
      <c r="E6" s="52" t="n">
        <v>0.021</v>
      </c>
      <c r="F6" s="52" t="n">
        <v>0.023</v>
      </c>
      <c r="G6" s="52" t="n">
        <v>0.022</v>
      </c>
      <c r="H6" s="52" t="n">
        <v>0.023</v>
      </c>
      <c r="I6" s="52" t="n">
        <v>0.024</v>
      </c>
      <c r="J6" s="52" t="n">
        <v>23.865</v>
      </c>
      <c r="K6" s="52" t="n">
        <v>28.367</v>
      </c>
      <c r="L6" s="52" t="n">
        <v>9.651</v>
      </c>
      <c r="M6" s="52" t="n">
        <v>16.096</v>
      </c>
      <c r="N6" s="52" t="n">
        <v>19.653</v>
      </c>
      <c r="O6" s="52" t="n">
        <v>31.502</v>
      </c>
      <c r="P6" s="52" t="n">
        <v>46.537</v>
      </c>
      <c r="Q6" s="52" t="n">
        <v>47.053</v>
      </c>
      <c r="R6" s="52" t="n">
        <v>50.569</v>
      </c>
      <c r="S6" s="52" t="n">
        <v>77.111</v>
      </c>
      <c r="T6" s="52" t="n">
        <v>120.039</v>
      </c>
      <c r="U6" s="52">
        <f>U7-U5</f>
        <v>65.71235773422902</v>
      </c>
      <c r="V6" s="52">
        <f>V7-V5</f>
        <v>76.89327309861511</v>
      </c>
      <c r="W6" s="52">
        <f>W7-W5</f>
        <v>87.31843063092</v>
      </c>
      <c r="X6" s="52">
        <f>X7-X5</f>
        <v>96.06513391604233</v>
      </c>
      <c r="Y6" s="52">
        <f>Y7-Y5</f>
        <v>102.18312818178518</v>
      </c>
      <c r="Z6" s="52">
        <f>Z7-Z5</f>
        <v>104.81888864533917</v>
      </c>
      <c r="AA6" s="52">
        <f>AA7-AA5</f>
        <v>103.35258098933679</v>
      </c>
      <c r="AB6" s="52">
        <f>AB7-AB5</f>
        <v>97.52339022807152</v>
      </c>
      <c r="AC6" s="52">
        <f>AC7-AC5</f>
        <v>87.51576994879699</v>
      </c>
      <c r="AD6" s="52">
        <f>AD7-AD5</f>
        <v>73.98240346186961</v>
      </c>
    </row>
    <row r="7">
      <c r="A7" s="2" t="inlineStr">
        <is>
          <t>Operating Expense</t>
        </is>
      </c>
      <c r="B7" s="52">
        <f>SUM(B5:B6)</f>
        <v>0.015</v>
      </c>
      <c r="C7" s="52">
        <f>SUM(C5:C6)</f>
        <v>0.034</v>
      </c>
      <c r="D7" s="52">
        <f>SUM(D5:D6)</f>
        <v>0.02</v>
      </c>
      <c r="E7" s="52">
        <f>SUM(E5:E6)</f>
        <v>0.021</v>
      </c>
      <c r="F7" s="52">
        <f>SUM(F5:F6)</f>
        <v>0.023</v>
      </c>
      <c r="G7" s="52">
        <f>SUM(G5:G6)</f>
        <v>0.022</v>
      </c>
      <c r="H7" s="52">
        <f>SUM(H5:H6)</f>
        <v>0.023</v>
      </c>
      <c r="I7" s="52">
        <f>SUM(I5:I6)</f>
        <v>0.024</v>
      </c>
      <c r="J7" s="52">
        <f>SUM(J5:J6)</f>
        <v>23.865</v>
      </c>
      <c r="K7" s="52">
        <f>SUM(K5:K6)</f>
        <v>28.367</v>
      </c>
      <c r="L7" s="52">
        <f>SUM(L5:L6)</f>
        <v>36.077</v>
      </c>
      <c r="M7" s="52">
        <f>SUM(M5:M6)</f>
        <v>62.882999999999996</v>
      </c>
      <c r="N7" s="52">
        <f>SUM(N5:N6)</f>
        <v>67.479</v>
      </c>
      <c r="O7" s="52">
        <f>SUM(O5:O6)</f>
        <v>91.899</v>
      </c>
      <c r="P7" s="52">
        <f>SUM(P5:P6)</f>
        <v>131.258</v>
      </c>
      <c r="Q7" s="52">
        <f>SUM(Q5:Q6)</f>
        <v>139.865</v>
      </c>
      <c r="R7" s="52">
        <f>SUM(R5:R6)</f>
        <v>165.804</v>
      </c>
      <c r="S7" s="52">
        <f>SUM(S5:S6)</f>
        <v>247.07800000000003</v>
      </c>
      <c r="T7" s="52">
        <f>SUM(T5:T6)</f>
        <v>371.113</v>
      </c>
      <c r="U7" s="52">
        <f>U4-U2*NPV!C6</f>
        <v>203.129390214</v>
      </c>
      <c r="V7" s="52">
        <f>V4-V2*NPV!D6</f>
        <v>237.69172518891844</v>
      </c>
      <c r="W7" s="52">
        <f>W4-W2*NPV!E6</f>
        <v>269.91786902911906</v>
      </c>
      <c r="X7" s="52">
        <f>X4-X2*NPV!F6</f>
        <v>296.9555917033766</v>
      </c>
      <c r="Y7" s="52">
        <f>Y4-Y2*NPV!G6</f>
        <v>315.86747505961415</v>
      </c>
      <c r="Z7" s="52">
        <f>Z4-Z2*NPV!H6</f>
        <v>324.01511173211486</v>
      </c>
      <c r="AA7" s="52">
        <f>AA4-AA2*NPV!I6</f>
        <v>319.4824760103146</v>
      </c>
      <c r="AB7" s="52">
        <f>AB4-AB2*NPV!J6</f>
        <v>301.46333919032924</v>
      </c>
      <c r="AC7" s="52">
        <f>AC4-AC2*NPV!K6</f>
        <v>270.52788237649764</v>
      </c>
      <c r="AD7" s="52">
        <f>AD4-AD2*NPV!L6</f>
        <v>228.6936737615753</v>
      </c>
    </row>
    <row r="8">
      <c r="A8" s="2" t="inlineStr">
        <is>
          <t>Operating Income</t>
        </is>
      </c>
      <c r="B8" s="52">
        <f>B4-B7</f>
        <v>-0.015</v>
      </c>
      <c r="C8" s="52">
        <f>C4-C7</f>
        <v>-0.034</v>
      </c>
      <c r="D8" s="52">
        <f>D4-D7</f>
        <v>-0.02</v>
      </c>
      <c r="E8" s="52">
        <f>E4-E7</f>
        <v>-0.021</v>
      </c>
      <c r="F8" s="52">
        <f>F4-F7</f>
        <v>-0.023</v>
      </c>
      <c r="G8" s="52">
        <f>G4-G7</f>
        <v>-0.022</v>
      </c>
      <c r="H8" s="52">
        <f>H4-H7</f>
        <v>-0.023</v>
      </c>
      <c r="I8" s="52">
        <f>I4-I7</f>
        <v>-0.024</v>
      </c>
      <c r="J8" s="52">
        <f>J4-J7</f>
        <v>-23.865</v>
      </c>
      <c r="K8" s="52">
        <f>K4-K7</f>
        <v>-28.367</v>
      </c>
      <c r="L8" s="52">
        <f>L4-L7</f>
        <v>-36.077</v>
      </c>
      <c r="M8" s="52">
        <f>M4-M7</f>
        <v>-62.882999999999996</v>
      </c>
      <c r="N8" s="52">
        <f>N4-N7</f>
        <v>-67.479</v>
      </c>
      <c r="O8" s="52">
        <f>O4-O7</f>
        <v>-91.899</v>
      </c>
      <c r="P8" s="52">
        <f>P4-P7</f>
        <v>-131.258</v>
      </c>
      <c r="Q8" s="52">
        <f>Q4-Q7</f>
        <v>-139.865</v>
      </c>
      <c r="R8" s="52">
        <f>R4-R7</f>
        <v>-165.804</v>
      </c>
      <c r="S8" s="52">
        <f>S4-S7</f>
        <v>-193.19500000000002</v>
      </c>
      <c r="T8" s="52">
        <f>T4-T7</f>
        <v>-303.631</v>
      </c>
      <c r="U8" s="52">
        <f>U4-U7</f>
        <v>-115.94939441400001</v>
      </c>
      <c r="V8" s="52">
        <f>V4-V7</f>
        <v>-127.64925982367843</v>
      </c>
      <c r="W8" s="52">
        <f>W4-W7</f>
        <v>-134.28074891398384</v>
      </c>
      <c r="X8" s="52">
        <f>X4-X7</f>
        <v>-133.7931786795433</v>
      </c>
      <c r="Y8" s="52">
        <f>Y4-Y7</f>
        <v>-124.43264169015103</v>
      </c>
      <c r="Z8" s="52">
        <f>Z4-Z7</f>
        <v>-105.08598218338861</v>
      </c>
      <c r="AA8" s="52">
        <f>AA4-AA7</f>
        <v>-75.60272333068517</v>
      </c>
      <c r="AB8" s="52">
        <f>AB4-AB7</f>
        <v>-37.021813584777306</v>
      </c>
      <c r="AC8" s="52">
        <f>AC4-AC7</f>
        <v>8.366841722984418</v>
      </c>
      <c r="AD8" s="52">
        <f>AD4-AD7</f>
        <v>57.17341844039382</v>
      </c>
    </row>
    <row r="9">
      <c r="A9" s="18" t="inlineStr">
        <is>
          <t>Interest &amp; Other</t>
        </is>
      </c>
      <c r="B9" s="52" t="n">
        <v>0</v>
      </c>
      <c r="C9" s="52" t="n">
        <v>0</v>
      </c>
      <c r="D9" s="52" t="n">
        <v>0</v>
      </c>
      <c r="E9" s="52" t="n">
        <v>-0.002</v>
      </c>
      <c r="F9" s="52" t="n">
        <v>-0.004</v>
      </c>
      <c r="G9" s="52" t="n">
        <v>-0.005</v>
      </c>
      <c r="H9" s="52" t="n">
        <v>-0.006</v>
      </c>
      <c r="I9" s="52" t="n">
        <v>-0.007</v>
      </c>
      <c r="J9" s="52" t="n">
        <v>1.24</v>
      </c>
      <c r="K9" s="52" t="n">
        <v>0.8070000000000001</v>
      </c>
      <c r="L9" s="52" t="n">
        <v>0.643</v>
      </c>
      <c r="M9" s="52" t="n">
        <v>2.436</v>
      </c>
      <c r="N9" s="52" t="n">
        <v>4.339</v>
      </c>
      <c r="O9" s="52" t="n">
        <v>2.274</v>
      </c>
      <c r="P9" s="52" t="n">
        <v>0.792</v>
      </c>
      <c r="Q9" s="52" t="n">
        <v>4.025</v>
      </c>
      <c r="R9" s="52" t="n">
        <v>13.173</v>
      </c>
      <c r="S9" s="52" t="n">
        <v>21.23</v>
      </c>
      <c r="T9" s="52" t="n">
        <v>25.262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  <c r="AD9" s="52" t="n">
        <v>0</v>
      </c>
    </row>
    <row r="10">
      <c r="A10" s="2" t="inlineStr">
        <is>
          <t>Pretax</t>
        </is>
      </c>
      <c r="B10" s="52">
        <f>B8+B9</f>
        <v>-0.015</v>
      </c>
      <c r="C10" s="52">
        <f>C8+C9</f>
        <v>-0.034</v>
      </c>
      <c r="D10" s="52">
        <f>D8+D9</f>
        <v>-0.02</v>
      </c>
      <c r="E10" s="52">
        <f>E8+E9</f>
        <v>-0.023</v>
      </c>
      <c r="F10" s="52">
        <f>F8+F9</f>
        <v>-0.027</v>
      </c>
      <c r="G10" s="52">
        <f>G8+G9</f>
        <v>-0.027</v>
      </c>
      <c r="H10" s="52">
        <f>H8+H9</f>
        <v>-0.028999999999999998</v>
      </c>
      <c r="I10" s="52">
        <f>I8+I9</f>
        <v>-0.031</v>
      </c>
      <c r="J10" s="52">
        <f>J8+J9</f>
        <v>-22.625</v>
      </c>
      <c r="K10" s="52">
        <f>K8+K9</f>
        <v>-27.560000000000002</v>
      </c>
      <c r="L10" s="52">
        <f>L8+L9</f>
        <v>-35.434</v>
      </c>
      <c r="M10" s="52">
        <f>M8+M9</f>
        <v>-60.446999999999996</v>
      </c>
      <c r="N10" s="52">
        <f>N8+N9</f>
        <v>-63.14</v>
      </c>
      <c r="O10" s="52">
        <f>O8+O9</f>
        <v>-89.625</v>
      </c>
      <c r="P10" s="52">
        <f>P8+P9</f>
        <v>-130.466</v>
      </c>
      <c r="Q10" s="52">
        <f>Q8+Q9</f>
        <v>-135.84</v>
      </c>
      <c r="R10" s="52">
        <f>R8+R9</f>
        <v>-152.631</v>
      </c>
      <c r="S10" s="52">
        <f>S8+S9</f>
        <v>-171.96500000000003</v>
      </c>
      <c r="T10" s="52">
        <f>T8+T9</f>
        <v>-278.36899999999997</v>
      </c>
      <c r="U10" s="52">
        <f>U8+U9</f>
        <v>-115.94939441400001</v>
      </c>
      <c r="V10" s="52">
        <f>V8+V9</f>
        <v>-127.64925982367843</v>
      </c>
      <c r="W10" s="52">
        <f>W8+W9</f>
        <v>-134.28074891398384</v>
      </c>
      <c r="X10" s="52">
        <f>X8+X9</f>
        <v>-133.7931786795433</v>
      </c>
      <c r="Y10" s="52">
        <f>Y8+Y9</f>
        <v>-124.43264169015103</v>
      </c>
      <c r="Z10" s="52">
        <f>Z8+Z9</f>
        <v>-105.08598218338861</v>
      </c>
      <c r="AA10" s="52">
        <f>AA8+AA9</f>
        <v>-75.60272333068517</v>
      </c>
      <c r="AB10" s="52">
        <f>AB8+AB9</f>
        <v>-37.021813584777306</v>
      </c>
      <c r="AC10" s="52">
        <f>AC8+AC9</f>
        <v>8.366841722984418</v>
      </c>
      <c r="AD10" s="52">
        <f>AD8+AD9</f>
        <v>57.17341844039382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2.018</v>
      </c>
      <c r="T11" s="52" t="n">
        <v>0.297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0.0</v>
      </c>
      <c r="Y11" s="52">
        <f>MAX(0,Y10)*Assumptions!$E$14</f>
        <v>0.0</v>
      </c>
      <c r="Z11" s="52">
        <f>MAX(0,Z10)*Assumptions!$E$14</f>
        <v>0.0</v>
      </c>
      <c r="AA11" s="52">
        <f>MAX(0,AA10)*Assumptions!$E$14</f>
        <v>0.0</v>
      </c>
      <c r="AB11" s="52">
        <f>MAX(0,AB10)*Assumptions!$E$14</f>
        <v>0.0</v>
      </c>
      <c r="AC11" s="52">
        <f>MAX(0,AC10)*Assumptions!$E$14</f>
        <v>1.4223630929073512</v>
      </c>
      <c r="AD11" s="52">
        <f>MAX(0,AD10)*Assumptions!$E$14</f>
        <v>9.71948113486695</v>
      </c>
    </row>
    <row r="12">
      <c r="A12" s="2" t="inlineStr">
        <is>
          <t>Net Income</t>
        </is>
      </c>
      <c r="B12" s="52" t="n">
        <v>-0.015</v>
      </c>
      <c r="C12" s="52" t="n">
        <v>-0.034</v>
      </c>
      <c r="D12" s="52" t="n">
        <v>-0.02</v>
      </c>
      <c r="E12" s="52" t="n">
        <v>-0.022</v>
      </c>
      <c r="F12" s="52" t="n">
        <v>-0.027</v>
      </c>
      <c r="G12" s="52" t="n">
        <v>-0.027</v>
      </c>
      <c r="H12" s="52" t="n">
        <v>-0.029</v>
      </c>
      <c r="I12" s="52" t="n">
        <v>-0.031</v>
      </c>
      <c r="J12" s="52" t="n">
        <v>-22.625</v>
      </c>
      <c r="K12" s="52" t="n">
        <v>-27.56</v>
      </c>
      <c r="L12" s="52" t="n">
        <v>-35.434</v>
      </c>
      <c r="M12" s="52" t="n">
        <v>-60.447</v>
      </c>
      <c r="N12" s="52" t="n">
        <v>-63.14</v>
      </c>
      <c r="O12" s="52" t="n">
        <v>-89.625</v>
      </c>
      <c r="P12" s="52" t="n">
        <v>-130.466</v>
      </c>
      <c r="Q12" s="52" t="n">
        <v>-135.84</v>
      </c>
      <c r="R12" s="52" t="n">
        <v>-152.631</v>
      </c>
      <c r="S12" s="52" t="n">
        <v>-173.983</v>
      </c>
      <c r="T12" s="52" t="n">
        <v>-278.666</v>
      </c>
      <c r="U12" s="52">
        <f>U10-U11</f>
        <v>-115.94939441400001</v>
      </c>
      <c r="V12" s="52">
        <f>V10-V11</f>
        <v>-127.64925982367843</v>
      </c>
      <c r="W12" s="52">
        <f>W10-W11</f>
        <v>-134.28074891398384</v>
      </c>
      <c r="X12" s="52">
        <f>X10-X11</f>
        <v>-133.7931786795433</v>
      </c>
      <c r="Y12" s="52">
        <f>Y10-Y11</f>
        <v>-124.43264169015103</v>
      </c>
      <c r="Z12" s="52">
        <f>Z10-Z11</f>
        <v>-105.08598218338861</v>
      </c>
      <c r="AA12" s="52">
        <f>AA10-AA11</f>
        <v>-75.60272333068517</v>
      </c>
      <c r="AB12" s="52">
        <f>AB10-AB11</f>
        <v>-37.021813584777306</v>
      </c>
      <c r="AC12" s="52">
        <f>AC10-AC11</f>
        <v>6.944478630077067</v>
      </c>
      <c r="AD12" s="52">
        <f>AD10-AD11</f>
        <v>47.453937305526864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-0.0027</v>
      </c>
      <c r="G13" s="11">
        <f>IFERROR(G12/G14,0)</f>
        <v>-0.0027</v>
      </c>
      <c r="H13" s="11">
        <f>IFERROR(H12/H14,0)</f>
        <v>-0.0029000000000000002</v>
      </c>
      <c r="I13" s="11">
        <f>IFERROR(I12/I14,0)</f>
        <v>-0.0031</v>
      </c>
      <c r="J13" s="11">
        <f>IFERROR(J12/J14,0)</f>
        <v>-2.2777609986912313</v>
      </c>
      <c r="K13" s="11">
        <f>IFERROR(K12/K14,0)</f>
        <v>-1.4737179829955616</v>
      </c>
      <c r="L13" s="11">
        <f>IFERROR(L12/L14,0)</f>
        <v>-1.5248956405732237</v>
      </c>
      <c r="M13" s="11">
        <f>IFERROR(M12/M14,0)</f>
        <v>-1.7176834986218066</v>
      </c>
      <c r="N13" s="11">
        <f>IFERROR(N12/N14,0)</f>
        <v>-1.5052686787774758</v>
      </c>
      <c r="O13" s="11">
        <f>IFERROR(O12/O14,0)</f>
        <v>-1.6885845092978127</v>
      </c>
      <c r="P13" s="11">
        <f>IFERROR(P12/P14,0)</f>
        <v>-1.96627079816735</v>
      </c>
      <c r="Q13" s="11">
        <f>IFERROR(Q12/Q14,0)</f>
        <v>-2.0277653381101657</v>
      </c>
      <c r="R13" s="11">
        <f>IFERROR(R12/R14,0)</f>
        <v>-2.0842972046593564</v>
      </c>
      <c r="S13" s="11">
        <f>IFERROR(S12/S14,0)</f>
        <v>-2.019277863534546</v>
      </c>
      <c r="T13" s="11">
        <f>IFERROR(T12/T14,0)</f>
        <v>-3.1783612391076232</v>
      </c>
      <c r="U13" s="11">
        <f>IFERROR(U12/U14,0)</f>
        <v>-1.303378907626531</v>
      </c>
      <c r="V13" s="11">
        <f>IFERROR(V12/V14,0)</f>
        <v>-1.4348962637465286</v>
      </c>
      <c r="W13" s="11">
        <f>IFERROR(W12/W14,0)</f>
        <v>-1.509440361627698</v>
      </c>
      <c r="X13" s="11">
        <f>IFERROR(X12/X14,0)</f>
        <v>-1.5039596192506632</v>
      </c>
      <c r="Y13" s="11">
        <f>IFERROR(Y12/Y14,0)</f>
        <v>-1.398738487758848</v>
      </c>
      <c r="Z13" s="11">
        <f>IFERROR(Z12/Z14,0)</f>
        <v>-1.1812640622856796</v>
      </c>
      <c r="AA13" s="11">
        <f>IFERROR(AA12/AA14,0)</f>
        <v>-0.8498448434883886</v>
      </c>
      <c r="AB13" s="11">
        <f>IFERROR(AB12/AB14,0)</f>
        <v>-0.41615957713578083</v>
      </c>
      <c r="AC13" s="11">
        <f>IFERROR(AC12/AC14,0)</f>
        <v>0.07806239106853638</v>
      </c>
      <c r="AD13" s="11">
        <f>IFERROR(AD12/AD14,0)</f>
        <v>0.5334263389683346</v>
      </c>
    </row>
    <row r="14">
      <c r="A14" s="2" t="inlineStr">
        <is>
          <t>Shares</t>
        </is>
      </c>
      <c r="B14" s="52" t="n"/>
      <c r="C14" s="52" t="n"/>
      <c r="D14" s="52" t="n"/>
      <c r="E14" s="52" t="n"/>
      <c r="F14" s="52" t="n">
        <v>10</v>
      </c>
      <c r="G14" s="52" t="n">
        <v>10</v>
      </c>
      <c r="H14" s="52" t="n">
        <v>10</v>
      </c>
      <c r="I14" s="52" t="n">
        <v>10</v>
      </c>
      <c r="J14" s="52" t="n">
        <v>9.933</v>
      </c>
      <c r="K14" s="52" t="n">
        <v>18.701</v>
      </c>
      <c r="L14" s="52" t="n">
        <v>23.237</v>
      </c>
      <c r="M14" s="52" t="n">
        <v>35.191</v>
      </c>
      <c r="N14" s="52" t="n">
        <v>41.946</v>
      </c>
      <c r="O14" s="52" t="n">
        <v>53.077</v>
      </c>
      <c r="P14" s="52" t="n">
        <v>66.352</v>
      </c>
      <c r="Q14" s="52" t="n">
        <v>66.98999999999999</v>
      </c>
      <c r="R14" s="52" t="n">
        <v>73.229</v>
      </c>
      <c r="S14" s="52" t="n">
        <v>86.161</v>
      </c>
      <c r="T14" s="52" t="n">
        <v>87.676</v>
      </c>
      <c r="U14" s="52">
        <f>Main!$C$4</f>
        <v>88.960619</v>
      </c>
      <c r="V14" s="52">
        <f>Main!$C$4</f>
        <v>88.960619</v>
      </c>
      <c r="W14" s="52">
        <f>Main!$C$4</f>
        <v>88.960619</v>
      </c>
      <c r="X14" s="52">
        <f>Main!$C$4</f>
        <v>88.960619</v>
      </c>
      <c r="Y14" s="52">
        <f>Main!$C$4</f>
        <v>88.960619</v>
      </c>
      <c r="Z14" s="52">
        <f>Main!$C$4</f>
        <v>88.960619</v>
      </c>
      <c r="AA14" s="52">
        <f>Main!$C$4</f>
        <v>88.960619</v>
      </c>
      <c r="AB14" s="52">
        <f>Main!$C$4</f>
        <v>88.960619</v>
      </c>
      <c r="AC14" s="52">
        <f>Main!$C$4</f>
        <v>88.960619</v>
      </c>
      <c r="AD14" s="52">
        <f>Main!$C$4</f>
        <v>88.960619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>0.252380157006848</v>
      </c>
      <c r="U16" s="15">
        <f>IFERROR(U2/T2-1,"")</f>
        <v>0.29190000000000005</v>
      </c>
      <c r="V16" s="15">
        <f>IFERROR(V2/U2-1,"")</f>
        <v>0.2622444444444445</v>
      </c>
      <c r="W16" s="15">
        <f>IFERROR(W2/V2-1,"")</f>
        <v>0.23258888888888896</v>
      </c>
      <c r="X16" s="15">
        <f>IFERROR(X2/W2-1,"")</f>
        <v>0.2029333333333334</v>
      </c>
      <c r="Y16" s="15">
        <f>IFERROR(Y2/X2-1,"")</f>
        <v>0.17327777777777786</v>
      </c>
      <c r="Z16" s="15">
        <f>IFERROR(Z2/Y2-1,"")</f>
        <v>0.14362222222222232</v>
      </c>
      <c r="AA16" s="15">
        <f>IFERROR(AA2/Z2-1,"")</f>
        <v>0.11396666666666677</v>
      </c>
      <c r="AB16" s="15">
        <f>IFERROR(AB2/AA2-1,"")</f>
        <v>0.084311111111111</v>
      </c>
      <c r="AC16" s="15">
        <f>IFERROR(AC2/AB2-1,"")</f>
        <v>0.05465555555555568</v>
      </c>
      <c r="AD16" s="15">
        <f>IFERROR(AD2/AC2-1,"")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  <c r="Z17" s="15">
        <f>IFERROR(Z4/Z2,"")</f>
        <v>1.0</v>
      </c>
      <c r="AA17" s="15">
        <f>IFERROR(AA4/AA2,"")</f>
        <v>1.0</v>
      </c>
      <c r="AB17" s="15">
        <f>IFERROR(AB4/AB2,"")</f>
        <v>1.0</v>
      </c>
      <c r="AC17" s="15">
        <f>IFERROR(AC4/AC2,"")</f>
        <v>1.0</v>
      </c>
      <c r="AD17" s="15">
        <f>IFERROR(AD4/AD2,"")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>-3.5854536681328066</v>
      </c>
      <c r="T18" s="15">
        <f>IFERROR(T8/T2,"")</f>
        <v>-4.499436886873537</v>
      </c>
      <c r="U18" s="15">
        <f>IFERROR(U8/U2,"")</f>
        <v>-1.33</v>
      </c>
      <c r="V18" s="15">
        <f>IFERROR(V8/V2,"")</f>
        <v>-1.1600000000000004</v>
      </c>
      <c r="W18" s="15">
        <f>IFERROR(W8/W2,"")</f>
        <v>-0.9899999999999999</v>
      </c>
      <c r="X18" s="15">
        <f>IFERROR(X8/X2,"")</f>
        <v>-0.8199999999999998</v>
      </c>
      <c r="Y18" s="15">
        <f>IFERROR(Y8/Y2,"")</f>
        <v>-0.65</v>
      </c>
      <c r="Z18" s="15">
        <f>IFERROR(Z8/Z2,"")</f>
        <v>-0.48000000000000004</v>
      </c>
      <c r="AA18" s="15">
        <f>IFERROR(AA8/AA2,"")</f>
        <v>-0.31000000000000016</v>
      </c>
      <c r="AB18" s="15">
        <f>IFERROR(AB8/AB2,"")</f>
        <v>-0.14000000000000012</v>
      </c>
      <c r="AC18" s="15">
        <f>IFERROR(AC8/AC2,"")</f>
        <v>0.029999999999999843</v>
      </c>
      <c r="AD18" s="15">
        <f>IFERROR(AD8/AD2,"")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Kura Oncology,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0.2419</v>
      </c>
      <c r="C12" s="53" t="n">
        <v>0.2919</v>
      </c>
      <c r="D12" s="53" t="n">
        <v>0.3419</v>
      </c>
      <c r="E12" s="54">
        <f>CHOOSE($B$4,B12,C12,D12)</f>
        <v>0.2919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0.6765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Model'!T2</f>
        <v>67.482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-420.38688394420194</v>
      </c>
      <c r="C29" s="56">
        <f>NPV!B26</f>
        <v>88.84811605579804</v>
      </c>
      <c r="D29" s="35">
        <f>NPV!B28</f>
        <v>0.9987353623944326</v>
      </c>
      <c r="E29" s="57">
        <f>NPV!B30</f>
        <v>-0.8999263163933434</v>
      </c>
    </row>
    <row r="30">
      <c r="A30" s="58" t="n">
        <v>1</v>
      </c>
      <c r="B30" s="59">
        <f t="dataTable" ref="B30:E32" r1="B4"/>
        <v>-442.8566686789907</v>
      </c>
      <c r="C30" s="59">
        <v>66.37833132100931</v>
      </c>
      <c r="D30" s="39">
        <v>0.7461541080442495</v>
      </c>
      <c r="E30" s="60">
        <v>-0.9252350593142035</v>
      </c>
    </row>
    <row r="31">
      <c r="A31" s="58" t="n">
        <v>2</v>
      </c>
      <c r="B31" s="59">
        <v>-420.38688394420194</v>
      </c>
      <c r="C31" s="59">
        <v>88.84811605579804</v>
      </c>
      <c r="D31" s="39">
        <v>0.9987353623944326</v>
      </c>
      <c r="E31" s="60">
        <v>-0.8999263163933434</v>
      </c>
    </row>
    <row r="32">
      <c r="A32" s="58" t="n">
        <v>3</v>
      </c>
      <c r="B32" s="59">
        <v>-322.2544875035678</v>
      </c>
      <c r="C32" s="59">
        <v>186.98051249643217</v>
      </c>
      <c r="D32" s="39">
        <v>2.1018346612047765</v>
      </c>
      <c r="E32" s="60">
        <v>-0.7893953245285795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0.9987353623944326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1.1921131246381982</v>
      </c>
      <c r="C37" s="39">
        <v>1.3415451951460222</v>
      </c>
      <c r="D37" s="39">
        <v>1.513520029474235</v>
      </c>
      <c r="E37" s="39">
        <v>1.712589239278924</v>
      </c>
      <c r="F37" s="39">
        <v>1.9446053633647646</v>
      </c>
    </row>
    <row r="38">
      <c r="A38" s="62" t="n">
        <v>0.115</v>
      </c>
      <c r="B38" s="39">
        <v>0.972332548210217</v>
      </c>
      <c r="C38" s="39">
        <v>1.0809492744289841</v>
      </c>
      <c r="D38" s="39">
        <v>1.204887708643113</v>
      </c>
      <c r="E38" s="39">
        <v>1.346887371397807</v>
      </c>
      <c r="F38" s="39">
        <v>1.5103730455020379</v>
      </c>
    </row>
    <row r="39">
      <c r="A39" s="62" t="n">
        <v>0.125</v>
      </c>
      <c r="B39" s="39">
        <v>0.8281708349142439</v>
      </c>
      <c r="C39" s="39">
        <v>0.9080703107708757</v>
      </c>
      <c r="D39" s="39">
        <v>0.9987353623944326</v>
      </c>
      <c r="E39" s="39">
        <v>1.101895836618101</v>
      </c>
      <c r="F39" s="39">
        <v>1.2196663087634931</v>
      </c>
    </row>
    <row r="40">
      <c r="A40" s="62" t="n">
        <v>0.135</v>
      </c>
      <c r="B40" s="39">
        <v>0.7382835275596682</v>
      </c>
      <c r="C40" s="39">
        <v>0.7974312507773671</v>
      </c>
      <c r="D40" s="39">
        <v>0.8643500775934785</v>
      </c>
      <c r="E40" s="39">
        <v>0.9401757165265111</v>
      </c>
      <c r="F40" s="39">
        <v>1.0262712860573713</v>
      </c>
    </row>
    <row r="41">
      <c r="A41" s="62" t="n">
        <v>0.145</v>
      </c>
      <c r="B41" s="39">
        <v>0.6880859292700022</v>
      </c>
      <c r="C41" s="39">
        <v>0.7319114343956731</v>
      </c>
      <c r="D41" s="39">
        <v>0.7814728376738205</v>
      </c>
      <c r="E41" s="39">
        <v>0.8375402621456386</v>
      </c>
      <c r="F41" s="39">
        <v>0.9010240818995785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Kura Oncology, Inc.: free-cash-flow DCF ($mm)</t>
        </is>
      </c>
    </row>
    <row r="3">
      <c r="A3" s="20" t="inlineStr">
        <is>
          <t>Fiscal year</t>
        </is>
      </c>
      <c r="B3" s="43">
        <f>'Yearly Model'!T1</f>
        <v>2025</v>
      </c>
      <c r="C3" s="43">
        <f>'Yearly Model'!U1</f>
        <v>2026</v>
      </c>
      <c r="D3" s="43">
        <f>'Yearly Model'!V1</f>
        <v>2027</v>
      </c>
      <c r="E3" s="43">
        <f>'Yearly Model'!W1</f>
        <v>2028</v>
      </c>
      <c r="F3" s="43">
        <f>'Yearly Model'!X1</f>
        <v>2029</v>
      </c>
      <c r="G3" s="43">
        <f>'Yearly Model'!Y1</f>
        <v>2030</v>
      </c>
      <c r="H3" s="43">
        <f>'Yearly Model'!Z1</f>
        <v>2031</v>
      </c>
      <c r="I3" s="43">
        <f>'Yearly Model'!AA1</f>
        <v>2032</v>
      </c>
      <c r="J3" s="43">
        <f>'Yearly Model'!AB1</f>
        <v>2033</v>
      </c>
      <c r="K3" s="43">
        <f>'Yearly Model'!AC1</f>
        <v>2034</v>
      </c>
      <c r="L3" s="43">
        <f>'Yearly Model'!AD1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0.2919</v>
      </c>
      <c r="D5" s="63">
        <f>Assumptions!$E$12+(Assumptions!$E$11-Assumptions!$E$12)*(D4-1)/(Assumptions!$B$21-1)</f>
        <v>0.26224444444444445</v>
      </c>
      <c r="E5" s="63">
        <f>Assumptions!$E$12+(Assumptions!$E$11-Assumptions!$E$12)*(E4-1)/(Assumptions!$B$21-1)</f>
        <v>0.2325888888888889</v>
      </c>
      <c r="F5" s="63">
        <f>Assumptions!$E$12+(Assumptions!$E$11-Assumptions!$E$12)*(F4-1)/(Assumptions!$B$21-1)</f>
        <v>0.20293333333333333</v>
      </c>
      <c r="G5" s="63">
        <f>Assumptions!$E$12+(Assumptions!$E$11-Assumptions!$E$12)*(G4-1)/(Assumptions!$B$21-1)</f>
        <v>0.17327777777777778</v>
      </c>
      <c r="H5" s="63">
        <f>Assumptions!$E$12+(Assumptions!$E$11-Assumptions!$E$12)*(H4-1)/(Assumptions!$B$21-1)</f>
        <v>0.14362222222222223</v>
      </c>
      <c r="I5" s="63">
        <f>Assumptions!$E$12+(Assumptions!$E$11-Assumptions!$E$12)*(I4-1)/(Assumptions!$B$21-1)</f>
        <v>0.11396666666666666</v>
      </c>
      <c r="J5" s="63">
        <f>Assumptions!$E$12+(Assumptions!$E$11-Assumptions!$E$12)*(J4-1)/(Assumptions!$B$21-1)</f>
        <v>0.08431111111111111</v>
      </c>
      <c r="K5" s="63">
        <f>Assumptions!$E$12+(Assumptions!$E$11-Assumptions!$E$12)*(K4-1)/(Assumptions!$B$21-1)</f>
        <v>0.05465555555555557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-4.499436886873537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Model'!T2</f>
        <v>67.482</v>
      </c>
      <c r="C7" s="55">
        <f>'Yearly Model'!U2</f>
        <v>87.1799958</v>
      </c>
      <c r="D7" s="55">
        <f>'Yearly Model'!V2</f>
        <v>110.04246536524</v>
      </c>
      <c r="E7" s="55">
        <f>'Yearly Model'!W2</f>
        <v>135.63712011513522</v>
      </c>
      <c r="F7" s="55">
        <f>'Yearly Model'!X2</f>
        <v>163.16241302383332</v>
      </c>
      <c r="G7" s="55">
        <f>'Yearly Model'!Y2</f>
        <v>191.43483336946312</v>
      </c>
      <c r="H7" s="55">
        <f>'Yearly Model'!Z2</f>
        <v>218.92912954872625</v>
      </c>
      <c r="I7" s="55">
        <f>'Yearly Model'!AA2</f>
        <v>243.87975267962943</v>
      </c>
      <c r="J7" s="55">
        <f>'Yearly Model'!AB2</f>
        <v>264.44152560555193</v>
      </c>
      <c r="K7" s="55">
        <f>'Yearly Model'!AC2</f>
        <v>278.89472409948206</v>
      </c>
      <c r="L7" s="55">
        <f>'Yearly Model'!AD2</f>
        <v>285.8670922019691</v>
      </c>
    </row>
    <row r="8">
      <c r="A8" s="14" t="inlineStr">
        <is>
          <t>Operating income</t>
        </is>
      </c>
      <c r="B8" s="55">
        <f>'Yearly Model'!T8</f>
        <v>-303.631</v>
      </c>
      <c r="C8" s="55">
        <f>'Yearly Model'!U8</f>
        <v>-115.94939441400001</v>
      </c>
      <c r="D8" s="55">
        <f>'Yearly Model'!V8</f>
        <v>-127.64925982367843</v>
      </c>
      <c r="E8" s="55">
        <f>'Yearly Model'!W8</f>
        <v>-134.28074891398384</v>
      </c>
      <c r="F8" s="55">
        <f>'Yearly Model'!X8</f>
        <v>-133.7931786795433</v>
      </c>
      <c r="G8" s="55">
        <f>'Yearly Model'!Y8</f>
        <v>-124.43264169015103</v>
      </c>
      <c r="H8" s="55">
        <f>'Yearly Model'!Z8</f>
        <v>-105.08598218338861</v>
      </c>
      <c r="I8" s="55">
        <f>'Yearly Model'!AA8</f>
        <v>-75.60272333068517</v>
      </c>
      <c r="J8" s="55">
        <f>'Yearly Model'!AB8</f>
        <v>-37.021813584777306</v>
      </c>
      <c r="K8" s="55">
        <f>'Yearly Model'!AC8</f>
        <v>8.366841722984418</v>
      </c>
      <c r="L8" s="55">
        <f>'Yearly Model'!AD8</f>
        <v>57.17341844039382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1.4223630929073512</v>
      </c>
      <c r="L9" s="52">
        <f>MAX(0,L8)*Assumptions!$E$14</f>
        <v>9.71948113486695</v>
      </c>
    </row>
    <row r="10">
      <c r="A10" s="14" t="inlineStr">
        <is>
          <t>NOPAT</t>
        </is>
      </c>
      <c r="C10" s="52">
        <f>C8-C9</f>
        <v>-115.94939441400001</v>
      </c>
      <c r="D10" s="52">
        <f>D8-D9</f>
        <v>-127.64925982367843</v>
      </c>
      <c r="E10" s="52">
        <f>E8-E9</f>
        <v>-134.28074891398384</v>
      </c>
      <c r="F10" s="52">
        <f>F8-F9</f>
        <v>-133.7931786795433</v>
      </c>
      <c r="G10" s="52">
        <f>G8-G9</f>
        <v>-124.43264169015103</v>
      </c>
      <c r="H10" s="52">
        <f>H8-H9</f>
        <v>-105.08598218338861</v>
      </c>
      <c r="I10" s="52">
        <f>I8-I9</f>
        <v>-75.60272333068517</v>
      </c>
      <c r="J10" s="52">
        <f>J8-J9</f>
        <v>-37.021813584777306</v>
      </c>
      <c r="K10" s="52">
        <f>K8-K9</f>
        <v>6.944478630077067</v>
      </c>
      <c r="L10" s="52">
        <f>L8-L9</f>
        <v>47.453937305526864</v>
      </c>
    </row>
    <row r="11">
      <c r="A11" s="14" t="inlineStr">
        <is>
          <t>Reinvestment</t>
        </is>
      </c>
      <c r="C11" s="52">
        <f>(C7-B7)*Assumptions!$E$15</f>
        <v>4.92449895</v>
      </c>
      <c r="D11" s="52">
        <f>(D7-C7)*Assumptions!$E$15</f>
        <v>5.715617391310001</v>
      </c>
      <c r="E11" s="52">
        <f>(E7-D7)*Assumptions!$E$15</f>
        <v>6.398663687473803</v>
      </c>
      <c r="F11" s="52">
        <f>(F7-E7)*Assumptions!$E$15</f>
        <v>6.881323227174526</v>
      </c>
      <c r="G11" s="52">
        <f>(G7-F7)*Assumptions!$E$15</f>
        <v>7.068105086407449</v>
      </c>
      <c r="H11" s="52">
        <f>(H7-G7)*Assumptions!$E$15</f>
        <v>6.873574044815783</v>
      </c>
      <c r="I11" s="52">
        <f>(I7-H7)*Assumptions!$E$15</f>
        <v>6.2376557827257955</v>
      </c>
      <c r="J11" s="52">
        <f>(J7-I7)*Assumptions!$E$15</f>
        <v>5.140443231480624</v>
      </c>
      <c r="K11" s="52">
        <f>(K7-J7)*Assumptions!$E$15</f>
        <v>3.6132996234825328</v>
      </c>
      <c r="L11" s="52">
        <f>(L7-K7)*Assumptions!$E$15</f>
        <v>1.7430920256217632</v>
      </c>
    </row>
    <row r="12">
      <c r="A12" s="20" t="inlineStr">
        <is>
          <t>Free cash flow</t>
        </is>
      </c>
      <c r="C12" s="64">
        <f>C10-C11</f>
        <v>-120.87389336400001</v>
      </c>
      <c r="D12" s="64">
        <f>D10-D11</f>
        <v>-133.36487721498844</v>
      </c>
      <c r="E12" s="64">
        <f>E10-E11</f>
        <v>-140.67941260145764</v>
      </c>
      <c r="F12" s="64">
        <f>F10-F11</f>
        <v>-140.67450190671784</v>
      </c>
      <c r="G12" s="64">
        <f>G10-G11</f>
        <v>-131.5007467765585</v>
      </c>
      <c r="H12" s="64">
        <f>H10-H11</f>
        <v>-111.95955622820439</v>
      </c>
      <c r="I12" s="64">
        <f>I10-I11</f>
        <v>-81.84037911341096</v>
      </c>
      <c r="J12" s="64">
        <f>J10-J11</f>
        <v>-42.16225681625793</v>
      </c>
      <c r="K12" s="64">
        <f>K10-K11</f>
        <v>3.3311790065945344</v>
      </c>
      <c r="L12" s="64">
        <f>L10-L11</f>
        <v>45.7108452799051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-59.15019969466953</v>
      </c>
      <c r="D16" s="64">
        <f>D12*D13*D15</f>
        <v>-118.48932397389758</v>
      </c>
      <c r="E16" s="64">
        <f>E12*E13*E15</f>
        <v>-111.10043926463486</v>
      </c>
      <c r="F16" s="64">
        <f>F12*F13*F15</f>
        <v>-98.75249874026544</v>
      </c>
      <c r="G16" s="64">
        <f>G12*G13*G15</f>
        <v>-82.05563373844979</v>
      </c>
      <c r="H16" s="64">
        <f>H12*H13*H15</f>
        <v>-62.09960400869473</v>
      </c>
      <c r="I16" s="64">
        <f>I12*I13*I15</f>
        <v>-40.349928778489634</v>
      </c>
      <c r="J16" s="64">
        <f>J12*J13*J15</f>
        <v>-18.47763852412033</v>
      </c>
      <c r="K16" s="64">
        <f>K12*K13*K15</f>
        <v>1.297681358550622</v>
      </c>
      <c r="L16" s="64">
        <f>L12*L13*L15</f>
        <v>15.828393006639136</v>
      </c>
    </row>
    <row r="19">
      <c r="A19" s="14" t="inlineStr">
        <is>
          <t>PV of forecast free cash flow</t>
        </is>
      </c>
      <c r="B19" s="52">
        <f>SUM(C16:L16)</f>
        <v>-573.3491923580322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46.85361641190273</v>
      </c>
    </row>
    <row r="21">
      <c r="A21" s="14" t="inlineStr">
        <is>
          <t>Terminal value</t>
        </is>
      </c>
      <c r="B21" s="52">
        <f>B20/(Assumptions!$E$10-Assumptions!$E$11)</f>
        <v>468.53616411902726</v>
      </c>
    </row>
    <row r="22">
      <c r="A22" s="14" t="inlineStr">
        <is>
          <t>PV of terminal value</t>
        </is>
      </c>
      <c r="B22" s="52">
        <f>B21/(1+Assumptions!$E$10)^(L14+0.5)</f>
        <v>152.9623084138302</v>
      </c>
    </row>
    <row r="23">
      <c r="A23" s="20" t="inlineStr">
        <is>
          <t>Enterprise value</t>
        </is>
      </c>
      <c r="B23" s="66">
        <f>B19+B22</f>
        <v>-420.38688394420194</v>
      </c>
    </row>
    <row r="24">
      <c r="A24" s="14" t="inlineStr">
        <is>
          <t>Cash &amp; investments</t>
        </is>
      </c>
      <c r="B24" s="55">
        <f>Main!C7</f>
        <v>519.025</v>
      </c>
    </row>
    <row r="25">
      <c r="A25" s="14" t="inlineStr">
        <is>
          <t>Debt</t>
        </is>
      </c>
      <c r="B25" s="55">
        <f>Main!C8</f>
        <v>9.79</v>
      </c>
    </row>
    <row r="26">
      <c r="A26" s="20" t="inlineStr">
        <is>
          <t>Equity value</t>
        </is>
      </c>
      <c r="B26" s="66">
        <f>B23+B24-B25</f>
        <v>88.84811605579804</v>
      </c>
    </row>
    <row r="27">
      <c r="A27" s="14" t="inlineStr">
        <is>
          <t>Shares (mm)</t>
        </is>
      </c>
      <c r="B27" s="55">
        <f>Main!C4</f>
        <v>88.960619</v>
      </c>
    </row>
    <row r="28">
      <c r="A28" s="20" t="inlineStr">
        <is>
          <t>NPV / share</t>
        </is>
      </c>
      <c r="B28" s="49">
        <f>B26/B27</f>
        <v>0.9987353623944326</v>
      </c>
    </row>
    <row r="29">
      <c r="A29" s="14" t="inlineStr">
        <is>
          <t>Price</t>
        </is>
      </c>
      <c r="B29" s="50">
        <f>Main!C3</f>
        <v>9.98</v>
      </c>
    </row>
    <row r="30">
      <c r="A30" s="14" t="inlineStr">
        <is>
          <t>Upside</t>
        </is>
      </c>
      <c r="B30" s="63">
        <f>B28/B29-1</f>
        <v>-0.8999263163933434</v>
      </c>
    </row>
    <row r="31">
      <c r="A31" s="14" t="inlineStr">
        <is>
          <t>Terminal value, % of EV</t>
        </is>
      </c>
      <c r="B31" s="63">
        <f>IFERROR(B22/B23,0)</f>
        <v>-0.36386080121884323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2026-10-21T06:24:18Z</dcterms:modified>
  <cp:lastModifiedBy>Wang, Eric</cp:lastModifiedBy>
</cp:coreProperties>
</file>