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Lexicon Pharmaceuticals, Inc.</t>
        </is>
      </c>
      <c r="C2" s="10" t="n"/>
    </row>
    <row r="3">
      <c r="B3" t="inlineStr">
        <is>
          <t>Price</t>
        </is>
      </c>
      <c r="C3" s="11">
        <f>INDEX([1]Pharma!$F$1:$F$1000,MATCH("LXRX",[1]Pharma!$B$1:$B$1000,0))</f>
        <v>1.55</v>
      </c>
      <c r="F3" s="1" t="n"/>
    </row>
    <row r="4">
      <c r="B4" t="inlineStr">
        <is>
          <t>Shares</t>
        </is>
      </c>
      <c r="C4" s="21" t="n">
        <v>444.955934</v>
      </c>
      <c r="F4" s="1" t="n"/>
    </row>
    <row r="5">
      <c r="B5" t="inlineStr">
        <is>
          <t>Market Cap.</t>
        </is>
      </c>
      <c r="C5" s="13">
        <f>C3*C4</f>
        <v>689.6816977000001</v>
      </c>
      <c r="F5" s="1" t="n"/>
    </row>
    <row r="6"/>
    <row r="7">
      <c r="B7" t="inlineStr">
        <is>
          <t>Cash</t>
        </is>
      </c>
      <c r="C7" s="21">
        <f>40.924+149.686</f>
        <v>190.61</v>
      </c>
    </row>
    <row r="8">
      <c r="B8" t="inlineStr">
        <is>
          <t>Debt</t>
        </is>
      </c>
      <c r="C8" s="21" t="n">
        <v>51.437</v>
      </c>
    </row>
    <row r="9">
      <c r="B9" t="inlineStr">
        <is>
          <t>Enterprise V.</t>
        </is>
      </c>
      <c r="C9" s="13">
        <f>C5-C7+C8</f>
        <v>550.5086977000001</v>
      </c>
    </row>
    <row r="10"/>
    <row r="11">
      <c r="B11" s="14" t="inlineStr">
        <is>
          <t>Net Cash / Share</t>
        </is>
      </c>
      <c r="C11" s="11">
        <f>(C7-C8)/C4</f>
        <v>0.3127792874878257</v>
      </c>
    </row>
    <row r="12">
      <c r="B12" s="14" t="inlineStr">
        <is>
          <t>Upside</t>
        </is>
      </c>
      <c r="C12" s="15">
        <f>IFERROR(C11/C3-1,"")</f>
        <v>-0.798206911298177</v>
      </c>
    </row>
    <row r="13">
      <c r="B13" s="14" t="inlineStr">
        <is>
          <t>Cash / Share</t>
        </is>
      </c>
      <c r="C13" s="11">
        <f>IFERROR((C7-C8)/C4,"")</f>
        <v>0.3127792874878257</v>
      </c>
    </row>
    <row r="14">
      <c r="B14" s="14" t="inlineStr">
        <is>
          <t>Scenario</t>
        </is>
      </c>
      <c r="C14" s="14" t="inlineStr">
        <is>
          <t>small 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-64.988</v>
      </c>
    </row>
    <row r="18">
      <c r="B18" s="14" t="inlineStr">
        <is>
          <t>Runway (years)</t>
        </is>
      </c>
      <c r="C18" s="22">
        <f>IF(AND(ISNUMBER(C17),C17&lt;0),IF(C7&gt;C8,(C7-C8)/-C17,"net debt"),"n/a")</f>
        <v>2.1415184341724625</v>
      </c>
    </row>
    <row r="19">
      <c r="B19" s="14" t="inlineStr">
        <is>
          <t>Implied Pipeline Value</t>
        </is>
      </c>
      <c r="C19" s="13">
        <f>C9</f>
        <v>550.5086977000001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2009</v>
      </c>
      <c r="C1" s="17" t="n">
        <v>2010</v>
      </c>
      <c r="D1" s="17" t="n">
        <v>2011</v>
      </c>
      <c r="E1" s="17" t="n">
        <v>2012</v>
      </c>
      <c r="F1" s="17" t="n">
        <v>2013</v>
      </c>
      <c r="G1" s="17" t="n">
        <v>2014</v>
      </c>
      <c r="H1" s="17" t="n">
        <v>2015</v>
      </c>
      <c r="I1" s="17" t="n">
        <v>2016</v>
      </c>
      <c r="J1" s="17" t="n">
        <v>2017</v>
      </c>
      <c r="K1" s="17" t="n">
        <v>2018</v>
      </c>
      <c r="L1" s="17" t="n">
        <v>2019</v>
      </c>
      <c r="M1" s="17" t="n">
        <v>2020</v>
      </c>
      <c r="N1" s="17" t="n">
        <v>2021</v>
      </c>
      <c r="O1" s="17" t="n">
        <v>2022</v>
      </c>
      <c r="P1" s="17" t="n">
        <v>2023</v>
      </c>
      <c r="Q1" s="17" t="n">
        <v>2024</v>
      </c>
      <c r="R1" s="17" t="n">
        <v>2025</v>
      </c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10.7</v>
      </c>
      <c r="C2" s="23" t="n">
        <v>4.908</v>
      </c>
      <c r="D2" s="23" t="n">
        <v>1.849</v>
      </c>
      <c r="E2" s="23" t="n">
        <v>1.089</v>
      </c>
      <c r="F2" s="23" t="n">
        <v>2.222</v>
      </c>
      <c r="G2" s="23" t="n">
        <v>22.854</v>
      </c>
      <c r="H2" s="23" t="n">
        <v>130.014</v>
      </c>
      <c r="I2" s="23" t="n">
        <v>79.256</v>
      </c>
      <c r="J2" s="23" t="n">
        <v>91.68899999999999</v>
      </c>
      <c r="K2" s="23" t="n">
        <v>63.209</v>
      </c>
      <c r="L2" s="23" t="n">
        <v>322.073</v>
      </c>
      <c r="M2" s="23" t="n">
        <v>23.995</v>
      </c>
      <c r="N2" s="23" t="n">
        <v>0.298</v>
      </c>
      <c r="O2" s="23" t="n">
        <v>0.139</v>
      </c>
      <c r="P2" s="23" t="n">
        <v>1.204</v>
      </c>
      <c r="Q2" s="23" t="n">
        <v>31.081</v>
      </c>
      <c r="R2" s="23" t="n">
        <v>49.803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1.899</v>
      </c>
      <c r="K3" s="23" t="n">
        <v>2.491</v>
      </c>
      <c r="L3" s="23" t="n">
        <v>3.231</v>
      </c>
      <c r="M3" s="23" t="n">
        <v>1.929</v>
      </c>
      <c r="N3" s="23" t="n">
        <v>0</v>
      </c>
      <c r="O3" s="23" t="n">
        <v>0</v>
      </c>
      <c r="P3" s="23" t="n">
        <v>0.08500000000000001</v>
      </c>
      <c r="Q3" s="23" t="n">
        <v>0.616</v>
      </c>
      <c r="R3" s="23" t="n">
        <v>0.274</v>
      </c>
    </row>
    <row r="4" customFormat="1" s="1">
      <c r="A4" s="5" t="inlineStr">
        <is>
          <t>Gross Margin</t>
        </is>
      </c>
      <c r="B4" s="23">
        <f>B2-B3</f>
        <v>10.7</v>
      </c>
      <c r="C4" s="23">
        <f>C2-C3</f>
        <v>4.908</v>
      </c>
      <c r="D4" s="23">
        <f>D2-D3</f>
        <v>1.849</v>
      </c>
      <c r="E4" s="23">
        <f>E2-E3</f>
        <v>1.089</v>
      </c>
      <c r="F4" s="23">
        <f>F2-F3</f>
        <v>2.222</v>
      </c>
      <c r="G4" s="23">
        <f>G2-G3</f>
        <v>22.854</v>
      </c>
      <c r="H4" s="23">
        <f>H2-H3</f>
        <v>130.014</v>
      </c>
      <c r="I4" s="23">
        <f>I2-I3</f>
        <v>79.256</v>
      </c>
      <c r="J4" s="23">
        <f>J2-J3</f>
        <v>89.78999999999999</v>
      </c>
      <c r="K4" s="23">
        <f>K2-K3</f>
        <v>60.718</v>
      </c>
      <c r="L4" s="23">
        <f>L2-L3</f>
        <v>318.842</v>
      </c>
      <c r="M4" s="23">
        <f>M2-M3</f>
        <v>22.066000000000003</v>
      </c>
      <c r="N4" s="23">
        <f>N2-N3</f>
        <v>0.298</v>
      </c>
      <c r="O4" s="23">
        <f>O2-O3</f>
        <v>0.139</v>
      </c>
      <c r="P4" s="23">
        <f>P2-P3</f>
        <v>1.119</v>
      </c>
      <c r="Q4" s="23">
        <f>Q2-Q3</f>
        <v>30.465</v>
      </c>
      <c r="R4" s="23">
        <f>R2-R3</f>
        <v>49.528999999999996</v>
      </c>
    </row>
    <row r="5">
      <c r="A5" s="2" t="inlineStr">
        <is>
          <t>Research &amp; Dev.</t>
        </is>
      </c>
      <c r="B5" s="23" t="n">
        <v>81.238</v>
      </c>
      <c r="C5" s="23" t="n">
        <v>78.52</v>
      </c>
      <c r="D5" s="23" t="n">
        <v>91.828</v>
      </c>
      <c r="E5" s="23" t="n">
        <v>82.574</v>
      </c>
      <c r="F5" s="23" t="n">
        <v>89.682</v>
      </c>
      <c r="G5" s="23" t="n">
        <v>89.279</v>
      </c>
      <c r="H5" s="23" t="n">
        <v>95.187</v>
      </c>
      <c r="I5" s="23" t="n">
        <v>163.973</v>
      </c>
      <c r="J5" s="23" t="n">
        <v>152.223</v>
      </c>
      <c r="K5" s="23" t="n">
        <v>100.243</v>
      </c>
      <c r="L5" s="23" t="n">
        <v>91.92400000000001</v>
      </c>
      <c r="M5" s="23" t="n">
        <v>153.621</v>
      </c>
      <c r="N5" s="23" t="n">
        <v>55.046</v>
      </c>
      <c r="O5" s="23" t="n">
        <v>52.816</v>
      </c>
      <c r="P5" s="23" t="n">
        <v>58.887</v>
      </c>
      <c r="Q5" s="23" t="n">
        <v>84.48</v>
      </c>
      <c r="R5" s="23" t="n">
        <v>61.121</v>
      </c>
    </row>
    <row r="6">
      <c r="A6" s="19" t="inlineStr">
        <is>
          <t>SG&amp;A &amp; Other</t>
        </is>
      </c>
      <c r="B6" s="23" t="n">
        <v>19.418</v>
      </c>
      <c r="C6" s="23" t="n">
        <v>22.106</v>
      </c>
      <c r="D6" s="23" t="n">
        <v>24.116</v>
      </c>
      <c r="E6" s="23" t="n">
        <v>26.93</v>
      </c>
      <c r="F6" s="23" t="n">
        <v>14.911</v>
      </c>
      <c r="G6" s="23" t="n">
        <v>33.941</v>
      </c>
      <c r="H6" s="23" t="n">
        <v>33.359</v>
      </c>
      <c r="I6" s="23" t="n">
        <v>42.454</v>
      </c>
      <c r="J6" s="23" t="n">
        <v>68.191</v>
      </c>
      <c r="K6" s="23" t="n">
        <v>63.754</v>
      </c>
      <c r="L6" s="23" t="n">
        <v>85.473</v>
      </c>
      <c r="M6" s="23" t="n">
        <v>-83.755</v>
      </c>
      <c r="N6" s="23" t="n">
        <v>32.342</v>
      </c>
      <c r="O6" s="23" t="n">
        <v>48.083</v>
      </c>
      <c r="P6" s="23" t="n">
        <v>113.982</v>
      </c>
      <c r="Q6" s="23" t="n">
        <v>143.102</v>
      </c>
      <c r="R6" s="23" t="n">
        <v>37.319</v>
      </c>
    </row>
    <row r="7">
      <c r="A7" s="2" t="inlineStr">
        <is>
          <t>Operating Expense</t>
        </is>
      </c>
      <c r="B7" s="23">
        <f>SUM(B5:B6)</f>
        <v>100.656</v>
      </c>
      <c r="C7" s="23">
        <f>SUM(C5:C6)</f>
        <v>100.626</v>
      </c>
      <c r="D7" s="23">
        <f>SUM(D5:D6)</f>
        <v>115.944</v>
      </c>
      <c r="E7" s="23">
        <f>SUM(E5:E6)</f>
        <v>109.50399999999999</v>
      </c>
      <c r="F7" s="23">
        <f>SUM(F5:F6)</f>
        <v>104.593</v>
      </c>
      <c r="G7" s="23">
        <f>SUM(G5:G6)</f>
        <v>123.22</v>
      </c>
      <c r="H7" s="23">
        <f>SUM(H5:H6)</f>
        <v>128.546</v>
      </c>
      <c r="I7" s="23">
        <f>SUM(I5:I6)</f>
        <v>206.42700000000002</v>
      </c>
      <c r="J7" s="23">
        <f>SUM(J5:J6)</f>
        <v>220.41400000000002</v>
      </c>
      <c r="K7" s="23">
        <f>SUM(K5:K6)</f>
        <v>163.99699999999999</v>
      </c>
      <c r="L7" s="23">
        <f>SUM(L5:L6)</f>
        <v>177.397</v>
      </c>
      <c r="M7" s="23">
        <f>SUM(M5:M6)</f>
        <v>69.86600000000001</v>
      </c>
      <c r="N7" s="23">
        <f>SUM(N5:N6)</f>
        <v>87.388</v>
      </c>
      <c r="O7" s="23">
        <f>SUM(O5:O6)</f>
        <v>100.899</v>
      </c>
      <c r="P7" s="23">
        <f>SUM(P5:P6)</f>
        <v>172.869</v>
      </c>
      <c r="Q7" s="23">
        <f>SUM(Q5:Q6)</f>
        <v>227.582</v>
      </c>
      <c r="R7" s="23">
        <f>SUM(R5:R6)</f>
        <v>98.44</v>
      </c>
    </row>
    <row r="8">
      <c r="A8" s="2" t="inlineStr">
        <is>
          <t>Operating Income</t>
        </is>
      </c>
      <c r="B8" s="23">
        <f>B4-B7</f>
        <v>-89.956</v>
      </c>
      <c r="C8" s="23">
        <f>C4-C7</f>
        <v>-95.718</v>
      </c>
      <c r="D8" s="23">
        <f>D4-D7</f>
        <v>-114.095</v>
      </c>
      <c r="E8" s="23">
        <f>E4-E7</f>
        <v>-108.41499999999999</v>
      </c>
      <c r="F8" s="23">
        <f>F4-F7</f>
        <v>-102.37100000000001</v>
      </c>
      <c r="G8" s="23">
        <f>G4-G7</f>
        <v>-100.366</v>
      </c>
      <c r="H8" s="23">
        <f>H4-H7</f>
        <v>1.4680000000000177</v>
      </c>
      <c r="I8" s="23">
        <f>I4-I7</f>
        <v>-127.17100000000002</v>
      </c>
      <c r="J8" s="23">
        <f>J4-J7</f>
        <v>-130.62400000000002</v>
      </c>
      <c r="K8" s="23">
        <f>K4-K7</f>
        <v>-103.27899999999998</v>
      </c>
      <c r="L8" s="23">
        <f>L4-L7</f>
        <v>141.445</v>
      </c>
      <c r="M8" s="23">
        <f>M4-M7</f>
        <v>-47.80000000000001</v>
      </c>
      <c r="N8" s="23">
        <f>N4-N7</f>
        <v>-87.09</v>
      </c>
      <c r="O8" s="23">
        <f>O4-O7</f>
        <v>-100.76</v>
      </c>
      <c r="P8" s="23">
        <f>P4-P7</f>
        <v>-171.75</v>
      </c>
      <c r="Q8" s="23">
        <f>Q4-Q7</f>
        <v>-197.117</v>
      </c>
      <c r="R8" s="23">
        <f>R4-R7</f>
        <v>-48.911</v>
      </c>
    </row>
    <row r="9">
      <c r="A9" s="19" t="inlineStr">
        <is>
          <t>Interest &amp; Other</t>
        </is>
      </c>
      <c r="B9" s="23" t="n">
        <v>7.074</v>
      </c>
      <c r="C9" s="23" t="n">
        <v>-6.083</v>
      </c>
      <c r="D9" s="23" t="n">
        <v>-2.12</v>
      </c>
      <c r="E9" s="23" t="n">
        <v>-1.796</v>
      </c>
      <c r="F9" s="23" t="n">
        <v>-1.755</v>
      </c>
      <c r="G9" s="23" t="n">
        <v>0.002</v>
      </c>
      <c r="H9" s="23" t="n">
        <v>-6.15</v>
      </c>
      <c r="I9" s="23" t="n">
        <v>-4.274</v>
      </c>
      <c r="J9" s="23" t="n">
        <v>7.631</v>
      </c>
      <c r="K9" s="23" t="n">
        <v>-17.269</v>
      </c>
      <c r="L9" s="23" t="n">
        <v>-11.312</v>
      </c>
      <c r="M9" s="23" t="n">
        <v>-10.774</v>
      </c>
      <c r="N9" s="23" t="n">
        <v>-0.668</v>
      </c>
      <c r="O9" s="23" t="n">
        <v>-1.184</v>
      </c>
      <c r="P9" s="23" t="n">
        <v>-5.369</v>
      </c>
      <c r="Q9" s="23" t="n">
        <v>-3.286</v>
      </c>
      <c r="R9" s="23" t="n">
        <v>-1.43</v>
      </c>
    </row>
    <row r="10">
      <c r="A10" s="2" t="inlineStr">
        <is>
          <t>Pretax</t>
        </is>
      </c>
      <c r="B10" s="23">
        <f>B8+B9</f>
        <v>-82.882</v>
      </c>
      <c r="C10" s="23">
        <f>C8+C9</f>
        <v>-101.801</v>
      </c>
      <c r="D10" s="23">
        <f>D8+D9</f>
        <v>-116.215</v>
      </c>
      <c r="E10" s="23">
        <f>E8+E9</f>
        <v>-110.211</v>
      </c>
      <c r="F10" s="23">
        <f>F8+F9</f>
        <v>-104.126</v>
      </c>
      <c r="G10" s="23">
        <f>G8+G9</f>
        <v>-100.364</v>
      </c>
      <c r="H10" s="23">
        <f>H8+H9</f>
        <v>-4.681999999999983</v>
      </c>
      <c r="I10" s="23">
        <f>I8+I9</f>
        <v>-131.44500000000002</v>
      </c>
      <c r="J10" s="23">
        <f>J8+J9</f>
        <v>-122.99300000000002</v>
      </c>
      <c r="K10" s="23">
        <f>K8+K9</f>
        <v>-120.54799999999997</v>
      </c>
      <c r="L10" s="23">
        <f>L8+L9</f>
        <v>130.13299999999998</v>
      </c>
      <c r="M10" s="23">
        <f>M8+M9</f>
        <v>-58.57400000000001</v>
      </c>
      <c r="N10" s="23">
        <f>N8+N9</f>
        <v>-87.75800000000001</v>
      </c>
      <c r="O10" s="23">
        <f>O8+O9</f>
        <v>-101.944</v>
      </c>
      <c r="P10" s="23">
        <f>P8+P9</f>
        <v>-177.119</v>
      </c>
      <c r="Q10" s="23">
        <f>Q8+Q9</f>
        <v>-200.403</v>
      </c>
      <c r="R10" s="23">
        <f>R8+R9</f>
        <v>-50.341</v>
      </c>
    </row>
    <row r="11">
      <c r="A11" s="2" t="inlineStr">
        <is>
          <t>Taxes</t>
        </is>
      </c>
      <c r="B11" s="23" t="n">
        <v>-0.102</v>
      </c>
      <c r="C11" s="23" t="n">
        <v>-0.026</v>
      </c>
      <c r="D11" s="23" t="n">
        <v>0</v>
      </c>
      <c r="E11" s="23" t="n">
        <v>0</v>
      </c>
      <c r="F11" s="23" t="n">
        <v>0</v>
      </c>
      <c r="G11" s="23" t="n">
        <v>-0.07000000000000001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0</v>
      </c>
      <c r="P11" s="23" t="n">
        <v>0</v>
      </c>
      <c r="Q11" s="23" t="n">
        <v>0</v>
      </c>
      <c r="R11" s="23" t="n">
        <v>0</v>
      </c>
    </row>
    <row r="12">
      <c r="A12" s="2" t="inlineStr">
        <is>
          <t>Net Income</t>
        </is>
      </c>
      <c r="B12" s="23" t="n">
        <v>-82.78</v>
      </c>
      <c r="C12" s="23" t="n">
        <v>-101.775</v>
      </c>
      <c r="D12" s="23" t="n">
        <v>-116.215</v>
      </c>
      <c r="E12" s="23" t="n">
        <v>-110.211</v>
      </c>
      <c r="F12" s="23" t="n">
        <v>-104.126</v>
      </c>
      <c r="G12" s="23" t="n">
        <v>-100.294</v>
      </c>
      <c r="H12" s="23" t="n">
        <v>-4.682</v>
      </c>
      <c r="I12" s="23" t="n">
        <v>-131.445</v>
      </c>
      <c r="J12" s="23" t="n">
        <v>-122.993</v>
      </c>
      <c r="K12" s="23" t="n">
        <v>-120.548</v>
      </c>
      <c r="L12" s="23" t="n">
        <v>130.133</v>
      </c>
      <c r="M12" s="23" t="n">
        <v>-58.574</v>
      </c>
      <c r="N12" s="23" t="n">
        <v>-87.758</v>
      </c>
      <c r="O12" s="23" t="n">
        <v>-101.944</v>
      </c>
      <c r="P12" s="23" t="n">
        <v>-177.119</v>
      </c>
      <c r="Q12" s="23" t="n">
        <v>-200.403</v>
      </c>
      <c r="R12" s="23" t="n">
        <v>-50.341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-0.33606411221619054</v>
      </c>
      <c r="D13" s="11">
        <f>IFERROR(D12/D14,0)</f>
        <v>-0.341045483491362</v>
      </c>
      <c r="E13" s="11">
        <f>IFERROR(E12/E14,0)</f>
        <v>-0.22505498185649786</v>
      </c>
      <c r="F13" s="11">
        <f>IFERROR(F12/F14,0)</f>
        <v>-1.4205069438760196</v>
      </c>
      <c r="G13" s="11">
        <f>IFERROR(G12/G14,0)</f>
        <v>-1.3136599997380383</v>
      </c>
      <c r="H13" s="11">
        <f>IFERROR(H12/H14,0)</f>
        <v>-0.04519697657132377</v>
      </c>
      <c r="I13" s="11">
        <f>IFERROR(I12/I14,0)</f>
        <v>-1.2655613644897605</v>
      </c>
      <c r="J13" s="11">
        <f>IFERROR(J12/J14,0)</f>
        <v>-1.1687239278960821</v>
      </c>
      <c r="K13" s="11">
        <f>IFERROR(K12/K14,0)</f>
        <v>-1.1390720967589532</v>
      </c>
      <c r="L13" s="11">
        <f>IFERROR(L12/L14,0)</f>
        <v>1.1146581925017347</v>
      </c>
      <c r="M13" s="11">
        <f>IFERROR(M12/M14,0)</f>
        <v>-0.528450663563122</v>
      </c>
      <c r="N13" s="11">
        <f>IFERROR(N12/N14,0)</f>
        <v>-0.6025183313651719</v>
      </c>
      <c r="O13" s="11">
        <f>IFERROR(O12/O14,0)</f>
        <v>-0.6151098453536713</v>
      </c>
      <c r="P13" s="11">
        <f>IFERROR(P12/P14,0)</f>
        <v>-0.8009722787500565</v>
      </c>
      <c r="Q13" s="11">
        <f>IFERROR(Q12/Q14,0)</f>
        <v>-0.626198711999775</v>
      </c>
      <c r="R13" s="11">
        <f>IFERROR(R12/R14,0)</f>
        <v>-0.1386601956188215</v>
      </c>
    </row>
    <row r="14">
      <c r="A14" s="2" t="inlineStr">
        <is>
          <t>Shares</t>
        </is>
      </c>
      <c r="B14" s="23" t="n"/>
      <c r="C14" s="23" t="n">
        <v>302.844</v>
      </c>
      <c r="D14" s="23" t="n">
        <v>340.761</v>
      </c>
      <c r="E14" s="23" t="n">
        <v>489.707</v>
      </c>
      <c r="F14" s="23" t="n">
        <v>73.30200000000001</v>
      </c>
      <c r="G14" s="23" t="n">
        <v>76.34699999999999</v>
      </c>
      <c r="H14" s="23" t="n">
        <v>103.591</v>
      </c>
      <c r="I14" s="23" t="n">
        <v>103.863</v>
      </c>
      <c r="J14" s="23" t="n">
        <v>105.237</v>
      </c>
      <c r="K14" s="23" t="n">
        <v>105.83</v>
      </c>
      <c r="L14" s="23" t="n">
        <v>116.747</v>
      </c>
      <c r="M14" s="23" t="n">
        <v>110.841</v>
      </c>
      <c r="N14" s="23" t="n">
        <v>145.652</v>
      </c>
      <c r="O14" s="23" t="n">
        <v>165.733</v>
      </c>
      <c r="P14" s="23" t="n">
        <v>221.13</v>
      </c>
      <c r="Q14" s="23" t="n">
        <v>320.031</v>
      </c>
      <c r="R14" s="23" t="n">
        <v>363.053</v>
      </c>
    </row>
    <row r="15"/>
    <row r="16" customFormat="1" s="4">
      <c r="A16" s="3" t="inlineStr">
        <is>
          <t>Revenue Change</t>
        </is>
      </c>
      <c r="C16" s="15">
        <f>IFERROR(C2/B2-1,"")</f>
        <v>-0.5413084112149532</v>
      </c>
      <c r="D16" s="15">
        <f>IFERROR(D2/C2-1,"")</f>
        <v>-0.6232681336593318</v>
      </c>
      <c r="E16" s="15">
        <f>IFERROR(E2/D2-1,"")</f>
        <v>-0.411032990805841</v>
      </c>
      <c r="F16" s="15">
        <f>IFERROR(F2/E2-1,"")</f>
        <v>1.0404040404040402</v>
      </c>
      <c r="G16" s="15">
        <f>IFERROR(G2/F2-1,"")</f>
        <v>9.285328532853285</v>
      </c>
      <c r="H16" s="15">
        <f>IFERROR(H2/G2-1,"")</f>
        <v>4.688894723024417</v>
      </c>
      <c r="I16" s="15">
        <f>IFERROR(I2/H2-1,"")</f>
        <v>-0.3904041103265803</v>
      </c>
      <c r="J16" s="15">
        <f>IFERROR(J2/I2-1,"")</f>
        <v>0.1568714040577368</v>
      </c>
      <c r="K16" s="15">
        <f>IFERROR(K2/J2-1,"")</f>
        <v>-0.3106152319253127</v>
      </c>
      <c r="L16" s="15">
        <f>IFERROR(L2/K2-1,"")</f>
        <v>4.095366166210507</v>
      </c>
      <c r="M16" s="15">
        <f>IFERROR(M2/L2-1,"")</f>
        <v>-0.9254982566064215</v>
      </c>
      <c r="N16" s="15">
        <f>IFERROR(N2/M2-1,"")</f>
        <v>-0.9875807459887477</v>
      </c>
      <c r="O16" s="15">
        <f>IFERROR(O2/N2-1,"")</f>
        <v>-0.5335570469798657</v>
      </c>
      <c r="P16" s="15">
        <f>IFERROR(P2/O2-1,"")</f>
        <v>7.661870503597122</v>
      </c>
      <c r="Q16" s="15">
        <f>IFERROR(Q2/P2-1,"")</f>
        <v>24.814784053156146</v>
      </c>
      <c r="R16" s="15">
        <f>IFERROR(R2/Q2-1,"")</f>
        <v>0.6023615713780122</v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>1.0</v>
      </c>
      <c r="J17" s="15">
        <f>IFERROR(J4/J2,"")</f>
        <v>0.979288682393744</v>
      </c>
      <c r="K17" s="15">
        <f>IFERROR(K4/K2,"")</f>
        <v>0.9605910550712715</v>
      </c>
      <c r="L17" s="15">
        <f>IFERROR(L4/L2,"")</f>
        <v>0.9899681128191435</v>
      </c>
      <c r="M17" s="15">
        <f>IFERROR(M4/M2,"")</f>
        <v>0.9196082517191082</v>
      </c>
      <c r="N17" s="15">
        <f>IFERROR(N4/N2,"")</f>
        <v>1.0</v>
      </c>
      <c r="O17" s="15">
        <f>IFERROR(O4/O2,"")</f>
        <v>1.0</v>
      </c>
      <c r="P17" s="15">
        <f>IFERROR(P4/P2,"")</f>
        <v>0.9294019933554818</v>
      </c>
      <c r="Q17" s="15">
        <f>IFERROR(Q4/Q2,"")</f>
        <v>0.9801808178630032</v>
      </c>
      <c r="R17" s="15">
        <f>IFERROR(R4/R2,"")</f>
        <v>0.994498323394173</v>
      </c>
    </row>
    <row r="18">
      <c r="A18" s="14" t="inlineStr">
        <is>
          <t>Operating Margin</t>
        </is>
      </c>
      <c r="B18" s="15">
        <f>IFERROR(B8/B2,"")</f>
        <v>-8.407102803738319</v>
      </c>
      <c r="C18" s="15">
        <f>IFERROR(C8/C2,"")</f>
        <v>-19.50244498777506</v>
      </c>
      <c r="D18" s="15">
        <f>IFERROR(D8/D2,"")</f>
        <v>-61.70632774472688</v>
      </c>
      <c r="E18" s="15">
        <f>IFERROR(E8/E2,"")</f>
        <v>-99.55463728191</v>
      </c>
      <c r="F18" s="15">
        <f>IFERROR(F8/F2,"")</f>
        <v>-46.071557155715574</v>
      </c>
      <c r="G18" s="15">
        <f>IFERROR(G8/G2,"")</f>
        <v>-4.391616347247747</v>
      </c>
      <c r="H18" s="15">
        <f>IFERROR(H8/H2,"")</f>
        <v>0.01129109172858321</v>
      </c>
      <c r="I18" s="15">
        <f>IFERROR(I8/I2,"")</f>
        <v>-1.6045599071363685</v>
      </c>
      <c r="J18" s="15">
        <f>IFERROR(J8/J2,"")</f>
        <v>-1.4246419963136259</v>
      </c>
      <c r="K18" s="15">
        <f>IFERROR(K8/K2,"")</f>
        <v>-1.63392871268332</v>
      </c>
      <c r="L18" s="15">
        <f>IFERROR(L8/L2,"")</f>
        <v>0.43917062280911473</v>
      </c>
      <c r="M18" s="15">
        <f>IFERROR(M8/M2,"")</f>
        <v>-1.9920816836841013</v>
      </c>
      <c r="N18" s="15">
        <f>IFERROR(N8/N2,"")</f>
        <v>-292.24832214765104</v>
      </c>
      <c r="O18" s="15">
        <f>IFERROR(O8/O2,"")</f>
        <v>-724.8920863309352</v>
      </c>
      <c r="P18" s="15">
        <f>IFERROR(P8/P2,"")</f>
        <v>-142.64950166112956</v>
      </c>
      <c r="Q18" s="15">
        <f>IFERROR(Q8/Q2,"")</f>
        <v>-6.342041761848074</v>
      </c>
      <c r="R18" s="15">
        <f>IFERROR(R8/R2,"")</f>
        <v>-0.9820894323635123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  <c r="Q19" s="20" t="inlineStr">
        <is>
          <t>A</t>
        </is>
      </c>
      <c r="R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2026-10-21T01:04:59Z</dcterms:modified>
  <cp:lastModifiedBy>Wang, Eric</cp:lastModifiedBy>
</cp:coreProperties>
</file>