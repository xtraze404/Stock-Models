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C4 Therapeutics, Inc.</t>
        </is>
      </c>
      <c r="C2" s="10" t="n"/>
    </row>
    <row r="3">
      <c r="B3" t="inlineStr">
        <is>
          <t>Price</t>
        </is>
      </c>
      <c r="C3" s="11">
        <f>INDEX([1]Pharma!$F$1:$F$1000,MATCH("CCCC",[1]Pharma!$B$1:$B$1000,0))</f>
        <v>3.16</v>
      </c>
      <c r="F3" s="1" t="n"/>
    </row>
    <row r="4">
      <c r="B4" t="inlineStr">
        <is>
          <t>Shares</t>
        </is>
      </c>
      <c r="C4" s="21" t="n">
        <v>123.025136</v>
      </c>
      <c r="F4" s="1" t="n"/>
    </row>
    <row r="5">
      <c r="B5" t="inlineStr">
        <is>
          <t>Market Cap.</t>
        </is>
      </c>
      <c r="C5" s="13">
        <f>C3*C4</f>
        <v>388.75942976000005</v>
      </c>
      <c r="F5" s="1" t="n"/>
    </row>
    <row r="6"/>
    <row r="7">
      <c r="B7" t="inlineStr">
        <is>
          <t>Cash</t>
        </is>
      </c>
      <c r="C7" s="21" t="n">
        <v>300.4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88.35942976000007</v>
      </c>
    </row>
    <row r="10"/>
    <row r="11">
      <c r="B11" s="14" t="inlineStr">
        <is>
          <t>rNPV / Share</t>
        </is>
      </c>
      <c r="C11" s="11">
        <f>NPV!B27</f>
        <v>2.582020436987608</v>
      </c>
    </row>
    <row r="12">
      <c r="B12" s="14" t="inlineStr">
        <is>
          <t>Upside</t>
        </is>
      </c>
      <c r="C12" s="15">
        <f>IFERROR(C11/C3-1,"")</f>
        <v>-0.18290492500392164</v>
      </c>
    </row>
    <row r="13">
      <c r="B13" s="14" t="inlineStr">
        <is>
          <t>Cash / Share</t>
        </is>
      </c>
      <c r="C13" s="11">
        <f>IFERROR((C7-C8)/C4,"")</f>
        <v>2.4417774266878274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-84.87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3.5395310474843873</v>
      </c>
    </row>
    <row r="19">
      <c r="B19" s="14" t="inlineStr">
        <is>
          <t>Implied Pipeline Value</t>
        </is>
      </c>
      <c r="C19" s="13">
        <f>C9</f>
        <v>88.35942976000007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45.785</v>
      </c>
      <c r="E2" s="23" t="n">
        <v>31.096</v>
      </c>
      <c r="F2" s="23" t="n">
        <v>20.756</v>
      </c>
      <c r="G2" s="23" t="n">
        <v>35.584</v>
      </c>
      <c r="H2" s="23" t="n">
        <v>35.947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45.785</v>
      </c>
      <c r="E4" s="23">
        <f>E2-E3</f>
        <v>31.096</v>
      </c>
      <c r="F4" s="23">
        <f>F2-F3</f>
        <v>20.756</v>
      </c>
      <c r="G4" s="23">
        <f>G2-G3</f>
        <v>35.584</v>
      </c>
      <c r="H4" s="23">
        <f>H2-H3</f>
        <v>35.947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48.059</v>
      </c>
      <c r="C5" s="23" t="n">
        <v>78.44</v>
      </c>
      <c r="D5" s="23" t="n">
        <v>94.66500000000001</v>
      </c>
      <c r="E5" s="23" t="n">
        <v>117.841</v>
      </c>
      <c r="F5" s="23" t="n">
        <v>117.706</v>
      </c>
      <c r="G5" s="23" t="n">
        <v>110.637</v>
      </c>
      <c r="H5" s="23" t="n">
        <v>104.24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-12.607</v>
      </c>
      <c r="C6" s="23" t="n">
        <v>-17.991</v>
      </c>
      <c r="D6" s="23" t="n">
        <v>33.254</v>
      </c>
      <c r="E6" s="23" t="n">
        <v>42.789</v>
      </c>
      <c r="F6" s="23" t="n">
        <v>42.081</v>
      </c>
      <c r="G6" s="23" t="n">
        <v>44.561</v>
      </c>
      <c r="H6" s="23" t="n">
        <v>46.929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35.452</v>
      </c>
      <c r="C7" s="23">
        <f>SUM(C5:C6)</f>
        <v>60.449</v>
      </c>
      <c r="D7" s="23">
        <f>SUM(D5:D6)</f>
        <v>127.91900000000001</v>
      </c>
      <c r="E7" s="23">
        <f>SUM(E5:E6)</f>
        <v>160.63</v>
      </c>
      <c r="F7" s="23">
        <f>SUM(F5:F6)</f>
        <v>159.787</v>
      </c>
      <c r="G7" s="23">
        <f>SUM(G5:G6)</f>
        <v>155.198</v>
      </c>
      <c r="H7" s="23">
        <f>SUM(H5:H6)</f>
        <v>151.16899999999998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-35.452</v>
      </c>
      <c r="C8" s="23">
        <f>C4-C7</f>
        <v>-60.449</v>
      </c>
      <c r="D8" s="23">
        <f>D4-D7</f>
        <v>-82.13400000000001</v>
      </c>
      <c r="E8" s="23">
        <f>E4-E7</f>
        <v>-129.534</v>
      </c>
      <c r="F8" s="23">
        <f>F4-F7</f>
        <v>-139.031</v>
      </c>
      <c r="G8" s="23">
        <f>G4-G7</f>
        <v>-119.614</v>
      </c>
      <c r="H8" s="23">
        <f>H4-H7</f>
        <v>-115.22199999999998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2.157</v>
      </c>
      <c r="C9" s="23" t="n">
        <v>-6.512</v>
      </c>
      <c r="D9" s="23" t="n">
        <v>-1.758</v>
      </c>
      <c r="E9" s="23" t="n">
        <v>1.359</v>
      </c>
      <c r="F9" s="23" t="n">
        <v>7.818</v>
      </c>
      <c r="G9" s="23" t="n">
        <v>14.429</v>
      </c>
      <c r="H9" s="23" t="n">
        <v>10.349</v>
      </c>
    </row>
    <row r="10">
      <c r="A10" s="2" t="inlineStr">
        <is>
          <t>Pretax</t>
        </is>
      </c>
      <c r="B10" s="23">
        <f>B8+B9</f>
        <v>-33.295</v>
      </c>
      <c r="C10" s="23">
        <f>C8+C9</f>
        <v>-66.961</v>
      </c>
      <c r="D10" s="23">
        <f>D8+D9</f>
        <v>-83.89200000000001</v>
      </c>
      <c r="E10" s="23">
        <f>E8+E9</f>
        <v>-128.17499999999998</v>
      </c>
      <c r="F10" s="23">
        <f>F8+F9</f>
        <v>-131.213</v>
      </c>
      <c r="G10" s="23">
        <f>G8+G9</f>
        <v>-105.185</v>
      </c>
      <c r="H10" s="23">
        <f>H8+H9</f>
        <v>-104.87299999999998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0.804</v>
      </c>
      <c r="C11" s="23" t="n">
        <v>-0.626</v>
      </c>
      <c r="D11" s="23" t="n">
        <v>0</v>
      </c>
      <c r="E11" s="23" t="n">
        <v>0</v>
      </c>
      <c r="F11" s="23" t="n">
        <v>1.28</v>
      </c>
      <c r="G11" s="23" t="n">
        <v>0.131</v>
      </c>
      <c r="H11" s="23" t="n">
        <v>0.121</v>
      </c>
    </row>
    <row r="12">
      <c r="A12" s="2" t="inlineStr">
        <is>
          <t>Net Income</t>
        </is>
      </c>
      <c r="B12" s="23" t="n">
        <v>-34.099</v>
      </c>
      <c r="C12" s="23" t="n">
        <v>-66.33499999999999</v>
      </c>
      <c r="D12" s="23" t="n">
        <v>-83.892</v>
      </c>
      <c r="E12" s="23" t="n">
        <v>-128.175</v>
      </c>
      <c r="F12" s="23" t="n">
        <v>-132.493</v>
      </c>
      <c r="G12" s="23" t="n">
        <v>-105.316</v>
      </c>
      <c r="H12" s="23" t="n">
        <v>-104.994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-6.213374635568512</v>
      </c>
      <c r="C13" s="11">
        <f>IFERROR(C12/C14,0)</f>
        <v>-1.4585211406961147</v>
      </c>
      <c r="D13" s="11">
        <f>IFERROR(D12/D14,0)</f>
        <v>-1.8220754962859995</v>
      </c>
      <c r="E13" s="11">
        <f>IFERROR(E12/E14,0)</f>
        <v>-2.623204125905612</v>
      </c>
      <c r="F13" s="11">
        <f>IFERROR(F12/F14,0)</f>
        <v>-2.669023589371689</v>
      </c>
      <c r="G13" s="11">
        <f>IFERROR(G12/G14,0)</f>
        <v>-1.5181122338662014</v>
      </c>
      <c r="H13" s="11">
        <f>IFERROR(H12/H14,0)</f>
        <v>-1.2666055444302362</v>
      </c>
    </row>
    <row r="14">
      <c r="A14" s="2" t="inlineStr">
        <is>
          <t>Shares</t>
        </is>
      </c>
      <c r="B14" s="23" t="n">
        <v>5.488</v>
      </c>
      <c r="C14" s="23" t="n">
        <v>45.481</v>
      </c>
      <c r="D14" s="23" t="n">
        <v>46.042</v>
      </c>
      <c r="E14" s="23" t="n">
        <v>48.862</v>
      </c>
      <c r="F14" s="23" t="n">
        <v>49.641</v>
      </c>
      <c r="G14" s="23" t="n">
        <v>69.373</v>
      </c>
      <c r="H14" s="23" t="n">
        <v>82.89400000000001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-0.3208255979032434</v>
      </c>
      <c r="F16" s="15">
        <f>IFERROR(F2/E2-1,"")</f>
        <v>-0.3325186519166452</v>
      </c>
      <c r="G16" s="15">
        <f>IFERROR(G2/F2-1,"")</f>
        <v>0.7143958373482369</v>
      </c>
      <c r="H16" s="15">
        <f>IFERROR(H2/G2-1,"")</f>
        <v>0.01020121402877705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-1.7939063011903467</v>
      </c>
      <c r="E18" s="15">
        <f>IFERROR(E8/E2,"")</f>
        <v>-4.165616156418832</v>
      </c>
      <c r="F18" s="15">
        <f>IFERROR(F8/F2,"")</f>
        <v>-6.698352283677009</v>
      </c>
      <c r="G18" s="15">
        <f>IFERROR(G8/G2,"")</f>
        <v>-3.361454586330935</v>
      </c>
      <c r="H18" s="15">
        <f>IFERROR(H8/H2,"")</f>
        <v>-3.2053300692686446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C4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0.15500839999999994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111.765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655.3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17.253415415179937</v>
      </c>
      <c r="C29" s="42">
        <f>NPV!B25</f>
        <v>317.6534154151799</v>
      </c>
      <c r="D29" s="43">
        <f>NPV!B27</f>
        <v>2.582020436987608</v>
      </c>
      <c r="E29" s="44">
        <f>NPV!B29</f>
        <v>-0.18290492500392164</v>
      </c>
    </row>
    <row r="30">
      <c r="A30" s="45" t="n">
        <v>1</v>
      </c>
      <c r="B30" s="46">
        <f t="dataTable" ref="B30:E32" r1="B4"/>
        <v>-184.46217934442728</v>
      </c>
      <c r="C30" s="46">
        <v>115.9378206555727</v>
      </c>
      <c r="D30" s="47">
        <v>0.9423913228234325</v>
      </c>
      <c r="E30" s="48">
        <v>-0.7017748978406859</v>
      </c>
    </row>
    <row r="31">
      <c r="A31" s="45" t="n">
        <v>2</v>
      </c>
      <c r="B31" s="46">
        <v>17.253415415179937</v>
      </c>
      <c r="C31" s="46">
        <v>317.6534154151799</v>
      </c>
      <c r="D31" s="47">
        <v>2.582020436987608</v>
      </c>
      <c r="E31" s="48">
        <v>-0.18290492500392164</v>
      </c>
    </row>
    <row r="32">
      <c r="A32" s="45" t="n">
        <v>3</v>
      </c>
      <c r="B32" s="46">
        <v>320.8984082815348</v>
      </c>
      <c r="C32" s="46">
        <v>621.2984082815348</v>
      </c>
      <c r="D32" s="47">
        <v>5.050174529224131</v>
      </c>
      <c r="E32" s="48">
        <v>0.5981564965899149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2.582020436987608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0.6048861994581949</v>
      </c>
      <c r="C37" s="47">
        <v>1.0632722920412128</v>
      </c>
      <c r="D37" s="47">
        <v>1.5216583846242315</v>
      </c>
      <c r="E37" s="47">
        <v>2.3896721990517094</v>
      </c>
      <c r="F37" s="47">
        <v>3.1784678164262963</v>
      </c>
    </row>
    <row r="38">
      <c r="A38" s="50" t="n">
        <v>0.8</v>
      </c>
      <c r="B38" s="47">
        <v>0.8691704852544017</v>
      </c>
      <c r="C38" s="47">
        <v>1.4803519420317597</v>
      </c>
      <c r="D38" s="47">
        <v>2.08236609086164</v>
      </c>
      <c r="E38" s="47">
        <v>3.1423368298787233</v>
      </c>
      <c r="F38" s="47">
        <v>4.165388266375261</v>
      </c>
    </row>
    <row r="39">
      <c r="A39" s="50" t="n">
        <v>1</v>
      </c>
      <c r="B39" s="47">
        <v>1.1340704903971532</v>
      </c>
      <c r="C39" s="47">
        <v>1.8980473113688507</v>
      </c>
      <c r="D39" s="47">
        <v>2.582020436987608</v>
      </c>
      <c r="E39" s="47">
        <v>3.8762373927064884</v>
      </c>
      <c r="F39" s="47">
        <v>5.136784652447766</v>
      </c>
    </row>
    <row r="40">
      <c r="A40" s="50" t="n">
        <v>1.2</v>
      </c>
      <c r="B40" s="47">
        <v>1.3995862148864486</v>
      </c>
      <c r="C40" s="47">
        <v>2.279401249580254</v>
      </c>
      <c r="D40" s="47">
        <v>3.0709579626944223</v>
      </c>
      <c r="E40" s="47">
        <v>4.600908464826237</v>
      </c>
      <c r="F40" s="47">
        <v>6.098808383421393</v>
      </c>
    </row>
    <row r="41">
      <c r="A41" s="50" t="n">
        <v>1.4</v>
      </c>
      <c r="B41" s="47">
        <v>1.665717658722288</v>
      </c>
      <c r="C41" s="47">
        <v>2.6432806590797373</v>
      </c>
      <c r="D41" s="47">
        <v>3.5522526102327916</v>
      </c>
      <c r="E41" s="47">
        <v>5.319816301803124</v>
      </c>
      <c r="F41" s="47">
        <v>7.0576885524328965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C4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Multiple myeloma</t>
        </is>
      </c>
      <c r="C4" s="14" t="inlineStr">
        <is>
          <t>Cemsidomide, Elranatamab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2500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306.73160633988954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27.0</v>
      </c>
      <c r="S4" s="23">
        <f>IF(S$3&lt;$I4,0,$G4*Assumptions!$E$11*INDEX(Assumptions!$B$24:$G$24,MIN(6,S$3-$I4+1))*IF(S$3&gt;$J4,(1-Assumptions!$B$26)^(S$3-$J4),1)*IF($H4&gt;=1,1,MIN(0.97,$H4*Assumptions!$E$12)))</f>
        <v>67.5</v>
      </c>
      <c r="T4" s="23">
        <f>IF(T$3&lt;$I4,0,$G4*Assumptions!$E$11*INDEX(Assumptions!$B$24:$G$24,MIN(6,T$3-$I4+1))*IF(T$3&gt;$J4,(1-Assumptions!$B$26)^(T$3-$J4),1)*IF($H4&gt;=1,1,MIN(0.97,$H4*Assumptions!$E$12)))</f>
        <v>121.5</v>
      </c>
      <c r="U4" s="23">
        <f>IF(U$3&lt;$I4,0,$G4*Assumptions!$E$11*INDEX(Assumptions!$B$24:$G$24,MIN(6,U$3-$I4+1))*IF(U$3&gt;$J4,(1-Assumptions!$B$26)^(U$3-$J4),1)*IF($H4&gt;=1,1,MIN(0.97,$H4*Assumptions!$E$12)))</f>
        <v>175.5</v>
      </c>
      <c r="V4" s="23">
        <f>IF(V$3&lt;$I4,0,$G4*Assumptions!$E$11*INDEX(Assumptions!$B$24:$G$24,MIN(6,V$3-$I4+1))*IF(V$3&gt;$J4,(1-Assumptions!$B$26)^(V$3-$J4),1)*IF($H4&gt;=1,1,MIN(0.97,$H4*Assumptions!$E$12)))</f>
        <v>229.5</v>
      </c>
      <c r="W4" s="23">
        <f>IF(W$3&lt;$I4,0,$G4*Assumptions!$E$11*INDEX(Assumptions!$B$24:$G$24,MIN(6,W$3-$I4+1))*IF(W$3&gt;$J4,(1-Assumptions!$B$26)^(W$3-$J4),1)*IF($H4&gt;=1,1,MIN(0.97,$H4*Assumptions!$E$12)))</f>
        <v>270.0</v>
      </c>
      <c r="X4" s="23">
        <f>IF(X$3&lt;$I4,0,$G4*Assumptions!$E$11*INDEX(Assumptions!$B$24:$G$24,MIN(6,X$3-$I4+1))*IF(X$3&gt;$J4,(1-Assumptions!$B$26)^(X$3-$J4),1)*IF($H4&gt;=1,1,MIN(0.97,$H4*Assumptions!$E$12)))</f>
        <v>270.0</v>
      </c>
      <c r="Y4" s="23">
        <f>IF(Y$3&lt;$I4,0,$G4*Assumptions!$E$11*INDEX(Assumptions!$B$24:$G$24,MIN(6,Y$3-$I4+1))*IF(Y$3&gt;$J4,(1-Assumptions!$B$26)^(Y$3-$J4),1)*IF($H4&gt;=1,1,MIN(0.97,$H4*Assumptions!$E$12)))</f>
        <v>270.0</v>
      </c>
      <c r="Z4" s="23">
        <f>IF(Z$3&lt;$I4,0,$G4*Assumptions!$E$11*INDEX(Assumptions!$B$24:$G$24,MIN(6,Z$3-$I4+1))*IF(Z$3&gt;$J4,(1-Assumptions!$B$26)^(Z$3-$J4),1)*IF($H4&gt;=1,1,MIN(0.97,$H4*Assumptions!$E$12)))</f>
        <v>270.0</v>
      </c>
      <c r="AA4" s="23">
        <f>IF(AA$3&lt;$I4,0,$G4*Assumptions!$E$11*INDEX(Assumptions!$B$24:$G$24,MIN(6,AA$3-$I4+1))*IF(AA$3&gt;$J4,(1-Assumptions!$B$26)^(AA$3-$J4),1)*IF($H4&gt;=1,1,MIN(0.97,$H4*Assumptions!$E$12)))</f>
        <v>270.0</v>
      </c>
      <c r="AB4" s="23">
        <f>IF(AB$3&lt;$I4,0,$G4*Assumptions!$E$11*INDEX(Assumptions!$B$24:$G$24,MIN(6,AB$3-$I4+1))*IF(AB$3&gt;$J4,(1-Assumptions!$B$26)^(AB$3-$J4),1)*IF($H4&gt;=1,1,MIN(0.97,$H4*Assumptions!$E$12)))</f>
        <v>270.0</v>
      </c>
      <c r="AC4" s="23">
        <f>IF(AC$3&lt;$I4,0,$G4*Assumptions!$E$11*INDEX(Assumptions!$B$24:$G$24,MIN(6,AC$3-$I4+1))*IF(AC$3&gt;$J4,(1-Assumptions!$B$26)^(AC$3-$J4),1)*IF($H4&gt;=1,1,MIN(0.97,$H4*Assumptions!$E$12)))</f>
        <v>270.0</v>
      </c>
      <c r="AD4" s="23">
        <f>IF(AD$3&lt;$I4,0,$G4*Assumptions!$E$11*INDEX(Assumptions!$B$24:$G$24,MIN(6,AD$3-$I4+1))*IF(AD$3&gt;$J4,(1-Assumptions!$B$26)^(AD$3-$J4),1)*IF($H4&gt;=1,1,MIN(0.97,$H4*Assumptions!$E$12)))</f>
        <v>270.0</v>
      </c>
      <c r="AE4" s="23">
        <f>IF(AE$3&lt;$I4,0,$G4*Assumptions!$E$11*INDEX(Assumptions!$B$24:$G$24,MIN(6,AE$3-$I4+1))*IF(AE$3&gt;$J4,(1-Assumptions!$B$26)^(AE$3-$J4),1)*IF($H4&gt;=1,1,MIN(0.97,$H4*Assumptions!$E$12)))</f>
        <v>135.0</v>
      </c>
      <c r="AF4" s="23">
        <f>IF(AF$3&lt;$I4,0,$G4*Assumptions!$E$11*INDEX(Assumptions!$B$24:$G$24,MIN(6,AF$3-$I4+1))*IF(AF$3&gt;$J4,(1-Assumptions!$B$26)^(AF$3-$J4),1)*IF($H4&gt;=1,1,MIN(0.97,$H4*Assumptions!$E$12)))</f>
        <v>67.5</v>
      </c>
      <c r="AG4" s="35">
        <f>IF(F4="Owned",1-IF(H4&gt;=1,1,MIN(0.97,H4*Assumptions!$E$12)),1)</f>
        <v>0.892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CFT1946, Trametinib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B6" s="24" t="inlineStr">
        <is>
          <t>Risked revenue</t>
        </is>
      </c>
      <c r="L6" s="54">
        <f>SUM(L4:L5)</f>
        <v>375.95340920356307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27.0</v>
      </c>
      <c r="S6" s="54">
        <f>SUM(S4:S5)</f>
        <v>67.5</v>
      </c>
      <c r="T6" s="54">
        <f>SUM(T4:T5)</f>
        <v>129.405</v>
      </c>
      <c r="U6" s="54">
        <f>SUM(U4:U5)</f>
        <v>195.2625</v>
      </c>
      <c r="V6" s="54">
        <f>SUM(V4:V5)</f>
        <v>265.0725</v>
      </c>
      <c r="W6" s="54">
        <f>SUM(W4:W5)</f>
        <v>321.3825</v>
      </c>
      <c r="X6" s="54">
        <f>SUM(X4:X5)</f>
        <v>337.1925</v>
      </c>
      <c r="Y6" s="54">
        <f>SUM(Y4:Y5)</f>
        <v>349.05</v>
      </c>
      <c r="Z6" s="54">
        <f>SUM(Z4:Z5)</f>
        <v>349.05</v>
      </c>
      <c r="AA6" s="54">
        <f>SUM(AA4:AA5)</f>
        <v>349.05</v>
      </c>
      <c r="AB6" s="54">
        <f>SUM(AB4:AB5)</f>
        <v>349.05</v>
      </c>
      <c r="AC6" s="54">
        <f>SUM(AC4:AC5)</f>
        <v>349.05</v>
      </c>
      <c r="AD6" s="54">
        <f>SUM(AD4:AD5)</f>
        <v>349.05</v>
      </c>
      <c r="AE6" s="54">
        <f>SUM(AE4:AE5)</f>
        <v>214.05</v>
      </c>
      <c r="AF6" s="54">
        <f>SUM(AF4:AF5)</f>
        <v>146.55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10.8</v>
      </c>
      <c r="S7" s="55">
        <f>SUMPRODUCT(S4:S5,$K$4:$K$5)</f>
        <v>27.0</v>
      </c>
      <c r="T7" s="55">
        <f>SUMPRODUCT(T4:T5,$K$4:$K$5)</f>
        <v>51.762</v>
      </c>
      <c r="U7" s="55">
        <f>SUMPRODUCT(U4:U5,$K$4:$K$5)</f>
        <v>78.105</v>
      </c>
      <c r="V7" s="55">
        <f>SUMPRODUCT(V4:V5,$K$4:$K$5)</f>
        <v>106.02900000000001</v>
      </c>
      <c r="W7" s="55">
        <f>SUMPRODUCT(W4:W5,$K$4:$K$5)</f>
        <v>128.553</v>
      </c>
      <c r="X7" s="55">
        <f>SUMPRODUCT(X4:X5,$K$4:$K$5)</f>
        <v>134.877</v>
      </c>
      <c r="Y7" s="55">
        <f>SUMPRODUCT(Y4:Y5,$K$4:$K$5)</f>
        <v>139.62</v>
      </c>
      <c r="Z7" s="55">
        <f>SUMPRODUCT(Z4:Z5,$K$4:$K$5)</f>
        <v>139.62</v>
      </c>
      <c r="AA7" s="55">
        <f>SUMPRODUCT(AA4:AA5,$K$4:$K$5)</f>
        <v>139.62</v>
      </c>
      <c r="AB7" s="55">
        <f>SUMPRODUCT(AB4:AB5,$K$4:$K$5)</f>
        <v>139.62</v>
      </c>
      <c r="AC7" s="55">
        <f>SUMPRODUCT(AC4:AC5,$K$4:$K$5)</f>
        <v>139.62</v>
      </c>
      <c r="AD7" s="55">
        <f>SUMPRODUCT(AD4:AD5,$K$4:$K$5)</f>
        <v>139.62</v>
      </c>
      <c r="AE7" s="55">
        <f>SUMPRODUCT(AE4:AE5,$K$4:$K$5)</f>
        <v>85.62</v>
      </c>
      <c r="AF7" s="55">
        <f>SUMPRODUCT(AF4:AF5,$K$4:$K$5)</f>
        <v>58.620000000000005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C4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27.0</v>
      </c>
      <c r="I4" s="57">
        <f>Pipeline!S6</f>
        <v>67.5</v>
      </c>
      <c r="J4" s="57">
        <f>Pipeline!T6</f>
        <v>129.405</v>
      </c>
      <c r="K4" s="57">
        <f>Pipeline!U6</f>
        <v>195.2625</v>
      </c>
      <c r="L4" s="57">
        <f>Pipeline!V6</f>
        <v>265.0725</v>
      </c>
      <c r="M4" s="57">
        <f>Pipeline!W6</f>
        <v>321.3825</v>
      </c>
      <c r="N4" s="57">
        <f>Pipeline!X6</f>
        <v>337.1925</v>
      </c>
      <c r="O4" s="57">
        <f>Pipeline!Y6</f>
        <v>349.05</v>
      </c>
      <c r="P4" s="57">
        <f>Pipeline!Z6</f>
        <v>349.05</v>
      </c>
      <c r="Q4" s="57">
        <f>Pipeline!AA6</f>
        <v>349.05</v>
      </c>
      <c r="R4" s="57">
        <f>Pipeline!AB6</f>
        <v>349.05</v>
      </c>
      <c r="S4" s="57">
        <f>Pipeline!AC6</f>
        <v>349.05</v>
      </c>
      <c r="T4" s="57">
        <f>Pipeline!AD6</f>
        <v>349.05</v>
      </c>
      <c r="U4" s="57">
        <f>Pipeline!AE6</f>
        <v>214.05</v>
      </c>
      <c r="V4" s="57">
        <f>Pipeline!AF6</f>
        <v>146.55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10.8</v>
      </c>
      <c r="I5" s="57">
        <f>Pipeline!S7</f>
        <v>27.0</v>
      </c>
      <c r="J5" s="57">
        <f>Pipeline!T7</f>
        <v>51.762</v>
      </c>
      <c r="K5" s="57">
        <f>Pipeline!U7</f>
        <v>78.105</v>
      </c>
      <c r="L5" s="57">
        <f>Pipeline!V7</f>
        <v>106.02900000000001</v>
      </c>
      <c r="M5" s="57">
        <f>Pipeline!W7</f>
        <v>128.553</v>
      </c>
      <c r="N5" s="57">
        <f>Pipeline!X7</f>
        <v>134.877</v>
      </c>
      <c r="O5" s="57">
        <f>Pipeline!Y7</f>
        <v>139.62</v>
      </c>
      <c r="P5" s="57">
        <f>Pipeline!Z7</f>
        <v>139.62</v>
      </c>
      <c r="Q5" s="57">
        <f>Pipeline!AA7</f>
        <v>139.62</v>
      </c>
      <c r="R5" s="57">
        <f>Pipeline!AB7</f>
        <v>139.62</v>
      </c>
      <c r="S5" s="57">
        <f>Pipeline!AC7</f>
        <v>139.62</v>
      </c>
      <c r="T5" s="57">
        <f>Pipeline!AD7</f>
        <v>139.62</v>
      </c>
      <c r="U5" s="57">
        <f>Pipeline!AE7</f>
        <v>85.62</v>
      </c>
      <c r="V5" s="57">
        <f>Pipeline!AF7</f>
        <v>58.620000000000005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-111.765</v>
      </c>
      <c r="D6" s="23">
        <f>-IF(D3-2026&lt;Assumptions!$B$19,Assumptions!$B$18,Assumptions!$B$18*Assumptions!$B$20*Assumptions!$B$16)</f>
        <v>-111.765</v>
      </c>
      <c r="E6" s="23">
        <f>-IF(E3-2026&lt;Assumptions!$B$19,Assumptions!$B$18,Assumptions!$B$18*Assumptions!$B$20*Assumptions!$B$16)</f>
        <v>-111.765</v>
      </c>
      <c r="F6" s="23">
        <f>-IF(F3-2026&lt;Assumptions!$B$19,Assumptions!$B$18,Assumptions!$B$18*Assumptions!$B$20*Assumptions!$B$16)</f>
        <v>-111.765</v>
      </c>
      <c r="G6" s="23">
        <f>-IF(G3-2026&lt;Assumptions!$B$19,Assumptions!$B$18,Assumptions!$B$18*Assumptions!$B$20*Assumptions!$B$16)</f>
        <v>-5.197354147799998</v>
      </c>
      <c r="H6" s="23">
        <f>-IF(H3-2026&lt;Assumptions!$B$19,Assumptions!$B$18,Assumptions!$B$18*Assumptions!$B$20*Assumptions!$B$16)</f>
        <v>-5.197354147799998</v>
      </c>
      <c r="I6" s="23">
        <f>-IF(I3-2026&lt;Assumptions!$B$19,Assumptions!$B$18,Assumptions!$B$18*Assumptions!$B$20*Assumptions!$B$16)</f>
        <v>-5.197354147799998</v>
      </c>
      <c r="J6" s="23">
        <f>-IF(J3-2026&lt;Assumptions!$B$19,Assumptions!$B$18,Assumptions!$B$18*Assumptions!$B$20*Assumptions!$B$16)</f>
        <v>-5.197354147799998</v>
      </c>
      <c r="K6" s="23">
        <f>-IF(K3-2026&lt;Assumptions!$B$19,Assumptions!$B$18,Assumptions!$B$18*Assumptions!$B$20*Assumptions!$B$16)</f>
        <v>-5.197354147799998</v>
      </c>
      <c r="L6" s="23">
        <f>-IF(L3-2026&lt;Assumptions!$B$19,Assumptions!$B$18,Assumptions!$B$18*Assumptions!$B$20*Assumptions!$B$16)</f>
        <v>-5.197354147799998</v>
      </c>
      <c r="M6" s="23">
        <f>-IF(M3-2026&lt;Assumptions!$B$19,Assumptions!$B$18,Assumptions!$B$18*Assumptions!$B$20*Assumptions!$B$16)</f>
        <v>-5.197354147799998</v>
      </c>
      <c r="N6" s="23">
        <f>-IF(N3-2026&lt;Assumptions!$B$19,Assumptions!$B$18,Assumptions!$B$18*Assumptions!$B$20*Assumptions!$B$16)</f>
        <v>-5.197354147799998</v>
      </c>
      <c r="O6" s="23">
        <f>-IF(O3-2026&lt;Assumptions!$B$19,Assumptions!$B$18,Assumptions!$B$18*Assumptions!$B$20*Assumptions!$B$16)</f>
        <v>-5.197354147799998</v>
      </c>
      <c r="P6" s="23">
        <f>-IF(P3-2026&lt;Assumptions!$B$19,Assumptions!$B$18,Assumptions!$B$18*Assumptions!$B$20*Assumptions!$B$16)</f>
        <v>-5.197354147799998</v>
      </c>
      <c r="Q6" s="23">
        <f>-IF(Q3-2026&lt;Assumptions!$B$19,Assumptions!$B$18,Assumptions!$B$18*Assumptions!$B$20*Assumptions!$B$16)</f>
        <v>-5.197354147799998</v>
      </c>
      <c r="R6" s="23">
        <f>-IF(R3-2026&lt;Assumptions!$B$19,Assumptions!$B$18,Assumptions!$B$18*Assumptions!$B$20*Assumptions!$B$16)</f>
        <v>-5.197354147799998</v>
      </c>
      <c r="S6" s="23">
        <f>-IF(S3-2026&lt;Assumptions!$B$19,Assumptions!$B$18,Assumptions!$B$18*Assumptions!$B$20*Assumptions!$B$16)</f>
        <v>-5.197354147799998</v>
      </c>
      <c r="T6" s="23">
        <f>-IF(T3-2026&lt;Assumptions!$B$19,Assumptions!$B$18,Assumptions!$B$18*Assumptions!$B$20*Assumptions!$B$16)</f>
        <v>-5.197354147799998</v>
      </c>
      <c r="U6" s="23">
        <f>-IF(U3-2026&lt;Assumptions!$B$19,Assumptions!$B$18,Assumptions!$B$18*Assumptions!$B$20*Assumptions!$B$16)</f>
        <v>-5.197354147799998</v>
      </c>
      <c r="V6" s="23">
        <f>-IF(V3-2026&lt;Assumptions!$B$19,Assumptions!$B$18,Assumptions!$B$18*Assumptions!$B$20*Assumptions!$B$16)</f>
        <v>-5.197354147799998</v>
      </c>
    </row>
    <row r="7">
      <c r="A7" s="14" t="inlineStr">
        <is>
          <t>Pre-tax cash flow</t>
        </is>
      </c>
      <c r="C7" s="23">
        <f>C5+C6</f>
        <v>-111.765</v>
      </c>
      <c r="D7" s="23">
        <f>D5+D6</f>
        <v>-111.765</v>
      </c>
      <c r="E7" s="23">
        <f>E5+E6</f>
        <v>-111.765</v>
      </c>
      <c r="F7" s="23">
        <f>F5+F6</f>
        <v>-111.765</v>
      </c>
      <c r="G7" s="23">
        <f>G5+G6</f>
        <v>-5.197354147799998</v>
      </c>
      <c r="H7" s="23">
        <f>H5+H6</f>
        <v>5.602645852200003</v>
      </c>
      <c r="I7" s="23">
        <f>I5+I6</f>
        <v>21.8026458522</v>
      </c>
      <c r="J7" s="23">
        <f>J5+J6</f>
        <v>46.5646458522</v>
      </c>
      <c r="K7" s="23">
        <f>K5+K6</f>
        <v>72.9076458522</v>
      </c>
      <c r="L7" s="23">
        <f>L5+L6</f>
        <v>100.83164585220001</v>
      </c>
      <c r="M7" s="23">
        <f>M5+M6</f>
        <v>123.3556458522</v>
      </c>
      <c r="N7" s="23">
        <f>N5+N6</f>
        <v>129.67964585220003</v>
      </c>
      <c r="O7" s="23">
        <f>O5+O6</f>
        <v>134.42264585220002</v>
      </c>
      <c r="P7" s="23">
        <f>P5+P6</f>
        <v>134.42264585220002</v>
      </c>
      <c r="Q7" s="23">
        <f>Q5+Q6</f>
        <v>134.42264585220002</v>
      </c>
      <c r="R7" s="23">
        <f>R5+R6</f>
        <v>134.42264585220002</v>
      </c>
      <c r="S7" s="23">
        <f>S5+S6</f>
        <v>134.42264585220002</v>
      </c>
      <c r="T7" s="23">
        <f>T5+T6</f>
        <v>134.42264585220002</v>
      </c>
      <c r="U7" s="23">
        <f>U5+U6</f>
        <v>80.4226458522</v>
      </c>
      <c r="V7" s="23">
        <f>V5+V6</f>
        <v>53.422645852200006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5.602645852200003</v>
      </c>
      <c r="I8" s="23">
        <f>MIN(H17,MAX(0,I7))</f>
        <v>21.8026458522</v>
      </c>
      <c r="J8" s="23">
        <f>MIN(I17,MAX(0,J7))</f>
        <v>46.5646458522</v>
      </c>
      <c r="K8" s="23">
        <f>MIN(J17,MAX(0,K7))</f>
        <v>72.9076458522</v>
      </c>
      <c r="L8" s="23">
        <f>MIN(K17,MAX(0,L7))</f>
        <v>100.83164585220001</v>
      </c>
      <c r="M8" s="23">
        <f>MIN(L17,MAX(0,M7))</f>
        <v>123.3556458522</v>
      </c>
      <c r="N8" s="23">
        <f>MIN(M17,MAX(0,N7))</f>
        <v>129.67964585220003</v>
      </c>
      <c r="O8" s="23">
        <f>MIN(N17,MAX(0,O7))</f>
        <v>134.42264585220002</v>
      </c>
      <c r="P8" s="23">
        <f>MIN(O17,MAX(0,P7))</f>
        <v>134.42264585220002</v>
      </c>
      <c r="Q8" s="23">
        <f>MIN(P17,MAX(0,Q7))</f>
        <v>134.42264585220002</v>
      </c>
      <c r="R8" s="23">
        <f>MIN(Q17,MAX(0,R7))</f>
        <v>134.42264585220002</v>
      </c>
      <c r="S8" s="23">
        <f>MIN(R17,MAX(0,S7))</f>
        <v>69.12224977359966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65.30039607860036</v>
      </c>
      <c r="T9" s="23">
        <f>MAX(0,T7)-T8</f>
        <v>134.42264585220002</v>
      </c>
      <c r="U9" s="23">
        <f>MAX(0,U7)-U8</f>
        <v>80.4226458522</v>
      </c>
      <c r="V9" s="23">
        <f>MAX(0,V7)-V8</f>
        <v>53.422645852200006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13.713083176506075</v>
      </c>
      <c r="T10" s="23">
        <f>T9*Assumptions!$E$15</f>
        <v>28.228755628962002</v>
      </c>
      <c r="U10" s="23">
        <f>U9*Assumptions!$E$15</f>
        <v>16.888755628962002</v>
      </c>
      <c r="V10" s="23">
        <f>V9*Assumptions!$E$15</f>
        <v>11.218755628962</v>
      </c>
    </row>
    <row r="11">
      <c r="A11" s="24" t="inlineStr">
        <is>
          <t>Free cash flow</t>
        </is>
      </c>
      <c r="C11" s="55">
        <f>C7-C10</f>
        <v>-111.765</v>
      </c>
      <c r="D11" s="55">
        <f>D7-D10</f>
        <v>-111.765</v>
      </c>
      <c r="E11" s="55">
        <f>E7-E10</f>
        <v>-111.765</v>
      </c>
      <c r="F11" s="55">
        <f>F7-F10</f>
        <v>-111.765</v>
      </c>
      <c r="G11" s="55">
        <f>G7-G10</f>
        <v>-5.197354147799998</v>
      </c>
      <c r="H11" s="55">
        <f>H7-H10</f>
        <v>5.602645852200003</v>
      </c>
      <c r="I11" s="55">
        <f>I7-I10</f>
        <v>21.8026458522</v>
      </c>
      <c r="J11" s="55">
        <f>J7-J10</f>
        <v>46.5646458522</v>
      </c>
      <c r="K11" s="55">
        <f>K7-K10</f>
        <v>72.9076458522</v>
      </c>
      <c r="L11" s="55">
        <f>L7-L10</f>
        <v>100.83164585220001</v>
      </c>
      <c r="M11" s="55">
        <f>M7-M10</f>
        <v>123.3556458522</v>
      </c>
      <c r="N11" s="55">
        <f>N7-N10</f>
        <v>129.67964585220003</v>
      </c>
      <c r="O11" s="55">
        <f>O7-O10</f>
        <v>134.42264585220002</v>
      </c>
      <c r="P11" s="55">
        <f>P7-P10</f>
        <v>134.42264585220002</v>
      </c>
      <c r="Q11" s="55">
        <f>Q7-Q10</f>
        <v>134.42264585220002</v>
      </c>
      <c r="R11" s="55">
        <f>R7-R10</f>
        <v>134.42264585220002</v>
      </c>
      <c r="S11" s="55">
        <f>S7-S10</f>
        <v>120.70956267569395</v>
      </c>
      <c r="T11" s="55">
        <f>T7-T10</f>
        <v>106.19389022323801</v>
      </c>
      <c r="U11" s="55">
        <f>U7-U10</f>
        <v>63.533890223238004</v>
      </c>
      <c r="V11" s="55">
        <f>V7-V10</f>
        <v>42.203890223238005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-54.75415956762361</v>
      </c>
      <c r="D16" s="55">
        <f>D11*D15</f>
        <v>-99.74382207402984</v>
      </c>
      <c r="E16" s="55">
        <f>E11*E15</f>
        <v>-89.05698399466947</v>
      </c>
      <c r="F16" s="55">
        <f>F11*F15</f>
        <v>-79.51516428095489</v>
      </c>
      <c r="G16" s="55">
        <f>G11*G15</f>
        <v>-3.3014781404271325</v>
      </c>
      <c r="H16" s="55">
        <f>H11*H15</f>
        <v>3.1776149053756484</v>
      </c>
      <c r="I16" s="55">
        <f>I11*I15</f>
        <v>11.040767654410482</v>
      </c>
      <c r="J16" s="55">
        <f>J11*J15</f>
        <v>21.05369619100007</v>
      </c>
      <c r="K16" s="55">
        <f>K11*K15</f>
        <v>29.43249643435384</v>
      </c>
      <c r="L16" s="55">
        <f>L11*L15</f>
        <v>36.34401124784375</v>
      </c>
      <c r="M16" s="55">
        <f>M11*M15</f>
        <v>39.69876632379171</v>
      </c>
      <c r="N16" s="55">
        <f>N11*N15</f>
        <v>37.26248142452007</v>
      </c>
      <c r="O16" s="55">
        <f>O11*O15</f>
        <v>34.486917131071074</v>
      </c>
      <c r="P16" s="55">
        <f>P11*P15</f>
        <v>30.791890295599167</v>
      </c>
      <c r="Q16" s="55">
        <f>Q11*Q15</f>
        <v>27.492759192499257</v>
      </c>
      <c r="R16" s="55">
        <f>R11*R15</f>
        <v>24.547106421874336</v>
      </c>
      <c r="S16" s="55">
        <f>S11*S15</f>
        <v>19.681197517732585</v>
      </c>
      <c r="T16" s="55">
        <f>T11*T15</f>
        <v>15.459354331378126</v>
      </c>
      <c r="U16" s="55">
        <f>U11*U15</f>
        <v>8.258083053042819</v>
      </c>
      <c r="V16" s="55">
        <f>V11*V15</f>
        <v>4.897881348391959</v>
      </c>
    </row>
    <row r="17">
      <c r="A17" s="14" t="inlineStr">
        <is>
          <t>Tax-loss carryforward, end of year</t>
        </is>
      </c>
      <c r="C17" s="23">
        <f>Assumptions!$B$21-C8+MAX(0,-C7)</f>
        <v>767.0649999999999</v>
      </c>
      <c r="D17" s="23">
        <f>C17-D8+MAX(0,-D7)</f>
        <v>878.8299999999999</v>
      </c>
      <c r="E17" s="23">
        <f>D17-E8+MAX(0,-E7)</f>
        <v>990.5949999999999</v>
      </c>
      <c r="F17" s="23">
        <f>E17-F8+MAX(0,-F7)</f>
        <v>1102.36</v>
      </c>
      <c r="G17" s="23">
        <f>F17-G8+MAX(0,-G7)</f>
        <v>1107.5573541478</v>
      </c>
      <c r="H17" s="23">
        <f>G17-H8+MAX(0,-H7)</f>
        <v>1101.9547082955999</v>
      </c>
      <c r="I17" s="23">
        <f>H17-I8+MAX(0,-I7)</f>
        <v>1080.1520624434</v>
      </c>
      <c r="J17" s="23">
        <f>I17-J8+MAX(0,-J7)</f>
        <v>1033.5874165911998</v>
      </c>
      <c r="K17" s="23">
        <f>J17-K8+MAX(0,-K7)</f>
        <v>960.6797707389999</v>
      </c>
      <c r="L17" s="23">
        <f>K17-L8+MAX(0,-L7)</f>
        <v>859.8481248867998</v>
      </c>
      <c r="M17" s="23">
        <f>L17-M8+MAX(0,-M7)</f>
        <v>736.4924790345998</v>
      </c>
      <c r="N17" s="23">
        <f>M17-N8+MAX(0,-N7)</f>
        <v>606.8128331823998</v>
      </c>
      <c r="O17" s="23">
        <f>N17-O8+MAX(0,-O7)</f>
        <v>472.39018733019975</v>
      </c>
      <c r="P17" s="23">
        <f>O17-P8+MAX(0,-P7)</f>
        <v>337.9675414779997</v>
      </c>
      <c r="Q17" s="23">
        <f>P17-Q8+MAX(0,-Q7)</f>
        <v>203.54489562579968</v>
      </c>
      <c r="R17" s="23">
        <f>Q17-R8+MAX(0,-R7)</f>
        <v>69.12224977359966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375.95340920356307</v>
      </c>
    </row>
    <row r="20">
      <c r="A20" s="14" t="inlineStr">
        <is>
          <t>PV of corporate burn</t>
        </is>
      </c>
      <c r="B20" s="23">
        <f>SUMPRODUCT(C6:V6,C15:V15)</f>
        <v>-348.857528287085</v>
      </c>
    </row>
    <row r="21">
      <c r="A21" s="14" t="inlineStr">
        <is>
          <t>PV of taxes</t>
        </is>
      </c>
      <c r="B21" s="23">
        <f>-SUMPRODUCT(C10:V10,C15:V15)</f>
        <v>-9.842465501298065</v>
      </c>
    </row>
    <row r="22">
      <c r="A22" s="24" t="inlineStr">
        <is>
          <t>Pipeline rNPV (operations)</t>
        </is>
      </c>
      <c r="B22" s="54">
        <f>SUM(C16:V16)</f>
        <v>17.253415415179937</v>
      </c>
    </row>
    <row r="23">
      <c r="A23" s="14" t="inlineStr">
        <is>
          <t>Cash &amp; investments</t>
        </is>
      </c>
      <c r="B23" s="57">
        <f>Main!C7</f>
        <v>300.4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317.6534154151799</v>
      </c>
    </row>
    <row r="26">
      <c r="A26" s="14" t="inlineStr">
        <is>
          <t>Shares (mm)</t>
        </is>
      </c>
      <c r="B26" s="57">
        <f>Main!C4</f>
        <v>123.025136</v>
      </c>
    </row>
    <row r="27">
      <c r="A27" s="24" t="inlineStr">
        <is>
          <t>rNPV / share</t>
        </is>
      </c>
      <c r="B27" s="60">
        <f>B25/B26</f>
        <v>2.582020436987608</v>
      </c>
    </row>
    <row r="28">
      <c r="A28" s="14" t="inlineStr">
        <is>
          <t>Price</t>
        </is>
      </c>
      <c r="B28" s="61">
        <f>Main!C3</f>
        <v>3.16</v>
      </c>
    </row>
    <row r="29">
      <c r="A29" s="14" t="inlineStr">
        <is>
          <t>Upside</t>
        </is>
      </c>
      <c r="B29" s="62">
        <f>B27/B28-1</f>
        <v>-0.18290492500392164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2026-10-21T06:25:52Z</dcterms:modified>
  <cp:lastModifiedBy>Wang, Eric</cp:lastModifiedBy>
</cp:coreProperties>
</file>