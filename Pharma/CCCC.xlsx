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C4 Therapeutics, Inc.</t>
        </is>
      </c>
      <c r="C2" s="10" t="n"/>
    </row>
    <row r="3">
      <c r="B3" t="inlineStr">
        <is>
          <t>Price</t>
        </is>
      </c>
      <c r="C3" s="11">
        <f>INDEX([1]Pharma!$F$1:$F$1000,MATCH("CCCC",[1]Pharma!$B$1:$B$1000,0))</f>
        <v>3.16</v>
      </c>
      <c r="F3" s="1" t="n"/>
    </row>
    <row r="4">
      <c r="B4" t="inlineStr">
        <is>
          <t>Shares</t>
        </is>
      </c>
      <c r="C4" s="21" t="n">
        <v>123.025136</v>
      </c>
      <c r="F4" s="1" t="n"/>
    </row>
    <row r="5">
      <c r="B5" t="inlineStr">
        <is>
          <t>Market Cap.</t>
        </is>
      </c>
      <c r="C5" s="13">
        <f>C3*C4</f>
        <v>388.75942976000005</v>
      </c>
      <c r="F5" s="1" t="n"/>
    </row>
    <row r="6"/>
    <row r="7">
      <c r="B7" t="inlineStr">
        <is>
          <t>Cash</t>
        </is>
      </c>
      <c r="C7" s="21" t="n">
        <v>300.4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88.35942976000007</v>
      </c>
    </row>
    <row r="10"/>
    <row r="11">
      <c r="B11" s="14" t="inlineStr">
        <is>
          <t>Net Cash / Share</t>
        </is>
      </c>
      <c r="C11" s="11">
        <f>(C7-C8)/C4</f>
        <v>2.4417774266878274</v>
      </c>
    </row>
    <row r="12">
      <c r="B12" s="14" t="inlineStr">
        <is>
          <t>Upside</t>
        </is>
      </c>
      <c r="C12" s="15">
        <f>IFERROR(C11/C3-1,"")</f>
        <v>-0.2272856244658774</v>
      </c>
    </row>
    <row r="13">
      <c r="B13" s="14" t="inlineStr">
        <is>
          <t>Cash / Share</t>
        </is>
      </c>
      <c r="C13" s="11">
        <f>IFERROR((C7-C8)/C4,"")</f>
        <v>2.4417774266878274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-84.87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3.5395310474843873</v>
      </c>
    </row>
    <row r="19">
      <c r="B19" s="14" t="inlineStr">
        <is>
          <t>Implied Pipeline Value</t>
        </is>
      </c>
      <c r="C19" s="13">
        <f>C9</f>
        <v>88.35942976000007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45.785</v>
      </c>
      <c r="E2" s="23" t="n">
        <v>31.096</v>
      </c>
      <c r="F2" s="23" t="n">
        <v>20.756</v>
      </c>
      <c r="G2" s="23" t="n">
        <v>35.584</v>
      </c>
      <c r="H2" s="23" t="n">
        <v>35.947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45.785</v>
      </c>
      <c r="E4" s="23">
        <f>E2-E3</f>
        <v>31.096</v>
      </c>
      <c r="F4" s="23">
        <f>F2-F3</f>
        <v>20.756</v>
      </c>
      <c r="G4" s="23">
        <f>G2-G3</f>
        <v>35.584</v>
      </c>
      <c r="H4" s="23">
        <f>H2-H3</f>
        <v>35.947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48.059</v>
      </c>
      <c r="C5" s="23" t="n">
        <v>78.44</v>
      </c>
      <c r="D5" s="23" t="n">
        <v>94.66500000000001</v>
      </c>
      <c r="E5" s="23" t="n">
        <v>117.841</v>
      </c>
      <c r="F5" s="23" t="n">
        <v>117.706</v>
      </c>
      <c r="G5" s="23" t="n">
        <v>110.637</v>
      </c>
      <c r="H5" s="23" t="n">
        <v>104.24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-12.607</v>
      </c>
      <c r="C6" s="23" t="n">
        <v>-17.991</v>
      </c>
      <c r="D6" s="23" t="n">
        <v>33.254</v>
      </c>
      <c r="E6" s="23" t="n">
        <v>42.789</v>
      </c>
      <c r="F6" s="23" t="n">
        <v>42.081</v>
      </c>
      <c r="G6" s="23" t="n">
        <v>44.561</v>
      </c>
      <c r="H6" s="23" t="n">
        <v>46.929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35.452</v>
      </c>
      <c r="C7" s="23">
        <f>SUM(C5:C6)</f>
        <v>60.449</v>
      </c>
      <c r="D7" s="23">
        <f>SUM(D5:D6)</f>
        <v>127.91900000000001</v>
      </c>
      <c r="E7" s="23">
        <f>SUM(E5:E6)</f>
        <v>160.63</v>
      </c>
      <c r="F7" s="23">
        <f>SUM(F5:F6)</f>
        <v>159.787</v>
      </c>
      <c r="G7" s="23">
        <f>SUM(G5:G6)</f>
        <v>155.198</v>
      </c>
      <c r="H7" s="23">
        <f>SUM(H5:H6)</f>
        <v>151.16899999999998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-35.452</v>
      </c>
      <c r="C8" s="23">
        <f>C4-C7</f>
        <v>-60.449</v>
      </c>
      <c r="D8" s="23">
        <f>D4-D7</f>
        <v>-82.13400000000001</v>
      </c>
      <c r="E8" s="23">
        <f>E4-E7</f>
        <v>-129.534</v>
      </c>
      <c r="F8" s="23">
        <f>F4-F7</f>
        <v>-139.031</v>
      </c>
      <c r="G8" s="23">
        <f>G4-G7</f>
        <v>-119.614</v>
      </c>
      <c r="H8" s="23">
        <f>H4-H7</f>
        <v>-115.22199999999998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2.157</v>
      </c>
      <c r="C9" s="23" t="n">
        <v>-6.512</v>
      </c>
      <c r="D9" s="23" t="n">
        <v>-1.758</v>
      </c>
      <c r="E9" s="23" t="n">
        <v>1.359</v>
      </c>
      <c r="F9" s="23" t="n">
        <v>7.818</v>
      </c>
      <c r="G9" s="23" t="n">
        <v>14.429</v>
      </c>
      <c r="H9" s="23" t="n">
        <v>10.349</v>
      </c>
    </row>
    <row r="10">
      <c r="A10" s="2" t="inlineStr">
        <is>
          <t>Pretax</t>
        </is>
      </c>
      <c r="B10" s="23">
        <f>B8+B9</f>
        <v>-33.295</v>
      </c>
      <c r="C10" s="23">
        <f>C8+C9</f>
        <v>-66.961</v>
      </c>
      <c r="D10" s="23">
        <f>D8+D9</f>
        <v>-83.89200000000001</v>
      </c>
      <c r="E10" s="23">
        <f>E8+E9</f>
        <v>-128.17499999999998</v>
      </c>
      <c r="F10" s="23">
        <f>F8+F9</f>
        <v>-131.213</v>
      </c>
      <c r="G10" s="23">
        <f>G8+G9</f>
        <v>-105.185</v>
      </c>
      <c r="H10" s="23">
        <f>H8+H9</f>
        <v>-104.87299999999998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0.804</v>
      </c>
      <c r="C11" s="23" t="n">
        <v>-0.626</v>
      </c>
      <c r="D11" s="23" t="n">
        <v>0</v>
      </c>
      <c r="E11" s="23" t="n">
        <v>0</v>
      </c>
      <c r="F11" s="23" t="n">
        <v>1.28</v>
      </c>
      <c r="G11" s="23" t="n">
        <v>0.131</v>
      </c>
      <c r="H11" s="23" t="n">
        <v>0.121</v>
      </c>
    </row>
    <row r="12">
      <c r="A12" s="2" t="inlineStr">
        <is>
          <t>Net Income</t>
        </is>
      </c>
      <c r="B12" s="23" t="n">
        <v>-34.099</v>
      </c>
      <c r="C12" s="23" t="n">
        <v>-66.33499999999999</v>
      </c>
      <c r="D12" s="23" t="n">
        <v>-83.892</v>
      </c>
      <c r="E12" s="23" t="n">
        <v>-128.175</v>
      </c>
      <c r="F12" s="23" t="n">
        <v>-132.493</v>
      </c>
      <c r="G12" s="23" t="n">
        <v>-105.316</v>
      </c>
      <c r="H12" s="23" t="n">
        <v>-104.994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-6.213374635568512</v>
      </c>
      <c r="C13" s="11">
        <f>IFERROR(C12/C14,0)</f>
        <v>-1.4585211406961147</v>
      </c>
      <c r="D13" s="11">
        <f>IFERROR(D12/D14,0)</f>
        <v>-1.8220754962859995</v>
      </c>
      <c r="E13" s="11">
        <f>IFERROR(E12/E14,0)</f>
        <v>-2.623204125905612</v>
      </c>
      <c r="F13" s="11">
        <f>IFERROR(F12/F14,0)</f>
        <v>-2.669023589371689</v>
      </c>
      <c r="G13" s="11">
        <f>IFERROR(G12/G14,0)</f>
        <v>-1.5181122338662014</v>
      </c>
      <c r="H13" s="11">
        <f>IFERROR(H12/H14,0)</f>
        <v>-1.2666055444302362</v>
      </c>
    </row>
    <row r="14">
      <c r="A14" s="2" t="inlineStr">
        <is>
          <t>Shares</t>
        </is>
      </c>
      <c r="B14" s="23" t="n">
        <v>5.488</v>
      </c>
      <c r="C14" s="23" t="n">
        <v>45.481</v>
      </c>
      <c r="D14" s="23" t="n">
        <v>46.042</v>
      </c>
      <c r="E14" s="23" t="n">
        <v>48.862</v>
      </c>
      <c r="F14" s="23" t="n">
        <v>49.641</v>
      </c>
      <c r="G14" s="23" t="n">
        <v>69.373</v>
      </c>
      <c r="H14" s="23" t="n">
        <v>82.89400000000001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-0.3208255979032434</v>
      </c>
      <c r="F16" s="15">
        <f>IFERROR(F2/E2-1,"")</f>
        <v>-0.3325186519166452</v>
      </c>
      <c r="G16" s="15">
        <f>IFERROR(G2/F2-1,"")</f>
        <v>0.7143958373482369</v>
      </c>
      <c r="H16" s="15">
        <f>IFERROR(H2/G2-1,"")</f>
        <v>0.01020121402877705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-1.7939063011903467</v>
      </c>
      <c r="E18" s="15">
        <f>IFERROR(E8/E2,"")</f>
        <v>-4.165616156418832</v>
      </c>
      <c r="F18" s="15">
        <f>IFERROR(F8/F2,"")</f>
        <v>-6.698352283677009</v>
      </c>
      <c r="G18" s="15">
        <f>IFERROR(G8/G2,"")</f>
        <v>-3.361454586330935</v>
      </c>
      <c r="H18" s="15">
        <f>IFERROR(H8/H2,"")</f>
        <v>-3.2053300692686446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2026-10-21T01:05:21Z</dcterms:modified>
  <cp:lastModifiedBy>Wang, Eric</cp:lastModifiedBy>
</cp:coreProperties>
</file>