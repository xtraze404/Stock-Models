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Viridian Therapeutics, Inc.</t>
        </is>
      </c>
      <c r="C2" s="10" t="n"/>
    </row>
    <row r="3">
      <c r="B3" t="inlineStr">
        <is>
          <t>Price</t>
        </is>
      </c>
      <c r="C3" s="11">
        <f>INDEX([1]Pharma!$F$1:$F$1000,MATCH("VRDN",[1]Pharma!$B$1:$B$1000,0))</f>
        <v>22.43</v>
      </c>
      <c r="F3" s="1" t="n"/>
    </row>
    <row r="4">
      <c r="B4" t="inlineStr">
        <is>
          <t>Shares</t>
        </is>
      </c>
      <c r="C4" s="21" t="n">
        <v>113.292269</v>
      </c>
      <c r="F4" s="1" t="n"/>
    </row>
    <row r="5">
      <c r="B5" t="inlineStr">
        <is>
          <t>Market Cap.</t>
        </is>
      </c>
      <c r="C5" s="13">
        <f>C3*C4</f>
        <v>2541.14559367</v>
      </c>
      <c r="F5" s="1" t="n"/>
    </row>
    <row r="6"/>
    <row r="7">
      <c r="B7" t="inlineStr">
        <is>
          <t>Cash</t>
        </is>
      </c>
      <c r="C7" s="21">
        <f>164.986+816.544</f>
        <v>981.53</v>
      </c>
    </row>
    <row r="8">
      <c r="B8" t="inlineStr">
        <is>
          <t>Debt</t>
        </is>
      </c>
      <c r="C8" s="21">
        <f>242.159+113.642</f>
        <v>355.801</v>
      </c>
    </row>
    <row r="9">
      <c r="B9" t="inlineStr">
        <is>
          <t>Enterprise V.</t>
        </is>
      </c>
      <c r="C9" s="13">
        <f>C5-C7+C8</f>
        <v>1915.4165936699999</v>
      </c>
    </row>
    <row r="10"/>
    <row r="11">
      <c r="B11" s="14" t="inlineStr">
        <is>
          <t>Net Cash / Share</t>
        </is>
      </c>
      <c r="C11" s="11">
        <f>(C7-C8)/C4</f>
        <v>5.523139447405718</v>
      </c>
    </row>
    <row r="12">
      <c r="B12" s="14" t="inlineStr">
        <is>
          <t>Upside</t>
        </is>
      </c>
      <c r="C12" s="15">
        <f>IFERROR(C11/C3-1,"")</f>
        <v>-0.753761058965416</v>
      </c>
    </row>
    <row r="13">
      <c r="B13" s="14" t="inlineStr">
        <is>
          <t>Cash / Share</t>
        </is>
      </c>
      <c r="C13" s="11">
        <f>IFERROR((C7-C8)/C4,"")</f>
        <v>5.523139447405718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-333.343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1.8771325631556686</v>
      </c>
    </row>
    <row r="19">
      <c r="B19" s="14" t="inlineStr">
        <is>
          <t>Implied Pipeline Value</t>
        </is>
      </c>
      <c r="C19" s="13">
        <f>C9</f>
        <v>1915.4165936699999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5.491</v>
      </c>
      <c r="C2" s="23" t="n">
        <v>6.484</v>
      </c>
      <c r="D2" s="23" t="n">
        <v>5.706</v>
      </c>
      <c r="E2" s="23" t="n">
        <v>3.477</v>
      </c>
      <c r="F2" s="23" t="n">
        <v>4.003</v>
      </c>
      <c r="G2" s="23" t="n">
        <v>8.385999999999999</v>
      </c>
      <c r="H2" s="23" t="n">
        <v>4.461</v>
      </c>
      <c r="I2" s="23" t="n">
        <v>1.05</v>
      </c>
      <c r="J2" s="23" t="n">
        <v>2.963</v>
      </c>
      <c r="K2" s="23" t="n">
        <v>1.772</v>
      </c>
      <c r="L2" s="23" t="n">
        <v>0.314</v>
      </c>
      <c r="M2" s="23" t="n">
        <v>0.302</v>
      </c>
      <c r="N2" s="23" t="n">
        <v>70.849</v>
      </c>
    </row>
    <row r="3" customFormat="1" s="1">
      <c r="A3" s="5" t="inlineStr">
        <is>
          <t>Cost of Sales</t>
        </is>
      </c>
      <c r="B3" s="23" t="n">
        <v>2.778</v>
      </c>
      <c r="C3" s="23" t="n">
        <v>3.366</v>
      </c>
      <c r="D3" s="23" t="n">
        <v>2.472</v>
      </c>
      <c r="E3" s="23" t="n">
        <v>2.548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2.7129999999999996</v>
      </c>
      <c r="C4" s="23">
        <f>C2-C3</f>
        <v>3.118</v>
      </c>
      <c r="D4" s="23">
        <f>D2-D3</f>
        <v>3.2340000000000004</v>
      </c>
      <c r="E4" s="23">
        <f>E2-E3</f>
        <v>0.9289999999999998</v>
      </c>
      <c r="F4" s="23">
        <f>F2-F3</f>
        <v>4.003</v>
      </c>
      <c r="G4" s="23">
        <f>G2-G3</f>
        <v>8.386</v>
      </c>
      <c r="H4" s="23">
        <f>H2-H3</f>
        <v>4.461</v>
      </c>
      <c r="I4" s="23">
        <f>I2-I3</f>
        <v>1.05</v>
      </c>
      <c r="J4" s="23">
        <f>J2-J3</f>
        <v>2.963</v>
      </c>
      <c r="K4" s="23">
        <f>K2-K3</f>
        <v>1.772</v>
      </c>
      <c r="L4" s="23">
        <f>L2-L3</f>
        <v>0.314</v>
      </c>
      <c r="M4" s="23">
        <f>M2-M3</f>
        <v>0.302</v>
      </c>
      <c r="N4" s="23">
        <f>N2-N3</f>
        <v>70.849</v>
      </c>
    </row>
    <row r="5">
      <c r="A5" s="2" t="inlineStr">
        <is>
          <t>Research &amp; Dev.</t>
        </is>
      </c>
      <c r="B5" s="23" t="n">
        <v>0.225</v>
      </c>
      <c r="C5" s="23" t="n">
        <v>0.347</v>
      </c>
      <c r="D5" s="23" t="n">
        <v>1.002</v>
      </c>
      <c r="E5" s="23" t="n">
        <v>13.692</v>
      </c>
      <c r="F5" s="23" t="n">
        <v>19.623</v>
      </c>
      <c r="G5" s="23" t="n">
        <v>30.421</v>
      </c>
      <c r="H5" s="23" t="n">
        <v>34.794</v>
      </c>
      <c r="I5" s="23" t="n">
        <v>28.304</v>
      </c>
      <c r="J5" s="23" t="n">
        <v>56.886</v>
      </c>
      <c r="K5" s="23" t="n">
        <v>100.894</v>
      </c>
      <c r="L5" s="23" t="n">
        <v>159.765</v>
      </c>
      <c r="M5" s="23" t="n">
        <v>238.254</v>
      </c>
      <c r="N5" s="23" t="n">
        <v>338.929</v>
      </c>
    </row>
    <row r="6">
      <c r="A6" s="19" t="inlineStr">
        <is>
          <t>SG&amp;A &amp; Other</t>
        </is>
      </c>
      <c r="B6" s="23" t="n">
        <v>2.685</v>
      </c>
      <c r="C6" s="23" t="n">
        <v>9.638</v>
      </c>
      <c r="D6" s="23" t="n">
        <v>13.419</v>
      </c>
      <c r="E6" s="23" t="n">
        <v>4.224</v>
      </c>
      <c r="F6" s="23" t="n">
        <v>10.912</v>
      </c>
      <c r="G6" s="23" t="n">
        <v>11.049</v>
      </c>
      <c r="H6" s="23" t="n">
        <v>11.646</v>
      </c>
      <c r="I6" s="23" t="n">
        <v>83.126</v>
      </c>
      <c r="J6" s="23" t="n">
        <v>25.805</v>
      </c>
      <c r="K6" s="23" t="n">
        <v>35.182</v>
      </c>
      <c r="L6" s="23" t="n">
        <v>94.999</v>
      </c>
      <c r="M6" s="23" t="n">
        <v>61.083</v>
      </c>
      <c r="N6" s="23" t="n">
        <v>95.315</v>
      </c>
    </row>
    <row r="7">
      <c r="A7" s="2" t="inlineStr">
        <is>
          <t>Operating Expense</t>
        </is>
      </c>
      <c r="B7" s="23">
        <f>SUM(B5:B6)</f>
        <v>2.91</v>
      </c>
      <c r="C7" s="23">
        <f>SUM(C5:C6)</f>
        <v>9.985</v>
      </c>
      <c r="D7" s="23">
        <f>SUM(D5:D6)</f>
        <v>14.421000000000001</v>
      </c>
      <c r="E7" s="23">
        <f>SUM(E5:E6)</f>
        <v>17.916</v>
      </c>
      <c r="F7" s="23">
        <f>SUM(F5:F6)</f>
        <v>30.535000000000004</v>
      </c>
      <c r="G7" s="23">
        <f>SUM(G5:G6)</f>
        <v>41.47</v>
      </c>
      <c r="H7" s="23">
        <f>SUM(H5:H6)</f>
        <v>46.44</v>
      </c>
      <c r="I7" s="23">
        <f>SUM(I5:I6)</f>
        <v>111.43</v>
      </c>
      <c r="J7" s="23">
        <f>SUM(J5:J6)</f>
        <v>82.691</v>
      </c>
      <c r="K7" s="23">
        <f>SUM(K5:K6)</f>
        <v>136.07600000000002</v>
      </c>
      <c r="L7" s="23">
        <f>SUM(L5:L6)</f>
        <v>254.76399999999998</v>
      </c>
      <c r="M7" s="23">
        <f>SUM(M5:M6)</f>
        <v>299.337</v>
      </c>
      <c r="N7" s="23">
        <f>SUM(N5:N6)</f>
        <v>434.24399999999997</v>
      </c>
    </row>
    <row r="8">
      <c r="A8" s="2" t="inlineStr">
        <is>
          <t>Operating Income</t>
        </is>
      </c>
      <c r="B8" s="23">
        <f>B4-B7</f>
        <v>-0.1970000000000005</v>
      </c>
      <c r="C8" s="23">
        <f>C4-C7</f>
        <v>-6.866999999999999</v>
      </c>
      <c r="D8" s="23">
        <f>D4-D7</f>
        <v>-11.187000000000001</v>
      </c>
      <c r="E8" s="23">
        <f>E4-E7</f>
        <v>-16.987000000000002</v>
      </c>
      <c r="F8" s="23">
        <f>F4-F7</f>
        <v>-26.532000000000004</v>
      </c>
      <c r="G8" s="23">
        <f>G4-G7</f>
        <v>-33.084</v>
      </c>
      <c r="H8" s="23">
        <f>H4-H7</f>
        <v>-41.979</v>
      </c>
      <c r="I8" s="23">
        <f>I4-I7</f>
        <v>-110.38000000000001</v>
      </c>
      <c r="J8" s="23">
        <f>J4-J7</f>
        <v>-79.72800000000001</v>
      </c>
      <c r="K8" s="23">
        <f>K4-K7</f>
        <v>-134.30400000000003</v>
      </c>
      <c r="L8" s="23">
        <f>L4-L7</f>
        <v>-254.45</v>
      </c>
      <c r="M8" s="23">
        <f>M4-M7</f>
        <v>-299.03499999999997</v>
      </c>
      <c r="N8" s="23">
        <f>N4-N7</f>
        <v>-363.395</v>
      </c>
    </row>
    <row r="9">
      <c r="A9" s="19" t="inlineStr">
        <is>
          <t>Interest &amp; Other</t>
        </is>
      </c>
      <c r="B9" s="23" t="n">
        <v>-1.963</v>
      </c>
      <c r="C9" s="23" t="n">
        <v>-1.023</v>
      </c>
      <c r="D9" s="23" t="n">
        <v>-0.141</v>
      </c>
      <c r="E9" s="23" t="n">
        <v>-0.287</v>
      </c>
      <c r="F9" s="23" t="n">
        <v>0.02</v>
      </c>
      <c r="G9" s="23" t="n">
        <v>0.381</v>
      </c>
      <c r="H9" s="23" t="n">
        <v>0.106</v>
      </c>
      <c r="I9" s="23" t="n">
        <v>-0.335</v>
      </c>
      <c r="J9" s="23" t="n">
        <v>0.328</v>
      </c>
      <c r="K9" s="23" t="n">
        <v>4.404</v>
      </c>
      <c r="L9" s="23" t="n">
        <v>16.75</v>
      </c>
      <c r="M9" s="23" t="n">
        <v>29.135</v>
      </c>
      <c r="N9" s="23" t="n">
        <v>20.795</v>
      </c>
    </row>
    <row r="10">
      <c r="A10" s="2" t="inlineStr">
        <is>
          <t>Pretax</t>
        </is>
      </c>
      <c r="B10" s="23">
        <f>B8+B9</f>
        <v>-2.1600000000000006</v>
      </c>
      <c r="C10" s="23">
        <f>C8+C9</f>
        <v>-7.889999999999999</v>
      </c>
      <c r="D10" s="23">
        <f>D8+D9</f>
        <v>-11.328000000000001</v>
      </c>
      <c r="E10" s="23">
        <f>E8+E9</f>
        <v>-17.274</v>
      </c>
      <c r="F10" s="23">
        <f>F8+F9</f>
        <v>-26.512000000000004</v>
      </c>
      <c r="G10" s="23">
        <f>G8+G9</f>
        <v>-32.703</v>
      </c>
      <c r="H10" s="23">
        <f>H8+H9</f>
        <v>-41.873</v>
      </c>
      <c r="I10" s="23">
        <f>I8+I9</f>
        <v>-110.715</v>
      </c>
      <c r="J10" s="23">
        <f>J8+J9</f>
        <v>-79.4</v>
      </c>
      <c r="K10" s="23">
        <f>K8+K9</f>
        <v>-129.90000000000003</v>
      </c>
      <c r="L10" s="23">
        <f>L8+L9</f>
        <v>-237.7</v>
      </c>
      <c r="M10" s="23">
        <f>M8+M9</f>
        <v>-269.9</v>
      </c>
      <c r="N10" s="23">
        <f>N8+N9</f>
        <v>-342.59999999999997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</row>
    <row r="12">
      <c r="A12" s="2" t="inlineStr">
        <is>
          <t>Net Income</t>
        </is>
      </c>
      <c r="B12" s="23" t="n">
        <v>-2.16</v>
      </c>
      <c r="C12" s="23" t="n">
        <v>-7.89</v>
      </c>
      <c r="D12" s="23" t="n">
        <v>-11.328</v>
      </c>
      <c r="E12" s="23" t="n">
        <v>-17.274</v>
      </c>
      <c r="F12" s="23" t="n">
        <v>-26.512</v>
      </c>
      <c r="G12" s="23" t="n">
        <v>-32.703</v>
      </c>
      <c r="H12" s="23" t="n">
        <v>-41.873</v>
      </c>
      <c r="I12" s="23" t="n">
        <v>-110.715</v>
      </c>
      <c r="J12" s="23" t="n">
        <v>-79.40000000000001</v>
      </c>
      <c r="K12" s="23" t="n">
        <v>-129.9</v>
      </c>
      <c r="L12" s="23" t="n">
        <v>-237.7</v>
      </c>
      <c r="M12" s="23" t="n">
        <v>-269.9</v>
      </c>
      <c r="N12" s="23" t="n">
        <v>-342.6</v>
      </c>
    </row>
    <row r="13">
      <c r="A13" s="2" t="inlineStr">
        <is>
          <t>Earnings per Share</t>
        </is>
      </c>
      <c r="B13" s="11">
        <f>IFERROR(B12/B14,0)</f>
        <v>-0.4340836012861737</v>
      </c>
      <c r="C13" s="11">
        <f>IFERROR(C12/C14,0)</f>
        <v>-1.5795795795795795</v>
      </c>
      <c r="D13" s="11">
        <f>IFERROR(D12/D14,0)</f>
        <v>-9.47949790794979</v>
      </c>
      <c r="E13" s="11">
        <f>IFERROR(E12/E14,0)</f>
        <v>-12.701470588235294</v>
      </c>
      <c r="F13" s="11">
        <f>IFERROR(F12/F14,0)</f>
        <v>-19.281454545454547</v>
      </c>
      <c r="G13" s="11">
        <f>IFERROR(G12/G14,0)</f>
        <v>-15.469725638599813</v>
      </c>
      <c r="H13" s="11">
        <f>IFERROR(H12/H14,0)</f>
        <v>-20.04451890856869</v>
      </c>
      <c r="I13" s="11">
        <f>IFERROR(I12/I14,0)</f>
        <v>-31.12594883328648</v>
      </c>
      <c r="J13" s="11">
        <f>IFERROR(J12/J14,0)</f>
        <v>-6.661632687305982</v>
      </c>
      <c r="K13" s="11">
        <f>IFERROR(K12/K14,0)</f>
        <v>-4.048368498145666</v>
      </c>
      <c r="L13" s="11">
        <f>IFERROR(L12/L14,0)</f>
        <v>-5.311138420288235</v>
      </c>
      <c r="M13" s="11">
        <f>IFERROR(M12/M14,0)</f>
        <v>0</v>
      </c>
      <c r="N13" s="11">
        <f>IFERROR(N12/N14,0)</f>
        <v>0</v>
      </c>
    </row>
    <row r="14">
      <c r="A14" s="2" t="inlineStr">
        <is>
          <t>Shares</t>
        </is>
      </c>
      <c r="B14" s="23" t="n">
        <v>4.976</v>
      </c>
      <c r="C14" s="23" t="n">
        <v>4.995</v>
      </c>
      <c r="D14" s="23" t="n">
        <v>1.195</v>
      </c>
      <c r="E14" s="23" t="n">
        <v>1.36</v>
      </c>
      <c r="F14" s="23" t="n">
        <v>1.375</v>
      </c>
      <c r="G14" s="23" t="n">
        <v>2.114</v>
      </c>
      <c r="H14" s="23" t="n">
        <v>2.089</v>
      </c>
      <c r="I14" s="23" t="n">
        <v>3.557</v>
      </c>
      <c r="J14" s="23" t="n">
        <v>11.919</v>
      </c>
      <c r="K14" s="23" t="n">
        <v>32.087</v>
      </c>
      <c r="L14" s="23" t="n">
        <v>44.755</v>
      </c>
      <c r="M14" s="23" t="n"/>
      <c r="N14" s="23" t="n"/>
    </row>
    <row r="15"/>
    <row r="16" customFormat="1" s="4">
      <c r="A16" s="3" t="inlineStr">
        <is>
          <t>Revenue Change</t>
        </is>
      </c>
      <c r="C16" s="15">
        <f>IFERROR(C2/B2-1,"")</f>
        <v>0.1808413767983974</v>
      </c>
      <c r="D16" s="15">
        <f>IFERROR(D2/C2-1,"")</f>
        <v>-0.11998766193707577</v>
      </c>
      <c r="E16" s="15">
        <f>IFERROR(E2/D2-1,"")</f>
        <v>-0.39064143007360674</v>
      </c>
      <c r="F16" s="15">
        <f>IFERROR(F2/E2-1,"")</f>
        <v>0.15127983894161634</v>
      </c>
      <c r="G16" s="15">
        <f>IFERROR(G2/F2-1,"")</f>
        <v>1.0949288033974516</v>
      </c>
      <c r="H16" s="15">
        <f>IFERROR(H2/G2-1,"")</f>
        <v>-0.46804197471977094</v>
      </c>
      <c r="I16" s="15">
        <f>IFERROR(I2/H2-1,"")</f>
        <v>-0.7646267652992602</v>
      </c>
      <c r="J16" s="15">
        <f>IFERROR(J2/I2-1,"")</f>
        <v>1.821904761904762</v>
      </c>
      <c r="K16" s="15">
        <f>IFERROR(K2/J2-1,"")</f>
        <v>-0.4019574755315559</v>
      </c>
      <c r="L16" s="15">
        <f>IFERROR(L2/K2-1,"")</f>
        <v>-0.8227990970654627</v>
      </c>
      <c r="M16" s="15">
        <f>IFERROR(M2/L2-1,"")</f>
        <v>-0.03821656050955413</v>
      </c>
      <c r="N16" s="15">
        <f>IFERROR(N2/M2-1,"")</f>
        <v>233.5993377483444</v>
      </c>
    </row>
    <row r="17" customFormat="1" s="4">
      <c r="A17" s="3" t="inlineStr">
        <is>
          <t>Gross Margin</t>
        </is>
      </c>
      <c r="B17" s="15">
        <f>IFERROR(B4/B2,"")</f>
        <v>0.4940812238207976</v>
      </c>
      <c r="C17" s="15">
        <f>IFERROR(C4/C2,"")</f>
        <v>0.4808760024676126</v>
      </c>
      <c r="D17" s="15">
        <f>IFERROR(D4/D2,"")</f>
        <v>0.5667718191377498</v>
      </c>
      <c r="E17" s="15">
        <f>IFERROR(E4/E2,"")</f>
        <v>0.267184354328444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</row>
    <row r="18">
      <c r="A18" s="14" t="inlineStr">
        <is>
          <t>Operating Margin</t>
        </is>
      </c>
      <c r="B18" s="15">
        <f>IFERROR(B8/B2,"")</f>
        <v>-0.03587688945547269</v>
      </c>
      <c r="C18" s="15">
        <f>IFERROR(C8/C2,"")</f>
        <v>-1.0590684762492288</v>
      </c>
      <c r="D18" s="15">
        <f>IFERROR(D8/D2,"")</f>
        <v>-1.9605678233438486</v>
      </c>
      <c r="E18" s="15">
        <f>IFERROR(E8/E2,"")</f>
        <v>-4.885533505895888</v>
      </c>
      <c r="F18" s="15">
        <f>IFERROR(F8/F2,"")</f>
        <v>-6.628028978266301</v>
      </c>
      <c r="G18" s="15">
        <f>IFERROR(G8/G2,"")</f>
        <v>-3.9451466730264735</v>
      </c>
      <c r="H18" s="15">
        <f>IFERROR(H8/H2,"")</f>
        <v>-9.410221923335575</v>
      </c>
      <c r="I18" s="15">
        <f>IFERROR(I8/I2,"")</f>
        <v>-105.12380952380953</v>
      </c>
      <c r="J18" s="15">
        <f>IFERROR(J8/J2,"")</f>
        <v>-26.907863651704357</v>
      </c>
      <c r="K18" s="15">
        <f>IFERROR(K8/K2,"")</f>
        <v>-75.79232505643343</v>
      </c>
      <c r="L18" s="15">
        <f>IFERROR(L8/L2,"")</f>
        <v>-810.3503184713376</v>
      </c>
      <c r="M18" s="15">
        <f>IFERROR(M8/M2,"")</f>
        <v>-990.1821192052979</v>
      </c>
      <c r="N18" s="15">
        <f>IFERROR(N8/N2,"")</f>
        <v>-5.129147906110178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2026-10-21T06:22:34Z</dcterms:modified>
  <cp:lastModifiedBy>Wang, Eric</cp:lastModifiedBy>
</cp:coreProperties>
</file>