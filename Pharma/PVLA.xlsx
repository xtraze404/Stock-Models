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Palvella Therapeutics Inc</t>
        </is>
      </c>
      <c r="C2" s="10" t="n"/>
    </row>
    <row r="3">
      <c r="B3" t="inlineStr">
        <is>
          <t>Price</t>
        </is>
      </c>
      <c r="C3" s="11">
        <f>INDEX([1]Pharma!$F$1:$F$1000,MATCH("PVLA",[1]Pharma!$B$1:$B$1000,0))</f>
        <v>123.92</v>
      </c>
      <c r="F3" s="1" t="n"/>
    </row>
    <row r="4">
      <c r="B4" t="inlineStr">
        <is>
          <t>Shares</t>
        </is>
      </c>
      <c r="C4" s="21" t="n">
        <v>14.408407</v>
      </c>
      <c r="F4" s="1" t="n"/>
    </row>
    <row r="5">
      <c r="B5" t="inlineStr">
        <is>
          <t>Market Cap.</t>
        </is>
      </c>
      <c r="C5" s="13">
        <f>C3*C4</f>
        <v>1785.48979544</v>
      </c>
      <c r="F5" s="1" t="n"/>
    </row>
    <row r="6"/>
    <row r="7">
      <c r="B7" t="inlineStr">
        <is>
          <t>Cash</t>
        </is>
      </c>
      <c r="C7" s="21">
        <f>187.803+62.781</f>
        <v>250.584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1534.90579544</v>
      </c>
    </row>
    <row r="10"/>
    <row r="11">
      <c r="B11" s="14" t="inlineStr">
        <is>
          <t>Net Cash / Share</t>
        </is>
      </c>
      <c r="C11" s="11">
        <f>(C7-C8)/C4</f>
        <v>17.39151316311373</v>
      </c>
    </row>
    <row r="12">
      <c r="B12" s="14" t="inlineStr">
        <is>
          <t>Upside</t>
        </is>
      </c>
      <c r="C12" s="15">
        <f>IFERROR(C11/C3-1,"")</f>
        <v>-0.8596553166307801</v>
      </c>
    </row>
    <row r="13">
      <c r="B13" s="14" t="inlineStr">
        <is>
          <t>Cash / Share</t>
        </is>
      </c>
      <c r="C13" s="11">
        <f>IFERROR((C7-C8)/C4,"")</f>
        <v>17.39151316311373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-36.513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6.862870758360037</v>
      </c>
    </row>
    <row r="19">
      <c r="B19" s="14" t="inlineStr">
        <is>
          <t>Implied Pipeline Value</t>
        </is>
      </c>
      <c r="C19" s="13">
        <f>C9</f>
        <v>1534.90579544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12.427</v>
      </c>
      <c r="C2" s="23" t="n">
        <v>5.365</v>
      </c>
      <c r="D2" s="23" t="n">
        <v>2.932</v>
      </c>
      <c r="E2" s="23" t="n">
        <v>5.831</v>
      </c>
      <c r="F2" s="23" t="n">
        <v>25.275</v>
      </c>
      <c r="G2" s="23" t="n">
        <v>29.101</v>
      </c>
      <c r="H2" s="23" t="n">
        <v>46.279</v>
      </c>
      <c r="I2" s="23" t="n">
        <v>29.323</v>
      </c>
      <c r="J2" s="23" t="n">
        <v>31.418</v>
      </c>
      <c r="K2" s="23" t="n">
        <v>25.902</v>
      </c>
      <c r="L2" s="23" t="n">
        <v>42.81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12.427</v>
      </c>
      <c r="C4" s="23">
        <f>C2-C3</f>
        <v>5.365</v>
      </c>
      <c r="D4" s="23">
        <f>D2-D3</f>
        <v>2.932</v>
      </c>
      <c r="E4" s="23">
        <f>E2-E3</f>
        <v>5.831</v>
      </c>
      <c r="F4" s="23">
        <f>F2-F3</f>
        <v>25.275</v>
      </c>
      <c r="G4" s="23">
        <f>G2-G3</f>
        <v>29.101</v>
      </c>
      <c r="H4" s="23">
        <f>H2-H3</f>
        <v>46.279</v>
      </c>
      <c r="I4" s="23">
        <f>I2-I3</f>
        <v>29.323</v>
      </c>
      <c r="J4" s="23">
        <f>J2-J3</f>
        <v>31.418</v>
      </c>
      <c r="K4" s="23">
        <f>K2-K3</f>
        <v>25.902</v>
      </c>
      <c r="L4" s="23">
        <f>L2-L3</f>
        <v>42.81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9.412000000000001</v>
      </c>
      <c r="C5" s="23" t="n">
        <v>5.6</v>
      </c>
      <c r="D5" s="23" t="n">
        <v>8.244999999999999</v>
      </c>
      <c r="E5" s="23" t="n">
        <v>19.699</v>
      </c>
      <c r="F5" s="23" t="n">
        <v>22.285</v>
      </c>
      <c r="G5" s="23" t="n">
        <v>41.49</v>
      </c>
      <c r="H5" s="23" t="n">
        <v>54.996</v>
      </c>
      <c r="I5" s="23" t="n">
        <v>46.531</v>
      </c>
      <c r="J5" s="23" t="n">
        <v>66.65600000000001</v>
      </c>
      <c r="K5" s="23" t="n">
        <v>52.982</v>
      </c>
      <c r="L5" s="23" t="n">
        <v>8.792999999999999</v>
      </c>
      <c r="M5" s="23" t="n">
        <v>8.151</v>
      </c>
      <c r="N5" s="23" t="n">
        <v>22.841</v>
      </c>
    </row>
    <row r="6">
      <c r="A6" s="19" t="inlineStr">
        <is>
          <t>SG&amp;A &amp; Other</t>
        </is>
      </c>
      <c r="B6" s="23" t="n">
        <v>2.462</v>
      </c>
      <c r="C6" s="23" t="n">
        <v>6.963</v>
      </c>
      <c r="D6" s="23" t="n">
        <v>8.368</v>
      </c>
      <c r="E6" s="23" t="n">
        <v>8.891</v>
      </c>
      <c r="F6" s="23" t="n">
        <v>17.584</v>
      </c>
      <c r="G6" s="23" t="n">
        <v>18.442</v>
      </c>
      <c r="H6" s="23" t="n">
        <v>18.44</v>
      </c>
      <c r="I6" s="23" t="n">
        <v>16.713</v>
      </c>
      <c r="J6" s="23" t="n">
        <v>16.593</v>
      </c>
      <c r="K6" s="23" t="n">
        <v>16.394</v>
      </c>
      <c r="L6" s="23" t="n">
        <v>45.886</v>
      </c>
      <c r="M6" s="23" t="n">
        <v>5.944</v>
      </c>
      <c r="N6" s="23" t="n">
        <v>15.761</v>
      </c>
    </row>
    <row r="7">
      <c r="A7" s="2" t="inlineStr">
        <is>
          <t>Operating Expense</t>
        </is>
      </c>
      <c r="B7" s="23">
        <f>SUM(B5:B6)</f>
        <v>11.874</v>
      </c>
      <c r="C7" s="23">
        <f>SUM(C5:C6)</f>
        <v>12.562999999999999</v>
      </c>
      <c r="D7" s="23">
        <f>SUM(D5:D6)</f>
        <v>16.613</v>
      </c>
      <c r="E7" s="23">
        <f>SUM(E5:E6)</f>
        <v>28.590000000000003</v>
      </c>
      <c r="F7" s="23">
        <f>SUM(F5:F6)</f>
        <v>39.869</v>
      </c>
      <c r="G7" s="23">
        <f>SUM(G5:G6)</f>
        <v>59.932</v>
      </c>
      <c r="H7" s="23">
        <f>SUM(H5:H6)</f>
        <v>73.436</v>
      </c>
      <c r="I7" s="23">
        <f>SUM(I5:I6)</f>
        <v>63.244</v>
      </c>
      <c r="J7" s="23">
        <f>SUM(J5:J6)</f>
        <v>83.24900000000001</v>
      </c>
      <c r="K7" s="23">
        <f>SUM(K5:K6)</f>
        <v>69.376</v>
      </c>
      <c r="L7" s="23">
        <f>SUM(L5:L6)</f>
        <v>54.679</v>
      </c>
      <c r="M7" s="23">
        <f>SUM(M5:M6)</f>
        <v>14.094999999999999</v>
      </c>
      <c r="N7" s="23">
        <f>SUM(N5:N6)</f>
        <v>38.602000000000004</v>
      </c>
    </row>
    <row r="8">
      <c r="A8" s="2" t="inlineStr">
        <is>
          <t>Operating Income</t>
        </is>
      </c>
      <c r="B8" s="23">
        <f>B4-B7</f>
        <v>0.552999999999999</v>
      </c>
      <c r="C8" s="23">
        <f>C4-C7</f>
        <v>-7.197999999999999</v>
      </c>
      <c r="D8" s="23">
        <f>D4-D7</f>
        <v>-13.681</v>
      </c>
      <c r="E8" s="23">
        <f>E4-E7</f>
        <v>-22.759000000000004</v>
      </c>
      <c r="F8" s="23">
        <f>F4-F7</f>
        <v>-14.594000000000001</v>
      </c>
      <c r="G8" s="23">
        <f>G4-G7</f>
        <v>-30.831000000000003</v>
      </c>
      <c r="H8" s="23">
        <f>H4-H7</f>
        <v>-27.157000000000004</v>
      </c>
      <c r="I8" s="23">
        <f>I4-I7</f>
        <v>-33.921</v>
      </c>
      <c r="J8" s="23">
        <f>J4-J7</f>
        <v>-51.83100000000001</v>
      </c>
      <c r="K8" s="23">
        <f>K4-K7</f>
        <v>-43.474000000000004</v>
      </c>
      <c r="L8" s="23">
        <f>L4-L7</f>
        <v>-11.869</v>
      </c>
      <c r="M8" s="23">
        <f>M4-M7</f>
        <v>-14.094999999999999</v>
      </c>
      <c r="N8" s="23">
        <f>N4-N7</f>
        <v>-38.602000000000004</v>
      </c>
    </row>
    <row r="9">
      <c r="A9" s="19" t="inlineStr">
        <is>
          <t>Interest &amp; Other</t>
        </is>
      </c>
      <c r="B9" s="23" t="n">
        <v>-0.488</v>
      </c>
      <c r="C9" s="23" t="n">
        <v>-2.652</v>
      </c>
      <c r="D9" s="23" t="n">
        <v>-0.174</v>
      </c>
      <c r="E9" s="23" t="n">
        <v>0.122</v>
      </c>
      <c r="F9" s="23" t="n">
        <v>-1.95</v>
      </c>
      <c r="G9" s="23" t="n">
        <v>3.765</v>
      </c>
      <c r="H9" s="23" t="n">
        <v>1.688</v>
      </c>
      <c r="I9" s="23" t="n">
        <v>-3.145</v>
      </c>
      <c r="J9" s="23" t="n">
        <v>6.093</v>
      </c>
      <c r="K9" s="23" t="n">
        <v>10.197</v>
      </c>
      <c r="L9" s="23" t="n">
        <v>30.56</v>
      </c>
      <c r="M9" s="23" t="n">
        <v>-3.339</v>
      </c>
      <c r="N9" s="23" t="n">
        <v>-3.113</v>
      </c>
    </row>
    <row r="10">
      <c r="A10" s="2" t="inlineStr">
        <is>
          <t>Pretax</t>
        </is>
      </c>
      <c r="B10" s="23">
        <f>B8+B9</f>
        <v>0.06499999999999906</v>
      </c>
      <c r="C10" s="23">
        <f>C8+C9</f>
        <v>-9.849999999999998</v>
      </c>
      <c r="D10" s="23">
        <f>D8+D9</f>
        <v>-13.854999999999999</v>
      </c>
      <c r="E10" s="23">
        <f>E8+E9</f>
        <v>-22.637000000000004</v>
      </c>
      <c r="F10" s="23">
        <f>F8+F9</f>
        <v>-16.544</v>
      </c>
      <c r="G10" s="23">
        <f>G8+G9</f>
        <v>-27.066000000000003</v>
      </c>
      <c r="H10" s="23">
        <f>H8+H9</f>
        <v>-25.469000000000005</v>
      </c>
      <c r="I10" s="23">
        <f>I8+I9</f>
        <v>-37.066</v>
      </c>
      <c r="J10" s="23">
        <f>J8+J9</f>
        <v>-45.738000000000014</v>
      </c>
      <c r="K10" s="23">
        <f>K8+K9</f>
        <v>-33.277</v>
      </c>
      <c r="L10" s="23">
        <f>L8+L9</f>
        <v>18.691</v>
      </c>
      <c r="M10" s="23">
        <f>M8+M9</f>
        <v>-17.433999999999997</v>
      </c>
      <c r="N10" s="23">
        <f>N8+N9</f>
        <v>-41.715</v>
      </c>
    </row>
    <row r="11">
      <c r="A11" s="2" t="inlineStr">
        <is>
          <t>Taxes</t>
        </is>
      </c>
      <c r="B11" s="23" t="n">
        <v>0</v>
      </c>
      <c r="C11" s="23" t="n">
        <v>-0</v>
      </c>
      <c r="D11" s="23" t="n">
        <v>0.204</v>
      </c>
      <c r="E11" s="23" t="n">
        <v>0.162</v>
      </c>
      <c r="F11" s="23" t="n">
        <v>1.103</v>
      </c>
      <c r="G11" s="23" t="n">
        <v>-0.312</v>
      </c>
      <c r="H11" s="23" t="n">
        <v>0</v>
      </c>
      <c r="I11" s="23" t="n">
        <v>0.164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0.066</v>
      </c>
      <c r="C12" s="23" t="n">
        <v>-9.85</v>
      </c>
      <c r="D12" s="23" t="n">
        <v>-14.059</v>
      </c>
      <c r="E12" s="23" t="n">
        <v>-22.799</v>
      </c>
      <c r="F12" s="23" t="n">
        <v>-17.647</v>
      </c>
      <c r="G12" s="23" t="n">
        <v>-26.754</v>
      </c>
      <c r="H12" s="23" t="n">
        <v>-25.469</v>
      </c>
      <c r="I12" s="23" t="n">
        <v>-37.23</v>
      </c>
      <c r="J12" s="23" t="n">
        <v>-45.738</v>
      </c>
      <c r="K12" s="23" t="n">
        <v>-33.277</v>
      </c>
      <c r="L12" s="23" t="n">
        <v>18.691</v>
      </c>
      <c r="M12" s="23" t="n">
        <v>-17.434</v>
      </c>
      <c r="N12" s="23" t="n">
        <v>-41.715</v>
      </c>
    </row>
    <row r="13">
      <c r="A13" s="2" t="inlineStr">
        <is>
          <t>Earnings per Share</t>
        </is>
      </c>
      <c r="B13" s="11">
        <f>IFERROR(B12/B14,0)</f>
        <v>0.04573804573804574</v>
      </c>
      <c r="C13" s="11">
        <f>IFERROR(C12/C14,0)</f>
        <v>-5.821513002364066</v>
      </c>
      <c r="D13" s="11">
        <f>IFERROR(D12/D14,0)</f>
        <v>-3.3521697663328562</v>
      </c>
      <c r="E13" s="11">
        <f>IFERROR(E12/E14,0)</f>
        <v>-4.481816394731669</v>
      </c>
      <c r="F13" s="11">
        <f>IFERROR(F12/F14,0)</f>
        <v>-3.294194511853649</v>
      </c>
      <c r="G13" s="11">
        <f>IFERROR(G12/G14,0)</f>
        <v>-4.133168546269118</v>
      </c>
      <c r="H13" s="11">
        <f>IFERROR(H12/H14,0)</f>
        <v>-4.125202461937156</v>
      </c>
      <c r="I13" s="11">
        <f>IFERROR(I12/I14,0)</f>
        <v>-5.603552077062011</v>
      </c>
      <c r="J13" s="11">
        <f>IFERROR(J12/J14,0)</f>
        <v>-5.810213414634147</v>
      </c>
      <c r="K13" s="11">
        <f>IFERROR(K12/K14,0)</f>
        <v>-3.6790491984521836</v>
      </c>
      <c r="L13" s="11">
        <f>IFERROR(L12/L14,0)</f>
        <v>2.0837235228539575</v>
      </c>
      <c r="M13" s="11">
        <f>IFERROR(M12/M14,0)</f>
        <v>-1.566397124887691</v>
      </c>
      <c r="N13" s="11">
        <f>IFERROR(N12/N14,0)</f>
        <v>-3.7076704292951743</v>
      </c>
    </row>
    <row r="14">
      <c r="A14" s="2" t="inlineStr">
        <is>
          <t>Shares</t>
        </is>
      </c>
      <c r="B14" s="23" t="n">
        <v>1.443</v>
      </c>
      <c r="C14" s="23" t="n">
        <v>1.692</v>
      </c>
      <c r="D14" s="23" t="n">
        <v>4.194</v>
      </c>
      <c r="E14" s="23" t="n">
        <v>5.087</v>
      </c>
      <c r="F14" s="23" t="n">
        <v>5.357</v>
      </c>
      <c r="G14" s="23" t="n">
        <v>6.473</v>
      </c>
      <c r="H14" s="23" t="n">
        <v>6.174</v>
      </c>
      <c r="I14" s="23" t="n">
        <v>6.644</v>
      </c>
      <c r="J14" s="23" t="n">
        <v>7.872</v>
      </c>
      <c r="K14" s="23" t="n">
        <v>9.045</v>
      </c>
      <c r="L14" s="23" t="n">
        <v>8.970000000000001</v>
      </c>
      <c r="M14" s="23" t="n">
        <v>11.13</v>
      </c>
      <c r="N14" s="23" t="n">
        <v>11.251</v>
      </c>
    </row>
    <row r="15"/>
    <row r="16" customFormat="1" s="4">
      <c r="A16" s="3" t="inlineStr">
        <is>
          <t>Revenue Change</t>
        </is>
      </c>
      <c r="C16" s="15">
        <f>IFERROR(C2/B2-1,"")</f>
        <v>-0.5682787478876639</v>
      </c>
      <c r="D16" s="15">
        <f>IFERROR(D2/C2-1,"")</f>
        <v>-0.4534948741845294</v>
      </c>
      <c r="E16" s="15">
        <f>IFERROR(E2/D2-1,"")</f>
        <v>0.9887448840381994</v>
      </c>
      <c r="F16" s="15">
        <f>IFERROR(F2/E2-1,"")</f>
        <v>3.3345909792488415</v>
      </c>
      <c r="G16" s="15">
        <f>IFERROR(G2/F2-1,"")</f>
        <v>0.15137487636003955</v>
      </c>
      <c r="H16" s="15">
        <f>IFERROR(H2/G2-1,"")</f>
        <v>0.5902889935053779</v>
      </c>
      <c r="I16" s="15">
        <f>IFERROR(I2/H2-1,"")</f>
        <v>-0.3663864819896714</v>
      </c>
      <c r="J16" s="15">
        <f>IFERROR(J2/I2-1,"")</f>
        <v>0.07144562288988165</v>
      </c>
      <c r="K16" s="15">
        <f>IFERROR(K2/J2-1,"")</f>
        <v>-0.17556814564899093</v>
      </c>
      <c r="L16" s="15">
        <f>IFERROR(L2/K2-1,"")</f>
        <v>0.6527681260134353</v>
      </c>
      <c r="M16" s="15">
        <f>IFERROR(M2/L2-1,"")</f>
        <v>-1.0</v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>0.044499879295083214</v>
      </c>
      <c r="C18" s="15">
        <f>IFERROR(C8/C2,"")</f>
        <v>-1.3416589002795896</v>
      </c>
      <c r="D18" s="15">
        <f>IFERROR(D8/D2,"")</f>
        <v>-4.666098226466575</v>
      </c>
      <c r="E18" s="15">
        <f>IFERROR(E8/E2,"")</f>
        <v>-3.9031040987823706</v>
      </c>
      <c r="F18" s="15">
        <f>IFERROR(F8/F2,"")</f>
        <v>-0.577408506429278</v>
      </c>
      <c r="G18" s="15">
        <f>IFERROR(G8/G2,"")</f>
        <v>-1.0594481289302775</v>
      </c>
      <c r="H18" s="15">
        <f>IFERROR(H8/H2,"")</f>
        <v>-0.5868104323775363</v>
      </c>
      <c r="I18" s="15">
        <f>IFERROR(I8/I2,"")</f>
        <v>-1.1568052382089145</v>
      </c>
      <c r="J18" s="15">
        <f>IFERROR(J8/J2,"")</f>
        <v>-1.649723088675282</v>
      </c>
      <c r="K18" s="15">
        <f>IFERROR(K8/K2,"")</f>
        <v>-1.6784032121071732</v>
      </c>
      <c r="L18" s="15">
        <f>IFERROR(L8/L2,"")</f>
        <v>-0.2772483064704508</v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2026-10-21T06:22:49Z</dcterms:modified>
  <cp:lastModifiedBy>Wang, Eric</cp:lastModifiedBy>
</cp:coreProperties>
</file>