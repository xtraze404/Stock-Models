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Voyager Therapeutics, Inc.</t>
        </is>
      </c>
      <c r="C2" s="10" t="n"/>
    </row>
    <row r="3">
      <c r="B3" t="inlineStr">
        <is>
          <t>Price</t>
        </is>
      </c>
      <c r="C3" s="11">
        <f>INDEX([1]Pharma!$F$1:$F$1000,MATCH("VYGR",[1]Pharma!$B$1:$B$1000,0))</f>
        <v>2.19</v>
      </c>
      <c r="F3" s="1" t="n"/>
    </row>
    <row r="4">
      <c r="B4" t="inlineStr">
        <is>
          <t>Shares</t>
        </is>
      </c>
      <c r="C4" s="21" t="n">
        <v>61.617948</v>
      </c>
      <c r="F4" s="1" t="n"/>
    </row>
    <row r="5">
      <c r="B5" t="inlineStr">
        <is>
          <t>Market Cap.</t>
        </is>
      </c>
      <c r="C5" s="13">
        <f>C3*C4</f>
        <v>134.94330612</v>
      </c>
      <c r="F5" s="1" t="n"/>
    </row>
    <row r="6"/>
    <row r="7">
      <c r="B7" t="inlineStr">
        <is>
          <t>Cash</t>
        </is>
      </c>
      <c r="C7" s="21" t="n">
        <v>148.8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-13.856693880000023</v>
      </c>
    </row>
    <row r="10"/>
    <row r="11">
      <c r="B11" s="14" t="inlineStr">
        <is>
          <t>Net Cash / Share</t>
        </is>
      </c>
      <c r="C11" s="11">
        <f>(C7-C8)/C4</f>
        <v>2.4148808071310652</v>
      </c>
    </row>
    <row r="12">
      <c r="B12" s="14" t="inlineStr">
        <is>
          <t>Upside</t>
        </is>
      </c>
      <c r="C12" s="15">
        <f>IFERROR(C11/C3-1,"")</f>
        <v>0.1026853000598471</v>
      </c>
    </row>
    <row r="13">
      <c r="B13" s="14" t="inlineStr">
        <is>
          <t>Cash / Share</t>
        </is>
      </c>
      <c r="C13" s="11">
        <f>IFERROR((C7-C8)/C4,"")</f>
        <v>2.4148808071310652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-120.572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1.234117373851309</v>
      </c>
    </row>
    <row r="19">
      <c r="B19" s="14" t="inlineStr">
        <is>
          <t>Implied Pipeline Value</t>
        </is>
      </c>
      <c r="C19" s="13">
        <f>C9</f>
        <v>-13.856693880000023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17.334</v>
      </c>
      <c r="D2" s="23" t="n">
        <v>14.22</v>
      </c>
      <c r="E2" s="23" t="n">
        <v>10.135</v>
      </c>
      <c r="F2" s="23" t="n">
        <v>7.619</v>
      </c>
      <c r="G2" s="23" t="n">
        <v>104.391</v>
      </c>
      <c r="H2" s="23" t="n">
        <v>171.128</v>
      </c>
      <c r="I2" s="23" t="n">
        <v>37.415</v>
      </c>
      <c r="J2" s="23" t="n">
        <v>40.907</v>
      </c>
      <c r="K2" s="23" t="n">
        <v>250.008</v>
      </c>
      <c r="L2" s="23" t="n">
        <v>80.001</v>
      </c>
      <c r="M2" s="23" t="n">
        <v>40.374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17.334</v>
      </c>
      <c r="D4" s="23">
        <f>D2-D3</f>
        <v>14.22</v>
      </c>
      <c r="E4" s="23">
        <f>E2-E3</f>
        <v>10.135</v>
      </c>
      <c r="F4" s="23">
        <f>F2-F3</f>
        <v>7.619</v>
      </c>
      <c r="G4" s="23">
        <f>G2-G3</f>
        <v>104.391</v>
      </c>
      <c r="H4" s="23">
        <f>H2-H3</f>
        <v>171.128</v>
      </c>
      <c r="I4" s="23">
        <f>I2-I3</f>
        <v>37.415</v>
      </c>
      <c r="J4" s="23">
        <f>J2-J3</f>
        <v>40.907</v>
      </c>
      <c r="K4" s="23">
        <f>K2-K3</f>
        <v>250.008</v>
      </c>
      <c r="L4" s="23">
        <f>L2-L3</f>
        <v>80.001</v>
      </c>
      <c r="M4" s="23">
        <f>M2-M3</f>
        <v>40.374</v>
      </c>
    </row>
    <row r="5">
      <c r="A5" s="2" t="inlineStr">
        <is>
          <t>Research &amp; Dev.</t>
        </is>
      </c>
      <c r="B5" s="23" t="n">
        <v>8.898</v>
      </c>
      <c r="C5" s="23" t="n">
        <v>27.679</v>
      </c>
      <c r="D5" s="23" t="n">
        <v>42.249</v>
      </c>
      <c r="E5" s="23" t="n">
        <v>62.26</v>
      </c>
      <c r="F5" s="23" t="n">
        <v>64.905</v>
      </c>
      <c r="G5" s="23" t="n">
        <v>119.735</v>
      </c>
      <c r="H5" s="23" t="n">
        <v>108.753</v>
      </c>
      <c r="I5" s="23" t="n">
        <v>73.78700000000001</v>
      </c>
      <c r="J5" s="23" t="n">
        <v>60.764</v>
      </c>
      <c r="K5" s="23" t="n">
        <v>92.172</v>
      </c>
      <c r="L5" s="23" t="n">
        <v>127.368</v>
      </c>
      <c r="M5" s="23" t="n">
        <v>134.674</v>
      </c>
    </row>
    <row r="6">
      <c r="A6" s="19" t="inlineStr">
        <is>
          <t>SG&amp;A &amp; Other</t>
        </is>
      </c>
      <c r="B6" s="23" t="n">
        <v>5.469</v>
      </c>
      <c r="C6" s="23" t="n">
        <v>9.909000000000001</v>
      </c>
      <c r="D6" s="23" t="n">
        <v>13.27</v>
      </c>
      <c r="E6" s="23" t="n">
        <v>19.738</v>
      </c>
      <c r="F6" s="23" t="n">
        <v>33.809</v>
      </c>
      <c r="G6" s="23" t="n">
        <v>36.335</v>
      </c>
      <c r="H6" s="23" t="n">
        <v>34.991</v>
      </c>
      <c r="I6" s="23" t="n">
        <v>37.246</v>
      </c>
      <c r="J6" s="23" t="n">
        <v>30.98</v>
      </c>
      <c r="K6" s="23" t="n">
        <v>35.822</v>
      </c>
      <c r="L6" s="23" t="n">
        <v>35.92</v>
      </c>
      <c r="M6" s="23" t="n">
        <v>37.544</v>
      </c>
    </row>
    <row r="7">
      <c r="A7" s="2" t="inlineStr">
        <is>
          <t>Operating Expense</t>
        </is>
      </c>
      <c r="B7" s="23">
        <f>SUM(B5:B6)</f>
        <v>14.367</v>
      </c>
      <c r="C7" s="23">
        <f>SUM(C5:C6)</f>
        <v>37.588</v>
      </c>
      <c r="D7" s="23">
        <f>SUM(D5:D6)</f>
        <v>55.519000000000005</v>
      </c>
      <c r="E7" s="23">
        <f>SUM(E5:E6)</f>
        <v>81.99799999999999</v>
      </c>
      <c r="F7" s="23">
        <f>SUM(F5:F6)</f>
        <v>98.714</v>
      </c>
      <c r="G7" s="23">
        <f>SUM(G5:G6)</f>
        <v>156.07</v>
      </c>
      <c r="H7" s="23">
        <f>SUM(H5:H6)</f>
        <v>143.744</v>
      </c>
      <c r="I7" s="23">
        <f>SUM(I5:I6)</f>
        <v>111.03300000000002</v>
      </c>
      <c r="J7" s="23">
        <f>SUM(J5:J6)</f>
        <v>91.744</v>
      </c>
      <c r="K7" s="23">
        <f>SUM(K5:K6)</f>
        <v>127.994</v>
      </c>
      <c r="L7" s="23">
        <f>SUM(L5:L6)</f>
        <v>163.288</v>
      </c>
      <c r="M7" s="23">
        <f>SUM(M5:M6)</f>
        <v>172.21800000000002</v>
      </c>
    </row>
    <row r="8">
      <c r="A8" s="2" t="inlineStr">
        <is>
          <t>Operating Income</t>
        </is>
      </c>
      <c r="B8" s="23">
        <f>B4-B7</f>
        <v>-14.367</v>
      </c>
      <c r="C8" s="23">
        <f>C4-C7</f>
        <v>-20.254</v>
      </c>
      <c r="D8" s="23">
        <f>D4-D7</f>
        <v>-41.29900000000001</v>
      </c>
      <c r="E8" s="23">
        <f>E4-E7</f>
        <v>-71.86299999999999</v>
      </c>
      <c r="F8" s="23">
        <f>F4-F7</f>
        <v>-91.095</v>
      </c>
      <c r="G8" s="23">
        <f>G4-G7</f>
        <v>-51.67899999999999</v>
      </c>
      <c r="H8" s="23">
        <f>H4-H7</f>
        <v>27.383999999999986</v>
      </c>
      <c r="I8" s="23">
        <f>I4-I7</f>
        <v>-73.61800000000002</v>
      </c>
      <c r="J8" s="23">
        <f>J4-J7</f>
        <v>-50.837</v>
      </c>
      <c r="K8" s="23">
        <f>K4-K7</f>
        <v>122.01400000000001</v>
      </c>
      <c r="L8" s="23">
        <f>L4-L7</f>
        <v>-83.287</v>
      </c>
      <c r="M8" s="23">
        <f>M4-M7</f>
        <v>-131.84400000000002</v>
      </c>
    </row>
    <row r="9">
      <c r="A9" s="19" t="inlineStr">
        <is>
          <t>Interest &amp; Other</t>
        </is>
      </c>
      <c r="B9" s="23" t="n">
        <v>-1.95</v>
      </c>
      <c r="C9" s="23" t="n">
        <v>-9.417999999999999</v>
      </c>
      <c r="D9" s="23" t="n">
        <v>1.158</v>
      </c>
      <c r="E9" s="23" t="n">
        <v>1.165</v>
      </c>
      <c r="F9" s="23" t="n">
        <v>2.627</v>
      </c>
      <c r="G9" s="23" t="n">
        <v>8.082000000000001</v>
      </c>
      <c r="H9" s="23" t="n">
        <v>9.356999999999999</v>
      </c>
      <c r="I9" s="23" t="n">
        <v>2.421</v>
      </c>
      <c r="J9" s="23" t="n">
        <v>4.445</v>
      </c>
      <c r="K9" s="23" t="n">
        <v>11.724</v>
      </c>
      <c r="L9" s="23" t="n">
        <v>18.95</v>
      </c>
      <c r="M9" s="23" t="n">
        <v>12.267</v>
      </c>
    </row>
    <row r="10">
      <c r="A10" s="2" t="inlineStr">
        <is>
          <t>Pretax</t>
        </is>
      </c>
      <c r="B10" s="23">
        <f>B8+B9</f>
        <v>-16.317</v>
      </c>
      <c r="C10" s="23">
        <f>C8+C9</f>
        <v>-29.672</v>
      </c>
      <c r="D10" s="23">
        <f>D8+D9</f>
        <v>-40.141000000000005</v>
      </c>
      <c r="E10" s="23">
        <f>E8+E9</f>
        <v>-70.69799999999998</v>
      </c>
      <c r="F10" s="23">
        <f>F8+F9</f>
        <v>-88.468</v>
      </c>
      <c r="G10" s="23">
        <f>G8+G9</f>
        <v>-43.59699999999999</v>
      </c>
      <c r="H10" s="23">
        <f>H8+H9</f>
        <v>36.740999999999985</v>
      </c>
      <c r="I10" s="23">
        <f>I8+I9</f>
        <v>-71.19700000000002</v>
      </c>
      <c r="J10" s="23">
        <f>J8+J9</f>
        <v>-46.392</v>
      </c>
      <c r="K10" s="23">
        <f>K8+K9</f>
        <v>133.738</v>
      </c>
      <c r="L10" s="23">
        <f>L8+L9</f>
        <v>-64.337</v>
      </c>
      <c r="M10" s="23">
        <f>M8+M9</f>
        <v>-119.57700000000003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0.052</v>
      </c>
      <c r="E11" s="23" t="n">
        <v>0</v>
      </c>
      <c r="F11" s="23" t="n">
        <v>-0.18</v>
      </c>
      <c r="G11" s="23" t="n">
        <v>0</v>
      </c>
      <c r="H11" s="23" t="n">
        <v>0</v>
      </c>
      <c r="I11" s="23" t="n">
        <v>0</v>
      </c>
      <c r="J11" s="23" t="n">
        <v>0.016</v>
      </c>
      <c r="K11" s="23" t="n">
        <v>1.408</v>
      </c>
      <c r="L11" s="23" t="n">
        <v>0.665</v>
      </c>
      <c r="M11" s="23" t="n">
        <v>0.144</v>
      </c>
    </row>
    <row r="12">
      <c r="A12" s="2" t="inlineStr">
        <is>
          <t>Net Income</t>
        </is>
      </c>
      <c r="B12" s="23" t="n">
        <v>-16.317</v>
      </c>
      <c r="C12" s="23" t="n">
        <v>-29.672</v>
      </c>
      <c r="D12" s="23" t="n">
        <v>-40.193</v>
      </c>
      <c r="E12" s="23" t="n">
        <v>-70.69799999999999</v>
      </c>
      <c r="F12" s="23" t="n">
        <v>-88.288</v>
      </c>
      <c r="G12" s="23" t="n">
        <v>-43.597</v>
      </c>
      <c r="H12" s="23" t="n">
        <v>36.741</v>
      </c>
      <c r="I12" s="23" t="n">
        <v>-71.197</v>
      </c>
      <c r="J12" s="23" t="n">
        <v>-46.408</v>
      </c>
      <c r="K12" s="23" t="n">
        <v>132.33</v>
      </c>
      <c r="L12" s="23" t="n">
        <v>-65.002</v>
      </c>
      <c r="M12" s="23" t="n">
        <v>-119.721</v>
      </c>
    </row>
    <row r="13">
      <c r="A13" s="2" t="inlineStr">
        <is>
          <t>Earnings per Share</t>
        </is>
      </c>
      <c r="B13" s="11">
        <f>IFERROR(B12/B14,0)</f>
        <v>-4.279307631785995</v>
      </c>
      <c r="C13" s="11">
        <f>IFERROR(C12/C14,0)</f>
        <v>-1.1799419413846584</v>
      </c>
      <c r="D13" s="11">
        <f>IFERROR(D12/D14,0)</f>
        <v>-1.5885305509445893</v>
      </c>
      <c r="E13" s="11">
        <f>IFERROR(E12/E14,0)</f>
        <v>-2.6375914042680195</v>
      </c>
      <c r="F13" s="11">
        <f>IFERROR(F12/F14,0)</f>
        <v>-2.7533212748705793</v>
      </c>
      <c r="G13" s="11">
        <f>IFERROR(G12/G14,0)</f>
        <v>-1.2144687726335728</v>
      </c>
      <c r="H13" s="11">
        <f>IFERROR(H12/H14,0)</f>
        <v>0.9837211170312459</v>
      </c>
      <c r="I13" s="11">
        <f>IFERROR(I12/I14,0)</f>
        <v>-1.8900687568026762</v>
      </c>
      <c r="J13" s="11">
        <f>IFERROR(J12/J14,0)</f>
        <v>-1.2098964986834215</v>
      </c>
      <c r="K13" s="11">
        <f>IFERROR(K12/K14,0)</f>
        <v>2.9691040857995468</v>
      </c>
      <c r="L13" s="11">
        <f>IFERROR(L12/L14,0)</f>
        <v>-1.1271762502601095</v>
      </c>
      <c r="M13" s="11">
        <f>IFERROR(M12/M14,0)</f>
        <v>-2.0398527883321123</v>
      </c>
    </row>
    <row r="14">
      <c r="A14" s="2" t="inlineStr">
        <is>
          <t>Shares</t>
        </is>
      </c>
      <c r="B14" s="23" t="n">
        <v>3.813</v>
      </c>
      <c r="C14" s="23" t="n">
        <v>25.147</v>
      </c>
      <c r="D14" s="23" t="n">
        <v>25.302</v>
      </c>
      <c r="E14" s="23" t="n">
        <v>26.804</v>
      </c>
      <c r="F14" s="23" t="n">
        <v>32.066</v>
      </c>
      <c r="G14" s="23" t="n">
        <v>35.898</v>
      </c>
      <c r="H14" s="23" t="n">
        <v>37.349</v>
      </c>
      <c r="I14" s="23" t="n">
        <v>37.669</v>
      </c>
      <c r="J14" s="23" t="n">
        <v>38.357</v>
      </c>
      <c r="K14" s="23" t="n">
        <v>44.569</v>
      </c>
      <c r="L14" s="23" t="n">
        <v>57.668</v>
      </c>
      <c r="M14" s="23" t="n">
        <v>58.691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-0.1796469366562824</v>
      </c>
      <c r="E16" s="15">
        <f>IFERROR(E2/D2-1,"")</f>
        <v>-0.2872714486638538</v>
      </c>
      <c r="F16" s="15">
        <f>IFERROR(F2/E2-1,"")</f>
        <v>-0.2482486433152442</v>
      </c>
      <c r="G16" s="15">
        <f>IFERROR(G2/F2-1,"")</f>
        <v>12.7014043837774</v>
      </c>
      <c r="H16" s="15">
        <f>IFERROR(H2/G2-1,"")</f>
        <v>0.6392984069507905</v>
      </c>
      <c r="I16" s="15">
        <f>IFERROR(I2/H2-1,"")</f>
        <v>-0.7813624888971997</v>
      </c>
      <c r="J16" s="15">
        <f>IFERROR(J2/I2-1,"")</f>
        <v>0.0933315515167712</v>
      </c>
      <c r="K16" s="15">
        <f>IFERROR(K2/J2-1,"")</f>
        <v>5.1116190383064035</v>
      </c>
      <c r="L16" s="15">
        <f>IFERROR(L2/K2-1,"")</f>
        <v>-0.6800062398003264</v>
      </c>
      <c r="M16" s="15">
        <f>IFERROR(M2/L2-1,"")</f>
        <v>-0.4953313083586455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-1.1684550594207916</v>
      </c>
      <c r="D18" s="15">
        <f>IFERROR(D8/D2,"")</f>
        <v>-2.9042897327707458</v>
      </c>
      <c r="E18" s="15">
        <f>IFERROR(E8/E2,"")</f>
        <v>-7.090577207696101</v>
      </c>
      <c r="F18" s="15">
        <f>IFERROR(F8/F2,"")</f>
        <v>-11.956293476834231</v>
      </c>
      <c r="G18" s="15">
        <f>IFERROR(G8/G2,"")</f>
        <v>-0.49505225546263554</v>
      </c>
      <c r="H18" s="15">
        <f>IFERROR(H8/H2,"")</f>
        <v>0.16002056939834503</v>
      </c>
      <c r="I18" s="15">
        <f>IFERROR(I8/I2,"")</f>
        <v>-1.9676065749031144</v>
      </c>
      <c r="J18" s="15">
        <f>IFERROR(J8/J2,"")</f>
        <v>-1.2427457403378397</v>
      </c>
      <c r="K18" s="15">
        <f>IFERROR(K8/K2,"")</f>
        <v>0.48804038270775335</v>
      </c>
      <c r="L18" s="15">
        <f>IFERROR(L8/L2,"")</f>
        <v>-1.0410744865689179</v>
      </c>
      <c r="M18" s="15">
        <f>IFERROR(M8/M2,"")</f>
        <v>-3.2655669490266015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2026-10-21T01:05:52Z</dcterms:modified>
  <cp:lastModifiedBy>Wang, Eric</cp:lastModifiedBy>
</cp:coreProperties>
</file>