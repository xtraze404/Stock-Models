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Voyager Therapeutics, Inc.</t>
        </is>
      </c>
      <c r="C2" s="10" t="n"/>
    </row>
    <row r="3">
      <c r="B3" t="inlineStr">
        <is>
          <t>Price</t>
        </is>
      </c>
      <c r="C3" s="11">
        <f>INDEX([1]Pharma!$F$1:$F$1000,MATCH("VYGR",[1]Pharma!$B$1:$B$1000,0))</f>
        <v>2.19</v>
      </c>
      <c r="F3" s="1" t="n"/>
    </row>
    <row r="4">
      <c r="B4" t="inlineStr">
        <is>
          <t>Shares</t>
        </is>
      </c>
      <c r="C4" s="21" t="n">
        <v>61.617948</v>
      </c>
      <c r="F4" s="1" t="n"/>
    </row>
    <row r="5">
      <c r="B5" t="inlineStr">
        <is>
          <t>Market Cap.</t>
        </is>
      </c>
      <c r="C5" s="13">
        <f>C3*C4</f>
        <v>134.94330612</v>
      </c>
      <c r="F5" s="1" t="n"/>
    </row>
    <row r="6"/>
    <row r="7">
      <c r="B7" t="inlineStr">
        <is>
          <t>Cash</t>
        </is>
      </c>
      <c r="C7" s="21" t="n">
        <v>148.8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-13.856693880000023</v>
      </c>
    </row>
    <row r="10"/>
    <row r="11">
      <c r="B11" s="14" t="inlineStr">
        <is>
          <t>rNPV / Share</t>
        </is>
      </c>
      <c r="C11" s="11">
        <f>NPV!B27</f>
        <v>2.1185954129722404</v>
      </c>
    </row>
    <row r="12">
      <c r="B12" s="14" t="inlineStr">
        <is>
          <t>Upside</t>
        </is>
      </c>
      <c r="C12" s="15">
        <f>IFERROR(C11/C3-1,"")</f>
        <v>-0.03260483425925098</v>
      </c>
    </row>
    <row r="13">
      <c r="B13" s="14" t="inlineStr">
        <is>
          <t>Cash / Share</t>
        </is>
      </c>
      <c r="C13" s="11">
        <f>IFERROR((C7-C8)/C4,"")</f>
        <v>2.4148808071310652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-120.572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1.234117373851309</v>
      </c>
    </row>
    <row r="19">
      <c r="B19" s="14" t="inlineStr">
        <is>
          <t>Implied Pipeline Value</t>
        </is>
      </c>
      <c r="C19" s="13">
        <f>C9</f>
        <v>-13.856693880000023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2014</v>
      </c>
      <c r="C1" s="17" t="n">
        <v>2015</v>
      </c>
      <c r="D1" s="17" t="n">
        <v>2016</v>
      </c>
      <c r="E1" s="17" t="n">
        <v>2017</v>
      </c>
      <c r="F1" s="17" t="n">
        <v>2018</v>
      </c>
      <c r="G1" s="17" t="n">
        <v>2019</v>
      </c>
      <c r="H1" s="17" t="n">
        <v>2020</v>
      </c>
      <c r="I1" s="17" t="n">
        <v>2021</v>
      </c>
      <c r="J1" s="17" t="n">
        <v>2022</v>
      </c>
      <c r="K1" s="17" t="n">
        <v>2023</v>
      </c>
      <c r="L1" s="17" t="n">
        <v>2024</v>
      </c>
      <c r="M1" s="17" t="n">
        <v>2025</v>
      </c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17.334</v>
      </c>
      <c r="D2" s="23" t="n">
        <v>14.22</v>
      </c>
      <c r="E2" s="23" t="n">
        <v>10.135</v>
      </c>
      <c r="F2" s="23" t="n">
        <v>7.619</v>
      </c>
      <c r="G2" s="23" t="n">
        <v>104.391</v>
      </c>
      <c r="H2" s="23" t="n">
        <v>171.128</v>
      </c>
      <c r="I2" s="23" t="n">
        <v>37.415</v>
      </c>
      <c r="J2" s="23" t="n">
        <v>40.907</v>
      </c>
      <c r="K2" s="23" t="n">
        <v>250.008</v>
      </c>
      <c r="L2" s="23" t="n">
        <v>80.001</v>
      </c>
      <c r="M2" s="23" t="n">
        <v>40.374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17.334</v>
      </c>
      <c r="D4" s="23">
        <f>D2-D3</f>
        <v>14.22</v>
      </c>
      <c r="E4" s="23">
        <f>E2-E3</f>
        <v>10.135</v>
      </c>
      <c r="F4" s="23">
        <f>F2-F3</f>
        <v>7.619</v>
      </c>
      <c r="G4" s="23">
        <f>G2-G3</f>
        <v>104.391</v>
      </c>
      <c r="H4" s="23">
        <f>H2-H3</f>
        <v>171.128</v>
      </c>
      <c r="I4" s="23">
        <f>I2-I3</f>
        <v>37.415</v>
      </c>
      <c r="J4" s="23">
        <f>J2-J3</f>
        <v>40.907</v>
      </c>
      <c r="K4" s="23">
        <f>K2-K3</f>
        <v>250.008</v>
      </c>
      <c r="L4" s="23">
        <f>L2-L3</f>
        <v>80.001</v>
      </c>
      <c r="M4" s="23">
        <f>M2-M3</f>
        <v>40.374</v>
      </c>
    </row>
    <row r="5">
      <c r="A5" s="2" t="inlineStr">
        <is>
          <t>Research &amp; Dev.</t>
        </is>
      </c>
      <c r="B5" s="23" t="n">
        <v>8.898</v>
      </c>
      <c r="C5" s="23" t="n">
        <v>27.679</v>
      </c>
      <c r="D5" s="23" t="n">
        <v>42.249</v>
      </c>
      <c r="E5" s="23" t="n">
        <v>62.26</v>
      </c>
      <c r="F5" s="23" t="n">
        <v>64.905</v>
      </c>
      <c r="G5" s="23" t="n">
        <v>119.735</v>
      </c>
      <c r="H5" s="23" t="n">
        <v>108.753</v>
      </c>
      <c r="I5" s="23" t="n">
        <v>73.78700000000001</v>
      </c>
      <c r="J5" s="23" t="n">
        <v>60.764</v>
      </c>
      <c r="K5" s="23" t="n">
        <v>92.172</v>
      </c>
      <c r="L5" s="23" t="n">
        <v>127.368</v>
      </c>
      <c r="M5" s="23" t="n">
        <v>134.674</v>
      </c>
    </row>
    <row r="6">
      <c r="A6" s="19" t="inlineStr">
        <is>
          <t>SG&amp;A &amp; Other</t>
        </is>
      </c>
      <c r="B6" s="23" t="n">
        <v>5.469</v>
      </c>
      <c r="C6" s="23" t="n">
        <v>9.909000000000001</v>
      </c>
      <c r="D6" s="23" t="n">
        <v>13.27</v>
      </c>
      <c r="E6" s="23" t="n">
        <v>19.738</v>
      </c>
      <c r="F6" s="23" t="n">
        <v>33.809</v>
      </c>
      <c r="G6" s="23" t="n">
        <v>36.335</v>
      </c>
      <c r="H6" s="23" t="n">
        <v>34.991</v>
      </c>
      <c r="I6" s="23" t="n">
        <v>37.246</v>
      </c>
      <c r="J6" s="23" t="n">
        <v>30.98</v>
      </c>
      <c r="K6" s="23" t="n">
        <v>35.822</v>
      </c>
      <c r="L6" s="23" t="n">
        <v>35.92</v>
      </c>
      <c r="M6" s="23" t="n">
        <v>37.544</v>
      </c>
    </row>
    <row r="7">
      <c r="A7" s="2" t="inlineStr">
        <is>
          <t>Operating Expense</t>
        </is>
      </c>
      <c r="B7" s="23">
        <f>SUM(B5:B6)</f>
        <v>14.367</v>
      </c>
      <c r="C7" s="23">
        <f>SUM(C5:C6)</f>
        <v>37.588</v>
      </c>
      <c r="D7" s="23">
        <f>SUM(D5:D6)</f>
        <v>55.519000000000005</v>
      </c>
      <c r="E7" s="23">
        <f>SUM(E5:E6)</f>
        <v>81.99799999999999</v>
      </c>
      <c r="F7" s="23">
        <f>SUM(F5:F6)</f>
        <v>98.714</v>
      </c>
      <c r="G7" s="23">
        <f>SUM(G5:G6)</f>
        <v>156.07</v>
      </c>
      <c r="H7" s="23">
        <f>SUM(H5:H6)</f>
        <v>143.744</v>
      </c>
      <c r="I7" s="23">
        <f>SUM(I5:I6)</f>
        <v>111.03300000000002</v>
      </c>
      <c r="J7" s="23">
        <f>SUM(J5:J6)</f>
        <v>91.744</v>
      </c>
      <c r="K7" s="23">
        <f>SUM(K5:K6)</f>
        <v>127.994</v>
      </c>
      <c r="L7" s="23">
        <f>SUM(L5:L6)</f>
        <v>163.288</v>
      </c>
      <c r="M7" s="23">
        <f>SUM(M5:M6)</f>
        <v>172.21800000000002</v>
      </c>
    </row>
    <row r="8">
      <c r="A8" s="2" t="inlineStr">
        <is>
          <t>Operating Income</t>
        </is>
      </c>
      <c r="B8" s="23">
        <f>B4-B7</f>
        <v>-14.367</v>
      </c>
      <c r="C8" s="23">
        <f>C4-C7</f>
        <v>-20.254</v>
      </c>
      <c r="D8" s="23">
        <f>D4-D7</f>
        <v>-41.29900000000001</v>
      </c>
      <c r="E8" s="23">
        <f>E4-E7</f>
        <v>-71.86299999999999</v>
      </c>
      <c r="F8" s="23">
        <f>F4-F7</f>
        <v>-91.095</v>
      </c>
      <c r="G8" s="23">
        <f>G4-G7</f>
        <v>-51.67899999999999</v>
      </c>
      <c r="H8" s="23">
        <f>H4-H7</f>
        <v>27.383999999999986</v>
      </c>
      <c r="I8" s="23">
        <f>I4-I7</f>
        <v>-73.61800000000002</v>
      </c>
      <c r="J8" s="23">
        <f>J4-J7</f>
        <v>-50.837</v>
      </c>
      <c r="K8" s="23">
        <f>K4-K7</f>
        <v>122.01400000000001</v>
      </c>
      <c r="L8" s="23">
        <f>L4-L7</f>
        <v>-83.287</v>
      </c>
      <c r="M8" s="23">
        <f>M4-M7</f>
        <v>-131.84400000000002</v>
      </c>
    </row>
    <row r="9">
      <c r="A9" s="19" t="inlineStr">
        <is>
          <t>Interest &amp; Other</t>
        </is>
      </c>
      <c r="B9" s="23" t="n">
        <v>-1.95</v>
      </c>
      <c r="C9" s="23" t="n">
        <v>-9.417999999999999</v>
      </c>
      <c r="D9" s="23" t="n">
        <v>1.158</v>
      </c>
      <c r="E9" s="23" t="n">
        <v>1.165</v>
      </c>
      <c r="F9" s="23" t="n">
        <v>2.627</v>
      </c>
      <c r="G9" s="23" t="n">
        <v>8.082000000000001</v>
      </c>
      <c r="H9" s="23" t="n">
        <v>9.356999999999999</v>
      </c>
      <c r="I9" s="23" t="n">
        <v>2.421</v>
      </c>
      <c r="J9" s="23" t="n">
        <v>4.445</v>
      </c>
      <c r="K9" s="23" t="n">
        <v>11.724</v>
      </c>
      <c r="L9" s="23" t="n">
        <v>18.95</v>
      </c>
      <c r="M9" s="23" t="n">
        <v>12.267</v>
      </c>
    </row>
    <row r="10">
      <c r="A10" s="2" t="inlineStr">
        <is>
          <t>Pretax</t>
        </is>
      </c>
      <c r="B10" s="23">
        <f>B8+B9</f>
        <v>-16.317</v>
      </c>
      <c r="C10" s="23">
        <f>C8+C9</f>
        <v>-29.672</v>
      </c>
      <c r="D10" s="23">
        <f>D8+D9</f>
        <v>-40.141000000000005</v>
      </c>
      <c r="E10" s="23">
        <f>E8+E9</f>
        <v>-70.69799999999998</v>
      </c>
      <c r="F10" s="23">
        <f>F8+F9</f>
        <v>-88.468</v>
      </c>
      <c r="G10" s="23">
        <f>G8+G9</f>
        <v>-43.59699999999999</v>
      </c>
      <c r="H10" s="23">
        <f>H8+H9</f>
        <v>36.740999999999985</v>
      </c>
      <c r="I10" s="23">
        <f>I8+I9</f>
        <v>-71.19700000000002</v>
      </c>
      <c r="J10" s="23">
        <f>J8+J9</f>
        <v>-46.392</v>
      </c>
      <c r="K10" s="23">
        <f>K8+K9</f>
        <v>133.738</v>
      </c>
      <c r="L10" s="23">
        <f>L8+L9</f>
        <v>-64.337</v>
      </c>
      <c r="M10" s="23">
        <f>M8+M9</f>
        <v>-119.57700000000003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0.052</v>
      </c>
      <c r="E11" s="23" t="n">
        <v>0</v>
      </c>
      <c r="F11" s="23" t="n">
        <v>-0.18</v>
      </c>
      <c r="G11" s="23" t="n">
        <v>0</v>
      </c>
      <c r="H11" s="23" t="n">
        <v>0</v>
      </c>
      <c r="I11" s="23" t="n">
        <v>0</v>
      </c>
      <c r="J11" s="23" t="n">
        <v>0.016</v>
      </c>
      <c r="K11" s="23" t="n">
        <v>1.408</v>
      </c>
      <c r="L11" s="23" t="n">
        <v>0.665</v>
      </c>
      <c r="M11" s="23" t="n">
        <v>0.144</v>
      </c>
    </row>
    <row r="12">
      <c r="A12" s="2" t="inlineStr">
        <is>
          <t>Net Income</t>
        </is>
      </c>
      <c r="B12" s="23" t="n">
        <v>-16.317</v>
      </c>
      <c r="C12" s="23" t="n">
        <v>-29.672</v>
      </c>
      <c r="D12" s="23" t="n">
        <v>-40.193</v>
      </c>
      <c r="E12" s="23" t="n">
        <v>-70.69799999999999</v>
      </c>
      <c r="F12" s="23" t="n">
        <v>-88.288</v>
      </c>
      <c r="G12" s="23" t="n">
        <v>-43.597</v>
      </c>
      <c r="H12" s="23" t="n">
        <v>36.741</v>
      </c>
      <c r="I12" s="23" t="n">
        <v>-71.197</v>
      </c>
      <c r="J12" s="23" t="n">
        <v>-46.408</v>
      </c>
      <c r="K12" s="23" t="n">
        <v>132.33</v>
      </c>
      <c r="L12" s="23" t="n">
        <v>-65.002</v>
      </c>
      <c r="M12" s="23" t="n">
        <v>-119.721</v>
      </c>
    </row>
    <row r="13">
      <c r="A13" s="2" t="inlineStr">
        <is>
          <t>Earnings per Share</t>
        </is>
      </c>
      <c r="B13" s="11">
        <f>IFERROR(B12/B14,0)</f>
        <v>-4.279307631785995</v>
      </c>
      <c r="C13" s="11">
        <f>IFERROR(C12/C14,0)</f>
        <v>-1.1799419413846584</v>
      </c>
      <c r="D13" s="11">
        <f>IFERROR(D12/D14,0)</f>
        <v>-1.5885305509445893</v>
      </c>
      <c r="E13" s="11">
        <f>IFERROR(E12/E14,0)</f>
        <v>-2.6375914042680195</v>
      </c>
      <c r="F13" s="11">
        <f>IFERROR(F12/F14,0)</f>
        <v>-2.7533212748705793</v>
      </c>
      <c r="G13" s="11">
        <f>IFERROR(G12/G14,0)</f>
        <v>-1.2144687726335728</v>
      </c>
      <c r="H13" s="11">
        <f>IFERROR(H12/H14,0)</f>
        <v>0.9837211170312459</v>
      </c>
      <c r="I13" s="11">
        <f>IFERROR(I12/I14,0)</f>
        <v>-1.8900687568026762</v>
      </c>
      <c r="J13" s="11">
        <f>IFERROR(J12/J14,0)</f>
        <v>-1.2098964986834215</v>
      </c>
      <c r="K13" s="11">
        <f>IFERROR(K12/K14,0)</f>
        <v>2.9691040857995468</v>
      </c>
      <c r="L13" s="11">
        <f>IFERROR(L12/L14,0)</f>
        <v>-1.1271762502601095</v>
      </c>
      <c r="M13" s="11">
        <f>IFERROR(M12/M14,0)</f>
        <v>-2.0398527883321123</v>
      </c>
    </row>
    <row r="14">
      <c r="A14" s="2" t="inlineStr">
        <is>
          <t>Shares</t>
        </is>
      </c>
      <c r="B14" s="23" t="n">
        <v>3.813</v>
      </c>
      <c r="C14" s="23" t="n">
        <v>25.147</v>
      </c>
      <c r="D14" s="23" t="n">
        <v>25.302</v>
      </c>
      <c r="E14" s="23" t="n">
        <v>26.804</v>
      </c>
      <c r="F14" s="23" t="n">
        <v>32.066</v>
      </c>
      <c r="G14" s="23" t="n">
        <v>35.898</v>
      </c>
      <c r="H14" s="23" t="n">
        <v>37.349</v>
      </c>
      <c r="I14" s="23" t="n">
        <v>37.669</v>
      </c>
      <c r="J14" s="23" t="n">
        <v>38.357</v>
      </c>
      <c r="K14" s="23" t="n">
        <v>44.569</v>
      </c>
      <c r="L14" s="23" t="n">
        <v>57.668</v>
      </c>
      <c r="M14" s="23" t="n">
        <v>58.691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-0.1796469366562824</v>
      </c>
      <c r="E16" s="15">
        <f>IFERROR(E2/D2-1,"")</f>
        <v>-0.2872714486638538</v>
      </c>
      <c r="F16" s="15">
        <f>IFERROR(F2/E2-1,"")</f>
        <v>-0.2482486433152442</v>
      </c>
      <c r="G16" s="15">
        <f>IFERROR(G2/F2-1,"")</f>
        <v>12.7014043837774</v>
      </c>
      <c r="H16" s="15">
        <f>IFERROR(H2/G2-1,"")</f>
        <v>0.6392984069507905</v>
      </c>
      <c r="I16" s="15">
        <f>IFERROR(I2/H2-1,"")</f>
        <v>-0.7813624888971997</v>
      </c>
      <c r="J16" s="15">
        <f>IFERROR(J2/I2-1,"")</f>
        <v>0.0933315515167712</v>
      </c>
      <c r="K16" s="15">
        <f>IFERROR(K2/J2-1,"")</f>
        <v>5.1116190383064035</v>
      </c>
      <c r="L16" s="15">
        <f>IFERROR(L2/K2-1,"")</f>
        <v>-0.6800062398003264</v>
      </c>
      <c r="M16" s="15">
        <f>IFERROR(M2/L2-1,"")</f>
        <v>-0.4953313083586455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-1.1684550594207916</v>
      </c>
      <c r="D18" s="15">
        <f>IFERROR(D8/D2,"")</f>
        <v>-2.9042897327707458</v>
      </c>
      <c r="E18" s="15">
        <f>IFERROR(E8/E2,"")</f>
        <v>-7.090577207696101</v>
      </c>
      <c r="F18" s="15">
        <f>IFERROR(F8/F2,"")</f>
        <v>-11.956293476834231</v>
      </c>
      <c r="G18" s="15">
        <f>IFERROR(G8/G2,"")</f>
        <v>-0.49505225546263554</v>
      </c>
      <c r="H18" s="15">
        <f>IFERROR(H8/H2,"")</f>
        <v>0.16002056939834503</v>
      </c>
      <c r="I18" s="15">
        <f>IFERROR(I8/I2,"")</f>
        <v>-1.9676065749031144</v>
      </c>
      <c r="J18" s="15">
        <f>IFERROR(J8/J2,"")</f>
        <v>-1.2427457403378397</v>
      </c>
      <c r="K18" s="15">
        <f>IFERROR(K8/K2,"")</f>
        <v>0.48804038270775335</v>
      </c>
      <c r="L18" s="15">
        <f>IFERROR(L8/L2,"")</f>
        <v>-1.0410744865689179</v>
      </c>
      <c r="M18" s="15">
        <f>IFERROR(M8/M2,"")</f>
        <v>-3.2655669490266015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Voyager Therapeutics,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0.08630000000000004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117.188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591.1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-18.256498010437973</v>
      </c>
      <c r="C29" s="42">
        <f>NPV!B25</f>
        <v>130.54350198956203</v>
      </c>
      <c r="D29" s="43">
        <f>NPV!B27</f>
        <v>2.1185954129722404</v>
      </c>
      <c r="E29" s="44">
        <f>NPV!B29</f>
        <v>-0.03260483425925098</v>
      </c>
    </row>
    <row r="30">
      <c r="A30" s="45" t="n">
        <v>1</v>
      </c>
      <c r="B30" s="46">
        <f t="dataTable" ref="B30:E32" r1="B4"/>
        <v>-205.1827835581464</v>
      </c>
      <c r="C30" s="46">
        <v>-56.3827835581464</v>
      </c>
      <c r="D30" s="47">
        <v>-0.9150383189999511</v>
      </c>
      <c r="E30" s="48">
        <v>-1.4178257164383339</v>
      </c>
    </row>
    <row r="31">
      <c r="A31" s="45" t="n">
        <v>2</v>
      </c>
      <c r="B31" s="46">
        <v>-18.256498010437973</v>
      </c>
      <c r="C31" s="46">
        <v>130.54350198956203</v>
      </c>
      <c r="D31" s="47">
        <v>2.1185954129722404</v>
      </c>
      <c r="E31" s="48">
        <v>-0.03260483425925098</v>
      </c>
    </row>
    <row r="32">
      <c r="A32" s="45" t="n">
        <v>3</v>
      </c>
      <c r="B32" s="46">
        <v>268.330777556815</v>
      </c>
      <c r="C32" s="46">
        <v>417.130777556815</v>
      </c>
      <c r="D32" s="47">
        <v>6.769631107430176</v>
      </c>
      <c r="E32" s="48">
        <v>2.0911557568174324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2.1185954129722404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-1.5418850579676162</v>
      </c>
      <c r="C37" s="47">
        <v>-0.6982158645342309</v>
      </c>
      <c r="D37" s="47">
        <v>0.14545332889915377</v>
      </c>
      <c r="E37" s="47">
        <v>1.7197676251657816</v>
      </c>
      <c r="F37" s="47">
        <v>3.1635316578099637</v>
      </c>
    </row>
    <row r="38">
      <c r="A38" s="50" t="n">
        <v>0.8</v>
      </c>
      <c r="B38" s="47">
        <v>-1.0283000218047662</v>
      </c>
      <c r="C38" s="47">
        <v>0.09659223610641329</v>
      </c>
      <c r="D38" s="47">
        <v>1.1822069047624388</v>
      </c>
      <c r="E38" s="47">
        <v>3.120349362841482</v>
      </c>
      <c r="F38" s="47">
        <v>4.995659745624625</v>
      </c>
    </row>
    <row r="39">
      <c r="A39" s="50" t="n">
        <v>1</v>
      </c>
      <c r="B39" s="47">
        <v>-0.5147149856419161</v>
      </c>
      <c r="C39" s="47">
        <v>0.8874245583343647</v>
      </c>
      <c r="D39" s="47">
        <v>2.1185954129722404</v>
      </c>
      <c r="E39" s="47">
        <v>4.489758870814332</v>
      </c>
      <c r="F39" s="47">
        <v>6.79898287698285</v>
      </c>
    </row>
    <row r="40">
      <c r="A40" s="50" t="n">
        <v>1.2</v>
      </c>
      <c r="B40" s="47">
        <v>-0.001129949479067186</v>
      </c>
      <c r="C40" s="47">
        <v>1.5873551570485531</v>
      </c>
      <c r="D40" s="47">
        <v>3.033984772904517</v>
      </c>
      <c r="E40" s="47">
        <v>5.838756513268157</v>
      </c>
      <c r="F40" s="47">
        <v>8.589483212474786</v>
      </c>
    </row>
    <row r="41">
      <c r="A41" s="50" t="n">
        <v>1.4</v>
      </c>
      <c r="B41" s="47">
        <v>0.5124550866837819</v>
      </c>
      <c r="C41" s="47">
        <v>2.2727917376978475</v>
      </c>
      <c r="D41" s="47">
        <v>3.9351763257540218</v>
      </c>
      <c r="E41" s="47">
        <v>7.1738159229907685</v>
      </c>
      <c r="F41" s="47">
        <v>10.361853085816325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Voyager Therapeutics,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Alzheimer's disease</t>
        </is>
      </c>
      <c r="C4" s="14" t="inlineStr">
        <is>
          <t>VY1706 Low dose, VY1706 Mid dose</t>
        </is>
      </c>
      <c r="D4" s="14" t="inlineStr">
        <is>
          <t>Phase 1/2</t>
        </is>
      </c>
      <c r="E4" s="14" t="inlineStr">
        <is>
          <t>Neurology / chronic</t>
        </is>
      </c>
      <c r="F4" s="14" t="inlineStr">
        <is>
          <t>Owned</t>
        </is>
      </c>
      <c r="G4" s="40" t="n">
        <v>4000</v>
      </c>
      <c r="H4" s="27" t="n">
        <v>0.0863</v>
      </c>
      <c r="I4" s="26" t="n">
        <v>2032</v>
      </c>
      <c r="J4" s="39">
        <f>I4+Assumptions!$B$25</f>
        <v>2044.0</v>
      </c>
      <c r="K4" s="53">
        <f>Assumptions!$E$13</f>
        <v>0.4</v>
      </c>
      <c r="L4" s="23">
        <f>K4*SUMPRODUCT(M4:AF4,NPV!$C$15:$V$15)</f>
        <v>346.56776326786826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0</v>
      </c>
      <c r="S4" s="23">
        <f>IF(S$3&lt;$I4,0,$G4*Assumptions!$E$11*INDEX(Assumptions!$B$24:$G$24,MIN(6,S$3-$I4+1))*IF(S$3&gt;$J4,(1-Assumptions!$B$26)^(S$3-$J4),1)*IF($H4&gt;=1,1,MIN(0.97,$H4*Assumptions!$E$12)))</f>
        <v>34.52</v>
      </c>
      <c r="T4" s="23">
        <f>IF(T$3&lt;$I4,0,$G4*Assumptions!$E$11*INDEX(Assumptions!$B$24:$G$24,MIN(6,T$3-$I4+1))*IF(T$3&gt;$J4,(1-Assumptions!$B$26)^(T$3-$J4),1)*IF($H4&gt;=1,1,MIN(0.97,$H4*Assumptions!$E$12)))</f>
        <v>86.3</v>
      </c>
      <c r="U4" s="23">
        <f>IF(U$3&lt;$I4,0,$G4*Assumptions!$E$11*INDEX(Assumptions!$B$24:$G$24,MIN(6,U$3-$I4+1))*IF(U$3&gt;$J4,(1-Assumptions!$B$26)^(U$3-$J4),1)*IF($H4&gt;=1,1,MIN(0.97,$H4*Assumptions!$E$12)))</f>
        <v>155.34</v>
      </c>
      <c r="V4" s="23">
        <f>IF(V$3&lt;$I4,0,$G4*Assumptions!$E$11*INDEX(Assumptions!$B$24:$G$24,MIN(6,V$3-$I4+1))*IF(V$3&gt;$J4,(1-Assumptions!$B$26)^(V$3-$J4),1)*IF($H4&gt;=1,1,MIN(0.97,$H4*Assumptions!$E$12)))</f>
        <v>224.38</v>
      </c>
      <c r="W4" s="23">
        <f>IF(W$3&lt;$I4,0,$G4*Assumptions!$E$11*INDEX(Assumptions!$B$24:$G$24,MIN(6,W$3-$I4+1))*IF(W$3&gt;$J4,(1-Assumptions!$B$26)^(W$3-$J4),1)*IF($H4&gt;=1,1,MIN(0.97,$H4*Assumptions!$E$12)))</f>
        <v>293.42</v>
      </c>
      <c r="X4" s="23">
        <f>IF(X$3&lt;$I4,0,$G4*Assumptions!$E$11*INDEX(Assumptions!$B$24:$G$24,MIN(6,X$3-$I4+1))*IF(X$3&gt;$J4,(1-Assumptions!$B$26)^(X$3-$J4),1)*IF($H4&gt;=1,1,MIN(0.97,$H4*Assumptions!$E$12)))</f>
        <v>345.2</v>
      </c>
      <c r="Y4" s="23">
        <f>IF(Y$3&lt;$I4,0,$G4*Assumptions!$E$11*INDEX(Assumptions!$B$24:$G$24,MIN(6,Y$3-$I4+1))*IF(Y$3&gt;$J4,(1-Assumptions!$B$26)^(Y$3-$J4),1)*IF($H4&gt;=1,1,MIN(0.97,$H4*Assumptions!$E$12)))</f>
        <v>345.2</v>
      </c>
      <c r="Z4" s="23">
        <f>IF(Z$3&lt;$I4,0,$G4*Assumptions!$E$11*INDEX(Assumptions!$B$24:$G$24,MIN(6,Z$3-$I4+1))*IF(Z$3&gt;$J4,(1-Assumptions!$B$26)^(Z$3-$J4),1)*IF($H4&gt;=1,1,MIN(0.97,$H4*Assumptions!$E$12)))</f>
        <v>345.2</v>
      </c>
      <c r="AA4" s="23">
        <f>IF(AA$3&lt;$I4,0,$G4*Assumptions!$E$11*INDEX(Assumptions!$B$24:$G$24,MIN(6,AA$3-$I4+1))*IF(AA$3&gt;$J4,(1-Assumptions!$B$26)^(AA$3-$J4),1)*IF($H4&gt;=1,1,MIN(0.97,$H4*Assumptions!$E$12)))</f>
        <v>345.2</v>
      </c>
      <c r="AB4" s="23">
        <f>IF(AB$3&lt;$I4,0,$G4*Assumptions!$E$11*INDEX(Assumptions!$B$24:$G$24,MIN(6,AB$3-$I4+1))*IF(AB$3&gt;$J4,(1-Assumptions!$B$26)^(AB$3-$J4),1)*IF($H4&gt;=1,1,MIN(0.97,$H4*Assumptions!$E$12)))</f>
        <v>345.2</v>
      </c>
      <c r="AC4" s="23">
        <f>IF(AC$3&lt;$I4,0,$G4*Assumptions!$E$11*INDEX(Assumptions!$B$24:$G$24,MIN(6,AC$3-$I4+1))*IF(AC$3&gt;$J4,(1-Assumptions!$B$26)^(AC$3-$J4),1)*IF($H4&gt;=1,1,MIN(0.97,$H4*Assumptions!$E$12)))</f>
        <v>345.2</v>
      </c>
      <c r="AD4" s="23">
        <f>IF(AD$3&lt;$I4,0,$G4*Assumptions!$E$11*INDEX(Assumptions!$B$24:$G$24,MIN(6,AD$3-$I4+1))*IF(AD$3&gt;$J4,(1-Assumptions!$B$26)^(AD$3-$J4),1)*IF($H4&gt;=1,1,MIN(0.97,$H4*Assumptions!$E$12)))</f>
        <v>345.2</v>
      </c>
      <c r="AE4" s="23">
        <f>IF(AE$3&lt;$I4,0,$G4*Assumptions!$E$11*INDEX(Assumptions!$B$24:$G$24,MIN(6,AE$3-$I4+1))*IF(AE$3&gt;$J4,(1-Assumptions!$B$26)^(AE$3-$J4),1)*IF($H4&gt;=1,1,MIN(0.97,$H4*Assumptions!$E$12)))</f>
        <v>345.2</v>
      </c>
      <c r="AF4" s="23">
        <f>IF(AF$3&lt;$I4,0,$G4*Assumptions!$E$11*INDEX(Assumptions!$B$24:$G$24,MIN(6,AF$3-$I4+1))*IF(AF$3&gt;$J4,(1-Assumptions!$B$26)^(AF$3-$J4),1)*IF($H4&gt;=1,1,MIN(0.97,$H4*Assumptions!$E$12)))</f>
        <v>172.6</v>
      </c>
      <c r="AG4" s="35">
        <f>IF(F4="Owned",1-IF(H4&gt;=1,1,MIN(0.97,H4*Assumptions!$E$12)),1)</f>
        <v>0.9137</v>
      </c>
    </row>
    <row r="5">
      <c r="B5" s="24" t="inlineStr">
        <is>
          <t>Risked revenue</t>
        </is>
      </c>
      <c r="L5" s="54">
        <f>SUM(L4:L4)</f>
        <v>346.56776326786826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0.0</v>
      </c>
      <c r="S5" s="54">
        <f>SUM(S4:S4)</f>
        <v>34.52</v>
      </c>
      <c r="T5" s="54">
        <f>SUM(T4:T4)</f>
        <v>86.3</v>
      </c>
      <c r="U5" s="54">
        <f>SUM(U4:U4)</f>
        <v>155.34</v>
      </c>
      <c r="V5" s="54">
        <f>SUM(V4:V4)</f>
        <v>224.38</v>
      </c>
      <c r="W5" s="54">
        <f>SUM(W4:W4)</f>
        <v>293.42</v>
      </c>
      <c r="X5" s="54">
        <f>SUM(X4:X4)</f>
        <v>345.2</v>
      </c>
      <c r="Y5" s="54">
        <f>SUM(Y4:Y4)</f>
        <v>345.2</v>
      </c>
      <c r="Z5" s="54">
        <f>SUM(Z4:Z4)</f>
        <v>345.2</v>
      </c>
      <c r="AA5" s="54">
        <f>SUM(AA4:AA4)</f>
        <v>345.2</v>
      </c>
      <c r="AB5" s="54">
        <f>SUM(AB4:AB4)</f>
        <v>345.2</v>
      </c>
      <c r="AC5" s="54">
        <f>SUM(AC4:AC4)</f>
        <v>345.2</v>
      </c>
      <c r="AD5" s="54">
        <f>SUM(AD4:AD4)</f>
        <v>345.2</v>
      </c>
      <c r="AE5" s="54">
        <f>SUM(AE4:AE4)</f>
        <v>345.2</v>
      </c>
      <c r="AF5" s="54">
        <f>SUM(AF4:AF4)</f>
        <v>172.6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0.0</v>
      </c>
      <c r="S6" s="55">
        <f>SUMPRODUCT(S4:S4,$K$4:$K$4)</f>
        <v>13.808000000000002</v>
      </c>
      <c r="T6" s="55">
        <f>SUMPRODUCT(T4:T4,$K$4:$K$4)</f>
        <v>34.52</v>
      </c>
      <c r="U6" s="55">
        <f>SUMPRODUCT(U4:U4,$K$4:$K$4)</f>
        <v>62.136</v>
      </c>
      <c r="V6" s="55">
        <f>SUMPRODUCT(V4:V4,$K$4:$K$4)</f>
        <v>89.75200000000001</v>
      </c>
      <c r="W6" s="55">
        <f>SUMPRODUCT(W4:W4,$K$4:$K$4)</f>
        <v>117.36800000000001</v>
      </c>
      <c r="X6" s="55">
        <f>SUMPRODUCT(X4:X4,$K$4:$K$4)</f>
        <v>138.08</v>
      </c>
      <c r="Y6" s="55">
        <f>SUMPRODUCT(Y4:Y4,$K$4:$K$4)</f>
        <v>138.08</v>
      </c>
      <c r="Z6" s="55">
        <f>SUMPRODUCT(Z4:Z4,$K$4:$K$4)</f>
        <v>138.08</v>
      </c>
      <c r="AA6" s="55">
        <f>SUMPRODUCT(AA4:AA4,$K$4:$K$4)</f>
        <v>138.08</v>
      </c>
      <c r="AB6" s="55">
        <f>SUMPRODUCT(AB4:AB4,$K$4:$K$4)</f>
        <v>138.08</v>
      </c>
      <c r="AC6" s="55">
        <f>SUMPRODUCT(AC4:AC4,$K$4:$K$4)</f>
        <v>138.08</v>
      </c>
      <c r="AD6" s="55">
        <f>SUMPRODUCT(AD4:AD4,$K$4:$K$4)</f>
        <v>138.08</v>
      </c>
      <c r="AE6" s="55">
        <f>SUMPRODUCT(AE4:AE4,$K$4:$K$4)</f>
        <v>138.08</v>
      </c>
      <c r="AF6" s="55">
        <f>SUMPRODUCT(AF4:AF4,$K$4:$K$4)</f>
        <v>69.04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Voyager Therapeutics,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0.0</v>
      </c>
      <c r="I4" s="57">
        <f>Pipeline!S5</f>
        <v>34.52</v>
      </c>
      <c r="J4" s="57">
        <f>Pipeline!T5</f>
        <v>86.3</v>
      </c>
      <c r="K4" s="57">
        <f>Pipeline!U5</f>
        <v>155.34</v>
      </c>
      <c r="L4" s="57">
        <f>Pipeline!V5</f>
        <v>224.38</v>
      </c>
      <c r="M4" s="57">
        <f>Pipeline!W5</f>
        <v>293.42</v>
      </c>
      <c r="N4" s="57">
        <f>Pipeline!X5</f>
        <v>345.2</v>
      </c>
      <c r="O4" s="57">
        <f>Pipeline!Y5</f>
        <v>345.2</v>
      </c>
      <c r="P4" s="57">
        <f>Pipeline!Z5</f>
        <v>345.2</v>
      </c>
      <c r="Q4" s="57">
        <f>Pipeline!AA5</f>
        <v>345.2</v>
      </c>
      <c r="R4" s="57">
        <f>Pipeline!AB5</f>
        <v>345.2</v>
      </c>
      <c r="S4" s="57">
        <f>Pipeline!AC5</f>
        <v>345.2</v>
      </c>
      <c r="T4" s="57">
        <f>Pipeline!AD5</f>
        <v>345.2</v>
      </c>
      <c r="U4" s="57">
        <f>Pipeline!AE5</f>
        <v>345.2</v>
      </c>
      <c r="V4" s="57">
        <f>Pipeline!AF5</f>
        <v>172.6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0.0</v>
      </c>
      <c r="I5" s="57">
        <f>Pipeline!S6</f>
        <v>13.808000000000002</v>
      </c>
      <c r="J5" s="57">
        <f>Pipeline!T6</f>
        <v>34.52</v>
      </c>
      <c r="K5" s="57">
        <f>Pipeline!U6</f>
        <v>62.136</v>
      </c>
      <c r="L5" s="57">
        <f>Pipeline!V6</f>
        <v>89.75200000000001</v>
      </c>
      <c r="M5" s="57">
        <f>Pipeline!W6</f>
        <v>117.36800000000001</v>
      </c>
      <c r="N5" s="57">
        <f>Pipeline!X6</f>
        <v>138.08</v>
      </c>
      <c r="O5" s="57">
        <f>Pipeline!Y6</f>
        <v>138.08</v>
      </c>
      <c r="P5" s="57">
        <f>Pipeline!Z6</f>
        <v>138.08</v>
      </c>
      <c r="Q5" s="57">
        <f>Pipeline!AA6</f>
        <v>138.08</v>
      </c>
      <c r="R5" s="57">
        <f>Pipeline!AB6</f>
        <v>138.08</v>
      </c>
      <c r="S5" s="57">
        <f>Pipeline!AC6</f>
        <v>138.08</v>
      </c>
      <c r="T5" s="57">
        <f>Pipeline!AD6</f>
        <v>138.08</v>
      </c>
      <c r="U5" s="57">
        <f>Pipeline!AE6</f>
        <v>138.08</v>
      </c>
      <c r="V5" s="57">
        <f>Pipeline!AF6</f>
        <v>69.04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-117.188</v>
      </c>
      <c r="D6" s="23">
        <f>-IF(D3-2026&lt;Assumptions!$B$19,Assumptions!$B$18,Assumptions!$B$18*Assumptions!$B$20*Assumptions!$B$16)</f>
        <v>-117.188</v>
      </c>
      <c r="E6" s="23">
        <f>-IF(E3-2026&lt;Assumptions!$B$19,Assumptions!$B$18,Assumptions!$B$18*Assumptions!$B$20*Assumptions!$B$16)</f>
        <v>-117.188</v>
      </c>
      <c r="F6" s="23">
        <f>-IF(F3-2026&lt;Assumptions!$B$19,Assumptions!$B$18,Assumptions!$B$18*Assumptions!$B$20*Assumptions!$B$16)</f>
        <v>-117.188</v>
      </c>
      <c r="G6" s="23">
        <f>-IF(G3-2026&lt;Assumptions!$B$19,Assumptions!$B$18,Assumptions!$B$18*Assumptions!$B$20*Assumptions!$B$16)</f>
        <v>-3.0339973200000014</v>
      </c>
      <c r="H6" s="23">
        <f>-IF(H3-2026&lt;Assumptions!$B$19,Assumptions!$B$18,Assumptions!$B$18*Assumptions!$B$20*Assumptions!$B$16)</f>
        <v>-3.0339973200000014</v>
      </c>
      <c r="I6" s="23">
        <f>-IF(I3-2026&lt;Assumptions!$B$19,Assumptions!$B$18,Assumptions!$B$18*Assumptions!$B$20*Assumptions!$B$16)</f>
        <v>-3.0339973200000014</v>
      </c>
      <c r="J6" s="23">
        <f>-IF(J3-2026&lt;Assumptions!$B$19,Assumptions!$B$18,Assumptions!$B$18*Assumptions!$B$20*Assumptions!$B$16)</f>
        <v>-3.0339973200000014</v>
      </c>
      <c r="K6" s="23">
        <f>-IF(K3-2026&lt;Assumptions!$B$19,Assumptions!$B$18,Assumptions!$B$18*Assumptions!$B$20*Assumptions!$B$16)</f>
        <v>-3.0339973200000014</v>
      </c>
      <c r="L6" s="23">
        <f>-IF(L3-2026&lt;Assumptions!$B$19,Assumptions!$B$18,Assumptions!$B$18*Assumptions!$B$20*Assumptions!$B$16)</f>
        <v>-3.0339973200000014</v>
      </c>
      <c r="M6" s="23">
        <f>-IF(M3-2026&lt;Assumptions!$B$19,Assumptions!$B$18,Assumptions!$B$18*Assumptions!$B$20*Assumptions!$B$16)</f>
        <v>-3.0339973200000014</v>
      </c>
      <c r="N6" s="23">
        <f>-IF(N3-2026&lt;Assumptions!$B$19,Assumptions!$B$18,Assumptions!$B$18*Assumptions!$B$20*Assumptions!$B$16)</f>
        <v>-3.0339973200000014</v>
      </c>
      <c r="O6" s="23">
        <f>-IF(O3-2026&lt;Assumptions!$B$19,Assumptions!$B$18,Assumptions!$B$18*Assumptions!$B$20*Assumptions!$B$16)</f>
        <v>-3.0339973200000014</v>
      </c>
      <c r="P6" s="23">
        <f>-IF(P3-2026&lt;Assumptions!$B$19,Assumptions!$B$18,Assumptions!$B$18*Assumptions!$B$20*Assumptions!$B$16)</f>
        <v>-3.0339973200000014</v>
      </c>
      <c r="Q6" s="23">
        <f>-IF(Q3-2026&lt;Assumptions!$B$19,Assumptions!$B$18,Assumptions!$B$18*Assumptions!$B$20*Assumptions!$B$16)</f>
        <v>-3.0339973200000014</v>
      </c>
      <c r="R6" s="23">
        <f>-IF(R3-2026&lt;Assumptions!$B$19,Assumptions!$B$18,Assumptions!$B$18*Assumptions!$B$20*Assumptions!$B$16)</f>
        <v>-3.0339973200000014</v>
      </c>
      <c r="S6" s="23">
        <f>-IF(S3-2026&lt;Assumptions!$B$19,Assumptions!$B$18,Assumptions!$B$18*Assumptions!$B$20*Assumptions!$B$16)</f>
        <v>-3.0339973200000014</v>
      </c>
      <c r="T6" s="23">
        <f>-IF(T3-2026&lt;Assumptions!$B$19,Assumptions!$B$18,Assumptions!$B$18*Assumptions!$B$20*Assumptions!$B$16)</f>
        <v>-3.0339973200000014</v>
      </c>
      <c r="U6" s="23">
        <f>-IF(U3-2026&lt;Assumptions!$B$19,Assumptions!$B$18,Assumptions!$B$18*Assumptions!$B$20*Assumptions!$B$16)</f>
        <v>-3.0339973200000014</v>
      </c>
      <c r="V6" s="23">
        <f>-IF(V3-2026&lt;Assumptions!$B$19,Assumptions!$B$18,Assumptions!$B$18*Assumptions!$B$20*Assumptions!$B$16)</f>
        <v>-3.0339973200000014</v>
      </c>
    </row>
    <row r="7">
      <c r="A7" s="14" t="inlineStr">
        <is>
          <t>Pre-tax cash flow</t>
        </is>
      </c>
      <c r="C7" s="23">
        <f>C5+C6</f>
        <v>-117.188</v>
      </c>
      <c r="D7" s="23">
        <f>D5+D6</f>
        <v>-117.188</v>
      </c>
      <c r="E7" s="23">
        <f>E5+E6</f>
        <v>-117.188</v>
      </c>
      <c r="F7" s="23">
        <f>F5+F6</f>
        <v>-117.188</v>
      </c>
      <c r="G7" s="23">
        <f>G5+G6</f>
        <v>-3.0339973200000014</v>
      </c>
      <c r="H7" s="23">
        <f>H5+H6</f>
        <v>-3.0339973200000014</v>
      </c>
      <c r="I7" s="23">
        <f>I5+I6</f>
        <v>10.77400268</v>
      </c>
      <c r="J7" s="23">
        <f>J5+J6</f>
        <v>31.486002680000002</v>
      </c>
      <c r="K7" s="23">
        <f>K5+K6</f>
        <v>59.10200268</v>
      </c>
      <c r="L7" s="23">
        <f>L5+L6</f>
        <v>86.71800268000001</v>
      </c>
      <c r="M7" s="23">
        <f>M5+M6</f>
        <v>114.33400268000001</v>
      </c>
      <c r="N7" s="23">
        <f>N5+N6</f>
        <v>135.04600268000002</v>
      </c>
      <c r="O7" s="23">
        <f>O5+O6</f>
        <v>135.04600268000002</v>
      </c>
      <c r="P7" s="23">
        <f>P5+P6</f>
        <v>135.04600268000002</v>
      </c>
      <c r="Q7" s="23">
        <f>Q5+Q6</f>
        <v>135.04600268000002</v>
      </c>
      <c r="R7" s="23">
        <f>R5+R6</f>
        <v>135.04600268000002</v>
      </c>
      <c r="S7" s="23">
        <f>S5+S6</f>
        <v>135.04600268000002</v>
      </c>
      <c r="T7" s="23">
        <f>T5+T6</f>
        <v>135.04600268000002</v>
      </c>
      <c r="U7" s="23">
        <f>U5+U6</f>
        <v>135.04600268000002</v>
      </c>
      <c r="V7" s="23">
        <f>V5+V6</f>
        <v>66.00600268000001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10.77400268</v>
      </c>
      <c r="J8" s="23">
        <f>MIN(I17,MAX(0,J7))</f>
        <v>31.486002680000002</v>
      </c>
      <c r="K8" s="23">
        <f>MIN(J17,MAX(0,K7))</f>
        <v>59.10200268</v>
      </c>
      <c r="L8" s="23">
        <f>MIN(K17,MAX(0,L7))</f>
        <v>86.71800268000001</v>
      </c>
      <c r="M8" s="23">
        <f>MIN(L17,MAX(0,M7))</f>
        <v>114.33400268000001</v>
      </c>
      <c r="N8" s="23">
        <f>MIN(M17,MAX(0,N7))</f>
        <v>135.04600268000002</v>
      </c>
      <c r="O8" s="23">
        <f>MIN(N17,MAX(0,O7))</f>
        <v>135.04600268000002</v>
      </c>
      <c r="P8" s="23">
        <f>MIN(O17,MAX(0,P7))</f>
        <v>135.04600268000002</v>
      </c>
      <c r="Q8" s="23">
        <f>MIN(P17,MAX(0,Q7))</f>
        <v>135.04600268000002</v>
      </c>
      <c r="R8" s="23">
        <f>MIN(Q17,MAX(0,R7))</f>
        <v>135.04600268000002</v>
      </c>
      <c r="S8" s="23">
        <f>MIN(R17,MAX(0,S7))</f>
        <v>88.27596784000013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0.0</v>
      </c>
      <c r="R9" s="23">
        <f>MAX(0,R7)-R8</f>
        <v>0.0</v>
      </c>
      <c r="S9" s="23">
        <f>MAX(0,S7)-S8</f>
        <v>46.77003483999988</v>
      </c>
      <c r="T9" s="23">
        <f>MAX(0,T7)-T8</f>
        <v>135.04600268000002</v>
      </c>
      <c r="U9" s="23">
        <f>MAX(0,U7)-U8</f>
        <v>135.04600268000002</v>
      </c>
      <c r="V9" s="23">
        <f>MAX(0,V7)-V8</f>
        <v>66.00600268000001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0.0</v>
      </c>
      <c r="R10" s="23">
        <f>R9*Assumptions!$E$15</f>
        <v>0.0</v>
      </c>
      <c r="S10" s="23">
        <f>S9*Assumptions!$E$15</f>
        <v>9.821707316399975</v>
      </c>
      <c r="T10" s="23">
        <f>T9*Assumptions!$E$15</f>
        <v>28.359660562800002</v>
      </c>
      <c r="U10" s="23">
        <f>U9*Assumptions!$E$15</f>
        <v>28.359660562800002</v>
      </c>
      <c r="V10" s="23">
        <f>V9*Assumptions!$E$15</f>
        <v>13.861260562800002</v>
      </c>
    </row>
    <row r="11">
      <c r="A11" s="24" t="inlineStr">
        <is>
          <t>Free cash flow</t>
        </is>
      </c>
      <c r="C11" s="55">
        <f>C7-C10</f>
        <v>-117.188</v>
      </c>
      <c r="D11" s="55">
        <f>D7-D10</f>
        <v>-117.188</v>
      </c>
      <c r="E11" s="55">
        <f>E7-E10</f>
        <v>-117.188</v>
      </c>
      <c r="F11" s="55">
        <f>F7-F10</f>
        <v>-117.188</v>
      </c>
      <c r="G11" s="55">
        <f>G7-G10</f>
        <v>-3.0339973200000014</v>
      </c>
      <c r="H11" s="55">
        <f>H7-H10</f>
        <v>-3.0339973200000014</v>
      </c>
      <c r="I11" s="55">
        <f>I7-I10</f>
        <v>10.77400268</v>
      </c>
      <c r="J11" s="55">
        <f>J7-J10</f>
        <v>31.486002680000002</v>
      </c>
      <c r="K11" s="55">
        <f>K7-K10</f>
        <v>59.10200268</v>
      </c>
      <c r="L11" s="55">
        <f>L7-L10</f>
        <v>86.71800268000001</v>
      </c>
      <c r="M11" s="55">
        <f>M7-M10</f>
        <v>114.33400268000001</v>
      </c>
      <c r="N11" s="55">
        <f>N7-N10</f>
        <v>135.04600268000002</v>
      </c>
      <c r="O11" s="55">
        <f>O7-O10</f>
        <v>135.04600268000002</v>
      </c>
      <c r="P11" s="55">
        <f>P7-P10</f>
        <v>135.04600268000002</v>
      </c>
      <c r="Q11" s="55">
        <f>Q7-Q10</f>
        <v>135.04600268000002</v>
      </c>
      <c r="R11" s="55">
        <f>R7-R10</f>
        <v>135.04600268000002</v>
      </c>
      <c r="S11" s="55">
        <f>S7-S10</f>
        <v>125.22429536360004</v>
      </c>
      <c r="T11" s="55">
        <f>T7-T10</f>
        <v>106.68634211720001</v>
      </c>
      <c r="U11" s="55">
        <f>U7-U10</f>
        <v>106.68634211720001</v>
      </c>
      <c r="V11" s="55">
        <f>V7-V10</f>
        <v>52.14474211720001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-57.41091085233012</v>
      </c>
      <c r="D16" s="55">
        <f>D11*D15</f>
        <v>-104.58353707521503</v>
      </c>
      <c r="E16" s="55">
        <f>E11*E15</f>
        <v>-93.37815810287054</v>
      </c>
      <c r="F16" s="55">
        <f>F11*F15</f>
        <v>-83.37335544899156</v>
      </c>
      <c r="G16" s="55">
        <f>G11*G15</f>
        <v>-1.9272644397985643</v>
      </c>
      <c r="H16" s="55">
        <f>H11*H15</f>
        <v>-1.7207718212487182</v>
      </c>
      <c r="I16" s="55">
        <f>I11*I15</f>
        <v>5.455909393027767</v>
      </c>
      <c r="J16" s="55">
        <f>J11*J15</f>
        <v>14.236052321708245</v>
      </c>
      <c r="K16" s="55">
        <f>K11*K15</f>
        <v>23.859218917432383</v>
      </c>
      <c r="L16" s="55">
        <f>L11*L15</f>
        <v>31.256854315481746</v>
      </c>
      <c r="M16" s="55">
        <f>M11*M15</f>
        <v>36.79538803351939</v>
      </c>
      <c r="N16" s="55">
        <f>N11*N15</f>
        <v>38.80446413351936</v>
      </c>
      <c r="O16" s="55">
        <f>O11*O15</f>
        <v>34.64684297635657</v>
      </c>
      <c r="P16" s="55">
        <f>P11*P15</f>
        <v>30.934681228889787</v>
      </c>
      <c r="Q16" s="55">
        <f>Q11*Q15</f>
        <v>27.620251097223026</v>
      </c>
      <c r="R16" s="55">
        <f>R11*R15</f>
        <v>24.660938479663415</v>
      </c>
      <c r="S16" s="55">
        <f>S11*S15</f>
        <v>20.417306105990566</v>
      </c>
      <c r="T16" s="55">
        <f>T11*T15</f>
        <v>15.531043844813532</v>
      </c>
      <c r="U16" s="55">
        <f>U11*U15</f>
        <v>13.867003432869224</v>
      </c>
      <c r="V16" s="55">
        <f>V11*V15</f>
        <v>6.05154544952154</v>
      </c>
    </row>
    <row r="17">
      <c r="A17" s="14" t="inlineStr">
        <is>
          <t>Tax-loss carryforward, end of year</t>
        </is>
      </c>
      <c r="C17" s="23">
        <f>Assumptions!$B$21-C8+MAX(0,-C7)</f>
        <v>708.288</v>
      </c>
      <c r="D17" s="23">
        <f>C17-D8+MAX(0,-D7)</f>
        <v>825.476</v>
      </c>
      <c r="E17" s="23">
        <f>D17-E8+MAX(0,-E7)</f>
        <v>942.664</v>
      </c>
      <c r="F17" s="23">
        <f>E17-F8+MAX(0,-F7)</f>
        <v>1059.852</v>
      </c>
      <c r="G17" s="23">
        <f>F17-G8+MAX(0,-G7)</f>
        <v>1062.8859973200001</v>
      </c>
      <c r="H17" s="23">
        <f>G17-H8+MAX(0,-H7)</f>
        <v>1065.9199946400001</v>
      </c>
      <c r="I17" s="23">
        <f>H17-I8+MAX(0,-I7)</f>
        <v>1055.1459919600002</v>
      </c>
      <c r="J17" s="23">
        <f>I17-J8+MAX(0,-J7)</f>
        <v>1023.6599892800002</v>
      </c>
      <c r="K17" s="23">
        <f>J17-K8+MAX(0,-K7)</f>
        <v>964.5579866000003</v>
      </c>
      <c r="L17" s="23">
        <f>K17-L8+MAX(0,-L7)</f>
        <v>877.8399839200002</v>
      </c>
      <c r="M17" s="23">
        <f>L17-M8+MAX(0,-M7)</f>
        <v>763.5059812400002</v>
      </c>
      <c r="N17" s="23">
        <f>M17-N8+MAX(0,-N7)</f>
        <v>628.4599785600002</v>
      </c>
      <c r="O17" s="23">
        <f>N17-O8+MAX(0,-O7)</f>
        <v>493.4139758800002</v>
      </c>
      <c r="P17" s="23">
        <f>O17-P8+MAX(0,-P7)</f>
        <v>358.36797320000016</v>
      </c>
      <c r="Q17" s="23">
        <f>P17-Q8+MAX(0,-Q7)</f>
        <v>223.32197052000015</v>
      </c>
      <c r="R17" s="23">
        <f>Q17-R8+MAX(0,-R7)</f>
        <v>88.27596784000013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346.56776326786826</v>
      </c>
    </row>
    <row r="20">
      <c r="A20" s="14" t="inlineStr">
        <is>
          <t>PV of corporate burn</t>
        </is>
      </c>
      <c r="B20" s="23">
        <f>SUMPRODUCT(C6:V6,C15:V15)</f>
        <v>-353.79956285403847</v>
      </c>
    </row>
    <row r="21">
      <c r="A21" s="14" t="inlineStr">
        <is>
          <t>PV of taxes</t>
        </is>
      </c>
      <c r="B21" s="23">
        <f>-SUMPRODUCT(C10:V10,C15:V15)</f>
        <v>-11.024698424267733</v>
      </c>
    </row>
    <row r="22">
      <c r="A22" s="24" t="inlineStr">
        <is>
          <t>Pipeline rNPV (operations)</t>
        </is>
      </c>
      <c r="B22" s="54">
        <f>SUM(C16:V16)</f>
        <v>-18.256498010437973</v>
      </c>
    </row>
    <row r="23">
      <c r="A23" s="14" t="inlineStr">
        <is>
          <t>Cash &amp; investments</t>
        </is>
      </c>
      <c r="B23" s="57">
        <f>Main!C7</f>
        <v>148.8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130.54350198956203</v>
      </c>
    </row>
    <row r="26">
      <c r="A26" s="14" t="inlineStr">
        <is>
          <t>Shares (mm)</t>
        </is>
      </c>
      <c r="B26" s="57">
        <f>Main!C4</f>
        <v>61.617948</v>
      </c>
    </row>
    <row r="27">
      <c r="A27" s="24" t="inlineStr">
        <is>
          <t>rNPV / share</t>
        </is>
      </c>
      <c r="B27" s="60">
        <f>B25/B26</f>
        <v>2.1185954129722404</v>
      </c>
    </row>
    <row r="28">
      <c r="A28" s="14" t="inlineStr">
        <is>
          <t>Price</t>
        </is>
      </c>
      <c r="B28" s="61">
        <f>Main!C3</f>
        <v>2.19</v>
      </c>
    </row>
    <row r="29">
      <c r="A29" s="14" t="inlineStr">
        <is>
          <t>Upside</t>
        </is>
      </c>
      <c r="B29" s="62">
        <f>B27/B28-1</f>
        <v>-0.03260483425925098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2026-10-21T06:27:53Z</dcterms:modified>
  <cp:lastModifiedBy>Wang, Eric</cp:lastModifiedBy>
</cp:coreProperties>
</file>