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Johnson &amp; Johnson</t>
        </is>
      </c>
      <c r="C2" s="10" t="n"/>
    </row>
    <row r="3">
      <c r="B3" t="inlineStr">
        <is>
          <t>Price</t>
        </is>
      </c>
      <c r="C3" s="11">
        <f>INDEX([1]Pharma!$F$1:$F$1000,MATCH("JNJ",[1]Pharma!$B$1:$B$1000,0))</f>
        <v>259.4</v>
      </c>
      <c r="F3" s="1" t="n"/>
    </row>
    <row r="4">
      <c r="B4" t="inlineStr">
        <is>
          <t>Shares</t>
        </is>
      </c>
      <c r="C4" s="51" t="n">
        <v>2409.898597</v>
      </c>
      <c r="F4" s="1" t="n"/>
    </row>
    <row r="5">
      <c r="B5" t="inlineStr">
        <is>
          <t>Market Cap.</t>
        </is>
      </c>
      <c r="C5" s="13">
        <f>C3*C4</f>
        <v>625127.6960617999</v>
      </c>
      <c r="F5" s="1" t="n"/>
    </row>
    <row r="6"/>
    <row r="7">
      <c r="B7" t="inlineStr">
        <is>
          <t>Cash</t>
        </is>
      </c>
      <c r="C7" s="51">
        <f>20422+336</f>
        <v>20758.0</v>
      </c>
    </row>
    <row r="8">
      <c r="B8" t="inlineStr">
        <is>
          <t>Debt</t>
        </is>
      </c>
      <c r="C8" s="51">
        <f>11692+37344</f>
        <v>49036.0</v>
      </c>
    </row>
    <row r="9">
      <c r="B9" t="inlineStr">
        <is>
          <t>Enterprise V.</t>
        </is>
      </c>
      <c r="C9" s="13">
        <f>C5-C7+C8</f>
        <v>653405.6960617999</v>
      </c>
    </row>
    <row r="10"/>
    <row r="11">
      <c r="B11" s="14" t="inlineStr">
        <is>
          <t>NPV / Share</t>
        </is>
      </c>
      <c r="C11" s="11">
        <f>NPV!B28</f>
        <v>172.80445083300157</v>
      </c>
    </row>
    <row r="12">
      <c r="B12" s="14" t="inlineStr">
        <is>
          <t>Upside</t>
        </is>
      </c>
      <c r="C12" s="15">
        <f>IFERROR(C11/C3-1,"")</f>
        <v>-0.33383018183114266</v>
      </c>
    </row>
    <row r="13">
      <c r="B13" s="14" t="inlineStr">
        <is>
          <t>Cash / Share</t>
        </is>
      </c>
      <c r="C13" s="11">
        <f>IFERROR((C7-C8)/C4,"")</f>
        <v>-11.734103681873716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61095</v>
      </c>
      <c r="C2" s="52" t="n">
        <v>63747</v>
      </c>
      <c r="D2" s="52" t="n">
        <v>61897</v>
      </c>
      <c r="E2" s="52" t="n">
        <v>61587</v>
      </c>
      <c r="F2" s="52" t="n">
        <v>65030</v>
      </c>
      <c r="G2" s="52" t="n">
        <v>67224</v>
      </c>
      <c r="H2" s="52" t="n">
        <v>71312</v>
      </c>
      <c r="I2" s="52" t="n">
        <v>74331</v>
      </c>
      <c r="J2" s="52" t="n">
        <v>70074</v>
      </c>
      <c r="K2" s="52" t="n">
        <v>71890</v>
      </c>
      <c r="L2" s="52" t="n">
        <v>76450</v>
      </c>
      <c r="M2" s="52" t="n">
        <v>81581</v>
      </c>
      <c r="N2" s="52" t="n">
        <v>82059</v>
      </c>
      <c r="O2" s="52" t="n">
        <v>82584</v>
      </c>
      <c r="P2" s="52" t="n">
        <v>78740</v>
      </c>
      <c r="Q2" s="52" t="n">
        <v>79990</v>
      </c>
      <c r="R2" s="52" t="n">
        <v>85159</v>
      </c>
      <c r="S2" s="52" t="n">
        <v>88821</v>
      </c>
      <c r="T2" s="52" t="n">
        <v>94193</v>
      </c>
      <c r="U2" s="52">
        <f>T2*(1+NPV!C5)</f>
        <v>99891.6765</v>
      </c>
      <c r="V2" s="52">
        <f>U2*(1+NPV!D5)</f>
        <v>105541.10575983333</v>
      </c>
      <c r="W2" s="52">
        <f>V2*(1+NPV!E5)</f>
        <v>111093.74060175345</v>
      </c>
      <c r="X2" s="52">
        <f>W2*(1+NPV!F5)</f>
        <v>116500.30264437212</v>
      </c>
      <c r="Y2" s="52">
        <f>X2*(1+NPV!G5)</f>
        <v>121710.45506818985</v>
      </c>
      <c r="Z2" s="52">
        <f>Y2*(1+NPV!H5)</f>
        <v>126673.53695819271</v>
      </c>
      <c r="AA2" s="52">
        <f>Z2*(1+NPV!I5)</f>
        <v>131339.34556948612</v>
      </c>
      <c r="AB2" s="52">
        <f>AA2*(1+NPV!J5)</f>
        <v>135658.95071266033</v>
      </c>
      <c r="AC2" s="52">
        <f>AB2*(1+NPV!K5)</f>
        <v>139585.52367495454</v>
      </c>
      <c r="AD2" s="52">
        <f>AC2*(1+NPV!L5)</f>
        <v>143075.1617668284</v>
      </c>
    </row>
    <row r="3" customFormat="1" s="1">
      <c r="A3" s="5" t="inlineStr">
        <is>
          <t>Cost of Sales</t>
        </is>
      </c>
      <c r="B3" s="52" t="n">
        <v>17751</v>
      </c>
      <c r="C3" s="52" t="n">
        <v>18511</v>
      </c>
      <c r="D3" s="52" t="n">
        <v>18447</v>
      </c>
      <c r="E3" s="52" t="n">
        <v>18792</v>
      </c>
      <c r="F3" s="52" t="n">
        <v>20360</v>
      </c>
      <c r="G3" s="52" t="n">
        <v>21658</v>
      </c>
      <c r="H3" s="52" t="n">
        <v>22342</v>
      </c>
      <c r="I3" s="52" t="n">
        <v>22746</v>
      </c>
      <c r="J3" s="52" t="n">
        <v>21536</v>
      </c>
      <c r="K3" s="52" t="n">
        <v>21789</v>
      </c>
      <c r="L3" s="52" t="n">
        <v>25439</v>
      </c>
      <c r="M3" s="52" t="n">
        <v>27091</v>
      </c>
      <c r="N3" s="52" t="n">
        <v>27556</v>
      </c>
      <c r="O3" s="52" t="n">
        <v>28427</v>
      </c>
      <c r="P3" s="52" t="n">
        <v>23402</v>
      </c>
      <c r="Q3" s="52" t="n">
        <v>24596</v>
      </c>
      <c r="R3" s="52" t="n">
        <v>26553</v>
      </c>
      <c r="S3" s="52" t="n">
        <v>27471</v>
      </c>
      <c r="T3" s="52" t="n">
        <v>30256</v>
      </c>
      <c r="U3" s="52">
        <f>U2*(1-Assumptions!$B$19)</f>
        <v>32085.206491800003</v>
      </c>
      <c r="V3" s="52">
        <f>V2*(1-Assumptions!$B$19)</f>
        <v>33899.80317005847</v>
      </c>
      <c r="W3" s="52">
        <f>W2*(1-Assumptions!$B$19)</f>
        <v>35683.30948128321</v>
      </c>
      <c r="X3" s="52">
        <f>X2*(1-Assumptions!$B$19)</f>
        <v>37419.89720937233</v>
      </c>
      <c r="Y3" s="52">
        <f>Y2*(1-Assumptions!$B$19)</f>
        <v>39093.39816790259</v>
      </c>
      <c r="Z3" s="52">
        <f>Z2*(1-Assumptions!$B$19)</f>
        <v>40687.5400709715</v>
      </c>
      <c r="AA3" s="52">
        <f>AA2*(1-Assumptions!$B$19)</f>
        <v>42186.19779691895</v>
      </c>
      <c r="AB3" s="52">
        <f>AB2*(1-Assumptions!$B$19)</f>
        <v>43573.6549689065</v>
      </c>
      <c r="AC3" s="52">
        <f>AC2*(1-Assumptions!$B$19)</f>
        <v>44834.8702043954</v>
      </c>
      <c r="AD3" s="52">
        <f>AD2*(1-Assumptions!$B$19)</f>
        <v>45955.741959505285</v>
      </c>
    </row>
    <row r="4" customFormat="1" s="1">
      <c r="A4" s="5" t="inlineStr">
        <is>
          <t>Gross Margin</t>
        </is>
      </c>
      <c r="B4" s="52">
        <f>B2-B3</f>
        <v>43344.0</v>
      </c>
      <c r="C4" s="52">
        <f>C2-C3</f>
        <v>45236.0</v>
      </c>
      <c r="D4" s="52">
        <f>D2-D3</f>
        <v>43450.0</v>
      </c>
      <c r="E4" s="52">
        <f>E2-E3</f>
        <v>42795.0</v>
      </c>
      <c r="F4" s="52">
        <f>F2-F3</f>
        <v>44670.0</v>
      </c>
      <c r="G4" s="52">
        <f>G2-G3</f>
        <v>45566.0</v>
      </c>
      <c r="H4" s="52">
        <f>H2-H3</f>
        <v>48970.0</v>
      </c>
      <c r="I4" s="52">
        <f>I2-I3</f>
        <v>51585.0</v>
      </c>
      <c r="J4" s="52">
        <f>J2-J3</f>
        <v>48538.0</v>
      </c>
      <c r="K4" s="52">
        <f>K2-K3</f>
        <v>50101.0</v>
      </c>
      <c r="L4" s="52">
        <f>L2-L3</f>
        <v>51011.0</v>
      </c>
      <c r="M4" s="52">
        <f>M2-M3</f>
        <v>54490.0</v>
      </c>
      <c r="N4" s="52">
        <f>N2-N3</f>
        <v>54503.0</v>
      </c>
      <c r="O4" s="52">
        <f>O2-O3</f>
        <v>54157.0</v>
      </c>
      <c r="P4" s="52">
        <f>P2-P3</f>
        <v>55338.0</v>
      </c>
      <c r="Q4" s="52">
        <f>Q2-Q3</f>
        <v>55394.0</v>
      </c>
      <c r="R4" s="52">
        <f>R2-R3</f>
        <v>58606.0</v>
      </c>
      <c r="S4" s="52">
        <f>S2-S3</f>
        <v>61350.0</v>
      </c>
      <c r="T4" s="52">
        <f>T2-T3</f>
        <v>63937.0</v>
      </c>
      <c r="U4" s="52">
        <f>U2-U3</f>
        <v>67806.4700082</v>
      </c>
      <c r="V4" s="52">
        <f>V2-V3</f>
        <v>71641.30258977486</v>
      </c>
      <c r="W4" s="52">
        <f>W2-W3</f>
        <v>75410.43112047024</v>
      </c>
      <c r="X4" s="52">
        <f>X2-X3</f>
        <v>79080.40543499979</v>
      </c>
      <c r="Y4" s="52">
        <f>Y2-Y3</f>
        <v>82617.05690028727</v>
      </c>
      <c r="Z4" s="52">
        <f>Z2-Z3</f>
        <v>85985.9968872212</v>
      </c>
      <c r="AA4" s="52">
        <f>AA2-AA3</f>
        <v>89153.14777256717</v>
      </c>
      <c r="AB4" s="52">
        <f>AB2-AB3</f>
        <v>92085.29574375383</v>
      </c>
      <c r="AC4" s="52">
        <f>AC2-AC3</f>
        <v>94750.65347055913</v>
      </c>
      <c r="AD4" s="52">
        <f>AD2-AD3</f>
        <v>97119.41980732311</v>
      </c>
    </row>
    <row r="5">
      <c r="A5" s="2" t="inlineStr">
        <is>
          <t>Research &amp; Dev.</t>
        </is>
      </c>
      <c r="B5" s="52" t="n">
        <v>7680</v>
      </c>
      <c r="C5" s="52" t="n">
        <v>7577</v>
      </c>
      <c r="D5" s="52" t="n">
        <v>6986</v>
      </c>
      <c r="E5" s="52" t="n">
        <v>6844</v>
      </c>
      <c r="F5" s="52" t="n">
        <v>7548</v>
      </c>
      <c r="G5" s="52" t="n">
        <v>7665</v>
      </c>
      <c r="H5" s="52" t="n">
        <v>8183</v>
      </c>
      <c r="I5" s="52" t="n">
        <v>8494</v>
      </c>
      <c r="J5" s="52" t="n">
        <v>9046</v>
      </c>
      <c r="K5" s="52" t="n">
        <v>9143</v>
      </c>
      <c r="L5" s="52" t="n">
        <v>10594</v>
      </c>
      <c r="M5" s="52" t="n">
        <v>10775</v>
      </c>
      <c r="N5" s="52" t="n">
        <v>11355</v>
      </c>
      <c r="O5" s="52" t="n">
        <v>12159</v>
      </c>
      <c r="P5" s="52" t="n">
        <v>14277</v>
      </c>
      <c r="Q5" s="52" t="n">
        <v>14135</v>
      </c>
      <c r="R5" s="52" t="n">
        <v>15085</v>
      </c>
      <c r="S5" s="52" t="n">
        <v>17232</v>
      </c>
      <c r="T5" s="52" t="n">
        <v>14665</v>
      </c>
      <c r="U5" s="52">
        <f>U7*Assumptions!$B$20</f>
        <v>15710.598275300776</v>
      </c>
      <c r="V5" s="52">
        <f>V7*Assumptions!$B$20</f>
        <v>16618.497235888066</v>
      </c>
      <c r="W5" s="52">
        <f>W7*Assumptions!$B$20</f>
        <v>17513.211651239548</v>
      </c>
      <c r="X5" s="52">
        <f>X7*Assumptions!$B$20</f>
        <v>18386.910740498715</v>
      </c>
      <c r="Y5" s="52">
        <f>Y7*Assumptions!$B$20</f>
        <v>19231.560288165976</v>
      </c>
      <c r="Z5" s="52">
        <f>Z7*Assumptions!$B$20</f>
        <v>20039.03784130227</v>
      </c>
      <c r="AA5" s="52">
        <f>AA7*Assumptions!$B$20</f>
        <v>20801.256305636794</v>
      </c>
      <c r="AB5" s="52">
        <f>AB7*Assumptions!$B$20</f>
        <v>21510.293496373026</v>
      </c>
      <c r="AC5" s="52">
        <f>AC7*Assumptions!$B$20</f>
        <v>22158.524893609207</v>
      </c>
      <c r="AD5" s="52">
        <f>AD7*Assumptions!$B$20</f>
        <v>22738.75661564983</v>
      </c>
    </row>
    <row r="6">
      <c r="A6" s="18" t="inlineStr">
        <is>
          <t>SG&amp;A &amp; Other</t>
        </is>
      </c>
      <c r="B6" s="52" t="n">
        <v>20451</v>
      </c>
      <c r="C6" s="52" t="n">
        <v>21490</v>
      </c>
      <c r="D6" s="52" t="n">
        <v>19882</v>
      </c>
      <c r="E6" s="52" t="n">
        <v>18251</v>
      </c>
      <c r="F6" s="52" t="n">
        <v>23357</v>
      </c>
      <c r="G6" s="52" t="n">
        <v>22946</v>
      </c>
      <c r="H6" s="52" t="n">
        <v>24375</v>
      </c>
      <c r="I6" s="52" t="n">
        <v>21501</v>
      </c>
      <c r="J6" s="52" t="n">
        <v>21203</v>
      </c>
      <c r="K6" s="52" t="n">
        <v>20067</v>
      </c>
      <c r="L6" s="52" t="n">
        <v>21520</v>
      </c>
      <c r="M6" s="52" t="n">
        <v>22540</v>
      </c>
      <c r="N6" s="52" t="n">
        <v>22178</v>
      </c>
      <c r="O6" s="52" t="n">
        <v>22084</v>
      </c>
      <c r="P6" s="52" t="n">
        <v>20118</v>
      </c>
      <c r="Q6" s="52" t="n">
        <v>20246</v>
      </c>
      <c r="R6" s="52" t="n">
        <v>21512</v>
      </c>
      <c r="S6" s="52" t="n">
        <v>22869</v>
      </c>
      <c r="T6" s="52" t="n">
        <v>23676</v>
      </c>
      <c r="U6" s="52">
        <f>U7-U5</f>
        <v>25362.861267969223</v>
      </c>
      <c r="V6" s="52">
        <f>V7-V5</f>
        <v>26828.55436120492</v>
      </c>
      <c r="W6" s="52">
        <f>W7-W5</f>
        <v>28272.96260036711</v>
      </c>
      <c r="X6" s="52">
        <f>X7-X5</f>
        <v>29683.444136622107</v>
      </c>
      <c r="Y6" s="52">
        <f>Y7-Y5</f>
        <v>31047.02870050324</v>
      </c>
      <c r="Z6" s="52">
        <f>Z7-Z5</f>
        <v>32350.60357386706</v>
      </c>
      <c r="AA6" s="52">
        <f>AA7-AA5</f>
        <v>33581.113120864626</v>
      </c>
      <c r="AB6" s="52">
        <f>AB7-AB5</f>
        <v>34725.76793205319</v>
      </c>
      <c r="AC6" s="52">
        <f>AC7-AC5</f>
        <v>35772.259141970426</v>
      </c>
      <c r="AD6" s="52">
        <f>AD7-AD5</f>
        <v>36708.973098467366</v>
      </c>
    </row>
    <row r="7">
      <c r="A7" s="2" t="inlineStr">
        <is>
          <t>Operating Expense</t>
        </is>
      </c>
      <c r="B7" s="52">
        <f>SUM(B5:B6)</f>
        <v>28131.0</v>
      </c>
      <c r="C7" s="52">
        <f>SUM(C5:C6)</f>
        <v>29067.0</v>
      </c>
      <c r="D7" s="52">
        <f>SUM(D5:D6)</f>
        <v>26868.0</v>
      </c>
      <c r="E7" s="52">
        <f>SUM(E5:E6)</f>
        <v>25095.0</v>
      </c>
      <c r="F7" s="52">
        <f>SUM(F5:F6)</f>
        <v>30905.0</v>
      </c>
      <c r="G7" s="52">
        <f>SUM(G5:G6)</f>
        <v>30611.0</v>
      </c>
      <c r="H7" s="52">
        <f>SUM(H5:H6)</f>
        <v>32558.0</v>
      </c>
      <c r="I7" s="52">
        <f>SUM(I5:I6)</f>
        <v>29995.0</v>
      </c>
      <c r="J7" s="52">
        <f>SUM(J5:J6)</f>
        <v>30249.0</v>
      </c>
      <c r="K7" s="52">
        <f>SUM(K5:K6)</f>
        <v>29210.0</v>
      </c>
      <c r="L7" s="52">
        <f>SUM(L5:L6)</f>
        <v>32114.0</v>
      </c>
      <c r="M7" s="52">
        <f>SUM(M5:M6)</f>
        <v>33315.0</v>
      </c>
      <c r="N7" s="52">
        <f>SUM(N5:N6)</f>
        <v>33533.0</v>
      </c>
      <c r="O7" s="52">
        <f>SUM(O5:O6)</f>
        <v>34243.0</v>
      </c>
      <c r="P7" s="52">
        <f>SUM(P5:P6)</f>
        <v>34395.0</v>
      </c>
      <c r="Q7" s="52">
        <f>SUM(Q5:Q6)</f>
        <v>34381.0</v>
      </c>
      <c r="R7" s="52">
        <f>SUM(R5:R6)</f>
        <v>36597.0</v>
      </c>
      <c r="S7" s="52">
        <f>SUM(S5:S6)</f>
        <v>40101.0</v>
      </c>
      <c r="T7" s="52">
        <f>SUM(T5:T6)</f>
        <v>38341.0</v>
      </c>
      <c r="U7" s="52">
        <f>U4-U2*NPV!C6</f>
        <v>41073.45954327</v>
      </c>
      <c r="V7" s="52">
        <f>V4-V2*NPV!D6</f>
        <v>43447.051597092985</v>
      </c>
      <c r="W7" s="52">
        <f>W4-W2*NPV!E6</f>
        <v>45786.17425160666</v>
      </c>
      <c r="X7" s="52">
        <f>X4-X2*NPV!F6</f>
        <v>48070.35487712082</v>
      </c>
      <c r="Y7" s="52">
        <f>Y4-Y2*NPV!G6</f>
        <v>50278.58898866922</v>
      </c>
      <c r="Z7" s="52">
        <f>Z4-Z2*NPV!H6</f>
        <v>52389.64141516933</v>
      </c>
      <c r="AA7" s="52">
        <f>AA4-AA2*NPV!I6</f>
        <v>54382.36942650142</v>
      </c>
      <c r="AB7" s="52">
        <f>AB4-AB2*NPV!J6</f>
        <v>56236.06142842621</v>
      </c>
      <c r="AC7" s="52">
        <f>AC4-AC2*NPV!K6</f>
        <v>57930.78403557963</v>
      </c>
      <c r="AD7" s="52">
        <f>AD4-AD2*NPV!L6</f>
        <v>59447.729714117195</v>
      </c>
    </row>
    <row r="8">
      <c r="A8" s="2" t="inlineStr">
        <is>
          <t>Operating Income</t>
        </is>
      </c>
      <c r="B8" s="52">
        <f>B4-B7</f>
        <v>15213.0</v>
      </c>
      <c r="C8" s="52">
        <f>C4-C7</f>
        <v>16169.0</v>
      </c>
      <c r="D8" s="52">
        <f>D4-D7</f>
        <v>16582.0</v>
      </c>
      <c r="E8" s="52">
        <f>E4-E7</f>
        <v>17700.0</v>
      </c>
      <c r="F8" s="52">
        <f>F4-F7</f>
        <v>13765.0</v>
      </c>
      <c r="G8" s="52">
        <f>G4-G7</f>
        <v>14955.0</v>
      </c>
      <c r="H8" s="52">
        <f>H4-H7</f>
        <v>16412.0</v>
      </c>
      <c r="I8" s="52">
        <f>I4-I7</f>
        <v>21590.0</v>
      </c>
      <c r="J8" s="52">
        <f>J4-J7</f>
        <v>18289.0</v>
      </c>
      <c r="K8" s="52">
        <f>K4-K7</f>
        <v>20891.0</v>
      </c>
      <c r="L8" s="52">
        <f>L4-L7</f>
        <v>18897.0</v>
      </c>
      <c r="M8" s="52">
        <f>M4-M7</f>
        <v>21175.0</v>
      </c>
      <c r="N8" s="52">
        <f>N4-N7</f>
        <v>20970.0</v>
      </c>
      <c r="O8" s="52">
        <f>O4-O7</f>
        <v>19914.0</v>
      </c>
      <c r="P8" s="52">
        <f>P4-P7</f>
        <v>20943.0</v>
      </c>
      <c r="Q8" s="52">
        <f>Q4-Q7</f>
        <v>21013.0</v>
      </c>
      <c r="R8" s="52">
        <f>R4-R7</f>
        <v>22009.0</v>
      </c>
      <c r="S8" s="52">
        <f>S4-S7</f>
        <v>21249.0</v>
      </c>
      <c r="T8" s="52">
        <f>T4-T7</f>
        <v>25596.0</v>
      </c>
      <c r="U8" s="52">
        <f>U4-U7</f>
        <v>26733.010464930005</v>
      </c>
      <c r="V8" s="52">
        <f>V4-V7</f>
        <v>28194.250992681875</v>
      </c>
      <c r="W8" s="52">
        <f>W4-W7</f>
        <v>29624.25686886358</v>
      </c>
      <c r="X8" s="52">
        <f>X4-X7</f>
        <v>31010.050557878967</v>
      </c>
      <c r="Y8" s="52">
        <f>Y4-Y7</f>
        <v>32338.46791161805</v>
      </c>
      <c r="Z8" s="52">
        <f>Z4-Z7</f>
        <v>33596.35547205187</v>
      </c>
      <c r="AA8" s="52">
        <f>AA4-AA7</f>
        <v>34770.77834606575</v>
      </c>
      <c r="AB8" s="52">
        <f>AB4-AB7</f>
        <v>35849.234315327616</v>
      </c>
      <c r="AC8" s="52">
        <f>AC4-AC7</f>
        <v>36819.869434979504</v>
      </c>
      <c r="AD8" s="52">
        <f>AD4-AD7</f>
        <v>37671.690093205914</v>
      </c>
    </row>
    <row r="9">
      <c r="A9" s="18" t="inlineStr">
        <is>
          <t>Interest &amp; Other</t>
        </is>
      </c>
      <c r="B9" s="52" t="n">
        <v>-1930</v>
      </c>
      <c r="C9" s="52" t="n">
        <v>760</v>
      </c>
      <c r="D9" s="52" t="n">
        <v>-827</v>
      </c>
      <c r="E9" s="52" t="n">
        <v>-753</v>
      </c>
      <c r="F9" s="52" t="n">
        <v>-1404</v>
      </c>
      <c r="G9" s="52" t="n">
        <v>-841</v>
      </c>
      <c r="H9" s="52" t="n">
        <v>-941</v>
      </c>
      <c r="I9" s="52" t="n">
        <v>-1027</v>
      </c>
      <c r="J9" s="52" t="n">
        <v>907</v>
      </c>
      <c r="K9" s="52" t="n">
        <v>-1088</v>
      </c>
      <c r="L9" s="52" t="n">
        <v>-1224</v>
      </c>
      <c r="M9" s="52" t="n">
        <v>-3176</v>
      </c>
      <c r="N9" s="52" t="n">
        <v>-3642</v>
      </c>
      <c r="O9" s="52" t="n">
        <v>-3417</v>
      </c>
      <c r="P9" s="52" t="n">
        <v>1312</v>
      </c>
      <c r="Q9" s="52" t="n">
        <v>-83</v>
      </c>
      <c r="R9" s="52" t="n">
        <v>14880</v>
      </c>
      <c r="S9" s="52" t="n">
        <v>-4562</v>
      </c>
      <c r="T9" s="52" t="n">
        <v>6985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13283.0</v>
      </c>
      <c r="C10" s="52">
        <f>C8+C9</f>
        <v>16929.0</v>
      </c>
      <c r="D10" s="52">
        <f>D8+D9</f>
        <v>15755.0</v>
      </c>
      <c r="E10" s="52">
        <f>E8+E9</f>
        <v>16947.0</v>
      </c>
      <c r="F10" s="52">
        <f>F8+F9</f>
        <v>12361.0</v>
      </c>
      <c r="G10" s="52">
        <f>G8+G9</f>
        <v>14114.0</v>
      </c>
      <c r="H10" s="52">
        <f>H8+H9</f>
        <v>15471.0</v>
      </c>
      <c r="I10" s="52">
        <f>I8+I9</f>
        <v>20563.0</v>
      </c>
      <c r="J10" s="52">
        <f>J8+J9</f>
        <v>19196.0</v>
      </c>
      <c r="K10" s="52">
        <f>K8+K9</f>
        <v>19803.0</v>
      </c>
      <c r="L10" s="52">
        <f>L8+L9</f>
        <v>17673.0</v>
      </c>
      <c r="M10" s="52">
        <f>M8+M9</f>
        <v>17999.0</v>
      </c>
      <c r="N10" s="52">
        <f>N8+N9</f>
        <v>17328.0</v>
      </c>
      <c r="O10" s="52">
        <f>O8+O9</f>
        <v>16497.0</v>
      </c>
      <c r="P10" s="52">
        <f>P8+P9</f>
        <v>22255.0</v>
      </c>
      <c r="Q10" s="52">
        <f>Q8+Q9</f>
        <v>20930.0</v>
      </c>
      <c r="R10" s="52">
        <f>R8+R9</f>
        <v>36889.0</v>
      </c>
      <c r="S10" s="52">
        <f>S8+S9</f>
        <v>16687.0</v>
      </c>
      <c r="T10" s="52">
        <f>T8+T9</f>
        <v>32581.0</v>
      </c>
      <c r="U10" s="52">
        <f>U8+U9</f>
        <v>26733.010464930005</v>
      </c>
      <c r="V10" s="52">
        <f>V8+V9</f>
        <v>28194.250992681875</v>
      </c>
      <c r="W10" s="52">
        <f>W8+W9</f>
        <v>29624.25686886358</v>
      </c>
      <c r="X10" s="52">
        <f>X8+X9</f>
        <v>31010.050557878967</v>
      </c>
      <c r="Y10" s="52">
        <f>Y8+Y9</f>
        <v>32338.46791161805</v>
      </c>
      <c r="Z10" s="52">
        <f>Z8+Z9</f>
        <v>33596.35547205187</v>
      </c>
      <c r="AA10" s="52">
        <f>AA8+AA9</f>
        <v>34770.77834606575</v>
      </c>
      <c r="AB10" s="52">
        <f>AB8+AB9</f>
        <v>35849.234315327616</v>
      </c>
      <c r="AC10" s="52">
        <f>AC8+AC9</f>
        <v>36819.869434979504</v>
      </c>
      <c r="AD10" s="52">
        <f>AD8+AD9</f>
        <v>37671.690093205914</v>
      </c>
    </row>
    <row r="11">
      <c r="A11" s="2" t="inlineStr">
        <is>
          <t>Taxes</t>
        </is>
      </c>
      <c r="B11" s="52" t="n">
        <v>2707</v>
      </c>
      <c r="C11" s="52" t="n">
        <v>3980</v>
      </c>
      <c r="D11" s="52" t="n">
        <v>3489</v>
      </c>
      <c r="E11" s="52" t="n">
        <v>3613</v>
      </c>
      <c r="F11" s="52" t="n">
        <v>2689</v>
      </c>
      <c r="G11" s="52" t="n">
        <v>3261</v>
      </c>
      <c r="H11" s="52" t="n">
        <v>1640</v>
      </c>
      <c r="I11" s="52" t="n">
        <v>4240</v>
      </c>
      <c r="J11" s="52" t="n">
        <v>3787</v>
      </c>
      <c r="K11" s="52" t="n">
        <v>3263</v>
      </c>
      <c r="L11" s="52" t="n">
        <v>16373</v>
      </c>
      <c r="M11" s="52" t="n">
        <v>2702</v>
      </c>
      <c r="N11" s="52" t="n">
        <v>2209</v>
      </c>
      <c r="O11" s="52" t="n">
        <v>1783</v>
      </c>
      <c r="P11" s="52" t="n">
        <v>1377</v>
      </c>
      <c r="Q11" s="52" t="n">
        <v>2989</v>
      </c>
      <c r="R11" s="52" t="n">
        <v>1736</v>
      </c>
      <c r="S11" s="52" t="n">
        <v>2621</v>
      </c>
      <c r="T11" s="52" t="n">
        <v>5777</v>
      </c>
      <c r="U11" s="52">
        <f>MAX(0,U10)*Assumptions!$E$14</f>
        <v>4544.611779038101</v>
      </c>
      <c r="V11" s="52">
        <f>MAX(0,V10)*Assumptions!$E$14</f>
        <v>4793.022668755919</v>
      </c>
      <c r="W11" s="52">
        <f>MAX(0,W10)*Assumptions!$E$14</f>
        <v>5036.123667706809</v>
      </c>
      <c r="X11" s="52">
        <f>MAX(0,X10)*Assumptions!$E$14</f>
        <v>5271.708594839425</v>
      </c>
      <c r="Y11" s="52">
        <f>MAX(0,Y10)*Assumptions!$E$14</f>
        <v>5497.539544975069</v>
      </c>
      <c r="Z11" s="52">
        <f>MAX(0,Z10)*Assumptions!$E$14</f>
        <v>5711.380430248819</v>
      </c>
      <c r="AA11" s="52">
        <f>MAX(0,AA10)*Assumptions!$E$14</f>
        <v>5911.032318831179</v>
      </c>
      <c r="AB11" s="52">
        <f>MAX(0,AB10)*Assumptions!$E$14</f>
        <v>6094.369833605695</v>
      </c>
      <c r="AC11" s="52">
        <f>MAX(0,AC10)*Assumptions!$E$14</f>
        <v>6259.377803946516</v>
      </c>
      <c r="AD11" s="52">
        <f>MAX(0,AD10)*Assumptions!$E$14</f>
        <v>6404.187315845006</v>
      </c>
    </row>
    <row r="12">
      <c r="A12" s="2" t="inlineStr">
        <is>
          <t>Net Income</t>
        </is>
      </c>
      <c r="B12" s="52" t="n">
        <v>10576</v>
      </c>
      <c r="C12" s="52" t="n">
        <v>12949</v>
      </c>
      <c r="D12" s="52" t="n">
        <v>12266</v>
      </c>
      <c r="E12" s="52" t="n">
        <v>13334</v>
      </c>
      <c r="F12" s="52" t="n">
        <v>9672</v>
      </c>
      <c r="G12" s="52" t="n">
        <v>10853</v>
      </c>
      <c r="H12" s="52" t="n">
        <v>13831</v>
      </c>
      <c r="I12" s="52" t="n">
        <v>16323</v>
      </c>
      <c r="J12" s="52" t="n">
        <v>15409</v>
      </c>
      <c r="K12" s="52" t="n">
        <v>16540</v>
      </c>
      <c r="L12" s="52" t="n">
        <v>1300</v>
      </c>
      <c r="M12" s="52" t="n">
        <v>15297</v>
      </c>
      <c r="N12" s="52" t="n">
        <v>15119</v>
      </c>
      <c r="O12" s="52" t="n">
        <v>14714</v>
      </c>
      <c r="P12" s="52" t="n">
        <v>20878</v>
      </c>
      <c r="Q12" s="52" t="n">
        <v>17941</v>
      </c>
      <c r="R12" s="52" t="n">
        <v>35153</v>
      </c>
      <c r="S12" s="52" t="n">
        <v>14066</v>
      </c>
      <c r="T12" s="52" t="n">
        <v>26804</v>
      </c>
      <c r="U12" s="52">
        <f>U10-U11</f>
        <v>22188.3986858919</v>
      </c>
      <c r="V12" s="52">
        <f>V10-V11</f>
        <v>23401.228323925956</v>
      </c>
      <c r="W12" s="52">
        <f>W10-W11</f>
        <v>24588.133201156772</v>
      </c>
      <c r="X12" s="52">
        <f>X10-X11</f>
        <v>25738.341963039544</v>
      </c>
      <c r="Y12" s="52">
        <f>Y10-Y11</f>
        <v>26840.92836664298</v>
      </c>
      <c r="Z12" s="52">
        <f>Z10-Z11</f>
        <v>27884.975041803053</v>
      </c>
      <c r="AA12" s="52">
        <f>AA10-AA11</f>
        <v>28859.746027234574</v>
      </c>
      <c r="AB12" s="52">
        <f>AB10-AB11</f>
        <v>29754.86448172192</v>
      </c>
      <c r="AC12" s="52">
        <f>AC10-AC11</f>
        <v>30560.491631032986</v>
      </c>
      <c r="AD12" s="52">
        <f>AD10-AD11</f>
        <v>31267.502777360907</v>
      </c>
    </row>
    <row r="13">
      <c r="A13" s="2" t="inlineStr">
        <is>
          <t>Earnings per Share</t>
        </is>
      </c>
      <c r="B13" s="11">
        <f>IFERROR(B12/B14,0)</f>
        <v>3.6334902257188997</v>
      </c>
      <c r="C13" s="11">
        <f>IFERROR(C12/C14,0)</f>
        <v>4.566582028494851</v>
      </c>
      <c r="D13" s="11">
        <f>IFERROR(D12/D14,0)</f>
        <v>4.397834426876053</v>
      </c>
      <c r="E13" s="11">
        <f>IFERROR(E12/E14,0)</f>
        <v>4.7812679288582896</v>
      </c>
      <c r="F13" s="11">
        <f>IFERROR(F12/F14,0)</f>
        <v>3.4850286455518322</v>
      </c>
      <c r="G13" s="11">
        <f>IFERROR(G12/G14,0)</f>
        <v>3.858707245964588</v>
      </c>
      <c r="H13" s="11">
        <f>IFERROR(H12/H14,0)</f>
        <v>4.807438303788668</v>
      </c>
      <c r="I13" s="11">
        <f>IFERROR(I12/I14,0)</f>
        <v>5.699570515730298</v>
      </c>
      <c r="J13" s="11">
        <f>IFERROR(J12/J14,0)</f>
        <v>5.477976465569341</v>
      </c>
      <c r="K13" s="11">
        <f>IFERROR(K12/K14,0)</f>
        <v>5.930653662734411</v>
      </c>
      <c r="L13" s="11">
        <f>IFERROR(L12/L14,0)</f>
        <v>0.47353658980803554</v>
      </c>
      <c r="M13" s="11">
        <f>IFERROR(M12/M14,0)</f>
        <v>5.605966211016235</v>
      </c>
      <c r="N13" s="11">
        <f>IFERROR(N12/N14,0)</f>
        <v>5.632380881421599</v>
      </c>
      <c r="O13" s="11">
        <f>IFERROR(O12/O14,0)</f>
        <v>5.50941700677725</v>
      </c>
      <c r="P13" s="11">
        <f>IFERROR(P12/P14,0)</f>
        <v>7.807778608825729</v>
      </c>
      <c r="Q13" s="11">
        <f>IFERROR(Q12/Q14,0)</f>
        <v>6.734862419760502</v>
      </c>
      <c r="R13" s="11">
        <f>IFERROR(R12/R14,0)</f>
        <v>13.729495391345102</v>
      </c>
      <c r="S13" s="11">
        <f>IFERROR(S12/S14,0)</f>
        <v>5.789906972915123</v>
      </c>
      <c r="T13" s="11">
        <f>IFERROR(T12/T14,0)</f>
        <v>11.033176916110973</v>
      </c>
      <c r="U13" s="11">
        <f>IFERROR(U12/U14,0)</f>
        <v>9.207191835172434</v>
      </c>
      <c r="V13" s="11">
        <f>IFERROR(V12/V14,0)</f>
        <v>9.7104618231893</v>
      </c>
      <c r="W13" s="11">
        <f>IFERROR(W12/W14,0)</f>
        <v>10.20297419641046</v>
      </c>
      <c r="X13" s="11">
        <f>IFERROR(X12/X14,0)</f>
        <v>10.680259325052234</v>
      </c>
      <c r="Y13" s="11">
        <f>IFERROR(Y12/Y14,0)</f>
        <v>11.137783307586606</v>
      </c>
      <c r="Z13" s="11">
        <f>IFERROR(Z12/Z14,0)</f>
        <v>11.57101592428665</v>
      </c>
      <c r="AA13" s="11">
        <f>IFERROR(AA12/AA14,0)</f>
        <v>11.975502231986475</v>
      </c>
      <c r="AB13" s="11">
        <f>IFERROR(AB12/AB14,0)</f>
        <v>12.346936306267297</v>
      </c>
      <c r="AC13" s="11">
        <f>IFERROR(AC12/AC14,0)</f>
        <v>12.68123549641329</v>
      </c>
      <c r="AD13" s="11">
        <f>IFERROR(AD12/AD14,0)</f>
        <v>12.974613461448024</v>
      </c>
    </row>
    <row r="14">
      <c r="A14" s="2" t="inlineStr">
        <is>
          <t>Shares</t>
        </is>
      </c>
      <c r="B14" s="52" t="n">
        <v>2910.7</v>
      </c>
      <c r="C14" s="52" t="n">
        <v>2835.6</v>
      </c>
      <c r="D14" s="52" t="n">
        <v>2789.1</v>
      </c>
      <c r="E14" s="52" t="n">
        <v>2788.8</v>
      </c>
      <c r="F14" s="52" t="n">
        <v>2775.3</v>
      </c>
      <c r="G14" s="52" t="n">
        <v>2812.6</v>
      </c>
      <c r="H14" s="52" t="n">
        <v>2877</v>
      </c>
      <c r="I14" s="52" t="n">
        <v>2863.9</v>
      </c>
      <c r="J14" s="52" t="n">
        <v>2812.9</v>
      </c>
      <c r="K14" s="52" t="n">
        <v>2788.9</v>
      </c>
      <c r="L14" s="52" t="n">
        <v>2745.3</v>
      </c>
      <c r="M14" s="52" t="n">
        <v>2728.7</v>
      </c>
      <c r="N14" s="52" t="n">
        <v>2684.3</v>
      </c>
      <c r="O14" s="52" t="n">
        <v>2670.7</v>
      </c>
      <c r="P14" s="52" t="n">
        <v>2674</v>
      </c>
      <c r="Q14" s="52" t="n">
        <v>2663.9</v>
      </c>
      <c r="R14" s="52" t="n">
        <v>2560.4</v>
      </c>
      <c r="S14" s="52" t="n">
        <v>2429.4</v>
      </c>
      <c r="T14" s="52" t="n">
        <v>2429.4</v>
      </c>
      <c r="U14" s="52">
        <f>Main!$C$4</f>
        <v>2409.898597</v>
      </c>
      <c r="V14" s="52">
        <f>Main!$C$4</f>
        <v>2409.898597</v>
      </c>
      <c r="W14" s="52">
        <f>Main!$C$4</f>
        <v>2409.898597</v>
      </c>
      <c r="X14" s="52">
        <f>Main!$C$4</f>
        <v>2409.898597</v>
      </c>
      <c r="Y14" s="52">
        <f>Main!$C$4</f>
        <v>2409.898597</v>
      </c>
      <c r="Z14" s="52">
        <f>Main!$C$4</f>
        <v>2409.898597</v>
      </c>
      <c r="AA14" s="52">
        <f>Main!$C$4</f>
        <v>2409.898597</v>
      </c>
      <c r="AB14" s="52">
        <f>Main!$C$4</f>
        <v>2409.898597</v>
      </c>
      <c r="AC14" s="52">
        <f>Main!$C$4</f>
        <v>2409.898597</v>
      </c>
      <c r="AD14" s="52">
        <f>Main!$C$4</f>
        <v>2409.898597</v>
      </c>
    </row>
    <row r="15"/>
    <row r="16" customFormat="1" s="4">
      <c r="A16" s="3" t="inlineStr">
        <is>
          <t>Revenue Change</t>
        </is>
      </c>
      <c r="C16" s="15">
        <f>IFERROR(C2/B2-1,"")</f>
        <v>0.04340780751288986</v>
      </c>
      <c r="D16" s="15">
        <f>IFERROR(D2/C2-1,"")</f>
        <v>-0.02902097353600952</v>
      </c>
      <c r="E16" s="15">
        <f>IFERROR(E2/D2-1,"")</f>
        <v>-0.005008320274003553</v>
      </c>
      <c r="F16" s="15">
        <f>IFERROR(F2/E2-1,"")</f>
        <v>0.05590465520320853</v>
      </c>
      <c r="G16" s="15">
        <f>IFERROR(G2/F2-1,"")</f>
        <v>0.03373827464247281</v>
      </c>
      <c r="H16" s="15">
        <f>IFERROR(H2/G2-1,"")</f>
        <v>0.06081161489944065</v>
      </c>
      <c r="I16" s="15">
        <f>IFERROR(I2/H2-1,"")</f>
        <v>0.04233509086829712</v>
      </c>
      <c r="J16" s="15">
        <f>IFERROR(J2/I2-1,"")</f>
        <v>-0.0572708560358397</v>
      </c>
      <c r="K16" s="15">
        <f>IFERROR(K2/J2-1,"")</f>
        <v>0.02591546079858431</v>
      </c>
      <c r="L16" s="15">
        <f>IFERROR(L2/K2-1,"")</f>
        <v>0.06343024064543057</v>
      </c>
      <c r="M16" s="15">
        <f>IFERROR(M2/L2-1,"")</f>
        <v>0.06711576193590574</v>
      </c>
      <c r="N16" s="15">
        <f>IFERROR(N2/M2-1,"")</f>
        <v>0.005859207413490886</v>
      </c>
      <c r="O16" s="15">
        <f>IFERROR(O2/N2-1,"")</f>
        <v>0.006397835703579213</v>
      </c>
      <c r="P16" s="15">
        <f>IFERROR(P2/O2-1,"")</f>
        <v>-0.04654654654654655</v>
      </c>
      <c r="Q16" s="15">
        <f>IFERROR(Q2/P2-1,"")</f>
        <v>0.01587503175006355</v>
      </c>
      <c r="R16" s="15">
        <f>IFERROR(R2/Q2-1,"")</f>
        <v>0.06462057757219641</v>
      </c>
      <c r="S16" s="15">
        <f>IFERROR(S2/R2-1,"")</f>
        <v>0.04300191406662823</v>
      </c>
      <c r="T16" s="15">
        <f>IFERROR(T2/S2-1,"")</f>
        <v>0.06048119251078021</v>
      </c>
      <c r="U16" s="15">
        <f>IFERROR(U2/T2-1,"")</f>
        <v>0.0605</v>
      </c>
      <c r="V16" s="15">
        <f>IFERROR(V2/U2-1,"")</f>
        <v>0.05655555555555547</v>
      </c>
      <c r="W16" s="15">
        <f>IFERROR(W2/V2-1,"")</f>
        <v>0.052611111111111164</v>
      </c>
      <c r="X16" s="15">
        <f>IFERROR(X2/W2-1,"")</f>
        <v>0.048666666666666636</v>
      </c>
      <c r="Y16" s="15">
        <f>IFERROR(Y2/X2-1,"")</f>
        <v>0.04472222222222211</v>
      </c>
      <c r="Z16" s="15">
        <f>IFERROR(Z2/Y2-1,"")</f>
        <v>0.0407777777777778</v>
      </c>
      <c r="AA16" s="15">
        <f>IFERROR(AA2/Z2-1,"")</f>
        <v>0.036833333333333274</v>
      </c>
      <c r="AB16" s="15">
        <f>IFERROR(AB2/AA2-1,"")</f>
        <v>0.03288888888888897</v>
      </c>
      <c r="AC16" s="15">
        <f>IFERROR(AC2/AB2-1,"")</f>
        <v>0.02894444444444444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0.7094524920206237</v>
      </c>
      <c r="C17" s="15">
        <f>IFERROR(C4/C2,"")</f>
        <v>0.7096177074999608</v>
      </c>
      <c r="D17" s="15">
        <f>IFERROR(D4/D2,"")</f>
        <v>0.7019726319530833</v>
      </c>
      <c r="E17" s="15">
        <f>IFERROR(E4/E2,"")</f>
        <v>0.6948706707584393</v>
      </c>
      <c r="F17" s="15">
        <f>IFERROR(F4/F2,"")</f>
        <v>0.6869137321236353</v>
      </c>
      <c r="G17" s="15">
        <f>IFERROR(G4/G2,"")</f>
        <v>0.6778233964060455</v>
      </c>
      <c r="H17" s="15">
        <f>IFERROR(H4/H2,"")</f>
        <v>0.6867006955351133</v>
      </c>
      <c r="I17" s="15">
        <f>IFERROR(I4/I2,"")</f>
        <v>0.6939903943173104</v>
      </c>
      <c r="J17" s="15">
        <f>IFERROR(J4/J2,"")</f>
        <v>0.6926677512344094</v>
      </c>
      <c r="K17" s="15">
        <f>IFERROR(K4/K2,"")</f>
        <v>0.696911948810683</v>
      </c>
      <c r="L17" s="15">
        <f>IFERROR(L4/L2,"")</f>
        <v>0.6672465663832571</v>
      </c>
      <c r="M17" s="15">
        <f>IFERROR(M4/M2,"")</f>
        <v>0.6679251296257707</v>
      </c>
      <c r="N17" s="15">
        <f>IFERROR(N4/N2,"")</f>
        <v>0.6641928368612827</v>
      </c>
      <c r="O17" s="15">
        <f>IFERROR(O4/O2,"")</f>
        <v>0.6557807807807807</v>
      </c>
      <c r="P17" s="15">
        <f>IFERROR(P4/P2,"")</f>
        <v>0.7027940055880112</v>
      </c>
      <c r="Q17" s="15">
        <f>IFERROR(Q4/Q2,"")</f>
        <v>0.6925115639454932</v>
      </c>
      <c r="R17" s="15">
        <f>IFERROR(R4/R2,"")</f>
        <v>0.6881950234267664</v>
      </c>
      <c r="S17" s="15">
        <f>IFERROR(S4/S2,"")</f>
        <v>0.6907150336069173</v>
      </c>
      <c r="T17" s="15">
        <f>IFERROR(T4/T2,"")</f>
        <v>0.6787871710212011</v>
      </c>
      <c r="U17" s="15">
        <f>IFERROR(U4/U2,"")</f>
        <v>0.6788000000000001</v>
      </c>
      <c r="V17" s="15">
        <f>IFERROR(V4/V2,"")</f>
        <v>0.6788</v>
      </c>
      <c r="W17" s="15">
        <f>IFERROR(W4/W2,"")</f>
        <v>0.6788</v>
      </c>
      <c r="X17" s="15">
        <f>IFERROR(X4/X2,"")</f>
        <v>0.6788</v>
      </c>
      <c r="Y17" s="15">
        <f>IFERROR(Y4/Y2,"")</f>
        <v>0.6788</v>
      </c>
      <c r="Z17" s="15">
        <f>IFERROR(Z4/Z2,"")</f>
        <v>0.6788</v>
      </c>
      <c r="AA17" s="15">
        <f>IFERROR(AA4/AA2,"")</f>
        <v>0.6788</v>
      </c>
      <c r="AB17" s="15">
        <f>IFERROR(AB4/AB2,"")</f>
        <v>0.6788</v>
      </c>
      <c r="AC17" s="15">
        <f>IFERROR(AC4/AC2,"")</f>
        <v>0.6788</v>
      </c>
      <c r="AD17" s="15">
        <f>IFERROR(AD4/AD2,"")</f>
        <v>0.6788</v>
      </c>
    </row>
    <row r="18">
      <c r="A18" s="14" t="inlineStr">
        <is>
          <t>Operating Margin</t>
        </is>
      </c>
      <c r="B18" s="15">
        <f>IFERROR(B8/B2,"")</f>
        <v>0.24900564694328506</v>
      </c>
      <c r="C18" s="15">
        <f>IFERROR(C8/C2,"")</f>
        <v>0.25364330870472335</v>
      </c>
      <c r="D18" s="15">
        <f>IFERROR(D8/D2,"")</f>
        <v>0.267896667043637</v>
      </c>
      <c r="E18" s="15">
        <f>IFERROR(E8/E2,"")</f>
        <v>0.28739831457937554</v>
      </c>
      <c r="F18" s="15">
        <f>IFERROR(F8/F2,"")</f>
        <v>0.21167153621405504</v>
      </c>
      <c r="G18" s="15">
        <f>IFERROR(G8/G2,"")</f>
        <v>0.22246519100321313</v>
      </c>
      <c r="H18" s="15">
        <f>IFERROR(H8/H2,"")</f>
        <v>0.23014359434597262</v>
      </c>
      <c r="I18" s="15">
        <f>IFERROR(I8/I2,"")</f>
        <v>0.29045754799478013</v>
      </c>
      <c r="J18" s="15">
        <f>IFERROR(J8/J2,"")</f>
        <v>0.26099551902274737</v>
      </c>
      <c r="K18" s="15">
        <f>IFERROR(K8/K2,"")</f>
        <v>0.2905967450271248</v>
      </c>
      <c r="L18" s="15">
        <f>IFERROR(L8/L2,"")</f>
        <v>0.2471811641595814</v>
      </c>
      <c r="M18" s="15">
        <f>IFERROR(M8/M2,"")</f>
        <v>0.2595579853152082</v>
      </c>
      <c r="N18" s="15">
        <f>IFERROR(N8/N2,"")</f>
        <v>0.2555478375315322</v>
      </c>
      <c r="O18" s="15">
        <f>IFERROR(O8/O2,"")</f>
        <v>0.2411362975879105</v>
      </c>
      <c r="P18" s="15">
        <f>IFERROR(P8/P2,"")</f>
        <v>0.26597663195326393</v>
      </c>
      <c r="Q18" s="15">
        <f>IFERROR(Q8/Q2,"")</f>
        <v>0.26269533691711466</v>
      </c>
      <c r="R18" s="15">
        <f>IFERROR(R8/R2,"")</f>
        <v>0.2584459657816555</v>
      </c>
      <c r="S18" s="15">
        <f>IFERROR(S8/S2,"")</f>
        <v>0.23923396494072346</v>
      </c>
      <c r="T18" s="15">
        <f>IFERROR(T8/T2,"")</f>
        <v>0.27173993821196907</v>
      </c>
      <c r="U18" s="15">
        <f>IFERROR(U8/U2,"")</f>
        <v>0.26762</v>
      </c>
      <c r="V18" s="15">
        <f>IFERROR(V8/V2,"")</f>
        <v>0.26714</v>
      </c>
      <c r="W18" s="15">
        <f>IFERROR(W8/W2,"")</f>
        <v>0.26666000000000006</v>
      </c>
      <c r="X18" s="15">
        <f>IFERROR(X8/X2,"")</f>
        <v>0.26617999999999997</v>
      </c>
      <c r="Y18" s="15">
        <f>IFERROR(Y8/Y2,"")</f>
        <v>0.26570000000000005</v>
      </c>
      <c r="Z18" s="15">
        <f>IFERROR(Z8/Z2,"")</f>
        <v>0.26522</v>
      </c>
      <c r="AA18" s="15">
        <f>IFERROR(AA8/AA2,"")</f>
        <v>0.26474</v>
      </c>
      <c r="AB18" s="15">
        <f>IFERROR(AB8/AB2,"")</f>
        <v>0.26426</v>
      </c>
      <c r="AC18" s="15">
        <f>IFERROR(AC8/AC2,"")</f>
        <v>0.26377999999999996</v>
      </c>
      <c r="AD18" s="15">
        <f>IFERROR(AD8/AD2,"")</f>
        <v>0.2633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Johnson &amp; Johnson: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0.0105</v>
      </c>
      <c r="C12" s="53" t="n">
        <v>0.0605</v>
      </c>
      <c r="D12" s="53" t="n">
        <v>0.1105</v>
      </c>
      <c r="E12" s="54">
        <f>CHOOSE($B$4,B12,C12,D12)</f>
        <v>0.0605</v>
      </c>
    </row>
    <row r="13">
      <c r="A13" s="14" t="inlineStr">
        <is>
          <t>Operating margin, year 10</t>
        </is>
      </c>
      <c r="B13" s="53" t="n">
        <v>0.2133</v>
      </c>
      <c r="C13" s="53" t="n">
        <v>0.2633</v>
      </c>
      <c r="D13" s="53" t="n">
        <v>0.3133</v>
      </c>
      <c r="E13" s="54">
        <f>CHOOSE($B$4,B13,C13,D13)</f>
        <v>0.2633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0.2681</v>
      </c>
    </row>
    <row r="19">
      <c r="A19" s="14" t="inlineStr">
        <is>
          <t>Gross margin (forecast)</t>
        </is>
      </c>
      <c r="B19" s="53" t="n">
        <v>0.6788</v>
      </c>
    </row>
    <row r="20">
      <c r="A20" s="14" t="inlineStr">
        <is>
          <t>R&amp;D share of operating expense (forecast)</t>
        </is>
      </c>
      <c r="B20" s="53" t="n">
        <v>0.3825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0.5014</v>
      </c>
    </row>
    <row r="23">
      <c r="A23" s="14" t="inlineStr">
        <is>
          <t>Balance sheet date</t>
        </is>
      </c>
      <c r="B23" s="31" t="n">
        <v>46201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94193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444719.20361780596</v>
      </c>
      <c r="C29" s="56">
        <f>NPV!B26</f>
        <v>416441.20361780596</v>
      </c>
      <c r="D29" s="35">
        <f>NPV!B28</f>
        <v>172.80445083300157</v>
      </c>
      <c r="E29" s="57">
        <f>NPV!B30</f>
        <v>-0.33383018183114266</v>
      </c>
    </row>
    <row r="30">
      <c r="A30" s="58" t="n">
        <v>1</v>
      </c>
      <c r="B30" s="59">
        <f t="dataTable" ref="B30:E32" r1="B4"/>
        <v>248897.800519011</v>
      </c>
      <c r="C30" s="59">
        <v>220619.80051901098</v>
      </c>
      <c r="D30" s="39">
        <v>91.54733763223607</v>
      </c>
      <c r="E30" s="60">
        <v>-0.6470804254732612</v>
      </c>
    </row>
    <row r="31">
      <c r="A31" s="58" t="n">
        <v>2</v>
      </c>
      <c r="B31" s="59">
        <v>444719.20361780596</v>
      </c>
      <c r="C31" s="59">
        <v>416441.20361780596</v>
      </c>
      <c r="D31" s="39">
        <v>172.80445083300157</v>
      </c>
      <c r="E31" s="60">
        <v>-0.33383018183114266</v>
      </c>
    </row>
    <row r="32">
      <c r="A32" s="58" t="n">
        <v>3</v>
      </c>
      <c r="B32" s="59">
        <v>867883.4468324289</v>
      </c>
      <c r="C32" s="59">
        <v>839605.4468324289</v>
      </c>
      <c r="D32" s="39">
        <v>348.3986620340063</v>
      </c>
      <c r="E32" s="60">
        <v>0.3430943023670252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172.80445083300157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222.65463497581257</v>
      </c>
      <c r="C37" s="39">
        <v>247.03942920985259</v>
      </c>
      <c r="D37" s="39">
        <v>278.360009214487</v>
      </c>
      <c r="E37" s="39">
        <v>320.08392630084546</v>
      </c>
      <c r="F37" s="39">
        <v>378.4527691310762</v>
      </c>
    </row>
    <row r="38">
      <c r="A38" s="62" t="n">
        <v>0.07000000000000001</v>
      </c>
      <c r="B38" s="39">
        <v>179.78037917809377</v>
      </c>
      <c r="C38" s="39">
        <v>195.0973251655494</v>
      </c>
      <c r="D38" s="39">
        <v>213.79469739593347</v>
      </c>
      <c r="E38" s="39">
        <v>237.13990999495897</v>
      </c>
      <c r="F38" s="39">
        <v>267.1246111836374</v>
      </c>
    </row>
    <row r="39">
      <c r="A39" s="62" t="n">
        <v>0.08</v>
      </c>
      <c r="B39" s="39">
        <v>150.18507423318155</v>
      </c>
      <c r="C39" s="39">
        <v>160.56067705623437</v>
      </c>
      <c r="D39" s="39">
        <v>172.80445083300157</v>
      </c>
      <c r="E39" s="39">
        <v>187.4766584985143</v>
      </c>
      <c r="F39" s="39">
        <v>205.38656682850055</v>
      </c>
    </row>
    <row r="40">
      <c r="A40" s="62" t="n">
        <v>0.09</v>
      </c>
      <c r="B40" s="39">
        <v>128.54739236490406</v>
      </c>
      <c r="C40" s="39">
        <v>135.959583407152</v>
      </c>
      <c r="D40" s="39">
        <v>144.49727274460463</v>
      </c>
      <c r="E40" s="39">
        <v>154.44168468758318</v>
      </c>
      <c r="F40" s="39">
        <v>166.17630543103675</v>
      </c>
    </row>
    <row r="41">
      <c r="A41" s="62" t="n">
        <v>0.1</v>
      </c>
      <c r="B41" s="39">
        <v>112.05130152184519</v>
      </c>
      <c r="C41" s="39">
        <v>117.56031702969882</v>
      </c>
      <c r="D41" s="39">
        <v>123.79154813796923</v>
      </c>
      <c r="E41" s="39">
        <v>130.89963212209545</v>
      </c>
      <c r="F41" s="39">
        <v>139.08678573836397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Johnson &amp; Johnson: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0.0605</v>
      </c>
      <c r="D5" s="63">
        <f>Assumptions!$E$12+(Assumptions!$E$11-Assumptions!$E$12)*(D4-1)/(Assumptions!$B$21-1)</f>
        <v>0.05655555555555555</v>
      </c>
      <c r="E5" s="63">
        <f>Assumptions!$E$12+(Assumptions!$E$11-Assumptions!$E$12)*(E4-1)/(Assumptions!$B$21-1)</f>
        <v>0.05261111111111111</v>
      </c>
      <c r="F5" s="63">
        <f>Assumptions!$E$12+(Assumptions!$E$11-Assumptions!$E$12)*(F4-1)/(Assumptions!$B$21-1)</f>
        <v>0.048666666666666664</v>
      </c>
      <c r="G5" s="63">
        <f>Assumptions!$E$12+(Assumptions!$E$11-Assumptions!$E$12)*(G4-1)/(Assumptions!$B$21-1)</f>
        <v>0.04472222222222222</v>
      </c>
      <c r="H5" s="63">
        <f>Assumptions!$E$12+(Assumptions!$E$11-Assumptions!$E$12)*(H4-1)/(Assumptions!$B$21-1)</f>
        <v>0.040777777777777774</v>
      </c>
      <c r="I5" s="63">
        <f>Assumptions!$E$12+(Assumptions!$E$11-Assumptions!$E$12)*(I4-1)/(Assumptions!$B$21-1)</f>
        <v>0.036833333333333336</v>
      </c>
      <c r="J5" s="63">
        <f>Assumptions!$E$12+(Assumptions!$E$11-Assumptions!$E$12)*(J4-1)/(Assumptions!$B$21-1)</f>
        <v>0.03288888888888889</v>
      </c>
      <c r="K5" s="63">
        <f>Assumptions!$E$12+(Assumptions!$E$11-Assumptions!$E$12)*(K4-1)/(Assumptions!$B$21-1)</f>
        <v>0.028944444444444446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0.27173993821196907</v>
      </c>
      <c r="C6" s="63">
        <f>Assumptions!$B$18+(Assumptions!$E$13-Assumptions!$B$18)*C4/Assumptions!$B$21</f>
        <v>0.26762</v>
      </c>
      <c r="D6" s="63">
        <f>Assumptions!$B$18+(Assumptions!$E$13-Assumptions!$B$18)*D4/Assumptions!$B$21</f>
        <v>0.26714</v>
      </c>
      <c r="E6" s="63">
        <f>Assumptions!$B$18+(Assumptions!$E$13-Assumptions!$B$18)*E4/Assumptions!$B$21</f>
        <v>0.26666</v>
      </c>
      <c r="F6" s="63">
        <f>Assumptions!$B$18+(Assumptions!$E$13-Assumptions!$B$18)*F4/Assumptions!$B$21</f>
        <v>0.26617999999999997</v>
      </c>
      <c r="G6" s="63">
        <f>Assumptions!$B$18+(Assumptions!$E$13-Assumptions!$B$18)*G4/Assumptions!$B$21</f>
        <v>0.2657</v>
      </c>
      <c r="H6" s="63">
        <f>Assumptions!$B$18+(Assumptions!$E$13-Assumptions!$B$18)*H4/Assumptions!$B$21</f>
        <v>0.26522</v>
      </c>
      <c r="I6" s="63">
        <f>Assumptions!$B$18+(Assumptions!$E$13-Assumptions!$B$18)*I4/Assumptions!$B$21</f>
        <v>0.26474</v>
      </c>
      <c r="J6" s="63">
        <f>Assumptions!$B$18+(Assumptions!$E$13-Assumptions!$B$18)*J4/Assumptions!$B$21</f>
        <v>0.26426</v>
      </c>
      <c r="K6" s="63">
        <f>Assumptions!$B$18+(Assumptions!$E$13-Assumptions!$B$18)*K4/Assumptions!$B$21</f>
        <v>0.26377999999999996</v>
      </c>
      <c r="L6" s="63">
        <f>Assumptions!$B$18+(Assumptions!$E$13-Assumptions!$B$18)*L4/Assumptions!$B$21</f>
        <v>0.2633</v>
      </c>
    </row>
    <row r="7">
      <c r="A7" s="14" t="inlineStr">
        <is>
          <t>Revenue</t>
        </is>
      </c>
      <c r="B7" s="55">
        <f>'Yearly Model'!T2</f>
        <v>94193</v>
      </c>
      <c r="C7" s="55">
        <f>'Yearly Model'!U2</f>
        <v>99891.6765</v>
      </c>
      <c r="D7" s="55">
        <f>'Yearly Model'!V2</f>
        <v>105541.10575983333</v>
      </c>
      <c r="E7" s="55">
        <f>'Yearly Model'!W2</f>
        <v>111093.74060175345</v>
      </c>
      <c r="F7" s="55">
        <f>'Yearly Model'!X2</f>
        <v>116500.30264437212</v>
      </c>
      <c r="G7" s="55">
        <f>'Yearly Model'!Y2</f>
        <v>121710.45506818985</v>
      </c>
      <c r="H7" s="55">
        <f>'Yearly Model'!Z2</f>
        <v>126673.53695819271</v>
      </c>
      <c r="I7" s="55">
        <f>'Yearly Model'!AA2</f>
        <v>131339.34556948612</v>
      </c>
      <c r="J7" s="55">
        <f>'Yearly Model'!AB2</f>
        <v>135658.95071266033</v>
      </c>
      <c r="K7" s="55">
        <f>'Yearly Model'!AC2</f>
        <v>139585.52367495454</v>
      </c>
      <c r="L7" s="55">
        <f>'Yearly Model'!AD2</f>
        <v>143075.1617668284</v>
      </c>
    </row>
    <row r="8">
      <c r="A8" s="14" t="inlineStr">
        <is>
          <t>Operating income</t>
        </is>
      </c>
      <c r="B8" s="55">
        <f>'Yearly Model'!T8</f>
        <v>25596.0</v>
      </c>
      <c r="C8" s="55">
        <f>'Yearly Model'!U8</f>
        <v>26733.010464930005</v>
      </c>
      <c r="D8" s="55">
        <f>'Yearly Model'!V8</f>
        <v>28194.250992681875</v>
      </c>
      <c r="E8" s="55">
        <f>'Yearly Model'!W8</f>
        <v>29624.25686886358</v>
      </c>
      <c r="F8" s="55">
        <f>'Yearly Model'!X8</f>
        <v>31010.050557878967</v>
      </c>
      <c r="G8" s="55">
        <f>'Yearly Model'!Y8</f>
        <v>32338.46791161805</v>
      </c>
      <c r="H8" s="55">
        <f>'Yearly Model'!Z8</f>
        <v>33596.35547205187</v>
      </c>
      <c r="I8" s="55">
        <f>'Yearly Model'!AA8</f>
        <v>34770.77834606575</v>
      </c>
      <c r="J8" s="55">
        <f>'Yearly Model'!AB8</f>
        <v>35849.234315327616</v>
      </c>
      <c r="K8" s="55">
        <f>'Yearly Model'!AC8</f>
        <v>36819.869434979504</v>
      </c>
      <c r="L8" s="55">
        <f>'Yearly Model'!AD8</f>
        <v>37671.690093205914</v>
      </c>
    </row>
    <row r="9">
      <c r="A9" s="14" t="inlineStr">
        <is>
          <t>Tax on operating income</t>
        </is>
      </c>
      <c r="C9" s="52">
        <f>MAX(0,C8)*Assumptions!$E$14</f>
        <v>4544.611779038101</v>
      </c>
      <c r="D9" s="52">
        <f>MAX(0,D8)*Assumptions!$E$14</f>
        <v>4793.022668755919</v>
      </c>
      <c r="E9" s="52">
        <f>MAX(0,E8)*Assumptions!$E$14</f>
        <v>5036.123667706809</v>
      </c>
      <c r="F9" s="52">
        <f>MAX(0,F8)*Assumptions!$E$14</f>
        <v>5271.708594839425</v>
      </c>
      <c r="G9" s="52">
        <f>MAX(0,G8)*Assumptions!$E$14</f>
        <v>5497.539544975069</v>
      </c>
      <c r="H9" s="52">
        <f>MAX(0,H8)*Assumptions!$E$14</f>
        <v>5711.380430248819</v>
      </c>
      <c r="I9" s="52">
        <f>MAX(0,I8)*Assumptions!$E$14</f>
        <v>5911.032318831179</v>
      </c>
      <c r="J9" s="52">
        <f>MAX(0,J8)*Assumptions!$E$14</f>
        <v>6094.369833605695</v>
      </c>
      <c r="K9" s="52">
        <f>MAX(0,K8)*Assumptions!$E$14</f>
        <v>6259.377803946516</v>
      </c>
      <c r="L9" s="52">
        <f>MAX(0,L8)*Assumptions!$E$14</f>
        <v>6404.187315845006</v>
      </c>
    </row>
    <row r="10">
      <c r="A10" s="14" t="inlineStr">
        <is>
          <t>NOPAT</t>
        </is>
      </c>
      <c r="C10" s="52">
        <f>C8-C9</f>
        <v>22188.3986858919</v>
      </c>
      <c r="D10" s="52">
        <f>D8-D9</f>
        <v>23401.228323925956</v>
      </c>
      <c r="E10" s="52">
        <f>E8-E9</f>
        <v>24588.133201156772</v>
      </c>
      <c r="F10" s="52">
        <f>F8-F9</f>
        <v>25738.341963039544</v>
      </c>
      <c r="G10" s="52">
        <f>G8-G9</f>
        <v>26840.92836664298</v>
      </c>
      <c r="H10" s="52">
        <f>H8-H9</f>
        <v>27884.975041803053</v>
      </c>
      <c r="I10" s="52">
        <f>I8-I9</f>
        <v>28859.746027234574</v>
      </c>
      <c r="J10" s="52">
        <f>J8-J9</f>
        <v>29754.86448172192</v>
      </c>
      <c r="K10" s="52">
        <f>K8-K9</f>
        <v>30560.491631032986</v>
      </c>
      <c r="L10" s="52">
        <f>L8-L9</f>
        <v>31267.502777360907</v>
      </c>
    </row>
    <row r="11">
      <c r="A11" s="14" t="inlineStr">
        <is>
          <t>Reinvestment</t>
        </is>
      </c>
      <c r="C11" s="52">
        <f>(C7-B7)*Assumptions!$E$15</f>
        <v>1424.6691250000003</v>
      </c>
      <c r="D11" s="52">
        <f>(D7-C7)*Assumptions!$E$15</f>
        <v>1412.3573149583317</v>
      </c>
      <c r="E11" s="52">
        <f>(E7-D7)*Assumptions!$E$15</f>
        <v>1388.158710480031</v>
      </c>
      <c r="F11" s="52">
        <f>(F7-E7)*Assumptions!$E$15</f>
        <v>1351.6405106546663</v>
      </c>
      <c r="G11" s="52">
        <f>(G7-F7)*Assumptions!$E$15</f>
        <v>1302.5381059544343</v>
      </c>
      <c r="H11" s="52">
        <f>(H7-G7)*Assumptions!$E$15</f>
        <v>1240.7704725007134</v>
      </c>
      <c r="I11" s="52">
        <f>(I7-H7)*Assumptions!$E$15</f>
        <v>1166.4521528233527</v>
      </c>
      <c r="J11" s="52">
        <f>(J7-I7)*Assumptions!$E$15</f>
        <v>1079.9012857935522</v>
      </c>
      <c r="K11" s="52">
        <f>(K7-J7)*Assumptions!$E$15</f>
        <v>981.6432405735541</v>
      </c>
      <c r="L11" s="52">
        <f>(L7-K7)*Assumptions!$E$15</f>
        <v>872.4095229684608</v>
      </c>
    </row>
    <row r="12">
      <c r="A12" s="20" t="inlineStr">
        <is>
          <t>Free cash flow</t>
        </is>
      </c>
      <c r="C12" s="64">
        <f>C10-C11</f>
        <v>20763.7295608919</v>
      </c>
      <c r="D12" s="64">
        <f>D10-D11</f>
        <v>21988.871008967624</v>
      </c>
      <c r="E12" s="64">
        <f>E10-E11</f>
        <v>23199.97449067674</v>
      </c>
      <c r="F12" s="64">
        <f>F10-F11</f>
        <v>24386.701452384877</v>
      </c>
      <c r="G12" s="64">
        <f>G10-G11</f>
        <v>25538.390260688546</v>
      </c>
      <c r="H12" s="64">
        <f>H10-H11</f>
        <v>26644.20456930234</v>
      </c>
      <c r="I12" s="64">
        <f>I10-I11</f>
        <v>27693.29387441122</v>
      </c>
      <c r="J12" s="64">
        <f>J10-J11</f>
        <v>28674.96319592837</v>
      </c>
      <c r="K12" s="64">
        <f>K10-K11</f>
        <v>29578.848390459432</v>
      </c>
      <c r="L12" s="64">
        <f>L10-L11</f>
        <v>30395.093254392446</v>
      </c>
    </row>
    <row r="13">
      <c r="A13" s="14" t="inlineStr">
        <is>
          <t>Year fraction</t>
        </is>
      </c>
      <c r="C13" s="46">
        <f>Assumptions!$B$22</f>
        <v>0.5014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0.2507</v>
      </c>
      <c r="D14" s="11">
        <f>C14+C13/2+D13/2</f>
        <v>1.0013999999999998</v>
      </c>
      <c r="E14" s="11">
        <f>D14+D13/2+E13/2</f>
        <v>2.0014</v>
      </c>
      <c r="F14" s="11">
        <f>E14+E13/2+F13/2</f>
        <v>3.0014</v>
      </c>
      <c r="G14" s="11">
        <f>F14+F13/2+G13/2</f>
        <v>4.0014</v>
      </c>
      <c r="H14" s="11">
        <f>G14+G13/2+H13/2</f>
        <v>5.0014</v>
      </c>
      <c r="I14" s="11">
        <f>H14+H13/2+I13/2</f>
        <v>6.0014</v>
      </c>
      <c r="J14" s="11">
        <f>I14+I13/2+J13/2</f>
        <v>7.0014</v>
      </c>
      <c r="K14" s="11">
        <f>J14+J13/2+K13/2</f>
        <v>8.0014</v>
      </c>
      <c r="L14" s="11">
        <f>K14+K13/2+L13/2</f>
        <v>9.0014</v>
      </c>
    </row>
    <row r="15">
      <c r="A15" s="14" t="inlineStr">
        <is>
          <t>Discount factor</t>
        </is>
      </c>
      <c r="C15" s="65">
        <f>1/(1+Assumptions!$E$10)^C14</f>
        <v>0.9808908074396927</v>
      </c>
      <c r="D15" s="65">
        <f>1/(1+Assumptions!$E$10)^D14</f>
        <v>0.9258261669877248</v>
      </c>
      <c r="E15" s="65">
        <f>1/(1+Assumptions!$E$10)^E14</f>
        <v>0.8572464509145599</v>
      </c>
      <c r="F15" s="65">
        <f>1/(1+Assumptions!$E$10)^F14</f>
        <v>0.7937467138097777</v>
      </c>
      <c r="G15" s="65">
        <f>1/(1+Assumptions!$E$10)^G14</f>
        <v>0.7349506609349792</v>
      </c>
      <c r="H15" s="65">
        <f>1/(1+Assumptions!$E$10)^H14</f>
        <v>0.6805098712360919</v>
      </c>
      <c r="I15" s="65">
        <f>1/(1+Assumptions!$E$10)^I14</f>
        <v>0.6301017326260109</v>
      </c>
      <c r="J15" s="65">
        <f>1/(1+Assumptions!$E$10)^J14</f>
        <v>0.5834275302092693</v>
      </c>
      <c r="K15" s="65">
        <f>1/(1+Assumptions!$E$10)^K14</f>
        <v>0.5402106761196938</v>
      </c>
      <c r="L15" s="65">
        <f>1/(1+Assumptions!$E$10)^L14</f>
        <v>0.5001950704811979</v>
      </c>
    </row>
    <row r="16">
      <c r="A16" s="20" t="inlineStr">
        <is>
          <t>PV of free cash flow</t>
        </is>
      </c>
      <c r="C16" s="64">
        <f>C12*C13*C15</f>
        <v>10211.989459257555</v>
      </c>
      <c r="D16" s="64">
        <f>D12*D13*D15</f>
        <v>20357.87216262</v>
      </c>
      <c r="E16" s="64">
        <f>E12*E13*E15</f>
        <v>19888.09579344096</v>
      </c>
      <c r="F16" s="64">
        <f>F12*F13*F15</f>
        <v>19356.86413849063</v>
      </c>
      <c r="G16" s="64">
        <f>G12*G13*G15</f>
        <v>18769.456801308483</v>
      </c>
      <c r="H16" s="64">
        <f>H12*H13*H15</f>
        <v>18131.644220644026</v>
      </c>
      <c r="I16" s="64">
        <f>I12*I13*I15</f>
        <v>17449.592452387806</v>
      </c>
      <c r="J16" s="64">
        <f>J12*J13*J15</f>
        <v>16729.762956242183</v>
      </c>
      <c r="K16" s="64">
        <f>K12*K13*K15</f>
        <v>15978.809687852005</v>
      </c>
      <c r="L16" s="64">
        <f>L12*L13*L15</f>
        <v>15203.475812663413</v>
      </c>
    </row>
    <row r="19">
      <c r="A19" s="14" t="inlineStr">
        <is>
          <t>PV of forecast free cash flow</t>
        </is>
      </c>
      <c r="B19" s="52">
        <f>SUM(C16:L16)</f>
        <v>172077.56348490706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31154.97058575225</v>
      </c>
    </row>
    <row r="21">
      <c r="A21" s="14" t="inlineStr">
        <is>
          <t>Terminal value</t>
        </is>
      </c>
      <c r="B21" s="52">
        <f>B20/(Assumptions!$E$10-Assumptions!$E$11)</f>
        <v>566454.0106500409</v>
      </c>
    </row>
    <row r="22">
      <c r="A22" s="14" t="inlineStr">
        <is>
          <t>PV of terminal value</t>
        </is>
      </c>
      <c r="B22" s="52">
        <f>B21/(1+Assumptions!$E$10)^(L14+0.5)</f>
        <v>272641.6401328989</v>
      </c>
    </row>
    <row r="23">
      <c r="A23" s="20" t="inlineStr">
        <is>
          <t>Enterprise value</t>
        </is>
      </c>
      <c r="B23" s="66">
        <f>B19+B22</f>
        <v>444719.20361780596</v>
      </c>
    </row>
    <row r="24">
      <c r="A24" s="14" t="inlineStr">
        <is>
          <t>Cash &amp; investments</t>
        </is>
      </c>
      <c r="B24" s="55">
        <f>Main!C7</f>
        <v>20758.0</v>
      </c>
    </row>
    <row r="25">
      <c r="A25" s="14" t="inlineStr">
        <is>
          <t>Debt</t>
        </is>
      </c>
      <c r="B25" s="55">
        <f>Main!C8</f>
        <v>49036.0</v>
      </c>
    </row>
    <row r="26">
      <c r="A26" s="20" t="inlineStr">
        <is>
          <t>Equity value</t>
        </is>
      </c>
      <c r="B26" s="66">
        <f>B23+B24-B25</f>
        <v>416441.20361780596</v>
      </c>
    </row>
    <row r="27">
      <c r="A27" s="14" t="inlineStr">
        <is>
          <t>Shares (mm)</t>
        </is>
      </c>
      <c r="B27" s="55">
        <f>Main!C4</f>
        <v>2409.898597</v>
      </c>
    </row>
    <row r="28">
      <c r="A28" s="20" t="inlineStr">
        <is>
          <t>NPV / share</t>
        </is>
      </c>
      <c r="B28" s="49">
        <f>B26/B27</f>
        <v>172.80445083300157</v>
      </c>
    </row>
    <row r="29">
      <c r="A29" s="14" t="inlineStr">
        <is>
          <t>Price</t>
        </is>
      </c>
      <c r="B29" s="50">
        <f>Main!C3</f>
        <v>259.4</v>
      </c>
    </row>
    <row r="30">
      <c r="A30" s="14" t="inlineStr">
        <is>
          <t>Upside</t>
        </is>
      </c>
      <c r="B30" s="63">
        <f>B28/B29-1</f>
        <v>-0.33383018183114266</v>
      </c>
    </row>
    <row r="31">
      <c r="A31" s="14" t="inlineStr">
        <is>
          <t>Terminal value, % of EV</t>
        </is>
      </c>
      <c r="B31" s="63">
        <f>IFERROR(B22/B23,0)</f>
        <v>0.6130646887180715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2026-10-21T01:03:31Z</dcterms:modified>
  <cp:lastModifiedBy>Wang, Eric</cp:lastModifiedBy>
</cp:coreProperties>
</file>