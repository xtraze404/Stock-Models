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MapLight Therapeutics, Inc.</t>
        </is>
      </c>
      <c r="C2" s="10" t="n"/>
    </row>
    <row r="3">
      <c r="B3" t="inlineStr">
        <is>
          <t>Price</t>
        </is>
      </c>
      <c r="C3" s="11">
        <f>INDEX([1]Pharma!$F$1:$F$1000,MATCH("MPLT",[1]Pharma!$B$1:$B$1000,0))</f>
        <v>8.24</v>
      </c>
      <c r="F3" s="1" t="n"/>
    </row>
    <row r="4">
      <c r="B4" t="inlineStr">
        <is>
          <t>Shares</t>
        </is>
      </c>
      <c r="C4" s="21" t="n">
        <v>45.436867</v>
      </c>
      <c r="F4" s="1" t="n"/>
    </row>
    <row r="5">
      <c r="B5" t="inlineStr">
        <is>
          <t>Market Cap.</t>
        </is>
      </c>
      <c r="C5" s="13">
        <f>C3*C4</f>
        <v>374.39978408</v>
      </c>
      <c r="F5" s="1" t="n"/>
    </row>
    <row r="6"/>
    <row r="7">
      <c r="B7" t="inlineStr">
        <is>
          <t>Cash</t>
        </is>
      </c>
      <c r="C7" s="21">
        <f>71.633+233.092</f>
        <v>304.725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69.67478408</v>
      </c>
    </row>
    <row r="10"/>
    <row r="11">
      <c r="B11" s="14" t="inlineStr">
        <is>
          <t>rNPV / Share</t>
        </is>
      </c>
      <c r="C11" s="11">
        <f>NPV!B27</f>
        <v>9.647572983051708</v>
      </c>
    </row>
    <row r="12">
      <c r="B12" s="14" t="inlineStr">
        <is>
          <t>Upside</t>
        </is>
      </c>
      <c r="C12" s="15">
        <f>IFERROR(C11/C3-1,"")</f>
        <v>0.17082196396258587</v>
      </c>
    </row>
    <row r="13">
      <c r="B13" s="14" t="inlineStr">
        <is>
          <t>Cash / Share</t>
        </is>
      </c>
      <c r="C13" s="11">
        <f>IFERROR((C7-C8)/C4,"")</f>
        <v>6.706558354914744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-174.668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1.7445954611033505</v>
      </c>
    </row>
    <row r="19">
      <c r="B19" s="14" t="inlineStr">
        <is>
          <t>Implied Pipeline Value</t>
        </is>
      </c>
      <c r="C19" s="13">
        <f>C9</f>
        <v>69.67478408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2024</v>
      </c>
      <c r="C1" s="17" t="n">
        <v>2025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23" t="n">
        <v>68.523</v>
      </c>
      <c r="C5" s="23" t="n">
        <v>138.349</v>
      </c>
      <c r="D5" s="1" t="n"/>
      <c r="I5" s="1" t="n"/>
      <c r="J5" s="1" t="n"/>
      <c r="K5" s="1" t="n"/>
    </row>
    <row r="6">
      <c r="A6" s="19" t="inlineStr">
        <is>
          <t>SG&amp;A &amp; Other</t>
        </is>
      </c>
      <c r="B6" s="23" t="n">
        <v>14.423</v>
      </c>
      <c r="C6" s="23" t="n">
        <v>30.734</v>
      </c>
      <c r="D6" s="1" t="n"/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82.946</v>
      </c>
      <c r="C7" s="23">
        <f>SUM(C5:C6)</f>
        <v>169.083</v>
      </c>
      <c r="D7" s="1" t="n"/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-82.946</v>
      </c>
      <c r="C8" s="23">
        <f>C4-C7</f>
        <v>-169.083</v>
      </c>
      <c r="D8" s="1" t="n"/>
      <c r="I8" s="1" t="n"/>
      <c r="J8" s="1" t="n"/>
      <c r="K8" s="1" t="n"/>
    </row>
    <row r="9">
      <c r="A9" s="19" t="inlineStr">
        <is>
          <t>Interest &amp; Other</t>
        </is>
      </c>
      <c r="B9" s="23" t="n">
        <v>5.366</v>
      </c>
      <c r="C9" s="23" t="n">
        <v>7.931</v>
      </c>
    </row>
    <row r="10">
      <c r="A10" s="2" t="inlineStr">
        <is>
          <t>Pretax</t>
        </is>
      </c>
      <c r="B10" s="23">
        <f>B8+B9</f>
        <v>-77.58</v>
      </c>
      <c r="C10" s="23">
        <f>C8+C9</f>
        <v>-161.152</v>
      </c>
      <c r="D10" s="1" t="n"/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</row>
    <row r="12">
      <c r="A12" s="2" t="inlineStr">
        <is>
          <t>Net Income</t>
        </is>
      </c>
      <c r="B12" s="23" t="n">
        <v>-77.58</v>
      </c>
      <c r="C12" s="23" t="n">
        <v>-161.152</v>
      </c>
      <c r="D12" s="1" t="n"/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-8.781978718587277</v>
      </c>
      <c r="C13" s="11">
        <f>IFERROR(C12/C14,0)</f>
        <v>-18.5637599354913</v>
      </c>
    </row>
    <row r="14">
      <c r="A14" s="2" t="inlineStr">
        <is>
          <t>Shares</t>
        </is>
      </c>
      <c r="B14" s="23" t="n">
        <v>8.834</v>
      </c>
      <c r="C14" s="23" t="n">
        <v>8.680999999999999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MapLight Therapeutics,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1-PRODUCT(Pipeline!AG4:AG6)</f>
        <v>0.3431915979039999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242.928</v>
      </c>
    </row>
    <row r="19">
      <c r="A19" s="14" t="inlineStr">
        <is>
          <t>Years of full burn (until the first launch, max 4)</t>
        </is>
      </c>
      <c r="B19" s="39">
        <f>MIN(4,MAX(1,MIN(Pipeline!I4:I6)-2026))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238.7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133.63049050371362</v>
      </c>
      <c r="C29" s="42">
        <f>NPV!B25</f>
        <v>438.35549050371367</v>
      </c>
      <c r="D29" s="43">
        <f>NPV!B27</f>
        <v>9.647572983051708</v>
      </c>
      <c r="E29" s="44">
        <f>NPV!B29</f>
        <v>0.17082196396258587</v>
      </c>
    </row>
    <row r="30">
      <c r="A30" s="45" t="n">
        <v>1</v>
      </c>
      <c r="B30" s="46">
        <f t="dataTable" ref="B30:E32" r1="B4"/>
        <v>-360.58869207082114</v>
      </c>
      <c r="C30" s="46">
        <v>-55.863692070821116</v>
      </c>
      <c r="D30" s="47">
        <v>-1.2294794020639916</v>
      </c>
      <c r="E30" s="48">
        <v>-1.149208665299028</v>
      </c>
    </row>
    <row r="31">
      <c r="A31" s="45" t="n">
        <v>2</v>
      </c>
      <c r="B31" s="46">
        <v>133.63049050371362</v>
      </c>
      <c r="C31" s="46">
        <v>438.35549050371367</v>
      </c>
      <c r="D31" s="47">
        <v>9.647572983051708</v>
      </c>
      <c r="E31" s="48">
        <v>0.17082196396258587</v>
      </c>
    </row>
    <row r="32">
      <c r="A32" s="45" t="n">
        <v>3</v>
      </c>
      <c r="B32" s="46">
        <v>929.2880477930972</v>
      </c>
      <c r="C32" s="46">
        <v>1234.0130477930973</v>
      </c>
      <c r="D32" s="47">
        <v>27.158849834278787</v>
      </c>
      <c r="E32" s="48">
        <v>2.295976921635775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9.647572983051708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-3.44566634480857</v>
      </c>
      <c r="C37" s="47">
        <v>-0.2031196195361132</v>
      </c>
      <c r="D37" s="47">
        <v>2.782618564346693</v>
      </c>
      <c r="E37" s="47">
        <v>8.582198459040523</v>
      </c>
      <c r="F37" s="47">
        <v>14.282708120872035</v>
      </c>
    </row>
    <row r="38">
      <c r="A38" s="50" t="n">
        <v>0.8</v>
      </c>
      <c r="B38" s="47">
        <v>-1.6901943511929474</v>
      </c>
      <c r="C38" s="47">
        <v>2.3378004297650685</v>
      </c>
      <c r="D38" s="47">
        <v>6.2272063782262075</v>
      </c>
      <c r="E38" s="47">
        <v>13.853922121731294</v>
      </c>
      <c r="F38" s="47">
        <v>21.402249201274987</v>
      </c>
    </row>
    <row r="39">
      <c r="A39" s="50" t="n">
        <v>1</v>
      </c>
      <c r="B39" s="47">
        <v>-0.08236315167164694</v>
      </c>
      <c r="C39" s="47">
        <v>4.846788560100021</v>
      </c>
      <c r="D39" s="47">
        <v>9.647572983051708</v>
      </c>
      <c r="E39" s="47">
        <v>19.11688428127648</v>
      </c>
      <c r="F39" s="47">
        <v>28.497544833983305</v>
      </c>
    </row>
    <row r="40">
      <c r="A40" s="50" t="n">
        <v>1.2</v>
      </c>
      <c r="B40" s="47">
        <v>1.5134502543578947</v>
      </c>
      <c r="C40" s="47">
        <v>7.353149954368567</v>
      </c>
      <c r="D40" s="47">
        <v>13.068566260861195</v>
      </c>
      <c r="E40" s="47">
        <v>24.3736528665137</v>
      </c>
      <c r="F40" s="47">
        <v>35.616161856399145</v>
      </c>
    </row>
    <row r="41">
      <c r="A41" s="50" t="n">
        <v>1.4</v>
      </c>
      <c r="B41" s="47">
        <v>3.1087725880325627</v>
      </c>
      <c r="C41" s="47">
        <v>9.854070340436273</v>
      </c>
      <c r="D41" s="47">
        <v>16.48887213405678</v>
      </c>
      <c r="E41" s="47">
        <v>29.641139380832602</v>
      </c>
      <c r="F41" s="47">
        <v>42.72812916747751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MapLight Therapeutics,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Alzheimer's disease</t>
        </is>
      </c>
      <c r="C4" s="14" t="inlineStr">
        <is>
          <t>ML-007C-MA</t>
        </is>
      </c>
      <c r="D4" s="14" t="inlineStr">
        <is>
          <t>Phase 2</t>
        </is>
      </c>
      <c r="E4" s="14" t="inlineStr">
        <is>
          <t>Neurology / chronic</t>
        </is>
      </c>
      <c r="F4" s="14" t="inlineStr">
        <is>
          <t>Owned</t>
        </is>
      </c>
      <c r="G4" s="40" t="n">
        <v>4000</v>
      </c>
      <c r="H4" s="27" t="n">
        <v>0.1273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578.4730886973028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50.92</v>
      </c>
      <c r="S4" s="23">
        <f>IF(S$3&lt;$I4,0,$G4*Assumptions!$E$11*INDEX(Assumptions!$B$24:$G$24,MIN(6,S$3-$I4+1))*IF(S$3&gt;$J4,(1-Assumptions!$B$26)^(S$3-$J4),1)*IF($H4&gt;=1,1,MIN(0.97,$H4*Assumptions!$E$12)))</f>
        <v>127.3</v>
      </c>
      <c r="T4" s="23">
        <f>IF(T$3&lt;$I4,0,$G4*Assumptions!$E$11*INDEX(Assumptions!$B$24:$G$24,MIN(6,T$3-$I4+1))*IF(T$3&gt;$J4,(1-Assumptions!$B$26)^(T$3-$J4),1)*IF($H4&gt;=1,1,MIN(0.97,$H4*Assumptions!$E$12)))</f>
        <v>229.14</v>
      </c>
      <c r="U4" s="23">
        <f>IF(U$3&lt;$I4,0,$G4*Assumptions!$E$11*INDEX(Assumptions!$B$24:$G$24,MIN(6,U$3-$I4+1))*IF(U$3&gt;$J4,(1-Assumptions!$B$26)^(U$3-$J4),1)*IF($H4&gt;=1,1,MIN(0.97,$H4*Assumptions!$E$12)))</f>
        <v>330.98</v>
      </c>
      <c r="V4" s="23">
        <f>IF(V$3&lt;$I4,0,$G4*Assumptions!$E$11*INDEX(Assumptions!$B$24:$G$24,MIN(6,V$3-$I4+1))*IF(V$3&gt;$J4,(1-Assumptions!$B$26)^(V$3-$J4),1)*IF($H4&gt;=1,1,MIN(0.97,$H4*Assumptions!$E$12)))</f>
        <v>432.82</v>
      </c>
      <c r="W4" s="23">
        <f>IF(W$3&lt;$I4,0,$G4*Assumptions!$E$11*INDEX(Assumptions!$B$24:$G$24,MIN(6,W$3-$I4+1))*IF(W$3&gt;$J4,(1-Assumptions!$B$26)^(W$3-$J4),1)*IF($H4&gt;=1,1,MIN(0.97,$H4*Assumptions!$E$12)))</f>
        <v>509.2</v>
      </c>
      <c r="X4" s="23">
        <f>IF(X$3&lt;$I4,0,$G4*Assumptions!$E$11*INDEX(Assumptions!$B$24:$G$24,MIN(6,X$3-$I4+1))*IF(X$3&gt;$J4,(1-Assumptions!$B$26)^(X$3-$J4),1)*IF($H4&gt;=1,1,MIN(0.97,$H4*Assumptions!$E$12)))</f>
        <v>509.2</v>
      </c>
      <c r="Y4" s="23">
        <f>IF(Y$3&lt;$I4,0,$G4*Assumptions!$E$11*INDEX(Assumptions!$B$24:$G$24,MIN(6,Y$3-$I4+1))*IF(Y$3&gt;$J4,(1-Assumptions!$B$26)^(Y$3-$J4),1)*IF($H4&gt;=1,1,MIN(0.97,$H4*Assumptions!$E$12)))</f>
        <v>509.2</v>
      </c>
      <c r="Z4" s="23">
        <f>IF(Z$3&lt;$I4,0,$G4*Assumptions!$E$11*INDEX(Assumptions!$B$24:$G$24,MIN(6,Z$3-$I4+1))*IF(Z$3&gt;$J4,(1-Assumptions!$B$26)^(Z$3-$J4),1)*IF($H4&gt;=1,1,MIN(0.97,$H4*Assumptions!$E$12)))</f>
        <v>509.2</v>
      </c>
      <c r="AA4" s="23">
        <f>IF(AA$3&lt;$I4,0,$G4*Assumptions!$E$11*INDEX(Assumptions!$B$24:$G$24,MIN(6,AA$3-$I4+1))*IF(AA$3&gt;$J4,(1-Assumptions!$B$26)^(AA$3-$J4),1)*IF($H4&gt;=1,1,MIN(0.97,$H4*Assumptions!$E$12)))</f>
        <v>509.2</v>
      </c>
      <c r="AB4" s="23">
        <f>IF(AB$3&lt;$I4,0,$G4*Assumptions!$E$11*INDEX(Assumptions!$B$24:$G$24,MIN(6,AB$3-$I4+1))*IF(AB$3&gt;$J4,(1-Assumptions!$B$26)^(AB$3-$J4),1)*IF($H4&gt;=1,1,MIN(0.97,$H4*Assumptions!$E$12)))</f>
        <v>509.2</v>
      </c>
      <c r="AC4" s="23">
        <f>IF(AC$3&lt;$I4,0,$G4*Assumptions!$E$11*INDEX(Assumptions!$B$24:$G$24,MIN(6,AC$3-$I4+1))*IF(AC$3&gt;$J4,(1-Assumptions!$B$26)^(AC$3-$J4),1)*IF($H4&gt;=1,1,MIN(0.97,$H4*Assumptions!$E$12)))</f>
        <v>509.2</v>
      </c>
      <c r="AD4" s="23">
        <f>IF(AD$3&lt;$I4,0,$G4*Assumptions!$E$11*INDEX(Assumptions!$B$24:$G$24,MIN(6,AD$3-$I4+1))*IF(AD$3&gt;$J4,(1-Assumptions!$B$26)^(AD$3-$J4),1)*IF($H4&gt;=1,1,MIN(0.97,$H4*Assumptions!$E$12)))</f>
        <v>509.2</v>
      </c>
      <c r="AE4" s="23">
        <f>IF(AE$3&lt;$I4,0,$G4*Assumptions!$E$11*INDEX(Assumptions!$B$24:$G$24,MIN(6,AE$3-$I4+1))*IF(AE$3&gt;$J4,(1-Assumptions!$B$26)^(AE$3-$J4),1)*IF($H4&gt;=1,1,MIN(0.97,$H4*Assumptions!$E$12)))</f>
        <v>254.6</v>
      </c>
      <c r="AF4" s="23">
        <f>IF(AF$3&lt;$I4,0,$G4*Assumptions!$E$11*INDEX(Assumptions!$B$24:$G$24,MIN(6,AF$3-$I4+1))*IF(AF$3&gt;$J4,(1-Assumptions!$B$26)^(AF$3-$J4),1)*IF($H4&gt;=1,1,MIN(0.97,$H4*Assumptions!$E$12)))</f>
        <v>127.3</v>
      </c>
      <c r="AG4" s="35">
        <f>IF(F4="Owned",1-IF(H4&gt;=1,1,MIN(0.97,H4*Assumptions!$E$12)),1)</f>
        <v>0.8727</v>
      </c>
    </row>
    <row r="5">
      <c r="A5" s="39" t="n">
        <v>2</v>
      </c>
      <c r="B5" s="14" t="inlineStr">
        <is>
          <t>Schizophrenia / psychosis</t>
        </is>
      </c>
      <c r="C5" s="14" t="inlineStr">
        <is>
          <t>ML-007C-MA, ML-007C-MA BID</t>
        </is>
      </c>
      <c r="D5" s="14" t="inlineStr">
        <is>
          <t>Phase 2</t>
        </is>
      </c>
      <c r="E5" s="14" t="inlineStr">
        <is>
          <t>Psychiatry / chronic</t>
        </is>
      </c>
      <c r="F5" s="14" t="inlineStr">
        <is>
          <t>Owned</t>
        </is>
      </c>
      <c r="G5" s="40" t="n">
        <v>2500</v>
      </c>
      <c r="H5" s="27" t="n">
        <v>0.1273</v>
      </c>
      <c r="I5" s="26" t="n">
        <v>2031</v>
      </c>
      <c r="J5" s="39">
        <f>I5+Assumptions!$B$25</f>
        <v>2043.0</v>
      </c>
      <c r="K5" s="53">
        <f>Assumptions!$E$13</f>
        <v>0.4</v>
      </c>
      <c r="L5" s="23">
        <f>K5*SUMPRODUCT(M5:AF5,NPV!$C$15:$V$15)</f>
        <v>361.54568043581423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31.825</v>
      </c>
      <c r="S5" s="23">
        <f>IF(S$3&lt;$I5,0,$G5*Assumptions!$E$11*INDEX(Assumptions!$B$24:$G$24,MIN(6,S$3-$I5+1))*IF(S$3&gt;$J5,(1-Assumptions!$B$26)^(S$3-$J5),1)*IF($H5&gt;=1,1,MIN(0.97,$H5*Assumptions!$E$12)))</f>
        <v>79.5625</v>
      </c>
      <c r="T5" s="23">
        <f>IF(T$3&lt;$I5,0,$G5*Assumptions!$E$11*INDEX(Assumptions!$B$24:$G$24,MIN(6,T$3-$I5+1))*IF(T$3&gt;$J5,(1-Assumptions!$B$26)^(T$3-$J5),1)*IF($H5&gt;=1,1,MIN(0.97,$H5*Assumptions!$E$12)))</f>
        <v>143.2125</v>
      </c>
      <c r="U5" s="23">
        <f>IF(U$3&lt;$I5,0,$G5*Assumptions!$E$11*INDEX(Assumptions!$B$24:$G$24,MIN(6,U$3-$I5+1))*IF(U$3&gt;$J5,(1-Assumptions!$B$26)^(U$3-$J5),1)*IF($H5&gt;=1,1,MIN(0.97,$H5*Assumptions!$E$12)))</f>
        <v>206.86249999999998</v>
      </c>
      <c r="V5" s="23">
        <f>IF(V$3&lt;$I5,0,$G5*Assumptions!$E$11*INDEX(Assumptions!$B$24:$G$24,MIN(6,V$3-$I5+1))*IF(V$3&gt;$J5,(1-Assumptions!$B$26)^(V$3-$J5),1)*IF($H5&gt;=1,1,MIN(0.97,$H5*Assumptions!$E$12)))</f>
        <v>270.5125</v>
      </c>
      <c r="W5" s="23">
        <f>IF(W$3&lt;$I5,0,$G5*Assumptions!$E$11*INDEX(Assumptions!$B$24:$G$24,MIN(6,W$3-$I5+1))*IF(W$3&gt;$J5,(1-Assumptions!$B$26)^(W$3-$J5),1)*IF($H5&gt;=1,1,MIN(0.97,$H5*Assumptions!$E$12)))</f>
        <v>318.25</v>
      </c>
      <c r="X5" s="23">
        <f>IF(X$3&lt;$I5,0,$G5*Assumptions!$E$11*INDEX(Assumptions!$B$24:$G$24,MIN(6,X$3-$I5+1))*IF(X$3&gt;$J5,(1-Assumptions!$B$26)^(X$3-$J5),1)*IF($H5&gt;=1,1,MIN(0.97,$H5*Assumptions!$E$12)))</f>
        <v>318.25</v>
      </c>
      <c r="Y5" s="23">
        <f>IF(Y$3&lt;$I5,0,$G5*Assumptions!$E$11*INDEX(Assumptions!$B$24:$G$24,MIN(6,Y$3-$I5+1))*IF(Y$3&gt;$J5,(1-Assumptions!$B$26)^(Y$3-$J5),1)*IF($H5&gt;=1,1,MIN(0.97,$H5*Assumptions!$E$12)))</f>
        <v>318.25</v>
      </c>
      <c r="Z5" s="23">
        <f>IF(Z$3&lt;$I5,0,$G5*Assumptions!$E$11*INDEX(Assumptions!$B$24:$G$24,MIN(6,Z$3-$I5+1))*IF(Z$3&gt;$J5,(1-Assumptions!$B$26)^(Z$3-$J5),1)*IF($H5&gt;=1,1,MIN(0.97,$H5*Assumptions!$E$12)))</f>
        <v>318.25</v>
      </c>
      <c r="AA5" s="23">
        <f>IF(AA$3&lt;$I5,0,$G5*Assumptions!$E$11*INDEX(Assumptions!$B$24:$G$24,MIN(6,AA$3-$I5+1))*IF(AA$3&gt;$J5,(1-Assumptions!$B$26)^(AA$3-$J5),1)*IF($H5&gt;=1,1,MIN(0.97,$H5*Assumptions!$E$12)))</f>
        <v>318.25</v>
      </c>
      <c r="AB5" s="23">
        <f>IF(AB$3&lt;$I5,0,$G5*Assumptions!$E$11*INDEX(Assumptions!$B$24:$G$24,MIN(6,AB$3-$I5+1))*IF(AB$3&gt;$J5,(1-Assumptions!$B$26)^(AB$3-$J5),1)*IF($H5&gt;=1,1,MIN(0.97,$H5*Assumptions!$E$12)))</f>
        <v>318.25</v>
      </c>
      <c r="AC5" s="23">
        <f>IF(AC$3&lt;$I5,0,$G5*Assumptions!$E$11*INDEX(Assumptions!$B$24:$G$24,MIN(6,AC$3-$I5+1))*IF(AC$3&gt;$J5,(1-Assumptions!$B$26)^(AC$3-$J5),1)*IF($H5&gt;=1,1,MIN(0.97,$H5*Assumptions!$E$12)))</f>
        <v>318.25</v>
      </c>
      <c r="AD5" s="23">
        <f>IF(AD$3&lt;$I5,0,$G5*Assumptions!$E$11*INDEX(Assumptions!$B$24:$G$24,MIN(6,AD$3-$I5+1))*IF(AD$3&gt;$J5,(1-Assumptions!$B$26)^(AD$3-$J5),1)*IF($H5&gt;=1,1,MIN(0.97,$H5*Assumptions!$E$12)))</f>
        <v>318.25</v>
      </c>
      <c r="AE5" s="23">
        <f>IF(AE$3&lt;$I5,0,$G5*Assumptions!$E$11*INDEX(Assumptions!$B$24:$G$24,MIN(6,AE$3-$I5+1))*IF(AE$3&gt;$J5,(1-Assumptions!$B$26)^(AE$3-$J5),1)*IF($H5&gt;=1,1,MIN(0.97,$H5*Assumptions!$E$12)))</f>
        <v>159.125</v>
      </c>
      <c r="AF5" s="23">
        <f>IF(AF$3&lt;$I5,0,$G5*Assumptions!$E$11*INDEX(Assumptions!$B$24:$G$24,MIN(6,AF$3-$I5+1))*IF(AF$3&gt;$J5,(1-Assumptions!$B$26)^(AF$3-$J5),1)*IF($H5&gt;=1,1,MIN(0.97,$H5*Assumptions!$E$12)))</f>
        <v>79.5625</v>
      </c>
      <c r="AG5" s="35">
        <f>IF(F5="Owned",1-IF(H5&gt;=1,1,MIN(0.97,H5*Assumptions!$E$12)),1)</f>
        <v>0.8727</v>
      </c>
    </row>
    <row r="6">
      <c r="A6" s="39" t="n">
        <v>3</v>
      </c>
      <c r="B6" s="14" t="inlineStr">
        <is>
          <t>Anxiety / PTSD / addiction</t>
        </is>
      </c>
      <c r="C6" s="14" t="inlineStr">
        <is>
          <t>ML-004 (IR)/(ER) tablet</t>
        </is>
      </c>
      <c r="D6" s="14" t="inlineStr">
        <is>
          <t>Phase 2</t>
        </is>
      </c>
      <c r="E6" s="14" t="inlineStr">
        <is>
          <t>Psychiatry / area</t>
        </is>
      </c>
      <c r="F6" s="14" t="inlineStr">
        <is>
          <t>Owned</t>
        </is>
      </c>
      <c r="G6" s="40" t="n">
        <v>800</v>
      </c>
      <c r="H6" s="27" t="n">
        <v>0.1376</v>
      </c>
      <c r="I6" s="26" t="n">
        <v>2031</v>
      </c>
      <c r="J6" s="39">
        <f>I6+Assumptions!$B$25</f>
        <v>2043.0</v>
      </c>
      <c r="K6" s="53">
        <f>Assumptions!$E$13</f>
        <v>0.4</v>
      </c>
      <c r="L6" s="23">
        <f>K6*SUMPRODUCT(M6:AF6,NPV!$C$15:$V$15)</f>
        <v>125.05561194775942</v>
      </c>
      <c r="M6" s="23">
        <f>IF(M$3&lt;$I6,0,$G6*Assumptions!$E$11*INDEX(Assumptions!$B$24:$G$24,MIN(6,M$3-$I6+1))*IF(M$3&gt;$J6,(1-Assumptions!$B$26)^(M$3-$J6),1)*IF($H6&gt;=1,1,MIN(0.97,$H6*Assumptions!$E$12)))</f>
        <v>0</v>
      </c>
      <c r="N6" s="23">
        <f>IF(N$3&lt;$I6,0,$G6*Assumptions!$E$11*INDEX(Assumptions!$B$24:$G$24,MIN(6,N$3-$I6+1))*IF(N$3&gt;$J6,(1-Assumptions!$B$26)^(N$3-$J6),1)*IF($H6&gt;=1,1,MIN(0.97,$H6*Assumptions!$E$12)))</f>
        <v>0</v>
      </c>
      <c r="O6" s="23">
        <f>IF(O$3&lt;$I6,0,$G6*Assumptions!$E$11*INDEX(Assumptions!$B$24:$G$24,MIN(6,O$3-$I6+1))*IF(O$3&gt;$J6,(1-Assumptions!$B$26)^(O$3-$J6),1)*IF($H6&gt;=1,1,MIN(0.97,$H6*Assumptions!$E$12)))</f>
        <v>0</v>
      </c>
      <c r="P6" s="23">
        <f>IF(P$3&lt;$I6,0,$G6*Assumptions!$E$11*INDEX(Assumptions!$B$24:$G$24,MIN(6,P$3-$I6+1))*IF(P$3&gt;$J6,(1-Assumptions!$B$26)^(P$3-$J6),1)*IF($H6&gt;=1,1,MIN(0.97,$H6*Assumptions!$E$12)))</f>
        <v>0</v>
      </c>
      <c r="Q6" s="23">
        <f>IF(Q$3&lt;$I6,0,$G6*Assumptions!$E$11*INDEX(Assumptions!$B$24:$G$24,MIN(6,Q$3-$I6+1))*IF(Q$3&gt;$J6,(1-Assumptions!$B$26)^(Q$3-$J6),1)*IF($H6&gt;=1,1,MIN(0.97,$H6*Assumptions!$E$12)))</f>
        <v>0</v>
      </c>
      <c r="R6" s="23">
        <f>IF(R$3&lt;$I6,0,$G6*Assumptions!$E$11*INDEX(Assumptions!$B$24:$G$24,MIN(6,R$3-$I6+1))*IF(R$3&gt;$J6,(1-Assumptions!$B$26)^(R$3-$J6),1)*IF($H6&gt;=1,1,MIN(0.97,$H6*Assumptions!$E$12)))</f>
        <v>11.008</v>
      </c>
      <c r="S6" s="23">
        <f>IF(S$3&lt;$I6,0,$G6*Assumptions!$E$11*INDEX(Assumptions!$B$24:$G$24,MIN(6,S$3-$I6+1))*IF(S$3&gt;$J6,(1-Assumptions!$B$26)^(S$3-$J6),1)*IF($H6&gt;=1,1,MIN(0.97,$H6*Assumptions!$E$12)))</f>
        <v>27.52</v>
      </c>
      <c r="T6" s="23">
        <f>IF(T$3&lt;$I6,0,$G6*Assumptions!$E$11*INDEX(Assumptions!$B$24:$G$24,MIN(6,T$3-$I6+1))*IF(T$3&gt;$J6,(1-Assumptions!$B$26)^(T$3-$J6),1)*IF($H6&gt;=1,1,MIN(0.97,$H6*Assumptions!$E$12)))</f>
        <v>49.536</v>
      </c>
      <c r="U6" s="23">
        <f>IF(U$3&lt;$I6,0,$G6*Assumptions!$E$11*INDEX(Assumptions!$B$24:$G$24,MIN(6,U$3-$I6+1))*IF(U$3&gt;$J6,(1-Assumptions!$B$26)^(U$3-$J6),1)*IF($H6&gt;=1,1,MIN(0.97,$H6*Assumptions!$E$12)))</f>
        <v>71.552</v>
      </c>
      <c r="V6" s="23">
        <f>IF(V$3&lt;$I6,0,$G6*Assumptions!$E$11*INDEX(Assumptions!$B$24:$G$24,MIN(6,V$3-$I6+1))*IF(V$3&gt;$J6,(1-Assumptions!$B$26)^(V$3-$J6),1)*IF($H6&gt;=1,1,MIN(0.97,$H6*Assumptions!$E$12)))</f>
        <v>93.568</v>
      </c>
      <c r="W6" s="23">
        <f>IF(W$3&lt;$I6,0,$G6*Assumptions!$E$11*INDEX(Assumptions!$B$24:$G$24,MIN(6,W$3-$I6+1))*IF(W$3&gt;$J6,(1-Assumptions!$B$26)^(W$3-$J6),1)*IF($H6&gt;=1,1,MIN(0.97,$H6*Assumptions!$E$12)))</f>
        <v>110.08</v>
      </c>
      <c r="X6" s="23">
        <f>IF(X$3&lt;$I6,0,$G6*Assumptions!$E$11*INDEX(Assumptions!$B$24:$G$24,MIN(6,X$3-$I6+1))*IF(X$3&gt;$J6,(1-Assumptions!$B$26)^(X$3-$J6),1)*IF($H6&gt;=1,1,MIN(0.97,$H6*Assumptions!$E$12)))</f>
        <v>110.08</v>
      </c>
      <c r="Y6" s="23">
        <f>IF(Y$3&lt;$I6,0,$G6*Assumptions!$E$11*INDEX(Assumptions!$B$24:$G$24,MIN(6,Y$3-$I6+1))*IF(Y$3&gt;$J6,(1-Assumptions!$B$26)^(Y$3-$J6),1)*IF($H6&gt;=1,1,MIN(0.97,$H6*Assumptions!$E$12)))</f>
        <v>110.08</v>
      </c>
      <c r="Z6" s="23">
        <f>IF(Z$3&lt;$I6,0,$G6*Assumptions!$E$11*INDEX(Assumptions!$B$24:$G$24,MIN(6,Z$3-$I6+1))*IF(Z$3&gt;$J6,(1-Assumptions!$B$26)^(Z$3-$J6),1)*IF($H6&gt;=1,1,MIN(0.97,$H6*Assumptions!$E$12)))</f>
        <v>110.08</v>
      </c>
      <c r="AA6" s="23">
        <f>IF(AA$3&lt;$I6,0,$G6*Assumptions!$E$11*INDEX(Assumptions!$B$24:$G$24,MIN(6,AA$3-$I6+1))*IF(AA$3&gt;$J6,(1-Assumptions!$B$26)^(AA$3-$J6),1)*IF($H6&gt;=1,1,MIN(0.97,$H6*Assumptions!$E$12)))</f>
        <v>110.08</v>
      </c>
      <c r="AB6" s="23">
        <f>IF(AB$3&lt;$I6,0,$G6*Assumptions!$E$11*INDEX(Assumptions!$B$24:$G$24,MIN(6,AB$3-$I6+1))*IF(AB$3&gt;$J6,(1-Assumptions!$B$26)^(AB$3-$J6),1)*IF($H6&gt;=1,1,MIN(0.97,$H6*Assumptions!$E$12)))</f>
        <v>110.08</v>
      </c>
      <c r="AC6" s="23">
        <f>IF(AC$3&lt;$I6,0,$G6*Assumptions!$E$11*INDEX(Assumptions!$B$24:$G$24,MIN(6,AC$3-$I6+1))*IF(AC$3&gt;$J6,(1-Assumptions!$B$26)^(AC$3-$J6),1)*IF($H6&gt;=1,1,MIN(0.97,$H6*Assumptions!$E$12)))</f>
        <v>110.08</v>
      </c>
      <c r="AD6" s="23">
        <f>IF(AD$3&lt;$I6,0,$G6*Assumptions!$E$11*INDEX(Assumptions!$B$24:$G$24,MIN(6,AD$3-$I6+1))*IF(AD$3&gt;$J6,(1-Assumptions!$B$26)^(AD$3-$J6),1)*IF($H6&gt;=1,1,MIN(0.97,$H6*Assumptions!$E$12)))</f>
        <v>110.08</v>
      </c>
      <c r="AE6" s="23">
        <f>IF(AE$3&lt;$I6,0,$G6*Assumptions!$E$11*INDEX(Assumptions!$B$24:$G$24,MIN(6,AE$3-$I6+1))*IF(AE$3&gt;$J6,(1-Assumptions!$B$26)^(AE$3-$J6),1)*IF($H6&gt;=1,1,MIN(0.97,$H6*Assumptions!$E$12)))</f>
        <v>55.04</v>
      </c>
      <c r="AF6" s="23">
        <f>IF(AF$3&lt;$I6,0,$G6*Assumptions!$E$11*INDEX(Assumptions!$B$24:$G$24,MIN(6,AF$3-$I6+1))*IF(AF$3&gt;$J6,(1-Assumptions!$B$26)^(AF$3-$J6),1)*IF($H6&gt;=1,1,MIN(0.97,$H6*Assumptions!$E$12)))</f>
        <v>27.52</v>
      </c>
      <c r="AG6" s="35">
        <f>IF(F6="Owned",1-IF(H6&gt;=1,1,MIN(0.97,H6*Assumptions!$E$12)),1)</f>
        <v>0.8624</v>
      </c>
    </row>
    <row r="7">
      <c r="B7" s="24" t="inlineStr">
        <is>
          <t>Risked revenue</t>
        </is>
      </c>
      <c r="L7" s="54">
        <f>SUM(L4:L6)</f>
        <v>1065.0743810808765</v>
      </c>
      <c r="M7" s="54">
        <f>SUM(M4:M6)</f>
        <v>0.0</v>
      </c>
      <c r="N7" s="54">
        <f>SUM(N4:N6)</f>
        <v>0.0</v>
      </c>
      <c r="O7" s="54">
        <f>SUM(O4:O6)</f>
        <v>0.0</v>
      </c>
      <c r="P7" s="54">
        <f>SUM(P4:P6)</f>
        <v>0.0</v>
      </c>
      <c r="Q7" s="54">
        <f>SUM(Q4:Q6)</f>
        <v>0.0</v>
      </c>
      <c r="R7" s="54">
        <f>SUM(R4:R6)</f>
        <v>93.753</v>
      </c>
      <c r="S7" s="54">
        <f>SUM(S4:S6)</f>
        <v>234.38250000000002</v>
      </c>
      <c r="T7" s="54">
        <f>SUM(T4:T6)</f>
        <v>421.88849999999996</v>
      </c>
      <c r="U7" s="54">
        <f>SUM(U4:U6)</f>
        <v>609.3945</v>
      </c>
      <c r="V7" s="54">
        <f>SUM(V4:V6)</f>
        <v>796.9005</v>
      </c>
      <c r="W7" s="54">
        <f>SUM(W4:W6)</f>
        <v>937.5300000000001</v>
      </c>
      <c r="X7" s="54">
        <f>SUM(X4:X6)</f>
        <v>937.5300000000001</v>
      </c>
      <c r="Y7" s="54">
        <f>SUM(Y4:Y6)</f>
        <v>937.5300000000001</v>
      </c>
      <c r="Z7" s="54">
        <f>SUM(Z4:Z6)</f>
        <v>937.5300000000001</v>
      </c>
      <c r="AA7" s="54">
        <f>SUM(AA4:AA6)</f>
        <v>937.5300000000001</v>
      </c>
      <c r="AB7" s="54">
        <f>SUM(AB4:AB6)</f>
        <v>937.5300000000001</v>
      </c>
      <c r="AC7" s="54">
        <f>SUM(AC4:AC6)</f>
        <v>937.5300000000001</v>
      </c>
      <c r="AD7" s="54">
        <f>SUM(AD4:AD6)</f>
        <v>937.5300000000001</v>
      </c>
      <c r="AE7" s="54">
        <f>SUM(AE4:AE6)</f>
        <v>468.76500000000004</v>
      </c>
      <c r="AF7" s="54">
        <f>SUM(AF4:AF6)</f>
        <v>234.38250000000002</v>
      </c>
    </row>
    <row r="8">
      <c r="B8" s="24" t="inlineStr">
        <is>
          <t>Risked contribution (revenue x share)</t>
        </is>
      </c>
      <c r="M8" s="55">
        <f>SUMPRODUCT(M4:M6,$K$4:$K$6)</f>
        <v>0.0</v>
      </c>
      <c r="N8" s="55">
        <f>SUMPRODUCT(N4:N6,$K$4:$K$6)</f>
        <v>0.0</v>
      </c>
      <c r="O8" s="55">
        <f>SUMPRODUCT(O4:O6,$K$4:$K$6)</f>
        <v>0.0</v>
      </c>
      <c r="P8" s="55">
        <f>SUMPRODUCT(P4:P6,$K$4:$K$6)</f>
        <v>0.0</v>
      </c>
      <c r="Q8" s="55">
        <f>SUMPRODUCT(Q4:Q6,$K$4:$K$6)</f>
        <v>0.0</v>
      </c>
      <c r="R8" s="55">
        <f>SUMPRODUCT(R4:R6,$K$4:$K$6)</f>
        <v>37.5012</v>
      </c>
      <c r="S8" s="55">
        <f>SUMPRODUCT(S4:S6,$K$4:$K$6)</f>
        <v>93.753</v>
      </c>
      <c r="T8" s="55">
        <f>SUMPRODUCT(T4:T6,$K$4:$K$6)</f>
        <v>168.7554</v>
      </c>
      <c r="U8" s="55">
        <f>SUMPRODUCT(U4:U6,$K$4:$K$6)</f>
        <v>243.75780000000003</v>
      </c>
      <c r="V8" s="55">
        <f>SUMPRODUCT(V4:V6,$K$4:$K$6)</f>
        <v>318.76020000000005</v>
      </c>
      <c r="W8" s="55">
        <f>SUMPRODUCT(W4:W6,$K$4:$K$6)</f>
        <v>375.012</v>
      </c>
      <c r="X8" s="55">
        <f>SUMPRODUCT(X4:X6,$K$4:$K$6)</f>
        <v>375.012</v>
      </c>
      <c r="Y8" s="55">
        <f>SUMPRODUCT(Y4:Y6,$K$4:$K$6)</f>
        <v>375.012</v>
      </c>
      <c r="Z8" s="55">
        <f>SUMPRODUCT(Z4:Z6,$K$4:$K$6)</f>
        <v>375.012</v>
      </c>
      <c r="AA8" s="55">
        <f>SUMPRODUCT(AA4:AA6,$K$4:$K$6)</f>
        <v>375.012</v>
      </c>
      <c r="AB8" s="55">
        <f>SUMPRODUCT(AB4:AB6,$K$4:$K$6)</f>
        <v>375.012</v>
      </c>
      <c r="AC8" s="55">
        <f>SUMPRODUCT(AC4:AC6,$K$4:$K$6)</f>
        <v>375.012</v>
      </c>
      <c r="AD8" s="55">
        <f>SUMPRODUCT(AD4:AD6,$K$4:$K$6)</f>
        <v>375.012</v>
      </c>
      <c r="AE8" s="55">
        <f>SUMPRODUCT(AE4:AE6,$K$4:$K$6)</f>
        <v>187.506</v>
      </c>
      <c r="AF8" s="55">
        <f>SUMPRODUCT(AF4:AF6,$K$4:$K$6)</f>
        <v>93.753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MapLight Therapeutics,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Pipeline!M7</f>
        <v>0.0</v>
      </c>
      <c r="D4" s="57">
        <f>Pipeline!N7</f>
        <v>0.0</v>
      </c>
      <c r="E4" s="57">
        <f>Pipeline!O7</f>
        <v>0.0</v>
      </c>
      <c r="F4" s="57">
        <f>Pipeline!P7</f>
        <v>0.0</v>
      </c>
      <c r="G4" s="57">
        <f>Pipeline!Q7</f>
        <v>0.0</v>
      </c>
      <c r="H4" s="57">
        <f>Pipeline!R7</f>
        <v>93.753</v>
      </c>
      <c r="I4" s="57">
        <f>Pipeline!S7</f>
        <v>234.38250000000002</v>
      </c>
      <c r="J4" s="57">
        <f>Pipeline!T7</f>
        <v>421.88849999999996</v>
      </c>
      <c r="K4" s="57">
        <f>Pipeline!U7</f>
        <v>609.3945</v>
      </c>
      <c r="L4" s="57">
        <f>Pipeline!V7</f>
        <v>796.9005</v>
      </c>
      <c r="M4" s="57">
        <f>Pipeline!W7</f>
        <v>937.5300000000001</v>
      </c>
      <c r="N4" s="57">
        <f>Pipeline!X7</f>
        <v>937.5300000000001</v>
      </c>
      <c r="O4" s="57">
        <f>Pipeline!Y7</f>
        <v>937.5300000000001</v>
      </c>
      <c r="P4" s="57">
        <f>Pipeline!Z7</f>
        <v>937.5300000000001</v>
      </c>
      <c r="Q4" s="57">
        <f>Pipeline!AA7</f>
        <v>937.5300000000001</v>
      </c>
      <c r="R4" s="57">
        <f>Pipeline!AB7</f>
        <v>937.5300000000001</v>
      </c>
      <c r="S4" s="57">
        <f>Pipeline!AC7</f>
        <v>937.5300000000001</v>
      </c>
      <c r="T4" s="57">
        <f>Pipeline!AD7</f>
        <v>937.5300000000001</v>
      </c>
      <c r="U4" s="57">
        <f>Pipeline!AE7</f>
        <v>468.76500000000004</v>
      </c>
      <c r="V4" s="57">
        <f>Pipeline!AF7</f>
        <v>234.38250000000002</v>
      </c>
    </row>
    <row r="5">
      <c r="A5" s="14" t="inlineStr">
        <is>
          <t>Risked contribution</t>
        </is>
      </c>
      <c r="C5" s="57">
        <f>Pipeline!M8</f>
        <v>0.0</v>
      </c>
      <c r="D5" s="57">
        <f>Pipeline!N8</f>
        <v>0.0</v>
      </c>
      <c r="E5" s="57">
        <f>Pipeline!O8</f>
        <v>0.0</v>
      </c>
      <c r="F5" s="57">
        <f>Pipeline!P8</f>
        <v>0.0</v>
      </c>
      <c r="G5" s="57">
        <f>Pipeline!Q8</f>
        <v>0.0</v>
      </c>
      <c r="H5" s="57">
        <f>Pipeline!R8</f>
        <v>37.5012</v>
      </c>
      <c r="I5" s="57">
        <f>Pipeline!S8</f>
        <v>93.753</v>
      </c>
      <c r="J5" s="57">
        <f>Pipeline!T8</f>
        <v>168.7554</v>
      </c>
      <c r="K5" s="57">
        <f>Pipeline!U8</f>
        <v>243.75780000000003</v>
      </c>
      <c r="L5" s="57">
        <f>Pipeline!V8</f>
        <v>318.76020000000005</v>
      </c>
      <c r="M5" s="57">
        <f>Pipeline!W8</f>
        <v>375.012</v>
      </c>
      <c r="N5" s="57">
        <f>Pipeline!X8</f>
        <v>375.012</v>
      </c>
      <c r="O5" s="57">
        <f>Pipeline!Y8</f>
        <v>375.012</v>
      </c>
      <c r="P5" s="57">
        <f>Pipeline!Z8</f>
        <v>375.012</v>
      </c>
      <c r="Q5" s="57">
        <f>Pipeline!AA8</f>
        <v>375.012</v>
      </c>
      <c r="R5" s="57">
        <f>Pipeline!AB8</f>
        <v>375.012</v>
      </c>
      <c r="S5" s="57">
        <f>Pipeline!AC8</f>
        <v>375.012</v>
      </c>
      <c r="T5" s="57">
        <f>Pipeline!AD8</f>
        <v>375.012</v>
      </c>
      <c r="U5" s="57">
        <f>Pipeline!AE8</f>
        <v>187.506</v>
      </c>
      <c r="V5" s="57">
        <f>Pipeline!AF8</f>
        <v>93.753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-242.928</v>
      </c>
      <c r="D6" s="23">
        <f>-IF(D3-2026&lt;Assumptions!$B$19,Assumptions!$B$18,Assumptions!$B$18*Assumptions!$B$20*Assumptions!$B$16)</f>
        <v>-242.928</v>
      </c>
      <c r="E6" s="23">
        <f>-IF(E3-2026&lt;Assumptions!$B$19,Assumptions!$B$18,Assumptions!$B$18*Assumptions!$B$20*Assumptions!$B$16)</f>
        <v>-242.928</v>
      </c>
      <c r="F6" s="23">
        <f>-IF(F3-2026&lt;Assumptions!$B$19,Assumptions!$B$18,Assumptions!$B$18*Assumptions!$B$20*Assumptions!$B$16)</f>
        <v>-242.928</v>
      </c>
      <c r="G6" s="23">
        <f>-IF(G3-2026&lt;Assumptions!$B$19,Assumptions!$B$18,Assumptions!$B$18*Assumptions!$B$20*Assumptions!$B$16)</f>
        <v>-25.011254548686864</v>
      </c>
      <c r="H6" s="23">
        <f>-IF(H3-2026&lt;Assumptions!$B$19,Assumptions!$B$18,Assumptions!$B$18*Assumptions!$B$20*Assumptions!$B$16)</f>
        <v>-25.011254548686864</v>
      </c>
      <c r="I6" s="23">
        <f>-IF(I3-2026&lt;Assumptions!$B$19,Assumptions!$B$18,Assumptions!$B$18*Assumptions!$B$20*Assumptions!$B$16)</f>
        <v>-25.011254548686864</v>
      </c>
      <c r="J6" s="23">
        <f>-IF(J3-2026&lt;Assumptions!$B$19,Assumptions!$B$18,Assumptions!$B$18*Assumptions!$B$20*Assumptions!$B$16)</f>
        <v>-25.011254548686864</v>
      </c>
      <c r="K6" s="23">
        <f>-IF(K3-2026&lt;Assumptions!$B$19,Assumptions!$B$18,Assumptions!$B$18*Assumptions!$B$20*Assumptions!$B$16)</f>
        <v>-25.011254548686864</v>
      </c>
      <c r="L6" s="23">
        <f>-IF(L3-2026&lt;Assumptions!$B$19,Assumptions!$B$18,Assumptions!$B$18*Assumptions!$B$20*Assumptions!$B$16)</f>
        <v>-25.011254548686864</v>
      </c>
      <c r="M6" s="23">
        <f>-IF(M3-2026&lt;Assumptions!$B$19,Assumptions!$B$18,Assumptions!$B$18*Assumptions!$B$20*Assumptions!$B$16)</f>
        <v>-25.011254548686864</v>
      </c>
      <c r="N6" s="23">
        <f>-IF(N3-2026&lt;Assumptions!$B$19,Assumptions!$B$18,Assumptions!$B$18*Assumptions!$B$20*Assumptions!$B$16)</f>
        <v>-25.011254548686864</v>
      </c>
      <c r="O6" s="23">
        <f>-IF(O3-2026&lt;Assumptions!$B$19,Assumptions!$B$18,Assumptions!$B$18*Assumptions!$B$20*Assumptions!$B$16)</f>
        <v>-25.011254548686864</v>
      </c>
      <c r="P6" s="23">
        <f>-IF(P3-2026&lt;Assumptions!$B$19,Assumptions!$B$18,Assumptions!$B$18*Assumptions!$B$20*Assumptions!$B$16)</f>
        <v>-25.011254548686864</v>
      </c>
      <c r="Q6" s="23">
        <f>-IF(Q3-2026&lt;Assumptions!$B$19,Assumptions!$B$18,Assumptions!$B$18*Assumptions!$B$20*Assumptions!$B$16)</f>
        <v>-25.011254548686864</v>
      </c>
      <c r="R6" s="23">
        <f>-IF(R3-2026&lt;Assumptions!$B$19,Assumptions!$B$18,Assumptions!$B$18*Assumptions!$B$20*Assumptions!$B$16)</f>
        <v>-25.011254548686864</v>
      </c>
      <c r="S6" s="23">
        <f>-IF(S3-2026&lt;Assumptions!$B$19,Assumptions!$B$18,Assumptions!$B$18*Assumptions!$B$20*Assumptions!$B$16)</f>
        <v>-25.011254548686864</v>
      </c>
      <c r="T6" s="23">
        <f>-IF(T3-2026&lt;Assumptions!$B$19,Assumptions!$B$18,Assumptions!$B$18*Assumptions!$B$20*Assumptions!$B$16)</f>
        <v>-25.011254548686864</v>
      </c>
      <c r="U6" s="23">
        <f>-IF(U3-2026&lt;Assumptions!$B$19,Assumptions!$B$18,Assumptions!$B$18*Assumptions!$B$20*Assumptions!$B$16)</f>
        <v>-25.011254548686864</v>
      </c>
      <c r="V6" s="23">
        <f>-IF(V3-2026&lt;Assumptions!$B$19,Assumptions!$B$18,Assumptions!$B$18*Assumptions!$B$20*Assumptions!$B$16)</f>
        <v>-25.011254548686864</v>
      </c>
    </row>
    <row r="7">
      <c r="A7" s="14" t="inlineStr">
        <is>
          <t>Pre-tax cash flow</t>
        </is>
      </c>
      <c r="C7" s="23">
        <f>C5+C6</f>
        <v>-242.928</v>
      </c>
      <c r="D7" s="23">
        <f>D5+D6</f>
        <v>-242.928</v>
      </c>
      <c r="E7" s="23">
        <f>E5+E6</f>
        <v>-242.928</v>
      </c>
      <c r="F7" s="23">
        <f>F5+F6</f>
        <v>-242.928</v>
      </c>
      <c r="G7" s="23">
        <f>G5+G6</f>
        <v>-25.011254548686864</v>
      </c>
      <c r="H7" s="23">
        <f>H5+H6</f>
        <v>12.489945451313133</v>
      </c>
      <c r="I7" s="23">
        <f>I5+I6</f>
        <v>68.74174545131314</v>
      </c>
      <c r="J7" s="23">
        <f>J5+J6</f>
        <v>143.74414545131316</v>
      </c>
      <c r="K7" s="23">
        <f>K5+K6</f>
        <v>218.74654545131318</v>
      </c>
      <c r="L7" s="23">
        <f>L5+L6</f>
        <v>293.7489454513132</v>
      </c>
      <c r="M7" s="23">
        <f>M5+M6</f>
        <v>350.00074545131315</v>
      </c>
      <c r="N7" s="23">
        <f>N5+N6</f>
        <v>350.00074545131315</v>
      </c>
      <c r="O7" s="23">
        <f>O5+O6</f>
        <v>350.00074545131315</v>
      </c>
      <c r="P7" s="23">
        <f>P5+P6</f>
        <v>350.00074545131315</v>
      </c>
      <c r="Q7" s="23">
        <f>Q5+Q6</f>
        <v>350.00074545131315</v>
      </c>
      <c r="R7" s="23">
        <f>R5+R6</f>
        <v>350.00074545131315</v>
      </c>
      <c r="S7" s="23">
        <f>S5+S6</f>
        <v>350.00074545131315</v>
      </c>
      <c r="T7" s="23">
        <f>T5+T6</f>
        <v>350.00074545131315</v>
      </c>
      <c r="U7" s="23">
        <f>U5+U6</f>
        <v>162.49474545131312</v>
      </c>
      <c r="V7" s="23">
        <f>V5+V6</f>
        <v>68.74174545131314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12.489945451313133</v>
      </c>
      <c r="I8" s="23">
        <f>MIN(H17,MAX(0,I7))</f>
        <v>68.74174545131314</v>
      </c>
      <c r="J8" s="23">
        <f>MIN(I17,MAX(0,J7))</f>
        <v>143.74414545131316</v>
      </c>
      <c r="K8" s="23">
        <f>MIN(J17,MAX(0,K7))</f>
        <v>218.74654545131318</v>
      </c>
      <c r="L8" s="23">
        <f>MIN(K17,MAX(0,L7))</f>
        <v>293.7489454513132</v>
      </c>
      <c r="M8" s="23">
        <f>MIN(L17,MAX(0,M7))</f>
        <v>350.00074545131315</v>
      </c>
      <c r="N8" s="23">
        <f>MIN(M17,MAX(0,N7))</f>
        <v>147.9511818408078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202.04956361050534</v>
      </c>
      <c r="O9" s="23">
        <f>MAX(0,O7)-O8</f>
        <v>350.00074545131315</v>
      </c>
      <c r="P9" s="23">
        <f>MAX(0,P7)-P8</f>
        <v>350.00074545131315</v>
      </c>
      <c r="Q9" s="23">
        <f>MAX(0,Q7)-Q8</f>
        <v>350.00074545131315</v>
      </c>
      <c r="R9" s="23">
        <f>MAX(0,R7)-R8</f>
        <v>350.00074545131315</v>
      </c>
      <c r="S9" s="23">
        <f>MAX(0,S7)-S8</f>
        <v>350.00074545131315</v>
      </c>
      <c r="T9" s="23">
        <f>MAX(0,T7)-T8</f>
        <v>350.00074545131315</v>
      </c>
      <c r="U9" s="23">
        <f>MAX(0,U7)-U8</f>
        <v>162.49474545131312</v>
      </c>
      <c r="V9" s="23">
        <f>MAX(0,V7)-V8</f>
        <v>68.74174545131314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42.43040835820612</v>
      </c>
      <c r="O10" s="23">
        <f>O9*Assumptions!$E$15</f>
        <v>73.50015654477576</v>
      </c>
      <c r="P10" s="23">
        <f>P9*Assumptions!$E$15</f>
        <v>73.50015654477576</v>
      </c>
      <c r="Q10" s="23">
        <f>Q9*Assumptions!$E$15</f>
        <v>73.50015654477576</v>
      </c>
      <c r="R10" s="23">
        <f>R9*Assumptions!$E$15</f>
        <v>73.50015654477576</v>
      </c>
      <c r="S10" s="23">
        <f>S9*Assumptions!$E$15</f>
        <v>73.50015654477576</v>
      </c>
      <c r="T10" s="23">
        <f>T9*Assumptions!$E$15</f>
        <v>73.50015654477576</v>
      </c>
      <c r="U10" s="23">
        <f>U9*Assumptions!$E$15</f>
        <v>34.123896544775754</v>
      </c>
      <c r="V10" s="23">
        <f>V9*Assumptions!$E$15</f>
        <v>14.435766544775758</v>
      </c>
    </row>
    <row r="11">
      <c r="A11" s="24" t="inlineStr">
        <is>
          <t>Free cash flow</t>
        </is>
      </c>
      <c r="C11" s="55">
        <f>C7-C10</f>
        <v>-242.928</v>
      </c>
      <c r="D11" s="55">
        <f>D7-D10</f>
        <v>-242.928</v>
      </c>
      <c r="E11" s="55">
        <f>E7-E10</f>
        <v>-242.928</v>
      </c>
      <c r="F11" s="55">
        <f>F7-F10</f>
        <v>-242.928</v>
      </c>
      <c r="G11" s="55">
        <f>G7-G10</f>
        <v>-25.011254548686864</v>
      </c>
      <c r="H11" s="55">
        <f>H7-H10</f>
        <v>12.489945451313133</v>
      </c>
      <c r="I11" s="55">
        <f>I7-I10</f>
        <v>68.74174545131314</v>
      </c>
      <c r="J11" s="55">
        <f>J7-J10</f>
        <v>143.74414545131316</v>
      </c>
      <c r="K11" s="55">
        <f>K7-K10</f>
        <v>218.74654545131318</v>
      </c>
      <c r="L11" s="55">
        <f>L7-L10</f>
        <v>293.7489454513132</v>
      </c>
      <c r="M11" s="55">
        <f>M7-M10</f>
        <v>350.00074545131315</v>
      </c>
      <c r="N11" s="55">
        <f>N7-N10</f>
        <v>307.570337093107</v>
      </c>
      <c r="O11" s="55">
        <f>O7-O10</f>
        <v>276.50058890653736</v>
      </c>
      <c r="P11" s="55">
        <f>P7-P10</f>
        <v>276.50058890653736</v>
      </c>
      <c r="Q11" s="55">
        <f>Q7-Q10</f>
        <v>276.50058890653736</v>
      </c>
      <c r="R11" s="55">
        <f>R7-R10</f>
        <v>276.50058890653736</v>
      </c>
      <c r="S11" s="55">
        <f>S7-S10</f>
        <v>276.50058890653736</v>
      </c>
      <c r="T11" s="55">
        <f>T7-T10</f>
        <v>276.50058890653736</v>
      </c>
      <c r="U11" s="55">
        <f>U7-U10</f>
        <v>128.37084890653736</v>
      </c>
      <c r="V11" s="55">
        <f>V7-V10</f>
        <v>54.305978906537376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-119.01148369743362</v>
      </c>
      <c r="D16" s="55">
        <f>D11*D15</f>
        <v>-216.7992413438905</v>
      </c>
      <c r="E16" s="55">
        <f>E11*E15</f>
        <v>-193.57075119990216</v>
      </c>
      <c r="F16" s="55">
        <f>F11*F15</f>
        <v>-172.83102785705552</v>
      </c>
      <c r="G16" s="55">
        <f>G11*G15</f>
        <v>-15.887720522585782</v>
      </c>
      <c r="H16" s="55">
        <f>H11*H15</f>
        <v>7.083838222227972</v>
      </c>
      <c r="I16" s="55">
        <f>I11*I15</f>
        <v>34.810529182172345</v>
      </c>
      <c r="J16" s="55">
        <f>J11*J15</f>
        <v>64.99234584909634</v>
      </c>
      <c r="K16" s="55">
        <f>K11*K15</f>
        <v>88.30701970647594</v>
      </c>
      <c r="L16" s="55">
        <f>L11*L15</f>
        <v>105.87960642012898</v>
      </c>
      <c r="M16" s="55">
        <f>M11*M15</f>
        <v>112.63852344036654</v>
      </c>
      <c r="N16" s="55">
        <f>N11*N15</f>
        <v>88.3780480533356</v>
      </c>
      <c r="O16" s="55">
        <f>O11*O15</f>
        <v>70.93784559780735</v>
      </c>
      <c r="P16" s="55">
        <f>P11*P15</f>
        <v>63.33736214089941</v>
      </c>
      <c r="Q16" s="55">
        <f>Q11*Q15</f>
        <v>56.55121619723162</v>
      </c>
      <c r="R16" s="55">
        <f>R11*R15</f>
        <v>50.4921573189568</v>
      </c>
      <c r="S16" s="55">
        <f>S11*S15</f>
        <v>45.08228332049713</v>
      </c>
      <c r="T16" s="55">
        <f>T11*T15</f>
        <v>40.25203867901529</v>
      </c>
      <c r="U16" s="55">
        <f>U11*U15</f>
        <v>16.685537878051388</v>
      </c>
      <c r="V16" s="55">
        <f>V11*V15</f>
        <v>6.302363118318468</v>
      </c>
    </row>
    <row r="17">
      <c r="A17" s="14" t="inlineStr">
        <is>
          <t>Tax-loss carryforward, end of year</t>
        </is>
      </c>
      <c r="C17" s="23">
        <f>Assumptions!$B$21-C8+MAX(0,-C7)</f>
        <v>481.628</v>
      </c>
      <c r="D17" s="23">
        <f>C17-D8+MAX(0,-D7)</f>
        <v>724.556</v>
      </c>
      <c r="E17" s="23">
        <f>D17-E8+MAX(0,-E7)</f>
        <v>967.484</v>
      </c>
      <c r="F17" s="23">
        <f>E17-F8+MAX(0,-F7)</f>
        <v>1210.412</v>
      </c>
      <c r="G17" s="23">
        <f>F17-G8+MAX(0,-G7)</f>
        <v>1235.4232545486868</v>
      </c>
      <c r="H17" s="23">
        <f>G17-H8+MAX(0,-H7)</f>
        <v>1222.9333090973737</v>
      </c>
      <c r="I17" s="23">
        <f>H17-I8+MAX(0,-I7)</f>
        <v>1154.1915636460606</v>
      </c>
      <c r="J17" s="23">
        <f>I17-J8+MAX(0,-J7)</f>
        <v>1010.4474181947473</v>
      </c>
      <c r="K17" s="23">
        <f>J17-K8+MAX(0,-K7)</f>
        <v>791.7008727434342</v>
      </c>
      <c r="L17" s="23">
        <f>K17-L8+MAX(0,-L7)</f>
        <v>497.95192729212096</v>
      </c>
      <c r="M17" s="23">
        <f>L17-M8+MAX(0,-M7)</f>
        <v>147.9511818408078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1065.0743810808765</v>
      </c>
    </row>
    <row r="20">
      <c r="A20" s="14" t="inlineStr">
        <is>
          <t>PV of corporate burn</t>
        </is>
      </c>
      <c r="B20" s="23">
        <f>SUMPRODUCT(C6:V6,C15:V15)</f>
        <v>-826.3093361466913</v>
      </c>
    </row>
    <row r="21">
      <c r="A21" s="14" t="inlineStr">
        <is>
          <t>PV of taxes</t>
        </is>
      </c>
      <c r="B21" s="23">
        <f>-SUMPRODUCT(C10:V10,C15:V15)</f>
        <v>-105.13455443047137</v>
      </c>
    </row>
    <row r="22">
      <c r="A22" s="24" t="inlineStr">
        <is>
          <t>Pipeline rNPV (operations)</t>
        </is>
      </c>
      <c r="B22" s="54">
        <f>SUM(C16:V16)</f>
        <v>133.63049050371362</v>
      </c>
    </row>
    <row r="23">
      <c r="A23" s="14" t="inlineStr">
        <is>
          <t>Cash &amp; investments</t>
        </is>
      </c>
      <c r="B23" s="57">
        <f>Main!C7</f>
        <v>304.725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438.35549050371367</v>
      </c>
    </row>
    <row r="26">
      <c r="A26" s="14" t="inlineStr">
        <is>
          <t>Shares (mm)</t>
        </is>
      </c>
      <c r="B26" s="57">
        <f>Main!C4</f>
        <v>45.436867</v>
      </c>
    </row>
    <row r="27">
      <c r="A27" s="24" t="inlineStr">
        <is>
          <t>rNPV / share</t>
        </is>
      </c>
      <c r="B27" s="60">
        <f>B25/B26</f>
        <v>9.647572983051708</v>
      </c>
    </row>
    <row r="28">
      <c r="A28" s="14" t="inlineStr">
        <is>
          <t>Price</t>
        </is>
      </c>
      <c r="B28" s="61">
        <f>Main!C3</f>
        <v>8.24</v>
      </c>
    </row>
    <row r="29">
      <c r="A29" s="14" t="inlineStr">
        <is>
          <t>Upside</t>
        </is>
      </c>
      <c r="B29" s="62">
        <f>B27/B28-1</f>
        <v>0.17082196396258587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2026-10-21T06:25:43Z</dcterms:modified>
  <cp:lastModifiedBy>Wang, Eric</cp:lastModifiedBy>
</cp:coreProperties>
</file>