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Rani Therapeutics Holdings Inc</t>
        </is>
      </c>
      <c r="C2" s="10" t="n"/>
    </row>
    <row r="3">
      <c r="B3" t="inlineStr">
        <is>
          <t>Price</t>
        </is>
      </c>
      <c r="C3" s="11">
        <f>INDEX([1]Pharma!$F$1:$F$1000,MATCH("RANI",[1]Pharma!$B$1:$B$1000,0))</f>
        <v>0.6528</v>
      </c>
      <c r="F3" s="1" t="n"/>
    </row>
    <row r="4">
      <c r="B4" t="inlineStr">
        <is>
          <t>Shares</t>
        </is>
      </c>
      <c r="C4" s="21" t="n">
        <v>139.395319</v>
      </c>
      <c r="F4" s="1" t="n"/>
    </row>
    <row r="5">
      <c r="B5" t="inlineStr">
        <is>
          <t>Market Cap.</t>
        </is>
      </c>
      <c r="C5" s="13">
        <f>C3*C4</f>
        <v>90.99726424320001</v>
      </c>
      <c r="F5" s="1" t="n"/>
    </row>
    <row r="6"/>
    <row r="7">
      <c r="B7" t="inlineStr">
        <is>
          <t>Cash</t>
        </is>
      </c>
      <c r="C7" s="21" t="n">
        <v>4.868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86.12926424320001</v>
      </c>
    </row>
    <row r="10"/>
    <row r="11">
      <c r="B11" s="14" t="inlineStr">
        <is>
          <t>Net Cash / Share</t>
        </is>
      </c>
      <c r="C11" s="11">
        <f>(C7-C8)/C4</f>
        <v>0.034922263063941195</v>
      </c>
    </row>
    <row r="12">
      <c r="B12" s="14" t="inlineStr">
        <is>
          <t>Upside</t>
        </is>
      </c>
      <c r="C12" s="15">
        <f>IFERROR(C11/C3-1,"")</f>
        <v>-0.9465038862378352</v>
      </c>
    </row>
    <row r="13">
      <c r="B13" s="14" t="inlineStr">
        <is>
          <t>Cash / Share</t>
        </is>
      </c>
      <c r="C13" s="11">
        <f>IFERROR((C7-C8)/C4,"")</f>
        <v>0.034922263063941195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-20.292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0.23989749655036469</v>
      </c>
    </row>
    <row r="19">
      <c r="B19" s="14" t="inlineStr">
        <is>
          <t>Implied Pipeline Value</t>
        </is>
      </c>
      <c r="C19" s="13">
        <f>C9</f>
        <v>86.12926424320001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0.462</v>
      </c>
      <c r="C2" s="23" t="n">
        <v>2.717</v>
      </c>
      <c r="D2" s="23" t="n">
        <v>0</v>
      </c>
      <c r="E2" s="23" t="n">
        <v>0</v>
      </c>
      <c r="F2" s="23" t="n">
        <v>1.028</v>
      </c>
      <c r="G2" s="23" t="n">
        <v>1.633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0.462</v>
      </c>
      <c r="C4" s="23">
        <f>C2-C3</f>
        <v>2.717</v>
      </c>
      <c r="D4" s="23">
        <f>D2-D3</f>
        <v>0.0</v>
      </c>
      <c r="E4" s="23">
        <f>E2-E3</f>
        <v>0.0</v>
      </c>
      <c r="F4" s="23">
        <f>F2-F3</f>
        <v>1.028</v>
      </c>
      <c r="G4" s="23">
        <f>G2-G3</f>
        <v>1.633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12.044</v>
      </c>
      <c r="C5" s="23" t="n">
        <v>26.482</v>
      </c>
      <c r="D5" s="23" t="n">
        <v>36.607</v>
      </c>
      <c r="E5" s="23" t="n">
        <v>39.624</v>
      </c>
      <c r="F5" s="23" t="n">
        <v>26.682</v>
      </c>
      <c r="G5" s="23" t="n">
        <v>20.205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4.962</v>
      </c>
      <c r="C6" s="23" t="n">
        <v>27.834</v>
      </c>
      <c r="D6" s="23" t="n">
        <v>26.844</v>
      </c>
      <c r="E6" s="23" t="n">
        <v>26.475</v>
      </c>
      <c r="F6" s="23" t="n">
        <v>27.66</v>
      </c>
      <c r="G6" s="23" t="n">
        <v>19.738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17.006</v>
      </c>
      <c r="C7" s="23">
        <f>SUM(C5:C6)</f>
        <v>54.316</v>
      </c>
      <c r="D7" s="23">
        <f>SUM(D5:D6)</f>
        <v>63.451</v>
      </c>
      <c r="E7" s="23">
        <f>SUM(E5:E6)</f>
        <v>66.099</v>
      </c>
      <c r="F7" s="23">
        <f>SUM(F5:F6)</f>
        <v>54.342</v>
      </c>
      <c r="G7" s="23">
        <f>SUM(G5:G6)</f>
        <v>39.943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-16.544</v>
      </c>
      <c r="C8" s="23">
        <f>C4-C7</f>
        <v>-51.599000000000004</v>
      </c>
      <c r="D8" s="23">
        <f>D4-D7</f>
        <v>-63.451</v>
      </c>
      <c r="E8" s="23">
        <f>E4-E7</f>
        <v>-66.099</v>
      </c>
      <c r="F8" s="23">
        <f>F4-F7</f>
        <v>-53.314</v>
      </c>
      <c r="G8" s="23">
        <f>G4-G7</f>
        <v>-38.309999999999995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-0.124</v>
      </c>
      <c r="C9" s="23" t="n">
        <v>43.309</v>
      </c>
      <c r="D9" s="23" t="n">
        <v>32.933</v>
      </c>
      <c r="E9" s="23" t="n">
        <v>32.129</v>
      </c>
      <c r="F9" s="23" t="n">
        <v>23.296</v>
      </c>
      <c r="G9" s="23" t="n">
        <v>8.637</v>
      </c>
    </row>
    <row r="10">
      <c r="A10" s="2" t="inlineStr">
        <is>
          <t>Pretax</t>
        </is>
      </c>
      <c r="B10" s="23">
        <f>B8+B9</f>
        <v>-16.668</v>
      </c>
      <c r="C10" s="23">
        <f>C8+C9</f>
        <v>-8.290000000000006</v>
      </c>
      <c r="D10" s="23">
        <f>D8+D9</f>
        <v>-30.518</v>
      </c>
      <c r="E10" s="23">
        <f>E8+E9</f>
        <v>-33.970000000000006</v>
      </c>
      <c r="F10" s="23">
        <f>F8+F9</f>
        <v>-30.018</v>
      </c>
      <c r="G10" s="23">
        <f>G8+G9</f>
        <v>-29.672999999999995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0.035</v>
      </c>
      <c r="C11" s="23" t="n">
        <v>0.041</v>
      </c>
      <c r="D11" s="23" t="n">
        <v>0.07000000000000001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-16.703</v>
      </c>
      <c r="C12" s="23" t="n">
        <v>-8.331</v>
      </c>
      <c r="D12" s="23" t="n">
        <v>-30.588</v>
      </c>
      <c r="E12" s="23" t="n">
        <v>-33.97</v>
      </c>
      <c r="F12" s="23" t="n">
        <v>-30.018</v>
      </c>
      <c r="G12" s="23" t="n">
        <v>-29.673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-0.18359521343411858</v>
      </c>
      <c r="D13" s="11">
        <f>IFERROR(D12/D14,0)</f>
        <v>-0.5528584597032191</v>
      </c>
      <c r="E13" s="11">
        <f>IFERROR(E12/E14,0)</f>
        <v>-0.573352687010532</v>
      </c>
      <c r="F13" s="11">
        <f>IFERROR(F12/F14,0)</f>
        <v>-0.4537868480725623</v>
      </c>
      <c r="G13" s="11">
        <f>IFERROR(G12/G14,0)</f>
        <v>-0.4486528168375215</v>
      </c>
    </row>
    <row r="14">
      <c r="A14" s="2" t="inlineStr">
        <is>
          <t>Shares</t>
        </is>
      </c>
      <c r="B14" s="23" t="n"/>
      <c r="C14" s="23" t="n">
        <v>45.377</v>
      </c>
      <c r="D14" s="23" t="n">
        <v>55.327</v>
      </c>
      <c r="E14" s="23" t="n">
        <v>59.248</v>
      </c>
      <c r="F14" s="23" t="n">
        <v>66.15000000000001</v>
      </c>
      <c r="G14" s="23" t="n">
        <v>66.13800000000001</v>
      </c>
    </row>
    <row r="15"/>
    <row r="16" customFormat="1" s="4">
      <c r="A16" s="3" t="inlineStr">
        <is>
          <t>Revenue Change</t>
        </is>
      </c>
      <c r="C16" s="15">
        <f>IFERROR(C2/B2-1,"")</f>
        <v>4.8809523809523805</v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>0.58852140077821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-35.80952380952381</v>
      </c>
      <c r="C18" s="15">
        <f>IFERROR(C8/C2,"")</f>
        <v>-18.991166728008835</v>
      </c>
      <c r="D18" s="15">
        <f>IFERROR(D8/D2,"")</f>
        <v/>
      </c>
      <c r="E18" s="15">
        <f>IFERROR(E8/E2,"")</f>
        <v/>
      </c>
      <c r="F18" s="15">
        <f>IFERROR(F8/F2,"")</f>
        <v>-51.86186770428016</v>
      </c>
      <c r="G18" s="15">
        <f>IFERROR(G8/G2,"")</f>
        <v>-23.459889773423143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2026-10-21T01:06:00Z</dcterms:modified>
  <cp:lastModifiedBy>Wang, Eric</cp:lastModifiedBy>
</cp:coreProperties>
</file>