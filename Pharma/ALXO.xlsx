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ALX Oncology Holdings Inc</t>
        </is>
      </c>
      <c r="C2" s="10" t="n"/>
    </row>
    <row r="3">
      <c r="B3" t="inlineStr">
        <is>
          <t>Price</t>
        </is>
      </c>
      <c r="C3" s="11">
        <f>INDEX([1]Pharma!$F$1:$F$1000,MATCH("ALXO",[1]Pharma!$B$1:$B$1000,0))</f>
        <v>1.14</v>
      </c>
      <c r="F3" s="1" t="n"/>
    </row>
    <row r="4">
      <c r="B4" t="inlineStr">
        <is>
          <t>Shares</t>
        </is>
      </c>
      <c r="C4" s="21" t="n">
        <v>138.276997</v>
      </c>
      <c r="F4" s="1" t="n"/>
    </row>
    <row r="5">
      <c r="B5" t="inlineStr">
        <is>
          <t>Market Cap.</t>
        </is>
      </c>
      <c r="C5" s="13">
        <f>C3*C4</f>
        <v>157.63577657999997</v>
      </c>
      <c r="F5" s="1" t="n"/>
    </row>
    <row r="6"/>
    <row r="7">
      <c r="B7" t="inlineStr">
        <is>
          <t>Cash</t>
        </is>
      </c>
      <c r="C7" s="21">
        <f>22.687+115.542</f>
        <v>138.229</v>
      </c>
    </row>
    <row r="8">
      <c r="B8" t="inlineStr">
        <is>
          <t>Debt</t>
        </is>
      </c>
      <c r="C8" s="21" t="n">
        <v>9.705</v>
      </c>
    </row>
    <row r="9">
      <c r="B9" t="inlineStr">
        <is>
          <t>Enterprise V.</t>
        </is>
      </c>
      <c r="C9" s="13">
        <f>C5-C7+C8</f>
        <v>29.111776579999955</v>
      </c>
    </row>
    <row r="10"/>
    <row r="11">
      <c r="B11" s="14" t="inlineStr">
        <is>
          <t>rNPV / Share</t>
        </is>
      </c>
      <c r="C11" s="11">
        <f>NPV!B27</f>
        <v>5.164039542941268</v>
      </c>
    </row>
    <row r="12">
      <c r="B12" s="14" t="inlineStr">
        <is>
          <t>Upside</t>
        </is>
      </c>
      <c r="C12" s="15">
        <f>IFERROR(C11/C3-1,"")</f>
        <v>3.5298592481940947</v>
      </c>
    </row>
    <row r="13">
      <c r="B13" s="14" t="inlineStr">
        <is>
          <t>Cash / Share</t>
        </is>
      </c>
      <c r="C13" s="11">
        <f>IFERROR((C7-C8)/C4,"")</f>
        <v>0.9294676829002875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-70.77800000000001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1.815874989403487</v>
      </c>
    </row>
    <row r="19">
      <c r="B19" s="14" t="inlineStr">
        <is>
          <t>Implied Pipeline Value</t>
        </is>
      </c>
      <c r="C19" s="13">
        <f>C9</f>
        <v>29.111776579999955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2.067</v>
      </c>
      <c r="C2" s="23" t="n">
        <v>4.796</v>
      </c>
      <c r="D2" s="23" t="n">
        <v>1.182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2.067</v>
      </c>
      <c r="C4" s="23">
        <f>C2-C3</f>
        <v>4.796</v>
      </c>
      <c r="D4" s="23">
        <f>D2-D3</f>
        <v>1.182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11.27</v>
      </c>
      <c r="C5" s="23" t="n">
        <v>16.306</v>
      </c>
      <c r="D5" s="23" t="n">
        <v>28.961</v>
      </c>
      <c r="E5" s="23" t="n">
        <v>60.17</v>
      </c>
      <c r="F5" s="23" t="n">
        <v>98.40000000000001</v>
      </c>
      <c r="G5" s="23" t="n">
        <v>141.795</v>
      </c>
      <c r="H5" s="23" t="n">
        <v>116.373</v>
      </c>
      <c r="I5" s="23" t="n">
        <v>76.996</v>
      </c>
      <c r="J5" s="1" t="n"/>
      <c r="K5" s="1" t="n"/>
    </row>
    <row r="6">
      <c r="A6" s="19" t="inlineStr">
        <is>
          <t>SG&amp;A &amp; Other</t>
        </is>
      </c>
      <c r="B6" s="23" t="n">
        <v>4.481</v>
      </c>
      <c r="C6" s="23" t="n">
        <v>7.673</v>
      </c>
      <c r="D6" s="23" t="n">
        <v>15.884</v>
      </c>
      <c r="E6" s="23" t="n">
        <v>23.385</v>
      </c>
      <c r="F6" s="23" t="n">
        <v>29.036</v>
      </c>
      <c r="G6" s="23" t="n">
        <v>28.483</v>
      </c>
      <c r="H6" s="23" t="n">
        <v>26.094</v>
      </c>
      <c r="I6" s="23" t="n">
        <v>27.025</v>
      </c>
      <c r="J6" s="1" t="n"/>
      <c r="K6" s="1" t="n"/>
    </row>
    <row r="7">
      <c r="A7" s="2" t="inlineStr">
        <is>
          <t>Operating Expense</t>
        </is>
      </c>
      <c r="B7" s="23">
        <f>SUM(B5:B6)</f>
        <v>15.751</v>
      </c>
      <c r="C7" s="23">
        <f>SUM(C5:C6)</f>
        <v>23.979</v>
      </c>
      <c r="D7" s="23">
        <f>SUM(D5:D6)</f>
        <v>44.845</v>
      </c>
      <c r="E7" s="23">
        <f>SUM(E5:E6)</f>
        <v>83.555</v>
      </c>
      <c r="F7" s="23">
        <f>SUM(F5:F6)</f>
        <v>127.436</v>
      </c>
      <c r="G7" s="23">
        <f>SUM(G5:G6)</f>
        <v>170.278</v>
      </c>
      <c r="H7" s="23">
        <f>SUM(H5:H6)</f>
        <v>142.467</v>
      </c>
      <c r="I7" s="23">
        <f>SUM(I5:I6)</f>
        <v>104.02099999999999</v>
      </c>
      <c r="J7" s="1" t="n"/>
      <c r="K7" s="1" t="n"/>
    </row>
    <row r="8">
      <c r="A8" s="2" t="inlineStr">
        <is>
          <t>Operating Income</t>
        </is>
      </c>
      <c r="B8" s="23">
        <f>B4-B7</f>
        <v>-13.684</v>
      </c>
      <c r="C8" s="23">
        <f>C4-C7</f>
        <v>-19.183</v>
      </c>
      <c r="D8" s="23">
        <f>D4-D7</f>
        <v>-43.663</v>
      </c>
      <c r="E8" s="23">
        <f>E4-E7</f>
        <v>-83.555</v>
      </c>
      <c r="F8" s="23">
        <f>F4-F7</f>
        <v>-127.436</v>
      </c>
      <c r="G8" s="23">
        <f>G4-G7</f>
        <v>-170.278</v>
      </c>
      <c r="H8" s="23">
        <f>H4-H7</f>
        <v>-142.467</v>
      </c>
      <c r="I8" s="23">
        <f>I4-I7</f>
        <v>-104.02099999999999</v>
      </c>
      <c r="J8" s="1" t="n"/>
      <c r="K8" s="1" t="n"/>
    </row>
    <row r="9">
      <c r="A9" s="19" t="inlineStr">
        <is>
          <t>Interest &amp; Other</t>
        </is>
      </c>
      <c r="B9" s="23" t="n">
        <v>-0.002</v>
      </c>
      <c r="C9" s="23" t="n">
        <v>-0.026</v>
      </c>
      <c r="D9" s="23" t="n">
        <v>-1.836</v>
      </c>
      <c r="E9" s="23" t="n">
        <v>0.07099999999999999</v>
      </c>
      <c r="F9" s="23" t="n">
        <v>4.018</v>
      </c>
      <c r="G9" s="23" t="n">
        <v>9.473000000000001</v>
      </c>
      <c r="H9" s="23" t="n">
        <v>7.617</v>
      </c>
      <c r="I9" s="23" t="n">
        <v>2.326</v>
      </c>
    </row>
    <row r="10">
      <c r="A10" s="2" t="inlineStr">
        <is>
          <t>Pretax</t>
        </is>
      </c>
      <c r="B10" s="23">
        <f>B8+B9</f>
        <v>-13.686</v>
      </c>
      <c r="C10" s="23">
        <f>C8+C9</f>
        <v>-19.209</v>
      </c>
      <c r="D10" s="23">
        <f>D8+D9</f>
        <v>-45.498999999999995</v>
      </c>
      <c r="E10" s="23">
        <f>E8+E9</f>
        <v>-83.48400000000001</v>
      </c>
      <c r="F10" s="23">
        <f>F8+F9</f>
        <v>-123.418</v>
      </c>
      <c r="G10" s="23">
        <f>G8+G9</f>
        <v>-160.80499999999998</v>
      </c>
      <c r="H10" s="23">
        <f>H8+H9</f>
        <v>-134.85000000000002</v>
      </c>
      <c r="I10" s="23">
        <f>I8+I9</f>
        <v>-101.695</v>
      </c>
      <c r="J10" s="1" t="n"/>
      <c r="K10" s="1" t="n"/>
    </row>
    <row r="11">
      <c r="A11" s="2" t="inlineStr">
        <is>
          <t>Taxes</t>
        </is>
      </c>
      <c r="B11" s="23" t="n">
        <v>0.045</v>
      </c>
      <c r="C11" s="23" t="n">
        <v>0.034</v>
      </c>
      <c r="D11" s="23" t="n">
        <v>0.241</v>
      </c>
      <c r="E11" s="23" t="n">
        <v>-0.021</v>
      </c>
      <c r="F11" s="23" t="n">
        <v>0.064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-13.731</v>
      </c>
      <c r="C12" s="23" t="n">
        <v>-19.243</v>
      </c>
      <c r="D12" s="23" t="n">
        <v>-45.74</v>
      </c>
      <c r="E12" s="23" t="n">
        <v>-83.46299999999999</v>
      </c>
      <c r="F12" s="23" t="n">
        <v>-123.482</v>
      </c>
      <c r="G12" s="23" t="n">
        <v>-160.805</v>
      </c>
      <c r="H12" s="23" t="n">
        <v>-134.85</v>
      </c>
      <c r="I12" s="23" t="n">
        <v>-101.695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-0.8319297182671918</v>
      </c>
      <c r="C13" s="11">
        <f>IFERROR(C12/C14,0)</f>
        <v>-1.0424725066363292</v>
      </c>
      <c r="D13" s="11">
        <f>IFERROR(D12/D14,0)</f>
        <v>-2.474438734108737</v>
      </c>
      <c r="E13" s="11">
        <f>IFERROR(E12/E14,0)</f>
        <v>-2.0706311402203035</v>
      </c>
      <c r="F13" s="11">
        <f>IFERROR(F12/F14,0)</f>
        <v>-3.033955773955774</v>
      </c>
      <c r="G13" s="11">
        <f>IFERROR(G12/G14,0)</f>
        <v>-3.7406950776961017</v>
      </c>
      <c r="H13" s="11">
        <f>IFERROR(H12/H14,0)</f>
        <v>-2.584571154767609</v>
      </c>
      <c r="I13" s="11">
        <f>IFERROR(I12/I14,0)</f>
        <v>-1.8952439524395241</v>
      </c>
    </row>
    <row r="14">
      <c r="A14" s="2" t="inlineStr">
        <is>
          <t>Shares</t>
        </is>
      </c>
      <c r="B14" s="23" t="n">
        <v>16.505</v>
      </c>
      <c r="C14" s="23" t="n">
        <v>18.459</v>
      </c>
      <c r="D14" s="23" t="n">
        <v>18.485</v>
      </c>
      <c r="E14" s="23" t="n">
        <v>40.308</v>
      </c>
      <c r="F14" s="23" t="n">
        <v>40.7</v>
      </c>
      <c r="G14" s="23" t="n">
        <v>42.988</v>
      </c>
      <c r="H14" s="23" t="n">
        <v>52.175</v>
      </c>
      <c r="I14" s="23" t="n">
        <v>53.658</v>
      </c>
    </row>
    <row r="15"/>
    <row r="16" customFormat="1" s="4">
      <c r="A16" s="3" t="inlineStr">
        <is>
          <t>Revenue Change</t>
        </is>
      </c>
      <c r="C16" s="15">
        <f>IFERROR(C2/B2-1,"")</f>
        <v>1.3202709240445087</v>
      </c>
      <c r="D16" s="15">
        <f>IFERROR(D2/C2-1,"")</f>
        <v>-0.7535446205170976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-6.620222544750845</v>
      </c>
      <c r="C18" s="15">
        <f>IFERROR(C8/C2,"")</f>
        <v>-3.9997914929107585</v>
      </c>
      <c r="D18" s="15">
        <f>IFERROR(D8/D2,"")</f>
        <v>-36.93993231810491</v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ALX Oncology Holdings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1-PRODUCT(Pipeline!AG4:AG8)</f>
        <v>0.4548142881222851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82.55200000000001</v>
      </c>
    </row>
    <row r="19">
      <c r="A19" s="14" t="inlineStr">
        <is>
          <t>Years of full burn (until the first launch, max 4)</t>
        </is>
      </c>
      <c r="B19" s="39">
        <f>MIN(4,MAX(1,MIN(Pipeline!I4:I8)-2026))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683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585.543880387171</v>
      </c>
      <c r="C29" s="42">
        <f>NPV!B25</f>
        <v>714.067880387171</v>
      </c>
      <c r="D29" s="43">
        <f>NPV!B27</f>
        <v>5.164039542941268</v>
      </c>
      <c r="E29" s="44">
        <f>NPV!B29</f>
        <v>3.5298592481940947</v>
      </c>
    </row>
    <row r="30">
      <c r="A30" s="45" t="n">
        <v>1</v>
      </c>
      <c r="B30" s="46">
        <f t="dataTable" ref="B30:E32" r1="B4"/>
        <v>102.75245654331476</v>
      </c>
      <c r="C30" s="46">
        <v>231.27645654331477</v>
      </c>
      <c r="D30" s="47">
        <v>1.6725591498296335</v>
      </c>
      <c r="E30" s="48">
        <v>0.4671571489733628</v>
      </c>
    </row>
    <row r="31">
      <c r="A31" s="45" t="n">
        <v>2</v>
      </c>
      <c r="B31" s="46">
        <v>585.543880387171</v>
      </c>
      <c r="C31" s="46">
        <v>714.067880387171</v>
      </c>
      <c r="D31" s="47">
        <v>5.164039542941268</v>
      </c>
      <c r="E31" s="48">
        <v>3.5298592481940947</v>
      </c>
    </row>
    <row r="32">
      <c r="A32" s="45" t="n">
        <v>3</v>
      </c>
      <c r="B32" s="46">
        <v>1350.2224649373277</v>
      </c>
      <c r="C32" s="46">
        <v>1478.7464649373278</v>
      </c>
      <c r="D32" s="47">
        <v>10.694088655521842</v>
      </c>
      <c r="E32" s="48">
        <v>8.38077952238758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5.164039542941268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1.0925220124444797</v>
      </c>
      <c r="C37" s="47">
        <v>2.029219889391035</v>
      </c>
      <c r="D37" s="47">
        <v>2.9329635539870322</v>
      </c>
      <c r="E37" s="47">
        <v>4.699526616697764</v>
      </c>
      <c r="F37" s="47">
        <v>6.441008379405352</v>
      </c>
    </row>
    <row r="38">
      <c r="A38" s="50" t="n">
        <v>0.8</v>
      </c>
      <c r="B38" s="47">
        <v>1.657270602337057</v>
      </c>
      <c r="C38" s="47">
        <v>2.870378962423179</v>
      </c>
      <c r="D38" s="47">
        <v>4.051493585074164</v>
      </c>
      <c r="E38" s="47">
        <v>6.379938658372222</v>
      </c>
      <c r="F38" s="47">
        <v>8.685511248134974</v>
      </c>
    </row>
    <row r="39">
      <c r="A39" s="50" t="n">
        <v>1</v>
      </c>
      <c r="B39" s="47">
        <v>2.211295689904129</v>
      </c>
      <c r="C39" s="47">
        <v>3.702079703868037</v>
      </c>
      <c r="D39" s="47">
        <v>5.164039542941268</v>
      </c>
      <c r="E39" s="47">
        <v>8.055262085384191</v>
      </c>
      <c r="F39" s="47">
        <v>10.93150956981621</v>
      </c>
    </row>
    <row r="40">
      <c r="A40" s="50" t="n">
        <v>1.2</v>
      </c>
      <c r="B40" s="47">
        <v>2.760820570058071</v>
      </c>
      <c r="C40" s="47">
        <v>4.5302512807371835</v>
      </c>
      <c r="D40" s="47">
        <v>6.273786117244106</v>
      </c>
      <c r="E40" s="47">
        <v>9.731171027283189</v>
      </c>
      <c r="F40" s="47">
        <v>13.169172820648447</v>
      </c>
    </row>
    <row r="41">
      <c r="A41" s="50" t="n">
        <v>1.4</v>
      </c>
      <c r="B41" s="47">
        <v>3.30793732382715</v>
      </c>
      <c r="C41" s="47">
        <v>5.357812152039349</v>
      </c>
      <c r="D41" s="47">
        <v>7.384820368196555</v>
      </c>
      <c r="E41" s="47">
        <v>11.409167806045703</v>
      </c>
      <c r="F41" s="47">
        <v>15.411488169628988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ALX Oncology Holdings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Evorpacept (ALX148), Eribulin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368.0779276078674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32.4</v>
      </c>
      <c r="S4" s="23">
        <f>IF(S$3&lt;$I4,0,$G4*Assumptions!$E$11*INDEX(Assumptions!$B$24:$G$24,MIN(6,S$3-$I4+1))*IF(S$3&gt;$J4,(1-Assumptions!$B$26)^(S$3-$J4),1)*IF($H4&gt;=1,1,MIN(0.97,$H4*Assumptions!$E$12)))</f>
        <v>81.0</v>
      </c>
      <c r="T4" s="23">
        <f>IF(T$3&lt;$I4,0,$G4*Assumptions!$E$11*INDEX(Assumptions!$B$24:$G$24,MIN(6,T$3-$I4+1))*IF(T$3&gt;$J4,(1-Assumptions!$B$26)^(T$3-$J4),1)*IF($H4&gt;=1,1,MIN(0.97,$H4*Assumptions!$E$12)))</f>
        <v>145.8</v>
      </c>
      <c r="U4" s="23">
        <f>IF(U$3&lt;$I4,0,$G4*Assumptions!$E$11*INDEX(Assumptions!$B$24:$G$24,MIN(6,U$3-$I4+1))*IF(U$3&gt;$J4,(1-Assumptions!$B$26)^(U$3-$J4),1)*IF($H4&gt;=1,1,MIN(0.97,$H4*Assumptions!$E$12)))</f>
        <v>210.6</v>
      </c>
      <c r="V4" s="23">
        <f>IF(V$3&lt;$I4,0,$G4*Assumptions!$E$11*INDEX(Assumptions!$B$24:$G$24,MIN(6,V$3-$I4+1))*IF(V$3&gt;$J4,(1-Assumptions!$B$26)^(V$3-$J4),1)*IF($H4&gt;=1,1,MIN(0.97,$H4*Assumptions!$E$12)))</f>
        <v>275.4</v>
      </c>
      <c r="W4" s="23">
        <f>IF(W$3&lt;$I4,0,$G4*Assumptions!$E$11*INDEX(Assumptions!$B$24:$G$24,MIN(6,W$3-$I4+1))*IF(W$3&gt;$J4,(1-Assumptions!$B$26)^(W$3-$J4),1)*IF($H4&gt;=1,1,MIN(0.97,$H4*Assumptions!$E$12)))</f>
        <v>324.0</v>
      </c>
      <c r="X4" s="23">
        <f>IF(X$3&lt;$I4,0,$G4*Assumptions!$E$11*INDEX(Assumptions!$B$24:$G$24,MIN(6,X$3-$I4+1))*IF(X$3&gt;$J4,(1-Assumptions!$B$26)^(X$3-$J4),1)*IF($H4&gt;=1,1,MIN(0.97,$H4*Assumptions!$E$12)))</f>
        <v>324.0</v>
      </c>
      <c r="Y4" s="23">
        <f>IF(Y$3&lt;$I4,0,$G4*Assumptions!$E$11*INDEX(Assumptions!$B$24:$G$24,MIN(6,Y$3-$I4+1))*IF(Y$3&gt;$J4,(1-Assumptions!$B$26)^(Y$3-$J4),1)*IF($H4&gt;=1,1,MIN(0.97,$H4*Assumptions!$E$12)))</f>
        <v>324.0</v>
      </c>
      <c r="Z4" s="23">
        <f>IF(Z$3&lt;$I4,0,$G4*Assumptions!$E$11*INDEX(Assumptions!$B$24:$G$24,MIN(6,Z$3-$I4+1))*IF(Z$3&gt;$J4,(1-Assumptions!$B$26)^(Z$3-$J4),1)*IF($H4&gt;=1,1,MIN(0.97,$H4*Assumptions!$E$12)))</f>
        <v>324.0</v>
      </c>
      <c r="AA4" s="23">
        <f>IF(AA$3&lt;$I4,0,$G4*Assumptions!$E$11*INDEX(Assumptions!$B$24:$G$24,MIN(6,AA$3-$I4+1))*IF(AA$3&gt;$J4,(1-Assumptions!$B$26)^(AA$3-$J4),1)*IF($H4&gt;=1,1,MIN(0.97,$H4*Assumptions!$E$12)))</f>
        <v>324.0</v>
      </c>
      <c r="AB4" s="23">
        <f>IF(AB$3&lt;$I4,0,$G4*Assumptions!$E$11*INDEX(Assumptions!$B$24:$G$24,MIN(6,AB$3-$I4+1))*IF(AB$3&gt;$J4,(1-Assumptions!$B$26)^(AB$3-$J4),1)*IF($H4&gt;=1,1,MIN(0.97,$H4*Assumptions!$E$12)))</f>
        <v>324.0</v>
      </c>
      <c r="AC4" s="23">
        <f>IF(AC$3&lt;$I4,0,$G4*Assumptions!$E$11*INDEX(Assumptions!$B$24:$G$24,MIN(6,AC$3-$I4+1))*IF(AC$3&gt;$J4,(1-Assumptions!$B$26)^(AC$3-$J4),1)*IF($H4&gt;=1,1,MIN(0.97,$H4*Assumptions!$E$12)))</f>
        <v>324.0</v>
      </c>
      <c r="AD4" s="23">
        <f>IF(AD$3&lt;$I4,0,$G4*Assumptions!$E$11*INDEX(Assumptions!$B$24:$G$24,MIN(6,AD$3-$I4+1))*IF(AD$3&gt;$J4,(1-Assumptions!$B$26)^(AD$3-$J4),1)*IF($H4&gt;=1,1,MIN(0.97,$H4*Assumptions!$E$12)))</f>
        <v>324.0</v>
      </c>
      <c r="AE4" s="23">
        <f>IF(AE$3&lt;$I4,0,$G4*Assumptions!$E$11*INDEX(Assumptions!$B$24:$G$24,MIN(6,AE$3-$I4+1))*IF(AE$3&gt;$J4,(1-Assumptions!$B$26)^(AE$3-$J4),1)*IF($H4&gt;=1,1,MIN(0.97,$H4*Assumptions!$E$12)))</f>
        <v>162.0</v>
      </c>
      <c r="AF4" s="23">
        <f>IF(AF$3&lt;$I4,0,$G4*Assumptions!$E$11*INDEX(Assumptions!$B$24:$G$24,MIN(6,AF$3-$I4+1))*IF(AF$3&gt;$J4,(1-Assumptions!$B$26)^(AF$3-$J4),1)*IF($H4&gt;=1,1,MIN(0.97,$H4*Assumptions!$E$12)))</f>
        <v>81.0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Gastric / esophageal cancer</t>
        </is>
      </c>
      <c r="C5" s="14" t="inlineStr">
        <is>
          <t>Evorpacept (ALX148), Ramucirumab</t>
        </is>
      </c>
      <c r="D5" s="14" t="inlineStr">
        <is>
          <t>Phase 2/3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1200</v>
      </c>
      <c r="H5" s="27" t="n">
        <v>0.2177</v>
      </c>
      <c r="I5" s="26" t="n">
        <v>2030</v>
      </c>
      <c r="J5" s="39">
        <f>I5+Assumptions!$B$25</f>
        <v>2042.0</v>
      </c>
      <c r="K5" s="53">
        <f>Assumptions!$E$13</f>
        <v>0.4</v>
      </c>
      <c r="L5" s="23">
        <f>K5*SUMPRODUCT(M5:AF5,NPV!$C$15:$V$15)</f>
        <v>333.90933635711247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26.124000000000002</v>
      </c>
      <c r="R5" s="23">
        <f>IF(R$3&lt;$I5,0,$G5*Assumptions!$E$11*INDEX(Assumptions!$B$24:$G$24,MIN(6,R$3-$I5+1))*IF(R$3&gt;$J5,(1-Assumptions!$B$26)^(R$3-$J5),1)*IF($H5&gt;=1,1,MIN(0.97,$H5*Assumptions!$E$12)))</f>
        <v>65.31</v>
      </c>
      <c r="S5" s="23">
        <f>IF(S$3&lt;$I5,0,$G5*Assumptions!$E$11*INDEX(Assumptions!$B$24:$G$24,MIN(6,S$3-$I5+1))*IF(S$3&gt;$J5,(1-Assumptions!$B$26)^(S$3-$J5),1)*IF($H5&gt;=1,1,MIN(0.97,$H5*Assumptions!$E$12)))</f>
        <v>117.558</v>
      </c>
      <c r="T5" s="23">
        <f>IF(T$3&lt;$I5,0,$G5*Assumptions!$E$11*INDEX(Assumptions!$B$24:$G$24,MIN(6,T$3-$I5+1))*IF(T$3&gt;$J5,(1-Assumptions!$B$26)^(T$3-$J5),1)*IF($H5&gt;=1,1,MIN(0.97,$H5*Assumptions!$E$12)))</f>
        <v>169.806</v>
      </c>
      <c r="U5" s="23">
        <f>IF(U$3&lt;$I5,0,$G5*Assumptions!$E$11*INDEX(Assumptions!$B$24:$G$24,MIN(6,U$3-$I5+1))*IF(U$3&gt;$J5,(1-Assumptions!$B$26)^(U$3-$J5),1)*IF($H5&gt;=1,1,MIN(0.97,$H5*Assumptions!$E$12)))</f>
        <v>222.054</v>
      </c>
      <c r="V5" s="23">
        <f>IF(V$3&lt;$I5,0,$G5*Assumptions!$E$11*INDEX(Assumptions!$B$24:$G$24,MIN(6,V$3-$I5+1))*IF(V$3&gt;$J5,(1-Assumptions!$B$26)^(V$3-$J5),1)*IF($H5&gt;=1,1,MIN(0.97,$H5*Assumptions!$E$12)))</f>
        <v>261.24</v>
      </c>
      <c r="W5" s="23">
        <f>IF(W$3&lt;$I5,0,$G5*Assumptions!$E$11*INDEX(Assumptions!$B$24:$G$24,MIN(6,W$3-$I5+1))*IF(W$3&gt;$J5,(1-Assumptions!$B$26)^(W$3-$J5),1)*IF($H5&gt;=1,1,MIN(0.97,$H5*Assumptions!$E$12)))</f>
        <v>261.24</v>
      </c>
      <c r="X5" s="23">
        <f>IF(X$3&lt;$I5,0,$G5*Assumptions!$E$11*INDEX(Assumptions!$B$24:$G$24,MIN(6,X$3-$I5+1))*IF(X$3&gt;$J5,(1-Assumptions!$B$26)^(X$3-$J5),1)*IF($H5&gt;=1,1,MIN(0.97,$H5*Assumptions!$E$12)))</f>
        <v>261.24</v>
      </c>
      <c r="Y5" s="23">
        <f>IF(Y$3&lt;$I5,0,$G5*Assumptions!$E$11*INDEX(Assumptions!$B$24:$G$24,MIN(6,Y$3-$I5+1))*IF(Y$3&gt;$J5,(1-Assumptions!$B$26)^(Y$3-$J5),1)*IF($H5&gt;=1,1,MIN(0.97,$H5*Assumptions!$E$12)))</f>
        <v>261.24</v>
      </c>
      <c r="Z5" s="23">
        <f>IF(Z$3&lt;$I5,0,$G5*Assumptions!$E$11*INDEX(Assumptions!$B$24:$G$24,MIN(6,Z$3-$I5+1))*IF(Z$3&gt;$J5,(1-Assumptions!$B$26)^(Z$3-$J5),1)*IF($H5&gt;=1,1,MIN(0.97,$H5*Assumptions!$E$12)))</f>
        <v>261.24</v>
      </c>
      <c r="AA5" s="23">
        <f>IF(AA$3&lt;$I5,0,$G5*Assumptions!$E$11*INDEX(Assumptions!$B$24:$G$24,MIN(6,AA$3-$I5+1))*IF(AA$3&gt;$J5,(1-Assumptions!$B$26)^(AA$3-$J5),1)*IF($H5&gt;=1,1,MIN(0.97,$H5*Assumptions!$E$12)))</f>
        <v>261.24</v>
      </c>
      <c r="AB5" s="23">
        <f>IF(AB$3&lt;$I5,0,$G5*Assumptions!$E$11*INDEX(Assumptions!$B$24:$G$24,MIN(6,AB$3-$I5+1))*IF(AB$3&gt;$J5,(1-Assumptions!$B$26)^(AB$3-$J5),1)*IF($H5&gt;=1,1,MIN(0.97,$H5*Assumptions!$E$12)))</f>
        <v>261.24</v>
      </c>
      <c r="AC5" s="23">
        <f>IF(AC$3&lt;$I5,0,$G5*Assumptions!$E$11*INDEX(Assumptions!$B$24:$G$24,MIN(6,AC$3-$I5+1))*IF(AC$3&gt;$J5,(1-Assumptions!$B$26)^(AC$3-$J5),1)*IF($H5&gt;=1,1,MIN(0.97,$H5*Assumptions!$E$12)))</f>
        <v>261.24</v>
      </c>
      <c r="AD5" s="23">
        <f>IF(AD$3&lt;$I5,0,$G5*Assumptions!$E$11*INDEX(Assumptions!$B$24:$G$24,MIN(6,AD$3-$I5+1))*IF(AD$3&gt;$J5,(1-Assumptions!$B$26)^(AD$3-$J5),1)*IF($H5&gt;=1,1,MIN(0.97,$H5*Assumptions!$E$12)))</f>
        <v>130.62</v>
      </c>
      <c r="AE5" s="23">
        <f>IF(AE$3&lt;$I5,0,$G5*Assumptions!$E$11*INDEX(Assumptions!$B$24:$G$24,MIN(6,AE$3-$I5+1))*IF(AE$3&gt;$J5,(1-Assumptions!$B$26)^(AE$3-$J5),1)*IF($H5&gt;=1,1,MIN(0.97,$H5*Assumptions!$E$12)))</f>
        <v>65.31</v>
      </c>
      <c r="AF5" s="23">
        <f>IF(AF$3&lt;$I5,0,$G5*Assumptions!$E$11*INDEX(Assumptions!$B$24:$G$24,MIN(6,AF$3-$I5+1))*IF(AF$3&gt;$J5,(1-Assumptions!$B$26)^(AF$3-$J5),1)*IF($H5&gt;=1,1,MIN(0.97,$H5*Assumptions!$E$12)))</f>
        <v>32.655</v>
      </c>
      <c r="AG5" s="35">
        <f>IF(F5="Owned",1-IF(H5&gt;=1,1,MIN(0.97,H5*Assumptions!$E$12)),1)</f>
        <v>0.7823</v>
      </c>
    </row>
    <row r="6">
      <c r="A6" s="39" t="n">
        <v>3</v>
      </c>
      <c r="B6" s="14" t="inlineStr">
        <is>
          <t>Head and neck cancer</t>
        </is>
      </c>
      <c r="C6" s="14" t="inlineStr">
        <is>
          <t>evorpacept, ALX2004</t>
        </is>
      </c>
      <c r="D6" s="14" t="inlineStr">
        <is>
          <t>Phase 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1000</v>
      </c>
      <c r="H6" s="27" t="n">
        <v>0.108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122.6926425359558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10.8</v>
      </c>
      <c r="S6" s="23">
        <f>IF(S$3&lt;$I6,0,$G6*Assumptions!$E$11*INDEX(Assumptions!$B$24:$G$24,MIN(6,S$3-$I6+1))*IF(S$3&gt;$J6,(1-Assumptions!$B$26)^(S$3-$J6),1)*IF($H6&gt;=1,1,MIN(0.97,$H6*Assumptions!$E$12)))</f>
        <v>27.0</v>
      </c>
      <c r="T6" s="23">
        <f>IF(T$3&lt;$I6,0,$G6*Assumptions!$E$11*INDEX(Assumptions!$B$24:$G$24,MIN(6,T$3-$I6+1))*IF(T$3&gt;$J6,(1-Assumptions!$B$26)^(T$3-$J6),1)*IF($H6&gt;=1,1,MIN(0.97,$H6*Assumptions!$E$12)))</f>
        <v>48.6</v>
      </c>
      <c r="U6" s="23">
        <f>IF(U$3&lt;$I6,0,$G6*Assumptions!$E$11*INDEX(Assumptions!$B$24:$G$24,MIN(6,U$3-$I6+1))*IF(U$3&gt;$J6,(1-Assumptions!$B$26)^(U$3-$J6),1)*IF($H6&gt;=1,1,MIN(0.97,$H6*Assumptions!$E$12)))</f>
        <v>70.2</v>
      </c>
      <c r="V6" s="23">
        <f>IF(V$3&lt;$I6,0,$G6*Assumptions!$E$11*INDEX(Assumptions!$B$24:$G$24,MIN(6,V$3-$I6+1))*IF(V$3&gt;$J6,(1-Assumptions!$B$26)^(V$3-$J6),1)*IF($H6&gt;=1,1,MIN(0.97,$H6*Assumptions!$E$12)))</f>
        <v>91.8</v>
      </c>
      <c r="W6" s="23">
        <f>IF(W$3&lt;$I6,0,$G6*Assumptions!$E$11*INDEX(Assumptions!$B$24:$G$24,MIN(6,W$3-$I6+1))*IF(W$3&gt;$J6,(1-Assumptions!$B$26)^(W$3-$J6),1)*IF($H6&gt;=1,1,MIN(0.97,$H6*Assumptions!$E$12)))</f>
        <v>108.0</v>
      </c>
      <c r="X6" s="23">
        <f>IF(X$3&lt;$I6,0,$G6*Assumptions!$E$11*INDEX(Assumptions!$B$24:$G$24,MIN(6,X$3-$I6+1))*IF(X$3&gt;$J6,(1-Assumptions!$B$26)^(X$3-$J6),1)*IF($H6&gt;=1,1,MIN(0.97,$H6*Assumptions!$E$12)))</f>
        <v>108.0</v>
      </c>
      <c r="Y6" s="23">
        <f>IF(Y$3&lt;$I6,0,$G6*Assumptions!$E$11*INDEX(Assumptions!$B$24:$G$24,MIN(6,Y$3-$I6+1))*IF(Y$3&gt;$J6,(1-Assumptions!$B$26)^(Y$3-$J6),1)*IF($H6&gt;=1,1,MIN(0.97,$H6*Assumptions!$E$12)))</f>
        <v>108.0</v>
      </c>
      <c r="Z6" s="23">
        <f>IF(Z$3&lt;$I6,0,$G6*Assumptions!$E$11*INDEX(Assumptions!$B$24:$G$24,MIN(6,Z$3-$I6+1))*IF(Z$3&gt;$J6,(1-Assumptions!$B$26)^(Z$3-$J6),1)*IF($H6&gt;=1,1,MIN(0.97,$H6*Assumptions!$E$12)))</f>
        <v>108.0</v>
      </c>
      <c r="AA6" s="23">
        <f>IF(AA$3&lt;$I6,0,$G6*Assumptions!$E$11*INDEX(Assumptions!$B$24:$G$24,MIN(6,AA$3-$I6+1))*IF(AA$3&gt;$J6,(1-Assumptions!$B$26)^(AA$3-$J6),1)*IF($H6&gt;=1,1,MIN(0.97,$H6*Assumptions!$E$12)))</f>
        <v>108.0</v>
      </c>
      <c r="AB6" s="23">
        <f>IF(AB$3&lt;$I6,0,$G6*Assumptions!$E$11*INDEX(Assumptions!$B$24:$G$24,MIN(6,AB$3-$I6+1))*IF(AB$3&gt;$J6,(1-Assumptions!$B$26)^(AB$3-$J6),1)*IF($H6&gt;=1,1,MIN(0.97,$H6*Assumptions!$E$12)))</f>
        <v>108.0</v>
      </c>
      <c r="AC6" s="23">
        <f>IF(AC$3&lt;$I6,0,$G6*Assumptions!$E$11*INDEX(Assumptions!$B$24:$G$24,MIN(6,AC$3-$I6+1))*IF(AC$3&gt;$J6,(1-Assumptions!$B$26)^(AC$3-$J6),1)*IF($H6&gt;=1,1,MIN(0.97,$H6*Assumptions!$E$12)))</f>
        <v>108.0</v>
      </c>
      <c r="AD6" s="23">
        <f>IF(AD$3&lt;$I6,0,$G6*Assumptions!$E$11*INDEX(Assumptions!$B$24:$G$24,MIN(6,AD$3-$I6+1))*IF(AD$3&gt;$J6,(1-Assumptions!$B$26)^(AD$3-$J6),1)*IF($H6&gt;=1,1,MIN(0.97,$H6*Assumptions!$E$12)))</f>
        <v>108.0</v>
      </c>
      <c r="AE6" s="23">
        <f>IF(AE$3&lt;$I6,0,$G6*Assumptions!$E$11*INDEX(Assumptions!$B$24:$G$24,MIN(6,AE$3-$I6+1))*IF(AE$3&gt;$J6,(1-Assumptions!$B$26)^(AE$3-$J6),1)*IF($H6&gt;=1,1,MIN(0.97,$H6*Assumptions!$E$12)))</f>
        <v>54.0</v>
      </c>
      <c r="AF6" s="23">
        <f>IF(AF$3&lt;$I6,0,$G6*Assumptions!$E$11*INDEX(Assumptions!$B$24:$G$24,MIN(6,AF$3-$I6+1))*IF(AF$3&gt;$J6,(1-Assumptions!$B$26)^(AF$3-$J6),1)*IF($H6&gt;=1,1,MIN(0.97,$H6*Assumptions!$E$12)))</f>
        <v>27.0</v>
      </c>
      <c r="AG6" s="35">
        <f>IF(F6="Owned",1-IF(H6&gt;=1,1,MIN(0.97,H6*Assumptions!$E$12)),1)</f>
        <v>0.892</v>
      </c>
    </row>
    <row r="7">
      <c r="A7" s="39" t="n">
        <v>4</v>
      </c>
      <c r="B7" s="14" t="inlineStr">
        <is>
          <t>Solid tumors (basket)</t>
        </is>
      </c>
      <c r="C7" s="14" t="inlineStr">
        <is>
          <t>Evorpacept (ALX148), Zanidatamab</t>
        </is>
      </c>
      <c r="D7" s="14" t="inlineStr">
        <is>
          <t>Phase 1/2</t>
        </is>
      </c>
      <c r="E7" s="14" t="inlineStr">
        <is>
          <t>Oncology / area</t>
        </is>
      </c>
      <c r="F7" s="14" t="inlineStr">
        <is>
          <t>Owned</t>
        </is>
      </c>
      <c r="G7" s="40" t="n">
        <v>1500</v>
      </c>
      <c r="H7" s="27" t="n">
        <v>0.07539999999999999</v>
      </c>
      <c r="I7" s="26" t="n">
        <v>2032</v>
      </c>
      <c r="J7" s="39">
        <f>I7+Assumptions!$B$25</f>
        <v>2044.0</v>
      </c>
      <c r="K7" s="53">
        <f>Assumptions!$E$13</f>
        <v>0.4</v>
      </c>
      <c r="L7" s="23">
        <f>K7*SUMPRODUCT(M7:AF7,NPV!$C$15:$V$15)</f>
        <v>113.54812869523724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11.309999999999999</v>
      </c>
      <c r="T7" s="23">
        <f>IF(T$3&lt;$I7,0,$G7*Assumptions!$E$11*INDEX(Assumptions!$B$24:$G$24,MIN(6,T$3-$I7+1))*IF(T$3&gt;$J7,(1-Assumptions!$B$26)^(T$3-$J7),1)*IF($H7&gt;=1,1,MIN(0.97,$H7*Assumptions!$E$12)))</f>
        <v>28.275</v>
      </c>
      <c r="U7" s="23">
        <f>IF(U$3&lt;$I7,0,$G7*Assumptions!$E$11*INDEX(Assumptions!$B$24:$G$24,MIN(6,U$3-$I7+1))*IF(U$3&gt;$J7,(1-Assumptions!$B$26)^(U$3-$J7),1)*IF($H7&gt;=1,1,MIN(0.97,$H7*Assumptions!$E$12)))</f>
        <v>50.894999999999996</v>
      </c>
      <c r="V7" s="23">
        <f>IF(V$3&lt;$I7,0,$G7*Assumptions!$E$11*INDEX(Assumptions!$B$24:$G$24,MIN(6,V$3-$I7+1))*IF(V$3&gt;$J7,(1-Assumptions!$B$26)^(V$3-$J7),1)*IF($H7&gt;=1,1,MIN(0.97,$H7*Assumptions!$E$12)))</f>
        <v>73.515</v>
      </c>
      <c r="W7" s="23">
        <f>IF(W$3&lt;$I7,0,$G7*Assumptions!$E$11*INDEX(Assumptions!$B$24:$G$24,MIN(6,W$3-$I7+1))*IF(W$3&gt;$J7,(1-Assumptions!$B$26)^(W$3-$J7),1)*IF($H7&gt;=1,1,MIN(0.97,$H7*Assumptions!$E$12)))</f>
        <v>96.13499999999999</v>
      </c>
      <c r="X7" s="23">
        <f>IF(X$3&lt;$I7,0,$G7*Assumptions!$E$11*INDEX(Assumptions!$B$24:$G$24,MIN(6,X$3-$I7+1))*IF(X$3&gt;$J7,(1-Assumptions!$B$26)^(X$3-$J7),1)*IF($H7&gt;=1,1,MIN(0.97,$H7*Assumptions!$E$12)))</f>
        <v>113.1</v>
      </c>
      <c r="Y7" s="23">
        <f>IF(Y$3&lt;$I7,0,$G7*Assumptions!$E$11*INDEX(Assumptions!$B$24:$G$24,MIN(6,Y$3-$I7+1))*IF(Y$3&gt;$J7,(1-Assumptions!$B$26)^(Y$3-$J7),1)*IF($H7&gt;=1,1,MIN(0.97,$H7*Assumptions!$E$12)))</f>
        <v>113.1</v>
      </c>
      <c r="Z7" s="23">
        <f>IF(Z$3&lt;$I7,0,$G7*Assumptions!$E$11*INDEX(Assumptions!$B$24:$G$24,MIN(6,Z$3-$I7+1))*IF(Z$3&gt;$J7,(1-Assumptions!$B$26)^(Z$3-$J7),1)*IF($H7&gt;=1,1,MIN(0.97,$H7*Assumptions!$E$12)))</f>
        <v>113.1</v>
      </c>
      <c r="AA7" s="23">
        <f>IF(AA$3&lt;$I7,0,$G7*Assumptions!$E$11*INDEX(Assumptions!$B$24:$G$24,MIN(6,AA$3-$I7+1))*IF(AA$3&gt;$J7,(1-Assumptions!$B$26)^(AA$3-$J7),1)*IF($H7&gt;=1,1,MIN(0.97,$H7*Assumptions!$E$12)))</f>
        <v>113.1</v>
      </c>
      <c r="AB7" s="23">
        <f>IF(AB$3&lt;$I7,0,$G7*Assumptions!$E$11*INDEX(Assumptions!$B$24:$G$24,MIN(6,AB$3-$I7+1))*IF(AB$3&gt;$J7,(1-Assumptions!$B$26)^(AB$3-$J7),1)*IF($H7&gt;=1,1,MIN(0.97,$H7*Assumptions!$E$12)))</f>
        <v>113.1</v>
      </c>
      <c r="AC7" s="23">
        <f>IF(AC$3&lt;$I7,0,$G7*Assumptions!$E$11*INDEX(Assumptions!$B$24:$G$24,MIN(6,AC$3-$I7+1))*IF(AC$3&gt;$J7,(1-Assumptions!$B$26)^(AC$3-$J7),1)*IF($H7&gt;=1,1,MIN(0.97,$H7*Assumptions!$E$12)))</f>
        <v>113.1</v>
      </c>
      <c r="AD7" s="23">
        <f>IF(AD$3&lt;$I7,0,$G7*Assumptions!$E$11*INDEX(Assumptions!$B$24:$G$24,MIN(6,AD$3-$I7+1))*IF(AD$3&gt;$J7,(1-Assumptions!$B$26)^(AD$3-$J7),1)*IF($H7&gt;=1,1,MIN(0.97,$H7*Assumptions!$E$12)))</f>
        <v>113.1</v>
      </c>
      <c r="AE7" s="23">
        <f>IF(AE$3&lt;$I7,0,$G7*Assumptions!$E$11*INDEX(Assumptions!$B$24:$G$24,MIN(6,AE$3-$I7+1))*IF(AE$3&gt;$J7,(1-Assumptions!$B$26)^(AE$3-$J7),1)*IF($H7&gt;=1,1,MIN(0.97,$H7*Assumptions!$E$12)))</f>
        <v>113.1</v>
      </c>
      <c r="AF7" s="23">
        <f>IF(AF$3&lt;$I7,0,$G7*Assumptions!$E$11*INDEX(Assumptions!$B$24:$G$24,MIN(6,AF$3-$I7+1))*IF(AF$3&gt;$J7,(1-Assumptions!$B$26)^(AF$3-$J7),1)*IF($H7&gt;=1,1,MIN(0.97,$H7*Assumptions!$E$12)))</f>
        <v>56.55</v>
      </c>
      <c r="AG7" s="35">
        <f>IF(F7="Owned",1-IF(H7&gt;=1,1,MIN(0.97,H7*Assumptions!$E$12)),1)</f>
        <v>0.9246</v>
      </c>
    </row>
    <row r="8">
      <c r="A8" s="39" t="n">
        <v>5</v>
      </c>
      <c r="B8" s="14" t="inlineStr">
        <is>
          <t>Bladder / urothelial cancer</t>
        </is>
      </c>
      <c r="C8" s="14" t="inlineStr">
        <is>
          <t>Evorpacept, Enfortumab Vedotin</t>
        </is>
      </c>
      <c r="D8" s="14" t="inlineStr">
        <is>
          <t>Phase 1</t>
        </is>
      </c>
      <c r="E8" s="14" t="inlineStr">
        <is>
          <t>Oncology / area</t>
        </is>
      </c>
      <c r="F8" s="14" t="inlineStr">
        <is>
          <t>Owned</t>
        </is>
      </c>
      <c r="G8" s="40" t="n">
        <v>1200</v>
      </c>
      <c r="H8" s="27" t="n">
        <v>0.0527</v>
      </c>
      <c r="I8" s="26" t="n">
        <v>2033</v>
      </c>
      <c r="J8" s="39">
        <f>I8+Assumptions!$B$25</f>
        <v>2045.0</v>
      </c>
      <c r="K8" s="53">
        <f>Assumptions!$E$13</f>
        <v>0.4</v>
      </c>
      <c r="L8" s="23">
        <f>K8*SUMPRODUCT(M8:AF8,NPV!$C$15:$V$15)</f>
        <v>55.3774422909388</v>
      </c>
      <c r="M8" s="23">
        <f>IF(M$3&lt;$I8,0,$G8*Assumptions!$E$11*INDEX(Assumptions!$B$24:$G$24,MIN(6,M$3-$I8+1))*IF(M$3&gt;$J8,(1-Assumptions!$B$26)^(M$3-$J8),1)*IF($H8&gt;=1,1,MIN(0.97,$H8*Assumptions!$E$12)))</f>
        <v>0</v>
      </c>
      <c r="N8" s="23">
        <f>IF(N$3&lt;$I8,0,$G8*Assumptions!$E$11*INDEX(Assumptions!$B$24:$G$24,MIN(6,N$3-$I8+1))*IF(N$3&gt;$J8,(1-Assumptions!$B$26)^(N$3-$J8),1)*IF($H8&gt;=1,1,MIN(0.97,$H8*Assumptions!$E$12)))</f>
        <v>0</v>
      </c>
      <c r="O8" s="23">
        <f>IF(O$3&lt;$I8,0,$G8*Assumptions!$E$11*INDEX(Assumptions!$B$24:$G$24,MIN(6,O$3-$I8+1))*IF(O$3&gt;$J8,(1-Assumptions!$B$26)^(O$3-$J8),1)*IF($H8&gt;=1,1,MIN(0.97,$H8*Assumptions!$E$12)))</f>
        <v>0</v>
      </c>
      <c r="P8" s="23">
        <f>IF(P$3&lt;$I8,0,$G8*Assumptions!$E$11*INDEX(Assumptions!$B$24:$G$24,MIN(6,P$3-$I8+1))*IF(P$3&gt;$J8,(1-Assumptions!$B$26)^(P$3-$J8),1)*IF($H8&gt;=1,1,MIN(0.97,$H8*Assumptions!$E$12)))</f>
        <v>0</v>
      </c>
      <c r="Q8" s="23">
        <f>IF(Q$3&lt;$I8,0,$G8*Assumptions!$E$11*INDEX(Assumptions!$B$24:$G$24,MIN(6,Q$3-$I8+1))*IF(Q$3&gt;$J8,(1-Assumptions!$B$26)^(Q$3-$J8),1)*IF($H8&gt;=1,1,MIN(0.97,$H8*Assumptions!$E$12)))</f>
        <v>0</v>
      </c>
      <c r="R8" s="23">
        <f>IF(R$3&lt;$I8,0,$G8*Assumptions!$E$11*INDEX(Assumptions!$B$24:$G$24,MIN(6,R$3-$I8+1))*IF(R$3&gt;$J8,(1-Assumptions!$B$26)^(R$3-$J8),1)*IF($H8&gt;=1,1,MIN(0.97,$H8*Assumptions!$E$12)))</f>
        <v>0</v>
      </c>
      <c r="S8" s="23">
        <f>IF(S$3&lt;$I8,0,$G8*Assumptions!$E$11*INDEX(Assumptions!$B$24:$G$24,MIN(6,S$3-$I8+1))*IF(S$3&gt;$J8,(1-Assumptions!$B$26)^(S$3-$J8),1)*IF($H8&gt;=1,1,MIN(0.97,$H8*Assumptions!$E$12)))</f>
        <v>0</v>
      </c>
      <c r="T8" s="23">
        <f>IF(T$3&lt;$I8,0,$G8*Assumptions!$E$11*INDEX(Assumptions!$B$24:$G$24,MIN(6,T$3-$I8+1))*IF(T$3&gt;$J8,(1-Assumptions!$B$26)^(T$3-$J8),1)*IF($H8&gt;=1,1,MIN(0.97,$H8*Assumptions!$E$12)))</f>
        <v>6.324</v>
      </c>
      <c r="U8" s="23">
        <f>IF(U$3&lt;$I8,0,$G8*Assumptions!$E$11*INDEX(Assumptions!$B$24:$G$24,MIN(6,U$3-$I8+1))*IF(U$3&gt;$J8,(1-Assumptions!$B$26)^(U$3-$J8),1)*IF($H8&gt;=1,1,MIN(0.97,$H8*Assumptions!$E$12)))</f>
        <v>15.809999999999999</v>
      </c>
      <c r="V8" s="23">
        <f>IF(V$3&lt;$I8,0,$G8*Assumptions!$E$11*INDEX(Assumptions!$B$24:$G$24,MIN(6,V$3-$I8+1))*IF(V$3&gt;$J8,(1-Assumptions!$B$26)^(V$3-$J8),1)*IF($H8&gt;=1,1,MIN(0.97,$H8*Assumptions!$E$12)))</f>
        <v>28.458</v>
      </c>
      <c r="W8" s="23">
        <f>IF(W$3&lt;$I8,0,$G8*Assumptions!$E$11*INDEX(Assumptions!$B$24:$G$24,MIN(6,W$3-$I8+1))*IF(W$3&gt;$J8,(1-Assumptions!$B$26)^(W$3-$J8),1)*IF($H8&gt;=1,1,MIN(0.97,$H8*Assumptions!$E$12)))</f>
        <v>41.105999999999995</v>
      </c>
      <c r="X8" s="23">
        <f>IF(X$3&lt;$I8,0,$G8*Assumptions!$E$11*INDEX(Assumptions!$B$24:$G$24,MIN(6,X$3-$I8+1))*IF(X$3&gt;$J8,(1-Assumptions!$B$26)^(X$3-$J8),1)*IF($H8&gt;=1,1,MIN(0.97,$H8*Assumptions!$E$12)))</f>
        <v>53.754</v>
      </c>
      <c r="Y8" s="23">
        <f>IF(Y$3&lt;$I8,0,$G8*Assumptions!$E$11*INDEX(Assumptions!$B$24:$G$24,MIN(6,Y$3-$I8+1))*IF(Y$3&gt;$J8,(1-Assumptions!$B$26)^(Y$3-$J8),1)*IF($H8&gt;=1,1,MIN(0.97,$H8*Assumptions!$E$12)))</f>
        <v>63.239999999999995</v>
      </c>
      <c r="Z8" s="23">
        <f>IF(Z$3&lt;$I8,0,$G8*Assumptions!$E$11*INDEX(Assumptions!$B$24:$G$24,MIN(6,Z$3-$I8+1))*IF(Z$3&gt;$J8,(1-Assumptions!$B$26)^(Z$3-$J8),1)*IF($H8&gt;=1,1,MIN(0.97,$H8*Assumptions!$E$12)))</f>
        <v>63.239999999999995</v>
      </c>
      <c r="AA8" s="23">
        <f>IF(AA$3&lt;$I8,0,$G8*Assumptions!$E$11*INDEX(Assumptions!$B$24:$G$24,MIN(6,AA$3-$I8+1))*IF(AA$3&gt;$J8,(1-Assumptions!$B$26)^(AA$3-$J8),1)*IF($H8&gt;=1,1,MIN(0.97,$H8*Assumptions!$E$12)))</f>
        <v>63.239999999999995</v>
      </c>
      <c r="AB8" s="23">
        <f>IF(AB$3&lt;$I8,0,$G8*Assumptions!$E$11*INDEX(Assumptions!$B$24:$G$24,MIN(6,AB$3-$I8+1))*IF(AB$3&gt;$J8,(1-Assumptions!$B$26)^(AB$3-$J8),1)*IF($H8&gt;=1,1,MIN(0.97,$H8*Assumptions!$E$12)))</f>
        <v>63.239999999999995</v>
      </c>
      <c r="AC8" s="23">
        <f>IF(AC$3&lt;$I8,0,$G8*Assumptions!$E$11*INDEX(Assumptions!$B$24:$G$24,MIN(6,AC$3-$I8+1))*IF(AC$3&gt;$J8,(1-Assumptions!$B$26)^(AC$3-$J8),1)*IF($H8&gt;=1,1,MIN(0.97,$H8*Assumptions!$E$12)))</f>
        <v>63.239999999999995</v>
      </c>
      <c r="AD8" s="23">
        <f>IF(AD$3&lt;$I8,0,$G8*Assumptions!$E$11*INDEX(Assumptions!$B$24:$G$24,MIN(6,AD$3-$I8+1))*IF(AD$3&gt;$J8,(1-Assumptions!$B$26)^(AD$3-$J8),1)*IF($H8&gt;=1,1,MIN(0.97,$H8*Assumptions!$E$12)))</f>
        <v>63.239999999999995</v>
      </c>
      <c r="AE8" s="23">
        <f>IF(AE$3&lt;$I8,0,$G8*Assumptions!$E$11*INDEX(Assumptions!$B$24:$G$24,MIN(6,AE$3-$I8+1))*IF(AE$3&gt;$J8,(1-Assumptions!$B$26)^(AE$3-$J8),1)*IF($H8&gt;=1,1,MIN(0.97,$H8*Assumptions!$E$12)))</f>
        <v>63.239999999999995</v>
      </c>
      <c r="AF8" s="23">
        <f>IF(AF$3&lt;$I8,0,$G8*Assumptions!$E$11*INDEX(Assumptions!$B$24:$G$24,MIN(6,AF$3-$I8+1))*IF(AF$3&gt;$J8,(1-Assumptions!$B$26)^(AF$3-$J8),1)*IF($H8&gt;=1,1,MIN(0.97,$H8*Assumptions!$E$12)))</f>
        <v>63.239999999999995</v>
      </c>
      <c r="AG8" s="35">
        <f>IF(F8="Owned",1-IF(H8&gt;=1,1,MIN(0.97,H8*Assumptions!$E$12)),1)</f>
        <v>0.9473</v>
      </c>
    </row>
    <row r="9">
      <c r="B9" s="24" t="inlineStr">
        <is>
          <t>Risked revenue</t>
        </is>
      </c>
      <c r="L9" s="54">
        <f>SUM(L4:L8)</f>
        <v>993.6054774871117</v>
      </c>
      <c r="M9" s="54">
        <f>SUM(M4:M8)</f>
        <v>0.0</v>
      </c>
      <c r="N9" s="54">
        <f>SUM(N4:N8)</f>
        <v>0.0</v>
      </c>
      <c r="O9" s="54">
        <f>SUM(O4:O8)</f>
        <v>0.0</v>
      </c>
      <c r="P9" s="54">
        <f>SUM(P4:P8)</f>
        <v>0.0</v>
      </c>
      <c r="Q9" s="54">
        <f>SUM(Q4:Q8)</f>
        <v>26.124000000000002</v>
      </c>
      <c r="R9" s="54">
        <f>SUM(R4:R8)</f>
        <v>108.51</v>
      </c>
      <c r="S9" s="54">
        <f>SUM(S4:S8)</f>
        <v>236.868</v>
      </c>
      <c r="T9" s="54">
        <f>SUM(T4:T8)</f>
        <v>398.805</v>
      </c>
      <c r="U9" s="54">
        <f>SUM(U4:U8)</f>
        <v>569.559</v>
      </c>
      <c r="V9" s="54">
        <f>SUM(V4:V8)</f>
        <v>730.4129999999999</v>
      </c>
      <c r="W9" s="54">
        <f>SUM(W4:W8)</f>
        <v>830.481</v>
      </c>
      <c r="X9" s="54">
        <f>SUM(X4:X8)</f>
        <v>860.094</v>
      </c>
      <c r="Y9" s="54">
        <f>SUM(Y4:Y8)</f>
        <v>869.58</v>
      </c>
      <c r="Z9" s="54">
        <f>SUM(Z4:Z8)</f>
        <v>869.58</v>
      </c>
      <c r="AA9" s="54">
        <f>SUM(AA4:AA8)</f>
        <v>869.58</v>
      </c>
      <c r="AB9" s="54">
        <f>SUM(AB4:AB8)</f>
        <v>869.58</v>
      </c>
      <c r="AC9" s="54">
        <f>SUM(AC4:AC8)</f>
        <v>869.58</v>
      </c>
      <c r="AD9" s="54">
        <f>SUM(AD4:AD8)</f>
        <v>738.96</v>
      </c>
      <c r="AE9" s="54">
        <f>SUM(AE4:AE8)</f>
        <v>457.65</v>
      </c>
      <c r="AF9" s="54">
        <f>SUM(AF4:AF8)</f>
        <v>260.445</v>
      </c>
    </row>
    <row r="10">
      <c r="B10" s="24" t="inlineStr">
        <is>
          <t>Risked contribution (revenue x share)</t>
        </is>
      </c>
      <c r="M10" s="55">
        <f>SUMPRODUCT(M4:M8,$K$4:$K$8)</f>
        <v>0.0</v>
      </c>
      <c r="N10" s="55">
        <f>SUMPRODUCT(N4:N8,$K$4:$K$8)</f>
        <v>0.0</v>
      </c>
      <c r="O10" s="55">
        <f>SUMPRODUCT(O4:O8,$K$4:$K$8)</f>
        <v>0.0</v>
      </c>
      <c r="P10" s="55">
        <f>SUMPRODUCT(P4:P8,$K$4:$K$8)</f>
        <v>0.0</v>
      </c>
      <c r="Q10" s="55">
        <f>SUMPRODUCT(Q4:Q8,$K$4:$K$8)</f>
        <v>10.449600000000002</v>
      </c>
      <c r="R10" s="55">
        <f>SUMPRODUCT(R4:R8,$K$4:$K$8)</f>
        <v>43.404</v>
      </c>
      <c r="S10" s="55">
        <f>SUMPRODUCT(S4:S8,$K$4:$K$8)</f>
        <v>94.7472</v>
      </c>
      <c r="T10" s="55">
        <f>SUMPRODUCT(T4:T8,$K$4:$K$8)</f>
        <v>159.52200000000002</v>
      </c>
      <c r="U10" s="55">
        <f>SUMPRODUCT(U4:U8,$K$4:$K$8)</f>
        <v>227.82360000000003</v>
      </c>
      <c r="V10" s="55">
        <f>SUMPRODUCT(V4:V8,$K$4:$K$8)</f>
        <v>292.16519999999997</v>
      </c>
      <c r="W10" s="55">
        <f>SUMPRODUCT(W4:W8,$K$4:$K$8)</f>
        <v>332.1924</v>
      </c>
      <c r="X10" s="55">
        <f>SUMPRODUCT(X4:X8,$K$4:$K$8)</f>
        <v>344.0376</v>
      </c>
      <c r="Y10" s="55">
        <f>SUMPRODUCT(Y4:Y8,$K$4:$K$8)</f>
        <v>347.832</v>
      </c>
      <c r="Z10" s="55">
        <f>SUMPRODUCT(Z4:Z8,$K$4:$K$8)</f>
        <v>347.832</v>
      </c>
      <c r="AA10" s="55">
        <f>SUMPRODUCT(AA4:AA8,$K$4:$K$8)</f>
        <v>347.832</v>
      </c>
      <c r="AB10" s="55">
        <f>SUMPRODUCT(AB4:AB8,$K$4:$K$8)</f>
        <v>347.832</v>
      </c>
      <c r="AC10" s="55">
        <f>SUMPRODUCT(AC4:AC8,$K$4:$K$8)</f>
        <v>347.832</v>
      </c>
      <c r="AD10" s="55">
        <f>SUMPRODUCT(AD4:AD8,$K$4:$K$8)</f>
        <v>295.584</v>
      </c>
      <c r="AE10" s="55">
        <f>SUMPRODUCT(AE4:AE8,$K$4:$K$8)</f>
        <v>183.06</v>
      </c>
      <c r="AF10" s="55">
        <f>SUMPRODUCT(AF4:AF8,$K$4:$K$8)</f>
        <v>104.178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ALX Oncology Holdings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Pipeline!M9</f>
        <v>0.0</v>
      </c>
      <c r="D4" s="57">
        <f>Pipeline!N9</f>
        <v>0.0</v>
      </c>
      <c r="E4" s="57">
        <f>Pipeline!O9</f>
        <v>0.0</v>
      </c>
      <c r="F4" s="57">
        <f>Pipeline!P9</f>
        <v>0.0</v>
      </c>
      <c r="G4" s="57">
        <f>Pipeline!Q9</f>
        <v>26.124000000000002</v>
      </c>
      <c r="H4" s="57">
        <f>Pipeline!R9</f>
        <v>108.51</v>
      </c>
      <c r="I4" s="57">
        <f>Pipeline!S9</f>
        <v>236.868</v>
      </c>
      <c r="J4" s="57">
        <f>Pipeline!T9</f>
        <v>398.805</v>
      </c>
      <c r="K4" s="57">
        <f>Pipeline!U9</f>
        <v>569.559</v>
      </c>
      <c r="L4" s="57">
        <f>Pipeline!V9</f>
        <v>730.4129999999999</v>
      </c>
      <c r="M4" s="57">
        <f>Pipeline!W9</f>
        <v>830.481</v>
      </c>
      <c r="N4" s="57">
        <f>Pipeline!X9</f>
        <v>860.094</v>
      </c>
      <c r="O4" s="57">
        <f>Pipeline!Y9</f>
        <v>869.58</v>
      </c>
      <c r="P4" s="57">
        <f>Pipeline!Z9</f>
        <v>869.58</v>
      </c>
      <c r="Q4" s="57">
        <f>Pipeline!AA9</f>
        <v>869.58</v>
      </c>
      <c r="R4" s="57">
        <f>Pipeline!AB9</f>
        <v>869.58</v>
      </c>
      <c r="S4" s="57">
        <f>Pipeline!AC9</f>
        <v>869.58</v>
      </c>
      <c r="T4" s="57">
        <f>Pipeline!AD9</f>
        <v>738.96</v>
      </c>
      <c r="U4" s="57">
        <f>Pipeline!AE9</f>
        <v>457.65</v>
      </c>
      <c r="V4" s="57">
        <f>Pipeline!AF9</f>
        <v>260.445</v>
      </c>
    </row>
    <row r="5">
      <c r="A5" s="14" t="inlineStr">
        <is>
          <t>Risked contribution</t>
        </is>
      </c>
      <c r="C5" s="57">
        <f>Pipeline!M10</f>
        <v>0.0</v>
      </c>
      <c r="D5" s="57">
        <f>Pipeline!N10</f>
        <v>0.0</v>
      </c>
      <c r="E5" s="57">
        <f>Pipeline!O10</f>
        <v>0.0</v>
      </c>
      <c r="F5" s="57">
        <f>Pipeline!P10</f>
        <v>0.0</v>
      </c>
      <c r="G5" s="57">
        <f>Pipeline!Q10</f>
        <v>10.449600000000002</v>
      </c>
      <c r="H5" s="57">
        <f>Pipeline!R10</f>
        <v>43.404</v>
      </c>
      <c r="I5" s="57">
        <f>Pipeline!S10</f>
        <v>94.7472</v>
      </c>
      <c r="J5" s="57">
        <f>Pipeline!T10</f>
        <v>159.52200000000002</v>
      </c>
      <c r="K5" s="57">
        <f>Pipeline!U10</f>
        <v>227.82360000000003</v>
      </c>
      <c r="L5" s="57">
        <f>Pipeline!V10</f>
        <v>292.16519999999997</v>
      </c>
      <c r="M5" s="57">
        <f>Pipeline!W10</f>
        <v>332.1924</v>
      </c>
      <c r="N5" s="57">
        <f>Pipeline!X10</f>
        <v>344.0376</v>
      </c>
      <c r="O5" s="57">
        <f>Pipeline!Y10</f>
        <v>347.832</v>
      </c>
      <c r="P5" s="57">
        <f>Pipeline!Z10</f>
        <v>347.832</v>
      </c>
      <c r="Q5" s="57">
        <f>Pipeline!AA10</f>
        <v>347.832</v>
      </c>
      <c r="R5" s="57">
        <f>Pipeline!AB10</f>
        <v>347.832</v>
      </c>
      <c r="S5" s="57">
        <f>Pipeline!AC10</f>
        <v>347.832</v>
      </c>
      <c r="T5" s="57">
        <f>Pipeline!AD10</f>
        <v>295.584</v>
      </c>
      <c r="U5" s="57">
        <f>Pipeline!AE10</f>
        <v>183.06</v>
      </c>
      <c r="V5" s="57">
        <f>Pipeline!AF10</f>
        <v>104.178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-82.552</v>
      </c>
      <c r="D6" s="23">
        <f>-IF(D3-2026&lt;Assumptions!$B$19,Assumptions!$B$18,Assumptions!$B$18*Assumptions!$B$20*Assumptions!$B$16)</f>
        <v>-82.552</v>
      </c>
      <c r="E6" s="23">
        <f>-IF(E3-2026&lt;Assumptions!$B$19,Assumptions!$B$18,Assumptions!$B$18*Assumptions!$B$20*Assumptions!$B$16)</f>
        <v>-82.552</v>
      </c>
      <c r="F6" s="23">
        <f>-IF(F3-2026&lt;Assumptions!$B$19,Assumptions!$B$18,Assumptions!$B$18*Assumptions!$B$20*Assumptions!$B$16)</f>
        <v>-82.552</v>
      </c>
      <c r="G6" s="23">
        <f>-IF(G3-2026&lt;Assumptions!$B$19,Assumptions!$B$18,Assumptions!$B$18*Assumptions!$B$20*Assumptions!$B$16)</f>
        <v>-11.263748733921265</v>
      </c>
      <c r="H6" s="23">
        <f>-IF(H3-2026&lt;Assumptions!$B$19,Assumptions!$B$18,Assumptions!$B$18*Assumptions!$B$20*Assumptions!$B$16)</f>
        <v>-11.263748733921265</v>
      </c>
      <c r="I6" s="23">
        <f>-IF(I3-2026&lt;Assumptions!$B$19,Assumptions!$B$18,Assumptions!$B$18*Assumptions!$B$20*Assumptions!$B$16)</f>
        <v>-11.263748733921265</v>
      </c>
      <c r="J6" s="23">
        <f>-IF(J3-2026&lt;Assumptions!$B$19,Assumptions!$B$18,Assumptions!$B$18*Assumptions!$B$20*Assumptions!$B$16)</f>
        <v>-11.263748733921265</v>
      </c>
      <c r="K6" s="23">
        <f>-IF(K3-2026&lt;Assumptions!$B$19,Assumptions!$B$18,Assumptions!$B$18*Assumptions!$B$20*Assumptions!$B$16)</f>
        <v>-11.263748733921265</v>
      </c>
      <c r="L6" s="23">
        <f>-IF(L3-2026&lt;Assumptions!$B$19,Assumptions!$B$18,Assumptions!$B$18*Assumptions!$B$20*Assumptions!$B$16)</f>
        <v>-11.263748733921265</v>
      </c>
      <c r="M6" s="23">
        <f>-IF(M3-2026&lt;Assumptions!$B$19,Assumptions!$B$18,Assumptions!$B$18*Assumptions!$B$20*Assumptions!$B$16)</f>
        <v>-11.263748733921265</v>
      </c>
      <c r="N6" s="23">
        <f>-IF(N3-2026&lt;Assumptions!$B$19,Assumptions!$B$18,Assumptions!$B$18*Assumptions!$B$20*Assumptions!$B$16)</f>
        <v>-11.263748733921265</v>
      </c>
      <c r="O6" s="23">
        <f>-IF(O3-2026&lt;Assumptions!$B$19,Assumptions!$B$18,Assumptions!$B$18*Assumptions!$B$20*Assumptions!$B$16)</f>
        <v>-11.263748733921265</v>
      </c>
      <c r="P6" s="23">
        <f>-IF(P3-2026&lt;Assumptions!$B$19,Assumptions!$B$18,Assumptions!$B$18*Assumptions!$B$20*Assumptions!$B$16)</f>
        <v>-11.263748733921265</v>
      </c>
      <c r="Q6" s="23">
        <f>-IF(Q3-2026&lt;Assumptions!$B$19,Assumptions!$B$18,Assumptions!$B$18*Assumptions!$B$20*Assumptions!$B$16)</f>
        <v>-11.263748733921265</v>
      </c>
      <c r="R6" s="23">
        <f>-IF(R3-2026&lt;Assumptions!$B$19,Assumptions!$B$18,Assumptions!$B$18*Assumptions!$B$20*Assumptions!$B$16)</f>
        <v>-11.263748733921265</v>
      </c>
      <c r="S6" s="23">
        <f>-IF(S3-2026&lt;Assumptions!$B$19,Assumptions!$B$18,Assumptions!$B$18*Assumptions!$B$20*Assumptions!$B$16)</f>
        <v>-11.263748733921265</v>
      </c>
      <c r="T6" s="23">
        <f>-IF(T3-2026&lt;Assumptions!$B$19,Assumptions!$B$18,Assumptions!$B$18*Assumptions!$B$20*Assumptions!$B$16)</f>
        <v>-11.263748733921265</v>
      </c>
      <c r="U6" s="23">
        <f>-IF(U3-2026&lt;Assumptions!$B$19,Assumptions!$B$18,Assumptions!$B$18*Assumptions!$B$20*Assumptions!$B$16)</f>
        <v>-11.263748733921265</v>
      </c>
      <c r="V6" s="23">
        <f>-IF(V3-2026&lt;Assumptions!$B$19,Assumptions!$B$18,Assumptions!$B$18*Assumptions!$B$20*Assumptions!$B$16)</f>
        <v>-11.263748733921265</v>
      </c>
    </row>
    <row r="7">
      <c r="A7" s="14" t="inlineStr">
        <is>
          <t>Pre-tax cash flow</t>
        </is>
      </c>
      <c r="C7" s="23">
        <f>C5+C6</f>
        <v>-82.552</v>
      </c>
      <c r="D7" s="23">
        <f>D5+D6</f>
        <v>-82.552</v>
      </c>
      <c r="E7" s="23">
        <f>E5+E6</f>
        <v>-82.552</v>
      </c>
      <c r="F7" s="23">
        <f>F5+F6</f>
        <v>-82.552</v>
      </c>
      <c r="G7" s="23">
        <f>G5+G6</f>
        <v>-0.8141487339212627</v>
      </c>
      <c r="H7" s="23">
        <f>H5+H6</f>
        <v>32.140251266078735</v>
      </c>
      <c r="I7" s="23">
        <f>I5+I6</f>
        <v>83.48345126607875</v>
      </c>
      <c r="J7" s="23">
        <f>J5+J6</f>
        <v>148.25825126607876</v>
      </c>
      <c r="K7" s="23">
        <f>K5+K6</f>
        <v>216.55985126607877</v>
      </c>
      <c r="L7" s="23">
        <f>L5+L6</f>
        <v>280.9014512660787</v>
      </c>
      <c r="M7" s="23">
        <f>M5+M6</f>
        <v>320.92865126607876</v>
      </c>
      <c r="N7" s="23">
        <f>N5+N6</f>
        <v>332.77385126607874</v>
      </c>
      <c r="O7" s="23">
        <f>O5+O6</f>
        <v>336.56825126607873</v>
      </c>
      <c r="P7" s="23">
        <f>P5+P6</f>
        <v>336.56825126607873</v>
      </c>
      <c r="Q7" s="23">
        <f>Q5+Q6</f>
        <v>336.56825126607873</v>
      </c>
      <c r="R7" s="23">
        <f>R5+R6</f>
        <v>336.56825126607873</v>
      </c>
      <c r="S7" s="23">
        <f>S5+S6</f>
        <v>336.56825126607873</v>
      </c>
      <c r="T7" s="23">
        <f>T5+T6</f>
        <v>284.32025126607874</v>
      </c>
      <c r="U7" s="23">
        <f>U5+U6</f>
        <v>171.79625126607874</v>
      </c>
      <c r="V7" s="23">
        <f>V5+V6</f>
        <v>92.91425126607874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32.140251266078735</v>
      </c>
      <c r="I8" s="23">
        <f>MIN(H17,MAX(0,I7))</f>
        <v>83.48345126607875</v>
      </c>
      <c r="J8" s="23">
        <f>MIN(I17,MAX(0,J7))</f>
        <v>148.25825126607876</v>
      </c>
      <c r="K8" s="23">
        <f>MIN(J17,MAX(0,K7))</f>
        <v>216.55985126607877</v>
      </c>
      <c r="L8" s="23">
        <f>MIN(K17,MAX(0,L7))</f>
        <v>280.9014512660787</v>
      </c>
      <c r="M8" s="23">
        <f>MIN(L17,MAX(0,M7))</f>
        <v>252.67889240352753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68.24975886255123</v>
      </c>
      <c r="N9" s="23">
        <f>MAX(0,N7)-N8</f>
        <v>332.77385126607874</v>
      </c>
      <c r="O9" s="23">
        <f>MAX(0,O7)-O8</f>
        <v>336.56825126607873</v>
      </c>
      <c r="P9" s="23">
        <f>MAX(0,P7)-P8</f>
        <v>336.56825126607873</v>
      </c>
      <c r="Q9" s="23">
        <f>MAX(0,Q7)-Q8</f>
        <v>336.56825126607873</v>
      </c>
      <c r="R9" s="23">
        <f>MAX(0,R7)-R8</f>
        <v>336.56825126607873</v>
      </c>
      <c r="S9" s="23">
        <f>MAX(0,S7)-S8</f>
        <v>336.56825126607873</v>
      </c>
      <c r="T9" s="23">
        <f>MAX(0,T7)-T8</f>
        <v>284.32025126607874</v>
      </c>
      <c r="U9" s="23">
        <f>MAX(0,U7)-U8</f>
        <v>171.79625126607874</v>
      </c>
      <c r="V9" s="23">
        <f>MAX(0,V7)-V8</f>
        <v>92.91425126607874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14.332449361135758</v>
      </c>
      <c r="N10" s="23">
        <f>N9*Assumptions!$E$15</f>
        <v>69.88250876587654</v>
      </c>
      <c r="O10" s="23">
        <f>O9*Assumptions!$E$15</f>
        <v>70.67933276587654</v>
      </c>
      <c r="P10" s="23">
        <f>P9*Assumptions!$E$15</f>
        <v>70.67933276587654</v>
      </c>
      <c r="Q10" s="23">
        <f>Q9*Assumptions!$E$15</f>
        <v>70.67933276587654</v>
      </c>
      <c r="R10" s="23">
        <f>R9*Assumptions!$E$15</f>
        <v>70.67933276587654</v>
      </c>
      <c r="S10" s="23">
        <f>S9*Assumptions!$E$15</f>
        <v>70.67933276587654</v>
      </c>
      <c r="T10" s="23">
        <f>T9*Assumptions!$E$15</f>
        <v>59.70725276587653</v>
      </c>
      <c r="U10" s="23">
        <f>U9*Assumptions!$E$15</f>
        <v>36.07721276587653</v>
      </c>
      <c r="V10" s="23">
        <f>V9*Assumptions!$E$15</f>
        <v>19.511992765876535</v>
      </c>
    </row>
    <row r="11">
      <c r="A11" s="24" t="inlineStr">
        <is>
          <t>Free cash flow</t>
        </is>
      </c>
      <c r="C11" s="55">
        <f>C7-C10</f>
        <v>-82.552</v>
      </c>
      <c r="D11" s="55">
        <f>D7-D10</f>
        <v>-82.552</v>
      </c>
      <c r="E11" s="55">
        <f>E7-E10</f>
        <v>-82.552</v>
      </c>
      <c r="F11" s="55">
        <f>F7-F10</f>
        <v>-82.552</v>
      </c>
      <c r="G11" s="55">
        <f>G7-G10</f>
        <v>-0.8141487339212627</v>
      </c>
      <c r="H11" s="55">
        <f>H7-H10</f>
        <v>32.140251266078735</v>
      </c>
      <c r="I11" s="55">
        <f>I7-I10</f>
        <v>83.48345126607875</v>
      </c>
      <c r="J11" s="55">
        <f>J7-J10</f>
        <v>148.25825126607876</v>
      </c>
      <c r="K11" s="55">
        <f>K7-K10</f>
        <v>216.55985126607877</v>
      </c>
      <c r="L11" s="55">
        <f>L7-L10</f>
        <v>280.9014512660787</v>
      </c>
      <c r="M11" s="55">
        <f>M7-M10</f>
        <v>306.596201904943</v>
      </c>
      <c r="N11" s="55">
        <f>N7-N10</f>
        <v>262.8913425002022</v>
      </c>
      <c r="O11" s="55">
        <f>O7-O10</f>
        <v>265.8889185002022</v>
      </c>
      <c r="P11" s="55">
        <f>P7-P10</f>
        <v>265.8889185002022</v>
      </c>
      <c r="Q11" s="55">
        <f>Q7-Q10</f>
        <v>265.8889185002022</v>
      </c>
      <c r="R11" s="55">
        <f>R7-R10</f>
        <v>265.8889185002022</v>
      </c>
      <c r="S11" s="55">
        <f>S7-S10</f>
        <v>265.8889185002022</v>
      </c>
      <c r="T11" s="55">
        <f>T7-T10</f>
        <v>224.6129985002022</v>
      </c>
      <c r="U11" s="55">
        <f>U7-U10</f>
        <v>135.7190385002022</v>
      </c>
      <c r="V11" s="55">
        <f>V7-V10</f>
        <v>73.40225850020221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-40.44258381985832</v>
      </c>
      <c r="D16" s="55">
        <f>D11*D15</f>
        <v>-73.67290296475025</v>
      </c>
      <c r="E16" s="55">
        <f>E11*E15</f>
        <v>-65.77937764709841</v>
      </c>
      <c r="F16" s="55">
        <f>F11*F15</f>
        <v>-58.7315871849093</v>
      </c>
      <c r="G16" s="55">
        <f>G11*G15</f>
        <v>-0.5171658831898612</v>
      </c>
      <c r="H16" s="55">
        <f>H11*H15</f>
        <v>18.228769795525626</v>
      </c>
      <c r="I16" s="55">
        <f>I11*I15</f>
        <v>42.27566666290961</v>
      </c>
      <c r="J16" s="55">
        <f>J11*J15</f>
        <v>67.03334950452545</v>
      </c>
      <c r="K16" s="55">
        <f>K11*K15</f>
        <v>87.42426086743174</v>
      </c>
      <c r="L16" s="55">
        <f>L11*L15</f>
        <v>101.2488234032654</v>
      </c>
      <c r="M16" s="55">
        <f>M11*M15</f>
        <v>98.66991406108647</v>
      </c>
      <c r="N16" s="55">
        <f>N11*N15</f>
        <v>75.53987136690456</v>
      </c>
      <c r="O16" s="55">
        <f>O11*O15</f>
        <v>68.21535940059394</v>
      </c>
      <c r="P16" s="55">
        <f>P11*P15</f>
        <v>60.90657089338744</v>
      </c>
      <c r="Q16" s="55">
        <f>Q11*Q15</f>
        <v>54.380866869095925</v>
      </c>
      <c r="R16" s="55">
        <f>R11*R15</f>
        <v>48.554345418835645</v>
      </c>
      <c r="S16" s="55">
        <f>S11*S15</f>
        <v>43.35209412396039</v>
      </c>
      <c r="T16" s="55">
        <f>T11*T15</f>
        <v>32.69841536032252</v>
      </c>
      <c r="U16" s="55">
        <f>U11*U15</f>
        <v>17.640649547441882</v>
      </c>
      <c r="V16" s="55">
        <f>V11*V15</f>
        <v>8.518540611690616</v>
      </c>
    </row>
    <row r="17">
      <c r="A17" s="14" t="inlineStr">
        <is>
          <t>Tax-loss carryforward, end of year</t>
        </is>
      </c>
      <c r="C17" s="23">
        <f>Assumptions!$B$21-C8+MAX(0,-C7)</f>
        <v>765.552</v>
      </c>
      <c r="D17" s="23">
        <f>C17-D8+MAX(0,-D7)</f>
        <v>848.104</v>
      </c>
      <c r="E17" s="23">
        <f>D17-E8+MAX(0,-E7)</f>
        <v>930.6560000000001</v>
      </c>
      <c r="F17" s="23">
        <f>E17-F8+MAX(0,-F7)</f>
        <v>1013.2080000000001</v>
      </c>
      <c r="G17" s="23">
        <f>F17-G8+MAX(0,-G7)</f>
        <v>1014.0221487339213</v>
      </c>
      <c r="H17" s="23">
        <f>G17-H8+MAX(0,-H7)</f>
        <v>981.8818974678426</v>
      </c>
      <c r="I17" s="23">
        <f>H17-I8+MAX(0,-I7)</f>
        <v>898.3984462017638</v>
      </c>
      <c r="J17" s="23">
        <f>I17-J8+MAX(0,-J7)</f>
        <v>750.140194935685</v>
      </c>
      <c r="K17" s="23">
        <f>J17-K8+MAX(0,-K7)</f>
        <v>533.5803436696062</v>
      </c>
      <c r="L17" s="23">
        <f>K17-L8+MAX(0,-L7)</f>
        <v>252.67889240352753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993.6054774871119</v>
      </c>
    </row>
    <row r="20">
      <c r="A20" s="14" t="inlineStr">
        <is>
          <t>PV of corporate burn</t>
        </is>
      </c>
      <c r="B20" s="23">
        <f>SUMPRODUCT(C6:V6,C15:V15)</f>
        <v>-294.5131138449331</v>
      </c>
    </row>
    <row r="21">
      <c r="A21" s="14" t="inlineStr">
        <is>
          <t>PV of taxes</t>
        </is>
      </c>
      <c r="B21" s="23">
        <f>-SUMPRODUCT(C10:V10,C15:V15)</f>
        <v>-113.54848325500765</v>
      </c>
    </row>
    <row r="22">
      <c r="A22" s="24" t="inlineStr">
        <is>
          <t>Pipeline rNPV (operations)</t>
        </is>
      </c>
      <c r="B22" s="54">
        <f>SUM(C16:V16)</f>
        <v>585.543880387171</v>
      </c>
    </row>
    <row r="23">
      <c r="A23" s="14" t="inlineStr">
        <is>
          <t>Cash &amp; investments</t>
        </is>
      </c>
      <c r="B23" s="57">
        <f>Main!C7</f>
        <v>138.229</v>
      </c>
    </row>
    <row r="24">
      <c r="A24" s="14" t="inlineStr">
        <is>
          <t>Debt</t>
        </is>
      </c>
      <c r="B24" s="57">
        <f>Main!C8</f>
        <v>9.705</v>
      </c>
    </row>
    <row r="25">
      <c r="A25" s="24" t="inlineStr">
        <is>
          <t>Equity value</t>
        </is>
      </c>
      <c r="B25" s="54">
        <f>B22+B23-B24</f>
        <v>714.067880387171</v>
      </c>
    </row>
    <row r="26">
      <c r="A26" s="14" t="inlineStr">
        <is>
          <t>Shares (mm)</t>
        </is>
      </c>
      <c r="B26" s="57">
        <f>Main!C4</f>
        <v>138.276997</v>
      </c>
    </row>
    <row r="27">
      <c r="A27" s="24" t="inlineStr">
        <is>
          <t>rNPV / share</t>
        </is>
      </c>
      <c r="B27" s="60">
        <f>B25/B26</f>
        <v>5.164039542941268</v>
      </c>
    </row>
    <row r="28">
      <c r="A28" s="14" t="inlineStr">
        <is>
          <t>Price</t>
        </is>
      </c>
      <c r="B28" s="61">
        <f>Main!C3</f>
        <v>1.14</v>
      </c>
    </row>
    <row r="29">
      <c r="A29" s="14" t="inlineStr">
        <is>
          <t>Upside</t>
        </is>
      </c>
      <c r="B29" s="62">
        <f>B27/B28-1</f>
        <v>3.5298592481940947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2026-10-21T06:27:28Z</dcterms:modified>
  <cp:lastModifiedBy>Wang, Eric</cp:lastModifiedBy>
</cp:coreProperties>
</file>