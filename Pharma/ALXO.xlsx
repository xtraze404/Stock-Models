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ALX Oncology Holdings Inc</t>
        </is>
      </c>
      <c r="C2" s="10" t="n"/>
    </row>
    <row r="3">
      <c r="B3" t="inlineStr">
        <is>
          <t>Price</t>
        </is>
      </c>
      <c r="C3" s="11">
        <f>INDEX([1]Pharma!$F$1:$F$1000,MATCH("ALXO",[1]Pharma!$B$1:$B$1000,0))</f>
        <v>1.14</v>
      </c>
      <c r="F3" s="1" t="n"/>
    </row>
    <row r="4">
      <c r="B4" t="inlineStr">
        <is>
          <t>Shares</t>
        </is>
      </c>
      <c r="C4" s="21" t="n">
        <v>138.276997</v>
      </c>
      <c r="F4" s="1" t="n"/>
    </row>
    <row r="5">
      <c r="B5" t="inlineStr">
        <is>
          <t>Market Cap.</t>
        </is>
      </c>
      <c r="C5" s="13">
        <f>C3*C4</f>
        <v>157.63577657999997</v>
      </c>
      <c r="F5" s="1" t="n"/>
    </row>
    <row r="6"/>
    <row r="7">
      <c r="B7" t="inlineStr">
        <is>
          <t>Cash</t>
        </is>
      </c>
      <c r="C7" s="21">
        <f>22.687+115.542</f>
        <v>138.229</v>
      </c>
    </row>
    <row r="8">
      <c r="B8" t="inlineStr">
        <is>
          <t>Debt</t>
        </is>
      </c>
      <c r="C8" s="21" t="n">
        <v>9.705</v>
      </c>
    </row>
    <row r="9">
      <c r="B9" t="inlineStr">
        <is>
          <t>Enterprise V.</t>
        </is>
      </c>
      <c r="C9" s="13">
        <f>C5-C7+C8</f>
        <v>29.111776579999955</v>
      </c>
    </row>
    <row r="10"/>
    <row r="11">
      <c r="B11" s="14" t="inlineStr">
        <is>
          <t>Net Cash / Share</t>
        </is>
      </c>
      <c r="C11" s="11">
        <f>(C7-C8)/C4</f>
        <v>0.9294676829002875</v>
      </c>
    </row>
    <row r="12">
      <c r="B12" s="14" t="inlineStr">
        <is>
          <t>Upside</t>
        </is>
      </c>
      <c r="C12" s="15">
        <f>IFERROR(C11/C3-1,"")</f>
        <v>-0.1846774711400987</v>
      </c>
    </row>
    <row r="13">
      <c r="B13" s="14" t="inlineStr">
        <is>
          <t>Cash / Share</t>
        </is>
      </c>
      <c r="C13" s="11">
        <f>IFERROR((C7-C8)/C4,"")</f>
        <v>0.9294676829002875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-70.77800000000001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1.815874989403487</v>
      </c>
    </row>
    <row r="19">
      <c r="B19" s="14" t="inlineStr">
        <is>
          <t>Implied Pipeline Value</t>
        </is>
      </c>
      <c r="C19" s="13">
        <f>C9</f>
        <v>29.111776579999955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2.067</v>
      </c>
      <c r="C2" s="23" t="n">
        <v>4.796</v>
      </c>
      <c r="D2" s="23" t="n">
        <v>1.182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2.067</v>
      </c>
      <c r="C4" s="23">
        <f>C2-C3</f>
        <v>4.796</v>
      </c>
      <c r="D4" s="23">
        <f>D2-D3</f>
        <v>1.182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11.27</v>
      </c>
      <c r="C5" s="23" t="n">
        <v>16.306</v>
      </c>
      <c r="D5" s="23" t="n">
        <v>28.961</v>
      </c>
      <c r="E5" s="23" t="n">
        <v>60.17</v>
      </c>
      <c r="F5" s="23" t="n">
        <v>98.40000000000001</v>
      </c>
      <c r="G5" s="23" t="n">
        <v>141.795</v>
      </c>
      <c r="H5" s="23" t="n">
        <v>116.373</v>
      </c>
      <c r="I5" s="23" t="n">
        <v>76.996</v>
      </c>
      <c r="J5" s="1" t="n"/>
      <c r="K5" s="1" t="n"/>
    </row>
    <row r="6">
      <c r="A6" s="19" t="inlineStr">
        <is>
          <t>SG&amp;A &amp; Other</t>
        </is>
      </c>
      <c r="B6" s="23" t="n">
        <v>4.481</v>
      </c>
      <c r="C6" s="23" t="n">
        <v>7.673</v>
      </c>
      <c r="D6" s="23" t="n">
        <v>15.884</v>
      </c>
      <c r="E6" s="23" t="n">
        <v>23.385</v>
      </c>
      <c r="F6" s="23" t="n">
        <v>29.036</v>
      </c>
      <c r="G6" s="23" t="n">
        <v>28.483</v>
      </c>
      <c r="H6" s="23" t="n">
        <v>26.094</v>
      </c>
      <c r="I6" s="23" t="n">
        <v>27.025</v>
      </c>
      <c r="J6" s="1" t="n"/>
      <c r="K6" s="1" t="n"/>
    </row>
    <row r="7">
      <c r="A7" s="2" t="inlineStr">
        <is>
          <t>Operating Expense</t>
        </is>
      </c>
      <c r="B7" s="23">
        <f>SUM(B5:B6)</f>
        <v>15.751</v>
      </c>
      <c r="C7" s="23">
        <f>SUM(C5:C6)</f>
        <v>23.979</v>
      </c>
      <c r="D7" s="23">
        <f>SUM(D5:D6)</f>
        <v>44.845</v>
      </c>
      <c r="E7" s="23">
        <f>SUM(E5:E6)</f>
        <v>83.555</v>
      </c>
      <c r="F7" s="23">
        <f>SUM(F5:F6)</f>
        <v>127.436</v>
      </c>
      <c r="G7" s="23">
        <f>SUM(G5:G6)</f>
        <v>170.278</v>
      </c>
      <c r="H7" s="23">
        <f>SUM(H5:H6)</f>
        <v>142.467</v>
      </c>
      <c r="I7" s="23">
        <f>SUM(I5:I6)</f>
        <v>104.02099999999999</v>
      </c>
      <c r="J7" s="1" t="n"/>
      <c r="K7" s="1" t="n"/>
    </row>
    <row r="8">
      <c r="A8" s="2" t="inlineStr">
        <is>
          <t>Operating Income</t>
        </is>
      </c>
      <c r="B8" s="23">
        <f>B4-B7</f>
        <v>-13.684</v>
      </c>
      <c r="C8" s="23">
        <f>C4-C7</f>
        <v>-19.183</v>
      </c>
      <c r="D8" s="23">
        <f>D4-D7</f>
        <v>-43.663</v>
      </c>
      <c r="E8" s="23">
        <f>E4-E7</f>
        <v>-83.555</v>
      </c>
      <c r="F8" s="23">
        <f>F4-F7</f>
        <v>-127.436</v>
      </c>
      <c r="G8" s="23">
        <f>G4-G7</f>
        <v>-170.278</v>
      </c>
      <c r="H8" s="23">
        <f>H4-H7</f>
        <v>-142.467</v>
      </c>
      <c r="I8" s="23">
        <f>I4-I7</f>
        <v>-104.02099999999999</v>
      </c>
      <c r="J8" s="1" t="n"/>
      <c r="K8" s="1" t="n"/>
    </row>
    <row r="9">
      <c r="A9" s="19" t="inlineStr">
        <is>
          <t>Interest &amp; Other</t>
        </is>
      </c>
      <c r="B9" s="23" t="n">
        <v>-0.002</v>
      </c>
      <c r="C9" s="23" t="n">
        <v>-0.026</v>
      </c>
      <c r="D9" s="23" t="n">
        <v>-1.836</v>
      </c>
      <c r="E9" s="23" t="n">
        <v>0.07099999999999999</v>
      </c>
      <c r="F9" s="23" t="n">
        <v>4.018</v>
      </c>
      <c r="G9" s="23" t="n">
        <v>9.473000000000001</v>
      </c>
      <c r="H9" s="23" t="n">
        <v>7.617</v>
      </c>
      <c r="I9" s="23" t="n">
        <v>2.326</v>
      </c>
    </row>
    <row r="10">
      <c r="A10" s="2" t="inlineStr">
        <is>
          <t>Pretax</t>
        </is>
      </c>
      <c r="B10" s="23">
        <f>B8+B9</f>
        <v>-13.686</v>
      </c>
      <c r="C10" s="23">
        <f>C8+C9</f>
        <v>-19.209</v>
      </c>
      <c r="D10" s="23">
        <f>D8+D9</f>
        <v>-45.498999999999995</v>
      </c>
      <c r="E10" s="23">
        <f>E8+E9</f>
        <v>-83.48400000000001</v>
      </c>
      <c r="F10" s="23">
        <f>F8+F9</f>
        <v>-123.418</v>
      </c>
      <c r="G10" s="23">
        <f>G8+G9</f>
        <v>-160.80499999999998</v>
      </c>
      <c r="H10" s="23">
        <f>H8+H9</f>
        <v>-134.85000000000002</v>
      </c>
      <c r="I10" s="23">
        <f>I8+I9</f>
        <v>-101.695</v>
      </c>
      <c r="J10" s="1" t="n"/>
      <c r="K10" s="1" t="n"/>
    </row>
    <row r="11">
      <c r="A11" s="2" t="inlineStr">
        <is>
          <t>Taxes</t>
        </is>
      </c>
      <c r="B11" s="23" t="n">
        <v>0.045</v>
      </c>
      <c r="C11" s="23" t="n">
        <v>0.034</v>
      </c>
      <c r="D11" s="23" t="n">
        <v>0.241</v>
      </c>
      <c r="E11" s="23" t="n">
        <v>-0.021</v>
      </c>
      <c r="F11" s="23" t="n">
        <v>0.064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-13.731</v>
      </c>
      <c r="C12" s="23" t="n">
        <v>-19.243</v>
      </c>
      <c r="D12" s="23" t="n">
        <v>-45.74</v>
      </c>
      <c r="E12" s="23" t="n">
        <v>-83.46299999999999</v>
      </c>
      <c r="F12" s="23" t="n">
        <v>-123.482</v>
      </c>
      <c r="G12" s="23" t="n">
        <v>-160.805</v>
      </c>
      <c r="H12" s="23" t="n">
        <v>-134.85</v>
      </c>
      <c r="I12" s="23" t="n">
        <v>-101.695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-0.8319297182671918</v>
      </c>
      <c r="C13" s="11">
        <f>IFERROR(C12/C14,0)</f>
        <v>-1.0424725066363292</v>
      </c>
      <c r="D13" s="11">
        <f>IFERROR(D12/D14,0)</f>
        <v>-2.474438734108737</v>
      </c>
      <c r="E13" s="11">
        <f>IFERROR(E12/E14,0)</f>
        <v>-2.0706311402203035</v>
      </c>
      <c r="F13" s="11">
        <f>IFERROR(F12/F14,0)</f>
        <v>-3.033955773955774</v>
      </c>
      <c r="G13" s="11">
        <f>IFERROR(G12/G14,0)</f>
        <v>-3.7406950776961017</v>
      </c>
      <c r="H13" s="11">
        <f>IFERROR(H12/H14,0)</f>
        <v>-2.584571154767609</v>
      </c>
      <c r="I13" s="11">
        <f>IFERROR(I12/I14,0)</f>
        <v>-1.8952439524395241</v>
      </c>
    </row>
    <row r="14">
      <c r="A14" s="2" t="inlineStr">
        <is>
          <t>Shares</t>
        </is>
      </c>
      <c r="B14" s="23" t="n">
        <v>16.505</v>
      </c>
      <c r="C14" s="23" t="n">
        <v>18.459</v>
      </c>
      <c r="D14" s="23" t="n">
        <v>18.485</v>
      </c>
      <c r="E14" s="23" t="n">
        <v>40.308</v>
      </c>
      <c r="F14" s="23" t="n">
        <v>40.7</v>
      </c>
      <c r="G14" s="23" t="n">
        <v>42.988</v>
      </c>
      <c r="H14" s="23" t="n">
        <v>52.175</v>
      </c>
      <c r="I14" s="23" t="n">
        <v>53.658</v>
      </c>
    </row>
    <row r="15"/>
    <row r="16" customFormat="1" s="4">
      <c r="A16" s="3" t="inlineStr">
        <is>
          <t>Revenue Change</t>
        </is>
      </c>
      <c r="C16" s="15">
        <f>IFERROR(C2/B2-1,"")</f>
        <v>1.3202709240445087</v>
      </c>
      <c r="D16" s="15">
        <f>IFERROR(D2/C2-1,"")</f>
        <v>-0.7535446205170976</v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>-6.620222544750845</v>
      </c>
      <c r="C18" s="15">
        <f>IFERROR(C8/C2,"")</f>
        <v>-3.9997914929107585</v>
      </c>
      <c r="D18" s="15">
        <f>IFERROR(D8/D2,"")</f>
        <v>-36.93993231810491</v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2026-10-21T01:05:47Z</dcterms:modified>
  <cp:lastModifiedBy>Wang, Eric</cp:lastModifiedBy>
</cp:coreProperties>
</file>