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Legend Biotech Corporation</t>
        </is>
      </c>
      <c r="C2" s="10" t="n"/>
    </row>
    <row r="3">
      <c r="B3" t="inlineStr">
        <is>
          <t>Price</t>
        </is>
      </c>
      <c r="C3" s="11">
        <f>INDEX([1]Pharma!$F$1:$F$1000,MATCH("LEGN",[1]Pharma!$B$1:$B$1000,0))</f>
        <v>19.01</v>
      </c>
      <c r="F3" s="1" t="n"/>
    </row>
    <row r="4">
      <c r="B4" t="inlineStr">
        <is>
          <t>Shares</t>
        </is>
      </c>
      <c r="C4" s="51">
        <f>369.886369/2</f>
        <v>184.9431845</v>
      </c>
      <c r="F4" s="1" t="n"/>
    </row>
    <row r="5">
      <c r="B5" t="inlineStr">
        <is>
          <t>Market Cap.</t>
        </is>
      </c>
      <c r="C5" s="13">
        <f>C3*C4</f>
        <v>3515.7699373450005</v>
      </c>
      <c r="F5" s="1" t="n"/>
    </row>
    <row r="6"/>
    <row r="7">
      <c r="B7" t="inlineStr">
        <is>
          <t>Cash</t>
        </is>
      </c>
      <c r="C7" s="51" t="n">
        <v>901.9</v>
      </c>
    </row>
    <row r="8">
      <c r="B8" t="inlineStr">
        <is>
          <t>Debt</t>
        </is>
      </c>
      <c r="C8" s="51" t="n">
        <v>319.1</v>
      </c>
    </row>
    <row r="9">
      <c r="B9" t="inlineStr">
        <is>
          <t>Enterprise V.</t>
        </is>
      </c>
      <c r="C9" s="13">
        <f>C5-C7+C8</f>
        <v>2932.9699373450003</v>
      </c>
    </row>
    <row r="10"/>
    <row r="11">
      <c r="B11" s="14" t="inlineStr">
        <is>
          <t>NPV / Share</t>
        </is>
      </c>
      <c r="C11" s="11">
        <f>NPV!B28</f>
        <v>24.93830421292855</v>
      </c>
    </row>
    <row r="12">
      <c r="B12" s="14" t="inlineStr">
        <is>
          <t>Upside</t>
        </is>
      </c>
      <c r="C12" s="15">
        <f>IFERROR(C11/C3-1,"")</f>
        <v>0.31185187863906094</v>
      </c>
    </row>
    <row r="13">
      <c r="B13" s="14" t="inlineStr">
        <is>
          <t>Cash / Share</t>
        </is>
      </c>
      <c r="C13" s="11">
        <f>IFERROR((C7-C8)/C4,"")</f>
        <v>3.151238049542723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2018</v>
      </c>
      <c r="C1" s="16" t="n">
        <v>2019</v>
      </c>
      <c r="D1" s="16" t="n">
        <v>2020</v>
      </c>
      <c r="E1" s="16" t="n">
        <v>2021</v>
      </c>
      <c r="F1" s="16" t="n">
        <v>2022</v>
      </c>
      <c r="G1" s="16" t="n">
        <v>2023</v>
      </c>
      <c r="H1" s="16" t="n">
        <v>2024</v>
      </c>
      <c r="I1" s="16" t="n">
        <v>2025</v>
      </c>
      <c r="J1" s="16" t="n">
        <v>2026</v>
      </c>
      <c r="K1" s="16" t="n">
        <v>2027</v>
      </c>
      <c r="L1" s="16" t="n">
        <v>2028</v>
      </c>
      <c r="M1" s="16" t="n">
        <v>2029</v>
      </c>
      <c r="N1" s="16" t="n">
        <v>2030</v>
      </c>
      <c r="O1" s="16" t="n">
        <v>2031</v>
      </c>
      <c r="P1" s="16" t="n">
        <v>2032</v>
      </c>
      <c r="Q1" s="16" t="n">
        <v>2033</v>
      </c>
      <c r="R1" s="16" t="n">
        <v>2034</v>
      </c>
      <c r="S1" s="16" t="n">
        <v>2035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49.133</v>
      </c>
      <c r="C2" s="52" t="n">
        <v>59.98</v>
      </c>
      <c r="D2" s="52" t="n">
        <v>75</v>
      </c>
      <c r="E2" s="52" t="n">
        <v>68.82599999999999</v>
      </c>
      <c r="F2" s="52" t="n">
        <v>117.005</v>
      </c>
      <c r="G2" s="52" t="n">
        <v>285.143</v>
      </c>
      <c r="H2" s="52" t="n">
        <v>627.3</v>
      </c>
      <c r="I2" s="52" t="n">
        <v>1028.9</v>
      </c>
      <c r="J2" s="52">
        <f>I2*(1+NPV!C5)</f>
        <v>1389.0150000000003</v>
      </c>
      <c r="K2" s="52">
        <f>J2*(1+NPV!D5)</f>
        <v>1825.0113750000005</v>
      </c>
      <c r="L2" s="52">
        <f>K2*(1+NPV!E5)</f>
        <v>2331.958979166667</v>
      </c>
      <c r="M2" s="52">
        <f>L2*(1+NPV!F5)</f>
        <v>2895.5157324652787</v>
      </c>
      <c r="N2" s="52">
        <f>M2*(1+NPV!G5)</f>
        <v>3490.70507747203</v>
      </c>
      <c r="O2" s="52">
        <f>N2*(1+NPV!H5)</f>
        <v>4082.18566004368</v>
      </c>
      <c r="P2" s="52">
        <f>O2*(1+NPV!I5)</f>
        <v>4626.477081382837</v>
      </c>
      <c r="Q2" s="52">
        <f>P2*(1+NPV!J5)</f>
        <v>5076.273464295058</v>
      </c>
      <c r="R2" s="52">
        <f>Q2*(1+NPV!K5)</f>
        <v>5386.490176001978</v>
      </c>
      <c r="S2" s="52">
        <f>R2*(1+NPV!L5)</f>
        <v>5521.152430402028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65.363</v>
      </c>
      <c r="G3" s="52" t="n">
        <v>144.2</v>
      </c>
      <c r="H3" s="52" t="n">
        <v>216.4</v>
      </c>
      <c r="I3" s="52" t="n">
        <v>397.1</v>
      </c>
      <c r="J3" s="52">
        <f>J2*(1-Assumptions!$B$19)</f>
        <v>536.0208885000002</v>
      </c>
      <c r="K3" s="52">
        <f>K2*(1-Assumptions!$B$19)</f>
        <v>704.2718896125002</v>
      </c>
      <c r="L3" s="52">
        <f>L2*(1-Assumptions!$B$19)</f>
        <v>899.9029700604169</v>
      </c>
      <c r="M3" s="52">
        <f>M2*(1-Assumptions!$B$19)</f>
        <v>1117.379521158351</v>
      </c>
      <c r="N3" s="52">
        <f>N2*(1-Assumptions!$B$19)</f>
        <v>1347.0630893964565</v>
      </c>
      <c r="O3" s="52">
        <f>O2*(1-Assumptions!$B$19)</f>
        <v>1575.3154462108562</v>
      </c>
      <c r="P3" s="52">
        <f>P2*(1-Assumptions!$B$19)</f>
        <v>1785.357505705637</v>
      </c>
      <c r="Q3" s="52">
        <f>Q2*(1-Assumptions!$B$19)</f>
        <v>1958.933929871463</v>
      </c>
      <c r="R3" s="52">
        <f>R2*(1-Assumptions!$B$19)</f>
        <v>2078.6465589191635</v>
      </c>
      <c r="S3" s="52">
        <f>S2*(1-Assumptions!$B$19)</f>
        <v>2130.6127228921428</v>
      </c>
    </row>
    <row r="4" customFormat="1" s="1">
      <c r="A4" s="5" t="inlineStr">
        <is>
          <t>Gross Margin</t>
        </is>
      </c>
      <c r="B4" s="52">
        <f>B2-B3</f>
        <v>49.133</v>
      </c>
      <c r="C4" s="52">
        <f>C2-C3</f>
        <v>59.98</v>
      </c>
      <c r="D4" s="52">
        <f>D2-D3</f>
        <v>75.0</v>
      </c>
      <c r="E4" s="52">
        <f>E2-E3</f>
        <v>68.826</v>
      </c>
      <c r="F4" s="52">
        <f>F2-F3</f>
        <v>51.641999999999996</v>
      </c>
      <c r="G4" s="52">
        <f>G2-G3</f>
        <v>140.94299999999998</v>
      </c>
      <c r="H4" s="52">
        <f>H2-H3</f>
        <v>410.9</v>
      </c>
      <c r="I4" s="52">
        <f>I2-I3</f>
        <v>631.8000000000001</v>
      </c>
      <c r="J4" s="52">
        <f>J2-J3</f>
        <v>852.9941115000001</v>
      </c>
      <c r="K4" s="52">
        <f>K2-K3</f>
        <v>1120.7394853875003</v>
      </c>
      <c r="L4" s="52">
        <f>L2-L3</f>
        <v>1432.0560091062503</v>
      </c>
      <c r="M4" s="52">
        <f>M2-M3</f>
        <v>1778.1362113069276</v>
      </c>
      <c r="N4" s="52">
        <f>N2-N3</f>
        <v>2143.641988075574</v>
      </c>
      <c r="O4" s="52">
        <f>O2-O3</f>
        <v>2506.8702138328235</v>
      </c>
      <c r="P4" s="52">
        <f>P2-P3</f>
        <v>2841.1195756772004</v>
      </c>
      <c r="Q4" s="52">
        <f>Q2-Q3</f>
        <v>3117.339534423595</v>
      </c>
      <c r="R4" s="52">
        <f>R2-R3</f>
        <v>3307.843617082815</v>
      </c>
      <c r="S4" s="52">
        <f>S2-S3</f>
        <v>3390.539707509885</v>
      </c>
    </row>
    <row r="5">
      <c r="A5" s="2" t="inlineStr">
        <is>
          <t>Research &amp; Dev.</t>
        </is>
      </c>
      <c r="B5" s="52" t="n">
        <v>60.637</v>
      </c>
      <c r="C5" s="52" t="n">
        <v>161.943</v>
      </c>
      <c r="D5" s="52" t="n">
        <v>232.16</v>
      </c>
      <c r="E5" s="52" t="n">
        <v>313.346</v>
      </c>
      <c r="F5" s="52" t="n">
        <v>335.648</v>
      </c>
      <c r="G5" s="52" t="n">
        <v>382.2</v>
      </c>
      <c r="H5" s="52" t="n">
        <v>413.5</v>
      </c>
      <c r="I5" s="52" t="n">
        <v>414.7</v>
      </c>
      <c r="J5" s="52">
        <f>J7*Assumptions!$B$20</f>
        <v>534.99787061841</v>
      </c>
      <c r="K5" s="52">
        <f>K7*Assumptions!$B$20</f>
        <v>670.1521120494585</v>
      </c>
      <c r="L5" s="52">
        <f>L7*Assumptions!$B$20</f>
        <v>814.4254847347763</v>
      </c>
      <c r="M5" s="52">
        <f>M7*Assumptions!$B$20</f>
        <v>959.2439870943732</v>
      </c>
      <c r="N5" s="52">
        <f>N7*Assumptions!$B$20</f>
        <v>1093.7318356456217</v>
      </c>
      <c r="O5" s="52">
        <f>O7*Assumptions!$B$20</f>
        <v>1205.7460506399655</v>
      </c>
      <c r="P5" s="52">
        <f>P7*Assumptions!$B$20</f>
        <v>1283.4246133550864</v>
      </c>
      <c r="Q5" s="52">
        <f>Q7*Assumptions!$B$20</f>
        <v>1317.0364700389637</v>
      </c>
      <c r="R5" s="52">
        <f>R7*Assumptions!$B$20</f>
        <v>1300.7852685985151</v>
      </c>
      <c r="S5" s="52">
        <f>S7*Assumptions!$B$20</f>
        <v>1234.1497177276328</v>
      </c>
    </row>
    <row r="6">
      <c r="A6" s="18" t="inlineStr">
        <is>
          <t>SG&amp;A &amp; Other</t>
        </is>
      </c>
      <c r="B6" s="52" t="n">
        <v>2.769</v>
      </c>
      <c r="C6" s="52" t="n">
        <v>6.751</v>
      </c>
      <c r="D6" s="52" t="n">
        <v>23.134</v>
      </c>
      <c r="E6" s="52" t="n">
        <v>46.961</v>
      </c>
      <c r="F6" s="52" t="n">
        <v>80.631</v>
      </c>
      <c r="G6" s="52" t="n">
        <v>286.843</v>
      </c>
      <c r="H6" s="52" t="n">
        <v>306.9</v>
      </c>
      <c r="I6" s="52" t="n">
        <v>353.6</v>
      </c>
      <c r="J6" s="52">
        <f>J7-J5</f>
        <v>456.10600233159016</v>
      </c>
      <c r="K6" s="52">
        <f>K7-K5</f>
        <v>571.3301259080417</v>
      </c>
      <c r="L6" s="52">
        <f>L7-L5</f>
        <v>694.3286551962656</v>
      </c>
      <c r="M6" s="52">
        <f>M7-M5</f>
        <v>817.7919282342176</v>
      </c>
      <c r="N6" s="52">
        <f>N7-N5</f>
        <v>932.4479265730183</v>
      </c>
      <c r="O6" s="52">
        <f>O7-O5</f>
        <v>1027.944298822735</v>
      </c>
      <c r="P6" s="52">
        <f>P7-P5</f>
        <v>1094.1682235383678</v>
      </c>
      <c r="Q6" s="52">
        <f>Q7-Q5</f>
        <v>1122.8236078398131</v>
      </c>
      <c r="R6" s="52">
        <f>R7-R5</f>
        <v>1108.9688414394902</v>
      </c>
      <c r="S6" s="52">
        <f>S7-S5</f>
        <v>1052.1595037018465</v>
      </c>
    </row>
    <row r="7">
      <c r="A7" s="2" t="inlineStr">
        <is>
          <t>Operating Expense</t>
        </is>
      </c>
      <c r="B7" s="52">
        <f>SUM(B5:B6)</f>
        <v>63.406</v>
      </c>
      <c r="C7" s="52">
        <f>SUM(C5:C6)</f>
        <v>168.69400000000002</v>
      </c>
      <c r="D7" s="52">
        <f>SUM(D5:D6)</f>
        <v>255.29399999999998</v>
      </c>
      <c r="E7" s="52">
        <f>SUM(E5:E6)</f>
        <v>360.307</v>
      </c>
      <c r="F7" s="52">
        <f>SUM(F5:F6)</f>
        <v>416.279</v>
      </c>
      <c r="G7" s="52">
        <f>SUM(G5:G6)</f>
        <v>669.043</v>
      </c>
      <c r="H7" s="52">
        <f>SUM(H5:H6)</f>
        <v>720.4</v>
      </c>
      <c r="I7" s="52">
        <f>SUM(I5:I6)</f>
        <v>768.3</v>
      </c>
      <c r="J7" s="52">
        <f>J4-J2*NPV!C6</f>
        <v>991.1038729500002</v>
      </c>
      <c r="K7" s="52">
        <f>K4-K2*NPV!D6</f>
        <v>1241.4822379575003</v>
      </c>
      <c r="L7" s="52">
        <f>L4-L2*NPV!E6</f>
        <v>1508.754139931042</v>
      </c>
      <c r="M7" s="52">
        <f>M4-M2*NPV!F6</f>
        <v>1777.0359153285908</v>
      </c>
      <c r="N7" s="52">
        <f>N4-N2*NPV!G6</f>
        <v>2026.17976221864</v>
      </c>
      <c r="O7" s="52">
        <f>O4-O2*NPV!H6</f>
        <v>2233.6903494627004</v>
      </c>
      <c r="P7" s="52">
        <f>P4-P2*NPV!I6</f>
        <v>2377.592836893454</v>
      </c>
      <c r="Q7" s="52">
        <f>Q4-Q2*NPV!J6</f>
        <v>2439.860077878777</v>
      </c>
      <c r="R7" s="52">
        <f>R4-R2*NPV!K6</f>
        <v>2409.7541100380054</v>
      </c>
      <c r="S7" s="52">
        <f>S4-S2*NPV!L6</f>
        <v>2286.3092214294793</v>
      </c>
    </row>
    <row r="8">
      <c r="A8" s="2" t="inlineStr">
        <is>
          <t>Operating Income</t>
        </is>
      </c>
      <c r="B8" s="52">
        <f>B4-B7</f>
        <v>-14.272999999999996</v>
      </c>
      <c r="C8" s="52">
        <f>C4-C7</f>
        <v>-108.71400000000003</v>
      </c>
      <c r="D8" s="52">
        <f>D4-D7</f>
        <v>-180.29399999999998</v>
      </c>
      <c r="E8" s="52">
        <f>E4-E7</f>
        <v>-291.481</v>
      </c>
      <c r="F8" s="52">
        <f>F4-F7</f>
        <v>-364.637</v>
      </c>
      <c r="G8" s="52">
        <f>G4-G7</f>
        <v>-528.1</v>
      </c>
      <c r="H8" s="52">
        <f>H4-H7</f>
        <v>-309.5</v>
      </c>
      <c r="I8" s="52">
        <f>I4-I7</f>
        <v>-136.4999999999999</v>
      </c>
      <c r="J8" s="52">
        <f>J4-J7</f>
        <v>-138.10976145000006</v>
      </c>
      <c r="K8" s="52">
        <f>K4-K7</f>
        <v>-120.74275257</v>
      </c>
      <c r="L8" s="52">
        <f>L4-L7</f>
        <v>-76.69813082479163</v>
      </c>
      <c r="M8" s="52">
        <f>M4-M7</f>
        <v>1.100295978336817</v>
      </c>
      <c r="N8" s="52">
        <f>N4-N7</f>
        <v>117.46222585693386</v>
      </c>
      <c r="O8" s="52">
        <f>O4-O7</f>
        <v>273.17986437012314</v>
      </c>
      <c r="P8" s="52">
        <f>P4-P7</f>
        <v>463.52673878374617</v>
      </c>
      <c r="Q8" s="52">
        <f>Q4-Q7</f>
        <v>677.4794565448183</v>
      </c>
      <c r="R8" s="52">
        <f>R4-R7</f>
        <v>898.0895070448096</v>
      </c>
      <c r="S8" s="52">
        <f>S4-S7</f>
        <v>1104.2304860804056</v>
      </c>
    </row>
    <row r="9">
      <c r="A9" s="18" t="inlineStr">
        <is>
          <t>Interest &amp; Other</t>
        </is>
      </c>
      <c r="B9" s="52" t="n">
        <v>12.657</v>
      </c>
      <c r="C9" s="52" t="n">
        <v>-18.605</v>
      </c>
      <c r="D9" s="52" t="n">
        <v>-127.991</v>
      </c>
      <c r="E9" s="52" t="n">
        <v>-115.715</v>
      </c>
      <c r="F9" s="52" t="n">
        <v>-81.087</v>
      </c>
      <c r="G9" s="52" t="n">
        <v>7.946</v>
      </c>
      <c r="H9" s="52" t="n">
        <v>151.374</v>
      </c>
      <c r="I9" s="52" t="n">
        <v>-146.1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</row>
    <row r="10">
      <c r="A10" s="2" t="inlineStr">
        <is>
          <t>Pretax</t>
        </is>
      </c>
      <c r="B10" s="52">
        <f>B8+B9</f>
        <v>-1.615999999999996</v>
      </c>
      <c r="C10" s="52">
        <f>C8+C9</f>
        <v>-127.31900000000003</v>
      </c>
      <c r="D10" s="52">
        <f>D8+D9</f>
        <v>-308.28499999999997</v>
      </c>
      <c r="E10" s="52">
        <f>E8+E9</f>
        <v>-407.196</v>
      </c>
      <c r="F10" s="52">
        <f>F8+F9</f>
        <v>-445.724</v>
      </c>
      <c r="G10" s="52">
        <f>G8+G9</f>
        <v>-520.154</v>
      </c>
      <c r="H10" s="52">
        <f>H8+H9</f>
        <v>-158.126</v>
      </c>
      <c r="I10" s="52">
        <f>I8+I9</f>
        <v>-282.5999999999999</v>
      </c>
      <c r="J10" s="52">
        <f>J8+J9</f>
        <v>-138.10976145000006</v>
      </c>
      <c r="K10" s="52">
        <f>K8+K9</f>
        <v>-120.74275257</v>
      </c>
      <c r="L10" s="52">
        <f>L8+L9</f>
        <v>-76.69813082479163</v>
      </c>
      <c r="M10" s="52">
        <f>M8+M9</f>
        <v>1.100295978336817</v>
      </c>
      <c r="N10" s="52">
        <f>N8+N9</f>
        <v>117.46222585693386</v>
      </c>
      <c r="O10" s="52">
        <f>O8+O9</f>
        <v>273.17986437012314</v>
      </c>
      <c r="P10" s="52">
        <f>P8+P9</f>
        <v>463.52673878374617</v>
      </c>
      <c r="Q10" s="52">
        <f>Q8+Q9</f>
        <v>677.4794565448183</v>
      </c>
      <c r="R10" s="52">
        <f>R8+R9</f>
        <v>898.0895070448096</v>
      </c>
      <c r="S10" s="52">
        <f>S8+S9</f>
        <v>1104.2304860804056</v>
      </c>
    </row>
    <row r="11">
      <c r="A11" s="2" t="inlineStr">
        <is>
          <t>Taxes</t>
        </is>
      </c>
      <c r="B11" s="52" t="n">
        <v>1.168</v>
      </c>
      <c r="C11" s="52" t="n">
        <v>-25.729</v>
      </c>
      <c r="D11" s="52" t="n">
        <v>-41.912</v>
      </c>
      <c r="E11" s="52" t="n">
        <v>-3.614</v>
      </c>
      <c r="F11" s="52" t="n">
        <v>0.625</v>
      </c>
      <c r="G11" s="52" t="n">
        <v>-1.9</v>
      </c>
      <c r="H11" s="52" t="n">
        <v>18.9</v>
      </c>
      <c r="I11" s="52" t="n">
        <v>14.2</v>
      </c>
      <c r="J11" s="52">
        <f>MAX(0,J10)*Assumptions!$E$14</f>
        <v>0.0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0.18705031631725888</v>
      </c>
      <c r="N11" s="52">
        <f>MAX(0,N10)*Assumptions!$E$14</f>
        <v>19.968578395678758</v>
      </c>
      <c r="O11" s="52">
        <f>MAX(0,O10)*Assumptions!$E$14</f>
        <v>46.440576942920934</v>
      </c>
      <c r="P11" s="52">
        <f>MAX(0,P10)*Assumptions!$E$14</f>
        <v>78.79954559323686</v>
      </c>
      <c r="Q11" s="52">
        <f>MAX(0,Q10)*Assumptions!$E$14</f>
        <v>115.17150761261911</v>
      </c>
      <c r="R11" s="52">
        <f>MAX(0,R10)*Assumptions!$E$14</f>
        <v>152.67521619761763</v>
      </c>
      <c r="S11" s="52">
        <f>MAX(0,S10)*Assumptions!$E$14</f>
        <v>187.71918263366896</v>
      </c>
    </row>
    <row r="12">
      <c r="A12" s="2" t="inlineStr">
        <is>
          <t>Net Income</t>
        </is>
      </c>
      <c r="B12" s="52" t="n">
        <v>-2.784</v>
      </c>
      <c r="C12" s="52" t="n">
        <v>-101.59</v>
      </c>
      <c r="D12" s="52" t="n">
        <v>-266.373</v>
      </c>
      <c r="E12" s="52" t="n">
        <v>-403.582</v>
      </c>
      <c r="F12" s="52" t="n">
        <v>-446.349</v>
      </c>
      <c r="G12" s="52" t="n">
        <v>-518.254</v>
      </c>
      <c r="H12" s="52" t="n">
        <v>-177.026</v>
      </c>
      <c r="I12" s="52" t="n">
        <v>-296.8</v>
      </c>
      <c r="J12" s="52">
        <f>J10-J11</f>
        <v>-138.10976145000006</v>
      </c>
      <c r="K12" s="52">
        <f>K10-K11</f>
        <v>-120.74275257</v>
      </c>
      <c r="L12" s="52">
        <f>L10-L11</f>
        <v>-76.69813082479163</v>
      </c>
      <c r="M12" s="52">
        <f>M10-M11</f>
        <v>0.913245662019558</v>
      </c>
      <c r="N12" s="52">
        <f>N10-N11</f>
        <v>97.4936474612551</v>
      </c>
      <c r="O12" s="52">
        <f>O10-O11</f>
        <v>226.7392874272022</v>
      </c>
      <c r="P12" s="52">
        <f>P10-P11</f>
        <v>384.7271931905093</v>
      </c>
      <c r="Q12" s="52">
        <f>Q10-Q11</f>
        <v>562.3079489321992</v>
      </c>
      <c r="R12" s="52">
        <f>R10-R11</f>
        <v>745.414290847192</v>
      </c>
      <c r="S12" s="52">
        <f>S10-S11</f>
        <v>916.5113034467366</v>
      </c>
    </row>
    <row r="13">
      <c r="A13" s="2" t="inlineStr">
        <is>
          <t>Earnings per Share</t>
        </is>
      </c>
      <c r="B13" s="11">
        <f>IFERROR(B12/B14,0)</f>
        <v>-0.013919999999999998</v>
      </c>
      <c r="C13" s="11">
        <f>IFERROR(C12/C14,0)</f>
        <v>-0.50795</v>
      </c>
      <c r="D13" s="11">
        <f>IFERROR(D12/D14,0)</f>
        <v>-1.1272423351177503</v>
      </c>
      <c r="E13" s="11">
        <f>IFERROR(E12/E14,0)</f>
        <v>-1.4326506994955681</v>
      </c>
      <c r="F13" s="11">
        <f>IFERROR(F12/F14,0)</f>
        <v>-1.4032425397064925</v>
      </c>
      <c r="G13" s="11">
        <f>IFERROR(G12/G14,0)</f>
        <v>-1.471622676870217</v>
      </c>
      <c r="H13" s="11">
        <f>IFERROR(H12/H14,0)</f>
        <v>-0.4840717305346977</v>
      </c>
      <c r="I13" s="11">
        <f>IFERROR(I12/I14,0)</f>
        <v>-0.8051193437517802</v>
      </c>
      <c r="J13" s="11">
        <f>IFERROR(J12/J14,0)</f>
        <v>-0.7467685917887937</v>
      </c>
      <c r="K13" s="11">
        <f>IFERROR(K12/K14,0)</f>
        <v>-0.6528640290067028</v>
      </c>
      <c r="L13" s="11">
        <f>IFERROR(L12/L14,0)</f>
        <v>-0.41471185343838196</v>
      </c>
      <c r="M13" s="11">
        <f>IFERROR(M12/M14,0)</f>
        <v>0.004937979544845342</v>
      </c>
      <c r="N13" s="11">
        <f>IFERROR(N12/N14,0)</f>
        <v>0.5271545838514266</v>
      </c>
      <c r="O13" s="11">
        <f>IFERROR(O12/O14,0)</f>
        <v>1.2259942859759843</v>
      </c>
      <c r="P13" s="11">
        <f>IFERROR(P12/P14,0)</f>
        <v>2.0802453155039586</v>
      </c>
      <c r="Q13" s="11">
        <f>IFERROR(Q12/Q14,0)</f>
        <v>3.040436177480221</v>
      </c>
      <c r="R13" s="11">
        <f>IFERROR(R12/R14,0)</f>
        <v>4.030504248439563</v>
      </c>
      <c r="S13" s="11">
        <f>IFERROR(S12/S14,0)</f>
        <v>4.955637083488939</v>
      </c>
    </row>
    <row r="14">
      <c r="A14" s="2" t="inlineStr">
        <is>
          <t>Shares</t>
        </is>
      </c>
      <c r="B14" s="52" t="n">
        <v>200</v>
      </c>
      <c r="C14" s="52" t="n">
        <v>200</v>
      </c>
      <c r="D14" s="52" t="n">
        <v>236.305</v>
      </c>
      <c r="E14" s="52" t="n">
        <v>281.703</v>
      </c>
      <c r="F14" s="52" t="n">
        <v>318.084</v>
      </c>
      <c r="G14" s="52" t="n">
        <v>352.165</v>
      </c>
      <c r="H14" s="52" t="n">
        <v>365.702</v>
      </c>
      <c r="I14" s="52" t="n">
        <v>368.641</v>
      </c>
      <c r="J14" s="52">
        <f>Main!$C$4</f>
        <v>184.9431845</v>
      </c>
      <c r="K14" s="52">
        <f>Main!$C$4</f>
        <v>184.9431845</v>
      </c>
      <c r="L14" s="52">
        <f>Main!$C$4</f>
        <v>184.9431845</v>
      </c>
      <c r="M14" s="52">
        <f>Main!$C$4</f>
        <v>184.9431845</v>
      </c>
      <c r="N14" s="52">
        <f>Main!$C$4</f>
        <v>184.9431845</v>
      </c>
      <c r="O14" s="52">
        <f>Main!$C$4</f>
        <v>184.9431845</v>
      </c>
      <c r="P14" s="52">
        <f>Main!$C$4</f>
        <v>184.9431845</v>
      </c>
      <c r="Q14" s="52">
        <f>Main!$C$4</f>
        <v>184.9431845</v>
      </c>
      <c r="R14" s="52">
        <f>Main!$C$4</f>
        <v>184.9431845</v>
      </c>
      <c r="S14" s="52">
        <f>Main!$C$4</f>
        <v>184.9431845</v>
      </c>
    </row>
    <row r="15"/>
    <row r="16" customFormat="1" s="4">
      <c r="A16" s="3" t="inlineStr">
        <is>
          <t>Revenue Change</t>
        </is>
      </c>
      <c r="C16" s="15">
        <f>IFERROR(C2/B2-1,"")</f>
        <v>0.22076811918669725</v>
      </c>
      <c r="D16" s="15">
        <f>IFERROR(D2/C2-1,"")</f>
        <v>0.2504168056018674</v>
      </c>
      <c r="E16" s="15">
        <f>IFERROR(E2/D2-1,"")</f>
        <v>-0.08232000000000006</v>
      </c>
      <c r="F16" s="15">
        <f>IFERROR(F2/E2-1,"")</f>
        <v>0.7000116235143696</v>
      </c>
      <c r="G16" s="15">
        <f>IFERROR(G2/F2-1,"")</f>
        <v>1.4370155121576</v>
      </c>
      <c r="H16" s="15">
        <f>IFERROR(H2/G2-1,"")</f>
        <v>1.1999487976208427</v>
      </c>
      <c r="I16" s="15">
        <f>IFERROR(I2/H2-1,"")</f>
        <v>0.6402040490993148</v>
      </c>
      <c r="J16" s="15">
        <f>IFERROR(J2/I2-1,"")</f>
        <v>0.3500000000000001</v>
      </c>
      <c r="K16" s="15">
        <f>IFERROR(K2/J2-1,"")</f>
        <v>0.3138888888888889</v>
      </c>
      <c r="L16" s="15">
        <f>IFERROR(L2/K2-1,"")</f>
        <v>0.2777777777777777</v>
      </c>
      <c r="M16" s="15">
        <f>IFERROR(M2/L2-1,"")</f>
        <v>0.2416666666666667</v>
      </c>
      <c r="N16" s="15">
        <f>IFERROR(N2/M2-1,"")</f>
        <v>0.2055555555555555</v>
      </c>
      <c r="O16" s="15">
        <f>IFERROR(O2/N2-1,"")</f>
        <v>0.1694444444444445</v>
      </c>
      <c r="P16" s="15">
        <f>IFERROR(P2/O2-1,"")</f>
        <v>0.1333333333333333</v>
      </c>
      <c r="Q16" s="15">
        <f>IFERROR(Q2/P2-1,"")</f>
        <v>0.09722222222222232</v>
      </c>
      <c r="R16" s="15">
        <f>IFERROR(R2/Q2-1,"")</f>
        <v>0.061111111111111116</v>
      </c>
      <c r="S16" s="15">
        <f>IFERROR(S2/R2-1,"")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0.44136575360027347</v>
      </c>
      <c r="G17" s="15">
        <f>IFERROR(G4/G2,"")</f>
        <v>0.494288830516618</v>
      </c>
      <c r="H17" s="15">
        <f>IFERROR(H4/H2,"")</f>
        <v>0.6550294914713853</v>
      </c>
      <c r="I17" s="15">
        <f>IFERROR(I4/I2,"")</f>
        <v>0.6140538439109728</v>
      </c>
      <c r="J17" s="15">
        <f>IFERROR(J4/J2,"")</f>
        <v>0.6141</v>
      </c>
      <c r="K17" s="15">
        <f>IFERROR(K4/K2,"")</f>
        <v>0.6141</v>
      </c>
      <c r="L17" s="15">
        <f>IFERROR(L4/L2,"")</f>
        <v>0.6141</v>
      </c>
      <c r="M17" s="15">
        <f>IFERROR(M4/M2,"")</f>
        <v>0.6141</v>
      </c>
      <c r="N17" s="15">
        <f>IFERROR(N4/N2,"")</f>
        <v>0.6141000000000001</v>
      </c>
      <c r="O17" s="15">
        <f>IFERROR(O4/O2,"")</f>
        <v>0.6140999999999999</v>
      </c>
      <c r="P17" s="15">
        <f>IFERROR(P4/P2,"")</f>
        <v>0.6141</v>
      </c>
      <c r="Q17" s="15">
        <f>IFERROR(Q4/Q2,"")</f>
        <v>0.6141</v>
      </c>
      <c r="R17" s="15">
        <f>IFERROR(R4/R2,"")</f>
        <v>0.6141</v>
      </c>
      <c r="S17" s="15">
        <f>IFERROR(S4/S2,"")</f>
        <v>0.6141</v>
      </c>
    </row>
    <row r="18">
      <c r="A18" s="14" t="inlineStr">
        <is>
          <t>Operating Margin</t>
        </is>
      </c>
      <c r="B18" s="15">
        <f>IFERROR(B8/B2,"")</f>
        <v>-0.2904972218264709</v>
      </c>
      <c r="C18" s="15">
        <f>IFERROR(C8/C2,"")</f>
        <v>-1.8125041680560192</v>
      </c>
      <c r="D18" s="15">
        <f>IFERROR(D8/D2,"")</f>
        <v>-2.40392</v>
      </c>
      <c r="E18" s="15">
        <f>IFERROR(E8/E2,"")</f>
        <v>-4.23504198994566</v>
      </c>
      <c r="F18" s="15">
        <f>IFERROR(F8/F2,"")</f>
        <v>-3.1164223751121747</v>
      </c>
      <c r="G18" s="15">
        <f>IFERROR(G8/G2,"")</f>
        <v>-1.8520531803340783</v>
      </c>
      <c r="H18" s="15">
        <f>IFERROR(H8/H2,"")</f>
        <v>-0.493384345608162</v>
      </c>
      <c r="I18" s="15">
        <f>IFERROR(I8/I2,"")</f>
        <v>-0.13266595393138292</v>
      </c>
      <c r="J18" s="15">
        <f>IFERROR(J8/J2,"")</f>
        <v>-0.09943000000000002</v>
      </c>
      <c r="K18" s="15">
        <f>IFERROR(K8/K2,"")</f>
        <v>-0.06615999999999998</v>
      </c>
      <c r="L18" s="15">
        <f>IFERROR(L8/L2,"")</f>
        <v>-0.03288999999999998</v>
      </c>
      <c r="M18" s="15">
        <f>IFERROR(M8/M2,"")</f>
        <v>0.0003800000000000038</v>
      </c>
      <c r="N18" s="15">
        <f>IFERROR(N8/N2,"")</f>
        <v>0.03365000000000001</v>
      </c>
      <c r="O18" s="15">
        <f>IFERROR(O8/O2,"")</f>
        <v>0.06692000000000002</v>
      </c>
      <c r="P18" s="15">
        <f>IFERROR(P8/P2,"")</f>
        <v>0.10018999999999993</v>
      </c>
      <c r="Q18" s="15">
        <f>IFERROR(Q8/Q2,"")</f>
        <v>0.13345999999999997</v>
      </c>
      <c r="R18" s="15">
        <f>IFERROR(R8/R2,"")</f>
        <v>0.16672999999999996</v>
      </c>
      <c r="S18" s="15">
        <f>IFERROR(S8/S2,"")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Legend Biotech Corporation: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-0.1327</v>
      </c>
    </row>
    <row r="19">
      <c r="A19" s="14" t="inlineStr">
        <is>
          <t>Gross margin (forecast)</t>
        </is>
      </c>
      <c r="B19" s="53" t="n">
        <v>0.6141</v>
      </c>
    </row>
    <row r="20">
      <c r="A20" s="14" t="inlineStr">
        <is>
          <t>R&amp;D share of operating expense (forecast)</t>
        </is>
      </c>
      <c r="B20" s="53" t="n">
        <v>0.5397999999999999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Model'!I2</f>
        <v>1028.9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4029.3693971687726</v>
      </c>
      <c r="C29" s="56">
        <f>NPV!B26</f>
        <v>4612.169397168772</v>
      </c>
      <c r="D29" s="35">
        <f>NPV!B28</f>
        <v>24.93830421292855</v>
      </c>
      <c r="E29" s="57">
        <f>NPV!B30</f>
        <v>0.31185187863906094</v>
      </c>
    </row>
    <row r="30">
      <c r="A30" s="58" t="n">
        <v>1</v>
      </c>
      <c r="B30" s="59">
        <f t="dataTable" ref="B30:E32" r1="B4"/>
        <v>1507.7213838449343</v>
      </c>
      <c r="C30" s="59">
        <v>2090.5213838449345</v>
      </c>
      <c r="D30" s="39">
        <v>11.303587042132577</v>
      </c>
      <c r="E30" s="60">
        <v>-0.4053873202455247</v>
      </c>
    </row>
    <row r="31">
      <c r="A31" s="58" t="n">
        <v>2</v>
      </c>
      <c r="B31" s="59">
        <v>4029.3693971687726</v>
      </c>
      <c r="C31" s="59">
        <v>4612.169397168772</v>
      </c>
      <c r="D31" s="39">
        <v>24.93830421292855</v>
      </c>
      <c r="E31" s="60">
        <v>0.31185187863906094</v>
      </c>
    </row>
    <row r="32">
      <c r="A32" s="58" t="n">
        <v>3</v>
      </c>
      <c r="B32" s="59">
        <v>8877.182449145774</v>
      </c>
      <c r="C32" s="59">
        <v>9459.982449145773</v>
      </c>
      <c r="D32" s="39">
        <v>51.15074921371743</v>
      </c>
      <c r="E32" s="60">
        <v>1.6907285225522055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24.93830421292855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31.80948700888452</v>
      </c>
      <c r="C37" s="39">
        <v>34.3050329162538</v>
      </c>
      <c r="D37" s="39">
        <v>37.18966242384545</v>
      </c>
      <c r="E37" s="39">
        <v>40.56071156986678</v>
      </c>
      <c r="F37" s="39">
        <v>44.55091212483221</v>
      </c>
    </row>
    <row r="38">
      <c r="A38" s="62" t="n">
        <v>0.1</v>
      </c>
      <c r="B38" s="39">
        <v>26.28067827980471</v>
      </c>
      <c r="C38" s="39">
        <v>28.099029020913108</v>
      </c>
      <c r="D38" s="39">
        <v>30.164003795407368</v>
      </c>
      <c r="E38" s="39">
        <v>32.528502437082935</v>
      </c>
      <c r="F38" s="39">
        <v>35.2617022872186</v>
      </c>
    </row>
    <row r="39">
      <c r="A39" s="62" t="n">
        <v>0.11</v>
      </c>
      <c r="B39" s="39">
        <v>22.044578084530958</v>
      </c>
      <c r="C39" s="39">
        <v>23.409429754540742</v>
      </c>
      <c r="D39" s="39">
        <v>24.93830421292855</v>
      </c>
      <c r="E39" s="39">
        <v>26.66199787432339</v>
      </c>
      <c r="F39" s="39">
        <v>28.61952004221724</v>
      </c>
    </row>
    <row r="40">
      <c r="A40" s="62" t="n">
        <v>0.12</v>
      </c>
      <c r="B40" s="39">
        <v>18.72216514098182</v>
      </c>
      <c r="C40" s="39">
        <v>19.77103490969214</v>
      </c>
      <c r="D40" s="39">
        <v>20.933208601495913</v>
      </c>
      <c r="E40" s="39">
        <v>22.227605052569977</v>
      </c>
      <c r="F40" s="39">
        <v>23.67759500964204</v>
      </c>
    </row>
    <row r="41">
      <c r="A41" s="62" t="n">
        <v>0.13</v>
      </c>
      <c r="B41" s="39">
        <v>16.067100256359417</v>
      </c>
      <c r="C41" s="39">
        <v>16.88870674080476</v>
      </c>
      <c r="D41" s="39">
        <v>17.79102243973893</v>
      </c>
      <c r="E41" s="39">
        <v>18.786182945233715</v>
      </c>
      <c r="F41" s="39">
        <v>19.88887906023982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Legend Biotech Corporation: free-cash-flow DCF ($mm)</t>
        </is>
      </c>
    </row>
    <row r="3">
      <c r="A3" s="20" t="inlineStr">
        <is>
          <t>Fiscal year</t>
        </is>
      </c>
      <c r="B3" s="43">
        <f>'Yearly Model'!I1</f>
        <v>2025</v>
      </c>
      <c r="C3" s="43">
        <f>'Yearly Model'!J1</f>
        <v>2026</v>
      </c>
      <c r="D3" s="43">
        <f>'Yearly Model'!K1</f>
        <v>2027</v>
      </c>
      <c r="E3" s="43">
        <f>'Yearly Model'!L1</f>
        <v>2028</v>
      </c>
      <c r="F3" s="43">
        <f>'Yearly Model'!M1</f>
        <v>2029</v>
      </c>
      <c r="G3" s="43">
        <f>'Yearly Model'!N1</f>
        <v>2030</v>
      </c>
      <c r="H3" s="43">
        <f>'Yearly Model'!O1</f>
        <v>2031</v>
      </c>
      <c r="I3" s="43">
        <f>'Yearly Model'!P1</f>
        <v>2032</v>
      </c>
      <c r="J3" s="43">
        <f>'Yearly Model'!Q1</f>
        <v>2033</v>
      </c>
      <c r="K3" s="43">
        <f>'Yearly Model'!R1</f>
        <v>2034</v>
      </c>
      <c r="L3" s="43">
        <f>'Yearly Model'!S1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-0.13266595393138292</v>
      </c>
      <c r="C6" s="63">
        <f>Assumptions!$B$18+(Assumptions!$E$13-Assumptions!$B$18)*C4/Assumptions!$B$21</f>
        <v>-0.09943000000000002</v>
      </c>
      <c r="D6" s="63">
        <f>Assumptions!$B$18+(Assumptions!$E$13-Assumptions!$B$18)*D4/Assumptions!$B$21</f>
        <v>-0.06616000000000001</v>
      </c>
      <c r="E6" s="63">
        <f>Assumptions!$B$18+(Assumptions!$E$13-Assumptions!$B$18)*E4/Assumptions!$B$21</f>
        <v>-0.032890000000000016</v>
      </c>
      <c r="F6" s="63">
        <f>Assumptions!$B$18+(Assumptions!$E$13-Assumptions!$B$18)*F4/Assumptions!$B$21</f>
        <v>0.00037999999999999146</v>
      </c>
      <c r="G6" s="63">
        <f>Assumptions!$B$18+(Assumptions!$E$13-Assumptions!$B$18)*G4/Assumptions!$B$21</f>
        <v>0.033649999999999985</v>
      </c>
      <c r="H6" s="63">
        <f>Assumptions!$B$18+(Assumptions!$E$13-Assumptions!$B$18)*H4/Assumptions!$B$21</f>
        <v>0.06691999999999998</v>
      </c>
      <c r="I6" s="63">
        <f>Assumptions!$B$18+(Assumptions!$E$13-Assumptions!$B$18)*I4/Assumptions!$B$21</f>
        <v>0.10018999999999997</v>
      </c>
      <c r="J6" s="63">
        <f>Assumptions!$B$18+(Assumptions!$E$13-Assumptions!$B$18)*J4/Assumptions!$B$21</f>
        <v>0.13346</v>
      </c>
      <c r="K6" s="63">
        <f>Assumptions!$B$18+(Assumptions!$E$13-Assumptions!$B$18)*K4/Assumptions!$B$21</f>
        <v>0.16672999999999996</v>
      </c>
      <c r="L6" s="63">
        <f>Assumptions!$B$18+(Assumptions!$E$13-Assumptions!$B$18)*L4/Assumptions!$B$21</f>
        <v>0.19999999999999998</v>
      </c>
    </row>
    <row r="7">
      <c r="A7" s="14" t="inlineStr">
        <is>
          <t>Revenue</t>
        </is>
      </c>
      <c r="B7" s="55">
        <f>'Yearly Model'!I2</f>
        <v>1028.9</v>
      </c>
      <c r="C7" s="55">
        <f>'Yearly Model'!J2</f>
        <v>1389.0150000000003</v>
      </c>
      <c r="D7" s="55">
        <f>'Yearly Model'!K2</f>
        <v>1825.0113750000005</v>
      </c>
      <c r="E7" s="55">
        <f>'Yearly Model'!L2</f>
        <v>2331.958979166667</v>
      </c>
      <c r="F7" s="55">
        <f>'Yearly Model'!M2</f>
        <v>2895.5157324652787</v>
      </c>
      <c r="G7" s="55">
        <f>'Yearly Model'!N2</f>
        <v>3490.70507747203</v>
      </c>
      <c r="H7" s="55">
        <f>'Yearly Model'!O2</f>
        <v>4082.18566004368</v>
      </c>
      <c r="I7" s="55">
        <f>'Yearly Model'!P2</f>
        <v>4626.477081382837</v>
      </c>
      <c r="J7" s="55">
        <f>'Yearly Model'!Q2</f>
        <v>5076.273464295058</v>
      </c>
      <c r="K7" s="55">
        <f>'Yearly Model'!R2</f>
        <v>5386.490176001978</v>
      </c>
      <c r="L7" s="55">
        <f>'Yearly Model'!S2</f>
        <v>5521.152430402028</v>
      </c>
    </row>
    <row r="8">
      <c r="A8" s="14" t="inlineStr">
        <is>
          <t>Operating income</t>
        </is>
      </c>
      <c r="B8" s="55">
        <f>'Yearly Model'!I8</f>
        <v>-136.4999999999999</v>
      </c>
      <c r="C8" s="55">
        <f>'Yearly Model'!J8</f>
        <v>-138.10976145000006</v>
      </c>
      <c r="D8" s="55">
        <f>'Yearly Model'!K8</f>
        <v>-120.74275257</v>
      </c>
      <c r="E8" s="55">
        <f>'Yearly Model'!L8</f>
        <v>-76.69813082479163</v>
      </c>
      <c r="F8" s="55">
        <f>'Yearly Model'!M8</f>
        <v>1.100295978336817</v>
      </c>
      <c r="G8" s="55">
        <f>'Yearly Model'!N8</f>
        <v>117.46222585693386</v>
      </c>
      <c r="H8" s="55">
        <f>'Yearly Model'!O8</f>
        <v>273.17986437012314</v>
      </c>
      <c r="I8" s="55">
        <f>'Yearly Model'!P8</f>
        <v>463.52673878374617</v>
      </c>
      <c r="J8" s="55">
        <f>'Yearly Model'!Q8</f>
        <v>677.4794565448183</v>
      </c>
      <c r="K8" s="55">
        <f>'Yearly Model'!R8</f>
        <v>898.0895070448096</v>
      </c>
      <c r="L8" s="55">
        <f>'Yearly Model'!S8</f>
        <v>1104.2304860804056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0.18705031631725888</v>
      </c>
      <c r="G9" s="52">
        <f>MAX(0,G8)*Assumptions!$E$14</f>
        <v>19.968578395678758</v>
      </c>
      <c r="H9" s="52">
        <f>MAX(0,H8)*Assumptions!$E$14</f>
        <v>46.440576942920934</v>
      </c>
      <c r="I9" s="52">
        <f>MAX(0,I8)*Assumptions!$E$14</f>
        <v>78.79954559323686</v>
      </c>
      <c r="J9" s="52">
        <f>MAX(0,J8)*Assumptions!$E$14</f>
        <v>115.17150761261911</v>
      </c>
      <c r="K9" s="52">
        <f>MAX(0,K8)*Assumptions!$E$14</f>
        <v>152.67521619761763</v>
      </c>
      <c r="L9" s="52">
        <f>MAX(0,L8)*Assumptions!$E$14</f>
        <v>187.71918263366896</v>
      </c>
    </row>
    <row r="10">
      <c r="A10" s="14" t="inlineStr">
        <is>
          <t>NOPAT</t>
        </is>
      </c>
      <c r="C10" s="52">
        <f>C8-C9</f>
        <v>-138.10976145000006</v>
      </c>
      <c r="D10" s="52">
        <f>D8-D9</f>
        <v>-120.74275257</v>
      </c>
      <c r="E10" s="52">
        <f>E8-E9</f>
        <v>-76.69813082479163</v>
      </c>
      <c r="F10" s="52">
        <f>F8-F9</f>
        <v>0.913245662019558</v>
      </c>
      <c r="G10" s="52">
        <f>G8-G9</f>
        <v>97.4936474612551</v>
      </c>
      <c r="H10" s="52">
        <f>H8-H9</f>
        <v>226.7392874272022</v>
      </c>
      <c r="I10" s="52">
        <f>I8-I9</f>
        <v>384.7271931905093</v>
      </c>
      <c r="J10" s="52">
        <f>J8-J9</f>
        <v>562.3079489321992</v>
      </c>
      <c r="K10" s="52">
        <f>K8-K9</f>
        <v>745.414290847192</v>
      </c>
      <c r="L10" s="52">
        <f>L8-L9</f>
        <v>916.5113034467366</v>
      </c>
    </row>
    <row r="11">
      <c r="A11" s="14" t="inlineStr">
        <is>
          <t>Reinvestment</t>
        </is>
      </c>
      <c r="C11" s="52">
        <f>(C7-B7)*Assumptions!$E$15</f>
        <v>90.02875000000006</v>
      </c>
      <c r="D11" s="52">
        <f>(D7-C7)*Assumptions!$E$15</f>
        <v>108.99909375000004</v>
      </c>
      <c r="E11" s="52">
        <f>(E7-D7)*Assumptions!$E$15</f>
        <v>126.73690104166667</v>
      </c>
      <c r="F11" s="52">
        <f>(F7-E7)*Assumptions!$E$15</f>
        <v>140.88918832465288</v>
      </c>
      <c r="G11" s="52">
        <f>(G7-F7)*Assumptions!$E$15</f>
        <v>148.79733625168785</v>
      </c>
      <c r="H11" s="52">
        <f>(H7-G7)*Assumptions!$E$15</f>
        <v>147.87014564291246</v>
      </c>
      <c r="I11" s="52">
        <f>(I7-H7)*Assumptions!$E$15</f>
        <v>136.07285533478932</v>
      </c>
      <c r="J11" s="52">
        <f>(J7-I7)*Assumptions!$E$15</f>
        <v>112.44909572805523</v>
      </c>
      <c r="K11" s="52">
        <f>(K7-J7)*Assumptions!$E$15</f>
        <v>77.55417792673006</v>
      </c>
      <c r="L11" s="52">
        <f>(L7-K7)*Assumptions!$E$15</f>
        <v>33.66556360001232</v>
      </c>
    </row>
    <row r="12">
      <c r="A12" s="20" t="inlineStr">
        <is>
          <t>Free cash flow</t>
        </is>
      </c>
      <c r="C12" s="64">
        <f>C10-C11</f>
        <v>-228.13851145000012</v>
      </c>
      <c r="D12" s="64">
        <f>D10-D11</f>
        <v>-229.74184632000004</v>
      </c>
      <c r="E12" s="64">
        <f>E10-E11</f>
        <v>-203.4350318664583</v>
      </c>
      <c r="F12" s="64">
        <f>F10-F11</f>
        <v>-139.97594266263332</v>
      </c>
      <c r="G12" s="64">
        <f>G10-G11</f>
        <v>-51.30368879043276</v>
      </c>
      <c r="H12" s="64">
        <f>H10-H11</f>
        <v>78.86914178428975</v>
      </c>
      <c r="I12" s="64">
        <f>I10-I11</f>
        <v>248.65433785571997</v>
      </c>
      <c r="J12" s="64">
        <f>J10-J11</f>
        <v>449.858853204144</v>
      </c>
      <c r="K12" s="64">
        <f>K10-K11</f>
        <v>667.8601129204619</v>
      </c>
      <c r="L12" s="64">
        <f>L10-L11</f>
        <v>882.8457398467243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0.949157995752499</v>
      </c>
      <c r="D15" s="65">
        <f>1/(1+Assumptions!$E$10)^D14</f>
        <v>0.8550972934707196</v>
      </c>
      <c r="E15" s="65">
        <f>1/(1+Assumptions!$E$10)^E14</f>
        <v>0.7703579220456934</v>
      </c>
      <c r="F15" s="65">
        <f>1/(1+Assumptions!$E$10)^F14</f>
        <v>0.694016145987111</v>
      </c>
      <c r="G15" s="65">
        <f>1/(1+Assumptions!$E$10)^G14</f>
        <v>0.6252397711595595</v>
      </c>
      <c r="H15" s="65">
        <f>1/(1+Assumptions!$E$10)^H14</f>
        <v>0.5632790731167202</v>
      </c>
      <c r="I15" s="65">
        <f>1/(1+Assumptions!$E$10)^I14</f>
        <v>0.5074586244294776</v>
      </c>
      <c r="J15" s="65">
        <f>1/(1+Assumptions!$E$10)^J14</f>
        <v>0.4571699319184483</v>
      </c>
      <c r="K15" s="65">
        <f>1/(1+Assumptions!$E$10)^K14</f>
        <v>0.4118648035301335</v>
      </c>
      <c r="L15" s="65">
        <f>1/(1+Assumptions!$E$10)^L14</f>
        <v>0.37104937254966985</v>
      </c>
    </row>
    <row r="16">
      <c r="A16" s="20" t="inlineStr">
        <is>
          <t>PV of free cash flow</t>
        </is>
      </c>
      <c r="C16" s="64">
        <f>C12*C13*C15</f>
        <v>-216.53949228184067</v>
      </c>
      <c r="D16" s="64">
        <f>D12*D13*D15</f>
        <v>-196.45163098519802</v>
      </c>
      <c r="E16" s="64">
        <f>E12*E13*E15</f>
        <v>-156.71778841994424</v>
      </c>
      <c r="F16" s="64">
        <f>F12*F13*F15</f>
        <v>-97.14556425763361</v>
      </c>
      <c r="G16" s="64">
        <f>G12*G13*G15</f>
        <v>-32.077106638971436</v>
      </c>
      <c r="H16" s="64">
        <f>H12*H13*H15</f>
        <v>44.42533708176592</v>
      </c>
      <c r="I16" s="64">
        <f>I12*I13*I15</f>
        <v>126.18178824668625</v>
      </c>
      <c r="J16" s="64">
        <f>J12*J13*J15</f>
        <v>205.66194129224974</v>
      </c>
      <c r="K16" s="64">
        <f>K12*K13*K15</f>
        <v>275.0680741935988</v>
      </c>
      <c r="L16" s="64">
        <f>L12*L13*L15</f>
        <v>327.5793578282761</v>
      </c>
    </row>
    <row r="19">
      <c r="A19" s="14" t="inlineStr">
        <is>
          <t>PV of forecast free cash flow</t>
        </is>
      </c>
      <c r="B19" s="52">
        <f>SUM(C16:L16)</f>
        <v>279.98491605898886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904.9168833428922</v>
      </c>
    </row>
    <row r="21">
      <c r="A21" s="14" t="inlineStr">
        <is>
          <t>Terminal value</t>
        </is>
      </c>
      <c r="B21" s="52">
        <f>B20/(Assumptions!$E$10-Assumptions!$E$11)</f>
        <v>10646.080980504616</v>
      </c>
    </row>
    <row r="22">
      <c r="A22" s="14" t="inlineStr">
        <is>
          <t>PV of terminal value</t>
        </is>
      </c>
      <c r="B22" s="52">
        <f>B21/(1+Assumptions!$E$10)^(L14+0.5)</f>
        <v>3749.384481109784</v>
      </c>
    </row>
    <row r="23">
      <c r="A23" s="20" t="inlineStr">
        <is>
          <t>Enterprise value</t>
        </is>
      </c>
      <c r="B23" s="66">
        <f>B19+B22</f>
        <v>4029.3693971687726</v>
      </c>
    </row>
    <row r="24">
      <c r="A24" s="14" t="inlineStr">
        <is>
          <t>Cash &amp; investments</t>
        </is>
      </c>
      <c r="B24" s="55">
        <f>Main!C7</f>
        <v>901.9</v>
      </c>
    </row>
    <row r="25">
      <c r="A25" s="14" t="inlineStr">
        <is>
          <t>Debt</t>
        </is>
      </c>
      <c r="B25" s="55">
        <f>Main!C8</f>
        <v>319.1</v>
      </c>
    </row>
    <row r="26">
      <c r="A26" s="20" t="inlineStr">
        <is>
          <t>Equity value</t>
        </is>
      </c>
      <c r="B26" s="66">
        <f>B23+B24-B25</f>
        <v>4612.169397168772</v>
      </c>
    </row>
    <row r="27">
      <c r="A27" s="14" t="inlineStr">
        <is>
          <t>Shares (mm)</t>
        </is>
      </c>
      <c r="B27" s="55">
        <f>Main!C4</f>
        <v>184.9431845</v>
      </c>
    </row>
    <row r="28">
      <c r="A28" s="20" t="inlineStr">
        <is>
          <t>NPV / share</t>
        </is>
      </c>
      <c r="B28" s="49">
        <f>B26/B27</f>
        <v>24.93830421292855</v>
      </c>
    </row>
    <row r="29">
      <c r="A29" s="14" t="inlineStr">
        <is>
          <t>Price</t>
        </is>
      </c>
      <c r="B29" s="50">
        <f>Main!C3</f>
        <v>19.01</v>
      </c>
    </row>
    <row r="30">
      <c r="A30" s="14" t="inlineStr">
        <is>
          <t>Upside</t>
        </is>
      </c>
      <c r="B30" s="63">
        <f>B28/B29-1</f>
        <v>0.31185187863906094</v>
      </c>
    </row>
    <row r="31">
      <c r="A31" s="14" t="inlineStr">
        <is>
          <t>Terminal value, % of EV</t>
        </is>
      </c>
      <c r="B31" s="63">
        <f>IFERROR(B22/B23,0)</f>
        <v>0.9305139617490221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2026-10-21T01:04:13Z</dcterms:modified>
  <cp:lastModifiedBy>Wang, Eric</cp:lastModifiedBy>
</cp:coreProperties>
</file>