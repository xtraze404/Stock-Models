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MDxHealth SA</t>
        </is>
      </c>
      <c r="C2" s="10" t="n"/>
    </row>
    <row r="3">
      <c r="B3" t="inlineStr">
        <is>
          <t>Price</t>
        </is>
      </c>
      <c r="C3" s="11">
        <f>INDEX([1]Pharma!$F$1:$F$1000,MATCH("MDXH",[1]Pharma!$B$1:$B$1000,0))</f>
        <v>0.1944</v>
      </c>
      <c r="F3" s="1" t="n"/>
    </row>
    <row r="4">
      <c r="B4" t="inlineStr">
        <is>
          <t>Shares</t>
        </is>
      </c>
      <c r="C4" s="51" t="n">
        <v>51.36452</v>
      </c>
      <c r="F4" s="1" t="n"/>
    </row>
    <row r="5">
      <c r="B5" t="inlineStr">
        <is>
          <t>Market Cap.</t>
        </is>
      </c>
      <c r="C5" s="13">
        <f>C3*C4</f>
        <v>9.985262687999999</v>
      </c>
      <c r="F5" s="1" t="n"/>
    </row>
    <row r="6"/>
    <row r="7">
      <c r="B7" t="inlineStr">
        <is>
          <t>Cash</t>
        </is>
      </c>
      <c r="C7" s="51">
        <f>29.032+0.103</f>
        <v>29.135</v>
      </c>
    </row>
    <row r="8">
      <c r="B8" t="inlineStr">
        <is>
          <t>Debt</t>
        </is>
      </c>
      <c r="C8" s="51" t="n">
        <v>76.197</v>
      </c>
    </row>
    <row r="9">
      <c r="B9" t="inlineStr">
        <is>
          <t>Enterprise V.</t>
        </is>
      </c>
      <c r="C9" s="13">
        <f>C5-C7+C8</f>
        <v>57.047262688</v>
      </c>
    </row>
    <row r="10"/>
    <row r="11">
      <c r="B11" s="14" t="inlineStr">
        <is>
          <t>NPV / Share</t>
        </is>
      </c>
      <c r="C11" s="11">
        <f>NPV!B28</f>
        <v>2.290883455699328</v>
      </c>
    </row>
    <row r="12">
      <c r="B12" s="14" t="inlineStr">
        <is>
          <t>Upside</t>
        </is>
      </c>
      <c r="C12" s="15">
        <f>IFERROR(C11/C3-1,"")</f>
        <v>10.784379916148808</v>
      </c>
    </row>
    <row r="13">
      <c r="B13" s="14" t="inlineStr">
        <is>
          <t>Cash / Share</t>
        </is>
      </c>
      <c r="C13" s="11">
        <f>IFERROR((C7-C8)/C4,"")</f>
        <v>-0.9162355649385996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2019</v>
      </c>
      <c r="C1" s="16" t="n">
        <v>2020</v>
      </c>
      <c r="D1" s="16" t="n">
        <v>2021</v>
      </c>
      <c r="E1" s="16" t="n">
        <v>2022</v>
      </c>
      <c r="F1" s="16" t="n">
        <v>2023</v>
      </c>
      <c r="G1" s="16" t="n">
        <v>2024</v>
      </c>
      <c r="H1" s="16" t="n">
        <v>2025</v>
      </c>
      <c r="I1" s="16" t="n">
        <v>2026</v>
      </c>
      <c r="J1" s="16" t="n">
        <v>2027</v>
      </c>
      <c r="K1" s="16" t="n">
        <v>2028</v>
      </c>
      <c r="L1" s="16" t="n">
        <v>2029</v>
      </c>
      <c r="M1" s="16" t="n">
        <v>2030</v>
      </c>
      <c r="N1" s="16" t="n">
        <v>2031</v>
      </c>
      <c r="O1" s="16" t="n">
        <v>2032</v>
      </c>
      <c r="P1" s="16" t="n">
        <v>2033</v>
      </c>
      <c r="Q1" s="16" t="n">
        <v>2034</v>
      </c>
      <c r="R1" s="16" t="n">
        <v>2035</v>
      </c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11.785</v>
      </c>
      <c r="C2" s="52" t="n">
        <v>18.46</v>
      </c>
      <c r="D2" s="52" t="n">
        <v>22.239</v>
      </c>
      <c r="E2" s="52" t="n">
        <v>37.054</v>
      </c>
      <c r="F2" s="52" t="n">
        <v>70.193</v>
      </c>
      <c r="G2" s="52" t="n">
        <v>90.04900000000001</v>
      </c>
      <c r="H2" s="52" t="n">
        <v>107.875</v>
      </c>
      <c r="I2" s="52">
        <f>H2*(1+NPV!C5)</f>
        <v>129.23425</v>
      </c>
      <c r="J2" s="52">
        <f>I2*(1+NPV!D5)</f>
        <v>152.33846202777778</v>
      </c>
      <c r="K2" s="52">
        <f>J2*(1+NPV!E5)</f>
        <v>176.64490996909876</v>
      </c>
      <c r="L2" s="52">
        <f>K2*(1+NPV!F5)</f>
        <v>201.43407900142898</v>
      </c>
      <c r="M2" s="52">
        <f>L2*(1+NPV!G5)</f>
        <v>225.8299841249354</v>
      </c>
      <c r="N2" s="52">
        <f>M2*(1+NPV!H5)</f>
        <v>248.8395502852205</v>
      </c>
      <c r="O2" s="52">
        <f>N2*(1+NPV!I5)</f>
        <v>269.4102864421321</v>
      </c>
      <c r="P2" s="52">
        <f>O2*(1+NPV!J5)</f>
        <v>286.50287239307175</v>
      </c>
      <c r="Q2" s="52">
        <f>P2*(1+NPV!K5)</f>
        <v>299.17266608334313</v>
      </c>
      <c r="R2" s="52">
        <f>Q2*(1+NPV!L5)</f>
        <v>306.65198273542666</v>
      </c>
    </row>
    <row r="3" customFormat="1" s="1">
      <c r="A3" s="5" t="inlineStr">
        <is>
          <t>Cost of Sales</t>
        </is>
      </c>
      <c r="B3" s="52" t="n">
        <v>11.755</v>
      </c>
      <c r="C3" s="52" t="n">
        <v>10.416</v>
      </c>
      <c r="D3" s="52" t="n">
        <v>11.675</v>
      </c>
      <c r="E3" s="52" t="n">
        <v>17.835</v>
      </c>
      <c r="F3" s="52" t="n">
        <v>26.264</v>
      </c>
      <c r="G3" s="52" t="n">
        <v>34.908</v>
      </c>
      <c r="H3" s="52" t="n">
        <v>38.242</v>
      </c>
      <c r="I3" s="52">
        <f>I2*(1-Assumptions!$B$19)</f>
        <v>45.813541625000006</v>
      </c>
      <c r="J3" s="52">
        <f>J2*(1-Assumptions!$B$19)</f>
        <v>54.00398478884723</v>
      </c>
      <c r="K3" s="52">
        <f>K2*(1-Assumptions!$B$19)</f>
        <v>62.62062058404552</v>
      </c>
      <c r="L3" s="52">
        <f>L2*(1-Assumptions!$B$19)</f>
        <v>71.40838100600658</v>
      </c>
      <c r="M3" s="52">
        <f>M2*(1-Assumptions!$B$19)</f>
        <v>80.05672937228961</v>
      </c>
      <c r="N3" s="52">
        <f>N2*(1-Assumptions!$B$19)</f>
        <v>88.21362057611067</v>
      </c>
      <c r="O3" s="52">
        <f>O2*(1-Assumptions!$B$19)</f>
        <v>95.50594654373583</v>
      </c>
      <c r="P3" s="52">
        <f>P2*(1-Assumptions!$B$19)</f>
        <v>101.56526826334395</v>
      </c>
      <c r="Q3" s="52">
        <f>Q2*(1-Assumptions!$B$19)</f>
        <v>106.05671012654516</v>
      </c>
      <c r="R3" s="52">
        <f>R2*(1-Assumptions!$B$19)</f>
        <v>108.70812787970875</v>
      </c>
    </row>
    <row r="4" customFormat="1" s="1">
      <c r="A4" s="5" t="inlineStr">
        <is>
          <t>Gross Margin</t>
        </is>
      </c>
      <c r="B4" s="52">
        <f>B2-B3</f>
        <v>0.02999999999999936</v>
      </c>
      <c r="C4" s="52">
        <f>C2-C3</f>
        <v>8.044</v>
      </c>
      <c r="D4" s="52">
        <f>D2-D3</f>
        <v>10.564</v>
      </c>
      <c r="E4" s="52">
        <f>E2-E3</f>
        <v>19.219</v>
      </c>
      <c r="F4" s="52">
        <f>F2-F3</f>
        <v>43.929</v>
      </c>
      <c r="G4" s="52">
        <f>G2-G3</f>
        <v>55.141000000000005</v>
      </c>
      <c r="H4" s="52">
        <f>H2-H3</f>
        <v>69.63300000000001</v>
      </c>
      <c r="I4" s="52">
        <f>I2-I3</f>
        <v>83.420708375</v>
      </c>
      <c r="J4" s="52">
        <f>J2-J3</f>
        <v>98.33447723893056</v>
      </c>
      <c r="K4" s="52">
        <f>K2-K3</f>
        <v>114.02428938505324</v>
      </c>
      <c r="L4" s="52">
        <f>L2-L3</f>
        <v>130.0256979954224</v>
      </c>
      <c r="M4" s="52">
        <f>M2-M3</f>
        <v>145.7732547526458</v>
      </c>
      <c r="N4" s="52">
        <f>N2-N3</f>
        <v>160.6259297091098</v>
      </c>
      <c r="O4" s="52">
        <f>O2-O3</f>
        <v>173.90433989839624</v>
      </c>
      <c r="P4" s="52">
        <f>P2-P3</f>
        <v>184.9376041297278</v>
      </c>
      <c r="Q4" s="52">
        <f>Q2-Q3</f>
        <v>193.11595595679796</v>
      </c>
      <c r="R4" s="52">
        <f>R2-R3</f>
        <v>197.94385485571792</v>
      </c>
    </row>
    <row r="5">
      <c r="A5" s="2" t="inlineStr">
        <is>
          <t>Research &amp; Dev.</t>
        </is>
      </c>
      <c r="B5" s="52" t="n">
        <v>8.997</v>
      </c>
      <c r="C5" s="52" t="n">
        <v>4.543</v>
      </c>
      <c r="D5" s="52" t="n">
        <v>5.589</v>
      </c>
      <c r="E5" s="52" t="n">
        <v>5.497</v>
      </c>
      <c r="F5" s="52" t="n">
        <v>6.376</v>
      </c>
      <c r="G5" s="52" t="n">
        <v>10.552</v>
      </c>
      <c r="H5" s="52" t="n">
        <v>10.35</v>
      </c>
      <c r="I5" s="52">
        <f>I7*Assumptions!$B$20</f>
        <v>11.873418430104001</v>
      </c>
      <c r="J5" s="52">
        <f>J7*Assumptions!$B$20</f>
        <v>13.370018024975716</v>
      </c>
      <c r="K5" s="52">
        <f>K7*Assumptions!$B$20</f>
        <v>14.777276577721187</v>
      </c>
      <c r="L5" s="52">
        <f>L7*Assumptions!$B$20</f>
        <v>16.023136661601317</v>
      </c>
      <c r="M5" s="52">
        <f>M7*Assumptions!$B$20</f>
        <v>17.035566151258788</v>
      </c>
      <c r="N5" s="52">
        <f>N7*Assumptions!$B$20</f>
        <v>17.748582450629865</v>
      </c>
      <c r="O5" s="52">
        <f>O7*Assumptions!$B$20</f>
        <v>18.108535254298523</v>
      </c>
      <c r="P5" s="52">
        <f>P7*Assumptions!$B$20</f>
        <v>18.079908159812476</v>
      </c>
      <c r="Q5" s="52">
        <f>Q7*Assumptions!$B$20</f>
        <v>17.6498565788985</v>
      </c>
      <c r="R5" s="52">
        <f>R7*Assumptions!$B$20</f>
        <v>16.830778063623534</v>
      </c>
    </row>
    <row r="6">
      <c r="A6" s="18" t="inlineStr">
        <is>
          <t>SG&amp;A &amp; Other</t>
        </is>
      </c>
      <c r="B6" s="52" t="n">
        <v>34.202</v>
      </c>
      <c r="C6" s="52" t="n">
        <v>30.624</v>
      </c>
      <c r="D6" s="52" t="n">
        <v>31.816</v>
      </c>
      <c r="E6" s="52" t="n">
        <v>51.622</v>
      </c>
      <c r="F6" s="52" t="n">
        <v>64.88</v>
      </c>
      <c r="G6" s="52" t="n">
        <v>69.31100000000001</v>
      </c>
      <c r="H6" s="52" t="n">
        <v>73.691</v>
      </c>
      <c r="I6" s="52">
        <f>I7-I5</f>
        <v>84.50173116489601</v>
      </c>
      <c r="J6" s="52">
        <f>J7-J5</f>
        <v>95.15285555437262</v>
      </c>
      <c r="K6" s="52">
        <f>K7-K5</f>
        <v>105.16815018949625</v>
      </c>
      <c r="L6" s="52">
        <f>L7-L5</f>
        <v>114.03479078646131</v>
      </c>
      <c r="M6" s="52">
        <f>M7-M5</f>
        <v>121.24013312843917</v>
      </c>
      <c r="N6" s="52">
        <f>N7-N5</f>
        <v>126.31458679149566</v>
      </c>
      <c r="O6" s="52">
        <f>O7-O5</f>
        <v>128.87632882279988</v>
      </c>
      <c r="P6" s="52">
        <f>P7-P5</f>
        <v>128.6725931373667</v>
      </c>
      <c r="Q6" s="52">
        <f>Q7-Q5</f>
        <v>125.61196630177116</v>
      </c>
      <c r="R6" s="52">
        <f>R7-R5</f>
        <v>119.78268024500903</v>
      </c>
    </row>
    <row r="7">
      <c r="A7" s="2" t="inlineStr">
        <is>
          <t>Operating Expense</t>
        </is>
      </c>
      <c r="B7" s="52">
        <f>SUM(B5:B6)</f>
        <v>43.199</v>
      </c>
      <c r="C7" s="52">
        <f>SUM(C5:C6)</f>
        <v>35.167</v>
      </c>
      <c r="D7" s="52">
        <f>SUM(D5:D6)</f>
        <v>37.405</v>
      </c>
      <c r="E7" s="52">
        <f>SUM(E5:E6)</f>
        <v>57.119</v>
      </c>
      <c r="F7" s="52">
        <f>SUM(F5:F6)</f>
        <v>71.256</v>
      </c>
      <c r="G7" s="52">
        <f>SUM(G5:G6)</f>
        <v>79.863</v>
      </c>
      <c r="H7" s="52">
        <f>SUM(H5:H6)</f>
        <v>84.041</v>
      </c>
      <c r="I7" s="52">
        <f>I4-I2*NPV!C6</f>
        <v>96.37514959500001</v>
      </c>
      <c r="J7" s="52">
        <f>J4-J2*NPV!D6</f>
        <v>108.52287357934834</v>
      </c>
      <c r="K7" s="52">
        <f>K4-K2*NPV!E6</f>
        <v>119.94542676721743</v>
      </c>
      <c r="L7" s="52">
        <f>L4-L2*NPV!F6</f>
        <v>130.05792744806263</v>
      </c>
      <c r="M7" s="52">
        <f>M4-M2*NPV!G6</f>
        <v>138.27569927969796</v>
      </c>
      <c r="N7" s="52">
        <f>N4-N2*NPV!H6</f>
        <v>144.06316924212553</v>
      </c>
      <c r="O7" s="52">
        <f>O4-O2*NPV!I6</f>
        <v>146.9848640770984</v>
      </c>
      <c r="P7" s="52">
        <f>P4-P2*NPV!J6</f>
        <v>146.75250129717918</v>
      </c>
      <c r="Q7" s="52">
        <f>Q4-Q2*NPV!K6</f>
        <v>143.26182288066965</v>
      </c>
      <c r="R7" s="52">
        <f>R4-R2*NPV!L6</f>
        <v>136.61345830863257</v>
      </c>
    </row>
    <row r="8">
      <c r="A8" s="2" t="inlineStr">
        <is>
          <t>Operating Income</t>
        </is>
      </c>
      <c r="B8" s="52">
        <f>B4-B7</f>
        <v>-43.169</v>
      </c>
      <c r="C8" s="52">
        <f>C4-C7</f>
        <v>-27.123</v>
      </c>
      <c r="D8" s="52">
        <f>D4-D7</f>
        <v>-26.841</v>
      </c>
      <c r="E8" s="52">
        <f>E4-E7</f>
        <v>-37.9</v>
      </c>
      <c r="F8" s="52">
        <f>F4-F7</f>
        <v>-27.326999999999998</v>
      </c>
      <c r="G8" s="52">
        <f>G4-G7</f>
        <v>-24.721999999999994</v>
      </c>
      <c r="H8" s="52">
        <f>H4-H7</f>
        <v>-14.407999999999987</v>
      </c>
      <c r="I8" s="52">
        <f>I4-I7</f>
        <v>-12.954441220000007</v>
      </c>
      <c r="J8" s="52">
        <f>J4-J7</f>
        <v>-10.188396340417782</v>
      </c>
      <c r="K8" s="52">
        <f>K4-K7</f>
        <v>-5.92113738216419</v>
      </c>
      <c r="L8" s="52">
        <f>L4-L7</f>
        <v>-0.032229452640223144</v>
      </c>
      <c r="M8" s="52">
        <f>M4-M7</f>
        <v>7.497555472947852</v>
      </c>
      <c r="N8" s="52">
        <f>N4-N7</f>
        <v>16.562760466984287</v>
      </c>
      <c r="O8" s="52">
        <f>O4-O7</f>
        <v>26.91947582129785</v>
      </c>
      <c r="P8" s="52">
        <f>P4-P7</f>
        <v>38.18510283254861</v>
      </c>
      <c r="Q8" s="52">
        <f>Q4-Q7</f>
        <v>49.854133076128306</v>
      </c>
      <c r="R8" s="52">
        <f>R4-R7</f>
        <v>61.33039654708534</v>
      </c>
    </row>
    <row r="9">
      <c r="A9" s="18" t="inlineStr">
        <is>
          <t>Interest &amp; Other</t>
        </is>
      </c>
      <c r="B9" s="52" t="n">
        <v>-0.506</v>
      </c>
      <c r="C9" s="52" t="n">
        <v>-1.539</v>
      </c>
      <c r="D9" s="52" t="n">
        <v>-2.161</v>
      </c>
      <c r="E9" s="52" t="n">
        <v>-6.144</v>
      </c>
      <c r="F9" s="52" t="n">
        <v>-15.772</v>
      </c>
      <c r="G9" s="52" t="n">
        <v>-12.965</v>
      </c>
      <c r="H9" s="52" t="n">
        <v>-20.968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</row>
    <row r="10">
      <c r="A10" s="2" t="inlineStr">
        <is>
          <t>Pretax</t>
        </is>
      </c>
      <c r="B10" s="52">
        <f>B8+B9</f>
        <v>-43.675</v>
      </c>
      <c r="C10" s="52">
        <f>C8+C9</f>
        <v>-28.662000000000003</v>
      </c>
      <c r="D10" s="52">
        <f>D8+D9</f>
        <v>-29.002000000000002</v>
      </c>
      <c r="E10" s="52">
        <f>E8+E9</f>
        <v>-44.044</v>
      </c>
      <c r="F10" s="52">
        <f>F8+F9</f>
        <v>-43.099</v>
      </c>
      <c r="G10" s="52">
        <f>G8+G9</f>
        <v>-37.687</v>
      </c>
      <c r="H10" s="52">
        <f>H8+H9</f>
        <v>-35.37599999999999</v>
      </c>
      <c r="I10" s="52">
        <f>I8+I9</f>
        <v>-12.954441220000007</v>
      </c>
      <c r="J10" s="52">
        <f>J8+J9</f>
        <v>-10.188396340417782</v>
      </c>
      <c r="K10" s="52">
        <f>K8+K9</f>
        <v>-5.92113738216419</v>
      </c>
      <c r="L10" s="52">
        <f>L8+L9</f>
        <v>-0.032229452640223144</v>
      </c>
      <c r="M10" s="52">
        <f>M8+M9</f>
        <v>7.497555472947852</v>
      </c>
      <c r="N10" s="52">
        <f>N8+N9</f>
        <v>16.562760466984287</v>
      </c>
      <c r="O10" s="52">
        <f>O8+O9</f>
        <v>26.91947582129785</v>
      </c>
      <c r="P10" s="52">
        <f>P8+P9</f>
        <v>38.18510283254861</v>
      </c>
      <c r="Q10" s="52">
        <f>Q8+Q9</f>
        <v>49.854133076128306</v>
      </c>
      <c r="R10" s="52">
        <f>R8+R9</f>
        <v>61.33039654708534</v>
      </c>
    </row>
    <row r="11">
      <c r="A11" s="2" t="inlineStr">
        <is>
          <t>Taxes</t>
        </is>
      </c>
      <c r="B11" s="52" t="n">
        <v>-0.575</v>
      </c>
      <c r="C11" s="52" t="n">
        <v>0</v>
      </c>
      <c r="D11" s="52" t="n">
        <v>0</v>
      </c>
      <c r="E11" s="52" t="n">
        <v>0</v>
      </c>
      <c r="F11" s="52" t="n">
        <v>0.001</v>
      </c>
      <c r="G11" s="52" t="n">
        <v>0.382</v>
      </c>
      <c r="H11" s="52" t="n">
        <v>-1.857</v>
      </c>
      <c r="I11" s="52">
        <f>MAX(0,I10)*Assumptions!$E$14</f>
        <v>0.0</v>
      </c>
      <c r="J11" s="52">
        <f>MAX(0,J10)*Assumptions!$E$14</f>
        <v>0.0</v>
      </c>
      <c r="K11" s="52">
        <f>MAX(0,K10)*Assumptions!$E$14</f>
        <v>0.0</v>
      </c>
      <c r="L11" s="52">
        <f>MAX(0,L10)*Assumptions!$E$14</f>
        <v>0.0</v>
      </c>
      <c r="M11" s="52">
        <f>MAX(0,M10)*Assumptions!$E$14</f>
        <v>1.274584430401135</v>
      </c>
      <c r="N11" s="52">
        <f>MAX(0,N10)*Assumptions!$E$14</f>
        <v>2.815669279387329</v>
      </c>
      <c r="O11" s="52">
        <f>MAX(0,O10)*Assumptions!$E$14</f>
        <v>4.576310889620635</v>
      </c>
      <c r="P11" s="52">
        <f>MAX(0,P10)*Assumptions!$E$14</f>
        <v>6.491467481533264</v>
      </c>
      <c r="Q11" s="52">
        <f>MAX(0,Q10)*Assumptions!$E$14</f>
        <v>8.475202622941813</v>
      </c>
      <c r="R11" s="52">
        <f>MAX(0,R10)*Assumptions!$E$14</f>
        <v>10.426167413004508</v>
      </c>
    </row>
    <row r="12">
      <c r="A12" s="2" t="inlineStr">
        <is>
          <t>Net Income</t>
        </is>
      </c>
      <c r="B12" s="52" t="n">
        <v>-43.1</v>
      </c>
      <c r="C12" s="52" t="n">
        <v>-28.662</v>
      </c>
      <c r="D12" s="52" t="n">
        <v>-29.002</v>
      </c>
      <c r="E12" s="52" t="n">
        <v>-44.044</v>
      </c>
      <c r="F12" s="52" t="n">
        <v>-43.1</v>
      </c>
      <c r="G12" s="52" t="n">
        <v>-38.069</v>
      </c>
      <c r="H12" s="52" t="n">
        <v>-33.519</v>
      </c>
      <c r="I12" s="52">
        <f>I10-I11</f>
        <v>-12.954441220000007</v>
      </c>
      <c r="J12" s="52">
        <f>J10-J11</f>
        <v>-10.188396340417782</v>
      </c>
      <c r="K12" s="52">
        <f>K10-K11</f>
        <v>-5.92113738216419</v>
      </c>
      <c r="L12" s="52">
        <f>L10-L11</f>
        <v>-0.032229452640223144</v>
      </c>
      <c r="M12" s="52">
        <f>M10-M11</f>
        <v>6.222971042546717</v>
      </c>
      <c r="N12" s="52">
        <f>N10-N11</f>
        <v>13.747091187596958</v>
      </c>
      <c r="O12" s="52">
        <f>O10-O11</f>
        <v>22.343164931677215</v>
      </c>
      <c r="P12" s="52">
        <f>P10-P11</f>
        <v>31.693635351015345</v>
      </c>
      <c r="Q12" s="52">
        <f>Q10-Q11</f>
        <v>41.37893045318649</v>
      </c>
      <c r="R12" s="52">
        <f>R10-R11</f>
        <v>50.904229134080836</v>
      </c>
    </row>
    <row r="13">
      <c r="A13" s="2" t="inlineStr">
        <is>
          <t>Earnings per Share</t>
        </is>
      </c>
      <c r="B13" s="11">
        <f>IFERROR(B12/B14,0)</f>
        <v>-0.5138292799237005</v>
      </c>
      <c r="C13" s="11">
        <f>IFERROR(C12/C14,0)</f>
        <v>-0.34449933292467455</v>
      </c>
      <c r="D13" s="11">
        <f>IFERROR(D12/D14,0)</f>
        <v>-2.378382811218632</v>
      </c>
      <c r="E13" s="11">
        <f>IFERROR(E12/E14,0)</f>
        <v>-2.7759989915542667</v>
      </c>
      <c r="F13" s="11">
        <f>IFERROR(F12/F14,0)</f>
        <v>-1.6633862066303886</v>
      </c>
      <c r="G13" s="11">
        <f>IFERROR(G12/G14,0)</f>
        <v>-1.1585209981740718</v>
      </c>
      <c r="H13" s="11">
        <f>IFERROR(H12/H14,0)</f>
        <v>-0.6708764485719432</v>
      </c>
      <c r="I13" s="11">
        <f>IFERROR(I12/I14,0)</f>
        <v>-0.25220602119906904</v>
      </c>
      <c r="J13" s="11">
        <f>IFERROR(J12/J14,0)</f>
        <v>-0.19835474643621281</v>
      </c>
      <c r="K13" s="11">
        <f>IFERROR(K12/K14,0)</f>
        <v>-0.1152767977227119</v>
      </c>
      <c r="L13" s="11">
        <f>IFERROR(L12/L14,0)</f>
        <v>-0.0006274652744778525</v>
      </c>
      <c r="M13" s="11">
        <f>IFERROR(M12/M14,0)</f>
        <v>0.12115310417671024</v>
      </c>
      <c r="N13" s="11">
        <f>IFERROR(N12/N14,0)</f>
        <v>0.2676378789794387</v>
      </c>
      <c r="O13" s="11">
        <f>IFERROR(O12/O14,0)</f>
        <v>0.43499218783076754</v>
      </c>
      <c r="P13" s="11">
        <f>IFERROR(P12/P14,0)</f>
        <v>0.6170336129105333</v>
      </c>
      <c r="Q13" s="11">
        <f>IFERROR(Q12/Q14,0)</f>
        <v>0.8055936364865571</v>
      </c>
      <c r="R13" s="11">
        <f>IFERROR(R12/R14,0)</f>
        <v>0.9910387390767175</v>
      </c>
    </row>
    <row r="14">
      <c r="A14" s="2" t="inlineStr">
        <is>
          <t>Shares</t>
        </is>
      </c>
      <c r="B14" s="52" t="n">
        <v>83.88</v>
      </c>
      <c r="C14" s="52" t="n">
        <v>83.199</v>
      </c>
      <c r="D14" s="52" t="n">
        <v>12.194</v>
      </c>
      <c r="E14" s="52" t="n">
        <v>15.866</v>
      </c>
      <c r="F14" s="52" t="n">
        <v>25.911</v>
      </c>
      <c r="G14" s="52" t="n">
        <v>32.86</v>
      </c>
      <c r="H14" s="52" t="n">
        <v>49.963</v>
      </c>
      <c r="I14" s="52">
        <f>Main!$C$4</f>
        <v>51.36452</v>
      </c>
      <c r="J14" s="52">
        <f>Main!$C$4</f>
        <v>51.36452</v>
      </c>
      <c r="K14" s="52">
        <f>Main!$C$4</f>
        <v>51.36452</v>
      </c>
      <c r="L14" s="52">
        <f>Main!$C$4</f>
        <v>51.36452</v>
      </c>
      <c r="M14" s="52">
        <f>Main!$C$4</f>
        <v>51.36452</v>
      </c>
      <c r="N14" s="52">
        <f>Main!$C$4</f>
        <v>51.36452</v>
      </c>
      <c r="O14" s="52">
        <f>Main!$C$4</f>
        <v>51.36452</v>
      </c>
      <c r="P14" s="52">
        <f>Main!$C$4</f>
        <v>51.36452</v>
      </c>
      <c r="Q14" s="52">
        <f>Main!$C$4</f>
        <v>51.36452</v>
      </c>
      <c r="R14" s="52">
        <f>Main!$C$4</f>
        <v>51.36452</v>
      </c>
    </row>
    <row r="15"/>
    <row r="16" customFormat="1" s="4">
      <c r="A16" s="3" t="inlineStr">
        <is>
          <t>Revenue Change</t>
        </is>
      </c>
      <c r="C16" s="15">
        <f>IFERROR(C2/B2-1,"")</f>
        <v>0.5663979635129401</v>
      </c>
      <c r="D16" s="15">
        <f>IFERROR(D2/C2-1,"")</f>
        <v>0.20471289274106175</v>
      </c>
      <c r="E16" s="15">
        <f>IFERROR(E2/D2-1,"")</f>
        <v>0.6661720401097171</v>
      </c>
      <c r="F16" s="15">
        <f>IFERROR(F2/E2-1,"")</f>
        <v>0.8943433907270468</v>
      </c>
      <c r="G16" s="15">
        <f>IFERROR(G2/F2-1,"")</f>
        <v>0.2828772099782031</v>
      </c>
      <c r="H16" s="15">
        <f>IFERROR(H2/G2-1,"")</f>
        <v>0.19795888904929537</v>
      </c>
      <c r="I16" s="15">
        <f>IFERROR(I2/H2-1,"")</f>
        <v>0.19799999999999995</v>
      </c>
      <c r="J16" s="15">
        <f>IFERROR(J2/I2-1,"")</f>
        <v>0.1787777777777777</v>
      </c>
      <c r="K16" s="15">
        <f>IFERROR(K2/J2-1,"")</f>
        <v>0.15955555555555545</v>
      </c>
      <c r="L16" s="15">
        <f>IFERROR(L2/K2-1,"")</f>
        <v>0.14033333333333342</v>
      </c>
      <c r="M16" s="15">
        <f>IFERROR(M2/L2-1,"")</f>
        <v>0.12111111111111117</v>
      </c>
      <c r="N16" s="15">
        <f>IFERROR(N2/M2-1,"")</f>
        <v>0.10188888888888892</v>
      </c>
      <c r="O16" s="15">
        <f>IFERROR(O2/N2-1,"")</f>
        <v>0.08266666666666667</v>
      </c>
      <c r="P16" s="15">
        <f>IFERROR(P2/O2-1,"")</f>
        <v>0.06344444444444441</v>
      </c>
      <c r="Q16" s="15">
        <f>IFERROR(Q2/P2-1,"")</f>
        <v>0.04422222222222216</v>
      </c>
      <c r="R16" s="15">
        <f>IFERROR(R2/Q2-1,"")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0.002545608824777205</v>
      </c>
      <c r="C17" s="15">
        <f>IFERROR(C4/C2,"")</f>
        <v>0.4357529794149512</v>
      </c>
      <c r="D17" s="15">
        <f>IFERROR(D4/D2,"")</f>
        <v>0.47502135887405006</v>
      </c>
      <c r="E17" s="15">
        <f>IFERROR(E4/E2,"")</f>
        <v>0.5186754466454364</v>
      </c>
      <c r="F17" s="15">
        <f>IFERROR(F4/F2,"")</f>
        <v>0.6258316356331829</v>
      </c>
      <c r="G17" s="15">
        <f>IFERROR(G4/G2,"")</f>
        <v>0.6123443902764051</v>
      </c>
      <c r="H17" s="15">
        <f>IFERROR(H4/H2,"")</f>
        <v>0.6454971031286212</v>
      </c>
      <c r="I17" s="15">
        <f>IFERROR(I4/I2,"")</f>
        <v>0.6455</v>
      </c>
      <c r="J17" s="15">
        <f>IFERROR(J4/J2,"")</f>
        <v>0.6455000000000001</v>
      </c>
      <c r="K17" s="15">
        <f>IFERROR(K4/K2,"")</f>
        <v>0.6455</v>
      </c>
      <c r="L17" s="15">
        <f>IFERROR(L4/L2,"")</f>
        <v>0.6455</v>
      </c>
      <c r="M17" s="15">
        <f>IFERROR(M4/M2,"")</f>
        <v>0.6455000000000001</v>
      </c>
      <c r="N17" s="15">
        <f>IFERROR(N4/N2,"")</f>
        <v>0.6455</v>
      </c>
      <c r="O17" s="15">
        <f>IFERROR(O4/O2,"")</f>
        <v>0.6455</v>
      </c>
      <c r="P17" s="15">
        <f>IFERROR(P4/P2,"")</f>
        <v>0.6454999999999999</v>
      </c>
      <c r="Q17" s="15">
        <f>IFERROR(Q4/Q2,"")</f>
        <v>0.6454999999999999</v>
      </c>
      <c r="R17" s="15">
        <f>IFERROR(R4/R2,"")</f>
        <v>0.6455000000000001</v>
      </c>
    </row>
    <row r="18">
      <c r="A18" s="14" t="inlineStr">
        <is>
          <t>Operating Margin</t>
        </is>
      </c>
      <c r="B18" s="15">
        <f>IFERROR(B8/B2,"")</f>
        <v>-3.663046245226983</v>
      </c>
      <c r="C18" s="15">
        <f>IFERROR(C8/C2,"")</f>
        <v>-1.469284940411701</v>
      </c>
      <c r="D18" s="15">
        <f>IFERROR(D8/D2,"")</f>
        <v>-1.2069337650074194</v>
      </c>
      <c r="E18" s="15">
        <f>IFERROR(E8/E2,"")</f>
        <v>-1.0228315431532358</v>
      </c>
      <c r="F18" s="15">
        <f>IFERROR(F8/F2,"")</f>
        <v>-0.38931232459077114</v>
      </c>
      <c r="G18" s="15">
        <f>IFERROR(G8/G2,"")</f>
        <v>-0.27453941742828897</v>
      </c>
      <c r="H18" s="15">
        <f>IFERROR(H8/H2,"")</f>
        <v>-0.13356199304750857</v>
      </c>
      <c r="I18" s="15">
        <f>IFERROR(I8/I2,"")</f>
        <v>-0.10024000000000005</v>
      </c>
      <c r="J18" s="15">
        <f>IFERROR(J8/J2,"")</f>
        <v>-0.06688000000000002</v>
      </c>
      <c r="K18" s="15">
        <f>IFERROR(K8/K2,"")</f>
        <v>-0.033519999999999994</v>
      </c>
      <c r="L18" s="15">
        <f>IFERROR(L8/L2,"")</f>
        <v>-0.00015999999999997272</v>
      </c>
      <c r="M18" s="15">
        <f>IFERROR(M8/M2,"")</f>
        <v>0.033199999999999986</v>
      </c>
      <c r="N18" s="15">
        <f>IFERROR(N8/N2,"")</f>
        <v>0.06656000000000004</v>
      </c>
      <c r="O18" s="15">
        <f>IFERROR(O8/O2,"")</f>
        <v>0.09992000000000005</v>
      </c>
      <c r="P18" s="15">
        <f>IFERROR(P8/P2,"")</f>
        <v>0.13328</v>
      </c>
      <c r="Q18" s="15">
        <f>IFERROR(Q8/Q2,"")</f>
        <v>0.16664</v>
      </c>
      <c r="R18" s="15">
        <f>IFERROR(R8/R2,"")</f>
        <v>0.20000000000000004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MDxHealth SA: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0.148</v>
      </c>
      <c r="C12" s="53" t="n">
        <v>0.198</v>
      </c>
      <c r="D12" s="53" t="n">
        <v>0.248</v>
      </c>
      <c r="E12" s="54">
        <f>CHOOSE($B$4,B12,C12,D12)</f>
        <v>0.198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-0.1336</v>
      </c>
    </row>
    <row r="19">
      <c r="A19" s="14" t="inlineStr">
        <is>
          <t>Gross margin (forecast)</t>
        </is>
      </c>
      <c r="B19" s="53" t="n">
        <v>0.6455</v>
      </c>
    </row>
    <row r="20">
      <c r="A20" s="14" t="inlineStr">
        <is>
          <t>R&amp;D share of operating expense (forecast)</t>
        </is>
      </c>
      <c r="B20" s="53" t="n">
        <v>0.1232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46022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Model'!H2</f>
        <v>107.875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164.73212907793726</v>
      </c>
      <c r="C29" s="56">
        <f>NPV!B26</f>
        <v>117.67012907793725</v>
      </c>
      <c r="D29" s="35">
        <f>NPV!B28</f>
        <v>2.290883455699328</v>
      </c>
      <c r="E29" s="57">
        <f>NPV!B30</f>
        <v>10.784379916148808</v>
      </c>
    </row>
    <row r="30">
      <c r="A30" s="58" t="n">
        <v>1</v>
      </c>
      <c r="B30" s="59">
        <f t="dataTable" ref="B30:E32" r1="B4"/>
        <v>55.228287663191736</v>
      </c>
      <c r="C30" s="59">
        <v>8.166287663191738</v>
      </c>
      <c r="D30" s="39">
        <v>0.1589869361806893</v>
      </c>
      <c r="E30" s="60">
        <v>-0.1821659661487176</v>
      </c>
    </row>
    <row r="31">
      <c r="A31" s="58" t="n">
        <v>2</v>
      </c>
      <c r="B31" s="59">
        <v>164.73212907793726</v>
      </c>
      <c r="C31" s="59">
        <v>117.67012907793725</v>
      </c>
      <c r="D31" s="39">
        <v>2.290883455699328</v>
      </c>
      <c r="E31" s="60">
        <v>10.784379916148808</v>
      </c>
    </row>
    <row r="32">
      <c r="A32" s="58" t="n">
        <v>3</v>
      </c>
      <c r="B32" s="59">
        <v>370.294066841442</v>
      </c>
      <c r="C32" s="59">
        <v>323.23206684144196</v>
      </c>
      <c r="D32" s="39">
        <v>6.292905430469164</v>
      </c>
      <c r="E32" s="60">
        <v>31.370912708174714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2.290883455699328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3.2479963987855713</v>
      </c>
      <c r="C37" s="39">
        <v>3.565462871780812</v>
      </c>
      <c r="D37" s="39">
        <v>3.9234657099567523</v>
      </c>
      <c r="E37" s="39">
        <v>4.330122935609623</v>
      </c>
      <c r="F37" s="39">
        <v>4.795872142530035</v>
      </c>
    </row>
    <row r="38">
      <c r="A38" s="62" t="n">
        <v>0.115</v>
      </c>
      <c r="B38" s="39">
        <v>2.4942281613441324</v>
      </c>
      <c r="C38" s="39">
        <v>2.7357353098269526</v>
      </c>
      <c r="D38" s="39">
        <v>3.0047892284495847</v>
      </c>
      <c r="E38" s="39">
        <v>3.3062599392435605</v>
      </c>
      <c r="F38" s="39">
        <v>3.6462350807802033</v>
      </c>
    </row>
    <row r="39">
      <c r="A39" s="62" t="n">
        <v>0.125</v>
      </c>
      <c r="B39" s="39">
        <v>1.8962468531221104</v>
      </c>
      <c r="C39" s="39">
        <v>2.0838816116880494</v>
      </c>
      <c r="D39" s="39">
        <v>2.290883455699328</v>
      </c>
      <c r="E39" s="39">
        <v>2.520317704975277</v>
      </c>
      <c r="F39" s="39">
        <v>2.7759309533116396</v>
      </c>
    </row>
    <row r="40">
      <c r="A40" s="62" t="n">
        <v>0.135</v>
      </c>
      <c r="B40" s="39">
        <v>1.4137348597368886</v>
      </c>
      <c r="C40" s="39">
        <v>1.562052284682191</v>
      </c>
      <c r="D40" s="39">
        <v>1.7243702253248023</v>
      </c>
      <c r="E40" s="39">
        <v>1.9026949657381882</v>
      </c>
      <c r="F40" s="39">
        <v>2.0994341237150707</v>
      </c>
    </row>
    <row r="41">
      <c r="A41" s="62" t="n">
        <v>0.145</v>
      </c>
      <c r="B41" s="39">
        <v>1.0188986015428598</v>
      </c>
      <c r="C41" s="39">
        <v>1.1378347035792502</v>
      </c>
      <c r="D41" s="39">
        <v>1.2671294336621273</v>
      </c>
      <c r="E41" s="39">
        <v>1.4081392119451919</v>
      </c>
      <c r="F41" s="39">
        <v>1.5624671455638999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MDxHealth SA: free-cash-flow DCF ($mm)</t>
        </is>
      </c>
    </row>
    <row r="3">
      <c r="A3" s="20" t="inlineStr">
        <is>
          <t>Fiscal year</t>
        </is>
      </c>
      <c r="B3" s="43">
        <f>'Yearly Model'!H1</f>
        <v>2025</v>
      </c>
      <c r="C3" s="43">
        <f>'Yearly Model'!I1</f>
        <v>2026</v>
      </c>
      <c r="D3" s="43">
        <f>'Yearly Model'!J1</f>
        <v>2027</v>
      </c>
      <c r="E3" s="43">
        <f>'Yearly Model'!K1</f>
        <v>2028</v>
      </c>
      <c r="F3" s="43">
        <f>'Yearly Model'!L1</f>
        <v>2029</v>
      </c>
      <c r="G3" s="43">
        <f>'Yearly Model'!M1</f>
        <v>2030</v>
      </c>
      <c r="H3" s="43">
        <f>'Yearly Model'!N1</f>
        <v>2031</v>
      </c>
      <c r="I3" s="43">
        <f>'Yearly Model'!O1</f>
        <v>2032</v>
      </c>
      <c r="J3" s="43">
        <f>'Yearly Model'!P1</f>
        <v>2033</v>
      </c>
      <c r="K3" s="43">
        <f>'Yearly Model'!Q1</f>
        <v>2034</v>
      </c>
      <c r="L3" s="43">
        <f>'Yearly Model'!R1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0.198</v>
      </c>
      <c r="D5" s="63">
        <f>Assumptions!$E$12+(Assumptions!$E$11-Assumptions!$E$12)*(D4-1)/(Assumptions!$B$21-1)</f>
        <v>0.17877777777777779</v>
      </c>
      <c r="E5" s="63">
        <f>Assumptions!$E$12+(Assumptions!$E$11-Assumptions!$E$12)*(E4-1)/(Assumptions!$B$21-1)</f>
        <v>0.15955555555555556</v>
      </c>
      <c r="F5" s="63">
        <f>Assumptions!$E$12+(Assumptions!$E$11-Assumptions!$E$12)*(F4-1)/(Assumptions!$B$21-1)</f>
        <v>0.14033333333333334</v>
      </c>
      <c r="G5" s="63">
        <f>Assumptions!$E$12+(Assumptions!$E$11-Assumptions!$E$12)*(G4-1)/(Assumptions!$B$21-1)</f>
        <v>0.12111111111111111</v>
      </c>
      <c r="H5" s="63">
        <f>Assumptions!$E$12+(Assumptions!$E$11-Assumptions!$E$12)*(H4-1)/(Assumptions!$B$21-1)</f>
        <v>0.10188888888888889</v>
      </c>
      <c r="I5" s="63">
        <f>Assumptions!$E$12+(Assumptions!$E$11-Assumptions!$E$12)*(I4-1)/(Assumptions!$B$21-1)</f>
        <v>0.08266666666666667</v>
      </c>
      <c r="J5" s="63">
        <f>Assumptions!$E$12+(Assumptions!$E$11-Assumptions!$E$12)*(J4-1)/(Assumptions!$B$21-1)</f>
        <v>0.06344444444444444</v>
      </c>
      <c r="K5" s="63">
        <f>Assumptions!$E$12+(Assumptions!$E$11-Assumptions!$E$12)*(K4-1)/(Assumptions!$B$21-1)</f>
        <v>0.04422222222222222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-0.13356199304750857</v>
      </c>
      <c r="C6" s="63">
        <f>Assumptions!$B$18+(Assumptions!$E$13-Assumptions!$B$18)*C4/Assumptions!$B$21</f>
        <v>-0.10024</v>
      </c>
      <c r="D6" s="63">
        <f>Assumptions!$B$18+(Assumptions!$E$13-Assumptions!$B$18)*D4/Assumptions!$B$21</f>
        <v>-0.06688</v>
      </c>
      <c r="E6" s="63">
        <f>Assumptions!$B$18+(Assumptions!$E$13-Assumptions!$B$18)*E4/Assumptions!$B$21</f>
        <v>-0.03352000000000001</v>
      </c>
      <c r="F6" s="63">
        <f>Assumptions!$B$18+(Assumptions!$E$13-Assumptions!$B$18)*F4/Assumptions!$B$21</f>
        <v>-0.00015999999999999348</v>
      </c>
      <c r="G6" s="63">
        <f>Assumptions!$B$18+(Assumptions!$E$13-Assumptions!$B$18)*G4/Assumptions!$B$21</f>
        <v>0.03320000000000001</v>
      </c>
      <c r="H6" s="63">
        <f>Assumptions!$B$18+(Assumptions!$E$13-Assumptions!$B$18)*H4/Assumptions!$B$21</f>
        <v>0.06655999999999998</v>
      </c>
      <c r="I6" s="63">
        <f>Assumptions!$B$18+(Assumptions!$E$13-Assumptions!$B$18)*I4/Assumptions!$B$21</f>
        <v>0.09992000000000001</v>
      </c>
      <c r="J6" s="63">
        <f>Assumptions!$B$18+(Assumptions!$E$13-Assumptions!$B$18)*J4/Assumptions!$B$21</f>
        <v>0.13328</v>
      </c>
      <c r="K6" s="63">
        <f>Assumptions!$B$18+(Assumptions!$E$13-Assumptions!$B$18)*K4/Assumptions!$B$21</f>
        <v>0.16664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Model'!H2</f>
        <v>107.875</v>
      </c>
      <c r="C7" s="55">
        <f>'Yearly Model'!I2</f>
        <v>129.23425</v>
      </c>
      <c r="D7" s="55">
        <f>'Yearly Model'!J2</f>
        <v>152.33846202777778</v>
      </c>
      <c r="E7" s="55">
        <f>'Yearly Model'!K2</f>
        <v>176.64490996909876</v>
      </c>
      <c r="F7" s="55">
        <f>'Yearly Model'!L2</f>
        <v>201.43407900142898</v>
      </c>
      <c r="G7" s="55">
        <f>'Yearly Model'!M2</f>
        <v>225.8299841249354</v>
      </c>
      <c r="H7" s="55">
        <f>'Yearly Model'!N2</f>
        <v>248.8395502852205</v>
      </c>
      <c r="I7" s="55">
        <f>'Yearly Model'!O2</f>
        <v>269.4102864421321</v>
      </c>
      <c r="J7" s="55">
        <f>'Yearly Model'!P2</f>
        <v>286.50287239307175</v>
      </c>
      <c r="K7" s="55">
        <f>'Yearly Model'!Q2</f>
        <v>299.17266608334313</v>
      </c>
      <c r="L7" s="55">
        <f>'Yearly Model'!R2</f>
        <v>306.65198273542666</v>
      </c>
    </row>
    <row r="8">
      <c r="A8" s="14" t="inlineStr">
        <is>
          <t>Operating income</t>
        </is>
      </c>
      <c r="B8" s="55">
        <f>'Yearly Model'!H8</f>
        <v>-14.407999999999987</v>
      </c>
      <c r="C8" s="55">
        <f>'Yearly Model'!I8</f>
        <v>-12.954441220000007</v>
      </c>
      <c r="D8" s="55">
        <f>'Yearly Model'!J8</f>
        <v>-10.188396340417782</v>
      </c>
      <c r="E8" s="55">
        <f>'Yearly Model'!K8</f>
        <v>-5.92113738216419</v>
      </c>
      <c r="F8" s="55">
        <f>'Yearly Model'!L8</f>
        <v>-0.032229452640223144</v>
      </c>
      <c r="G8" s="55">
        <f>'Yearly Model'!M8</f>
        <v>7.497555472947852</v>
      </c>
      <c r="H8" s="55">
        <f>'Yearly Model'!N8</f>
        <v>16.562760466984287</v>
      </c>
      <c r="I8" s="55">
        <f>'Yearly Model'!O8</f>
        <v>26.91947582129785</v>
      </c>
      <c r="J8" s="55">
        <f>'Yearly Model'!P8</f>
        <v>38.18510283254861</v>
      </c>
      <c r="K8" s="55">
        <f>'Yearly Model'!Q8</f>
        <v>49.854133076128306</v>
      </c>
      <c r="L8" s="55">
        <f>'Yearly Model'!R8</f>
        <v>61.33039654708534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1.274584430401135</v>
      </c>
      <c r="H9" s="52">
        <f>MAX(0,H8)*Assumptions!$E$14</f>
        <v>2.815669279387329</v>
      </c>
      <c r="I9" s="52">
        <f>MAX(0,I8)*Assumptions!$E$14</f>
        <v>4.576310889620635</v>
      </c>
      <c r="J9" s="52">
        <f>MAX(0,J8)*Assumptions!$E$14</f>
        <v>6.491467481533264</v>
      </c>
      <c r="K9" s="52">
        <f>MAX(0,K8)*Assumptions!$E$14</f>
        <v>8.475202622941813</v>
      </c>
      <c r="L9" s="52">
        <f>MAX(0,L8)*Assumptions!$E$14</f>
        <v>10.426167413004508</v>
      </c>
    </row>
    <row r="10">
      <c r="A10" s="14" t="inlineStr">
        <is>
          <t>NOPAT</t>
        </is>
      </c>
      <c r="C10" s="52">
        <f>C8-C9</f>
        <v>-12.954441220000007</v>
      </c>
      <c r="D10" s="52">
        <f>D8-D9</f>
        <v>-10.188396340417782</v>
      </c>
      <c r="E10" s="52">
        <f>E8-E9</f>
        <v>-5.92113738216419</v>
      </c>
      <c r="F10" s="52">
        <f>F8-F9</f>
        <v>-0.032229452640223144</v>
      </c>
      <c r="G10" s="52">
        <f>G8-G9</f>
        <v>6.222971042546717</v>
      </c>
      <c r="H10" s="52">
        <f>H8-H9</f>
        <v>13.747091187596958</v>
      </c>
      <c r="I10" s="52">
        <f>I8-I9</f>
        <v>22.343164931677215</v>
      </c>
      <c r="J10" s="52">
        <f>J8-J9</f>
        <v>31.693635351015345</v>
      </c>
      <c r="K10" s="52">
        <f>K8-K9</f>
        <v>41.37893045318649</v>
      </c>
      <c r="L10" s="52">
        <f>L8-L9</f>
        <v>50.904229134080836</v>
      </c>
    </row>
    <row r="11">
      <c r="A11" s="14" t="inlineStr">
        <is>
          <t>Reinvestment</t>
        </is>
      </c>
      <c r="C11" s="52">
        <f>(C7-B7)*Assumptions!$E$15</f>
        <v>5.339812500000001</v>
      </c>
      <c r="D11" s="52">
        <f>(D7-C7)*Assumptions!$E$15</f>
        <v>5.776053006944444</v>
      </c>
      <c r="E11" s="52">
        <f>(E7-D7)*Assumptions!$E$15</f>
        <v>6.076611985330246</v>
      </c>
      <c r="F11" s="52">
        <f>(F7-E7)*Assumptions!$E$15</f>
        <v>6.197292258082555</v>
      </c>
      <c r="G11" s="52">
        <f>(G7-F7)*Assumptions!$E$15</f>
        <v>6.098976280876606</v>
      </c>
      <c r="H11" s="52">
        <f>(H7-G7)*Assumptions!$E$15</f>
        <v>5.752391540071272</v>
      </c>
      <c r="I11" s="52">
        <f>(I7-H7)*Assumptions!$E$15</f>
        <v>5.142684039227895</v>
      </c>
      <c r="J11" s="52">
        <f>(J7-I7)*Assumptions!$E$15</f>
        <v>4.27314648773492</v>
      </c>
      <c r="K11" s="52">
        <f>(K7-J7)*Assumptions!$E$15</f>
        <v>3.167448422567844</v>
      </c>
      <c r="L11" s="52">
        <f>(L7-K7)*Assumptions!$E$15</f>
        <v>1.8698291630208814</v>
      </c>
    </row>
    <row r="12">
      <c r="A12" s="20" t="inlineStr">
        <is>
          <t>Free cash flow</t>
        </is>
      </c>
      <c r="C12" s="64">
        <f>C10-C11</f>
        <v>-18.294253720000007</v>
      </c>
      <c r="D12" s="64">
        <f>D10-D11</f>
        <v>-15.964449347362226</v>
      </c>
      <c r="E12" s="64">
        <f>E10-E11</f>
        <v>-11.997749367494436</v>
      </c>
      <c r="F12" s="64">
        <f>F10-F11</f>
        <v>-6.2295217107227785</v>
      </c>
      <c r="G12" s="64">
        <f>G10-G11</f>
        <v>0.1239947616701107</v>
      </c>
      <c r="H12" s="64">
        <f>H10-H11</f>
        <v>7.994699647525685</v>
      </c>
      <c r="I12" s="64">
        <f>I10-I11</f>
        <v>17.20048089244932</v>
      </c>
      <c r="J12" s="64">
        <f>J10-J11</f>
        <v>27.420488863280426</v>
      </c>
      <c r="K12" s="64">
        <f>K10-K11</f>
        <v>38.21148203061865</v>
      </c>
      <c r="L12" s="64">
        <f>L10-L11</f>
        <v>49.034399971059955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0.9428090415820635</v>
      </c>
      <c r="D15" s="65">
        <f>1/(1+Assumptions!$E$10)^D14</f>
        <v>0.8380524814062785</v>
      </c>
      <c r="E15" s="65">
        <f>1/(1+Assumptions!$E$10)^E14</f>
        <v>0.7449355390278032</v>
      </c>
      <c r="F15" s="65">
        <f>1/(1+Assumptions!$E$10)^F14</f>
        <v>0.6621649235802695</v>
      </c>
      <c r="G15" s="65">
        <f>1/(1+Assumptions!$E$10)^G14</f>
        <v>0.5885910431824618</v>
      </c>
      <c r="H15" s="65">
        <f>1/(1+Assumptions!$E$10)^H14</f>
        <v>0.5231920383844104</v>
      </c>
      <c r="I15" s="65">
        <f>1/(1+Assumptions!$E$10)^I14</f>
        <v>0.4650595896750315</v>
      </c>
      <c r="J15" s="65">
        <f>1/(1+Assumptions!$E$10)^J14</f>
        <v>0.41338630193336134</v>
      </c>
      <c r="K15" s="65">
        <f>1/(1+Assumptions!$E$10)^K14</f>
        <v>0.3674544906074323</v>
      </c>
      <c r="L15" s="65">
        <f>1/(1+Assumptions!$E$10)^L14</f>
        <v>0.3266262138732731</v>
      </c>
    </row>
    <row r="16">
      <c r="A16" s="20" t="inlineStr">
        <is>
          <t>PV of free cash flow</t>
        </is>
      </c>
      <c r="C16" s="64">
        <f>C12*C13*C15</f>
        <v>-17.247987816212305</v>
      </c>
      <c r="D16" s="64">
        <f>D12*D13*D15</f>
        <v>-13.379046389841758</v>
      </c>
      <c r="E16" s="64">
        <f>E12*E13*E15</f>
        <v>-8.937549892194951</v>
      </c>
      <c r="F16" s="64">
        <f>F12*F13*F15</f>
        <v>-4.124970767522378</v>
      </c>
      <c r="G16" s="64">
        <f>G12*G13*G15</f>
        <v>0.07298220612057119</v>
      </c>
      <c r="H16" s="64">
        <f>H12*H13*H15</f>
        <v>4.182763204860091</v>
      </c>
      <c r="I16" s="64">
        <f>I12*I13*I15</f>
        <v>7.999248586055701</v>
      </c>
      <c r="J16" s="64">
        <f>J12*J13*J15</f>
        <v>11.335254488396414</v>
      </c>
      <c r="K16" s="64">
        <f>K12*K13*K15</f>
        <v>14.040980664916027</v>
      </c>
      <c r="L16" s="64">
        <f>L12*L13*L15</f>
        <v>16.015920412095046</v>
      </c>
    </row>
    <row r="19">
      <c r="A19" s="14" t="inlineStr">
        <is>
          <t>PV of forecast free cash flow</t>
        </is>
      </c>
      <c r="B19" s="52">
        <f>SUM(C16:L16)</f>
        <v>9.957594696672459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50.26025997033644</v>
      </c>
    </row>
    <row r="21">
      <c r="A21" s="14" t="inlineStr">
        <is>
          <t>Terminal value</t>
        </is>
      </c>
      <c r="B21" s="52">
        <f>B20/(Assumptions!$E$10-Assumptions!$E$11)</f>
        <v>502.6025997033644</v>
      </c>
    </row>
    <row r="22">
      <c r="A22" s="14" t="inlineStr">
        <is>
          <t>PV of terminal value</t>
        </is>
      </c>
      <c r="B22" s="52">
        <f>B21/(1+Assumptions!$E$10)^(L14+0.5)</f>
        <v>154.7745343812648</v>
      </c>
    </row>
    <row r="23">
      <c r="A23" s="20" t="inlineStr">
        <is>
          <t>Enterprise value</t>
        </is>
      </c>
      <c r="B23" s="66">
        <f>B19+B22</f>
        <v>164.73212907793726</v>
      </c>
    </row>
    <row r="24">
      <c r="A24" s="14" t="inlineStr">
        <is>
          <t>Cash &amp; investments</t>
        </is>
      </c>
      <c r="B24" s="55">
        <f>Main!C7</f>
        <v>29.135</v>
      </c>
    </row>
    <row r="25">
      <c r="A25" s="14" t="inlineStr">
        <is>
          <t>Debt</t>
        </is>
      </c>
      <c r="B25" s="55">
        <f>Main!C8</f>
        <v>76.197</v>
      </c>
    </row>
    <row r="26">
      <c r="A26" s="20" t="inlineStr">
        <is>
          <t>Equity value</t>
        </is>
      </c>
      <c r="B26" s="66">
        <f>B23+B24-B25</f>
        <v>117.67012907793725</v>
      </c>
    </row>
    <row r="27">
      <c r="A27" s="14" t="inlineStr">
        <is>
          <t>Shares (mm)</t>
        </is>
      </c>
      <c r="B27" s="55">
        <f>Main!C4</f>
        <v>51.36452</v>
      </c>
    </row>
    <row r="28">
      <c r="A28" s="20" t="inlineStr">
        <is>
          <t>NPV / share</t>
        </is>
      </c>
      <c r="B28" s="49">
        <f>B26/B27</f>
        <v>2.290883455699328</v>
      </c>
    </row>
    <row r="29">
      <c r="A29" s="14" t="inlineStr">
        <is>
          <t>Price</t>
        </is>
      </c>
      <c r="B29" s="50">
        <f>Main!C3</f>
        <v>0.1944</v>
      </c>
    </row>
    <row r="30">
      <c r="A30" s="14" t="inlineStr">
        <is>
          <t>Upside</t>
        </is>
      </c>
      <c r="B30" s="63">
        <f>B28/B29-1</f>
        <v>10.784379916148808</v>
      </c>
    </row>
    <row r="31">
      <c r="A31" s="14" t="inlineStr">
        <is>
          <t>Terminal value, % of EV</t>
        </is>
      </c>
      <c r="B31" s="63">
        <f>IFERROR(B22/B23,0)</f>
        <v>0.9395528076252728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2026-10-21T06:30:46Z</dcterms:modified>
  <cp:lastModifiedBy>Wang, Eric</cp:lastModifiedBy>
</cp:coreProperties>
</file>