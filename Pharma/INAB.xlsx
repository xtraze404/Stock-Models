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IN8bio, Inc.</t>
        </is>
      </c>
      <c r="C2" s="10" t="n"/>
    </row>
    <row r="3">
      <c r="B3" t="inlineStr">
        <is>
          <t>Price</t>
        </is>
      </c>
      <c r="C3" s="11">
        <f>INDEX([1]Pharma!$F$1:$F$1000,MATCH("INAB",[1]Pharma!$B$1:$B$1000,0))</f>
        <v>1.14</v>
      </c>
      <c r="F3" s="1" t="n"/>
    </row>
    <row r="4">
      <c r="B4" t="inlineStr">
        <is>
          <t>Shares</t>
        </is>
      </c>
      <c r="C4" s="21" t="n">
        <v>9.858383</v>
      </c>
      <c r="F4" s="1" t="n"/>
    </row>
    <row r="5">
      <c r="B5" t="inlineStr">
        <is>
          <t>Market Cap.</t>
        </is>
      </c>
      <c r="C5" s="13">
        <f>C3*C4</f>
        <v>11.238556619999999</v>
      </c>
      <c r="F5" s="1" t="n"/>
    </row>
    <row r="6"/>
    <row r="7">
      <c r="B7" t="inlineStr">
        <is>
          <t>Cash</t>
        </is>
      </c>
      <c r="C7" s="21" t="n">
        <v>17.956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-6.717443380000001</v>
      </c>
    </row>
    <row r="10"/>
    <row r="11">
      <c r="B11" s="14" t="inlineStr">
        <is>
          <t>Net Cash / Share</t>
        </is>
      </c>
      <c r="C11" s="11">
        <f>(C7-C8)/C4</f>
        <v>1.8213940359184666</v>
      </c>
    </row>
    <row r="12">
      <c r="B12" s="14" t="inlineStr">
        <is>
          <t>Upside</t>
        </is>
      </c>
      <c r="C12" s="15">
        <f>IFERROR(C11/C3-1,"")</f>
        <v>0.5977140665951464</v>
      </c>
    </row>
    <row r="13">
      <c r="B13" s="14" t="inlineStr">
        <is>
          <t>Cash / Share</t>
        </is>
      </c>
      <c r="C13" s="11">
        <f>IFERROR((C7-C8)/C4,"")</f>
        <v>1.8213940359184666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-14.355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1.2508533611981887</v>
      </c>
    </row>
    <row r="19">
      <c r="B19" s="14" t="inlineStr">
        <is>
          <t>Implied Pipeline Value</t>
        </is>
      </c>
      <c r="C19" s="13">
        <f>C9</f>
        <v>-6.717443380000001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5.378</v>
      </c>
      <c r="C5" s="23" t="n">
        <v>7.347</v>
      </c>
      <c r="D5" s="23" t="n">
        <v>14.062</v>
      </c>
      <c r="E5" s="23" t="n">
        <v>16.827</v>
      </c>
      <c r="F5" s="23" t="n">
        <v>16.962</v>
      </c>
      <c r="G5" s="23" t="n">
        <v>10.211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3.179</v>
      </c>
      <c r="C6" s="23" t="n">
        <v>7.306</v>
      </c>
      <c r="D6" s="23" t="n">
        <v>14.459</v>
      </c>
      <c r="E6" s="23" t="n">
        <v>13.18</v>
      </c>
      <c r="F6" s="23" t="n">
        <v>13.475</v>
      </c>
      <c r="G6" s="23" t="n">
        <v>9.228999999999999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8.557</v>
      </c>
      <c r="C7" s="23">
        <f>SUM(C5:C6)</f>
        <v>14.653</v>
      </c>
      <c r="D7" s="23">
        <f>SUM(D5:D6)</f>
        <v>28.521</v>
      </c>
      <c r="E7" s="23">
        <f>SUM(E5:E6)</f>
        <v>30.007</v>
      </c>
      <c r="F7" s="23">
        <f>SUM(F5:F6)</f>
        <v>30.436999999999998</v>
      </c>
      <c r="G7" s="23">
        <f>SUM(G5:G6)</f>
        <v>19.439999999999998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-8.557</v>
      </c>
      <c r="C8" s="23">
        <f>C4-C7</f>
        <v>-14.653</v>
      </c>
      <c r="D8" s="23">
        <f>D4-D7</f>
        <v>-28.521</v>
      </c>
      <c r="E8" s="23">
        <f>E4-E7</f>
        <v>-30.007</v>
      </c>
      <c r="F8" s="23">
        <f>F4-F7</f>
        <v>-30.436999999999998</v>
      </c>
      <c r="G8" s="23">
        <f>G4-G7</f>
        <v>-19.439999999999998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0</v>
      </c>
      <c r="C9" s="23" t="n">
        <v>0</v>
      </c>
      <c r="D9" s="23" t="n">
        <v>0</v>
      </c>
      <c r="E9" s="23" t="n">
        <v>0</v>
      </c>
      <c r="F9" s="23" t="n">
        <v>0</v>
      </c>
      <c r="G9" s="23" t="n">
        <v>0</v>
      </c>
    </row>
    <row r="10">
      <c r="A10" s="2" t="inlineStr">
        <is>
          <t>Pretax</t>
        </is>
      </c>
      <c r="B10" s="23">
        <f>B8+B9</f>
        <v>-8.557</v>
      </c>
      <c r="C10" s="23">
        <f>C8+C9</f>
        <v>-14.653</v>
      </c>
      <c r="D10" s="23">
        <f>D8+D9</f>
        <v>-28.521</v>
      </c>
      <c r="E10" s="23">
        <f>E8+E9</f>
        <v>-30.007</v>
      </c>
      <c r="F10" s="23">
        <f>F8+F9</f>
        <v>-30.436999999999998</v>
      </c>
      <c r="G10" s="23">
        <f>G8+G9</f>
        <v>-19.439999999999998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</row>
    <row r="12">
      <c r="A12" s="2" t="inlineStr">
        <is>
          <t>Net Income</t>
        </is>
      </c>
      <c r="B12" s="23" t="n">
        <v>-8.557</v>
      </c>
      <c r="C12" s="23" t="n">
        <v>-14.653</v>
      </c>
      <c r="D12" s="23" t="n">
        <v>-28.521</v>
      </c>
      <c r="E12" s="23" t="n">
        <v>-30.007</v>
      </c>
      <c r="F12" s="23" t="n">
        <v>-30.437</v>
      </c>
      <c r="G12" s="23" t="n">
        <v>-19.44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-42.57213930348259</v>
      </c>
      <c r="C13" s="11">
        <f>IFERROR(C12/C14,0)</f>
        <v>-25.005119453924916</v>
      </c>
      <c r="D13" s="11">
        <f>IFERROR(D12/D14,0)</f>
        <v>-23.131386861313867</v>
      </c>
      <c r="E13" s="11">
        <f>IFERROR(E12/E14,0)</f>
        <v>-17.078542970973253</v>
      </c>
      <c r="F13" s="11">
        <f>IFERROR(F12/F14,0)</f>
        <v>-17.0515406162465</v>
      </c>
      <c r="G13" s="11">
        <f>IFERROR(G12/G14,0)</f>
        <v>-4.444444444444445</v>
      </c>
    </row>
    <row r="14">
      <c r="A14" s="2" t="inlineStr">
        <is>
          <t>Shares</t>
        </is>
      </c>
      <c r="B14" s="23" t="n">
        <v>0.201</v>
      </c>
      <c r="C14" s="23" t="n">
        <v>0.586</v>
      </c>
      <c r="D14" s="23" t="n">
        <v>1.233</v>
      </c>
      <c r="E14" s="23" t="n">
        <v>1.757</v>
      </c>
      <c r="F14" s="23" t="n">
        <v>1.785</v>
      </c>
      <c r="G14" s="23" t="n">
        <v>4.374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2026-10-21T01:06:36Z</dcterms:modified>
  <cp:lastModifiedBy>Wang, Eric</cp:lastModifiedBy>
</cp:coreProperties>
</file>