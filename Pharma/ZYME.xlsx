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Zymeworks Inc.</t>
        </is>
      </c>
      <c r="C2" s="10" t="n"/>
    </row>
    <row r="3">
      <c r="B3" t="inlineStr">
        <is>
          <t>Price</t>
        </is>
      </c>
      <c r="C3" s="11">
        <f>INDEX([1]Pharma!$F$1:$F$1000,MATCH("ZYME",[1]Pharma!$B$1:$B$1000,0))</f>
        <v>26.91</v>
      </c>
      <c r="F3" s="1" t="n"/>
    </row>
    <row r="4">
      <c r="B4" t="inlineStr">
        <is>
          <t>Shares</t>
        </is>
      </c>
      <c r="C4" s="21" t="n">
        <v>70.95924100000001</v>
      </c>
      <c r="F4" s="1" t="n"/>
    </row>
    <row r="5">
      <c r="B5" t="inlineStr">
        <is>
          <t>Market Cap.</t>
        </is>
      </c>
      <c r="C5" s="13">
        <f>C3*C4</f>
        <v>1909.5131753100002</v>
      </c>
      <c r="F5" s="1" t="n"/>
    </row>
    <row r="6"/>
    <row r="7">
      <c r="B7" t="inlineStr">
        <is>
          <t>Cash</t>
        </is>
      </c>
      <c r="C7" s="21">
        <f>179.413+91.286</f>
        <v>270.699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1638.81417531</v>
      </c>
    </row>
    <row r="10"/>
    <row r="11">
      <c r="B11" s="14" t="inlineStr">
        <is>
          <t>rNPV / Share</t>
        </is>
      </c>
      <c r="C11" s="11">
        <f>NPV!B27</f>
        <v>16.909931381150553</v>
      </c>
    </row>
    <row r="12">
      <c r="B12" s="14" t="inlineStr">
        <is>
          <t>Upside</t>
        </is>
      </c>
      <c r="C12" s="15">
        <f>IFERROR(C11/C3-1,"")</f>
        <v>-0.3716116171999051</v>
      </c>
    </row>
    <row r="13">
      <c r="B13" s="14" t="inlineStr">
        <is>
          <t>Cash / Share</t>
        </is>
      </c>
      <c r="C13" s="11">
        <f>IFERROR((C7-C8)/C4,"")</f>
        <v>3.814851965510736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-119.337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2.268357676160788</v>
      </c>
    </row>
    <row r="19">
      <c r="B19" s="14" t="inlineStr">
        <is>
          <t>Implied Pipeline Value</t>
        </is>
      </c>
      <c r="C19" s="13">
        <f>C9</f>
        <v>1638.81417531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38.951</v>
      </c>
      <c r="C2" s="23" t="n">
        <v>26.68</v>
      </c>
      <c r="D2" s="23" t="n">
        <v>412.482</v>
      </c>
      <c r="E2" s="23" t="n">
        <v>76.012</v>
      </c>
      <c r="F2" s="23" t="n">
        <v>76.304</v>
      </c>
      <c r="G2" s="23" t="n">
        <v>105.965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38.951</v>
      </c>
      <c r="C4" s="23">
        <f>C2-C3</f>
        <v>26.68</v>
      </c>
      <c r="D4" s="23">
        <f>D2-D3</f>
        <v>412.482</v>
      </c>
      <c r="E4" s="23">
        <f>E2-E3</f>
        <v>76.012</v>
      </c>
      <c r="F4" s="23">
        <f>F2-F3</f>
        <v>76.304</v>
      </c>
      <c r="G4" s="23">
        <f>G2-G3</f>
        <v>105.965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171.203</v>
      </c>
      <c r="C5" s="23" t="n">
        <v>199.752</v>
      </c>
      <c r="D5" s="23" t="n">
        <v>208.596</v>
      </c>
      <c r="E5" s="23" t="n">
        <v>143.619</v>
      </c>
      <c r="F5" s="23" t="n">
        <v>134.621</v>
      </c>
      <c r="G5" s="23" t="n">
        <v>137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55.216</v>
      </c>
      <c r="C6" s="23" t="n">
        <v>42.561</v>
      </c>
      <c r="D6" s="23" t="n">
        <v>73.358</v>
      </c>
      <c r="E6" s="23" t="n">
        <v>70.446</v>
      </c>
      <c r="F6" s="23" t="n">
        <v>78.79300000000001</v>
      </c>
      <c r="G6" s="23" t="n">
        <v>61.514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226.419</v>
      </c>
      <c r="C7" s="23">
        <f>SUM(C5:C6)</f>
        <v>242.31300000000002</v>
      </c>
      <c r="D7" s="23">
        <f>SUM(D5:D6)</f>
        <v>281.954</v>
      </c>
      <c r="E7" s="23">
        <f>SUM(E5:E6)</f>
        <v>214.065</v>
      </c>
      <c r="F7" s="23">
        <f>SUM(F5:F6)</f>
        <v>213.41400000000002</v>
      </c>
      <c r="G7" s="23">
        <f>SUM(G5:G6)</f>
        <v>198.514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-187.46800000000002</v>
      </c>
      <c r="C8" s="23">
        <f>C4-C7</f>
        <v>-215.633</v>
      </c>
      <c r="D8" s="23">
        <f>D4-D7</f>
        <v>130.52800000000002</v>
      </c>
      <c r="E8" s="23">
        <f>E4-E7</f>
        <v>-138.053</v>
      </c>
      <c r="F8" s="23">
        <f>F4-F7</f>
        <v>-137.11</v>
      </c>
      <c r="G8" s="23">
        <f>G4-G7</f>
        <v>-92.549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7.345</v>
      </c>
      <c r="C9" s="23" t="n">
        <v>3.274</v>
      </c>
      <c r="D9" s="23" t="n">
        <v>4.706</v>
      </c>
      <c r="E9" s="23" t="n">
        <v>18.811</v>
      </c>
      <c r="F9" s="23" t="n">
        <v>20.499</v>
      </c>
      <c r="G9" s="23" t="n">
        <v>12.795</v>
      </c>
    </row>
    <row r="10">
      <c r="A10" s="2" t="inlineStr">
        <is>
          <t>Pretax</t>
        </is>
      </c>
      <c r="B10" s="23">
        <f>B8+B9</f>
        <v>-180.12300000000002</v>
      </c>
      <c r="C10" s="23">
        <f>C8+C9</f>
        <v>-212.359</v>
      </c>
      <c r="D10" s="23">
        <f>D8+D9</f>
        <v>135.234</v>
      </c>
      <c r="E10" s="23">
        <f>E8+E9</f>
        <v>-119.24199999999999</v>
      </c>
      <c r="F10" s="23">
        <f>F8+F9</f>
        <v>-116.61100000000002</v>
      </c>
      <c r="G10" s="23">
        <f>G8+G9</f>
        <v>-79.754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0.429</v>
      </c>
      <c r="C11" s="23" t="n">
        <v>-0.516</v>
      </c>
      <c r="D11" s="23" t="n">
        <v>10.893</v>
      </c>
      <c r="E11" s="23" t="n">
        <v>-0.5679999999999999</v>
      </c>
      <c r="F11" s="23" t="n">
        <v>6.084</v>
      </c>
      <c r="G11" s="23" t="n">
        <v>1.376</v>
      </c>
    </row>
    <row r="12">
      <c r="A12" s="2" t="inlineStr">
        <is>
          <t>Net Income</t>
        </is>
      </c>
      <c r="B12" s="23" t="n">
        <v>-180.552</v>
      </c>
      <c r="C12" s="23" t="n">
        <v>-211.843</v>
      </c>
      <c r="D12" s="23" t="n">
        <v>124.341</v>
      </c>
      <c r="E12" s="23" t="n">
        <v>-118.674</v>
      </c>
      <c r="F12" s="23" t="n">
        <v>-122.695</v>
      </c>
      <c r="G12" s="23" t="n">
        <v>-81.13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-3.5836608312492557</v>
      </c>
      <c r="C13" s="11">
        <f>IFERROR(C12/C14,0)</f>
        <v>-4.0635885828282055</v>
      </c>
      <c r="D13" s="11">
        <f>IFERROR(D12/D14,0)</f>
        <v>1.9056384005885147</v>
      </c>
      <c r="E13" s="11">
        <f>IFERROR(E12/E14,0)</f>
        <v>-1.7233347370866794</v>
      </c>
      <c r="F13" s="11">
        <f>IFERROR(F12/F14,0)</f>
        <v>-1.6169823007683284</v>
      </c>
      <c r="G13" s="11">
        <f>IFERROR(G12/G14,0)</f>
        <v>-1.0758092106135546</v>
      </c>
    </row>
    <row r="14">
      <c r="A14" s="2" t="inlineStr">
        <is>
          <t>Shares</t>
        </is>
      </c>
      <c r="B14" s="23" t="n">
        <v>50.382</v>
      </c>
      <c r="C14" s="23" t="n">
        <v>52.132</v>
      </c>
      <c r="D14" s="23" t="n">
        <v>65.249</v>
      </c>
      <c r="E14" s="23" t="n">
        <v>68.863</v>
      </c>
      <c r="F14" s="23" t="n">
        <v>75.879</v>
      </c>
      <c r="G14" s="23" t="n">
        <v>75.413</v>
      </c>
    </row>
    <row r="15"/>
    <row r="16" customFormat="1" s="4">
      <c r="A16" s="3" t="inlineStr">
        <is>
          <t>Revenue Change</t>
        </is>
      </c>
      <c r="C16" s="15">
        <f>IFERROR(C2/B2-1,"")</f>
        <v>-0.31503684115940545</v>
      </c>
      <c r="D16" s="15">
        <f>IFERROR(D2/C2-1,"")</f>
        <v>14.460344827586209</v>
      </c>
      <c r="E16" s="15">
        <f>IFERROR(E2/D2-1,"")</f>
        <v>-0.8157204435587493</v>
      </c>
      <c r="F16" s="15">
        <f>IFERROR(F2/E2-1,"")</f>
        <v>0.003841498710729807</v>
      </c>
      <c r="G16" s="15">
        <f>IFERROR(G2/F2-1,"")</f>
        <v>0.3887214300691968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-4.812918795409618</v>
      </c>
      <c r="C18" s="15">
        <f>IFERROR(C8/C2,"")</f>
        <v>-8.0821964017991</v>
      </c>
      <c r="D18" s="15">
        <f>IFERROR(D8/D2,"")</f>
        <v>0.31644532367473005</v>
      </c>
      <c r="E18" s="15">
        <f>IFERROR(E8/E2,"")</f>
        <v>-1.816200073672578</v>
      </c>
      <c r="F18" s="15">
        <f>IFERROR(F8/F2,"")</f>
        <v>-1.796891381841057</v>
      </c>
      <c r="G18" s="15">
        <f>IFERROR(G8/G2,"")</f>
        <v>-0.8733921577879489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Zymeworks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0.1026227099999999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155.56</v>
      </c>
    </row>
    <row r="19">
      <c r="A19" s="14" t="inlineStr">
        <is>
          <t>Years of full burn (until the first launch, max 4)</t>
        </is>
      </c>
      <c r="B19" s="39">
        <f>MIN(4,MAX(1,MIN(Pipeline!I4:I6)-2026))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714.9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929.216896168525</v>
      </c>
      <c r="C29" s="42">
        <f>NPV!B25</f>
        <v>1199.915896168525</v>
      </c>
      <c r="D29" s="43">
        <f>NPV!B27</f>
        <v>16.909931381150553</v>
      </c>
      <c r="E29" s="44">
        <f>NPV!B29</f>
        <v>-0.3716116171999051</v>
      </c>
    </row>
    <row r="30">
      <c r="A30" s="45" t="n">
        <v>1</v>
      </c>
      <c r="B30" s="46">
        <f t="dataTable" ref="B30:E32" r1="B4"/>
        <v>486.8773300822929</v>
      </c>
      <c r="C30" s="46">
        <v>757.5763300822929</v>
      </c>
      <c r="D30" s="47">
        <v>10.67621805709975</v>
      </c>
      <c r="E30" s="48">
        <v>-0.6032620565923541</v>
      </c>
    </row>
    <row r="31">
      <c r="A31" s="45" t="n">
        <v>2</v>
      </c>
      <c r="B31" s="46">
        <v>929.216896168525</v>
      </c>
      <c r="C31" s="46">
        <v>1199.915896168525</v>
      </c>
      <c r="D31" s="47">
        <v>16.909931381150553</v>
      </c>
      <c r="E31" s="48">
        <v>-0.3716116171999051</v>
      </c>
    </row>
    <row r="32">
      <c r="A32" s="45" t="n">
        <v>3</v>
      </c>
      <c r="B32" s="46">
        <v>1468.5369801188765</v>
      </c>
      <c r="C32" s="46">
        <v>1739.2359801188766</v>
      </c>
      <c r="D32" s="47">
        <v>24.510352078299096</v>
      </c>
      <c r="E32" s="48">
        <v>-0.08917309259386486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16.909931381150553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10.031528358984698</v>
      </c>
      <c r="C37" s="47">
        <v>13.322559688082691</v>
      </c>
      <c r="D37" s="47">
        <v>16.51442160289134</v>
      </c>
      <c r="E37" s="47">
        <v>22.755865250214857</v>
      </c>
      <c r="F37" s="47">
        <v>28.921606956380494</v>
      </c>
    </row>
    <row r="38">
      <c r="A38" s="50" t="n">
        <v>0.8</v>
      </c>
      <c r="B38" s="47">
        <v>10.08663110760666</v>
      </c>
      <c r="C38" s="47">
        <v>13.449060237853448</v>
      </c>
      <c r="D38" s="47">
        <v>16.71204603475367</v>
      </c>
      <c r="E38" s="47">
        <v>23.0929712657168</v>
      </c>
      <c r="F38" s="47">
        <v>29.398072419060465</v>
      </c>
    </row>
    <row r="39">
      <c r="A39" s="50" t="n">
        <v>1</v>
      </c>
      <c r="B39" s="47">
        <v>10.142658298749105</v>
      </c>
      <c r="C39" s="47">
        <v>13.576453540719534</v>
      </c>
      <c r="D39" s="47">
        <v>16.909931381150553</v>
      </c>
      <c r="E39" s="47">
        <v>23.430942367297256</v>
      </c>
      <c r="F39" s="47">
        <v>29.875395950530063</v>
      </c>
    </row>
    <row r="40">
      <c r="A40" s="50" t="n">
        <v>1.2</v>
      </c>
      <c r="B40" s="47">
        <v>10.199609932412036</v>
      </c>
      <c r="C40" s="47">
        <v>13.704739596680959</v>
      </c>
      <c r="D40" s="47">
        <v>17.108469383788247</v>
      </c>
      <c r="E40" s="47">
        <v>23.769778554956222</v>
      </c>
      <c r="F40" s="47">
        <v>30.353577550789268</v>
      </c>
    </row>
    <row r="41">
      <c r="A41" s="50" t="n">
        <v>1.4</v>
      </c>
      <c r="B41" s="47">
        <v>10.257486008595452</v>
      </c>
      <c r="C41" s="47">
        <v>13.83391840573771</v>
      </c>
      <c r="D41" s="47">
        <v>17.307890149986026</v>
      </c>
      <c r="E41" s="47">
        <v>24.109479828693686</v>
      </c>
      <c r="F41" s="47">
        <v>30.832617219838102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Zymeworks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HER2+ biliary / gastric cancer (Ziihera)</t>
        </is>
      </c>
      <c r="C4" s="14" t="inlineStr">
        <is>
          <t>Ziihera (zanidatamab)</t>
        </is>
      </c>
      <c r="D4" s="14" t="inlineStr">
        <is>
          <t>Approved</t>
        </is>
      </c>
      <c r="E4" s="14" t="inlineStr">
        <is>
          <t>Oncology / area</t>
        </is>
      </c>
      <c r="F4" s="14" t="inlineStr">
        <is>
          <t>Partnered</t>
        </is>
      </c>
      <c r="G4" s="40" t="n">
        <v>1500</v>
      </c>
      <c r="H4" s="27" t="n">
        <v>1</v>
      </c>
      <c r="I4" s="26" t="n">
        <v>2024</v>
      </c>
      <c r="J4" s="39">
        <f>I4+Assumptions!$B$25</f>
        <v>2036.0</v>
      </c>
      <c r="K4" s="53">
        <f>Assumptions!$E$14</f>
        <v>0.12</v>
      </c>
      <c r="L4" s="23">
        <f>K4*SUMPRODUCT(M4:AF4,NPV!$C$15:$V$15)</f>
        <v>1025.1952721146974</v>
      </c>
      <c r="M4" s="23">
        <f>IF(M$3&lt;$I4,0,$G4*Assumptions!$E$11*INDEX(Assumptions!$B$24:$G$24,MIN(6,M$3-$I4+1))*IF(M$3&gt;$J4,(1-Assumptions!$B$26)^(M$3-$J4),1)*IF($H4&gt;=1,1,MIN(0.97,$H4*Assumptions!$E$12)))</f>
        <v>675.0</v>
      </c>
      <c r="N4" s="23">
        <f>IF(N$3&lt;$I4,0,$G4*Assumptions!$E$11*INDEX(Assumptions!$B$24:$G$24,MIN(6,N$3-$I4+1))*IF(N$3&gt;$J4,(1-Assumptions!$B$26)^(N$3-$J4),1)*IF($H4&gt;=1,1,MIN(0.97,$H4*Assumptions!$E$12)))</f>
        <v>975.0</v>
      </c>
      <c r="O4" s="23">
        <f>IF(O$3&lt;$I4,0,$G4*Assumptions!$E$11*INDEX(Assumptions!$B$24:$G$24,MIN(6,O$3-$I4+1))*IF(O$3&gt;$J4,(1-Assumptions!$B$26)^(O$3-$J4),1)*IF($H4&gt;=1,1,MIN(0.97,$H4*Assumptions!$E$12)))</f>
        <v>1275.0</v>
      </c>
      <c r="P4" s="23">
        <f>IF(P$3&lt;$I4,0,$G4*Assumptions!$E$11*INDEX(Assumptions!$B$24:$G$24,MIN(6,P$3-$I4+1))*IF(P$3&gt;$J4,(1-Assumptions!$B$26)^(P$3-$J4),1)*IF($H4&gt;=1,1,MIN(0.97,$H4*Assumptions!$E$12)))</f>
        <v>1500.0</v>
      </c>
      <c r="Q4" s="23">
        <f>IF(Q$3&lt;$I4,0,$G4*Assumptions!$E$11*INDEX(Assumptions!$B$24:$G$24,MIN(6,Q$3-$I4+1))*IF(Q$3&gt;$J4,(1-Assumptions!$B$26)^(Q$3-$J4),1)*IF($H4&gt;=1,1,MIN(0.97,$H4*Assumptions!$E$12)))</f>
        <v>1500.0</v>
      </c>
      <c r="R4" s="23">
        <f>IF(R$3&lt;$I4,0,$G4*Assumptions!$E$11*INDEX(Assumptions!$B$24:$G$24,MIN(6,R$3-$I4+1))*IF(R$3&gt;$J4,(1-Assumptions!$B$26)^(R$3-$J4),1)*IF($H4&gt;=1,1,MIN(0.97,$H4*Assumptions!$E$12)))</f>
        <v>1500.0</v>
      </c>
      <c r="S4" s="23">
        <f>IF(S$3&lt;$I4,0,$G4*Assumptions!$E$11*INDEX(Assumptions!$B$24:$G$24,MIN(6,S$3-$I4+1))*IF(S$3&gt;$J4,(1-Assumptions!$B$26)^(S$3-$J4),1)*IF($H4&gt;=1,1,MIN(0.97,$H4*Assumptions!$E$12)))</f>
        <v>1500.0</v>
      </c>
      <c r="T4" s="23">
        <f>IF(T$3&lt;$I4,0,$G4*Assumptions!$E$11*INDEX(Assumptions!$B$24:$G$24,MIN(6,T$3-$I4+1))*IF(T$3&gt;$J4,(1-Assumptions!$B$26)^(T$3-$J4),1)*IF($H4&gt;=1,1,MIN(0.97,$H4*Assumptions!$E$12)))</f>
        <v>1500.0</v>
      </c>
      <c r="U4" s="23">
        <f>IF(U$3&lt;$I4,0,$G4*Assumptions!$E$11*INDEX(Assumptions!$B$24:$G$24,MIN(6,U$3-$I4+1))*IF(U$3&gt;$J4,(1-Assumptions!$B$26)^(U$3-$J4),1)*IF($H4&gt;=1,1,MIN(0.97,$H4*Assumptions!$E$12)))</f>
        <v>1500.0</v>
      </c>
      <c r="V4" s="23">
        <f>IF(V$3&lt;$I4,0,$G4*Assumptions!$E$11*INDEX(Assumptions!$B$24:$G$24,MIN(6,V$3-$I4+1))*IF(V$3&gt;$J4,(1-Assumptions!$B$26)^(V$3-$J4),1)*IF($H4&gt;=1,1,MIN(0.97,$H4*Assumptions!$E$12)))</f>
        <v>1500.0</v>
      </c>
      <c r="W4" s="23">
        <f>IF(W$3&lt;$I4,0,$G4*Assumptions!$E$11*INDEX(Assumptions!$B$24:$G$24,MIN(6,W$3-$I4+1))*IF(W$3&gt;$J4,(1-Assumptions!$B$26)^(W$3-$J4),1)*IF($H4&gt;=1,1,MIN(0.97,$H4*Assumptions!$E$12)))</f>
        <v>1500.0</v>
      </c>
      <c r="X4" s="23">
        <f>IF(X$3&lt;$I4,0,$G4*Assumptions!$E$11*INDEX(Assumptions!$B$24:$G$24,MIN(6,X$3-$I4+1))*IF(X$3&gt;$J4,(1-Assumptions!$B$26)^(X$3-$J4),1)*IF($H4&gt;=1,1,MIN(0.97,$H4*Assumptions!$E$12)))</f>
        <v>750.0</v>
      </c>
      <c r="Y4" s="23">
        <f>IF(Y$3&lt;$I4,0,$G4*Assumptions!$E$11*INDEX(Assumptions!$B$24:$G$24,MIN(6,Y$3-$I4+1))*IF(Y$3&gt;$J4,(1-Assumptions!$B$26)^(Y$3-$J4),1)*IF($H4&gt;=1,1,MIN(0.97,$H4*Assumptions!$E$12)))</f>
        <v>375.0</v>
      </c>
      <c r="Z4" s="23">
        <f>IF(Z$3&lt;$I4,0,$G4*Assumptions!$E$11*INDEX(Assumptions!$B$24:$G$24,MIN(6,Z$3-$I4+1))*IF(Z$3&gt;$J4,(1-Assumptions!$B$26)^(Z$3-$J4),1)*IF($H4&gt;=1,1,MIN(0.97,$H4*Assumptions!$E$12)))</f>
        <v>187.5</v>
      </c>
      <c r="AA4" s="23">
        <f>IF(AA$3&lt;$I4,0,$G4*Assumptions!$E$11*INDEX(Assumptions!$B$24:$G$24,MIN(6,AA$3-$I4+1))*IF(AA$3&gt;$J4,(1-Assumptions!$B$26)^(AA$3-$J4),1)*IF($H4&gt;=1,1,MIN(0.97,$H4*Assumptions!$E$12)))</f>
        <v>93.75</v>
      </c>
      <c r="AB4" s="23">
        <f>IF(AB$3&lt;$I4,0,$G4*Assumptions!$E$11*INDEX(Assumptions!$B$24:$G$24,MIN(6,AB$3-$I4+1))*IF(AB$3&gt;$J4,(1-Assumptions!$B$26)^(AB$3-$J4),1)*IF($H4&gt;=1,1,MIN(0.97,$H4*Assumptions!$E$12)))</f>
        <v>46.875</v>
      </c>
      <c r="AC4" s="23">
        <f>IF(AC$3&lt;$I4,0,$G4*Assumptions!$E$11*INDEX(Assumptions!$B$24:$G$24,MIN(6,AC$3-$I4+1))*IF(AC$3&gt;$J4,(1-Assumptions!$B$26)^(AC$3-$J4),1)*IF($H4&gt;=1,1,MIN(0.97,$H4*Assumptions!$E$12)))</f>
        <v>23.4375</v>
      </c>
      <c r="AD4" s="23">
        <f>IF(AD$3&lt;$I4,0,$G4*Assumptions!$E$11*INDEX(Assumptions!$B$24:$G$24,MIN(6,AD$3-$I4+1))*IF(AD$3&gt;$J4,(1-Assumptions!$B$26)^(AD$3-$J4),1)*IF($H4&gt;=1,1,MIN(0.97,$H4*Assumptions!$E$12)))</f>
        <v>11.71875</v>
      </c>
      <c r="AE4" s="23">
        <f>IF(AE$3&lt;$I4,0,$G4*Assumptions!$E$11*INDEX(Assumptions!$B$24:$G$24,MIN(6,AE$3-$I4+1))*IF(AE$3&gt;$J4,(1-Assumptions!$B$26)^(AE$3-$J4),1)*IF($H4&gt;=1,1,MIN(0.97,$H4*Assumptions!$E$12)))</f>
        <v>5.859375</v>
      </c>
      <c r="AF4" s="23">
        <f>IF(AF$3&lt;$I4,0,$G4*Assumptions!$E$11*INDEX(Assumptions!$B$24:$G$24,MIN(6,AF$3-$I4+1))*IF(AF$3&gt;$J4,(1-Assumptions!$B$26)^(AF$3-$J4),1)*IF($H4&gt;=1,1,MIN(0.97,$H4*Assumptions!$E$12)))</f>
        <v>2.9296875</v>
      </c>
      <c r="AG4" s="35">
        <f>IF(F4="Owned",1-IF(H4&gt;=1,1,MIN(0.97,H4*Assumptions!$E$12)),1)</f>
        <v>1</v>
      </c>
    </row>
    <row r="5">
      <c r="A5" s="39" t="n">
        <v>2</v>
      </c>
      <c r="B5" s="14" t="inlineStr">
        <is>
          <t>Solid tumors (basket)</t>
        </is>
      </c>
      <c r="C5" s="14" t="inlineStr">
        <is>
          <t>ZW49, ZW191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1500</v>
      </c>
      <c r="H5" s="27" t="n">
        <v>0.0527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69.22180286367352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7.904999999999999</v>
      </c>
      <c r="U5" s="23">
        <f>IF(U$3&lt;$I5,0,$G5*Assumptions!$E$11*INDEX(Assumptions!$B$24:$G$24,MIN(6,U$3-$I5+1))*IF(U$3&gt;$J5,(1-Assumptions!$B$26)^(U$3-$J5),1)*IF($H5&gt;=1,1,MIN(0.97,$H5*Assumptions!$E$12)))</f>
        <v>19.7625</v>
      </c>
      <c r="V5" s="23">
        <f>IF(V$3&lt;$I5,0,$G5*Assumptions!$E$11*INDEX(Assumptions!$B$24:$G$24,MIN(6,V$3-$I5+1))*IF(V$3&gt;$J5,(1-Assumptions!$B$26)^(V$3-$J5),1)*IF($H5&gt;=1,1,MIN(0.97,$H5*Assumptions!$E$12)))</f>
        <v>35.5725</v>
      </c>
      <c r="W5" s="23">
        <f>IF(W$3&lt;$I5,0,$G5*Assumptions!$E$11*INDEX(Assumptions!$B$24:$G$24,MIN(6,W$3-$I5+1))*IF(W$3&gt;$J5,(1-Assumptions!$B$26)^(W$3-$J5),1)*IF($H5&gt;=1,1,MIN(0.97,$H5*Assumptions!$E$12)))</f>
        <v>51.3825</v>
      </c>
      <c r="X5" s="23">
        <f>IF(X$3&lt;$I5,0,$G5*Assumptions!$E$11*INDEX(Assumptions!$B$24:$G$24,MIN(6,X$3-$I5+1))*IF(X$3&gt;$J5,(1-Assumptions!$B$26)^(X$3-$J5),1)*IF($H5&gt;=1,1,MIN(0.97,$H5*Assumptions!$E$12)))</f>
        <v>67.1925</v>
      </c>
      <c r="Y5" s="23">
        <f>IF(Y$3&lt;$I5,0,$G5*Assumptions!$E$11*INDEX(Assumptions!$B$24:$G$24,MIN(6,Y$3-$I5+1))*IF(Y$3&gt;$J5,(1-Assumptions!$B$26)^(Y$3-$J5),1)*IF($H5&gt;=1,1,MIN(0.97,$H5*Assumptions!$E$12)))</f>
        <v>79.05</v>
      </c>
      <c r="Z5" s="23">
        <f>IF(Z$3&lt;$I5,0,$G5*Assumptions!$E$11*INDEX(Assumptions!$B$24:$G$24,MIN(6,Z$3-$I5+1))*IF(Z$3&gt;$J5,(1-Assumptions!$B$26)^(Z$3-$J5),1)*IF($H5&gt;=1,1,MIN(0.97,$H5*Assumptions!$E$12)))</f>
        <v>79.05</v>
      </c>
      <c r="AA5" s="23">
        <f>IF(AA$3&lt;$I5,0,$G5*Assumptions!$E$11*INDEX(Assumptions!$B$24:$G$24,MIN(6,AA$3-$I5+1))*IF(AA$3&gt;$J5,(1-Assumptions!$B$26)^(AA$3-$J5),1)*IF($H5&gt;=1,1,MIN(0.97,$H5*Assumptions!$E$12)))</f>
        <v>79.05</v>
      </c>
      <c r="AB5" s="23">
        <f>IF(AB$3&lt;$I5,0,$G5*Assumptions!$E$11*INDEX(Assumptions!$B$24:$G$24,MIN(6,AB$3-$I5+1))*IF(AB$3&gt;$J5,(1-Assumptions!$B$26)^(AB$3-$J5),1)*IF($H5&gt;=1,1,MIN(0.97,$H5*Assumptions!$E$12)))</f>
        <v>79.05</v>
      </c>
      <c r="AC5" s="23">
        <f>IF(AC$3&lt;$I5,0,$G5*Assumptions!$E$11*INDEX(Assumptions!$B$24:$G$24,MIN(6,AC$3-$I5+1))*IF(AC$3&gt;$J5,(1-Assumptions!$B$26)^(AC$3-$J5),1)*IF($H5&gt;=1,1,MIN(0.97,$H5*Assumptions!$E$12)))</f>
        <v>79.05</v>
      </c>
      <c r="AD5" s="23">
        <f>IF(AD$3&lt;$I5,0,$G5*Assumptions!$E$11*INDEX(Assumptions!$B$24:$G$24,MIN(6,AD$3-$I5+1))*IF(AD$3&gt;$J5,(1-Assumptions!$B$26)^(AD$3-$J5),1)*IF($H5&gt;=1,1,MIN(0.97,$H5*Assumptions!$E$12)))</f>
        <v>79.05</v>
      </c>
      <c r="AE5" s="23">
        <f>IF(AE$3&lt;$I5,0,$G5*Assumptions!$E$11*INDEX(Assumptions!$B$24:$G$24,MIN(6,AE$3-$I5+1))*IF(AE$3&gt;$J5,(1-Assumptions!$B$26)^(AE$3-$J5),1)*IF($H5&gt;=1,1,MIN(0.97,$H5*Assumptions!$E$12)))</f>
        <v>79.05</v>
      </c>
      <c r="AF5" s="23">
        <f>IF(AF$3&lt;$I5,0,$G5*Assumptions!$E$11*INDEX(Assumptions!$B$24:$G$24,MIN(6,AF$3-$I5+1))*IF(AF$3&gt;$J5,(1-Assumptions!$B$26)^(AF$3-$J5),1)*IF($H5&gt;=1,1,MIN(0.97,$H5*Assumptions!$E$12)))</f>
        <v>79.05</v>
      </c>
      <c r="AG5" s="35">
        <f>IF(F5="Owned",1-IF(H5&gt;=1,1,MIN(0.97,H5*Assumptions!$E$12)),1)</f>
        <v>0.9473</v>
      </c>
    </row>
    <row r="6">
      <c r="A6" s="39" t="n">
        <v>3</v>
      </c>
      <c r="B6" s="14" t="inlineStr">
        <is>
          <t>Liver cancer</t>
        </is>
      </c>
      <c r="C6" s="14" t="inlineStr">
        <is>
          <t>ZW251</t>
        </is>
      </c>
      <c r="D6" s="14" t="inlineStr">
        <is>
          <t>Phase 1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1200</v>
      </c>
      <c r="H6" s="27" t="n">
        <v>0.0527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55.3774422909388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6.324</v>
      </c>
      <c r="U6" s="23">
        <f>IF(U$3&lt;$I6,0,$G6*Assumptions!$E$11*INDEX(Assumptions!$B$24:$G$24,MIN(6,U$3-$I6+1))*IF(U$3&gt;$J6,(1-Assumptions!$B$26)^(U$3-$J6),1)*IF($H6&gt;=1,1,MIN(0.97,$H6*Assumptions!$E$12)))</f>
        <v>15.809999999999999</v>
      </c>
      <c r="V6" s="23">
        <f>IF(V$3&lt;$I6,0,$G6*Assumptions!$E$11*INDEX(Assumptions!$B$24:$G$24,MIN(6,V$3-$I6+1))*IF(V$3&gt;$J6,(1-Assumptions!$B$26)^(V$3-$J6),1)*IF($H6&gt;=1,1,MIN(0.97,$H6*Assumptions!$E$12)))</f>
        <v>28.458</v>
      </c>
      <c r="W6" s="23">
        <f>IF(W$3&lt;$I6,0,$G6*Assumptions!$E$11*INDEX(Assumptions!$B$24:$G$24,MIN(6,W$3-$I6+1))*IF(W$3&gt;$J6,(1-Assumptions!$B$26)^(W$3-$J6),1)*IF($H6&gt;=1,1,MIN(0.97,$H6*Assumptions!$E$12)))</f>
        <v>41.105999999999995</v>
      </c>
      <c r="X6" s="23">
        <f>IF(X$3&lt;$I6,0,$G6*Assumptions!$E$11*INDEX(Assumptions!$B$24:$G$24,MIN(6,X$3-$I6+1))*IF(X$3&gt;$J6,(1-Assumptions!$B$26)^(X$3-$J6),1)*IF($H6&gt;=1,1,MIN(0.97,$H6*Assumptions!$E$12)))</f>
        <v>53.754</v>
      </c>
      <c r="Y6" s="23">
        <f>IF(Y$3&lt;$I6,0,$G6*Assumptions!$E$11*INDEX(Assumptions!$B$24:$G$24,MIN(6,Y$3-$I6+1))*IF(Y$3&gt;$J6,(1-Assumptions!$B$26)^(Y$3-$J6),1)*IF($H6&gt;=1,1,MIN(0.97,$H6*Assumptions!$E$12)))</f>
        <v>63.239999999999995</v>
      </c>
      <c r="Z6" s="23">
        <f>IF(Z$3&lt;$I6,0,$G6*Assumptions!$E$11*INDEX(Assumptions!$B$24:$G$24,MIN(6,Z$3-$I6+1))*IF(Z$3&gt;$J6,(1-Assumptions!$B$26)^(Z$3-$J6),1)*IF($H6&gt;=1,1,MIN(0.97,$H6*Assumptions!$E$12)))</f>
        <v>63.239999999999995</v>
      </c>
      <c r="AA6" s="23">
        <f>IF(AA$3&lt;$I6,0,$G6*Assumptions!$E$11*INDEX(Assumptions!$B$24:$G$24,MIN(6,AA$3-$I6+1))*IF(AA$3&gt;$J6,(1-Assumptions!$B$26)^(AA$3-$J6),1)*IF($H6&gt;=1,1,MIN(0.97,$H6*Assumptions!$E$12)))</f>
        <v>63.239999999999995</v>
      </c>
      <c r="AB6" s="23">
        <f>IF(AB$3&lt;$I6,0,$G6*Assumptions!$E$11*INDEX(Assumptions!$B$24:$G$24,MIN(6,AB$3-$I6+1))*IF(AB$3&gt;$J6,(1-Assumptions!$B$26)^(AB$3-$J6),1)*IF($H6&gt;=1,1,MIN(0.97,$H6*Assumptions!$E$12)))</f>
        <v>63.239999999999995</v>
      </c>
      <c r="AC6" s="23">
        <f>IF(AC$3&lt;$I6,0,$G6*Assumptions!$E$11*INDEX(Assumptions!$B$24:$G$24,MIN(6,AC$3-$I6+1))*IF(AC$3&gt;$J6,(1-Assumptions!$B$26)^(AC$3-$J6),1)*IF($H6&gt;=1,1,MIN(0.97,$H6*Assumptions!$E$12)))</f>
        <v>63.239999999999995</v>
      </c>
      <c r="AD6" s="23">
        <f>IF(AD$3&lt;$I6,0,$G6*Assumptions!$E$11*INDEX(Assumptions!$B$24:$G$24,MIN(6,AD$3-$I6+1))*IF(AD$3&gt;$J6,(1-Assumptions!$B$26)^(AD$3-$J6),1)*IF($H6&gt;=1,1,MIN(0.97,$H6*Assumptions!$E$12)))</f>
        <v>63.239999999999995</v>
      </c>
      <c r="AE6" s="23">
        <f>IF(AE$3&lt;$I6,0,$G6*Assumptions!$E$11*INDEX(Assumptions!$B$24:$G$24,MIN(6,AE$3-$I6+1))*IF(AE$3&gt;$J6,(1-Assumptions!$B$26)^(AE$3-$J6),1)*IF($H6&gt;=1,1,MIN(0.97,$H6*Assumptions!$E$12)))</f>
        <v>63.239999999999995</v>
      </c>
      <c r="AF6" s="23">
        <f>IF(AF$3&lt;$I6,0,$G6*Assumptions!$E$11*INDEX(Assumptions!$B$24:$G$24,MIN(6,AF$3-$I6+1))*IF(AF$3&gt;$J6,(1-Assumptions!$B$26)^(AF$3-$J6),1)*IF($H6&gt;=1,1,MIN(0.97,$H6*Assumptions!$E$12)))</f>
        <v>63.239999999999995</v>
      </c>
      <c r="AG6" s="35">
        <f>IF(F6="Owned",1-IF(H6&gt;=1,1,MIN(0.97,H6*Assumptions!$E$12)),1)</f>
        <v>0.9473</v>
      </c>
    </row>
    <row r="7">
      <c r="B7" s="24" t="inlineStr">
        <is>
          <t>Risked revenue</t>
        </is>
      </c>
      <c r="L7" s="54">
        <f>SUM(L4:L6)</f>
        <v>1149.7945172693098</v>
      </c>
      <c r="M7" s="54">
        <f>SUM(M4:M6)</f>
        <v>675.0</v>
      </c>
      <c r="N7" s="54">
        <f>SUM(N4:N6)</f>
        <v>975.0</v>
      </c>
      <c r="O7" s="54">
        <f>SUM(O4:O6)</f>
        <v>1275.0</v>
      </c>
      <c r="P7" s="54">
        <f>SUM(P4:P6)</f>
        <v>1500.0</v>
      </c>
      <c r="Q7" s="54">
        <f>SUM(Q4:Q6)</f>
        <v>1500.0</v>
      </c>
      <c r="R7" s="54">
        <f>SUM(R4:R6)</f>
        <v>1500.0</v>
      </c>
      <c r="S7" s="54">
        <f>SUM(S4:S6)</f>
        <v>1500.0</v>
      </c>
      <c r="T7" s="54">
        <f>SUM(T4:T6)</f>
        <v>1514.229</v>
      </c>
      <c r="U7" s="54">
        <f>SUM(U4:U6)</f>
        <v>1535.5725</v>
      </c>
      <c r="V7" s="54">
        <f>SUM(V4:V6)</f>
        <v>1564.0305</v>
      </c>
      <c r="W7" s="54">
        <f>SUM(W4:W6)</f>
        <v>1592.4885</v>
      </c>
      <c r="X7" s="54">
        <f>SUM(X4:X6)</f>
        <v>870.9465</v>
      </c>
      <c r="Y7" s="54">
        <f>SUM(Y4:Y6)</f>
        <v>517.29</v>
      </c>
      <c r="Z7" s="54">
        <f>SUM(Z4:Z6)</f>
        <v>329.79</v>
      </c>
      <c r="AA7" s="54">
        <f>SUM(AA4:AA6)</f>
        <v>236.04000000000002</v>
      </c>
      <c r="AB7" s="54">
        <f>SUM(AB4:AB6)</f>
        <v>189.165</v>
      </c>
      <c r="AC7" s="54">
        <f>SUM(AC4:AC6)</f>
        <v>165.7275</v>
      </c>
      <c r="AD7" s="54">
        <f>SUM(AD4:AD6)</f>
        <v>154.00875</v>
      </c>
      <c r="AE7" s="54">
        <f>SUM(AE4:AE6)</f>
        <v>148.149375</v>
      </c>
      <c r="AF7" s="54">
        <f>SUM(AF4:AF6)</f>
        <v>145.2196875</v>
      </c>
    </row>
    <row r="8">
      <c r="B8" s="24" t="inlineStr">
        <is>
          <t>Risked contribution (revenue x share)</t>
        </is>
      </c>
      <c r="M8" s="55">
        <f>SUMPRODUCT(M4:M6,$K$4:$K$6)</f>
        <v>81.0</v>
      </c>
      <c r="N8" s="55">
        <f>SUMPRODUCT(N4:N6,$K$4:$K$6)</f>
        <v>117.0</v>
      </c>
      <c r="O8" s="55">
        <f>SUMPRODUCT(O4:O6,$K$4:$K$6)</f>
        <v>153.0</v>
      </c>
      <c r="P8" s="55">
        <f>SUMPRODUCT(P4:P6,$K$4:$K$6)</f>
        <v>180.0</v>
      </c>
      <c r="Q8" s="55">
        <f>SUMPRODUCT(Q4:Q6,$K$4:$K$6)</f>
        <v>180.0</v>
      </c>
      <c r="R8" s="55">
        <f>SUMPRODUCT(R4:R6,$K$4:$K$6)</f>
        <v>180.0</v>
      </c>
      <c r="S8" s="55">
        <f>SUMPRODUCT(S4:S6,$K$4:$K$6)</f>
        <v>180.0</v>
      </c>
      <c r="T8" s="55">
        <f>SUMPRODUCT(T4:T6,$K$4:$K$6)</f>
        <v>185.6916</v>
      </c>
      <c r="U8" s="55">
        <f>SUMPRODUCT(U4:U6,$K$4:$K$6)</f>
        <v>194.229</v>
      </c>
      <c r="V8" s="55">
        <f>SUMPRODUCT(V4:V6,$K$4:$K$6)</f>
        <v>205.61219999999997</v>
      </c>
      <c r="W8" s="55">
        <f>SUMPRODUCT(W4:W6,$K$4:$K$6)</f>
        <v>216.9954</v>
      </c>
      <c r="X8" s="55">
        <f>SUMPRODUCT(X4:X6,$K$4:$K$6)</f>
        <v>138.3786</v>
      </c>
      <c r="Y8" s="55">
        <f>SUMPRODUCT(Y4:Y6,$K$4:$K$6)</f>
        <v>101.916</v>
      </c>
      <c r="Z8" s="55">
        <f>SUMPRODUCT(Z4:Z6,$K$4:$K$6)</f>
        <v>79.416</v>
      </c>
      <c r="AA8" s="55">
        <f>SUMPRODUCT(AA4:AA6,$K$4:$K$6)</f>
        <v>68.166</v>
      </c>
      <c r="AB8" s="55">
        <f>SUMPRODUCT(AB4:AB6,$K$4:$K$6)</f>
        <v>62.541000000000004</v>
      </c>
      <c r="AC8" s="55">
        <f>SUMPRODUCT(AC4:AC6,$K$4:$K$6)</f>
        <v>59.728500000000004</v>
      </c>
      <c r="AD8" s="55">
        <f>SUMPRODUCT(AD4:AD6,$K$4:$K$6)</f>
        <v>58.322250000000004</v>
      </c>
      <c r="AE8" s="55">
        <f>SUMPRODUCT(AE4:AE6,$K$4:$K$6)</f>
        <v>57.619125000000004</v>
      </c>
      <c r="AF8" s="55">
        <f>SUMPRODUCT(AF4:AF6,$K$4:$K$6)</f>
        <v>57.2675625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Zymeworks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675.0</v>
      </c>
      <c r="D4" s="57">
        <f>Pipeline!N7</f>
        <v>975.0</v>
      </c>
      <c r="E4" s="57">
        <f>Pipeline!O7</f>
        <v>1275.0</v>
      </c>
      <c r="F4" s="57">
        <f>Pipeline!P7</f>
        <v>1500.0</v>
      </c>
      <c r="G4" s="57">
        <f>Pipeline!Q7</f>
        <v>1500.0</v>
      </c>
      <c r="H4" s="57">
        <f>Pipeline!R7</f>
        <v>1500.0</v>
      </c>
      <c r="I4" s="57">
        <f>Pipeline!S7</f>
        <v>1500.0</v>
      </c>
      <c r="J4" s="57">
        <f>Pipeline!T7</f>
        <v>1514.229</v>
      </c>
      <c r="K4" s="57">
        <f>Pipeline!U7</f>
        <v>1535.5725</v>
      </c>
      <c r="L4" s="57">
        <f>Pipeline!V7</f>
        <v>1564.0305</v>
      </c>
      <c r="M4" s="57">
        <f>Pipeline!W7</f>
        <v>1592.4885</v>
      </c>
      <c r="N4" s="57">
        <f>Pipeline!X7</f>
        <v>870.9465</v>
      </c>
      <c r="O4" s="57">
        <f>Pipeline!Y7</f>
        <v>517.29</v>
      </c>
      <c r="P4" s="57">
        <f>Pipeline!Z7</f>
        <v>329.79</v>
      </c>
      <c r="Q4" s="57">
        <f>Pipeline!AA7</f>
        <v>236.04000000000002</v>
      </c>
      <c r="R4" s="57">
        <f>Pipeline!AB7</f>
        <v>189.165</v>
      </c>
      <c r="S4" s="57">
        <f>Pipeline!AC7</f>
        <v>165.7275</v>
      </c>
      <c r="T4" s="57">
        <f>Pipeline!AD7</f>
        <v>154.00875</v>
      </c>
      <c r="U4" s="57">
        <f>Pipeline!AE7</f>
        <v>148.149375</v>
      </c>
      <c r="V4" s="57">
        <f>Pipeline!AF7</f>
        <v>145.2196875</v>
      </c>
    </row>
    <row r="5">
      <c r="A5" s="14" t="inlineStr">
        <is>
          <t>Risked contribution</t>
        </is>
      </c>
      <c r="C5" s="57">
        <f>Pipeline!M8</f>
        <v>81.0</v>
      </c>
      <c r="D5" s="57">
        <f>Pipeline!N8</f>
        <v>117.0</v>
      </c>
      <c r="E5" s="57">
        <f>Pipeline!O8</f>
        <v>153.0</v>
      </c>
      <c r="F5" s="57">
        <f>Pipeline!P8</f>
        <v>180.0</v>
      </c>
      <c r="G5" s="57">
        <f>Pipeline!Q8</f>
        <v>180.0</v>
      </c>
      <c r="H5" s="57">
        <f>Pipeline!R8</f>
        <v>180.0</v>
      </c>
      <c r="I5" s="57">
        <f>Pipeline!S8</f>
        <v>180.0</v>
      </c>
      <c r="J5" s="57">
        <f>Pipeline!T8</f>
        <v>185.6916</v>
      </c>
      <c r="K5" s="57">
        <f>Pipeline!U8</f>
        <v>194.229</v>
      </c>
      <c r="L5" s="57">
        <f>Pipeline!V8</f>
        <v>205.61219999999997</v>
      </c>
      <c r="M5" s="57">
        <f>Pipeline!W8</f>
        <v>216.9954</v>
      </c>
      <c r="N5" s="57">
        <f>Pipeline!X8</f>
        <v>138.3786</v>
      </c>
      <c r="O5" s="57">
        <f>Pipeline!Y8</f>
        <v>101.916</v>
      </c>
      <c r="P5" s="57">
        <f>Pipeline!Z8</f>
        <v>79.416</v>
      </c>
      <c r="Q5" s="57">
        <f>Pipeline!AA8</f>
        <v>68.166</v>
      </c>
      <c r="R5" s="57">
        <f>Pipeline!AB8</f>
        <v>62.541000000000004</v>
      </c>
      <c r="S5" s="57">
        <f>Pipeline!AC8</f>
        <v>59.728500000000004</v>
      </c>
      <c r="T5" s="57">
        <f>Pipeline!AD8</f>
        <v>58.322250000000004</v>
      </c>
      <c r="U5" s="57">
        <f>Pipeline!AE8</f>
        <v>57.619125000000004</v>
      </c>
      <c r="V5" s="57">
        <f>Pipeline!AF8</f>
        <v>57.2675625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-155.56</v>
      </c>
      <c r="D6" s="23">
        <f>-IF(D3-2026&lt;Assumptions!$B$19,Assumptions!$B$18,Assumptions!$B$18*Assumptions!$B$20*Assumptions!$B$16)</f>
        <v>-4.789196630279995</v>
      </c>
      <c r="E6" s="23">
        <f>-IF(E3-2026&lt;Assumptions!$B$19,Assumptions!$B$18,Assumptions!$B$18*Assumptions!$B$20*Assumptions!$B$16)</f>
        <v>-4.789196630279995</v>
      </c>
      <c r="F6" s="23">
        <f>-IF(F3-2026&lt;Assumptions!$B$19,Assumptions!$B$18,Assumptions!$B$18*Assumptions!$B$20*Assumptions!$B$16)</f>
        <v>-4.789196630279995</v>
      </c>
      <c r="G6" s="23">
        <f>-IF(G3-2026&lt;Assumptions!$B$19,Assumptions!$B$18,Assumptions!$B$18*Assumptions!$B$20*Assumptions!$B$16)</f>
        <v>-4.789196630279995</v>
      </c>
      <c r="H6" s="23">
        <f>-IF(H3-2026&lt;Assumptions!$B$19,Assumptions!$B$18,Assumptions!$B$18*Assumptions!$B$20*Assumptions!$B$16)</f>
        <v>-4.789196630279995</v>
      </c>
      <c r="I6" s="23">
        <f>-IF(I3-2026&lt;Assumptions!$B$19,Assumptions!$B$18,Assumptions!$B$18*Assumptions!$B$20*Assumptions!$B$16)</f>
        <v>-4.789196630279995</v>
      </c>
      <c r="J6" s="23">
        <f>-IF(J3-2026&lt;Assumptions!$B$19,Assumptions!$B$18,Assumptions!$B$18*Assumptions!$B$20*Assumptions!$B$16)</f>
        <v>-4.789196630279995</v>
      </c>
      <c r="K6" s="23">
        <f>-IF(K3-2026&lt;Assumptions!$B$19,Assumptions!$B$18,Assumptions!$B$18*Assumptions!$B$20*Assumptions!$B$16)</f>
        <v>-4.789196630279995</v>
      </c>
      <c r="L6" s="23">
        <f>-IF(L3-2026&lt;Assumptions!$B$19,Assumptions!$B$18,Assumptions!$B$18*Assumptions!$B$20*Assumptions!$B$16)</f>
        <v>-4.789196630279995</v>
      </c>
      <c r="M6" s="23">
        <f>-IF(M3-2026&lt;Assumptions!$B$19,Assumptions!$B$18,Assumptions!$B$18*Assumptions!$B$20*Assumptions!$B$16)</f>
        <v>-4.789196630279995</v>
      </c>
      <c r="N6" s="23">
        <f>-IF(N3-2026&lt;Assumptions!$B$19,Assumptions!$B$18,Assumptions!$B$18*Assumptions!$B$20*Assumptions!$B$16)</f>
        <v>-4.789196630279995</v>
      </c>
      <c r="O6" s="23">
        <f>-IF(O3-2026&lt;Assumptions!$B$19,Assumptions!$B$18,Assumptions!$B$18*Assumptions!$B$20*Assumptions!$B$16)</f>
        <v>-4.789196630279995</v>
      </c>
      <c r="P6" s="23">
        <f>-IF(P3-2026&lt;Assumptions!$B$19,Assumptions!$B$18,Assumptions!$B$18*Assumptions!$B$20*Assumptions!$B$16)</f>
        <v>-4.789196630279995</v>
      </c>
      <c r="Q6" s="23">
        <f>-IF(Q3-2026&lt;Assumptions!$B$19,Assumptions!$B$18,Assumptions!$B$18*Assumptions!$B$20*Assumptions!$B$16)</f>
        <v>-4.789196630279995</v>
      </c>
      <c r="R6" s="23">
        <f>-IF(R3-2026&lt;Assumptions!$B$19,Assumptions!$B$18,Assumptions!$B$18*Assumptions!$B$20*Assumptions!$B$16)</f>
        <v>-4.789196630279995</v>
      </c>
      <c r="S6" s="23">
        <f>-IF(S3-2026&lt;Assumptions!$B$19,Assumptions!$B$18,Assumptions!$B$18*Assumptions!$B$20*Assumptions!$B$16)</f>
        <v>-4.789196630279995</v>
      </c>
      <c r="T6" s="23">
        <f>-IF(T3-2026&lt;Assumptions!$B$19,Assumptions!$B$18,Assumptions!$B$18*Assumptions!$B$20*Assumptions!$B$16)</f>
        <v>-4.789196630279995</v>
      </c>
      <c r="U6" s="23">
        <f>-IF(U3-2026&lt;Assumptions!$B$19,Assumptions!$B$18,Assumptions!$B$18*Assumptions!$B$20*Assumptions!$B$16)</f>
        <v>-4.789196630279995</v>
      </c>
      <c r="V6" s="23">
        <f>-IF(V3-2026&lt;Assumptions!$B$19,Assumptions!$B$18,Assumptions!$B$18*Assumptions!$B$20*Assumptions!$B$16)</f>
        <v>-4.789196630279995</v>
      </c>
    </row>
    <row r="7">
      <c r="A7" s="14" t="inlineStr">
        <is>
          <t>Pre-tax cash flow</t>
        </is>
      </c>
      <c r="C7" s="23">
        <f>C5+C6</f>
        <v>-74.56</v>
      </c>
      <c r="D7" s="23">
        <f>D5+D6</f>
        <v>112.21080336972001</v>
      </c>
      <c r="E7" s="23">
        <f>E5+E6</f>
        <v>148.21080336972</v>
      </c>
      <c r="F7" s="23">
        <f>F5+F6</f>
        <v>175.21080336972</v>
      </c>
      <c r="G7" s="23">
        <f>G5+G6</f>
        <v>175.21080336972</v>
      </c>
      <c r="H7" s="23">
        <f>H5+H6</f>
        <v>175.21080336972</v>
      </c>
      <c r="I7" s="23">
        <f>I5+I6</f>
        <v>175.21080336972</v>
      </c>
      <c r="J7" s="23">
        <f>J5+J6</f>
        <v>180.90240336972</v>
      </c>
      <c r="K7" s="23">
        <f>K5+K6</f>
        <v>189.43980336972</v>
      </c>
      <c r="L7" s="23">
        <f>L5+L6</f>
        <v>200.82300336971997</v>
      </c>
      <c r="M7" s="23">
        <f>M5+M6</f>
        <v>212.20620336972</v>
      </c>
      <c r="N7" s="23">
        <f>N5+N6</f>
        <v>133.58940336972</v>
      </c>
      <c r="O7" s="23">
        <f>O5+O6</f>
        <v>97.12680336972001</v>
      </c>
      <c r="P7" s="23">
        <f>P5+P6</f>
        <v>74.62680336972001</v>
      </c>
      <c r="Q7" s="23">
        <f>Q5+Q6</f>
        <v>63.37680336972</v>
      </c>
      <c r="R7" s="23">
        <f>R5+R6</f>
        <v>57.75180336972001</v>
      </c>
      <c r="S7" s="23">
        <f>S5+S6</f>
        <v>54.93930336972001</v>
      </c>
      <c r="T7" s="23">
        <f>T5+T6</f>
        <v>53.53305336972001</v>
      </c>
      <c r="U7" s="23">
        <f>U5+U6</f>
        <v>52.82992836972001</v>
      </c>
      <c r="V7" s="23">
        <f>V5+V6</f>
        <v>52.47836586972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112.21080336972001</v>
      </c>
      <c r="E8" s="23">
        <f>MIN(D17,MAX(0,E7))</f>
        <v>148.21080336972</v>
      </c>
      <c r="F8" s="23">
        <f>MIN(E17,MAX(0,F7))</f>
        <v>175.21080336972</v>
      </c>
      <c r="G8" s="23">
        <f>MIN(F17,MAX(0,G7))</f>
        <v>175.21080336972</v>
      </c>
      <c r="H8" s="23">
        <f>MIN(G17,MAX(0,H7))</f>
        <v>175.21080336972</v>
      </c>
      <c r="I8" s="23">
        <f>MIN(H17,MAX(0,I7))</f>
        <v>3.4059831514000507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171.80482021831995</v>
      </c>
      <c r="J9" s="23">
        <f>MAX(0,J7)-J8</f>
        <v>180.90240336972</v>
      </c>
      <c r="K9" s="23">
        <f>MAX(0,K7)-K8</f>
        <v>189.43980336972</v>
      </c>
      <c r="L9" s="23">
        <f>MAX(0,L7)-L8</f>
        <v>200.82300336971997</v>
      </c>
      <c r="M9" s="23">
        <f>MAX(0,M7)-M8</f>
        <v>212.20620336972</v>
      </c>
      <c r="N9" s="23">
        <f>MAX(0,N7)-N8</f>
        <v>133.58940336972</v>
      </c>
      <c r="O9" s="23">
        <f>MAX(0,O7)-O8</f>
        <v>97.12680336972001</v>
      </c>
      <c r="P9" s="23">
        <f>MAX(0,P7)-P8</f>
        <v>74.62680336972001</v>
      </c>
      <c r="Q9" s="23">
        <f>MAX(0,Q7)-Q8</f>
        <v>63.37680336972</v>
      </c>
      <c r="R9" s="23">
        <f>MAX(0,R7)-R8</f>
        <v>57.75180336972001</v>
      </c>
      <c r="S9" s="23">
        <f>MAX(0,S7)-S8</f>
        <v>54.93930336972001</v>
      </c>
      <c r="T9" s="23">
        <f>MAX(0,T7)-T8</f>
        <v>53.53305336972001</v>
      </c>
      <c r="U9" s="23">
        <f>MAX(0,U7)-U8</f>
        <v>52.82992836972001</v>
      </c>
      <c r="V9" s="23">
        <f>MAX(0,V7)-V8</f>
        <v>52.47836586972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36.07901224584719</v>
      </c>
      <c r="J10" s="23">
        <f>J9*Assumptions!$E$15</f>
        <v>37.989504707641196</v>
      </c>
      <c r="K10" s="23">
        <f>K9*Assumptions!$E$15</f>
        <v>39.7823587076412</v>
      </c>
      <c r="L10" s="23">
        <f>L9*Assumptions!$E$15</f>
        <v>42.17283070764119</v>
      </c>
      <c r="M10" s="23">
        <f>M9*Assumptions!$E$15</f>
        <v>44.56330270764119</v>
      </c>
      <c r="N10" s="23">
        <f>N9*Assumptions!$E$15</f>
        <v>28.0537747076412</v>
      </c>
      <c r="O10" s="23">
        <f>O9*Assumptions!$E$15</f>
        <v>20.396628707641202</v>
      </c>
      <c r="P10" s="23">
        <f>P9*Assumptions!$E$15</f>
        <v>15.6716287076412</v>
      </c>
      <c r="Q10" s="23">
        <f>Q9*Assumptions!$E$15</f>
        <v>13.3091287076412</v>
      </c>
      <c r="R10" s="23">
        <f>R9*Assumptions!$E$15</f>
        <v>12.127878707641202</v>
      </c>
      <c r="S10" s="23">
        <f>S9*Assumptions!$E$15</f>
        <v>11.5372537076412</v>
      </c>
      <c r="T10" s="23">
        <f>T9*Assumptions!$E$15</f>
        <v>11.2419412076412</v>
      </c>
      <c r="U10" s="23">
        <f>U9*Assumptions!$E$15</f>
        <v>11.094284957641202</v>
      </c>
      <c r="V10" s="23">
        <f>V9*Assumptions!$E$15</f>
        <v>11.0204568326412</v>
      </c>
    </row>
    <row r="11">
      <c r="A11" s="24" t="inlineStr">
        <is>
          <t>Free cash flow</t>
        </is>
      </c>
      <c r="C11" s="55">
        <f>C7-C10</f>
        <v>-74.56</v>
      </c>
      <c r="D11" s="55">
        <f>D7-D10</f>
        <v>112.21080336972001</v>
      </c>
      <c r="E11" s="55">
        <f>E7-E10</f>
        <v>148.21080336972</v>
      </c>
      <c r="F11" s="55">
        <f>F7-F10</f>
        <v>175.21080336972</v>
      </c>
      <c r="G11" s="55">
        <f>G7-G10</f>
        <v>175.21080336972</v>
      </c>
      <c r="H11" s="55">
        <f>H7-H10</f>
        <v>175.21080336972</v>
      </c>
      <c r="I11" s="55">
        <f>I7-I10</f>
        <v>139.1317911238728</v>
      </c>
      <c r="J11" s="55">
        <f>J7-J10</f>
        <v>142.9128986620788</v>
      </c>
      <c r="K11" s="55">
        <f>K7-K10</f>
        <v>149.6574446620788</v>
      </c>
      <c r="L11" s="55">
        <f>L7-L10</f>
        <v>158.65017266207877</v>
      </c>
      <c r="M11" s="55">
        <f>M7-M10</f>
        <v>167.6429006620788</v>
      </c>
      <c r="N11" s="55">
        <f>N7-N10</f>
        <v>105.5356286620788</v>
      </c>
      <c r="O11" s="55">
        <f>O7-O10</f>
        <v>76.73017466207881</v>
      </c>
      <c r="P11" s="55">
        <f>P7-P10</f>
        <v>58.955174662078804</v>
      </c>
      <c r="Q11" s="55">
        <f>Q7-Q10</f>
        <v>50.0676746620788</v>
      </c>
      <c r="R11" s="55">
        <f>R7-R10</f>
        <v>45.62392466207881</v>
      </c>
      <c r="S11" s="55">
        <f>S7-S10</f>
        <v>43.40204966207881</v>
      </c>
      <c r="T11" s="55">
        <f>T7-T10</f>
        <v>42.291112162078804</v>
      </c>
      <c r="U11" s="55">
        <f>U7-U10</f>
        <v>41.73564341207881</v>
      </c>
      <c r="V11" s="55">
        <f>V7-V10</f>
        <v>41.4579090370788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-36.52726826253314</v>
      </c>
      <c r="D16" s="55">
        <f>D11*D15</f>
        <v>100.14167589221402</v>
      </c>
      <c r="E16" s="55">
        <f>E11*E15</f>
        <v>118.09785839515285</v>
      </c>
      <c r="F16" s="55">
        <f>F11*F15</f>
        <v>124.65365556069763</v>
      </c>
      <c r="G16" s="55">
        <f>G11*G15</f>
        <v>111.29790675062286</v>
      </c>
      <c r="H16" s="55">
        <f>H11*H15</f>
        <v>99.37313102734184</v>
      </c>
      <c r="I16" s="55">
        <f>I11*I15</f>
        <v>70.45575062558967</v>
      </c>
      <c r="J16" s="55">
        <f>J11*J15</f>
        <v>64.61650668957962</v>
      </c>
      <c r="K16" s="55">
        <f>K11*K15</f>
        <v>60.416053143735205</v>
      </c>
      <c r="L16" s="55">
        <f>L11*L15</f>
        <v>57.18426602055845</v>
      </c>
      <c r="M16" s="55">
        <f>M11*M15</f>
        <v>53.951453079014456</v>
      </c>
      <c r="N16" s="55">
        <f>N11*N15</f>
        <v>30.32487771541091</v>
      </c>
      <c r="O16" s="55">
        <f>O11*O15</f>
        <v>19.6855757320329</v>
      </c>
      <c r="P16" s="55">
        <f>P11*P15</f>
        <v>13.504728009509773</v>
      </c>
      <c r="Q16" s="55">
        <f>Q11*Q15</f>
        <v>10.240079073628804</v>
      </c>
      <c r="R16" s="55">
        <f>R11*R15</f>
        <v>8.331448372880663</v>
      </c>
      <c r="S16" s="55">
        <f>S11*S15</f>
        <v>7.0765256135404275</v>
      </c>
      <c r="T16" s="55">
        <f>T11*T15</f>
        <v>6.156599843995205</v>
      </c>
      <c r="U16" s="55">
        <f>U11*U15</f>
        <v>5.424764772912733</v>
      </c>
      <c r="V16" s="55">
        <f>V11*V15</f>
        <v>4.811308112640135</v>
      </c>
    </row>
    <row r="17">
      <c r="A17" s="14" t="inlineStr">
        <is>
          <t>Tax-loss carryforward, end of year</t>
        </is>
      </c>
      <c r="C17" s="23">
        <f>Assumptions!$B$21-C8+MAX(0,-C7)</f>
        <v>789.46</v>
      </c>
      <c r="D17" s="23">
        <f>C17-D8+MAX(0,-D7)</f>
        <v>677.24919663028</v>
      </c>
      <c r="E17" s="23">
        <f>D17-E8+MAX(0,-E7)</f>
        <v>529.03839326056</v>
      </c>
      <c r="F17" s="23">
        <f>E17-F8+MAX(0,-F7)</f>
        <v>353.82758989084004</v>
      </c>
      <c r="G17" s="23">
        <f>F17-G8+MAX(0,-G7)</f>
        <v>178.61678652112005</v>
      </c>
      <c r="H17" s="23">
        <f>G17-H8+MAX(0,-H7)</f>
        <v>3.4059831514000507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1149.7945172693098</v>
      </c>
    </row>
    <row r="20">
      <c r="A20" s="14" t="inlineStr">
        <is>
          <t>PV of corporate burn</t>
        </is>
      </c>
      <c r="B20" s="23">
        <f>SUMPRODUCT(C6:V6,C15:V15)</f>
        <v>-111.46928707334102</v>
      </c>
    </row>
    <row r="21">
      <c r="A21" s="14" t="inlineStr">
        <is>
          <t>PV of taxes</t>
        </is>
      </c>
      <c r="B21" s="23">
        <f>-SUMPRODUCT(C10:V10,C15:V15)</f>
        <v>-109.10833402744395</v>
      </c>
    </row>
    <row r="22">
      <c r="A22" s="24" t="inlineStr">
        <is>
          <t>Pipeline rNPV (operations)</t>
        </is>
      </c>
      <c r="B22" s="54">
        <f>SUM(C16:V16)</f>
        <v>929.216896168525</v>
      </c>
    </row>
    <row r="23">
      <c r="A23" s="14" t="inlineStr">
        <is>
          <t>Cash &amp; investments</t>
        </is>
      </c>
      <c r="B23" s="57">
        <f>Main!C7</f>
        <v>270.699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1199.915896168525</v>
      </c>
    </row>
    <row r="26">
      <c r="A26" s="14" t="inlineStr">
        <is>
          <t>Shares (mm)</t>
        </is>
      </c>
      <c r="B26" s="57">
        <f>Main!C4</f>
        <v>70.959241</v>
      </c>
    </row>
    <row r="27">
      <c r="A27" s="24" t="inlineStr">
        <is>
          <t>rNPV / share</t>
        </is>
      </c>
      <c r="B27" s="60">
        <f>B25/B26</f>
        <v>16.909931381150553</v>
      </c>
    </row>
    <row r="28">
      <c r="A28" s="14" t="inlineStr">
        <is>
          <t>Price</t>
        </is>
      </c>
      <c r="B28" s="61">
        <f>Main!C3</f>
        <v>26.91</v>
      </c>
    </row>
    <row r="29">
      <c r="A29" s="14" t="inlineStr">
        <is>
          <t>Upside</t>
        </is>
      </c>
      <c r="B29" s="62">
        <f>B27/B28-1</f>
        <v>-0.3716116171999051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2026-10-21T06:22:48Z</dcterms:modified>
  <cp:lastModifiedBy>Wang, Eric</cp:lastModifiedBy>
</cp:coreProperties>
</file>