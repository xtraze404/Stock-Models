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Zymeworks Inc.</t>
        </is>
      </c>
      <c r="C2" s="10" t="n"/>
    </row>
    <row r="3">
      <c r="B3" t="inlineStr">
        <is>
          <t>Price</t>
        </is>
      </c>
      <c r="C3" s="11">
        <f>INDEX([1]Pharma!$F$1:$F$1000,MATCH("ZYME",[1]Pharma!$B$1:$B$1000,0))</f>
        <v>26.91</v>
      </c>
      <c r="F3" s="1" t="n"/>
    </row>
    <row r="4">
      <c r="B4" t="inlineStr">
        <is>
          <t>Shares</t>
        </is>
      </c>
      <c r="C4" s="21" t="n">
        <v>70.95924100000001</v>
      </c>
      <c r="F4" s="1" t="n"/>
    </row>
    <row r="5">
      <c r="B5" t="inlineStr">
        <is>
          <t>Market Cap.</t>
        </is>
      </c>
      <c r="C5" s="13">
        <f>C3*C4</f>
        <v>1909.5131753100002</v>
      </c>
      <c r="F5" s="1" t="n"/>
    </row>
    <row r="6"/>
    <row r="7">
      <c r="B7" t="inlineStr">
        <is>
          <t>Cash</t>
        </is>
      </c>
      <c r="C7" s="21">
        <f>179.413+91.286</f>
        <v>270.699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1638.81417531</v>
      </c>
    </row>
    <row r="10"/>
    <row r="11">
      <c r="B11" s="14" t="inlineStr">
        <is>
          <t>Net Cash / Share</t>
        </is>
      </c>
      <c r="C11" s="11">
        <f>(C7-C8)/C4</f>
        <v>3.814851965510736</v>
      </c>
    </row>
    <row r="12">
      <c r="B12" s="14" t="inlineStr">
        <is>
          <t>Upside</t>
        </is>
      </c>
      <c r="C12" s="15">
        <f>IFERROR(C11/C3-1,"")</f>
        <v>-0.8582366419356843</v>
      </c>
    </row>
    <row r="13">
      <c r="B13" s="14" t="inlineStr">
        <is>
          <t>Cash / Share</t>
        </is>
      </c>
      <c r="C13" s="11">
        <f>IFERROR((C7-C8)/C4,"")</f>
        <v>3.814851965510736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-119.337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2.268357676160788</v>
      </c>
    </row>
    <row r="19">
      <c r="B19" s="14" t="inlineStr">
        <is>
          <t>Implied Pipeline Value</t>
        </is>
      </c>
      <c r="C19" s="13">
        <f>C9</f>
        <v>1638.81417531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38.951</v>
      </c>
      <c r="C2" s="23" t="n">
        <v>26.68</v>
      </c>
      <c r="D2" s="23" t="n">
        <v>412.482</v>
      </c>
      <c r="E2" s="23" t="n">
        <v>76.012</v>
      </c>
      <c r="F2" s="23" t="n">
        <v>76.304</v>
      </c>
      <c r="G2" s="23" t="n">
        <v>105.965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38.951</v>
      </c>
      <c r="C4" s="23">
        <f>C2-C3</f>
        <v>26.68</v>
      </c>
      <c r="D4" s="23">
        <f>D2-D3</f>
        <v>412.482</v>
      </c>
      <c r="E4" s="23">
        <f>E2-E3</f>
        <v>76.012</v>
      </c>
      <c r="F4" s="23">
        <f>F2-F3</f>
        <v>76.304</v>
      </c>
      <c r="G4" s="23">
        <f>G2-G3</f>
        <v>105.965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171.203</v>
      </c>
      <c r="C5" s="23" t="n">
        <v>199.752</v>
      </c>
      <c r="D5" s="23" t="n">
        <v>208.596</v>
      </c>
      <c r="E5" s="23" t="n">
        <v>143.619</v>
      </c>
      <c r="F5" s="23" t="n">
        <v>134.621</v>
      </c>
      <c r="G5" s="23" t="n">
        <v>137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55.216</v>
      </c>
      <c r="C6" s="23" t="n">
        <v>42.561</v>
      </c>
      <c r="D6" s="23" t="n">
        <v>73.358</v>
      </c>
      <c r="E6" s="23" t="n">
        <v>70.446</v>
      </c>
      <c r="F6" s="23" t="n">
        <v>78.79300000000001</v>
      </c>
      <c r="G6" s="23" t="n">
        <v>61.514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226.419</v>
      </c>
      <c r="C7" s="23">
        <f>SUM(C5:C6)</f>
        <v>242.31300000000002</v>
      </c>
      <c r="D7" s="23">
        <f>SUM(D5:D6)</f>
        <v>281.954</v>
      </c>
      <c r="E7" s="23">
        <f>SUM(E5:E6)</f>
        <v>214.065</v>
      </c>
      <c r="F7" s="23">
        <f>SUM(F5:F6)</f>
        <v>213.41400000000002</v>
      </c>
      <c r="G7" s="23">
        <f>SUM(G5:G6)</f>
        <v>198.514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-187.46800000000002</v>
      </c>
      <c r="C8" s="23">
        <f>C4-C7</f>
        <v>-215.633</v>
      </c>
      <c r="D8" s="23">
        <f>D4-D7</f>
        <v>130.52800000000002</v>
      </c>
      <c r="E8" s="23">
        <f>E4-E7</f>
        <v>-138.053</v>
      </c>
      <c r="F8" s="23">
        <f>F4-F7</f>
        <v>-137.11</v>
      </c>
      <c r="G8" s="23">
        <f>G4-G7</f>
        <v>-92.549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7.345</v>
      </c>
      <c r="C9" s="23" t="n">
        <v>3.274</v>
      </c>
      <c r="D9" s="23" t="n">
        <v>4.706</v>
      </c>
      <c r="E9" s="23" t="n">
        <v>18.811</v>
      </c>
      <c r="F9" s="23" t="n">
        <v>20.499</v>
      </c>
      <c r="G9" s="23" t="n">
        <v>12.795</v>
      </c>
    </row>
    <row r="10">
      <c r="A10" s="2" t="inlineStr">
        <is>
          <t>Pretax</t>
        </is>
      </c>
      <c r="B10" s="23">
        <f>B8+B9</f>
        <v>-180.12300000000002</v>
      </c>
      <c r="C10" s="23">
        <f>C8+C9</f>
        <v>-212.359</v>
      </c>
      <c r="D10" s="23">
        <f>D8+D9</f>
        <v>135.234</v>
      </c>
      <c r="E10" s="23">
        <f>E8+E9</f>
        <v>-119.24199999999999</v>
      </c>
      <c r="F10" s="23">
        <f>F8+F9</f>
        <v>-116.61100000000002</v>
      </c>
      <c r="G10" s="23">
        <f>G8+G9</f>
        <v>-79.754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0.429</v>
      </c>
      <c r="C11" s="23" t="n">
        <v>-0.516</v>
      </c>
      <c r="D11" s="23" t="n">
        <v>10.893</v>
      </c>
      <c r="E11" s="23" t="n">
        <v>-0.5679999999999999</v>
      </c>
      <c r="F11" s="23" t="n">
        <v>6.084</v>
      </c>
      <c r="G11" s="23" t="n">
        <v>1.376</v>
      </c>
    </row>
    <row r="12">
      <c r="A12" s="2" t="inlineStr">
        <is>
          <t>Net Income</t>
        </is>
      </c>
      <c r="B12" s="23" t="n">
        <v>-180.552</v>
      </c>
      <c r="C12" s="23" t="n">
        <v>-211.843</v>
      </c>
      <c r="D12" s="23" t="n">
        <v>124.341</v>
      </c>
      <c r="E12" s="23" t="n">
        <v>-118.674</v>
      </c>
      <c r="F12" s="23" t="n">
        <v>-122.695</v>
      </c>
      <c r="G12" s="23" t="n">
        <v>-81.13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-3.5836608312492557</v>
      </c>
      <c r="C13" s="11">
        <f>IFERROR(C12/C14,0)</f>
        <v>-4.0635885828282055</v>
      </c>
      <c r="D13" s="11">
        <f>IFERROR(D12/D14,0)</f>
        <v>1.9056384005885147</v>
      </c>
      <c r="E13" s="11">
        <f>IFERROR(E12/E14,0)</f>
        <v>-1.7233347370866794</v>
      </c>
      <c r="F13" s="11">
        <f>IFERROR(F12/F14,0)</f>
        <v>-1.6169823007683284</v>
      </c>
      <c r="G13" s="11">
        <f>IFERROR(G12/G14,0)</f>
        <v>-1.0758092106135546</v>
      </c>
    </row>
    <row r="14">
      <c r="A14" s="2" t="inlineStr">
        <is>
          <t>Shares</t>
        </is>
      </c>
      <c r="B14" s="23" t="n">
        <v>50.382</v>
      </c>
      <c r="C14" s="23" t="n">
        <v>52.132</v>
      </c>
      <c r="D14" s="23" t="n">
        <v>65.249</v>
      </c>
      <c r="E14" s="23" t="n">
        <v>68.863</v>
      </c>
      <c r="F14" s="23" t="n">
        <v>75.879</v>
      </c>
      <c r="G14" s="23" t="n">
        <v>75.413</v>
      </c>
    </row>
    <row r="15"/>
    <row r="16" customFormat="1" s="4">
      <c r="A16" s="3" t="inlineStr">
        <is>
          <t>Revenue Change</t>
        </is>
      </c>
      <c r="C16" s="15">
        <f>IFERROR(C2/B2-1,"")</f>
        <v>-0.31503684115940545</v>
      </c>
      <c r="D16" s="15">
        <f>IFERROR(D2/C2-1,"")</f>
        <v>14.460344827586209</v>
      </c>
      <c r="E16" s="15">
        <f>IFERROR(E2/D2-1,"")</f>
        <v>-0.8157204435587493</v>
      </c>
      <c r="F16" s="15">
        <f>IFERROR(F2/E2-1,"")</f>
        <v>0.003841498710729807</v>
      </c>
      <c r="G16" s="15">
        <f>IFERROR(G2/F2-1,"")</f>
        <v>0.3887214300691968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-4.812918795409618</v>
      </c>
      <c r="C18" s="15">
        <f>IFERROR(C8/C2,"")</f>
        <v>-8.0821964017991</v>
      </c>
      <c r="D18" s="15">
        <f>IFERROR(D8/D2,"")</f>
        <v>0.31644532367473005</v>
      </c>
      <c r="E18" s="15">
        <f>IFERROR(E8/E2,"")</f>
        <v>-1.816200073672578</v>
      </c>
      <c r="F18" s="15">
        <f>IFERROR(F8/F2,"")</f>
        <v>-1.796891381841057</v>
      </c>
      <c r="G18" s="15">
        <f>IFERROR(G8/G2,"")</f>
        <v>-0.8733921577879489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2026-10-21T01:04:32Z</dcterms:modified>
  <cp:lastModifiedBy>Wang, Eric</cp:lastModifiedBy>
</cp:coreProperties>
</file>