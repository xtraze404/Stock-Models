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Geron Corporation</t>
        </is>
      </c>
      <c r="C2" s="10" t="n"/>
    </row>
    <row r="3">
      <c r="B3" t="inlineStr">
        <is>
          <t>Price</t>
        </is>
      </c>
      <c r="C3" s="11">
        <f>INDEX([1]Pharma!$F$1:$F$1000,MATCH("GERN",[1]Pharma!$B$1:$B$1000,0))</f>
        <v>1.24</v>
      </c>
      <c r="F3" s="1" t="n"/>
    </row>
    <row r="4">
      <c r="B4" t="inlineStr">
        <is>
          <t>Shares</t>
        </is>
      </c>
      <c r="C4" s="21" t="n">
        <v>642.4734089999999</v>
      </c>
      <c r="F4" s="1" t="n"/>
    </row>
    <row r="5">
      <c r="B5" t="inlineStr">
        <is>
          <t>Market Cap.</t>
        </is>
      </c>
      <c r="C5" s="13">
        <f>C3*C4</f>
        <v>796.66702716</v>
      </c>
      <c r="F5" s="1" t="n"/>
    </row>
    <row r="6"/>
    <row r="7">
      <c r="B7" t="inlineStr">
        <is>
          <t>Cash</t>
        </is>
      </c>
      <c r="C7" s="21">
        <f>62.643+238.206</f>
        <v>300.849</v>
      </c>
    </row>
    <row r="8">
      <c r="B8" t="inlineStr">
        <is>
          <t>Debt</t>
        </is>
      </c>
      <c r="C8" s="21" t="n">
        <v>120.131</v>
      </c>
    </row>
    <row r="9">
      <c r="B9" t="inlineStr">
        <is>
          <t>Enterprise V.</t>
        </is>
      </c>
      <c r="C9" s="13">
        <f>C5-C7+C8</f>
        <v>615.94902716</v>
      </c>
    </row>
    <row r="10"/>
    <row r="11">
      <c r="B11" s="14" t="inlineStr">
        <is>
          <t>rNPV / Share</t>
        </is>
      </c>
      <c r="C11" s="11">
        <f>NPV!B27</f>
        <v>3.22996033659754</v>
      </c>
    </row>
    <row r="12">
      <c r="B12" s="14" t="inlineStr">
        <is>
          <t>Upside</t>
        </is>
      </c>
      <c r="C12" s="15">
        <f>IFERROR(C11/C3-1,"")</f>
        <v>1.604806723062532</v>
      </c>
    </row>
    <row r="13">
      <c r="B13" s="14" t="inlineStr">
        <is>
          <t>Cash / Share</t>
        </is>
      </c>
      <c r="C13" s="11">
        <f>IFERROR((C7-C8)/C4,"")</f>
        <v>0.28128479322013467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-114.376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1.5800342729243895</v>
      </c>
    </row>
    <row r="19">
      <c r="B19" s="14" t="inlineStr">
        <is>
          <t>Implied Pipeline Value</t>
        </is>
      </c>
      <c r="C19" s="13">
        <f>C9</f>
        <v>615.94902716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2009</v>
      </c>
      <c r="C1" s="17" t="n">
        <v>2010</v>
      </c>
      <c r="D1" s="17" t="n">
        <v>2011</v>
      </c>
      <c r="E1" s="17" t="n">
        <v>2012</v>
      </c>
      <c r="F1" s="17" t="n">
        <v>2013</v>
      </c>
      <c r="G1" s="17" t="n">
        <v>2014</v>
      </c>
      <c r="H1" s="17" t="n">
        <v>2015</v>
      </c>
      <c r="I1" s="17" t="n">
        <v>2016</v>
      </c>
      <c r="J1" s="17" t="n">
        <v>2017</v>
      </c>
      <c r="K1" s="17" t="n">
        <v>2018</v>
      </c>
      <c r="L1" s="17" t="n">
        <v>2019</v>
      </c>
      <c r="M1" s="17" t="n">
        <v>2020</v>
      </c>
      <c r="N1" s="17" t="n">
        <v>2021</v>
      </c>
      <c r="O1" s="17" t="n">
        <v>2022</v>
      </c>
      <c r="P1" s="17" t="n">
        <v>2023</v>
      </c>
      <c r="Q1" s="17" t="n">
        <v>2024</v>
      </c>
      <c r="R1" s="17" t="n">
        <v>2025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1.726</v>
      </c>
      <c r="C2" s="23" t="n">
        <v>3.563</v>
      </c>
      <c r="D2" s="23" t="n">
        <v>2.438</v>
      </c>
      <c r="E2" s="23" t="n">
        <v>2.709</v>
      </c>
      <c r="F2" s="23" t="n">
        <v>1.283</v>
      </c>
      <c r="G2" s="23" t="n">
        <v>1.153</v>
      </c>
      <c r="H2" s="23" t="n">
        <v>36.371</v>
      </c>
      <c r="I2" s="23" t="n">
        <v>6.162</v>
      </c>
      <c r="J2" s="23" t="n">
        <v>1.065</v>
      </c>
      <c r="K2" s="23" t="n">
        <v>1.066</v>
      </c>
      <c r="L2" s="23" t="n">
        <v>0.46</v>
      </c>
      <c r="M2" s="23" t="n">
        <v>0.253</v>
      </c>
      <c r="N2" s="23" t="n">
        <v>1.393</v>
      </c>
      <c r="O2" s="23" t="n">
        <v>0.596</v>
      </c>
      <c r="P2" s="23" t="n">
        <v>0.237</v>
      </c>
      <c r="Q2" s="23" t="n">
        <v>0</v>
      </c>
      <c r="R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0</v>
      </c>
      <c r="R3" s="23" t="n">
        <v>0</v>
      </c>
    </row>
    <row r="4" customFormat="1" s="1">
      <c r="A4" s="5" t="inlineStr">
        <is>
          <t>Gross Margin</t>
        </is>
      </c>
      <c r="B4" s="23">
        <f>B2-B3</f>
        <v>1.726</v>
      </c>
      <c r="C4" s="23">
        <f>C2-C3</f>
        <v>3.563</v>
      </c>
      <c r="D4" s="23">
        <f>D2-D3</f>
        <v>2.438</v>
      </c>
      <c r="E4" s="23">
        <f>E2-E3</f>
        <v>2.709</v>
      </c>
      <c r="F4" s="23">
        <f>F2-F3</f>
        <v>1.283</v>
      </c>
      <c r="G4" s="23">
        <f>G2-G3</f>
        <v>1.153</v>
      </c>
      <c r="H4" s="23">
        <f>H2-H3</f>
        <v>36.371</v>
      </c>
      <c r="I4" s="23">
        <f>I2-I3</f>
        <v>6.162</v>
      </c>
      <c r="J4" s="23">
        <f>J2-J3</f>
        <v>1.065</v>
      </c>
      <c r="K4" s="23">
        <f>K2-K3</f>
        <v>1.066</v>
      </c>
      <c r="L4" s="23">
        <f>L2-L3</f>
        <v>0.46</v>
      </c>
      <c r="M4" s="23">
        <f>M2-M3</f>
        <v>0.253</v>
      </c>
      <c r="N4" s="23">
        <f>N2-N3</f>
        <v>1.393</v>
      </c>
      <c r="O4" s="23">
        <f>O2-O3</f>
        <v>0.596</v>
      </c>
      <c r="P4" s="23">
        <f>P2-P3</f>
        <v>0.237</v>
      </c>
      <c r="Q4" s="23">
        <f>Q2-Q3</f>
        <v>0.0</v>
      </c>
      <c r="R4" s="23">
        <f>R2-R3</f>
        <v>0.0</v>
      </c>
    </row>
    <row r="5">
      <c r="A5" s="2" t="inlineStr">
        <is>
          <t>Research &amp; Dev.</t>
        </is>
      </c>
      <c r="B5" s="23" t="n">
        <v>57.617</v>
      </c>
      <c r="C5" s="23" t="n">
        <v>61.687</v>
      </c>
      <c r="D5" s="23" t="n">
        <v>69.316</v>
      </c>
      <c r="E5" s="23" t="n">
        <v>51.368</v>
      </c>
      <c r="F5" s="23" t="n">
        <v>23.155</v>
      </c>
      <c r="G5" s="23" t="n">
        <v>20.707</v>
      </c>
      <c r="H5" s="23" t="n">
        <v>17.831</v>
      </c>
      <c r="I5" s="23" t="n">
        <v>18.047</v>
      </c>
      <c r="J5" s="23" t="n">
        <v>11.033</v>
      </c>
      <c r="K5" s="23" t="n">
        <v>13.432</v>
      </c>
      <c r="L5" s="23" t="n">
        <v>52.072</v>
      </c>
      <c r="M5" s="23" t="n">
        <v>51.488</v>
      </c>
      <c r="N5" s="23" t="n">
        <v>85.727</v>
      </c>
      <c r="O5" s="23" t="n">
        <v>95.518</v>
      </c>
      <c r="P5" s="23" t="n">
        <v>125.046</v>
      </c>
      <c r="Q5" s="23" t="n">
        <v>103.738</v>
      </c>
      <c r="R5" s="23" t="n">
        <v>71.43300000000001</v>
      </c>
    </row>
    <row r="6">
      <c r="A6" s="19" t="inlineStr">
        <is>
          <t>SG&amp;A &amp; Other</t>
        </is>
      </c>
      <c r="B6" s="23" t="n">
        <v>14.343</v>
      </c>
      <c r="C6" s="23" t="n">
        <v>53.043</v>
      </c>
      <c r="D6" s="23" t="n">
        <v>29.238</v>
      </c>
      <c r="E6" s="23" t="n">
        <v>23.099</v>
      </c>
      <c r="F6" s="23" t="n">
        <v>17.086</v>
      </c>
      <c r="G6" s="23" t="n">
        <v>16.758</v>
      </c>
      <c r="H6" s="23" t="n">
        <v>19.099</v>
      </c>
      <c r="I6" s="23" t="n">
        <v>18.761</v>
      </c>
      <c r="J6" s="23" t="n">
        <v>19.287</v>
      </c>
      <c r="K6" s="23" t="n">
        <v>18.707</v>
      </c>
      <c r="L6" s="23" t="n">
        <v>20.893</v>
      </c>
      <c r="M6" s="23" t="n">
        <v>25.678</v>
      </c>
      <c r="N6" s="23" t="n">
        <v>29.665</v>
      </c>
      <c r="O6" s="23" t="n">
        <v>43.628</v>
      </c>
      <c r="P6" s="23" t="n">
        <v>69.13500000000001</v>
      </c>
      <c r="Q6" s="23" t="n">
        <v>69.994</v>
      </c>
      <c r="R6" s="23" t="n">
        <v>-2.848</v>
      </c>
    </row>
    <row r="7">
      <c r="A7" s="2" t="inlineStr">
        <is>
          <t>Operating Expense</t>
        </is>
      </c>
      <c r="B7" s="23">
        <f>SUM(B5:B6)</f>
        <v>71.96</v>
      </c>
      <c r="C7" s="23">
        <f>SUM(C5:C6)</f>
        <v>114.72999999999999</v>
      </c>
      <c r="D7" s="23">
        <f>SUM(D5:D6)</f>
        <v>98.554</v>
      </c>
      <c r="E7" s="23">
        <f>SUM(E5:E6)</f>
        <v>74.467</v>
      </c>
      <c r="F7" s="23">
        <f>SUM(F5:F6)</f>
        <v>40.241</v>
      </c>
      <c r="G7" s="23">
        <f>SUM(G5:G6)</f>
        <v>37.465</v>
      </c>
      <c r="H7" s="23">
        <f>SUM(H5:H6)</f>
        <v>36.93</v>
      </c>
      <c r="I7" s="23">
        <f>SUM(I5:I6)</f>
        <v>36.808</v>
      </c>
      <c r="J7" s="23">
        <f>SUM(J5:J6)</f>
        <v>30.32</v>
      </c>
      <c r="K7" s="23">
        <f>SUM(K5:K6)</f>
        <v>32.139</v>
      </c>
      <c r="L7" s="23">
        <f>SUM(L5:L6)</f>
        <v>72.965</v>
      </c>
      <c r="M7" s="23">
        <f>SUM(M5:M6)</f>
        <v>77.166</v>
      </c>
      <c r="N7" s="23">
        <f>SUM(N5:N6)</f>
        <v>115.392</v>
      </c>
      <c r="O7" s="23">
        <f>SUM(O5:O6)</f>
        <v>139.14600000000002</v>
      </c>
      <c r="P7" s="23">
        <f>SUM(P5:P6)</f>
        <v>194.181</v>
      </c>
      <c r="Q7" s="23">
        <f>SUM(Q5:Q6)</f>
        <v>173.732</v>
      </c>
      <c r="R7" s="23">
        <f>SUM(R5:R6)</f>
        <v>68.58500000000001</v>
      </c>
    </row>
    <row r="8">
      <c r="A8" s="2" t="inlineStr">
        <is>
          <t>Operating Income</t>
        </is>
      </c>
      <c r="B8" s="23">
        <f>B4-B7</f>
        <v>-70.234</v>
      </c>
      <c r="C8" s="23">
        <f>C4-C7</f>
        <v>-111.16699999999999</v>
      </c>
      <c r="D8" s="23">
        <f>D4-D7</f>
        <v>-96.116</v>
      </c>
      <c r="E8" s="23">
        <f>E4-E7</f>
        <v>-71.758</v>
      </c>
      <c r="F8" s="23">
        <f>F4-F7</f>
        <v>-38.958</v>
      </c>
      <c r="G8" s="23">
        <f>G4-G7</f>
        <v>-36.312000000000005</v>
      </c>
      <c r="H8" s="23">
        <f>H4-H7</f>
        <v>-0.5589999999999975</v>
      </c>
      <c r="I8" s="23">
        <f>I4-I7</f>
        <v>-30.646</v>
      </c>
      <c r="J8" s="23">
        <f>J4-J7</f>
        <v>-29.255</v>
      </c>
      <c r="K8" s="23">
        <f>K4-K7</f>
        <v>-31.073000000000004</v>
      </c>
      <c r="L8" s="23">
        <f>L4-L7</f>
        <v>-72.50500000000001</v>
      </c>
      <c r="M8" s="23">
        <f>M4-M7</f>
        <v>-76.913</v>
      </c>
      <c r="N8" s="23">
        <f>N4-N7</f>
        <v>-113.999</v>
      </c>
      <c r="O8" s="23">
        <f>O4-O7</f>
        <v>-138.55</v>
      </c>
      <c r="P8" s="23">
        <f>P4-P7</f>
        <v>-193.94400000000002</v>
      </c>
      <c r="Q8" s="23">
        <f>Q4-Q7</f>
        <v>-173.732</v>
      </c>
      <c r="R8" s="23">
        <f>R4-R7</f>
        <v>-68.58500000000001</v>
      </c>
    </row>
    <row r="9">
      <c r="A9" s="19" t="inlineStr">
        <is>
          <t>Interest &amp; Other</t>
        </is>
      </c>
      <c r="B9" s="23" t="n">
        <v>0.05</v>
      </c>
      <c r="C9" s="23" t="n">
        <v>-0.21</v>
      </c>
      <c r="D9" s="23" t="n">
        <v>-0.737</v>
      </c>
      <c r="E9" s="23" t="n">
        <v>2.877</v>
      </c>
      <c r="F9" s="23" t="n">
        <v>0.579</v>
      </c>
      <c r="G9" s="23" t="n">
        <v>0.642</v>
      </c>
      <c r="H9" s="23" t="n">
        <v>0.605</v>
      </c>
      <c r="I9" s="23" t="n">
        <v>1.109</v>
      </c>
      <c r="J9" s="23" t="n">
        <v>1.339</v>
      </c>
      <c r="K9" s="23" t="n">
        <v>4.056</v>
      </c>
      <c r="L9" s="23" t="n">
        <v>3.957</v>
      </c>
      <c r="M9" s="23" t="n">
        <v>1.296</v>
      </c>
      <c r="N9" s="23" t="n">
        <v>-2.113</v>
      </c>
      <c r="O9" s="23" t="n">
        <v>-3.351</v>
      </c>
      <c r="P9" s="23" t="n">
        <v>9.839</v>
      </c>
      <c r="Q9" s="23" t="n">
        <v>-0.391</v>
      </c>
      <c r="R9" s="23" t="n">
        <v>-14.84</v>
      </c>
    </row>
    <row r="10">
      <c r="A10" s="2" t="inlineStr">
        <is>
          <t>Pretax</t>
        </is>
      </c>
      <c r="B10" s="23">
        <f>B8+B9</f>
        <v>-70.184</v>
      </c>
      <c r="C10" s="23">
        <f>C8+C9</f>
        <v>-111.37699999999998</v>
      </c>
      <c r="D10" s="23">
        <f>D8+D9</f>
        <v>-96.853</v>
      </c>
      <c r="E10" s="23">
        <f>E8+E9</f>
        <v>-68.881</v>
      </c>
      <c r="F10" s="23">
        <f>F8+F9</f>
        <v>-38.379</v>
      </c>
      <c r="G10" s="23">
        <f>G8+G9</f>
        <v>-35.67</v>
      </c>
      <c r="H10" s="23">
        <f>H8+H9</f>
        <v>0.04600000000000248</v>
      </c>
      <c r="I10" s="23">
        <f>I8+I9</f>
        <v>-29.537</v>
      </c>
      <c r="J10" s="23">
        <f>J8+J9</f>
        <v>-27.916</v>
      </c>
      <c r="K10" s="23">
        <f>K8+K9</f>
        <v>-27.017000000000003</v>
      </c>
      <c r="L10" s="23">
        <f>L8+L9</f>
        <v>-68.54800000000002</v>
      </c>
      <c r="M10" s="23">
        <f>M8+M9</f>
        <v>-75.61699999999999</v>
      </c>
      <c r="N10" s="23">
        <f>N8+N9</f>
        <v>-116.112</v>
      </c>
      <c r="O10" s="23">
        <f>O8+O9</f>
        <v>-141.901</v>
      </c>
      <c r="P10" s="23">
        <f>P8+P9</f>
        <v>-184.10500000000002</v>
      </c>
      <c r="Q10" s="23">
        <f>Q8+Q9</f>
        <v>-174.123</v>
      </c>
      <c r="R10" s="23">
        <f>R8+R9</f>
        <v>-83.42500000000001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0.022</v>
      </c>
      <c r="Q11" s="23" t="n">
        <v>0.449</v>
      </c>
      <c r="R11" s="23" t="n">
        <v>0.075</v>
      </c>
    </row>
    <row r="12">
      <c r="A12" s="2" t="inlineStr">
        <is>
          <t>Net Income</t>
        </is>
      </c>
      <c r="B12" s="23" t="n">
        <v>-70.184</v>
      </c>
      <c r="C12" s="23" t="n">
        <v>-111.377</v>
      </c>
      <c r="D12" s="23" t="n">
        <v>-96.85299999999999</v>
      </c>
      <c r="E12" s="23" t="n">
        <v>-68.881</v>
      </c>
      <c r="F12" s="23" t="n">
        <v>-38.379</v>
      </c>
      <c r="G12" s="23" t="n">
        <v>-35.67</v>
      </c>
      <c r="H12" s="23" t="n">
        <v>0.046</v>
      </c>
      <c r="I12" s="23" t="n">
        <v>-29.537</v>
      </c>
      <c r="J12" s="23" t="n">
        <v>-27.916</v>
      </c>
      <c r="K12" s="23" t="n">
        <v>-27.017</v>
      </c>
      <c r="L12" s="23" t="n">
        <v>-68.548</v>
      </c>
      <c r="M12" s="23" t="n">
        <v>-75.617</v>
      </c>
      <c r="N12" s="23" t="n">
        <v>-116.112</v>
      </c>
      <c r="O12" s="23" t="n">
        <v>-141.901</v>
      </c>
      <c r="P12" s="23" t="n">
        <v>-184.127</v>
      </c>
      <c r="Q12" s="23" t="n">
        <v>-174.572</v>
      </c>
      <c r="R12" s="23" t="n">
        <v>-83.5</v>
      </c>
    </row>
    <row r="13">
      <c r="A13" s="2" t="inlineStr">
        <is>
          <t>Earnings per Share</t>
        </is>
      </c>
      <c r="B13" s="11">
        <f>IFERROR(B12/B14,0)</f>
        <v>0</v>
      </c>
      <c r="C13" s="11">
        <f>IFERROR(C12/C14,0)</f>
        <v>-1.1411344029835453</v>
      </c>
      <c r="D13" s="11">
        <f>IFERROR(D12/D14,0)</f>
        <v>-0.7778920060719476</v>
      </c>
      <c r="E13" s="11">
        <f>IFERROR(E12/E14,0)</f>
        <v>-0.5426221630521265</v>
      </c>
      <c r="F13" s="11">
        <f>IFERROR(F12/F14,0)</f>
        <v>-0.29894610573215663</v>
      </c>
      <c r="G13" s="11">
        <f>IFERROR(G12/G14,0)</f>
        <v>-0.2323173114497851</v>
      </c>
      <c r="H13" s="11">
        <f>IFERROR(H12/H14,0)</f>
        <v>0.00028279152117247823</v>
      </c>
      <c r="I13" s="11">
        <f>IFERROR(I12/I14,0)</f>
        <v>-0.18571356714409668</v>
      </c>
      <c r="J13" s="11">
        <f>IFERROR(J12/J14,0)</f>
        <v>-0.17532422672319045</v>
      </c>
      <c r="K13" s="11">
        <f>IFERROR(K12/K14,0)</f>
        <v>-0.15306648536868644</v>
      </c>
      <c r="L13" s="11">
        <f>IFERROR(L12/L14,0)</f>
        <v>-0.3604753891459824</v>
      </c>
      <c r="M13" s="11">
        <f>IFERROR(M12/M14,0)</f>
        <v>-0.278556693435497</v>
      </c>
      <c r="N13" s="11">
        <f>IFERROR(N12/N14,0)</f>
        <v>-0.35439761683840404</v>
      </c>
      <c r="O13" s="11">
        <f>IFERROR(O12/O14,0)</f>
        <v>-0.3726538597896451</v>
      </c>
      <c r="P13" s="11">
        <f>IFERROR(P12/P14,0)</f>
        <v>-0.3226647039753262</v>
      </c>
      <c r="Q13" s="11">
        <f>IFERROR(Q12/Q14,0)</f>
        <v>-0.27022149023347103</v>
      </c>
      <c r="R13" s="11">
        <f>IFERROR(R12/R14,0)</f>
        <v>-0.12525068887878882</v>
      </c>
    </row>
    <row r="14">
      <c r="A14" s="2" t="inlineStr">
        <is>
          <t>Shares</t>
        </is>
      </c>
      <c r="B14" s="23" t="n"/>
      <c r="C14" s="23" t="n">
        <v>97.602</v>
      </c>
      <c r="D14" s="23" t="n">
        <v>124.507</v>
      </c>
      <c r="E14" s="23" t="n">
        <v>126.941</v>
      </c>
      <c r="F14" s="23" t="n">
        <v>128.381</v>
      </c>
      <c r="G14" s="23" t="n">
        <v>153.54</v>
      </c>
      <c r="H14" s="23" t="n">
        <v>162.664</v>
      </c>
      <c r="I14" s="23" t="n">
        <v>159.046</v>
      </c>
      <c r="J14" s="23" t="n">
        <v>159.225</v>
      </c>
      <c r="K14" s="23" t="n">
        <v>176.505</v>
      </c>
      <c r="L14" s="23" t="n">
        <v>190.16</v>
      </c>
      <c r="M14" s="23" t="n">
        <v>271.46</v>
      </c>
      <c r="N14" s="23" t="n">
        <v>327.632</v>
      </c>
      <c r="O14" s="23" t="n">
        <v>380.785</v>
      </c>
      <c r="P14" s="23" t="n">
        <v>570.645</v>
      </c>
      <c r="Q14" s="23" t="n">
        <v>646.033</v>
      </c>
      <c r="R14" s="23" t="n">
        <v>666.663</v>
      </c>
    </row>
    <row r="15"/>
    <row r="16" customFormat="1" s="4">
      <c r="A16" s="3" t="inlineStr">
        <is>
          <t>Revenue Change</t>
        </is>
      </c>
      <c r="C16" s="15">
        <f>IFERROR(C2/B2-1,"")</f>
        <v>1.0643105446118195</v>
      </c>
      <c r="D16" s="15">
        <f>IFERROR(D2/C2-1,"")</f>
        <v>-0.31574515857423513</v>
      </c>
      <c r="E16" s="15">
        <f>IFERROR(E2/D2-1,"")</f>
        <v>0.11115668580803928</v>
      </c>
      <c r="F16" s="15">
        <f>IFERROR(F2/E2-1,"")</f>
        <v>-0.5263935031376892</v>
      </c>
      <c r="G16" s="15">
        <f>IFERROR(G2/F2-1,"")</f>
        <v>-0.10132501948558059</v>
      </c>
      <c r="H16" s="15">
        <f>IFERROR(H2/G2-1,"")</f>
        <v>30.544666088464876</v>
      </c>
      <c r="I16" s="15">
        <f>IFERROR(I2/H2-1,"")</f>
        <v>-0.8305793076901927</v>
      </c>
      <c r="J16" s="15">
        <f>IFERROR(J2/I2-1,"")</f>
        <v>-0.8271665043816943</v>
      </c>
      <c r="K16" s="15">
        <f>IFERROR(K2/J2-1,"")</f>
        <v>0.0009389671361503815</v>
      </c>
      <c r="L16" s="15">
        <f>IFERROR(L2/K2-1,"")</f>
        <v>-0.5684803001876173</v>
      </c>
      <c r="M16" s="15">
        <f>IFERROR(M2/L2-1,"")</f>
        <v>-0.45000000000000007</v>
      </c>
      <c r="N16" s="15">
        <f>IFERROR(N2/M2-1,"")</f>
        <v>4.5059288537549405</v>
      </c>
      <c r="O16" s="15">
        <f>IFERROR(O2/N2-1,"")</f>
        <v>-0.5721464465183058</v>
      </c>
      <c r="P16" s="15">
        <f>IFERROR(P2/O2-1,"")</f>
        <v>-0.6023489932885906</v>
      </c>
      <c r="Q16" s="15">
        <f>IFERROR(Q2/P2-1,"")</f>
        <v>-1.0</v>
      </c>
      <c r="R16" s="15">
        <f>IFERROR(R2/Q2-1,"")</f>
        <v/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>1.0</v>
      </c>
      <c r="J17" s="15">
        <f>IFERROR(J4/J2,"")</f>
        <v>1.0</v>
      </c>
      <c r="K17" s="15">
        <f>IFERROR(K4/K2,"")</f>
        <v>1.0</v>
      </c>
      <c r="L17" s="15">
        <f>IFERROR(L4/L2,"")</f>
        <v>1.0</v>
      </c>
      <c r="M17" s="15">
        <f>IFERROR(M4/M2,"")</f>
        <v>1.0</v>
      </c>
      <c r="N17" s="15">
        <f>IFERROR(N4/N2,"")</f>
        <v>1.0</v>
      </c>
      <c r="O17" s="15">
        <f>IFERROR(O4/O2,"")</f>
        <v>1.0</v>
      </c>
      <c r="P17" s="15">
        <f>IFERROR(P4/P2,"")</f>
        <v>1.0</v>
      </c>
      <c r="Q17" s="15">
        <f>IFERROR(Q4/Q2,"")</f>
        <v/>
      </c>
      <c r="R17" s="15">
        <f>IFERROR(R4/R2,"")</f>
        <v/>
      </c>
    </row>
    <row r="18">
      <c r="A18" s="14" t="inlineStr">
        <is>
          <t>Operating Margin</t>
        </is>
      </c>
      <c r="B18" s="15">
        <f>IFERROR(B8/B2,"")</f>
        <v>-40.69177288528389</v>
      </c>
      <c r="C18" s="15">
        <f>IFERROR(C8/C2,"")</f>
        <v>-31.200392927308442</v>
      </c>
      <c r="D18" s="15">
        <f>IFERROR(D8/D2,"")</f>
        <v>-39.424118129614435</v>
      </c>
      <c r="E18" s="15">
        <f>IFERROR(E8/E2,"")</f>
        <v>-26.48874123292728</v>
      </c>
      <c r="F18" s="15">
        <f>IFERROR(F8/F2,"")</f>
        <v>-30.36477007014809</v>
      </c>
      <c r="G18" s="15">
        <f>IFERROR(G8/G2,"")</f>
        <v>-31.493495229835215</v>
      </c>
      <c r="H18" s="15">
        <f>IFERROR(H8/H2,"")</f>
        <v>-0.015369387698990884</v>
      </c>
      <c r="I18" s="15">
        <f>IFERROR(I8/I2,"")</f>
        <v>-4.973385264524505</v>
      </c>
      <c r="J18" s="15">
        <f>IFERROR(J8/J2,"")</f>
        <v>-27.469483568075116</v>
      </c>
      <c r="K18" s="15">
        <f>IFERROR(K8/K2,"")</f>
        <v>-29.149155722326455</v>
      </c>
      <c r="L18" s="15">
        <f>IFERROR(L8/L2,"")</f>
        <v>-157.6195652173913</v>
      </c>
      <c r="M18" s="15">
        <f>IFERROR(M8/M2,"")</f>
        <v>-304.00395256916994</v>
      </c>
      <c r="N18" s="15">
        <f>IFERROR(N8/N2,"")</f>
        <v>-81.83704235463028</v>
      </c>
      <c r="O18" s="15">
        <f>IFERROR(O8/O2,"")</f>
        <v>-232.46644295302016</v>
      </c>
      <c r="P18" s="15">
        <f>IFERROR(P8/P2,"")</f>
        <v>-818.3291139240507</v>
      </c>
      <c r="Q18" s="15">
        <f>IFERROR(Q8/Q2,"")</f>
        <v/>
      </c>
      <c r="R18" s="15">
        <f>IFERROR(R8/R2,"")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Geron Corporation: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1.0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51.765</v>
      </c>
    </row>
    <row r="19">
      <c r="A19" s="14" t="inlineStr">
        <is>
          <t>Years of full burn (until the first launch, max 4)</t>
        </is>
      </c>
      <c r="B19" s="39">
        <f>MIN(4,MAX(1,MIN(Pipeline!I4:I4)-2026))</f>
        <v>1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1350.2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1894.4456283886084</v>
      </c>
      <c r="C29" s="42">
        <f>NPV!B25</f>
        <v>2075.1636283886087</v>
      </c>
      <c r="D29" s="43">
        <f>NPV!B27</f>
        <v>3.22996033659754</v>
      </c>
      <c r="E29" s="44">
        <f>NPV!B29</f>
        <v>1.604806723062532</v>
      </c>
    </row>
    <row r="30">
      <c r="A30" s="45" t="n">
        <v>1</v>
      </c>
      <c r="B30" s="46">
        <f t="dataTable" ref="B30:E32" r1="B4"/>
        <v>1061.5545559043574</v>
      </c>
      <c r="C30" s="46">
        <v>1242.2725559043572</v>
      </c>
      <c r="D30" s="47">
        <v>1.9335781660410436</v>
      </c>
      <c r="E30" s="48">
        <v>0.5593372306782609</v>
      </c>
    </row>
    <row r="31">
      <c r="A31" s="45" t="n">
        <v>2</v>
      </c>
      <c r="B31" s="46">
        <v>1894.4456283886084</v>
      </c>
      <c r="C31" s="46">
        <v>2075.1636283886087</v>
      </c>
      <c r="D31" s="47">
        <v>3.22996033659754</v>
      </c>
      <c r="E31" s="48">
        <v>1.604806723062532</v>
      </c>
    </row>
    <row r="32">
      <c r="A32" s="45" t="n">
        <v>3</v>
      </c>
      <c r="B32" s="46">
        <v>2858.0847762858048</v>
      </c>
      <c r="C32" s="46">
        <v>3038.802776285805</v>
      </c>
      <c r="D32" s="47">
        <v>4.729849879726003</v>
      </c>
      <c r="E32" s="48">
        <v>2.8143950642951636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3.22996033659754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1.775764725819451</v>
      </c>
      <c r="C37" s="47">
        <v>2.5127767615376206</v>
      </c>
      <c r="D37" s="47">
        <v>3.22996033659754</v>
      </c>
      <c r="E37" s="47">
        <v>4.643709219200677</v>
      </c>
      <c r="F37" s="47">
        <v>6.047042774636387</v>
      </c>
    </row>
    <row r="38">
      <c r="A38" s="50" t="n">
        <v>0.8</v>
      </c>
      <c r="B38" s="47">
        <v>1.775764725819451</v>
      </c>
      <c r="C38" s="47">
        <v>2.5127767615376206</v>
      </c>
      <c r="D38" s="47">
        <v>3.22996033659754</v>
      </c>
      <c r="E38" s="47">
        <v>4.643709219200677</v>
      </c>
      <c r="F38" s="47">
        <v>6.047042774636387</v>
      </c>
    </row>
    <row r="39">
      <c r="A39" s="50" t="n">
        <v>1</v>
      </c>
      <c r="B39" s="47">
        <v>1.775764725819451</v>
      </c>
      <c r="C39" s="47">
        <v>2.5127767615376206</v>
      </c>
      <c r="D39" s="47">
        <v>3.22996033659754</v>
      </c>
      <c r="E39" s="47">
        <v>4.643709219200677</v>
      </c>
      <c r="F39" s="47">
        <v>6.047042774636387</v>
      </c>
    </row>
    <row r="40">
      <c r="A40" s="50" t="n">
        <v>1.2</v>
      </c>
      <c r="B40" s="47">
        <v>1.775764725819451</v>
      </c>
      <c r="C40" s="47">
        <v>2.5127767615376206</v>
      </c>
      <c r="D40" s="47">
        <v>3.22996033659754</v>
      </c>
      <c r="E40" s="47">
        <v>4.643709219200677</v>
      </c>
      <c r="F40" s="47">
        <v>6.047042774636387</v>
      </c>
    </row>
    <row r="41">
      <c r="A41" s="50" t="n">
        <v>1.4</v>
      </c>
      <c r="B41" s="47">
        <v>1.775764725819451</v>
      </c>
      <c r="C41" s="47">
        <v>2.5127767615376206</v>
      </c>
      <c r="D41" s="47">
        <v>3.22996033659754</v>
      </c>
      <c r="E41" s="47">
        <v>4.643709219200677</v>
      </c>
      <c r="F41" s="47">
        <v>6.047042774636387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Geron Corporation: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Myelofibrosis / MDS / MPN</t>
        </is>
      </c>
      <c r="C4" s="14" t="inlineStr">
        <is>
          <t>Rytelo (imetelstat)</t>
        </is>
      </c>
      <c r="D4" s="14" t="inlineStr">
        <is>
          <t>Approved</t>
        </is>
      </c>
      <c r="E4" s="14" t="inlineStr">
        <is>
          <t>Oncology / area</t>
        </is>
      </c>
      <c r="F4" s="14" t="inlineStr">
        <is>
          <t>Owned</t>
        </is>
      </c>
      <c r="G4" s="40" t="n">
        <v>1000</v>
      </c>
      <c r="H4" s="27" t="n">
        <v>1</v>
      </c>
      <c r="I4" s="26" t="n">
        <v>2024</v>
      </c>
      <c r="J4" s="39">
        <f>I4+Assumptions!$B$25</f>
        <v>2036.0</v>
      </c>
      <c r="K4" s="53">
        <f>Assumptions!$E$13</f>
        <v>0.4</v>
      </c>
      <c r="L4" s="23">
        <f>K4*SUMPRODUCT(M4:AF4,NPV!$C$15:$V$15)</f>
        <v>2278.2117158104397</v>
      </c>
      <c r="M4" s="23">
        <f>IF(M$3&lt;$I4,0,$G4*Assumptions!$E$11*INDEX(Assumptions!$B$24:$G$24,MIN(6,M$3-$I4+1))*IF(M$3&gt;$J4,(1-Assumptions!$B$26)^(M$3-$J4),1)*IF($H4&gt;=1,1,MIN(0.97,$H4*Assumptions!$E$12)))</f>
        <v>450.0</v>
      </c>
      <c r="N4" s="23">
        <f>IF(N$3&lt;$I4,0,$G4*Assumptions!$E$11*INDEX(Assumptions!$B$24:$G$24,MIN(6,N$3-$I4+1))*IF(N$3&gt;$J4,(1-Assumptions!$B$26)^(N$3-$J4),1)*IF($H4&gt;=1,1,MIN(0.97,$H4*Assumptions!$E$12)))</f>
        <v>650.0</v>
      </c>
      <c r="O4" s="23">
        <f>IF(O$3&lt;$I4,0,$G4*Assumptions!$E$11*INDEX(Assumptions!$B$24:$G$24,MIN(6,O$3-$I4+1))*IF(O$3&gt;$J4,(1-Assumptions!$B$26)^(O$3-$J4),1)*IF($H4&gt;=1,1,MIN(0.97,$H4*Assumptions!$E$12)))</f>
        <v>850.0</v>
      </c>
      <c r="P4" s="23">
        <f>IF(P$3&lt;$I4,0,$G4*Assumptions!$E$11*INDEX(Assumptions!$B$24:$G$24,MIN(6,P$3-$I4+1))*IF(P$3&gt;$J4,(1-Assumptions!$B$26)^(P$3-$J4),1)*IF($H4&gt;=1,1,MIN(0.97,$H4*Assumptions!$E$12)))</f>
        <v>1000.0</v>
      </c>
      <c r="Q4" s="23">
        <f>IF(Q$3&lt;$I4,0,$G4*Assumptions!$E$11*INDEX(Assumptions!$B$24:$G$24,MIN(6,Q$3-$I4+1))*IF(Q$3&gt;$J4,(1-Assumptions!$B$26)^(Q$3-$J4),1)*IF($H4&gt;=1,1,MIN(0.97,$H4*Assumptions!$E$12)))</f>
        <v>1000.0</v>
      </c>
      <c r="R4" s="23">
        <f>IF(R$3&lt;$I4,0,$G4*Assumptions!$E$11*INDEX(Assumptions!$B$24:$G$24,MIN(6,R$3-$I4+1))*IF(R$3&gt;$J4,(1-Assumptions!$B$26)^(R$3-$J4),1)*IF($H4&gt;=1,1,MIN(0.97,$H4*Assumptions!$E$12)))</f>
        <v>1000.0</v>
      </c>
      <c r="S4" s="23">
        <f>IF(S$3&lt;$I4,0,$G4*Assumptions!$E$11*INDEX(Assumptions!$B$24:$G$24,MIN(6,S$3-$I4+1))*IF(S$3&gt;$J4,(1-Assumptions!$B$26)^(S$3-$J4),1)*IF($H4&gt;=1,1,MIN(0.97,$H4*Assumptions!$E$12)))</f>
        <v>1000.0</v>
      </c>
      <c r="T4" s="23">
        <f>IF(T$3&lt;$I4,0,$G4*Assumptions!$E$11*INDEX(Assumptions!$B$24:$G$24,MIN(6,T$3-$I4+1))*IF(T$3&gt;$J4,(1-Assumptions!$B$26)^(T$3-$J4),1)*IF($H4&gt;=1,1,MIN(0.97,$H4*Assumptions!$E$12)))</f>
        <v>1000.0</v>
      </c>
      <c r="U4" s="23">
        <f>IF(U$3&lt;$I4,0,$G4*Assumptions!$E$11*INDEX(Assumptions!$B$24:$G$24,MIN(6,U$3-$I4+1))*IF(U$3&gt;$J4,(1-Assumptions!$B$26)^(U$3-$J4),1)*IF($H4&gt;=1,1,MIN(0.97,$H4*Assumptions!$E$12)))</f>
        <v>1000.0</v>
      </c>
      <c r="V4" s="23">
        <f>IF(V$3&lt;$I4,0,$G4*Assumptions!$E$11*INDEX(Assumptions!$B$24:$G$24,MIN(6,V$3-$I4+1))*IF(V$3&gt;$J4,(1-Assumptions!$B$26)^(V$3-$J4),1)*IF($H4&gt;=1,1,MIN(0.97,$H4*Assumptions!$E$12)))</f>
        <v>1000.0</v>
      </c>
      <c r="W4" s="23">
        <f>IF(W$3&lt;$I4,0,$G4*Assumptions!$E$11*INDEX(Assumptions!$B$24:$G$24,MIN(6,W$3-$I4+1))*IF(W$3&gt;$J4,(1-Assumptions!$B$26)^(W$3-$J4),1)*IF($H4&gt;=1,1,MIN(0.97,$H4*Assumptions!$E$12)))</f>
        <v>1000.0</v>
      </c>
      <c r="X4" s="23">
        <f>IF(X$3&lt;$I4,0,$G4*Assumptions!$E$11*INDEX(Assumptions!$B$24:$G$24,MIN(6,X$3-$I4+1))*IF(X$3&gt;$J4,(1-Assumptions!$B$26)^(X$3-$J4),1)*IF($H4&gt;=1,1,MIN(0.97,$H4*Assumptions!$E$12)))</f>
        <v>500.0</v>
      </c>
      <c r="Y4" s="23">
        <f>IF(Y$3&lt;$I4,0,$G4*Assumptions!$E$11*INDEX(Assumptions!$B$24:$G$24,MIN(6,Y$3-$I4+1))*IF(Y$3&gt;$J4,(1-Assumptions!$B$26)^(Y$3-$J4),1)*IF($H4&gt;=1,1,MIN(0.97,$H4*Assumptions!$E$12)))</f>
        <v>250.0</v>
      </c>
      <c r="Z4" s="23">
        <f>IF(Z$3&lt;$I4,0,$G4*Assumptions!$E$11*INDEX(Assumptions!$B$24:$G$24,MIN(6,Z$3-$I4+1))*IF(Z$3&gt;$J4,(1-Assumptions!$B$26)^(Z$3-$J4),1)*IF($H4&gt;=1,1,MIN(0.97,$H4*Assumptions!$E$12)))</f>
        <v>125.0</v>
      </c>
      <c r="AA4" s="23">
        <f>IF(AA$3&lt;$I4,0,$G4*Assumptions!$E$11*INDEX(Assumptions!$B$24:$G$24,MIN(6,AA$3-$I4+1))*IF(AA$3&gt;$J4,(1-Assumptions!$B$26)^(AA$3-$J4),1)*IF($H4&gt;=1,1,MIN(0.97,$H4*Assumptions!$E$12)))</f>
        <v>62.5</v>
      </c>
      <c r="AB4" s="23">
        <f>IF(AB$3&lt;$I4,0,$G4*Assumptions!$E$11*INDEX(Assumptions!$B$24:$G$24,MIN(6,AB$3-$I4+1))*IF(AB$3&gt;$J4,(1-Assumptions!$B$26)^(AB$3-$J4),1)*IF($H4&gt;=1,1,MIN(0.97,$H4*Assumptions!$E$12)))</f>
        <v>31.25</v>
      </c>
      <c r="AC4" s="23">
        <f>IF(AC$3&lt;$I4,0,$G4*Assumptions!$E$11*INDEX(Assumptions!$B$24:$G$24,MIN(6,AC$3-$I4+1))*IF(AC$3&gt;$J4,(1-Assumptions!$B$26)^(AC$3-$J4),1)*IF($H4&gt;=1,1,MIN(0.97,$H4*Assumptions!$E$12)))</f>
        <v>15.625</v>
      </c>
      <c r="AD4" s="23">
        <f>IF(AD$3&lt;$I4,0,$G4*Assumptions!$E$11*INDEX(Assumptions!$B$24:$G$24,MIN(6,AD$3-$I4+1))*IF(AD$3&gt;$J4,(1-Assumptions!$B$26)^(AD$3-$J4),1)*IF($H4&gt;=1,1,MIN(0.97,$H4*Assumptions!$E$12)))</f>
        <v>7.8125</v>
      </c>
      <c r="AE4" s="23">
        <f>IF(AE$3&lt;$I4,0,$G4*Assumptions!$E$11*INDEX(Assumptions!$B$24:$G$24,MIN(6,AE$3-$I4+1))*IF(AE$3&gt;$J4,(1-Assumptions!$B$26)^(AE$3-$J4),1)*IF($H4&gt;=1,1,MIN(0.97,$H4*Assumptions!$E$12)))</f>
        <v>3.90625</v>
      </c>
      <c r="AF4" s="23">
        <f>IF(AF$3&lt;$I4,0,$G4*Assumptions!$E$11*INDEX(Assumptions!$B$24:$G$24,MIN(6,AF$3-$I4+1))*IF(AF$3&gt;$J4,(1-Assumptions!$B$26)^(AF$3-$J4),1)*IF($H4&gt;=1,1,MIN(0.97,$H4*Assumptions!$E$12)))</f>
        <v>1.953125</v>
      </c>
      <c r="AG4" s="35">
        <f>IF(F4="Owned",1-IF(H4&gt;=1,1,MIN(0.97,H4*Assumptions!$E$12)),1)</f>
        <v>0.0</v>
      </c>
    </row>
    <row r="5">
      <c r="B5" s="24" t="inlineStr">
        <is>
          <t>Risked revenue</t>
        </is>
      </c>
      <c r="L5" s="54">
        <f>SUM(L4:L4)</f>
        <v>2278.2117158104397</v>
      </c>
      <c r="M5" s="54">
        <f>SUM(M4:M4)</f>
        <v>450.0</v>
      </c>
      <c r="N5" s="54">
        <f>SUM(N4:N4)</f>
        <v>650.0</v>
      </c>
      <c r="O5" s="54">
        <f>SUM(O4:O4)</f>
        <v>850.0</v>
      </c>
      <c r="P5" s="54">
        <f>SUM(P4:P4)</f>
        <v>1000.0</v>
      </c>
      <c r="Q5" s="54">
        <f>SUM(Q4:Q4)</f>
        <v>1000.0</v>
      </c>
      <c r="R5" s="54">
        <f>SUM(R4:R4)</f>
        <v>1000.0</v>
      </c>
      <c r="S5" s="54">
        <f>SUM(S4:S4)</f>
        <v>1000.0</v>
      </c>
      <c r="T5" s="54">
        <f>SUM(T4:T4)</f>
        <v>1000.0</v>
      </c>
      <c r="U5" s="54">
        <f>SUM(U4:U4)</f>
        <v>1000.0</v>
      </c>
      <c r="V5" s="54">
        <f>SUM(V4:V4)</f>
        <v>1000.0</v>
      </c>
      <c r="W5" s="54">
        <f>SUM(W4:W4)</f>
        <v>1000.0</v>
      </c>
      <c r="X5" s="54">
        <f>SUM(X4:X4)</f>
        <v>500.0</v>
      </c>
      <c r="Y5" s="54">
        <f>SUM(Y4:Y4)</f>
        <v>250.0</v>
      </c>
      <c r="Z5" s="54">
        <f>SUM(Z4:Z4)</f>
        <v>125.0</v>
      </c>
      <c r="AA5" s="54">
        <f>SUM(AA4:AA4)</f>
        <v>62.5</v>
      </c>
      <c r="AB5" s="54">
        <f>SUM(AB4:AB4)</f>
        <v>31.25</v>
      </c>
      <c r="AC5" s="54">
        <f>SUM(AC4:AC4)</f>
        <v>15.625</v>
      </c>
      <c r="AD5" s="54">
        <f>SUM(AD4:AD4)</f>
        <v>7.8125</v>
      </c>
      <c r="AE5" s="54">
        <f>SUM(AE4:AE4)</f>
        <v>3.90625</v>
      </c>
      <c r="AF5" s="54">
        <f>SUM(AF4:AF4)</f>
        <v>1.953125</v>
      </c>
    </row>
    <row r="6">
      <c r="B6" s="24" t="inlineStr">
        <is>
          <t>Risked contribution (revenue x share)</t>
        </is>
      </c>
      <c r="M6" s="55">
        <f>SUMPRODUCT(M4:M4,$K$4:$K$4)</f>
        <v>180.0</v>
      </c>
      <c r="N6" s="55">
        <f>SUMPRODUCT(N4:N4,$K$4:$K$4)</f>
        <v>260.0</v>
      </c>
      <c r="O6" s="55">
        <f>SUMPRODUCT(O4:O4,$K$4:$K$4)</f>
        <v>340.0</v>
      </c>
      <c r="P6" s="55">
        <f>SUMPRODUCT(P4:P4,$K$4:$K$4)</f>
        <v>400.0</v>
      </c>
      <c r="Q6" s="55">
        <f>SUMPRODUCT(Q4:Q4,$K$4:$K$4)</f>
        <v>400.0</v>
      </c>
      <c r="R6" s="55">
        <f>SUMPRODUCT(R4:R4,$K$4:$K$4)</f>
        <v>400.0</v>
      </c>
      <c r="S6" s="55">
        <f>SUMPRODUCT(S4:S4,$K$4:$K$4)</f>
        <v>400.0</v>
      </c>
      <c r="T6" s="55">
        <f>SUMPRODUCT(T4:T4,$K$4:$K$4)</f>
        <v>400.0</v>
      </c>
      <c r="U6" s="55">
        <f>SUMPRODUCT(U4:U4,$K$4:$K$4)</f>
        <v>400.0</v>
      </c>
      <c r="V6" s="55">
        <f>SUMPRODUCT(V4:V4,$K$4:$K$4)</f>
        <v>400.0</v>
      </c>
      <c r="W6" s="55">
        <f>SUMPRODUCT(W4:W4,$K$4:$K$4)</f>
        <v>400.0</v>
      </c>
      <c r="X6" s="55">
        <f>SUMPRODUCT(X4:X4,$K$4:$K$4)</f>
        <v>200.0</v>
      </c>
      <c r="Y6" s="55">
        <f>SUMPRODUCT(Y4:Y4,$K$4:$K$4)</f>
        <v>100.0</v>
      </c>
      <c r="Z6" s="55">
        <f>SUMPRODUCT(Z4:Z4,$K$4:$K$4)</f>
        <v>50.0</v>
      </c>
      <c r="AA6" s="55">
        <f>SUMPRODUCT(AA4:AA4,$K$4:$K$4)</f>
        <v>25.0</v>
      </c>
      <c r="AB6" s="55">
        <f>SUMPRODUCT(AB4:AB4,$K$4:$K$4)</f>
        <v>12.5</v>
      </c>
      <c r="AC6" s="55">
        <f>SUMPRODUCT(AC4:AC4,$K$4:$K$4)</f>
        <v>6.25</v>
      </c>
      <c r="AD6" s="55">
        <f>SUMPRODUCT(AD4:AD4,$K$4:$K$4)</f>
        <v>3.125</v>
      </c>
      <c r="AE6" s="55">
        <f>SUMPRODUCT(AE4:AE4,$K$4:$K$4)</f>
        <v>1.5625</v>
      </c>
      <c r="AF6" s="55">
        <f>SUMPRODUCT(AF4:AF4,$K$4:$K$4)</f>
        <v>0.78125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Geron Corporation: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450.0</v>
      </c>
      <c r="D4" s="57">
        <f>Pipeline!N5</f>
        <v>650.0</v>
      </c>
      <c r="E4" s="57">
        <f>Pipeline!O5</f>
        <v>850.0</v>
      </c>
      <c r="F4" s="57">
        <f>Pipeline!P5</f>
        <v>1000.0</v>
      </c>
      <c r="G4" s="57">
        <f>Pipeline!Q5</f>
        <v>1000.0</v>
      </c>
      <c r="H4" s="57">
        <f>Pipeline!R5</f>
        <v>1000.0</v>
      </c>
      <c r="I4" s="57">
        <f>Pipeline!S5</f>
        <v>1000.0</v>
      </c>
      <c r="J4" s="57">
        <f>Pipeline!T5</f>
        <v>1000.0</v>
      </c>
      <c r="K4" s="57">
        <f>Pipeline!U5</f>
        <v>1000.0</v>
      </c>
      <c r="L4" s="57">
        <f>Pipeline!V5</f>
        <v>1000.0</v>
      </c>
      <c r="M4" s="57">
        <f>Pipeline!W5</f>
        <v>1000.0</v>
      </c>
      <c r="N4" s="57">
        <f>Pipeline!X5</f>
        <v>500.0</v>
      </c>
      <c r="O4" s="57">
        <f>Pipeline!Y5</f>
        <v>250.0</v>
      </c>
      <c r="P4" s="57">
        <f>Pipeline!Z5</f>
        <v>125.0</v>
      </c>
      <c r="Q4" s="57">
        <f>Pipeline!AA5</f>
        <v>62.5</v>
      </c>
      <c r="R4" s="57">
        <f>Pipeline!AB5</f>
        <v>31.25</v>
      </c>
      <c r="S4" s="57">
        <f>Pipeline!AC5</f>
        <v>15.625</v>
      </c>
      <c r="T4" s="57">
        <f>Pipeline!AD5</f>
        <v>7.8125</v>
      </c>
      <c r="U4" s="57">
        <f>Pipeline!AE5</f>
        <v>3.90625</v>
      </c>
      <c r="V4" s="57">
        <f>Pipeline!AF5</f>
        <v>1.953125</v>
      </c>
    </row>
    <row r="5">
      <c r="A5" s="14" t="inlineStr">
        <is>
          <t>Risked contribution</t>
        </is>
      </c>
      <c r="C5" s="57">
        <f>Pipeline!M6</f>
        <v>180.0</v>
      </c>
      <c r="D5" s="57">
        <f>Pipeline!N6</f>
        <v>260.0</v>
      </c>
      <c r="E5" s="57">
        <f>Pipeline!O6</f>
        <v>340.0</v>
      </c>
      <c r="F5" s="57">
        <f>Pipeline!P6</f>
        <v>400.0</v>
      </c>
      <c r="G5" s="57">
        <f>Pipeline!Q6</f>
        <v>400.0</v>
      </c>
      <c r="H5" s="57">
        <f>Pipeline!R6</f>
        <v>400.0</v>
      </c>
      <c r="I5" s="57">
        <f>Pipeline!S6</f>
        <v>400.0</v>
      </c>
      <c r="J5" s="57">
        <f>Pipeline!T6</f>
        <v>400.0</v>
      </c>
      <c r="K5" s="57">
        <f>Pipeline!U6</f>
        <v>400.0</v>
      </c>
      <c r="L5" s="57">
        <f>Pipeline!V6</f>
        <v>400.0</v>
      </c>
      <c r="M5" s="57">
        <f>Pipeline!W6</f>
        <v>400.0</v>
      </c>
      <c r="N5" s="57">
        <f>Pipeline!X6</f>
        <v>200.0</v>
      </c>
      <c r="O5" s="57">
        <f>Pipeline!Y6</f>
        <v>100.0</v>
      </c>
      <c r="P5" s="57">
        <f>Pipeline!Z6</f>
        <v>50.0</v>
      </c>
      <c r="Q5" s="57">
        <f>Pipeline!AA6</f>
        <v>25.0</v>
      </c>
      <c r="R5" s="57">
        <f>Pipeline!AB6</f>
        <v>12.5</v>
      </c>
      <c r="S5" s="57">
        <f>Pipeline!AC6</f>
        <v>6.25</v>
      </c>
      <c r="T5" s="57">
        <f>Pipeline!AD6</f>
        <v>3.125</v>
      </c>
      <c r="U5" s="57">
        <f>Pipeline!AE6</f>
        <v>1.5625</v>
      </c>
      <c r="V5" s="57">
        <f>Pipeline!AF6</f>
        <v>0.78125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-51.765</v>
      </c>
      <c r="D6" s="23">
        <f>-IF(D3-2026&lt;Assumptions!$B$19,Assumptions!$B$18,Assumptions!$B$18*Assumptions!$B$20*Assumptions!$B$16)</f>
        <v>-15.529499999999999</v>
      </c>
      <c r="E6" s="23">
        <f>-IF(E3-2026&lt;Assumptions!$B$19,Assumptions!$B$18,Assumptions!$B$18*Assumptions!$B$20*Assumptions!$B$16)</f>
        <v>-15.529499999999999</v>
      </c>
      <c r="F6" s="23">
        <f>-IF(F3-2026&lt;Assumptions!$B$19,Assumptions!$B$18,Assumptions!$B$18*Assumptions!$B$20*Assumptions!$B$16)</f>
        <v>-15.529499999999999</v>
      </c>
      <c r="G6" s="23">
        <f>-IF(G3-2026&lt;Assumptions!$B$19,Assumptions!$B$18,Assumptions!$B$18*Assumptions!$B$20*Assumptions!$B$16)</f>
        <v>-15.529499999999999</v>
      </c>
      <c r="H6" s="23">
        <f>-IF(H3-2026&lt;Assumptions!$B$19,Assumptions!$B$18,Assumptions!$B$18*Assumptions!$B$20*Assumptions!$B$16)</f>
        <v>-15.529499999999999</v>
      </c>
      <c r="I6" s="23">
        <f>-IF(I3-2026&lt;Assumptions!$B$19,Assumptions!$B$18,Assumptions!$B$18*Assumptions!$B$20*Assumptions!$B$16)</f>
        <v>-15.529499999999999</v>
      </c>
      <c r="J6" s="23">
        <f>-IF(J3-2026&lt;Assumptions!$B$19,Assumptions!$B$18,Assumptions!$B$18*Assumptions!$B$20*Assumptions!$B$16)</f>
        <v>-15.529499999999999</v>
      </c>
      <c r="K6" s="23">
        <f>-IF(K3-2026&lt;Assumptions!$B$19,Assumptions!$B$18,Assumptions!$B$18*Assumptions!$B$20*Assumptions!$B$16)</f>
        <v>-15.529499999999999</v>
      </c>
      <c r="L6" s="23">
        <f>-IF(L3-2026&lt;Assumptions!$B$19,Assumptions!$B$18,Assumptions!$B$18*Assumptions!$B$20*Assumptions!$B$16)</f>
        <v>-15.529499999999999</v>
      </c>
      <c r="M6" s="23">
        <f>-IF(M3-2026&lt;Assumptions!$B$19,Assumptions!$B$18,Assumptions!$B$18*Assumptions!$B$20*Assumptions!$B$16)</f>
        <v>-15.529499999999999</v>
      </c>
      <c r="N6" s="23">
        <f>-IF(N3-2026&lt;Assumptions!$B$19,Assumptions!$B$18,Assumptions!$B$18*Assumptions!$B$20*Assumptions!$B$16)</f>
        <v>-15.529499999999999</v>
      </c>
      <c r="O6" s="23">
        <f>-IF(O3-2026&lt;Assumptions!$B$19,Assumptions!$B$18,Assumptions!$B$18*Assumptions!$B$20*Assumptions!$B$16)</f>
        <v>-15.529499999999999</v>
      </c>
      <c r="P6" s="23">
        <f>-IF(P3-2026&lt;Assumptions!$B$19,Assumptions!$B$18,Assumptions!$B$18*Assumptions!$B$20*Assumptions!$B$16)</f>
        <v>-15.529499999999999</v>
      </c>
      <c r="Q6" s="23">
        <f>-IF(Q3-2026&lt;Assumptions!$B$19,Assumptions!$B$18,Assumptions!$B$18*Assumptions!$B$20*Assumptions!$B$16)</f>
        <v>-15.529499999999999</v>
      </c>
      <c r="R6" s="23">
        <f>-IF(R3-2026&lt;Assumptions!$B$19,Assumptions!$B$18,Assumptions!$B$18*Assumptions!$B$20*Assumptions!$B$16)</f>
        <v>-15.529499999999999</v>
      </c>
      <c r="S6" s="23">
        <f>-IF(S3-2026&lt;Assumptions!$B$19,Assumptions!$B$18,Assumptions!$B$18*Assumptions!$B$20*Assumptions!$B$16)</f>
        <v>-15.529499999999999</v>
      </c>
      <c r="T6" s="23">
        <f>-IF(T3-2026&lt;Assumptions!$B$19,Assumptions!$B$18,Assumptions!$B$18*Assumptions!$B$20*Assumptions!$B$16)</f>
        <v>-15.529499999999999</v>
      </c>
      <c r="U6" s="23">
        <f>-IF(U3-2026&lt;Assumptions!$B$19,Assumptions!$B$18,Assumptions!$B$18*Assumptions!$B$20*Assumptions!$B$16)</f>
        <v>-15.529499999999999</v>
      </c>
      <c r="V6" s="23">
        <f>-IF(V3-2026&lt;Assumptions!$B$19,Assumptions!$B$18,Assumptions!$B$18*Assumptions!$B$20*Assumptions!$B$16)</f>
        <v>-15.529499999999999</v>
      </c>
    </row>
    <row r="7">
      <c r="A7" s="14" t="inlineStr">
        <is>
          <t>Pre-tax cash flow</t>
        </is>
      </c>
      <c r="C7" s="23">
        <f>C5+C6</f>
        <v>128.235</v>
      </c>
      <c r="D7" s="23">
        <f>D5+D6</f>
        <v>244.47050000000002</v>
      </c>
      <c r="E7" s="23">
        <f>E5+E6</f>
        <v>324.4705</v>
      </c>
      <c r="F7" s="23">
        <f>F5+F6</f>
        <v>384.4705</v>
      </c>
      <c r="G7" s="23">
        <f>G5+G6</f>
        <v>384.4705</v>
      </c>
      <c r="H7" s="23">
        <f>H5+H6</f>
        <v>384.4705</v>
      </c>
      <c r="I7" s="23">
        <f>I5+I6</f>
        <v>384.4705</v>
      </c>
      <c r="J7" s="23">
        <f>J5+J6</f>
        <v>384.4705</v>
      </c>
      <c r="K7" s="23">
        <f>K5+K6</f>
        <v>384.4705</v>
      </c>
      <c r="L7" s="23">
        <f>L5+L6</f>
        <v>384.4705</v>
      </c>
      <c r="M7" s="23">
        <f>M5+M6</f>
        <v>384.4705</v>
      </c>
      <c r="N7" s="23">
        <f>N5+N6</f>
        <v>184.47050000000002</v>
      </c>
      <c r="O7" s="23">
        <f>O5+O6</f>
        <v>84.4705</v>
      </c>
      <c r="P7" s="23">
        <f>P5+P6</f>
        <v>34.4705</v>
      </c>
      <c r="Q7" s="23">
        <f>Q5+Q6</f>
        <v>9.470500000000001</v>
      </c>
      <c r="R7" s="23">
        <f>R5+R6</f>
        <v>-3.0294999999999987</v>
      </c>
      <c r="S7" s="23">
        <f>S5+S6</f>
        <v>-9.279499999999999</v>
      </c>
      <c r="T7" s="23">
        <f>T5+T6</f>
        <v>-12.404499999999999</v>
      </c>
      <c r="U7" s="23">
        <f>U5+U6</f>
        <v>-13.966999999999999</v>
      </c>
      <c r="V7" s="23">
        <f>V5+V6</f>
        <v>-14.748249999999999</v>
      </c>
    </row>
    <row r="8">
      <c r="A8" s="14" t="inlineStr">
        <is>
          <t>Tax-loss carryforward used</t>
        </is>
      </c>
      <c r="C8" s="23">
        <f>MIN(Assumptions!$B$21,MAX(0,C7))</f>
        <v>128.235</v>
      </c>
      <c r="D8" s="23">
        <f>MIN(C17,MAX(0,D7))</f>
        <v>244.47050000000002</v>
      </c>
      <c r="E8" s="23">
        <f>MIN(D17,MAX(0,E7))</f>
        <v>324.4705</v>
      </c>
      <c r="F8" s="23">
        <f>MIN(E17,MAX(0,F7))</f>
        <v>384.4705</v>
      </c>
      <c r="G8" s="23">
        <f>MIN(F17,MAX(0,G7))</f>
        <v>268.5535000000001</v>
      </c>
      <c r="H8" s="23">
        <f>MIN(G17,MAX(0,H7))</f>
        <v>0.0</v>
      </c>
      <c r="I8" s="23">
        <f>MIN(H17,MAX(0,I7))</f>
        <v>0.0</v>
      </c>
      <c r="J8" s="23">
        <f>MIN(I17,MAX(0,J7))</f>
        <v>0.0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</v>
      </c>
      <c r="T8" s="23">
        <f>MIN(S17,MAX(0,T7))</f>
        <v>0</v>
      </c>
      <c r="U8" s="23">
        <f>MIN(T17,MAX(0,U7))</f>
        <v>0</v>
      </c>
      <c r="V8" s="23">
        <f>MIN(U17,MAX(0,V7))</f>
        <v>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115.91699999999992</v>
      </c>
      <c r="H9" s="23">
        <f>MAX(0,H7)-H8</f>
        <v>384.4705</v>
      </c>
      <c r="I9" s="23">
        <f>MAX(0,I7)-I8</f>
        <v>384.4705</v>
      </c>
      <c r="J9" s="23">
        <f>MAX(0,J7)-J8</f>
        <v>384.4705</v>
      </c>
      <c r="K9" s="23">
        <f>MAX(0,K7)-K8</f>
        <v>384.4705</v>
      </c>
      <c r="L9" s="23">
        <f>MAX(0,L7)-L8</f>
        <v>384.4705</v>
      </c>
      <c r="M9" s="23">
        <f>MAX(0,M7)-M8</f>
        <v>384.4705</v>
      </c>
      <c r="N9" s="23">
        <f>MAX(0,N7)-N8</f>
        <v>184.47050000000002</v>
      </c>
      <c r="O9" s="23">
        <f>MAX(0,O7)-O8</f>
        <v>84.4705</v>
      </c>
      <c r="P9" s="23">
        <f>MAX(0,P7)-P8</f>
        <v>34.4705</v>
      </c>
      <c r="Q9" s="23">
        <f>MAX(0,Q7)-Q8</f>
        <v>9.470500000000001</v>
      </c>
      <c r="R9" s="23">
        <f>MAX(0,R7)-R8</f>
        <v>0.0</v>
      </c>
      <c r="S9" s="23">
        <f>MAX(0,S7)-S8</f>
        <v>0.0</v>
      </c>
      <c r="T9" s="23">
        <f>MAX(0,T7)-T8</f>
        <v>0.0</v>
      </c>
      <c r="U9" s="23">
        <f>MAX(0,U7)-U8</f>
        <v>0.0</v>
      </c>
      <c r="V9" s="23">
        <f>MAX(0,V7)-V8</f>
        <v>0.0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24.34256999999998</v>
      </c>
      <c r="H10" s="23">
        <f>H9*Assumptions!$E$15</f>
        <v>80.738805</v>
      </c>
      <c r="I10" s="23">
        <f>I9*Assumptions!$E$15</f>
        <v>80.738805</v>
      </c>
      <c r="J10" s="23">
        <f>J9*Assumptions!$E$15</f>
        <v>80.738805</v>
      </c>
      <c r="K10" s="23">
        <f>K9*Assumptions!$E$15</f>
        <v>80.738805</v>
      </c>
      <c r="L10" s="23">
        <f>L9*Assumptions!$E$15</f>
        <v>80.738805</v>
      </c>
      <c r="M10" s="23">
        <f>M9*Assumptions!$E$15</f>
        <v>80.738805</v>
      </c>
      <c r="N10" s="23">
        <f>N9*Assumptions!$E$15</f>
        <v>38.738805</v>
      </c>
      <c r="O10" s="23">
        <f>O9*Assumptions!$E$15</f>
        <v>17.738805</v>
      </c>
      <c r="P10" s="23">
        <f>P9*Assumptions!$E$15</f>
        <v>7.238805</v>
      </c>
      <c r="Q10" s="23">
        <f>Q9*Assumptions!$E$15</f>
        <v>1.9888050000000002</v>
      </c>
      <c r="R10" s="23">
        <f>R9*Assumptions!$E$15</f>
        <v>0.0</v>
      </c>
      <c r="S10" s="23">
        <f>S9*Assumptions!$E$15</f>
        <v>0.0</v>
      </c>
      <c r="T10" s="23">
        <f>T9*Assumptions!$E$15</f>
        <v>0.0</v>
      </c>
      <c r="U10" s="23">
        <f>U9*Assumptions!$E$15</f>
        <v>0.0</v>
      </c>
      <c r="V10" s="23">
        <f>V9*Assumptions!$E$15</f>
        <v>0.0</v>
      </c>
    </row>
    <row r="11">
      <c r="A11" s="24" t="inlineStr">
        <is>
          <t>Free cash flow</t>
        </is>
      </c>
      <c r="C11" s="55">
        <f>C7-C10</f>
        <v>128.235</v>
      </c>
      <c r="D11" s="55">
        <f>D7-D10</f>
        <v>244.47050000000002</v>
      </c>
      <c r="E11" s="55">
        <f>E7-E10</f>
        <v>324.4705</v>
      </c>
      <c r="F11" s="55">
        <f>F7-F10</f>
        <v>384.4705</v>
      </c>
      <c r="G11" s="55">
        <f>G7-G10</f>
        <v>360.12793000000005</v>
      </c>
      <c r="H11" s="55">
        <f>H7-H10</f>
        <v>303.731695</v>
      </c>
      <c r="I11" s="55">
        <f>I7-I10</f>
        <v>303.731695</v>
      </c>
      <c r="J11" s="55">
        <f>J7-J10</f>
        <v>303.731695</v>
      </c>
      <c r="K11" s="55">
        <f>K7-K10</f>
        <v>303.731695</v>
      </c>
      <c r="L11" s="55">
        <f>L7-L10</f>
        <v>303.731695</v>
      </c>
      <c r="M11" s="55">
        <f>M7-M10</f>
        <v>303.731695</v>
      </c>
      <c r="N11" s="55">
        <f>N7-N10</f>
        <v>145.731695</v>
      </c>
      <c r="O11" s="55">
        <f>O7-O10</f>
        <v>66.731695</v>
      </c>
      <c r="P11" s="55">
        <f>P7-P10</f>
        <v>27.231695000000002</v>
      </c>
      <c r="Q11" s="55">
        <f>Q7-Q10</f>
        <v>7.481695000000001</v>
      </c>
      <c r="R11" s="55">
        <f>R7-R10</f>
        <v>-3.0294999999999987</v>
      </c>
      <c r="S11" s="55">
        <f>S7-S10</f>
        <v>-9.279499999999999</v>
      </c>
      <c r="T11" s="55">
        <f>T7-T10</f>
        <v>-12.404499999999999</v>
      </c>
      <c r="U11" s="55">
        <f>U7-U10</f>
        <v>-13.966999999999999</v>
      </c>
      <c r="V11" s="55">
        <f>V7-V10</f>
        <v>-14.748249999999999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62.82288419589509</v>
      </c>
      <c r="D16" s="55">
        <f>D11*D15</f>
        <v>218.17583370777177</v>
      </c>
      <c r="E16" s="55">
        <f>E11*E15</f>
        <v>258.5457354739176</v>
      </c>
      <c r="F16" s="55">
        <f>F11*F15</f>
        <v>273.5313825319274</v>
      </c>
      <c r="G16" s="55">
        <f>G11*G15</f>
        <v>228.7614918747741</v>
      </c>
      <c r="H16" s="55">
        <f>H11*H15</f>
        <v>172.2654593432897</v>
      </c>
      <c r="I16" s="55">
        <f>I11*I15</f>
        <v>153.80844584222294</v>
      </c>
      <c r="J16" s="55">
        <f>J11*J15</f>
        <v>137.32896950198477</v>
      </c>
      <c r="K16" s="55">
        <f>K11*K15</f>
        <v>122.61515134105778</v>
      </c>
      <c r="L16" s="55">
        <f>L11*L15</f>
        <v>109.47781369737302</v>
      </c>
      <c r="M16" s="55">
        <f>M11*M15</f>
        <v>97.74804794408304</v>
      </c>
      <c r="N16" s="55">
        <f>N11*N15</f>
        <v>41.87491832057003</v>
      </c>
      <c r="O16" s="55">
        <f>O11*O15</f>
        <v>17.12040721182728</v>
      </c>
      <c r="P16" s="55">
        <f>P11*P15</f>
        <v>6.237902547500652</v>
      </c>
      <c r="Q16" s="55">
        <f>Q11*Q15</f>
        <v>1.5301918637495655</v>
      </c>
      <c r="R16" s="55">
        <f>R11*R15</f>
        <v>-0.5532212108578368</v>
      </c>
      <c r="S16" s="55">
        <f>S11*S15</f>
        <v>-1.5129842931870232</v>
      </c>
      <c r="T16" s="55">
        <f>T11*T15</f>
        <v>-1.805805968690434</v>
      </c>
      <c r="U16" s="55">
        <f>U11*U15</f>
        <v>-1.8154192289591977</v>
      </c>
      <c r="V16" s="55">
        <f>V11*V15</f>
        <v>-1.7115763076420876</v>
      </c>
    </row>
    <row r="17">
      <c r="A17" s="14" t="inlineStr">
        <is>
          <t>Tax-loss carryforward, end of year</t>
        </is>
      </c>
      <c r="C17" s="23">
        <f>Assumptions!$B$21-C8+MAX(0,-C7)</f>
        <v>1221.9650000000001</v>
      </c>
      <c r="D17" s="23">
        <f>C17-D8+MAX(0,-D7)</f>
        <v>977.4945000000001</v>
      </c>
      <c r="E17" s="23">
        <f>D17-E8+MAX(0,-E7)</f>
        <v>653.0240000000001</v>
      </c>
      <c r="F17" s="23">
        <f>E17-F8+MAX(0,-F7)</f>
        <v>268.5535000000001</v>
      </c>
      <c r="G17" s="23">
        <f>F17-G8+MAX(0,-G7)</f>
        <v>0.0</v>
      </c>
      <c r="H17" s="23">
        <f>G17-H8+MAX(0,-H7)</f>
        <v>0.0</v>
      </c>
      <c r="I17" s="23">
        <f>H17-I8+MAX(0,-I7)</f>
        <v>0.0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3.0294999999999987</v>
      </c>
      <c r="S17" s="23">
        <f>R17-S8+MAX(0,-S7)</f>
        <v>12.308999999999997</v>
      </c>
      <c r="T17" s="23">
        <f>S17-T8+MAX(0,-T7)</f>
        <v>24.713499999999996</v>
      </c>
      <c r="U17" s="23">
        <f>T17-U8+MAX(0,-U7)</f>
        <v>38.680499999999995</v>
      </c>
      <c r="V17" s="23">
        <f>U17-V8+MAX(0,-V7)</f>
        <v>53.428749999999994</v>
      </c>
    </row>
    <row r="19">
      <c r="A19" s="14" t="inlineStr">
        <is>
          <t>PV of risked pipeline contribution</t>
        </is>
      </c>
      <c r="B19" s="23">
        <f>SUMPRODUCT(C5:V5,C15:V15)</f>
        <v>2278.2117158104393</v>
      </c>
    </row>
    <row r="20">
      <c r="A20" s="14" t="inlineStr">
        <is>
          <t>PV of corporate burn</t>
        </is>
      </c>
      <c r="B20" s="23">
        <f>SUMPRODUCT(C6:V6,C15:V15)</f>
        <v>-139.69359314046247</v>
      </c>
    </row>
    <row r="21">
      <c r="A21" s="14" t="inlineStr">
        <is>
          <t>PV of taxes</t>
        </is>
      </c>
      <c r="B21" s="23">
        <f>-SUMPRODUCT(C10:V10,C15:V15)</f>
        <v>-244.07249428136873</v>
      </c>
    </row>
    <row r="22">
      <c r="A22" s="24" t="inlineStr">
        <is>
          <t>Pipeline rNPV (operations)</t>
        </is>
      </c>
      <c r="B22" s="54">
        <f>SUM(C16:V16)</f>
        <v>1894.4456283886084</v>
      </c>
    </row>
    <row r="23">
      <c r="A23" s="14" t="inlineStr">
        <is>
          <t>Cash &amp; investments</t>
        </is>
      </c>
      <c r="B23" s="57">
        <f>Main!C7</f>
        <v>300.849</v>
      </c>
    </row>
    <row r="24">
      <c r="A24" s="14" t="inlineStr">
        <is>
          <t>Debt</t>
        </is>
      </c>
      <c r="B24" s="57">
        <f>Main!C8</f>
        <v>120.131</v>
      </c>
    </row>
    <row r="25">
      <c r="A25" s="24" t="inlineStr">
        <is>
          <t>Equity value</t>
        </is>
      </c>
      <c r="B25" s="54">
        <f>B22+B23-B24</f>
        <v>2075.1636283886087</v>
      </c>
    </row>
    <row r="26">
      <c r="A26" s="14" t="inlineStr">
        <is>
          <t>Shares (mm)</t>
        </is>
      </c>
      <c r="B26" s="57">
        <f>Main!C4</f>
        <v>642.473409</v>
      </c>
    </row>
    <row r="27">
      <c r="A27" s="24" t="inlineStr">
        <is>
          <t>rNPV / share</t>
        </is>
      </c>
      <c r="B27" s="60">
        <f>B25/B26</f>
        <v>3.22996033659754</v>
      </c>
    </row>
    <row r="28">
      <c r="A28" s="14" t="inlineStr">
        <is>
          <t>Price</t>
        </is>
      </c>
      <c r="B28" s="61">
        <f>Main!C3</f>
        <v>1.24</v>
      </c>
    </row>
    <row r="29">
      <c r="A29" s="14" t="inlineStr">
        <is>
          <t>Upside</t>
        </is>
      </c>
      <c r="B29" s="62">
        <f>B27/B28-1</f>
        <v>1.604806723062532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2026-10-21T06:24:29Z</dcterms:modified>
  <cp:lastModifiedBy>Wang, Eric</cp:lastModifiedBy>
</cp:coreProperties>
</file>