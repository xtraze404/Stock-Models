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Geron Corporation</t>
        </is>
      </c>
      <c r="C2" s="10" t="n"/>
    </row>
    <row r="3">
      <c r="B3" t="inlineStr">
        <is>
          <t>Price</t>
        </is>
      </c>
      <c r="C3" s="11">
        <f>INDEX([1]Pharma!$F$1:$F$1000,MATCH("GERN",[1]Pharma!$B$1:$B$1000,0))</f>
        <v>1.24</v>
      </c>
      <c r="F3" s="1" t="n"/>
    </row>
    <row r="4">
      <c r="B4" t="inlineStr">
        <is>
          <t>Shares</t>
        </is>
      </c>
      <c r="C4" s="21" t="n">
        <v>642.4734089999999</v>
      </c>
      <c r="F4" s="1" t="n"/>
    </row>
    <row r="5">
      <c r="B5" t="inlineStr">
        <is>
          <t>Market Cap.</t>
        </is>
      </c>
      <c r="C5" s="13">
        <f>C3*C4</f>
        <v>796.66702716</v>
      </c>
      <c r="F5" s="1" t="n"/>
    </row>
    <row r="6"/>
    <row r="7">
      <c r="B7" t="inlineStr">
        <is>
          <t>Cash</t>
        </is>
      </c>
      <c r="C7" s="21">
        <f>62.643+238.206</f>
        <v>300.849</v>
      </c>
    </row>
    <row r="8">
      <c r="B8" t="inlineStr">
        <is>
          <t>Debt</t>
        </is>
      </c>
      <c r="C8" s="21" t="n">
        <v>120.131</v>
      </c>
    </row>
    <row r="9">
      <c r="B9" t="inlineStr">
        <is>
          <t>Enterprise V.</t>
        </is>
      </c>
      <c r="C9" s="13">
        <f>C5-C7+C8</f>
        <v>615.94902716</v>
      </c>
    </row>
    <row r="10"/>
    <row r="11">
      <c r="B11" s="14" t="inlineStr">
        <is>
          <t>Net Cash / Share</t>
        </is>
      </c>
      <c r="C11" s="11">
        <f>(C7-C8)/C4</f>
        <v>0.28128479322013467</v>
      </c>
    </row>
    <row r="12">
      <c r="B12" s="14" t="inlineStr">
        <is>
          <t>Upside</t>
        </is>
      </c>
      <c r="C12" s="15">
        <f>IFERROR(C11/C3-1,"")</f>
        <v>-0.7731574248224721</v>
      </c>
    </row>
    <row r="13">
      <c r="B13" s="14" t="inlineStr">
        <is>
          <t>Cash / Share</t>
        </is>
      </c>
      <c r="C13" s="11">
        <f>IFERROR((C7-C8)/C4,"")</f>
        <v>0.28128479322013467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-114.376</v>
      </c>
    </row>
    <row r="18">
      <c r="B18" s="14" t="inlineStr">
        <is>
          <t>Runway (years)</t>
        </is>
      </c>
      <c r="C18" s="22">
        <f>IF(AND(ISNUMBER(C17),C17&lt;0),IF(C7&gt;C8,(C7-C8)/-C17,"net debt"),"n/a")</f>
        <v>1.5800342729243895</v>
      </c>
    </row>
    <row r="19">
      <c r="B19" s="14" t="inlineStr">
        <is>
          <t>Implied Pipeline Value</t>
        </is>
      </c>
      <c r="C19" s="13">
        <f>C9</f>
        <v>615.94902716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2009</v>
      </c>
      <c r="C1" s="17" t="n">
        <v>2010</v>
      </c>
      <c r="D1" s="17" t="n">
        <v>2011</v>
      </c>
      <c r="E1" s="17" t="n">
        <v>2012</v>
      </c>
      <c r="F1" s="17" t="n">
        <v>2013</v>
      </c>
      <c r="G1" s="17" t="n">
        <v>2014</v>
      </c>
      <c r="H1" s="17" t="n">
        <v>2015</v>
      </c>
      <c r="I1" s="17" t="n">
        <v>2016</v>
      </c>
      <c r="J1" s="17" t="n">
        <v>2017</v>
      </c>
      <c r="K1" s="17" t="n">
        <v>2018</v>
      </c>
      <c r="L1" s="17" t="n">
        <v>2019</v>
      </c>
      <c r="M1" s="17" t="n">
        <v>2020</v>
      </c>
      <c r="N1" s="17" t="n">
        <v>2021</v>
      </c>
      <c r="O1" s="17" t="n">
        <v>2022</v>
      </c>
      <c r="P1" s="17" t="n">
        <v>2023</v>
      </c>
      <c r="Q1" s="17" t="n">
        <v>2024</v>
      </c>
      <c r="R1" s="17" t="n">
        <v>2025</v>
      </c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1.726</v>
      </c>
      <c r="C2" s="23" t="n">
        <v>3.563</v>
      </c>
      <c r="D2" s="23" t="n">
        <v>2.438</v>
      </c>
      <c r="E2" s="23" t="n">
        <v>2.709</v>
      </c>
      <c r="F2" s="23" t="n">
        <v>1.283</v>
      </c>
      <c r="G2" s="23" t="n">
        <v>1.153</v>
      </c>
      <c r="H2" s="23" t="n">
        <v>36.371</v>
      </c>
      <c r="I2" s="23" t="n">
        <v>6.162</v>
      </c>
      <c r="J2" s="23" t="n">
        <v>1.065</v>
      </c>
      <c r="K2" s="23" t="n">
        <v>1.066</v>
      </c>
      <c r="L2" s="23" t="n">
        <v>0.46</v>
      </c>
      <c r="M2" s="23" t="n">
        <v>0.253</v>
      </c>
      <c r="N2" s="23" t="n">
        <v>1.393</v>
      </c>
      <c r="O2" s="23" t="n">
        <v>0.596</v>
      </c>
      <c r="P2" s="23" t="n">
        <v>0.237</v>
      </c>
      <c r="Q2" s="23" t="n">
        <v>0</v>
      </c>
      <c r="R2" s="23" t="n">
        <v>0</v>
      </c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23" t="n">
        <v>0</v>
      </c>
      <c r="J3" s="23" t="n">
        <v>0</v>
      </c>
      <c r="K3" s="23" t="n">
        <v>0</v>
      </c>
      <c r="L3" s="23" t="n">
        <v>0</v>
      </c>
      <c r="M3" s="23" t="n">
        <v>0</v>
      </c>
      <c r="N3" s="23" t="n">
        <v>0</v>
      </c>
      <c r="O3" s="23" t="n">
        <v>0</v>
      </c>
      <c r="P3" s="23" t="n">
        <v>0</v>
      </c>
      <c r="Q3" s="23" t="n">
        <v>0</v>
      </c>
      <c r="R3" s="23" t="n">
        <v>0</v>
      </c>
    </row>
    <row r="4" customFormat="1" s="1">
      <c r="A4" s="5" t="inlineStr">
        <is>
          <t>Gross Margin</t>
        </is>
      </c>
      <c r="B4" s="23">
        <f>B2-B3</f>
        <v>1.726</v>
      </c>
      <c r="C4" s="23">
        <f>C2-C3</f>
        <v>3.563</v>
      </c>
      <c r="D4" s="23">
        <f>D2-D3</f>
        <v>2.438</v>
      </c>
      <c r="E4" s="23">
        <f>E2-E3</f>
        <v>2.709</v>
      </c>
      <c r="F4" s="23">
        <f>F2-F3</f>
        <v>1.283</v>
      </c>
      <c r="G4" s="23">
        <f>G2-G3</f>
        <v>1.153</v>
      </c>
      <c r="H4" s="23">
        <f>H2-H3</f>
        <v>36.371</v>
      </c>
      <c r="I4" s="23">
        <f>I2-I3</f>
        <v>6.162</v>
      </c>
      <c r="J4" s="23">
        <f>J2-J3</f>
        <v>1.065</v>
      </c>
      <c r="K4" s="23">
        <f>K2-K3</f>
        <v>1.066</v>
      </c>
      <c r="L4" s="23">
        <f>L2-L3</f>
        <v>0.46</v>
      </c>
      <c r="M4" s="23">
        <f>M2-M3</f>
        <v>0.253</v>
      </c>
      <c r="N4" s="23">
        <f>N2-N3</f>
        <v>1.393</v>
      </c>
      <c r="O4" s="23">
        <f>O2-O3</f>
        <v>0.596</v>
      </c>
      <c r="P4" s="23">
        <f>P2-P3</f>
        <v>0.237</v>
      </c>
      <c r="Q4" s="23">
        <f>Q2-Q3</f>
        <v>0.0</v>
      </c>
      <c r="R4" s="23">
        <f>R2-R3</f>
        <v>0.0</v>
      </c>
    </row>
    <row r="5">
      <c r="A5" s="2" t="inlineStr">
        <is>
          <t>Research &amp; Dev.</t>
        </is>
      </c>
      <c r="B5" s="23" t="n">
        <v>57.617</v>
      </c>
      <c r="C5" s="23" t="n">
        <v>61.687</v>
      </c>
      <c r="D5" s="23" t="n">
        <v>69.316</v>
      </c>
      <c r="E5" s="23" t="n">
        <v>51.368</v>
      </c>
      <c r="F5" s="23" t="n">
        <v>23.155</v>
      </c>
      <c r="G5" s="23" t="n">
        <v>20.707</v>
      </c>
      <c r="H5" s="23" t="n">
        <v>17.831</v>
      </c>
      <c r="I5" s="23" t="n">
        <v>18.047</v>
      </c>
      <c r="J5" s="23" t="n">
        <v>11.033</v>
      </c>
      <c r="K5" s="23" t="n">
        <v>13.432</v>
      </c>
      <c r="L5" s="23" t="n">
        <v>52.072</v>
      </c>
      <c r="M5" s="23" t="n">
        <v>51.488</v>
      </c>
      <c r="N5" s="23" t="n">
        <v>85.727</v>
      </c>
      <c r="O5" s="23" t="n">
        <v>95.518</v>
      </c>
      <c r="P5" s="23" t="n">
        <v>125.046</v>
      </c>
      <c r="Q5" s="23" t="n">
        <v>103.738</v>
      </c>
      <c r="R5" s="23" t="n">
        <v>71.43300000000001</v>
      </c>
    </row>
    <row r="6">
      <c r="A6" s="19" t="inlineStr">
        <is>
          <t>SG&amp;A &amp; Other</t>
        </is>
      </c>
      <c r="B6" s="23" t="n">
        <v>14.343</v>
      </c>
      <c r="C6" s="23" t="n">
        <v>53.043</v>
      </c>
      <c r="D6" s="23" t="n">
        <v>29.238</v>
      </c>
      <c r="E6" s="23" t="n">
        <v>23.099</v>
      </c>
      <c r="F6" s="23" t="n">
        <v>17.086</v>
      </c>
      <c r="G6" s="23" t="n">
        <v>16.758</v>
      </c>
      <c r="H6" s="23" t="n">
        <v>19.099</v>
      </c>
      <c r="I6" s="23" t="n">
        <v>18.761</v>
      </c>
      <c r="J6" s="23" t="n">
        <v>19.287</v>
      </c>
      <c r="K6" s="23" t="n">
        <v>18.707</v>
      </c>
      <c r="L6" s="23" t="n">
        <v>20.893</v>
      </c>
      <c r="M6" s="23" t="n">
        <v>25.678</v>
      </c>
      <c r="N6" s="23" t="n">
        <v>29.665</v>
      </c>
      <c r="O6" s="23" t="n">
        <v>43.628</v>
      </c>
      <c r="P6" s="23" t="n">
        <v>69.13500000000001</v>
      </c>
      <c r="Q6" s="23" t="n">
        <v>69.994</v>
      </c>
      <c r="R6" s="23" t="n">
        <v>-2.848</v>
      </c>
    </row>
    <row r="7">
      <c r="A7" s="2" t="inlineStr">
        <is>
          <t>Operating Expense</t>
        </is>
      </c>
      <c r="B7" s="23">
        <f>SUM(B5:B6)</f>
        <v>71.96</v>
      </c>
      <c r="C7" s="23">
        <f>SUM(C5:C6)</f>
        <v>114.72999999999999</v>
      </c>
      <c r="D7" s="23">
        <f>SUM(D5:D6)</f>
        <v>98.554</v>
      </c>
      <c r="E7" s="23">
        <f>SUM(E5:E6)</f>
        <v>74.467</v>
      </c>
      <c r="F7" s="23">
        <f>SUM(F5:F6)</f>
        <v>40.241</v>
      </c>
      <c r="G7" s="23">
        <f>SUM(G5:G6)</f>
        <v>37.465</v>
      </c>
      <c r="H7" s="23">
        <f>SUM(H5:H6)</f>
        <v>36.93</v>
      </c>
      <c r="I7" s="23">
        <f>SUM(I5:I6)</f>
        <v>36.808</v>
      </c>
      <c r="J7" s="23">
        <f>SUM(J5:J6)</f>
        <v>30.32</v>
      </c>
      <c r="K7" s="23">
        <f>SUM(K5:K6)</f>
        <v>32.139</v>
      </c>
      <c r="L7" s="23">
        <f>SUM(L5:L6)</f>
        <v>72.965</v>
      </c>
      <c r="M7" s="23">
        <f>SUM(M5:M6)</f>
        <v>77.166</v>
      </c>
      <c r="N7" s="23">
        <f>SUM(N5:N6)</f>
        <v>115.392</v>
      </c>
      <c r="O7" s="23">
        <f>SUM(O5:O6)</f>
        <v>139.14600000000002</v>
      </c>
      <c r="P7" s="23">
        <f>SUM(P5:P6)</f>
        <v>194.181</v>
      </c>
      <c r="Q7" s="23">
        <f>SUM(Q5:Q6)</f>
        <v>173.732</v>
      </c>
      <c r="R7" s="23">
        <f>SUM(R5:R6)</f>
        <v>68.58500000000001</v>
      </c>
    </row>
    <row r="8">
      <c r="A8" s="2" t="inlineStr">
        <is>
          <t>Operating Income</t>
        </is>
      </c>
      <c r="B8" s="23">
        <f>B4-B7</f>
        <v>-70.234</v>
      </c>
      <c r="C8" s="23">
        <f>C4-C7</f>
        <v>-111.16699999999999</v>
      </c>
      <c r="D8" s="23">
        <f>D4-D7</f>
        <v>-96.116</v>
      </c>
      <c r="E8" s="23">
        <f>E4-E7</f>
        <v>-71.758</v>
      </c>
      <c r="F8" s="23">
        <f>F4-F7</f>
        <v>-38.958</v>
      </c>
      <c r="G8" s="23">
        <f>G4-G7</f>
        <v>-36.312000000000005</v>
      </c>
      <c r="H8" s="23">
        <f>H4-H7</f>
        <v>-0.5589999999999975</v>
      </c>
      <c r="I8" s="23">
        <f>I4-I7</f>
        <v>-30.646</v>
      </c>
      <c r="J8" s="23">
        <f>J4-J7</f>
        <v>-29.255</v>
      </c>
      <c r="K8" s="23">
        <f>K4-K7</f>
        <v>-31.073000000000004</v>
      </c>
      <c r="L8" s="23">
        <f>L4-L7</f>
        <v>-72.50500000000001</v>
      </c>
      <c r="M8" s="23">
        <f>M4-M7</f>
        <v>-76.913</v>
      </c>
      <c r="N8" s="23">
        <f>N4-N7</f>
        <v>-113.999</v>
      </c>
      <c r="O8" s="23">
        <f>O4-O7</f>
        <v>-138.55</v>
      </c>
      <c r="P8" s="23">
        <f>P4-P7</f>
        <v>-193.94400000000002</v>
      </c>
      <c r="Q8" s="23">
        <f>Q4-Q7</f>
        <v>-173.732</v>
      </c>
      <c r="R8" s="23">
        <f>R4-R7</f>
        <v>-68.58500000000001</v>
      </c>
    </row>
    <row r="9">
      <c r="A9" s="19" t="inlineStr">
        <is>
          <t>Interest &amp; Other</t>
        </is>
      </c>
      <c r="B9" s="23" t="n">
        <v>0.05</v>
      </c>
      <c r="C9" s="23" t="n">
        <v>-0.21</v>
      </c>
      <c r="D9" s="23" t="n">
        <v>-0.737</v>
      </c>
      <c r="E9" s="23" t="n">
        <v>2.877</v>
      </c>
      <c r="F9" s="23" t="n">
        <v>0.579</v>
      </c>
      <c r="G9" s="23" t="n">
        <v>0.642</v>
      </c>
      <c r="H9" s="23" t="n">
        <v>0.605</v>
      </c>
      <c r="I9" s="23" t="n">
        <v>1.109</v>
      </c>
      <c r="J9" s="23" t="n">
        <v>1.339</v>
      </c>
      <c r="K9" s="23" t="n">
        <v>4.056</v>
      </c>
      <c r="L9" s="23" t="n">
        <v>3.957</v>
      </c>
      <c r="M9" s="23" t="n">
        <v>1.296</v>
      </c>
      <c r="N9" s="23" t="n">
        <v>-2.113</v>
      </c>
      <c r="O9" s="23" t="n">
        <v>-3.351</v>
      </c>
      <c r="P9" s="23" t="n">
        <v>9.839</v>
      </c>
      <c r="Q9" s="23" t="n">
        <v>-0.391</v>
      </c>
      <c r="R9" s="23" t="n">
        <v>-14.84</v>
      </c>
    </row>
    <row r="10">
      <c r="A10" s="2" t="inlineStr">
        <is>
          <t>Pretax</t>
        </is>
      </c>
      <c r="B10" s="23">
        <f>B8+B9</f>
        <v>-70.184</v>
      </c>
      <c r="C10" s="23">
        <f>C8+C9</f>
        <v>-111.37699999999998</v>
      </c>
      <c r="D10" s="23">
        <f>D8+D9</f>
        <v>-96.853</v>
      </c>
      <c r="E10" s="23">
        <f>E8+E9</f>
        <v>-68.881</v>
      </c>
      <c r="F10" s="23">
        <f>F8+F9</f>
        <v>-38.379</v>
      </c>
      <c r="G10" s="23">
        <f>G8+G9</f>
        <v>-35.67</v>
      </c>
      <c r="H10" s="23">
        <f>H8+H9</f>
        <v>0.04600000000000248</v>
      </c>
      <c r="I10" s="23">
        <f>I8+I9</f>
        <v>-29.537</v>
      </c>
      <c r="J10" s="23">
        <f>J8+J9</f>
        <v>-27.916</v>
      </c>
      <c r="K10" s="23">
        <f>K8+K9</f>
        <v>-27.017000000000003</v>
      </c>
      <c r="L10" s="23">
        <f>L8+L9</f>
        <v>-68.54800000000002</v>
      </c>
      <c r="M10" s="23">
        <f>M8+M9</f>
        <v>-75.61699999999999</v>
      </c>
      <c r="N10" s="23">
        <f>N8+N9</f>
        <v>-116.112</v>
      </c>
      <c r="O10" s="23">
        <f>O8+O9</f>
        <v>-141.901</v>
      </c>
      <c r="P10" s="23">
        <f>P8+P9</f>
        <v>-184.10500000000002</v>
      </c>
      <c r="Q10" s="23">
        <f>Q8+Q9</f>
        <v>-174.123</v>
      </c>
      <c r="R10" s="23">
        <f>R8+R9</f>
        <v>-83.42500000000001</v>
      </c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0</v>
      </c>
      <c r="H11" s="23" t="n">
        <v>0</v>
      </c>
      <c r="I11" s="23" t="n">
        <v>0</v>
      </c>
      <c r="J11" s="23" t="n">
        <v>0</v>
      </c>
      <c r="K11" s="23" t="n">
        <v>0</v>
      </c>
      <c r="L11" s="23" t="n">
        <v>0</v>
      </c>
      <c r="M11" s="23" t="n">
        <v>0</v>
      </c>
      <c r="N11" s="23" t="n">
        <v>0</v>
      </c>
      <c r="O11" s="23" t="n">
        <v>0</v>
      </c>
      <c r="P11" s="23" t="n">
        <v>0.022</v>
      </c>
      <c r="Q11" s="23" t="n">
        <v>0.449</v>
      </c>
      <c r="R11" s="23" t="n">
        <v>0.075</v>
      </c>
    </row>
    <row r="12">
      <c r="A12" s="2" t="inlineStr">
        <is>
          <t>Net Income</t>
        </is>
      </c>
      <c r="B12" s="23" t="n">
        <v>-70.184</v>
      </c>
      <c r="C12" s="23" t="n">
        <v>-111.377</v>
      </c>
      <c r="D12" s="23" t="n">
        <v>-96.85299999999999</v>
      </c>
      <c r="E12" s="23" t="n">
        <v>-68.881</v>
      </c>
      <c r="F12" s="23" t="n">
        <v>-38.379</v>
      </c>
      <c r="G12" s="23" t="n">
        <v>-35.67</v>
      </c>
      <c r="H12" s="23" t="n">
        <v>0.046</v>
      </c>
      <c r="I12" s="23" t="n">
        <v>-29.537</v>
      </c>
      <c r="J12" s="23" t="n">
        <v>-27.916</v>
      </c>
      <c r="K12" s="23" t="n">
        <v>-27.017</v>
      </c>
      <c r="L12" s="23" t="n">
        <v>-68.548</v>
      </c>
      <c r="M12" s="23" t="n">
        <v>-75.617</v>
      </c>
      <c r="N12" s="23" t="n">
        <v>-116.112</v>
      </c>
      <c r="O12" s="23" t="n">
        <v>-141.901</v>
      </c>
      <c r="P12" s="23" t="n">
        <v>-184.127</v>
      </c>
      <c r="Q12" s="23" t="n">
        <v>-174.572</v>
      </c>
      <c r="R12" s="23" t="n">
        <v>-83.5</v>
      </c>
    </row>
    <row r="13">
      <c r="A13" s="2" t="inlineStr">
        <is>
          <t>Earnings per Share</t>
        </is>
      </c>
      <c r="B13" s="11">
        <f>IFERROR(B12/B14,0)</f>
        <v>0</v>
      </c>
      <c r="C13" s="11">
        <f>IFERROR(C12/C14,0)</f>
        <v>-1.1411344029835453</v>
      </c>
      <c r="D13" s="11">
        <f>IFERROR(D12/D14,0)</f>
        <v>-0.7778920060719476</v>
      </c>
      <c r="E13" s="11">
        <f>IFERROR(E12/E14,0)</f>
        <v>-0.5426221630521265</v>
      </c>
      <c r="F13" s="11">
        <f>IFERROR(F12/F14,0)</f>
        <v>-0.29894610573215663</v>
      </c>
      <c r="G13" s="11">
        <f>IFERROR(G12/G14,0)</f>
        <v>-0.2323173114497851</v>
      </c>
      <c r="H13" s="11">
        <f>IFERROR(H12/H14,0)</f>
        <v>0.00028279152117247823</v>
      </c>
      <c r="I13" s="11">
        <f>IFERROR(I12/I14,0)</f>
        <v>-0.18571356714409668</v>
      </c>
      <c r="J13" s="11">
        <f>IFERROR(J12/J14,0)</f>
        <v>-0.17532422672319045</v>
      </c>
      <c r="K13" s="11">
        <f>IFERROR(K12/K14,0)</f>
        <v>-0.15306648536868644</v>
      </c>
      <c r="L13" s="11">
        <f>IFERROR(L12/L14,0)</f>
        <v>-0.3604753891459824</v>
      </c>
      <c r="M13" s="11">
        <f>IFERROR(M12/M14,0)</f>
        <v>-0.278556693435497</v>
      </c>
      <c r="N13" s="11">
        <f>IFERROR(N12/N14,0)</f>
        <v>-0.35439761683840404</v>
      </c>
      <c r="O13" s="11">
        <f>IFERROR(O12/O14,0)</f>
        <v>-0.3726538597896451</v>
      </c>
      <c r="P13" s="11">
        <f>IFERROR(P12/P14,0)</f>
        <v>-0.3226647039753262</v>
      </c>
      <c r="Q13" s="11">
        <f>IFERROR(Q12/Q14,0)</f>
        <v>-0.27022149023347103</v>
      </c>
      <c r="R13" s="11">
        <f>IFERROR(R12/R14,0)</f>
        <v>-0.12525068887878882</v>
      </c>
    </row>
    <row r="14">
      <c r="A14" s="2" t="inlineStr">
        <is>
          <t>Shares</t>
        </is>
      </c>
      <c r="B14" s="23" t="n"/>
      <c r="C14" s="23" t="n">
        <v>97.602</v>
      </c>
      <c r="D14" s="23" t="n">
        <v>124.507</v>
      </c>
      <c r="E14" s="23" t="n">
        <v>126.941</v>
      </c>
      <c r="F14" s="23" t="n">
        <v>128.381</v>
      </c>
      <c r="G14" s="23" t="n">
        <v>153.54</v>
      </c>
      <c r="H14" s="23" t="n">
        <v>162.664</v>
      </c>
      <c r="I14" s="23" t="n">
        <v>159.046</v>
      </c>
      <c r="J14" s="23" t="n">
        <v>159.225</v>
      </c>
      <c r="K14" s="23" t="n">
        <v>176.505</v>
      </c>
      <c r="L14" s="23" t="n">
        <v>190.16</v>
      </c>
      <c r="M14" s="23" t="n">
        <v>271.46</v>
      </c>
      <c r="N14" s="23" t="n">
        <v>327.632</v>
      </c>
      <c r="O14" s="23" t="n">
        <v>380.785</v>
      </c>
      <c r="P14" s="23" t="n">
        <v>570.645</v>
      </c>
      <c r="Q14" s="23" t="n">
        <v>646.033</v>
      </c>
      <c r="R14" s="23" t="n">
        <v>666.663</v>
      </c>
    </row>
    <row r="15"/>
    <row r="16" customFormat="1" s="4">
      <c r="A16" s="3" t="inlineStr">
        <is>
          <t>Revenue Change</t>
        </is>
      </c>
      <c r="C16" s="15">
        <f>IFERROR(C2/B2-1,"")</f>
        <v>1.0643105446118195</v>
      </c>
      <c r="D16" s="15">
        <f>IFERROR(D2/C2-1,"")</f>
        <v>-0.31574515857423513</v>
      </c>
      <c r="E16" s="15">
        <f>IFERROR(E2/D2-1,"")</f>
        <v>0.11115668580803928</v>
      </c>
      <c r="F16" s="15">
        <f>IFERROR(F2/E2-1,"")</f>
        <v>-0.5263935031376892</v>
      </c>
      <c r="G16" s="15">
        <f>IFERROR(G2/F2-1,"")</f>
        <v>-0.10132501948558059</v>
      </c>
      <c r="H16" s="15">
        <f>IFERROR(H2/G2-1,"")</f>
        <v>30.544666088464876</v>
      </c>
      <c r="I16" s="15">
        <f>IFERROR(I2/H2-1,"")</f>
        <v>-0.8305793076901927</v>
      </c>
      <c r="J16" s="15">
        <f>IFERROR(J2/I2-1,"")</f>
        <v>-0.8271665043816943</v>
      </c>
      <c r="K16" s="15">
        <f>IFERROR(K2/J2-1,"")</f>
        <v>0.0009389671361503815</v>
      </c>
      <c r="L16" s="15">
        <f>IFERROR(L2/K2-1,"")</f>
        <v>-0.5684803001876173</v>
      </c>
      <c r="M16" s="15">
        <f>IFERROR(M2/L2-1,"")</f>
        <v>-0.45000000000000007</v>
      </c>
      <c r="N16" s="15">
        <f>IFERROR(N2/M2-1,"")</f>
        <v>4.5059288537549405</v>
      </c>
      <c r="O16" s="15">
        <f>IFERROR(O2/N2-1,"")</f>
        <v>-0.5721464465183058</v>
      </c>
      <c r="P16" s="15">
        <f>IFERROR(P2/O2-1,"")</f>
        <v>-0.6023489932885906</v>
      </c>
      <c r="Q16" s="15">
        <f>IFERROR(Q2/P2-1,"")</f>
        <v>-1.0</v>
      </c>
      <c r="R16" s="15">
        <f>IFERROR(R2/Q2-1,"")</f>
        <v/>
      </c>
    </row>
    <row r="17" customFormat="1" s="4">
      <c r="A17" s="3" t="inlineStr">
        <is>
          <t>Gross Margin</t>
        </is>
      </c>
      <c r="B17" s="15">
        <f>IFERROR(B4/B2,"")</f>
        <v>1.0</v>
      </c>
      <c r="C17" s="15">
        <f>IFERROR(C4/C2,"")</f>
        <v>1.0</v>
      </c>
      <c r="D17" s="15">
        <f>IFERROR(D4/D2,"")</f>
        <v>1.0</v>
      </c>
      <c r="E17" s="15">
        <f>IFERROR(E4/E2,"")</f>
        <v>1.0</v>
      </c>
      <c r="F17" s="15">
        <f>IFERROR(F4/F2,"")</f>
        <v>1.0</v>
      </c>
      <c r="G17" s="15">
        <f>IFERROR(G4/G2,"")</f>
        <v>1.0</v>
      </c>
      <c r="H17" s="15">
        <f>IFERROR(H4/H2,"")</f>
        <v>1.0</v>
      </c>
      <c r="I17" s="15">
        <f>IFERROR(I4/I2,"")</f>
        <v>1.0</v>
      </c>
      <c r="J17" s="15">
        <f>IFERROR(J4/J2,"")</f>
        <v>1.0</v>
      </c>
      <c r="K17" s="15">
        <f>IFERROR(K4/K2,"")</f>
        <v>1.0</v>
      </c>
      <c r="L17" s="15">
        <f>IFERROR(L4/L2,"")</f>
        <v>1.0</v>
      </c>
      <c r="M17" s="15">
        <f>IFERROR(M4/M2,"")</f>
        <v>1.0</v>
      </c>
      <c r="N17" s="15">
        <f>IFERROR(N4/N2,"")</f>
        <v>1.0</v>
      </c>
      <c r="O17" s="15">
        <f>IFERROR(O4/O2,"")</f>
        <v>1.0</v>
      </c>
      <c r="P17" s="15">
        <f>IFERROR(P4/P2,"")</f>
        <v>1.0</v>
      </c>
      <c r="Q17" s="15">
        <f>IFERROR(Q4/Q2,"")</f>
        <v/>
      </c>
      <c r="R17" s="15">
        <f>IFERROR(R4/R2,"")</f>
        <v/>
      </c>
    </row>
    <row r="18">
      <c r="A18" s="14" t="inlineStr">
        <is>
          <t>Operating Margin</t>
        </is>
      </c>
      <c r="B18" s="15">
        <f>IFERROR(B8/B2,"")</f>
        <v>-40.69177288528389</v>
      </c>
      <c r="C18" s="15">
        <f>IFERROR(C8/C2,"")</f>
        <v>-31.200392927308442</v>
      </c>
      <c r="D18" s="15">
        <f>IFERROR(D8/D2,"")</f>
        <v>-39.424118129614435</v>
      </c>
      <c r="E18" s="15">
        <f>IFERROR(E8/E2,"")</f>
        <v>-26.48874123292728</v>
      </c>
      <c r="F18" s="15">
        <f>IFERROR(F8/F2,"")</f>
        <v>-30.36477007014809</v>
      </c>
      <c r="G18" s="15">
        <f>IFERROR(G8/G2,"")</f>
        <v>-31.493495229835215</v>
      </c>
      <c r="H18" s="15">
        <f>IFERROR(H8/H2,"")</f>
        <v>-0.015369387698990884</v>
      </c>
      <c r="I18" s="15">
        <f>IFERROR(I8/I2,"")</f>
        <v>-4.973385264524505</v>
      </c>
      <c r="J18" s="15">
        <f>IFERROR(J8/J2,"")</f>
        <v>-27.469483568075116</v>
      </c>
      <c r="K18" s="15">
        <f>IFERROR(K8/K2,"")</f>
        <v>-29.149155722326455</v>
      </c>
      <c r="L18" s="15">
        <f>IFERROR(L8/L2,"")</f>
        <v>-157.6195652173913</v>
      </c>
      <c r="M18" s="15">
        <f>IFERROR(M8/M2,"")</f>
        <v>-304.00395256916994</v>
      </c>
      <c r="N18" s="15">
        <f>IFERROR(N8/N2,"")</f>
        <v>-81.83704235463028</v>
      </c>
      <c r="O18" s="15">
        <f>IFERROR(O8/O2,"")</f>
        <v>-232.46644295302016</v>
      </c>
      <c r="P18" s="15">
        <f>IFERROR(P8/P2,"")</f>
        <v>-818.3291139240507</v>
      </c>
      <c r="Q18" s="15">
        <f>IFERROR(Q8/Q2,"")</f>
        <v/>
      </c>
      <c r="R18" s="15">
        <f>IFERROR(R8/R2,"")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  <c r="L19" s="20" t="inlineStr">
        <is>
          <t>A</t>
        </is>
      </c>
      <c r="M19" s="20" t="inlineStr">
        <is>
          <t>A</t>
        </is>
      </c>
      <c r="N19" s="20" t="inlineStr">
        <is>
          <t>A</t>
        </is>
      </c>
      <c r="O19" s="20" t="inlineStr">
        <is>
          <t>A</t>
        </is>
      </c>
      <c r="P19" s="20" t="inlineStr">
        <is>
          <t>A</t>
        </is>
      </c>
      <c r="Q19" s="20" t="inlineStr">
        <is>
          <t>A</t>
        </is>
      </c>
      <c r="R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2026-10-21T01:04:58Z</dcterms:modified>
  <cp:lastModifiedBy>Wang, Eric</cp:lastModifiedBy>
</cp:coreProperties>
</file>