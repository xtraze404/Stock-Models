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BioCardia Inc</t>
        </is>
      </c>
      <c r="C2" s="10" t="n"/>
    </row>
    <row r="3">
      <c r="B3" t="inlineStr">
        <is>
          <t>Price</t>
        </is>
      </c>
      <c r="C3" s="11">
        <f>INDEX([1]Pharma!$F$1:$F$1000,MATCH("BCDA",[1]Pharma!$B$1:$B$1000,0))</f>
        <v>1.04</v>
      </c>
      <c r="F3" s="1" t="n"/>
    </row>
    <row r="4">
      <c r="B4" t="inlineStr">
        <is>
          <t>Shares</t>
        </is>
      </c>
      <c r="C4" s="21" t="n">
        <v>15.138782</v>
      </c>
      <c r="F4" s="1" t="n"/>
    </row>
    <row r="5">
      <c r="B5" t="inlineStr">
        <is>
          <t>Market Cap.</t>
        </is>
      </c>
      <c r="C5" s="13">
        <f>C3*C4</f>
        <v>15.744333280000001</v>
      </c>
      <c r="F5" s="1" t="n"/>
    </row>
    <row r="6"/>
    <row r="7">
      <c r="B7" t="inlineStr">
        <is>
          <t>Cash</t>
        </is>
      </c>
      <c r="C7" s="21" t="n">
        <v>4.117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11.627333280000002</v>
      </c>
    </row>
    <row r="10"/>
    <row r="11">
      <c r="B11" s="14" t="inlineStr">
        <is>
          <t>Net Cash / Share</t>
        </is>
      </c>
      <c r="C11" s="11">
        <f>(C7-C8)/C4</f>
        <v>0.271950543973749</v>
      </c>
    </row>
    <row r="12">
      <c r="B12" s="14" t="inlineStr">
        <is>
          <t>Upside</t>
        </is>
      </c>
      <c r="C12" s="15">
        <f>IFERROR(C11/C3-1,"")</f>
        <v>-0.7385090923329336</v>
      </c>
    </row>
    <row r="13">
      <c r="B13" s="14" t="inlineStr">
        <is>
          <t>Cash / Share</t>
        </is>
      </c>
      <c r="C13" s="11">
        <f>IFERROR((C7-C8)/C4,"")</f>
        <v>0.271950543973749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-7.563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0.544360703424567</v>
      </c>
    </row>
    <row r="19">
      <c r="B19" s="14" t="inlineStr">
        <is>
          <t>Implied Pipeline Value</t>
        </is>
      </c>
      <c r="C19" s="13">
        <f>C9</f>
        <v>11.627333280000002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2010</v>
      </c>
      <c r="C1" s="17" t="n">
        <v>2011</v>
      </c>
      <c r="D1" s="17" t="n">
        <v>2012</v>
      </c>
      <c r="E1" s="17" t="n">
        <v>2013</v>
      </c>
      <c r="F1" s="17" t="n">
        <v>2014</v>
      </c>
      <c r="G1" s="17" t="n">
        <v>2015</v>
      </c>
      <c r="H1" s="17" t="n">
        <v>2016</v>
      </c>
      <c r="I1" s="17" t="n">
        <v>2017</v>
      </c>
      <c r="J1" s="17" t="n">
        <v>2018</v>
      </c>
      <c r="K1" s="17" t="n">
        <v>2019</v>
      </c>
      <c r="L1" s="17" t="n">
        <v>2020</v>
      </c>
      <c r="M1" s="17" t="n">
        <v>2021</v>
      </c>
      <c r="N1" s="17" t="n">
        <v>2022</v>
      </c>
      <c r="O1" s="17" t="n">
        <v>2023</v>
      </c>
      <c r="P1" s="17" t="n">
        <v>2024</v>
      </c>
      <c r="Q1" s="17" t="n">
        <v>2025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0.012</v>
      </c>
      <c r="D2" s="23" t="n">
        <v>0</v>
      </c>
      <c r="E2" s="23" t="n">
        <v>0</v>
      </c>
      <c r="F2" s="23" t="n">
        <v>0</v>
      </c>
      <c r="G2" s="23" t="n">
        <v>0.904</v>
      </c>
      <c r="H2" s="23" t="n">
        <v>0.576</v>
      </c>
      <c r="I2" s="23" t="n">
        <v>0.479</v>
      </c>
      <c r="J2" s="23" t="n">
        <v>0.625</v>
      </c>
      <c r="K2" s="23" t="n">
        <v>0.71</v>
      </c>
      <c r="L2" s="23" t="n">
        <v>0.145</v>
      </c>
      <c r="M2" s="23" t="n">
        <v>1.015</v>
      </c>
      <c r="N2" s="23" t="n">
        <v>1.352</v>
      </c>
      <c r="O2" s="23" t="n">
        <v>0.477</v>
      </c>
      <c r="P2" s="23" t="n">
        <v>0.058</v>
      </c>
      <c r="Q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1.061</v>
      </c>
      <c r="H3" s="23" t="n">
        <v>0.746</v>
      </c>
      <c r="I3" s="23" t="n">
        <v>0.6899999999999999</v>
      </c>
      <c r="J3" s="23" t="n">
        <v>0.517</v>
      </c>
      <c r="K3" s="23" t="n">
        <v>0.358</v>
      </c>
      <c r="L3" s="23" t="n">
        <v>0.004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0.012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-0.15699999999999992</v>
      </c>
      <c r="H4" s="23">
        <f>H2-H3</f>
        <v>-0.17000000000000004</v>
      </c>
      <c r="I4" s="23">
        <f>I2-I3</f>
        <v>-0.21099999999999997</v>
      </c>
      <c r="J4" s="23">
        <f>J2-J3</f>
        <v>0.10799999999999998</v>
      </c>
      <c r="K4" s="23">
        <f>K2-K3</f>
        <v>0.352</v>
      </c>
      <c r="L4" s="23">
        <f>L2-L3</f>
        <v>0.141</v>
      </c>
      <c r="M4" s="23">
        <f>M2-M3</f>
        <v>1.015</v>
      </c>
      <c r="N4" s="23">
        <f>N2-N3</f>
        <v>1.352</v>
      </c>
      <c r="O4" s="23">
        <f>O2-O3</f>
        <v>0.477</v>
      </c>
      <c r="P4" s="23">
        <f>P2-P3</f>
        <v>0.058</v>
      </c>
      <c r="Q4" s="23">
        <f>Q2-Q3</f>
        <v>0.0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1.518</v>
      </c>
      <c r="H5" s="23" t="n">
        <v>3.33</v>
      </c>
      <c r="I5" s="23" t="n">
        <v>5.799</v>
      </c>
      <c r="J5" s="23" t="n">
        <v>8.452999999999999</v>
      </c>
      <c r="K5" s="23" t="n">
        <v>8.561999999999999</v>
      </c>
      <c r="L5" s="23" t="n">
        <v>9.808999999999999</v>
      </c>
      <c r="M5" s="23" t="n">
        <v>8.558</v>
      </c>
      <c r="N5" s="23" t="n">
        <v>8.834</v>
      </c>
      <c r="O5" s="23" t="n">
        <v>7.726</v>
      </c>
      <c r="P5" s="23" t="n">
        <v>4.387</v>
      </c>
      <c r="Q5" s="23" t="n">
        <v>4.962</v>
      </c>
    </row>
    <row r="6">
      <c r="A6" s="19" t="inlineStr">
        <is>
          <t>SG&amp;A &amp; Other</t>
        </is>
      </c>
      <c r="B6" s="23" t="n">
        <v>0.583</v>
      </c>
      <c r="C6" s="23" t="n">
        <v>0.63</v>
      </c>
      <c r="D6" s="23" t="n">
        <v>0.339</v>
      </c>
      <c r="E6" s="23" t="n">
        <v>-0.008999999999999999</v>
      </c>
      <c r="F6" s="23" t="n">
        <v>-0.231</v>
      </c>
      <c r="G6" s="23" t="n">
        <v>3.734</v>
      </c>
      <c r="H6" s="23" t="n">
        <v>4.108</v>
      </c>
      <c r="I6" s="23" t="n">
        <v>6.395</v>
      </c>
      <c r="J6" s="23" t="n">
        <v>5.757</v>
      </c>
      <c r="K6" s="23" t="n">
        <v>6.003</v>
      </c>
      <c r="L6" s="23" t="n">
        <v>5.861</v>
      </c>
      <c r="M6" s="23" t="n">
        <v>5.087</v>
      </c>
      <c r="N6" s="23" t="n">
        <v>4.419</v>
      </c>
      <c r="O6" s="23" t="n">
        <v>4.395</v>
      </c>
      <c r="P6" s="23" t="n">
        <v>3.672</v>
      </c>
      <c r="Q6" s="23" t="n">
        <v>3.316</v>
      </c>
    </row>
    <row r="7">
      <c r="A7" s="2" t="inlineStr">
        <is>
          <t>Operating Expense</t>
        </is>
      </c>
      <c r="B7" s="23">
        <f>SUM(B5:B6)</f>
        <v>0.583</v>
      </c>
      <c r="C7" s="23">
        <f>SUM(C5:C6)</f>
        <v>0.63</v>
      </c>
      <c r="D7" s="23">
        <f>SUM(D5:D6)</f>
        <v>0.339</v>
      </c>
      <c r="E7" s="23">
        <f>SUM(E5:E6)</f>
        <v>-0.009</v>
      </c>
      <c r="F7" s="23">
        <f>SUM(F5:F6)</f>
        <v>-0.231</v>
      </c>
      <c r="G7" s="23">
        <f>SUM(G5:G6)</f>
        <v>5.252</v>
      </c>
      <c r="H7" s="23">
        <f>SUM(H5:H6)</f>
        <v>7.438</v>
      </c>
      <c r="I7" s="23">
        <f>SUM(I5:I6)</f>
        <v>12.193999999999999</v>
      </c>
      <c r="J7" s="23">
        <f>SUM(J5:J6)</f>
        <v>14.209999999999999</v>
      </c>
      <c r="K7" s="23">
        <f>SUM(K5:K6)</f>
        <v>14.565</v>
      </c>
      <c r="L7" s="23">
        <f>SUM(L5:L6)</f>
        <v>15.669999999999998</v>
      </c>
      <c r="M7" s="23">
        <f>SUM(M5:M6)</f>
        <v>13.645</v>
      </c>
      <c r="N7" s="23">
        <f>SUM(N5:N6)</f>
        <v>13.253</v>
      </c>
      <c r="O7" s="23">
        <f>SUM(O5:O6)</f>
        <v>12.120999999999999</v>
      </c>
      <c r="P7" s="23">
        <f>SUM(P5:P6)</f>
        <v>8.059</v>
      </c>
      <c r="Q7" s="23">
        <f>SUM(Q5:Q6)</f>
        <v>8.277999999999999</v>
      </c>
    </row>
    <row r="8">
      <c r="A8" s="2" t="inlineStr">
        <is>
          <t>Operating Income</t>
        </is>
      </c>
      <c r="B8" s="23">
        <f>B4-B7</f>
        <v>-0.583</v>
      </c>
      <c r="C8" s="23">
        <f>C4-C7</f>
        <v>-0.618</v>
      </c>
      <c r="D8" s="23">
        <f>D4-D7</f>
        <v>-0.339</v>
      </c>
      <c r="E8" s="23">
        <f>E4-E7</f>
        <v>0.009</v>
      </c>
      <c r="F8" s="23">
        <f>F4-F7</f>
        <v>0.231</v>
      </c>
      <c r="G8" s="23">
        <f>G4-G7</f>
        <v>-5.409</v>
      </c>
      <c r="H8" s="23">
        <f>H4-H7</f>
        <v>-7.608</v>
      </c>
      <c r="I8" s="23">
        <f>I4-I7</f>
        <v>-12.405</v>
      </c>
      <c r="J8" s="23">
        <f>J4-J7</f>
        <v>-14.101999999999999</v>
      </c>
      <c r="K8" s="23">
        <f>K4-K7</f>
        <v>-14.213</v>
      </c>
      <c r="L8" s="23">
        <f>L4-L7</f>
        <v>-15.528999999999998</v>
      </c>
      <c r="M8" s="23">
        <f>M4-M7</f>
        <v>-12.629999999999999</v>
      </c>
      <c r="N8" s="23">
        <f>N4-N7</f>
        <v>-11.901</v>
      </c>
      <c r="O8" s="23">
        <f>O4-O7</f>
        <v>-11.643999999999998</v>
      </c>
      <c r="P8" s="23">
        <f>P4-P7</f>
        <v>-8.001</v>
      </c>
      <c r="Q8" s="23">
        <f>Q4-Q7</f>
        <v>-8.277999999999999</v>
      </c>
    </row>
    <row r="9">
      <c r="A9" s="19" t="inlineStr">
        <is>
          <t>Interest &amp; Other</t>
        </is>
      </c>
      <c r="B9" s="23" t="n">
        <v>-10.926</v>
      </c>
      <c r="C9" s="23" t="n">
        <v>10.28</v>
      </c>
      <c r="D9" s="23" t="n">
        <v>0.644</v>
      </c>
      <c r="E9" s="23" t="n">
        <v>0.01</v>
      </c>
      <c r="F9" s="23" t="n">
        <v>0.003</v>
      </c>
      <c r="G9" s="23" t="n">
        <v>-1.288</v>
      </c>
      <c r="H9" s="23" t="n">
        <v>-2.702</v>
      </c>
      <c r="I9" s="23" t="n">
        <v>0.097</v>
      </c>
      <c r="J9" s="23" t="n">
        <v>0.115</v>
      </c>
      <c r="K9" s="23" t="n">
        <v>-0.496</v>
      </c>
      <c r="L9" s="23" t="n">
        <v>0.525</v>
      </c>
      <c r="M9" s="23" t="n">
        <v>0.007</v>
      </c>
      <c r="N9" s="23" t="n">
        <v>-0.006</v>
      </c>
      <c r="O9" s="23" t="n">
        <v>0.073</v>
      </c>
      <c r="P9" s="23" t="n">
        <v>0.055</v>
      </c>
      <c r="Q9" s="23" t="n">
        <v>0.05</v>
      </c>
    </row>
    <row r="10">
      <c r="A10" s="2" t="inlineStr">
        <is>
          <t>Pretax</t>
        </is>
      </c>
      <c r="B10" s="23">
        <f>B8+B9</f>
        <v>-11.509</v>
      </c>
      <c r="C10" s="23">
        <f>C8+C9</f>
        <v>9.661999999999999</v>
      </c>
      <c r="D10" s="23">
        <f>D8+D9</f>
        <v>0.305</v>
      </c>
      <c r="E10" s="23">
        <f>E8+E9</f>
        <v>0.019</v>
      </c>
      <c r="F10" s="23">
        <f>F8+F9</f>
        <v>0.234</v>
      </c>
      <c r="G10" s="23">
        <f>G8+G9</f>
        <v>-6.697</v>
      </c>
      <c r="H10" s="23">
        <f>H8+H9</f>
        <v>-10.309999999999999</v>
      </c>
      <c r="I10" s="23">
        <f>I8+I9</f>
        <v>-12.308</v>
      </c>
      <c r="J10" s="23">
        <f>J8+J9</f>
        <v>-13.986999999999998</v>
      </c>
      <c r="K10" s="23">
        <f>K8+K9</f>
        <v>-14.709</v>
      </c>
      <c r="L10" s="23">
        <f>L8+L9</f>
        <v>-15.003999999999998</v>
      </c>
      <c r="M10" s="23">
        <f>M8+M9</f>
        <v>-12.623</v>
      </c>
      <c r="N10" s="23">
        <f>N8+N9</f>
        <v>-11.907</v>
      </c>
      <c r="O10" s="23">
        <f>O8+O9</f>
        <v>-11.570999999999998</v>
      </c>
      <c r="P10" s="23">
        <f>P8+P9</f>
        <v>-7.946</v>
      </c>
      <c r="Q10" s="23">
        <f>Q8+Q9</f>
        <v>-8.227999999999998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</row>
    <row r="12">
      <c r="A12" s="2" t="inlineStr">
        <is>
          <t>Net Income</t>
        </is>
      </c>
      <c r="B12" s="23" t="n">
        <v>-11.509</v>
      </c>
      <c r="C12" s="23" t="n">
        <v>9.662000000000001</v>
      </c>
      <c r="D12" s="23" t="n">
        <v>0.305</v>
      </c>
      <c r="E12" s="23" t="n">
        <v>0.019</v>
      </c>
      <c r="F12" s="23" t="n">
        <v>0.234</v>
      </c>
      <c r="G12" s="23" t="n">
        <v>-6.697</v>
      </c>
      <c r="H12" s="23" t="n">
        <v>-10.31</v>
      </c>
      <c r="I12" s="23" t="n">
        <v>-12.308</v>
      </c>
      <c r="J12" s="23" t="n">
        <v>-13.987</v>
      </c>
      <c r="K12" s="23" t="n">
        <v>-14.709</v>
      </c>
      <c r="L12" s="23" t="n">
        <v>-15.004</v>
      </c>
      <c r="M12" s="23" t="n">
        <v>-12.623</v>
      </c>
      <c r="N12" s="23" t="n">
        <v>-11.907</v>
      </c>
      <c r="O12" s="23" t="n">
        <v>-11.571</v>
      </c>
      <c r="P12" s="23" t="n">
        <v>-7.946</v>
      </c>
      <c r="Q12" s="23" t="n">
        <v>-8.228</v>
      </c>
    </row>
    <row r="13">
      <c r="A13" s="2" t="inlineStr">
        <is>
          <t>Earnings per Share</t>
        </is>
      </c>
      <c r="B13" s="11">
        <f>IFERROR(B12/B14,0)</f>
        <v>-2.7988813229571985</v>
      </c>
      <c r="C13" s="11">
        <f>IFERROR(C12/C14,0)</f>
        <v>2.3497081712062258</v>
      </c>
      <c r="D13" s="11">
        <f>IFERROR(D12/D14,0)</f>
        <v>0.07417315175097276</v>
      </c>
      <c r="E13" s="11">
        <f>IFERROR(E12/E14,0)</f>
        <v>0.004620622568093385</v>
      </c>
      <c r="F13" s="11">
        <f>IFERROR(F12/F14,0)</f>
        <v>0.05690661478599222</v>
      </c>
      <c r="G13" s="11">
        <f>IFERROR(G12/G14,0)</f>
        <v>-1.628647859922179</v>
      </c>
      <c r="H13" s="11">
        <f>IFERROR(H12/H14,0)</f>
        <v>-2.46414913957935</v>
      </c>
      <c r="I13" s="11">
        <f>IFERROR(I12/I14,0)</f>
        <v>-2.902830188679245</v>
      </c>
      <c r="J13" s="11">
        <f>IFERROR(J12/J14,0)</f>
        <v>-3.2802532833020637</v>
      </c>
      <c r="K13" s="11">
        <f>IFERROR(K12/K14,0)</f>
        <v>-2.6061304039688165</v>
      </c>
      <c r="L13" s="11">
        <f>IFERROR(L12/L14,0)</f>
        <v>-1.482755212965708</v>
      </c>
      <c r="M13" s="11">
        <f>IFERROR(M12/M14,0)</f>
        <v>-0.7461283839697364</v>
      </c>
      <c r="N13" s="11">
        <f>IFERROR(N12/N14,0)</f>
        <v>-0.6719146775012697</v>
      </c>
      <c r="O13" s="11">
        <f>IFERROR(O12/O14,0)</f>
        <v>-8.194759206798867</v>
      </c>
      <c r="P13" s="11">
        <f>IFERROR(P12/P14,0)</f>
        <v>-2.895772594752186</v>
      </c>
      <c r="Q13" s="11">
        <f>IFERROR(Q12/Q14,0)</f>
        <v>-1.2341382930853457</v>
      </c>
    </row>
    <row r="14">
      <c r="A14" s="2" t="inlineStr">
        <is>
          <t>Shares</t>
        </is>
      </c>
      <c r="B14" s="23" t="n">
        <v>4.112</v>
      </c>
      <c r="C14" s="23" t="n">
        <v>4.112</v>
      </c>
      <c r="D14" s="23" t="n">
        <v>4.112</v>
      </c>
      <c r="E14" s="23" t="n">
        <v>4.112</v>
      </c>
      <c r="F14" s="23" t="n">
        <v>4.112</v>
      </c>
      <c r="G14" s="23" t="n">
        <v>4.112</v>
      </c>
      <c r="H14" s="23" t="n">
        <v>4.184</v>
      </c>
      <c r="I14" s="23" t="n">
        <v>4.24</v>
      </c>
      <c r="J14" s="23" t="n">
        <v>4.264</v>
      </c>
      <c r="K14" s="23" t="n">
        <v>5.644</v>
      </c>
      <c r="L14" s="23" t="n">
        <v>10.119</v>
      </c>
      <c r="M14" s="23" t="n">
        <v>16.918</v>
      </c>
      <c r="N14" s="23" t="n">
        <v>17.721</v>
      </c>
      <c r="O14" s="23" t="n">
        <v>1.412</v>
      </c>
      <c r="P14" s="23" t="n">
        <v>2.744</v>
      </c>
      <c r="Q14" s="23" t="n">
        <v>6.667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-1.0</v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>-0.36283185840707977</v>
      </c>
      <c r="I16" s="15">
        <f>IFERROR(I2/H2-1,"")</f>
        <v>-0.1684027777777778</v>
      </c>
      <c r="J16" s="15">
        <f>IFERROR(J2/I2-1,"")</f>
        <v>0.3048016701461378</v>
      </c>
      <c r="K16" s="15">
        <f>IFERROR(K2/J2-1,"")</f>
        <v>0.1359999999999999</v>
      </c>
      <c r="L16" s="15">
        <f>IFERROR(L2/K2-1,"")</f>
        <v>-0.795774647887324</v>
      </c>
      <c r="M16" s="15">
        <f>IFERROR(M2/L2-1,"")</f>
        <v>6.0</v>
      </c>
      <c r="N16" s="15">
        <f>IFERROR(N2/M2-1,"")</f>
        <v>0.3320197044334978</v>
      </c>
      <c r="O16" s="15">
        <f>IFERROR(O2/N2-1,"")</f>
        <v>-0.6471893491124261</v>
      </c>
      <c r="P16" s="15">
        <f>IFERROR(P2/O2-1,"")</f>
        <v>-0.8784067085953878</v>
      </c>
      <c r="Q16" s="15">
        <f>IFERROR(Q2/P2-1,"")</f>
        <v>-1.0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>-0.17367256637168133</v>
      </c>
      <c r="H17" s="15">
        <f>IFERROR(H4/H2,"")</f>
        <v>-0.295138888888889</v>
      </c>
      <c r="I17" s="15">
        <f>IFERROR(I4/I2,"")</f>
        <v>-0.44050104384133604</v>
      </c>
      <c r="J17" s="15">
        <f>IFERROR(J4/J2,"")</f>
        <v>0.17279999999999998</v>
      </c>
      <c r="K17" s="15">
        <f>IFERROR(K4/K2,"")</f>
        <v>0.49577464788732395</v>
      </c>
      <c r="L17" s="15">
        <f>IFERROR(L4/L2,"")</f>
        <v>0.9724137931034482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-51.5</v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>-5.9834070796460175</v>
      </c>
      <c r="H18" s="15">
        <f>IFERROR(H8/H2,"")</f>
        <v>-13.208333333333334</v>
      </c>
      <c r="I18" s="15">
        <f>IFERROR(I8/I2,"")</f>
        <v>-25.89770354906054</v>
      </c>
      <c r="J18" s="15">
        <f>IFERROR(J8/J2,"")</f>
        <v>-22.5632</v>
      </c>
      <c r="K18" s="15">
        <f>IFERROR(K8/K2,"")</f>
        <v>-20.01830985915493</v>
      </c>
      <c r="L18" s="15">
        <f>IFERROR(L8/L2,"")</f>
        <v>-107.09655172413792</v>
      </c>
      <c r="M18" s="15">
        <f>IFERROR(M8/M2,"")</f>
        <v>-12.443349753694582</v>
      </c>
      <c r="N18" s="15">
        <f>IFERROR(N8/N2,"")</f>
        <v>-8.802514792899407</v>
      </c>
      <c r="O18" s="15">
        <f>IFERROR(O8/O2,"")</f>
        <v>-24.410901467505237</v>
      </c>
      <c r="P18" s="15">
        <f>IFERROR(P8/P2,"")</f>
        <v>-137.94827586206895</v>
      </c>
      <c r="Q18" s="15">
        <f>IFERROR(Q8/Q2,"")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2026-10-21T01:06:32Z</dcterms:modified>
  <cp:lastModifiedBy>Wang, Eric</cp:lastModifiedBy>
</cp:coreProperties>
</file>