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Azitra Inc</t>
        </is>
      </c>
      <c r="C2" s="10" t="n"/>
    </row>
    <row r="3">
      <c r="B3" t="inlineStr">
        <is>
          <t>Price</t>
        </is>
      </c>
      <c r="C3" s="11">
        <f>INDEX([1]Pharma!$F$1:$F$1000,MATCH("AZTR",[1]Pharma!$B$1:$B$1000,0))</f>
        <v>0.0715</v>
      </c>
      <c r="F3" s="1" t="n"/>
    </row>
    <row r="4">
      <c r="B4" t="inlineStr">
        <is>
          <t>Shares</t>
        </is>
      </c>
      <c r="C4" s="21" t="n">
        <v>60.603742</v>
      </c>
      <c r="F4" s="1" t="n"/>
    </row>
    <row r="5">
      <c r="B5" t="inlineStr">
        <is>
          <t>Market Cap.</t>
        </is>
      </c>
      <c r="C5" s="13">
        <f>C3*C4</f>
        <v>4.333167552999999</v>
      </c>
      <c r="F5" s="1" t="n"/>
    </row>
    <row r="6"/>
    <row r="7">
      <c r="B7" t="inlineStr">
        <is>
          <t>Cash</t>
        </is>
      </c>
      <c r="C7" s="21" t="n">
        <v>6.72781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-2.3946424470000007</v>
      </c>
    </row>
    <row r="10"/>
    <row r="11">
      <c r="B11" s="14" t="inlineStr">
        <is>
          <t>Net Cash / Share</t>
        </is>
      </c>
      <c r="C11" s="11">
        <f>(C7-C8)/C4</f>
        <v>0.11101311202862688</v>
      </c>
    </row>
    <row r="12">
      <c r="B12" s="14" t="inlineStr">
        <is>
          <t>Upside</t>
        </is>
      </c>
      <c r="C12" s="15">
        <f>IFERROR(C11/C3-1,"")</f>
        <v>0.5526309374633132</v>
      </c>
    </row>
    <row r="13">
      <c r="B13" s="14" t="inlineStr">
        <is>
          <t>Cash / Share</t>
        </is>
      </c>
      <c r="C13" s="11">
        <f>IFERROR((C7-C8)/C4,"")</f>
        <v>0.11101311202862688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-11.106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0.605781559517378</v>
      </c>
    </row>
    <row r="19">
      <c r="B19" s="14" t="inlineStr">
        <is>
          <t>Implied Pipeline Value</t>
        </is>
      </c>
      <c r="C19" s="13">
        <f>C9</f>
        <v>-2.3946424470000007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0.284</v>
      </c>
      <c r="C2" s="23" t="n">
        <v>0.6860000000000001</v>
      </c>
      <c r="D2" s="23" t="n">
        <v>0.007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0.284</v>
      </c>
      <c r="C4" s="23">
        <f>C2-C3</f>
        <v>0.686</v>
      </c>
      <c r="D4" s="23">
        <f>D2-D3</f>
        <v>0.007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6.098</v>
      </c>
      <c r="C5" s="23" t="n">
        <v>3.643</v>
      </c>
      <c r="D5" s="23" t="n">
        <v>4.723</v>
      </c>
      <c r="E5" s="23" t="n">
        <v>4.836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3.64</v>
      </c>
      <c r="C6" s="23" t="n">
        <v>4.493</v>
      </c>
      <c r="D6" s="23" t="n">
        <v>6.269</v>
      </c>
      <c r="E6" s="23" t="n">
        <v>6.131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9.738</v>
      </c>
      <c r="C7" s="23">
        <f>SUM(C5:C6)</f>
        <v>8.136</v>
      </c>
      <c r="D7" s="23">
        <f>SUM(D5:D6)</f>
        <v>10.992</v>
      </c>
      <c r="E7" s="23">
        <f>SUM(E5:E6)</f>
        <v>10.967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-9.453999999999999</v>
      </c>
      <c r="C8" s="23">
        <f>C4-C7</f>
        <v>-7.449999999999999</v>
      </c>
      <c r="D8" s="23">
        <f>D4-D7</f>
        <v>-10.985000000000001</v>
      </c>
      <c r="E8" s="23">
        <f>E4-E7</f>
        <v>-10.967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-1.227</v>
      </c>
      <c r="C9" s="23" t="n">
        <v>-3.816</v>
      </c>
      <c r="D9" s="23" t="n">
        <v>2.027</v>
      </c>
      <c r="E9" s="23" t="n">
        <v>0.02</v>
      </c>
    </row>
    <row r="10">
      <c r="A10" s="2" t="inlineStr">
        <is>
          <t>Pretax</t>
        </is>
      </c>
      <c r="B10" s="23">
        <f>B8+B9</f>
        <v>-10.681</v>
      </c>
      <c r="C10" s="23">
        <f>C8+C9</f>
        <v>-11.265999999999998</v>
      </c>
      <c r="D10" s="23">
        <f>D8+D9</f>
        <v>-8.958000000000002</v>
      </c>
      <c r="E10" s="23">
        <f>E8+E9</f>
        <v>-10.947000000000001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0.017</v>
      </c>
      <c r="D11" s="23" t="n">
        <v>0.008999999999999999</v>
      </c>
      <c r="E11" s="23" t="n">
        <v>0.008</v>
      </c>
    </row>
    <row r="12">
      <c r="A12" s="2" t="inlineStr">
        <is>
          <t>Net Income</t>
        </is>
      </c>
      <c r="B12" s="23" t="n">
        <v>-10.68</v>
      </c>
      <c r="C12" s="23" t="n">
        <v>-11.284</v>
      </c>
      <c r="D12" s="23" t="n">
        <v>-8.967000000000001</v>
      </c>
      <c r="E12" s="23" t="n">
        <v>-10.955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-10.123222748815166</v>
      </c>
      <c r="C13" s="11">
        <f>IFERROR(C12/C14,0)</f>
        <v>-49.060869565217395</v>
      </c>
      <c r="D13" s="11">
        <f>IFERROR(D12/D14,0)</f>
        <v>-15.704028021015764</v>
      </c>
      <c r="E13" s="11">
        <f>IFERROR(E12/E14,0)</f>
        <v>-2.2476405416495693</v>
      </c>
    </row>
    <row r="14">
      <c r="A14" s="2" t="inlineStr">
        <is>
          <t>Shares</t>
        </is>
      </c>
      <c r="B14" s="23" t="n">
        <v>1.055</v>
      </c>
      <c r="C14" s="23" t="n">
        <v>0.23</v>
      </c>
      <c r="D14" s="23" t="n">
        <v>0.571</v>
      </c>
      <c r="E14" s="23" t="n">
        <v>4.874</v>
      </c>
    </row>
    <row r="15"/>
    <row r="16" customFormat="1" s="4">
      <c r="A16" s="3" t="inlineStr">
        <is>
          <t>Revenue Change</t>
        </is>
      </c>
      <c r="C16" s="15">
        <f>IFERROR(C2/B2-1,"")</f>
        <v>1.4154929577464794</v>
      </c>
      <c r="D16" s="15">
        <f>IFERROR(D2/C2-1,"")</f>
        <v>-0.9897959183673469</v>
      </c>
      <c r="E16" s="15">
        <f>IFERROR(E2/D2-1,"")</f>
        <v>-1.0</v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-33.28873239436619</v>
      </c>
      <c r="C18" s="15">
        <f>IFERROR(C8/C2,"")</f>
        <v>-10.8600583090379</v>
      </c>
      <c r="D18" s="15">
        <f>IFERROR(D8/D2,"")</f>
        <v>-1569.2857142857144</v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2026-10-21T06:31:29Z</dcterms:modified>
  <cp:lastModifiedBy>Wang, Eric</cp:lastModifiedBy>
</cp:coreProperties>
</file>