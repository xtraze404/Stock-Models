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Spruce Biosciences, Inc.</t>
        </is>
      </c>
      <c r="C2" s="10" t="n"/>
    </row>
    <row r="3">
      <c r="B3" t="inlineStr">
        <is>
          <t>Price</t>
        </is>
      </c>
      <c r="C3" s="11">
        <f>INDEX([1]Pharma!$F$1:$F$1000,MATCH("SPRB",[1]Pharma!$B$1:$B$1000,0))</f>
        <v>41.23</v>
      </c>
      <c r="F3" s="1" t="n"/>
    </row>
    <row r="4">
      <c r="B4" t="inlineStr">
        <is>
          <t>Shares</t>
        </is>
      </c>
      <c r="C4" s="21" t="n">
        <v>2.874013</v>
      </c>
      <c r="F4" s="1" t="n"/>
    </row>
    <row r="5">
      <c r="B5" t="inlineStr">
        <is>
          <t>Market Cap.</t>
        </is>
      </c>
      <c r="C5" s="13">
        <f>C3*C4</f>
        <v>118.49555599</v>
      </c>
      <c r="F5" s="1" t="n"/>
    </row>
    <row r="6"/>
    <row r="7">
      <c r="B7" t="inlineStr">
        <is>
          <t>Cash</t>
        </is>
      </c>
      <c r="C7" s="21" t="n">
        <v>96.295</v>
      </c>
    </row>
    <row r="8">
      <c r="B8" t="inlineStr">
        <is>
          <t>Debt</t>
        </is>
      </c>
      <c r="C8" s="21">
        <f>2.5+4.591</f>
        <v>7.091</v>
      </c>
    </row>
    <row r="9">
      <c r="B9" t="inlineStr">
        <is>
          <t>Enterprise V.</t>
        </is>
      </c>
      <c r="C9" s="13">
        <f>C5-C7+C8</f>
        <v>29.29155599</v>
      </c>
    </row>
    <row r="10"/>
    <row r="11">
      <c r="B11" s="14" t="inlineStr">
        <is>
          <t>Net Cash / Share</t>
        </is>
      </c>
      <c r="C11" s="11">
        <f>(C7-C8)/C4</f>
        <v>31.038133787147103</v>
      </c>
    </row>
    <row r="12">
      <c r="B12" s="14" t="inlineStr">
        <is>
          <t>Upside</t>
        </is>
      </c>
      <c r="C12" s="15">
        <f>IFERROR(C11/C3-1,"")</f>
        <v>-0.24719539686764236</v>
      </c>
    </row>
    <row r="13">
      <c r="B13" s="14" t="inlineStr">
        <is>
          <t>Cash / Share</t>
        </is>
      </c>
      <c r="C13" s="11">
        <f>IFERROR((C7-C8)/C4,"")</f>
        <v>31.038133787147103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-42.624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2.0928115615615615</v>
      </c>
    </row>
    <row r="19">
      <c r="B19" s="14" t="inlineStr">
        <is>
          <t>Implied Pipeline Value</t>
        </is>
      </c>
      <c r="C19" s="13">
        <f>C9</f>
        <v>29.29155599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10.089</v>
      </c>
      <c r="G2" s="23" t="n">
        <v>4.911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10.089</v>
      </c>
      <c r="G4" s="23">
        <f>G2-G3</f>
        <v>4.911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10.817</v>
      </c>
      <c r="C5" s="23" t="n">
        <v>23.854</v>
      </c>
      <c r="D5" s="23" t="n">
        <v>30.698</v>
      </c>
      <c r="E5" s="23" t="n">
        <v>35.198</v>
      </c>
      <c r="F5" s="23" t="n">
        <v>49.432</v>
      </c>
      <c r="G5" s="23" t="n">
        <v>46.418</v>
      </c>
      <c r="H5" s="23" t="n">
        <v>19.522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2.29</v>
      </c>
      <c r="C6" s="23" t="n">
        <v>5.562</v>
      </c>
      <c r="D6" s="23" t="n">
        <v>11.368</v>
      </c>
      <c r="E6" s="23" t="n">
        <v>12.085</v>
      </c>
      <c r="F6" s="23" t="n">
        <v>12.65</v>
      </c>
      <c r="G6" s="23" t="n">
        <v>14.644</v>
      </c>
      <c r="H6" s="23" t="n">
        <v>16.991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13.107</v>
      </c>
      <c r="C7" s="23">
        <f>SUM(C5:C6)</f>
        <v>29.416</v>
      </c>
      <c r="D7" s="23">
        <f>SUM(D5:D6)</f>
        <v>42.066</v>
      </c>
      <c r="E7" s="23">
        <f>SUM(E5:E6)</f>
        <v>47.283</v>
      </c>
      <c r="F7" s="23">
        <f>SUM(F5:F6)</f>
        <v>62.082</v>
      </c>
      <c r="G7" s="23">
        <f>SUM(G5:G6)</f>
        <v>61.062</v>
      </c>
      <c r="H7" s="23">
        <f>SUM(H5:H6)</f>
        <v>36.513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-13.107</v>
      </c>
      <c r="C8" s="23">
        <f>C4-C7</f>
        <v>-29.416</v>
      </c>
      <c r="D8" s="23">
        <f>D4-D7</f>
        <v>-42.066</v>
      </c>
      <c r="E8" s="23">
        <f>E4-E7</f>
        <v>-47.283</v>
      </c>
      <c r="F8" s="23">
        <f>F4-F7</f>
        <v>-51.993</v>
      </c>
      <c r="G8" s="23">
        <f>G4-G7</f>
        <v>-56.150999999999996</v>
      </c>
      <c r="H8" s="23">
        <f>H4-H7</f>
        <v>-36.513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0.019</v>
      </c>
      <c r="C9" s="23" t="n">
        <v>-0.123</v>
      </c>
      <c r="D9" s="23" t="n">
        <v>-0.226</v>
      </c>
      <c r="E9" s="23" t="n">
        <v>1.103</v>
      </c>
      <c r="F9" s="23" t="n">
        <v>4.074</v>
      </c>
      <c r="G9" s="23" t="n">
        <v>3.115</v>
      </c>
      <c r="H9" s="23" t="n">
        <v>-2.453</v>
      </c>
    </row>
    <row r="10">
      <c r="A10" s="2" t="inlineStr">
        <is>
          <t>Pretax</t>
        </is>
      </c>
      <c r="B10" s="23">
        <f>B8+B9</f>
        <v>-13.088</v>
      </c>
      <c r="C10" s="23">
        <f>C8+C9</f>
        <v>-29.539</v>
      </c>
      <c r="D10" s="23">
        <f>D8+D9</f>
        <v>-42.292</v>
      </c>
      <c r="E10" s="23">
        <f>E8+E9</f>
        <v>-46.18</v>
      </c>
      <c r="F10" s="23">
        <f>F8+F9</f>
        <v>-47.919000000000004</v>
      </c>
      <c r="G10" s="23">
        <f>G8+G9</f>
        <v>-53.035999999999994</v>
      </c>
      <c r="H10" s="23">
        <f>H8+H9</f>
        <v>-38.966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-13.088</v>
      </c>
      <c r="C12" s="23" t="n">
        <v>-29.539</v>
      </c>
      <c r="D12" s="23" t="n">
        <v>-42.292</v>
      </c>
      <c r="E12" s="23" t="n">
        <v>-46.18</v>
      </c>
      <c r="F12" s="23" t="n">
        <v>-47.919</v>
      </c>
      <c r="G12" s="23" t="n">
        <v>-53.036</v>
      </c>
      <c r="H12" s="23" t="n">
        <v>-38.966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-1189.8181818181818</v>
      </c>
      <c r="C13" s="11">
        <f>IFERROR(C12/C14,0)</f>
        <v>-343.4767441860466</v>
      </c>
      <c r="D13" s="11">
        <f>IFERROR(D12/D14,0)</f>
        <v>-126.62275449101796</v>
      </c>
      <c r="E13" s="11">
        <f>IFERROR(E12/E14,0)</f>
        <v>-137.44047619047618</v>
      </c>
      <c r="F13" s="11">
        <f>IFERROR(F12/F14,0)</f>
        <v>-87.12545454545453</v>
      </c>
      <c r="G13" s="11">
        <f>IFERROR(G12/G14,0)</f>
        <v>-96.4290909090909</v>
      </c>
      <c r="H13" s="11">
        <f>IFERROR(H12/H14,0)</f>
        <v>-50.803129074315514</v>
      </c>
    </row>
    <row r="14">
      <c r="A14" s="2" t="inlineStr">
        <is>
          <t>Shares</t>
        </is>
      </c>
      <c r="B14" s="23" t="n">
        <v>0.011</v>
      </c>
      <c r="C14" s="23" t="n">
        <v>0.08599999999999999</v>
      </c>
      <c r="D14" s="23" t="n">
        <v>0.334</v>
      </c>
      <c r="E14" s="23" t="n">
        <v>0.336</v>
      </c>
      <c r="F14" s="23" t="n">
        <v>0.55</v>
      </c>
      <c r="G14" s="23" t="n">
        <v>0.55</v>
      </c>
      <c r="H14" s="23" t="n">
        <v>0.767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-0.513232233125186</v>
      </c>
      <c r="H16" s="15">
        <f>IFERROR(H2/G2-1,"")</f>
        <v>-1.0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-5.153434433541481</v>
      </c>
      <c r="G18" s="15">
        <f>IFERROR(G8/G2,"")</f>
        <v>-11.433720219914479</v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2026-10-21T06:27:53Z</dcterms:modified>
  <cp:lastModifiedBy>Wang, Eric</cp:lastModifiedBy>
</cp:coreProperties>
</file>