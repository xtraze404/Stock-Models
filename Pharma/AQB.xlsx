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AquaBounty Technologies Inc</t>
        </is>
      </c>
      <c r="C2" s="10" t="n"/>
    </row>
    <row r="3">
      <c r="B3" t="inlineStr">
        <is>
          <t>Price</t>
        </is>
      </c>
      <c r="C3" s="11">
        <f>INDEX([1]Pharma!$F$1:$F$1000,MATCH("AQB",[1]Pharma!$B$1:$B$1000,0))</f>
        <v>1.15</v>
      </c>
      <c r="F3" s="1" t="n"/>
    </row>
    <row r="4">
      <c r="B4" t="inlineStr">
        <is>
          <t>Shares</t>
        </is>
      </c>
      <c r="C4" s="21" t="n">
        <v>5.147204</v>
      </c>
      <c r="F4" s="1" t="n"/>
    </row>
    <row r="5">
      <c r="B5" t="inlineStr">
        <is>
          <t>Market Cap.</t>
        </is>
      </c>
      <c r="C5" s="13">
        <f>C3*C4</f>
        <v>5.9192846</v>
      </c>
      <c r="F5" s="1" t="n"/>
    </row>
    <row r="6"/>
    <row r="7">
      <c r="B7" t="inlineStr">
        <is>
          <t>Cash</t>
        </is>
      </c>
      <c r="C7" s="21" t="n">
        <v>1.889291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4.0299936</v>
      </c>
    </row>
    <row r="10"/>
    <row r="11">
      <c r="B11" s="14" t="inlineStr">
        <is>
          <t>Net Cash / Share</t>
        </is>
      </c>
      <c r="C11" s="11">
        <f>(C7-C8)/C4</f>
        <v>0.36705189846759523</v>
      </c>
    </row>
    <row r="12">
      <c r="B12" s="14" t="inlineStr">
        <is>
          <t>Upside</t>
        </is>
      </c>
      <c r="C12" s="15">
        <f>IFERROR(C11/C3-1,"")</f>
        <v>-0.6808244361151345</v>
      </c>
    </row>
    <row r="13">
      <c r="B13" s="14" t="inlineStr">
        <is>
          <t>Cash / Share</t>
        </is>
      </c>
      <c r="C13" s="11">
        <f>IFERROR((C7-C8)/C4,"")</f>
        <v>0.36705189846759523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-7.175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0.263315818815331</v>
      </c>
    </row>
    <row r="19">
      <c r="B19" s="14" t="inlineStr">
        <is>
          <t>Implied Pipeline Value</t>
        </is>
      </c>
      <c r="C19" s="13">
        <f>C9</f>
        <v>4.0299936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0.053</v>
      </c>
      <c r="E2" s="23" t="n">
        <v>0.08500000000000001</v>
      </c>
      <c r="F2" s="23" t="n">
        <v>0.187</v>
      </c>
      <c r="G2" s="23" t="n">
        <v>0.128</v>
      </c>
      <c r="H2" s="23" t="n">
        <v>1.175</v>
      </c>
      <c r="I2" s="23" t="n">
        <v>3.137</v>
      </c>
      <c r="J2" s="23" t="n">
        <v>2.473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1.194</v>
      </c>
      <c r="E3" s="23" t="n">
        <v>2.626</v>
      </c>
      <c r="F3" s="23" t="n">
        <v>3.574</v>
      </c>
      <c r="G3" s="23" t="n">
        <v>0</v>
      </c>
      <c r="H3" s="23" t="n">
        <v>0</v>
      </c>
      <c r="I3" s="23" t="n">
        <v>13.631</v>
      </c>
      <c r="J3" s="23" t="n">
        <v>15.282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-1.141</v>
      </c>
      <c r="E4" s="23">
        <f>E2-E3</f>
        <v>-2.541</v>
      </c>
      <c r="F4" s="23">
        <f>F2-F3</f>
        <v>-3.387</v>
      </c>
      <c r="G4" s="23">
        <f>G2-G3</f>
        <v>0.128</v>
      </c>
      <c r="H4" s="23">
        <f>H2-H3</f>
        <v>1.175</v>
      </c>
      <c r="I4" s="23">
        <f>I2-I3</f>
        <v>-10.494</v>
      </c>
      <c r="J4" s="23">
        <f>J2-J3</f>
        <v>-12.809000000000001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3.338</v>
      </c>
      <c r="C5" s="23" t="n">
        <v>3.429</v>
      </c>
      <c r="D5" s="23" t="n">
        <v>3.372</v>
      </c>
      <c r="E5" s="23" t="n">
        <v>3.459</v>
      </c>
      <c r="F5" s="23" t="n">
        <v>2.359</v>
      </c>
      <c r="G5" s="23" t="n">
        <v>2.365</v>
      </c>
      <c r="H5" s="23" t="n">
        <v>2.146</v>
      </c>
      <c r="I5" s="23" t="n">
        <v>0.904</v>
      </c>
      <c r="J5" s="23" t="n">
        <v>0.506</v>
      </c>
      <c r="K5" s="23" t="n">
        <v>0.203</v>
      </c>
      <c r="L5" s="23" t="n">
        <v>0</v>
      </c>
    </row>
    <row r="6">
      <c r="A6" s="19" t="inlineStr">
        <is>
          <t>SG&amp;A &amp; Other</t>
        </is>
      </c>
      <c r="B6" s="23" t="n">
        <v>3.69</v>
      </c>
      <c r="C6" s="23" t="n">
        <v>4.636</v>
      </c>
      <c r="D6" s="23" t="n">
        <v>4.72</v>
      </c>
      <c r="E6" s="23" t="n">
        <v>4.365</v>
      </c>
      <c r="F6" s="23" t="n">
        <v>7.432</v>
      </c>
      <c r="G6" s="23" t="n">
        <v>14.011</v>
      </c>
      <c r="H6" s="23" t="n">
        <v>21.151</v>
      </c>
      <c r="I6" s="23" t="n">
        <v>10.926</v>
      </c>
      <c r="J6" s="23" t="n">
        <v>0.356</v>
      </c>
      <c r="K6" s="23" t="n">
        <v>9.423999999999999</v>
      </c>
      <c r="L6" s="23" t="n">
        <v>4.018</v>
      </c>
    </row>
    <row r="7">
      <c r="A7" s="2" t="inlineStr">
        <is>
          <t>Operating Expense</t>
        </is>
      </c>
      <c r="B7" s="23">
        <f>SUM(B5:B6)</f>
        <v>7.0280000000000005</v>
      </c>
      <c r="C7" s="23">
        <f>SUM(C5:C6)</f>
        <v>8.065</v>
      </c>
      <c r="D7" s="23">
        <f>SUM(D5:D6)</f>
        <v>8.091999999999999</v>
      </c>
      <c r="E7" s="23">
        <f>SUM(E5:E6)</f>
        <v>7.824</v>
      </c>
      <c r="F7" s="23">
        <f>SUM(F5:F6)</f>
        <v>9.791</v>
      </c>
      <c r="G7" s="23">
        <f>SUM(G5:G6)</f>
        <v>16.375999999999998</v>
      </c>
      <c r="H7" s="23">
        <f>SUM(H5:H6)</f>
        <v>23.297</v>
      </c>
      <c r="I7" s="23">
        <f>SUM(I5:I6)</f>
        <v>11.83</v>
      </c>
      <c r="J7" s="23">
        <f>SUM(J5:J6)</f>
        <v>0.862</v>
      </c>
      <c r="K7" s="23">
        <f>SUM(K5:K6)</f>
        <v>9.626999999999999</v>
      </c>
      <c r="L7" s="23">
        <f>SUM(L5:L6)</f>
        <v>4.018</v>
      </c>
    </row>
    <row r="8">
      <c r="A8" s="2" t="inlineStr">
        <is>
          <t>Operating Income</t>
        </is>
      </c>
      <c r="B8" s="23">
        <f>B4-B7</f>
        <v>-7.0280000000000005</v>
      </c>
      <c r="C8" s="23">
        <f>C4-C7</f>
        <v>-8.065</v>
      </c>
      <c r="D8" s="23">
        <f>D4-D7</f>
        <v>-9.232999999999999</v>
      </c>
      <c r="E8" s="23">
        <f>E4-E7</f>
        <v>-10.365</v>
      </c>
      <c r="F8" s="23">
        <f>F4-F7</f>
        <v>-13.178</v>
      </c>
      <c r="G8" s="23">
        <f>G4-G7</f>
        <v>-16.247999999999998</v>
      </c>
      <c r="H8" s="23">
        <f>H4-H7</f>
        <v>-22.122</v>
      </c>
      <c r="I8" s="23">
        <f>I4-I7</f>
        <v>-22.323999999999998</v>
      </c>
      <c r="J8" s="23">
        <f>J4-J7</f>
        <v>-13.671000000000001</v>
      </c>
      <c r="K8" s="23">
        <f>K4-K7</f>
        <v>-9.626999999999999</v>
      </c>
      <c r="L8" s="23">
        <f>L4-L7</f>
        <v>-4.018</v>
      </c>
    </row>
    <row r="9">
      <c r="A9" s="19" t="inlineStr">
        <is>
          <t>Interest &amp; Other</t>
        </is>
      </c>
      <c r="B9" s="23" t="n">
        <v>-0.003</v>
      </c>
      <c r="C9" s="23" t="n">
        <v>-0.406</v>
      </c>
      <c r="D9" s="23" t="n">
        <v>-0.027</v>
      </c>
      <c r="E9" s="23" t="n">
        <v>-0.016</v>
      </c>
      <c r="F9" s="23" t="n">
        <v>-0.049</v>
      </c>
      <c r="G9" s="23" t="n">
        <v>-0.152</v>
      </c>
      <c r="H9" s="23" t="n">
        <v>-0.201</v>
      </c>
      <c r="I9" s="23" t="n">
        <v>0.166</v>
      </c>
      <c r="J9" s="23" t="n">
        <v>-13.886</v>
      </c>
      <c r="K9" s="23" t="n">
        <v>-139.566</v>
      </c>
      <c r="L9" s="23" t="n">
        <v>-14.472</v>
      </c>
    </row>
    <row r="10">
      <c r="A10" s="2" t="inlineStr">
        <is>
          <t>Pretax</t>
        </is>
      </c>
      <c r="B10" s="23">
        <f>B8+B9</f>
        <v>-7.031000000000001</v>
      </c>
      <c r="C10" s="23">
        <f>C8+C9</f>
        <v>-8.471</v>
      </c>
      <c r="D10" s="23">
        <f>D8+D9</f>
        <v>-9.259999999999998</v>
      </c>
      <c r="E10" s="23">
        <f>E8+E9</f>
        <v>-10.381</v>
      </c>
      <c r="F10" s="23">
        <f>F8+F9</f>
        <v>-13.227</v>
      </c>
      <c r="G10" s="23">
        <f>G8+G9</f>
        <v>-16.4</v>
      </c>
      <c r="H10" s="23">
        <f>H8+H9</f>
        <v>-22.323</v>
      </c>
      <c r="I10" s="23">
        <f>I8+I9</f>
        <v>-22.157999999999998</v>
      </c>
      <c r="J10" s="23">
        <f>J8+J9</f>
        <v>-27.557000000000002</v>
      </c>
      <c r="K10" s="23">
        <f>K8+K9</f>
        <v>-149.193</v>
      </c>
      <c r="L10" s="23">
        <f>L8+L9</f>
        <v>-18.49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-7.032</v>
      </c>
      <c r="C12" s="23" t="n">
        <v>-8.471</v>
      </c>
      <c r="D12" s="23" t="n">
        <v>-9.259</v>
      </c>
      <c r="E12" s="23" t="n">
        <v>-10.382</v>
      </c>
      <c r="F12" s="23" t="n">
        <v>-13.228</v>
      </c>
      <c r="G12" s="23" t="n">
        <v>-16.4</v>
      </c>
      <c r="H12" s="23" t="n">
        <v>-22.323</v>
      </c>
      <c r="I12" s="23" t="n">
        <v>-22.157</v>
      </c>
      <c r="J12" s="23" t="n">
        <v>-27.558</v>
      </c>
      <c r="K12" s="23" t="n">
        <v>-149.193</v>
      </c>
      <c r="L12" s="23" t="n">
        <v>-18.49</v>
      </c>
    </row>
    <row r="13">
      <c r="A13" s="2" t="inlineStr">
        <is>
          <t>Earnings per Share</t>
        </is>
      </c>
      <c r="B13" s="11">
        <f>IFERROR(B12/B14,0)</f>
        <v>-25.11428571428571</v>
      </c>
      <c r="C13" s="11">
        <f>IFERROR(C12/C14,0)</f>
        <v>-28.715254237288136</v>
      </c>
      <c r="D13" s="11">
        <f>IFERROR(D12/D14,0)</f>
        <v>-19.012320328542096</v>
      </c>
      <c r="E13" s="11">
        <f>IFERROR(E12/E14,0)</f>
        <v>-14.339779005524862</v>
      </c>
      <c r="F13" s="11">
        <f>IFERROR(F12/F14,0)</f>
        <v>-11.863677130044843</v>
      </c>
      <c r="G13" s="11">
        <f>IFERROR(G12/G14,0)</f>
        <v>-8.122833085685983</v>
      </c>
      <c r="H13" s="11">
        <f>IFERROR(H12/H14,0)</f>
        <v>-5.787658802177858</v>
      </c>
      <c r="I13" s="11">
        <f>IFERROR(I12/I14,0)</f>
        <v>-5.78058961648839</v>
      </c>
      <c r="J13" s="11">
        <f>IFERROR(J12/J14,0)</f>
        <v>-7.169094693028096</v>
      </c>
      <c r="K13" s="11">
        <f>IFERROR(K12/K14,0)</f>
        <v>-38.65103626943006</v>
      </c>
      <c r="L13" s="11">
        <f>IFERROR(L12/L14,0)</f>
        <v>-4.77284460505937</v>
      </c>
    </row>
    <row r="14">
      <c r="A14" s="2" t="inlineStr">
        <is>
          <t>Shares</t>
        </is>
      </c>
      <c r="B14" s="23" t="n">
        <v>0.28</v>
      </c>
      <c r="C14" s="23" t="n">
        <v>0.295</v>
      </c>
      <c r="D14" s="23" t="n">
        <v>0.487</v>
      </c>
      <c r="E14" s="23" t="n">
        <v>0.724</v>
      </c>
      <c r="F14" s="23" t="n">
        <v>1.115</v>
      </c>
      <c r="G14" s="23" t="n">
        <v>2.019</v>
      </c>
      <c r="H14" s="23" t="n">
        <v>3.857</v>
      </c>
      <c r="I14" s="23" t="n">
        <v>3.833</v>
      </c>
      <c r="J14" s="23" t="n">
        <v>3.844</v>
      </c>
      <c r="K14" s="23" t="n">
        <v>3.86</v>
      </c>
      <c r="L14" s="23" t="n">
        <v>3.874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0.6037735849056605</v>
      </c>
      <c r="F16" s="15">
        <f>IFERROR(F2/E2-1,"")</f>
        <v>1.1999999999999997</v>
      </c>
      <c r="G16" s="15">
        <f>IFERROR(G2/F2-1,"")</f>
        <v>-0.31550802139037426</v>
      </c>
      <c r="H16" s="15">
        <f>IFERROR(H2/G2-1,"")</f>
        <v>8.1796875</v>
      </c>
      <c r="I16" s="15">
        <f>IFERROR(I2/H2-1,"")</f>
        <v>1.6697872340425532</v>
      </c>
      <c r="J16" s="15">
        <f>IFERROR(J2/I2-1,"")</f>
        <v>-0.21166719795983424</v>
      </c>
      <c r="K16" s="15">
        <f>IFERROR(K2/J2-1,"")</f>
        <v>-1.0</v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-21.528301886792455</v>
      </c>
      <c r="E17" s="15">
        <f>IFERROR(E4/E2,"")</f>
        <v>-29.89411764705882</v>
      </c>
      <c r="F17" s="15">
        <f>IFERROR(F4/F2,"")</f>
        <v>-18.112299465240643</v>
      </c>
      <c r="G17" s="15">
        <f>IFERROR(G4/G2,"")</f>
        <v>1.0</v>
      </c>
      <c r="H17" s="15">
        <f>IFERROR(H4/H2,"")</f>
        <v>1.0</v>
      </c>
      <c r="I17" s="15">
        <f>IFERROR(I4/I2,"")</f>
        <v>-3.345234300286898</v>
      </c>
      <c r="J17" s="15">
        <f>IFERROR(J4/J2,"")</f>
        <v>-5.17953902143146</v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-174.2075471698113</v>
      </c>
      <c r="E18" s="15">
        <f>IFERROR(E8/E2,"")</f>
        <v>-121.94117647058823</v>
      </c>
      <c r="F18" s="15">
        <f>IFERROR(F8/F2,"")</f>
        <v>-70.47058823529412</v>
      </c>
      <c r="G18" s="15">
        <f>IFERROR(G8/G2,"")</f>
        <v>-126.93749999999997</v>
      </c>
      <c r="H18" s="15">
        <f>IFERROR(H8/H2,"")</f>
        <v>-18.82723404255319</v>
      </c>
      <c r="I18" s="15">
        <f>IFERROR(I8/I2,"")</f>
        <v>-7.1163532036978</v>
      </c>
      <c r="J18" s="15">
        <f>IFERROR(J8/J2,"")</f>
        <v>-5.52810351799434</v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2026-10-21T06:31:20Z</dcterms:modified>
  <cp:lastModifiedBy>Wang, Eric</cp:lastModifiedBy>
</cp:coreProperties>
</file>