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Onkure Therapeutics Inc</t>
        </is>
      </c>
      <c r="C2" s="10" t="n"/>
    </row>
    <row r="3">
      <c r="B3" t="inlineStr">
        <is>
          <t>Price</t>
        </is>
      </c>
      <c r="C3" s="11">
        <f>INDEX([1]Pharma!$F$1:$F$1000,MATCH("OKUR",[1]Pharma!$B$1:$B$1000,0))</f>
        <v>2.36</v>
      </c>
      <c r="F3" s="1" t="n"/>
    </row>
    <row r="4">
      <c r="B4" t="inlineStr">
        <is>
          <t>Shares</t>
        </is>
      </c>
      <c r="C4" s="21" t="n">
        <v>40.496309</v>
      </c>
      <c r="F4" s="1" t="n"/>
    </row>
    <row r="5">
      <c r="B5" t="inlineStr">
        <is>
          <t>Market Cap.</t>
        </is>
      </c>
      <c r="C5" s="13">
        <f>C3*C4</f>
        <v>95.57128923999998</v>
      </c>
      <c r="F5" s="1" t="n"/>
    </row>
    <row r="6"/>
    <row r="7">
      <c r="B7" t="inlineStr">
        <is>
          <t>Cash</t>
        </is>
      </c>
      <c r="C7" s="21">
        <f>166.502+9.884</f>
        <v>176.38600000000002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-80.81471076000004</v>
      </c>
    </row>
    <row r="10"/>
    <row r="11">
      <c r="B11" s="14" t="inlineStr">
        <is>
          <t>rNPV / Share</t>
        </is>
      </c>
      <c r="C11" s="11">
        <f>NPV!B27</f>
        <v>3.9537132877148706</v>
      </c>
    </row>
    <row r="12">
      <c r="B12" s="14" t="inlineStr">
        <is>
          <t>Upside</t>
        </is>
      </c>
      <c r="C12" s="15">
        <f>IFERROR(C11/C3-1,"")</f>
        <v>0.6753022405571487</v>
      </c>
    </row>
    <row r="13">
      <c r="B13" s="14" t="inlineStr">
        <is>
          <t>Cash / Share</t>
        </is>
      </c>
      <c r="C13" s="11">
        <f>IFERROR((C7-C8)/C4,"")</f>
        <v>4.355606828266745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-47.841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3.6869212600071073</v>
      </c>
    </row>
    <row r="19">
      <c r="B19" s="14" t="inlineStr">
        <is>
          <t>Implied Pipeline Value</t>
        </is>
      </c>
      <c r="C19" s="13">
        <f>C9</f>
        <v>-80.81471076000004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15.944</v>
      </c>
      <c r="C5" s="23" t="n">
        <v>28.169</v>
      </c>
      <c r="D5" s="23" t="n">
        <v>37.705</v>
      </c>
      <c r="E5" s="23" t="n">
        <v>32.115</v>
      </c>
      <c r="F5" s="23" t="n">
        <v>43.795</v>
      </c>
      <c r="G5" s="23" t="n">
        <v>48.26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3.608</v>
      </c>
      <c r="C6" s="23" t="n">
        <v>11.649</v>
      </c>
      <c r="D6" s="23" t="n">
        <v>16.143</v>
      </c>
      <c r="E6" s="23" t="n">
        <v>4.819</v>
      </c>
      <c r="F6" s="23" t="n">
        <v>10.591</v>
      </c>
      <c r="G6" s="23" t="n">
        <v>14.69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19.552</v>
      </c>
      <c r="C7" s="23">
        <f>SUM(C5:C6)</f>
        <v>39.818</v>
      </c>
      <c r="D7" s="23">
        <f>SUM(D5:D6)</f>
        <v>53.848</v>
      </c>
      <c r="E7" s="23">
        <f>SUM(E5:E6)</f>
        <v>36.934000000000005</v>
      </c>
      <c r="F7" s="23">
        <f>SUM(F5:F6)</f>
        <v>54.386</v>
      </c>
      <c r="G7" s="23">
        <f>SUM(G5:G6)</f>
        <v>62.949999999999996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-19.552</v>
      </c>
      <c r="C8" s="23">
        <f>C4-C7</f>
        <v>-39.818</v>
      </c>
      <c r="D8" s="23">
        <f>D4-D7</f>
        <v>-53.848</v>
      </c>
      <c r="E8" s="23">
        <f>E4-E7</f>
        <v>-36.934000000000005</v>
      </c>
      <c r="F8" s="23">
        <f>F4-F7</f>
        <v>-54.386</v>
      </c>
      <c r="G8" s="23">
        <f>G4-G7</f>
        <v>-62.949999999999996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0.08699999999999999</v>
      </c>
      <c r="C9" s="23" t="n">
        <v>0.048</v>
      </c>
      <c r="D9" s="23" t="n">
        <v>1.893</v>
      </c>
      <c r="E9" s="23" t="n">
        <v>1.623</v>
      </c>
      <c r="F9" s="23" t="n">
        <v>1.713</v>
      </c>
      <c r="G9" s="23" t="n">
        <v>3.433</v>
      </c>
    </row>
    <row r="10">
      <c r="A10" s="2" t="inlineStr">
        <is>
          <t>Pretax</t>
        </is>
      </c>
      <c r="B10" s="23">
        <f>B8+B9</f>
        <v>-19.465</v>
      </c>
      <c r="C10" s="23">
        <f>C8+C9</f>
        <v>-39.769999999999996</v>
      </c>
      <c r="D10" s="23">
        <f>D8+D9</f>
        <v>-51.955</v>
      </c>
      <c r="E10" s="23">
        <f>E8+E9</f>
        <v>-35.31100000000001</v>
      </c>
      <c r="F10" s="23">
        <f>F8+F9</f>
        <v>-52.673</v>
      </c>
      <c r="G10" s="23">
        <f>G8+G9</f>
        <v>-59.516999999999996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-19.465</v>
      </c>
      <c r="C12" s="23" t="n">
        <v>-39.77</v>
      </c>
      <c r="D12" s="23" t="n">
        <v>-51.955</v>
      </c>
      <c r="E12" s="23" t="n">
        <v>-35.311</v>
      </c>
      <c r="F12" s="23" t="n">
        <v>-52.673</v>
      </c>
      <c r="G12" s="23" t="n">
        <v>-59.517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-1.910581075775422</v>
      </c>
      <c r="C13" s="11">
        <f>IFERROR(C12/C14,0)</f>
        <v>-3.9271255060728745</v>
      </c>
      <c r="D13" s="11">
        <f>IFERROR(D12/D14,0)</f>
        <v>-3.8001023990637797</v>
      </c>
      <c r="E13" s="11">
        <f>IFERROR(E12/E14,0)</f>
        <v>-2.592013506569772</v>
      </c>
      <c r="F13" s="11">
        <f>IFERROR(F12/F14,0)</f>
        <v>-3.820205976211198</v>
      </c>
      <c r="G13" s="11">
        <f>IFERROR(G12/G14,0)</f>
        <v>-4.403447765611128</v>
      </c>
    </row>
    <row r="14">
      <c r="A14" s="2" t="inlineStr">
        <is>
          <t>Shares</t>
        </is>
      </c>
      <c r="B14" s="23" t="n">
        <v>10.188</v>
      </c>
      <c r="C14" s="23" t="n">
        <v>10.127</v>
      </c>
      <c r="D14" s="23" t="n">
        <v>13.672</v>
      </c>
      <c r="E14" s="23" t="n">
        <v>13.623</v>
      </c>
      <c r="F14" s="23" t="n">
        <v>13.788</v>
      </c>
      <c r="G14" s="23" t="n">
        <v>13.516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Onkure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0.12412641999999996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62.14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258.7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-16.275205003292747</v>
      </c>
      <c r="C29" s="42">
        <f>NPV!B25</f>
        <v>160.11079499670728</v>
      </c>
      <c r="D29" s="43">
        <f>NPV!B27</f>
        <v>3.9537132877148706</v>
      </c>
      <c r="E29" s="44">
        <f>NPV!B29</f>
        <v>0.6753022405571487</v>
      </c>
    </row>
    <row r="30">
      <c r="A30" s="45" t="n">
        <v>1</v>
      </c>
      <c r="B30" s="46">
        <f t="dataTable" ref="B30:E32" r1="B4"/>
        <v>-112.02073601317522</v>
      </c>
      <c r="C30" s="46">
        <v>64.3652639868248</v>
      </c>
      <c r="D30" s="47">
        <v>1.5894106296656518</v>
      </c>
      <c r="E30" s="48">
        <v>-0.3265209196331983</v>
      </c>
    </row>
    <row r="31">
      <c r="A31" s="45" t="n">
        <v>2</v>
      </c>
      <c r="B31" s="46">
        <v>-16.275205003292747</v>
      </c>
      <c r="C31" s="46">
        <v>160.11079499670728</v>
      </c>
      <c r="D31" s="47">
        <v>3.9537132877148706</v>
      </c>
      <c r="E31" s="48">
        <v>0.6753022405571487</v>
      </c>
    </row>
    <row r="32">
      <c r="A32" s="45" t="n">
        <v>3</v>
      </c>
      <c r="B32" s="46">
        <v>133.9347379808801</v>
      </c>
      <c r="C32" s="46">
        <v>310.32073798088015</v>
      </c>
      <c r="D32" s="47">
        <v>7.662938812050259</v>
      </c>
      <c r="E32" s="48">
        <v>2.247007971207737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3.9537132877148706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1.1017551404546975</v>
      </c>
      <c r="C37" s="47">
        <v>1.7787425106823558</v>
      </c>
      <c r="D37" s="47">
        <v>2.455729880910013</v>
      </c>
      <c r="E37" s="47">
        <v>3.6673032330764834</v>
      </c>
      <c r="F37" s="47">
        <v>4.811143306804746</v>
      </c>
    </row>
    <row r="38">
      <c r="A38" s="50" t="n">
        <v>0.8</v>
      </c>
      <c r="B38" s="47">
        <v>1.497104361144698</v>
      </c>
      <c r="C38" s="47">
        <v>2.399754188114907</v>
      </c>
      <c r="D38" s="47">
        <v>3.2272576987011314</v>
      </c>
      <c r="E38" s="47">
        <v>4.762244372075291</v>
      </c>
      <c r="F38" s="47">
        <v>6.253856783007508</v>
      </c>
    </row>
    <row r="39">
      <c r="A39" s="50" t="n">
        <v>1</v>
      </c>
      <c r="B39" s="47">
        <v>1.8931796447060214</v>
      </c>
      <c r="C39" s="47">
        <v>2.9794902937557626</v>
      </c>
      <c r="D39" s="47">
        <v>3.9537132877148706</v>
      </c>
      <c r="E39" s="47">
        <v>5.835649421742885</v>
      </c>
      <c r="F39" s="47">
        <v>7.678301411828213</v>
      </c>
    </row>
    <row r="40">
      <c r="A40" s="50" t="n">
        <v>1.2</v>
      </c>
      <c r="B40" s="47">
        <v>2.2899809911386684</v>
      </c>
      <c r="C40" s="47">
        <v>3.5191711386322027</v>
      </c>
      <c r="D40" s="47">
        <v>4.666349312524476</v>
      </c>
      <c r="E40" s="47">
        <v>6.899295725212642</v>
      </c>
      <c r="F40" s="47">
        <v>9.096272867897644</v>
      </c>
    </row>
    <row r="41">
      <c r="A41" s="50" t="n">
        <v>1.4</v>
      </c>
      <c r="B41" s="47">
        <v>2.6805481593003573</v>
      </c>
      <c r="C41" s="47">
        <v>4.048767636470304</v>
      </c>
      <c r="D41" s="47">
        <v>5.369950562587462</v>
      </c>
      <c r="E41" s="47">
        <v>7.9521906051222455</v>
      </c>
      <c r="F41" s="47">
        <v>10.501806830022064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Onkure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Melanoma</t>
        </is>
      </c>
      <c r="C4" s="14" t="inlineStr">
        <is>
          <t>OKI-179 + binimetinib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113.54812869523724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11.309999999999999</v>
      </c>
      <c r="T4" s="23">
        <f>IF(T$3&lt;$I4,0,$G4*Assumptions!$E$11*INDEX(Assumptions!$B$24:$G$24,MIN(6,T$3-$I4+1))*IF(T$3&gt;$J4,(1-Assumptions!$B$26)^(T$3-$J4),1)*IF($H4&gt;=1,1,MIN(0.97,$H4*Assumptions!$E$12)))</f>
        <v>28.275</v>
      </c>
      <c r="U4" s="23">
        <f>IF(U$3&lt;$I4,0,$G4*Assumptions!$E$11*INDEX(Assumptions!$B$24:$G$24,MIN(6,U$3-$I4+1))*IF(U$3&gt;$J4,(1-Assumptions!$B$26)^(U$3-$J4),1)*IF($H4&gt;=1,1,MIN(0.97,$H4*Assumptions!$E$12)))</f>
        <v>50.894999999999996</v>
      </c>
      <c r="V4" s="23">
        <f>IF(V$3&lt;$I4,0,$G4*Assumptions!$E$11*INDEX(Assumptions!$B$24:$G$24,MIN(6,V$3-$I4+1))*IF(V$3&gt;$J4,(1-Assumptions!$B$26)^(V$3-$J4),1)*IF($H4&gt;=1,1,MIN(0.97,$H4*Assumptions!$E$12)))</f>
        <v>73.515</v>
      </c>
      <c r="W4" s="23">
        <f>IF(W$3&lt;$I4,0,$G4*Assumptions!$E$11*INDEX(Assumptions!$B$24:$G$24,MIN(6,W$3-$I4+1))*IF(W$3&gt;$J4,(1-Assumptions!$B$26)^(W$3-$J4),1)*IF($H4&gt;=1,1,MIN(0.97,$H4*Assumptions!$E$12)))</f>
        <v>96.13499999999999</v>
      </c>
      <c r="X4" s="23">
        <f>IF(X$3&lt;$I4,0,$G4*Assumptions!$E$11*INDEX(Assumptions!$B$24:$G$24,MIN(6,X$3-$I4+1))*IF(X$3&gt;$J4,(1-Assumptions!$B$26)^(X$3-$J4),1)*IF($H4&gt;=1,1,MIN(0.97,$H4*Assumptions!$E$12)))</f>
        <v>113.1</v>
      </c>
      <c r="Y4" s="23">
        <f>IF(Y$3&lt;$I4,0,$G4*Assumptions!$E$11*INDEX(Assumptions!$B$24:$G$24,MIN(6,Y$3-$I4+1))*IF(Y$3&gt;$J4,(1-Assumptions!$B$26)^(Y$3-$J4),1)*IF($H4&gt;=1,1,MIN(0.97,$H4*Assumptions!$E$12)))</f>
        <v>113.1</v>
      </c>
      <c r="Z4" s="23">
        <f>IF(Z$3&lt;$I4,0,$G4*Assumptions!$E$11*INDEX(Assumptions!$B$24:$G$24,MIN(6,Z$3-$I4+1))*IF(Z$3&gt;$J4,(1-Assumptions!$B$26)^(Z$3-$J4),1)*IF($H4&gt;=1,1,MIN(0.97,$H4*Assumptions!$E$12)))</f>
        <v>113.1</v>
      </c>
      <c r="AA4" s="23">
        <f>IF(AA$3&lt;$I4,0,$G4*Assumptions!$E$11*INDEX(Assumptions!$B$24:$G$24,MIN(6,AA$3-$I4+1))*IF(AA$3&gt;$J4,(1-Assumptions!$B$26)^(AA$3-$J4),1)*IF($H4&gt;=1,1,MIN(0.97,$H4*Assumptions!$E$12)))</f>
        <v>113.1</v>
      </c>
      <c r="AB4" s="23">
        <f>IF(AB$3&lt;$I4,0,$G4*Assumptions!$E$11*INDEX(Assumptions!$B$24:$G$24,MIN(6,AB$3-$I4+1))*IF(AB$3&gt;$J4,(1-Assumptions!$B$26)^(AB$3-$J4),1)*IF($H4&gt;=1,1,MIN(0.97,$H4*Assumptions!$E$12)))</f>
        <v>113.1</v>
      </c>
      <c r="AC4" s="23">
        <f>IF(AC$3&lt;$I4,0,$G4*Assumptions!$E$11*INDEX(Assumptions!$B$24:$G$24,MIN(6,AC$3-$I4+1))*IF(AC$3&gt;$J4,(1-Assumptions!$B$26)^(AC$3-$J4),1)*IF($H4&gt;=1,1,MIN(0.97,$H4*Assumptions!$E$12)))</f>
        <v>113.1</v>
      </c>
      <c r="AD4" s="23">
        <f>IF(AD$3&lt;$I4,0,$G4*Assumptions!$E$11*INDEX(Assumptions!$B$24:$G$24,MIN(6,AD$3-$I4+1))*IF(AD$3&gt;$J4,(1-Assumptions!$B$26)^(AD$3-$J4),1)*IF($H4&gt;=1,1,MIN(0.97,$H4*Assumptions!$E$12)))</f>
        <v>113.1</v>
      </c>
      <c r="AE4" s="23">
        <f>IF(AE$3&lt;$I4,0,$G4*Assumptions!$E$11*INDEX(Assumptions!$B$24:$G$24,MIN(6,AE$3-$I4+1))*IF(AE$3&gt;$J4,(1-Assumptions!$B$26)^(AE$3-$J4),1)*IF($H4&gt;=1,1,MIN(0.97,$H4*Assumptions!$E$12)))</f>
        <v>113.1</v>
      </c>
      <c r="AF4" s="23">
        <f>IF(AF$3&lt;$I4,0,$G4*Assumptions!$E$11*INDEX(Assumptions!$B$24:$G$24,MIN(6,AF$3-$I4+1))*IF(AF$3&gt;$J4,(1-Assumptions!$B$26)^(AF$3-$J4),1)*IF($H4&gt;=1,1,MIN(0.97,$H4*Assumptions!$E$12)))</f>
        <v>56.55</v>
      </c>
      <c r="AG4" s="35">
        <f>IF(F4="Owned",1-IF(H4&gt;=1,1,MIN(0.97,H4*Assumptions!$E$12)),1)</f>
        <v>0.9246</v>
      </c>
    </row>
    <row r="5">
      <c r="A5" s="39" t="n">
        <v>2</v>
      </c>
      <c r="B5" s="14" t="inlineStr">
        <is>
          <t>Solid tumors (basket)</t>
        </is>
      </c>
      <c r="C5" s="14" t="inlineStr">
        <is>
          <t>OKI-219, Tucatinib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69.22180286367352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7.904999999999999</v>
      </c>
      <c r="U5" s="23">
        <f>IF(U$3&lt;$I5,0,$G5*Assumptions!$E$11*INDEX(Assumptions!$B$24:$G$24,MIN(6,U$3-$I5+1))*IF(U$3&gt;$J5,(1-Assumptions!$B$26)^(U$3-$J5),1)*IF($H5&gt;=1,1,MIN(0.97,$H5*Assumptions!$E$12)))</f>
        <v>19.7625</v>
      </c>
      <c r="V5" s="23">
        <f>IF(V$3&lt;$I5,0,$G5*Assumptions!$E$11*INDEX(Assumptions!$B$24:$G$24,MIN(6,V$3-$I5+1))*IF(V$3&gt;$J5,(1-Assumptions!$B$26)^(V$3-$J5),1)*IF($H5&gt;=1,1,MIN(0.97,$H5*Assumptions!$E$12)))</f>
        <v>35.5725</v>
      </c>
      <c r="W5" s="23">
        <f>IF(W$3&lt;$I5,0,$G5*Assumptions!$E$11*INDEX(Assumptions!$B$24:$G$24,MIN(6,W$3-$I5+1))*IF(W$3&gt;$J5,(1-Assumptions!$B$26)^(W$3-$J5),1)*IF($H5&gt;=1,1,MIN(0.97,$H5*Assumptions!$E$12)))</f>
        <v>51.3825</v>
      </c>
      <c r="X5" s="23">
        <f>IF(X$3&lt;$I5,0,$G5*Assumptions!$E$11*INDEX(Assumptions!$B$24:$G$24,MIN(6,X$3-$I5+1))*IF(X$3&gt;$J5,(1-Assumptions!$B$26)^(X$3-$J5),1)*IF($H5&gt;=1,1,MIN(0.97,$H5*Assumptions!$E$12)))</f>
        <v>67.1925</v>
      </c>
      <c r="Y5" s="23">
        <f>IF(Y$3&lt;$I5,0,$G5*Assumptions!$E$11*INDEX(Assumptions!$B$24:$G$24,MIN(6,Y$3-$I5+1))*IF(Y$3&gt;$J5,(1-Assumptions!$B$26)^(Y$3-$J5),1)*IF($H5&gt;=1,1,MIN(0.97,$H5*Assumptions!$E$12)))</f>
        <v>79.05</v>
      </c>
      <c r="Z5" s="23">
        <f>IF(Z$3&lt;$I5,0,$G5*Assumptions!$E$11*INDEX(Assumptions!$B$24:$G$24,MIN(6,Z$3-$I5+1))*IF(Z$3&gt;$J5,(1-Assumptions!$B$26)^(Z$3-$J5),1)*IF($H5&gt;=1,1,MIN(0.97,$H5*Assumptions!$E$12)))</f>
        <v>79.05</v>
      </c>
      <c r="AA5" s="23">
        <f>IF(AA$3&lt;$I5,0,$G5*Assumptions!$E$11*INDEX(Assumptions!$B$24:$G$24,MIN(6,AA$3-$I5+1))*IF(AA$3&gt;$J5,(1-Assumptions!$B$26)^(AA$3-$J5),1)*IF($H5&gt;=1,1,MIN(0.97,$H5*Assumptions!$E$12)))</f>
        <v>79.05</v>
      </c>
      <c r="AB5" s="23">
        <f>IF(AB$3&lt;$I5,0,$G5*Assumptions!$E$11*INDEX(Assumptions!$B$24:$G$24,MIN(6,AB$3-$I5+1))*IF(AB$3&gt;$J5,(1-Assumptions!$B$26)^(AB$3-$J5),1)*IF($H5&gt;=1,1,MIN(0.97,$H5*Assumptions!$E$12)))</f>
        <v>79.05</v>
      </c>
      <c r="AC5" s="23">
        <f>IF(AC$3&lt;$I5,0,$G5*Assumptions!$E$11*INDEX(Assumptions!$B$24:$G$24,MIN(6,AC$3-$I5+1))*IF(AC$3&gt;$J5,(1-Assumptions!$B$26)^(AC$3-$J5),1)*IF($H5&gt;=1,1,MIN(0.97,$H5*Assumptions!$E$12)))</f>
        <v>79.05</v>
      </c>
      <c r="AD5" s="23">
        <f>IF(AD$3&lt;$I5,0,$G5*Assumptions!$E$11*INDEX(Assumptions!$B$24:$G$24,MIN(6,AD$3-$I5+1))*IF(AD$3&gt;$J5,(1-Assumptions!$B$26)^(AD$3-$J5),1)*IF($H5&gt;=1,1,MIN(0.97,$H5*Assumptions!$E$12)))</f>
        <v>79.05</v>
      </c>
      <c r="AE5" s="23">
        <f>IF(AE$3&lt;$I5,0,$G5*Assumptions!$E$11*INDEX(Assumptions!$B$24:$G$24,MIN(6,AE$3-$I5+1))*IF(AE$3&gt;$J5,(1-Assumptions!$B$26)^(AE$3-$J5),1)*IF($H5&gt;=1,1,MIN(0.97,$H5*Assumptions!$E$12)))</f>
        <v>79.05</v>
      </c>
      <c r="AF5" s="23">
        <f>IF(AF$3&lt;$I5,0,$G5*Assumptions!$E$11*INDEX(Assumptions!$B$24:$G$24,MIN(6,AF$3-$I5+1))*IF(AF$3&gt;$J5,(1-Assumptions!$B$26)^(AF$3-$J5),1)*IF($H5&gt;=1,1,MIN(0.97,$H5*Assumptions!$E$12)))</f>
        <v>79.05</v>
      </c>
      <c r="AG5" s="35">
        <f>IF(F5="Owned",1-IF(H5&gt;=1,1,MIN(0.97,H5*Assumptions!$E$12)),1)</f>
        <v>0.9473</v>
      </c>
    </row>
    <row r="6">
      <c r="B6" s="24" t="inlineStr">
        <is>
          <t>Risked revenue</t>
        </is>
      </c>
      <c r="L6" s="54">
        <f>SUM(L4:L5)</f>
        <v>182.76993155891074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0.0</v>
      </c>
      <c r="S6" s="54">
        <f>SUM(S4:S5)</f>
        <v>11.309999999999999</v>
      </c>
      <c r="T6" s="54">
        <f>SUM(T4:T5)</f>
        <v>36.18</v>
      </c>
      <c r="U6" s="54">
        <f>SUM(U4:U5)</f>
        <v>70.6575</v>
      </c>
      <c r="V6" s="54">
        <f>SUM(V4:V5)</f>
        <v>109.0875</v>
      </c>
      <c r="W6" s="54">
        <f>SUM(W4:W5)</f>
        <v>147.51749999999998</v>
      </c>
      <c r="X6" s="54">
        <f>SUM(X4:X5)</f>
        <v>180.2925</v>
      </c>
      <c r="Y6" s="54">
        <f>SUM(Y4:Y5)</f>
        <v>192.14999999999998</v>
      </c>
      <c r="Z6" s="54">
        <f>SUM(Z4:Z5)</f>
        <v>192.14999999999998</v>
      </c>
      <c r="AA6" s="54">
        <f>SUM(AA4:AA5)</f>
        <v>192.14999999999998</v>
      </c>
      <c r="AB6" s="54">
        <f>SUM(AB4:AB5)</f>
        <v>192.14999999999998</v>
      </c>
      <c r="AC6" s="54">
        <f>SUM(AC4:AC5)</f>
        <v>192.14999999999998</v>
      </c>
      <c r="AD6" s="54">
        <f>SUM(AD4:AD5)</f>
        <v>192.14999999999998</v>
      </c>
      <c r="AE6" s="54">
        <f>SUM(AE4:AE5)</f>
        <v>192.14999999999998</v>
      </c>
      <c r="AF6" s="54">
        <f>SUM(AF4:AF5)</f>
        <v>135.6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0.0</v>
      </c>
      <c r="S7" s="55">
        <f>SUMPRODUCT(S4:S5,$K$4:$K$5)</f>
        <v>4.524</v>
      </c>
      <c r="T7" s="55">
        <f>SUMPRODUCT(T4:T5,$K$4:$K$5)</f>
        <v>14.472000000000001</v>
      </c>
      <c r="U7" s="55">
        <f>SUMPRODUCT(U4:U5,$K$4:$K$5)</f>
        <v>28.263</v>
      </c>
      <c r="V7" s="55">
        <f>SUMPRODUCT(V4:V5,$K$4:$K$5)</f>
        <v>43.635000000000005</v>
      </c>
      <c r="W7" s="55">
        <f>SUMPRODUCT(W4:W5,$K$4:$K$5)</f>
        <v>59.007000000000005</v>
      </c>
      <c r="X7" s="55">
        <f>SUMPRODUCT(X4:X5,$K$4:$K$5)</f>
        <v>72.117</v>
      </c>
      <c r="Y7" s="55">
        <f>SUMPRODUCT(Y4:Y5,$K$4:$K$5)</f>
        <v>76.86</v>
      </c>
      <c r="Z7" s="55">
        <f>SUMPRODUCT(Z4:Z5,$K$4:$K$5)</f>
        <v>76.86</v>
      </c>
      <c r="AA7" s="55">
        <f>SUMPRODUCT(AA4:AA5,$K$4:$K$5)</f>
        <v>76.86</v>
      </c>
      <c r="AB7" s="55">
        <f>SUMPRODUCT(AB4:AB5,$K$4:$K$5)</f>
        <v>76.86</v>
      </c>
      <c r="AC7" s="55">
        <f>SUMPRODUCT(AC4:AC5,$K$4:$K$5)</f>
        <v>76.86</v>
      </c>
      <c r="AD7" s="55">
        <f>SUMPRODUCT(AD4:AD5,$K$4:$K$5)</f>
        <v>76.86</v>
      </c>
      <c r="AE7" s="55">
        <f>SUMPRODUCT(AE4:AE5,$K$4:$K$5)</f>
        <v>76.86</v>
      </c>
      <c r="AF7" s="55">
        <f>SUMPRODUCT(AF4:AF5,$K$4:$K$5)</f>
        <v>54.24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Onkure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0.0</v>
      </c>
      <c r="I4" s="57">
        <f>Pipeline!S6</f>
        <v>11.309999999999999</v>
      </c>
      <c r="J4" s="57">
        <f>Pipeline!T6</f>
        <v>36.18</v>
      </c>
      <c r="K4" s="57">
        <f>Pipeline!U6</f>
        <v>70.6575</v>
      </c>
      <c r="L4" s="57">
        <f>Pipeline!V6</f>
        <v>109.0875</v>
      </c>
      <c r="M4" s="57">
        <f>Pipeline!W6</f>
        <v>147.51749999999998</v>
      </c>
      <c r="N4" s="57">
        <f>Pipeline!X6</f>
        <v>180.2925</v>
      </c>
      <c r="O4" s="57">
        <f>Pipeline!Y6</f>
        <v>192.14999999999998</v>
      </c>
      <c r="P4" s="57">
        <f>Pipeline!Z6</f>
        <v>192.14999999999998</v>
      </c>
      <c r="Q4" s="57">
        <f>Pipeline!AA6</f>
        <v>192.14999999999998</v>
      </c>
      <c r="R4" s="57">
        <f>Pipeline!AB6</f>
        <v>192.14999999999998</v>
      </c>
      <c r="S4" s="57">
        <f>Pipeline!AC6</f>
        <v>192.14999999999998</v>
      </c>
      <c r="T4" s="57">
        <f>Pipeline!AD6</f>
        <v>192.14999999999998</v>
      </c>
      <c r="U4" s="57">
        <f>Pipeline!AE6</f>
        <v>192.14999999999998</v>
      </c>
      <c r="V4" s="57">
        <f>Pipeline!AF6</f>
        <v>135.6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0.0</v>
      </c>
      <c r="I5" s="57">
        <f>Pipeline!S7</f>
        <v>4.524</v>
      </c>
      <c r="J5" s="57">
        <f>Pipeline!T7</f>
        <v>14.472000000000001</v>
      </c>
      <c r="K5" s="57">
        <f>Pipeline!U7</f>
        <v>28.263</v>
      </c>
      <c r="L5" s="57">
        <f>Pipeline!V7</f>
        <v>43.635000000000005</v>
      </c>
      <c r="M5" s="57">
        <f>Pipeline!W7</f>
        <v>59.007000000000005</v>
      </c>
      <c r="N5" s="57">
        <f>Pipeline!X7</f>
        <v>72.117</v>
      </c>
      <c r="O5" s="57">
        <f>Pipeline!Y7</f>
        <v>76.86</v>
      </c>
      <c r="P5" s="57">
        <f>Pipeline!Z7</f>
        <v>76.86</v>
      </c>
      <c r="Q5" s="57">
        <f>Pipeline!AA7</f>
        <v>76.86</v>
      </c>
      <c r="R5" s="57">
        <f>Pipeline!AB7</f>
        <v>76.86</v>
      </c>
      <c r="S5" s="57">
        <f>Pipeline!AC7</f>
        <v>76.86</v>
      </c>
      <c r="T5" s="57">
        <f>Pipeline!AD7</f>
        <v>76.86</v>
      </c>
      <c r="U5" s="57">
        <f>Pipeline!AE7</f>
        <v>76.86</v>
      </c>
      <c r="V5" s="57">
        <f>Pipeline!AF7</f>
        <v>54.24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-62.14</v>
      </c>
      <c r="D6" s="23">
        <f>-IF(D3-2026&lt;Assumptions!$B$19,Assumptions!$B$18,Assumptions!$B$18*Assumptions!$B$20*Assumptions!$B$16)</f>
        <v>-62.14</v>
      </c>
      <c r="E6" s="23">
        <f>-IF(E3-2026&lt;Assumptions!$B$19,Assumptions!$B$18,Assumptions!$B$18*Assumptions!$B$20*Assumptions!$B$16)</f>
        <v>-62.14</v>
      </c>
      <c r="F6" s="23">
        <f>-IF(F3-2026&lt;Assumptions!$B$19,Assumptions!$B$18,Assumptions!$B$18*Assumptions!$B$20*Assumptions!$B$16)</f>
        <v>-62.14</v>
      </c>
      <c r="G6" s="23">
        <f>-IF(G3-2026&lt;Assumptions!$B$19,Assumptions!$B$18,Assumptions!$B$18*Assumptions!$B$20*Assumptions!$B$16)</f>
        <v>-2.3139647216399992</v>
      </c>
      <c r="H6" s="23">
        <f>-IF(H3-2026&lt;Assumptions!$B$19,Assumptions!$B$18,Assumptions!$B$18*Assumptions!$B$20*Assumptions!$B$16)</f>
        <v>-2.3139647216399992</v>
      </c>
      <c r="I6" s="23">
        <f>-IF(I3-2026&lt;Assumptions!$B$19,Assumptions!$B$18,Assumptions!$B$18*Assumptions!$B$20*Assumptions!$B$16)</f>
        <v>-2.3139647216399992</v>
      </c>
      <c r="J6" s="23">
        <f>-IF(J3-2026&lt;Assumptions!$B$19,Assumptions!$B$18,Assumptions!$B$18*Assumptions!$B$20*Assumptions!$B$16)</f>
        <v>-2.3139647216399992</v>
      </c>
      <c r="K6" s="23">
        <f>-IF(K3-2026&lt;Assumptions!$B$19,Assumptions!$B$18,Assumptions!$B$18*Assumptions!$B$20*Assumptions!$B$16)</f>
        <v>-2.3139647216399992</v>
      </c>
      <c r="L6" s="23">
        <f>-IF(L3-2026&lt;Assumptions!$B$19,Assumptions!$B$18,Assumptions!$B$18*Assumptions!$B$20*Assumptions!$B$16)</f>
        <v>-2.3139647216399992</v>
      </c>
      <c r="M6" s="23">
        <f>-IF(M3-2026&lt;Assumptions!$B$19,Assumptions!$B$18,Assumptions!$B$18*Assumptions!$B$20*Assumptions!$B$16)</f>
        <v>-2.3139647216399992</v>
      </c>
      <c r="N6" s="23">
        <f>-IF(N3-2026&lt;Assumptions!$B$19,Assumptions!$B$18,Assumptions!$B$18*Assumptions!$B$20*Assumptions!$B$16)</f>
        <v>-2.3139647216399992</v>
      </c>
      <c r="O6" s="23">
        <f>-IF(O3-2026&lt;Assumptions!$B$19,Assumptions!$B$18,Assumptions!$B$18*Assumptions!$B$20*Assumptions!$B$16)</f>
        <v>-2.3139647216399992</v>
      </c>
      <c r="P6" s="23">
        <f>-IF(P3-2026&lt;Assumptions!$B$19,Assumptions!$B$18,Assumptions!$B$18*Assumptions!$B$20*Assumptions!$B$16)</f>
        <v>-2.3139647216399992</v>
      </c>
      <c r="Q6" s="23">
        <f>-IF(Q3-2026&lt;Assumptions!$B$19,Assumptions!$B$18,Assumptions!$B$18*Assumptions!$B$20*Assumptions!$B$16)</f>
        <v>-2.3139647216399992</v>
      </c>
      <c r="R6" s="23">
        <f>-IF(R3-2026&lt;Assumptions!$B$19,Assumptions!$B$18,Assumptions!$B$18*Assumptions!$B$20*Assumptions!$B$16)</f>
        <v>-2.3139647216399992</v>
      </c>
      <c r="S6" s="23">
        <f>-IF(S3-2026&lt;Assumptions!$B$19,Assumptions!$B$18,Assumptions!$B$18*Assumptions!$B$20*Assumptions!$B$16)</f>
        <v>-2.3139647216399992</v>
      </c>
      <c r="T6" s="23">
        <f>-IF(T3-2026&lt;Assumptions!$B$19,Assumptions!$B$18,Assumptions!$B$18*Assumptions!$B$20*Assumptions!$B$16)</f>
        <v>-2.3139647216399992</v>
      </c>
      <c r="U6" s="23">
        <f>-IF(U3-2026&lt;Assumptions!$B$19,Assumptions!$B$18,Assumptions!$B$18*Assumptions!$B$20*Assumptions!$B$16)</f>
        <v>-2.3139647216399992</v>
      </c>
      <c r="V6" s="23">
        <f>-IF(V3-2026&lt;Assumptions!$B$19,Assumptions!$B$18,Assumptions!$B$18*Assumptions!$B$20*Assumptions!$B$16)</f>
        <v>-2.3139647216399992</v>
      </c>
    </row>
    <row r="7">
      <c r="A7" s="14" t="inlineStr">
        <is>
          <t>Pre-tax cash flow</t>
        </is>
      </c>
      <c r="C7" s="23">
        <f>C5+C6</f>
        <v>-62.14</v>
      </c>
      <c r="D7" s="23">
        <f>D5+D6</f>
        <v>-62.14</v>
      </c>
      <c r="E7" s="23">
        <f>E5+E6</f>
        <v>-62.14</v>
      </c>
      <c r="F7" s="23">
        <f>F5+F6</f>
        <v>-62.14</v>
      </c>
      <c r="G7" s="23">
        <f>G5+G6</f>
        <v>-2.3139647216399992</v>
      </c>
      <c r="H7" s="23">
        <f>H5+H6</f>
        <v>-2.3139647216399992</v>
      </c>
      <c r="I7" s="23">
        <f>I5+I6</f>
        <v>2.210035278360001</v>
      </c>
      <c r="J7" s="23">
        <f>J5+J6</f>
        <v>12.158035278360002</v>
      </c>
      <c r="K7" s="23">
        <f>K5+K6</f>
        <v>25.949035278360004</v>
      </c>
      <c r="L7" s="23">
        <f>L5+L6</f>
        <v>41.32103527836001</v>
      </c>
      <c r="M7" s="23">
        <f>M5+M6</f>
        <v>56.69303527836001</v>
      </c>
      <c r="N7" s="23">
        <f>N5+N6</f>
        <v>69.80303527836</v>
      </c>
      <c r="O7" s="23">
        <f>O5+O6</f>
        <v>74.54603527836</v>
      </c>
      <c r="P7" s="23">
        <f>P5+P6</f>
        <v>74.54603527836</v>
      </c>
      <c r="Q7" s="23">
        <f>Q5+Q6</f>
        <v>74.54603527836</v>
      </c>
      <c r="R7" s="23">
        <f>R5+R6</f>
        <v>74.54603527836</v>
      </c>
      <c r="S7" s="23">
        <f>S5+S6</f>
        <v>74.54603527836</v>
      </c>
      <c r="T7" s="23">
        <f>T5+T6</f>
        <v>74.54603527836</v>
      </c>
      <c r="U7" s="23">
        <f>U5+U6</f>
        <v>74.54603527836</v>
      </c>
      <c r="V7" s="23">
        <f>V5+V6</f>
        <v>51.926035278360004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2.210035278360001</v>
      </c>
      <c r="J8" s="23">
        <f>MIN(I17,MAX(0,J7))</f>
        <v>12.158035278360002</v>
      </c>
      <c r="K8" s="23">
        <f>MIN(J17,MAX(0,K7))</f>
        <v>25.949035278360004</v>
      </c>
      <c r="L8" s="23">
        <f>MIN(K17,MAX(0,L7))</f>
        <v>41.32103527836001</v>
      </c>
      <c r="M8" s="23">
        <f>MIN(L17,MAX(0,M7))</f>
        <v>56.69303527836001</v>
      </c>
      <c r="N8" s="23">
        <f>MIN(M17,MAX(0,N7))</f>
        <v>69.80303527836</v>
      </c>
      <c r="O8" s="23">
        <f>MIN(N17,MAX(0,O7))</f>
        <v>74.54603527836</v>
      </c>
      <c r="P8" s="23">
        <f>MIN(O17,MAX(0,P7))</f>
        <v>74.54603527836</v>
      </c>
      <c r="Q8" s="23">
        <f>MIN(P17,MAX(0,Q7))</f>
        <v>74.54603527836</v>
      </c>
      <c r="R8" s="23">
        <f>MIN(Q17,MAX(0,R7))</f>
        <v>74.54603527836</v>
      </c>
      <c r="S8" s="23">
        <f>MIN(R17,MAX(0,S7))</f>
        <v>5.56957665967991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68.97645861868008</v>
      </c>
      <c r="T9" s="23">
        <f>MAX(0,T7)-T8</f>
        <v>74.54603527836</v>
      </c>
      <c r="U9" s="23">
        <f>MAX(0,U7)-U8</f>
        <v>74.54603527836</v>
      </c>
      <c r="V9" s="23">
        <f>MAX(0,V7)-V8</f>
        <v>51.926035278360004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14.485056309922816</v>
      </c>
      <c r="T10" s="23">
        <f>T9*Assumptions!$E$15</f>
        <v>15.654667408455598</v>
      </c>
      <c r="U10" s="23">
        <f>U9*Assumptions!$E$15</f>
        <v>15.654667408455598</v>
      </c>
      <c r="V10" s="23">
        <f>V9*Assumptions!$E$15</f>
        <v>10.9044674084556</v>
      </c>
    </row>
    <row r="11">
      <c r="A11" s="24" t="inlineStr">
        <is>
          <t>Free cash flow</t>
        </is>
      </c>
      <c r="C11" s="55">
        <f>C7-C10</f>
        <v>-62.14</v>
      </c>
      <c r="D11" s="55">
        <f>D7-D10</f>
        <v>-62.14</v>
      </c>
      <c r="E11" s="55">
        <f>E7-E10</f>
        <v>-62.14</v>
      </c>
      <c r="F11" s="55">
        <f>F7-F10</f>
        <v>-62.14</v>
      </c>
      <c r="G11" s="55">
        <f>G7-G10</f>
        <v>-2.3139647216399992</v>
      </c>
      <c r="H11" s="55">
        <f>H7-H10</f>
        <v>-2.3139647216399992</v>
      </c>
      <c r="I11" s="55">
        <f>I7-I10</f>
        <v>2.210035278360001</v>
      </c>
      <c r="J11" s="55">
        <f>J7-J10</f>
        <v>12.158035278360002</v>
      </c>
      <c r="K11" s="55">
        <f>K7-K10</f>
        <v>25.949035278360004</v>
      </c>
      <c r="L11" s="55">
        <f>L7-L10</f>
        <v>41.32103527836001</v>
      </c>
      <c r="M11" s="55">
        <f>M7-M10</f>
        <v>56.69303527836001</v>
      </c>
      <c r="N11" s="55">
        <f>N7-N10</f>
        <v>69.80303527836</v>
      </c>
      <c r="O11" s="55">
        <f>O7-O10</f>
        <v>74.54603527836</v>
      </c>
      <c r="P11" s="55">
        <f>P7-P10</f>
        <v>74.54603527836</v>
      </c>
      <c r="Q11" s="55">
        <f>Q7-Q10</f>
        <v>74.54603527836</v>
      </c>
      <c r="R11" s="55">
        <f>R7-R10</f>
        <v>74.54603527836</v>
      </c>
      <c r="S11" s="55">
        <f>S7-S10</f>
        <v>60.060978968437176</v>
      </c>
      <c r="T11" s="55">
        <f>T7-T10</f>
        <v>58.8913678699044</v>
      </c>
      <c r="U11" s="55">
        <f>U7-U10</f>
        <v>58.8913678699044</v>
      </c>
      <c r="V11" s="55">
        <f>V7-V10</f>
        <v>41.0215678699044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-30.442656247771048</v>
      </c>
      <c r="D16" s="55">
        <f>D11*D15</f>
        <v>-55.45636920037771</v>
      </c>
      <c r="E16" s="55">
        <f>E11*E15</f>
        <v>-49.51461535748008</v>
      </c>
      <c r="F16" s="55">
        <f>F11*F15</f>
        <v>-44.20947799775007</v>
      </c>
      <c r="G16" s="55">
        <f>G11*G15</f>
        <v>-1.4698832769453969</v>
      </c>
      <c r="H16" s="55">
        <f>H11*H15</f>
        <v>-1.3123957829869615</v>
      </c>
      <c r="I16" s="55">
        <f>I11*I15</f>
        <v>1.119152518544488</v>
      </c>
      <c r="J16" s="55">
        <f>J11*J15</f>
        <v>5.497122899689331</v>
      </c>
      <c r="K16" s="55">
        <f>K11*K15</f>
        <v>10.475511578765461</v>
      </c>
      <c r="L16" s="55">
        <f>L11*L15</f>
        <v>14.893857560656866</v>
      </c>
      <c r="M16" s="55">
        <f>M11*M15</f>
        <v>18.245160520652036</v>
      </c>
      <c r="N16" s="55">
        <f>N11*N15</f>
        <v>20.05738285559084</v>
      </c>
      <c r="O16" s="55">
        <f>O11*O15</f>
        <v>19.125221980241403</v>
      </c>
      <c r="P16" s="55">
        <f>P11*P15</f>
        <v>17.076091053786964</v>
      </c>
      <c r="Q16" s="55">
        <f>Q11*Q15</f>
        <v>15.246509869452648</v>
      </c>
      <c r="R16" s="55">
        <f>R11*R15</f>
        <v>13.612955240582721</v>
      </c>
      <c r="S16" s="55">
        <f>S11*S15</f>
        <v>9.792695491425357</v>
      </c>
      <c r="T16" s="55">
        <f>T11*T15</f>
        <v>8.57321001280321</v>
      </c>
      <c r="U16" s="55">
        <f>U11*U15</f>
        <v>7.654651797145723</v>
      </c>
      <c r="V16" s="55">
        <f>V11*V15</f>
        <v>4.760669480681456</v>
      </c>
    </row>
    <row r="17">
      <c r="A17" s="14" t="inlineStr">
        <is>
          <t>Tax-loss carryforward, end of year</t>
        </is>
      </c>
      <c r="C17" s="23">
        <f>Assumptions!$B$21-C8+MAX(0,-C7)</f>
        <v>320.84</v>
      </c>
      <c r="D17" s="23">
        <f>C17-D8+MAX(0,-D7)</f>
        <v>382.97999999999996</v>
      </c>
      <c r="E17" s="23">
        <f>D17-E8+MAX(0,-E7)</f>
        <v>445.11999999999995</v>
      </c>
      <c r="F17" s="23">
        <f>E17-F8+MAX(0,-F7)</f>
        <v>507.25999999999993</v>
      </c>
      <c r="G17" s="23">
        <f>F17-G8+MAX(0,-G7)</f>
        <v>509.5739647216399</v>
      </c>
      <c r="H17" s="23">
        <f>G17-H8+MAX(0,-H7)</f>
        <v>511.8879294432799</v>
      </c>
      <c r="I17" s="23">
        <f>H17-I8+MAX(0,-I7)</f>
        <v>509.6778941649199</v>
      </c>
      <c r="J17" s="23">
        <f>I17-J8+MAX(0,-J7)</f>
        <v>497.5198588865599</v>
      </c>
      <c r="K17" s="23">
        <f>J17-K8+MAX(0,-K7)</f>
        <v>471.57082360819993</v>
      </c>
      <c r="L17" s="23">
        <f>K17-L8+MAX(0,-L7)</f>
        <v>430.24978832983993</v>
      </c>
      <c r="M17" s="23">
        <f>L17-M8+MAX(0,-M7)</f>
        <v>373.5567530514799</v>
      </c>
      <c r="N17" s="23">
        <f>M17-N8+MAX(0,-N7)</f>
        <v>303.7537177731199</v>
      </c>
      <c r="O17" s="23">
        <f>N17-O8+MAX(0,-O7)</f>
        <v>229.2076824947599</v>
      </c>
      <c r="P17" s="23">
        <f>O17-P8+MAX(0,-P7)</f>
        <v>154.6616472163999</v>
      </c>
      <c r="Q17" s="23">
        <f>P17-Q8+MAX(0,-Q7)</f>
        <v>80.1156119380399</v>
      </c>
      <c r="R17" s="23">
        <f>Q17-R8+MAX(0,-R7)</f>
        <v>5.56957665967991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182.76993155891074</v>
      </c>
    </row>
    <row r="20">
      <c r="A20" s="14" t="inlineStr">
        <is>
          <t>PV of corporate burn</t>
        </is>
      </c>
      <c r="B20" s="23">
        <f>SUMPRODUCT(C6:V6,C15:V15)</f>
        <v>-191.10417789493022</v>
      </c>
    </row>
    <row r="21">
      <c r="A21" s="14" t="inlineStr">
        <is>
          <t>PV of taxes</t>
        </is>
      </c>
      <c r="B21" s="23">
        <f>-SUMPRODUCT(C10:V10,C15:V15)</f>
        <v>-7.94095866727335</v>
      </c>
    </row>
    <row r="22">
      <c r="A22" s="24" t="inlineStr">
        <is>
          <t>Pipeline rNPV (operations)</t>
        </is>
      </c>
      <c r="B22" s="54">
        <f>SUM(C16:V16)</f>
        <v>-16.275205003292747</v>
      </c>
    </row>
    <row r="23">
      <c r="A23" s="14" t="inlineStr">
        <is>
          <t>Cash &amp; investments</t>
        </is>
      </c>
      <c r="B23" s="57">
        <f>Main!C7</f>
        <v>176.38600000000002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160.11079499670728</v>
      </c>
    </row>
    <row r="26">
      <c r="A26" s="14" t="inlineStr">
        <is>
          <t>Shares (mm)</t>
        </is>
      </c>
      <c r="B26" s="57">
        <f>Main!C4</f>
        <v>40.496309</v>
      </c>
    </row>
    <row r="27">
      <c r="A27" s="24" t="inlineStr">
        <is>
          <t>rNPV / share</t>
        </is>
      </c>
      <c r="B27" s="60">
        <f>B25/B26</f>
        <v>3.9537132877148706</v>
      </c>
    </row>
    <row r="28">
      <c r="A28" s="14" t="inlineStr">
        <is>
          <t>Price</t>
        </is>
      </c>
      <c r="B28" s="61">
        <f>Main!C3</f>
        <v>2.36</v>
      </c>
    </row>
    <row r="29">
      <c r="A29" s="14" t="inlineStr">
        <is>
          <t>Upside</t>
        </is>
      </c>
      <c r="B29" s="62">
        <f>B27/B28-1</f>
        <v>0.6753022405571487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2026-10-21T06:28:28Z</dcterms:modified>
  <cp:lastModifiedBy>Wang, Eric</cp:lastModifiedBy>
</cp:coreProperties>
</file>