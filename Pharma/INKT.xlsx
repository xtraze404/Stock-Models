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Mink Therapeutics Inc</t>
        </is>
      </c>
      <c r="C2" s="10" t="n"/>
    </row>
    <row r="3">
      <c r="B3" t="inlineStr">
        <is>
          <t>Price</t>
        </is>
      </c>
      <c r="C3" s="11">
        <f>INDEX([1]Pharma!$F$1:$F$1000,MATCH("INKT",[1]Pharma!$B$1:$B$1000,0))</f>
        <v>9.86</v>
      </c>
      <c r="F3" s="1" t="n"/>
    </row>
    <row r="4">
      <c r="B4" t="inlineStr">
        <is>
          <t>Shares</t>
        </is>
      </c>
      <c r="C4" s="21" t="n">
        <v>5.103002</v>
      </c>
      <c r="F4" s="1" t="n"/>
    </row>
    <row r="5">
      <c r="B5" t="inlineStr">
        <is>
          <t>Market Cap.</t>
        </is>
      </c>
      <c r="C5" s="13">
        <f>C3*C4</f>
        <v>50.315599719999994</v>
      </c>
      <c r="F5" s="1" t="n"/>
    </row>
    <row r="6"/>
    <row r="7">
      <c r="B7" t="inlineStr">
        <is>
          <t>Cash</t>
        </is>
      </c>
      <c r="C7" s="21" t="n">
        <v>8.806977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41.50862271999999</v>
      </c>
    </row>
    <row r="10"/>
    <row r="11">
      <c r="B11" s="14" t="inlineStr">
        <is>
          <t>Net Cash / Share</t>
        </is>
      </c>
      <c r="C11" s="11">
        <f>(C7-C8)/C4</f>
        <v>1.72584235710666</v>
      </c>
    </row>
    <row r="12">
      <c r="B12" s="14" t="inlineStr">
        <is>
          <t>Upside</t>
        </is>
      </c>
      <c r="C12" s="15">
        <f>IFERROR(C11/C3-1,"")</f>
        <v>-0.8249652781839087</v>
      </c>
    </row>
    <row r="13">
      <c r="B13" s="14" t="inlineStr">
        <is>
          <t>Cash / Share</t>
        </is>
      </c>
      <c r="C13" s="11">
        <f>IFERROR((C7-C8)/C4,"")</f>
        <v>1.72584235710666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1.289454904831625</v>
      </c>
    </row>
    <row r="19">
      <c r="B19" s="14" t="inlineStr">
        <is>
          <t>Implied Pipeline Value</t>
        </is>
      </c>
      <c r="C19" s="13">
        <f>C9</f>
        <v>41.50862271999999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9.509</v>
      </c>
      <c r="C5" s="23" t="n">
        <v>13.966</v>
      </c>
      <c r="D5" s="23" t="n">
        <v>23.115</v>
      </c>
      <c r="E5" s="23" t="n">
        <v>15.49</v>
      </c>
      <c r="F5" s="23" t="n">
        <v>6.336</v>
      </c>
      <c r="G5" s="23" t="n">
        <v>5.757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5.128</v>
      </c>
      <c r="C6" s="23" t="n">
        <v>14.392</v>
      </c>
      <c r="D6" s="23" t="n">
        <v>7.834</v>
      </c>
      <c r="E6" s="23" t="n">
        <v>7.431</v>
      </c>
      <c r="F6" s="23" t="n">
        <v>4.952</v>
      </c>
      <c r="G6" s="23" t="n">
        <v>6.885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14.637</v>
      </c>
      <c r="C7" s="23">
        <f>SUM(C5:C6)</f>
        <v>28.357999999999997</v>
      </c>
      <c r="D7" s="23">
        <f>SUM(D5:D6)</f>
        <v>30.948999999999998</v>
      </c>
      <c r="E7" s="23">
        <f>SUM(E5:E6)</f>
        <v>22.921</v>
      </c>
      <c r="F7" s="23">
        <f>SUM(F5:F6)</f>
        <v>11.288</v>
      </c>
      <c r="G7" s="23">
        <f>SUM(G5:G6)</f>
        <v>12.642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-14.637</v>
      </c>
      <c r="C8" s="23">
        <f>C4-C7</f>
        <v>-28.357999999999997</v>
      </c>
      <c r="D8" s="23">
        <f>D4-D7</f>
        <v>-30.948999999999998</v>
      </c>
      <c r="E8" s="23">
        <f>E4-E7</f>
        <v>-22.921</v>
      </c>
      <c r="F8" s="23">
        <f>F4-F7</f>
        <v>-11.288</v>
      </c>
      <c r="G8" s="23">
        <f>G4-G7</f>
        <v>-12.642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-1.602</v>
      </c>
      <c r="C9" s="23" t="n">
        <v>-1.854</v>
      </c>
      <c r="D9" s="23" t="n">
        <v>2.958</v>
      </c>
      <c r="E9" s="23" t="n">
        <v>0.463</v>
      </c>
      <c r="F9" s="23" t="n">
        <v>0.503</v>
      </c>
      <c r="G9" s="23" t="n">
        <v>0.148</v>
      </c>
    </row>
    <row r="10">
      <c r="A10" s="2" t="inlineStr">
        <is>
          <t>Pretax</t>
        </is>
      </c>
      <c r="B10" s="23">
        <f>B8+B9</f>
        <v>-16.239</v>
      </c>
      <c r="C10" s="23">
        <f>C8+C9</f>
        <v>-30.211999999999996</v>
      </c>
      <c r="D10" s="23">
        <f>D8+D9</f>
        <v>-27.991</v>
      </c>
      <c r="E10" s="23">
        <f>E8+E9</f>
        <v>-22.458</v>
      </c>
      <c r="F10" s="23">
        <f>F8+F9</f>
        <v>-10.785</v>
      </c>
      <c r="G10" s="23">
        <f>G8+G9</f>
        <v>-12.494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-16.239</v>
      </c>
      <c r="C12" s="23" t="n">
        <v>-30.213</v>
      </c>
      <c r="D12" s="23" t="n">
        <v>-27.991</v>
      </c>
      <c r="E12" s="23" t="n">
        <v>-22.458</v>
      </c>
      <c r="F12" s="23" t="n">
        <v>-10.785</v>
      </c>
      <c r="G12" s="23" t="n">
        <v>-12.494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-6.735379510576524</v>
      </c>
      <c r="C13" s="11">
        <f>IFERROR(C12/C14,0)</f>
        <v>-11.606991932385709</v>
      </c>
      <c r="D13" s="11">
        <f>IFERROR(D12/D14,0)</f>
        <v>-8.313335313335314</v>
      </c>
      <c r="E13" s="11">
        <f>IFERROR(E12/E14,0)</f>
        <v>-6.536088474970896</v>
      </c>
      <c r="F13" s="11">
        <f>IFERROR(F12/F14,0)</f>
        <v>-2.858468062549695</v>
      </c>
      <c r="G13" s="11">
        <f>IFERROR(G12/G14,0)</f>
        <v>-2.9259953161592507</v>
      </c>
    </row>
    <row r="14">
      <c r="A14" s="2" t="inlineStr">
        <is>
          <t>Shares</t>
        </is>
      </c>
      <c r="B14" s="23" t="n">
        <v>2.411</v>
      </c>
      <c r="C14" s="23" t="n">
        <v>2.603</v>
      </c>
      <c r="D14" s="23" t="n">
        <v>3.367</v>
      </c>
      <c r="E14" s="23" t="n">
        <v>3.436</v>
      </c>
      <c r="F14" s="23" t="n">
        <v>3.773</v>
      </c>
      <c r="G14" s="23" t="n">
        <v>4.27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2026-10-21T01:06:11Z</dcterms:modified>
  <cp:lastModifiedBy>Wang, Eric</cp:lastModifiedBy>
</cp:coreProperties>
</file>