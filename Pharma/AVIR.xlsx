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Atea Pharmaceuticals, Inc.</t>
        </is>
      </c>
      <c r="C2" s="10" t="n"/>
    </row>
    <row r="3">
      <c r="B3" t="inlineStr">
        <is>
          <t>Price</t>
        </is>
      </c>
      <c r="C3" s="11">
        <f>INDEX([1]Pharma!$F$1:$F$1000,MATCH("AVIR",[1]Pharma!$B$1:$B$1000,0))</f>
        <v>4.465</v>
      </c>
      <c r="F3" s="1" t="n"/>
    </row>
    <row r="4">
      <c r="B4" t="inlineStr">
        <is>
          <t>Shares</t>
        </is>
      </c>
      <c r="C4" s="21" t="n">
        <v>80.20469900000001</v>
      </c>
      <c r="F4" s="1" t="n"/>
    </row>
    <row r="5">
      <c r="B5" t="inlineStr">
        <is>
          <t>Market Cap.</t>
        </is>
      </c>
      <c r="C5" s="13">
        <f>C3*C4</f>
        <v>358.113981035</v>
      </c>
      <c r="F5" s="1" t="n"/>
    </row>
    <row r="6"/>
    <row r="7">
      <c r="B7" t="inlineStr">
        <is>
          <t>Cash</t>
        </is>
      </c>
      <c r="C7" s="21">
        <f>76.548+142.917</f>
        <v>219.465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138.648981035</v>
      </c>
    </row>
    <row r="10"/>
    <row r="11">
      <c r="B11" s="14" t="inlineStr">
        <is>
          <t>Net Cash / Share</t>
        </is>
      </c>
      <c r="C11" s="11">
        <f>(C7-C8)/C4</f>
        <v>2.7363109984366374</v>
      </c>
    </row>
    <row r="12">
      <c r="B12" s="14" t="inlineStr">
        <is>
          <t>Upside</t>
        </is>
      </c>
      <c r="C12" s="15">
        <f>IFERROR(C11/C3-1,"")</f>
        <v>-0.3871643900477856</v>
      </c>
    </row>
    <row r="13">
      <c r="B13" s="14" t="inlineStr">
        <is>
          <t>Cash / Share</t>
        </is>
      </c>
      <c r="C13" s="11">
        <f>IFERROR((C7-C8)/C4,"")</f>
        <v>2.7363109984366374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-152.073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1.4431555897496597</v>
      </c>
    </row>
    <row r="19">
      <c r="B19" s="14" t="inlineStr">
        <is>
          <t>Implied Pipeline Value</t>
        </is>
      </c>
      <c r="C19" s="13">
        <f>C9</f>
        <v>138.648981035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48.633</v>
      </c>
      <c r="E2" s="23" t="n">
        <v>351.367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48.633</v>
      </c>
      <c r="E4" s="23">
        <f>E2-E3</f>
        <v>351.367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6.675</v>
      </c>
      <c r="C5" s="23" t="n">
        <v>10.17</v>
      </c>
      <c r="D5" s="23" t="n">
        <v>38.023</v>
      </c>
      <c r="E5" s="23" t="n">
        <v>167.205</v>
      </c>
      <c r="F5" s="23" t="n">
        <v>81.93600000000001</v>
      </c>
      <c r="G5" s="23" t="n">
        <v>114.243</v>
      </c>
      <c r="H5" s="23" t="n">
        <v>144.101</v>
      </c>
      <c r="I5" s="23" t="n">
        <v>148.024</v>
      </c>
      <c r="J5" s="1" t="n"/>
      <c r="K5" s="1" t="n"/>
    </row>
    <row r="6">
      <c r="A6" s="19" t="inlineStr">
        <is>
          <t>SG&amp;A &amp; Other</t>
        </is>
      </c>
      <c r="B6" s="23" t="n">
        <v>2.802</v>
      </c>
      <c r="C6" s="23" t="n">
        <v>4.438</v>
      </c>
      <c r="D6" s="23" t="n">
        <v>21.64</v>
      </c>
      <c r="E6" s="23" t="n">
        <v>45.785</v>
      </c>
      <c r="F6" s="23" t="n">
        <v>48.714</v>
      </c>
      <c r="G6" s="23" t="n">
        <v>49.919</v>
      </c>
      <c r="H6" s="23" t="n">
        <v>48.849</v>
      </c>
      <c r="I6" s="23" t="n">
        <v>32.863</v>
      </c>
      <c r="J6" s="1" t="n"/>
      <c r="K6" s="1" t="n"/>
    </row>
    <row r="7">
      <c r="A7" s="2" t="inlineStr">
        <is>
          <t>Operating Expense</t>
        </is>
      </c>
      <c r="B7" s="23">
        <f>SUM(B5:B6)</f>
        <v>9.477</v>
      </c>
      <c r="C7" s="23">
        <f>SUM(C5:C6)</f>
        <v>14.608</v>
      </c>
      <c r="D7" s="23">
        <f>SUM(D5:D6)</f>
        <v>59.663000000000004</v>
      </c>
      <c r="E7" s="23">
        <f>SUM(E5:E6)</f>
        <v>212.99</v>
      </c>
      <c r="F7" s="23">
        <f>SUM(F5:F6)</f>
        <v>130.65</v>
      </c>
      <c r="G7" s="23">
        <f>SUM(G5:G6)</f>
        <v>164.16199999999998</v>
      </c>
      <c r="H7" s="23">
        <f>SUM(H5:H6)</f>
        <v>192.95</v>
      </c>
      <c r="I7" s="23">
        <f>SUM(I5:I6)</f>
        <v>180.887</v>
      </c>
      <c r="J7" s="1" t="n"/>
      <c r="K7" s="1" t="n"/>
    </row>
    <row r="8">
      <c r="A8" s="2" t="inlineStr">
        <is>
          <t>Operating Income</t>
        </is>
      </c>
      <c r="B8" s="23">
        <f>B4-B7</f>
        <v>-9.477</v>
      </c>
      <c r="C8" s="23">
        <f>C4-C7</f>
        <v>-14.608</v>
      </c>
      <c r="D8" s="23">
        <f>D4-D7</f>
        <v>-11.030000000000001</v>
      </c>
      <c r="E8" s="23">
        <f>E4-E7</f>
        <v>138.377</v>
      </c>
      <c r="F8" s="23">
        <f>F4-F7</f>
        <v>-130.65</v>
      </c>
      <c r="G8" s="23">
        <f>G4-G7</f>
        <v>-164.16199999999998</v>
      </c>
      <c r="H8" s="23">
        <f>H4-H7</f>
        <v>-192.95</v>
      </c>
      <c r="I8" s="23">
        <f>I4-I7</f>
        <v>-180.887</v>
      </c>
      <c r="J8" s="1" t="n"/>
      <c r="K8" s="1" t="n"/>
    </row>
    <row r="9">
      <c r="A9" s="19" t="inlineStr">
        <is>
          <t>Interest &amp; Other</t>
        </is>
      </c>
      <c r="B9" s="23" t="n">
        <v>0.413</v>
      </c>
      <c r="C9" s="23" t="n">
        <v>0.574</v>
      </c>
      <c r="D9" s="23" t="n">
        <v>0.083</v>
      </c>
      <c r="E9" s="23" t="n">
        <v>0.023</v>
      </c>
      <c r="F9" s="23" t="n">
        <v>11.06</v>
      </c>
      <c r="G9" s="23" t="n">
        <v>29.18</v>
      </c>
      <c r="H9" s="23" t="n">
        <v>25.875</v>
      </c>
      <c r="I9" s="23" t="n">
        <v>16.725</v>
      </c>
    </row>
    <row r="10">
      <c r="A10" s="2" t="inlineStr">
        <is>
          <t>Pretax</t>
        </is>
      </c>
      <c r="B10" s="23">
        <f>B8+B9</f>
        <v>-9.064</v>
      </c>
      <c r="C10" s="23">
        <f>C8+C9</f>
        <v>-14.034</v>
      </c>
      <c r="D10" s="23">
        <f>D8+D9</f>
        <v>-10.947000000000001</v>
      </c>
      <c r="E10" s="23">
        <f>E8+E9</f>
        <v>138.4</v>
      </c>
      <c r="F10" s="23">
        <f>F8+F9</f>
        <v>-119.59</v>
      </c>
      <c r="G10" s="23">
        <f>G8+G9</f>
        <v>-134.98199999999997</v>
      </c>
      <c r="H10" s="23">
        <f>H8+H9</f>
        <v>-167.075</v>
      </c>
      <c r="I10" s="23">
        <f>I8+I9</f>
        <v>-164.162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17.4</v>
      </c>
      <c r="F11" s="23" t="n">
        <v>-3.59</v>
      </c>
      <c r="G11" s="23" t="n">
        <v>1.018</v>
      </c>
      <c r="H11" s="23" t="n">
        <v>0.925</v>
      </c>
      <c r="I11" s="23" t="n">
        <v>-6.162</v>
      </c>
    </row>
    <row r="12">
      <c r="A12" s="2" t="inlineStr">
        <is>
          <t>Net Income</t>
        </is>
      </c>
      <c r="B12" s="23" t="n">
        <v>-9.064</v>
      </c>
      <c r="C12" s="23" t="n">
        <v>-14.034</v>
      </c>
      <c r="D12" s="23" t="n">
        <v>-10.947</v>
      </c>
      <c r="E12" s="23" t="n">
        <v>121</v>
      </c>
      <c r="F12" s="23" t="n">
        <v>-116</v>
      </c>
      <c r="G12" s="23" t="n">
        <v>-136</v>
      </c>
      <c r="H12" s="23" t="n">
        <v>-168</v>
      </c>
      <c r="I12" s="23" t="n">
        <v>-158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-0.9028787727861342</v>
      </c>
      <c r="C13" s="11">
        <f>IFERROR(C12/C14,0)</f>
        <v>-1.390744227529482</v>
      </c>
      <c r="D13" s="11">
        <f>IFERROR(D12/D14,0)</f>
        <v>-0.5069933308632827</v>
      </c>
      <c r="E13" s="11">
        <f>IFERROR(E12/E14,0)</f>
        <v>1.371120352638557</v>
      </c>
      <c r="F13" s="11">
        <f>IFERROR(F12/F14,0)</f>
        <v>-1.3934770857108534</v>
      </c>
      <c r="G13" s="11">
        <f>IFERROR(G12/G14,0)</f>
        <v>-1.6308909941239957</v>
      </c>
      <c r="H13" s="11">
        <f>IFERROR(H12/H14,0)</f>
        <v>-1.9937103186376313</v>
      </c>
      <c r="I13" s="11">
        <f>IFERROR(I12/I14,0)</f>
        <v>-1.9387692496472175</v>
      </c>
    </row>
    <row r="14">
      <c r="A14" s="2" t="inlineStr">
        <is>
          <t>Shares</t>
        </is>
      </c>
      <c r="B14" s="23" t="n">
        <v>10.039</v>
      </c>
      <c r="C14" s="23" t="n">
        <v>10.091</v>
      </c>
      <c r="D14" s="23" t="n">
        <v>21.592</v>
      </c>
      <c r="E14" s="23" t="n">
        <v>88.249</v>
      </c>
      <c r="F14" s="23" t="n">
        <v>83.245</v>
      </c>
      <c r="G14" s="23" t="n">
        <v>83.39</v>
      </c>
      <c r="H14" s="23" t="n">
        <v>84.265</v>
      </c>
      <c r="I14" s="23" t="n">
        <v>81.495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6.224867888059548</v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-0.22680073201324205</v>
      </c>
      <c r="E18" s="15">
        <f>IFERROR(E8/E2,"")</f>
        <v>0.39382469042340346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2026-10-21T01:05:19Z</dcterms:modified>
  <cp:lastModifiedBy>Wang, Eric</cp:lastModifiedBy>
</cp:coreProperties>
</file>