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Upstream Bio, Inc.</t>
        </is>
      </c>
      <c r="C2" s="10" t="n"/>
    </row>
    <row r="3">
      <c r="B3" t="inlineStr">
        <is>
          <t>Price</t>
        </is>
      </c>
      <c r="C3" s="11">
        <f>INDEX([1]Pharma!$F$1:$F$1000,MATCH("UPB",[1]Pharma!$B$1:$B$1000,0))</f>
        <v>2.82</v>
      </c>
      <c r="F3" s="1" t="n"/>
    </row>
    <row r="4">
      <c r="B4" t="inlineStr">
        <is>
          <t>Shares</t>
        </is>
      </c>
      <c r="C4" s="21" t="n">
        <v>54.771041</v>
      </c>
      <c r="F4" s="1" t="n"/>
    </row>
    <row r="5">
      <c r="B5" t="inlineStr">
        <is>
          <t>Market Cap.</t>
        </is>
      </c>
      <c r="C5" s="13">
        <f>C3*C4</f>
        <v>154.45433562</v>
      </c>
      <c r="F5" s="1" t="n"/>
    </row>
    <row r="6"/>
    <row r="7">
      <c r="B7" t="inlineStr">
        <is>
          <t>Cash</t>
        </is>
      </c>
      <c r="C7" s="21">
        <f>79.397+181.91</f>
        <v>261.307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-106.85266438000002</v>
      </c>
    </row>
    <row r="10"/>
    <row r="11">
      <c r="B11" s="14" t="inlineStr">
        <is>
          <t>Net Cash / Share</t>
        </is>
      </c>
      <c r="C11" s="11">
        <f>(C7-C8)/C4</f>
        <v>4.770897087751172</v>
      </c>
    </row>
    <row r="12">
      <c r="B12" s="14" t="inlineStr">
        <is>
          <t>Upside</t>
        </is>
      </c>
      <c r="C12" s="15">
        <f>IFERROR(C11/C3-1,"")</f>
        <v>0.6918074779259478</v>
      </c>
    </row>
    <row r="13">
      <c r="B13" s="14" t="inlineStr">
        <is>
          <t>Cash / Share</t>
        </is>
      </c>
      <c r="C13" s="11">
        <f>IFERROR((C7-C8)/C4,"")</f>
        <v>4.770897087751172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-136.344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1.916527313266444</v>
      </c>
    </row>
    <row r="19">
      <c r="B19" s="14" t="inlineStr">
        <is>
          <t>Implied Pipeline Value</t>
        </is>
      </c>
      <c r="C19" s="13">
        <f>C9</f>
        <v>-106.85266438000002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2.38</v>
      </c>
      <c r="C2" s="23" t="n">
        <v>2.37</v>
      </c>
      <c r="D2" s="23" t="n">
        <v>2.854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2.38</v>
      </c>
      <c r="C4" s="23">
        <f>C2-C3</f>
        <v>2.37</v>
      </c>
      <c r="D4" s="23">
        <f>D2-D3</f>
        <v>2.854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31.799</v>
      </c>
      <c r="C5" s="23" t="n">
        <v>62.966</v>
      </c>
      <c r="D5" s="23" t="n">
        <v>136.806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10.695</v>
      </c>
      <c r="C6" s="23" t="n">
        <v>17.168</v>
      </c>
      <c r="D6" s="23" t="n">
        <v>26.409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42.494</v>
      </c>
      <c r="C7" s="23">
        <f>SUM(C5:C6)</f>
        <v>80.134</v>
      </c>
      <c r="D7" s="23">
        <f>SUM(D5:D6)</f>
        <v>163.215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-40.114</v>
      </c>
      <c r="C8" s="23">
        <f>C4-C7</f>
        <v>-77.764</v>
      </c>
      <c r="D8" s="23">
        <f>D4-D7</f>
        <v>-160.361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19.577</v>
      </c>
      <c r="C9" s="23" t="n">
        <v>14.958</v>
      </c>
      <c r="D9" s="23" t="n">
        <v>16.918</v>
      </c>
    </row>
    <row r="10">
      <c r="A10" s="2" t="inlineStr">
        <is>
          <t>Pretax</t>
        </is>
      </c>
      <c r="B10" s="23">
        <f>B8+B9</f>
        <v>-20.536999999999995</v>
      </c>
      <c r="C10" s="23">
        <f>C8+C9</f>
        <v>-62.806</v>
      </c>
      <c r="D10" s="23">
        <f>D8+D9</f>
        <v>-143.44299999999998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-20.537</v>
      </c>
      <c r="C12" s="23" t="n">
        <v>-62.806</v>
      </c>
      <c r="D12" s="23" t="n">
        <v>-143.443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-1.738214134574693</v>
      </c>
      <c r="C13" s="11">
        <f>IFERROR(C12/C14,0)</f>
        <v>-1.1475817208426977</v>
      </c>
      <c r="D13" s="11">
        <f>IFERROR(D12/D14,0)</f>
        <v>-2.6636027705048932</v>
      </c>
    </row>
    <row r="14">
      <c r="A14" s="2" t="inlineStr">
        <is>
          <t>Shares</t>
        </is>
      </c>
      <c r="B14" s="23" t="n">
        <v>11.815</v>
      </c>
      <c r="C14" s="23" t="n">
        <v>54.729</v>
      </c>
      <c r="D14" s="23" t="n">
        <v>53.853</v>
      </c>
    </row>
    <row r="15"/>
    <row r="16" customFormat="1" s="4">
      <c r="A16" s="3" t="inlineStr">
        <is>
          <t>Revenue Change</t>
        </is>
      </c>
      <c r="C16" s="15">
        <f>IFERROR(C2/B2-1,"")</f>
        <v>-0.004201680672268782</v>
      </c>
      <c r="D16" s="15">
        <f>IFERROR(D2/C2-1,"")</f>
        <v>0.20421940928270033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-16.854621848739495</v>
      </c>
      <c r="C18" s="15">
        <f>IFERROR(C8/C2,"")</f>
        <v>-32.81181434599156</v>
      </c>
      <c r="D18" s="15">
        <f>IFERROR(D8/D2,"")</f>
        <v>-56.18815697266993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2026-10-21T01:05:46Z</dcterms:modified>
  <cp:lastModifiedBy>Wang, Eric</cp:lastModifiedBy>
</cp:coreProperties>
</file>