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Universe Pharmaceuticals Inc</t>
        </is>
      </c>
      <c r="C2" s="10" t="n"/>
    </row>
    <row r="3">
      <c r="B3" t="inlineStr">
        <is>
          <t>Price</t>
        </is>
      </c>
      <c r="C3" s="11">
        <f>INDEX([1]Pharma!$F$1:$F$1000,MATCH("UPC",[1]Pharma!$B$1:$B$1000,0))</f>
        <v>3.54</v>
      </c>
      <c r="F3" s="1" t="n"/>
    </row>
    <row r="4">
      <c r="B4" t="inlineStr">
        <is>
          <t>Shares</t>
        </is>
      </c>
      <c r="C4" s="21" t="n">
        <v>0.563338</v>
      </c>
      <c r="F4" s="1" t="n"/>
    </row>
    <row r="5">
      <c r="B5" t="inlineStr">
        <is>
          <t>Market Cap.</t>
        </is>
      </c>
      <c r="C5" s="13">
        <f>C3*C4</f>
        <v>1.99421652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1.99421652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-5052.319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1.99421652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33.229</v>
      </c>
      <c r="C2" s="23" t="n">
        <v>30.704</v>
      </c>
      <c r="D2" s="23" t="n">
        <v>47.982</v>
      </c>
      <c r="E2" s="23" t="n">
        <v>40.143</v>
      </c>
      <c r="F2" s="23" t="n">
        <v>32.309</v>
      </c>
      <c r="G2" s="23" t="n">
        <v>23024.458</v>
      </c>
      <c r="H2" s="23" t="n">
        <v>17858.732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19.822</v>
      </c>
      <c r="C3" s="23" t="n">
        <v>16.61</v>
      </c>
      <c r="D3" s="23" t="n">
        <v>22.656</v>
      </c>
      <c r="E3" s="23" t="n">
        <v>18.252</v>
      </c>
      <c r="F3" s="23" t="n">
        <v>21.994</v>
      </c>
      <c r="G3" s="23" t="n">
        <v>16952.556</v>
      </c>
      <c r="H3" s="23" t="n">
        <v>11557.563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13.407</v>
      </c>
      <c r="C4" s="23">
        <f>C2-C3</f>
        <v>14.094000000000001</v>
      </c>
      <c r="D4" s="23">
        <f>D2-D3</f>
        <v>25.326</v>
      </c>
      <c r="E4" s="23">
        <f>E2-E3</f>
        <v>21.891000000000002</v>
      </c>
      <c r="F4" s="23">
        <f>F2-F3</f>
        <v>10.314999999999998</v>
      </c>
      <c r="G4" s="23">
        <f>G2-G3</f>
        <v>6071.901999999998</v>
      </c>
      <c r="H4" s="23">
        <f>H2-H3</f>
        <v>6301.169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0.618</v>
      </c>
      <c r="C5" s="23" t="n">
        <v>0.583</v>
      </c>
      <c r="D5" s="23" t="n">
        <v>5.466</v>
      </c>
      <c r="E5" s="23" t="n">
        <v>7.644</v>
      </c>
      <c r="F5" s="23" t="n">
        <v>4858.548</v>
      </c>
      <c r="G5" s="23" t="n">
        <v>3031.115</v>
      </c>
      <c r="H5" s="23" t="n">
        <v>671.761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3.036</v>
      </c>
      <c r="C6" s="23" t="n">
        <v>3.259</v>
      </c>
      <c r="D6" s="23" t="n">
        <v>6.27</v>
      </c>
      <c r="E6" s="23" t="n">
        <v>21.266</v>
      </c>
      <c r="F6" s="23" t="n">
        <v>-882.1319999999999</v>
      </c>
      <c r="G6" s="23" t="n">
        <v>11060.627</v>
      </c>
      <c r="H6" s="23" t="n">
        <v>8545.326999999999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3.654</v>
      </c>
      <c r="C7" s="23">
        <f>SUM(C5:C6)</f>
        <v>3.8419999999999996</v>
      </c>
      <c r="D7" s="23">
        <f>SUM(D5:D6)</f>
        <v>11.736</v>
      </c>
      <c r="E7" s="23">
        <f>SUM(E5:E6)</f>
        <v>28.909999999999997</v>
      </c>
      <c r="F7" s="23">
        <f>SUM(F5:F6)</f>
        <v>3976.4159999999997</v>
      </c>
      <c r="G7" s="23">
        <f>SUM(G5:G6)</f>
        <v>14091.742</v>
      </c>
      <c r="H7" s="23">
        <f>SUM(H5:H6)</f>
        <v>9217.088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9.753</v>
      </c>
      <c r="C8" s="23">
        <f>C4-C7</f>
        <v>10.252000000000002</v>
      </c>
      <c r="D8" s="23">
        <f>D4-D7</f>
        <v>13.59</v>
      </c>
      <c r="E8" s="23">
        <f>E4-E7</f>
        <v>-7.018999999999995</v>
      </c>
      <c r="F8" s="23">
        <f>F4-F7</f>
        <v>-3966.1009999999997</v>
      </c>
      <c r="G8" s="23">
        <f>G4-G7</f>
        <v>-8019.840000000002</v>
      </c>
      <c r="H8" s="23">
        <f>H4-H7</f>
        <v>-2915.919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</v>
      </c>
      <c r="C9" s="23" t="n">
        <v>-0.151</v>
      </c>
      <c r="D9" s="23" t="n">
        <v>0.08799999999999999</v>
      </c>
      <c r="E9" s="23" t="n">
        <v>-0.075</v>
      </c>
      <c r="F9" s="23" t="n">
        <v>-361.33</v>
      </c>
      <c r="G9" s="23" t="n">
        <v>-100.754</v>
      </c>
      <c r="H9" s="23" t="n">
        <v>-756.136</v>
      </c>
    </row>
    <row r="10">
      <c r="A10" s="2" t="inlineStr">
        <is>
          <t>Pretax</t>
        </is>
      </c>
      <c r="B10" s="23">
        <f>B8+B9</f>
        <v>9.653</v>
      </c>
      <c r="C10" s="23">
        <f>C8+C9</f>
        <v>10.101000000000003</v>
      </c>
      <c r="D10" s="23">
        <f>D8+D9</f>
        <v>13.677999999999999</v>
      </c>
      <c r="E10" s="23">
        <f>E8+E9</f>
        <v>-7.093999999999995</v>
      </c>
      <c r="F10" s="23">
        <f>F8+F9</f>
        <v>-4327.431</v>
      </c>
      <c r="G10" s="23">
        <f>G8+G9</f>
        <v>-8120.594000000002</v>
      </c>
      <c r="H10" s="23">
        <f>H8+H9</f>
        <v>-3672.055</v>
      </c>
      <c r="I10" s="1" t="n"/>
      <c r="J10" s="1" t="n"/>
      <c r="K10" s="1" t="n"/>
    </row>
    <row r="11">
      <c r="A11" s="2" t="inlineStr">
        <is>
          <t>Taxes</t>
        </is>
      </c>
      <c r="B11" s="23" t="n">
        <v>2.102</v>
      </c>
      <c r="C11" s="23" t="n">
        <v>2.542</v>
      </c>
      <c r="D11" s="23" t="n">
        <v>2.359</v>
      </c>
      <c r="E11" s="23" t="n">
        <v>0.8149999999999999</v>
      </c>
      <c r="F11" s="23" t="n">
        <v>2253.593</v>
      </c>
      <c r="G11" s="23" t="n">
        <v>606.704</v>
      </c>
      <c r="H11" s="23" t="n">
        <v>0</v>
      </c>
    </row>
    <row r="12">
      <c r="A12" s="2" t="inlineStr">
        <is>
          <t>Net Income</t>
        </is>
      </c>
      <c r="B12" s="23" t="n">
        <v>7.551</v>
      </c>
      <c r="C12" s="23" t="n">
        <v>7.558</v>
      </c>
      <c r="D12" s="23" t="n">
        <v>11.32</v>
      </c>
      <c r="E12" s="23" t="n">
        <v>-7.91</v>
      </c>
      <c r="F12" s="23" t="n">
        <v>-6581.024</v>
      </c>
      <c r="G12" s="23" t="n">
        <v>-8727.298000000001</v>
      </c>
      <c r="H12" s="23" t="n">
        <v>-3672.055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37.38118811881188</v>
      </c>
      <c r="C13" s="11">
        <f>IFERROR(C12/C14,0)</f>
        <v>37.415841584158414</v>
      </c>
      <c r="D13" s="11">
        <f>IFERROR(D12/D14,0)</f>
        <v>56.88442211055276</v>
      </c>
      <c r="E13" s="11">
        <f>IFERROR(E12/E14,0)</f>
        <v>-39.74874371859296</v>
      </c>
      <c r="F13" s="11">
        <f>IFERROR(F12/F14,0)</f>
        <v>-33070.47236180904</v>
      </c>
      <c r="G13" s="11">
        <f>IFERROR(G12/G14,0)</f>
        <v>-19013.721132897605</v>
      </c>
      <c r="H13" s="11">
        <f>IFERROR(H12/H14,0)</f>
        <v>-8052.752192982455</v>
      </c>
    </row>
    <row r="14">
      <c r="A14" s="2" t="inlineStr">
        <is>
          <t>Shares</t>
        </is>
      </c>
      <c r="B14" s="23" t="n">
        <v>0.202</v>
      </c>
      <c r="C14" s="23" t="n">
        <v>0.202</v>
      </c>
      <c r="D14" s="23" t="n">
        <v>0.199</v>
      </c>
      <c r="E14" s="23" t="n">
        <v>0.199</v>
      </c>
      <c r="F14" s="23" t="n">
        <v>0.199</v>
      </c>
      <c r="G14" s="23" t="n">
        <v>0.459</v>
      </c>
      <c r="H14" s="23" t="n">
        <v>0.456</v>
      </c>
    </row>
    <row r="15"/>
    <row r="16" customFormat="1" s="4">
      <c r="A16" s="3" t="inlineStr">
        <is>
          <t>Revenue Change</t>
        </is>
      </c>
      <c r="C16" s="15">
        <f>IFERROR(C2/B2-1,"")</f>
        <v>-0.07598784194528874</v>
      </c>
      <c r="D16" s="15">
        <f>IFERROR(D2/C2-1,"")</f>
        <v>0.5627279833246481</v>
      </c>
      <c r="E16" s="15">
        <f>IFERROR(E2/D2-1,"")</f>
        <v>-0.1633737651619357</v>
      </c>
      <c r="F16" s="15">
        <f>IFERROR(F2/E2-1,"")</f>
        <v>-0.19515233041875302</v>
      </c>
      <c r="G16" s="15">
        <f>IFERROR(G2/F2-1,"")</f>
        <v>711.6329505710484</v>
      </c>
      <c r="H16" s="15">
        <f>IFERROR(H2/G2-1,"")</f>
        <v>-0.22435820204757906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0.4034728700833609</v>
      </c>
      <c r="C17" s="15">
        <f>IFERROR(C4/C2,"")</f>
        <v>0.4590281396560709</v>
      </c>
      <c r="D17" s="15">
        <f>IFERROR(D4/D2,"")</f>
        <v>0.5278229336001</v>
      </c>
      <c r="E17" s="15">
        <f>IFERROR(E4/E2,"")</f>
        <v>0.5453254614752261</v>
      </c>
      <c r="F17" s="15">
        <f>IFERROR(F4/F2,"")</f>
        <v>0.31926088705933325</v>
      </c>
      <c r="G17" s="15">
        <f>IFERROR(G4/G2,"")</f>
        <v>0.26371530656660835</v>
      </c>
      <c r="H17" s="15">
        <f>IFERROR(H4/H2,"")</f>
        <v>0.3528340645909239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0.2935086821752084</v>
      </c>
      <c r="C18" s="15">
        <f>IFERROR(C8/C2,"")</f>
        <v>0.33389786347055767</v>
      </c>
      <c r="D18" s="15">
        <f>IFERROR(D8/D2,"")</f>
        <v>0.28323121170438914</v>
      </c>
      <c r="E18" s="15">
        <f>IFERROR(E8/E2,"")</f>
        <v>-0.17484991156615087</v>
      </c>
      <c r="F18" s="15">
        <f>IFERROR(F8/F2,"")</f>
        <v>-122.75530038069887</v>
      </c>
      <c r="G18" s="15">
        <f>IFERROR(G8/G2,"")</f>
        <v>-0.34831829700399475</v>
      </c>
      <c r="H18" s="15">
        <f>IFERROR(H8/H2,"")</f>
        <v>-0.1632769336591198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2026-10-21T06:31:39Z</dcterms:modified>
  <cp:lastModifiedBy>Wang, Eric</cp:lastModifiedBy>
</cp:coreProperties>
</file>