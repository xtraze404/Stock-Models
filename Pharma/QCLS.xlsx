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Q/C Technologies Inc</t>
        </is>
      </c>
      <c r="C2" s="10" t="n"/>
    </row>
    <row r="3">
      <c r="B3" t="inlineStr">
        <is>
          <t>Price</t>
        </is>
      </c>
      <c r="C3" s="11">
        <f>INDEX([1]Pharma!$F$1:$F$1000,MATCH("QCLS",[1]Pharma!$B$1:$B$1000,0))</f>
        <v>0.5</v>
      </c>
      <c r="F3" s="1" t="n"/>
    </row>
    <row r="4">
      <c r="B4" t="inlineStr">
        <is>
          <t>Shares</t>
        </is>
      </c>
      <c r="C4" s="21" t="n">
        <v>8.189838</v>
      </c>
      <c r="F4" s="1" t="n"/>
    </row>
    <row r="5">
      <c r="B5" t="inlineStr">
        <is>
          <t>Market Cap.</t>
        </is>
      </c>
      <c r="C5" s="13">
        <f>C3*C4</f>
        <v>4.094919</v>
      </c>
      <c r="F5" s="1" t="n"/>
    </row>
    <row r="6"/>
    <row r="7">
      <c r="B7" t="inlineStr">
        <is>
          <t>Cash</t>
        </is>
      </c>
      <c r="C7" s="21">
        <f>0.307612+10.679782</f>
        <v>10.987394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-6.892475</v>
      </c>
    </row>
    <row r="10"/>
    <row r="11">
      <c r="B11" s="14" t="inlineStr">
        <is>
          <t>Net Cash / Share</t>
        </is>
      </c>
      <c r="C11" s="11">
        <f>(C7-C8)/C4</f>
        <v>1.3415886858812103</v>
      </c>
    </row>
    <row r="12">
      <c r="B12" s="14" t="inlineStr">
        <is>
          <t>Upside</t>
        </is>
      </c>
      <c r="C12" s="15">
        <f>IFERROR(C11/C3-1,"")</f>
        <v>1.6831773717624205</v>
      </c>
    </row>
    <row r="13">
      <c r="B13" s="14" t="inlineStr">
        <is>
          <t>Cash / Share</t>
        </is>
      </c>
      <c r="C13" s="11">
        <f>IFERROR((C7-C8)/C4,"")</f>
        <v>1.3415886858812103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-9.465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1.160844585314316</v>
      </c>
    </row>
    <row r="19">
      <c r="B19" s="14" t="inlineStr">
        <is>
          <t>Implied Pipeline Value</t>
        </is>
      </c>
      <c r="C19" s="13">
        <f>C9</f>
        <v>-6.892475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3.578</v>
      </c>
      <c r="C2" s="23" t="n">
        <v>4.427</v>
      </c>
      <c r="D2" s="23" t="n">
        <v>2.115</v>
      </c>
      <c r="E2" s="23" t="n">
        <v>2.961</v>
      </c>
      <c r="F2" s="23" t="n">
        <v>3.355</v>
      </c>
      <c r="G2" s="23" t="n">
        <v>1.666</v>
      </c>
      <c r="H2" s="23" t="n">
        <v>1.577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1.914</v>
      </c>
      <c r="C3" s="23" t="n">
        <v>1.175</v>
      </c>
      <c r="D3" s="23" t="n">
        <v>0.951</v>
      </c>
      <c r="E3" s="23" t="n">
        <v>1.083</v>
      </c>
      <c r="F3" s="23" t="n">
        <v>2.406</v>
      </c>
      <c r="G3" s="23" t="n">
        <v>1.538</v>
      </c>
      <c r="H3" s="23" t="n">
        <v>1.098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1.664</v>
      </c>
      <c r="C4" s="23">
        <f>C2-C3</f>
        <v>3.252</v>
      </c>
      <c r="D4" s="23">
        <f>D2-D3</f>
        <v>1.1640000000000001</v>
      </c>
      <c r="E4" s="23">
        <f>E2-E3</f>
        <v>1.878</v>
      </c>
      <c r="F4" s="23">
        <f>F2-F3</f>
        <v>0.9489999999999998</v>
      </c>
      <c r="G4" s="23">
        <f>G2-G3</f>
        <v>0.1279999999999999</v>
      </c>
      <c r="H4" s="23">
        <f>H2-H3</f>
        <v>0.47899999999999987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1.007</v>
      </c>
      <c r="C5" s="23" t="n">
        <v>0.916</v>
      </c>
      <c r="D5" s="23" t="n">
        <v>1.407</v>
      </c>
      <c r="E5" s="23" t="n">
        <v>1.189</v>
      </c>
      <c r="F5" s="23" t="n">
        <v>1.26</v>
      </c>
      <c r="G5" s="23" t="n">
        <v>1.063</v>
      </c>
      <c r="H5" s="23" t="n">
        <v>0.277</v>
      </c>
      <c r="I5" s="23" t="n">
        <v>2.467</v>
      </c>
      <c r="J5" s="23" t="n">
        <v>6.745</v>
      </c>
      <c r="K5" s="23" t="n">
        <v>9.067</v>
      </c>
      <c r="L5" s="23" t="n">
        <v>7.868</v>
      </c>
      <c r="M5" s="23" t="n">
        <v>3.441</v>
      </c>
      <c r="N5" s="23" t="n">
        <v>3.472</v>
      </c>
    </row>
    <row r="6">
      <c r="A6" s="19" t="inlineStr">
        <is>
          <t>SG&amp;A &amp; Other</t>
        </is>
      </c>
      <c r="B6" s="23" t="n">
        <v>2.468</v>
      </c>
      <c r="C6" s="23" t="n">
        <v>5.54</v>
      </c>
      <c r="D6" s="23" t="n">
        <v>9.44</v>
      </c>
      <c r="E6" s="23" t="n">
        <v>4.018</v>
      </c>
      <c r="F6" s="23" t="n">
        <v>6.302</v>
      </c>
      <c r="G6" s="23" t="n">
        <v>9.124000000000001</v>
      </c>
      <c r="H6" s="23" t="n">
        <v>3.674</v>
      </c>
      <c r="I6" s="23" t="n">
        <v>7.021</v>
      </c>
      <c r="J6" s="23" t="n">
        <v>22.065</v>
      </c>
      <c r="K6" s="23" t="n">
        <v>6.215</v>
      </c>
      <c r="L6" s="23" t="n">
        <v>9.255000000000001</v>
      </c>
      <c r="M6" s="23" t="n">
        <v>6.728</v>
      </c>
      <c r="N6" s="23" t="n">
        <v>6.376</v>
      </c>
    </row>
    <row r="7">
      <c r="A7" s="2" t="inlineStr">
        <is>
          <t>Operating Expense</t>
        </is>
      </c>
      <c r="B7" s="23">
        <f>SUM(B5:B6)</f>
        <v>3.4749999999999996</v>
      </c>
      <c r="C7" s="23">
        <f>SUM(C5:C6)</f>
        <v>6.456</v>
      </c>
      <c r="D7" s="23">
        <f>SUM(D5:D6)</f>
        <v>10.847</v>
      </c>
      <c r="E7" s="23">
        <f>SUM(E5:E6)</f>
        <v>5.207</v>
      </c>
      <c r="F7" s="23">
        <f>SUM(F5:F6)</f>
        <v>7.561999999999999</v>
      </c>
      <c r="G7" s="23">
        <f>SUM(G5:G6)</f>
        <v>10.187000000000001</v>
      </c>
      <c r="H7" s="23">
        <f>SUM(H5:H6)</f>
        <v>3.951</v>
      </c>
      <c r="I7" s="23">
        <f>SUM(I5:I6)</f>
        <v>9.488</v>
      </c>
      <c r="J7" s="23">
        <f>SUM(J5:J6)</f>
        <v>28.810000000000002</v>
      </c>
      <c r="K7" s="23">
        <f>SUM(K5:K6)</f>
        <v>15.282</v>
      </c>
      <c r="L7" s="23">
        <f>SUM(L5:L6)</f>
        <v>17.123</v>
      </c>
      <c r="M7" s="23">
        <f>SUM(M5:M6)</f>
        <v>10.169</v>
      </c>
      <c r="N7" s="23">
        <f>SUM(N5:N6)</f>
        <v>9.848</v>
      </c>
    </row>
    <row r="8">
      <c r="A8" s="2" t="inlineStr">
        <is>
          <t>Operating Income</t>
        </is>
      </c>
      <c r="B8" s="23">
        <f>B4-B7</f>
        <v>-1.8109999999999997</v>
      </c>
      <c r="C8" s="23">
        <f>C4-C7</f>
        <v>-3.2040000000000006</v>
      </c>
      <c r="D8" s="23">
        <f>D4-D7</f>
        <v>-9.683</v>
      </c>
      <c r="E8" s="23">
        <f>E4-E7</f>
        <v>-3.3289999999999997</v>
      </c>
      <c r="F8" s="23">
        <f>F4-F7</f>
        <v>-6.6129999999999995</v>
      </c>
      <c r="G8" s="23">
        <f>G4-G7</f>
        <v>-10.059000000000001</v>
      </c>
      <c r="H8" s="23">
        <f>H4-H7</f>
        <v>-3.4720000000000004</v>
      </c>
      <c r="I8" s="23">
        <f>I4-I7</f>
        <v>-9.488</v>
      </c>
      <c r="J8" s="23">
        <f>J4-J7</f>
        <v>-28.810000000000002</v>
      </c>
      <c r="K8" s="23">
        <f>K4-K7</f>
        <v>-15.282</v>
      </c>
      <c r="L8" s="23">
        <f>L4-L7</f>
        <v>-17.123</v>
      </c>
      <c r="M8" s="23">
        <f>M4-M7</f>
        <v>-10.169</v>
      </c>
      <c r="N8" s="23">
        <f>N4-N7</f>
        <v>-9.848</v>
      </c>
    </row>
    <row r="9">
      <c r="A9" s="19" t="inlineStr">
        <is>
          <t>Interest &amp; Other</t>
        </is>
      </c>
      <c r="B9" s="23" t="n">
        <v>0.284</v>
      </c>
      <c r="C9" s="23" t="n">
        <v>0.061</v>
      </c>
      <c r="D9" s="23" t="n">
        <v>0.101</v>
      </c>
      <c r="E9" s="23" t="n">
        <v>0.025</v>
      </c>
      <c r="F9" s="23" t="n">
        <v>-0.753</v>
      </c>
      <c r="G9" s="23" t="n">
        <v>-0.789</v>
      </c>
      <c r="H9" s="23" t="n">
        <v>-0.416</v>
      </c>
      <c r="I9" s="23" t="n">
        <v>0</v>
      </c>
      <c r="J9" s="23" t="n">
        <v>-1.079</v>
      </c>
      <c r="K9" s="23" t="n">
        <v>0.08500000000000001</v>
      </c>
      <c r="L9" s="23" t="n">
        <v>13.123</v>
      </c>
      <c r="M9" s="23" t="n">
        <v>-13.191</v>
      </c>
      <c r="N9" s="23" t="n">
        <v>-1.78</v>
      </c>
    </row>
    <row r="10">
      <c r="A10" s="2" t="inlineStr">
        <is>
          <t>Pretax</t>
        </is>
      </c>
      <c r="B10" s="23">
        <f>B8+B9</f>
        <v>-1.5269999999999997</v>
      </c>
      <c r="C10" s="23">
        <f>C8+C9</f>
        <v>-3.1430000000000007</v>
      </c>
      <c r="D10" s="23">
        <f>D8+D9</f>
        <v>-9.581999999999999</v>
      </c>
      <c r="E10" s="23">
        <f>E8+E9</f>
        <v>-3.304</v>
      </c>
      <c r="F10" s="23">
        <f>F8+F9</f>
        <v>-7.366</v>
      </c>
      <c r="G10" s="23">
        <f>G8+G9</f>
        <v>-10.848</v>
      </c>
      <c r="H10" s="23">
        <f>H8+H9</f>
        <v>-3.8880000000000003</v>
      </c>
      <c r="I10" s="23">
        <f>I8+I9</f>
        <v>-9.488</v>
      </c>
      <c r="J10" s="23">
        <f>J8+J9</f>
        <v>-29.889000000000003</v>
      </c>
      <c r="K10" s="23">
        <f>K8+K9</f>
        <v>-15.197</v>
      </c>
      <c r="L10" s="23">
        <f>L8+L9</f>
        <v>-4.000000000000002</v>
      </c>
      <c r="M10" s="23">
        <f>M8+M9</f>
        <v>-23.36</v>
      </c>
      <c r="N10" s="23">
        <f>N8+N9</f>
        <v>-11.628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-0.269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-1.527</v>
      </c>
      <c r="C12" s="23" t="n">
        <v>-3.143</v>
      </c>
      <c r="D12" s="23" t="n">
        <v>-9.311999999999999</v>
      </c>
      <c r="E12" s="23" t="n">
        <v>-3.304</v>
      </c>
      <c r="F12" s="23" t="n">
        <v>-7.366</v>
      </c>
      <c r="G12" s="23" t="n">
        <v>-10.849</v>
      </c>
      <c r="H12" s="23" t="n">
        <v>-3.888</v>
      </c>
      <c r="I12" s="23" t="n">
        <v>-9.488</v>
      </c>
      <c r="J12" s="23" t="n">
        <v>-29.889</v>
      </c>
      <c r="K12" s="23" t="n">
        <v>-15.197</v>
      </c>
      <c r="L12" s="23" t="n">
        <v>-4</v>
      </c>
      <c r="M12" s="23" t="n">
        <v>-23.359</v>
      </c>
      <c r="N12" s="23" t="n">
        <v>-11.627</v>
      </c>
    </row>
    <row r="13">
      <c r="A13" s="2" t="inlineStr">
        <is>
          <t>Earnings per Share</t>
        </is>
      </c>
      <c r="B13" s="11">
        <f>IFERROR(B12/B14,0)</f>
        <v>-0.16542086447838802</v>
      </c>
      <c r="C13" s="11">
        <f>IFERROR(C12/C14,0)</f>
        <v>-0.3436474961731904</v>
      </c>
      <c r="D13" s="11">
        <f>IFERROR(D12/D14,0)</f>
        <v>-0.9399414555364893</v>
      </c>
      <c r="E13" s="11">
        <f>IFERROR(E12/E14,0)</f>
        <v>-0.3157190635451505</v>
      </c>
      <c r="F13" s="11">
        <f>IFERROR(F12/F14,0)</f>
        <v>-3.262178919397697</v>
      </c>
      <c r="G13" s="11">
        <f>IFERROR(G12/G14,0)</f>
        <v>-11.566098081023455</v>
      </c>
      <c r="H13" s="11">
        <f>IFERROR(H12/H14,0)</f>
        <v>-3.292125317527519</v>
      </c>
      <c r="I13" s="11">
        <f>IFERROR(I12/I14,0)</f>
        <v>-8.033869602032176</v>
      </c>
      <c r="J13" s="11">
        <f>IFERROR(J12/J14,0)</f>
        <v>-20.374233128834355</v>
      </c>
      <c r="K13" s="11">
        <f>IFERROR(K12/K14,0)</f>
        <v>-10.380464480874316</v>
      </c>
      <c r="L13" s="11">
        <f>IFERROR(L12/L14,0)</f>
        <v>-2.292263610315186</v>
      </c>
      <c r="M13" s="11">
        <f>IFERROR(M12/M14,0)</f>
        <v>-13.471164936562861</v>
      </c>
      <c r="N13" s="11">
        <f>IFERROR(N12/N14,0)</f>
        <v>-6.720809248554914</v>
      </c>
    </row>
    <row r="14">
      <c r="A14" s="2" t="inlineStr">
        <is>
          <t>Shares</t>
        </is>
      </c>
      <c r="B14" s="23" t="n">
        <v>9.231</v>
      </c>
      <c r="C14" s="23" t="n">
        <v>9.146000000000001</v>
      </c>
      <c r="D14" s="23" t="n">
        <v>9.907</v>
      </c>
      <c r="E14" s="23" t="n">
        <v>10.465</v>
      </c>
      <c r="F14" s="23" t="n">
        <v>2.258</v>
      </c>
      <c r="G14" s="23" t="n">
        <v>0.9379999999999999</v>
      </c>
      <c r="H14" s="23" t="n">
        <v>1.181</v>
      </c>
      <c r="I14" s="23" t="n">
        <v>1.181</v>
      </c>
      <c r="J14" s="23" t="n">
        <v>1.467</v>
      </c>
      <c r="K14" s="23" t="n">
        <v>1.464</v>
      </c>
      <c r="L14" s="23" t="n">
        <v>1.745</v>
      </c>
      <c r="M14" s="23" t="n">
        <v>1.734</v>
      </c>
      <c r="N14" s="23" t="n">
        <v>1.73</v>
      </c>
    </row>
    <row r="15"/>
    <row r="16" customFormat="1" s="4">
      <c r="A16" s="3" t="inlineStr">
        <is>
          <t>Revenue Change</t>
        </is>
      </c>
      <c r="C16" s="15">
        <f>IFERROR(C2/B2-1,"")</f>
        <v>0.23728339854667402</v>
      </c>
      <c r="D16" s="15">
        <f>IFERROR(D2/C2-1,"")</f>
        <v>-0.5222498305850463</v>
      </c>
      <c r="E16" s="15">
        <f>IFERROR(E2/D2-1,"")</f>
        <v>0.3999999999999997</v>
      </c>
      <c r="F16" s="15">
        <f>IFERROR(F2/E2-1,"")</f>
        <v>0.13306315433975024</v>
      </c>
      <c r="G16" s="15">
        <f>IFERROR(G2/F2-1,"")</f>
        <v>-0.5034277198211625</v>
      </c>
      <c r="H16" s="15">
        <f>IFERROR(H2/G2-1,"")</f>
        <v>-0.05342136854741897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>0.4650642817216322</v>
      </c>
      <c r="C17" s="15">
        <f>IFERROR(C4/C2,"")</f>
        <v>0.7345832392139147</v>
      </c>
      <c r="D17" s="15">
        <f>IFERROR(D4/D2,"")</f>
        <v>0.550354609929078</v>
      </c>
      <c r="E17" s="15">
        <f>IFERROR(E4/E2,"")</f>
        <v>0.6342451874366768</v>
      </c>
      <c r="F17" s="15">
        <f>IFERROR(F4/F2,"")</f>
        <v>0.2828614008941877</v>
      </c>
      <c r="G17" s="15">
        <f>IFERROR(G4/G2,"")</f>
        <v>0.0768307322929171</v>
      </c>
      <c r="H17" s="15">
        <f>IFERROR(H4/H2,"")</f>
        <v>0.30374128091312613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>-0.5061486864169927</v>
      </c>
      <c r="C18" s="15">
        <f>IFERROR(C8/C2,"")</f>
        <v>-0.7237406821775471</v>
      </c>
      <c r="D18" s="15">
        <f>IFERROR(D8/D2,"")</f>
        <v>-4.578250591016548</v>
      </c>
      <c r="E18" s="15">
        <f>IFERROR(E8/E2,"")</f>
        <v>-1.1242823370482944</v>
      </c>
      <c r="F18" s="15">
        <f>IFERROR(F8/F2,"")</f>
        <v>-1.9710879284649776</v>
      </c>
      <c r="G18" s="15">
        <f>IFERROR(G8/G2,"")</f>
        <v>-6.037815126050421</v>
      </c>
      <c r="H18" s="15">
        <f>IFERROR(H8/H2,"")</f>
        <v>-2.2016487000634117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2026-10-21T06:31:29Z</dcterms:modified>
  <cp:lastModifiedBy>Wang, Eric</cp:lastModifiedBy>
</cp:coreProperties>
</file>