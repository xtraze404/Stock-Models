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InflaRx NV</t>
        </is>
      </c>
      <c r="C2" s="10" t="n"/>
    </row>
    <row r="3">
      <c r="B3" t="inlineStr">
        <is>
          <t>Price</t>
        </is>
      </c>
      <c r="C3" s="11">
        <f>INDEX([1]Pharma!$F$1:$F$1000,MATCH("IFRX",[1]Pharma!$B$1:$B$1000,0))</f>
        <v>1.54</v>
      </c>
      <c r="F3" s="1" t="n"/>
    </row>
    <row r="4">
      <c r="B4" t="inlineStr">
        <is>
          <t>Shares</t>
        </is>
      </c>
      <c r="C4" s="21" t="n">
        <v>72.29285900000001</v>
      </c>
      <c r="F4" s="1" t="n"/>
    </row>
    <row r="5">
      <c r="B5" t="inlineStr">
        <is>
          <t>Market Cap.</t>
        </is>
      </c>
      <c r="C5" s="13">
        <f>C3*C4</f>
        <v>111.33100286000001</v>
      </c>
      <c r="F5" s="1" t="n"/>
    </row>
    <row r="6"/>
    <row r="7">
      <c r="B7" t="inlineStr">
        <is>
          <t>Cash</t>
        </is>
      </c>
      <c r="C7" s="21">
        <f>(16.022)/0.88865</f>
        <v>18.0295954537782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93.30140740622181</v>
      </c>
    </row>
    <row r="10"/>
    <row r="11">
      <c r="B11" s="14" t="inlineStr">
        <is>
          <t>Net Cash / Share</t>
        </is>
      </c>
      <c r="C11" s="11">
        <f>(C7-C8)/C4</f>
        <v>0.24939663063786421</v>
      </c>
    </row>
    <row r="12">
      <c r="B12" s="14" t="inlineStr">
        <is>
          <t>Upside</t>
        </is>
      </c>
      <c r="C12" s="15">
        <f>IFERROR(C11/C3-1,"")</f>
        <v>-0.8380541359494389</v>
      </c>
    </row>
    <row r="13">
      <c r="B13" s="14" t="inlineStr">
        <is>
          <t>Cash / Share</t>
        </is>
      </c>
      <c r="C13" s="11">
        <f>IFERROR((C7-C8)/C4,"")</f>
        <v>0.24939663063786421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-39.739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0.45370028067586504</v>
      </c>
    </row>
    <row r="19">
      <c r="B19" s="14" t="inlineStr">
        <is>
          <t>Implied Pipeline Value</t>
        </is>
      </c>
      <c r="C19" s="13">
        <f>C9</f>
        <v>93.30140740622181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-7.754</v>
      </c>
      <c r="D2" s="23" t="n">
        <v>-21.882</v>
      </c>
      <c r="E2" s="23" t="n">
        <v>-42.217</v>
      </c>
      <c r="F2" s="23" t="n">
        <v>0</v>
      </c>
      <c r="G2" s="23" t="n">
        <v>0</v>
      </c>
      <c r="H2" s="23" t="n">
        <v>0</v>
      </c>
      <c r="I2" s="23" t="n">
        <v>-36.277</v>
      </c>
      <c r="J2" s="23" t="n">
        <v>0.07099999999999999</v>
      </c>
      <c r="K2" s="23" t="n">
        <v>0.187</v>
      </c>
      <c r="L2" s="23" t="n">
        <v>0.033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0.599</v>
      </c>
      <c r="K3" s="23" t="n">
        <v>3.733</v>
      </c>
      <c r="L3" s="23" t="n">
        <v>8.178000000000001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-7.754</v>
      </c>
      <c r="D4" s="23">
        <f>D2-D3</f>
        <v>-21.882</v>
      </c>
      <c r="E4" s="23">
        <f>E2-E3</f>
        <v>-42.217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-36.277</v>
      </c>
      <c r="J4" s="23">
        <f>J2-J3</f>
        <v>-0.528</v>
      </c>
      <c r="K4" s="23">
        <f>K2-K3</f>
        <v>-3.5460000000000003</v>
      </c>
      <c r="L4" s="23">
        <f>L2-L3</f>
        <v>-8.145000000000001</v>
      </c>
    </row>
    <row r="5">
      <c r="A5" s="2" t="inlineStr">
        <is>
          <t>Research &amp; Dev.</t>
        </is>
      </c>
      <c r="B5" s="23" t="n">
        <v>3.914</v>
      </c>
      <c r="C5" s="23" t="n">
        <v>5.939</v>
      </c>
      <c r="D5" s="23" t="n">
        <v>16.221</v>
      </c>
      <c r="E5" s="23" t="n">
        <v>28.165</v>
      </c>
      <c r="F5" s="23" t="n">
        <v>50.168</v>
      </c>
      <c r="G5" s="23" t="n">
        <v>28.902</v>
      </c>
      <c r="H5" s="23" t="n">
        <v>40.171</v>
      </c>
      <c r="I5" s="23" t="n">
        <v>42.228</v>
      </c>
      <c r="J5" s="23" t="n">
        <v>46.165</v>
      </c>
      <c r="K5" s="23" t="n">
        <v>39.795</v>
      </c>
      <c r="L5" s="23" t="n">
        <v>28.944</v>
      </c>
    </row>
    <row r="6">
      <c r="A6" s="19" t="inlineStr">
        <is>
          <t>SG&amp;A &amp; Other</t>
        </is>
      </c>
      <c r="B6" s="23" t="n">
        <v>0.493</v>
      </c>
      <c r="C6" s="23" t="n">
        <v>2.075</v>
      </c>
      <c r="D6" s="23" t="n">
        <v>5.782</v>
      </c>
      <c r="E6" s="23" t="n">
        <v>14.389</v>
      </c>
      <c r="F6" s="23" t="n">
        <v>14.067</v>
      </c>
      <c r="G6" s="23" t="n">
        <v>9.528</v>
      </c>
      <c r="H6" s="23" t="n">
        <v>13.433</v>
      </c>
      <c r="I6" s="23" t="n">
        <v>-42.228</v>
      </c>
      <c r="J6" s="23" t="n">
        <v>3.843</v>
      </c>
      <c r="K6" s="23" t="n">
        <v>0.047</v>
      </c>
      <c r="L6" s="23" t="n">
        <v>0.018</v>
      </c>
    </row>
    <row r="7">
      <c r="A7" s="2" t="inlineStr">
        <is>
          <t>Operating Expense</t>
        </is>
      </c>
      <c r="B7" s="23">
        <f>SUM(B5:B6)</f>
        <v>4.407</v>
      </c>
      <c r="C7" s="23">
        <f>SUM(C5:C6)</f>
        <v>8.014</v>
      </c>
      <c r="D7" s="23">
        <f>SUM(D5:D6)</f>
        <v>22.003</v>
      </c>
      <c r="E7" s="23">
        <f>SUM(E5:E6)</f>
        <v>42.554</v>
      </c>
      <c r="F7" s="23">
        <f>SUM(F5:F6)</f>
        <v>64.235</v>
      </c>
      <c r="G7" s="23">
        <f>SUM(G5:G6)</f>
        <v>38.43</v>
      </c>
      <c r="H7" s="23">
        <f>SUM(H5:H6)</f>
        <v>53.604</v>
      </c>
      <c r="I7" s="23">
        <f>SUM(I5:I6)</f>
        <v>0.0</v>
      </c>
      <c r="J7" s="23">
        <f>SUM(J5:J6)</f>
        <v>50.007999999999996</v>
      </c>
      <c r="K7" s="23">
        <f>SUM(K5:K6)</f>
        <v>39.842</v>
      </c>
      <c r="L7" s="23">
        <f>SUM(L5:L6)</f>
        <v>28.962</v>
      </c>
    </row>
    <row r="8">
      <c r="A8" s="2" t="inlineStr">
        <is>
          <t>Operating Income</t>
        </is>
      </c>
      <c r="B8" s="23">
        <f>B4-B7</f>
        <v>-4.407</v>
      </c>
      <c r="C8" s="23">
        <f>C4-C7</f>
        <v>-15.767999999999999</v>
      </c>
      <c r="D8" s="23">
        <f>D4-D7</f>
        <v>-43.885000000000005</v>
      </c>
      <c r="E8" s="23">
        <f>E4-E7</f>
        <v>-84.771</v>
      </c>
      <c r="F8" s="23">
        <f>F4-F7</f>
        <v>-64.235</v>
      </c>
      <c r="G8" s="23">
        <f>G4-G7</f>
        <v>-38.43</v>
      </c>
      <c r="H8" s="23">
        <f>H4-H7</f>
        <v>-53.604</v>
      </c>
      <c r="I8" s="23">
        <f>I4-I7</f>
        <v>-36.277</v>
      </c>
      <c r="J8" s="23">
        <f>J4-J7</f>
        <v>-50.535999999999994</v>
      </c>
      <c r="K8" s="23">
        <f>K4-K7</f>
        <v>-43.388</v>
      </c>
      <c r="L8" s="23">
        <f>L4-L7</f>
        <v>-37.107</v>
      </c>
    </row>
    <row r="9">
      <c r="A9" s="19" t="inlineStr">
        <is>
          <t>Interest &amp; Other</t>
        </is>
      </c>
      <c r="B9" s="23" t="n">
        <v>-1.126</v>
      </c>
      <c r="C9" s="23" t="n">
        <v>5.71</v>
      </c>
      <c r="D9" s="23" t="n">
        <v>16.61</v>
      </c>
      <c r="E9" s="23" t="n">
        <v>51.22</v>
      </c>
      <c r="F9" s="23" t="n">
        <v>4.308</v>
      </c>
      <c r="G9" s="23" t="n">
        <v>0.189</v>
      </c>
      <c r="H9" s="23" t="n">
        <v>2.256</v>
      </c>
      <c r="I9" s="23" t="n">
        <v>3.098</v>
      </c>
      <c r="J9" s="23" t="n">
        <v>2.521</v>
      </c>
      <c r="K9" s="23" t="n">
        <v>-8.443</v>
      </c>
      <c r="L9" s="23" t="n">
        <v>-14.231</v>
      </c>
    </row>
    <row r="10">
      <c r="A10" s="2" t="inlineStr">
        <is>
          <t>Pretax</t>
        </is>
      </c>
      <c r="B10" s="23">
        <f>B8+B9</f>
        <v>-5.5329999999999995</v>
      </c>
      <c r="C10" s="23">
        <f>C8+C9</f>
        <v>-10.058</v>
      </c>
      <c r="D10" s="23">
        <f>D8+D9</f>
        <v>-27.275000000000006</v>
      </c>
      <c r="E10" s="23">
        <f>E8+E9</f>
        <v>-33.551</v>
      </c>
      <c r="F10" s="23">
        <f>F8+F9</f>
        <v>-59.927</v>
      </c>
      <c r="G10" s="23">
        <f>G8+G9</f>
        <v>-38.241</v>
      </c>
      <c r="H10" s="23">
        <f>H8+H9</f>
        <v>-51.348</v>
      </c>
      <c r="I10" s="23">
        <f>I8+I9</f>
        <v>-33.179</v>
      </c>
      <c r="J10" s="23">
        <f>J8+J9</f>
        <v>-48.01499999999999</v>
      </c>
      <c r="K10" s="23">
        <f>K8+K9</f>
        <v>-51.830999999999996</v>
      </c>
      <c r="L10" s="23">
        <f>L8+L9</f>
        <v>-51.338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0.006</v>
      </c>
      <c r="L11" s="23" t="n">
        <v>0.014</v>
      </c>
    </row>
    <row r="12">
      <c r="A12" s="2" t="inlineStr">
        <is>
          <t>Net Income</t>
        </is>
      </c>
      <c r="B12" s="23" t="n">
        <v>-5.533</v>
      </c>
      <c r="C12" s="23" t="n">
        <v>-10.059</v>
      </c>
      <c r="D12" s="23" t="n">
        <v>-27.275</v>
      </c>
      <c r="E12" s="23" t="n">
        <v>-33.55</v>
      </c>
      <c r="F12" s="23" t="n">
        <v>-59.928</v>
      </c>
      <c r="G12" s="23" t="n">
        <v>-38.242</v>
      </c>
      <c r="H12" s="23" t="n">
        <v>-51.348</v>
      </c>
      <c r="I12" s="23" t="n">
        <v>-33.179</v>
      </c>
      <c r="J12" s="23" t="n">
        <v>-48.014</v>
      </c>
      <c r="K12" s="23" t="n">
        <v>-51.836</v>
      </c>
      <c r="L12" s="23" t="n">
        <v>-51.352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-1.0690827930704643</v>
      </c>
      <c r="D13" s="11">
        <f>IFERROR(D12/D14,0)</f>
        <v>-2.8982042290936136</v>
      </c>
      <c r="E13" s="11">
        <f>IFERROR(E12/E14,0)</f>
        <v>-1.336919705120542</v>
      </c>
      <c r="F13" s="11">
        <f>IFERROR(F12/F14,0)</f>
        <v>-2.3044799077100557</v>
      </c>
      <c r="G13" s="11">
        <f>IFERROR(G12/G14,0)</f>
        <v>-1.4129687788656935</v>
      </c>
      <c r="H13" s="11">
        <f>IFERROR(H12/H14,0)</f>
        <v>-1.2334374249339417</v>
      </c>
      <c r="I13" s="11">
        <f>IFERROR(I12/I14,0)</f>
        <v>-0.7505202678248282</v>
      </c>
      <c r="J13" s="11">
        <f>IFERROR(J12/J14,0)</f>
        <v>-0.8739352020385877</v>
      </c>
      <c r="K13" s="11">
        <f>IFERROR(K12/K14,0)</f>
        <v>-0.8797691785471826</v>
      </c>
      <c r="L13" s="11">
        <f>IFERROR(L12/L14,0)</f>
        <v>-0.763167280941624</v>
      </c>
    </row>
    <row r="14">
      <c r="A14" s="2" t="inlineStr">
        <is>
          <t>Shares</t>
        </is>
      </c>
      <c r="B14" s="23" t="n"/>
      <c r="C14" s="23" t="n">
        <v>9.409000000000001</v>
      </c>
      <c r="D14" s="23" t="n">
        <v>9.411</v>
      </c>
      <c r="E14" s="23" t="n">
        <v>25.095</v>
      </c>
      <c r="F14" s="23" t="n">
        <v>26.005</v>
      </c>
      <c r="G14" s="23" t="n">
        <v>27.065</v>
      </c>
      <c r="H14" s="23" t="n">
        <v>41.63</v>
      </c>
      <c r="I14" s="23" t="n">
        <v>44.208</v>
      </c>
      <c r="J14" s="23" t="n">
        <v>54.94</v>
      </c>
      <c r="K14" s="23" t="n">
        <v>58.92</v>
      </c>
      <c r="L14" s="23" t="n">
        <v>67.288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1.822027340727367</v>
      </c>
      <c r="E16" s="15">
        <f>IFERROR(E2/D2-1,"")</f>
        <v>0.9293026231605885</v>
      </c>
      <c r="F16" s="15">
        <f>IFERROR(F2/E2-1,"")</f>
        <v>-1.0</v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-1.0019571629407062</v>
      </c>
      <c r="K16" s="15">
        <f>IFERROR(K2/J2-1,"")</f>
        <v>1.6338028169014085</v>
      </c>
      <c r="L16" s="15">
        <f>IFERROR(L2/K2-1,"")</f>
        <v>-0.8235294117647058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-7.43661971830986</v>
      </c>
      <c r="K17" s="15">
        <f>IFERROR(K4/K2,"")</f>
        <v>-18.962566844919788</v>
      </c>
      <c r="L17" s="15">
        <f>IFERROR(L4/L2,"")</f>
        <v>-246.81818181818184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2.033531080732525</v>
      </c>
      <c r="D18" s="15">
        <f>IFERROR(D8/D2,"")</f>
        <v>2.0055296590805227</v>
      </c>
      <c r="E18" s="15">
        <f>IFERROR(E8/E2,"")</f>
        <v>2.007982566264775</v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1.0</v>
      </c>
      <c r="J18" s="15">
        <f>IFERROR(J8/J2,"")</f>
        <v>-711.7746478873239</v>
      </c>
      <c r="K18" s="15">
        <f>IFERROR(K8/K2,"")</f>
        <v>-232.02139037433153</v>
      </c>
      <c r="L18" s="15">
        <f>IFERROR(L8/L2,"")</f>
        <v>-1124.4545454545453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2026-10-21T01:05:55Z</dcterms:modified>
  <cp:lastModifiedBy>Wang, Eric</cp:lastModifiedBy>
</cp:coreProperties>
</file>