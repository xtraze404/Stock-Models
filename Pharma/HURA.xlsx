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TuHURA Biosciences Inc</t>
        </is>
      </c>
      <c r="C2" s="10" t="n"/>
    </row>
    <row r="3">
      <c r="B3" t="inlineStr">
        <is>
          <t>Price</t>
        </is>
      </c>
      <c r="C3" s="11">
        <f>INDEX([1]Pharma!$F$1:$F$1000,MATCH("HURA",[1]Pharma!$B$1:$B$1000,0))</f>
        <v>1.76</v>
      </c>
      <c r="F3" s="1" t="n"/>
    </row>
    <row r="4">
      <c r="B4" t="inlineStr">
        <is>
          <t>Shares</t>
        </is>
      </c>
      <c r="C4" s="21" t="n">
        <v>63.726617</v>
      </c>
      <c r="F4" s="1" t="n"/>
    </row>
    <row r="5">
      <c r="B5" t="inlineStr">
        <is>
          <t>Market Cap.</t>
        </is>
      </c>
      <c r="C5" s="13">
        <f>C3*C4</f>
        <v>112.15884591999999</v>
      </c>
      <c r="F5" s="1" t="n"/>
    </row>
    <row r="6"/>
    <row r="7">
      <c r="B7" t="inlineStr">
        <is>
          <t>Cash</t>
        </is>
      </c>
      <c r="C7" s="21" t="n">
        <v>0.995977</v>
      </c>
    </row>
    <row r="8">
      <c r="B8" t="inlineStr">
        <is>
          <t>Debt</t>
        </is>
      </c>
      <c r="C8" s="21" t="n">
        <v>3.6</v>
      </c>
    </row>
    <row r="9">
      <c r="B9" t="inlineStr">
        <is>
          <t>Enterprise V.</t>
        </is>
      </c>
      <c r="C9" s="13">
        <f>C5-C7+C8</f>
        <v>114.76286891999999</v>
      </c>
    </row>
    <row r="10"/>
    <row r="11">
      <c r="B11" s="14" t="inlineStr">
        <is>
          <t>Net Cash / Share</t>
        </is>
      </c>
      <c r="C11" s="11">
        <f>(C7-C8)/C4</f>
        <v>-0.04086240761846813</v>
      </c>
    </row>
    <row r="12">
      <c r="B12" s="14" t="inlineStr">
        <is>
          <t>Upside</t>
        </is>
      </c>
      <c r="C12" s="15">
        <f>IFERROR(C11/C3-1,"")</f>
        <v>-1.0232172770559478</v>
      </c>
    </row>
    <row r="13">
      <c r="B13" s="14" t="inlineStr">
        <is>
          <t>Cash / Share</t>
        </is>
      </c>
      <c r="C13" s="11">
        <f>IFERROR((C7-C8)/C4,"")</f>
        <v>-0.04086240761846813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-29.689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net debt</v>
      </c>
    </row>
    <row r="19">
      <c r="B19" s="14" t="inlineStr">
        <is>
          <t>Implied Pipeline Value</t>
        </is>
      </c>
      <c r="C19" s="13">
        <f>C9</f>
        <v>114.76286891999999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2011</v>
      </c>
      <c r="C1" s="17" t="n">
        <v>2012</v>
      </c>
      <c r="D1" s="17" t="n">
        <v>2013</v>
      </c>
      <c r="E1" s="17" t="n">
        <v>2014</v>
      </c>
      <c r="F1" s="17" t="n">
        <v>2015</v>
      </c>
      <c r="G1" s="17" t="n">
        <v>2016</v>
      </c>
      <c r="H1" s="17" t="n">
        <v>2017</v>
      </c>
      <c r="I1" s="17" t="n">
        <v>2018</v>
      </c>
      <c r="J1" s="17" t="n">
        <v>2019</v>
      </c>
      <c r="K1" s="17" t="n">
        <v>2020</v>
      </c>
      <c r="L1" s="17" t="n">
        <v>2021</v>
      </c>
      <c r="M1" s="17" t="n">
        <v>2022</v>
      </c>
      <c r="N1" s="17" t="n">
        <v>2023</v>
      </c>
      <c r="O1" s="17" t="n">
        <v>2024</v>
      </c>
      <c r="P1" s="17" t="n">
        <v>2025</v>
      </c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0</v>
      </c>
      <c r="P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  <c r="O4" s="23">
        <f>O2-O3</f>
        <v>0.0</v>
      </c>
      <c r="P4" s="23">
        <f>P2-P3</f>
        <v>0.0</v>
      </c>
    </row>
    <row r="5">
      <c r="A5" s="2" t="inlineStr">
        <is>
          <t>Research &amp; Dev.</t>
        </is>
      </c>
      <c r="B5" s="23" t="n">
        <v>1.051</v>
      </c>
      <c r="C5" s="23" t="n">
        <v>1.55</v>
      </c>
      <c r="D5" s="23" t="n">
        <v>2.343</v>
      </c>
      <c r="E5" s="23" t="n">
        <v>-2.119</v>
      </c>
      <c r="F5" s="23" t="n">
        <v>2.556</v>
      </c>
      <c r="G5" s="23" t="n">
        <v>3.361</v>
      </c>
      <c r="H5" s="23" t="n">
        <v>5.004</v>
      </c>
      <c r="I5" s="23" t="n">
        <v>-7.133</v>
      </c>
      <c r="J5" s="23" t="n">
        <v>3.662</v>
      </c>
      <c r="K5" s="23" t="n">
        <v>3.63</v>
      </c>
      <c r="L5" s="23" t="n">
        <v>11.815</v>
      </c>
      <c r="M5" s="23" t="n">
        <v>15.173</v>
      </c>
      <c r="N5" s="23" t="n">
        <v>9.401999999999999</v>
      </c>
      <c r="O5" s="23" t="n">
        <v>13.335</v>
      </c>
      <c r="P5" s="23" t="n">
        <v>20.533</v>
      </c>
    </row>
    <row r="6">
      <c r="A6" s="19" t="inlineStr">
        <is>
          <t>SG&amp;A &amp; Other</t>
        </is>
      </c>
      <c r="B6" s="23" t="n">
        <v>-1.018</v>
      </c>
      <c r="C6" s="23" t="n">
        <v>-1.532</v>
      </c>
      <c r="D6" s="23" t="n">
        <v>3.952</v>
      </c>
      <c r="E6" s="23" t="n">
        <v>-3.134</v>
      </c>
      <c r="F6" s="23" t="n">
        <v>2.169</v>
      </c>
      <c r="G6" s="23" t="n">
        <v>2.853</v>
      </c>
      <c r="H6" s="23" t="n">
        <v>3.317</v>
      </c>
      <c r="I6" s="23" t="n">
        <v>-4.042</v>
      </c>
      <c r="J6" s="23" t="n">
        <v>4.736</v>
      </c>
      <c r="K6" s="23" t="n">
        <v>-12.828</v>
      </c>
      <c r="L6" s="23" t="n">
        <v>26.351</v>
      </c>
      <c r="M6" s="23" t="n">
        <v>7.509</v>
      </c>
      <c r="N6" s="23" t="n">
        <v>20.362</v>
      </c>
      <c r="O6" s="23" t="n">
        <v>4.314</v>
      </c>
      <c r="P6" s="23" t="n">
        <v>11.263</v>
      </c>
    </row>
    <row r="7">
      <c r="A7" s="2" t="inlineStr">
        <is>
          <t>Operating Expense</t>
        </is>
      </c>
      <c r="B7" s="23">
        <f>SUM(B5:B6)</f>
        <v>0.03299999999999992</v>
      </c>
      <c r="C7" s="23">
        <f>SUM(C5:C6)</f>
        <v>0.018000000000000016</v>
      </c>
      <c r="D7" s="23">
        <f>SUM(D5:D6)</f>
        <v>6.295</v>
      </c>
      <c r="E7" s="23">
        <f>SUM(E5:E6)</f>
        <v>-5.253</v>
      </c>
      <c r="F7" s="23">
        <f>SUM(F5:F6)</f>
        <v>4.725</v>
      </c>
      <c r="G7" s="23">
        <f>SUM(G5:G6)</f>
        <v>6.214</v>
      </c>
      <c r="H7" s="23">
        <f>SUM(H5:H6)</f>
        <v>8.321</v>
      </c>
      <c r="I7" s="23">
        <f>SUM(I5:I6)</f>
        <v>-11.175</v>
      </c>
      <c r="J7" s="23">
        <f>SUM(J5:J6)</f>
        <v>8.398</v>
      </c>
      <c r="K7" s="23">
        <f>SUM(K5:K6)</f>
        <v>-9.198</v>
      </c>
      <c r="L7" s="23">
        <f>SUM(L5:L6)</f>
        <v>38.166</v>
      </c>
      <c r="M7" s="23">
        <f>SUM(M5:M6)</f>
        <v>22.682000000000002</v>
      </c>
      <c r="N7" s="23">
        <f>SUM(N5:N6)</f>
        <v>29.763999999999996</v>
      </c>
      <c r="O7" s="23">
        <f>SUM(O5:O6)</f>
        <v>17.649</v>
      </c>
      <c r="P7" s="23">
        <f>SUM(P5:P6)</f>
        <v>31.796</v>
      </c>
    </row>
    <row r="8">
      <c r="A8" s="2" t="inlineStr">
        <is>
          <t>Operating Income</t>
        </is>
      </c>
      <c r="B8" s="23">
        <f>B4-B7</f>
        <v>-0.03299999999999992</v>
      </c>
      <c r="C8" s="23">
        <f>C4-C7</f>
        <v>-0.018000000000000016</v>
      </c>
      <c r="D8" s="23">
        <f>D4-D7</f>
        <v>-6.295</v>
      </c>
      <c r="E8" s="23">
        <f>E4-E7</f>
        <v>5.253</v>
      </c>
      <c r="F8" s="23">
        <f>F4-F7</f>
        <v>-4.725</v>
      </c>
      <c r="G8" s="23">
        <f>G4-G7</f>
        <v>-6.214</v>
      </c>
      <c r="H8" s="23">
        <f>H4-H7</f>
        <v>-8.321</v>
      </c>
      <c r="I8" s="23">
        <f>I4-I7</f>
        <v>11.175</v>
      </c>
      <c r="J8" s="23">
        <f>J4-J7</f>
        <v>-8.398</v>
      </c>
      <c r="K8" s="23">
        <f>K4-K7</f>
        <v>9.198</v>
      </c>
      <c r="L8" s="23">
        <f>L4-L7</f>
        <v>-38.166</v>
      </c>
      <c r="M8" s="23">
        <f>M4-M7</f>
        <v>-22.682000000000002</v>
      </c>
      <c r="N8" s="23">
        <f>N4-N7</f>
        <v>-29.763999999999996</v>
      </c>
      <c r="O8" s="23">
        <f>O4-O7</f>
        <v>-17.649</v>
      </c>
      <c r="P8" s="23">
        <f>P4-P7</f>
        <v>-31.796</v>
      </c>
    </row>
    <row r="9">
      <c r="A9" s="19" t="inlineStr">
        <is>
          <t>Interest &amp; Other</t>
        </is>
      </c>
      <c r="B9" s="23" t="n">
        <v>-1.3</v>
      </c>
      <c r="C9" s="23" t="n">
        <v>-2.381</v>
      </c>
      <c r="D9" s="23" t="n">
        <v>-1.996</v>
      </c>
      <c r="E9" s="23" t="n">
        <v>1.105</v>
      </c>
      <c r="F9" s="23" t="n">
        <v>0.377</v>
      </c>
      <c r="G9" s="23" t="n">
        <v>15.079</v>
      </c>
      <c r="H9" s="23" t="n">
        <v>0.239</v>
      </c>
      <c r="I9" s="23" t="n">
        <v>-0.036</v>
      </c>
      <c r="J9" s="23" t="n">
        <v>0.35</v>
      </c>
      <c r="K9" s="23" t="n">
        <v>-18.324</v>
      </c>
      <c r="L9" s="23" t="n">
        <v>-0.132</v>
      </c>
      <c r="M9" s="23" t="n">
        <v>0.021</v>
      </c>
      <c r="N9" s="23" t="n">
        <v>14.765</v>
      </c>
      <c r="O9" s="23" t="n">
        <v>-5.347</v>
      </c>
      <c r="P9" s="23" t="n">
        <v>0.798</v>
      </c>
    </row>
    <row r="10">
      <c r="A10" s="2" t="inlineStr">
        <is>
          <t>Pretax</t>
        </is>
      </c>
      <c r="B10" s="23">
        <f>B8+B9</f>
        <v>-1.333</v>
      </c>
      <c r="C10" s="23">
        <f>C8+C9</f>
        <v>-2.399</v>
      </c>
      <c r="D10" s="23">
        <f>D8+D9</f>
        <v>-8.291</v>
      </c>
      <c r="E10" s="23">
        <f>E8+E9</f>
        <v>6.3580000000000005</v>
      </c>
      <c r="F10" s="23">
        <f>F8+F9</f>
        <v>-4.348</v>
      </c>
      <c r="G10" s="23">
        <f>G8+G9</f>
        <v>8.865</v>
      </c>
      <c r="H10" s="23">
        <f>H8+H9</f>
        <v>-8.081999999999999</v>
      </c>
      <c r="I10" s="23">
        <f>I8+I9</f>
        <v>11.139000000000001</v>
      </c>
      <c r="J10" s="23">
        <f>J8+J9</f>
        <v>-8.048</v>
      </c>
      <c r="K10" s="23">
        <f>K8+K9</f>
        <v>-9.126000000000001</v>
      </c>
      <c r="L10" s="23">
        <f>L8+L9</f>
        <v>-38.297999999999995</v>
      </c>
      <c r="M10" s="23">
        <f>M8+M9</f>
        <v>-22.661</v>
      </c>
      <c r="N10" s="23">
        <f>N8+N9</f>
        <v>-14.998999999999995</v>
      </c>
      <c r="O10" s="23">
        <f>O8+O9</f>
        <v>-22.996000000000002</v>
      </c>
      <c r="P10" s="23">
        <f>P8+P9</f>
        <v>-30.997999999999998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0.004</v>
      </c>
      <c r="P11" s="23" t="n">
        <v>0.002</v>
      </c>
    </row>
    <row r="12">
      <c r="A12" s="2" t="inlineStr">
        <is>
          <t>Net Income</t>
        </is>
      </c>
      <c r="B12" s="23" t="n">
        <v>-1.333</v>
      </c>
      <c r="C12" s="23" t="n">
        <v>-2.4</v>
      </c>
      <c r="D12" s="23" t="n">
        <v>-8.291</v>
      </c>
      <c r="E12" s="23" t="n">
        <v>6.358</v>
      </c>
      <c r="F12" s="23" t="n">
        <v>-4.348</v>
      </c>
      <c r="G12" s="23" t="n">
        <v>8.865</v>
      </c>
      <c r="H12" s="23" t="n">
        <v>-8.082000000000001</v>
      </c>
      <c r="I12" s="23" t="n">
        <v>11.138</v>
      </c>
      <c r="J12" s="23" t="n">
        <v>-8.048</v>
      </c>
      <c r="K12" s="23" t="n">
        <v>-9.125999999999999</v>
      </c>
      <c r="L12" s="23" t="n">
        <v>-38.298</v>
      </c>
      <c r="M12" s="23" t="n">
        <v>-22.661</v>
      </c>
      <c r="N12" s="23" t="n">
        <v>-15</v>
      </c>
      <c r="O12" s="23" t="n">
        <v>-23</v>
      </c>
      <c r="P12" s="23" t="n">
        <v>-31</v>
      </c>
    </row>
    <row r="13">
      <c r="A13" s="2" t="inlineStr">
        <is>
          <t>Earnings per Share</t>
        </is>
      </c>
      <c r="B13" s="11">
        <f>IFERROR(B12/B14,0)</f>
        <v>-0.7915676959619953</v>
      </c>
      <c r="C13" s="11">
        <f>IFERROR(C12/C14,0)</f>
        <v>-0.918133129303749</v>
      </c>
      <c r="D13" s="11">
        <f>IFERROR(D12/D14,0)</f>
        <v>-1.4148464163822525</v>
      </c>
      <c r="E13" s="11">
        <f>IFERROR(E12/E14,0)</f>
        <v>0.8233618233618233</v>
      </c>
      <c r="F13" s="11">
        <f>IFERROR(F12/F14,0)</f>
        <v>-0.5781914893617022</v>
      </c>
      <c r="G13" s="11">
        <f>IFERROR(G12/G14,0)</f>
        <v>4.098474341192788</v>
      </c>
      <c r="H13" s="11">
        <f>IFERROR(H12/H14,0)</f>
        <v>-3.7731092436974794</v>
      </c>
      <c r="I13" s="11">
        <f>IFERROR(I12/I14,0)</f>
        <v>3.0029657589646805</v>
      </c>
      <c r="J13" s="11">
        <f>IFERROR(J12/J14,0)</f>
        <v>-1.758357002403321</v>
      </c>
      <c r="K13" s="11">
        <f>IFERROR(K12/K14,0)</f>
        <v>-1.9659629470056008</v>
      </c>
      <c r="L13" s="11">
        <f>IFERROR(L12/L14,0)</f>
        <v>-3.328813559322034</v>
      </c>
      <c r="M13" s="11">
        <f>IFERROR(M12/M14,0)</f>
        <v>-1.9388261464750172</v>
      </c>
      <c r="N13" s="11">
        <f>IFERROR(N12/N14,0)</f>
        <v>-1.2616704516780217</v>
      </c>
      <c r="O13" s="11">
        <f>IFERROR(O12/O14,0)</f>
        <v>-1.232384932754648</v>
      </c>
      <c r="P13" s="11">
        <f>IFERROR(P12/P14,0)</f>
        <v>-0.6468170342395727</v>
      </c>
    </row>
    <row r="14">
      <c r="A14" s="2" t="inlineStr">
        <is>
          <t>Shares</t>
        </is>
      </c>
      <c r="B14" s="23" t="n">
        <v>1.684</v>
      </c>
      <c r="C14" s="23" t="n">
        <v>2.614</v>
      </c>
      <c r="D14" s="23" t="n">
        <v>5.86</v>
      </c>
      <c r="E14" s="23" t="n">
        <v>7.722</v>
      </c>
      <c r="F14" s="23" t="n">
        <v>7.52</v>
      </c>
      <c r="G14" s="23" t="n">
        <v>2.163</v>
      </c>
      <c r="H14" s="23" t="n">
        <v>2.142</v>
      </c>
      <c r="I14" s="23" t="n">
        <v>3.709</v>
      </c>
      <c r="J14" s="23" t="n">
        <v>4.577</v>
      </c>
      <c r="K14" s="23" t="n">
        <v>4.642</v>
      </c>
      <c r="L14" s="23" t="n">
        <v>11.505</v>
      </c>
      <c r="M14" s="23" t="n">
        <v>11.688</v>
      </c>
      <c r="N14" s="23" t="n">
        <v>11.889</v>
      </c>
      <c r="O14" s="23" t="n">
        <v>18.663</v>
      </c>
      <c r="P14" s="23" t="n">
        <v>47.927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  <c r="P16" s="15">
        <f>IFERROR(P2/O2-1,"")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  <c r="P17" s="15">
        <f>IFERROR(P4/P2,"")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  <c r="P18" s="15">
        <f>IFERROR(P8/P2,"")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2026-10-21T01:05:53Z</dcterms:modified>
  <cp:lastModifiedBy>Wang, Eric</cp:lastModifiedBy>
</cp:coreProperties>
</file>