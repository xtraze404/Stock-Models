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Pipeline" sheetId="5" state="visible" r:id="rId5"/>
    <sheet name="NPV" sheetId="6" state="visible" r:id="rId6"/>
    <sheet name="Options" sheetId="7" state="visible" r:id="rId7"/>
  </sheets>
  <externalReferences>
    <externalReference r:id="rId8"/>
  </externalReference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0.0%;(0.0%);&quot;-&quot;"/>
    <numFmt numFmtId="165" formatCode="#,##0;(#,##0);&quot;-&quot;"/>
    <numFmt numFmtId="166" formatCode="yyyy-mm-dd"/>
    <numFmt numFmtId="167" formatCode="0%;(0%);&quot;-&quot;"/>
    <numFmt numFmtId="168" formatCode="0.0"/>
    <numFmt numFmtId="169" formatCode="#,##0.0;(#,##0.0);&quot;-&quot;"/>
    <numFmt numFmtId="170" formatCode="0.0%"/>
    <numFmt numFmtId="171" formatCode="0.000"/>
    <numFmt numFmtId="172" formatCode="$#,##0.00;($#,##0.00);&quot;-&quot;"/>
    <numFmt numFmtId="173" formatCode="0.000000"/>
    <numFmt numFmtId="174" formatCode="0.00x"/>
    <numFmt numFmtId="175" formatCode="$#,##0;($#,##0);&quot;-&quot;"/>
    <numFmt numFmtId="176" formatCode="#,##0.0"/>
  </numFmts>
  <fonts count="12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color rgb="00000000"/>
      <sz val="14"/>
    </font>
    <font>
      <name val="Aptos Narrow"/>
      <b val="1"/>
      <color rgb="00000000"/>
      <sz val="12"/>
    </font>
    <font>
      <name val="Aptos Narrow"/>
      <color rgb="000000FF"/>
      <sz val="12"/>
    </font>
    <font>
      <name val="Aptos Narrow"/>
      <i val="1"/>
      <color rgb="00000000"/>
      <sz val="12"/>
    </font>
    <font>
      <name val="Aptos Narrow"/>
      <color rgb="00000000"/>
      <sz val="12"/>
    </font>
    <font>
      <name val="Aptos Narrow"/>
      <b val="1"/>
      <color rgb="000000FF"/>
      <sz val="12"/>
    </font>
    <font>
      <name val="Aptos Narrow"/>
      <b val="1"/>
      <color rgb="00008000"/>
      <sz val="12"/>
    </font>
    <font>
      <name val="Aptos Narrow"/>
      <color rgb="00008000"/>
      <sz val="12"/>
    </font>
    <font>
      <name val="Aptos Narrow"/>
      <b val="1"/>
      <color rgb="00000000"/>
      <sz val="13"/>
    </font>
    <font>
      <name val="Aptos Narrow"/>
      <i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96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6" fillId="0" borderId="0" pivotButton="0" quotePrefix="0" xfId="0"/>
    <xf numFmtId="176" fontId="6" fillId="0" borderId="0" pivotButton="0" quotePrefix="0" xfId="0"/>
    <xf numFmtId="0" fontId="6" fillId="0" borderId="0" pivotButton="0" quotePrefix="0" xfId="0"/>
    <xf numFmtId="170" fontId="6" fillId="0" borderId="0" pivotButton="0" quotePrefix="0" xfId="0"/>
    <xf numFmtId="166" fontId="6" fillId="0" borderId="0" pivotButton="0" quotePrefix="0" xfId="0"/>
    <xf numFmtId="9" fontId="6" fillId="0" borderId="0" pivotButton="0" quotePrefix="0" xfId="0"/>
    <xf numFmtId="0" fontId="3" fillId="0" borderId="1" pivotButton="0" quotePrefix="0" xfId="0"/>
    <xf numFmtId="169" fontId="6" fillId="0" borderId="0" pivotButton="0" quotePrefix="0" xfId="0"/>
    <xf numFmtId="0" fontId="6" fillId="0" borderId="2" pivotButton="0" quotePrefix="0" xfId="0"/>
    <xf numFmtId="0" fontId="6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pivotButton="0" quotePrefix="0" xfId="0"/>
    <xf numFmtId="164" fontId="4" fillId="2" borderId="0" pivotButton="0" quotePrefix="0" xfId="0"/>
    <xf numFmtId="165" fontId="4" fillId="2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pivotButton="0" quotePrefix="0" xfId="0"/>
    <xf numFmtId="0" fontId="0" fillId="4" borderId="0" pivotButton="0" quotePrefix="0" xfId="0"/>
    <xf numFmtId="166" fontId="7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4" fillId="2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" fontId="3" fillId="0" borderId="0" applyAlignment="1" pivotButton="0" quotePrefix="0" xfId="0">
      <alignment horizontal="center"/>
    </xf>
    <xf numFmtId="1" fontId="4" fillId="0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2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0" fontId="10" fillId="0" borderId="0" pivotButton="0" quotePrefix="0" xfId="0"/>
    <xf numFmtId="165" fontId="11" fillId="0" borderId="0" pivotButton="0" quotePrefix="0" xfId="0"/>
    <xf numFmtId="172" fontId="11" fillId="0" borderId="0" pivotButton="0" quotePrefix="0" xfId="0"/>
    <xf numFmtId="164" fontId="11" fillId="0" borderId="0" pivotButton="0" quotePrefix="0" xfId="0"/>
    <xf numFmtId="167" fontId="5" fillId="0" borderId="0" pivotButton="0" quotePrefix="0" xfId="0"/>
    <xf numFmtId="164" fontId="5" fillId="0" borderId="0" pivotButton="0" quotePrefix="0" xfId="0"/>
    <xf numFmtId="0" fontId="6" fillId="0" borderId="0" applyAlignment="1" pivotButton="0" quotePrefix="0" xfId="0">
      <alignment horizontal="center"/>
    </xf>
    <xf numFmtId="165" fontId="6" fillId="0" borderId="0" pivotButton="0" quotePrefix="0" xfId="0"/>
    <xf numFmtId="172" fontId="6" fillId="0" borderId="0" pivotButton="0" quotePrefix="0" xfId="0"/>
    <xf numFmtId="164" fontId="6" fillId="0" borderId="0" pivotButton="0" quotePrefix="0" xfId="0"/>
    <xf numFmtId="167" fontId="6" fillId="0" borderId="0" pivotButton="0" quotePrefix="0" xfId="0"/>
    <xf numFmtId="165" fontId="3" fillId="0" borderId="0" pivotButton="0" quotePrefix="0" xfId="0"/>
    <xf numFmtId="172" fontId="3" fillId="0" borderId="0" pivotButton="0" quotePrefix="0" xfId="0"/>
    <xf numFmtId="164" fontId="3" fillId="0" borderId="0" pivotButton="0" quotePrefix="0" xfId="0"/>
    <xf numFmtId="167" fontId="3" fillId="0" borderId="0" pivotButton="0" quotePrefix="0" xfId="0"/>
    <xf numFmtId="167" fontId="5" fillId="0" borderId="0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" fontId="6" fillId="0" borderId="0" pivotButton="0" quotePrefix="0" xfId="0"/>
    <xf numFmtId="165" fontId="3" fillId="0" borderId="6" pivotButton="0" quotePrefix="0" xfId="0"/>
    <xf numFmtId="0" fontId="8" fillId="0" borderId="0" pivotButton="0" quotePrefix="0" xfId="0"/>
    <xf numFmtId="166" fontId="9" fillId="0" borderId="0" pivotButton="0" quotePrefix="0" xfId="0"/>
    <xf numFmtId="164" fontId="9" fillId="0" borderId="0" pivotButton="0" quotePrefix="0" xfId="0"/>
    <xf numFmtId="0" fontId="6" fillId="3" borderId="0" pivotButton="0" quotePrefix="0" xfId="0"/>
    <xf numFmtId="0" fontId="3" fillId="3" borderId="0" applyAlignment="1" pivotButton="0" quotePrefix="0" xfId="0">
      <alignment horizontal="right"/>
    </xf>
    <xf numFmtId="165" fontId="9" fillId="0" borderId="0" pivotButton="0" quotePrefix="0" xfId="0"/>
    <xf numFmtId="166" fontId="6" fillId="0" borderId="0" applyAlignment="1" pivotButton="0" quotePrefix="0" xfId="0">
      <alignment horizontal="right"/>
    </xf>
    <xf numFmtId="171" fontId="6" fillId="0" borderId="0" pivotButton="0" quotePrefix="0" xfId="0"/>
    <xf numFmtId="169" fontId="9" fillId="0" borderId="0" pivotButton="0" quotePrefix="0" xfId="0"/>
    <xf numFmtId="1" fontId="6" fillId="0" borderId="0" applyAlignment="1" pivotButton="0" quotePrefix="0" xfId="0">
      <alignment horizontal="center"/>
    </xf>
    <xf numFmtId="171" fontId="4" fillId="0" borderId="0" pivotButton="0" quotePrefix="0" xfId="0"/>
    <xf numFmtId="172" fontId="4" fillId="0" borderId="0" pivotButton="0" quotePrefix="0" xfId="0"/>
    <xf numFmtId="172" fontId="3" fillId="2" borderId="0" pivotButton="0" quotePrefix="0" xfId="0"/>
    <xf numFmtId="172" fontId="9" fillId="0" borderId="0" pivotButton="0" quotePrefix="0" xfId="0"/>
    <xf numFmtId="0" fontId="3" fillId="4" borderId="0" applyAlignment="1" pivotButton="0" quotePrefix="0" xfId="0">
      <alignment horizontal="right"/>
    </xf>
    <xf numFmtId="172" fontId="3" fillId="0" borderId="6" pivotButton="0" quotePrefix="0" xfId="0"/>
    <xf numFmtId="173" fontId="5" fillId="0" borderId="0" pivotButton="0" quotePrefix="0" xfId="0"/>
    <xf numFmtId="166" fontId="4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174" fontId="3" fillId="0" borderId="0" pivotButton="0" quotePrefix="0" xfId="0"/>
    <xf numFmtId="2" fontId="4" fillId="0" borderId="0" applyAlignment="1" pivotButton="0" quotePrefix="0" xfId="0">
      <alignment horizontal="center"/>
    </xf>
    <xf numFmtId="3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175" fontId="6" fillId="0" borderId="0" pivotButton="0" quotePrefix="0" xfId="0"/>
    <xf numFmtId="175" fontId="6" fillId="0" borderId="0" applyAlignment="1" pivotButton="0" quotePrefix="0" xfId="0">
      <alignment horizontal="right"/>
    </xf>
    <xf numFmtId="172" fontId="6" fillId="0" borderId="0" applyAlignment="1" pivotButton="0" quotePrefix="0" xfId="0">
      <alignment horizontal="right"/>
    </xf>
    <xf numFmtId="175" fontId="3" fillId="0" borderId="0" pivotButton="0" quotePrefix="0" xfId="0"/>
    <xf numFmtId="172" fontId="6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externalLink" Target="/xl/externalLinks/externalLink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P/L at expiry per contract (Nov 20, 2026)</a:t>
            </a:r>
          </a:p>
        </rich>
      </tx>
    </title>
    <plotArea>
      <scatterChart>
        <ser>
          <idx val="0"/>
          <order val="0"/>
          <tx>
            <strRef>
              <f>'Options'!B62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'Options'!$B$63:$B$93</f>
            </numRef>
          </yVal>
        </ser>
        <ser>
          <idx val="1"/>
          <order val="1"/>
          <tx>
            <strRef>
              <f>'Options'!C62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'Options'!$C$63:$C$93</f>
            </numRef>
          </yVal>
        </ser>
        <ser>
          <idx val="2"/>
          <order val="2"/>
          <tx>
            <strRef>
              <f>'Options'!D62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'Options'!$D$63:$D$93</f>
            </numRef>
          </yVal>
        </ser>
        <ser>
          <idx val="3"/>
          <order val="3"/>
          <tx>
            <strRef>
              <f>'Options'!E62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'Options'!$A$63:$A$93</f>
            </numRef>
          </xVal>
          <yVal>
            <numRef>
              <f>'Options'!$E$63:$E$93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AGIO price at expiry ($)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P/L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61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1">
          <cell r="F1" t="str">
            <v>Close 2026-10-16</v>
          </cell>
        </row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SNY</v>
          </cell>
          <cell r="F15">
            <v>50.645</v>
          </cell>
        </row>
        <row r="16">
          <cell r="B16" t="str">
            <v>MRNA</v>
          </cell>
          <cell r="F16">
            <v>41.4</v>
          </cell>
        </row>
        <row r="17">
          <cell r="B17" t="str">
            <v>REGN</v>
          </cell>
          <cell r="F17">
            <v>242.08</v>
          </cell>
        </row>
        <row r="18">
          <cell r="B18" t="str">
            <v>NTRA</v>
          </cell>
          <cell r="F18">
            <v>807.48</v>
          </cell>
        </row>
        <row r="19">
          <cell r="B19" t="str">
            <v>ARGX</v>
          </cell>
          <cell r="F19">
            <v>20.08</v>
          </cell>
        </row>
        <row r="20">
          <cell r="B20" t="str">
            <v>TEVA</v>
          </cell>
          <cell r="F20">
            <v>405.92</v>
          </cell>
        </row>
        <row r="21">
          <cell r="B21" t="str">
            <v>HLN</v>
          </cell>
          <cell r="F21">
            <v>869.72</v>
          </cell>
        </row>
        <row r="22">
          <cell r="B22" t="str">
            <v>RVMD</v>
          </cell>
          <cell r="F22">
            <v>40.855</v>
          </cell>
        </row>
        <row r="23">
          <cell r="B23" t="str">
            <v>ONC</v>
          </cell>
          <cell r="F23">
            <v>10.17</v>
          </cell>
        </row>
        <row r="24">
          <cell r="B24" t="str">
            <v>BIIB</v>
          </cell>
          <cell r="F24">
            <v>384.5</v>
          </cell>
        </row>
        <row r="25">
          <cell r="B25" t="str">
            <v>RPRX</v>
          </cell>
          <cell r="F25">
            <v>196.55</v>
          </cell>
        </row>
        <row r="26">
          <cell r="B26" t="str">
            <v>ALNY</v>
          </cell>
          <cell r="F26">
            <v>62.25</v>
          </cell>
        </row>
        <row r="27">
          <cell r="B27" t="str">
            <v>ZTS</v>
          </cell>
          <cell r="F27">
            <v>243.1</v>
          </cell>
        </row>
        <row r="28">
          <cell r="B28" t="str">
            <v>ROIV</v>
          </cell>
          <cell r="F28">
            <v>80.04</v>
          </cell>
        </row>
        <row r="29">
          <cell r="B29" t="str">
            <v>BNTX</v>
          </cell>
          <cell r="F29">
            <v>230.71</v>
          </cell>
        </row>
        <row r="30">
          <cell r="B30" t="str">
            <v>GMAB</v>
          </cell>
          <cell r="F30">
            <v>34.92</v>
          </cell>
        </row>
        <row r="31">
          <cell r="B31" t="str">
            <v>UTHR</v>
          </cell>
          <cell r="F31">
            <v>39.07</v>
          </cell>
        </row>
        <row r="32">
          <cell r="B32" t="str">
            <v>INCY</v>
          </cell>
          <cell r="F32">
            <v>553.88</v>
          </cell>
        </row>
        <row r="33">
          <cell r="B33" t="str">
            <v>INSM</v>
          </cell>
          <cell r="F33">
            <v>116.615</v>
          </cell>
        </row>
        <row r="34">
          <cell r="B34" t="str">
            <v>VTRS</v>
          </cell>
          <cell r="F34">
            <v>91.17</v>
          </cell>
        </row>
        <row r="35">
          <cell r="B35" t="str">
            <v>EXEL</v>
          </cell>
          <cell r="F35">
            <v>18.65</v>
          </cell>
        </row>
        <row r="36">
          <cell r="B36" t="str">
            <v>NBIX</v>
          </cell>
          <cell r="F36">
            <v>95.67</v>
          </cell>
        </row>
        <row r="37">
          <cell r="B37" t="str">
            <v>JAZZ</v>
          </cell>
          <cell r="F37">
            <v>64.39</v>
          </cell>
        </row>
        <row r="38">
          <cell r="B38" t="str">
            <v>SMMT</v>
          </cell>
          <cell r="F38">
            <v>234.33</v>
          </cell>
        </row>
        <row r="39">
          <cell r="B39" t="str">
            <v>CORT</v>
          </cell>
          <cell r="F39">
            <v>124.37</v>
          </cell>
        </row>
        <row r="40">
          <cell r="B40" t="str">
            <v>BBIO</v>
          </cell>
          <cell r="F40">
            <v>142.0</v>
          </cell>
        </row>
        <row r="41">
          <cell r="B41" t="str">
            <v>HALO</v>
          </cell>
          <cell r="F41">
            <v>213.76</v>
          </cell>
        </row>
        <row r="42">
          <cell r="B42" t="str">
            <v>KNSA</v>
          </cell>
          <cell r="F42">
            <v>16.09</v>
          </cell>
        </row>
        <row r="43">
          <cell r="B43" t="str">
            <v>ELAN</v>
          </cell>
          <cell r="F43">
            <v>67.55</v>
          </cell>
        </row>
        <row r="44">
          <cell r="B44" t="str">
            <v>IBRX</v>
          </cell>
          <cell r="F44">
            <v>83.17</v>
          </cell>
        </row>
        <row r="45">
          <cell r="B45" t="str">
            <v>MDGL</v>
          </cell>
          <cell r="F45">
            <v>116.45</v>
          </cell>
        </row>
        <row r="46">
          <cell r="B46" t="str">
            <v>PCVX</v>
          </cell>
          <cell r="F46">
            <v>22.7</v>
          </cell>
        </row>
        <row r="47">
          <cell r="B47" t="str">
            <v>BMRN</v>
          </cell>
          <cell r="F47">
            <v>13.26</v>
          </cell>
        </row>
        <row r="48">
          <cell r="B48" t="str">
            <v>RDY</v>
          </cell>
          <cell r="F48">
            <v>56.44</v>
          </cell>
        </row>
        <row r="49">
          <cell r="B49" t="str">
            <v>TWST</v>
          </cell>
          <cell r="F49">
            <v>467.54</v>
          </cell>
        </row>
        <row r="50">
          <cell r="B50" t="str">
            <v>KRYS</v>
          </cell>
          <cell r="F50">
            <v>8.77</v>
          </cell>
        </row>
        <row r="51">
          <cell r="B51" t="str">
            <v>KYMR</v>
          </cell>
          <cell r="F51">
            <v>66.23</v>
          </cell>
        </row>
        <row r="52">
          <cell r="B52" t="str">
            <v>PTGX</v>
          </cell>
          <cell r="F52">
            <v>325.42</v>
          </cell>
        </row>
        <row r="53">
          <cell r="B53" t="str">
            <v>ARWR</v>
          </cell>
          <cell r="F53">
            <v>113.46</v>
          </cell>
        </row>
        <row r="54">
          <cell r="B54" t="str">
            <v>AXSM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TGTX</v>
          </cell>
          <cell r="F56">
            <v>159.58</v>
          </cell>
        </row>
        <row r="57">
          <cell r="B57" t="str">
            <v>CAI</v>
          </cell>
          <cell r="F57">
            <v>137.99</v>
          </cell>
        </row>
        <row r="58">
          <cell r="B58" t="str">
            <v>SYRE</v>
          </cell>
          <cell r="F58">
            <v>142.7</v>
          </cell>
        </row>
        <row r="59">
          <cell r="B59" t="str">
            <v>IONS</v>
          </cell>
          <cell r="F59">
            <v>54.53</v>
          </cell>
        </row>
        <row r="60">
          <cell r="B60" t="str">
            <v>PRAX</v>
          </cell>
          <cell r="F60">
            <v>58.92</v>
          </cell>
        </row>
        <row r="61">
          <cell r="B61" t="str">
            <v>ABVX</v>
          </cell>
          <cell r="F61">
            <v>45.4</v>
          </cell>
        </row>
        <row r="62">
          <cell r="B62" t="str">
            <v>ALKS</v>
          </cell>
          <cell r="F62">
            <v>264.49</v>
          </cell>
        </row>
        <row r="63">
          <cell r="B63" t="str">
            <v>IOVA</v>
          </cell>
          <cell r="F63">
            <v>91.4</v>
          </cell>
        </row>
        <row r="64">
          <cell r="B64" t="str">
            <v>AMRX</v>
          </cell>
          <cell r="F64">
            <v>92.59</v>
          </cell>
        </row>
        <row r="65">
          <cell r="B65" t="str">
            <v>IMVT</v>
          </cell>
          <cell r="F65">
            <v>44.11</v>
          </cell>
        </row>
        <row r="66">
          <cell r="B66" t="str">
            <v>GRAL</v>
          </cell>
          <cell r="F66">
            <v>14.86</v>
          </cell>
        </row>
        <row r="67">
          <cell r="B67" t="str">
            <v>KOD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BLTE</v>
          </cell>
          <cell r="F69">
            <v>306.4</v>
          </cell>
        </row>
        <row r="70">
          <cell r="B70" t="str">
            <v>LGND</v>
          </cell>
          <cell r="F70">
            <v>154.45</v>
          </cell>
        </row>
        <row r="71">
          <cell r="B71" t="str">
            <v>BLRX</v>
          </cell>
          <cell r="F71">
            <v>31.24</v>
          </cell>
        </row>
        <row r="72">
          <cell r="B72" t="str">
            <v>CGON</v>
          </cell>
          <cell r="F72">
            <v>28.59</v>
          </cell>
        </row>
        <row r="73">
          <cell r="B73" t="str">
            <v>ERAS</v>
          </cell>
          <cell r="F73">
            <v>92.97</v>
          </cell>
        </row>
        <row r="74">
          <cell r="B74" t="str">
            <v>MIRM</v>
          </cell>
          <cell r="F74">
            <v>61.93</v>
          </cell>
        </row>
        <row r="75">
          <cell r="B75" t="str">
            <v>MANE</v>
          </cell>
          <cell r="F75">
            <v>124.67</v>
          </cell>
        </row>
        <row r="76">
          <cell r="B76" t="str">
            <v>ORKA</v>
          </cell>
          <cell r="F76">
            <v>2.2145</v>
          </cell>
        </row>
        <row r="77">
          <cell r="B77" t="str">
            <v>PTCT</v>
          </cell>
          <cell r="F77">
            <v>85.07</v>
          </cell>
        </row>
        <row r="78">
          <cell r="B78" t="str">
            <v>COGT</v>
          </cell>
          <cell r="F78">
            <v>62.92</v>
          </cell>
        </row>
        <row r="79">
          <cell r="B79" t="str">
            <v>CRSP</v>
          </cell>
          <cell r="F79">
            <v>41.36</v>
          </cell>
        </row>
        <row r="80">
          <cell r="B80" t="str">
            <v>SRRK</v>
          </cell>
          <cell r="F80">
            <v>79.09</v>
          </cell>
        </row>
        <row r="81">
          <cell r="B81" t="str">
            <v>DFTX</v>
          </cell>
          <cell r="F81">
            <v>49.88</v>
          </cell>
        </row>
        <row r="82">
          <cell r="B82" t="str">
            <v>TVTX</v>
          </cell>
          <cell r="F82">
            <v>10.45</v>
          </cell>
        </row>
        <row r="83">
          <cell r="B83" t="str">
            <v>DNTH</v>
          </cell>
          <cell r="F83">
            <v>14.62</v>
          </cell>
        </row>
        <row r="84">
          <cell r="B84" t="str">
            <v>GOSS</v>
          </cell>
          <cell r="F84">
            <v>52.3</v>
          </cell>
        </row>
        <row r="85">
          <cell r="B85" t="str">
            <v>EWTX</v>
          </cell>
          <cell r="F85">
            <v>127.23</v>
          </cell>
        </row>
        <row r="86">
          <cell r="B86" t="str">
            <v>INDV</v>
          </cell>
          <cell r="F86">
            <v>35.09</v>
          </cell>
        </row>
        <row r="87">
          <cell r="B87" t="str">
            <v>TNGX</v>
          </cell>
          <cell r="F87">
            <v>9.58</v>
          </cell>
        </row>
        <row r="88">
          <cell r="B88" t="str">
            <v>RLAY</v>
          </cell>
          <cell r="F88">
            <v>39.75</v>
          </cell>
        </row>
        <row r="89">
          <cell r="B89" t="str">
            <v>RGC</v>
          </cell>
          <cell r="F89">
            <v>78.75</v>
          </cell>
        </row>
        <row r="90">
          <cell r="B90" t="str">
            <v>VCYT</v>
          </cell>
          <cell r="F90">
            <v>34.77</v>
          </cell>
        </row>
        <row r="91">
          <cell r="B91" t="str">
            <v>OGN</v>
          </cell>
          <cell r="F91">
            <v>25.255</v>
          </cell>
        </row>
        <row r="92">
          <cell r="B92" t="str">
            <v>XENE</v>
          </cell>
          <cell r="F92">
            <v>32.82</v>
          </cell>
        </row>
        <row r="93">
          <cell r="B93" t="str">
            <v>IDYA</v>
          </cell>
          <cell r="F93">
            <v>11.16</v>
          </cell>
        </row>
        <row r="94">
          <cell r="B94" t="str">
            <v>LEGN</v>
          </cell>
          <cell r="F94">
            <v>13.755</v>
          </cell>
        </row>
        <row r="95">
          <cell r="B95" t="str">
            <v>ACAD</v>
          </cell>
          <cell r="F95">
            <v>18.45</v>
          </cell>
        </row>
        <row r="96">
          <cell r="B96" t="str">
            <v>PBLS</v>
          </cell>
          <cell r="F96">
            <v>44.79</v>
          </cell>
        </row>
        <row r="97">
          <cell r="B97" t="str">
            <v>ARQT</v>
          </cell>
          <cell r="F97">
            <v>19.01</v>
          </cell>
        </row>
        <row r="98">
          <cell r="B98" t="str">
            <v>VKTX</v>
          </cell>
          <cell r="F98">
            <v>69.2</v>
          </cell>
        </row>
        <row r="99">
          <cell r="B99" t="str">
            <v>CELC</v>
          </cell>
          <cell r="F99">
            <v>20.44</v>
          </cell>
        </row>
        <row r="100">
          <cell r="B100" t="str">
            <v>CDNA</v>
          </cell>
          <cell r="F100">
            <v>36.27</v>
          </cell>
        </row>
        <row r="101">
          <cell r="B101" t="str">
            <v>TARS</v>
          </cell>
          <cell r="F101">
            <v>35.36</v>
          </cell>
        </row>
        <row r="102">
          <cell r="B102" t="str">
            <v>AMLX</v>
          </cell>
          <cell r="F102">
            <v>36.35</v>
          </cell>
        </row>
        <row r="103">
          <cell r="B103" t="str">
            <v>DNLI</v>
          </cell>
          <cell r="F103">
            <v>71.225</v>
          </cell>
        </row>
        <row r="104">
          <cell r="B104" t="str">
            <v>RCUS</v>
          </cell>
          <cell r="F104">
            <v>26.71</v>
          </cell>
        </row>
        <row r="105">
          <cell r="B105" t="str">
            <v>DYN</v>
          </cell>
          <cell r="F105">
            <v>28.77</v>
          </cell>
        </row>
        <row r="106">
          <cell r="B106" t="str">
            <v>ELVN</v>
          </cell>
          <cell r="F106">
            <v>23.75</v>
          </cell>
        </row>
        <row r="107">
          <cell r="B107" t="str">
            <v>ZLAB</v>
          </cell>
          <cell r="F107">
            <v>18.93</v>
          </cell>
        </row>
        <row r="108">
          <cell r="B108" t="str">
            <v>PGEN</v>
          </cell>
          <cell r="F108">
            <v>27.08</v>
          </cell>
        </row>
        <row r="109">
          <cell r="B109" t="str">
            <v>BEAM</v>
          </cell>
          <cell r="F109">
            <v>60.0</v>
          </cell>
        </row>
        <row r="110">
          <cell r="B110" t="str">
            <v>NAMS</v>
          </cell>
          <cell r="F110">
            <v>41.25</v>
          </cell>
        </row>
        <row r="111">
          <cell r="B111" t="str">
            <v>MBX</v>
          </cell>
          <cell r="F111">
            <v>16.27</v>
          </cell>
        </row>
        <row r="112">
          <cell r="B112" t="str">
            <v>SUPN</v>
          </cell>
          <cell r="F112">
            <v>25.08</v>
          </cell>
        </row>
        <row r="113">
          <cell r="B113" t="str">
            <v>HCM</v>
          </cell>
          <cell r="F113">
            <v>26.1</v>
          </cell>
        </row>
        <row r="114">
          <cell r="B114" t="str">
            <v>LQDA</v>
          </cell>
          <cell r="F114">
            <v>14.74</v>
          </cell>
        </row>
        <row r="115">
          <cell r="B115" t="str">
            <v>IRON</v>
          </cell>
          <cell r="F115">
            <v>24.93</v>
          </cell>
        </row>
        <row r="116">
          <cell r="B116" t="str">
            <v>SLS</v>
          </cell>
          <cell r="F116">
            <v>11.23</v>
          </cell>
        </row>
        <row r="117">
          <cell r="B117" t="str">
            <v>CLDX</v>
          </cell>
          <cell r="F117">
            <v>53.5</v>
          </cell>
        </row>
        <row r="118">
          <cell r="B118" t="str">
            <v>HRMY</v>
          </cell>
          <cell r="F118">
            <v>21.5</v>
          </cell>
        </row>
        <row r="119">
          <cell r="B119" t="str">
            <v>RXRX</v>
          </cell>
          <cell r="F119">
            <v>49.35</v>
          </cell>
        </row>
        <row r="120">
          <cell r="B120" t="str">
            <v>ADMA</v>
          </cell>
          <cell r="F120">
            <v>6.415</v>
          </cell>
        </row>
        <row r="121">
          <cell r="B121" t="str">
            <v>NRIX</v>
          </cell>
          <cell r="F121">
            <v>16.17</v>
          </cell>
        </row>
        <row r="122">
          <cell r="B122" t="str">
            <v>PBH</v>
          </cell>
          <cell r="F122">
            <v>6.83</v>
          </cell>
        </row>
        <row r="123">
          <cell r="B123" t="str">
            <v>BHC</v>
          </cell>
          <cell r="F123">
            <v>38.7</v>
          </cell>
        </row>
        <row r="124">
          <cell r="B124" t="str">
            <v>IMNM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PURR</v>
          </cell>
          <cell r="F126">
            <v>79.48</v>
          </cell>
        </row>
        <row r="127">
          <cell r="B127" t="str">
            <v>BCRX</v>
          </cell>
          <cell r="F127">
            <v>30.29</v>
          </cell>
        </row>
        <row r="128">
          <cell r="B128" t="str">
            <v>BGM</v>
          </cell>
          <cell r="F128">
            <v>22.43</v>
          </cell>
        </row>
        <row r="129">
          <cell r="B129" t="str">
            <v>VERA</v>
          </cell>
          <cell r="F129">
            <v>40.58</v>
          </cell>
        </row>
        <row r="130">
          <cell r="B130" t="str">
            <v>VRDN</v>
          </cell>
          <cell r="F130">
            <v>11.98</v>
          </cell>
        </row>
        <row r="131">
          <cell r="B131" t="str">
            <v>NVAX</v>
          </cell>
          <cell r="F131">
            <v>30.06</v>
          </cell>
        </row>
        <row r="132">
          <cell r="B132" t="str">
            <v>PRGO</v>
          </cell>
          <cell r="F132">
            <v>7.94</v>
          </cell>
        </row>
        <row r="133">
          <cell r="B133" t="str">
            <v>MLYS</v>
          </cell>
          <cell r="F133">
            <v>30.75</v>
          </cell>
        </row>
        <row r="134">
          <cell r="B134" t="str">
            <v>VCEL</v>
          </cell>
          <cell r="F134">
            <v>10.78</v>
          </cell>
        </row>
        <row r="135">
          <cell r="B135" t="str">
            <v>TRLV</v>
          </cell>
          <cell r="F135">
            <v>11.13</v>
          </cell>
        </row>
        <row r="136">
          <cell r="B136" t="str">
            <v>PHVS</v>
          </cell>
          <cell r="F136">
            <v>17.92</v>
          </cell>
        </row>
        <row r="137">
          <cell r="B137" t="str">
            <v>PVLA</v>
          </cell>
          <cell r="F137">
            <v>36.64</v>
          </cell>
        </row>
        <row r="138">
          <cell r="B138" t="str">
            <v>VIR</v>
          </cell>
          <cell r="F138">
            <v>8.97</v>
          </cell>
        </row>
        <row r="139">
          <cell r="B139" t="str">
            <v>LKFT</v>
          </cell>
          <cell r="F139">
            <v>11.43</v>
          </cell>
        </row>
        <row r="140">
          <cell r="B140" t="str">
            <v>XERS</v>
          </cell>
          <cell r="F140">
            <v>3.66</v>
          </cell>
        </row>
        <row r="141">
          <cell r="B141" t="str">
            <v>AGIO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TRVI</v>
          </cell>
          <cell r="F143">
            <v>21.58</v>
          </cell>
        </row>
        <row r="144">
          <cell r="B144" t="str">
            <v>MESO</v>
          </cell>
          <cell r="F144">
            <v>9.15</v>
          </cell>
        </row>
        <row r="145">
          <cell r="B145" t="str">
            <v>GENB</v>
          </cell>
          <cell r="F145">
            <v>26.91</v>
          </cell>
        </row>
        <row r="146">
          <cell r="B146" t="str">
            <v>NTLA</v>
          </cell>
          <cell r="F146">
            <v>39.35</v>
          </cell>
        </row>
        <row r="147">
          <cell r="B147" t="str">
            <v>XNCR</v>
          </cell>
          <cell r="F147">
            <v>123.92</v>
          </cell>
        </row>
        <row r="148">
          <cell r="B148" t="str">
            <v>ZYME</v>
          </cell>
          <cell r="F148">
            <v>12.41</v>
          </cell>
        </row>
        <row r="149">
          <cell r="B149" t="str">
            <v>BHVN</v>
          </cell>
          <cell r="F149">
            <v>24.94</v>
          </cell>
        </row>
        <row r="150">
          <cell r="B150" t="str">
            <v>GPCR</v>
          </cell>
          <cell r="F150">
            <v>12.83</v>
          </cell>
        </row>
        <row r="151">
          <cell r="B151" t="str">
            <v>ALVO</v>
          </cell>
          <cell r="F151">
            <v>35.01</v>
          </cell>
        </row>
        <row r="152">
          <cell r="B152" t="str">
            <v>BRVE</v>
          </cell>
          <cell r="F152">
            <v>10.74</v>
          </cell>
        </row>
        <row r="153">
          <cell r="B153" t="str">
            <v>URGN</v>
          </cell>
          <cell r="F153">
            <v>20.27</v>
          </cell>
        </row>
        <row r="154">
          <cell r="B154" t="str">
            <v>SEPN</v>
          </cell>
          <cell r="F154">
            <v>72.67</v>
          </cell>
        </row>
        <row r="155">
          <cell r="B155" t="str">
            <v>ZBIO</v>
          </cell>
          <cell r="F155">
            <v>11.82</v>
          </cell>
        </row>
        <row r="156">
          <cell r="B156" t="str">
            <v>NUVB</v>
          </cell>
          <cell r="F156">
            <v>28.18</v>
          </cell>
        </row>
        <row r="157">
          <cell r="B157" t="str">
            <v>ABSI</v>
          </cell>
          <cell r="F157">
            <v>11.84</v>
          </cell>
        </row>
        <row r="158">
          <cell r="B158" t="str">
            <v>ANIP</v>
          </cell>
          <cell r="F158">
            <v>38.8</v>
          </cell>
        </row>
        <row r="159">
          <cell r="B159" t="str">
            <v>CMPS</v>
          </cell>
          <cell r="F159">
            <v>5.03</v>
          </cell>
        </row>
        <row r="160">
          <cell r="B160" t="str">
            <v>OCUL</v>
          </cell>
          <cell r="F160">
            <v>26.61</v>
          </cell>
        </row>
        <row r="161">
          <cell r="B161" t="str">
            <v>STOK</v>
          </cell>
          <cell r="F161">
            <v>4.765</v>
          </cell>
        </row>
        <row r="162">
          <cell r="B162" t="str">
            <v>ETON</v>
          </cell>
          <cell r="F162">
            <v>12.9</v>
          </cell>
        </row>
        <row r="163">
          <cell r="B163" t="str">
            <v>PAHC</v>
          </cell>
          <cell r="F163">
            <v>32.45</v>
          </cell>
        </row>
        <row r="164">
          <cell r="B164" t="str">
            <v>INVA</v>
          </cell>
          <cell r="F164">
            <v>32.6</v>
          </cell>
        </row>
        <row r="165">
          <cell r="B165" t="str">
            <v>RARE</v>
          </cell>
          <cell r="F165">
            <v>6.65</v>
          </cell>
        </row>
        <row r="166">
          <cell r="B166" t="str">
            <v>SNDX</v>
          </cell>
          <cell r="F166">
            <v>22.88</v>
          </cell>
        </row>
        <row r="167">
          <cell r="B167" t="str">
            <v>IMCR</v>
          </cell>
          <cell r="F167">
            <v>21.28</v>
          </cell>
        </row>
        <row r="168">
          <cell r="B168" t="str">
            <v>MAZE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COAG</v>
          </cell>
          <cell r="F170">
            <v>36.38</v>
          </cell>
        </row>
        <row r="171">
          <cell r="B171" t="str">
            <v>RAPP</v>
          </cell>
          <cell r="F171">
            <v>50.19</v>
          </cell>
        </row>
        <row r="172">
          <cell r="B172" t="str">
            <v>TSHA</v>
          </cell>
          <cell r="F172">
            <v>15.89</v>
          </cell>
        </row>
        <row r="173">
          <cell r="B173" t="str">
            <v>PCRX</v>
          </cell>
          <cell r="F173">
            <v>16.02</v>
          </cell>
        </row>
        <row r="174">
          <cell r="B174" t="str">
            <v>OMER</v>
          </cell>
          <cell r="F174">
            <v>9.07</v>
          </cell>
        </row>
        <row r="175">
          <cell r="B175" t="str">
            <v>QURE</v>
          </cell>
          <cell r="F175">
            <v>34.17</v>
          </cell>
        </row>
        <row r="176">
          <cell r="B176" t="str">
            <v>NKTR</v>
          </cell>
          <cell r="F176">
            <v>45.43</v>
          </cell>
        </row>
        <row r="177">
          <cell r="B177" t="str">
            <v>INBX</v>
          </cell>
          <cell r="F177">
            <v>22.715</v>
          </cell>
        </row>
        <row r="178">
          <cell r="B178" t="str">
            <v>ANAB</v>
          </cell>
          <cell r="F178">
            <v>29.37</v>
          </cell>
        </row>
        <row r="179">
          <cell r="B179" t="str">
            <v>KARD</v>
          </cell>
          <cell r="F179">
            <v>95.3</v>
          </cell>
        </row>
        <row r="180">
          <cell r="B180" t="str">
            <v>GHRS</v>
          </cell>
          <cell r="F180">
            <v>13.78</v>
          </cell>
        </row>
        <row r="181">
          <cell r="B181" t="str">
            <v>DMRA</v>
          </cell>
          <cell r="F181">
            <v>41.25</v>
          </cell>
        </row>
        <row r="182">
          <cell r="B182" t="str">
            <v>REPL</v>
          </cell>
          <cell r="F182">
            <v>39.22</v>
          </cell>
        </row>
        <row r="183">
          <cell r="B183" t="str">
            <v>ORIC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TYRA</v>
          </cell>
          <cell r="F186">
            <v>4.11</v>
          </cell>
        </row>
        <row r="187">
          <cell r="B187" t="str">
            <v>VOR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NBTX</v>
          </cell>
          <cell r="F189">
            <v>13.25</v>
          </cell>
        </row>
        <row r="190">
          <cell r="B190" t="str">
            <v>AVLN</v>
          </cell>
          <cell r="F190">
            <v>19.03</v>
          </cell>
        </row>
        <row r="191">
          <cell r="B191" t="str">
            <v>TRAX</v>
          </cell>
          <cell r="F191">
            <v>20.67</v>
          </cell>
        </row>
        <row r="192">
          <cell r="B192" t="str">
            <v>AMPH</v>
          </cell>
          <cell r="F192">
            <v>4.76</v>
          </cell>
        </row>
        <row r="193">
          <cell r="B193" t="str">
            <v>JANX</v>
          </cell>
          <cell r="F193">
            <v>19.165</v>
          </cell>
        </row>
        <row r="194">
          <cell r="B194" t="str">
            <v>HROW</v>
          </cell>
          <cell r="F194">
            <v>20.47</v>
          </cell>
        </row>
        <row r="195">
          <cell r="B195" t="str">
            <v>LTGO</v>
          </cell>
          <cell r="F195">
            <v>25.94</v>
          </cell>
        </row>
        <row r="196">
          <cell r="B196" t="str">
            <v>MNKD</v>
          </cell>
          <cell r="F196">
            <v>24.63</v>
          </cell>
        </row>
        <row r="197">
          <cell r="B197" t="str">
            <v>MGTX</v>
          </cell>
          <cell r="F197">
            <v>24.14</v>
          </cell>
        </row>
        <row r="198">
          <cell r="B198" t="str">
            <v>SVRA</v>
          </cell>
          <cell r="F198">
            <v>11.42</v>
          </cell>
        </row>
        <row r="199">
          <cell r="B199" t="str">
            <v>CGEM</v>
          </cell>
          <cell r="F199">
            <v>28.07</v>
          </cell>
        </row>
        <row r="200">
          <cell r="B200" t="str">
            <v>IMTX</v>
          </cell>
          <cell r="F200">
            <v>16.74</v>
          </cell>
        </row>
        <row r="201">
          <cell r="B201" t="str">
            <v>SPTX</v>
          </cell>
          <cell r="F201">
            <v>3.1</v>
          </cell>
        </row>
        <row r="202">
          <cell r="B202" t="str">
            <v>AKTS</v>
          </cell>
          <cell r="F202">
            <v>19.28</v>
          </cell>
        </row>
        <row r="203">
          <cell r="B203" t="str">
            <v>ANRO</v>
          </cell>
          <cell r="F203">
            <v>6.2</v>
          </cell>
        </row>
        <row r="204">
          <cell r="B204" t="str">
            <v>KURA</v>
          </cell>
          <cell r="F204">
            <v>15.25</v>
          </cell>
        </row>
        <row r="205">
          <cell r="B205" t="str">
            <v>ALMS</v>
          </cell>
          <cell r="F205">
            <v>7.51</v>
          </cell>
        </row>
        <row r="206">
          <cell r="B206" t="str">
            <v>MLTX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JBIO</v>
          </cell>
          <cell r="F208">
            <v>24.415</v>
          </cell>
        </row>
        <row r="209">
          <cell r="B209" t="str">
            <v>ODTX</v>
          </cell>
          <cell r="F209">
            <v>14.86</v>
          </cell>
        </row>
        <row r="210">
          <cell r="B210" t="str">
            <v>CRVS</v>
          </cell>
          <cell r="F210">
            <v>18.99</v>
          </cell>
        </row>
        <row r="211">
          <cell r="B211" t="str">
            <v>GLUE</v>
          </cell>
          <cell r="F211">
            <v>4.33</v>
          </cell>
        </row>
        <row r="212">
          <cell r="B212" t="str">
            <v>SANA</v>
          </cell>
          <cell r="F212">
            <v>14.83</v>
          </cell>
        </row>
        <row r="213">
          <cell r="B213" t="str">
            <v>ABUS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ANNX</v>
          </cell>
          <cell r="F216">
            <v>3.21</v>
          </cell>
        </row>
        <row r="217">
          <cell r="B217" t="str">
            <v>GRML</v>
          </cell>
          <cell r="F217">
            <v>10.32</v>
          </cell>
        </row>
        <row r="218">
          <cell r="B218" t="str">
            <v>ARDX</v>
          </cell>
          <cell r="F218">
            <v>9.98</v>
          </cell>
        </row>
        <row r="219">
          <cell r="B219" t="str">
            <v>OBX</v>
          </cell>
          <cell r="F219">
            <v>16.08</v>
          </cell>
        </row>
        <row r="220">
          <cell r="B220" t="str">
            <v>GERN</v>
          </cell>
          <cell r="F220">
            <v>10.23</v>
          </cell>
        </row>
        <row r="221">
          <cell r="B221" t="str">
            <v>GYRE</v>
          </cell>
          <cell r="F221">
            <v>6.7</v>
          </cell>
        </row>
        <row r="222">
          <cell r="B222" t="str">
            <v>APMD</v>
          </cell>
          <cell r="F222">
            <v>9.34</v>
          </cell>
        </row>
        <row r="223">
          <cell r="B223" t="str">
            <v>ACHV</v>
          </cell>
          <cell r="F223">
            <v>18.51</v>
          </cell>
        </row>
        <row r="224">
          <cell r="B224" t="str">
            <v>CADL</v>
          </cell>
          <cell r="F224">
            <v>23.33</v>
          </cell>
        </row>
        <row r="225">
          <cell r="B225" t="str">
            <v>VSTM</v>
          </cell>
          <cell r="F225">
            <v>13.25</v>
          </cell>
        </row>
        <row r="226">
          <cell r="B226" t="str">
            <v>LXRX</v>
          </cell>
          <cell r="F226">
            <v>1.24</v>
          </cell>
        </row>
        <row r="227">
          <cell r="B227" t="str">
            <v>ATTO</v>
          </cell>
          <cell r="F227">
            <v>2.36</v>
          </cell>
        </row>
        <row r="228">
          <cell r="B228" t="str">
            <v>SLDB</v>
          </cell>
          <cell r="F228">
            <v>13.1</v>
          </cell>
        </row>
        <row r="229">
          <cell r="B229" t="str">
            <v>FDMT</v>
          </cell>
          <cell r="F229">
            <v>3.83</v>
          </cell>
        </row>
        <row r="230">
          <cell r="B230" t="str">
            <v>AVTX</v>
          </cell>
          <cell r="F230">
            <v>6.17</v>
          </cell>
        </row>
        <row r="231">
          <cell r="B231" t="str">
            <v>DSGN</v>
          </cell>
          <cell r="F231">
            <v>1.55</v>
          </cell>
        </row>
        <row r="232">
          <cell r="B232" t="str">
            <v>PRME</v>
          </cell>
          <cell r="F232">
            <v>14.04</v>
          </cell>
        </row>
        <row r="233">
          <cell r="B233" t="str">
            <v>COLL</v>
          </cell>
          <cell r="F233">
            <v>9.75</v>
          </cell>
        </row>
        <row r="234">
          <cell r="B234" t="str">
            <v>NVCT</v>
          </cell>
          <cell r="F234">
            <v>6.51</v>
          </cell>
        </row>
        <row r="235">
          <cell r="B235" t="str">
            <v>PHAR</v>
          </cell>
          <cell r="F235">
            <v>4.23</v>
          </cell>
        </row>
        <row r="236">
          <cell r="B236" t="str">
            <v>OLMA</v>
          </cell>
          <cell r="F236">
            <v>11.1</v>
          </cell>
        </row>
        <row r="237">
          <cell r="B237" t="str">
            <v>WVE</v>
          </cell>
          <cell r="F237">
            <v>12.36</v>
          </cell>
        </row>
        <row r="238">
          <cell r="B238" t="str">
            <v>MDXG</v>
          </cell>
          <cell r="F238">
            <v>6.56</v>
          </cell>
        </row>
        <row r="239">
          <cell r="B239" t="str">
            <v>AURA</v>
          </cell>
          <cell r="F239">
            <v>3.92</v>
          </cell>
        </row>
        <row r="240">
          <cell r="B240" t="str">
            <v>IMMX</v>
          </cell>
          <cell r="F240">
            <v>8.64</v>
          </cell>
        </row>
        <row r="241">
          <cell r="B241" t="str">
            <v>ZVRA</v>
          </cell>
          <cell r="F241">
            <v>10.8</v>
          </cell>
        </row>
        <row r="242">
          <cell r="B242" t="str">
            <v>FTH</v>
          </cell>
          <cell r="F242">
            <v>3.63</v>
          </cell>
        </row>
        <row r="243">
          <cell r="B243" t="str">
            <v>NNNN</v>
          </cell>
          <cell r="F243">
            <v>8.91</v>
          </cell>
        </row>
        <row r="244">
          <cell r="B244" t="str">
            <v>CLYM</v>
          </cell>
          <cell r="F244">
            <v>20.59</v>
          </cell>
        </row>
        <row r="245">
          <cell r="B245" t="str">
            <v>IRWD</v>
          </cell>
          <cell r="F245">
            <v>3.385</v>
          </cell>
        </row>
        <row r="246">
          <cell r="B246" t="str">
            <v>IVA</v>
          </cell>
          <cell r="F246">
            <v>10.47</v>
          </cell>
        </row>
        <row r="247">
          <cell r="B247" t="str">
            <v>AQST</v>
          </cell>
          <cell r="F247">
            <v>6.4</v>
          </cell>
        </row>
        <row r="248">
          <cell r="B248" t="str">
            <v>STTK</v>
          </cell>
          <cell r="F248">
            <v>7.25</v>
          </cell>
        </row>
        <row r="249">
          <cell r="B249" t="str">
            <v>PHAT</v>
          </cell>
          <cell r="F249">
            <v>3.26</v>
          </cell>
        </row>
        <row r="250">
          <cell r="B250" t="str">
            <v>DBVT</v>
          </cell>
          <cell r="F250">
            <v>7.57</v>
          </cell>
        </row>
        <row r="251">
          <cell r="B251" t="str">
            <v>CRMD</v>
          </cell>
          <cell r="F251">
            <v>7.31</v>
          </cell>
        </row>
        <row r="252">
          <cell r="B252" t="str">
            <v>ACRS</v>
          </cell>
          <cell r="F252">
            <v>5.84</v>
          </cell>
        </row>
        <row r="253">
          <cell r="B253" t="str">
            <v>CTMX</v>
          </cell>
          <cell r="F253">
            <v>9.48</v>
          </cell>
        </row>
        <row r="254">
          <cell r="B254" t="str">
            <v>BLSM</v>
          </cell>
          <cell r="F254">
            <v>5.69</v>
          </cell>
        </row>
        <row r="255">
          <cell r="B255" t="str">
            <v>SGMT</v>
          </cell>
          <cell r="F255">
            <v>4.05</v>
          </cell>
        </row>
        <row r="256">
          <cell r="B256" t="str">
            <v>CBIO</v>
          </cell>
          <cell r="F256">
            <v>9.74</v>
          </cell>
        </row>
        <row r="257">
          <cell r="B257" t="str">
            <v>RGNX</v>
          </cell>
          <cell r="F257">
            <v>10.76</v>
          </cell>
        </row>
        <row r="258">
          <cell r="B258" t="str">
            <v>PBYI</v>
          </cell>
          <cell r="F258">
            <v>2.51</v>
          </cell>
        </row>
        <row r="259">
          <cell r="B259" t="str">
            <v>IMMP</v>
          </cell>
          <cell r="F259">
            <v>20.79</v>
          </cell>
        </row>
        <row r="260">
          <cell r="B260" t="str">
            <v>MNPR</v>
          </cell>
          <cell r="F260">
            <v>3.48</v>
          </cell>
        </row>
        <row r="261">
          <cell r="B261" t="str">
            <v>NGNE</v>
          </cell>
          <cell r="F261">
            <v>14.4</v>
          </cell>
        </row>
        <row r="262">
          <cell r="B262" t="str">
            <v>PROK</v>
          </cell>
          <cell r="F262">
            <v>7.37</v>
          </cell>
        </row>
        <row r="263">
          <cell r="B263" t="str">
            <v>TLRY</v>
          </cell>
          <cell r="F263">
            <v>3.26</v>
          </cell>
        </row>
        <row r="264">
          <cell r="B264" t="str">
            <v>EOLS</v>
          </cell>
          <cell r="F264">
            <v>25.4</v>
          </cell>
        </row>
        <row r="265">
          <cell r="B265" t="str">
            <v>ALT</v>
          </cell>
          <cell r="F265">
            <v>74.23</v>
          </cell>
        </row>
        <row r="266">
          <cell r="B266" t="str">
            <v>ALLO</v>
          </cell>
          <cell r="F266">
            <v>3.02</v>
          </cell>
        </row>
        <row r="267">
          <cell r="B267" t="str">
            <v>VALN</v>
          </cell>
          <cell r="F267">
            <v>7.4</v>
          </cell>
        </row>
        <row r="268">
          <cell r="B268" t="str">
            <v>OCS</v>
          </cell>
          <cell r="F268">
            <v>7.66</v>
          </cell>
        </row>
        <row r="269">
          <cell r="B269" t="str">
            <v>ARVN</v>
          </cell>
          <cell r="F269">
            <v>1.33</v>
          </cell>
        </row>
        <row r="270">
          <cell r="B270" t="str">
            <v>AUTL</v>
          </cell>
          <cell r="F270">
            <v>3.73</v>
          </cell>
        </row>
        <row r="271">
          <cell r="B271" t="str">
            <v>OVID</v>
          </cell>
          <cell r="F271">
            <v>3.03</v>
          </cell>
        </row>
        <row r="272">
          <cell r="B272" t="str">
            <v>ASMB</v>
          </cell>
          <cell r="F272">
            <v>7.85</v>
          </cell>
        </row>
        <row r="273">
          <cell r="B273" t="str">
            <v>YDES</v>
          </cell>
          <cell r="F273">
            <v>19.61</v>
          </cell>
        </row>
        <row r="274">
          <cell r="B274" t="str">
            <v>RZLT</v>
          </cell>
          <cell r="F274">
            <v>13.07</v>
          </cell>
        </row>
        <row r="275">
          <cell r="B275" t="str">
            <v>KMDA</v>
          </cell>
          <cell r="F275">
            <v>7.49</v>
          </cell>
        </row>
        <row r="276">
          <cell r="B276" t="str">
            <v>SLN</v>
          </cell>
          <cell r="F276">
            <v>8.5</v>
          </cell>
        </row>
        <row r="277">
          <cell r="B277" t="str">
            <v>ENTX</v>
          </cell>
          <cell r="F277">
            <v>2.3</v>
          </cell>
        </row>
        <row r="278">
          <cell r="B278" t="str">
            <v>IBO</v>
          </cell>
          <cell r="F278">
            <v>1.66</v>
          </cell>
        </row>
        <row r="279">
          <cell r="B279" t="str">
            <v>TECX</v>
          </cell>
          <cell r="F279">
            <v>2.36</v>
          </cell>
        </row>
        <row r="280">
          <cell r="B280" t="str">
            <v>CAPR</v>
          </cell>
          <cell r="F280">
            <v>5.84</v>
          </cell>
        </row>
        <row r="281">
          <cell r="B281" t="str">
            <v>PRTA</v>
          </cell>
          <cell r="F281">
            <v>21.19</v>
          </cell>
        </row>
        <row r="282">
          <cell r="B282" t="str">
            <v>DMAC</v>
          </cell>
          <cell r="F282">
            <v>8.18</v>
          </cell>
        </row>
        <row r="283">
          <cell r="B283" t="str">
            <v>EDIT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AVIR</v>
          </cell>
          <cell r="F285">
            <v>21.825</v>
          </cell>
        </row>
        <row r="286">
          <cell r="B286" t="str">
            <v>MYGN</v>
          </cell>
          <cell r="F286">
            <v>13.8</v>
          </cell>
        </row>
        <row r="287">
          <cell r="B287" t="str">
            <v>RCEL</v>
          </cell>
          <cell r="F287">
            <v>1.44</v>
          </cell>
        </row>
        <row r="288">
          <cell r="B288" t="str">
            <v>EIKN</v>
          </cell>
          <cell r="F288">
            <v>19.81</v>
          </cell>
        </row>
        <row r="289">
          <cell r="B289" t="str">
            <v>MPLT</v>
          </cell>
          <cell r="F289">
            <v>6.755</v>
          </cell>
        </row>
        <row r="290">
          <cell r="B290" t="str">
            <v>SCTX</v>
          </cell>
          <cell r="F290">
            <v>5.54</v>
          </cell>
        </row>
        <row r="291">
          <cell r="B291" t="str">
            <v>GALT</v>
          </cell>
          <cell r="F291">
            <v>2.58</v>
          </cell>
        </row>
        <row r="292">
          <cell r="B292" t="str">
            <v>KYTX</v>
          </cell>
          <cell r="F292">
            <v>4.0</v>
          </cell>
        </row>
        <row r="293">
          <cell r="B293" t="str">
            <v>ARCT</v>
          </cell>
          <cell r="F293">
            <v>6.04</v>
          </cell>
        </row>
        <row r="294">
          <cell r="B294" t="str">
            <v>CCCC</v>
          </cell>
          <cell r="F294">
            <v>3.43</v>
          </cell>
        </row>
        <row r="295">
          <cell r="B295" t="str">
            <v>EPRX</v>
          </cell>
          <cell r="F295">
            <v>8.24</v>
          </cell>
        </row>
        <row r="296">
          <cell r="B296" t="str">
            <v>IRD</v>
          </cell>
          <cell r="F296">
            <v>4.465</v>
          </cell>
        </row>
        <row r="297">
          <cell r="B297" t="str">
            <v>ZURA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ENTA</v>
          </cell>
          <cell r="F299">
            <v>3.7</v>
          </cell>
        </row>
        <row r="300">
          <cell r="B300" t="str">
            <v>EBS</v>
          </cell>
          <cell r="F300">
            <v>10.47</v>
          </cell>
        </row>
        <row r="301">
          <cell r="B301" t="str">
            <v>RLMD</v>
          </cell>
          <cell r="F301">
            <v>7.59</v>
          </cell>
        </row>
        <row r="302">
          <cell r="B302" t="str">
            <v>TTRX</v>
          </cell>
          <cell r="F302">
            <v>3.36</v>
          </cell>
        </row>
        <row r="303">
          <cell r="B303" t="str">
            <v>CGC</v>
          </cell>
          <cell r="F303">
            <v>3.16</v>
          </cell>
        </row>
        <row r="304">
          <cell r="B304" t="str">
            <v>SRZN</v>
          </cell>
          <cell r="F304">
            <v>1.28</v>
          </cell>
        </row>
        <row r="305">
          <cell r="B305" t="str">
            <v>AGEN</v>
          </cell>
          <cell r="F305">
            <v>6.29</v>
          </cell>
        </row>
        <row r="306">
          <cell r="B306" t="str">
            <v>ARTV</v>
          </cell>
          <cell r="F306">
            <v>11.67</v>
          </cell>
        </row>
        <row r="307">
          <cell r="B307" t="str">
            <v>INDP</v>
          </cell>
          <cell r="F307">
            <v>4.01</v>
          </cell>
        </row>
        <row r="308">
          <cell r="B308" t="str">
            <v>CABA</v>
          </cell>
          <cell r="F308">
            <v>7.31</v>
          </cell>
        </row>
        <row r="309">
          <cell r="B309" t="str">
            <v>OCGN</v>
          </cell>
          <cell r="F309">
            <v>0.72</v>
          </cell>
        </row>
        <row r="310">
          <cell r="B310" t="str">
            <v>SNDL</v>
          </cell>
          <cell r="F310">
            <v>6.56</v>
          </cell>
        </row>
        <row r="311">
          <cell r="B311" t="str">
            <v>CYPH</v>
          </cell>
          <cell r="F311">
            <v>9.04</v>
          </cell>
        </row>
        <row r="312">
          <cell r="B312" t="str">
            <v>PRLD</v>
          </cell>
          <cell r="F312">
            <v>10.98</v>
          </cell>
        </row>
        <row r="313">
          <cell r="B313" t="str">
            <v>BNTC</v>
          </cell>
          <cell r="F313">
            <v>3.2</v>
          </cell>
        </row>
        <row r="314">
          <cell r="B314" t="str">
            <v>CTNM</v>
          </cell>
          <cell r="F314">
            <v>3.72</v>
          </cell>
        </row>
        <row r="315">
          <cell r="B315" t="str">
            <v>CATX</v>
          </cell>
          <cell r="F315">
            <v>2.81</v>
          </cell>
        </row>
        <row r="316">
          <cell r="B316" t="str">
            <v>GTBP</v>
          </cell>
          <cell r="F316">
            <v>25.14</v>
          </cell>
        </row>
        <row r="317">
          <cell r="B317" t="str">
            <v>EYPT</v>
          </cell>
          <cell r="F317">
            <v>6.42</v>
          </cell>
        </row>
        <row r="318">
          <cell r="B318" t="str">
            <v>BIOA</v>
          </cell>
          <cell r="F318">
            <v>1.43</v>
          </cell>
        </row>
        <row r="319">
          <cell r="B319" t="str">
            <v>XFOR</v>
          </cell>
          <cell r="F319">
            <v>20.44</v>
          </cell>
        </row>
        <row r="320">
          <cell r="B320" t="str">
            <v>FULC</v>
          </cell>
          <cell r="F320">
            <v>2.3</v>
          </cell>
        </row>
        <row r="321">
          <cell r="B321" t="str">
            <v>ABEO</v>
          </cell>
          <cell r="F321">
            <v>0.8125</v>
          </cell>
        </row>
        <row r="322">
          <cell r="B322" t="str">
            <v>RCKT</v>
          </cell>
          <cell r="F322">
            <v>3.02</v>
          </cell>
        </row>
        <row r="323">
          <cell r="B323" t="str">
            <v>LRMR</v>
          </cell>
          <cell r="F323">
            <v>3.53</v>
          </cell>
        </row>
        <row r="324">
          <cell r="B324" t="str">
            <v>VNDA</v>
          </cell>
          <cell r="F324">
            <v>2.34</v>
          </cell>
        </row>
        <row r="325">
          <cell r="B325" t="str">
            <v>IKT</v>
          </cell>
          <cell r="F325">
            <v>0.4052</v>
          </cell>
        </row>
        <row r="326">
          <cell r="B326" t="str">
            <v>BCYC</v>
          </cell>
          <cell r="F326">
            <v>4.43</v>
          </cell>
        </row>
        <row r="327">
          <cell r="B327" t="str">
            <v>SABS</v>
          </cell>
          <cell r="F327">
            <v>4.6</v>
          </cell>
        </row>
        <row r="328">
          <cell r="B328" t="str">
            <v>PALI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BBOT</v>
          </cell>
          <cell r="F330">
            <v>4.17</v>
          </cell>
        </row>
        <row r="331">
          <cell r="B331" t="str">
            <v>LXEO</v>
          </cell>
          <cell r="F331">
            <v>2.49</v>
          </cell>
        </row>
        <row r="332">
          <cell r="B332" t="str">
            <v>ANIK</v>
          </cell>
          <cell r="F332">
            <v>3.6</v>
          </cell>
        </row>
        <row r="333">
          <cell r="B333" t="str">
            <v>FATE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UPB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HELP</v>
          </cell>
          <cell r="F337">
            <v>1.71</v>
          </cell>
        </row>
        <row r="338">
          <cell r="B338" t="str">
            <v>ACIU</v>
          </cell>
          <cell r="F338">
            <v>2.88</v>
          </cell>
        </row>
        <row r="339">
          <cell r="B339" t="str">
            <v>AMRN</v>
          </cell>
          <cell r="F339">
            <v>10.94</v>
          </cell>
        </row>
        <row r="340">
          <cell r="B340" t="str">
            <v>LIMN</v>
          </cell>
          <cell r="F340">
            <v>3.15</v>
          </cell>
        </row>
        <row r="341">
          <cell r="B341" t="str">
            <v>ACB</v>
          </cell>
          <cell r="F341">
            <v>3.02</v>
          </cell>
        </row>
        <row r="342">
          <cell r="B342" t="str">
            <v>LCTX</v>
          </cell>
          <cell r="F342">
            <v>2.72</v>
          </cell>
        </row>
        <row r="343">
          <cell r="B343" t="str">
            <v>TLSI</v>
          </cell>
          <cell r="F343">
            <v>3.97</v>
          </cell>
        </row>
        <row r="344">
          <cell r="B344" t="str">
            <v>QTTB</v>
          </cell>
          <cell r="F344">
            <v>2.65</v>
          </cell>
        </row>
        <row r="345">
          <cell r="B345" t="str">
            <v>GLSI</v>
          </cell>
          <cell r="F345">
            <v>8.62</v>
          </cell>
        </row>
        <row r="346">
          <cell r="B346" t="str">
            <v>MGNX</v>
          </cell>
          <cell r="F346">
            <v>3.66</v>
          </cell>
        </row>
        <row r="347">
          <cell r="B347" t="str">
            <v>KROS</v>
          </cell>
          <cell r="F347">
            <v>5.28</v>
          </cell>
        </row>
        <row r="348">
          <cell r="B348" t="str">
            <v>STRO</v>
          </cell>
          <cell r="F348">
            <v>11.4</v>
          </cell>
        </row>
        <row r="349">
          <cell r="B349" t="str">
            <v>CAMP</v>
          </cell>
          <cell r="F349">
            <v>2.06</v>
          </cell>
        </row>
        <row r="350">
          <cell r="B350" t="str">
            <v>SIGA</v>
          </cell>
          <cell r="F350">
            <v>16.24</v>
          </cell>
        </row>
        <row r="351">
          <cell r="B351" t="str">
            <v>ALEC</v>
          </cell>
          <cell r="F351">
            <v>2.635</v>
          </cell>
        </row>
        <row r="352">
          <cell r="B352" t="str">
            <v>HITI</v>
          </cell>
          <cell r="F352">
            <v>3.49</v>
          </cell>
        </row>
        <row r="353">
          <cell r="B353" t="str">
            <v>EVMN</v>
          </cell>
          <cell r="F353">
            <v>2.44</v>
          </cell>
        </row>
        <row r="354">
          <cell r="B354" t="str">
            <v>PLX</v>
          </cell>
          <cell r="F354">
            <v>1.97</v>
          </cell>
        </row>
        <row r="355">
          <cell r="B355" t="str">
            <v>AKBA</v>
          </cell>
          <cell r="F355">
            <v>2.72</v>
          </cell>
        </row>
        <row r="356">
          <cell r="B356" t="str">
            <v>SION</v>
          </cell>
          <cell r="F356">
            <v>3.19</v>
          </cell>
        </row>
        <row r="357">
          <cell r="B357" t="str">
            <v>ADCT</v>
          </cell>
          <cell r="F357">
            <v>9.7</v>
          </cell>
        </row>
        <row r="358">
          <cell r="B358" t="str">
            <v>TRDA</v>
          </cell>
          <cell r="F358">
            <v>6.395</v>
          </cell>
        </row>
        <row r="359">
          <cell r="B359" t="str">
            <v>RNAC</v>
          </cell>
          <cell r="F359">
            <v>3.16</v>
          </cell>
        </row>
        <row r="360">
          <cell r="B360" t="str">
            <v>LYEL</v>
          </cell>
          <cell r="F360">
            <v>2.14</v>
          </cell>
        </row>
        <row r="361">
          <cell r="B361" t="str">
            <v>IVVD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ELDN</v>
          </cell>
          <cell r="F363">
            <v>4.99</v>
          </cell>
        </row>
        <row r="364">
          <cell r="B364" t="str">
            <v>CGEN</v>
          </cell>
          <cell r="F364">
            <v>0.6181</v>
          </cell>
        </row>
        <row r="365">
          <cell r="B365" t="str">
            <v>CUE</v>
          </cell>
          <cell r="F365">
            <v>2.255</v>
          </cell>
        </row>
        <row r="366">
          <cell r="B366" t="str">
            <v>WHWK</v>
          </cell>
          <cell r="F366">
            <v>0.6366</v>
          </cell>
        </row>
        <row r="367">
          <cell r="B367" t="str">
            <v>SLGL</v>
          </cell>
          <cell r="F367">
            <v>11.54</v>
          </cell>
        </row>
        <row r="368">
          <cell r="B368" t="str">
            <v>ACOG</v>
          </cell>
          <cell r="F368">
            <v>2.875</v>
          </cell>
        </row>
        <row r="369">
          <cell r="B369" t="str">
            <v>ZNTL</v>
          </cell>
          <cell r="F369">
            <v>1.53</v>
          </cell>
        </row>
        <row r="370">
          <cell r="B370" t="str">
            <v>DTIL</v>
          </cell>
          <cell r="F370">
            <v>65.81</v>
          </cell>
        </row>
        <row r="371">
          <cell r="B371" t="str">
            <v>PEPG</v>
          </cell>
          <cell r="F371">
            <v>8.58</v>
          </cell>
        </row>
        <row r="372">
          <cell r="B372" t="str">
            <v>ORMP</v>
          </cell>
          <cell r="F372">
            <v>4.15</v>
          </cell>
        </row>
        <row r="373">
          <cell r="B373" t="str">
            <v>CMPX</v>
          </cell>
          <cell r="F373">
            <v>4.15</v>
          </cell>
        </row>
        <row r="374">
          <cell r="B374" t="str">
            <v>DERM</v>
          </cell>
          <cell r="F374">
            <v>3.19</v>
          </cell>
        </row>
        <row r="375">
          <cell r="B375" t="str">
            <v>ALXO</v>
          </cell>
          <cell r="F375">
            <v>8.46</v>
          </cell>
        </row>
        <row r="376">
          <cell r="B376" t="str">
            <v>PRQR</v>
          </cell>
          <cell r="F376">
            <v>6.56</v>
          </cell>
        </row>
        <row r="377">
          <cell r="B377" t="str">
            <v>PYXS</v>
          </cell>
          <cell r="F377">
            <v>0.8333</v>
          </cell>
        </row>
        <row r="378">
          <cell r="B378" t="str">
            <v>CNTN</v>
          </cell>
          <cell r="F378">
            <v>1.0</v>
          </cell>
        </row>
        <row r="379">
          <cell r="B379" t="str">
            <v>CURX</v>
          </cell>
          <cell r="F379">
            <v>1.38</v>
          </cell>
        </row>
        <row r="380">
          <cell r="B380" t="str">
            <v>ANTX</v>
          </cell>
          <cell r="F380">
            <v>2.39</v>
          </cell>
        </row>
        <row r="381">
          <cell r="B381" t="str">
            <v>ORGO</v>
          </cell>
          <cell r="F381">
            <v>12.1</v>
          </cell>
        </row>
        <row r="382">
          <cell r="B382" t="str">
            <v>CHRS</v>
          </cell>
          <cell r="F382">
            <v>31.03</v>
          </cell>
        </row>
        <row r="383">
          <cell r="B383" t="str">
            <v>TARA</v>
          </cell>
          <cell r="F383">
            <v>2.82</v>
          </cell>
        </row>
        <row r="384">
          <cell r="B384" t="str">
            <v>NKTX</v>
          </cell>
          <cell r="F384">
            <v>1.86</v>
          </cell>
        </row>
        <row r="385">
          <cell r="B385" t="str">
            <v>NBP</v>
          </cell>
          <cell r="F385">
            <v>1.84</v>
          </cell>
        </row>
        <row r="386">
          <cell r="B386" t="str">
            <v>MDWD</v>
          </cell>
          <cell r="F386">
            <v>1.73</v>
          </cell>
        </row>
        <row r="387">
          <cell r="B387" t="str">
            <v>MENS</v>
          </cell>
          <cell r="F387">
            <v>1.14</v>
          </cell>
        </row>
        <row r="388">
          <cell r="B388" t="str">
            <v>KRSA</v>
          </cell>
          <cell r="F388">
            <v>1.425</v>
          </cell>
        </row>
        <row r="389">
          <cell r="B389" t="str">
            <v>MOLN</v>
          </cell>
          <cell r="F389">
            <v>4.92</v>
          </cell>
        </row>
        <row r="390">
          <cell r="B390" t="str">
            <v>ABOS</v>
          </cell>
          <cell r="F390">
            <v>3.7</v>
          </cell>
        </row>
        <row r="391">
          <cell r="B391" t="str">
            <v>NERV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VYGR</v>
          </cell>
          <cell r="F393">
            <v>2.56</v>
          </cell>
        </row>
        <row r="394">
          <cell r="B394" t="str">
            <v>KRRO</v>
          </cell>
          <cell r="F394">
            <v>7.98</v>
          </cell>
        </row>
        <row r="395">
          <cell r="B395" t="str">
            <v>OTLK</v>
          </cell>
          <cell r="F395">
            <v>1.74</v>
          </cell>
        </row>
        <row r="396">
          <cell r="B396" t="str">
            <v>RNA</v>
          </cell>
          <cell r="F396">
            <v>1.02</v>
          </cell>
        </row>
        <row r="397">
          <cell r="B397" t="str">
            <v>FRNM</v>
          </cell>
          <cell r="F397">
            <v>3.56</v>
          </cell>
        </row>
        <row r="398">
          <cell r="B398" t="str">
            <v>AVXL</v>
          </cell>
          <cell r="F398">
            <v>1.54</v>
          </cell>
        </row>
        <row r="399">
          <cell r="B399" t="str">
            <v>NGEN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TNYA</v>
          </cell>
          <cell r="F401">
            <v>9.44</v>
          </cell>
        </row>
        <row r="402">
          <cell r="B402" t="str">
            <v>SPRB</v>
          </cell>
          <cell r="F402">
            <v>2.015</v>
          </cell>
        </row>
        <row r="403">
          <cell r="B403" t="str">
            <v>CLLS</v>
          </cell>
          <cell r="F403">
            <v>1.36</v>
          </cell>
        </row>
        <row r="404">
          <cell r="B404" t="str">
            <v>TNXP</v>
          </cell>
          <cell r="F404">
            <v>17.04</v>
          </cell>
        </row>
        <row r="405">
          <cell r="B405" t="str">
            <v>HURA</v>
          </cell>
          <cell r="F405">
            <v>0.406</v>
          </cell>
        </row>
        <row r="406">
          <cell r="B406" t="str">
            <v>NRXP</v>
          </cell>
          <cell r="F406">
            <v>0.52</v>
          </cell>
        </row>
        <row r="407">
          <cell r="B407" t="str">
            <v>CRDL</v>
          </cell>
          <cell r="F407">
            <v>2.19</v>
          </cell>
        </row>
        <row r="408">
          <cell r="B408" t="str">
            <v>VTVT</v>
          </cell>
          <cell r="F408">
            <v>41.23</v>
          </cell>
        </row>
        <row r="409">
          <cell r="B409" t="str">
            <v>NRSN</v>
          </cell>
          <cell r="F409">
            <v>2.62</v>
          </cell>
        </row>
        <row r="410">
          <cell r="B410" t="str">
            <v>INO</v>
          </cell>
          <cell r="F410">
            <v>2.53</v>
          </cell>
        </row>
        <row r="411">
          <cell r="B411" t="str">
            <v>FHTX</v>
          </cell>
          <cell r="F411">
            <v>1.76</v>
          </cell>
        </row>
        <row r="412">
          <cell r="B412" t="str">
            <v>CBUS</v>
          </cell>
          <cell r="F412">
            <v>1.67</v>
          </cell>
        </row>
        <row r="413">
          <cell r="B413" t="str">
            <v>COYA</v>
          </cell>
          <cell r="F413">
            <v>1.15</v>
          </cell>
        </row>
        <row r="414">
          <cell r="B414" t="str">
            <v>ENGN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MSLE</v>
          </cell>
          <cell r="F416">
            <v>5.15</v>
          </cell>
        </row>
        <row r="417">
          <cell r="B417" t="str">
            <v>IFRX</v>
          </cell>
          <cell r="F417">
            <v>7.96</v>
          </cell>
        </row>
        <row r="418">
          <cell r="B418" t="str">
            <v>LENZ</v>
          </cell>
          <cell r="F418">
            <v>7.0</v>
          </cell>
        </row>
        <row r="419">
          <cell r="B419" t="str">
            <v>UNCY</v>
          </cell>
          <cell r="F419">
            <v>27.845</v>
          </cell>
        </row>
        <row r="420">
          <cell r="B420" t="str">
            <v>QUCY</v>
          </cell>
          <cell r="F420">
            <v>14.06</v>
          </cell>
        </row>
        <row r="421">
          <cell r="B421" t="str">
            <v>HUMA</v>
          </cell>
          <cell r="F421">
            <v>0.99</v>
          </cell>
        </row>
        <row r="422">
          <cell r="B422" t="str">
            <v>IMUX</v>
          </cell>
          <cell r="F422">
            <v>1.54</v>
          </cell>
        </row>
        <row r="423">
          <cell r="B423" t="str">
            <v>RANI</v>
          </cell>
          <cell r="F423">
            <v>5.78</v>
          </cell>
        </row>
        <row r="424">
          <cell r="B424" t="str">
            <v>IMDX</v>
          </cell>
          <cell r="F424">
            <v>3.19</v>
          </cell>
        </row>
        <row r="425">
          <cell r="B425" t="str">
            <v>CNXU</v>
          </cell>
          <cell r="F425">
            <v>1.01</v>
          </cell>
        </row>
        <row r="426">
          <cell r="B426" t="str">
            <v>CPIX</v>
          </cell>
          <cell r="F426">
            <v>4.21</v>
          </cell>
        </row>
        <row r="427">
          <cell r="B427" t="str">
            <v>BDTX</v>
          </cell>
          <cell r="F427">
            <v>1.39</v>
          </cell>
        </row>
        <row r="428">
          <cell r="B428" t="str">
            <v>AARD</v>
          </cell>
          <cell r="F428">
            <v>3.03</v>
          </cell>
        </row>
        <row r="429">
          <cell r="B429" t="str">
            <v>CRBP</v>
          </cell>
          <cell r="F429">
            <v>2.39</v>
          </cell>
        </row>
        <row r="430">
          <cell r="B430" t="str">
            <v>BMEA</v>
          </cell>
          <cell r="F430">
            <v>2.07</v>
          </cell>
        </row>
        <row r="431">
          <cell r="B431" t="str">
            <v>ANIX</v>
          </cell>
          <cell r="F431">
            <v>10.45</v>
          </cell>
        </row>
        <row r="432">
          <cell r="B432" t="str">
            <v>PLYX</v>
          </cell>
          <cell r="F432">
            <v>2.5</v>
          </cell>
        </row>
        <row r="433">
          <cell r="B433" t="str">
            <v>OKUR</v>
          </cell>
          <cell r="F433">
            <v>9.16</v>
          </cell>
        </row>
        <row r="434">
          <cell r="B434" t="str">
            <v>MIST</v>
          </cell>
          <cell r="F434">
            <v>7.41</v>
          </cell>
        </row>
        <row r="435">
          <cell r="B435" t="str">
            <v>ATRA</v>
          </cell>
          <cell r="F435">
            <v>1.91</v>
          </cell>
        </row>
        <row r="436">
          <cell r="B436" t="str">
            <v>ALP</v>
          </cell>
          <cell r="F436">
            <v>3.8</v>
          </cell>
        </row>
        <row r="437">
          <cell r="B437" t="str">
            <v>PYPD</v>
          </cell>
          <cell r="F437">
            <v>2.68</v>
          </cell>
        </row>
        <row r="438">
          <cell r="B438" t="str">
            <v>RLYB</v>
          </cell>
          <cell r="F438">
            <v>1.07</v>
          </cell>
        </row>
        <row r="439">
          <cell r="B439" t="str">
            <v>EQ</v>
          </cell>
          <cell r="F439">
            <v>0.41</v>
          </cell>
        </row>
        <row r="440">
          <cell r="B440" t="str">
            <v>NMRA</v>
          </cell>
          <cell r="F440">
            <v>0.6528</v>
          </cell>
        </row>
        <row r="441">
          <cell r="B441" t="str">
            <v>ICCC</v>
          </cell>
          <cell r="F441">
            <v>16.38</v>
          </cell>
        </row>
        <row r="442">
          <cell r="B442" t="str">
            <v>PMN</v>
          </cell>
          <cell r="F442">
            <v>0.465</v>
          </cell>
        </row>
        <row r="443">
          <cell r="B443" t="str">
            <v>CRDF</v>
          </cell>
          <cell r="F443">
            <v>0.7185</v>
          </cell>
        </row>
        <row r="444">
          <cell r="B444" t="str">
            <v>CGTX</v>
          </cell>
          <cell r="F444">
            <v>4.42</v>
          </cell>
        </row>
        <row r="445">
          <cell r="B445" t="str">
            <v>RFL</v>
          </cell>
          <cell r="F445">
            <v>2.99</v>
          </cell>
        </row>
        <row r="446">
          <cell r="B446" t="str">
            <v>LEXX</v>
          </cell>
          <cell r="F446">
            <v>2.36</v>
          </cell>
        </row>
        <row r="447">
          <cell r="B447" t="str">
            <v>ZYBT</v>
          </cell>
          <cell r="F447">
            <v>3.9</v>
          </cell>
        </row>
        <row r="448">
          <cell r="B448" t="str">
            <v>ACRV</v>
          </cell>
          <cell r="F448">
            <v>3.38</v>
          </cell>
        </row>
        <row r="449">
          <cell r="B449" t="str">
            <v>PMVP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LGVN</v>
          </cell>
          <cell r="F451">
            <v>1.38</v>
          </cell>
        </row>
        <row r="452">
          <cell r="B452" t="str">
            <v>PTHS</v>
          </cell>
          <cell r="F452">
            <v>1.37</v>
          </cell>
        </row>
        <row r="453">
          <cell r="B453" t="str">
            <v>CTOR</v>
          </cell>
          <cell r="F453">
            <v>8.09</v>
          </cell>
        </row>
        <row r="454">
          <cell r="B454" t="str">
            <v>SDEV</v>
          </cell>
          <cell r="F454">
            <v>1.01</v>
          </cell>
        </row>
        <row r="455">
          <cell r="B455" t="str">
            <v>PDSB</v>
          </cell>
          <cell r="F455">
            <v>1.31</v>
          </cell>
        </row>
        <row r="456">
          <cell r="B456" t="str">
            <v>HRTX</v>
          </cell>
          <cell r="F456">
            <v>0.671</v>
          </cell>
        </row>
        <row r="457">
          <cell r="B457" t="str">
            <v>TELO</v>
          </cell>
          <cell r="F457">
            <v>2.65</v>
          </cell>
        </row>
        <row r="458">
          <cell r="B458" t="str">
            <v>MNOV</v>
          </cell>
          <cell r="F458">
            <v>1.795</v>
          </cell>
        </row>
        <row r="459">
          <cell r="B459" t="str">
            <v>OSTX</v>
          </cell>
          <cell r="F459">
            <v>0.9315</v>
          </cell>
        </row>
        <row r="460">
          <cell r="B460" t="str">
            <v>OKYO</v>
          </cell>
          <cell r="F460">
            <v>2.77</v>
          </cell>
        </row>
        <row r="461">
          <cell r="B461" t="str">
            <v>MAIA</v>
          </cell>
          <cell r="F461">
            <v>1.36</v>
          </cell>
        </row>
        <row r="462">
          <cell r="B462" t="str">
            <v>NMAD</v>
          </cell>
          <cell r="F462">
            <v>0.7338</v>
          </cell>
        </row>
        <row r="463">
          <cell r="B463" t="str">
            <v>NTHI</v>
          </cell>
          <cell r="F463">
            <v>0.3545</v>
          </cell>
        </row>
        <row r="464">
          <cell r="B464" t="str">
            <v>GANX</v>
          </cell>
          <cell r="F464">
            <v>1.12</v>
          </cell>
        </row>
        <row r="465">
          <cell r="B465" t="str">
            <v>FBIO</v>
          </cell>
          <cell r="F465">
            <v>1.49</v>
          </cell>
        </row>
        <row r="466">
          <cell r="B466" t="str">
            <v>CING</v>
          </cell>
          <cell r="F466">
            <v>1.22</v>
          </cell>
        </row>
        <row r="467">
          <cell r="B467" t="str">
            <v>ONCY</v>
          </cell>
          <cell r="F467">
            <v>1.27</v>
          </cell>
        </row>
        <row r="468">
          <cell r="B468" t="str">
            <v>VRCA</v>
          </cell>
          <cell r="F468">
            <v>1.39</v>
          </cell>
        </row>
        <row r="469">
          <cell r="B469" t="str">
            <v>TENX</v>
          </cell>
          <cell r="F469">
            <v>2.02</v>
          </cell>
        </row>
        <row r="470">
          <cell r="B470" t="str">
            <v>SPRO</v>
          </cell>
          <cell r="F470">
            <v>0.4986</v>
          </cell>
        </row>
        <row r="471">
          <cell r="B471" t="str">
            <v>XBIT</v>
          </cell>
          <cell r="F471">
            <v>4.53</v>
          </cell>
        </row>
        <row r="472">
          <cell r="B472" t="str">
            <v>RNTX</v>
          </cell>
          <cell r="F472">
            <v>0.9605</v>
          </cell>
        </row>
        <row r="473">
          <cell r="B473" t="str">
            <v>PLRX</v>
          </cell>
          <cell r="F473">
            <v>3.72</v>
          </cell>
        </row>
        <row r="474">
          <cell r="B474" t="str">
            <v>ENLV</v>
          </cell>
          <cell r="F474">
            <v>1.94</v>
          </cell>
        </row>
        <row r="475">
          <cell r="B475" t="str">
            <v>SKYE</v>
          </cell>
          <cell r="F475">
            <v>3.47</v>
          </cell>
        </row>
        <row r="476">
          <cell r="B476" t="str">
            <v>XLO</v>
          </cell>
          <cell r="F476">
            <v>0.7356</v>
          </cell>
        </row>
        <row r="477">
          <cell r="B477" t="str">
            <v>RNXT</v>
          </cell>
          <cell r="F477">
            <v>1.19</v>
          </cell>
        </row>
        <row r="478">
          <cell r="B478" t="str">
            <v>BOLD</v>
          </cell>
          <cell r="F478">
            <v>0.8752</v>
          </cell>
        </row>
        <row r="479">
          <cell r="B479" t="str">
            <v>ATHE</v>
          </cell>
          <cell r="F479">
            <v>0.33</v>
          </cell>
        </row>
        <row r="480">
          <cell r="B480" t="str">
            <v>KLRS</v>
          </cell>
          <cell r="F480">
            <v>8.54</v>
          </cell>
        </row>
        <row r="481">
          <cell r="B481" t="str">
            <v>TLPH</v>
          </cell>
          <cell r="F481">
            <v>0.9124</v>
          </cell>
        </row>
        <row r="482">
          <cell r="B482" t="str">
            <v>IBIO</v>
          </cell>
          <cell r="F482">
            <v>1.07</v>
          </cell>
        </row>
        <row r="483">
          <cell r="B483" t="str">
            <v>MREO</v>
          </cell>
          <cell r="F483">
            <v>1.62</v>
          </cell>
        </row>
        <row r="484">
          <cell r="B484" t="str">
            <v>ALDX</v>
          </cell>
          <cell r="F484">
            <v>0.5951</v>
          </cell>
        </row>
        <row r="485">
          <cell r="B485" t="str">
            <v>CNTB</v>
          </cell>
          <cell r="F485">
            <v>1.2</v>
          </cell>
        </row>
        <row r="486">
          <cell r="B486" t="str">
            <v>INKT</v>
          </cell>
          <cell r="F486">
            <v>20.21</v>
          </cell>
        </row>
        <row r="487">
          <cell r="B487" t="str">
            <v>LONA</v>
          </cell>
          <cell r="F487">
            <v>2.43</v>
          </cell>
        </row>
        <row r="488">
          <cell r="B488" t="str">
            <v>HYPD</v>
          </cell>
          <cell r="F488">
            <v>2.07</v>
          </cell>
        </row>
        <row r="489">
          <cell r="B489" t="str">
            <v>YARW</v>
          </cell>
          <cell r="F489">
            <v>1.63</v>
          </cell>
        </row>
        <row r="490">
          <cell r="B490" t="str">
            <v>ACET</v>
          </cell>
          <cell r="F490">
            <v>9.86</v>
          </cell>
        </row>
        <row r="491">
          <cell r="B491" t="str">
            <v>INMB</v>
          </cell>
          <cell r="F491">
            <v>0.519</v>
          </cell>
        </row>
        <row r="492">
          <cell r="B492" t="str">
            <v>ANVS</v>
          </cell>
          <cell r="F492">
            <v>5.27</v>
          </cell>
        </row>
        <row r="493">
          <cell r="B493" t="str">
            <v>SER</v>
          </cell>
          <cell r="F493">
            <v>2.37</v>
          </cell>
        </row>
        <row r="494">
          <cell r="B494" t="str">
            <v>CELU</v>
          </cell>
          <cell r="F494">
            <v>0.821</v>
          </cell>
        </row>
        <row r="495">
          <cell r="B495" t="str">
            <v>ELTX</v>
          </cell>
          <cell r="F495">
            <v>2.975</v>
          </cell>
        </row>
        <row r="496">
          <cell r="B496" t="str">
            <v>CLNN</v>
          </cell>
          <cell r="F496">
            <v>0.2237</v>
          </cell>
        </row>
        <row r="497">
          <cell r="B497" t="str">
            <v>CRBU</v>
          </cell>
          <cell r="F497">
            <v>0.2951</v>
          </cell>
        </row>
        <row r="498">
          <cell r="B498" t="str">
            <v>EXOZ</v>
          </cell>
          <cell r="F498">
            <v>1.05</v>
          </cell>
        </row>
        <row r="499">
          <cell r="B499" t="str">
            <v>CRVO</v>
          </cell>
          <cell r="F499">
            <v>3.88</v>
          </cell>
        </row>
        <row r="500">
          <cell r="B500" t="str">
            <v>BRTX</v>
          </cell>
          <cell r="F500">
            <v>1.57</v>
          </cell>
        </row>
        <row r="501">
          <cell r="B501" t="str">
            <v>IMA</v>
          </cell>
          <cell r="F501">
            <v>22.0481</v>
          </cell>
        </row>
        <row r="502">
          <cell r="B502" t="str">
            <v>HOWL</v>
          </cell>
          <cell r="F502">
            <v>6.43</v>
          </cell>
        </row>
        <row r="503">
          <cell r="B503" t="str">
            <v>DWTX</v>
          </cell>
          <cell r="F503">
            <v>1.6</v>
          </cell>
        </row>
        <row r="504">
          <cell r="B504" t="str">
            <v>VBIO</v>
          </cell>
          <cell r="F504">
            <v>4.13</v>
          </cell>
        </row>
        <row r="505">
          <cell r="B505" t="str">
            <v>TIL</v>
          </cell>
          <cell r="F505">
            <v>1.66</v>
          </cell>
        </row>
        <row r="506">
          <cell r="B506" t="str">
            <v>CLGN</v>
          </cell>
          <cell r="F506">
            <v>0.8935</v>
          </cell>
        </row>
        <row r="507">
          <cell r="B507" t="str">
            <v>LNAI</v>
          </cell>
          <cell r="F507">
            <v>1.5</v>
          </cell>
        </row>
        <row r="508">
          <cell r="B508" t="str">
            <v>TVGN</v>
          </cell>
          <cell r="F508">
            <v>4.52</v>
          </cell>
        </row>
        <row r="509">
          <cell r="B509" t="str">
            <v>BSEM</v>
          </cell>
          <cell r="F509">
            <v>0.9932</v>
          </cell>
        </row>
        <row r="510">
          <cell r="B510" t="str">
            <v>GRCE</v>
          </cell>
          <cell r="F510">
            <v>0.6651</v>
          </cell>
        </row>
        <row r="511">
          <cell r="B511" t="str">
            <v>CALC</v>
          </cell>
          <cell r="F511">
            <v>1.15</v>
          </cell>
        </row>
        <row r="512">
          <cell r="B512" t="str">
            <v>MTNB</v>
          </cell>
          <cell r="F512">
            <v>1.26</v>
          </cell>
        </row>
        <row r="513">
          <cell r="B513" t="str">
            <v>VERU</v>
          </cell>
          <cell r="F513">
            <v>5.94</v>
          </cell>
        </row>
        <row r="514">
          <cell r="B514" t="str">
            <v>BTMD</v>
          </cell>
          <cell r="F514">
            <v>3.73</v>
          </cell>
        </row>
        <row r="515">
          <cell r="B515" t="str">
            <v>SCYX</v>
          </cell>
          <cell r="F515">
            <v>1.98</v>
          </cell>
        </row>
        <row r="516">
          <cell r="B516" t="str">
            <v>FLNA</v>
          </cell>
          <cell r="F516">
            <v>2.38</v>
          </cell>
        </row>
        <row r="517">
          <cell r="B517" t="str">
            <v>IXHL</v>
          </cell>
          <cell r="F517">
            <v>1.07</v>
          </cell>
        </row>
        <row r="518">
          <cell r="B518" t="str">
            <v>LITS</v>
          </cell>
          <cell r="F518">
            <v>1.56</v>
          </cell>
        </row>
        <row r="519">
          <cell r="B519" t="str">
            <v>BIAF</v>
          </cell>
          <cell r="F519">
            <v>4.12</v>
          </cell>
        </row>
        <row r="520">
          <cell r="B520" t="str">
            <v>MGX</v>
          </cell>
          <cell r="F520">
            <v>1.64</v>
          </cell>
        </row>
        <row r="521">
          <cell r="B521" t="str">
            <v>CPHI</v>
          </cell>
          <cell r="F521">
            <v>3.8</v>
          </cell>
        </row>
        <row r="522">
          <cell r="B522" t="str">
            <v>ELUT</v>
          </cell>
          <cell r="F522">
            <v>1.7</v>
          </cell>
        </row>
        <row r="523">
          <cell r="B523" t="str">
            <v>FFR</v>
          </cell>
          <cell r="F523">
            <v>1.065</v>
          </cell>
        </row>
        <row r="524">
          <cell r="B524" t="str">
            <v>GRDX</v>
          </cell>
          <cell r="F524">
            <v>2.78</v>
          </cell>
        </row>
        <row r="525">
          <cell r="B525" t="str">
            <v>ATNM</v>
          </cell>
          <cell r="F525">
            <v>1.5</v>
          </cell>
        </row>
        <row r="526">
          <cell r="B526" t="str">
            <v>CVM</v>
          </cell>
          <cell r="F526">
            <v>0.8105</v>
          </cell>
        </row>
        <row r="527">
          <cell r="B527" t="str">
            <v>BCTX</v>
          </cell>
          <cell r="F527">
            <v>1.19</v>
          </cell>
        </row>
        <row r="528">
          <cell r="B528" t="str">
            <v>EDSA</v>
          </cell>
          <cell r="F528">
            <v>0.6885</v>
          </cell>
        </row>
        <row r="529">
          <cell r="B529" t="str">
            <v>ALGS</v>
          </cell>
          <cell r="F529">
            <v>2.29</v>
          </cell>
        </row>
        <row r="530">
          <cell r="B530" t="str">
            <v>NNVC</v>
          </cell>
          <cell r="F530">
            <v>1.395</v>
          </cell>
        </row>
        <row r="531">
          <cell r="B531" t="str">
            <v>NXTC</v>
          </cell>
          <cell r="F531">
            <v>40.27</v>
          </cell>
        </row>
        <row r="532">
          <cell r="B532" t="str">
            <v>QNCX</v>
          </cell>
          <cell r="F532">
            <v>3.66</v>
          </cell>
        </row>
        <row r="533">
          <cell r="B533" t="str">
            <v>NSRX</v>
          </cell>
          <cell r="F533">
            <v>1.56</v>
          </cell>
        </row>
        <row r="534">
          <cell r="B534" t="str">
            <v>RNAZ</v>
          </cell>
          <cell r="F534">
            <v>5.03</v>
          </cell>
        </row>
        <row r="535">
          <cell r="B535" t="str">
            <v>MIRA</v>
          </cell>
          <cell r="F535">
            <v>4.63</v>
          </cell>
        </row>
        <row r="536">
          <cell r="B536" t="str">
            <v>MDXH</v>
          </cell>
          <cell r="F536">
            <v>0.8313</v>
          </cell>
        </row>
        <row r="537">
          <cell r="B537" t="str">
            <v>IGC</v>
          </cell>
          <cell r="F537">
            <v>3.46</v>
          </cell>
        </row>
        <row r="538">
          <cell r="B538" t="str">
            <v>CNTX</v>
          </cell>
          <cell r="F538">
            <v>0.7243</v>
          </cell>
        </row>
        <row r="539">
          <cell r="B539" t="str">
            <v>MCRB</v>
          </cell>
          <cell r="F539">
            <v>2.54</v>
          </cell>
        </row>
        <row r="540">
          <cell r="B540" t="str">
            <v>ABVC</v>
          </cell>
          <cell r="F540">
            <v>1.66</v>
          </cell>
        </row>
        <row r="541">
          <cell r="B541" t="str">
            <v>EVAX</v>
          </cell>
          <cell r="F541">
            <v>5.44</v>
          </cell>
        </row>
        <row r="542">
          <cell r="B542" t="str">
            <v>SHPH</v>
          </cell>
          <cell r="F542">
            <v>3.24</v>
          </cell>
        </row>
        <row r="543">
          <cell r="B543" t="str">
            <v>BYSI</v>
          </cell>
          <cell r="F543">
            <v>0.6501</v>
          </cell>
        </row>
        <row r="544">
          <cell r="B544" t="str">
            <v>SCLX</v>
          </cell>
          <cell r="F544">
            <v>4.91</v>
          </cell>
        </row>
        <row r="545">
          <cell r="B545" t="str">
            <v>JAGX</v>
          </cell>
          <cell r="F545">
            <v>0.245</v>
          </cell>
        </row>
        <row r="546">
          <cell r="B546" t="str">
            <v>KYNB</v>
          </cell>
          <cell r="F546">
            <v>1.19</v>
          </cell>
        </row>
        <row r="547">
          <cell r="B547" t="str">
            <v>ATOS</v>
          </cell>
          <cell r="F547">
            <v>2.31</v>
          </cell>
        </row>
        <row r="548">
          <cell r="B548" t="str">
            <v>ATYR</v>
          </cell>
          <cell r="F548">
            <v>2.82</v>
          </cell>
        </row>
        <row r="549">
          <cell r="B549" t="str">
            <v>TXMD</v>
          </cell>
          <cell r="F549">
            <v>0.515</v>
          </cell>
        </row>
        <row r="550">
          <cell r="B550" t="str">
            <v>AYTU</v>
          </cell>
          <cell r="F550">
            <v>0.93</v>
          </cell>
        </row>
        <row r="551">
          <cell r="B551" t="str">
            <v>COCP</v>
          </cell>
          <cell r="F551">
            <v>2.53</v>
          </cell>
        </row>
        <row r="552">
          <cell r="B552" t="str">
            <v>KAPA</v>
          </cell>
          <cell r="F552">
            <v>1.08</v>
          </cell>
        </row>
        <row r="553">
          <cell r="B553" t="str">
            <v>JSPR</v>
          </cell>
          <cell r="F553">
            <v>4.05</v>
          </cell>
        </row>
        <row r="554">
          <cell r="B554" t="str">
            <v>GNTA</v>
          </cell>
          <cell r="F554">
            <v>0.5227</v>
          </cell>
        </row>
        <row r="555">
          <cell r="B555" t="str">
            <v>NEUP</v>
          </cell>
          <cell r="F555">
            <v>0.2438</v>
          </cell>
        </row>
        <row r="556">
          <cell r="B556" t="str">
            <v>ESLA</v>
          </cell>
          <cell r="F556">
            <v>1.88</v>
          </cell>
        </row>
        <row r="557">
          <cell r="B557" t="str">
            <v>AKTX</v>
          </cell>
          <cell r="F557">
            <v>5.28</v>
          </cell>
        </row>
        <row r="558">
          <cell r="B558" t="str">
            <v>MRKR</v>
          </cell>
          <cell r="F558">
            <v>2.01</v>
          </cell>
        </row>
        <row r="559">
          <cell r="B559" t="str">
            <v>DYAI</v>
          </cell>
          <cell r="F559">
            <v>0.9429</v>
          </cell>
        </row>
        <row r="560">
          <cell r="B560" t="str">
            <v>RKTO</v>
          </cell>
          <cell r="F560">
            <v>0.4</v>
          </cell>
        </row>
        <row r="561">
          <cell r="B561" t="str">
            <v>TCRX</v>
          </cell>
          <cell r="F561">
            <v>2.63</v>
          </cell>
        </row>
        <row r="562">
          <cell r="B562" t="str">
            <v>ALLR</v>
          </cell>
          <cell r="F562">
            <v>1.94</v>
          </cell>
        </row>
        <row r="563">
          <cell r="B563" t="str">
            <v>BCDA</v>
          </cell>
          <cell r="F563">
            <v>3.39</v>
          </cell>
        </row>
        <row r="564">
          <cell r="B564" t="str">
            <v>KTTA</v>
          </cell>
          <cell r="F564">
            <v>1.16</v>
          </cell>
        </row>
        <row r="565">
          <cell r="B565" t="str">
            <v>PTN</v>
          </cell>
          <cell r="F565">
            <v>0.1733</v>
          </cell>
        </row>
        <row r="566">
          <cell r="B566" t="str">
            <v>ARTL</v>
          </cell>
          <cell r="F566">
            <v>9.29</v>
          </cell>
        </row>
        <row r="567">
          <cell r="B567" t="str">
            <v>HIND</v>
          </cell>
          <cell r="F567">
            <v>0.4999</v>
          </cell>
        </row>
        <row r="568">
          <cell r="B568" t="str">
            <v>ACTU</v>
          </cell>
          <cell r="F568">
            <v>0.5837</v>
          </cell>
        </row>
        <row r="569">
          <cell r="B569" t="str">
            <v>CNSY</v>
          </cell>
          <cell r="F569">
            <v>0.615</v>
          </cell>
        </row>
        <row r="570">
          <cell r="B570" t="str">
            <v>NCEL</v>
          </cell>
          <cell r="F570">
            <v>0.224</v>
          </cell>
        </row>
        <row r="571">
          <cell r="B571" t="str">
            <v>KZIA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BFRI</v>
          </cell>
          <cell r="F573">
            <v>0.6161</v>
          </cell>
        </row>
        <row r="574">
          <cell r="B574" t="str">
            <v>LPCN</v>
          </cell>
          <cell r="F574">
            <v>0.8758</v>
          </cell>
        </row>
        <row r="575">
          <cell r="B575" t="str">
            <v>AEON</v>
          </cell>
          <cell r="F575">
            <v>0.41</v>
          </cell>
        </row>
        <row r="576">
          <cell r="B576" t="str">
            <v>TVRD</v>
          </cell>
          <cell r="F576">
            <v>1.04</v>
          </cell>
        </row>
        <row r="577">
          <cell r="B577" t="str">
            <v>KPTI</v>
          </cell>
          <cell r="F577">
            <v>1.62</v>
          </cell>
        </row>
        <row r="578">
          <cell r="B578" t="str">
            <v>CTXR</v>
          </cell>
          <cell r="F578">
            <v>2.61</v>
          </cell>
        </row>
        <row r="579">
          <cell r="B579" t="str">
            <v>CLRB</v>
          </cell>
          <cell r="F579">
            <v>0.992</v>
          </cell>
        </row>
        <row r="580">
          <cell r="B580" t="str">
            <v>INAB</v>
          </cell>
          <cell r="F580">
            <v>0.5311</v>
          </cell>
        </row>
        <row r="581">
          <cell r="B581" t="str">
            <v>TPST</v>
          </cell>
          <cell r="F581">
            <v>1.84</v>
          </cell>
        </row>
        <row r="582">
          <cell r="B582" t="str">
            <v>PASG</v>
          </cell>
          <cell r="F582">
            <v>1.68</v>
          </cell>
        </row>
        <row r="583">
          <cell r="B583" t="str">
            <v>INTS</v>
          </cell>
          <cell r="F583">
            <v>0.4175</v>
          </cell>
        </row>
        <row r="584">
          <cell r="B584" t="str">
            <v>DARE</v>
          </cell>
          <cell r="F584">
            <v>2.62</v>
          </cell>
        </row>
        <row r="585">
          <cell r="B585" t="str">
            <v>PLUR</v>
          </cell>
          <cell r="F585">
            <v>0.804</v>
          </cell>
        </row>
        <row r="586">
          <cell r="B586" t="str">
            <v>ASBP</v>
          </cell>
          <cell r="F586">
            <v>0.2315</v>
          </cell>
        </row>
        <row r="587">
          <cell r="B587" t="str">
            <v>QNTM</v>
          </cell>
          <cell r="F587">
            <v>8.72</v>
          </cell>
        </row>
        <row r="588">
          <cell r="B588" t="str">
            <v>PBM</v>
          </cell>
          <cell r="F588">
            <v>7.88</v>
          </cell>
        </row>
        <row r="589">
          <cell r="B589" t="str">
            <v>PHIO</v>
          </cell>
          <cell r="F589">
            <v>0.4986</v>
          </cell>
        </row>
        <row r="590">
          <cell r="B590" t="str">
            <v>KPRX</v>
          </cell>
          <cell r="F590">
            <v>5.52</v>
          </cell>
        </row>
        <row r="591">
          <cell r="B591" t="str">
            <v>GDTC</v>
          </cell>
          <cell r="F591">
            <v>3.6</v>
          </cell>
        </row>
        <row r="592">
          <cell r="B592" t="str">
            <v>BIVI</v>
          </cell>
          <cell r="F592">
            <v>0.689</v>
          </cell>
        </row>
        <row r="593">
          <cell r="B593" t="str">
            <v>VTGN</v>
          </cell>
          <cell r="F593">
            <v>0.9</v>
          </cell>
        </row>
        <row r="594">
          <cell r="B594" t="str">
            <v>LTRN</v>
          </cell>
          <cell r="F594">
            <v>1.14</v>
          </cell>
        </row>
        <row r="595">
          <cell r="B595" t="str">
            <v>ENSC</v>
          </cell>
          <cell r="F595">
            <v>3.28</v>
          </cell>
        </row>
        <row r="596">
          <cell r="B596" t="str">
            <v>ADIL</v>
          </cell>
          <cell r="F596">
            <v>1.23</v>
          </cell>
        </row>
        <row r="597">
          <cell r="B597" t="str">
            <v>TOVX</v>
          </cell>
          <cell r="F597">
            <v>2.33</v>
          </cell>
        </row>
        <row r="598">
          <cell r="B598" t="str">
            <v>CMMB</v>
          </cell>
          <cell r="F598">
            <v>0.1944</v>
          </cell>
        </row>
        <row r="599">
          <cell r="B599" t="str">
            <v>SNTI</v>
          </cell>
          <cell r="F599">
            <v>2.43</v>
          </cell>
        </row>
        <row r="600">
          <cell r="B600" t="str">
            <v>LSTA</v>
          </cell>
          <cell r="F600">
            <v>0.8715</v>
          </cell>
        </row>
        <row r="601">
          <cell r="B601" t="str">
            <v>IMCC</v>
          </cell>
          <cell r="F601">
            <v>0.8921</v>
          </cell>
        </row>
        <row r="602">
          <cell r="B602" t="str">
            <v>MTVA</v>
          </cell>
          <cell r="F602">
            <v>0.5762</v>
          </cell>
        </row>
        <row r="603">
          <cell r="B603" t="str">
            <v>IMRN</v>
          </cell>
          <cell r="F603">
            <v>4.24</v>
          </cell>
        </row>
        <row r="604">
          <cell r="B604" t="str">
            <v>MBRX</v>
          </cell>
          <cell r="F604">
            <v>0.2047</v>
          </cell>
        </row>
        <row r="605">
          <cell r="B605" t="str">
            <v>RGNT</v>
          </cell>
          <cell r="F605">
            <v>1.04</v>
          </cell>
        </row>
        <row r="606">
          <cell r="B606" t="str">
            <v>BOLT</v>
          </cell>
          <cell r="F606">
            <v>1.18</v>
          </cell>
        </row>
        <row r="607">
          <cell r="B607" t="str">
            <v>SNGX</v>
          </cell>
          <cell r="F607">
            <v>3.82</v>
          </cell>
        </row>
        <row r="608">
          <cell r="B608" t="str">
            <v>AZTR</v>
          </cell>
          <cell r="F608">
            <v>1.29</v>
          </cell>
        </row>
        <row r="609">
          <cell r="B609" t="str">
            <v>CNSP</v>
          </cell>
          <cell r="F609">
            <v>0.1978</v>
          </cell>
        </row>
        <row r="610">
          <cell r="B610" t="str">
            <v>HLSQ</v>
          </cell>
          <cell r="F610">
            <v>0.3586</v>
          </cell>
        </row>
        <row r="611">
          <cell r="B611" t="str">
            <v>APRE</v>
          </cell>
          <cell r="F611">
            <v>0.6564</v>
          </cell>
        </row>
        <row r="612">
          <cell r="B612" t="str">
            <v>APUS</v>
          </cell>
          <cell r="F612">
            <v>1.37</v>
          </cell>
        </row>
        <row r="613">
          <cell r="B613" t="str">
            <v>FBLG</v>
          </cell>
          <cell r="F613">
            <v>1.4</v>
          </cell>
        </row>
        <row r="614">
          <cell r="B614" t="str">
            <v>INM</v>
          </cell>
          <cell r="F614">
            <v>4.31</v>
          </cell>
        </row>
        <row r="615">
          <cell r="B615" t="str">
            <v>XCUR</v>
          </cell>
          <cell r="F615">
            <v>1.47</v>
          </cell>
        </row>
        <row r="616">
          <cell r="B616" t="str">
            <v>TRAW</v>
          </cell>
          <cell r="F616">
            <v>0.9564</v>
          </cell>
        </row>
        <row r="617">
          <cell r="B617" t="str">
            <v>ACXP</v>
          </cell>
          <cell r="F617">
            <v>0.3546</v>
          </cell>
        </row>
        <row r="618">
          <cell r="B618" t="str">
            <v>ENVB</v>
          </cell>
          <cell r="F618">
            <v>0.5612</v>
          </cell>
        </row>
        <row r="619">
          <cell r="B619" t="str">
            <v>ALZN</v>
          </cell>
          <cell r="F619">
            <v>1.34</v>
          </cell>
        </row>
        <row r="620">
          <cell r="B620" t="str">
            <v>IMNN</v>
          </cell>
          <cell r="F620">
            <v>0.9987</v>
          </cell>
        </row>
        <row r="621">
          <cell r="B621" t="str">
            <v>SNOA</v>
          </cell>
          <cell r="F621">
            <v>4.99</v>
          </cell>
        </row>
        <row r="622">
          <cell r="B622" t="str">
            <v>MDCX</v>
          </cell>
          <cell r="F622">
            <v>0.2277</v>
          </cell>
        </row>
        <row r="623">
          <cell r="B623" t="str">
            <v>KALA</v>
          </cell>
          <cell r="F623">
            <v>2.97</v>
          </cell>
        </row>
        <row r="624">
          <cell r="B624" t="str">
            <v>BGMS</v>
          </cell>
          <cell r="F624">
            <v>0.9199</v>
          </cell>
        </row>
        <row r="625">
          <cell r="B625" t="str">
            <v>GELS</v>
          </cell>
          <cell r="F625">
            <v>1.3</v>
          </cell>
        </row>
        <row r="626">
          <cell r="B626" t="str">
            <v>CDIO</v>
          </cell>
          <cell r="F626">
            <v>0.3767</v>
          </cell>
        </row>
        <row r="627">
          <cell r="B627" t="str">
            <v>CELZ</v>
          </cell>
          <cell r="F627">
            <v>1.44</v>
          </cell>
        </row>
        <row r="628">
          <cell r="B628" t="str">
            <v>AIM</v>
          </cell>
          <cell r="F628">
            <v>0.94</v>
          </cell>
        </row>
        <row r="629">
          <cell r="B629" t="str">
            <v>AQB</v>
          </cell>
          <cell r="F629">
            <v>3.41</v>
          </cell>
        </row>
        <row r="630">
          <cell r="B630" t="str">
            <v>PULM</v>
          </cell>
          <cell r="F630">
            <v>0.2323</v>
          </cell>
        </row>
        <row r="631">
          <cell r="B631" t="str">
            <v>QCLS</v>
          </cell>
          <cell r="F631">
            <v>1.14</v>
          </cell>
        </row>
        <row r="632">
          <cell r="B632" t="str">
            <v>XBIO</v>
          </cell>
          <cell r="F632">
            <v>1.005</v>
          </cell>
        </row>
        <row r="633">
          <cell r="B633" t="str">
            <v>NCNA</v>
          </cell>
          <cell r="F633">
            <v>1.15</v>
          </cell>
        </row>
        <row r="634">
          <cell r="B634" t="str">
            <v>YCBD</v>
          </cell>
          <cell r="F634">
            <v>6.19</v>
          </cell>
        </row>
        <row r="635">
          <cell r="B635" t="str">
            <v>PMCB</v>
          </cell>
          <cell r="F635">
            <v>1.15</v>
          </cell>
        </row>
        <row r="636">
          <cell r="B636" t="str">
            <v>PCSA</v>
          </cell>
          <cell r="F636">
            <v>1.43</v>
          </cell>
        </row>
        <row r="637">
          <cell r="B637" t="str">
            <v>DRMA</v>
          </cell>
          <cell r="F637">
            <v>0.1679</v>
          </cell>
        </row>
        <row r="638">
          <cell r="B638" t="str">
            <v>SCNI</v>
          </cell>
          <cell r="F638">
            <v>1.72</v>
          </cell>
        </row>
        <row r="639">
          <cell r="B639" t="str">
            <v>ERNA</v>
          </cell>
          <cell r="F639">
            <v>0.7547</v>
          </cell>
        </row>
        <row r="640">
          <cell r="B640" t="str">
            <v>GRI</v>
          </cell>
          <cell r="F640">
            <v>0.448</v>
          </cell>
        </row>
        <row r="641">
          <cell r="B641" t="str">
            <v>SNES</v>
          </cell>
          <cell r="F641">
            <v>1.79</v>
          </cell>
        </row>
        <row r="642">
          <cell r="B642" t="str">
            <v>EOCN</v>
          </cell>
          <cell r="F642">
            <v>2.0</v>
          </cell>
        </row>
        <row r="643">
          <cell r="B643" t="str">
            <v>AKAN</v>
          </cell>
          <cell r="F643">
            <v>0.5</v>
          </cell>
        </row>
        <row r="644">
          <cell r="B644" t="str">
            <v>SXTP</v>
          </cell>
          <cell r="F644">
            <v>0.0715</v>
          </cell>
        </row>
        <row r="645">
          <cell r="B645" t="str">
            <v>EVGN</v>
          </cell>
          <cell r="F645">
            <v>1.0056</v>
          </cell>
        </row>
        <row r="646">
          <cell r="B646" t="str">
            <v>CVKD</v>
          </cell>
          <cell r="F646">
            <v>0.3873</v>
          </cell>
        </row>
        <row r="647">
          <cell r="B647" t="str">
            <v>APVO</v>
          </cell>
          <cell r="F647">
            <v>1.04</v>
          </cell>
        </row>
        <row r="648">
          <cell r="B648" t="str">
            <v>PPCB</v>
          </cell>
          <cell r="F648">
            <v>0.3422</v>
          </cell>
        </row>
        <row r="649">
          <cell r="B649" t="str">
            <v>MBIO</v>
          </cell>
          <cell r="F649">
            <v>0.1897</v>
          </cell>
        </row>
        <row r="650">
          <cell r="B650" t="str">
            <v>REVB</v>
          </cell>
          <cell r="F650">
            <v>2.24</v>
          </cell>
        </row>
        <row r="651">
          <cell r="B651" t="str">
            <v>HCWB</v>
          </cell>
          <cell r="F651">
            <v>0.6893</v>
          </cell>
        </row>
        <row r="652">
          <cell r="B652" t="str">
            <v>RDHL</v>
          </cell>
          <cell r="F652">
            <v>0.8699</v>
          </cell>
        </row>
        <row r="653">
          <cell r="B653" t="str">
            <v>VIVS</v>
          </cell>
          <cell r="F653">
            <v>0.3716</v>
          </cell>
        </row>
        <row r="654">
          <cell r="B654" t="str">
            <v>CLDI</v>
          </cell>
          <cell r="F654">
            <v>1.615</v>
          </cell>
        </row>
        <row r="655">
          <cell r="B655" t="str">
            <v>CANF</v>
          </cell>
          <cell r="F655">
            <v>0.9222</v>
          </cell>
        </row>
        <row r="656">
          <cell r="B656" t="str">
            <v>ONCO</v>
          </cell>
          <cell r="F656">
            <v>1.46</v>
          </cell>
        </row>
        <row r="657">
          <cell r="B657" t="str">
            <v>UPC</v>
          </cell>
          <cell r="F657">
            <v>3.07</v>
          </cell>
        </row>
        <row r="658">
          <cell r="B658" t="str">
            <v>SILO</v>
          </cell>
          <cell r="F658">
            <v>0.3795</v>
          </cell>
        </row>
        <row r="659">
          <cell r="B659" t="str">
            <v>GNPX</v>
          </cell>
          <cell r="F659">
            <v>0.6813</v>
          </cell>
        </row>
        <row r="660">
          <cell r="B660" t="str">
            <v>JUNS</v>
          </cell>
          <cell r="F660">
            <v>0.5073</v>
          </cell>
        </row>
        <row r="661">
          <cell r="B661" t="str">
            <v>GOVX</v>
          </cell>
          <cell r="F661">
            <v>1.89</v>
          </cell>
        </row>
        <row r="662">
          <cell r="B662" t="str">
            <v>OGEN</v>
          </cell>
          <cell r="F662">
            <v>1.08</v>
          </cell>
        </row>
        <row r="663">
          <cell r="B663" t="str">
            <v>TCRT</v>
          </cell>
          <cell r="F663">
            <v>3.54</v>
          </cell>
        </row>
        <row r="664">
          <cell r="B664" t="str">
            <v>LABT</v>
          </cell>
          <cell r="F664">
            <v>0.1713</v>
          </cell>
        </row>
        <row r="665">
          <cell r="B665" t="str">
            <v>SPRC</v>
          </cell>
          <cell r="F665">
            <v>1.23</v>
          </cell>
        </row>
        <row r="666">
          <cell r="B666" t="str">
            <v>CRIS</v>
          </cell>
          <cell r="F666">
            <v>0.77</v>
          </cell>
        </row>
        <row r="667">
          <cell r="B667" t="str">
            <v>SBFM</v>
          </cell>
          <cell r="F667">
            <v>2.8</v>
          </cell>
        </row>
        <row r="668">
          <cell r="B668" t="str">
            <v>BBLG</v>
          </cell>
          <cell r="F668">
            <v>0.321</v>
          </cell>
        </row>
        <row r="669">
          <cell r="B669" t="str">
            <v>PPBT</v>
          </cell>
          <cell r="F669">
            <v>0.434</v>
          </cell>
        </row>
        <row r="670">
          <cell r="B670" t="str">
            <v>SLXN</v>
          </cell>
          <cell r="F670">
            <v>3.75</v>
          </cell>
        </row>
        <row r="671">
          <cell r="B671" t="str">
            <v>CMND</v>
          </cell>
          <cell r="F671">
            <v>0.4064</v>
          </cell>
        </row>
        <row r="672">
          <cell r="B672" t="str">
            <v>BDRX</v>
          </cell>
          <cell r="F672">
            <v>1.2</v>
          </cell>
        </row>
        <row r="673">
          <cell r="B673" t="str">
            <v>DCOY</v>
          </cell>
          <cell r="F673">
            <v>0.2271</v>
          </cell>
        </row>
        <row r="674">
          <cell r="B674" t="str">
            <v>PRFX</v>
          </cell>
          <cell r="F674">
            <v>2.13</v>
          </cell>
        </row>
        <row r="675">
          <cell r="B675" t="str">
            <v>SXTC</v>
          </cell>
          <cell r="F675">
            <v>0.5775</v>
          </cell>
        </row>
        <row r="676">
          <cell r="B676" t="str">
            <v>AAPG</v>
          </cell>
          <cell r="F676">
            <v>0.43</v>
          </cell>
        </row>
        <row r="677">
          <cell r="B677" t="str">
            <v>ADAG</v>
          </cell>
          <cell r="F677">
            <v>1.085</v>
          </cell>
        </row>
        <row r="678">
          <cell r="B678" t="str">
            <v>ADRX</v>
          </cell>
          <cell r="F678">
            <v>0.3855</v>
          </cell>
        </row>
        <row r="679">
          <cell r="B679" t="str">
            <v>ADXN</v>
          </cell>
          <cell r="F679">
            <v>6.12</v>
          </cell>
        </row>
        <row r="680">
          <cell r="B680" t="str">
            <v>AGMB</v>
          </cell>
          <cell r="F680">
            <v>0.2418</v>
          </cell>
        </row>
        <row r="681">
          <cell r="B681" t="str">
            <v>ALPS</v>
          </cell>
          <cell r="F681">
            <v>0.3996</v>
          </cell>
        </row>
        <row r="682">
          <cell r="B682" t="str">
            <v>ANL</v>
          </cell>
          <cell r="F682">
            <v>0.153</v>
          </cell>
        </row>
        <row r="683">
          <cell r="B683" t="str">
            <v>APLM</v>
          </cell>
          <cell r="F683">
            <v>1.135</v>
          </cell>
        </row>
        <row r="684">
          <cell r="B684" t="str">
            <v>ASND</v>
          </cell>
          <cell r="F684">
            <v>0.7246</v>
          </cell>
        </row>
        <row r="685">
          <cell r="B685" t="str">
            <v>BNR</v>
          </cell>
          <cell r="F685">
            <v>1.33</v>
          </cell>
        </row>
        <row r="686">
          <cell r="B686" t="str">
            <v>CUVL</v>
          </cell>
          <cell r="F686">
            <v>0.0653</v>
          </cell>
        </row>
        <row r="687">
          <cell r="B687" t="str">
            <v>DRUG</v>
          </cell>
          <cell r="F687">
            <v>17.68</v>
          </cell>
        </row>
        <row r="688">
          <cell r="B688" t="str">
            <v>ETRA</v>
          </cell>
          <cell r="F688">
            <v>3.05</v>
          </cell>
        </row>
        <row r="689">
          <cell r="B689" t="str">
            <v>GRFS</v>
          </cell>
          <cell r="F689">
            <v>8.73</v>
          </cell>
        </row>
        <row r="690">
          <cell r="B690" t="str">
            <v>GSK</v>
          </cell>
          <cell r="F690">
            <v>10.64</v>
          </cell>
        </row>
        <row r="691">
          <cell r="B691" t="str">
            <v>INCR</v>
          </cell>
          <cell r="F691">
            <v>12.66</v>
          </cell>
        </row>
        <row r="692">
          <cell r="B692" t="str">
            <v>NIKI</v>
          </cell>
          <cell r="F692">
            <v>5.19</v>
          </cell>
        </row>
        <row r="693">
          <cell r="B693" t="str">
            <v>OGI</v>
          </cell>
          <cell r="F693">
            <v>55.2</v>
          </cell>
        </row>
        <row r="694">
          <cell r="B694" t="str">
            <v>OPTH</v>
          </cell>
          <cell r="F694">
            <v>8.81</v>
          </cell>
        </row>
        <row r="695">
          <cell r="B695" t="str">
            <v>QNRX</v>
          </cell>
          <cell r="F695">
            <v>7.64</v>
          </cell>
        </row>
        <row r="696">
          <cell r="B696" t="str">
            <v>RADX</v>
          </cell>
          <cell r="F696">
            <v>2.03</v>
          </cell>
        </row>
        <row r="697">
          <cell r="B697" t="str">
            <v>SERA</v>
          </cell>
          <cell r="F697">
            <v>0.937</v>
          </cell>
        </row>
        <row r="698">
          <cell r="B698" t="str">
            <v>SLBT</v>
          </cell>
          <cell r="F698">
            <v>3.36</v>
          </cell>
        </row>
        <row r="699">
          <cell r="B699" t="str">
            <v>TAK</v>
          </cell>
          <cell r="F699">
            <v>4.04</v>
          </cell>
        </row>
        <row r="700">
          <cell r="B700" t="str">
            <v>TLSA</v>
          </cell>
          <cell r="F700">
            <v>0.99</v>
          </cell>
        </row>
        <row r="701">
          <cell r="B701" t="str">
            <v>TLX</v>
          </cell>
          <cell r="F701">
            <v>2.03</v>
          </cell>
        </row>
        <row r="702">
          <cell r="B702" t="str">
            <v>VCRE</v>
          </cell>
          <cell r="F702">
            <v>1.5</v>
          </cell>
        </row>
        <row r="703">
          <cell r="B703" t="str">
            <v>VRXA</v>
          </cell>
          <cell r="F703">
            <v>9.0</v>
          </cell>
        </row>
        <row r="704">
          <cell r="B704" t="str">
            <v>XRTX</v>
          </cell>
          <cell r="F704">
            <v>1.01</v>
          </cell>
        </row>
        <row r="705">
          <cell r="B705" t="str">
            <v>XTLB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Agios Pharmaceuticals, Inc.</t>
        </is>
      </c>
      <c r="C2" s="10" t="n"/>
    </row>
    <row r="3">
      <c r="B3" t="inlineStr">
        <is>
          <t>Price</t>
        </is>
      </c>
      <c r="C3" s="11">
        <f>INDEX([1]Pharma!$F$1:$F$1000,MATCH("AGIO",[1]Pharma!$B$1:$B$1000,0))</f>
        <v>36.64</v>
      </c>
      <c r="F3" s="1" t="n"/>
    </row>
    <row r="4">
      <c r="B4" t="inlineStr">
        <is>
          <t>Shares</t>
        </is>
      </c>
      <c r="C4" s="12">
        <f>59.701882</f>
        <v>59.701882</v>
      </c>
      <c r="F4" s="1" t="n"/>
    </row>
    <row r="5">
      <c r="B5" t="inlineStr">
        <is>
          <t>Market Cap.</t>
        </is>
      </c>
      <c r="C5" s="1">
        <f>C3*C4</f>
        <v>2187.47695648</v>
      </c>
      <c r="F5" s="1" t="n"/>
    </row>
    <row r="6"/>
    <row r="7">
      <c r="B7" t="inlineStr">
        <is>
          <t>Cash</t>
        </is>
      </c>
      <c r="C7" s="12">
        <f>99.646+517.929+347.252</f>
        <v>964.827</v>
      </c>
    </row>
    <row r="8">
      <c r="B8" t="inlineStr">
        <is>
          <t>Debt</t>
        </is>
      </c>
      <c r="C8" s="12" t="n">
        <v>0</v>
      </c>
    </row>
    <row r="9">
      <c r="B9" t="inlineStr">
        <is>
          <t>Enterprise V.</t>
        </is>
      </c>
      <c r="C9" s="1">
        <f>C5-C7+C8</f>
        <v>1222.64995648</v>
      </c>
    </row>
    <row r="11">
      <c r="B11" s="13" t="inlineStr">
        <is>
          <t>rNPV / Share</t>
        </is>
      </c>
      <c r="C11" s="11">
        <f>NPV!C43</f>
        <v>34.93773133879266</v>
      </c>
    </row>
    <row r="12">
      <c r="B12" s="13" t="inlineStr">
        <is>
          <t>Upside</t>
        </is>
      </c>
      <c r="C12" s="14">
        <f>C11/C3-1</f>
        <v>-0.04645929752203448</v>
      </c>
    </row>
    <row r="13">
      <c r="B13" s="13" t="inlineStr">
        <is>
          <t>Cash / Share</t>
        </is>
      </c>
      <c r="C13" s="11">
        <f>(C7-C8)/C4</f>
        <v>16.160746825368086</v>
      </c>
    </row>
    <row r="14">
      <c r="B14" s="13" t="inlineStr">
        <is>
          <t>Scenario</t>
        </is>
      </c>
      <c r="C14" s="13" t="str">
        <f>Assumptions!$C$4</f>
        <v>Base</v>
      </c>
    </row>
    <row r="16">
      <c r="B16" s="13" t="inlineStr">
        <is>
          <t>PDUFA Date</t>
        </is>
      </c>
      <c r="C16" s="15">
        <f>Assumptions!$B$30</f>
        <v>46327</v>
      </c>
    </row>
    <row r="17">
      <c r="B17" s="13" t="inlineStr">
        <is>
          <t>P(Approval)</t>
        </is>
      </c>
      <c r="C17" s="16">
        <f>Assumptions!$B$32</f>
        <v>0.65</v>
      </c>
    </row>
    <row r="18">
      <c r="B18" s="13" t="inlineStr">
        <is>
          <t>If Approved</t>
        </is>
      </c>
      <c r="C18" s="11">
        <f>Assumptions!$D$121</f>
        <v>38.238203305232126</v>
      </c>
    </row>
    <row r="19">
      <c r="B19" s="13" t="inlineStr">
        <is>
          <t>If CRL</t>
        </is>
      </c>
      <c r="C19" s="11">
        <f>Assumptions!$D$120</f>
        <v>27.88849738955846</v>
      </c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17" t="n">
        <v>2027</v>
      </c>
      <c r="I1" s="17" t="n">
        <v>2028</v>
      </c>
      <c r="J1" s="17" t="n">
        <v>2029</v>
      </c>
      <c r="K1" s="17" t="n">
        <v>2030</v>
      </c>
      <c r="L1" s="17" t="n">
        <v>2031</v>
      </c>
      <c r="M1" s="17" t="n">
        <v>2032</v>
      </c>
      <c r="N1" s="17" t="n">
        <v>2033</v>
      </c>
      <c r="O1" s="17" t="n">
        <v>2034</v>
      </c>
      <c r="P1" s="17" t="n">
        <v>2035</v>
      </c>
      <c r="Q1" s="17" t="n">
        <v>2036</v>
      </c>
      <c r="R1" s="17" t="n">
        <v>2037</v>
      </c>
      <c r="S1" s="17" t="n">
        <v>2038</v>
      </c>
      <c r="T1" s="17" t="n">
        <v>2039</v>
      </c>
      <c r="U1" s="17" t="n">
        <v>2040</v>
      </c>
      <c r="V1" s="17" t="n">
        <v>2041</v>
      </c>
      <c r="W1" s="17" t="n">
        <v>2042</v>
      </c>
      <c r="X1" s="17" t="n">
        <v>2043</v>
      </c>
      <c r="Y1" s="17" t="n">
        <v>2044</v>
      </c>
      <c r="Z1" s="17" t="n">
        <v>2045</v>
      </c>
      <c r="AA1" s="17" t="n">
        <v>2046</v>
      </c>
      <c r="AB1" s="17" t="n">
        <v>2047</v>
      </c>
      <c r="AC1" s="17" t="n">
        <v>2048</v>
      </c>
      <c r="AD1" s="17" t="n">
        <v>2049</v>
      </c>
      <c r="AE1" s="17" t="n">
        <v>2050</v>
      </c>
    </row>
    <row r="2" customFormat="1" s="1">
      <c r="A2" s="5" t="inlineStr">
        <is>
          <t>Revenue</t>
        </is>
      </c>
      <c r="B2" s="18" t="n">
        <v>0</v>
      </c>
      <c r="C2" s="18" t="n">
        <v>14.24</v>
      </c>
      <c r="D2" s="18" t="n">
        <v>26.823</v>
      </c>
      <c r="E2" s="18" t="n">
        <v>36.498</v>
      </c>
      <c r="F2" s="18" t="n">
        <v>54.028</v>
      </c>
      <c r="G2" s="18">
        <f>SUM('Quarterly Model'!F2:I2)</f>
        <v>205.49</v>
      </c>
      <c r="H2" s="18">
        <f>Pipeline!C46</f>
        <v>353.392</v>
      </c>
      <c r="I2" s="18">
        <f>Pipeline!D46</f>
        <v>520.794</v>
      </c>
      <c r="J2" s="18">
        <f>Pipeline!E46</f>
        <v>707.6959999999999</v>
      </c>
      <c r="K2" s="18">
        <f>Pipeline!F46</f>
        <v>906.1479999999999</v>
      </c>
      <c r="L2" s="18">
        <f>Pipeline!G46</f>
        <v>1146.475</v>
      </c>
      <c r="M2" s="18">
        <f>Pipeline!H46</f>
        <v>1284.175</v>
      </c>
      <c r="N2" s="18">
        <f>Pipeline!I46</f>
        <v>1430.175</v>
      </c>
      <c r="O2" s="18">
        <f>Pipeline!J46</f>
        <v>1545.41</v>
      </c>
      <c r="P2" s="18">
        <f>Pipeline!K46</f>
        <v>1639.375</v>
      </c>
      <c r="Q2" s="18">
        <f>Pipeline!L46</f>
        <v>1700.0400000000002</v>
      </c>
      <c r="R2" s="18">
        <f>Pipeline!M46</f>
        <v>980.2</v>
      </c>
      <c r="S2" s="18">
        <f>Pipeline!N46</f>
        <v>678.88</v>
      </c>
      <c r="T2" s="18">
        <f>Pipeline!O46</f>
        <v>558.352</v>
      </c>
      <c r="U2" s="18">
        <f>Pipeline!P46</f>
        <v>510.1408</v>
      </c>
      <c r="V2" s="18">
        <f>Pipeline!Q46</f>
        <v>490.85632</v>
      </c>
      <c r="W2" s="18">
        <f>Pipeline!R46</f>
        <v>315.14252799999997</v>
      </c>
      <c r="X2" s="18">
        <f>Pipeline!S46</f>
        <v>244.8570112</v>
      </c>
      <c r="Y2" s="18">
        <f>Pipeline!T46</f>
        <v>97.94280448</v>
      </c>
      <c r="Z2" s="18">
        <f>Pipeline!U46</f>
        <v>39.177121792</v>
      </c>
      <c r="AA2" s="18">
        <f>Pipeline!V46</f>
        <v>15.670848716800002</v>
      </c>
      <c r="AB2" s="18">
        <f>Pipeline!W46</f>
        <v>6.26833948672</v>
      </c>
      <c r="AC2" s="18">
        <f>Pipeline!X46</f>
        <v>2.5073357946880006</v>
      </c>
      <c r="AD2" s="18">
        <f>Pipeline!Y46</f>
        <v>1.0029343178752002</v>
      </c>
      <c r="AE2" s="18">
        <f>Pipeline!Z46</f>
        <v>0.40117372715008004</v>
      </c>
    </row>
    <row r="3" customFormat="1" s="1">
      <c r="A3" s="5" t="inlineStr">
        <is>
          <t>Cost of Sales</t>
        </is>
      </c>
      <c r="B3" s="18" t="n">
        <v>0</v>
      </c>
      <c r="C3" s="18" t="n">
        <v>1.704</v>
      </c>
      <c r="D3" s="18" t="n">
        <v>2.881</v>
      </c>
      <c r="E3" s="18" t="n">
        <v>4.165</v>
      </c>
      <c r="F3" s="18" t="n">
        <v>6.345</v>
      </c>
      <c r="G3" s="18">
        <f>SUM('Quarterly Model'!F3:I3)</f>
        <v>12.715</v>
      </c>
      <c r="H3" s="18">
        <f>Pipeline!C47</f>
        <v>21.203519999999997</v>
      </c>
      <c r="I3" s="18">
        <f>Pipeline!D47</f>
        <v>31.247639999999997</v>
      </c>
      <c r="J3" s="18">
        <f>Pipeline!E47</f>
        <v>42.46175999999999</v>
      </c>
      <c r="K3" s="18">
        <f>Pipeline!F47</f>
        <v>54.36888</v>
      </c>
      <c r="L3" s="18">
        <f>Pipeline!G47</f>
        <v>72.1345</v>
      </c>
      <c r="M3" s="18">
        <f>Pipeline!H47</f>
        <v>85.4155</v>
      </c>
      <c r="N3" s="18">
        <f>Pipeline!I47</f>
        <v>100.86749999999999</v>
      </c>
      <c r="O3" s="18">
        <f>Pipeline!J47</f>
        <v>114.47359999999999</v>
      </c>
      <c r="P3" s="18">
        <f>Pipeline!K47</f>
        <v>125.7997</v>
      </c>
      <c r="Q3" s="18">
        <f>Pipeline!L47</f>
        <v>133.1202</v>
      </c>
      <c r="R3" s="18">
        <f>Pipeline!M47</f>
        <v>92.27199999999999</v>
      </c>
      <c r="S3" s="18">
        <f>Pipeline!N47</f>
        <v>74.1928</v>
      </c>
      <c r="T3" s="18">
        <f>Pipeline!O47</f>
        <v>66.96112</v>
      </c>
      <c r="U3" s="18">
        <f>Pipeline!P47</f>
        <v>64.068448</v>
      </c>
      <c r="V3" s="18">
        <f>Pipeline!Q47</f>
        <v>62.9113792</v>
      </c>
      <c r="W3" s="18">
        <f>Pipeline!R47</f>
        <v>40.608551680000005</v>
      </c>
      <c r="X3" s="18">
        <f>Pipeline!S47</f>
        <v>31.687420672000002</v>
      </c>
      <c r="Y3" s="18">
        <f>Pipeline!T47</f>
        <v>12.6749682688</v>
      </c>
      <c r="Z3" s="18">
        <f>Pipeline!U47</f>
        <v>5.06998730752</v>
      </c>
      <c r="AA3" s="18">
        <f>Pipeline!V47</f>
        <v>2.0279949230080003</v>
      </c>
      <c r="AB3" s="18">
        <f>Pipeline!W47</f>
        <v>0.8111979692032001</v>
      </c>
      <c r="AC3" s="18">
        <f>Pipeline!X47</f>
        <v>0.3244791876812801</v>
      </c>
      <c r="AD3" s="18">
        <f>Pipeline!Y47</f>
        <v>0.12979167507251205</v>
      </c>
      <c r="AE3" s="18">
        <f>Pipeline!Z47</f>
        <v>0.05191667002900481</v>
      </c>
    </row>
    <row r="4" customFormat="1" s="1">
      <c r="A4" s="5" t="inlineStr">
        <is>
          <t>Gross Margin</t>
        </is>
      </c>
      <c r="B4" s="18">
        <f>B2-B3</f>
        <v>0.0</v>
      </c>
      <c r="C4" s="18">
        <f>C2-C3</f>
        <v>12.536</v>
      </c>
      <c r="D4" s="18">
        <f>D2-D3</f>
        <v>23.942</v>
      </c>
      <c r="E4" s="18">
        <f>E2-E3</f>
        <v>32.333</v>
      </c>
      <c r="F4" s="18">
        <f>F2-F3</f>
        <v>47.683</v>
      </c>
      <c r="G4" s="18">
        <f>G2-G3</f>
        <v>192.775</v>
      </c>
      <c r="H4" s="18">
        <f>H2-H3</f>
        <v>332.18848</v>
      </c>
      <c r="I4" s="18">
        <f>I2-I3</f>
        <v>489.54636</v>
      </c>
      <c r="J4" s="18">
        <f>J2-J3</f>
        <v>665.2342399999999</v>
      </c>
      <c r="K4" s="18">
        <f>K2-K3</f>
        <v>851.7791199999999</v>
      </c>
      <c r="L4" s="18">
        <f>L2-L3</f>
        <v>1074.3404999999998</v>
      </c>
      <c r="M4" s="18">
        <f>M2-M3</f>
        <v>1198.7595</v>
      </c>
      <c r="N4" s="18">
        <f>N2-N3</f>
        <v>1329.3075</v>
      </c>
      <c r="O4" s="18">
        <f>O2-O3</f>
        <v>1430.9364</v>
      </c>
      <c r="P4" s="18">
        <f>P2-P3</f>
        <v>1513.5753</v>
      </c>
      <c r="Q4" s="18">
        <f>Q2-Q3</f>
        <v>1566.9198000000001</v>
      </c>
      <c r="R4" s="18">
        <f>R2-R3</f>
        <v>887.9280000000001</v>
      </c>
      <c r="S4" s="18">
        <f>S2-S3</f>
        <v>604.6872</v>
      </c>
      <c r="T4" s="18">
        <f>T2-T3</f>
        <v>491.39088</v>
      </c>
      <c r="U4" s="18">
        <f>U2-U3</f>
        <v>446.072352</v>
      </c>
      <c r="V4" s="18">
        <f>V2-V3</f>
        <v>427.9449408</v>
      </c>
      <c r="W4" s="18">
        <f>W2-W3</f>
        <v>274.53397631999997</v>
      </c>
      <c r="X4" s="18">
        <f>X2-X3</f>
        <v>213.169590528</v>
      </c>
      <c r="Y4" s="18">
        <f>Y2-Y3</f>
        <v>85.2678362112</v>
      </c>
      <c r="Z4" s="18">
        <f>Z2-Z3</f>
        <v>34.10713448448</v>
      </c>
      <c r="AA4" s="18">
        <f>AA2-AA3</f>
        <v>13.642853793792002</v>
      </c>
      <c r="AB4" s="18">
        <f>AB2-AB3</f>
        <v>5.4571415175168</v>
      </c>
      <c r="AC4" s="18">
        <f>AC2-AC3</f>
        <v>2.1828566070067206</v>
      </c>
      <c r="AD4" s="18">
        <f>AD2-AD3</f>
        <v>0.873142642802688</v>
      </c>
      <c r="AE4" s="18">
        <f>AE2-AE3</f>
        <v>0.34925705712107524</v>
      </c>
    </row>
    <row r="5">
      <c r="A5" s="2" t="inlineStr">
        <is>
          <t>Research &amp; Dev.</t>
        </is>
      </c>
      <c r="B5" s="18" t="n">
        <v>256.973</v>
      </c>
      <c r="C5" s="18" t="n">
        <v>279.91</v>
      </c>
      <c r="D5" s="18" t="n">
        <v>295.526</v>
      </c>
      <c r="E5" s="18" t="n">
        <v>301.286</v>
      </c>
      <c r="F5" s="18" t="n">
        <v>339.535</v>
      </c>
      <c r="G5" s="18">
        <f>SUM('Quarterly Model'!F5:I5)</f>
        <v>343.902</v>
      </c>
      <c r="H5" s="18">
        <f>Pipeline!C50</f>
        <v>265.0</v>
      </c>
      <c r="I5" s="18">
        <f>Pipeline!D50</f>
        <v>315.4</v>
      </c>
      <c r="J5" s="18">
        <f>Pipeline!E50</f>
        <v>335.962</v>
      </c>
      <c r="K5" s="18">
        <f>Pipeline!F50</f>
        <v>242.19086</v>
      </c>
      <c r="L5" s="18">
        <f>Pipeline!G50</f>
        <v>229.295</v>
      </c>
      <c r="M5" s="18">
        <f>Pipeline!H50</f>
        <v>256.835</v>
      </c>
      <c r="N5" s="18">
        <f>Pipeline!I50</f>
        <v>286.035</v>
      </c>
      <c r="O5" s="18">
        <f>Pipeline!J50</f>
        <v>309.08200000000005</v>
      </c>
      <c r="P5" s="18">
        <f>Pipeline!K50</f>
        <v>327.875</v>
      </c>
      <c r="Q5" s="18">
        <f>Pipeline!L50</f>
        <v>340.00800000000004</v>
      </c>
      <c r="R5" s="18">
        <f>Pipeline!M50</f>
        <v>241.904948281942</v>
      </c>
      <c r="S5" s="18">
        <f>Pipeline!N50</f>
        <v>135.776</v>
      </c>
      <c r="T5" s="18">
        <f>Pipeline!O50</f>
        <v>111.6704</v>
      </c>
      <c r="U5" s="18">
        <f>Pipeline!P50</f>
        <v>102.02816000000001</v>
      </c>
      <c r="V5" s="18">
        <f>Pipeline!Q50</f>
        <v>98.17126400000001</v>
      </c>
      <c r="W5" s="18">
        <f>Pipeline!R50</f>
        <v>63.028505599999995</v>
      </c>
      <c r="X5" s="18">
        <f>Pipeline!S50</f>
        <v>48.97140224</v>
      </c>
      <c r="Y5" s="18">
        <f>Pipeline!T50</f>
        <v>19.588560896000004</v>
      </c>
      <c r="Z5" s="18">
        <f>Pipeline!U50</f>
        <v>7.835424358400001</v>
      </c>
      <c r="AA5" s="18">
        <f>Pipeline!V50</f>
        <v>3.1341697433600006</v>
      </c>
      <c r="AB5" s="18">
        <f>Pipeline!W50</f>
        <v>1.253667897344</v>
      </c>
      <c r="AC5" s="18">
        <f>Pipeline!X50</f>
        <v>0.5014671589376002</v>
      </c>
      <c r="AD5" s="18">
        <f>Pipeline!Y50</f>
        <v>0.20058686357504005</v>
      </c>
      <c r="AE5" s="18">
        <f>Pipeline!Z50</f>
        <v>0.08023474543001602</v>
      </c>
    </row>
    <row r="6">
      <c r="A6" s="2" t="inlineStr">
        <is>
          <t>General &amp; Admin</t>
        </is>
      </c>
      <c r="B6" s="18" t="n">
        <v>121.445</v>
      </c>
      <c r="C6" s="18" t="n">
        <v>121.673</v>
      </c>
      <c r="D6" s="18" t="n">
        <v>119.903</v>
      </c>
      <c r="E6" s="18" t="n">
        <v>156.784</v>
      </c>
      <c r="F6" s="18" t="n">
        <v>180.28</v>
      </c>
      <c r="G6" s="18">
        <f>SUM('Quarterly Model'!F6:I6)</f>
        <v>214.851</v>
      </c>
      <c r="H6" s="18">
        <f>Pipeline!C53</f>
        <v>278.0156</v>
      </c>
      <c r="I6" s="18">
        <f>Pipeline!D53</f>
        <v>295.0426</v>
      </c>
      <c r="J6" s="18">
        <f>Pipeline!E53</f>
        <v>318.61571999999995</v>
      </c>
      <c r="K6" s="18">
        <f>Pipeline!F53</f>
        <v>380.23724000000004</v>
      </c>
      <c r="L6" s="18">
        <f>Pipeline!G53</f>
        <v>450.59274999999997</v>
      </c>
      <c r="M6" s="18">
        <f>Pipeline!H53</f>
        <v>493.1075000000001</v>
      </c>
      <c r="N6" s="18">
        <f>Pipeline!I53</f>
        <v>538.0815</v>
      </c>
      <c r="O6" s="18">
        <f>Pipeline!J53</f>
        <v>565.4838000000001</v>
      </c>
      <c r="P6" s="18">
        <f>Pipeline!K53</f>
        <v>593.37925</v>
      </c>
      <c r="Q6" s="18">
        <f>Pipeline!L53</f>
        <v>617.241</v>
      </c>
      <c r="R6" s="18">
        <f>Pipeline!M53</f>
        <v>366.97</v>
      </c>
      <c r="S6" s="18">
        <f>Pipeline!N53</f>
        <v>261.50800000000004</v>
      </c>
      <c r="T6" s="18">
        <f>Pipeline!O53</f>
        <v>219.32319999999999</v>
      </c>
      <c r="U6" s="18">
        <f>Pipeline!P53</f>
        <v>202.44928000000002</v>
      </c>
      <c r="V6" s="18">
        <f>Pipeline!Q53</f>
        <v>195.699712</v>
      </c>
      <c r="W6" s="18">
        <f>Pipeline!R53</f>
        <v>125.79988479999999</v>
      </c>
      <c r="X6" s="18">
        <f>Pipeline!S53</f>
        <v>97.83995392</v>
      </c>
      <c r="Y6" s="18">
        <f>Pipeline!T53</f>
        <v>39.135981568000005</v>
      </c>
      <c r="Z6" s="18">
        <f>Pipeline!U53</f>
        <v>15.6543926272</v>
      </c>
      <c r="AA6" s="18">
        <f>Pipeline!V53</f>
        <v>6.261757050880001</v>
      </c>
      <c r="AB6" s="18">
        <f>Pipeline!W53</f>
        <v>2.5047028203520005</v>
      </c>
      <c r="AC6" s="18">
        <f>Pipeline!X53</f>
        <v>1.0018811281408002</v>
      </c>
      <c r="AD6" s="18">
        <f>Pipeline!Y53</f>
        <v>0.4007524512563201</v>
      </c>
      <c r="AE6" s="18">
        <f>Pipeline!Z53</f>
        <v>0.16030098050252806</v>
      </c>
    </row>
    <row r="7">
      <c r="A7" s="2" t="inlineStr">
        <is>
          <t>Operating Expense</t>
        </is>
      </c>
      <c r="B7" s="18">
        <f>SUM(B5:B6)</f>
        <v>378.418</v>
      </c>
      <c r="C7" s="18">
        <f>SUM(C5:C6)</f>
        <v>401.583</v>
      </c>
      <c r="D7" s="18">
        <f>SUM(D5:D6)</f>
        <v>415.42900000000003</v>
      </c>
      <c r="E7" s="18">
        <f>SUM(E5:E6)</f>
        <v>458.07</v>
      </c>
      <c r="F7" s="18">
        <f>SUM(F5:F6)</f>
        <v>519.815</v>
      </c>
      <c r="G7" s="18">
        <f>SUM(G5:G6)</f>
        <v>558.7529999999999</v>
      </c>
      <c r="H7" s="18">
        <f>SUM(H5:H6)</f>
        <v>543.0156</v>
      </c>
      <c r="I7" s="18">
        <f>SUM(I5:I6)</f>
        <v>610.4426</v>
      </c>
      <c r="J7" s="18">
        <f>SUM(J5:J6)</f>
        <v>654.57772</v>
      </c>
      <c r="K7" s="18">
        <f>SUM(K5:K6)</f>
        <v>622.4281000000001</v>
      </c>
      <c r="L7" s="18">
        <f>SUM(L5:L6)</f>
        <v>679.88775</v>
      </c>
      <c r="M7" s="18">
        <f>SUM(M5:M6)</f>
        <v>749.9425000000001</v>
      </c>
      <c r="N7" s="18">
        <f>SUM(N5:N6)</f>
        <v>824.1165000000001</v>
      </c>
      <c r="O7" s="18">
        <f>SUM(O5:O6)</f>
        <v>874.5658000000001</v>
      </c>
      <c r="P7" s="18">
        <f>SUM(P5:P6)</f>
        <v>921.25425</v>
      </c>
      <c r="Q7" s="18">
        <f>SUM(Q5:Q6)</f>
        <v>957.249</v>
      </c>
      <c r="R7" s="18">
        <f>SUM(R5:R6)</f>
        <v>608.874948281942</v>
      </c>
      <c r="S7" s="18">
        <f>SUM(S5:S6)</f>
        <v>397.28400000000005</v>
      </c>
      <c r="T7" s="18">
        <f>SUM(T5:T6)</f>
        <v>330.9936</v>
      </c>
      <c r="U7" s="18">
        <f>SUM(U5:U6)</f>
        <v>304.47744</v>
      </c>
      <c r="V7" s="18">
        <f>SUM(V5:V6)</f>
        <v>293.87097600000004</v>
      </c>
      <c r="W7" s="18">
        <f>SUM(W5:W6)</f>
        <v>188.8283904</v>
      </c>
      <c r="X7" s="18">
        <f>SUM(X5:X6)</f>
        <v>146.81135616</v>
      </c>
      <c r="Y7" s="18">
        <f>SUM(Y5:Y6)</f>
        <v>58.72454246400001</v>
      </c>
      <c r="Z7" s="18">
        <f>SUM(Z5:Z6)</f>
        <v>23.4898169856</v>
      </c>
      <c r="AA7" s="18">
        <f>SUM(AA5:AA6)</f>
        <v>9.395926794240001</v>
      </c>
      <c r="AB7" s="18">
        <f>SUM(AB5:AB6)</f>
        <v>3.7583707176960006</v>
      </c>
      <c r="AC7" s="18">
        <f>SUM(AC5:AC6)</f>
        <v>1.5033482870784005</v>
      </c>
      <c r="AD7" s="18">
        <f>SUM(AD5:AD6)</f>
        <v>0.6013393148313602</v>
      </c>
      <c r="AE7" s="18">
        <f>SUM(AE5:AE6)</f>
        <v>0.24053572593254408</v>
      </c>
    </row>
    <row r="8">
      <c r="A8" s="2" t="inlineStr">
        <is>
          <t>Operating Income</t>
        </is>
      </c>
      <c r="B8" s="18">
        <f>B4-B7</f>
        <v>-378.418</v>
      </c>
      <c r="C8" s="18">
        <f>C4-C7</f>
        <v>-389.047</v>
      </c>
      <c r="D8" s="18">
        <f>D4-D7</f>
        <v>-391.487</v>
      </c>
      <c r="E8" s="18">
        <f>E4-E7</f>
        <v>-425.73699999999997</v>
      </c>
      <c r="F8" s="18">
        <f>F4-F7</f>
        <v>-472.13200000000006</v>
      </c>
      <c r="G8" s="18">
        <f>G4-G7</f>
        <v>-365.97799999999995</v>
      </c>
      <c r="H8" s="18">
        <f>H4-H7</f>
        <v>-210.82711999999992</v>
      </c>
      <c r="I8" s="18">
        <f>I4-I7</f>
        <v>-120.89623999999998</v>
      </c>
      <c r="J8" s="18">
        <f>J4-J7</f>
        <v>10.656519999999887</v>
      </c>
      <c r="K8" s="18">
        <f>K4-K7</f>
        <v>229.35101999999983</v>
      </c>
      <c r="L8" s="18">
        <f>L4-L7</f>
        <v>394.4527499999998</v>
      </c>
      <c r="M8" s="18">
        <f>M4-M7</f>
        <v>448.8169999999998</v>
      </c>
      <c r="N8" s="18">
        <f>N4-N7</f>
        <v>505.1909999999998</v>
      </c>
      <c r="O8" s="18">
        <f>O4-O7</f>
        <v>556.3706</v>
      </c>
      <c r="P8" s="18">
        <f>P4-P7</f>
        <v>592.32105</v>
      </c>
      <c r="Q8" s="18">
        <f>Q4-Q7</f>
        <v>609.6708000000001</v>
      </c>
      <c r="R8" s="18">
        <f>R4-R7</f>
        <v>279.0530517180581</v>
      </c>
      <c r="S8" s="18">
        <f>S4-S7</f>
        <v>207.4031999999999</v>
      </c>
      <c r="T8" s="18">
        <f>T4-T7</f>
        <v>160.39727999999997</v>
      </c>
      <c r="U8" s="18">
        <f>U4-U7</f>
        <v>141.59491200000002</v>
      </c>
      <c r="V8" s="18">
        <f>V4-V7</f>
        <v>134.07396479999994</v>
      </c>
      <c r="W8" s="18">
        <f>W4-W7</f>
        <v>85.70558591999998</v>
      </c>
      <c r="X8" s="18">
        <f>X4-X7</f>
        <v>66.35823436799998</v>
      </c>
      <c r="Y8" s="18">
        <f>Y4-Y7</f>
        <v>26.543293747199996</v>
      </c>
      <c r="Z8" s="18">
        <f>Z4-Z7</f>
        <v>10.617317498879999</v>
      </c>
      <c r="AA8" s="18">
        <f>AA4-AA7</f>
        <v>4.2469269995520005</v>
      </c>
      <c r="AB8" s="18">
        <f>AB4-AB7</f>
        <v>1.6987707998207995</v>
      </c>
      <c r="AC8" s="18">
        <f>AC4-AC7</f>
        <v>0.6795083199283201</v>
      </c>
      <c r="AD8" s="18">
        <f>AD4-AD7</f>
        <v>0.2718033279713279</v>
      </c>
      <c r="AE8" s="18">
        <f>AE4-AE7</f>
        <v>0.10872133118853117</v>
      </c>
    </row>
    <row r="9">
      <c r="A9" s="19" t="inlineStr">
        <is>
          <t>Interest &amp; Other</t>
        </is>
      </c>
      <c r="B9" s="18" t="n">
        <v>1983.418</v>
      </c>
      <c r="C9" s="18" t="n">
        <v>157.047</v>
      </c>
      <c r="D9" s="18" t="n">
        <v>39.487</v>
      </c>
      <c r="E9" s="18" t="n">
        <v>1143.981</v>
      </c>
      <c r="F9" s="18" t="n">
        <v>58.116</v>
      </c>
      <c r="G9" s="18">
        <f>SUM('Quarterly Model'!F9:I9)</f>
        <v>38.21905549804688</v>
      </c>
      <c r="H9" s="18">
        <f>Assumptions!$B$16*MAX(0,G20)-Assumptions!$B$17*Main!$C$8</f>
        <v>31.38311458117676</v>
      </c>
      <c r="I9" s="18">
        <f>Assumptions!$B$16*MAX(0,H20)-Assumptions!$B$17*Main!$C$8</f>
        <v>24.65396437797089</v>
      </c>
      <c r="J9" s="18">
        <f>Assumptions!$B$16*MAX(0,I20)-Assumptions!$B$17*Main!$C$8</f>
        <v>21.0448790421448</v>
      </c>
      <c r="K9" s="18">
        <f>Assumptions!$B$16*MAX(0,J20)-Assumptions!$B$17*Main!$C$8</f>
        <v>22.233681506225224</v>
      </c>
      <c r="L9" s="18">
        <f>Assumptions!$B$16*MAX(0,K20)-Assumptions!$B$17*Main!$C$8</f>
        <v>31.668107812708666</v>
      </c>
      <c r="M9" s="18">
        <f>Assumptions!$B$16*MAX(0,L20)-Assumptions!$B$17*Main!$C$8</f>
        <v>47.647639980685234</v>
      </c>
      <c r="N9" s="18">
        <f>Assumptions!$B$16*MAX(0,M20)-Assumptions!$B$17*Main!$C$8</f>
        <v>66.24595629416912</v>
      </c>
      <c r="O9" s="18">
        <f>Assumptions!$B$16*MAX(0,N20)-Assumptions!$B$17*Main!$C$8</f>
        <v>83.17477612438388</v>
      </c>
      <c r="P9" s="18">
        <f>Assumptions!$B$16*MAX(0,O20)-Assumptions!$B$17*Main!$C$8</f>
        <v>102.12130789206876</v>
      </c>
      <c r="Q9" s="18">
        <f>Assumptions!$B$16*MAX(0,P20)-Assumptions!$B$17*Main!$C$8</f>
        <v>122.69416274462128</v>
      </c>
      <c r="R9" s="18">
        <f>Assumptions!$B$16*MAX(0,Q20)-Assumptions!$B$17*Main!$C$8</f>
        <v>144.3904747659307</v>
      </c>
      <c r="S9" s="18">
        <f>Assumptions!$B$16*MAX(0,R20)-Assumptions!$B$17*Main!$C$8</f>
        <v>156.93498923801886</v>
      </c>
      <c r="T9" s="18">
        <f>Assumptions!$B$16*MAX(0,S20)-Assumptions!$B$17*Main!$C$8</f>
        <v>167.72850809419518</v>
      </c>
      <c r="U9" s="18">
        <f>Assumptions!$B$16*MAX(0,T20)-Assumptions!$B$17*Main!$C$8</f>
        <v>177.4492345664857</v>
      </c>
      <c r="V9" s="18">
        <f>Assumptions!$B$16*MAX(0,U20)-Assumptions!$B$17*Main!$C$8</f>
        <v>186.90091740851784</v>
      </c>
      <c r="W9" s="18">
        <f>Assumptions!$B$16*MAX(0,V20)-Assumptions!$B$17*Main!$C$8</f>
        <v>196.4097982939452</v>
      </c>
      <c r="X9" s="18">
        <f>Assumptions!$B$16*MAX(0,W20)-Assumptions!$B$17*Main!$C$8</f>
        <v>204.76746655128332</v>
      </c>
      <c r="Y9" s="18">
        <f>Assumptions!$B$16*MAX(0,X20)-Assumptions!$B$17*Main!$C$8</f>
        <v>212.79956544101708</v>
      </c>
      <c r="Z9" s="18">
        <f>Assumptions!$B$16*MAX(0,Y20)-Assumptions!$B$17*Main!$C$8</f>
        <v>219.890097644468</v>
      </c>
      <c r="AA9" s="18">
        <f>Assumptions!$B$16*MAX(0,Z20)-Assumptions!$B$17*Main!$C$8</f>
        <v>226.7188798180897</v>
      </c>
      <c r="AB9" s="18">
        <f>Assumptions!$B$16*MAX(0,AA20)-Assumptions!$B$17*Main!$C$8</f>
        <v>233.56124184506234</v>
      </c>
      <c r="AC9" s="18">
        <f>Assumptions!$B$16*MAX(0,AB20)-Assumptions!$B$17*Main!$C$8</f>
        <v>240.53081971966697</v>
      </c>
      <c r="AD9" s="18">
        <f>Assumptions!$B$16*MAX(0,AC20)-Assumptions!$B$17*Main!$C$8</f>
        <v>247.67667568784</v>
      </c>
      <c r="AE9" s="18">
        <f>Assumptions!$B$16*MAX(0,AD20)-Assumptions!$B$17*Main!$C$8</f>
        <v>255.02214937868342</v>
      </c>
    </row>
    <row r="10">
      <c r="A10" s="2" t="inlineStr">
        <is>
          <t>Pretax</t>
        </is>
      </c>
      <c r="B10" s="18">
        <f>B8+B9</f>
        <v>1605.0</v>
      </c>
      <c r="C10" s="18">
        <f>C8+C9</f>
        <v>-232.00000000000003</v>
      </c>
      <c r="D10" s="18">
        <f>D8+D9</f>
        <v>-352.0</v>
      </c>
      <c r="E10" s="18">
        <f>E8+E9</f>
        <v>718.244</v>
      </c>
      <c r="F10" s="18">
        <f>F8+F9</f>
        <v>-414.0160000000001</v>
      </c>
      <c r="G10" s="18">
        <f>G8+G9</f>
        <v>-327.75894450195307</v>
      </c>
      <c r="H10" s="18">
        <f>H8+H9</f>
        <v>-179.44400541882317</v>
      </c>
      <c r="I10" s="18">
        <f>I8+I9</f>
        <v>-96.24227562202908</v>
      </c>
      <c r="J10" s="18">
        <f>J8+J9</f>
        <v>31.701399042144686</v>
      </c>
      <c r="K10" s="18">
        <f>K8+K9</f>
        <v>251.58470150622506</v>
      </c>
      <c r="L10" s="18">
        <f>L8+L9</f>
        <v>426.1208578127085</v>
      </c>
      <c r="M10" s="18">
        <f>M8+M9</f>
        <v>496.46463998068504</v>
      </c>
      <c r="N10" s="18">
        <f>N8+N9</f>
        <v>571.4369562941689</v>
      </c>
      <c r="O10" s="18">
        <f>O8+O9</f>
        <v>639.5453761243839</v>
      </c>
      <c r="P10" s="18">
        <f>P8+P9</f>
        <v>694.4423578920688</v>
      </c>
      <c r="Q10" s="18">
        <f>Q8+Q9</f>
        <v>732.3649627446214</v>
      </c>
      <c r="R10" s="18">
        <f>R8+R9</f>
        <v>423.44352648398876</v>
      </c>
      <c r="S10" s="18">
        <f>S8+S9</f>
        <v>364.3381892380188</v>
      </c>
      <c r="T10" s="18">
        <f>T8+T9</f>
        <v>328.1257880941952</v>
      </c>
      <c r="U10" s="18">
        <f>U8+U9</f>
        <v>319.0441465664857</v>
      </c>
      <c r="V10" s="18">
        <f>V8+V9</f>
        <v>320.9748822085178</v>
      </c>
      <c r="W10" s="18">
        <f>W8+W9</f>
        <v>282.11538421394516</v>
      </c>
      <c r="X10" s="18">
        <f>X8+X9</f>
        <v>271.1257009192833</v>
      </c>
      <c r="Y10" s="18">
        <f>Y8+Y9</f>
        <v>239.34285918821706</v>
      </c>
      <c r="Z10" s="18">
        <f>Z8+Z9</f>
        <v>230.507415143348</v>
      </c>
      <c r="AA10" s="18">
        <f>AA8+AA9</f>
        <v>230.9658068176417</v>
      </c>
      <c r="AB10" s="18">
        <f>AB8+AB9</f>
        <v>235.26001264488315</v>
      </c>
      <c r="AC10" s="18">
        <f>AC8+AC9</f>
        <v>241.21032803959528</v>
      </c>
      <c r="AD10" s="18">
        <f>AD8+AD9</f>
        <v>247.94847901581133</v>
      </c>
      <c r="AE10" s="18">
        <f>AE8+AE9</f>
        <v>255.13087070987194</v>
      </c>
    </row>
    <row r="11">
      <c r="A11" s="2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44.244</v>
      </c>
      <c r="F11" s="18" t="n">
        <v>-1.016</v>
      </c>
      <c r="G11" s="18">
        <f>SUM('Quarterly Model'!F11:I11)</f>
        <v>0.0</v>
      </c>
      <c r="H11" s="18">
        <f>MAX(0,H10-G21)*Assumptions!$B$15</f>
        <v>0.0</v>
      </c>
      <c r="I11" s="18">
        <f>MAX(0,I10-H21)*Assumptions!$B$15</f>
        <v>0.0</v>
      </c>
      <c r="J11" s="18">
        <f>MAX(0,J10-I21)*Assumptions!$B$15</f>
        <v>0.0</v>
      </c>
      <c r="K11" s="18">
        <f>MAX(0,K10-J21)*Assumptions!$B$15</f>
        <v>0.0</v>
      </c>
      <c r="L11" s="18">
        <f>MAX(0,L10-K21)*Assumptions!$B$15</f>
        <v>0.0</v>
      </c>
      <c r="M11" s="18">
        <f>MAX(0,M10-L21)*Assumptions!$B$15</f>
        <v>0.5095382877811857</v>
      </c>
      <c r="N11" s="18">
        <f>MAX(0,N10-M21)*Assumptions!$B$15</f>
        <v>120.00176082177546</v>
      </c>
      <c r="O11" s="18">
        <f>MAX(0,O10-N21)*Assumptions!$B$15</f>
        <v>134.3045289861206</v>
      </c>
      <c r="P11" s="18">
        <f>MAX(0,P10-O21)*Assumptions!$B$15</f>
        <v>145.83289515733443</v>
      </c>
      <c r="Q11" s="18">
        <f>MAX(0,Q10-P21)*Assumptions!$B$15</f>
        <v>153.79664217637048</v>
      </c>
      <c r="R11" s="18">
        <f>MAX(0,R10-Q21)*Assumptions!$B$15</f>
        <v>88.92314056163764</v>
      </c>
      <c r="S11" s="18">
        <f>MAX(0,S10-R21)*Assumptions!$B$15</f>
        <v>76.51101973998395</v>
      </c>
      <c r="T11" s="18">
        <f>MAX(0,T10-S21)*Assumptions!$B$15</f>
        <v>68.90641549978099</v>
      </c>
      <c r="U11" s="18">
        <f>MAX(0,U10-T21)*Assumptions!$B$15</f>
        <v>66.999270778962</v>
      </c>
      <c r="V11" s="18">
        <f>MAX(0,V10-U21)*Assumptions!$B$15</f>
        <v>67.40472526378873</v>
      </c>
      <c r="W11" s="18">
        <f>MAX(0,W10-V21)*Assumptions!$B$15</f>
        <v>59.24423068492848</v>
      </c>
      <c r="X11" s="18">
        <f>MAX(0,X10-W21)*Assumptions!$B$15</f>
        <v>56.936397193049494</v>
      </c>
      <c r="Y11" s="18">
        <f>MAX(0,Y10-X21)*Assumptions!$B$15</f>
        <v>50.26200042952558</v>
      </c>
      <c r="Z11" s="18">
        <f>MAX(0,Z10-Y21)*Assumptions!$B$15</f>
        <v>48.40655718010308</v>
      </c>
      <c r="AA11" s="18">
        <f>MAX(0,AA10-Z21)*Assumptions!$B$15</f>
        <v>48.50281943170475</v>
      </c>
      <c r="AB11" s="18">
        <f>MAX(0,AB10-AA21)*Assumptions!$B$15</f>
        <v>49.40460265542546</v>
      </c>
      <c r="AC11" s="18">
        <f>MAX(0,AC10-AB21)*Assumptions!$B$15</f>
        <v>50.654168888315006</v>
      </c>
      <c r="AD11" s="18">
        <f>MAX(0,AD10-AC21)*Assumptions!$B$15</f>
        <v>52.069180593320375</v>
      </c>
      <c r="AE11" s="18">
        <f>MAX(0,AE10-AD21)*Assumptions!$B$15</f>
        <v>53.57748284907311</v>
      </c>
    </row>
    <row r="12">
      <c r="A12" s="2" t="inlineStr">
        <is>
          <t>Net Income</t>
        </is>
      </c>
      <c r="B12" s="18" t="n">
        <v>1605</v>
      </c>
      <c r="C12" s="18" t="n">
        <v>-232</v>
      </c>
      <c r="D12" s="18" t="n">
        <v>-352</v>
      </c>
      <c r="E12" s="18" t="n">
        <v>674</v>
      </c>
      <c r="F12" s="18" t="n">
        <v>-413</v>
      </c>
      <c r="G12" s="18">
        <f>G10-G11</f>
        <v>-327.75894450195307</v>
      </c>
      <c r="H12" s="18">
        <f>H10-H11</f>
        <v>-179.44400541882317</v>
      </c>
      <c r="I12" s="18">
        <f>I10-I11</f>
        <v>-96.24227562202908</v>
      </c>
      <c r="J12" s="18">
        <f>J10-J11</f>
        <v>31.701399042144686</v>
      </c>
      <c r="K12" s="18">
        <f>K10-K11</f>
        <v>251.58470150622506</v>
      </c>
      <c r="L12" s="18">
        <f>L10-L11</f>
        <v>426.1208578127085</v>
      </c>
      <c r="M12" s="18">
        <f>M10-M11</f>
        <v>495.95510169290384</v>
      </c>
      <c r="N12" s="18">
        <f>N10-N11</f>
        <v>451.43519547239345</v>
      </c>
      <c r="O12" s="18">
        <f>O10-O11</f>
        <v>505.2408471382633</v>
      </c>
      <c r="P12" s="18">
        <f>P10-P11</f>
        <v>548.6094627347344</v>
      </c>
      <c r="Q12" s="18">
        <f>Q10-Q11</f>
        <v>578.5683205682509</v>
      </c>
      <c r="R12" s="18">
        <f>R10-R11</f>
        <v>334.5203859223511</v>
      </c>
      <c r="S12" s="18">
        <f>S10-S11</f>
        <v>287.82716949803483</v>
      </c>
      <c r="T12" s="18">
        <f>T10-T11</f>
        <v>259.21937259441415</v>
      </c>
      <c r="U12" s="18">
        <f>U10-U11</f>
        <v>252.04487578752372</v>
      </c>
      <c r="V12" s="18">
        <f>V10-V11</f>
        <v>253.57015694472904</v>
      </c>
      <c r="W12" s="18">
        <f>W10-W11</f>
        <v>222.87115352901668</v>
      </c>
      <c r="X12" s="18">
        <f>X10-X11</f>
        <v>214.18930372623382</v>
      </c>
      <c r="Y12" s="18">
        <f>Y10-Y11</f>
        <v>189.08085875869148</v>
      </c>
      <c r="Z12" s="18">
        <f>Z10-Z11</f>
        <v>182.10085796324492</v>
      </c>
      <c r="AA12" s="18">
        <f>AA10-AA11</f>
        <v>182.46298738593694</v>
      </c>
      <c r="AB12" s="18">
        <f>AB10-AB11</f>
        <v>185.85540998945768</v>
      </c>
      <c r="AC12" s="18">
        <f>AC10-AC11</f>
        <v>190.55615915128027</v>
      </c>
      <c r="AD12" s="18">
        <f>AD10-AD11</f>
        <v>195.87929842249096</v>
      </c>
      <c r="AE12" s="18">
        <f>AE10-AE11</f>
        <v>201.55338786079884</v>
      </c>
    </row>
    <row r="13">
      <c r="A13" s="2" t="inlineStr">
        <is>
          <t>Earnings per Share</t>
        </is>
      </c>
      <c r="B13" s="11">
        <f>IFERROR(B12/B14,0)</f>
        <v>26.55218621271527</v>
      </c>
      <c r="C13" s="11">
        <f>IFERROR(C12/C14,0)</f>
        <v>-4.234426618481812</v>
      </c>
      <c r="D13" s="11">
        <f>IFERROR(D12/D14,0)</f>
        <v>-6.325133420783094</v>
      </c>
      <c r="E13" s="11">
        <f>IFERROR(E12/E14,0)</f>
        <v>11.642971894487726</v>
      </c>
      <c r="F13" s="11">
        <f>IFERROR(F12/F14,0)</f>
        <v>-7.1241288898088735</v>
      </c>
      <c r="G13" s="11">
        <f>IFERROR(G12/G14,0)</f>
        <v>-5.508067683136415</v>
      </c>
      <c r="H13" s="11">
        <f>IFERROR(H12/H14,0)</f>
        <v>-3.005667483293461</v>
      </c>
      <c r="I13" s="11">
        <f>IFERROR(I12/I14,0)</f>
        <v>-1.6120476004764654</v>
      </c>
      <c r="J13" s="11">
        <f>IFERROR(J12/J14,0)</f>
        <v>0.5309949700102367</v>
      </c>
      <c r="K13" s="11">
        <f>IFERROR(K12/K14,0)</f>
        <v>4.214016260094197</v>
      </c>
      <c r="L13" s="11">
        <f>IFERROR(L12/L14,0)</f>
        <v>7.137477807026394</v>
      </c>
      <c r="M13" s="11">
        <f>IFERROR(M12/M14,0)</f>
        <v>8.307193761377638</v>
      </c>
      <c r="N13" s="11">
        <f>IFERROR(N12/N14,0)</f>
        <v>7.561490196781292</v>
      </c>
      <c r="O13" s="11">
        <f>IFERROR(O12/O14,0)</f>
        <v>8.46272898295339</v>
      </c>
      <c r="P13" s="11">
        <f>IFERROR(P12/P14,0)</f>
        <v>9.1891485553962</v>
      </c>
      <c r="Q13" s="11">
        <f>IFERROR(Q12/Q14,0)</f>
        <v>9.690956150565755</v>
      </c>
      <c r="R13" s="11">
        <f>IFERROR(R12/R14,0)</f>
        <v>5.603179911855227</v>
      </c>
      <c r="S13" s="11">
        <f>IFERROR(S12/S14,0)</f>
        <v>4.821073638818201</v>
      </c>
      <c r="T13" s="11">
        <f>IFERROR(T12/T14,0)</f>
        <v>4.341896166596794</v>
      </c>
      <c r="U13" s="11">
        <f>IFERROR(U12/U14,0)</f>
        <v>4.2217241290236664</v>
      </c>
      <c r="V13" s="11">
        <f>IFERROR(V12/V14,0)</f>
        <v>4.247272421742569</v>
      </c>
      <c r="W13" s="11">
        <f>IFERROR(W12/W14,0)</f>
        <v>3.733067468945396</v>
      </c>
      <c r="X13" s="11">
        <f>IFERROR(X12/X14,0)</f>
        <v>3.587647433396385</v>
      </c>
      <c r="Y13" s="11">
        <f>IFERROR(Y12/Y14,0)</f>
        <v>3.1670837237374108</v>
      </c>
      <c r="Z13" s="11">
        <f>IFERROR(Z12/Z14,0)</f>
        <v>3.0501694731037947</v>
      </c>
      <c r="AA13" s="11">
        <f>IFERROR(AA12/AA14,0)</f>
        <v>3.05623510136476</v>
      </c>
      <c r="AB13" s="11">
        <f>IFERROR(AB12/AB14,0)</f>
        <v>3.1130578092907975</v>
      </c>
      <c r="AC13" s="11">
        <f>IFERROR(AC12/AC14,0)</f>
        <v>3.1917948441102793</v>
      </c>
      <c r="AD13" s="11">
        <f>IFERROR(AD12/AD14,0)</f>
        <v>3.2809568452547437</v>
      </c>
      <c r="AE13" s="11">
        <f>IFERROR(AE12/AE14,0)</f>
        <v>3.375997223350494</v>
      </c>
    </row>
    <row r="14">
      <c r="A14" s="2" t="inlineStr">
        <is>
          <t>Shares</t>
        </is>
      </c>
      <c r="B14" s="18" t="n">
        <v>60.447</v>
      </c>
      <c r="C14" s="18" t="n">
        <v>54.789</v>
      </c>
      <c r="D14" s="18" t="n">
        <v>55.651</v>
      </c>
      <c r="E14" s="18" t="n">
        <v>57.889</v>
      </c>
      <c r="F14" s="18" t="n">
        <v>57.972</v>
      </c>
      <c r="G14" s="18">
        <f>AVERAGE('Quarterly Model'!F14:I14)</f>
        <v>59.50524999999999</v>
      </c>
      <c r="H14" s="18">
        <f>Main!$C$4*(1+Assumptions!$B$26)^(H1-2026)</f>
        <v>59.701882</v>
      </c>
      <c r="I14" s="18">
        <f>Main!$C$4*(1+Assumptions!$B$26)^(I1-2026)</f>
        <v>59.701882</v>
      </c>
      <c r="J14" s="18">
        <f>Main!$C$4*(1+Assumptions!$B$26)^(J1-2026)</f>
        <v>59.701882</v>
      </c>
      <c r="K14" s="18">
        <f>Main!$C$4*(1+Assumptions!$B$26)^(K1-2026)</f>
        <v>59.701882</v>
      </c>
      <c r="L14" s="18">
        <f>Main!$C$4*(1+Assumptions!$B$26)^(L1-2026)</f>
        <v>59.701882</v>
      </c>
      <c r="M14" s="18">
        <f>Main!$C$4*(1+Assumptions!$B$26)^(M1-2026)</f>
        <v>59.701882</v>
      </c>
      <c r="N14" s="18">
        <f>Main!$C$4*(1+Assumptions!$B$26)^(N1-2026)</f>
        <v>59.701882</v>
      </c>
      <c r="O14" s="18">
        <f>Main!$C$4*(1+Assumptions!$B$26)^(O1-2026)</f>
        <v>59.701882</v>
      </c>
      <c r="P14" s="18">
        <f>Main!$C$4*(1+Assumptions!$B$26)^(P1-2026)</f>
        <v>59.701882</v>
      </c>
      <c r="Q14" s="18">
        <f>Main!$C$4*(1+Assumptions!$B$26)^(Q1-2026)</f>
        <v>59.701882</v>
      </c>
      <c r="R14" s="18">
        <f>Main!$C$4*(1+Assumptions!$B$26)^(R1-2026)</f>
        <v>59.701882</v>
      </c>
      <c r="S14" s="18">
        <f>Main!$C$4*(1+Assumptions!$B$26)^(S1-2026)</f>
        <v>59.701882</v>
      </c>
      <c r="T14" s="18">
        <f>Main!$C$4*(1+Assumptions!$B$26)^(T1-2026)</f>
        <v>59.701882</v>
      </c>
      <c r="U14" s="18">
        <f>Main!$C$4*(1+Assumptions!$B$26)^(U1-2026)</f>
        <v>59.701882</v>
      </c>
      <c r="V14" s="18">
        <f>Main!$C$4*(1+Assumptions!$B$26)^(V1-2026)</f>
        <v>59.701882</v>
      </c>
      <c r="W14" s="18">
        <f>Main!$C$4*(1+Assumptions!$B$26)^(W1-2026)</f>
        <v>59.701882</v>
      </c>
      <c r="X14" s="18">
        <f>Main!$C$4*(1+Assumptions!$B$26)^(X1-2026)</f>
        <v>59.701882</v>
      </c>
      <c r="Y14" s="18">
        <f>Main!$C$4*(1+Assumptions!$B$26)^(Y1-2026)</f>
        <v>59.701882</v>
      </c>
      <c r="Z14" s="18">
        <f>Main!$C$4*(1+Assumptions!$B$26)^(Z1-2026)</f>
        <v>59.701882</v>
      </c>
      <c r="AA14" s="18">
        <f>Main!$C$4*(1+Assumptions!$B$26)^(AA1-2026)</f>
        <v>59.701882</v>
      </c>
      <c r="AB14" s="18">
        <f>Main!$C$4*(1+Assumptions!$B$26)^(AB1-2026)</f>
        <v>59.701882</v>
      </c>
      <c r="AC14" s="18">
        <f>Main!$C$4*(1+Assumptions!$B$26)^(AC1-2026)</f>
        <v>59.701882</v>
      </c>
      <c r="AD14" s="18">
        <f>Main!$C$4*(1+Assumptions!$B$26)^(AD1-2026)</f>
        <v>59.701882</v>
      </c>
      <c r="AE14" s="18">
        <f>Main!$C$4*(1+Assumptions!$B$26)^(AE1-2026)</f>
        <v>59.701882</v>
      </c>
    </row>
    <row r="15"/>
    <row r="16" customFormat="1" s="4">
      <c r="A16" s="3" t="inlineStr">
        <is>
          <t>Revenue Change</t>
        </is>
      </c>
      <c r="B16" s="4" t="n"/>
      <c r="C16" s="14">
        <f>IFERROR(C2/B2-1,"")</f>
        <v/>
      </c>
      <c r="D16" s="14">
        <f>IFERROR(D2/C2-1,"")</f>
        <v>0.8836376404494382</v>
      </c>
      <c r="E16" s="14">
        <f>IFERROR(E2/D2-1,"")</f>
        <v>0.3606979085113522</v>
      </c>
      <c r="F16" s="14">
        <f>IFERROR(F2/E2-1,"")</f>
        <v>0.4803002904268727</v>
      </c>
      <c r="G16" s="14">
        <f>IFERROR(G2/F2-1,"")</f>
        <v>2.8033982379506925</v>
      </c>
      <c r="H16" s="14">
        <f>IFERROR(H2/G2-1,"")</f>
        <v>0.7197527860236508</v>
      </c>
      <c r="I16" s="14">
        <f>IFERROR(I2/H2-1,"")</f>
        <v>0.47370059310906876</v>
      </c>
      <c r="J16" s="14">
        <f>IFERROR(J2/I2-1,"")</f>
        <v>0.35887894253774033</v>
      </c>
      <c r="K16" s="14">
        <f>IFERROR(K2/J2-1,"")</f>
        <v>0.2804198412877845</v>
      </c>
      <c r="L16" s="14">
        <f>IFERROR(L2/K2-1,"")</f>
        <v>0.26521826456605324</v>
      </c>
      <c r="M16" s="14">
        <f>IFERROR(M2/L2-1,"")</f>
        <v>0.12010728537473558</v>
      </c>
      <c r="N16" s="14">
        <f>IFERROR(N2/M2-1,"")</f>
        <v>0.11369166974906064</v>
      </c>
      <c r="O16" s="14">
        <f>IFERROR(O2/N2-1,"")</f>
        <v>0.08057405562256381</v>
      </c>
      <c r="P16" s="14">
        <f>IFERROR(P2/O2-1,"")</f>
        <v>0.06080263489947635</v>
      </c>
      <c r="Q16" s="14">
        <f>IFERROR(Q2/P2-1,"")</f>
        <v>0.03700495615707222</v>
      </c>
      <c r="R16" s="14">
        <f>IFERROR(R2/Q2-1,"")</f>
        <v>-0.4234253311686784</v>
      </c>
      <c r="S16" s="14">
        <f>IFERROR(S2/R2-1,"")</f>
        <v>-0.30740665170373394</v>
      </c>
      <c r="T16" s="14">
        <f>IFERROR(T2/S2-1,"")</f>
        <v>-0.17753947678529347</v>
      </c>
      <c r="U16" s="14">
        <f>IFERROR(U2/T2-1,"")</f>
        <v>-0.0863455311344814</v>
      </c>
      <c r="V16" s="14">
        <f>IFERROR(V2/U2-1,"")</f>
        <v>-0.03780226949108956</v>
      </c>
      <c r="W16" s="14">
        <f>IFERROR(W2/V2-1,"")</f>
        <v>-0.35797398309957584</v>
      </c>
      <c r="X16" s="14">
        <f>IFERROR(X2/W2-1,"")</f>
        <v>-0.2230277114487067</v>
      </c>
      <c r="Y16" s="14">
        <f>IFERROR(Y2/X2-1,"")</f>
        <v>-0.6</v>
      </c>
      <c r="Z16" s="14">
        <f>IFERROR(Z2/Y2-1,"")</f>
        <v>-0.6000000000000001</v>
      </c>
      <c r="AA16" s="14">
        <f>IFERROR(AA2/Z2-1,"")</f>
        <v>-0.6</v>
      </c>
      <c r="AB16" s="14">
        <f>IFERROR(AB2/AA2-1,"")</f>
        <v>-0.6000000000000001</v>
      </c>
      <c r="AC16" s="14">
        <f>IFERROR(AC2/AB2-1,"")</f>
        <v>-0.5999999999999999</v>
      </c>
      <c r="AD16" s="14">
        <f>IFERROR(AD2/AC2-1,"")</f>
        <v>-0.6000000000000001</v>
      </c>
      <c r="AE16" s="14">
        <f>IFERROR(AE2/AD2-1,"")</f>
        <v>-0.6000000000000001</v>
      </c>
    </row>
    <row r="17" customFormat="1" s="4">
      <c r="A17" s="3" t="inlineStr">
        <is>
          <t>Gross Margin</t>
        </is>
      </c>
      <c r="B17" s="14">
        <f>IFERROR(B4/B2,"")</f>
        <v/>
      </c>
      <c r="C17" s="14">
        <f>IFERROR(C4/C2,"")</f>
        <v>0.8803370786516853</v>
      </c>
      <c r="D17" s="14">
        <f>IFERROR(D4/D2,"")</f>
        <v>0.8925921783543973</v>
      </c>
      <c r="E17" s="14">
        <f>IFERROR(E4/E2,"")</f>
        <v>0.8858841580360568</v>
      </c>
      <c r="F17" s="14">
        <f>IFERROR(F4/F2,"")</f>
        <v>0.8825608943510772</v>
      </c>
      <c r="G17" s="14">
        <f>IFERROR(G4/G2,"")</f>
        <v>0.9381235096598375</v>
      </c>
      <c r="H17" s="14">
        <f>IFERROR(H4/H2,"")</f>
        <v>0.9400000000000001</v>
      </c>
      <c r="I17" s="14">
        <f>IFERROR(I4/I2,"")</f>
        <v>0.9400000000000001</v>
      </c>
      <c r="J17" s="14">
        <f>IFERROR(J4/J2,"")</f>
        <v>0.94</v>
      </c>
      <c r="K17" s="14">
        <f>IFERROR(K4/K2,"")</f>
        <v>0.9400000000000001</v>
      </c>
      <c r="L17" s="14">
        <f>IFERROR(L4/L2,"")</f>
        <v>0.9370814889116639</v>
      </c>
      <c r="M17" s="14">
        <f>IFERROR(M4/M2,"")</f>
        <v>0.9334860902914321</v>
      </c>
      <c r="N17" s="14">
        <f>IFERROR(N4/N2,"")</f>
        <v>0.9294719177723005</v>
      </c>
      <c r="O17" s="14">
        <f>IFERROR(O4/O2,"")</f>
        <v>0.9259267120052284</v>
      </c>
      <c r="P17" s="14">
        <f>IFERROR(P4/P2,"")</f>
        <v>0.9232636218070911</v>
      </c>
      <c r="Q17" s="14">
        <f>IFERROR(Q4/Q2,"")</f>
        <v>0.9216958424507659</v>
      </c>
      <c r="R17" s="14">
        <f>IFERROR(R4/R2,"")</f>
        <v>0.9058641093654357</v>
      </c>
      <c r="S17" s="14">
        <f>IFERROR(S4/S2,"")</f>
        <v>0.8907129389582842</v>
      </c>
      <c r="T17" s="14">
        <f>IFERROR(T4/T2,"")</f>
        <v>0.8800736452990229</v>
      </c>
      <c r="U17" s="14">
        <f>IFERROR(U4/U2,"")</f>
        <v>0.8744102647739604</v>
      </c>
      <c r="V17" s="14">
        <f>IFERROR(V4/V2,"")</f>
        <v>0.8718334130851162</v>
      </c>
      <c r="W17" s="14">
        <f>IFERROR(W4/W2,"")</f>
        <v>0.87114226715856</v>
      </c>
      <c r="X17" s="14">
        <f>IFERROR(X4/X2,"")</f>
        <v>0.8705880606942571</v>
      </c>
      <c r="Y17" s="14">
        <f>IFERROR(Y4/Y2,"")</f>
        <v>0.8705880606942571</v>
      </c>
      <c r="Z17" s="14">
        <f>IFERROR(Z4/Z2,"")</f>
        <v>0.8705880606942571</v>
      </c>
      <c r="AA17" s="14">
        <f>IFERROR(AA4/AA2,"")</f>
        <v>0.8705880606942571</v>
      </c>
      <c r="AB17" s="14">
        <f>IFERROR(AB4/AB2,"")</f>
        <v>0.8705880606942571</v>
      </c>
      <c r="AC17" s="14">
        <f>IFERROR(AC4/AC2,"")</f>
        <v>0.8705880606942572</v>
      </c>
      <c r="AD17" s="14">
        <f>IFERROR(AD4/AD2,"")</f>
        <v>0.8705880606942571</v>
      </c>
      <c r="AE17" s="14">
        <f>IFERROR(AE4/AE2,"")</f>
        <v>0.8705880606942572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A+E</t>
        </is>
      </c>
      <c r="H19" s="20" t="inlineStr">
        <is>
          <t>E</t>
        </is>
      </c>
      <c r="I19" s="20" t="inlineStr">
        <is>
          <t>E</t>
        </is>
      </c>
      <c r="J19" s="20" t="inlineStr">
        <is>
          <t>E</t>
        </is>
      </c>
      <c r="K19" s="20" t="inlineStr">
        <is>
          <t>E</t>
        </is>
      </c>
      <c r="L19" s="20" t="inlineStr">
        <is>
          <t>E</t>
        </is>
      </c>
      <c r="M19" s="20" t="inlineStr">
        <is>
          <t>E</t>
        </is>
      </c>
      <c r="N19" s="20" t="inlineStr">
        <is>
          <t>E</t>
        </is>
      </c>
      <c r="O19" s="20" t="inlineStr">
        <is>
          <t>E</t>
        </is>
      </c>
      <c r="P19" s="20" t="inlineStr">
        <is>
          <t>E</t>
        </is>
      </c>
      <c r="Q19" s="20" t="inlineStr">
        <is>
          <t>E</t>
        </is>
      </c>
      <c r="R19" s="20" t="inlineStr">
        <is>
          <t>E</t>
        </is>
      </c>
      <c r="S19" s="20" t="inlineStr">
        <is>
          <t>E</t>
        </is>
      </c>
      <c r="T19" s="20" t="inlineStr">
        <is>
          <t>E</t>
        </is>
      </c>
      <c r="U19" s="20" t="inlineStr">
        <is>
          <t>E</t>
        </is>
      </c>
      <c r="V19" s="20" t="inlineStr">
        <is>
          <t>E</t>
        </is>
      </c>
      <c r="W19" s="20" t="inlineStr">
        <is>
          <t>E</t>
        </is>
      </c>
      <c r="X19" s="20" t="inlineStr">
        <is>
          <t>E</t>
        </is>
      </c>
      <c r="Y19" s="20" t="inlineStr">
        <is>
          <t>E</t>
        </is>
      </c>
      <c r="Z19" s="20" t="inlineStr">
        <is>
          <t>E</t>
        </is>
      </c>
      <c r="AA19" s="20" t="inlineStr">
        <is>
          <t>E</t>
        </is>
      </c>
      <c r="AB19" s="20" t="inlineStr">
        <is>
          <t>E</t>
        </is>
      </c>
      <c r="AC19" s="20" t="inlineStr">
        <is>
          <t>E</t>
        </is>
      </c>
      <c r="AD19" s="20" t="inlineStr">
        <is>
          <t>E</t>
        </is>
      </c>
      <c r="AE19" s="20" t="inlineStr">
        <is>
          <t>E</t>
        </is>
      </c>
    </row>
    <row r="20">
      <c r="A20" s="13" t="inlineStr">
        <is>
          <t>Cash &amp; Investments</t>
        </is>
      </c>
      <c r="G20" s="18">
        <f>'Quarterly Model'!I20</f>
        <v>836.8830554980469</v>
      </c>
      <c r="H20" s="18">
        <f>G20+H12</f>
        <v>657.4390500792238</v>
      </c>
      <c r="I20" s="18">
        <f>H20+I12</f>
        <v>561.1967744571947</v>
      </c>
      <c r="J20" s="18">
        <f>I20+J12</f>
        <v>592.8981734993394</v>
      </c>
      <c r="K20" s="18">
        <f>J20+K12</f>
        <v>844.4828750055644</v>
      </c>
      <c r="L20" s="18">
        <f>K20+L12</f>
        <v>1270.6037328182729</v>
      </c>
      <c r="M20" s="18">
        <f>L20+M12</f>
        <v>1766.5588345111767</v>
      </c>
      <c r="N20" s="18">
        <f>M20+N12</f>
        <v>2217.9940299835703</v>
      </c>
      <c r="O20" s="18">
        <f>N20+O12</f>
        <v>2723.2348771218335</v>
      </c>
      <c r="P20" s="18">
        <f>O20+P12</f>
        <v>3271.844339856568</v>
      </c>
      <c r="Q20" s="18">
        <f>P20+Q12</f>
        <v>3850.4126604248186</v>
      </c>
      <c r="R20" s="18">
        <f>Q20+R12</f>
        <v>4184.93304634717</v>
      </c>
      <c r="S20" s="18">
        <f>R20+S12</f>
        <v>4472.760215845205</v>
      </c>
      <c r="T20" s="18">
        <f>S20+T12</f>
        <v>4731.979588439619</v>
      </c>
      <c r="U20" s="18">
        <f>T20+U12</f>
        <v>4984.024464227143</v>
      </c>
      <c r="V20" s="18">
        <f>U20+V12</f>
        <v>5237.594621171872</v>
      </c>
      <c r="W20" s="18">
        <f>V20+W12</f>
        <v>5460.465774700889</v>
      </c>
      <c r="X20" s="18">
        <f>W20+X12</f>
        <v>5674.655078427122</v>
      </c>
      <c r="Y20" s="18">
        <f>X20+Y12</f>
        <v>5863.735937185814</v>
      </c>
      <c r="Z20" s="18">
        <f>Y20+Z12</f>
        <v>6045.836795149059</v>
      </c>
      <c r="AA20" s="18">
        <f>Z20+AA12</f>
        <v>6228.299782534996</v>
      </c>
      <c r="AB20" s="18">
        <f>AA20+AB12</f>
        <v>6414.155192524453</v>
      </c>
      <c r="AC20" s="18">
        <f>AB20+AC12</f>
        <v>6604.711351675734</v>
      </c>
      <c r="AD20" s="18">
        <f>AC20+AD12</f>
        <v>6800.590650098225</v>
      </c>
      <c r="AE20" s="18">
        <f>AD20+AE12</f>
        <v>7002.144037959023</v>
      </c>
    </row>
    <row r="21">
      <c r="A21" s="13" t="inlineStr">
        <is>
          <t>Tax-Loss Pool</t>
        </is>
      </c>
      <c r="F21" s="18">
        <f>Assumptions!$B$18</f>
        <v>600</v>
      </c>
      <c r="G21" s="18">
        <f>F21-MIN(F21,MAX(0,G10))+MAX(0,-G10)</f>
        <v>927.758944501953</v>
      </c>
      <c r="H21" s="18">
        <f>G21-MIN(G21,MAX(0,H10))+MAX(0,-H10)</f>
        <v>1107.202949920776</v>
      </c>
      <c r="I21" s="18">
        <f>H21-MIN(H21,MAX(0,I10))+MAX(0,-I10)</f>
        <v>1203.4452255428052</v>
      </c>
      <c r="J21" s="18">
        <f>I21-MIN(I21,MAX(0,J10))+MAX(0,-J10)</f>
        <v>1171.7438265006606</v>
      </c>
      <c r="K21" s="18">
        <f>J21-MIN(J21,MAX(0,K10))+MAX(0,-K10)</f>
        <v>920.1591249944355</v>
      </c>
      <c r="L21" s="18">
        <f>K21-MIN(K21,MAX(0,L10))+MAX(0,-L10)</f>
        <v>494.038267181727</v>
      </c>
      <c r="M21" s="18">
        <f>L21-MIN(L21,MAX(0,M10))+MAX(0,-M10)</f>
        <v>0.0</v>
      </c>
      <c r="N21" s="18">
        <f>M21-MIN(M21,MAX(0,N10))+MAX(0,-N10)</f>
        <v>0.0</v>
      </c>
      <c r="O21" s="18">
        <f>N21-MIN(N21,MAX(0,O10))+MAX(0,-O10)</f>
        <v>0.0</v>
      </c>
      <c r="P21" s="18">
        <f>O21-MIN(O21,MAX(0,P10))+MAX(0,-P10)</f>
        <v>0.0</v>
      </c>
      <c r="Q21" s="18">
        <f>P21-MIN(P21,MAX(0,Q10))+MAX(0,-Q10)</f>
        <v>0.0</v>
      </c>
      <c r="R21" s="18">
        <f>Q21-MIN(Q21,MAX(0,R10))+MAX(0,-R10)</f>
        <v>0.0</v>
      </c>
      <c r="S21" s="18">
        <f>R21-MIN(R21,MAX(0,S10))+MAX(0,-S10)</f>
        <v>0.0</v>
      </c>
      <c r="T21" s="18">
        <f>S21-MIN(S21,MAX(0,T10))+MAX(0,-T10)</f>
        <v>0.0</v>
      </c>
      <c r="U21" s="18">
        <f>T21-MIN(T21,MAX(0,U10))+MAX(0,-U10)</f>
        <v>0.0</v>
      </c>
      <c r="V21" s="18">
        <f>U21-MIN(U21,MAX(0,V10))+MAX(0,-V10)</f>
        <v>0.0</v>
      </c>
      <c r="W21" s="18">
        <f>V21-MIN(V21,MAX(0,W10))+MAX(0,-W10)</f>
        <v>0.0</v>
      </c>
      <c r="X21" s="18">
        <f>W21-MIN(W21,MAX(0,X10))+MAX(0,-X10)</f>
        <v>0.0</v>
      </c>
      <c r="Y21" s="18">
        <f>X21-MIN(X21,MAX(0,Y10))+MAX(0,-Y10)</f>
        <v>0.0</v>
      </c>
      <c r="Z21" s="18">
        <f>Y21-MIN(Y21,MAX(0,Z10))+MAX(0,-Z10)</f>
        <v>0.0</v>
      </c>
      <c r="AA21" s="18">
        <f>Z21-MIN(Z21,MAX(0,AA10))+MAX(0,-AA10)</f>
        <v>0.0</v>
      </c>
      <c r="AB21" s="18">
        <f>AA21-MIN(AA21,MAX(0,AB10))+MAX(0,-AB10)</f>
        <v>0.0</v>
      </c>
      <c r="AC21" s="18">
        <f>AB21-MIN(AB21,MAX(0,AC10))+MAX(0,-AC10)</f>
        <v>0.0</v>
      </c>
      <c r="AD21" s="18">
        <f>AC21-MIN(AC21,MAX(0,AD10))+MAX(0,-AD10)</f>
        <v>0.0</v>
      </c>
      <c r="AE21" s="18">
        <f>AD21-MIN(AD21,MAX(0,AE10))+MAX(0,-AE10)</f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10" defaultRowHeight="16"/>
  <cols>
    <col width="26" customWidth="1" style="9" min="1" max="1"/>
    <col width="10" customWidth="1" style="9" min="2" max="2"/>
    <col width="10" customWidth="1" style="9" min="3" max="3"/>
    <col width="10" customWidth="1" style="9" min="4" max="4"/>
    <col width="10" customWidth="1" style="9" min="5" max="5"/>
    <col width="10" customWidth="1" style="9" min="6" max="6"/>
    <col width="10" customWidth="1" style="9" min="7" max="7"/>
    <col width="10" customWidth="1" style="9" min="8" max="8"/>
    <col width="10" customWidth="1" style="9" min="9" max="9"/>
  </cols>
  <sheetData>
    <row r="1">
      <c r="B1" s="21" t="inlineStr">
        <is>
          <t>Q1 2025</t>
        </is>
      </c>
      <c r="C1" s="21" t="inlineStr">
        <is>
          <t>Q2 2025</t>
        </is>
      </c>
      <c r="D1" s="21" t="inlineStr">
        <is>
          <t>Q3 2025</t>
        </is>
      </c>
      <c r="E1" s="21" t="inlineStr">
        <is>
          <t>Q4 2025</t>
        </is>
      </c>
      <c r="F1" s="21" t="inlineStr">
        <is>
          <t>Q1 2026</t>
        </is>
      </c>
      <c r="G1" s="21" t="inlineStr">
        <is>
          <t>Q2 2026</t>
        </is>
      </c>
      <c r="H1" s="21" t="inlineStr">
        <is>
          <t>Q3 2026</t>
        </is>
      </c>
      <c r="I1" s="21" t="inlineStr">
        <is>
          <t>Q4 2026</t>
        </is>
      </c>
    </row>
    <row r="2">
      <c r="A2" s="13" t="inlineStr">
        <is>
          <t>Revenue</t>
        </is>
      </c>
      <c r="B2" s="18">
        <f>SUM(B24:B24)</f>
        <v>8.73</v>
      </c>
      <c r="C2" s="18">
        <f>SUM(C24:C24)</f>
        <v>12.46</v>
      </c>
      <c r="D2" s="18">
        <f>SUM(D24:D24)</f>
        <v>12.88</v>
      </c>
      <c r="E2" s="18">
        <f>SUM(E24:E24)</f>
        <v>19.97</v>
      </c>
      <c r="F2" s="18">
        <f>SUM(F24:F24)</f>
        <v>20.75</v>
      </c>
      <c r="G2" s="18">
        <f>SUM(G24:G24)</f>
        <v>44.74</v>
      </c>
      <c r="H2" s="18">
        <f>SUM(H24:H24)</f>
        <v>62.0</v>
      </c>
      <c r="I2" s="18">
        <f>SUM(I24:I24)</f>
        <v>78.0</v>
      </c>
    </row>
    <row r="3">
      <c r="A3" s="13" t="inlineStr">
        <is>
          <t>Cost of Sales</t>
        </is>
      </c>
      <c r="B3" s="18" t="n">
        <v>1.085</v>
      </c>
      <c r="C3" s="18" t="n">
        <v>1.702</v>
      </c>
      <c r="D3" s="18" t="n">
        <v>1.679</v>
      </c>
      <c r="E3" s="18" t="n">
        <v>1.879</v>
      </c>
      <c r="F3" s="18" t="n">
        <v>1.319</v>
      </c>
      <c r="G3" s="18" t="n">
        <v>2.996</v>
      </c>
      <c r="H3" s="18">
        <f>H2*0.06</f>
        <v>3.7199999999999998</v>
      </c>
      <c r="I3" s="18">
        <f>I2*0.06</f>
        <v>4.68</v>
      </c>
    </row>
    <row r="4">
      <c r="A4" s="13" t="inlineStr">
        <is>
          <t>Gross Margin</t>
        </is>
      </c>
      <c r="B4" s="18">
        <f>B2-B3</f>
        <v>7.6450000000000005</v>
      </c>
      <c r="C4" s="18">
        <f>C2-C3</f>
        <v>10.758000000000001</v>
      </c>
      <c r="D4" s="18">
        <f>D2-D3</f>
        <v>11.201</v>
      </c>
      <c r="E4" s="18">
        <f>E2-E3</f>
        <v>18.090999999999998</v>
      </c>
      <c r="F4" s="18">
        <f>F2-F3</f>
        <v>19.431</v>
      </c>
      <c r="G4" s="18">
        <f>G2-G3</f>
        <v>41.744</v>
      </c>
      <c r="H4" s="18">
        <f>H2-H3</f>
        <v>58.28</v>
      </c>
      <c r="I4" s="18">
        <f>I2-I3</f>
        <v>73.32</v>
      </c>
    </row>
    <row r="5">
      <c r="A5" s="13" t="inlineStr">
        <is>
          <t>Research &amp; Dev.</t>
        </is>
      </c>
      <c r="B5" s="18" t="n">
        <v>72.74299999999999</v>
      </c>
      <c r="C5" s="18" t="n">
        <v>91.94</v>
      </c>
      <c r="D5" s="18" t="n">
        <v>86.79600000000001</v>
      </c>
      <c r="E5" s="18" t="n">
        <v>88.056</v>
      </c>
      <c r="F5" s="18" t="n">
        <v>81.148</v>
      </c>
      <c r="G5" s="18" t="n">
        <v>100.754</v>
      </c>
      <c r="H5" s="18" t="n">
        <v>80</v>
      </c>
      <c r="I5" s="18" t="n">
        <v>82</v>
      </c>
    </row>
    <row r="6">
      <c r="A6" s="13" t="inlineStr">
        <is>
          <t>General &amp; Admin</t>
        </is>
      </c>
      <c r="B6" s="18" t="n">
        <v>41.527</v>
      </c>
      <c r="C6" s="18" t="n">
        <v>45.869</v>
      </c>
      <c r="D6" s="18" t="n">
        <v>41.274</v>
      </c>
      <c r="E6" s="18" t="n">
        <v>51.61</v>
      </c>
      <c r="F6" s="18" t="n">
        <v>48.304</v>
      </c>
      <c r="G6" s="18" t="n">
        <v>51.547</v>
      </c>
      <c r="H6" s="18" t="n">
        <v>55</v>
      </c>
      <c r="I6" s="18" t="n">
        <v>60</v>
      </c>
    </row>
    <row r="7">
      <c r="A7" s="13" t="inlineStr">
        <is>
          <t>Operating Expense</t>
        </is>
      </c>
      <c r="B7" s="18">
        <f>SUM(B5:B6)</f>
        <v>114.27</v>
      </c>
      <c r="C7" s="18">
        <f>SUM(C5:C6)</f>
        <v>137.809</v>
      </c>
      <c r="D7" s="18">
        <f>SUM(D5:D6)</f>
        <v>128.07</v>
      </c>
      <c r="E7" s="18">
        <f>SUM(E5:E6)</f>
        <v>139.666</v>
      </c>
      <c r="F7" s="18">
        <f>SUM(F5:F6)</f>
        <v>129.452</v>
      </c>
      <c r="G7" s="18">
        <f>SUM(G5:G6)</f>
        <v>152.301</v>
      </c>
      <c r="H7" s="18">
        <f>SUM(H5:H6)</f>
        <v>135.0</v>
      </c>
      <c r="I7" s="18">
        <f>SUM(I5:I6)</f>
        <v>142.0</v>
      </c>
    </row>
    <row r="8">
      <c r="A8" s="13" t="inlineStr">
        <is>
          <t>Operating Income</t>
        </is>
      </c>
      <c r="B8" s="18">
        <f>B4-B7</f>
        <v>-106.625</v>
      </c>
      <c r="C8" s="18">
        <f>C4-C7</f>
        <v>-127.051</v>
      </c>
      <c r="D8" s="18">
        <f>D4-D7</f>
        <v>-116.869</v>
      </c>
      <c r="E8" s="18">
        <f>E4-E7</f>
        <v>-121.575</v>
      </c>
      <c r="F8" s="18">
        <f>F4-F7</f>
        <v>-110.021</v>
      </c>
      <c r="G8" s="18">
        <f>G4-G7</f>
        <v>-110.55699999999999</v>
      </c>
      <c r="H8" s="18">
        <f>H4-H7</f>
        <v>-76.72</v>
      </c>
      <c r="I8" s="18">
        <f>I4-I7</f>
        <v>-68.68</v>
      </c>
    </row>
    <row r="9">
      <c r="A9" s="13" t="inlineStr">
        <is>
          <t>Interest &amp; Other</t>
        </is>
      </c>
      <c r="B9" s="18" t="n">
        <v>17.34</v>
      </c>
      <c r="C9" s="18" t="n">
        <v>15.036</v>
      </c>
      <c r="D9" s="18" t="n">
        <v>13.436</v>
      </c>
      <c r="E9" s="18" t="n">
        <v>12.304</v>
      </c>
      <c r="F9" s="18" t="n">
        <v>10.914</v>
      </c>
      <c r="G9" s="18" t="n">
        <v>9.849</v>
      </c>
      <c r="H9" s="18">
        <f>Assumptions!$B$16*G20/4</f>
        <v>9.045253125</v>
      </c>
      <c r="I9" s="18">
        <f>Assumptions!$B$16*H20/4</f>
        <v>8.410802373046876</v>
      </c>
    </row>
    <row r="10">
      <c r="A10" s="13" t="inlineStr">
        <is>
          <t>Pretax</t>
        </is>
      </c>
      <c r="B10" s="18">
        <f>B8+B9</f>
        <v>-89.285</v>
      </c>
      <c r="C10" s="18">
        <f>C8+C9</f>
        <v>-112.015</v>
      </c>
      <c r="D10" s="18">
        <f>D8+D9</f>
        <v>-103.43299999999999</v>
      </c>
      <c r="E10" s="18">
        <f>E8+E9</f>
        <v>-109.271</v>
      </c>
      <c r="F10" s="18">
        <f>F8+F9</f>
        <v>-99.107</v>
      </c>
      <c r="G10" s="18">
        <f>G8+G9</f>
        <v>-100.70799999999998</v>
      </c>
      <c r="H10" s="18">
        <f>H8+H9</f>
        <v>-67.674746875</v>
      </c>
      <c r="I10" s="18">
        <f>I8+I9</f>
        <v>-60.26919762695313</v>
      </c>
    </row>
    <row r="11">
      <c r="A11" s="13" t="inlineStr">
        <is>
          <t>Taxes</t>
        </is>
      </c>
      <c r="B11" s="18" t="n">
        <v>0</v>
      </c>
      <c r="C11" s="18" t="n">
        <v>0</v>
      </c>
      <c r="D11" s="18" t="n">
        <v>0</v>
      </c>
      <c r="E11" s="18" t="n">
        <v>-1.016</v>
      </c>
      <c r="F11" s="18" t="n">
        <v>0</v>
      </c>
      <c r="G11" s="18" t="n">
        <v>0</v>
      </c>
      <c r="H11" s="18" t="n">
        <v>0</v>
      </c>
      <c r="I11" s="18" t="n">
        <v>0</v>
      </c>
    </row>
    <row r="12">
      <c r="A12" s="13" t="inlineStr">
        <is>
          <t>Net Income</t>
        </is>
      </c>
      <c r="B12" s="18">
        <f>B10-B11</f>
        <v>-89.285</v>
      </c>
      <c r="C12" s="18">
        <f>C10-C11</f>
        <v>-112.015</v>
      </c>
      <c r="D12" s="18">
        <f>D10-D11</f>
        <v>-103.43299999999999</v>
      </c>
      <c r="E12" s="18">
        <f>E10-E11</f>
        <v>-108.255</v>
      </c>
      <c r="F12" s="18">
        <f>F10-F11</f>
        <v>-99.107</v>
      </c>
      <c r="G12" s="18">
        <f>G10-G11</f>
        <v>-100.70799999999998</v>
      </c>
      <c r="H12" s="18">
        <f>H10-H11</f>
        <v>-67.674746875</v>
      </c>
      <c r="I12" s="18">
        <f>I10-I11</f>
        <v>-60.26919762695313</v>
      </c>
    </row>
    <row r="13">
      <c r="A13" s="13" t="inlineStr">
        <is>
          <t>Earnings per Share</t>
        </is>
      </c>
      <c r="B13" s="11">
        <f>IFERROR(B12/B14,0)</f>
        <v>-1.553890600254094</v>
      </c>
      <c r="C13" s="11">
        <f>IFERROR(C12/C14,0)</f>
        <v>-1.9335266601073655</v>
      </c>
      <c r="D13" s="11">
        <f>IFERROR(D12/D14,0)</f>
        <v>-1.7790639673884998</v>
      </c>
      <c r="E13" s="11">
        <f>IFERROR(E12/E14,0)</f>
        <v>-1.8550473807769419</v>
      </c>
      <c r="F13" s="11">
        <f>IFERROR(F12/F14,0)</f>
        <v>-1.6860093225817427</v>
      </c>
      <c r="G13" s="11">
        <f>IFERROR(G12/G14,0)</f>
        <v>-1.692884398796416</v>
      </c>
      <c r="H13" s="11">
        <f>IFERROR(H12/H14,0)</f>
        <v>-1.1316847303511706</v>
      </c>
      <c r="I13" s="11">
        <f>IFERROR(I12/I14,0)</f>
        <v>-1.0053243974470913</v>
      </c>
    </row>
    <row r="14">
      <c r="A14" s="13" t="inlineStr">
        <is>
          <t>Shares</t>
        </is>
      </c>
      <c r="B14" s="18" t="n">
        <v>57.459</v>
      </c>
      <c r="C14" s="18" t="n">
        <v>57.933</v>
      </c>
      <c r="D14" s="18" t="n">
        <v>58.139</v>
      </c>
      <c r="E14" s="18" t="n">
        <v>58.357</v>
      </c>
      <c r="F14" s="18" t="n">
        <v>58.782</v>
      </c>
      <c r="G14" s="18" t="n">
        <v>59.489</v>
      </c>
      <c r="H14" s="18" t="n">
        <v>59.8</v>
      </c>
      <c r="I14" s="18" t="n">
        <v>59.95</v>
      </c>
    </row>
    <row r="16">
      <c r="A16" s="13" t="inlineStr">
        <is>
          <t>Revenue Change (YoY)</t>
        </is>
      </c>
      <c r="F16" s="14">
        <f>IFERROR(F2/B2-1,"")</f>
        <v>1.3768613974799542</v>
      </c>
      <c r="G16" s="14">
        <f>IFERROR(G2/C2-1,"")</f>
        <v>2.590690208667737</v>
      </c>
      <c r="H16" s="14">
        <f>IFERROR(H2/D2-1,"")</f>
        <v>3.8136645962732914</v>
      </c>
      <c r="I16" s="14">
        <f>IFERROR(I2/E2-1,"")</f>
        <v>2.9058587881822735</v>
      </c>
    </row>
    <row r="17">
      <c r="A17" s="13" t="inlineStr">
        <is>
          <t>Gross Margin</t>
        </is>
      </c>
      <c r="B17" s="14">
        <f>IFERROR(B4/B2,"")</f>
        <v>0.8757159221076747</v>
      </c>
      <c r="C17" s="14">
        <f>IFERROR(C4/C2,"")</f>
        <v>0.8634028892455858</v>
      </c>
      <c r="D17" s="14">
        <f>IFERROR(D4/D2,"")</f>
        <v>0.8696428571428572</v>
      </c>
      <c r="E17" s="14">
        <f>IFERROR(E4/E2,"")</f>
        <v>0.9059088632949424</v>
      </c>
      <c r="F17" s="14">
        <f>IFERROR(F4/F2,"")</f>
        <v>0.9364337349397591</v>
      </c>
      <c r="G17" s="14">
        <f>IFERROR(G4/G2,"")</f>
        <v>0.9330353151542243</v>
      </c>
      <c r="H17" s="14">
        <f>IFERROR(H4/H2,"")</f>
        <v>0.9400000000000001</v>
      </c>
      <c r="I17" s="14">
        <f>IFERROR(I4/I2,"")</f>
        <v>0.94</v>
      </c>
    </row>
    <row r="19">
      <c r="A19" s="13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E</t>
        </is>
      </c>
      <c r="I19" s="20" t="inlineStr">
        <is>
          <t>E</t>
        </is>
      </c>
    </row>
    <row r="20">
      <c r="A20" s="13" t="inlineStr">
        <is>
          <t>Cash &amp; Investments</t>
        </is>
      </c>
      <c r="G20" s="18" t="n">
        <v>964.827</v>
      </c>
      <c r="H20" s="18">
        <f>G20+H12+H21</f>
        <v>897.152253125</v>
      </c>
      <c r="I20" s="18">
        <f>H20+I12+I21</f>
        <v>836.8830554980469</v>
      </c>
    </row>
    <row r="21">
      <c r="A21" s="13" t="inlineStr">
        <is>
          <t>Other Cash Flows (est.)</t>
        </is>
      </c>
      <c r="H21" s="18" t="n">
        <v>0</v>
      </c>
      <c r="I21" s="18" t="n">
        <v>0</v>
      </c>
    </row>
    <row r="23">
      <c r="A23" s="22" t="inlineStr">
        <is>
          <t>Revenue by Product</t>
        </is>
      </c>
    </row>
    <row r="24">
      <c r="A24" s="13" t="inlineStr">
        <is>
          <t>Mitapivat</t>
        </is>
      </c>
      <c r="B24" s="18" t="n">
        <v>8.73</v>
      </c>
      <c r="C24" s="18" t="n">
        <v>12.46</v>
      </c>
      <c r="D24" s="18" t="n">
        <v>12.88</v>
      </c>
      <c r="E24" s="18" t="n">
        <v>19.97</v>
      </c>
      <c r="F24" s="18" t="n">
        <v>20.75</v>
      </c>
      <c r="G24" s="18" t="n">
        <v>44.74</v>
      </c>
      <c r="H24" s="18" t="n">
        <v>62</v>
      </c>
      <c r="I24" s="18" t="n">
        <v>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xSplit="1" ySplit="10" topLeftCell="B11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8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3" t="inlineStr">
        <is>
          <t>AGIO — rNPV assumptions ($mm unless noted)</t>
        </is>
      </c>
    </row>
    <row r="4">
      <c r="A4" s="22" t="inlineStr">
        <is>
          <t>Scenario (1 = Bear, 2 = Base, 3 = Bull)</t>
        </is>
      </c>
      <c r="B4" s="24" t="n">
        <v>2</v>
      </c>
      <c r="C4" s="22" t="str">
        <f>CHOOSE($B$4,"Bear","Base","Bull")</f>
        <v>Base</v>
      </c>
    </row>
    <row r="5">
      <c r="A5" s="25" t="inlineStr">
        <is>
          <t>Overrides (blank = scenario value; the sensitivity tables drive these)</t>
        </is>
      </c>
    </row>
    <row r="6">
      <c r="A6" s="13" t="inlineStr">
        <is>
          <t>Discount rate override</t>
        </is>
      </c>
      <c r="B6" s="26" t="n"/>
    </row>
    <row r="7">
      <c r="A7" s="13" t="inlineStr">
        <is>
          <t>PDUFA approval probability override</t>
        </is>
      </c>
      <c r="B7" s="26" t="n"/>
    </row>
    <row r="8">
      <c r="A8" s="13" t="inlineStr">
        <is>
          <t>PDUFA program peak sales override ($mm)</t>
        </is>
      </c>
      <c r="B8" s="27" t="n"/>
    </row>
    <row r="10">
      <c r="A10" s="28" t="inlineStr">
        <is>
          <t>Parameter</t>
        </is>
      </c>
      <c r="B10" s="29" t="inlineStr">
        <is>
          <t>Active</t>
        </is>
      </c>
      <c r="C10" s="29" t="inlineStr">
        <is>
          <t>Bear</t>
        </is>
      </c>
      <c r="D10" s="29" t="inlineStr">
        <is>
          <t>Base</t>
        </is>
      </c>
      <c r="E10" s="29" t="inlineStr">
        <is>
          <t>Bull</t>
        </is>
      </c>
    </row>
    <row r="12">
      <c r="A12" s="30" t="inlineStr">
        <is>
          <t>Valuation &amp; corporate</t>
        </is>
      </c>
      <c r="B12" s="31" t="n"/>
      <c r="C12" s="31" t="n"/>
      <c r="D12" s="31" t="n"/>
      <c r="E12" s="31" t="n"/>
    </row>
    <row r="13">
      <c r="A13" s="13" t="inlineStr">
        <is>
          <t>Valuation date</t>
        </is>
      </c>
      <c r="B13" s="32">
        <f>DATE(2026,10,16)</f>
        <v>46311</v>
      </c>
    </row>
    <row r="14">
      <c r="A14" s="13" t="inlineStr">
        <is>
          <t>Discount rate (cost of equity)</t>
        </is>
      </c>
      <c r="B14" s="33">
        <f>IF(ISNUMBER($B$6),$B$6,CHOOSE($B$4,C14,D14,E14))</f>
        <v>0.11</v>
      </c>
      <c r="C14" s="34" t="n">
        <v>0.13</v>
      </c>
      <c r="D14" s="34" t="n">
        <v>0.11</v>
      </c>
      <c r="E14" s="34" t="n">
        <v>0.095</v>
      </c>
    </row>
    <row r="15">
      <c r="A15" s="13" t="inlineStr">
        <is>
          <t>Tax rate</t>
        </is>
      </c>
      <c r="B15" s="33">
        <f>CHOOSE($B$4,C15,D15,E15)</f>
        <v>0.21</v>
      </c>
      <c r="C15" s="35" t="n">
        <v>0.21</v>
      </c>
      <c r="D15" s="35" t="n">
        <v>0.21</v>
      </c>
      <c r="E15" s="35" t="n">
        <v>0.21</v>
      </c>
    </row>
    <row r="16">
      <c r="A16" s="13" t="inlineStr">
        <is>
          <t>Interest yield on cash</t>
        </is>
      </c>
      <c r="B16" s="33">
        <f>CHOOSE($B$4,C16,D16,E16)</f>
        <v>0.0375</v>
      </c>
      <c r="C16" s="35" t="n">
        <v>0.0375</v>
      </c>
      <c r="D16" s="35" t="n">
        <v>0.0375</v>
      </c>
      <c r="E16" s="35" t="n">
        <v>0.0375</v>
      </c>
    </row>
    <row r="17">
      <c r="A17" s="13" t="inlineStr">
        <is>
          <t>Average cash cost of debt (P&amp;L display only)</t>
        </is>
      </c>
      <c r="B17" s="33">
        <f>CHOOSE($B$4,C17,D17,E17)</f>
        <v>0.025</v>
      </c>
      <c r="C17" s="35" t="n">
        <v>0.025</v>
      </c>
      <c r="D17" s="35" t="n">
        <v>0.025</v>
      </c>
      <c r="E17" s="35" t="n">
        <v>0.025</v>
      </c>
    </row>
    <row r="18">
      <c r="A18" s="13" t="inlineStr">
        <is>
          <t>Tax-loss pool at 12/31/2025</t>
        </is>
      </c>
      <c r="B18" s="36">
        <f>CHOOSE($B$4,C18,D18,E18)</f>
        <v>600</v>
      </c>
      <c r="C18" s="37" t="n">
        <v>600</v>
      </c>
      <c r="D18" s="37" t="n">
        <v>600</v>
      </c>
      <c r="E18" s="37" t="n">
        <v>600</v>
      </c>
    </row>
    <row r="19">
      <c r="A19" s="13" t="inlineStr">
        <is>
          <t>Corporate G&amp;A, 2027</t>
        </is>
      </c>
      <c r="B19" s="36">
        <f>CHOOSE($B$4,C19,D19,E19)</f>
        <v>70</v>
      </c>
      <c r="C19" s="37" t="n">
        <v>70</v>
      </c>
      <c r="D19" s="37" t="n">
        <v>70</v>
      </c>
      <c r="E19" s="37" t="n">
        <v>70</v>
      </c>
    </row>
    <row r="20">
      <c r="A20" s="13" t="inlineStr">
        <is>
          <t>Platform / unallocated R&amp;D, 2027</t>
        </is>
      </c>
      <c r="B20" s="36">
        <f>CHOOSE($B$4,C20,D20,E20)</f>
        <v>180</v>
      </c>
      <c r="C20" s="37" t="n">
        <v>180</v>
      </c>
      <c r="D20" s="37" t="n">
        <v>180</v>
      </c>
      <c r="E20" s="37" t="n">
        <v>180</v>
      </c>
    </row>
    <row r="21">
      <c r="A21" s="13" t="inlineStr">
        <is>
          <t>Cost inflation</t>
        </is>
      </c>
      <c r="B21" s="33">
        <f>CHOOSE($B$4,C21,D21,E21)</f>
        <v>0.03</v>
      </c>
      <c r="C21" s="35" t="n">
        <v>0.03</v>
      </c>
      <c r="D21" s="35" t="n">
        <v>0.03</v>
      </c>
      <c r="E21" s="35" t="n">
        <v>0.03</v>
      </c>
    </row>
    <row r="22">
      <c r="A22" s="13" t="inlineStr">
        <is>
          <t>Corporate G&amp;A floor, % of revenue</t>
        </is>
      </c>
      <c r="B22" s="33">
        <f>CHOOSE($B$4,C22,D22,E22)</f>
        <v>0.1</v>
      </c>
      <c r="C22" s="35" t="n">
        <v>0.1</v>
      </c>
      <c r="D22" s="35" t="n">
        <v>0.1</v>
      </c>
      <c r="E22" s="35" t="n">
        <v>0.1</v>
      </c>
    </row>
    <row r="23">
      <c r="A23" s="13" t="inlineStr">
        <is>
          <t>Platform R&amp;D floor, % of revenue</t>
        </is>
      </c>
      <c r="B23" s="33">
        <f>CHOOSE($B$4,C23,D23,E23)</f>
        <v>0.2</v>
      </c>
      <c r="C23" s="35" t="n">
        <v>0.2</v>
      </c>
      <c r="D23" s="35" t="n">
        <v>0.2</v>
      </c>
      <c r="E23" s="35" t="n">
        <v>0.2</v>
      </c>
    </row>
    <row r="24">
      <c r="A24" s="13" t="inlineStr">
        <is>
          <t>Corporate cost cut after a CRL (2027+)</t>
        </is>
      </c>
      <c r="B24" s="33">
        <f>CHOOSE($B$4,C24,D24,E24)</f>
        <v>0</v>
      </c>
      <c r="C24" s="35" t="n">
        <v>0</v>
      </c>
      <c r="D24" s="35" t="n">
        <v>0</v>
      </c>
      <c r="E24" s="35" t="n">
        <v>0</v>
      </c>
    </row>
    <row r="25">
      <c r="A25" s="13" t="inlineStr">
        <is>
          <t>Last year of base-level corporate costs (then % of revenue only)</t>
        </is>
      </c>
      <c r="B25" s="38">
        <f>CHOOSE($B$4,C25,D25,E25)</f>
        <v>2037</v>
      </c>
      <c r="C25" s="39" t="n">
        <v>2037</v>
      </c>
      <c r="D25" s="39" t="n">
        <v>2037</v>
      </c>
      <c r="E25" s="39" t="n">
        <v>2037</v>
      </c>
    </row>
    <row r="26">
      <c r="A26" s="13" t="inlineStr">
        <is>
          <t>Annual share count growth (EPS display only)</t>
        </is>
      </c>
      <c r="B26" s="33">
        <f>CHOOSE($B$4,C26,D26,E26)</f>
        <v>0</v>
      </c>
      <c r="C26" s="35" t="n">
        <v>0</v>
      </c>
      <c r="D26" s="35" t="n">
        <v>0</v>
      </c>
      <c r="E26" s="35" t="n">
        <v>0</v>
      </c>
    </row>
    <row r="27">
      <c r="A27" s="13" t="inlineStr">
        <is>
          <t>Wind-down cost for liquidation value</t>
        </is>
      </c>
      <c r="B27" s="36">
        <f>CHOOSE($B$4,C27,D27,E27)</f>
        <v>40</v>
      </c>
      <c r="C27" s="37" t="n">
        <v>40</v>
      </c>
      <c r="D27" s="37" t="n">
        <v>40</v>
      </c>
      <c r="E27" s="37" t="n">
        <v>40</v>
      </c>
    </row>
    <row r="29">
      <c r="A29" s="30" t="inlineStr">
        <is>
          <t>PDUFA event</t>
        </is>
      </c>
      <c r="B29" s="31" t="n"/>
      <c r="C29" s="31" t="n"/>
      <c r="D29" s="31" t="n"/>
      <c r="E29" s="31" t="n"/>
    </row>
    <row r="30">
      <c r="A30" s="13" t="inlineStr">
        <is>
          <t>PDUFA target action date</t>
        </is>
      </c>
      <c r="B30" s="32">
        <f>DATE(2026,11,1)</f>
        <v>46327</v>
      </c>
    </row>
    <row r="31">
      <c r="A31" s="13" t="inlineStr">
        <is>
          <t>Application</t>
        </is>
      </c>
      <c r="B31" s="25" t="inlineStr">
        <is>
          <t>Mitapivat sNDA, sickle cell disease (accelerated approval)</t>
        </is>
      </c>
    </row>
    <row r="32">
      <c r="A32" s="13" t="inlineStr">
        <is>
          <t>Probability of approval at this PDUFA</t>
        </is>
      </c>
      <c r="B32" s="33">
        <f>IF(ISNUMBER($B$7),$B$7,CHOOSE($B$4,C32,D32,E32))</f>
        <v>0.65</v>
      </c>
      <c r="C32" s="34" t="n">
        <v>0.5</v>
      </c>
      <c r="D32" s="34" t="n">
        <v>0.65</v>
      </c>
      <c r="E32" s="34" t="n">
        <v>0.8</v>
      </c>
    </row>
    <row r="33">
      <c r="A33" s="13" t="inlineStr">
        <is>
          <t>Probability of approval later, after a CRL</t>
        </is>
      </c>
      <c r="B33" s="33">
        <f>CHOOSE($B$4,C33,D33,E33)</f>
        <v>0.55</v>
      </c>
      <c r="C33" s="35" t="n">
        <v>0.45</v>
      </c>
      <c r="D33" s="35" t="n">
        <v>0.55</v>
      </c>
      <c r="E33" s="35" t="n">
        <v>0.65</v>
      </c>
    </row>
    <row r="34">
      <c r="A34" s="13" t="inlineStr">
        <is>
          <t>Launch delay after a CRL (years)</t>
        </is>
      </c>
      <c r="B34" s="38">
        <f>CHOOSE($B$4,C34,D34,E34)</f>
        <v>3</v>
      </c>
      <c r="C34" s="39" t="n">
        <v>3</v>
      </c>
      <c r="D34" s="39" t="n">
        <v>3</v>
      </c>
      <c r="E34" s="39" t="n">
        <v>3</v>
      </c>
    </row>
    <row r="35">
      <c r="A35" s="13" t="inlineStr">
        <is>
          <t>Probability of approval, scenario value (before override)</t>
        </is>
      </c>
      <c r="B35" s="40">
        <f>CHOOSE($B$4,C32,D32,E32)</f>
        <v>0.65</v>
      </c>
    </row>
    <row r="36">
      <c r="A36" s="13" t="inlineStr">
        <is>
          <t>Read-through: relative cut to other programs' PoS after a CRL</t>
        </is>
      </c>
      <c r="B36" s="33">
        <f>CHOOSE($B$4,C36,D36,E36)</f>
        <v>0</v>
      </c>
      <c r="C36" s="35" t="n">
        <v>0</v>
      </c>
      <c r="D36" s="35" t="n">
        <v>0</v>
      </c>
      <c r="E36" s="35" t="n">
        <v>0</v>
      </c>
    </row>
    <row r="37">
      <c r="A37" s="13" t="inlineStr">
        <is>
          <t>Read-through multiplier on other programs' PoS (1 = none)</t>
        </is>
      </c>
      <c r="B37" s="41">
        <f>1+$B$36*($B$32-$B$35)/$B$35</f>
        <v>1.0</v>
      </c>
    </row>
    <row r="38">
      <c r="A38" s="13" t="inlineStr">
        <is>
          <t>Expected corporate cost multiplier (2027+)</t>
        </is>
      </c>
      <c r="B38" s="41">
        <f>$B$32+(1-$B$32)*(1-$B$24)</f>
        <v>1.0</v>
      </c>
    </row>
    <row r="40">
      <c r="A40" s="30" t="inlineStr">
        <is>
          <t>Commercial curves (by year since launch)</t>
        </is>
      </c>
      <c r="B40" s="31" t="n"/>
      <c r="C40" s="31" t="n"/>
      <c r="D40" s="31" t="n"/>
      <c r="E40" s="31" t="n"/>
      <c r="F40" s="31" t="n"/>
      <c r="G40" s="31" t="n"/>
      <c r="H40" s="31" t="n"/>
    </row>
    <row r="41">
      <c r="A41" s="22" t="inlineStr">
        <is>
          <t>Year since launch</t>
        </is>
      </c>
      <c r="B41" s="42" t="n">
        <v>1</v>
      </c>
      <c r="C41" s="42" t="n">
        <v>2</v>
      </c>
      <c r="D41" s="42" t="n">
        <v>3</v>
      </c>
      <c r="E41" s="42" t="n">
        <v>4</v>
      </c>
      <c r="F41" s="42" t="n">
        <v>5</v>
      </c>
      <c r="G41" s="42" t="n">
        <v>6</v>
      </c>
      <c r="H41" s="42" t="n">
        <v>7</v>
      </c>
    </row>
    <row r="42">
      <c r="A42" s="13" t="inlineStr">
        <is>
          <t>Ramp 1 — standard launch, % of peak</t>
        </is>
      </c>
      <c r="B42" s="43" t="n">
        <v>0.1</v>
      </c>
      <c r="C42" s="43" t="n">
        <v>0.25</v>
      </c>
      <c r="D42" s="43" t="n">
        <v>0.45</v>
      </c>
      <c r="E42" s="43" t="n">
        <v>0.65</v>
      </c>
      <c r="F42" s="43" t="n">
        <v>0.82</v>
      </c>
      <c r="G42" s="43" t="n">
        <v>0.93</v>
      </c>
      <c r="H42" s="43" t="n">
        <v>1</v>
      </c>
    </row>
    <row r="43">
      <c r="A43" s="13" t="inlineStr">
        <is>
          <t>Ramp 2 — orphan-disease launch, % of peak</t>
        </is>
      </c>
      <c r="B43" s="43" t="n">
        <v>0.15</v>
      </c>
      <c r="C43" s="43" t="n">
        <v>0.35</v>
      </c>
      <c r="D43" s="43" t="n">
        <v>0.55</v>
      </c>
      <c r="E43" s="43" t="n">
        <v>0.75</v>
      </c>
      <c r="F43" s="43" t="n">
        <v>0.9</v>
      </c>
      <c r="G43" s="43" t="n">
        <v>1</v>
      </c>
      <c r="H43" s="43" t="n">
        <v>1</v>
      </c>
    </row>
    <row r="44">
      <c r="A44" s="13" t="inlineStr">
        <is>
          <t>Commercial SG&amp;A, % of sales (years 1–5; floor = program maturity %)</t>
        </is>
      </c>
      <c r="B44" s="43" t="n">
        <v>0.9</v>
      </c>
      <c r="C44" s="43" t="n">
        <v>0.55</v>
      </c>
      <c r="D44" s="43" t="n">
        <v>0.4</v>
      </c>
      <c r="E44" s="43" t="n">
        <v>0.32</v>
      </c>
      <c r="F44" s="43" t="n">
        <v>0.28</v>
      </c>
    </row>
    <row r="46">
      <c r="A46" s="30" t="inlineStr">
        <is>
          <t>Mitapivat — thalassemia + PKD (AQVESME / PYRUKYND)  (marketed)</t>
        </is>
      </c>
      <c r="B46" s="31" t="n"/>
      <c r="C46" s="31" t="n"/>
      <c r="D46" s="31" t="n"/>
      <c r="E46" s="31" t="n"/>
    </row>
    <row r="47">
      <c r="A47" s="13" t="inlineStr">
        <is>
          <t>Launch year (first commercial year)</t>
        </is>
      </c>
      <c r="B47" s="39" t="n">
        <v>2026</v>
      </c>
    </row>
    <row r="48">
      <c r="A48" s="13" t="inlineStr">
        <is>
          <t>Peak net sales, unrisked</t>
        </is>
      </c>
      <c r="B48" s="36">
        <f>CHOOSE($B$4,C48,D48,E48)</f>
        <v>750</v>
      </c>
      <c r="C48" s="44" t="n">
        <v>500</v>
      </c>
      <c r="D48" s="44" t="n">
        <v>750</v>
      </c>
      <c r="E48" s="44" t="n">
        <v>1100</v>
      </c>
    </row>
    <row r="49">
      <c r="A49" s="13" t="inlineStr">
        <is>
          <t>Year peak is reached</t>
        </is>
      </c>
      <c r="B49" s="38">
        <f>CHOOSE($B$4,C49,D49,E49)</f>
        <v>2031</v>
      </c>
      <c r="C49" s="39" t="n">
        <v>2031</v>
      </c>
      <c r="D49" s="39" t="n">
        <v>2031</v>
      </c>
      <c r="E49" s="39" t="n">
        <v>2031</v>
      </c>
    </row>
    <row r="50">
      <c r="A50" s="13" t="inlineStr">
        <is>
          <t>Path to peak (1 = straight line, &gt;1 = slower start)</t>
        </is>
      </c>
      <c r="B50" s="45" t="n">
        <v>1</v>
      </c>
    </row>
    <row r="51">
      <c r="A51" s="13" t="inlineStr">
        <is>
          <t>Company revenue, % of product net sales</t>
        </is>
      </c>
      <c r="B51" s="35" t="n">
        <v>1</v>
      </c>
    </row>
    <row r="52">
      <c r="A52" s="13" t="inlineStr">
        <is>
          <t>Cost of goods, % of product sales</t>
        </is>
      </c>
      <c r="B52" s="35" t="n">
        <v>0.06</v>
      </c>
    </row>
    <row r="53">
      <c r="A53" s="13" t="inlineStr">
        <is>
          <t>Royalties owed, % of product sales</t>
        </is>
      </c>
      <c r="B53" s="35" t="n">
        <v>0</v>
      </c>
    </row>
    <row r="54">
      <c r="A54" s="13" t="inlineStr">
        <is>
          <t>Commercial SG&amp;A at maturity, % of sales</t>
        </is>
      </c>
      <c r="B54" s="35" t="n">
        <v>0.25</v>
      </c>
    </row>
    <row r="55">
      <c r="A55" s="13" t="inlineStr">
        <is>
          <t>Loss of exclusivity (year)</t>
        </is>
      </c>
      <c r="B55" s="38">
        <f>CHOOSE($B$4,C55,D55,E55)</f>
        <v>2036</v>
      </c>
      <c r="C55" s="39" t="n">
        <v>2035</v>
      </c>
      <c r="D55" s="39" t="n">
        <v>2036</v>
      </c>
      <c r="E55" s="39" t="n">
        <v>2036</v>
      </c>
    </row>
    <row r="56">
      <c r="A56" s="13" t="inlineStr">
        <is>
          <t>Post-LOE annual sales erosion</t>
        </is>
      </c>
      <c r="B56" s="35" t="n">
        <v>0.6</v>
      </c>
    </row>
    <row r="57">
      <c r="A57" s="13" t="inlineStr">
        <is>
          <t>2026E net sales (Quarterly Model)</t>
        </is>
      </c>
      <c r="B57" s="36">
        <f>SUM('Quarterly Model'!F24:I24)</f>
        <v>205.49</v>
      </c>
    </row>
    <row r="59">
      <c r="A59" s="30" t="inlineStr">
        <is>
          <t>Mitapivat — sickle cell disease  (PDUFA)</t>
        </is>
      </c>
      <c r="B59" s="31" t="n"/>
      <c r="C59" s="31" t="n"/>
      <c r="D59" s="31" t="n"/>
      <c r="E59" s="31" t="n"/>
    </row>
    <row r="60">
      <c r="A60" s="13" t="inlineStr">
        <is>
          <t>Launch year (first full year of sales)</t>
        </is>
      </c>
      <c r="B60" s="38">
        <f>CHOOSE($B$4,C60,D60,E60)</f>
        <v>2027</v>
      </c>
      <c r="C60" s="39" t="n">
        <v>2027</v>
      </c>
      <c r="D60" s="39" t="n">
        <v>2027</v>
      </c>
      <c r="E60" s="39" t="n">
        <v>2027</v>
      </c>
    </row>
    <row r="61">
      <c r="A61" s="13" t="inlineStr">
        <is>
          <t>Peak net sales, unrisked</t>
        </is>
      </c>
      <c r="B61" s="36">
        <f>IF(ISNUMBER($B$8),$B$8,CHOOSE($B$4,C61,D61,E61))</f>
        <v>600</v>
      </c>
      <c r="C61" s="44" t="n">
        <v>300</v>
      </c>
      <c r="D61" s="44" t="n">
        <v>600</v>
      </c>
      <c r="E61" s="44" t="n">
        <v>1000</v>
      </c>
    </row>
    <row r="62">
      <c r="A62" s="13" t="inlineStr">
        <is>
          <t>Probability of approval (PDUFA event above)</t>
        </is>
      </c>
      <c r="B62" s="33">
        <f>$B$32</f>
        <v>0.65</v>
      </c>
    </row>
    <row r="63">
      <c r="A63" s="13" t="inlineStr">
        <is>
          <t>Company revenue, % of product net sales</t>
        </is>
      </c>
      <c r="B63" s="35" t="n">
        <v>1</v>
      </c>
    </row>
    <row r="64">
      <c r="A64" s="13" t="inlineStr">
        <is>
          <t>Cost of goods, % of product sales</t>
        </is>
      </c>
      <c r="B64" s="35" t="n">
        <v>0.06</v>
      </c>
    </row>
    <row r="65">
      <c r="A65" s="13" t="inlineStr">
        <is>
          <t>Royalties owed, % of product sales</t>
        </is>
      </c>
      <c r="B65" s="35" t="n">
        <v>0</v>
      </c>
    </row>
    <row r="66">
      <c r="A66" s="13" t="inlineStr">
        <is>
          <t>Commercial SG&amp;A at maturity, % of sales</t>
        </is>
      </c>
      <c r="B66" s="35" t="n">
        <v>0.25</v>
      </c>
    </row>
    <row r="67">
      <c r="A67" s="13" t="inlineStr">
        <is>
          <t>Pre-launch commercial spend, year before launch</t>
        </is>
      </c>
      <c r="B67" s="37" t="n">
        <v>20</v>
      </c>
    </row>
    <row r="68">
      <c r="A68" s="13" t="inlineStr">
        <is>
          <t>Launch ramp (1 = standard, 2 = orphan)</t>
        </is>
      </c>
      <c r="B68" s="39" t="n">
        <v>1</v>
      </c>
    </row>
    <row r="69">
      <c r="A69" s="13" t="inlineStr">
        <is>
          <t>Loss of exclusivity (year)</t>
        </is>
      </c>
      <c r="B69" s="38">
        <f>CHOOSE($B$4,C69,D69,E69)</f>
        <v>2036</v>
      </c>
      <c r="C69" s="39" t="n">
        <v>2035</v>
      </c>
      <c r="D69" s="39" t="n">
        <v>2036</v>
      </c>
      <c r="E69" s="39" t="n">
        <v>2036</v>
      </c>
    </row>
    <row r="70">
      <c r="A70" s="13" t="inlineStr">
        <is>
          <t>Post-LOE annual sales erosion</t>
        </is>
      </c>
      <c r="B70" s="35" t="n">
        <v>0.6</v>
      </c>
    </row>
    <row r="71">
      <c r="A71" s="25" t="inlineStr">
        <is>
          <t>Development spend, unrisked ($mm) by year</t>
        </is>
      </c>
      <c r="B71" s="42" t="n">
        <v>2027</v>
      </c>
      <c r="C71" s="42" t="n">
        <v>2028</v>
      </c>
      <c r="D71" s="42" t="n">
        <v>2029</v>
      </c>
      <c r="E71" s="42" t="n">
        <v>2030</v>
      </c>
      <c r="F71" s="42" t="n">
        <v>2031</v>
      </c>
      <c r="G71" s="42" t="n">
        <v>2032</v>
      </c>
      <c r="H71" s="42" t="n">
        <v>2033</v>
      </c>
      <c r="I71" s="42" t="n">
        <v>2034</v>
      </c>
    </row>
    <row r="72">
      <c r="A72" s="13" t="inlineStr">
        <is>
          <t xml:space="preserve">  Cost</t>
        </is>
      </c>
      <c r="B72" s="37" t="n">
        <v>40</v>
      </c>
      <c r="C72" s="37" t="n">
        <v>40</v>
      </c>
      <c r="D72" s="37" t="n">
        <v>30</v>
      </c>
      <c r="E72" s="37" t="n">
        <v>0</v>
      </c>
      <c r="F72" s="37" t="n">
        <v>0</v>
      </c>
      <c r="G72" s="37" t="n">
        <v>0</v>
      </c>
      <c r="H72" s="37" t="n">
        <v>0</v>
      </c>
      <c r="I72" s="37" t="n">
        <v>0</v>
      </c>
    </row>
    <row r="73">
      <c r="A73" s="13" t="inlineStr">
        <is>
          <t xml:space="preserve">  Probability the cost is incurred</t>
        </is>
      </c>
      <c r="B73" s="43" t="n">
        <v>1</v>
      </c>
      <c r="C73" s="43" t="n">
        <v>1</v>
      </c>
      <c r="D73" s="43" t="n">
        <v>1</v>
      </c>
      <c r="E73" s="43" t="n">
        <v>1</v>
      </c>
      <c r="F73" s="43" t="n">
        <v>1</v>
      </c>
      <c r="G73" s="43" t="n">
        <v>1</v>
      </c>
      <c r="H73" s="43" t="n">
        <v>1</v>
      </c>
      <c r="I73" s="43" t="n">
        <v>1</v>
      </c>
    </row>
    <row r="75">
      <c r="A75" s="30" t="inlineStr">
        <is>
          <t>Cevidoplenib — immune thrombocytopenia  (pipeline)</t>
        </is>
      </c>
      <c r="B75" s="31" t="n"/>
      <c r="C75" s="31" t="n"/>
      <c r="D75" s="31" t="n"/>
      <c r="E75" s="31" t="n"/>
    </row>
    <row r="76">
      <c r="A76" s="13" t="inlineStr">
        <is>
          <t>Launch year (first full year of sales)</t>
        </is>
      </c>
      <c r="B76" s="38">
        <f>CHOOSE($B$4,C76,D76,E76)</f>
        <v>2031</v>
      </c>
      <c r="C76" s="39" t="n">
        <v>2032</v>
      </c>
      <c r="D76" s="39" t="n">
        <v>2031</v>
      </c>
      <c r="E76" s="39" t="n">
        <v>2031</v>
      </c>
    </row>
    <row r="77">
      <c r="A77" s="13" t="inlineStr">
        <is>
          <t>Peak net sales, unrisked</t>
        </is>
      </c>
      <c r="B77" s="36">
        <f>CHOOSE($B$4,C77,D77,E77)</f>
        <v>700</v>
      </c>
      <c r="C77" s="44" t="n">
        <v>400</v>
      </c>
      <c r="D77" s="44" t="n">
        <v>700</v>
      </c>
      <c r="E77" s="44" t="n">
        <v>1000</v>
      </c>
    </row>
    <row r="78">
      <c r="A78" s="13" t="inlineStr">
        <is>
          <t>Probability of reaching market</t>
        </is>
      </c>
      <c r="B78" s="33">
        <f>CHOOSE($B$4,C78,D78,E78)</f>
        <v>0.4</v>
      </c>
      <c r="C78" s="34" t="n">
        <v>0.3</v>
      </c>
      <c r="D78" s="34" t="n">
        <v>0.4</v>
      </c>
      <c r="E78" s="34" t="n">
        <v>0.5</v>
      </c>
    </row>
    <row r="79">
      <c r="A79" s="13" t="inlineStr">
        <is>
          <t>Company revenue, % of product net sales</t>
        </is>
      </c>
      <c r="B79" s="35" t="n">
        <v>1</v>
      </c>
    </row>
    <row r="80">
      <c r="A80" s="13" t="inlineStr">
        <is>
          <t>Cost of goods, % of product sales</t>
        </is>
      </c>
      <c r="B80" s="35" t="n">
        <v>0.05</v>
      </c>
    </row>
    <row r="81">
      <c r="A81" s="13" t="inlineStr">
        <is>
          <t>Royalties owed, % of product sales</t>
        </is>
      </c>
      <c r="B81" s="35" t="n">
        <v>0.08</v>
      </c>
    </row>
    <row r="82">
      <c r="A82" s="13" t="inlineStr">
        <is>
          <t>Commercial SG&amp;A at maturity, % of sales</t>
        </is>
      </c>
      <c r="B82" s="35" t="n">
        <v>0.3</v>
      </c>
    </row>
    <row r="83">
      <c r="A83" s="13" t="inlineStr">
        <is>
          <t>Pre-launch commercial spend, year before launch</t>
        </is>
      </c>
      <c r="B83" s="37" t="n">
        <v>30</v>
      </c>
    </row>
    <row r="84">
      <c r="A84" s="13" t="inlineStr">
        <is>
          <t>Launch ramp (1 = standard, 2 = orphan)</t>
        </is>
      </c>
      <c r="B84" s="39" t="n">
        <v>1</v>
      </c>
    </row>
    <row r="85">
      <c r="A85" s="13" t="inlineStr">
        <is>
          <t>Loss of exclusivity (year)</t>
        </is>
      </c>
      <c r="B85" s="38">
        <f>CHOOSE($B$4,C85,D85,E85)</f>
        <v>2041</v>
      </c>
      <c r="C85" s="39" t="n">
        <v>2041</v>
      </c>
      <c r="D85" s="39" t="n">
        <v>2041</v>
      </c>
      <c r="E85" s="39" t="n">
        <v>2041</v>
      </c>
    </row>
    <row r="86">
      <c r="A86" s="13" t="inlineStr">
        <is>
          <t>Post-LOE annual sales erosion</t>
        </is>
      </c>
      <c r="B86" s="35" t="n">
        <v>0.6</v>
      </c>
    </row>
    <row r="87">
      <c r="A87" s="25" t="inlineStr">
        <is>
          <t>Development spend, unrisked ($mm) by year</t>
        </is>
      </c>
      <c r="B87" s="42" t="n">
        <v>2027</v>
      </c>
      <c r="C87" s="42" t="n">
        <v>2028</v>
      </c>
      <c r="D87" s="42" t="n">
        <v>2029</v>
      </c>
      <c r="E87" s="42" t="n">
        <v>2030</v>
      </c>
      <c r="F87" s="42" t="n">
        <v>2031</v>
      </c>
      <c r="G87" s="42" t="n">
        <v>2032</v>
      </c>
      <c r="H87" s="42" t="n">
        <v>2033</v>
      </c>
      <c r="I87" s="42" t="n">
        <v>2034</v>
      </c>
    </row>
    <row r="88">
      <c r="A88" s="13" t="inlineStr">
        <is>
          <t xml:space="preserve">  Cost</t>
        </is>
      </c>
      <c r="B88" s="37" t="n">
        <v>15</v>
      </c>
      <c r="C88" s="37" t="n">
        <v>60</v>
      </c>
      <c r="D88" s="37" t="n">
        <v>80</v>
      </c>
      <c r="E88" s="37" t="n">
        <v>50</v>
      </c>
      <c r="F88" s="37" t="n">
        <v>0</v>
      </c>
      <c r="G88" s="37" t="n">
        <v>0</v>
      </c>
      <c r="H88" s="37" t="n">
        <v>0</v>
      </c>
      <c r="I88" s="37" t="n">
        <v>0</v>
      </c>
    </row>
    <row r="89">
      <c r="A89" s="13" t="inlineStr">
        <is>
          <t xml:space="preserve">  Probability the cost is incurred</t>
        </is>
      </c>
      <c r="B89" s="43" t="n">
        <v>1</v>
      </c>
      <c r="C89" s="43" t="n">
        <v>1</v>
      </c>
      <c r="D89" s="43" t="n">
        <v>1</v>
      </c>
      <c r="E89" s="43" t="n">
        <v>0.55</v>
      </c>
      <c r="F89" s="43" t="n">
        <v>1</v>
      </c>
      <c r="G89" s="43" t="n">
        <v>1</v>
      </c>
      <c r="H89" s="43" t="n">
        <v>1</v>
      </c>
      <c r="I89" s="43" t="n">
        <v>1</v>
      </c>
    </row>
    <row r="91">
      <c r="A91" s="30" t="inlineStr">
        <is>
          <t>AG-236 — polycythemia vera  (pipeline)</t>
        </is>
      </c>
      <c r="B91" s="31" t="n"/>
      <c r="C91" s="31" t="n"/>
      <c r="D91" s="31" t="n"/>
      <c r="E91" s="31" t="n"/>
    </row>
    <row r="92">
      <c r="A92" s="13" t="inlineStr">
        <is>
          <t>Launch year (first full year of sales)</t>
        </is>
      </c>
      <c r="B92" s="38">
        <f>CHOOSE($B$4,C92,D92,E92)</f>
        <v>2031</v>
      </c>
      <c r="C92" s="39" t="n">
        <v>2032</v>
      </c>
      <c r="D92" s="39" t="n">
        <v>2031</v>
      </c>
      <c r="E92" s="39" t="n">
        <v>2031</v>
      </c>
    </row>
    <row r="93">
      <c r="A93" s="13" t="inlineStr">
        <is>
          <t>Peak net sales, unrisked</t>
        </is>
      </c>
      <c r="B93" s="36">
        <f>CHOOSE($B$4,C93,D93,E93)</f>
        <v>900</v>
      </c>
      <c r="C93" s="44" t="n">
        <v>500</v>
      </c>
      <c r="D93" s="44" t="n">
        <v>900</v>
      </c>
      <c r="E93" s="44" t="n">
        <v>1500</v>
      </c>
    </row>
    <row r="94">
      <c r="A94" s="13" t="inlineStr">
        <is>
          <t>Probability of reaching market</t>
        </is>
      </c>
      <c r="B94" s="33">
        <f>CHOOSE($B$4,C94,D94,E94)</f>
        <v>0.22</v>
      </c>
      <c r="C94" s="34" t="n">
        <v>0.15</v>
      </c>
      <c r="D94" s="34" t="n">
        <v>0.22</v>
      </c>
      <c r="E94" s="34" t="n">
        <v>0.3</v>
      </c>
    </row>
    <row r="95">
      <c r="A95" s="13" t="inlineStr">
        <is>
          <t>Company revenue, % of product net sales</t>
        </is>
      </c>
      <c r="B95" s="35" t="n">
        <v>1</v>
      </c>
    </row>
    <row r="96">
      <c r="A96" s="13" t="inlineStr">
        <is>
          <t>Cost of goods, % of product sales</t>
        </is>
      </c>
      <c r="B96" s="35" t="n">
        <v>0.08</v>
      </c>
    </row>
    <row r="97">
      <c r="A97" s="13" t="inlineStr">
        <is>
          <t>Royalties owed, % of product sales</t>
        </is>
      </c>
      <c r="B97" s="35" t="n">
        <v>0.05</v>
      </c>
    </row>
    <row r="98">
      <c r="A98" s="13" t="inlineStr">
        <is>
          <t>Commercial SG&amp;A at maturity, % of sales</t>
        </is>
      </c>
      <c r="B98" s="35" t="n">
        <v>0.3</v>
      </c>
    </row>
    <row r="99">
      <c r="A99" s="13" t="inlineStr">
        <is>
          <t>Pre-launch commercial spend, year before launch</t>
        </is>
      </c>
      <c r="B99" s="37" t="n">
        <v>30</v>
      </c>
    </row>
    <row r="100">
      <c r="A100" s="13" t="inlineStr">
        <is>
          <t>Launch ramp (1 = standard, 2 = orphan)</t>
        </is>
      </c>
      <c r="B100" s="39" t="n">
        <v>1</v>
      </c>
    </row>
    <row r="101">
      <c r="A101" s="13" t="inlineStr">
        <is>
          <t>Loss of exclusivity (year)</t>
        </is>
      </c>
      <c r="B101" s="38">
        <f>CHOOSE($B$4,C101,D101,E101)</f>
        <v>2043</v>
      </c>
      <c r="C101" s="39" t="n">
        <v>2043</v>
      </c>
      <c r="D101" s="39" t="n">
        <v>2043</v>
      </c>
      <c r="E101" s="39" t="n">
        <v>2043</v>
      </c>
    </row>
    <row r="102">
      <c r="A102" s="13" t="inlineStr">
        <is>
          <t>Post-LOE annual sales erosion</t>
        </is>
      </c>
      <c r="B102" s="35" t="n">
        <v>0.6</v>
      </c>
    </row>
    <row r="103">
      <c r="A103" s="25" t="inlineStr">
        <is>
          <t>Development spend, unrisked ($mm) by year</t>
        </is>
      </c>
      <c r="B103" s="42" t="n">
        <v>2027</v>
      </c>
      <c r="C103" s="42" t="n">
        <v>2028</v>
      </c>
      <c r="D103" s="42" t="n">
        <v>2029</v>
      </c>
      <c r="E103" s="42" t="n">
        <v>2030</v>
      </c>
      <c r="F103" s="42" t="n">
        <v>2031</v>
      </c>
      <c r="G103" s="42" t="n">
        <v>2032</v>
      </c>
      <c r="H103" s="42" t="n">
        <v>2033</v>
      </c>
      <c r="I103" s="42" t="n">
        <v>2034</v>
      </c>
    </row>
    <row r="104">
      <c r="A104" s="13" t="inlineStr">
        <is>
          <t xml:space="preserve">  Cost</t>
        </is>
      </c>
      <c r="B104" s="37" t="n">
        <v>30</v>
      </c>
      <c r="C104" s="37" t="n">
        <v>60</v>
      </c>
      <c r="D104" s="37" t="n">
        <v>70</v>
      </c>
      <c r="E104" s="37" t="n">
        <v>40</v>
      </c>
      <c r="F104" s="37" t="n">
        <v>0</v>
      </c>
      <c r="G104" s="37" t="n">
        <v>0</v>
      </c>
      <c r="H104" s="37" t="n">
        <v>0</v>
      </c>
      <c r="I104" s="37" t="n">
        <v>0</v>
      </c>
    </row>
    <row r="105">
      <c r="A105" s="13" t="inlineStr">
        <is>
          <t xml:space="preserve">  Probability the cost is incurred</t>
        </is>
      </c>
      <c r="B105" s="43" t="n">
        <v>1</v>
      </c>
      <c r="C105" s="43" t="n">
        <v>0.5</v>
      </c>
      <c r="D105" s="43" t="n">
        <v>0.5</v>
      </c>
      <c r="E105" s="43" t="n">
        <v>0.45</v>
      </c>
      <c r="F105" s="43" t="n">
        <v>1</v>
      </c>
      <c r="G105" s="43" t="n">
        <v>1</v>
      </c>
      <c r="H105" s="43" t="n">
        <v>1</v>
      </c>
      <c r="I105" s="43" t="n">
        <v>1</v>
      </c>
    </row>
    <row r="108">
      <c r="A108" s="46" t="inlineStr">
        <is>
          <t>Sensitivity tables (Excel data tables)</t>
        </is>
      </c>
    </row>
    <row r="110">
      <c r="A110" s="30" t="inlineStr">
        <is>
          <t>Scenario summary</t>
        </is>
      </c>
    </row>
    <row r="111">
      <c r="A111" s="13" t="inlineStr">
        <is>
          <t>Scenario</t>
        </is>
      </c>
      <c r="B111" s="42" t="inlineStr">
        <is>
          <t>Case</t>
        </is>
      </c>
      <c r="C111" s="42" t="inlineStr">
        <is>
          <t>Equity value</t>
        </is>
      </c>
      <c r="D111" s="42" t="inlineStr">
        <is>
          <t>rNPV / share</t>
        </is>
      </c>
      <c r="E111" s="42" t="inlineStr">
        <is>
          <t>Upside</t>
        </is>
      </c>
      <c r="F111" s="42" t="inlineStr">
        <is>
          <t>Mitapivat SCD PV / share</t>
        </is>
      </c>
      <c r="G111" s="42" t="inlineStr">
        <is>
          <t>P(approval)</t>
        </is>
      </c>
      <c r="H111" s="42" t="inlineStr">
        <is>
          <t>Discount rate</t>
        </is>
      </c>
    </row>
    <row r="112">
      <c r="A112" s="25" t="inlineStr">
        <is>
          <t>Live (active scenario)</t>
        </is>
      </c>
      <c r="C112" s="47">
        <f>NPV!C31</f>
        <v>2164.388333785907</v>
      </c>
      <c r="D112" s="48">
        <f>NPV!C43</f>
        <v>34.93773133879266</v>
      </c>
      <c r="E112" s="49">
        <f>NPV!C45</f>
        <v>-0.04645929752203448</v>
      </c>
      <c r="F112" s="48">
        <f>NPV!C53</f>
        <v>16.892876712530327</v>
      </c>
      <c r="G112" s="50">
        <f>$B$32</f>
        <v>0.65</v>
      </c>
      <c r="H112" s="51">
        <f>$B$14</f>
        <v>0.11</v>
      </c>
    </row>
    <row r="113">
      <c r="A113" s="22" t="inlineStr">
        <is>
          <t>Bear</t>
        </is>
      </c>
      <c r="B113" s="52" t="n">
        <v>1</v>
      </c>
      <c r="C113" s="53">
        <f t="dataTable" ref="C113:H115" r1="B4"/>
        <v>783.0607190804637</v>
      </c>
      <c r="D113" s="54">
        <v>12.640229388660721</v>
      </c>
      <c r="E113" s="55">
        <v>-0.655015573453583</v>
      </c>
      <c r="F113" s="54">
        <v>4.5083827047686995</v>
      </c>
      <c r="G113" s="56">
        <v>0.5</v>
      </c>
      <c r="H113" s="55">
        <v>0.13</v>
      </c>
    </row>
    <row r="114">
      <c r="A114" s="22" t="inlineStr">
        <is>
          <t>Base</t>
        </is>
      </c>
      <c r="B114" s="52" t="n">
        <v>2</v>
      </c>
      <c r="C114" s="57">
        <v>2164.388333785907</v>
      </c>
      <c r="D114" s="58">
        <v>34.93773133879266</v>
      </c>
      <c r="E114" s="59">
        <v>-0.04645929752203448</v>
      </c>
      <c r="F114" s="58">
        <v>16.892876712530327</v>
      </c>
      <c r="G114" s="60">
        <v>0.65</v>
      </c>
      <c r="H114" s="59">
        <v>0.11</v>
      </c>
    </row>
    <row r="115">
      <c r="A115" s="22" t="inlineStr">
        <is>
          <t>Bull</t>
        </is>
      </c>
      <c r="B115" s="52" t="n">
        <v>3</v>
      </c>
      <c r="C115" s="53">
        <v>3779.480021560352</v>
      </c>
      <c r="D115" s="54">
        <v>58.56494475125391</v>
      </c>
      <c r="E115" s="55">
        <v>0.5983882301106416</v>
      </c>
      <c r="F115" s="54">
        <v>35.88547280342549</v>
      </c>
      <c r="G115" s="56">
        <v>0.8</v>
      </c>
      <c r="H115" s="55">
        <v>0.095</v>
      </c>
    </row>
    <row r="117">
      <c r="A117" s="30" t="inlineStr">
        <is>
          <t>PDUFA outcome (Mitapivat SCD): value if the FDA approves vs. issues a CRL</t>
        </is>
      </c>
    </row>
    <row r="118">
      <c r="A118" s="13" t="inlineStr">
        <is>
          <t>Outcome</t>
        </is>
      </c>
      <c r="B118" s="42" t="inlineStr">
        <is>
          <t>P(approval)</t>
        </is>
      </c>
      <c r="C118" s="42" t="inlineStr">
        <is>
          <t>Equity value</t>
        </is>
      </c>
      <c r="D118" s="42" t="inlineStr">
        <is>
          <t>rNPV / share</t>
        </is>
      </c>
      <c r="E118" s="42" t="inlineStr">
        <is>
          <t>Upside</t>
        </is>
      </c>
      <c r="F118" s="42" t="inlineStr">
        <is>
          <t>Mitapivat SCD PV / share</t>
        </is>
      </c>
    </row>
    <row r="119">
      <c r="A119" s="25" t="inlineStr">
        <is>
          <t>Live (probability-weighted)</t>
        </is>
      </c>
      <c r="B119" s="61">
        <f>$B$32</f>
        <v>0.65</v>
      </c>
      <c r="C119" s="47">
        <f>NPV!C31</f>
        <v>2164.388333785907</v>
      </c>
      <c r="D119" s="48">
        <f>NPV!C43</f>
        <v>34.93773133879266</v>
      </c>
      <c r="E119" s="49">
        <f>NPV!C45</f>
        <v>-0.04645929752203448</v>
      </c>
      <c r="F119" s="48">
        <f>NPV!C53</f>
        <v>16.892876712530327</v>
      </c>
    </row>
    <row r="120">
      <c r="A120" s="22" t="inlineStr">
        <is>
          <t>Complete response letter (CRL)</t>
        </is>
      </c>
      <c r="B120" s="62" t="n">
        <v>0</v>
      </c>
      <c r="C120" s="57">
        <f t="dataTable" ref="C120:F121" r1="B7"/>
        <v>1727.6891224404544</v>
      </c>
      <c r="D120" s="58">
        <v>27.88849738955846</v>
      </c>
      <c r="E120" s="59">
        <v>-0.2388510537784263</v>
      </c>
      <c r="F120" s="58">
        <v>5.226819236886527</v>
      </c>
    </row>
    <row r="121">
      <c r="A121" s="22" t="inlineStr">
        <is>
          <t>Approved on time</t>
        </is>
      </c>
      <c r="B121" s="62" t="n">
        <v>1</v>
      </c>
      <c r="C121" s="57">
        <v>2378.328301605108</v>
      </c>
      <c r="D121" s="58">
        <v>38.238203305232126</v>
      </c>
      <c r="E121" s="59">
        <v>0.043619085841488214</v>
      </c>
      <c r="F121" s="58">
        <v>23.082263992210454</v>
      </c>
    </row>
    <row r="123">
      <c r="A123" s="30" t="inlineStr">
        <is>
          <t>rNPV / share: Mitapivat SCD peak sales × probability of approval</t>
        </is>
      </c>
    </row>
    <row r="124">
      <c r="C124" s="25" t="inlineStr">
        <is>
          <t>Probability of approval →</t>
        </is>
      </c>
    </row>
    <row r="125">
      <c r="A125" s="25" t="inlineStr">
        <is>
          <t>Peak sales ($mm) ↓</t>
        </is>
      </c>
      <c r="B125" s="48">
        <f>NPV!C43</f>
        <v>34.93773133879266</v>
      </c>
      <c r="C125" s="63" t="n">
        <v>0</v>
      </c>
      <c r="D125" s="63" t="n">
        <v>0.25</v>
      </c>
      <c r="E125" s="63" t="n">
        <v>0.5</v>
      </c>
      <c r="F125" s="63" t="n">
        <v>0.75</v>
      </c>
      <c r="G125" s="63" t="n">
        <v>1</v>
      </c>
    </row>
    <row r="126">
      <c r="B126" s="57" t="n">
        <v>250</v>
      </c>
      <c r="C126" s="54">
        <f t="dataTable" ref="C126:G132" dt2D="1" r1="B7" r2="B8"/>
        <v>25.877812167942167</v>
      </c>
      <c r="D126" s="54">
        <v>27.162651888926234</v>
      </c>
      <c r="E126" s="54">
        <v>28.469533527879985</v>
      </c>
      <c r="F126" s="54">
        <v>29.720729214131385</v>
      </c>
      <c r="G126" s="54">
        <v>30.868928743669727</v>
      </c>
    </row>
    <row r="127">
      <c r="B127" s="57" t="n">
        <v>350</v>
      </c>
      <c r="C127" s="54">
        <v>26.471022447349153</v>
      </c>
      <c r="D127" s="54">
        <v>28.221637222808564</v>
      </c>
      <c r="E127" s="54">
        <v>29.990721403266395</v>
      </c>
      <c r="F127" s="54">
        <v>31.567566739751562</v>
      </c>
      <c r="G127" s="54">
        <v>33.066611564415275</v>
      </c>
    </row>
    <row r="128">
      <c r="B128" s="57" t="n">
        <v>475</v>
      </c>
      <c r="C128" s="54">
        <v>27.179759918453804</v>
      </c>
      <c r="D128" s="54">
        <v>29.58350774728851</v>
      </c>
      <c r="E128" s="54">
        <v>31.744439892712137</v>
      </c>
      <c r="F128" s="54">
        <v>33.7662987230576</v>
      </c>
      <c r="G128" s="54">
        <v>35.85264874347651</v>
      </c>
    </row>
    <row r="129">
      <c r="B129" s="57" t="n">
        <v>600</v>
      </c>
      <c r="C129" s="54">
        <v>27.88849738955846</v>
      </c>
      <c r="D129" s="54">
        <v>30.820100769280483</v>
      </c>
      <c r="E129" s="54">
        <v>33.41065584211833</v>
      </c>
      <c r="F129" s="54">
        <v>36.0266337730752</v>
      </c>
      <c r="G129" s="54">
        <v>38.238203305232126</v>
      </c>
    </row>
    <row r="130">
      <c r="B130" s="57" t="n">
        <v>750</v>
      </c>
      <c r="C130" s="54">
        <v>28.720788774737425</v>
      </c>
      <c r="D130" s="54">
        <v>32.23653566324124</v>
      </c>
      <c r="E130" s="54">
        <v>35.4023604789328</v>
      </c>
      <c r="F130" s="54">
        <v>38.35339769236525</v>
      </c>
      <c r="G130" s="54">
        <v>40.90177760672653</v>
      </c>
    </row>
    <row r="131">
      <c r="B131" s="57" t="n">
        <v>900</v>
      </c>
      <c r="C131" s="54">
        <v>29.503132022873345</v>
      </c>
      <c r="D131" s="54">
        <v>33.60073407965195</v>
      </c>
      <c r="E131" s="54">
        <v>37.41255730497161</v>
      </c>
      <c r="F131" s="54">
        <v>40.512155298811265</v>
      </c>
      <c r="G131" s="54">
        <v>43.56906161731445</v>
      </c>
    </row>
    <row r="132">
      <c r="B132" s="57" t="n">
        <v>1200</v>
      </c>
      <c r="C132" s="54">
        <v>31.07493803110563</v>
      </c>
      <c r="D132" s="54">
        <v>36.32913091247337</v>
      </c>
      <c r="E132" s="54">
        <v>40.76790203801174</v>
      </c>
      <c r="F132" s="54">
        <v>44.83679327675273</v>
      </c>
      <c r="G132" s="54">
        <v>48.71361391224086</v>
      </c>
    </row>
    <row r="134">
      <c r="A134" s="30" t="inlineStr">
        <is>
          <t>rNPV / share: discount rate × scenario</t>
        </is>
      </c>
    </row>
    <row r="135">
      <c r="C135" s="25" t="inlineStr">
        <is>
          <t>Scenario →</t>
        </is>
      </c>
    </row>
    <row r="136">
      <c r="A136" s="25" t="inlineStr">
        <is>
          <t>Discount rate ↓</t>
        </is>
      </c>
      <c r="B136" s="48">
        <f>NPV!C43</f>
        <v>34.93773133879266</v>
      </c>
      <c r="C136" s="38" t="n">
        <v>1</v>
      </c>
      <c r="D136" s="38" t="n">
        <v>2</v>
      </c>
      <c r="E136" s="38" t="n">
        <v>3</v>
      </c>
      <c r="F136" s="25" t="inlineStr">
        <is>
          <t>1 = Bear, 2 = Base, 3 = Bull</t>
        </is>
      </c>
    </row>
    <row r="137">
      <c r="B137" s="59" t="n">
        <v>0.08</v>
      </c>
      <c r="C137" s="54">
        <f t="dataTable" ref="C137:E143" dt2D="1" r1="B4" r2="B6"/>
        <v>14.802139140138852</v>
      </c>
      <c r="D137" s="54">
        <v>40.496699538207075</v>
      </c>
      <c r="E137" s="54">
        <v>63.630227536761716</v>
      </c>
    </row>
    <row r="138">
      <c r="B138" s="59" t="n">
        <v>0.09</v>
      </c>
      <c r="C138" s="54">
        <v>14.281728938898375</v>
      </c>
      <c r="D138" s="54">
        <v>38.54922174953583</v>
      </c>
      <c r="E138" s="54">
        <v>60.175959249937094</v>
      </c>
    </row>
    <row r="139">
      <c r="B139" s="59" t="n">
        <v>0.1</v>
      </c>
      <c r="C139" s="54">
        <v>13.81009251419352</v>
      </c>
      <c r="D139" s="54">
        <v>36.75337816357556</v>
      </c>
      <c r="E139" s="54">
        <v>57.025817891052824</v>
      </c>
    </row>
    <row r="140">
      <c r="B140" s="59" t="n">
        <v>0.11</v>
      </c>
      <c r="C140" s="54">
        <v>13.382176743057522</v>
      </c>
      <c r="D140" s="54">
        <v>34.93773133879266</v>
      </c>
      <c r="E140" s="54">
        <v>54.14816725591324</v>
      </c>
    </row>
    <row r="141">
      <c r="B141" s="59" t="n">
        <v>0.12</v>
      </c>
      <c r="C141" s="54">
        <v>12.993531778342403</v>
      </c>
      <c r="D141" s="54">
        <v>33.274672248853705</v>
      </c>
      <c r="E141" s="54">
        <v>51.515140549677575</v>
      </c>
    </row>
    <row r="142">
      <c r="B142" s="59" t="n">
        <v>0.13</v>
      </c>
      <c r="C142" s="54">
        <v>12.640229388660721</v>
      </c>
      <c r="D142" s="54">
        <v>31.749151074124114</v>
      </c>
      <c r="E142" s="54">
        <v>49.10213858690347</v>
      </c>
    </row>
    <row r="143">
      <c r="B143" s="59" t="n">
        <v>0.14</v>
      </c>
      <c r="C143" s="54">
        <v>12.318793539660824</v>
      </c>
      <c r="D143" s="54">
        <v>30.34781934207332</v>
      </c>
      <c r="E143" s="54">
        <v>46.88740120675372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style="9" min="1" max="1"/>
    <col width="2" customWidth="1" style="9" min="2" max="2"/>
    <col width="9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</cols>
  <sheetData>
    <row r="1">
      <c r="A1" s="23" t="inlineStr">
        <is>
          <t>AGIO — risk-adjusted program build ($mm)</t>
        </is>
      </c>
    </row>
    <row r="2">
      <c r="A2" s="22" t="inlineStr">
        <is>
          <t>Year</t>
        </is>
      </c>
      <c r="C2" s="22" t="n">
        <v>2027</v>
      </c>
      <c r="D2" s="22" t="n">
        <v>2028</v>
      </c>
      <c r="E2" s="22" t="n">
        <v>2029</v>
      </c>
      <c r="F2" s="22" t="n">
        <v>2030</v>
      </c>
      <c r="G2" s="22" t="n">
        <v>2031</v>
      </c>
      <c r="H2" s="22" t="n">
        <v>2032</v>
      </c>
      <c r="I2" s="22" t="n">
        <v>2033</v>
      </c>
      <c r="J2" s="22" t="n">
        <v>2034</v>
      </c>
      <c r="K2" s="22" t="n">
        <v>2035</v>
      </c>
      <c r="L2" s="22" t="n">
        <v>2036</v>
      </c>
      <c r="M2" s="22" t="n">
        <v>2037</v>
      </c>
      <c r="N2" s="22" t="n">
        <v>2038</v>
      </c>
      <c r="O2" s="22" t="n">
        <v>2039</v>
      </c>
      <c r="P2" s="22" t="n">
        <v>2040</v>
      </c>
      <c r="Q2" s="22" t="n">
        <v>2041</v>
      </c>
      <c r="R2" s="22" t="n">
        <v>2042</v>
      </c>
      <c r="S2" s="22" t="n">
        <v>2043</v>
      </c>
      <c r="T2" s="22" t="n">
        <v>2044</v>
      </c>
      <c r="U2" s="22" t="n">
        <v>2045</v>
      </c>
      <c r="V2" s="22" t="n">
        <v>2046</v>
      </c>
      <c r="W2" s="22" t="n">
        <v>2047</v>
      </c>
      <c r="X2" s="22" t="n">
        <v>2048</v>
      </c>
      <c r="Y2" s="22" t="n">
        <v>2049</v>
      </c>
      <c r="Z2" s="22" t="n">
        <v>2050</v>
      </c>
    </row>
    <row r="4">
      <c r="A4" s="30" t="inlineStr">
        <is>
          <t>Mitapivat — thalassemia + PKD (AQVESME / PYRUKYND)</t>
        </is>
      </c>
    </row>
    <row r="5">
      <c r="A5" s="13" t="inlineStr">
        <is>
          <t>Years since launch</t>
        </is>
      </c>
      <c r="C5" s="64">
        <f>C$2-Assumptions!$B$47+1</f>
        <v>2.0</v>
      </c>
      <c r="D5" s="64">
        <f>D$2-Assumptions!$B$47+1</f>
        <v>3.0</v>
      </c>
      <c r="E5" s="64">
        <f>E$2-Assumptions!$B$47+1</f>
        <v>4.0</v>
      </c>
      <c r="F5" s="64">
        <f>F$2-Assumptions!$B$47+1</f>
        <v>5.0</v>
      </c>
      <c r="G5" s="64">
        <f>G$2-Assumptions!$B$47+1</f>
        <v>6.0</v>
      </c>
      <c r="H5" s="64">
        <f>H$2-Assumptions!$B$47+1</f>
        <v>7.0</v>
      </c>
      <c r="I5" s="64">
        <f>I$2-Assumptions!$B$47+1</f>
        <v>8.0</v>
      </c>
      <c r="J5" s="64">
        <f>J$2-Assumptions!$B$47+1</f>
        <v>9.0</v>
      </c>
      <c r="K5" s="64">
        <f>K$2-Assumptions!$B$47+1</f>
        <v>10.0</v>
      </c>
      <c r="L5" s="64">
        <f>L$2-Assumptions!$B$47+1</f>
        <v>11.0</v>
      </c>
      <c r="M5" s="64">
        <f>M$2-Assumptions!$B$47+1</f>
        <v>12.0</v>
      </c>
      <c r="N5" s="64">
        <f>N$2-Assumptions!$B$47+1</f>
        <v>13.0</v>
      </c>
      <c r="O5" s="64">
        <f>O$2-Assumptions!$B$47+1</f>
        <v>14.0</v>
      </c>
      <c r="P5" s="64">
        <f>P$2-Assumptions!$B$47+1</f>
        <v>15.0</v>
      </c>
      <c r="Q5" s="64">
        <f>Q$2-Assumptions!$B$47+1</f>
        <v>16.0</v>
      </c>
      <c r="R5" s="64">
        <f>R$2-Assumptions!$B$47+1</f>
        <v>17.0</v>
      </c>
      <c r="S5" s="64">
        <f>S$2-Assumptions!$B$47+1</f>
        <v>18.0</v>
      </c>
      <c r="T5" s="64">
        <f>T$2-Assumptions!$B$47+1</f>
        <v>19.0</v>
      </c>
      <c r="U5" s="64">
        <f>U$2-Assumptions!$B$47+1</f>
        <v>20.0</v>
      </c>
      <c r="V5" s="64">
        <f>V$2-Assumptions!$B$47+1</f>
        <v>21.0</v>
      </c>
      <c r="W5" s="64">
        <f>W$2-Assumptions!$B$47+1</f>
        <v>22.0</v>
      </c>
      <c r="X5" s="64">
        <f>X$2-Assumptions!$B$47+1</f>
        <v>23.0</v>
      </c>
      <c r="Y5" s="64">
        <f>Y$2-Assumptions!$B$47+1</f>
        <v>24.0</v>
      </c>
      <c r="Z5" s="64">
        <f>Z$2-Assumptions!$B$47+1</f>
        <v>25.0</v>
      </c>
    </row>
    <row r="6">
      <c r="A6" s="13" t="inlineStr">
        <is>
          <t>Net sales</t>
        </is>
      </c>
      <c r="C6" s="53">
        <f>IF(C$2&gt;Assumptions!$B$55,Assumptions!$B$57*(1-Assumptions!$B$56),IF(C$2&lt;Assumptions!$B$49,Assumptions!$B$57+(Assumptions!$B$48-Assumptions!$B$57)*((C$2-2026)/(Assumptions!$B$49-2026))^Assumptions!$B$50,Assumptions!$B$48))</f>
        <v>314.392</v>
      </c>
      <c r="D6" s="53">
        <f>IF(D$2&gt;Assumptions!$B$55,C6*(1-Assumptions!$B$56),IF(D$2&lt;Assumptions!$B$49,Assumptions!$B$57+(Assumptions!$B$48-Assumptions!$B$57)*((D$2-2026)/(Assumptions!$B$49-2026))^Assumptions!$B$50,Assumptions!$B$48))</f>
        <v>423.294</v>
      </c>
      <c r="E6" s="53">
        <f>IF(E$2&gt;Assumptions!$B$55,D6*(1-Assumptions!$B$56),IF(E$2&lt;Assumptions!$B$49,Assumptions!$B$57+(Assumptions!$B$48-Assumptions!$B$57)*((E$2-2026)/(Assumptions!$B$49-2026))^Assumptions!$B$50,Assumptions!$B$48))</f>
        <v>532.1959999999999</v>
      </c>
      <c r="F6" s="53">
        <f>IF(F$2&gt;Assumptions!$B$55,E6*(1-Assumptions!$B$56),IF(F$2&lt;Assumptions!$B$49,Assumptions!$B$57+(Assumptions!$B$48-Assumptions!$B$57)*((F$2-2026)/(Assumptions!$B$49-2026))^Assumptions!$B$50,Assumptions!$B$48))</f>
        <v>641.098</v>
      </c>
      <c r="G6" s="53">
        <f>IF(G$2&gt;Assumptions!$B$55,F6*(1-Assumptions!$B$56),IF(G$2&lt;Assumptions!$B$49,Assumptions!$B$57+(Assumptions!$B$48-Assumptions!$B$57)*((G$2-2026)/(Assumptions!$B$49-2026))^Assumptions!$B$50,Assumptions!$B$48))</f>
        <v>750</v>
      </c>
      <c r="H6" s="53">
        <f>IF(H$2&gt;Assumptions!$B$55,G6*(1-Assumptions!$B$56),IF(H$2&lt;Assumptions!$B$49,Assumptions!$B$57+(Assumptions!$B$48-Assumptions!$B$57)*((H$2-2026)/(Assumptions!$B$49-2026))^Assumptions!$B$50,Assumptions!$B$48))</f>
        <v>750</v>
      </c>
      <c r="I6" s="53">
        <f>IF(I$2&gt;Assumptions!$B$55,H6*(1-Assumptions!$B$56),IF(I$2&lt;Assumptions!$B$49,Assumptions!$B$57+(Assumptions!$B$48-Assumptions!$B$57)*((I$2-2026)/(Assumptions!$B$49-2026))^Assumptions!$B$50,Assumptions!$B$48))</f>
        <v>750</v>
      </c>
      <c r="J6" s="53">
        <f>IF(J$2&gt;Assumptions!$B$55,I6*(1-Assumptions!$B$56),IF(J$2&lt;Assumptions!$B$49,Assumptions!$B$57+(Assumptions!$B$48-Assumptions!$B$57)*((J$2-2026)/(Assumptions!$B$49-2026))^Assumptions!$B$50,Assumptions!$B$48))</f>
        <v>750</v>
      </c>
      <c r="K6" s="53">
        <f>IF(K$2&gt;Assumptions!$B$55,J6*(1-Assumptions!$B$56),IF(K$2&lt;Assumptions!$B$49,Assumptions!$B$57+(Assumptions!$B$48-Assumptions!$B$57)*((K$2-2026)/(Assumptions!$B$49-2026))^Assumptions!$B$50,Assumptions!$B$48))</f>
        <v>750</v>
      </c>
      <c r="L6" s="53">
        <f>IF(L$2&gt;Assumptions!$B$55,K6*(1-Assumptions!$B$56),IF(L$2&lt;Assumptions!$B$49,Assumptions!$B$57+(Assumptions!$B$48-Assumptions!$B$57)*((L$2-2026)/(Assumptions!$B$49-2026))^Assumptions!$B$50,Assumptions!$B$48))</f>
        <v>750</v>
      </c>
      <c r="M6" s="53">
        <f>IF(M$2&gt;Assumptions!$B$55,L6*(1-Assumptions!$B$56),IF(M$2&lt;Assumptions!$B$49,Assumptions!$B$57+(Assumptions!$B$48-Assumptions!$B$57)*((M$2-2026)/(Assumptions!$B$49-2026))^Assumptions!$B$50,Assumptions!$B$48))</f>
        <v>300.0</v>
      </c>
      <c r="N6" s="53">
        <f>IF(N$2&gt;Assumptions!$B$55,M6*(1-Assumptions!$B$56),IF(N$2&lt;Assumptions!$B$49,Assumptions!$B$57+(Assumptions!$B$48-Assumptions!$B$57)*((N$2-2026)/(Assumptions!$B$49-2026))^Assumptions!$B$50,Assumptions!$B$48))</f>
        <v>120.0</v>
      </c>
      <c r="O6" s="53">
        <f>IF(O$2&gt;Assumptions!$B$55,N6*(1-Assumptions!$B$56),IF(O$2&lt;Assumptions!$B$49,Assumptions!$B$57+(Assumptions!$B$48-Assumptions!$B$57)*((O$2-2026)/(Assumptions!$B$49-2026))^Assumptions!$B$50,Assumptions!$B$48))</f>
        <v>48.0</v>
      </c>
      <c r="P6" s="53">
        <f>IF(P$2&gt;Assumptions!$B$55,O6*(1-Assumptions!$B$56),IF(P$2&lt;Assumptions!$B$49,Assumptions!$B$57+(Assumptions!$B$48-Assumptions!$B$57)*((P$2-2026)/(Assumptions!$B$49-2026))^Assumptions!$B$50,Assumptions!$B$48))</f>
        <v>19.200000000000003</v>
      </c>
      <c r="Q6" s="53">
        <f>IF(Q$2&gt;Assumptions!$B$55,P6*(1-Assumptions!$B$56),IF(Q$2&lt;Assumptions!$B$49,Assumptions!$B$57+(Assumptions!$B$48-Assumptions!$B$57)*((Q$2-2026)/(Assumptions!$B$49-2026))^Assumptions!$B$50,Assumptions!$B$48))</f>
        <v>7.6800000000000015</v>
      </c>
      <c r="R6" s="53">
        <f>IF(R$2&gt;Assumptions!$B$55,Q6*(1-Assumptions!$B$56),IF(R$2&lt;Assumptions!$B$49,Assumptions!$B$57+(Assumptions!$B$48-Assumptions!$B$57)*((R$2-2026)/(Assumptions!$B$49-2026))^Assumptions!$B$50,Assumptions!$B$48))</f>
        <v>3.072000000000001</v>
      </c>
      <c r="S6" s="53">
        <f>IF(S$2&gt;Assumptions!$B$55,R6*(1-Assumptions!$B$56),IF(S$2&lt;Assumptions!$B$49,Assumptions!$B$57+(Assumptions!$B$48-Assumptions!$B$57)*((S$2-2026)/(Assumptions!$B$49-2026))^Assumptions!$B$50,Assumptions!$B$48))</f>
        <v>1.2288000000000006</v>
      </c>
      <c r="T6" s="53">
        <f>IF(T$2&gt;Assumptions!$B$55,S6*(1-Assumptions!$B$56),IF(T$2&lt;Assumptions!$B$49,Assumptions!$B$57+(Assumptions!$B$48-Assumptions!$B$57)*((T$2-2026)/(Assumptions!$B$49-2026))^Assumptions!$B$50,Assumptions!$B$48))</f>
        <v>0.49152000000000023</v>
      </c>
      <c r="U6" s="53">
        <f>IF(U$2&gt;Assumptions!$B$55,T6*(1-Assumptions!$B$56),IF(U$2&lt;Assumptions!$B$49,Assumptions!$B$57+(Assumptions!$B$48-Assumptions!$B$57)*((U$2-2026)/(Assumptions!$B$49-2026))^Assumptions!$B$50,Assumptions!$B$48))</f>
        <v>0.19660800000000012</v>
      </c>
      <c r="V6" s="53">
        <f>IF(V$2&gt;Assumptions!$B$55,U6*(1-Assumptions!$B$56),IF(V$2&lt;Assumptions!$B$49,Assumptions!$B$57+(Assumptions!$B$48-Assumptions!$B$57)*((V$2-2026)/(Assumptions!$B$49-2026))^Assumptions!$B$50,Assumptions!$B$48))</f>
        <v>0.07864320000000005</v>
      </c>
      <c r="W6" s="53">
        <f>IF(W$2&gt;Assumptions!$B$55,V6*(1-Assumptions!$B$56),IF(W$2&lt;Assumptions!$B$49,Assumptions!$B$57+(Assumptions!$B$48-Assumptions!$B$57)*((W$2-2026)/(Assumptions!$B$49-2026))^Assumptions!$B$50,Assumptions!$B$48))</f>
        <v>0.031457280000000025</v>
      </c>
      <c r="X6" s="53">
        <f>IF(X$2&gt;Assumptions!$B$55,W6*(1-Assumptions!$B$56),IF(X$2&lt;Assumptions!$B$49,Assumptions!$B$57+(Assumptions!$B$48-Assumptions!$B$57)*((X$2-2026)/(Assumptions!$B$49-2026))^Assumptions!$B$50,Assumptions!$B$48))</f>
        <v>0.01258291200000001</v>
      </c>
      <c r="Y6" s="53">
        <f>IF(Y$2&gt;Assumptions!$B$55,X6*(1-Assumptions!$B$56),IF(Y$2&lt;Assumptions!$B$49,Assumptions!$B$57+(Assumptions!$B$48-Assumptions!$B$57)*((Y$2-2026)/(Assumptions!$B$49-2026))^Assumptions!$B$50,Assumptions!$B$48))</f>
        <v>0.005033164800000004</v>
      </c>
      <c r="Z6" s="53">
        <f>IF(Z$2&gt;Assumptions!$B$55,Y6*(1-Assumptions!$B$56),IF(Z$2&lt;Assumptions!$B$49,Assumptions!$B$57+(Assumptions!$B$48-Assumptions!$B$57)*((Z$2-2026)/(Assumptions!$B$49-2026))^Assumptions!$B$50,Assumptions!$B$48))</f>
        <v>0.0020132659200000017</v>
      </c>
    </row>
    <row r="7">
      <c r="A7" s="13" t="inlineStr">
        <is>
          <t>Company revenue</t>
        </is>
      </c>
      <c r="C7" s="53">
        <f>C6*Assumptions!$B$51</f>
        <v>314.392</v>
      </c>
      <c r="D7" s="53">
        <f>D6*Assumptions!$B$51</f>
        <v>423.294</v>
      </c>
      <c r="E7" s="53">
        <f>E6*Assumptions!$B$51</f>
        <v>532.1959999999999</v>
      </c>
      <c r="F7" s="53">
        <f>F6*Assumptions!$B$51</f>
        <v>641.098</v>
      </c>
      <c r="G7" s="53">
        <f>G6*Assumptions!$B$51</f>
        <v>750.0</v>
      </c>
      <c r="H7" s="53">
        <f>H6*Assumptions!$B$51</f>
        <v>750.0</v>
      </c>
      <c r="I7" s="53">
        <f>I6*Assumptions!$B$51</f>
        <v>750.0</v>
      </c>
      <c r="J7" s="53">
        <f>J6*Assumptions!$B$51</f>
        <v>750.0</v>
      </c>
      <c r="K7" s="53">
        <f>K6*Assumptions!$B$51</f>
        <v>750.0</v>
      </c>
      <c r="L7" s="53">
        <f>L6*Assumptions!$B$51</f>
        <v>750.0</v>
      </c>
      <c r="M7" s="53">
        <f>M6*Assumptions!$B$51</f>
        <v>300.0</v>
      </c>
      <c r="N7" s="53">
        <f>N6*Assumptions!$B$51</f>
        <v>120.0</v>
      </c>
      <c r="O7" s="53">
        <f>O6*Assumptions!$B$51</f>
        <v>48.0</v>
      </c>
      <c r="P7" s="53">
        <f>P6*Assumptions!$B$51</f>
        <v>19.200000000000003</v>
      </c>
      <c r="Q7" s="53">
        <f>Q6*Assumptions!$B$51</f>
        <v>7.6800000000000015</v>
      </c>
      <c r="R7" s="53">
        <f>R6*Assumptions!$B$51</f>
        <v>3.072000000000001</v>
      </c>
      <c r="S7" s="53">
        <f>S6*Assumptions!$B$51</f>
        <v>1.2288000000000006</v>
      </c>
      <c r="T7" s="53">
        <f>T6*Assumptions!$B$51</f>
        <v>0.49152000000000023</v>
      </c>
      <c r="U7" s="53">
        <f>U6*Assumptions!$B$51</f>
        <v>0.19660800000000012</v>
      </c>
      <c r="V7" s="53">
        <f>V6*Assumptions!$B$51</f>
        <v>0.07864320000000005</v>
      </c>
      <c r="W7" s="53">
        <f>W6*Assumptions!$B$51</f>
        <v>0.031457280000000025</v>
      </c>
      <c r="X7" s="53">
        <f>X6*Assumptions!$B$51</f>
        <v>0.01258291200000001</v>
      </c>
      <c r="Y7" s="53">
        <f>Y6*Assumptions!$B$51</f>
        <v>0.005033164800000004</v>
      </c>
      <c r="Z7" s="53">
        <f>Z6*Assumptions!$B$51</f>
        <v>0.0020132659200000017</v>
      </c>
    </row>
    <row r="8">
      <c r="A8" s="13" t="inlineStr">
        <is>
          <t>COGS + royalties</t>
        </is>
      </c>
      <c r="C8" s="53">
        <f>C6*(Assumptions!$B$52+Assumptions!$B$53)</f>
        <v>18.863519999999998</v>
      </c>
      <c r="D8" s="53">
        <f>D6*(Assumptions!$B$52+Assumptions!$B$53)</f>
        <v>25.39764</v>
      </c>
      <c r="E8" s="53">
        <f>E6*(Assumptions!$B$52+Assumptions!$B$53)</f>
        <v>31.931759999999993</v>
      </c>
      <c r="F8" s="53">
        <f>F6*(Assumptions!$B$52+Assumptions!$B$53)</f>
        <v>38.46588</v>
      </c>
      <c r="G8" s="53">
        <f>G6*(Assumptions!$B$52+Assumptions!$B$53)</f>
        <v>45.0</v>
      </c>
      <c r="H8" s="53">
        <f>H6*(Assumptions!$B$52+Assumptions!$B$53)</f>
        <v>45.0</v>
      </c>
      <c r="I8" s="53">
        <f>I6*(Assumptions!$B$52+Assumptions!$B$53)</f>
        <v>45.0</v>
      </c>
      <c r="J8" s="53">
        <f>J6*(Assumptions!$B$52+Assumptions!$B$53)</f>
        <v>45.0</v>
      </c>
      <c r="K8" s="53">
        <f>K6*(Assumptions!$B$52+Assumptions!$B$53)</f>
        <v>45.0</v>
      </c>
      <c r="L8" s="53">
        <f>L6*(Assumptions!$B$52+Assumptions!$B$53)</f>
        <v>45.0</v>
      </c>
      <c r="M8" s="53">
        <f>M6*(Assumptions!$B$52+Assumptions!$B$53)</f>
        <v>18.0</v>
      </c>
      <c r="N8" s="53">
        <f>N6*(Assumptions!$B$52+Assumptions!$B$53)</f>
        <v>7.199999999999999</v>
      </c>
      <c r="O8" s="53">
        <f>O6*(Assumptions!$B$52+Assumptions!$B$53)</f>
        <v>2.88</v>
      </c>
      <c r="P8" s="53">
        <f>P6*(Assumptions!$B$52+Assumptions!$B$53)</f>
        <v>1.1520000000000001</v>
      </c>
      <c r="Q8" s="53">
        <f>Q6*(Assumptions!$B$52+Assumptions!$B$53)</f>
        <v>0.4608000000000001</v>
      </c>
      <c r="R8" s="53">
        <f>R6*(Assumptions!$B$52+Assumptions!$B$53)</f>
        <v>0.18432000000000004</v>
      </c>
      <c r="S8" s="53">
        <f>S6*(Assumptions!$B$52+Assumptions!$B$53)</f>
        <v>0.07372800000000003</v>
      </c>
      <c r="T8" s="53">
        <f>T6*(Assumptions!$B$52+Assumptions!$B$53)</f>
        <v>0.029491200000000013</v>
      </c>
      <c r="U8" s="53">
        <f>U6*(Assumptions!$B$52+Assumptions!$B$53)</f>
        <v>0.011796480000000007</v>
      </c>
      <c r="V8" s="53">
        <f>V6*(Assumptions!$B$52+Assumptions!$B$53)</f>
        <v>0.004718592000000003</v>
      </c>
      <c r="W8" s="53">
        <f>W6*(Assumptions!$B$52+Assumptions!$B$53)</f>
        <v>0.0018874368000000015</v>
      </c>
      <c r="X8" s="53">
        <f>X6*(Assumptions!$B$52+Assumptions!$B$53)</f>
        <v>0.0007549747200000006</v>
      </c>
      <c r="Y8" s="53">
        <f>Y6*(Assumptions!$B$52+Assumptions!$B$53)</f>
        <v>0.00030198988800000026</v>
      </c>
      <c r="Z8" s="53">
        <f>Z6*(Assumptions!$B$52+Assumptions!$B$53)</f>
        <v>0.0001207959552000001</v>
      </c>
    </row>
    <row r="9">
      <c r="A9" s="13" t="inlineStr">
        <is>
          <t>Commercial SG&amp;A</t>
        </is>
      </c>
      <c r="C9" s="53">
        <f>IF(Assumptions!$B$54=0,0,IF(FALSE,0,IF(C5&gt;=1,C6*IF(OR(Assumptions!$B$51&lt;1,C5&gt;5),Assumptions!$B$54,MAX(Assumptions!$B$54,INDEX(Assumptions!$B$44:$F$44,C5))),0)))</f>
        <v>172.9156</v>
      </c>
      <c r="D9" s="53">
        <f>IF(Assumptions!$B$54=0,0,IF(FALSE,0,IF(D5&gt;=1,D6*IF(OR(Assumptions!$B$51&lt;1,D5&gt;5),Assumptions!$B$54,MAX(Assumptions!$B$54,INDEX(Assumptions!$B$44:$F$44,D5))),0)))</f>
        <v>169.3176</v>
      </c>
      <c r="E9" s="53">
        <f>IF(Assumptions!$B$54=0,0,IF(FALSE,0,IF(E5&gt;=1,E6*IF(OR(Assumptions!$B$51&lt;1,E5&gt;5),Assumptions!$B$54,MAX(Assumptions!$B$54,INDEX(Assumptions!$B$44:$F$44,E5))),0)))</f>
        <v>170.30271999999997</v>
      </c>
      <c r="F9" s="53">
        <f>IF(Assumptions!$B$54=0,0,IF(FALSE,0,IF(F5&gt;=1,F6*IF(OR(Assumptions!$B$51&lt;1,F5&gt;5),Assumptions!$B$54,MAX(Assumptions!$B$54,INDEX(Assumptions!$B$44:$F$44,F5))),0)))</f>
        <v>179.50744</v>
      </c>
      <c r="G9" s="53">
        <f>IF(Assumptions!$B$54=0,0,IF(FALSE,0,IF(G5&gt;=1,G6*IF(OR(Assumptions!$B$51&lt;1,G5&gt;5),Assumptions!$B$54,MAX(Assumptions!$B$54,INDEX(Assumptions!$B$44:$F$44,G5))),0)))</f>
        <v>187.5</v>
      </c>
      <c r="H9" s="53">
        <f>IF(Assumptions!$B$54=0,0,IF(FALSE,0,IF(H5&gt;=1,H6*IF(OR(Assumptions!$B$51&lt;1,H5&gt;5),Assumptions!$B$54,MAX(Assumptions!$B$54,INDEX(Assumptions!$B$44:$F$44,H5))),0)))</f>
        <v>187.5</v>
      </c>
      <c r="I9" s="53">
        <f>IF(Assumptions!$B$54=0,0,IF(FALSE,0,IF(I5&gt;=1,I6*IF(OR(Assumptions!$B$51&lt;1,I5&gt;5),Assumptions!$B$54,MAX(Assumptions!$B$54,INDEX(Assumptions!$B$44:$F$44,I5))),0)))</f>
        <v>187.5</v>
      </c>
      <c r="J9" s="53">
        <f>IF(Assumptions!$B$54=0,0,IF(FALSE,0,IF(J5&gt;=1,J6*IF(OR(Assumptions!$B$51&lt;1,J5&gt;5),Assumptions!$B$54,MAX(Assumptions!$B$54,INDEX(Assumptions!$B$44:$F$44,J5))),0)))</f>
        <v>187.5</v>
      </c>
      <c r="K9" s="53">
        <f>IF(Assumptions!$B$54=0,0,IF(FALSE,0,IF(K5&gt;=1,K6*IF(OR(Assumptions!$B$51&lt;1,K5&gt;5),Assumptions!$B$54,MAX(Assumptions!$B$54,INDEX(Assumptions!$B$44:$F$44,K5))),0)))</f>
        <v>187.5</v>
      </c>
      <c r="L9" s="53">
        <f>IF(Assumptions!$B$54=0,0,IF(FALSE,0,IF(L5&gt;=1,L6*IF(OR(Assumptions!$B$51&lt;1,L5&gt;5),Assumptions!$B$54,MAX(Assumptions!$B$54,INDEX(Assumptions!$B$44:$F$44,L5))),0)))</f>
        <v>187.5</v>
      </c>
      <c r="M9" s="53">
        <f>IF(Assumptions!$B$54=0,0,IF(FALSE,0,IF(M5&gt;=1,M6*IF(OR(Assumptions!$B$51&lt;1,M5&gt;5),Assumptions!$B$54,MAX(Assumptions!$B$54,INDEX(Assumptions!$B$44:$F$44,M5))),0)))</f>
        <v>75.0</v>
      </c>
      <c r="N9" s="53">
        <f>IF(Assumptions!$B$54=0,0,IF(FALSE,0,IF(N5&gt;=1,N6*IF(OR(Assumptions!$B$51&lt;1,N5&gt;5),Assumptions!$B$54,MAX(Assumptions!$B$54,INDEX(Assumptions!$B$44:$F$44,N5))),0)))</f>
        <v>30.0</v>
      </c>
      <c r="O9" s="53">
        <f>IF(Assumptions!$B$54=0,0,IF(FALSE,0,IF(O5&gt;=1,O6*IF(OR(Assumptions!$B$51&lt;1,O5&gt;5),Assumptions!$B$54,MAX(Assumptions!$B$54,INDEX(Assumptions!$B$44:$F$44,O5))),0)))</f>
        <v>12.0</v>
      </c>
      <c r="P9" s="53">
        <f>IF(Assumptions!$B$54=0,0,IF(FALSE,0,IF(P5&gt;=1,P6*IF(OR(Assumptions!$B$51&lt;1,P5&gt;5),Assumptions!$B$54,MAX(Assumptions!$B$54,INDEX(Assumptions!$B$44:$F$44,P5))),0)))</f>
        <v>4.800000000000001</v>
      </c>
      <c r="Q9" s="53">
        <f>IF(Assumptions!$B$54=0,0,IF(FALSE,0,IF(Q5&gt;=1,Q6*IF(OR(Assumptions!$B$51&lt;1,Q5&gt;5),Assumptions!$B$54,MAX(Assumptions!$B$54,INDEX(Assumptions!$B$44:$F$44,Q5))),0)))</f>
        <v>1.9200000000000004</v>
      </c>
      <c r="R9" s="53">
        <f>IF(Assumptions!$B$54=0,0,IF(FALSE,0,IF(R5&gt;=1,R6*IF(OR(Assumptions!$B$51&lt;1,R5&gt;5),Assumptions!$B$54,MAX(Assumptions!$B$54,INDEX(Assumptions!$B$44:$F$44,R5))),0)))</f>
        <v>0.7680000000000002</v>
      </c>
      <c r="S9" s="53">
        <f>IF(Assumptions!$B$54=0,0,IF(FALSE,0,IF(S5&gt;=1,S6*IF(OR(Assumptions!$B$51&lt;1,S5&gt;5),Assumptions!$B$54,MAX(Assumptions!$B$54,INDEX(Assumptions!$B$44:$F$44,S5))),0)))</f>
        <v>0.30720000000000014</v>
      </c>
      <c r="T9" s="53">
        <f>IF(Assumptions!$B$54=0,0,IF(FALSE,0,IF(T5&gt;=1,T6*IF(OR(Assumptions!$B$51&lt;1,T5&gt;5),Assumptions!$B$54,MAX(Assumptions!$B$54,INDEX(Assumptions!$B$44:$F$44,T5))),0)))</f>
        <v>0.12288000000000006</v>
      </c>
      <c r="U9" s="53">
        <f>IF(Assumptions!$B$54=0,0,IF(FALSE,0,IF(U5&gt;=1,U6*IF(OR(Assumptions!$B$51&lt;1,U5&gt;5),Assumptions!$B$54,MAX(Assumptions!$B$54,INDEX(Assumptions!$B$44:$F$44,U5))),0)))</f>
        <v>0.04915200000000003</v>
      </c>
      <c r="V9" s="53">
        <f>IF(Assumptions!$B$54=0,0,IF(FALSE,0,IF(V5&gt;=1,V6*IF(OR(Assumptions!$B$51&lt;1,V5&gt;5),Assumptions!$B$54,MAX(Assumptions!$B$54,INDEX(Assumptions!$B$44:$F$44,V5))),0)))</f>
        <v>0.019660800000000013</v>
      </c>
      <c r="W9" s="53">
        <f>IF(Assumptions!$B$54=0,0,IF(FALSE,0,IF(W5&gt;=1,W6*IF(OR(Assumptions!$B$51&lt;1,W5&gt;5),Assumptions!$B$54,MAX(Assumptions!$B$54,INDEX(Assumptions!$B$44:$F$44,W5))),0)))</f>
        <v>0.007864320000000006</v>
      </c>
      <c r="X9" s="53">
        <f>IF(Assumptions!$B$54=0,0,IF(FALSE,0,IF(X5&gt;=1,X6*IF(OR(Assumptions!$B$51&lt;1,X5&gt;5),Assumptions!$B$54,MAX(Assumptions!$B$54,INDEX(Assumptions!$B$44:$F$44,X5))),0)))</f>
        <v>0.0031457280000000026</v>
      </c>
      <c r="Y9" s="53">
        <f>IF(Assumptions!$B$54=0,0,IF(FALSE,0,IF(Y5&gt;=1,Y6*IF(OR(Assumptions!$B$51&lt;1,Y5&gt;5),Assumptions!$B$54,MAX(Assumptions!$B$54,INDEX(Assumptions!$B$44:$F$44,Y5))),0)))</f>
        <v>0.001258291200000001</v>
      </c>
      <c r="Z9" s="53">
        <f>IF(Assumptions!$B$54=0,0,IF(FALSE,0,IF(Z5&gt;=1,Z6*IF(OR(Assumptions!$B$51&lt;1,Z5&gt;5),Assumptions!$B$54,MAX(Assumptions!$B$54,INDEX(Assumptions!$B$44:$F$44,Z5))),0)))</f>
        <v>0.0005033164800000004</v>
      </c>
    </row>
    <row r="10">
      <c r="A10" s="13" t="inlineStr">
        <is>
          <t>Development R&amp;D</t>
        </is>
      </c>
      <c r="C10" s="53">
        <f>0</f>
        <v>0</v>
      </c>
      <c r="D10" s="53">
        <f>0</f>
        <v>0</v>
      </c>
      <c r="E10" s="53">
        <f>0</f>
        <v>0</v>
      </c>
      <c r="F10" s="53">
        <f>0</f>
        <v>0</v>
      </c>
      <c r="G10" s="53">
        <f>0</f>
        <v>0</v>
      </c>
      <c r="H10" s="53">
        <f>0</f>
        <v>0</v>
      </c>
      <c r="I10" s="53">
        <f>0</f>
        <v>0</v>
      </c>
      <c r="J10" s="53">
        <f>0</f>
        <v>0</v>
      </c>
      <c r="K10" s="53">
        <f>0</f>
        <v>0</v>
      </c>
      <c r="L10" s="53">
        <f>0</f>
        <v>0</v>
      </c>
      <c r="M10" s="53">
        <f>0</f>
        <v>0</v>
      </c>
      <c r="N10" s="53">
        <f>0</f>
        <v>0</v>
      </c>
      <c r="O10" s="53">
        <f>0</f>
        <v>0</v>
      </c>
      <c r="P10" s="53">
        <f>0</f>
        <v>0</v>
      </c>
      <c r="Q10" s="53">
        <f>0</f>
        <v>0</v>
      </c>
      <c r="R10" s="53">
        <f>0</f>
        <v>0</v>
      </c>
      <c r="S10" s="53">
        <f>0</f>
        <v>0</v>
      </c>
      <c r="T10" s="53">
        <f>0</f>
        <v>0</v>
      </c>
      <c r="U10" s="53">
        <f>0</f>
        <v>0</v>
      </c>
      <c r="V10" s="53">
        <f>0</f>
        <v>0</v>
      </c>
      <c r="W10" s="53">
        <f>0</f>
        <v>0</v>
      </c>
      <c r="X10" s="53">
        <f>0</f>
        <v>0</v>
      </c>
      <c r="Y10" s="53">
        <f>0</f>
        <v>0</v>
      </c>
      <c r="Z10" s="53">
        <f>0</f>
        <v>0</v>
      </c>
    </row>
    <row r="11">
      <c r="A11" s="22" t="inlineStr">
        <is>
          <t>Program contribution (pre-tax)</t>
        </is>
      </c>
      <c r="C11" s="57">
        <f>C7-C8-C9-C10</f>
        <v>122.61287999999999</v>
      </c>
      <c r="D11" s="57">
        <f>D7-D8-D9-D10</f>
        <v>228.57875999999996</v>
      </c>
      <c r="E11" s="57">
        <f>E7-E8-E9-E10</f>
        <v>329.96151999999995</v>
      </c>
      <c r="F11" s="57">
        <f>F7-F8-F9-F10</f>
        <v>423.12468</v>
      </c>
      <c r="G11" s="57">
        <f>G7-G8-G9-G10</f>
        <v>517.5</v>
      </c>
      <c r="H11" s="57">
        <f>H7-H8-H9-H10</f>
        <v>517.5</v>
      </c>
      <c r="I11" s="57">
        <f>I7-I8-I9-I10</f>
        <v>517.5</v>
      </c>
      <c r="J11" s="57">
        <f>J7-J8-J9-J10</f>
        <v>517.5</v>
      </c>
      <c r="K11" s="57">
        <f>K7-K8-K9-K10</f>
        <v>517.5</v>
      </c>
      <c r="L11" s="57">
        <f>L7-L8-L9-L10</f>
        <v>517.5</v>
      </c>
      <c r="M11" s="57">
        <f>M7-M8-M9-M10</f>
        <v>207.0</v>
      </c>
      <c r="N11" s="57">
        <f>N7-N8-N9-N10</f>
        <v>82.8</v>
      </c>
      <c r="O11" s="57">
        <f>O7-O8-O9-O10</f>
        <v>33.12</v>
      </c>
      <c r="P11" s="57">
        <f>P7-P8-P9-P10</f>
        <v>13.248000000000001</v>
      </c>
      <c r="Q11" s="57">
        <f>Q7-Q8-Q9-Q10</f>
        <v>5.299200000000001</v>
      </c>
      <c r="R11" s="57">
        <f>R7-R8-R9-R10</f>
        <v>2.1196800000000007</v>
      </c>
      <c r="S11" s="57">
        <f>S7-S8-S9-S10</f>
        <v>0.8478720000000004</v>
      </c>
      <c r="T11" s="57">
        <f>T7-T8-T9-T10</f>
        <v>0.3391488000000002</v>
      </c>
      <c r="U11" s="57">
        <f>U7-U8-U9-U10</f>
        <v>0.1356595200000001</v>
      </c>
      <c r="V11" s="57">
        <f>V7-V8-V9-V10</f>
        <v>0.05426380800000003</v>
      </c>
      <c r="W11" s="57">
        <f>W7-W8-W9-W10</f>
        <v>0.021705523200000014</v>
      </c>
      <c r="X11" s="57">
        <f>X7-X8-X9-X10</f>
        <v>0.008682209280000007</v>
      </c>
      <c r="Y11" s="57">
        <f>Y7-Y8-Y9-Y10</f>
        <v>0.0034728837120000036</v>
      </c>
      <c r="Z11" s="57">
        <f>Z7-Z8-Z9-Z10</f>
        <v>0.001389153484800001</v>
      </c>
    </row>
    <row r="13">
      <c r="A13" s="30" t="inlineStr">
        <is>
          <t>Mitapivat — sickle cell disease</t>
        </is>
      </c>
    </row>
    <row r="14">
      <c r="A14" s="13" t="inlineStr">
        <is>
          <t>Years since launch (approved on time)</t>
        </is>
      </c>
      <c r="C14" s="64">
        <f>C$2-Assumptions!$B$60+1</f>
        <v>1.0</v>
      </c>
      <c r="D14" s="64">
        <f>D$2-Assumptions!$B$60+1</f>
        <v>2.0</v>
      </c>
      <c r="E14" s="64">
        <f>E$2-Assumptions!$B$60+1</f>
        <v>3.0</v>
      </c>
      <c r="F14" s="64">
        <f>F$2-Assumptions!$B$60+1</f>
        <v>4.0</v>
      </c>
      <c r="G14" s="64">
        <f>G$2-Assumptions!$B$60+1</f>
        <v>5.0</v>
      </c>
      <c r="H14" s="64">
        <f>H$2-Assumptions!$B$60+1</f>
        <v>6.0</v>
      </c>
      <c r="I14" s="64">
        <f>I$2-Assumptions!$B$60+1</f>
        <v>7.0</v>
      </c>
      <c r="J14" s="64">
        <f>J$2-Assumptions!$B$60+1</f>
        <v>8.0</v>
      </c>
      <c r="K14" s="64">
        <f>K$2-Assumptions!$B$60+1</f>
        <v>9.0</v>
      </c>
      <c r="L14" s="64">
        <f>L$2-Assumptions!$B$60+1</f>
        <v>10.0</v>
      </c>
      <c r="M14" s="64">
        <f>M$2-Assumptions!$B$60+1</f>
        <v>11.0</v>
      </c>
      <c r="N14" s="64">
        <f>N$2-Assumptions!$B$60+1</f>
        <v>12.0</v>
      </c>
      <c r="O14" s="64">
        <f>O$2-Assumptions!$B$60+1</f>
        <v>13.0</v>
      </c>
      <c r="P14" s="64">
        <f>P$2-Assumptions!$B$60+1</f>
        <v>14.0</v>
      </c>
      <c r="Q14" s="64">
        <f>Q$2-Assumptions!$B$60+1</f>
        <v>15.0</v>
      </c>
      <c r="R14" s="64">
        <f>R$2-Assumptions!$B$60+1</f>
        <v>16.0</v>
      </c>
      <c r="S14" s="64">
        <f>S$2-Assumptions!$B$60+1</f>
        <v>17.0</v>
      </c>
      <c r="T14" s="64">
        <f>T$2-Assumptions!$B$60+1</f>
        <v>18.0</v>
      </c>
      <c r="U14" s="64">
        <f>U$2-Assumptions!$B$60+1</f>
        <v>19.0</v>
      </c>
      <c r="V14" s="64">
        <f>V$2-Assumptions!$B$60+1</f>
        <v>20.0</v>
      </c>
      <c r="W14" s="64">
        <f>W$2-Assumptions!$B$60+1</f>
        <v>21.0</v>
      </c>
      <c r="X14" s="64">
        <f>X$2-Assumptions!$B$60+1</f>
        <v>22.0</v>
      </c>
      <c r="Y14" s="64">
        <f>Y$2-Assumptions!$B$60+1</f>
        <v>23.0</v>
      </c>
      <c r="Z14" s="64">
        <f>Z$2-Assumptions!$B$60+1</f>
        <v>24.0</v>
      </c>
    </row>
    <row r="15">
      <c r="A15" s="13" t="inlineStr">
        <is>
          <t>Net sales, unrisked (approved on time)</t>
        </is>
      </c>
      <c r="C15" s="53">
        <f>IF(C$2&gt;Assumptions!$B$69,0*(1-Assumptions!$B$70),IF(C14&gt;=1,Assumptions!$B$61*CHOOSE(Assumptions!$B$68,INDEX(Assumptions!$B$42:$H$42,MIN(C14,7)),INDEX(Assumptions!$B$43:$H$43,MIN(C14,7))),0))</f>
        <v>60.0</v>
      </c>
      <c r="D15" s="53">
        <f>IF(D$2&gt;Assumptions!$B$69,C15*(1-Assumptions!$B$70),IF(D14&gt;=1,Assumptions!$B$61*CHOOSE(Assumptions!$B$68,INDEX(Assumptions!$B$42:$H$42,MIN(D14,7)),INDEX(Assumptions!$B$43:$H$43,MIN(D14,7))),0))</f>
        <v>150.0</v>
      </c>
      <c r="E15" s="53">
        <f>IF(E$2&gt;Assumptions!$B$69,D15*(1-Assumptions!$B$70),IF(E14&gt;=1,Assumptions!$B$61*CHOOSE(Assumptions!$B$68,INDEX(Assumptions!$B$42:$H$42,MIN(E14,7)),INDEX(Assumptions!$B$43:$H$43,MIN(E14,7))),0))</f>
        <v>270.0</v>
      </c>
      <c r="F15" s="53">
        <f>IF(F$2&gt;Assumptions!$B$69,E15*(1-Assumptions!$B$70),IF(F14&gt;=1,Assumptions!$B$61*CHOOSE(Assumptions!$B$68,INDEX(Assumptions!$B$42:$H$42,MIN(F14,7)),INDEX(Assumptions!$B$43:$H$43,MIN(F14,7))),0))</f>
        <v>390.0</v>
      </c>
      <c r="G15" s="53">
        <f>IF(G$2&gt;Assumptions!$B$69,F15*(1-Assumptions!$B$70),IF(G14&gt;=1,Assumptions!$B$61*CHOOSE(Assumptions!$B$68,INDEX(Assumptions!$B$42:$H$42,MIN(G14,7)),INDEX(Assumptions!$B$43:$H$43,MIN(G14,7))),0))</f>
        <v>491.99999999999994</v>
      </c>
      <c r="H15" s="53">
        <f>IF(H$2&gt;Assumptions!$B$69,G15*(1-Assumptions!$B$70),IF(H14&gt;=1,Assumptions!$B$61*CHOOSE(Assumptions!$B$68,INDEX(Assumptions!$B$42:$H$42,MIN(H14,7)),INDEX(Assumptions!$B$43:$H$43,MIN(H14,7))),0))</f>
        <v>558.0</v>
      </c>
      <c r="I15" s="53">
        <f>IF(I$2&gt;Assumptions!$B$69,H15*(1-Assumptions!$B$70),IF(I14&gt;=1,Assumptions!$B$61*CHOOSE(Assumptions!$B$68,INDEX(Assumptions!$B$42:$H$42,MIN(I14,7)),INDEX(Assumptions!$B$43:$H$43,MIN(I14,7))),0))</f>
        <v>600.0</v>
      </c>
      <c r="J15" s="53">
        <f>IF(J$2&gt;Assumptions!$B$69,I15*(1-Assumptions!$B$70),IF(J14&gt;=1,Assumptions!$B$61*CHOOSE(Assumptions!$B$68,INDEX(Assumptions!$B$42:$H$42,MIN(J14,7)),INDEX(Assumptions!$B$43:$H$43,MIN(J14,7))),0))</f>
        <v>600.0</v>
      </c>
      <c r="K15" s="53">
        <f>IF(K$2&gt;Assumptions!$B$69,J15*(1-Assumptions!$B$70),IF(K14&gt;=1,Assumptions!$B$61*CHOOSE(Assumptions!$B$68,INDEX(Assumptions!$B$42:$H$42,MIN(K14,7)),INDEX(Assumptions!$B$43:$H$43,MIN(K14,7))),0))</f>
        <v>600.0</v>
      </c>
      <c r="L15" s="53">
        <f>IF(L$2&gt;Assumptions!$B$69,K15*(1-Assumptions!$B$70),IF(L14&gt;=1,Assumptions!$B$61*CHOOSE(Assumptions!$B$68,INDEX(Assumptions!$B$42:$H$42,MIN(L14,7)),INDEX(Assumptions!$B$43:$H$43,MIN(L14,7))),0))</f>
        <v>600.0</v>
      </c>
      <c r="M15" s="53">
        <f>IF(M$2&gt;Assumptions!$B$69,L15*(1-Assumptions!$B$70),IF(M14&gt;=1,Assumptions!$B$61*CHOOSE(Assumptions!$B$68,INDEX(Assumptions!$B$42:$H$42,MIN(M14,7)),INDEX(Assumptions!$B$43:$H$43,MIN(M14,7))),0))</f>
        <v>240.0</v>
      </c>
      <c r="N15" s="53">
        <f>IF(N$2&gt;Assumptions!$B$69,M15*(1-Assumptions!$B$70),IF(N14&gt;=1,Assumptions!$B$61*CHOOSE(Assumptions!$B$68,INDEX(Assumptions!$B$42:$H$42,MIN(N14,7)),INDEX(Assumptions!$B$43:$H$43,MIN(N14,7))),0))</f>
        <v>96.0</v>
      </c>
      <c r="O15" s="53">
        <f>IF(O$2&gt;Assumptions!$B$69,N15*(1-Assumptions!$B$70),IF(O14&gt;=1,Assumptions!$B$61*CHOOSE(Assumptions!$B$68,INDEX(Assumptions!$B$42:$H$42,MIN(O14,7)),INDEX(Assumptions!$B$43:$H$43,MIN(O14,7))),0))</f>
        <v>38.400000000000006</v>
      </c>
      <c r="P15" s="53">
        <f>IF(P$2&gt;Assumptions!$B$69,O15*(1-Assumptions!$B$70),IF(P14&gt;=1,Assumptions!$B$61*CHOOSE(Assumptions!$B$68,INDEX(Assumptions!$B$42:$H$42,MIN(P14,7)),INDEX(Assumptions!$B$43:$H$43,MIN(P14,7))),0))</f>
        <v>15.360000000000003</v>
      </c>
      <c r="Q15" s="53">
        <f>IF(Q$2&gt;Assumptions!$B$69,P15*(1-Assumptions!$B$70),IF(Q14&gt;=1,Assumptions!$B$61*CHOOSE(Assumptions!$B$68,INDEX(Assumptions!$B$42:$H$42,MIN(Q14,7)),INDEX(Assumptions!$B$43:$H$43,MIN(Q14,7))),0))</f>
        <v>6.144000000000002</v>
      </c>
      <c r="R15" s="53">
        <f>IF(R$2&gt;Assumptions!$B$69,Q15*(1-Assumptions!$B$70),IF(R14&gt;=1,Assumptions!$B$61*CHOOSE(Assumptions!$B$68,INDEX(Assumptions!$B$42:$H$42,MIN(R14,7)),INDEX(Assumptions!$B$43:$H$43,MIN(R14,7))),0))</f>
        <v>2.457600000000001</v>
      </c>
      <c r="S15" s="53">
        <f>IF(S$2&gt;Assumptions!$B$69,R15*(1-Assumptions!$B$70),IF(S14&gt;=1,Assumptions!$B$61*CHOOSE(Assumptions!$B$68,INDEX(Assumptions!$B$42:$H$42,MIN(S14,7)),INDEX(Assumptions!$B$43:$H$43,MIN(S14,7))),0))</f>
        <v>0.9830400000000005</v>
      </c>
      <c r="T15" s="53">
        <f>IF(T$2&gt;Assumptions!$B$69,S15*(1-Assumptions!$B$70),IF(T14&gt;=1,Assumptions!$B$61*CHOOSE(Assumptions!$B$68,INDEX(Assumptions!$B$42:$H$42,MIN(T14,7)),INDEX(Assumptions!$B$43:$H$43,MIN(T14,7))),0))</f>
        <v>0.39321600000000023</v>
      </c>
      <c r="U15" s="53">
        <f>IF(U$2&gt;Assumptions!$B$69,T15*(1-Assumptions!$B$70),IF(U14&gt;=1,Assumptions!$B$61*CHOOSE(Assumptions!$B$68,INDEX(Assumptions!$B$42:$H$42,MIN(U14,7)),INDEX(Assumptions!$B$43:$H$43,MIN(U14,7))),0))</f>
        <v>0.1572864000000001</v>
      </c>
      <c r="V15" s="53">
        <f>IF(V$2&gt;Assumptions!$B$69,U15*(1-Assumptions!$B$70),IF(V14&gt;=1,Assumptions!$B$61*CHOOSE(Assumptions!$B$68,INDEX(Assumptions!$B$42:$H$42,MIN(V14,7)),INDEX(Assumptions!$B$43:$H$43,MIN(V14,7))),0))</f>
        <v>0.06291456000000005</v>
      </c>
      <c r="W15" s="53">
        <f>IF(W$2&gt;Assumptions!$B$69,V15*(1-Assumptions!$B$70),IF(W14&gt;=1,Assumptions!$B$61*CHOOSE(Assumptions!$B$68,INDEX(Assumptions!$B$42:$H$42,MIN(W14,7)),INDEX(Assumptions!$B$43:$H$43,MIN(W14,7))),0))</f>
        <v>0.02516582400000002</v>
      </c>
      <c r="X15" s="53">
        <f>IF(X$2&gt;Assumptions!$B$69,W15*(1-Assumptions!$B$70),IF(X14&gt;=1,Assumptions!$B$61*CHOOSE(Assumptions!$B$68,INDEX(Assumptions!$B$42:$H$42,MIN(X14,7)),INDEX(Assumptions!$B$43:$H$43,MIN(X14,7))),0))</f>
        <v>0.010066329600000009</v>
      </c>
      <c r="Y15" s="53">
        <f>IF(Y$2&gt;Assumptions!$B$69,X15*(1-Assumptions!$B$70),IF(Y14&gt;=1,Assumptions!$B$61*CHOOSE(Assumptions!$B$68,INDEX(Assumptions!$B$42:$H$42,MIN(Y14,7)),INDEX(Assumptions!$B$43:$H$43,MIN(Y14,7))),0))</f>
        <v>0.0040265318400000034</v>
      </c>
      <c r="Z15" s="53">
        <f>IF(Z$2&gt;Assumptions!$B$69,Y15*(1-Assumptions!$B$70),IF(Z14&gt;=1,Assumptions!$B$61*CHOOSE(Assumptions!$B$68,INDEX(Assumptions!$B$42:$H$42,MIN(Z14,7)),INDEX(Assumptions!$B$43:$H$43,MIN(Z14,7))),0))</f>
        <v>0.0016106127360000014</v>
      </c>
    </row>
    <row r="16">
      <c r="A16" s="13" t="inlineStr">
        <is>
          <t>Years since launch (approved after a CRL)</t>
        </is>
      </c>
      <c r="C16" s="64">
        <f>C$2-(Assumptions!$B$60+Assumptions!$B$34)+1</f>
        <v>-2.0</v>
      </c>
      <c r="D16" s="64">
        <f>D$2-(Assumptions!$B$60+Assumptions!$B$34)+1</f>
        <v>-1.0</v>
      </c>
      <c r="E16" s="64">
        <f>E$2-(Assumptions!$B$60+Assumptions!$B$34)+1</f>
        <v>0.0</v>
      </c>
      <c r="F16" s="64">
        <f>F$2-(Assumptions!$B$60+Assumptions!$B$34)+1</f>
        <v>1.0</v>
      </c>
      <c r="G16" s="64">
        <f>G$2-(Assumptions!$B$60+Assumptions!$B$34)+1</f>
        <v>2.0</v>
      </c>
      <c r="H16" s="64">
        <f>H$2-(Assumptions!$B$60+Assumptions!$B$34)+1</f>
        <v>3.0</v>
      </c>
      <c r="I16" s="64">
        <f>I$2-(Assumptions!$B$60+Assumptions!$B$34)+1</f>
        <v>4.0</v>
      </c>
      <c r="J16" s="64">
        <f>J$2-(Assumptions!$B$60+Assumptions!$B$34)+1</f>
        <v>5.0</v>
      </c>
      <c r="K16" s="64">
        <f>K$2-(Assumptions!$B$60+Assumptions!$B$34)+1</f>
        <v>6.0</v>
      </c>
      <c r="L16" s="64">
        <f>L$2-(Assumptions!$B$60+Assumptions!$B$34)+1</f>
        <v>7.0</v>
      </c>
      <c r="M16" s="64">
        <f>M$2-(Assumptions!$B$60+Assumptions!$B$34)+1</f>
        <v>8.0</v>
      </c>
      <c r="N16" s="64">
        <f>N$2-(Assumptions!$B$60+Assumptions!$B$34)+1</f>
        <v>9.0</v>
      </c>
      <c r="O16" s="64">
        <f>O$2-(Assumptions!$B$60+Assumptions!$B$34)+1</f>
        <v>10.0</v>
      </c>
      <c r="P16" s="64">
        <f>P$2-(Assumptions!$B$60+Assumptions!$B$34)+1</f>
        <v>11.0</v>
      </c>
      <c r="Q16" s="64">
        <f>Q$2-(Assumptions!$B$60+Assumptions!$B$34)+1</f>
        <v>12.0</v>
      </c>
      <c r="R16" s="64">
        <f>R$2-(Assumptions!$B$60+Assumptions!$B$34)+1</f>
        <v>13.0</v>
      </c>
      <c r="S16" s="64">
        <f>S$2-(Assumptions!$B$60+Assumptions!$B$34)+1</f>
        <v>14.0</v>
      </c>
      <c r="T16" s="64">
        <f>T$2-(Assumptions!$B$60+Assumptions!$B$34)+1</f>
        <v>15.0</v>
      </c>
      <c r="U16" s="64">
        <f>U$2-(Assumptions!$B$60+Assumptions!$B$34)+1</f>
        <v>16.0</v>
      </c>
      <c r="V16" s="64">
        <f>V$2-(Assumptions!$B$60+Assumptions!$B$34)+1</f>
        <v>17.0</v>
      </c>
      <c r="W16" s="64">
        <f>W$2-(Assumptions!$B$60+Assumptions!$B$34)+1</f>
        <v>18.0</v>
      </c>
      <c r="X16" s="64">
        <f>X$2-(Assumptions!$B$60+Assumptions!$B$34)+1</f>
        <v>19.0</v>
      </c>
      <c r="Y16" s="64">
        <f>Y$2-(Assumptions!$B$60+Assumptions!$B$34)+1</f>
        <v>20.0</v>
      </c>
      <c r="Z16" s="64">
        <f>Z$2-(Assumptions!$B$60+Assumptions!$B$34)+1</f>
        <v>21.0</v>
      </c>
    </row>
    <row r="17">
      <c r="A17" s="13" t="inlineStr">
        <is>
          <t>Net sales, unrisked (approved after a CRL)</t>
        </is>
      </c>
      <c r="C17" s="53">
        <f>IF(C$2&gt;Assumptions!$B$69,0*(1-Assumptions!$B$70),IF(C16&gt;=1,Assumptions!$B$61*CHOOSE(Assumptions!$B$68,INDEX(Assumptions!$B$42:$H$42,MIN(C16,7)),INDEX(Assumptions!$B$43:$H$43,MIN(C16,7))),0))</f>
        <v>0</v>
      </c>
      <c r="D17" s="53">
        <f>IF(D$2&gt;Assumptions!$B$69,C17*(1-Assumptions!$B$70),IF(D16&gt;=1,Assumptions!$B$61*CHOOSE(Assumptions!$B$68,INDEX(Assumptions!$B$42:$H$42,MIN(D16,7)),INDEX(Assumptions!$B$43:$H$43,MIN(D16,7))),0))</f>
        <v>0</v>
      </c>
      <c r="E17" s="53">
        <f>IF(E$2&gt;Assumptions!$B$69,D17*(1-Assumptions!$B$70),IF(E16&gt;=1,Assumptions!$B$61*CHOOSE(Assumptions!$B$68,INDEX(Assumptions!$B$42:$H$42,MIN(E16,7)),INDEX(Assumptions!$B$43:$H$43,MIN(E16,7))),0))</f>
        <v>0</v>
      </c>
      <c r="F17" s="53">
        <f>IF(F$2&gt;Assumptions!$B$69,E17*(1-Assumptions!$B$70),IF(F16&gt;=1,Assumptions!$B$61*CHOOSE(Assumptions!$B$68,INDEX(Assumptions!$B$42:$H$42,MIN(F16,7)),INDEX(Assumptions!$B$43:$H$43,MIN(F16,7))),0))</f>
        <v>60.0</v>
      </c>
      <c r="G17" s="53">
        <f>IF(G$2&gt;Assumptions!$B$69,F17*(1-Assumptions!$B$70),IF(G16&gt;=1,Assumptions!$B$61*CHOOSE(Assumptions!$B$68,INDEX(Assumptions!$B$42:$H$42,MIN(G16,7)),INDEX(Assumptions!$B$43:$H$43,MIN(G16,7))),0))</f>
        <v>150.0</v>
      </c>
      <c r="H17" s="53">
        <f>IF(H$2&gt;Assumptions!$B$69,G17*(1-Assumptions!$B$70),IF(H16&gt;=1,Assumptions!$B$61*CHOOSE(Assumptions!$B$68,INDEX(Assumptions!$B$42:$H$42,MIN(H16,7)),INDEX(Assumptions!$B$43:$H$43,MIN(H16,7))),0))</f>
        <v>270.0</v>
      </c>
      <c r="I17" s="53">
        <f>IF(I$2&gt;Assumptions!$B$69,H17*(1-Assumptions!$B$70),IF(I16&gt;=1,Assumptions!$B$61*CHOOSE(Assumptions!$B$68,INDEX(Assumptions!$B$42:$H$42,MIN(I16,7)),INDEX(Assumptions!$B$43:$H$43,MIN(I16,7))),0))</f>
        <v>390.0</v>
      </c>
      <c r="J17" s="53">
        <f>IF(J$2&gt;Assumptions!$B$69,I17*(1-Assumptions!$B$70),IF(J16&gt;=1,Assumptions!$B$61*CHOOSE(Assumptions!$B$68,INDEX(Assumptions!$B$42:$H$42,MIN(J16,7)),INDEX(Assumptions!$B$43:$H$43,MIN(J16,7))),0))</f>
        <v>491.99999999999994</v>
      </c>
      <c r="K17" s="53">
        <f>IF(K$2&gt;Assumptions!$B$69,J17*(1-Assumptions!$B$70),IF(K16&gt;=1,Assumptions!$B$61*CHOOSE(Assumptions!$B$68,INDEX(Assumptions!$B$42:$H$42,MIN(K16,7)),INDEX(Assumptions!$B$43:$H$43,MIN(K16,7))),0))</f>
        <v>558.0</v>
      </c>
      <c r="L17" s="53">
        <f>IF(L$2&gt;Assumptions!$B$69,K17*(1-Assumptions!$B$70),IF(L16&gt;=1,Assumptions!$B$61*CHOOSE(Assumptions!$B$68,INDEX(Assumptions!$B$42:$H$42,MIN(L16,7)),INDEX(Assumptions!$B$43:$H$43,MIN(L16,7))),0))</f>
        <v>600.0</v>
      </c>
      <c r="M17" s="53">
        <f>IF(M$2&gt;Assumptions!$B$69,L17*(1-Assumptions!$B$70),IF(M16&gt;=1,Assumptions!$B$61*CHOOSE(Assumptions!$B$68,INDEX(Assumptions!$B$42:$H$42,MIN(M16,7)),INDEX(Assumptions!$B$43:$H$43,MIN(M16,7))),0))</f>
        <v>240.0</v>
      </c>
      <c r="N17" s="53">
        <f>IF(N$2&gt;Assumptions!$B$69,M17*(1-Assumptions!$B$70),IF(N16&gt;=1,Assumptions!$B$61*CHOOSE(Assumptions!$B$68,INDEX(Assumptions!$B$42:$H$42,MIN(N16,7)),INDEX(Assumptions!$B$43:$H$43,MIN(N16,7))),0))</f>
        <v>96.0</v>
      </c>
      <c r="O17" s="53">
        <f>IF(O$2&gt;Assumptions!$B$69,N17*(1-Assumptions!$B$70),IF(O16&gt;=1,Assumptions!$B$61*CHOOSE(Assumptions!$B$68,INDEX(Assumptions!$B$42:$H$42,MIN(O16,7)),INDEX(Assumptions!$B$43:$H$43,MIN(O16,7))),0))</f>
        <v>38.400000000000006</v>
      </c>
      <c r="P17" s="53">
        <f>IF(P$2&gt;Assumptions!$B$69,O17*(1-Assumptions!$B$70),IF(P16&gt;=1,Assumptions!$B$61*CHOOSE(Assumptions!$B$68,INDEX(Assumptions!$B$42:$H$42,MIN(P16,7)),INDEX(Assumptions!$B$43:$H$43,MIN(P16,7))),0))</f>
        <v>15.360000000000003</v>
      </c>
      <c r="Q17" s="53">
        <f>IF(Q$2&gt;Assumptions!$B$69,P17*(1-Assumptions!$B$70),IF(Q16&gt;=1,Assumptions!$B$61*CHOOSE(Assumptions!$B$68,INDEX(Assumptions!$B$42:$H$42,MIN(Q16,7)),INDEX(Assumptions!$B$43:$H$43,MIN(Q16,7))),0))</f>
        <v>6.144000000000002</v>
      </c>
      <c r="R17" s="53">
        <f>IF(R$2&gt;Assumptions!$B$69,Q17*(1-Assumptions!$B$70),IF(R16&gt;=1,Assumptions!$B$61*CHOOSE(Assumptions!$B$68,INDEX(Assumptions!$B$42:$H$42,MIN(R16,7)),INDEX(Assumptions!$B$43:$H$43,MIN(R16,7))),0))</f>
        <v>2.457600000000001</v>
      </c>
      <c r="S17" s="53">
        <f>IF(S$2&gt;Assumptions!$B$69,R17*(1-Assumptions!$B$70),IF(S16&gt;=1,Assumptions!$B$61*CHOOSE(Assumptions!$B$68,INDEX(Assumptions!$B$42:$H$42,MIN(S16,7)),INDEX(Assumptions!$B$43:$H$43,MIN(S16,7))),0))</f>
        <v>0.9830400000000005</v>
      </c>
      <c r="T17" s="53">
        <f>IF(T$2&gt;Assumptions!$B$69,S17*(1-Assumptions!$B$70),IF(T16&gt;=1,Assumptions!$B$61*CHOOSE(Assumptions!$B$68,INDEX(Assumptions!$B$42:$H$42,MIN(T16,7)),INDEX(Assumptions!$B$43:$H$43,MIN(T16,7))),0))</f>
        <v>0.39321600000000023</v>
      </c>
      <c r="U17" s="53">
        <f>IF(U$2&gt;Assumptions!$B$69,T17*(1-Assumptions!$B$70),IF(U16&gt;=1,Assumptions!$B$61*CHOOSE(Assumptions!$B$68,INDEX(Assumptions!$B$42:$H$42,MIN(U16,7)),INDEX(Assumptions!$B$43:$H$43,MIN(U16,7))),0))</f>
        <v>0.1572864000000001</v>
      </c>
      <c r="V17" s="53">
        <f>IF(V$2&gt;Assumptions!$B$69,U17*(1-Assumptions!$B$70),IF(V16&gt;=1,Assumptions!$B$61*CHOOSE(Assumptions!$B$68,INDEX(Assumptions!$B$42:$H$42,MIN(V16,7)),INDEX(Assumptions!$B$43:$H$43,MIN(V16,7))),0))</f>
        <v>0.06291456000000005</v>
      </c>
      <c r="W17" s="53">
        <f>IF(W$2&gt;Assumptions!$B$69,V17*(1-Assumptions!$B$70),IF(W16&gt;=1,Assumptions!$B$61*CHOOSE(Assumptions!$B$68,INDEX(Assumptions!$B$42:$H$42,MIN(W16,7)),INDEX(Assumptions!$B$43:$H$43,MIN(W16,7))),0))</f>
        <v>0.02516582400000002</v>
      </c>
      <c r="X17" s="53">
        <f>IF(X$2&gt;Assumptions!$B$69,W17*(1-Assumptions!$B$70),IF(X16&gt;=1,Assumptions!$B$61*CHOOSE(Assumptions!$B$68,INDEX(Assumptions!$B$42:$H$42,MIN(X16,7)),INDEX(Assumptions!$B$43:$H$43,MIN(X16,7))),0))</f>
        <v>0.010066329600000009</v>
      </c>
      <c r="Y17" s="53">
        <f>IF(Y$2&gt;Assumptions!$B$69,X17*(1-Assumptions!$B$70),IF(Y16&gt;=1,Assumptions!$B$61*CHOOSE(Assumptions!$B$68,INDEX(Assumptions!$B$42:$H$42,MIN(Y16,7)),INDEX(Assumptions!$B$43:$H$43,MIN(Y16,7))),0))</f>
        <v>0.0040265318400000034</v>
      </c>
      <c r="Z17" s="53">
        <f>IF(Z$2&gt;Assumptions!$B$69,Y17*(1-Assumptions!$B$70),IF(Z16&gt;=1,Assumptions!$B$61*CHOOSE(Assumptions!$B$68,INDEX(Assumptions!$B$42:$H$42,MIN(Z16,7)),INDEX(Assumptions!$B$43:$H$43,MIN(Z16,7))),0))</f>
        <v>0.0016106127360000014</v>
      </c>
    </row>
    <row r="18">
      <c r="A18" s="13" t="inlineStr">
        <is>
          <t>Product net sales, risk-adjusted</t>
        </is>
      </c>
      <c r="C18" s="53">
        <f>Assumptions!$B$32*C15+(1-Assumptions!$B$32)*Assumptions!$B$33*C17</f>
        <v>39.0</v>
      </c>
      <c r="D18" s="53">
        <f>Assumptions!$B$32*D15+(1-Assumptions!$B$32)*Assumptions!$B$33*D17</f>
        <v>97.5</v>
      </c>
      <c r="E18" s="53">
        <f>Assumptions!$B$32*E15+(1-Assumptions!$B$32)*Assumptions!$B$33*E17</f>
        <v>175.5</v>
      </c>
      <c r="F18" s="53">
        <f>Assumptions!$B$32*F15+(1-Assumptions!$B$32)*Assumptions!$B$33*F17</f>
        <v>265.05</v>
      </c>
      <c r="G18" s="53">
        <f>Assumptions!$B$32*G15+(1-Assumptions!$B$32)*Assumptions!$B$33*G17</f>
        <v>348.67499999999995</v>
      </c>
      <c r="H18" s="53">
        <f>Assumptions!$B$32*H15+(1-Assumptions!$B$32)*Assumptions!$B$33*H17</f>
        <v>414.675</v>
      </c>
      <c r="I18" s="53">
        <f>Assumptions!$B$32*I15+(1-Assumptions!$B$32)*Assumptions!$B$33*I17</f>
        <v>465.075</v>
      </c>
      <c r="J18" s="53">
        <f>Assumptions!$B$32*J15+(1-Assumptions!$B$32)*Assumptions!$B$33*J17</f>
        <v>484.71</v>
      </c>
      <c r="K18" s="53">
        <f>Assumptions!$B$32*K15+(1-Assumptions!$B$32)*Assumptions!$B$33*K17</f>
        <v>497.415</v>
      </c>
      <c r="L18" s="53">
        <f>Assumptions!$B$32*L15+(1-Assumptions!$B$32)*Assumptions!$B$33*L17</f>
        <v>505.5</v>
      </c>
      <c r="M18" s="53">
        <f>Assumptions!$B$32*M15+(1-Assumptions!$B$32)*Assumptions!$B$33*M17</f>
        <v>202.2</v>
      </c>
      <c r="N18" s="53">
        <f>Assumptions!$B$32*N15+(1-Assumptions!$B$32)*Assumptions!$B$33*N17</f>
        <v>80.88000000000001</v>
      </c>
      <c r="O18" s="53">
        <f>Assumptions!$B$32*O15+(1-Assumptions!$B$32)*Assumptions!$B$33*O17</f>
        <v>32.352000000000004</v>
      </c>
      <c r="P18" s="53">
        <f>Assumptions!$B$32*P15+(1-Assumptions!$B$32)*Assumptions!$B$33*P17</f>
        <v>12.940800000000003</v>
      </c>
      <c r="Q18" s="53">
        <f>Assumptions!$B$32*Q15+(1-Assumptions!$B$32)*Assumptions!$B$33*Q17</f>
        <v>5.176320000000002</v>
      </c>
      <c r="R18" s="53">
        <f>Assumptions!$B$32*R15+(1-Assumptions!$B$32)*Assumptions!$B$33*R17</f>
        <v>2.0705280000000013</v>
      </c>
      <c r="S18" s="53">
        <f>Assumptions!$B$32*S15+(1-Assumptions!$B$32)*Assumptions!$B$33*S17</f>
        <v>0.8282112000000004</v>
      </c>
      <c r="T18" s="53">
        <f>Assumptions!$B$32*T15+(1-Assumptions!$B$32)*Assumptions!$B$33*T17</f>
        <v>0.3312844800000002</v>
      </c>
      <c r="U18" s="53">
        <f>Assumptions!$B$32*U15+(1-Assumptions!$B$32)*Assumptions!$B$33*U17</f>
        <v>0.1325137920000001</v>
      </c>
      <c r="V18" s="53">
        <f>Assumptions!$B$32*V15+(1-Assumptions!$B$32)*Assumptions!$B$33*V17</f>
        <v>0.05300551680000004</v>
      </c>
      <c r="W18" s="53">
        <f>Assumptions!$B$32*W15+(1-Assumptions!$B$32)*Assumptions!$B$33*W17</f>
        <v>0.02120220672000002</v>
      </c>
      <c r="X18" s="53">
        <f>Assumptions!$B$32*X15+(1-Assumptions!$B$32)*Assumptions!$B$33*X17</f>
        <v>0.008480882688000008</v>
      </c>
      <c r="Y18" s="53">
        <f>Assumptions!$B$32*Y15+(1-Assumptions!$B$32)*Assumptions!$B$33*Y17</f>
        <v>0.0033923530752000028</v>
      </c>
      <c r="Z18" s="53">
        <f>Assumptions!$B$32*Z15+(1-Assumptions!$B$32)*Assumptions!$B$33*Z17</f>
        <v>0.001356941230080001</v>
      </c>
    </row>
    <row r="19">
      <c r="A19" s="13" t="inlineStr">
        <is>
          <t>Company revenue, risk-adjusted (incl. milestones)</t>
        </is>
      </c>
      <c r="C19" s="53">
        <f>C18*Assumptions!$B$63</f>
        <v>39.0</v>
      </c>
      <c r="D19" s="53">
        <f>D18*Assumptions!$B$63</f>
        <v>97.5</v>
      </c>
      <c r="E19" s="53">
        <f>E18*Assumptions!$B$63</f>
        <v>175.5</v>
      </c>
      <c r="F19" s="53">
        <f>F18*Assumptions!$B$63</f>
        <v>265.05</v>
      </c>
      <c r="G19" s="53">
        <f>G18*Assumptions!$B$63</f>
        <v>348.67499999999995</v>
      </c>
      <c r="H19" s="53">
        <f>H18*Assumptions!$B$63</f>
        <v>414.675</v>
      </c>
      <c r="I19" s="53">
        <f>I18*Assumptions!$B$63</f>
        <v>465.075</v>
      </c>
      <c r="J19" s="53">
        <f>J18*Assumptions!$B$63</f>
        <v>484.71</v>
      </c>
      <c r="K19" s="53">
        <f>K18*Assumptions!$B$63</f>
        <v>497.415</v>
      </c>
      <c r="L19" s="53">
        <f>L18*Assumptions!$B$63</f>
        <v>505.5</v>
      </c>
      <c r="M19" s="53">
        <f>M18*Assumptions!$B$63</f>
        <v>202.2</v>
      </c>
      <c r="N19" s="53">
        <f>N18*Assumptions!$B$63</f>
        <v>80.88000000000001</v>
      </c>
      <c r="O19" s="53">
        <f>O18*Assumptions!$B$63</f>
        <v>32.352000000000004</v>
      </c>
      <c r="P19" s="53">
        <f>P18*Assumptions!$B$63</f>
        <v>12.940800000000003</v>
      </c>
      <c r="Q19" s="53">
        <f>Q18*Assumptions!$B$63</f>
        <v>5.176320000000002</v>
      </c>
      <c r="R19" s="53">
        <f>R18*Assumptions!$B$63</f>
        <v>2.0705280000000013</v>
      </c>
      <c r="S19" s="53">
        <f>S18*Assumptions!$B$63</f>
        <v>0.8282112000000004</v>
      </c>
      <c r="T19" s="53">
        <f>T18*Assumptions!$B$63</f>
        <v>0.3312844800000002</v>
      </c>
      <c r="U19" s="53">
        <f>U18*Assumptions!$B$63</f>
        <v>0.1325137920000001</v>
      </c>
      <c r="V19" s="53">
        <f>V18*Assumptions!$B$63</f>
        <v>0.05300551680000004</v>
      </c>
      <c r="W19" s="53">
        <f>W18*Assumptions!$B$63</f>
        <v>0.02120220672000002</v>
      </c>
      <c r="X19" s="53">
        <f>X18*Assumptions!$B$63</f>
        <v>0.008480882688000008</v>
      </c>
      <c r="Y19" s="53">
        <f>Y18*Assumptions!$B$63</f>
        <v>0.0033923530752000028</v>
      </c>
      <c r="Z19" s="53">
        <f>Z18*Assumptions!$B$63</f>
        <v>0.001356941230080001</v>
      </c>
    </row>
    <row r="20">
      <c r="A20" s="13" t="inlineStr">
        <is>
          <t>COGS + royalties, risk-adjusted</t>
        </is>
      </c>
      <c r="C20" s="53">
        <f>C18*(Assumptions!$B$64+Assumptions!$B$65)</f>
        <v>2.34</v>
      </c>
      <c r="D20" s="53">
        <f>D18*(Assumptions!$B$64+Assumptions!$B$65)</f>
        <v>5.85</v>
      </c>
      <c r="E20" s="53">
        <f>E18*(Assumptions!$B$64+Assumptions!$B$65)</f>
        <v>10.53</v>
      </c>
      <c r="F20" s="53">
        <f>F18*(Assumptions!$B$64+Assumptions!$B$65)</f>
        <v>15.903</v>
      </c>
      <c r="G20" s="53">
        <f>G18*(Assumptions!$B$64+Assumptions!$B$65)</f>
        <v>20.920499999999997</v>
      </c>
      <c r="H20" s="53">
        <f>H18*(Assumptions!$B$64+Assumptions!$B$65)</f>
        <v>24.8805</v>
      </c>
      <c r="I20" s="53">
        <f>I18*(Assumptions!$B$64+Assumptions!$B$65)</f>
        <v>27.9045</v>
      </c>
      <c r="J20" s="53">
        <f>J18*(Assumptions!$B$64+Assumptions!$B$65)</f>
        <v>29.0826</v>
      </c>
      <c r="K20" s="53">
        <f>K18*(Assumptions!$B$64+Assumptions!$B$65)</f>
        <v>29.8449</v>
      </c>
      <c r="L20" s="53">
        <f>L18*(Assumptions!$B$64+Assumptions!$B$65)</f>
        <v>30.33</v>
      </c>
      <c r="M20" s="53">
        <f>M18*(Assumptions!$B$64+Assumptions!$B$65)</f>
        <v>12.132</v>
      </c>
      <c r="N20" s="53">
        <f>N18*(Assumptions!$B$64+Assumptions!$B$65)</f>
        <v>4.8528</v>
      </c>
      <c r="O20" s="53">
        <f>O18*(Assumptions!$B$64+Assumptions!$B$65)</f>
        <v>1.9411200000000002</v>
      </c>
      <c r="P20" s="53">
        <f>P18*(Assumptions!$B$64+Assumptions!$B$65)</f>
        <v>0.7764480000000001</v>
      </c>
      <c r="Q20" s="53">
        <f>Q18*(Assumptions!$B$64+Assumptions!$B$65)</f>
        <v>0.3105792000000001</v>
      </c>
      <c r="R20" s="53">
        <f>R18*(Assumptions!$B$64+Assumptions!$B$65)</f>
        <v>0.12423168000000007</v>
      </c>
      <c r="S20" s="53">
        <f>S18*(Assumptions!$B$64+Assumptions!$B$65)</f>
        <v>0.04969267200000002</v>
      </c>
      <c r="T20" s="53">
        <f>T18*(Assumptions!$B$64+Assumptions!$B$65)</f>
        <v>0.019877068800000012</v>
      </c>
      <c r="U20" s="53">
        <f>U18*(Assumptions!$B$64+Assumptions!$B$65)</f>
        <v>0.007950827520000005</v>
      </c>
      <c r="V20" s="53">
        <f>V18*(Assumptions!$B$64+Assumptions!$B$65)</f>
        <v>0.0031803310080000024</v>
      </c>
      <c r="W20" s="53">
        <f>W18*(Assumptions!$B$64+Assumptions!$B$65)</f>
        <v>0.0012721324032000012</v>
      </c>
      <c r="X20" s="53">
        <f>X18*(Assumptions!$B$64+Assumptions!$B$65)</f>
        <v>0.0005088529612800004</v>
      </c>
      <c r="Y20" s="53">
        <f>Y18*(Assumptions!$B$64+Assumptions!$B$65)</f>
        <v>0.00020354118451200017</v>
      </c>
      <c r="Z20" s="53">
        <f>Z18*(Assumptions!$B$64+Assumptions!$B$65)</f>
        <v>8.141647380480006e-05</v>
      </c>
    </row>
    <row r="21">
      <c r="A21" s="13" t="inlineStr">
        <is>
          <t>Commercial SG&amp;A, risk-adjusted</t>
        </is>
      </c>
      <c r="C21" s="53">
        <f>Assumptions!$B$32*IF(Assumptions!$B$66=0,0,IF(C14=0,Assumptions!$B$67,IF(C14&gt;=1,C15*IF(OR(Assumptions!$B$63&lt;1,C14&gt;5),Assumptions!$B$66,MAX(Assumptions!$B$66,INDEX(Assumptions!$B$44:$F$44,C14))),0)))+(1-Assumptions!$B$32)*Assumptions!$B$33*IF(Assumptions!$B$66=0,0,IF(C16=0,Assumptions!$B$67,IF(C16&gt;=1,C17*IF(OR(Assumptions!$B$63&lt;1,C16&gt;5),Assumptions!$B$66,MAX(Assumptions!$B$66,INDEX(Assumptions!$B$44:$F$44,C16))),0)))</f>
        <v>35.1</v>
      </c>
      <c r="D21" s="53">
        <f>Assumptions!$B$32*IF(Assumptions!$B$66=0,0,IF(D14=0,Assumptions!$B$67,IF(D14&gt;=1,D15*IF(OR(Assumptions!$B$63&lt;1,D14&gt;5),Assumptions!$B$66,MAX(Assumptions!$B$66,INDEX(Assumptions!$B$44:$F$44,D14))),0)))+(1-Assumptions!$B$32)*Assumptions!$B$33*IF(Assumptions!$B$66=0,0,IF(D16=0,Assumptions!$B$67,IF(D16&gt;=1,D17*IF(OR(Assumptions!$B$63&lt;1,D16&gt;5),Assumptions!$B$66,MAX(Assumptions!$B$66,INDEX(Assumptions!$B$44:$F$44,D16))),0)))</f>
        <v>53.625</v>
      </c>
      <c r="E21" s="53">
        <f>Assumptions!$B$32*IF(Assumptions!$B$66=0,0,IF(E14=0,Assumptions!$B$67,IF(E14&gt;=1,E15*IF(OR(Assumptions!$B$63&lt;1,E14&gt;5),Assumptions!$B$66,MAX(Assumptions!$B$66,INDEX(Assumptions!$B$44:$F$44,E14))),0)))+(1-Assumptions!$B$32)*Assumptions!$B$33*IF(Assumptions!$B$66=0,0,IF(E16=0,Assumptions!$B$67,IF(E16&gt;=1,E17*IF(OR(Assumptions!$B$63&lt;1,E16&gt;5),Assumptions!$B$66,MAX(Assumptions!$B$66,INDEX(Assumptions!$B$44:$F$44,E16))),0)))</f>
        <v>74.05</v>
      </c>
      <c r="F21" s="53">
        <f>Assumptions!$B$32*IF(Assumptions!$B$66=0,0,IF(F14=0,Assumptions!$B$67,IF(F14&gt;=1,F15*IF(OR(Assumptions!$B$63&lt;1,F14&gt;5),Assumptions!$B$66,MAX(Assumptions!$B$66,INDEX(Assumptions!$B$44:$F$44,F14))),0)))+(1-Assumptions!$B$32)*Assumptions!$B$33*IF(Assumptions!$B$66=0,0,IF(F16=0,Assumptions!$B$67,IF(F16&gt;=1,F17*IF(OR(Assumptions!$B$63&lt;1,F16&gt;5),Assumptions!$B$66,MAX(Assumptions!$B$66,INDEX(Assumptions!$B$44:$F$44,F16))),0)))</f>
        <v>91.515</v>
      </c>
      <c r="G21" s="53">
        <f>Assumptions!$B$32*IF(Assumptions!$B$66=0,0,IF(G14=0,Assumptions!$B$67,IF(G14&gt;=1,G15*IF(OR(Assumptions!$B$63&lt;1,G14&gt;5),Assumptions!$B$66,MAX(Assumptions!$B$66,INDEX(Assumptions!$B$44:$F$44,G14))),0)))+(1-Assumptions!$B$32)*Assumptions!$B$33*IF(Assumptions!$B$66=0,0,IF(G16=0,Assumptions!$B$67,IF(G16&gt;=1,G17*IF(OR(Assumptions!$B$63&lt;1,G16&gt;5),Assumptions!$B$66,MAX(Assumptions!$B$66,INDEX(Assumptions!$B$44:$F$44,G16))),0)))</f>
        <v>105.42524999999999</v>
      </c>
      <c r="H21" s="53">
        <f>Assumptions!$B$32*IF(Assumptions!$B$66=0,0,IF(H14=0,Assumptions!$B$67,IF(H14&gt;=1,H15*IF(OR(Assumptions!$B$63&lt;1,H14&gt;5),Assumptions!$B$66,MAX(Assumptions!$B$66,INDEX(Assumptions!$B$44:$F$44,H14))),0)))+(1-Assumptions!$B$32)*Assumptions!$B$33*IF(Assumptions!$B$66=0,0,IF(H16=0,Assumptions!$B$67,IF(H16&gt;=1,H17*IF(OR(Assumptions!$B$63&lt;1,H16&gt;5),Assumptions!$B$66,MAX(Assumptions!$B$66,INDEX(Assumptions!$B$44:$F$44,H16))),0)))</f>
        <v>111.465</v>
      </c>
      <c r="I21" s="53">
        <f>Assumptions!$B$32*IF(Assumptions!$B$66=0,0,IF(I14=0,Assumptions!$B$67,IF(I14&gt;=1,I15*IF(OR(Assumptions!$B$63&lt;1,I14&gt;5),Assumptions!$B$66,MAX(Assumptions!$B$66,INDEX(Assumptions!$B$44:$F$44,I14))),0)))+(1-Assumptions!$B$32)*Assumptions!$B$33*IF(Assumptions!$B$66=0,0,IF(I16=0,Assumptions!$B$67,IF(I16&gt;=1,I17*IF(OR(Assumptions!$B$63&lt;1,I16&gt;5),Assumptions!$B$66,MAX(Assumptions!$B$66,INDEX(Assumptions!$B$44:$F$44,I16))),0)))</f>
        <v>121.524</v>
      </c>
      <c r="J21" s="53">
        <f>Assumptions!$B$32*IF(Assumptions!$B$66=0,0,IF(J14=0,Assumptions!$B$67,IF(J14&gt;=1,J15*IF(OR(Assumptions!$B$63&lt;1,J14&gt;5),Assumptions!$B$66,MAX(Assumptions!$B$66,INDEX(Assumptions!$B$44:$F$44,J14))),0)))+(1-Assumptions!$B$32)*Assumptions!$B$33*IF(Assumptions!$B$66=0,0,IF(J16=0,Assumptions!$B$67,IF(J16&gt;=1,J17*IF(OR(Assumptions!$B$63&lt;1,J16&gt;5),Assumptions!$B$66,MAX(Assumptions!$B$66,INDEX(Assumptions!$B$44:$F$44,J16))),0)))</f>
        <v>124.0188</v>
      </c>
      <c r="K21" s="53">
        <f>Assumptions!$B$32*IF(Assumptions!$B$66=0,0,IF(K14=0,Assumptions!$B$67,IF(K14&gt;=1,K15*IF(OR(Assumptions!$B$63&lt;1,K14&gt;5),Assumptions!$B$66,MAX(Assumptions!$B$66,INDEX(Assumptions!$B$44:$F$44,K14))),0)))+(1-Assumptions!$B$32)*Assumptions!$B$33*IF(Assumptions!$B$66=0,0,IF(K16=0,Assumptions!$B$67,IF(K16&gt;=1,K17*IF(OR(Assumptions!$B$63&lt;1,K16&gt;5),Assumptions!$B$66,MAX(Assumptions!$B$66,INDEX(Assumptions!$B$44:$F$44,K16))),0)))</f>
        <v>124.35375</v>
      </c>
      <c r="L21" s="53">
        <f>Assumptions!$B$32*IF(Assumptions!$B$66=0,0,IF(L14=0,Assumptions!$B$67,IF(L14&gt;=1,L15*IF(OR(Assumptions!$B$63&lt;1,L14&gt;5),Assumptions!$B$66,MAX(Assumptions!$B$66,INDEX(Assumptions!$B$44:$F$44,L14))),0)))+(1-Assumptions!$B$32)*Assumptions!$B$33*IF(Assumptions!$B$66=0,0,IF(L16=0,Assumptions!$B$67,IF(L16&gt;=1,L17*IF(OR(Assumptions!$B$63&lt;1,L16&gt;5),Assumptions!$B$66,MAX(Assumptions!$B$66,INDEX(Assumptions!$B$44:$F$44,L16))),0)))</f>
        <v>126.375</v>
      </c>
      <c r="M21" s="53">
        <f>Assumptions!$B$32*IF(Assumptions!$B$66=0,0,IF(M14=0,Assumptions!$B$67,IF(M14&gt;=1,M15*IF(OR(Assumptions!$B$63&lt;1,M14&gt;5),Assumptions!$B$66,MAX(Assumptions!$B$66,INDEX(Assumptions!$B$44:$F$44,M14))),0)))+(1-Assumptions!$B$32)*Assumptions!$B$33*IF(Assumptions!$B$66=0,0,IF(M16=0,Assumptions!$B$67,IF(M16&gt;=1,M17*IF(OR(Assumptions!$B$63&lt;1,M16&gt;5),Assumptions!$B$66,MAX(Assumptions!$B$66,INDEX(Assumptions!$B$44:$F$44,M16))),0)))</f>
        <v>50.55</v>
      </c>
      <c r="N21" s="53">
        <f>Assumptions!$B$32*IF(Assumptions!$B$66=0,0,IF(N14=0,Assumptions!$B$67,IF(N14&gt;=1,N15*IF(OR(Assumptions!$B$63&lt;1,N14&gt;5),Assumptions!$B$66,MAX(Assumptions!$B$66,INDEX(Assumptions!$B$44:$F$44,N14))),0)))+(1-Assumptions!$B$32)*Assumptions!$B$33*IF(Assumptions!$B$66=0,0,IF(N16=0,Assumptions!$B$67,IF(N16&gt;=1,N17*IF(OR(Assumptions!$B$63&lt;1,N16&gt;5),Assumptions!$B$66,MAX(Assumptions!$B$66,INDEX(Assumptions!$B$44:$F$44,N16))),0)))</f>
        <v>20.220000000000002</v>
      </c>
      <c r="O21" s="53">
        <f>Assumptions!$B$32*IF(Assumptions!$B$66=0,0,IF(O14=0,Assumptions!$B$67,IF(O14&gt;=1,O15*IF(OR(Assumptions!$B$63&lt;1,O14&gt;5),Assumptions!$B$66,MAX(Assumptions!$B$66,INDEX(Assumptions!$B$44:$F$44,O14))),0)))+(1-Assumptions!$B$32)*Assumptions!$B$33*IF(Assumptions!$B$66=0,0,IF(O16=0,Assumptions!$B$67,IF(O16&gt;=1,O17*IF(OR(Assumptions!$B$63&lt;1,O16&gt;5),Assumptions!$B$66,MAX(Assumptions!$B$66,INDEX(Assumptions!$B$44:$F$44,O16))),0)))</f>
        <v>8.088000000000001</v>
      </c>
      <c r="P21" s="53">
        <f>Assumptions!$B$32*IF(Assumptions!$B$66=0,0,IF(P14=0,Assumptions!$B$67,IF(P14&gt;=1,P15*IF(OR(Assumptions!$B$63&lt;1,P14&gt;5),Assumptions!$B$66,MAX(Assumptions!$B$66,INDEX(Assumptions!$B$44:$F$44,P14))),0)))+(1-Assumptions!$B$32)*Assumptions!$B$33*IF(Assumptions!$B$66=0,0,IF(P16=0,Assumptions!$B$67,IF(P16&gt;=1,P17*IF(OR(Assumptions!$B$63&lt;1,P16&gt;5),Assumptions!$B$66,MAX(Assumptions!$B$66,INDEX(Assumptions!$B$44:$F$44,P16))),0)))</f>
        <v>3.2352000000000007</v>
      </c>
      <c r="Q21" s="53">
        <f>Assumptions!$B$32*IF(Assumptions!$B$66=0,0,IF(Q14=0,Assumptions!$B$67,IF(Q14&gt;=1,Q15*IF(OR(Assumptions!$B$63&lt;1,Q14&gt;5),Assumptions!$B$66,MAX(Assumptions!$B$66,INDEX(Assumptions!$B$44:$F$44,Q14))),0)))+(1-Assumptions!$B$32)*Assumptions!$B$33*IF(Assumptions!$B$66=0,0,IF(Q16=0,Assumptions!$B$67,IF(Q16&gt;=1,Q17*IF(OR(Assumptions!$B$63&lt;1,Q16&gt;5),Assumptions!$B$66,MAX(Assumptions!$B$66,INDEX(Assumptions!$B$44:$F$44,Q16))),0)))</f>
        <v>1.2940800000000006</v>
      </c>
      <c r="R21" s="53">
        <f>Assumptions!$B$32*IF(Assumptions!$B$66=0,0,IF(R14=0,Assumptions!$B$67,IF(R14&gt;=1,R15*IF(OR(Assumptions!$B$63&lt;1,R14&gt;5),Assumptions!$B$66,MAX(Assumptions!$B$66,INDEX(Assumptions!$B$44:$F$44,R14))),0)))+(1-Assumptions!$B$32)*Assumptions!$B$33*IF(Assumptions!$B$66=0,0,IF(R16=0,Assumptions!$B$67,IF(R16&gt;=1,R17*IF(OR(Assumptions!$B$63&lt;1,R16&gt;5),Assumptions!$B$66,MAX(Assumptions!$B$66,INDEX(Assumptions!$B$44:$F$44,R16))),0)))</f>
        <v>0.5176320000000003</v>
      </c>
      <c r="S21" s="53">
        <f>Assumptions!$B$32*IF(Assumptions!$B$66=0,0,IF(S14=0,Assumptions!$B$67,IF(S14&gt;=1,S15*IF(OR(Assumptions!$B$63&lt;1,S14&gt;5),Assumptions!$B$66,MAX(Assumptions!$B$66,INDEX(Assumptions!$B$44:$F$44,S14))),0)))+(1-Assumptions!$B$32)*Assumptions!$B$33*IF(Assumptions!$B$66=0,0,IF(S16=0,Assumptions!$B$67,IF(S16&gt;=1,S17*IF(OR(Assumptions!$B$63&lt;1,S16&gt;5),Assumptions!$B$66,MAX(Assumptions!$B$66,INDEX(Assumptions!$B$44:$F$44,S16))),0)))</f>
        <v>0.2070528000000001</v>
      </c>
      <c r="T21" s="53">
        <f>Assumptions!$B$32*IF(Assumptions!$B$66=0,0,IF(T14=0,Assumptions!$B$67,IF(T14&gt;=1,T15*IF(OR(Assumptions!$B$63&lt;1,T14&gt;5),Assumptions!$B$66,MAX(Assumptions!$B$66,INDEX(Assumptions!$B$44:$F$44,T14))),0)))+(1-Assumptions!$B$32)*Assumptions!$B$33*IF(Assumptions!$B$66=0,0,IF(T16=0,Assumptions!$B$67,IF(T16&gt;=1,T17*IF(OR(Assumptions!$B$63&lt;1,T16&gt;5),Assumptions!$B$66,MAX(Assumptions!$B$66,INDEX(Assumptions!$B$44:$F$44,T16))),0)))</f>
        <v>0.08282112000000005</v>
      </c>
      <c r="U21" s="53">
        <f>Assumptions!$B$32*IF(Assumptions!$B$66=0,0,IF(U14=0,Assumptions!$B$67,IF(U14&gt;=1,U15*IF(OR(Assumptions!$B$63&lt;1,U14&gt;5),Assumptions!$B$66,MAX(Assumptions!$B$66,INDEX(Assumptions!$B$44:$F$44,U14))),0)))+(1-Assumptions!$B$32)*Assumptions!$B$33*IF(Assumptions!$B$66=0,0,IF(U16=0,Assumptions!$B$67,IF(U16&gt;=1,U17*IF(OR(Assumptions!$B$63&lt;1,U16&gt;5),Assumptions!$B$66,MAX(Assumptions!$B$66,INDEX(Assumptions!$B$44:$F$44,U16))),0)))</f>
        <v>0.033128448000000026</v>
      </c>
      <c r="V21" s="53">
        <f>Assumptions!$B$32*IF(Assumptions!$B$66=0,0,IF(V14=0,Assumptions!$B$67,IF(V14&gt;=1,V15*IF(OR(Assumptions!$B$63&lt;1,V14&gt;5),Assumptions!$B$66,MAX(Assumptions!$B$66,INDEX(Assumptions!$B$44:$F$44,V14))),0)))+(1-Assumptions!$B$32)*Assumptions!$B$33*IF(Assumptions!$B$66=0,0,IF(V16=0,Assumptions!$B$67,IF(V16&gt;=1,V17*IF(OR(Assumptions!$B$63&lt;1,V16&gt;5),Assumptions!$B$66,MAX(Assumptions!$B$66,INDEX(Assumptions!$B$44:$F$44,V16))),0)))</f>
        <v>0.01325137920000001</v>
      </c>
      <c r="W21" s="53">
        <f>Assumptions!$B$32*IF(Assumptions!$B$66=0,0,IF(W14=0,Assumptions!$B$67,IF(W14&gt;=1,W15*IF(OR(Assumptions!$B$63&lt;1,W14&gt;5),Assumptions!$B$66,MAX(Assumptions!$B$66,INDEX(Assumptions!$B$44:$F$44,W14))),0)))+(1-Assumptions!$B$32)*Assumptions!$B$33*IF(Assumptions!$B$66=0,0,IF(W16=0,Assumptions!$B$67,IF(W16&gt;=1,W17*IF(OR(Assumptions!$B$63&lt;1,W16&gt;5),Assumptions!$B$66,MAX(Assumptions!$B$66,INDEX(Assumptions!$B$44:$F$44,W16))),0)))</f>
        <v>0.005300551680000005</v>
      </c>
      <c r="X21" s="53">
        <f>Assumptions!$B$32*IF(Assumptions!$B$66=0,0,IF(X14=0,Assumptions!$B$67,IF(X14&gt;=1,X15*IF(OR(Assumptions!$B$63&lt;1,X14&gt;5),Assumptions!$B$66,MAX(Assumptions!$B$66,INDEX(Assumptions!$B$44:$F$44,X14))),0)))+(1-Assumptions!$B$32)*Assumptions!$B$33*IF(Assumptions!$B$66=0,0,IF(X16=0,Assumptions!$B$67,IF(X16&gt;=1,X17*IF(OR(Assumptions!$B$63&lt;1,X16&gt;5),Assumptions!$B$66,MAX(Assumptions!$B$66,INDEX(Assumptions!$B$44:$F$44,X16))),0)))</f>
        <v>0.002120220672000002</v>
      </c>
      <c r="Y21" s="53">
        <f>Assumptions!$B$32*IF(Assumptions!$B$66=0,0,IF(Y14=0,Assumptions!$B$67,IF(Y14&gt;=1,Y15*IF(OR(Assumptions!$B$63&lt;1,Y14&gt;5),Assumptions!$B$66,MAX(Assumptions!$B$66,INDEX(Assumptions!$B$44:$F$44,Y14))),0)))+(1-Assumptions!$B$32)*Assumptions!$B$33*IF(Assumptions!$B$66=0,0,IF(Y16=0,Assumptions!$B$67,IF(Y16&gt;=1,Y17*IF(OR(Assumptions!$B$63&lt;1,Y16&gt;5),Assumptions!$B$66,MAX(Assumptions!$B$66,INDEX(Assumptions!$B$44:$F$44,Y16))),0)))</f>
        <v>0.0008480882688000007</v>
      </c>
      <c r="Z21" s="53">
        <f>Assumptions!$B$32*IF(Assumptions!$B$66=0,0,IF(Z14=0,Assumptions!$B$67,IF(Z14&gt;=1,Z15*IF(OR(Assumptions!$B$63&lt;1,Z14&gt;5),Assumptions!$B$66,MAX(Assumptions!$B$66,INDEX(Assumptions!$B$44:$F$44,Z14))),0)))+(1-Assumptions!$B$32)*Assumptions!$B$33*IF(Assumptions!$B$66=0,0,IF(Z16=0,Assumptions!$B$67,IF(Z16&gt;=1,Z17*IF(OR(Assumptions!$B$63&lt;1,Z16&gt;5),Assumptions!$B$66,MAX(Assumptions!$B$66,INDEX(Assumptions!$B$44:$F$44,Z16))),0)))</f>
        <v>0.00033923530752000026</v>
      </c>
    </row>
    <row r="22">
      <c r="A22" s="13" t="inlineStr">
        <is>
          <t>Development R&amp;D, risk-adjusted</t>
        </is>
      </c>
      <c r="C22" s="53">
        <f>IFERROR(INDEX(Assumptions!$B$72:$I$72,MATCH(C$2,Assumptions!$B$71:$I$71,0))*INDEX(Assumptions!$B$73:$I$73,MATCH(C$2,Assumptions!$B$71:$I$71,0)),0)</f>
        <v>40.0</v>
      </c>
      <c r="D22" s="53">
        <f>IFERROR(INDEX(Assumptions!$B$72:$I$72,MATCH(D$2,Assumptions!$B$71:$I$71,0))*INDEX(Assumptions!$B$73:$I$73,MATCH(D$2,Assumptions!$B$71:$I$71,0)),0)</f>
        <v>40.0</v>
      </c>
      <c r="E22" s="53">
        <f>IFERROR(INDEX(Assumptions!$B$72:$I$72,MATCH(E$2,Assumptions!$B$71:$I$71,0))*INDEX(Assumptions!$B$73:$I$73,MATCH(E$2,Assumptions!$B$71:$I$71,0)),0)</f>
        <v>30.0</v>
      </c>
      <c r="F22" s="53">
        <f>IFERROR(INDEX(Assumptions!$B$72:$I$72,MATCH(F$2,Assumptions!$B$71:$I$71,0))*INDEX(Assumptions!$B$73:$I$73,MATCH(F$2,Assumptions!$B$71:$I$71,0)),0)</f>
        <v>0.0</v>
      </c>
      <c r="G22" s="53">
        <f>IFERROR(INDEX(Assumptions!$B$72:$I$72,MATCH(G$2,Assumptions!$B$71:$I$71,0))*INDEX(Assumptions!$B$73:$I$73,MATCH(G$2,Assumptions!$B$71:$I$71,0)),0)</f>
        <v>0.0</v>
      </c>
      <c r="H22" s="53">
        <f>IFERROR(INDEX(Assumptions!$B$72:$I$72,MATCH(H$2,Assumptions!$B$71:$I$71,0))*INDEX(Assumptions!$B$73:$I$73,MATCH(H$2,Assumptions!$B$71:$I$71,0)),0)</f>
        <v>0.0</v>
      </c>
      <c r="I22" s="53">
        <f>IFERROR(INDEX(Assumptions!$B$72:$I$72,MATCH(I$2,Assumptions!$B$71:$I$71,0))*INDEX(Assumptions!$B$73:$I$73,MATCH(I$2,Assumptions!$B$71:$I$71,0)),0)</f>
        <v>0.0</v>
      </c>
      <c r="J22" s="53">
        <f>IFERROR(INDEX(Assumptions!$B$72:$I$72,MATCH(J$2,Assumptions!$B$71:$I$71,0))*INDEX(Assumptions!$B$73:$I$73,MATCH(J$2,Assumptions!$B$71:$I$71,0)),0)</f>
        <v>0.0</v>
      </c>
      <c r="K22" s="53">
        <f>IFERROR(INDEX(Assumptions!$B$72:$I$72,MATCH(K$2,Assumptions!$B$71:$I$71,0))*INDEX(Assumptions!$B$73:$I$73,MATCH(K$2,Assumptions!$B$71:$I$71,0)),0)</f>
        <v>0</v>
      </c>
      <c r="L22" s="53">
        <f>IFERROR(INDEX(Assumptions!$B$72:$I$72,MATCH(L$2,Assumptions!$B$71:$I$71,0))*INDEX(Assumptions!$B$73:$I$73,MATCH(L$2,Assumptions!$B$71:$I$71,0)),0)</f>
        <v>0</v>
      </c>
      <c r="M22" s="53">
        <f>IFERROR(INDEX(Assumptions!$B$72:$I$72,MATCH(M$2,Assumptions!$B$71:$I$71,0))*INDEX(Assumptions!$B$73:$I$73,MATCH(M$2,Assumptions!$B$71:$I$71,0)),0)</f>
        <v>0</v>
      </c>
      <c r="N22" s="53">
        <f>IFERROR(INDEX(Assumptions!$B$72:$I$72,MATCH(N$2,Assumptions!$B$71:$I$71,0))*INDEX(Assumptions!$B$73:$I$73,MATCH(N$2,Assumptions!$B$71:$I$71,0)),0)</f>
        <v>0</v>
      </c>
      <c r="O22" s="53">
        <f>IFERROR(INDEX(Assumptions!$B$72:$I$72,MATCH(O$2,Assumptions!$B$71:$I$71,0))*INDEX(Assumptions!$B$73:$I$73,MATCH(O$2,Assumptions!$B$71:$I$71,0)),0)</f>
        <v>0</v>
      </c>
      <c r="P22" s="53">
        <f>IFERROR(INDEX(Assumptions!$B$72:$I$72,MATCH(P$2,Assumptions!$B$71:$I$71,0))*INDEX(Assumptions!$B$73:$I$73,MATCH(P$2,Assumptions!$B$71:$I$71,0)),0)</f>
        <v>0</v>
      </c>
      <c r="Q22" s="53">
        <f>IFERROR(INDEX(Assumptions!$B$72:$I$72,MATCH(Q$2,Assumptions!$B$71:$I$71,0))*INDEX(Assumptions!$B$73:$I$73,MATCH(Q$2,Assumptions!$B$71:$I$71,0)),0)</f>
        <v>0</v>
      </c>
      <c r="R22" s="53">
        <f>IFERROR(INDEX(Assumptions!$B$72:$I$72,MATCH(R$2,Assumptions!$B$71:$I$71,0))*INDEX(Assumptions!$B$73:$I$73,MATCH(R$2,Assumptions!$B$71:$I$71,0)),0)</f>
        <v>0</v>
      </c>
      <c r="S22" s="53">
        <f>IFERROR(INDEX(Assumptions!$B$72:$I$72,MATCH(S$2,Assumptions!$B$71:$I$71,0))*INDEX(Assumptions!$B$73:$I$73,MATCH(S$2,Assumptions!$B$71:$I$71,0)),0)</f>
        <v>0</v>
      </c>
      <c r="T22" s="53">
        <f>IFERROR(INDEX(Assumptions!$B$72:$I$72,MATCH(T$2,Assumptions!$B$71:$I$71,0))*INDEX(Assumptions!$B$73:$I$73,MATCH(T$2,Assumptions!$B$71:$I$71,0)),0)</f>
        <v>0</v>
      </c>
      <c r="U22" s="53">
        <f>IFERROR(INDEX(Assumptions!$B$72:$I$72,MATCH(U$2,Assumptions!$B$71:$I$71,0))*INDEX(Assumptions!$B$73:$I$73,MATCH(U$2,Assumptions!$B$71:$I$71,0)),0)</f>
        <v>0</v>
      </c>
      <c r="V22" s="53">
        <f>IFERROR(INDEX(Assumptions!$B$72:$I$72,MATCH(V$2,Assumptions!$B$71:$I$71,0))*INDEX(Assumptions!$B$73:$I$73,MATCH(V$2,Assumptions!$B$71:$I$71,0)),0)</f>
        <v>0</v>
      </c>
      <c r="W22" s="53">
        <f>IFERROR(INDEX(Assumptions!$B$72:$I$72,MATCH(W$2,Assumptions!$B$71:$I$71,0))*INDEX(Assumptions!$B$73:$I$73,MATCH(W$2,Assumptions!$B$71:$I$71,0)),0)</f>
        <v>0</v>
      </c>
      <c r="X22" s="53">
        <f>IFERROR(INDEX(Assumptions!$B$72:$I$72,MATCH(X$2,Assumptions!$B$71:$I$71,0))*INDEX(Assumptions!$B$73:$I$73,MATCH(X$2,Assumptions!$B$71:$I$71,0)),0)</f>
        <v>0</v>
      </c>
      <c r="Y22" s="53">
        <f>IFERROR(INDEX(Assumptions!$B$72:$I$72,MATCH(Y$2,Assumptions!$B$71:$I$71,0))*INDEX(Assumptions!$B$73:$I$73,MATCH(Y$2,Assumptions!$B$71:$I$71,0)),0)</f>
        <v>0</v>
      </c>
      <c r="Z22" s="53">
        <f>IFERROR(INDEX(Assumptions!$B$72:$I$72,MATCH(Z$2,Assumptions!$B$71:$I$71,0))*INDEX(Assumptions!$B$73:$I$73,MATCH(Z$2,Assumptions!$B$71:$I$71,0)),0)</f>
        <v>0</v>
      </c>
    </row>
    <row r="23">
      <c r="A23" s="22" t="inlineStr">
        <is>
          <t>Program contribution (pre-tax)</t>
        </is>
      </c>
      <c r="C23" s="57">
        <f>C19-C20-C21-C22</f>
        <v>-38.440000000000005</v>
      </c>
      <c r="D23" s="57">
        <f>D19-D20-D21-D22</f>
        <v>-1.9749999999999943</v>
      </c>
      <c r="E23" s="57">
        <f>E19-E20-E21-E22</f>
        <v>60.92</v>
      </c>
      <c r="F23" s="57">
        <f>F19-F20-F21-F22</f>
        <v>157.632</v>
      </c>
      <c r="G23" s="57">
        <f>G19-G20-G21-G22</f>
        <v>222.32924999999994</v>
      </c>
      <c r="H23" s="57">
        <f>H19-H20-H21-H22</f>
        <v>278.32950000000005</v>
      </c>
      <c r="I23" s="57">
        <f>I19-I20-I21-I22</f>
        <v>315.6465</v>
      </c>
      <c r="J23" s="57">
        <f>J19-J20-J21-J22</f>
        <v>331.60859999999997</v>
      </c>
      <c r="K23" s="57">
        <f>K19-K20-K21-K22</f>
        <v>343.21635000000003</v>
      </c>
      <c r="L23" s="57">
        <f>L19-L20-L21-L22</f>
        <v>348.795</v>
      </c>
      <c r="M23" s="57">
        <f>M19-M20-M21-M22</f>
        <v>139.51799999999997</v>
      </c>
      <c r="N23" s="57">
        <f>N19-N20-N21-N22</f>
        <v>55.80720000000001</v>
      </c>
      <c r="O23" s="57">
        <f>O19-O20-O21-O22</f>
        <v>22.32288</v>
      </c>
      <c r="P23" s="57">
        <f>P19-P20-P21-P22</f>
        <v>8.929152000000002</v>
      </c>
      <c r="Q23" s="57">
        <f>Q19-Q20-Q21-Q22</f>
        <v>3.5716608000000014</v>
      </c>
      <c r="R23" s="57">
        <f>R19-R20-R21-R22</f>
        <v>1.4286643200000009</v>
      </c>
      <c r="S23" s="57">
        <f>S19-S20-S21-S22</f>
        <v>0.5714657280000002</v>
      </c>
      <c r="T23" s="57">
        <f>T19-T20-T21-T22</f>
        <v>0.22858629120000015</v>
      </c>
      <c r="U23" s="57">
        <f>U19-U20-U21-U22</f>
        <v>0.09143451648000006</v>
      </c>
      <c r="V23" s="57">
        <f>V19-V20-V21-V22</f>
        <v>0.036573806592000026</v>
      </c>
      <c r="W23" s="57">
        <f>W19-W20-W21-W22</f>
        <v>0.014629522636800014</v>
      </c>
      <c r="X23" s="57">
        <f>X19-X20-X21-X22</f>
        <v>0.005851809054720006</v>
      </c>
      <c r="Y23" s="57">
        <f>Y19-Y20-Y21-Y22</f>
        <v>0.002340723621888002</v>
      </c>
      <c r="Z23" s="57">
        <f>Z19-Z20-Z21-Z22</f>
        <v>0.0009362894487552007</v>
      </c>
    </row>
    <row r="25">
      <c r="A25" s="30" t="inlineStr">
        <is>
          <t>Cevidoplenib — immune thrombocytopenia</t>
        </is>
      </c>
    </row>
    <row r="26">
      <c r="A26" s="13" t="inlineStr">
        <is>
          <t>Years since launch</t>
        </is>
      </c>
      <c r="C26" s="64">
        <f>C$2-Assumptions!$B$76+1</f>
        <v>-3.0</v>
      </c>
      <c r="D26" s="64">
        <f>D$2-Assumptions!$B$76+1</f>
        <v>-2.0</v>
      </c>
      <c r="E26" s="64">
        <f>E$2-Assumptions!$B$76+1</f>
        <v>-1.0</v>
      </c>
      <c r="F26" s="64">
        <f>F$2-Assumptions!$B$76+1</f>
        <v>0.0</v>
      </c>
      <c r="G26" s="64">
        <f>G$2-Assumptions!$B$76+1</f>
        <v>1.0</v>
      </c>
      <c r="H26" s="64">
        <f>H$2-Assumptions!$B$76+1</f>
        <v>2.0</v>
      </c>
      <c r="I26" s="64">
        <f>I$2-Assumptions!$B$76+1</f>
        <v>3.0</v>
      </c>
      <c r="J26" s="64">
        <f>J$2-Assumptions!$B$76+1</f>
        <v>4.0</v>
      </c>
      <c r="K26" s="64">
        <f>K$2-Assumptions!$B$76+1</f>
        <v>5.0</v>
      </c>
      <c r="L26" s="64">
        <f>L$2-Assumptions!$B$76+1</f>
        <v>6.0</v>
      </c>
      <c r="M26" s="64">
        <f>M$2-Assumptions!$B$76+1</f>
        <v>7.0</v>
      </c>
      <c r="N26" s="64">
        <f>N$2-Assumptions!$B$76+1</f>
        <v>8.0</v>
      </c>
      <c r="O26" s="64">
        <f>O$2-Assumptions!$B$76+1</f>
        <v>9.0</v>
      </c>
      <c r="P26" s="64">
        <f>P$2-Assumptions!$B$76+1</f>
        <v>10.0</v>
      </c>
      <c r="Q26" s="64">
        <f>Q$2-Assumptions!$B$76+1</f>
        <v>11.0</v>
      </c>
      <c r="R26" s="64">
        <f>R$2-Assumptions!$B$76+1</f>
        <v>12.0</v>
      </c>
      <c r="S26" s="64">
        <f>S$2-Assumptions!$B$76+1</f>
        <v>13.0</v>
      </c>
      <c r="T26" s="64">
        <f>T$2-Assumptions!$B$76+1</f>
        <v>14.0</v>
      </c>
      <c r="U26" s="64">
        <f>U$2-Assumptions!$B$76+1</f>
        <v>15.0</v>
      </c>
      <c r="V26" s="64">
        <f>V$2-Assumptions!$B$76+1</f>
        <v>16.0</v>
      </c>
      <c r="W26" s="64">
        <f>W$2-Assumptions!$B$76+1</f>
        <v>17.0</v>
      </c>
      <c r="X26" s="64">
        <f>X$2-Assumptions!$B$76+1</f>
        <v>18.0</v>
      </c>
      <c r="Y26" s="64">
        <f>Y$2-Assumptions!$B$76+1</f>
        <v>19.0</v>
      </c>
      <c r="Z26" s="64">
        <f>Z$2-Assumptions!$B$76+1</f>
        <v>20.0</v>
      </c>
    </row>
    <row r="27">
      <c r="A27" s="13" t="inlineStr">
        <is>
          <t>Net sales, unrisked</t>
        </is>
      </c>
      <c r="C27" s="53">
        <f>IF(C$2&gt;Assumptions!$B$85,0*(1-Assumptions!$B$86),IF(C26&gt;=1,Assumptions!$B$77*CHOOSE(Assumptions!$B$84,INDEX(Assumptions!$B$42:$H$42,MIN(C26,7)),INDEX(Assumptions!$B$43:$H$43,MIN(C26,7))),0))</f>
        <v>0</v>
      </c>
      <c r="D27" s="53">
        <f>IF(D$2&gt;Assumptions!$B$85,C27*(1-Assumptions!$B$86),IF(D26&gt;=1,Assumptions!$B$77*CHOOSE(Assumptions!$B$84,INDEX(Assumptions!$B$42:$H$42,MIN(D26,7)),INDEX(Assumptions!$B$43:$H$43,MIN(D26,7))),0))</f>
        <v>0</v>
      </c>
      <c r="E27" s="53">
        <f>IF(E$2&gt;Assumptions!$B$85,D27*(1-Assumptions!$B$86),IF(E26&gt;=1,Assumptions!$B$77*CHOOSE(Assumptions!$B$84,INDEX(Assumptions!$B$42:$H$42,MIN(E26,7)),INDEX(Assumptions!$B$43:$H$43,MIN(E26,7))),0))</f>
        <v>0</v>
      </c>
      <c r="F27" s="53">
        <f>IF(F$2&gt;Assumptions!$B$85,E27*(1-Assumptions!$B$86),IF(F26&gt;=1,Assumptions!$B$77*CHOOSE(Assumptions!$B$84,INDEX(Assumptions!$B$42:$H$42,MIN(F26,7)),INDEX(Assumptions!$B$43:$H$43,MIN(F26,7))),0))</f>
        <v>0</v>
      </c>
      <c r="G27" s="53">
        <f>IF(G$2&gt;Assumptions!$B$85,F27*(1-Assumptions!$B$86),IF(G26&gt;=1,Assumptions!$B$77*CHOOSE(Assumptions!$B$84,INDEX(Assumptions!$B$42:$H$42,MIN(G26,7)),INDEX(Assumptions!$B$43:$H$43,MIN(G26,7))),0))</f>
        <v>70.0</v>
      </c>
      <c r="H27" s="53">
        <f>IF(H$2&gt;Assumptions!$B$85,G27*(1-Assumptions!$B$86),IF(H26&gt;=1,Assumptions!$B$77*CHOOSE(Assumptions!$B$84,INDEX(Assumptions!$B$42:$H$42,MIN(H26,7)),INDEX(Assumptions!$B$43:$H$43,MIN(H26,7))),0))</f>
        <v>175.0</v>
      </c>
      <c r="I27" s="53">
        <f>IF(I$2&gt;Assumptions!$B$85,H27*(1-Assumptions!$B$86),IF(I26&gt;=1,Assumptions!$B$77*CHOOSE(Assumptions!$B$84,INDEX(Assumptions!$B$42:$H$42,MIN(I26,7)),INDEX(Assumptions!$B$43:$H$43,MIN(I26,7))),0))</f>
        <v>315.0</v>
      </c>
      <c r="J27" s="53">
        <f>IF(J$2&gt;Assumptions!$B$85,I27*(1-Assumptions!$B$86),IF(J26&gt;=1,Assumptions!$B$77*CHOOSE(Assumptions!$B$84,INDEX(Assumptions!$B$42:$H$42,MIN(J26,7)),INDEX(Assumptions!$B$43:$H$43,MIN(J26,7))),0))</f>
        <v>455.0</v>
      </c>
      <c r="K27" s="53">
        <f>IF(K$2&gt;Assumptions!$B$85,J27*(1-Assumptions!$B$86),IF(K26&gt;=1,Assumptions!$B$77*CHOOSE(Assumptions!$B$84,INDEX(Assumptions!$B$42:$H$42,MIN(K26,7)),INDEX(Assumptions!$B$43:$H$43,MIN(K26,7))),0))</f>
        <v>574.0</v>
      </c>
      <c r="L27" s="53">
        <f>IF(L$2&gt;Assumptions!$B$85,K27*(1-Assumptions!$B$86),IF(L26&gt;=1,Assumptions!$B$77*CHOOSE(Assumptions!$B$84,INDEX(Assumptions!$B$42:$H$42,MIN(L26,7)),INDEX(Assumptions!$B$43:$H$43,MIN(L26,7))),0))</f>
        <v>651.0</v>
      </c>
      <c r="M27" s="53">
        <f>IF(M$2&gt;Assumptions!$B$85,L27*(1-Assumptions!$B$86),IF(M26&gt;=1,Assumptions!$B$77*CHOOSE(Assumptions!$B$84,INDEX(Assumptions!$B$42:$H$42,MIN(M26,7)),INDEX(Assumptions!$B$43:$H$43,MIN(M26,7))),0))</f>
        <v>700.0</v>
      </c>
      <c r="N27" s="53">
        <f>IF(N$2&gt;Assumptions!$B$85,M27*(1-Assumptions!$B$86),IF(N26&gt;=1,Assumptions!$B$77*CHOOSE(Assumptions!$B$84,INDEX(Assumptions!$B$42:$H$42,MIN(N26,7)),INDEX(Assumptions!$B$43:$H$43,MIN(N26,7))),0))</f>
        <v>700.0</v>
      </c>
      <c r="O27" s="53">
        <f>IF(O$2&gt;Assumptions!$B$85,N27*(1-Assumptions!$B$86),IF(O26&gt;=1,Assumptions!$B$77*CHOOSE(Assumptions!$B$84,INDEX(Assumptions!$B$42:$H$42,MIN(O26,7)),INDEX(Assumptions!$B$43:$H$43,MIN(O26,7))),0))</f>
        <v>700.0</v>
      </c>
      <c r="P27" s="53">
        <f>IF(P$2&gt;Assumptions!$B$85,O27*(1-Assumptions!$B$86),IF(P26&gt;=1,Assumptions!$B$77*CHOOSE(Assumptions!$B$84,INDEX(Assumptions!$B$42:$H$42,MIN(P26,7)),INDEX(Assumptions!$B$43:$H$43,MIN(P26,7))),0))</f>
        <v>700.0</v>
      </c>
      <c r="Q27" s="53">
        <f>IF(Q$2&gt;Assumptions!$B$85,P27*(1-Assumptions!$B$86),IF(Q26&gt;=1,Assumptions!$B$77*CHOOSE(Assumptions!$B$84,INDEX(Assumptions!$B$42:$H$42,MIN(Q26,7)),INDEX(Assumptions!$B$43:$H$43,MIN(Q26,7))),0))</f>
        <v>700.0</v>
      </c>
      <c r="R27" s="53">
        <f>IF(R$2&gt;Assumptions!$B$85,Q27*(1-Assumptions!$B$86),IF(R26&gt;=1,Assumptions!$B$77*CHOOSE(Assumptions!$B$84,INDEX(Assumptions!$B$42:$H$42,MIN(R26,7)),INDEX(Assumptions!$B$43:$H$43,MIN(R26,7))),0))</f>
        <v>280.0</v>
      </c>
      <c r="S27" s="53">
        <f>IF(S$2&gt;Assumptions!$B$85,R27*(1-Assumptions!$B$86),IF(S26&gt;=1,Assumptions!$B$77*CHOOSE(Assumptions!$B$84,INDEX(Assumptions!$B$42:$H$42,MIN(S26,7)),INDEX(Assumptions!$B$43:$H$43,MIN(S26,7))),0))</f>
        <v>112.0</v>
      </c>
      <c r="T27" s="53">
        <f>IF(T$2&gt;Assumptions!$B$85,S27*(1-Assumptions!$B$86),IF(T26&gt;=1,Assumptions!$B$77*CHOOSE(Assumptions!$B$84,INDEX(Assumptions!$B$42:$H$42,MIN(T26,7)),INDEX(Assumptions!$B$43:$H$43,MIN(T26,7))),0))</f>
        <v>44.800000000000004</v>
      </c>
      <c r="U27" s="53">
        <f>IF(U$2&gt;Assumptions!$B$85,T27*(1-Assumptions!$B$86),IF(U26&gt;=1,Assumptions!$B$77*CHOOSE(Assumptions!$B$84,INDEX(Assumptions!$B$42:$H$42,MIN(U26,7)),INDEX(Assumptions!$B$43:$H$43,MIN(U26,7))),0))</f>
        <v>17.92</v>
      </c>
      <c r="V27" s="53">
        <f>IF(V$2&gt;Assumptions!$B$85,U27*(1-Assumptions!$B$86),IF(V26&gt;=1,Assumptions!$B$77*CHOOSE(Assumptions!$B$84,INDEX(Assumptions!$B$42:$H$42,MIN(V26,7)),INDEX(Assumptions!$B$43:$H$43,MIN(V26,7))),0))</f>
        <v>7.168000000000001</v>
      </c>
      <c r="W27" s="53">
        <f>IF(W$2&gt;Assumptions!$B$85,V27*(1-Assumptions!$B$86),IF(W26&gt;=1,Assumptions!$B$77*CHOOSE(Assumptions!$B$84,INDEX(Assumptions!$B$42:$H$42,MIN(W26,7)),INDEX(Assumptions!$B$43:$H$43,MIN(W26,7))),0))</f>
        <v>2.8672000000000004</v>
      </c>
      <c r="X27" s="53">
        <f>IF(X$2&gt;Assumptions!$B$85,W27*(1-Assumptions!$B$86),IF(X26&gt;=1,Assumptions!$B$77*CHOOSE(Assumptions!$B$84,INDEX(Assumptions!$B$42:$H$42,MIN(X26,7)),INDEX(Assumptions!$B$43:$H$43,MIN(X26,7))),0))</f>
        <v>1.1468800000000001</v>
      </c>
      <c r="Y27" s="53">
        <f>IF(Y$2&gt;Assumptions!$B$85,X27*(1-Assumptions!$B$86),IF(Y26&gt;=1,Assumptions!$B$77*CHOOSE(Assumptions!$B$84,INDEX(Assumptions!$B$42:$H$42,MIN(Y26,7)),INDEX(Assumptions!$B$43:$H$43,MIN(Y26,7))),0))</f>
        <v>0.45875200000000005</v>
      </c>
      <c r="Z27" s="53">
        <f>IF(Z$2&gt;Assumptions!$B$85,Y27*(1-Assumptions!$B$86),IF(Z26&gt;=1,Assumptions!$B$77*CHOOSE(Assumptions!$B$84,INDEX(Assumptions!$B$42:$H$42,MIN(Z26,7)),INDEX(Assumptions!$B$43:$H$43,MIN(Z26,7))),0))</f>
        <v>0.18350080000000002</v>
      </c>
    </row>
    <row r="28">
      <c r="A28" s="13" t="inlineStr">
        <is>
          <t>Product net sales, risk-adjusted</t>
        </is>
      </c>
      <c r="C28" s="53">
        <f>C27*MIN(1,Assumptions!$B$78*Assumptions!$B$37)</f>
        <v>0.0</v>
      </c>
      <c r="D28" s="53">
        <f>D27*MIN(1,Assumptions!$B$78*Assumptions!$B$37)</f>
        <v>0.0</v>
      </c>
      <c r="E28" s="53">
        <f>E27*MIN(1,Assumptions!$B$78*Assumptions!$B$37)</f>
        <v>0.0</v>
      </c>
      <c r="F28" s="53">
        <f>F27*MIN(1,Assumptions!$B$78*Assumptions!$B$37)</f>
        <v>0.0</v>
      </c>
      <c r="G28" s="53">
        <f>G27*MIN(1,Assumptions!$B$78*Assumptions!$B$37)</f>
        <v>28.0</v>
      </c>
      <c r="H28" s="53">
        <f>H27*MIN(1,Assumptions!$B$78*Assumptions!$B$37)</f>
        <v>70.0</v>
      </c>
      <c r="I28" s="53">
        <f>I27*MIN(1,Assumptions!$B$78*Assumptions!$B$37)</f>
        <v>126.0</v>
      </c>
      <c r="J28" s="53">
        <f>J27*MIN(1,Assumptions!$B$78*Assumptions!$B$37)</f>
        <v>182.0</v>
      </c>
      <c r="K28" s="53">
        <f>K27*MIN(1,Assumptions!$B$78*Assumptions!$B$37)</f>
        <v>229.60000000000002</v>
      </c>
      <c r="L28" s="53">
        <f>L27*MIN(1,Assumptions!$B$78*Assumptions!$B$37)</f>
        <v>260.40000000000003</v>
      </c>
      <c r="M28" s="53">
        <f>M27*MIN(1,Assumptions!$B$78*Assumptions!$B$37)</f>
        <v>280.0</v>
      </c>
      <c r="N28" s="53">
        <f>N27*MIN(1,Assumptions!$B$78*Assumptions!$B$37)</f>
        <v>280.0</v>
      </c>
      <c r="O28" s="53">
        <f>O27*MIN(1,Assumptions!$B$78*Assumptions!$B$37)</f>
        <v>280.0</v>
      </c>
      <c r="P28" s="53">
        <f>P27*MIN(1,Assumptions!$B$78*Assumptions!$B$37)</f>
        <v>280.0</v>
      </c>
      <c r="Q28" s="53">
        <f>Q27*MIN(1,Assumptions!$B$78*Assumptions!$B$37)</f>
        <v>280.0</v>
      </c>
      <c r="R28" s="53">
        <f>R27*MIN(1,Assumptions!$B$78*Assumptions!$B$37)</f>
        <v>112.0</v>
      </c>
      <c r="S28" s="53">
        <f>S27*MIN(1,Assumptions!$B$78*Assumptions!$B$37)</f>
        <v>44.800000000000004</v>
      </c>
      <c r="T28" s="53">
        <f>T27*MIN(1,Assumptions!$B$78*Assumptions!$B$37)</f>
        <v>17.92</v>
      </c>
      <c r="U28" s="53">
        <f>U27*MIN(1,Assumptions!$B$78*Assumptions!$B$37)</f>
        <v>7.168000000000001</v>
      </c>
      <c r="V28" s="53">
        <f>V27*MIN(1,Assumptions!$B$78*Assumptions!$B$37)</f>
        <v>2.8672000000000004</v>
      </c>
      <c r="W28" s="53">
        <f>W27*MIN(1,Assumptions!$B$78*Assumptions!$B$37)</f>
        <v>1.1468800000000001</v>
      </c>
      <c r="X28" s="53">
        <f>X27*MIN(1,Assumptions!$B$78*Assumptions!$B$37)</f>
        <v>0.45875200000000005</v>
      </c>
      <c r="Y28" s="53">
        <f>Y27*MIN(1,Assumptions!$B$78*Assumptions!$B$37)</f>
        <v>0.18350080000000002</v>
      </c>
      <c r="Z28" s="53">
        <f>Z27*MIN(1,Assumptions!$B$78*Assumptions!$B$37)</f>
        <v>0.07340032</v>
      </c>
    </row>
    <row r="29">
      <c r="A29" s="13" t="inlineStr">
        <is>
          <t>Company revenue, risk-adjusted (incl. milestones)</t>
        </is>
      </c>
      <c r="C29" s="53">
        <f>C28*Assumptions!$B$79</f>
        <v>0.0</v>
      </c>
      <c r="D29" s="53">
        <f>D28*Assumptions!$B$79</f>
        <v>0.0</v>
      </c>
      <c r="E29" s="53">
        <f>E28*Assumptions!$B$79</f>
        <v>0.0</v>
      </c>
      <c r="F29" s="53">
        <f>F28*Assumptions!$B$79</f>
        <v>0.0</v>
      </c>
      <c r="G29" s="53">
        <f>G28*Assumptions!$B$79</f>
        <v>28.0</v>
      </c>
      <c r="H29" s="53">
        <f>H28*Assumptions!$B$79</f>
        <v>70.0</v>
      </c>
      <c r="I29" s="53">
        <f>I28*Assumptions!$B$79</f>
        <v>126.0</v>
      </c>
      <c r="J29" s="53">
        <f>J28*Assumptions!$B$79</f>
        <v>182.0</v>
      </c>
      <c r="K29" s="53">
        <f>K28*Assumptions!$B$79</f>
        <v>229.60000000000002</v>
      </c>
      <c r="L29" s="53">
        <f>L28*Assumptions!$B$79</f>
        <v>260.40000000000003</v>
      </c>
      <c r="M29" s="53">
        <f>M28*Assumptions!$B$79</f>
        <v>280.0</v>
      </c>
      <c r="N29" s="53">
        <f>N28*Assumptions!$B$79</f>
        <v>280.0</v>
      </c>
      <c r="O29" s="53">
        <f>O28*Assumptions!$B$79</f>
        <v>280.0</v>
      </c>
      <c r="P29" s="53">
        <f>P28*Assumptions!$B$79</f>
        <v>280.0</v>
      </c>
      <c r="Q29" s="53">
        <f>Q28*Assumptions!$B$79</f>
        <v>280.0</v>
      </c>
      <c r="R29" s="53">
        <f>R28*Assumptions!$B$79</f>
        <v>112.0</v>
      </c>
      <c r="S29" s="53">
        <f>S28*Assumptions!$B$79</f>
        <v>44.800000000000004</v>
      </c>
      <c r="T29" s="53">
        <f>T28*Assumptions!$B$79</f>
        <v>17.92</v>
      </c>
      <c r="U29" s="53">
        <f>U28*Assumptions!$B$79</f>
        <v>7.168000000000001</v>
      </c>
      <c r="V29" s="53">
        <f>V28*Assumptions!$B$79</f>
        <v>2.8672000000000004</v>
      </c>
      <c r="W29" s="53">
        <f>W28*Assumptions!$B$79</f>
        <v>1.1468800000000001</v>
      </c>
      <c r="X29" s="53">
        <f>X28*Assumptions!$B$79</f>
        <v>0.45875200000000005</v>
      </c>
      <c r="Y29" s="53">
        <f>Y28*Assumptions!$B$79</f>
        <v>0.18350080000000002</v>
      </c>
      <c r="Z29" s="53">
        <f>Z28*Assumptions!$B$79</f>
        <v>0.07340032</v>
      </c>
    </row>
    <row r="30">
      <c r="A30" s="13" t="inlineStr">
        <is>
          <t>COGS + royalties, risk-adjusted</t>
        </is>
      </c>
      <c r="C30" s="53">
        <f>C28*(Assumptions!$B$80+Assumptions!$B$81)</f>
        <v>0.0</v>
      </c>
      <c r="D30" s="53">
        <f>D28*(Assumptions!$B$80+Assumptions!$B$81)</f>
        <v>0.0</v>
      </c>
      <c r="E30" s="53">
        <f>E28*(Assumptions!$B$80+Assumptions!$B$81)</f>
        <v>0.0</v>
      </c>
      <c r="F30" s="53">
        <f>F28*(Assumptions!$B$80+Assumptions!$B$81)</f>
        <v>0.0</v>
      </c>
      <c r="G30" s="53">
        <f>G28*(Assumptions!$B$80+Assumptions!$B$81)</f>
        <v>3.64</v>
      </c>
      <c r="H30" s="53">
        <f>H28*(Assumptions!$B$80+Assumptions!$B$81)</f>
        <v>9.1</v>
      </c>
      <c r="I30" s="53">
        <f>I28*(Assumptions!$B$80+Assumptions!$B$81)</f>
        <v>16.38</v>
      </c>
      <c r="J30" s="53">
        <f>J28*(Assumptions!$B$80+Assumptions!$B$81)</f>
        <v>23.66</v>
      </c>
      <c r="K30" s="53">
        <f>K28*(Assumptions!$B$80+Assumptions!$B$81)</f>
        <v>29.848000000000003</v>
      </c>
      <c r="L30" s="53">
        <f>L28*(Assumptions!$B$80+Assumptions!$B$81)</f>
        <v>33.852000000000004</v>
      </c>
      <c r="M30" s="53">
        <f>M28*(Assumptions!$B$80+Assumptions!$B$81)</f>
        <v>36.4</v>
      </c>
      <c r="N30" s="53">
        <f>N28*(Assumptions!$B$80+Assumptions!$B$81)</f>
        <v>36.4</v>
      </c>
      <c r="O30" s="53">
        <f>O28*(Assumptions!$B$80+Assumptions!$B$81)</f>
        <v>36.4</v>
      </c>
      <c r="P30" s="53">
        <f>P28*(Assumptions!$B$80+Assumptions!$B$81)</f>
        <v>36.4</v>
      </c>
      <c r="Q30" s="53">
        <f>Q28*(Assumptions!$B$80+Assumptions!$B$81)</f>
        <v>36.4</v>
      </c>
      <c r="R30" s="53">
        <f>R28*(Assumptions!$B$80+Assumptions!$B$81)</f>
        <v>14.56</v>
      </c>
      <c r="S30" s="53">
        <f>S28*(Assumptions!$B$80+Assumptions!$B$81)</f>
        <v>5.824000000000001</v>
      </c>
      <c r="T30" s="53">
        <f>T28*(Assumptions!$B$80+Assumptions!$B$81)</f>
        <v>2.3296</v>
      </c>
      <c r="U30" s="53">
        <f>U28*(Assumptions!$B$80+Assumptions!$B$81)</f>
        <v>0.9318400000000001</v>
      </c>
      <c r="V30" s="53">
        <f>V28*(Assumptions!$B$80+Assumptions!$B$81)</f>
        <v>0.37273600000000007</v>
      </c>
      <c r="W30" s="53">
        <f>W28*(Assumptions!$B$80+Assumptions!$B$81)</f>
        <v>0.14909440000000002</v>
      </c>
      <c r="X30" s="53">
        <f>X28*(Assumptions!$B$80+Assumptions!$B$81)</f>
        <v>0.059637760000000005</v>
      </c>
      <c r="Y30" s="53">
        <f>Y28*(Assumptions!$B$80+Assumptions!$B$81)</f>
        <v>0.023855104000000002</v>
      </c>
      <c r="Z30" s="53">
        <f>Z28*(Assumptions!$B$80+Assumptions!$B$81)</f>
        <v>0.0095420416</v>
      </c>
    </row>
    <row r="31">
      <c r="A31" s="13" t="inlineStr">
        <is>
          <t>Commercial SG&amp;A, risk-adjusted</t>
        </is>
      </c>
      <c r="C31" s="53">
        <f>MIN(1,Assumptions!$B$78*Assumptions!$B$37)*IF(Assumptions!$B$82=0,0,IF(C26=0,Assumptions!$B$83,IF(C26&gt;=1,C27*IF(OR(Assumptions!$B$79&lt;1,C26&gt;5),Assumptions!$B$82,MAX(Assumptions!$B$82,INDEX(Assumptions!$B$44:$F$44,C26))),0)))</f>
        <v>0.0</v>
      </c>
      <c r="D31" s="53">
        <f>MIN(1,Assumptions!$B$78*Assumptions!$B$37)*IF(Assumptions!$B$82=0,0,IF(D26=0,Assumptions!$B$83,IF(D26&gt;=1,D27*IF(OR(Assumptions!$B$79&lt;1,D26&gt;5),Assumptions!$B$82,MAX(Assumptions!$B$82,INDEX(Assumptions!$B$44:$F$44,D26))),0)))</f>
        <v>0.0</v>
      </c>
      <c r="E31" s="53">
        <f>MIN(1,Assumptions!$B$78*Assumptions!$B$37)*IF(Assumptions!$B$82=0,0,IF(E26=0,Assumptions!$B$83,IF(E26&gt;=1,E27*IF(OR(Assumptions!$B$79&lt;1,E26&gt;5),Assumptions!$B$82,MAX(Assumptions!$B$82,INDEX(Assumptions!$B$44:$F$44,E26))),0)))</f>
        <v>0.0</v>
      </c>
      <c r="F31" s="53">
        <f>MIN(1,Assumptions!$B$78*Assumptions!$B$37)*IF(Assumptions!$B$82=0,0,IF(F26=0,Assumptions!$B$83,IF(F26&gt;=1,F27*IF(OR(Assumptions!$B$79&lt;1,F26&gt;5),Assumptions!$B$82,MAX(Assumptions!$B$82,INDEX(Assumptions!$B$44:$F$44,F26))),0)))</f>
        <v>12.0</v>
      </c>
      <c r="G31" s="53">
        <f>MIN(1,Assumptions!$B$78*Assumptions!$B$37)*IF(Assumptions!$B$82=0,0,IF(G26=0,Assumptions!$B$83,IF(G26&gt;=1,G27*IF(OR(Assumptions!$B$79&lt;1,G26&gt;5),Assumptions!$B$82,MAX(Assumptions!$B$82,INDEX(Assumptions!$B$44:$F$44,G26))),0)))</f>
        <v>25.200000000000003</v>
      </c>
      <c r="H31" s="53">
        <f>MIN(1,Assumptions!$B$78*Assumptions!$B$37)*IF(Assumptions!$B$82=0,0,IF(H26=0,Assumptions!$B$83,IF(H26&gt;=1,H27*IF(OR(Assumptions!$B$79&lt;1,H26&gt;5),Assumptions!$B$82,MAX(Assumptions!$B$82,INDEX(Assumptions!$B$44:$F$44,H26))),0)))</f>
        <v>38.50000000000001</v>
      </c>
      <c r="I31" s="53">
        <f>MIN(1,Assumptions!$B$78*Assumptions!$B$37)*IF(Assumptions!$B$82=0,0,IF(I26=0,Assumptions!$B$83,IF(I26&gt;=1,I27*IF(OR(Assumptions!$B$79&lt;1,I26&gt;5),Assumptions!$B$82,MAX(Assumptions!$B$82,INDEX(Assumptions!$B$44:$F$44,I26))),0)))</f>
        <v>50.400000000000006</v>
      </c>
      <c r="J31" s="53">
        <f>MIN(1,Assumptions!$B$78*Assumptions!$B$37)*IF(Assumptions!$B$82=0,0,IF(J26=0,Assumptions!$B$83,IF(J26&gt;=1,J27*IF(OR(Assumptions!$B$79&lt;1,J26&gt;5),Assumptions!$B$82,MAX(Assumptions!$B$82,INDEX(Assumptions!$B$44:$F$44,J26))),0)))</f>
        <v>58.24</v>
      </c>
      <c r="K31" s="53">
        <f>MIN(1,Assumptions!$B$78*Assumptions!$B$37)*IF(Assumptions!$B$82=0,0,IF(K26=0,Assumptions!$B$83,IF(K26&gt;=1,K27*IF(OR(Assumptions!$B$79&lt;1,K26&gt;5),Assumptions!$B$82,MAX(Assumptions!$B$82,INDEX(Assumptions!$B$44:$F$44,K26))),0)))</f>
        <v>68.88</v>
      </c>
      <c r="L31" s="53">
        <f>MIN(1,Assumptions!$B$78*Assumptions!$B$37)*IF(Assumptions!$B$82=0,0,IF(L26=0,Assumptions!$B$83,IF(L26&gt;=1,L27*IF(OR(Assumptions!$B$79&lt;1,L26&gt;5),Assumptions!$B$82,MAX(Assumptions!$B$82,INDEX(Assumptions!$B$44:$F$44,L26))),0)))</f>
        <v>78.12</v>
      </c>
      <c r="M31" s="53">
        <f>MIN(1,Assumptions!$B$78*Assumptions!$B$37)*IF(Assumptions!$B$82=0,0,IF(M26=0,Assumptions!$B$83,IF(M26&gt;=1,M27*IF(OR(Assumptions!$B$79&lt;1,M26&gt;5),Assumptions!$B$82,MAX(Assumptions!$B$82,INDEX(Assumptions!$B$44:$F$44,M26))),0)))</f>
        <v>84.0</v>
      </c>
      <c r="N31" s="53">
        <f>MIN(1,Assumptions!$B$78*Assumptions!$B$37)*IF(Assumptions!$B$82=0,0,IF(N26=0,Assumptions!$B$83,IF(N26&gt;=1,N27*IF(OR(Assumptions!$B$79&lt;1,N26&gt;5),Assumptions!$B$82,MAX(Assumptions!$B$82,INDEX(Assumptions!$B$44:$F$44,N26))),0)))</f>
        <v>84.0</v>
      </c>
      <c r="O31" s="53">
        <f>MIN(1,Assumptions!$B$78*Assumptions!$B$37)*IF(Assumptions!$B$82=0,0,IF(O26=0,Assumptions!$B$83,IF(O26&gt;=1,O27*IF(OR(Assumptions!$B$79&lt;1,O26&gt;5),Assumptions!$B$82,MAX(Assumptions!$B$82,INDEX(Assumptions!$B$44:$F$44,O26))),0)))</f>
        <v>84.0</v>
      </c>
      <c r="P31" s="53">
        <f>MIN(1,Assumptions!$B$78*Assumptions!$B$37)*IF(Assumptions!$B$82=0,0,IF(P26=0,Assumptions!$B$83,IF(P26&gt;=1,P27*IF(OR(Assumptions!$B$79&lt;1,P26&gt;5),Assumptions!$B$82,MAX(Assumptions!$B$82,INDEX(Assumptions!$B$44:$F$44,P26))),0)))</f>
        <v>84.0</v>
      </c>
      <c r="Q31" s="53">
        <f>MIN(1,Assumptions!$B$78*Assumptions!$B$37)*IF(Assumptions!$B$82=0,0,IF(Q26=0,Assumptions!$B$83,IF(Q26&gt;=1,Q27*IF(OR(Assumptions!$B$79&lt;1,Q26&gt;5),Assumptions!$B$82,MAX(Assumptions!$B$82,INDEX(Assumptions!$B$44:$F$44,Q26))),0)))</f>
        <v>84.0</v>
      </c>
      <c r="R31" s="53">
        <f>MIN(1,Assumptions!$B$78*Assumptions!$B$37)*IF(Assumptions!$B$82=0,0,IF(R26=0,Assumptions!$B$83,IF(R26&gt;=1,R27*IF(OR(Assumptions!$B$79&lt;1,R26&gt;5),Assumptions!$B$82,MAX(Assumptions!$B$82,INDEX(Assumptions!$B$44:$F$44,R26))),0)))</f>
        <v>33.6</v>
      </c>
      <c r="S31" s="53">
        <f>MIN(1,Assumptions!$B$78*Assumptions!$B$37)*IF(Assumptions!$B$82=0,0,IF(S26=0,Assumptions!$B$83,IF(S26&gt;=1,S27*IF(OR(Assumptions!$B$79&lt;1,S26&gt;5),Assumptions!$B$82,MAX(Assumptions!$B$82,INDEX(Assumptions!$B$44:$F$44,S26))),0)))</f>
        <v>13.440000000000001</v>
      </c>
      <c r="T31" s="53">
        <f>MIN(1,Assumptions!$B$78*Assumptions!$B$37)*IF(Assumptions!$B$82=0,0,IF(T26=0,Assumptions!$B$83,IF(T26&gt;=1,T27*IF(OR(Assumptions!$B$79&lt;1,T26&gt;5),Assumptions!$B$82,MAX(Assumptions!$B$82,INDEX(Assumptions!$B$44:$F$44,T26))),0)))</f>
        <v>5.376000000000001</v>
      </c>
      <c r="U31" s="53">
        <f>MIN(1,Assumptions!$B$78*Assumptions!$B$37)*IF(Assumptions!$B$82=0,0,IF(U26=0,Assumptions!$B$83,IF(U26&gt;=1,U27*IF(OR(Assumptions!$B$79&lt;1,U26&gt;5),Assumptions!$B$82,MAX(Assumptions!$B$82,INDEX(Assumptions!$B$44:$F$44,U26))),0)))</f>
        <v>2.1504000000000003</v>
      </c>
      <c r="V31" s="53">
        <f>MIN(1,Assumptions!$B$78*Assumptions!$B$37)*IF(Assumptions!$B$82=0,0,IF(V26=0,Assumptions!$B$83,IF(V26&gt;=1,V27*IF(OR(Assumptions!$B$79&lt;1,V26&gt;5),Assumptions!$B$82,MAX(Assumptions!$B$82,INDEX(Assumptions!$B$44:$F$44,V26))),0)))</f>
        <v>0.8601600000000001</v>
      </c>
      <c r="W31" s="53">
        <f>MIN(1,Assumptions!$B$78*Assumptions!$B$37)*IF(Assumptions!$B$82=0,0,IF(W26=0,Assumptions!$B$83,IF(W26&gt;=1,W27*IF(OR(Assumptions!$B$79&lt;1,W26&gt;5),Assumptions!$B$82,MAX(Assumptions!$B$82,INDEX(Assumptions!$B$44:$F$44,W26))),0)))</f>
        <v>0.3440640000000001</v>
      </c>
      <c r="X31" s="53">
        <f>MIN(1,Assumptions!$B$78*Assumptions!$B$37)*IF(Assumptions!$B$82=0,0,IF(X26=0,Assumptions!$B$83,IF(X26&gt;=1,X27*IF(OR(Assumptions!$B$79&lt;1,X26&gt;5),Assumptions!$B$82,MAX(Assumptions!$B$82,INDEX(Assumptions!$B$44:$F$44,X26))),0)))</f>
        <v>0.13762560000000001</v>
      </c>
      <c r="Y31" s="53">
        <f>MIN(1,Assumptions!$B$78*Assumptions!$B$37)*IF(Assumptions!$B$82=0,0,IF(Y26=0,Assumptions!$B$83,IF(Y26&gt;=1,Y27*IF(OR(Assumptions!$B$79&lt;1,Y26&gt;5),Assumptions!$B$82,MAX(Assumptions!$B$82,INDEX(Assumptions!$B$44:$F$44,Y26))),0)))</f>
        <v>0.05505024000000001</v>
      </c>
      <c r="Z31" s="53">
        <f>MIN(1,Assumptions!$B$78*Assumptions!$B$37)*IF(Assumptions!$B$82=0,0,IF(Z26=0,Assumptions!$B$83,IF(Z26&gt;=1,Z27*IF(OR(Assumptions!$B$79&lt;1,Z26&gt;5),Assumptions!$B$82,MAX(Assumptions!$B$82,INDEX(Assumptions!$B$44:$F$44,Z26))),0)))</f>
        <v>0.022020096000000003</v>
      </c>
    </row>
    <row r="32">
      <c r="A32" s="13" t="inlineStr">
        <is>
          <t>Development R&amp;D, risk-adjusted</t>
        </is>
      </c>
      <c r="C32" s="53">
        <f>IFERROR(INDEX(Assumptions!$B$88:$I$88,MATCH(C$2,Assumptions!$B$87:$I$87,0))*INDEX(Assumptions!$B$89:$I$89,MATCH(C$2,Assumptions!$B$87:$I$87,0)),0)</f>
        <v>15.0</v>
      </c>
      <c r="D32" s="53">
        <f>IFERROR(INDEX(Assumptions!$B$88:$I$88,MATCH(D$2,Assumptions!$B$87:$I$87,0))*INDEX(Assumptions!$B$89:$I$89,MATCH(D$2,Assumptions!$B$87:$I$87,0)),0)</f>
        <v>60.0</v>
      </c>
      <c r="E32" s="53">
        <f>IFERROR(INDEX(Assumptions!$B$88:$I$88,MATCH(E$2,Assumptions!$B$87:$I$87,0))*INDEX(Assumptions!$B$89:$I$89,MATCH(E$2,Assumptions!$B$87:$I$87,0)),0)</f>
        <v>80.0</v>
      </c>
      <c r="F32" s="53">
        <f>IFERROR(INDEX(Assumptions!$B$88:$I$88,MATCH(F$2,Assumptions!$B$87:$I$87,0))*INDEX(Assumptions!$B$89:$I$89,MATCH(F$2,Assumptions!$B$87:$I$87,0)),0)</f>
        <v>27.500000000000004</v>
      </c>
      <c r="G32" s="53">
        <f>IFERROR(INDEX(Assumptions!$B$88:$I$88,MATCH(G$2,Assumptions!$B$87:$I$87,0))*INDEX(Assumptions!$B$89:$I$89,MATCH(G$2,Assumptions!$B$87:$I$87,0)),0)</f>
        <v>0.0</v>
      </c>
      <c r="H32" s="53">
        <f>IFERROR(INDEX(Assumptions!$B$88:$I$88,MATCH(H$2,Assumptions!$B$87:$I$87,0))*INDEX(Assumptions!$B$89:$I$89,MATCH(H$2,Assumptions!$B$87:$I$87,0)),0)</f>
        <v>0.0</v>
      </c>
      <c r="I32" s="53">
        <f>IFERROR(INDEX(Assumptions!$B$88:$I$88,MATCH(I$2,Assumptions!$B$87:$I$87,0))*INDEX(Assumptions!$B$89:$I$89,MATCH(I$2,Assumptions!$B$87:$I$87,0)),0)</f>
        <v>0.0</v>
      </c>
      <c r="J32" s="53">
        <f>IFERROR(INDEX(Assumptions!$B$88:$I$88,MATCH(J$2,Assumptions!$B$87:$I$87,0))*INDEX(Assumptions!$B$89:$I$89,MATCH(J$2,Assumptions!$B$87:$I$87,0)),0)</f>
        <v>0.0</v>
      </c>
      <c r="K32" s="53">
        <f>IFERROR(INDEX(Assumptions!$B$88:$I$88,MATCH(K$2,Assumptions!$B$87:$I$87,0))*INDEX(Assumptions!$B$89:$I$89,MATCH(K$2,Assumptions!$B$87:$I$87,0)),0)</f>
        <v>0</v>
      </c>
      <c r="L32" s="53">
        <f>IFERROR(INDEX(Assumptions!$B$88:$I$88,MATCH(L$2,Assumptions!$B$87:$I$87,0))*INDEX(Assumptions!$B$89:$I$89,MATCH(L$2,Assumptions!$B$87:$I$87,0)),0)</f>
        <v>0</v>
      </c>
      <c r="M32" s="53">
        <f>IFERROR(INDEX(Assumptions!$B$88:$I$88,MATCH(M$2,Assumptions!$B$87:$I$87,0))*INDEX(Assumptions!$B$89:$I$89,MATCH(M$2,Assumptions!$B$87:$I$87,0)),0)</f>
        <v>0</v>
      </c>
      <c r="N32" s="53">
        <f>IFERROR(INDEX(Assumptions!$B$88:$I$88,MATCH(N$2,Assumptions!$B$87:$I$87,0))*INDEX(Assumptions!$B$89:$I$89,MATCH(N$2,Assumptions!$B$87:$I$87,0)),0)</f>
        <v>0</v>
      </c>
      <c r="O32" s="53">
        <f>IFERROR(INDEX(Assumptions!$B$88:$I$88,MATCH(O$2,Assumptions!$B$87:$I$87,0))*INDEX(Assumptions!$B$89:$I$89,MATCH(O$2,Assumptions!$B$87:$I$87,0)),0)</f>
        <v>0</v>
      </c>
      <c r="P32" s="53">
        <f>IFERROR(INDEX(Assumptions!$B$88:$I$88,MATCH(P$2,Assumptions!$B$87:$I$87,0))*INDEX(Assumptions!$B$89:$I$89,MATCH(P$2,Assumptions!$B$87:$I$87,0)),0)</f>
        <v>0</v>
      </c>
      <c r="Q32" s="53">
        <f>IFERROR(INDEX(Assumptions!$B$88:$I$88,MATCH(Q$2,Assumptions!$B$87:$I$87,0))*INDEX(Assumptions!$B$89:$I$89,MATCH(Q$2,Assumptions!$B$87:$I$87,0)),0)</f>
        <v>0</v>
      </c>
      <c r="R32" s="53">
        <f>IFERROR(INDEX(Assumptions!$B$88:$I$88,MATCH(R$2,Assumptions!$B$87:$I$87,0))*INDEX(Assumptions!$B$89:$I$89,MATCH(R$2,Assumptions!$B$87:$I$87,0)),0)</f>
        <v>0</v>
      </c>
      <c r="S32" s="53">
        <f>IFERROR(INDEX(Assumptions!$B$88:$I$88,MATCH(S$2,Assumptions!$B$87:$I$87,0))*INDEX(Assumptions!$B$89:$I$89,MATCH(S$2,Assumptions!$B$87:$I$87,0)),0)</f>
        <v>0</v>
      </c>
      <c r="T32" s="53">
        <f>IFERROR(INDEX(Assumptions!$B$88:$I$88,MATCH(T$2,Assumptions!$B$87:$I$87,0))*INDEX(Assumptions!$B$89:$I$89,MATCH(T$2,Assumptions!$B$87:$I$87,0)),0)</f>
        <v>0</v>
      </c>
      <c r="U32" s="53">
        <f>IFERROR(INDEX(Assumptions!$B$88:$I$88,MATCH(U$2,Assumptions!$B$87:$I$87,0))*INDEX(Assumptions!$B$89:$I$89,MATCH(U$2,Assumptions!$B$87:$I$87,0)),0)</f>
        <v>0</v>
      </c>
      <c r="V32" s="53">
        <f>IFERROR(INDEX(Assumptions!$B$88:$I$88,MATCH(V$2,Assumptions!$B$87:$I$87,0))*INDEX(Assumptions!$B$89:$I$89,MATCH(V$2,Assumptions!$B$87:$I$87,0)),0)</f>
        <v>0</v>
      </c>
      <c r="W32" s="53">
        <f>IFERROR(INDEX(Assumptions!$B$88:$I$88,MATCH(W$2,Assumptions!$B$87:$I$87,0))*INDEX(Assumptions!$B$89:$I$89,MATCH(W$2,Assumptions!$B$87:$I$87,0)),0)</f>
        <v>0</v>
      </c>
      <c r="X32" s="53">
        <f>IFERROR(INDEX(Assumptions!$B$88:$I$88,MATCH(X$2,Assumptions!$B$87:$I$87,0))*INDEX(Assumptions!$B$89:$I$89,MATCH(X$2,Assumptions!$B$87:$I$87,0)),0)</f>
        <v>0</v>
      </c>
      <c r="Y32" s="53">
        <f>IFERROR(INDEX(Assumptions!$B$88:$I$88,MATCH(Y$2,Assumptions!$B$87:$I$87,0))*INDEX(Assumptions!$B$89:$I$89,MATCH(Y$2,Assumptions!$B$87:$I$87,0)),0)</f>
        <v>0</v>
      </c>
      <c r="Z32" s="53">
        <f>IFERROR(INDEX(Assumptions!$B$88:$I$88,MATCH(Z$2,Assumptions!$B$87:$I$87,0))*INDEX(Assumptions!$B$89:$I$89,MATCH(Z$2,Assumptions!$B$87:$I$87,0)),0)</f>
        <v>0</v>
      </c>
    </row>
    <row r="33">
      <c r="A33" s="22" t="inlineStr">
        <is>
          <t>Program contribution (pre-tax)</t>
        </is>
      </c>
      <c r="C33" s="57">
        <f>C29-C30-C31-C32</f>
        <v>-15.0</v>
      </c>
      <c r="D33" s="57">
        <f>D29-D30-D31-D32</f>
        <v>-60.0</v>
      </c>
      <c r="E33" s="57">
        <f>E29-E30-E31-E32</f>
        <v>-80.0</v>
      </c>
      <c r="F33" s="57">
        <f>F29-F30-F31-F32</f>
        <v>-39.5</v>
      </c>
      <c r="G33" s="57">
        <f>G29-G30-G31-G32</f>
        <v>-0.8400000000000034</v>
      </c>
      <c r="H33" s="57">
        <f>H29-H30-H31-H32</f>
        <v>22.39999999999999</v>
      </c>
      <c r="I33" s="57">
        <f>I29-I30-I31-I32</f>
        <v>59.22</v>
      </c>
      <c r="J33" s="57">
        <f>J29-J30-J31-J32</f>
        <v>100.1</v>
      </c>
      <c r="K33" s="57">
        <f>K29-K30-K31-K32</f>
        <v>130.872</v>
      </c>
      <c r="L33" s="57">
        <f>L29-L30-L31-L32</f>
        <v>148.42800000000003</v>
      </c>
      <c r="M33" s="57">
        <f>M29-M30-M31-M32</f>
        <v>159.6</v>
      </c>
      <c r="N33" s="57">
        <f>N29-N30-N31-N32</f>
        <v>159.6</v>
      </c>
      <c r="O33" s="57">
        <f>O29-O30-O31-O32</f>
        <v>159.6</v>
      </c>
      <c r="P33" s="57">
        <f>P29-P30-P31-P32</f>
        <v>159.6</v>
      </c>
      <c r="Q33" s="57">
        <f>Q29-Q30-Q31-Q32</f>
        <v>159.6</v>
      </c>
      <c r="R33" s="57">
        <f>R29-R30-R31-R32</f>
        <v>63.839999999999996</v>
      </c>
      <c r="S33" s="57">
        <f>S29-S30-S31-S32</f>
        <v>25.536000000000005</v>
      </c>
      <c r="T33" s="57">
        <f>T29-T30-T31-T32</f>
        <v>10.214400000000001</v>
      </c>
      <c r="U33" s="57">
        <f>U29-U30-U31-U32</f>
        <v>4.0857600000000005</v>
      </c>
      <c r="V33" s="57">
        <f>V29-V30-V31-V32</f>
        <v>1.6343040000000002</v>
      </c>
      <c r="W33" s="57">
        <f>W29-W30-W31-W32</f>
        <v>0.6537215999999999</v>
      </c>
      <c r="X33" s="57">
        <f>X29-X30-X31-X32</f>
        <v>0.26148864000000005</v>
      </c>
      <c r="Y33" s="57">
        <f>Y29-Y30-Y31-Y32</f>
        <v>0.104595456</v>
      </c>
      <c r="Z33" s="57">
        <f>Z29-Z30-Z31-Z32</f>
        <v>0.04183818240000001</v>
      </c>
    </row>
    <row r="35">
      <c r="A35" s="30" t="inlineStr">
        <is>
          <t>AG-236 — polycythemia vera</t>
        </is>
      </c>
    </row>
    <row r="36">
      <c r="A36" s="13" t="inlineStr">
        <is>
          <t>Years since launch</t>
        </is>
      </c>
      <c r="C36" s="64">
        <f>C$2-Assumptions!$B$92+1</f>
        <v>-3.0</v>
      </c>
      <c r="D36" s="64">
        <f>D$2-Assumptions!$B$92+1</f>
        <v>-2.0</v>
      </c>
      <c r="E36" s="64">
        <f>E$2-Assumptions!$B$92+1</f>
        <v>-1.0</v>
      </c>
      <c r="F36" s="64">
        <f>F$2-Assumptions!$B$92+1</f>
        <v>0.0</v>
      </c>
      <c r="G36" s="64">
        <f>G$2-Assumptions!$B$92+1</f>
        <v>1.0</v>
      </c>
      <c r="H36" s="64">
        <f>H$2-Assumptions!$B$92+1</f>
        <v>2.0</v>
      </c>
      <c r="I36" s="64">
        <f>I$2-Assumptions!$B$92+1</f>
        <v>3.0</v>
      </c>
      <c r="J36" s="64">
        <f>J$2-Assumptions!$B$92+1</f>
        <v>4.0</v>
      </c>
      <c r="K36" s="64">
        <f>K$2-Assumptions!$B$92+1</f>
        <v>5.0</v>
      </c>
      <c r="L36" s="64">
        <f>L$2-Assumptions!$B$92+1</f>
        <v>6.0</v>
      </c>
      <c r="M36" s="64">
        <f>M$2-Assumptions!$B$92+1</f>
        <v>7.0</v>
      </c>
      <c r="N36" s="64">
        <f>N$2-Assumptions!$B$92+1</f>
        <v>8.0</v>
      </c>
      <c r="O36" s="64">
        <f>O$2-Assumptions!$B$92+1</f>
        <v>9.0</v>
      </c>
      <c r="P36" s="64">
        <f>P$2-Assumptions!$B$92+1</f>
        <v>10.0</v>
      </c>
      <c r="Q36" s="64">
        <f>Q$2-Assumptions!$B$92+1</f>
        <v>11.0</v>
      </c>
      <c r="R36" s="64">
        <f>R$2-Assumptions!$B$92+1</f>
        <v>12.0</v>
      </c>
      <c r="S36" s="64">
        <f>S$2-Assumptions!$B$92+1</f>
        <v>13.0</v>
      </c>
      <c r="T36" s="64">
        <f>T$2-Assumptions!$B$92+1</f>
        <v>14.0</v>
      </c>
      <c r="U36" s="64">
        <f>U$2-Assumptions!$B$92+1</f>
        <v>15.0</v>
      </c>
      <c r="V36" s="64">
        <f>V$2-Assumptions!$B$92+1</f>
        <v>16.0</v>
      </c>
      <c r="W36" s="64">
        <f>W$2-Assumptions!$B$92+1</f>
        <v>17.0</v>
      </c>
      <c r="X36" s="64">
        <f>X$2-Assumptions!$B$92+1</f>
        <v>18.0</v>
      </c>
      <c r="Y36" s="64">
        <f>Y$2-Assumptions!$B$92+1</f>
        <v>19.0</v>
      </c>
      <c r="Z36" s="64">
        <f>Z$2-Assumptions!$B$92+1</f>
        <v>20.0</v>
      </c>
    </row>
    <row r="37">
      <c r="A37" s="13" t="inlineStr">
        <is>
          <t>Net sales, unrisked</t>
        </is>
      </c>
      <c r="C37" s="53">
        <f>IF(C$2&gt;Assumptions!$B$101,0*(1-Assumptions!$B$102),IF(C36&gt;=1,Assumptions!$B$93*CHOOSE(Assumptions!$B$100,INDEX(Assumptions!$B$42:$H$42,MIN(C36,7)),INDEX(Assumptions!$B$43:$H$43,MIN(C36,7))),0))</f>
        <v>0</v>
      </c>
      <c r="D37" s="53">
        <f>IF(D$2&gt;Assumptions!$B$101,C37*(1-Assumptions!$B$102),IF(D36&gt;=1,Assumptions!$B$93*CHOOSE(Assumptions!$B$100,INDEX(Assumptions!$B$42:$H$42,MIN(D36,7)),INDEX(Assumptions!$B$43:$H$43,MIN(D36,7))),0))</f>
        <v>0</v>
      </c>
      <c r="E37" s="53">
        <f>IF(E$2&gt;Assumptions!$B$101,D37*(1-Assumptions!$B$102),IF(E36&gt;=1,Assumptions!$B$93*CHOOSE(Assumptions!$B$100,INDEX(Assumptions!$B$42:$H$42,MIN(E36,7)),INDEX(Assumptions!$B$43:$H$43,MIN(E36,7))),0))</f>
        <v>0</v>
      </c>
      <c r="F37" s="53">
        <f>IF(F$2&gt;Assumptions!$B$101,E37*(1-Assumptions!$B$102),IF(F36&gt;=1,Assumptions!$B$93*CHOOSE(Assumptions!$B$100,INDEX(Assumptions!$B$42:$H$42,MIN(F36,7)),INDEX(Assumptions!$B$43:$H$43,MIN(F36,7))),0))</f>
        <v>0</v>
      </c>
      <c r="G37" s="53">
        <f>IF(G$2&gt;Assumptions!$B$101,F37*(1-Assumptions!$B$102),IF(G36&gt;=1,Assumptions!$B$93*CHOOSE(Assumptions!$B$100,INDEX(Assumptions!$B$42:$H$42,MIN(G36,7)),INDEX(Assumptions!$B$43:$H$43,MIN(G36,7))),0))</f>
        <v>90.0</v>
      </c>
      <c r="H37" s="53">
        <f>IF(H$2&gt;Assumptions!$B$101,G37*(1-Assumptions!$B$102),IF(H36&gt;=1,Assumptions!$B$93*CHOOSE(Assumptions!$B$100,INDEX(Assumptions!$B$42:$H$42,MIN(H36,7)),INDEX(Assumptions!$B$43:$H$43,MIN(H36,7))),0))</f>
        <v>225.0</v>
      </c>
      <c r="I37" s="53">
        <f>IF(I$2&gt;Assumptions!$B$101,H37*(1-Assumptions!$B$102),IF(I36&gt;=1,Assumptions!$B$93*CHOOSE(Assumptions!$B$100,INDEX(Assumptions!$B$42:$H$42,MIN(I36,7)),INDEX(Assumptions!$B$43:$H$43,MIN(I36,7))),0))</f>
        <v>405.0</v>
      </c>
      <c r="J37" s="53">
        <f>IF(J$2&gt;Assumptions!$B$101,I37*(1-Assumptions!$B$102),IF(J36&gt;=1,Assumptions!$B$93*CHOOSE(Assumptions!$B$100,INDEX(Assumptions!$B$42:$H$42,MIN(J36,7)),INDEX(Assumptions!$B$43:$H$43,MIN(J36,7))),0))</f>
        <v>585.0</v>
      </c>
      <c r="K37" s="53">
        <f>IF(K$2&gt;Assumptions!$B$101,J37*(1-Assumptions!$B$102),IF(K36&gt;=1,Assumptions!$B$93*CHOOSE(Assumptions!$B$100,INDEX(Assumptions!$B$42:$H$42,MIN(K36,7)),INDEX(Assumptions!$B$43:$H$43,MIN(K36,7))),0))</f>
        <v>738.0</v>
      </c>
      <c r="L37" s="53">
        <f>IF(L$2&gt;Assumptions!$B$101,K37*(1-Assumptions!$B$102),IF(L36&gt;=1,Assumptions!$B$93*CHOOSE(Assumptions!$B$100,INDEX(Assumptions!$B$42:$H$42,MIN(L36,7)),INDEX(Assumptions!$B$43:$H$43,MIN(L36,7))),0))</f>
        <v>837.0</v>
      </c>
      <c r="M37" s="53">
        <f>IF(M$2&gt;Assumptions!$B$101,L37*(1-Assumptions!$B$102),IF(M36&gt;=1,Assumptions!$B$93*CHOOSE(Assumptions!$B$100,INDEX(Assumptions!$B$42:$H$42,MIN(M36,7)),INDEX(Assumptions!$B$43:$H$43,MIN(M36,7))),0))</f>
        <v>900.0</v>
      </c>
      <c r="N37" s="53">
        <f>IF(N$2&gt;Assumptions!$B$101,M37*(1-Assumptions!$B$102),IF(N36&gt;=1,Assumptions!$B$93*CHOOSE(Assumptions!$B$100,INDEX(Assumptions!$B$42:$H$42,MIN(N36,7)),INDEX(Assumptions!$B$43:$H$43,MIN(N36,7))),0))</f>
        <v>900.0</v>
      </c>
      <c r="O37" s="53">
        <f>IF(O$2&gt;Assumptions!$B$101,N37*(1-Assumptions!$B$102),IF(O36&gt;=1,Assumptions!$B$93*CHOOSE(Assumptions!$B$100,INDEX(Assumptions!$B$42:$H$42,MIN(O36,7)),INDEX(Assumptions!$B$43:$H$43,MIN(O36,7))),0))</f>
        <v>900.0</v>
      </c>
      <c r="P37" s="53">
        <f>IF(P$2&gt;Assumptions!$B$101,O37*(1-Assumptions!$B$102),IF(P36&gt;=1,Assumptions!$B$93*CHOOSE(Assumptions!$B$100,INDEX(Assumptions!$B$42:$H$42,MIN(P36,7)),INDEX(Assumptions!$B$43:$H$43,MIN(P36,7))),0))</f>
        <v>900.0</v>
      </c>
      <c r="Q37" s="53">
        <f>IF(Q$2&gt;Assumptions!$B$101,P37*(1-Assumptions!$B$102),IF(Q36&gt;=1,Assumptions!$B$93*CHOOSE(Assumptions!$B$100,INDEX(Assumptions!$B$42:$H$42,MIN(Q36,7)),INDEX(Assumptions!$B$43:$H$43,MIN(Q36,7))),0))</f>
        <v>900.0</v>
      </c>
      <c r="R37" s="53">
        <f>IF(R$2&gt;Assumptions!$B$101,Q37*(1-Assumptions!$B$102),IF(R36&gt;=1,Assumptions!$B$93*CHOOSE(Assumptions!$B$100,INDEX(Assumptions!$B$42:$H$42,MIN(R36,7)),INDEX(Assumptions!$B$43:$H$43,MIN(R36,7))),0))</f>
        <v>900.0</v>
      </c>
      <c r="S37" s="53">
        <f>IF(S$2&gt;Assumptions!$B$101,R37*(1-Assumptions!$B$102),IF(S36&gt;=1,Assumptions!$B$93*CHOOSE(Assumptions!$B$100,INDEX(Assumptions!$B$42:$H$42,MIN(S36,7)),INDEX(Assumptions!$B$43:$H$43,MIN(S36,7))),0))</f>
        <v>900.0</v>
      </c>
      <c r="T37" s="53">
        <f>IF(T$2&gt;Assumptions!$B$101,S37*(1-Assumptions!$B$102),IF(T36&gt;=1,Assumptions!$B$93*CHOOSE(Assumptions!$B$100,INDEX(Assumptions!$B$42:$H$42,MIN(T36,7)),INDEX(Assumptions!$B$43:$H$43,MIN(T36,7))),0))</f>
        <v>360.0</v>
      </c>
      <c r="U37" s="53">
        <f>IF(U$2&gt;Assumptions!$B$101,T37*(1-Assumptions!$B$102),IF(U36&gt;=1,Assumptions!$B$93*CHOOSE(Assumptions!$B$100,INDEX(Assumptions!$B$42:$H$42,MIN(U36,7)),INDEX(Assumptions!$B$43:$H$43,MIN(U36,7))),0))</f>
        <v>144.0</v>
      </c>
      <c r="V37" s="53">
        <f>IF(V$2&gt;Assumptions!$B$101,U37*(1-Assumptions!$B$102),IF(V36&gt;=1,Assumptions!$B$93*CHOOSE(Assumptions!$B$100,INDEX(Assumptions!$B$42:$H$42,MIN(V36,7)),INDEX(Assumptions!$B$43:$H$43,MIN(V36,7))),0))</f>
        <v>57.6</v>
      </c>
      <c r="W37" s="53">
        <f>IF(W$2&gt;Assumptions!$B$101,V37*(1-Assumptions!$B$102),IF(W36&gt;=1,Assumptions!$B$93*CHOOSE(Assumptions!$B$100,INDEX(Assumptions!$B$42:$H$42,MIN(W36,7)),INDEX(Assumptions!$B$43:$H$43,MIN(W36,7))),0))</f>
        <v>23.040000000000003</v>
      </c>
      <c r="X37" s="53">
        <f>IF(X$2&gt;Assumptions!$B$101,W37*(1-Assumptions!$B$102),IF(X36&gt;=1,Assumptions!$B$93*CHOOSE(Assumptions!$B$100,INDEX(Assumptions!$B$42:$H$42,MIN(X36,7)),INDEX(Assumptions!$B$43:$H$43,MIN(X36,7))),0))</f>
        <v>9.216000000000001</v>
      </c>
      <c r="Y37" s="53">
        <f>IF(Y$2&gt;Assumptions!$B$101,X37*(1-Assumptions!$B$102),IF(Y36&gt;=1,Assumptions!$B$93*CHOOSE(Assumptions!$B$100,INDEX(Assumptions!$B$42:$H$42,MIN(Y36,7)),INDEX(Assumptions!$B$43:$H$43,MIN(Y36,7))),0))</f>
        <v>3.686400000000001</v>
      </c>
      <c r="Z37" s="53">
        <f>IF(Z$2&gt;Assumptions!$B$101,Y37*(1-Assumptions!$B$102),IF(Z36&gt;=1,Assumptions!$B$93*CHOOSE(Assumptions!$B$100,INDEX(Assumptions!$B$42:$H$42,MIN(Z36,7)),INDEX(Assumptions!$B$43:$H$43,MIN(Z36,7))),0))</f>
        <v>1.4745600000000003</v>
      </c>
    </row>
    <row r="38">
      <c r="A38" s="13" t="inlineStr">
        <is>
          <t>Product net sales, risk-adjusted</t>
        </is>
      </c>
      <c r="C38" s="53">
        <f>C37*MIN(1,Assumptions!$B$94*Assumptions!$B$37)</f>
        <v>0.0</v>
      </c>
      <c r="D38" s="53">
        <f>D37*MIN(1,Assumptions!$B$94*Assumptions!$B$37)</f>
        <v>0.0</v>
      </c>
      <c r="E38" s="53">
        <f>E37*MIN(1,Assumptions!$B$94*Assumptions!$B$37)</f>
        <v>0.0</v>
      </c>
      <c r="F38" s="53">
        <f>F37*MIN(1,Assumptions!$B$94*Assumptions!$B$37)</f>
        <v>0.0</v>
      </c>
      <c r="G38" s="53">
        <f>G37*MIN(1,Assumptions!$B$94*Assumptions!$B$37)</f>
        <v>19.8</v>
      </c>
      <c r="H38" s="53">
        <f>H37*MIN(1,Assumptions!$B$94*Assumptions!$B$37)</f>
        <v>49.5</v>
      </c>
      <c r="I38" s="53">
        <f>I37*MIN(1,Assumptions!$B$94*Assumptions!$B$37)</f>
        <v>89.1</v>
      </c>
      <c r="J38" s="53">
        <f>J37*MIN(1,Assumptions!$B$94*Assumptions!$B$37)</f>
        <v>128.7</v>
      </c>
      <c r="K38" s="53">
        <f>K37*MIN(1,Assumptions!$B$94*Assumptions!$B$37)</f>
        <v>162.36</v>
      </c>
      <c r="L38" s="53">
        <f>L37*MIN(1,Assumptions!$B$94*Assumptions!$B$37)</f>
        <v>184.14000000000001</v>
      </c>
      <c r="M38" s="53">
        <f>M37*MIN(1,Assumptions!$B$94*Assumptions!$B$37)</f>
        <v>198.0</v>
      </c>
      <c r="N38" s="53">
        <f>N37*MIN(1,Assumptions!$B$94*Assumptions!$B$37)</f>
        <v>198.0</v>
      </c>
      <c r="O38" s="53">
        <f>O37*MIN(1,Assumptions!$B$94*Assumptions!$B$37)</f>
        <v>198.0</v>
      </c>
      <c r="P38" s="53">
        <f>P37*MIN(1,Assumptions!$B$94*Assumptions!$B$37)</f>
        <v>198.0</v>
      </c>
      <c r="Q38" s="53">
        <f>Q37*MIN(1,Assumptions!$B$94*Assumptions!$B$37)</f>
        <v>198.0</v>
      </c>
      <c r="R38" s="53">
        <f>R37*MIN(1,Assumptions!$B$94*Assumptions!$B$37)</f>
        <v>198.0</v>
      </c>
      <c r="S38" s="53">
        <f>S37*MIN(1,Assumptions!$B$94*Assumptions!$B$37)</f>
        <v>198.0</v>
      </c>
      <c r="T38" s="53">
        <f>T37*MIN(1,Assumptions!$B$94*Assumptions!$B$37)</f>
        <v>79.2</v>
      </c>
      <c r="U38" s="53">
        <f>U37*MIN(1,Assumptions!$B$94*Assumptions!$B$37)</f>
        <v>31.68</v>
      </c>
      <c r="V38" s="53">
        <f>V37*MIN(1,Assumptions!$B$94*Assumptions!$B$37)</f>
        <v>12.672</v>
      </c>
      <c r="W38" s="53">
        <f>W37*MIN(1,Assumptions!$B$94*Assumptions!$B$37)</f>
        <v>5.0688</v>
      </c>
      <c r="X38" s="53">
        <f>X37*MIN(1,Assumptions!$B$94*Assumptions!$B$37)</f>
        <v>2.0275200000000004</v>
      </c>
      <c r="Y38" s="53">
        <f>Y37*MIN(1,Assumptions!$B$94*Assumptions!$B$37)</f>
        <v>0.8110080000000002</v>
      </c>
      <c r="Z38" s="53">
        <f>Z37*MIN(1,Assumptions!$B$94*Assumptions!$B$37)</f>
        <v>0.32440320000000006</v>
      </c>
    </row>
    <row r="39">
      <c r="A39" s="13" t="inlineStr">
        <is>
          <t>Company revenue, risk-adjusted (incl. milestones)</t>
        </is>
      </c>
      <c r="C39" s="53">
        <f>C38*Assumptions!$B$95</f>
        <v>0.0</v>
      </c>
      <c r="D39" s="53">
        <f>D38*Assumptions!$B$95</f>
        <v>0.0</v>
      </c>
      <c r="E39" s="53">
        <f>E38*Assumptions!$B$95</f>
        <v>0.0</v>
      </c>
      <c r="F39" s="53">
        <f>F38*Assumptions!$B$95</f>
        <v>0.0</v>
      </c>
      <c r="G39" s="53">
        <f>G38*Assumptions!$B$95</f>
        <v>19.8</v>
      </c>
      <c r="H39" s="53">
        <f>H38*Assumptions!$B$95</f>
        <v>49.5</v>
      </c>
      <c r="I39" s="53">
        <f>I38*Assumptions!$B$95</f>
        <v>89.1</v>
      </c>
      <c r="J39" s="53">
        <f>J38*Assumptions!$B$95</f>
        <v>128.7</v>
      </c>
      <c r="K39" s="53">
        <f>K38*Assumptions!$B$95</f>
        <v>162.36</v>
      </c>
      <c r="L39" s="53">
        <f>L38*Assumptions!$B$95</f>
        <v>184.14000000000001</v>
      </c>
      <c r="M39" s="53">
        <f>M38*Assumptions!$B$95</f>
        <v>198.0</v>
      </c>
      <c r="N39" s="53">
        <f>N38*Assumptions!$B$95</f>
        <v>198.0</v>
      </c>
      <c r="O39" s="53">
        <f>O38*Assumptions!$B$95</f>
        <v>198.0</v>
      </c>
      <c r="P39" s="53">
        <f>P38*Assumptions!$B$95</f>
        <v>198.0</v>
      </c>
      <c r="Q39" s="53">
        <f>Q38*Assumptions!$B$95</f>
        <v>198.0</v>
      </c>
      <c r="R39" s="53">
        <f>R38*Assumptions!$B$95</f>
        <v>198.0</v>
      </c>
      <c r="S39" s="53">
        <f>S38*Assumptions!$B$95</f>
        <v>198.0</v>
      </c>
      <c r="T39" s="53">
        <f>T38*Assumptions!$B$95</f>
        <v>79.2</v>
      </c>
      <c r="U39" s="53">
        <f>U38*Assumptions!$B$95</f>
        <v>31.68</v>
      </c>
      <c r="V39" s="53">
        <f>V38*Assumptions!$B$95</f>
        <v>12.672</v>
      </c>
      <c r="W39" s="53">
        <f>W38*Assumptions!$B$95</f>
        <v>5.0688</v>
      </c>
      <c r="X39" s="53">
        <f>X38*Assumptions!$B$95</f>
        <v>2.0275200000000004</v>
      </c>
      <c r="Y39" s="53">
        <f>Y38*Assumptions!$B$95</f>
        <v>0.8110080000000002</v>
      </c>
      <c r="Z39" s="53">
        <f>Z38*Assumptions!$B$95</f>
        <v>0.32440320000000006</v>
      </c>
    </row>
    <row r="40">
      <c r="A40" s="13" t="inlineStr">
        <is>
          <t>COGS + royalties, risk-adjusted</t>
        </is>
      </c>
      <c r="C40" s="53">
        <f>C38*(Assumptions!$B$96+Assumptions!$B$97)</f>
        <v>0.0</v>
      </c>
      <c r="D40" s="53">
        <f>D38*(Assumptions!$B$96+Assumptions!$B$97)</f>
        <v>0.0</v>
      </c>
      <c r="E40" s="53">
        <f>E38*(Assumptions!$B$96+Assumptions!$B$97)</f>
        <v>0.0</v>
      </c>
      <c r="F40" s="53">
        <f>F38*(Assumptions!$B$96+Assumptions!$B$97)</f>
        <v>0.0</v>
      </c>
      <c r="G40" s="53">
        <f>G38*(Assumptions!$B$96+Assumptions!$B$97)</f>
        <v>2.5740000000000003</v>
      </c>
      <c r="H40" s="53">
        <f>H38*(Assumptions!$B$96+Assumptions!$B$97)</f>
        <v>6.4350000000000005</v>
      </c>
      <c r="I40" s="53">
        <f>I38*(Assumptions!$B$96+Assumptions!$B$97)</f>
        <v>11.583</v>
      </c>
      <c r="J40" s="53">
        <f>J38*(Assumptions!$B$96+Assumptions!$B$97)</f>
        <v>16.730999999999998</v>
      </c>
      <c r="K40" s="53">
        <f>K38*(Assumptions!$B$96+Assumptions!$B$97)</f>
        <v>21.106800000000003</v>
      </c>
      <c r="L40" s="53">
        <f>L38*(Assumptions!$B$96+Assumptions!$B$97)</f>
        <v>23.938200000000002</v>
      </c>
      <c r="M40" s="53">
        <f>M38*(Assumptions!$B$96+Assumptions!$B$97)</f>
        <v>25.740000000000002</v>
      </c>
      <c r="N40" s="53">
        <f>N38*(Assumptions!$B$96+Assumptions!$B$97)</f>
        <v>25.740000000000002</v>
      </c>
      <c r="O40" s="53">
        <f>O38*(Assumptions!$B$96+Assumptions!$B$97)</f>
        <v>25.740000000000002</v>
      </c>
      <c r="P40" s="53">
        <f>P38*(Assumptions!$B$96+Assumptions!$B$97)</f>
        <v>25.740000000000002</v>
      </c>
      <c r="Q40" s="53">
        <f>Q38*(Assumptions!$B$96+Assumptions!$B$97)</f>
        <v>25.740000000000002</v>
      </c>
      <c r="R40" s="53">
        <f>R38*(Assumptions!$B$96+Assumptions!$B$97)</f>
        <v>25.740000000000002</v>
      </c>
      <c r="S40" s="53">
        <f>S38*(Assumptions!$B$96+Assumptions!$B$97)</f>
        <v>25.740000000000002</v>
      </c>
      <c r="T40" s="53">
        <f>T38*(Assumptions!$B$96+Assumptions!$B$97)</f>
        <v>10.296000000000001</v>
      </c>
      <c r="U40" s="53">
        <f>U38*(Assumptions!$B$96+Assumptions!$B$97)</f>
        <v>4.1184</v>
      </c>
      <c r="V40" s="53">
        <f>V38*(Assumptions!$B$96+Assumptions!$B$97)</f>
        <v>1.6473600000000002</v>
      </c>
      <c r="W40" s="53">
        <f>W38*(Assumptions!$B$96+Assumptions!$B$97)</f>
        <v>0.6589440000000001</v>
      </c>
      <c r="X40" s="53">
        <f>X38*(Assumptions!$B$96+Assumptions!$B$97)</f>
        <v>0.2635776000000001</v>
      </c>
      <c r="Y40" s="53">
        <f>Y38*(Assumptions!$B$96+Assumptions!$B$97)</f>
        <v>0.10543104000000003</v>
      </c>
      <c r="Z40" s="53">
        <f>Z38*(Assumptions!$B$96+Assumptions!$B$97)</f>
        <v>0.04217241600000001</v>
      </c>
    </row>
    <row r="41">
      <c r="A41" s="13" t="inlineStr">
        <is>
          <t>Commercial SG&amp;A, risk-adjusted</t>
        </is>
      </c>
      <c r="C41" s="53">
        <f>MIN(1,Assumptions!$B$94*Assumptions!$B$37)*IF(Assumptions!$B$98=0,0,IF(C36=0,Assumptions!$B$99,IF(C36&gt;=1,C37*IF(OR(Assumptions!$B$95&lt;1,C36&gt;5),Assumptions!$B$98,MAX(Assumptions!$B$98,INDEX(Assumptions!$B$44:$F$44,C36))),0)))</f>
        <v>0.0</v>
      </c>
      <c r="D41" s="53">
        <f>MIN(1,Assumptions!$B$94*Assumptions!$B$37)*IF(Assumptions!$B$98=0,0,IF(D36=0,Assumptions!$B$99,IF(D36&gt;=1,D37*IF(OR(Assumptions!$B$95&lt;1,D36&gt;5),Assumptions!$B$98,MAX(Assumptions!$B$98,INDEX(Assumptions!$B$44:$F$44,D36))),0)))</f>
        <v>0.0</v>
      </c>
      <c r="E41" s="53">
        <f>MIN(1,Assumptions!$B$94*Assumptions!$B$37)*IF(Assumptions!$B$98=0,0,IF(E36=0,Assumptions!$B$99,IF(E36&gt;=1,E37*IF(OR(Assumptions!$B$95&lt;1,E36&gt;5),Assumptions!$B$98,MAX(Assumptions!$B$98,INDEX(Assumptions!$B$44:$F$44,E36))),0)))</f>
        <v>0.0</v>
      </c>
      <c r="F41" s="53">
        <f>MIN(1,Assumptions!$B$94*Assumptions!$B$37)*IF(Assumptions!$B$98=0,0,IF(F36=0,Assumptions!$B$99,IF(F36&gt;=1,F37*IF(OR(Assumptions!$B$95&lt;1,F36&gt;5),Assumptions!$B$98,MAX(Assumptions!$B$98,INDEX(Assumptions!$B$44:$F$44,F36))),0)))</f>
        <v>6.6</v>
      </c>
      <c r="G41" s="53">
        <f>MIN(1,Assumptions!$B$94*Assumptions!$B$37)*IF(Assumptions!$B$98=0,0,IF(G36=0,Assumptions!$B$99,IF(G36&gt;=1,G37*IF(OR(Assumptions!$B$95&lt;1,G36&gt;5),Assumptions!$B$98,MAX(Assumptions!$B$98,INDEX(Assumptions!$B$44:$F$44,G36))),0)))</f>
        <v>17.82</v>
      </c>
      <c r="H41" s="53">
        <f>MIN(1,Assumptions!$B$94*Assumptions!$B$37)*IF(Assumptions!$B$98=0,0,IF(H36=0,Assumptions!$B$99,IF(H36&gt;=1,H37*IF(OR(Assumptions!$B$95&lt;1,H36&gt;5),Assumptions!$B$98,MAX(Assumptions!$B$98,INDEX(Assumptions!$B$44:$F$44,H36))),0)))</f>
        <v>27.225000000000005</v>
      </c>
      <c r="I41" s="53">
        <f>MIN(1,Assumptions!$B$94*Assumptions!$B$37)*IF(Assumptions!$B$98=0,0,IF(I36=0,Assumptions!$B$99,IF(I36&gt;=1,I37*IF(OR(Assumptions!$B$95&lt;1,I36&gt;5),Assumptions!$B$98,MAX(Assumptions!$B$98,INDEX(Assumptions!$B$44:$F$44,I36))),0)))</f>
        <v>35.64</v>
      </c>
      <c r="J41" s="53">
        <f>MIN(1,Assumptions!$B$94*Assumptions!$B$37)*IF(Assumptions!$B$98=0,0,IF(J36=0,Assumptions!$B$99,IF(J36&gt;=1,J37*IF(OR(Assumptions!$B$95&lt;1,J36&gt;5),Assumptions!$B$98,MAX(Assumptions!$B$98,INDEX(Assumptions!$B$44:$F$44,J36))),0)))</f>
        <v>41.184000000000005</v>
      </c>
      <c r="K41" s="53">
        <f>MIN(1,Assumptions!$B$94*Assumptions!$B$37)*IF(Assumptions!$B$98=0,0,IF(K36=0,Assumptions!$B$99,IF(K36&gt;=1,K37*IF(OR(Assumptions!$B$95&lt;1,K36&gt;5),Assumptions!$B$98,MAX(Assumptions!$B$98,INDEX(Assumptions!$B$44:$F$44,K36))),0)))</f>
        <v>48.708</v>
      </c>
      <c r="L41" s="53">
        <f>MIN(1,Assumptions!$B$94*Assumptions!$B$37)*IF(Assumptions!$B$98=0,0,IF(L36=0,Assumptions!$B$99,IF(L36&gt;=1,L37*IF(OR(Assumptions!$B$95&lt;1,L36&gt;5),Assumptions!$B$98,MAX(Assumptions!$B$98,INDEX(Assumptions!$B$44:$F$44,L36))),0)))</f>
        <v>55.242</v>
      </c>
      <c r="M41" s="53">
        <f>MIN(1,Assumptions!$B$94*Assumptions!$B$37)*IF(Assumptions!$B$98=0,0,IF(M36=0,Assumptions!$B$99,IF(M36&gt;=1,M37*IF(OR(Assumptions!$B$95&lt;1,M36&gt;5),Assumptions!$B$98,MAX(Assumptions!$B$98,INDEX(Assumptions!$B$44:$F$44,M36))),0)))</f>
        <v>59.4</v>
      </c>
      <c r="N41" s="53">
        <f>MIN(1,Assumptions!$B$94*Assumptions!$B$37)*IF(Assumptions!$B$98=0,0,IF(N36=0,Assumptions!$B$99,IF(N36&gt;=1,N37*IF(OR(Assumptions!$B$95&lt;1,N36&gt;5),Assumptions!$B$98,MAX(Assumptions!$B$98,INDEX(Assumptions!$B$44:$F$44,N36))),0)))</f>
        <v>59.4</v>
      </c>
      <c r="O41" s="53">
        <f>MIN(1,Assumptions!$B$94*Assumptions!$B$37)*IF(Assumptions!$B$98=0,0,IF(O36=0,Assumptions!$B$99,IF(O36&gt;=1,O37*IF(OR(Assumptions!$B$95&lt;1,O36&gt;5),Assumptions!$B$98,MAX(Assumptions!$B$98,INDEX(Assumptions!$B$44:$F$44,O36))),0)))</f>
        <v>59.4</v>
      </c>
      <c r="P41" s="53">
        <f>MIN(1,Assumptions!$B$94*Assumptions!$B$37)*IF(Assumptions!$B$98=0,0,IF(P36=0,Assumptions!$B$99,IF(P36&gt;=1,P37*IF(OR(Assumptions!$B$95&lt;1,P36&gt;5),Assumptions!$B$98,MAX(Assumptions!$B$98,INDEX(Assumptions!$B$44:$F$44,P36))),0)))</f>
        <v>59.4</v>
      </c>
      <c r="Q41" s="53">
        <f>MIN(1,Assumptions!$B$94*Assumptions!$B$37)*IF(Assumptions!$B$98=0,0,IF(Q36=0,Assumptions!$B$99,IF(Q36&gt;=1,Q37*IF(OR(Assumptions!$B$95&lt;1,Q36&gt;5),Assumptions!$B$98,MAX(Assumptions!$B$98,INDEX(Assumptions!$B$44:$F$44,Q36))),0)))</f>
        <v>59.4</v>
      </c>
      <c r="R41" s="53">
        <f>MIN(1,Assumptions!$B$94*Assumptions!$B$37)*IF(Assumptions!$B$98=0,0,IF(R36=0,Assumptions!$B$99,IF(R36&gt;=1,R37*IF(OR(Assumptions!$B$95&lt;1,R36&gt;5),Assumptions!$B$98,MAX(Assumptions!$B$98,INDEX(Assumptions!$B$44:$F$44,R36))),0)))</f>
        <v>59.4</v>
      </c>
      <c r="S41" s="53">
        <f>MIN(1,Assumptions!$B$94*Assumptions!$B$37)*IF(Assumptions!$B$98=0,0,IF(S36=0,Assumptions!$B$99,IF(S36&gt;=1,S37*IF(OR(Assumptions!$B$95&lt;1,S36&gt;5),Assumptions!$B$98,MAX(Assumptions!$B$98,INDEX(Assumptions!$B$44:$F$44,S36))),0)))</f>
        <v>59.4</v>
      </c>
      <c r="T41" s="53">
        <f>MIN(1,Assumptions!$B$94*Assumptions!$B$37)*IF(Assumptions!$B$98=0,0,IF(T36=0,Assumptions!$B$99,IF(T36&gt;=1,T37*IF(OR(Assumptions!$B$95&lt;1,T36&gt;5),Assumptions!$B$98,MAX(Assumptions!$B$98,INDEX(Assumptions!$B$44:$F$44,T36))),0)))</f>
        <v>23.76</v>
      </c>
      <c r="U41" s="53">
        <f>MIN(1,Assumptions!$B$94*Assumptions!$B$37)*IF(Assumptions!$B$98=0,0,IF(U36=0,Assumptions!$B$99,IF(U36&gt;=1,U37*IF(OR(Assumptions!$B$95&lt;1,U36&gt;5),Assumptions!$B$98,MAX(Assumptions!$B$98,INDEX(Assumptions!$B$44:$F$44,U36))),0)))</f>
        <v>9.504</v>
      </c>
      <c r="V41" s="53">
        <f>MIN(1,Assumptions!$B$94*Assumptions!$B$37)*IF(Assumptions!$B$98=0,0,IF(V36=0,Assumptions!$B$99,IF(V36&gt;=1,V37*IF(OR(Assumptions!$B$95&lt;1,V36&gt;5),Assumptions!$B$98,MAX(Assumptions!$B$98,INDEX(Assumptions!$B$44:$F$44,V36))),0)))</f>
        <v>3.8016</v>
      </c>
      <c r="W41" s="53">
        <f>MIN(1,Assumptions!$B$94*Assumptions!$B$37)*IF(Assumptions!$B$98=0,0,IF(W36=0,Assumptions!$B$99,IF(W36&gt;=1,W37*IF(OR(Assumptions!$B$95&lt;1,W36&gt;5),Assumptions!$B$98,MAX(Assumptions!$B$98,INDEX(Assumptions!$B$44:$F$44,W36))),0)))</f>
        <v>1.5206400000000002</v>
      </c>
      <c r="X41" s="53">
        <f>MIN(1,Assumptions!$B$94*Assumptions!$B$37)*IF(Assumptions!$B$98=0,0,IF(X36=0,Assumptions!$B$99,IF(X36&gt;=1,X37*IF(OR(Assumptions!$B$95&lt;1,X36&gt;5),Assumptions!$B$98,MAX(Assumptions!$B$98,INDEX(Assumptions!$B$44:$F$44,X36))),0)))</f>
        <v>0.608256</v>
      </c>
      <c r="Y41" s="53">
        <f>MIN(1,Assumptions!$B$94*Assumptions!$B$37)*IF(Assumptions!$B$98=0,0,IF(Y36=0,Assumptions!$B$99,IF(Y36&gt;=1,Y37*IF(OR(Assumptions!$B$95&lt;1,Y36&gt;5),Assumptions!$B$98,MAX(Assumptions!$B$98,INDEX(Assumptions!$B$44:$F$44,Y36))),0)))</f>
        <v>0.24330240000000006</v>
      </c>
      <c r="Z41" s="53">
        <f>MIN(1,Assumptions!$B$94*Assumptions!$B$37)*IF(Assumptions!$B$98=0,0,IF(Z36=0,Assumptions!$B$99,IF(Z36&gt;=1,Z37*IF(OR(Assumptions!$B$95&lt;1,Z36&gt;5),Assumptions!$B$98,MAX(Assumptions!$B$98,INDEX(Assumptions!$B$44:$F$44,Z36))),0)))</f>
        <v>0.09732096000000003</v>
      </c>
    </row>
    <row r="42">
      <c r="A42" s="13" t="inlineStr">
        <is>
          <t>Development R&amp;D, risk-adjusted</t>
        </is>
      </c>
      <c r="C42" s="53">
        <f>IFERROR(INDEX(Assumptions!$B$104:$I$104,MATCH(C$2,Assumptions!$B$103:$I$103,0))*INDEX(Assumptions!$B$105:$I$105,MATCH(C$2,Assumptions!$B$103:$I$103,0)),0)</f>
        <v>30.0</v>
      </c>
      <c r="D42" s="53">
        <f>IFERROR(INDEX(Assumptions!$B$104:$I$104,MATCH(D$2,Assumptions!$B$103:$I$103,0))*INDEX(Assumptions!$B$105:$I$105,MATCH(D$2,Assumptions!$B$103:$I$103,0)),0)</f>
        <v>30.0</v>
      </c>
      <c r="E42" s="53">
        <f>IFERROR(INDEX(Assumptions!$B$104:$I$104,MATCH(E$2,Assumptions!$B$103:$I$103,0))*INDEX(Assumptions!$B$105:$I$105,MATCH(E$2,Assumptions!$B$103:$I$103,0)),0)</f>
        <v>35.0</v>
      </c>
      <c r="F42" s="53">
        <f>IFERROR(INDEX(Assumptions!$B$104:$I$104,MATCH(F$2,Assumptions!$B$103:$I$103,0))*INDEX(Assumptions!$B$105:$I$105,MATCH(F$2,Assumptions!$B$103:$I$103,0)),0)</f>
        <v>18.0</v>
      </c>
      <c r="G42" s="53">
        <f>IFERROR(INDEX(Assumptions!$B$104:$I$104,MATCH(G$2,Assumptions!$B$103:$I$103,0))*INDEX(Assumptions!$B$105:$I$105,MATCH(G$2,Assumptions!$B$103:$I$103,0)),0)</f>
        <v>0.0</v>
      </c>
      <c r="H42" s="53">
        <f>IFERROR(INDEX(Assumptions!$B$104:$I$104,MATCH(H$2,Assumptions!$B$103:$I$103,0))*INDEX(Assumptions!$B$105:$I$105,MATCH(H$2,Assumptions!$B$103:$I$103,0)),0)</f>
        <v>0.0</v>
      </c>
      <c r="I42" s="53">
        <f>IFERROR(INDEX(Assumptions!$B$104:$I$104,MATCH(I$2,Assumptions!$B$103:$I$103,0))*INDEX(Assumptions!$B$105:$I$105,MATCH(I$2,Assumptions!$B$103:$I$103,0)),0)</f>
        <v>0.0</v>
      </c>
      <c r="J42" s="53">
        <f>IFERROR(INDEX(Assumptions!$B$104:$I$104,MATCH(J$2,Assumptions!$B$103:$I$103,0))*INDEX(Assumptions!$B$105:$I$105,MATCH(J$2,Assumptions!$B$103:$I$103,0)),0)</f>
        <v>0.0</v>
      </c>
      <c r="K42" s="53">
        <f>IFERROR(INDEX(Assumptions!$B$104:$I$104,MATCH(K$2,Assumptions!$B$103:$I$103,0))*INDEX(Assumptions!$B$105:$I$105,MATCH(K$2,Assumptions!$B$103:$I$103,0)),0)</f>
        <v>0</v>
      </c>
      <c r="L42" s="53">
        <f>IFERROR(INDEX(Assumptions!$B$104:$I$104,MATCH(L$2,Assumptions!$B$103:$I$103,0))*INDEX(Assumptions!$B$105:$I$105,MATCH(L$2,Assumptions!$B$103:$I$103,0)),0)</f>
        <v>0</v>
      </c>
      <c r="M42" s="53">
        <f>IFERROR(INDEX(Assumptions!$B$104:$I$104,MATCH(M$2,Assumptions!$B$103:$I$103,0))*INDEX(Assumptions!$B$105:$I$105,MATCH(M$2,Assumptions!$B$103:$I$103,0)),0)</f>
        <v>0</v>
      </c>
      <c r="N42" s="53">
        <f>IFERROR(INDEX(Assumptions!$B$104:$I$104,MATCH(N$2,Assumptions!$B$103:$I$103,0))*INDEX(Assumptions!$B$105:$I$105,MATCH(N$2,Assumptions!$B$103:$I$103,0)),0)</f>
        <v>0</v>
      </c>
      <c r="O42" s="53">
        <f>IFERROR(INDEX(Assumptions!$B$104:$I$104,MATCH(O$2,Assumptions!$B$103:$I$103,0))*INDEX(Assumptions!$B$105:$I$105,MATCH(O$2,Assumptions!$B$103:$I$103,0)),0)</f>
        <v>0</v>
      </c>
      <c r="P42" s="53">
        <f>IFERROR(INDEX(Assumptions!$B$104:$I$104,MATCH(P$2,Assumptions!$B$103:$I$103,0))*INDEX(Assumptions!$B$105:$I$105,MATCH(P$2,Assumptions!$B$103:$I$103,0)),0)</f>
        <v>0</v>
      </c>
      <c r="Q42" s="53">
        <f>IFERROR(INDEX(Assumptions!$B$104:$I$104,MATCH(Q$2,Assumptions!$B$103:$I$103,0))*INDEX(Assumptions!$B$105:$I$105,MATCH(Q$2,Assumptions!$B$103:$I$103,0)),0)</f>
        <v>0</v>
      </c>
      <c r="R42" s="53">
        <f>IFERROR(INDEX(Assumptions!$B$104:$I$104,MATCH(R$2,Assumptions!$B$103:$I$103,0))*INDEX(Assumptions!$B$105:$I$105,MATCH(R$2,Assumptions!$B$103:$I$103,0)),0)</f>
        <v>0</v>
      </c>
      <c r="S42" s="53">
        <f>IFERROR(INDEX(Assumptions!$B$104:$I$104,MATCH(S$2,Assumptions!$B$103:$I$103,0))*INDEX(Assumptions!$B$105:$I$105,MATCH(S$2,Assumptions!$B$103:$I$103,0)),0)</f>
        <v>0</v>
      </c>
      <c r="T42" s="53">
        <f>IFERROR(INDEX(Assumptions!$B$104:$I$104,MATCH(T$2,Assumptions!$B$103:$I$103,0))*INDEX(Assumptions!$B$105:$I$105,MATCH(T$2,Assumptions!$B$103:$I$103,0)),0)</f>
        <v>0</v>
      </c>
      <c r="U42" s="53">
        <f>IFERROR(INDEX(Assumptions!$B$104:$I$104,MATCH(U$2,Assumptions!$B$103:$I$103,0))*INDEX(Assumptions!$B$105:$I$105,MATCH(U$2,Assumptions!$B$103:$I$103,0)),0)</f>
        <v>0</v>
      </c>
      <c r="V42" s="53">
        <f>IFERROR(INDEX(Assumptions!$B$104:$I$104,MATCH(V$2,Assumptions!$B$103:$I$103,0))*INDEX(Assumptions!$B$105:$I$105,MATCH(V$2,Assumptions!$B$103:$I$103,0)),0)</f>
        <v>0</v>
      </c>
      <c r="W42" s="53">
        <f>IFERROR(INDEX(Assumptions!$B$104:$I$104,MATCH(W$2,Assumptions!$B$103:$I$103,0))*INDEX(Assumptions!$B$105:$I$105,MATCH(W$2,Assumptions!$B$103:$I$103,0)),0)</f>
        <v>0</v>
      </c>
      <c r="X42" s="53">
        <f>IFERROR(INDEX(Assumptions!$B$104:$I$104,MATCH(X$2,Assumptions!$B$103:$I$103,0))*INDEX(Assumptions!$B$105:$I$105,MATCH(X$2,Assumptions!$B$103:$I$103,0)),0)</f>
        <v>0</v>
      </c>
      <c r="Y42" s="53">
        <f>IFERROR(INDEX(Assumptions!$B$104:$I$104,MATCH(Y$2,Assumptions!$B$103:$I$103,0))*INDEX(Assumptions!$B$105:$I$105,MATCH(Y$2,Assumptions!$B$103:$I$103,0)),0)</f>
        <v>0</v>
      </c>
      <c r="Z42" s="53">
        <f>IFERROR(INDEX(Assumptions!$B$104:$I$104,MATCH(Z$2,Assumptions!$B$103:$I$103,0))*INDEX(Assumptions!$B$105:$I$105,MATCH(Z$2,Assumptions!$B$103:$I$103,0)),0)</f>
        <v>0</v>
      </c>
    </row>
    <row r="43">
      <c r="A43" s="22" t="inlineStr">
        <is>
          <t>Program contribution (pre-tax)</t>
        </is>
      </c>
      <c r="C43" s="57">
        <f>C39-C40-C41-C42</f>
        <v>-30.0</v>
      </c>
      <c r="D43" s="57">
        <f>D39-D40-D41-D42</f>
        <v>-30.0</v>
      </c>
      <c r="E43" s="57">
        <f>E39-E40-E41-E42</f>
        <v>-35.0</v>
      </c>
      <c r="F43" s="57">
        <f>F39-F40-F41-F42</f>
        <v>-24.6</v>
      </c>
      <c r="G43" s="57">
        <f>G39-G40-G41-G42</f>
        <v>-0.5940000000000012</v>
      </c>
      <c r="H43" s="57">
        <f>H39-H40-H41-H42</f>
        <v>15.839999999999993</v>
      </c>
      <c r="I43" s="57">
        <f>I39-I40-I41-I42</f>
        <v>41.876999999999995</v>
      </c>
      <c r="J43" s="57">
        <f>J39-J40-J41-J42</f>
        <v>70.785</v>
      </c>
      <c r="K43" s="57">
        <f>K39-K40-K41-K42</f>
        <v>92.54520000000002</v>
      </c>
      <c r="L43" s="57">
        <f>L39-L40-L41-L42</f>
        <v>104.95980000000003</v>
      </c>
      <c r="M43" s="57">
        <f>M39-M40-M41-M42</f>
        <v>112.85999999999999</v>
      </c>
      <c r="N43" s="57">
        <f>N39-N40-N41-N42</f>
        <v>112.85999999999999</v>
      </c>
      <c r="O43" s="57">
        <f>O39-O40-O41-O42</f>
        <v>112.85999999999999</v>
      </c>
      <c r="P43" s="57">
        <f>P39-P40-P41-P42</f>
        <v>112.85999999999999</v>
      </c>
      <c r="Q43" s="57">
        <f>Q39-Q40-Q41-Q42</f>
        <v>112.85999999999999</v>
      </c>
      <c r="R43" s="57">
        <f>R39-R40-R41-R42</f>
        <v>112.85999999999999</v>
      </c>
      <c r="S43" s="57">
        <f>S39-S40-S41-S42</f>
        <v>112.85999999999999</v>
      </c>
      <c r="T43" s="57">
        <f>T39-T40-T41-T42</f>
        <v>45.14399999999999</v>
      </c>
      <c r="U43" s="57">
        <f>U39-U40-U41-U42</f>
        <v>18.0576</v>
      </c>
      <c r="V43" s="57">
        <f>V39-V40-V41-V42</f>
        <v>7.223039999999999</v>
      </c>
      <c r="W43" s="57">
        <f>W39-W40-W41-W42</f>
        <v>2.8892160000000002</v>
      </c>
      <c r="X43" s="57">
        <f>X39-X40-X41-X42</f>
        <v>1.1556864000000004</v>
      </c>
      <c r="Y43" s="57">
        <f>Y39-Y40-Y41-Y42</f>
        <v>0.4622745600000001</v>
      </c>
      <c r="Z43" s="57">
        <f>Z39-Z40-Z41-Z42</f>
        <v>0.18490982400000006</v>
      </c>
    </row>
    <row r="45">
      <c r="A45" s="30" t="inlineStr">
        <is>
          <t>Company totals (risk-adjusted)</t>
        </is>
      </c>
    </row>
    <row r="46">
      <c r="A46" s="22" t="inlineStr">
        <is>
          <t>Revenue</t>
        </is>
      </c>
      <c r="C46" s="57">
        <f>C7+C19+C29+C39</f>
        <v>353.392</v>
      </c>
      <c r="D46" s="57">
        <f>D7+D19+D29+D39</f>
        <v>520.794</v>
      </c>
      <c r="E46" s="57">
        <f>E7+E19+E29+E39</f>
        <v>707.6959999999999</v>
      </c>
      <c r="F46" s="57">
        <f>F7+F19+F29+F39</f>
        <v>906.1479999999999</v>
      </c>
      <c r="G46" s="57">
        <f>G7+G19+G29+G39</f>
        <v>1146.475</v>
      </c>
      <c r="H46" s="57">
        <f>H7+H19+H29+H39</f>
        <v>1284.175</v>
      </c>
      <c r="I46" s="57">
        <f>I7+I19+I29+I39</f>
        <v>1430.175</v>
      </c>
      <c r="J46" s="57">
        <f>J7+J19+J29+J39</f>
        <v>1545.41</v>
      </c>
      <c r="K46" s="57">
        <f>K7+K19+K29+K39</f>
        <v>1639.375</v>
      </c>
      <c r="L46" s="57">
        <f>L7+L19+L29+L39</f>
        <v>1700.0400000000002</v>
      </c>
      <c r="M46" s="57">
        <f>M7+M19+M29+M39</f>
        <v>980.2</v>
      </c>
      <c r="N46" s="57">
        <f>N7+N19+N29+N39</f>
        <v>678.88</v>
      </c>
      <c r="O46" s="57">
        <f>O7+O19+O29+O39</f>
        <v>558.352</v>
      </c>
      <c r="P46" s="57">
        <f>P7+P19+P29+P39</f>
        <v>510.1408</v>
      </c>
      <c r="Q46" s="57">
        <f>Q7+Q19+Q29+Q39</f>
        <v>490.85632</v>
      </c>
      <c r="R46" s="57">
        <f>R7+R19+R29+R39</f>
        <v>315.14252799999997</v>
      </c>
      <c r="S46" s="57">
        <f>S7+S19+S29+S39</f>
        <v>244.8570112</v>
      </c>
      <c r="T46" s="57">
        <f>T7+T19+T29+T39</f>
        <v>97.94280448</v>
      </c>
      <c r="U46" s="57">
        <f>U7+U19+U29+U39</f>
        <v>39.177121792</v>
      </c>
      <c r="V46" s="57">
        <f>V7+V19+V29+V39</f>
        <v>15.670848716800002</v>
      </c>
      <c r="W46" s="57">
        <f>W7+W19+W29+W39</f>
        <v>6.26833948672</v>
      </c>
      <c r="X46" s="57">
        <f>X7+X19+X29+X39</f>
        <v>2.5073357946880006</v>
      </c>
      <c r="Y46" s="57">
        <f>Y7+Y19+Y29+Y39</f>
        <v>1.0029343178752002</v>
      </c>
      <c r="Z46" s="57">
        <f>Z7+Z19+Z29+Z39</f>
        <v>0.40117372715008004</v>
      </c>
    </row>
    <row r="47">
      <c r="A47" s="13" t="inlineStr">
        <is>
          <t>Cost of sales (COGS + royalties)</t>
        </is>
      </c>
      <c r="C47" s="53">
        <f>C8+C20+C30+C40</f>
        <v>21.203519999999997</v>
      </c>
      <c r="D47" s="53">
        <f>D8+D20+D30+D40</f>
        <v>31.247639999999997</v>
      </c>
      <c r="E47" s="53">
        <f>E8+E20+E30+E40</f>
        <v>42.46175999999999</v>
      </c>
      <c r="F47" s="53">
        <f>F8+F20+F30+F40</f>
        <v>54.36888</v>
      </c>
      <c r="G47" s="53">
        <f>G8+G20+G30+G40</f>
        <v>72.1345</v>
      </c>
      <c r="H47" s="53">
        <f>H8+H20+H30+H40</f>
        <v>85.4155</v>
      </c>
      <c r="I47" s="53">
        <f>I8+I20+I30+I40</f>
        <v>100.86749999999999</v>
      </c>
      <c r="J47" s="53">
        <f>J8+J20+J30+J40</f>
        <v>114.47359999999999</v>
      </c>
      <c r="K47" s="53">
        <f>K8+K20+K30+K40</f>
        <v>125.7997</v>
      </c>
      <c r="L47" s="53">
        <f>L8+L20+L30+L40</f>
        <v>133.1202</v>
      </c>
      <c r="M47" s="53">
        <f>M8+M20+M30+M40</f>
        <v>92.27199999999999</v>
      </c>
      <c r="N47" s="53">
        <f>N8+N20+N30+N40</f>
        <v>74.1928</v>
      </c>
      <c r="O47" s="53">
        <f>O8+O20+O30+O40</f>
        <v>66.96112</v>
      </c>
      <c r="P47" s="53">
        <f>P8+P20+P30+P40</f>
        <v>64.068448</v>
      </c>
      <c r="Q47" s="53">
        <f>Q8+Q20+Q30+Q40</f>
        <v>62.9113792</v>
      </c>
      <c r="R47" s="53">
        <f>R8+R20+R30+R40</f>
        <v>40.608551680000005</v>
      </c>
      <c r="S47" s="53">
        <f>S8+S20+S30+S40</f>
        <v>31.687420672000002</v>
      </c>
      <c r="T47" s="53">
        <f>T8+T20+T30+T40</f>
        <v>12.6749682688</v>
      </c>
      <c r="U47" s="53">
        <f>U8+U20+U30+U40</f>
        <v>5.06998730752</v>
      </c>
      <c r="V47" s="53">
        <f>V8+V20+V30+V40</f>
        <v>2.0279949230080003</v>
      </c>
      <c r="W47" s="53">
        <f>W8+W20+W30+W40</f>
        <v>0.8111979692032001</v>
      </c>
      <c r="X47" s="53">
        <f>X8+X20+X30+X40</f>
        <v>0.3244791876812801</v>
      </c>
      <c r="Y47" s="53">
        <f>Y8+Y20+Y30+Y40</f>
        <v>0.12979167507251205</v>
      </c>
      <c r="Z47" s="53">
        <f>Z8+Z20+Z30+Z40</f>
        <v>0.05191667002900481</v>
      </c>
    </row>
    <row r="48">
      <c r="A48" s="13" t="inlineStr">
        <is>
          <t>Program development R&amp;D</t>
        </is>
      </c>
      <c r="C48" s="53">
        <f>C10+C22+C32+C42</f>
        <v>85.0</v>
      </c>
      <c r="D48" s="53">
        <f>D10+D22+D32+D42</f>
        <v>130.0</v>
      </c>
      <c r="E48" s="53">
        <f>E10+E22+E32+E42</f>
        <v>145.0</v>
      </c>
      <c r="F48" s="53">
        <f>F10+F22+F32+F42</f>
        <v>45.5</v>
      </c>
      <c r="G48" s="53">
        <f>G10+G22+G32+G42</f>
        <v>0.0</v>
      </c>
      <c r="H48" s="53">
        <f>H10+H22+H32+H42</f>
        <v>0.0</v>
      </c>
      <c r="I48" s="53">
        <f>I10+I22+I32+I42</f>
        <v>0.0</v>
      </c>
      <c r="J48" s="53">
        <f>J10+J22+J32+J42</f>
        <v>0.0</v>
      </c>
      <c r="K48" s="53">
        <f>K10+K22+K32+K42</f>
        <v>0.0</v>
      </c>
      <c r="L48" s="53">
        <f>L10+L22+L32+L42</f>
        <v>0.0</v>
      </c>
      <c r="M48" s="53">
        <f>M10+M22+M32+M42</f>
        <v>0.0</v>
      </c>
      <c r="N48" s="53">
        <f>N10+N22+N32+N42</f>
        <v>0.0</v>
      </c>
      <c r="O48" s="53">
        <f>O10+O22+O32+O42</f>
        <v>0.0</v>
      </c>
      <c r="P48" s="53">
        <f>P10+P22+P32+P42</f>
        <v>0.0</v>
      </c>
      <c r="Q48" s="53">
        <f>Q10+Q22+Q32+Q42</f>
        <v>0.0</v>
      </c>
      <c r="R48" s="53">
        <f>R10+R22+R32+R42</f>
        <v>0.0</v>
      </c>
      <c r="S48" s="53">
        <f>S10+S22+S32+S42</f>
        <v>0.0</v>
      </c>
      <c r="T48" s="53">
        <f>T10+T22+T32+T42</f>
        <v>0.0</v>
      </c>
      <c r="U48" s="53">
        <f>U10+U22+U32+U42</f>
        <v>0.0</v>
      </c>
      <c r="V48" s="53">
        <f>V10+V22+V32+V42</f>
        <v>0.0</v>
      </c>
      <c r="W48" s="53">
        <f>W10+W22+W32+W42</f>
        <v>0.0</v>
      </c>
      <c r="X48" s="53">
        <f>X10+X22+X32+X42</f>
        <v>0.0</v>
      </c>
      <c r="Y48" s="53">
        <f>Y10+Y22+Y32+Y42</f>
        <v>0.0</v>
      </c>
      <c r="Z48" s="53">
        <f>Z10+Z22+Z32+Z42</f>
        <v>0.0</v>
      </c>
    </row>
    <row r="49">
      <c r="A49" s="13" t="inlineStr">
        <is>
          <t>Platform / unallocated R&amp;D</t>
        </is>
      </c>
      <c r="C49" s="53">
        <f>IF(C$2&gt;Assumptions!$B$25,Assumptions!$B$23*C46,MAX(Assumptions!$B$20*(1+Assumptions!$B$21)^(C$2-2027)*Assumptions!$B$38,Assumptions!$B$23*C46))</f>
        <v>180.0</v>
      </c>
      <c r="D49" s="53">
        <f>IF(D$2&gt;Assumptions!$B$25,Assumptions!$B$23*D46,MAX(Assumptions!$B$20*(1+Assumptions!$B$21)^(D$2-2027)*Assumptions!$B$38,Assumptions!$B$23*D46))</f>
        <v>185.4</v>
      </c>
      <c r="E49" s="53">
        <f>IF(E$2&gt;Assumptions!$B$25,Assumptions!$B$23*E46,MAX(Assumptions!$B$20*(1+Assumptions!$B$21)^(E$2-2027)*Assumptions!$B$38,Assumptions!$B$23*E46))</f>
        <v>190.962</v>
      </c>
      <c r="F49" s="53">
        <f>IF(F$2&gt;Assumptions!$B$25,Assumptions!$B$23*F46,MAX(Assumptions!$B$20*(1+Assumptions!$B$21)^(F$2-2027)*Assumptions!$B$38,Assumptions!$B$23*F46))</f>
        <v>196.69086</v>
      </c>
      <c r="G49" s="53">
        <f>IF(G$2&gt;Assumptions!$B$25,Assumptions!$B$23*G46,MAX(Assumptions!$B$20*(1+Assumptions!$B$21)^(G$2-2027)*Assumptions!$B$38,Assumptions!$B$23*G46))</f>
        <v>229.295</v>
      </c>
      <c r="H49" s="53">
        <f>IF(H$2&gt;Assumptions!$B$25,Assumptions!$B$23*H46,MAX(Assumptions!$B$20*(1+Assumptions!$B$21)^(H$2-2027)*Assumptions!$B$38,Assumptions!$B$23*H46))</f>
        <v>256.835</v>
      </c>
      <c r="I49" s="53">
        <f>IF(I$2&gt;Assumptions!$B$25,Assumptions!$B$23*I46,MAX(Assumptions!$B$20*(1+Assumptions!$B$21)^(I$2-2027)*Assumptions!$B$38,Assumptions!$B$23*I46))</f>
        <v>286.035</v>
      </c>
      <c r="J49" s="53">
        <f>IF(J$2&gt;Assumptions!$B$25,Assumptions!$B$23*J46,MAX(Assumptions!$B$20*(1+Assumptions!$B$21)^(J$2-2027)*Assumptions!$B$38,Assumptions!$B$23*J46))</f>
        <v>309.08200000000005</v>
      </c>
      <c r="K49" s="53">
        <f>IF(K$2&gt;Assumptions!$B$25,Assumptions!$B$23*K46,MAX(Assumptions!$B$20*(1+Assumptions!$B$21)^(K$2-2027)*Assumptions!$B$38,Assumptions!$B$23*K46))</f>
        <v>327.875</v>
      </c>
      <c r="L49" s="53">
        <f>IF(L$2&gt;Assumptions!$B$25,Assumptions!$B$23*L46,MAX(Assumptions!$B$20*(1+Assumptions!$B$21)^(L$2-2027)*Assumptions!$B$38,Assumptions!$B$23*L46))</f>
        <v>340.00800000000004</v>
      </c>
      <c r="M49" s="53">
        <f>IF(M$2&gt;Assumptions!$B$25,Assumptions!$B$23*M46,MAX(Assumptions!$B$20*(1+Assumptions!$B$21)^(M$2-2027)*Assumptions!$B$38,Assumptions!$B$23*M46))</f>
        <v>241.904948281942</v>
      </c>
      <c r="N49" s="53">
        <f>IF(N$2&gt;Assumptions!$B$25,Assumptions!$B$23*N46,MAX(Assumptions!$B$20*(1+Assumptions!$B$21)^(N$2-2027)*Assumptions!$B$38,Assumptions!$B$23*N46))</f>
        <v>135.776</v>
      </c>
      <c r="O49" s="53">
        <f>IF(O$2&gt;Assumptions!$B$25,Assumptions!$B$23*O46,MAX(Assumptions!$B$20*(1+Assumptions!$B$21)^(O$2-2027)*Assumptions!$B$38,Assumptions!$B$23*O46))</f>
        <v>111.6704</v>
      </c>
      <c r="P49" s="53">
        <f>IF(P$2&gt;Assumptions!$B$25,Assumptions!$B$23*P46,MAX(Assumptions!$B$20*(1+Assumptions!$B$21)^(P$2-2027)*Assumptions!$B$38,Assumptions!$B$23*P46))</f>
        <v>102.02816000000001</v>
      </c>
      <c r="Q49" s="53">
        <f>IF(Q$2&gt;Assumptions!$B$25,Assumptions!$B$23*Q46,MAX(Assumptions!$B$20*(1+Assumptions!$B$21)^(Q$2-2027)*Assumptions!$B$38,Assumptions!$B$23*Q46))</f>
        <v>98.17126400000001</v>
      </c>
      <c r="R49" s="53">
        <f>IF(R$2&gt;Assumptions!$B$25,Assumptions!$B$23*R46,MAX(Assumptions!$B$20*(1+Assumptions!$B$21)^(R$2-2027)*Assumptions!$B$38,Assumptions!$B$23*R46))</f>
        <v>63.028505599999995</v>
      </c>
      <c r="S49" s="53">
        <f>IF(S$2&gt;Assumptions!$B$25,Assumptions!$B$23*S46,MAX(Assumptions!$B$20*(1+Assumptions!$B$21)^(S$2-2027)*Assumptions!$B$38,Assumptions!$B$23*S46))</f>
        <v>48.97140224</v>
      </c>
      <c r="T49" s="53">
        <f>IF(T$2&gt;Assumptions!$B$25,Assumptions!$B$23*T46,MAX(Assumptions!$B$20*(1+Assumptions!$B$21)^(T$2-2027)*Assumptions!$B$38,Assumptions!$B$23*T46))</f>
        <v>19.588560896000004</v>
      </c>
      <c r="U49" s="53">
        <f>IF(U$2&gt;Assumptions!$B$25,Assumptions!$B$23*U46,MAX(Assumptions!$B$20*(1+Assumptions!$B$21)^(U$2-2027)*Assumptions!$B$38,Assumptions!$B$23*U46))</f>
        <v>7.835424358400001</v>
      </c>
      <c r="V49" s="53">
        <f>IF(V$2&gt;Assumptions!$B$25,Assumptions!$B$23*V46,MAX(Assumptions!$B$20*(1+Assumptions!$B$21)^(V$2-2027)*Assumptions!$B$38,Assumptions!$B$23*V46))</f>
        <v>3.1341697433600006</v>
      </c>
      <c r="W49" s="53">
        <f>IF(W$2&gt;Assumptions!$B$25,Assumptions!$B$23*W46,MAX(Assumptions!$B$20*(1+Assumptions!$B$21)^(W$2-2027)*Assumptions!$B$38,Assumptions!$B$23*W46))</f>
        <v>1.253667897344</v>
      </c>
      <c r="X49" s="53">
        <f>IF(X$2&gt;Assumptions!$B$25,Assumptions!$B$23*X46,MAX(Assumptions!$B$20*(1+Assumptions!$B$21)^(X$2-2027)*Assumptions!$B$38,Assumptions!$B$23*X46))</f>
        <v>0.5014671589376002</v>
      </c>
      <c r="Y49" s="53">
        <f>IF(Y$2&gt;Assumptions!$B$25,Assumptions!$B$23*Y46,MAX(Assumptions!$B$20*(1+Assumptions!$B$21)^(Y$2-2027)*Assumptions!$B$38,Assumptions!$B$23*Y46))</f>
        <v>0.20058686357504005</v>
      </c>
      <c r="Z49" s="53">
        <f>IF(Z$2&gt;Assumptions!$B$25,Assumptions!$B$23*Z46,MAX(Assumptions!$B$20*(1+Assumptions!$B$21)^(Z$2-2027)*Assumptions!$B$38,Assumptions!$B$23*Z46))</f>
        <v>0.08023474543001602</v>
      </c>
    </row>
    <row r="50">
      <c r="A50" s="13" t="inlineStr">
        <is>
          <t>Total R&amp;D</t>
        </is>
      </c>
      <c r="C50" s="53">
        <f>C48+C49</f>
        <v>265.0</v>
      </c>
      <c r="D50" s="53">
        <f>D48+D49</f>
        <v>315.4</v>
      </c>
      <c r="E50" s="53">
        <f>E48+E49</f>
        <v>335.962</v>
      </c>
      <c r="F50" s="53">
        <f>F48+F49</f>
        <v>242.19086</v>
      </c>
      <c r="G50" s="53">
        <f>G48+G49</f>
        <v>229.295</v>
      </c>
      <c r="H50" s="53">
        <f>H48+H49</f>
        <v>256.835</v>
      </c>
      <c r="I50" s="53">
        <f>I48+I49</f>
        <v>286.035</v>
      </c>
      <c r="J50" s="53">
        <f>J48+J49</f>
        <v>309.08200000000005</v>
      </c>
      <c r="K50" s="53">
        <f>K48+K49</f>
        <v>327.875</v>
      </c>
      <c r="L50" s="53">
        <f>L48+L49</f>
        <v>340.00800000000004</v>
      </c>
      <c r="M50" s="53">
        <f>M48+M49</f>
        <v>241.904948281942</v>
      </c>
      <c r="N50" s="53">
        <f>N48+N49</f>
        <v>135.776</v>
      </c>
      <c r="O50" s="53">
        <f>O48+O49</f>
        <v>111.6704</v>
      </c>
      <c r="P50" s="53">
        <f>P48+P49</f>
        <v>102.02816000000001</v>
      </c>
      <c r="Q50" s="53">
        <f>Q48+Q49</f>
        <v>98.17126400000001</v>
      </c>
      <c r="R50" s="53">
        <f>R48+R49</f>
        <v>63.028505599999995</v>
      </c>
      <c r="S50" s="53">
        <f>S48+S49</f>
        <v>48.97140224</v>
      </c>
      <c r="T50" s="53">
        <f>T48+T49</f>
        <v>19.588560896000004</v>
      </c>
      <c r="U50" s="53">
        <f>U48+U49</f>
        <v>7.835424358400001</v>
      </c>
      <c r="V50" s="53">
        <f>V48+V49</f>
        <v>3.1341697433600006</v>
      </c>
      <c r="W50" s="53">
        <f>W48+W49</f>
        <v>1.253667897344</v>
      </c>
      <c r="X50" s="53">
        <f>X48+X49</f>
        <v>0.5014671589376002</v>
      </c>
      <c r="Y50" s="53">
        <f>Y48+Y49</f>
        <v>0.20058686357504005</v>
      </c>
      <c r="Z50" s="53">
        <f>Z48+Z49</f>
        <v>0.08023474543001602</v>
      </c>
    </row>
    <row r="51">
      <c r="A51" s="13" t="inlineStr">
        <is>
          <t>Commercial SG&amp;A</t>
        </is>
      </c>
      <c r="C51" s="53">
        <f>C9+C21+C31+C41</f>
        <v>208.0156</v>
      </c>
      <c r="D51" s="53">
        <f>D9+D21+D31+D41</f>
        <v>222.9426</v>
      </c>
      <c r="E51" s="53">
        <f>E9+E21+E31+E41</f>
        <v>244.35271999999998</v>
      </c>
      <c r="F51" s="53">
        <f>F9+F21+F31+F41</f>
        <v>289.62244000000004</v>
      </c>
      <c r="G51" s="53">
        <f>G9+G21+G31+G41</f>
        <v>335.94525</v>
      </c>
      <c r="H51" s="53">
        <f>H9+H21+H31+H41</f>
        <v>364.69000000000005</v>
      </c>
      <c r="I51" s="53">
        <f>I9+I21+I31+I41</f>
        <v>395.06399999999996</v>
      </c>
      <c r="J51" s="53">
        <f>J9+J21+J31+J41</f>
        <v>410.94280000000003</v>
      </c>
      <c r="K51" s="53">
        <f>K9+K21+K31+K41</f>
        <v>429.44174999999996</v>
      </c>
      <c r="L51" s="53">
        <f>L9+L21+L31+L41</f>
        <v>447.237</v>
      </c>
      <c r="M51" s="53">
        <f>M9+M21+M31+M41</f>
        <v>268.95</v>
      </c>
      <c r="N51" s="53">
        <f>N9+N21+N31+N41</f>
        <v>193.62</v>
      </c>
      <c r="O51" s="53">
        <f>O9+O21+O31+O41</f>
        <v>163.488</v>
      </c>
      <c r="P51" s="53">
        <f>P9+P21+P31+P41</f>
        <v>151.4352</v>
      </c>
      <c r="Q51" s="53">
        <f>Q9+Q21+Q31+Q41</f>
        <v>146.61408</v>
      </c>
      <c r="R51" s="53">
        <f>R9+R21+R31+R41</f>
        <v>94.28563199999999</v>
      </c>
      <c r="S51" s="53">
        <f>S9+S21+S31+S41</f>
        <v>73.3542528</v>
      </c>
      <c r="T51" s="53">
        <f>T9+T21+T31+T41</f>
        <v>29.341701120000003</v>
      </c>
      <c r="U51" s="53">
        <f>U9+U21+U31+U41</f>
        <v>11.736680448</v>
      </c>
      <c r="V51" s="53">
        <f>V9+V21+V31+V41</f>
        <v>4.6946721792</v>
      </c>
      <c r="W51" s="53">
        <f>W9+W21+W31+W41</f>
        <v>1.8778688716800003</v>
      </c>
      <c r="X51" s="53">
        <f>X9+X21+X31+X41</f>
        <v>0.7511475486720001</v>
      </c>
      <c r="Y51" s="53">
        <f>Y9+Y21+Y31+Y41</f>
        <v>0.30045901946880005</v>
      </c>
      <c r="Z51" s="53">
        <f>Z9+Z21+Z31+Z41</f>
        <v>0.12018360778752003</v>
      </c>
    </row>
    <row r="52">
      <c r="A52" s="13" t="inlineStr">
        <is>
          <t>Corporate G&amp;A</t>
        </is>
      </c>
      <c r="C52" s="53">
        <f>IF(C$2&gt;Assumptions!$B$25,Assumptions!$B$22*C46,MAX(Assumptions!$B$19*(1+Assumptions!$B$21)^(C$2-2027)*Assumptions!$B$38,Assumptions!$B$22*C46))</f>
        <v>70.0</v>
      </c>
      <c r="D52" s="53">
        <f>IF(D$2&gt;Assumptions!$B$25,Assumptions!$B$22*D46,MAX(Assumptions!$B$19*(1+Assumptions!$B$21)^(D$2-2027)*Assumptions!$B$38,Assumptions!$B$22*D46))</f>
        <v>72.10000000000001</v>
      </c>
      <c r="E52" s="53">
        <f>IF(E$2&gt;Assumptions!$B$25,Assumptions!$B$22*E46,MAX(Assumptions!$B$19*(1+Assumptions!$B$21)^(E$2-2027)*Assumptions!$B$38,Assumptions!$B$22*E46))</f>
        <v>74.26299999999999</v>
      </c>
      <c r="F52" s="53">
        <f>IF(F$2&gt;Assumptions!$B$25,Assumptions!$B$22*F46,MAX(Assumptions!$B$19*(1+Assumptions!$B$21)^(F$2-2027)*Assumptions!$B$38,Assumptions!$B$22*F46))</f>
        <v>90.6148</v>
      </c>
      <c r="G52" s="53">
        <f>IF(G$2&gt;Assumptions!$B$25,Assumptions!$B$22*G46,MAX(Assumptions!$B$19*(1+Assumptions!$B$21)^(G$2-2027)*Assumptions!$B$38,Assumptions!$B$22*G46))</f>
        <v>114.6475</v>
      </c>
      <c r="H52" s="53">
        <f>IF(H$2&gt;Assumptions!$B$25,Assumptions!$B$22*H46,MAX(Assumptions!$B$19*(1+Assumptions!$B$21)^(H$2-2027)*Assumptions!$B$38,Assumptions!$B$22*H46))</f>
        <v>128.4175</v>
      </c>
      <c r="I52" s="53">
        <f>IF(I$2&gt;Assumptions!$B$25,Assumptions!$B$22*I46,MAX(Assumptions!$B$19*(1+Assumptions!$B$21)^(I$2-2027)*Assumptions!$B$38,Assumptions!$B$22*I46))</f>
        <v>143.0175</v>
      </c>
      <c r="J52" s="53">
        <f>IF(J$2&gt;Assumptions!$B$25,Assumptions!$B$22*J46,MAX(Assumptions!$B$19*(1+Assumptions!$B$21)^(J$2-2027)*Assumptions!$B$38,Assumptions!$B$22*J46))</f>
        <v>154.54100000000003</v>
      </c>
      <c r="K52" s="53">
        <f>IF(K$2&gt;Assumptions!$B$25,Assumptions!$B$22*K46,MAX(Assumptions!$B$19*(1+Assumptions!$B$21)^(K$2-2027)*Assumptions!$B$38,Assumptions!$B$22*K46))</f>
        <v>163.9375</v>
      </c>
      <c r="L52" s="53">
        <f>IF(L$2&gt;Assumptions!$B$25,Assumptions!$B$22*L46,MAX(Assumptions!$B$19*(1+Assumptions!$B$21)^(L$2-2027)*Assumptions!$B$38,Assumptions!$B$22*L46))</f>
        <v>170.00400000000002</v>
      </c>
      <c r="M52" s="53">
        <f>IF(M$2&gt;Assumptions!$B$25,Assumptions!$B$22*M46,MAX(Assumptions!$B$19*(1+Assumptions!$B$21)^(M$2-2027)*Assumptions!$B$38,Assumptions!$B$22*M46))</f>
        <v>98.02000000000001</v>
      </c>
      <c r="N52" s="53">
        <f>IF(N$2&gt;Assumptions!$B$25,Assumptions!$B$22*N46,MAX(Assumptions!$B$19*(1+Assumptions!$B$21)^(N$2-2027)*Assumptions!$B$38,Assumptions!$B$22*N46))</f>
        <v>67.888</v>
      </c>
      <c r="O52" s="53">
        <f>IF(O$2&gt;Assumptions!$B$25,Assumptions!$B$22*O46,MAX(Assumptions!$B$19*(1+Assumptions!$B$21)^(O$2-2027)*Assumptions!$B$38,Assumptions!$B$22*O46))</f>
        <v>55.8352</v>
      </c>
      <c r="P52" s="53">
        <f>IF(P$2&gt;Assumptions!$B$25,Assumptions!$B$22*P46,MAX(Assumptions!$B$19*(1+Assumptions!$B$21)^(P$2-2027)*Assumptions!$B$38,Assumptions!$B$22*P46))</f>
        <v>51.01408000000001</v>
      </c>
      <c r="Q52" s="53">
        <f>IF(Q$2&gt;Assumptions!$B$25,Assumptions!$B$22*Q46,MAX(Assumptions!$B$19*(1+Assumptions!$B$21)^(Q$2-2027)*Assumptions!$B$38,Assumptions!$B$22*Q46))</f>
        <v>49.085632000000004</v>
      </c>
      <c r="R52" s="53">
        <f>IF(R$2&gt;Assumptions!$B$25,Assumptions!$B$22*R46,MAX(Assumptions!$B$19*(1+Assumptions!$B$21)^(R$2-2027)*Assumptions!$B$38,Assumptions!$B$22*R46))</f>
        <v>31.514252799999998</v>
      </c>
      <c r="S52" s="53">
        <f>IF(S$2&gt;Assumptions!$B$25,Assumptions!$B$22*S46,MAX(Assumptions!$B$19*(1+Assumptions!$B$21)^(S$2-2027)*Assumptions!$B$38,Assumptions!$B$22*S46))</f>
        <v>24.48570112</v>
      </c>
      <c r="T52" s="53">
        <f>IF(T$2&gt;Assumptions!$B$25,Assumptions!$B$22*T46,MAX(Assumptions!$B$19*(1+Assumptions!$B$21)^(T$2-2027)*Assumptions!$B$38,Assumptions!$B$22*T46))</f>
        <v>9.794280448000002</v>
      </c>
      <c r="U52" s="53">
        <f>IF(U$2&gt;Assumptions!$B$25,Assumptions!$B$22*U46,MAX(Assumptions!$B$19*(1+Assumptions!$B$21)^(U$2-2027)*Assumptions!$B$38,Assumptions!$B$22*U46))</f>
        <v>3.9177121792000005</v>
      </c>
      <c r="V52" s="53">
        <f>IF(V$2&gt;Assumptions!$B$25,Assumptions!$B$22*V46,MAX(Assumptions!$B$19*(1+Assumptions!$B$21)^(V$2-2027)*Assumptions!$B$38,Assumptions!$B$22*V46))</f>
        <v>1.5670848716800003</v>
      </c>
      <c r="W52" s="53">
        <f>IF(W$2&gt;Assumptions!$B$25,Assumptions!$B$22*W46,MAX(Assumptions!$B$19*(1+Assumptions!$B$21)^(W$2-2027)*Assumptions!$B$38,Assumptions!$B$22*W46))</f>
        <v>0.626833948672</v>
      </c>
      <c r="X52" s="53">
        <f>IF(X$2&gt;Assumptions!$B$25,Assumptions!$B$22*X46,MAX(Assumptions!$B$19*(1+Assumptions!$B$21)^(X$2-2027)*Assumptions!$B$38,Assumptions!$B$22*X46))</f>
        <v>0.2507335794688001</v>
      </c>
      <c r="Y52" s="53">
        <f>IF(Y$2&gt;Assumptions!$B$25,Assumptions!$B$22*Y46,MAX(Assumptions!$B$19*(1+Assumptions!$B$21)^(Y$2-2027)*Assumptions!$B$38,Assumptions!$B$22*Y46))</f>
        <v>0.10029343178752002</v>
      </c>
      <c r="Z52" s="53">
        <f>IF(Z$2&gt;Assumptions!$B$25,Assumptions!$B$22*Z46,MAX(Assumptions!$B$19*(1+Assumptions!$B$21)^(Z$2-2027)*Assumptions!$B$38,Assumptions!$B$22*Z46))</f>
        <v>0.04011737271500801</v>
      </c>
    </row>
    <row r="53">
      <c r="A53" s="13" t="inlineStr">
        <is>
          <t>Total G&amp;A incl. SG&amp;A</t>
        </is>
      </c>
      <c r="C53" s="53">
        <f>C51+C52</f>
        <v>278.0156</v>
      </c>
      <c r="D53" s="53">
        <f>D51+D52</f>
        <v>295.0426</v>
      </c>
      <c r="E53" s="53">
        <f>E51+E52</f>
        <v>318.61571999999995</v>
      </c>
      <c r="F53" s="53">
        <f>F51+F52</f>
        <v>380.23724000000004</v>
      </c>
      <c r="G53" s="53">
        <f>G51+G52</f>
        <v>450.59274999999997</v>
      </c>
      <c r="H53" s="53">
        <f>H51+H52</f>
        <v>493.1075000000001</v>
      </c>
      <c r="I53" s="53">
        <f>I51+I52</f>
        <v>538.0815</v>
      </c>
      <c r="J53" s="53">
        <f>J51+J52</f>
        <v>565.4838000000001</v>
      </c>
      <c r="K53" s="53">
        <f>K51+K52</f>
        <v>593.37925</v>
      </c>
      <c r="L53" s="53">
        <f>L51+L52</f>
        <v>617.241</v>
      </c>
      <c r="M53" s="53">
        <f>M51+M52</f>
        <v>366.97</v>
      </c>
      <c r="N53" s="53">
        <f>N51+N52</f>
        <v>261.50800000000004</v>
      </c>
      <c r="O53" s="53">
        <f>O51+O52</f>
        <v>219.32319999999999</v>
      </c>
      <c r="P53" s="53">
        <f>P51+P52</f>
        <v>202.44928000000002</v>
      </c>
      <c r="Q53" s="53">
        <f>Q51+Q52</f>
        <v>195.699712</v>
      </c>
      <c r="R53" s="53">
        <f>R51+R52</f>
        <v>125.79988479999999</v>
      </c>
      <c r="S53" s="53">
        <f>S51+S52</f>
        <v>97.83995392</v>
      </c>
      <c r="T53" s="53">
        <f>T51+T52</f>
        <v>39.135981568000005</v>
      </c>
      <c r="U53" s="53">
        <f>U51+U52</f>
        <v>15.6543926272</v>
      </c>
      <c r="V53" s="53">
        <f>V51+V52</f>
        <v>6.261757050880001</v>
      </c>
      <c r="W53" s="53">
        <f>W51+W52</f>
        <v>2.5047028203520005</v>
      </c>
      <c r="X53" s="53">
        <f>X51+X52</f>
        <v>1.0018811281408002</v>
      </c>
      <c r="Y53" s="53">
        <f>Y51+Y52</f>
        <v>0.4007524512563201</v>
      </c>
      <c r="Z53" s="53">
        <f>Z51+Z52</f>
        <v>0.16030098050252806</v>
      </c>
    </row>
    <row r="54">
      <c r="A54" s="22" t="inlineStr">
        <is>
          <t>Operating income (EBIT)</t>
        </is>
      </c>
      <c r="C54" s="65">
        <f>C46-C47-C50-C53</f>
        <v>-210.82711999999998</v>
      </c>
      <c r="D54" s="65">
        <f>D46-D47-D50-D53</f>
        <v>-120.89623999999998</v>
      </c>
      <c r="E54" s="65">
        <f>E46-E47-E50-E53</f>
        <v>10.656519999999944</v>
      </c>
      <c r="F54" s="65">
        <f>F46-F47-F50-F53</f>
        <v>229.35101999999995</v>
      </c>
      <c r="G54" s="65">
        <f>G46-G47-G50-G53</f>
        <v>394.45274999999987</v>
      </c>
      <c r="H54" s="65">
        <f>H46-H47-H50-H53</f>
        <v>448.8169999999998</v>
      </c>
      <c r="I54" s="65">
        <f>I46-I47-I50-I53</f>
        <v>505.1909999999998</v>
      </c>
      <c r="J54" s="65">
        <f>J46-J47-J50-J53</f>
        <v>556.3705999999999</v>
      </c>
      <c r="K54" s="65">
        <f>K46-K47-K50-K53</f>
        <v>592.32105</v>
      </c>
      <c r="L54" s="65">
        <f>L46-L47-L50-L53</f>
        <v>609.6708000000001</v>
      </c>
      <c r="M54" s="65">
        <f>M46-M47-M50-M53</f>
        <v>279.0530517180581</v>
      </c>
      <c r="N54" s="65">
        <f>N46-N47-N50-N53</f>
        <v>207.4031999999999</v>
      </c>
      <c r="O54" s="65">
        <f>O46-O47-O50-O53</f>
        <v>160.39727999999997</v>
      </c>
      <c r="P54" s="65">
        <f>P46-P47-P50-P53</f>
        <v>141.594912</v>
      </c>
      <c r="Q54" s="65">
        <f>Q46-Q47-Q50-Q53</f>
        <v>134.07396479999997</v>
      </c>
      <c r="R54" s="65">
        <f>R46-R47-R50-R53</f>
        <v>85.70558591999999</v>
      </c>
      <c r="S54" s="65">
        <f>S46-S47-S50-S53</f>
        <v>66.35823436799998</v>
      </c>
      <c r="T54" s="65">
        <f>T46-T47-T50-T53</f>
        <v>26.543293747199996</v>
      </c>
      <c r="U54" s="65">
        <f>U46-U47-U50-U53</f>
        <v>10.617317498879999</v>
      </c>
      <c r="V54" s="65">
        <f>V46-V47-V50-V53</f>
        <v>4.246926999552</v>
      </c>
      <c r="W54" s="65">
        <f>W46-W47-W50-W53</f>
        <v>1.6987707998207995</v>
      </c>
      <c r="X54" s="65">
        <f>X46-X47-X50-X53</f>
        <v>0.6795083199283201</v>
      </c>
      <c r="Y54" s="65">
        <f>Y46-Y47-Y50-Y53</f>
        <v>0.2718033279713279</v>
      </c>
      <c r="Z54" s="65">
        <f>Z46-Z47-Z50-Z53</f>
        <v>0.10872133118853117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style="9" min="1" max="1"/>
    <col width="12" customWidth="1" style="9" min="2" max="2"/>
    <col width="12" customWidth="1" style="9" min="3" max="3"/>
    <col width="9" customWidth="1" style="9" min="4" max="4"/>
    <col width="9" customWidth="1" style="9" min="5" max="5"/>
    <col width="9" customWidth="1" style="9" min="6" max="6"/>
    <col width="9" customWidth="1" style="9" min="7" max="7"/>
    <col width="9" customWidth="1" style="9" min="8" max="8"/>
    <col width="9" customWidth="1" style="9" min="9" max="9"/>
    <col width="9" customWidth="1" style="9" min="10" max="10"/>
    <col width="9" customWidth="1" style="9" min="11" max="11"/>
    <col width="9" customWidth="1" style="9" min="12" max="12"/>
    <col width="9" customWidth="1" style="9" min="13" max="13"/>
    <col width="9" customWidth="1" style="9" min="14" max="14"/>
    <col width="9" customWidth="1" style="9" min="15" max="15"/>
    <col width="9" customWidth="1" style="9" min="16" max="16"/>
    <col width="9" customWidth="1" style="9" min="17" max="17"/>
    <col width="9" customWidth="1" style="9" min="18" max="18"/>
    <col width="9" customWidth="1" style="9" min="19" max="19"/>
    <col width="9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9" customWidth="1" style="9" min="26" max="26"/>
    <col width="9" customWidth="1" style="9" min="27" max="27"/>
  </cols>
  <sheetData>
    <row r="1">
      <c r="A1" s="23" t="inlineStr">
        <is>
          <t>AGIO — risk-adjusted NPV (rNPV), $mm except per share</t>
        </is>
      </c>
    </row>
    <row r="3">
      <c r="A3" s="13" t="inlineStr">
        <is>
          <t>Scenario</t>
        </is>
      </c>
      <c r="B3" s="66" t="str">
        <f>Assumptions!$C$4</f>
        <v>Base</v>
      </c>
    </row>
    <row r="4">
      <c r="A4" s="13" t="inlineStr">
        <is>
          <t>Valuation date</t>
        </is>
      </c>
      <c r="B4" s="67">
        <f>Assumptions!$B$13</f>
        <v>46311</v>
      </c>
    </row>
    <row r="5">
      <c r="A5" s="13" t="inlineStr">
        <is>
          <t>Discount rate</t>
        </is>
      </c>
      <c r="B5" s="68">
        <f>Assumptions!$B$14</f>
        <v>0.11</v>
      </c>
    </row>
    <row r="7">
      <c r="A7" s="28" t="inlineStr">
        <is>
          <t>Period</t>
        </is>
      </c>
      <c r="B7" s="69" t="inlineStr"/>
      <c r="C7" s="70" t="inlineStr">
        <is>
          <t>2H 2026</t>
        </is>
      </c>
      <c r="D7" s="28" t="n">
        <v>2027</v>
      </c>
      <c r="E7" s="28" t="n">
        <v>2028</v>
      </c>
      <c r="F7" s="28" t="n">
        <v>2029</v>
      </c>
      <c r="G7" s="28" t="n">
        <v>2030</v>
      </c>
      <c r="H7" s="28" t="n">
        <v>2031</v>
      </c>
      <c r="I7" s="28" t="n">
        <v>2032</v>
      </c>
      <c r="J7" s="28" t="n">
        <v>2033</v>
      </c>
      <c r="K7" s="28" t="n">
        <v>2034</v>
      </c>
      <c r="L7" s="28" t="n">
        <v>2035</v>
      </c>
      <c r="M7" s="28" t="n">
        <v>2036</v>
      </c>
      <c r="N7" s="28" t="n">
        <v>2037</v>
      </c>
      <c r="O7" s="28" t="n">
        <v>2038</v>
      </c>
      <c r="P7" s="28" t="n">
        <v>2039</v>
      </c>
      <c r="Q7" s="28" t="n">
        <v>2040</v>
      </c>
      <c r="R7" s="28" t="n">
        <v>2041</v>
      </c>
      <c r="S7" s="28" t="n">
        <v>2042</v>
      </c>
      <c r="T7" s="28" t="n">
        <v>2043</v>
      </c>
      <c r="U7" s="28" t="n">
        <v>2044</v>
      </c>
      <c r="V7" s="28" t="n">
        <v>2045</v>
      </c>
      <c r="W7" s="28" t="n">
        <v>2046</v>
      </c>
      <c r="X7" s="28" t="n">
        <v>2047</v>
      </c>
      <c r="Y7" s="28" t="n">
        <v>2048</v>
      </c>
      <c r="Z7" s="28" t="n">
        <v>2049</v>
      </c>
      <c r="AA7" s="28" t="n">
        <v>2050</v>
      </c>
    </row>
    <row r="8">
      <c r="A8" s="13" t="inlineStr">
        <is>
          <t>Revenue, risk-adjusted</t>
        </is>
      </c>
      <c r="C8" s="53">
        <f>SUM('Quarterly Model'!H2:I2)</f>
        <v>140.0</v>
      </c>
      <c r="D8" s="71">
        <f>'Yearly Model'!H2</f>
        <v>353.392</v>
      </c>
      <c r="E8" s="71">
        <f>'Yearly Model'!I2</f>
        <v>520.794</v>
      </c>
      <c r="F8" s="71">
        <f>'Yearly Model'!J2</f>
        <v>707.6959999999999</v>
      </c>
      <c r="G8" s="71">
        <f>'Yearly Model'!K2</f>
        <v>906.1479999999999</v>
      </c>
      <c r="H8" s="71">
        <f>'Yearly Model'!L2</f>
        <v>1146.475</v>
      </c>
      <c r="I8" s="71">
        <f>'Yearly Model'!M2</f>
        <v>1284.175</v>
      </c>
      <c r="J8" s="71">
        <f>'Yearly Model'!N2</f>
        <v>1430.175</v>
      </c>
      <c r="K8" s="71">
        <f>'Yearly Model'!O2</f>
        <v>1545.41</v>
      </c>
      <c r="L8" s="71">
        <f>'Yearly Model'!P2</f>
        <v>1639.375</v>
      </c>
      <c r="M8" s="71">
        <f>'Yearly Model'!Q2</f>
        <v>1700.0400000000002</v>
      </c>
      <c r="N8" s="71">
        <f>'Yearly Model'!R2</f>
        <v>980.2</v>
      </c>
      <c r="O8" s="71">
        <f>'Yearly Model'!S2</f>
        <v>678.88</v>
      </c>
      <c r="P8" s="71">
        <f>'Yearly Model'!T2</f>
        <v>558.352</v>
      </c>
      <c r="Q8" s="71">
        <f>'Yearly Model'!U2</f>
        <v>510.1408</v>
      </c>
      <c r="R8" s="71">
        <f>'Yearly Model'!V2</f>
        <v>490.85632</v>
      </c>
      <c r="S8" s="71">
        <f>'Yearly Model'!W2</f>
        <v>315.14252799999997</v>
      </c>
      <c r="T8" s="71">
        <f>'Yearly Model'!X2</f>
        <v>244.8570112</v>
      </c>
      <c r="U8" s="71">
        <f>'Yearly Model'!Y2</f>
        <v>97.94280448</v>
      </c>
      <c r="V8" s="71">
        <f>'Yearly Model'!Z2</f>
        <v>39.177121792</v>
      </c>
      <c r="W8" s="71">
        <f>'Yearly Model'!AA2</f>
        <v>15.670848716800002</v>
      </c>
      <c r="X8" s="71">
        <f>'Yearly Model'!AB2</f>
        <v>6.26833948672</v>
      </c>
      <c r="Y8" s="71">
        <f>'Yearly Model'!AC2</f>
        <v>2.5073357946880006</v>
      </c>
      <c r="Z8" s="71">
        <f>'Yearly Model'!AD2</f>
        <v>1.0029343178752002</v>
      </c>
      <c r="AA8" s="71">
        <f>'Yearly Model'!AE2</f>
        <v>0.40117372715008004</v>
      </c>
    </row>
    <row r="9">
      <c r="A9" s="13" t="inlineStr">
        <is>
          <t>Operating income (EBIT)</t>
        </is>
      </c>
      <c r="C9" s="53">
        <f>SUM('Quarterly Model'!H8:I8)</f>
        <v>-145.4</v>
      </c>
      <c r="D9" s="71">
        <f>'Yearly Model'!H8</f>
        <v>-210.82711999999992</v>
      </c>
      <c r="E9" s="71">
        <f>'Yearly Model'!I8</f>
        <v>-120.89623999999998</v>
      </c>
      <c r="F9" s="71">
        <f>'Yearly Model'!J8</f>
        <v>10.656519999999887</v>
      </c>
      <c r="G9" s="71">
        <f>'Yearly Model'!K8</f>
        <v>229.35101999999983</v>
      </c>
      <c r="H9" s="71">
        <f>'Yearly Model'!L8</f>
        <v>394.4527499999998</v>
      </c>
      <c r="I9" s="71">
        <f>'Yearly Model'!M8</f>
        <v>448.8169999999998</v>
      </c>
      <c r="J9" s="71">
        <f>'Yearly Model'!N8</f>
        <v>505.1909999999998</v>
      </c>
      <c r="K9" s="71">
        <f>'Yearly Model'!O8</f>
        <v>556.3706</v>
      </c>
      <c r="L9" s="71">
        <f>'Yearly Model'!P8</f>
        <v>592.32105</v>
      </c>
      <c r="M9" s="71">
        <f>'Yearly Model'!Q8</f>
        <v>609.6708000000001</v>
      </c>
      <c r="N9" s="71">
        <f>'Yearly Model'!R8</f>
        <v>279.0530517180581</v>
      </c>
      <c r="O9" s="71">
        <f>'Yearly Model'!S8</f>
        <v>207.4031999999999</v>
      </c>
      <c r="P9" s="71">
        <f>'Yearly Model'!T8</f>
        <v>160.39727999999997</v>
      </c>
      <c r="Q9" s="71">
        <f>'Yearly Model'!U8</f>
        <v>141.59491200000002</v>
      </c>
      <c r="R9" s="71">
        <f>'Yearly Model'!V8</f>
        <v>134.07396479999994</v>
      </c>
      <c r="S9" s="71">
        <f>'Yearly Model'!W8</f>
        <v>85.70558591999998</v>
      </c>
      <c r="T9" s="71">
        <f>'Yearly Model'!X8</f>
        <v>66.35823436799998</v>
      </c>
      <c r="U9" s="71">
        <f>'Yearly Model'!Y8</f>
        <v>26.543293747199996</v>
      </c>
      <c r="V9" s="71">
        <f>'Yearly Model'!Z8</f>
        <v>10.617317498879999</v>
      </c>
      <c r="W9" s="71">
        <f>'Yearly Model'!AA8</f>
        <v>4.2469269995520005</v>
      </c>
      <c r="X9" s="71">
        <f>'Yearly Model'!AB8</f>
        <v>1.6987707998207995</v>
      </c>
      <c r="Y9" s="71">
        <f>'Yearly Model'!AC8</f>
        <v>0.6795083199283201</v>
      </c>
      <c r="Z9" s="71">
        <f>'Yearly Model'!AD8</f>
        <v>0.2718033279713279</v>
      </c>
      <c r="AA9" s="71">
        <f>'Yearly Model'!AE8</f>
        <v>0.10872133118853117</v>
      </c>
    </row>
    <row r="10">
      <c r="A10" s="13" t="inlineStr">
        <is>
          <t>Taxes on EBIT (after tax-loss pool)</t>
        </is>
      </c>
      <c r="C10" s="53" t="n">
        <v>0</v>
      </c>
      <c r="D10" s="53">
        <f>IF(D9&gt;0,MAX(0,D9-'Yearly Model'!G21)*Assumptions!$B$15,0)</f>
        <v>0</v>
      </c>
      <c r="E10" s="53">
        <f>IF(E9&gt;0,MAX(0,E9-'Yearly Model'!H21)*Assumptions!$B$15,0)</f>
        <v>0</v>
      </c>
      <c r="F10" s="53">
        <f>IF(F9&gt;0,MAX(0,F9-'Yearly Model'!I21)*Assumptions!$B$15,0)</f>
        <v>0.0</v>
      </c>
      <c r="G10" s="53">
        <f>IF(G9&gt;0,MAX(0,G9-'Yearly Model'!J21)*Assumptions!$B$15,0)</f>
        <v>0.0</v>
      </c>
      <c r="H10" s="53">
        <f>IF(H9&gt;0,MAX(0,H9-'Yearly Model'!K21)*Assumptions!$B$15,0)</f>
        <v>0.0</v>
      </c>
      <c r="I10" s="53">
        <f>IF(I9&gt;0,MAX(0,I9-'Yearly Model'!L21)*Assumptions!$B$15,0)</f>
        <v>0.0</v>
      </c>
      <c r="J10" s="53">
        <f>IF(J9&gt;0,MAX(0,J9-'Yearly Model'!M21)*Assumptions!$B$15,0)</f>
        <v>106.09010999999995</v>
      </c>
      <c r="K10" s="53">
        <f>IF(K9&gt;0,MAX(0,K9-'Yearly Model'!N21)*Assumptions!$B$15,0)</f>
        <v>116.83782599999999</v>
      </c>
      <c r="L10" s="53">
        <f>IF(L9&gt;0,MAX(0,L9-'Yearly Model'!O21)*Assumptions!$B$15,0)</f>
        <v>124.3874205</v>
      </c>
      <c r="M10" s="53">
        <f>IF(M9&gt;0,MAX(0,M9-'Yearly Model'!P21)*Assumptions!$B$15,0)</f>
        <v>128.03086800000003</v>
      </c>
      <c r="N10" s="53">
        <f>IF(N9&gt;0,MAX(0,N9-'Yearly Model'!Q21)*Assumptions!$B$15,0)</f>
        <v>58.6011408607922</v>
      </c>
      <c r="O10" s="53">
        <f>IF(O9&gt;0,MAX(0,O9-'Yearly Model'!R21)*Assumptions!$B$15,0)</f>
        <v>43.55467199999998</v>
      </c>
      <c r="P10" s="53">
        <f>IF(P9&gt;0,MAX(0,P9-'Yearly Model'!S21)*Assumptions!$B$15,0)</f>
        <v>33.683428799999994</v>
      </c>
      <c r="Q10" s="53">
        <f>IF(Q9&gt;0,MAX(0,Q9-'Yearly Model'!T21)*Assumptions!$B$15,0)</f>
        <v>29.734931520000004</v>
      </c>
      <c r="R10" s="53">
        <f>IF(R9&gt;0,MAX(0,R9-'Yearly Model'!U21)*Assumptions!$B$15,0)</f>
        <v>28.155532607999987</v>
      </c>
      <c r="S10" s="53">
        <f>IF(S9&gt;0,MAX(0,S9-'Yearly Model'!V21)*Assumptions!$B$15,0)</f>
        <v>17.998173043199994</v>
      </c>
      <c r="T10" s="53">
        <f>IF(T9&gt;0,MAX(0,T9-'Yearly Model'!W21)*Assumptions!$B$15,0)</f>
        <v>13.935229217279996</v>
      </c>
      <c r="U10" s="53">
        <f>IF(U9&gt;0,MAX(0,U9-'Yearly Model'!X21)*Assumptions!$B$15,0)</f>
        <v>5.574091686911999</v>
      </c>
      <c r="V10" s="53">
        <f>IF(V9&gt;0,MAX(0,V9-'Yearly Model'!Y21)*Assumptions!$B$15,0)</f>
        <v>2.2296366747647998</v>
      </c>
      <c r="W10" s="53">
        <f>IF(W9&gt;0,MAX(0,W9-'Yearly Model'!Z21)*Assumptions!$B$15,0)</f>
        <v>0.8918546699059201</v>
      </c>
      <c r="X10" s="53">
        <f>IF(X9&gt;0,MAX(0,X9-'Yearly Model'!AA21)*Assumptions!$B$15,0)</f>
        <v>0.3567418679623679</v>
      </c>
      <c r="Y10" s="53">
        <f>IF(Y9&gt;0,MAX(0,Y9-'Yearly Model'!AB21)*Assumptions!$B$15,0)</f>
        <v>0.1426967471849472</v>
      </c>
      <c r="Z10" s="53">
        <f>IF(Z9&gt;0,MAX(0,Z9-'Yearly Model'!AC21)*Assumptions!$B$15,0)</f>
        <v>0.05707869887397885</v>
      </c>
      <c r="AA10" s="53">
        <f>IF(AA9&gt;0,MAX(0,AA9-'Yearly Model'!AD21)*Assumptions!$B$15,0)</f>
        <v>0.022831479549591544</v>
      </c>
    </row>
    <row r="11">
      <c r="A11" s="22" t="inlineStr">
        <is>
          <t>Unlevered free cash flow</t>
        </is>
      </c>
      <c r="C11" s="57">
        <f>C9-C10</f>
        <v>-145.4</v>
      </c>
      <c r="D11" s="57">
        <f>D9-D10</f>
        <v>-210.82711999999992</v>
      </c>
      <c r="E11" s="57">
        <f>E9-E10</f>
        <v>-120.89623999999998</v>
      </c>
      <c r="F11" s="57">
        <f>F9-F10</f>
        <v>10.656519999999887</v>
      </c>
      <c r="G11" s="57">
        <f>G9-G10</f>
        <v>229.35101999999983</v>
      </c>
      <c r="H11" s="57">
        <f>H9-H10</f>
        <v>394.4527499999998</v>
      </c>
      <c r="I11" s="57">
        <f>I9-I10</f>
        <v>448.8169999999998</v>
      </c>
      <c r="J11" s="57">
        <f>J9-J10</f>
        <v>399.1008899999998</v>
      </c>
      <c r="K11" s="57">
        <f>K9-K10</f>
        <v>439.53277399999996</v>
      </c>
      <c r="L11" s="57">
        <f>L9-L10</f>
        <v>467.9336295</v>
      </c>
      <c r="M11" s="57">
        <f>M9-M10</f>
        <v>481.63993200000004</v>
      </c>
      <c r="N11" s="57">
        <f>N9-N10</f>
        <v>220.4519108572659</v>
      </c>
      <c r="O11" s="57">
        <f>O9-O10</f>
        <v>163.84852799999993</v>
      </c>
      <c r="P11" s="57">
        <f>P9-P10</f>
        <v>126.71385119999997</v>
      </c>
      <c r="Q11" s="57">
        <f>Q9-Q10</f>
        <v>111.85998048000002</v>
      </c>
      <c r="R11" s="57">
        <f>R9-R10</f>
        <v>105.91843219199995</v>
      </c>
      <c r="S11" s="57">
        <f>S9-S10</f>
        <v>67.70741287679998</v>
      </c>
      <c r="T11" s="57">
        <f>T9-T10</f>
        <v>52.42300515071999</v>
      </c>
      <c r="U11" s="57">
        <f>U9-U10</f>
        <v>20.969202060287998</v>
      </c>
      <c r="V11" s="57">
        <f>V9-V10</f>
        <v>8.387680824115199</v>
      </c>
      <c r="W11" s="57">
        <f>W9-W10</f>
        <v>3.3550723296460805</v>
      </c>
      <c r="X11" s="57">
        <f>X9-X10</f>
        <v>1.3420289318584315</v>
      </c>
      <c r="Y11" s="57">
        <f>Y9-Y10</f>
        <v>0.5368115727433729</v>
      </c>
      <c r="Z11" s="57">
        <f>Z9-Z10</f>
        <v>0.21472462909734905</v>
      </c>
      <c r="AA11" s="57">
        <f>AA9-AA10</f>
        <v>0.08588985163893963</v>
      </c>
    </row>
    <row r="12">
      <c r="A12" s="13" t="inlineStr">
        <is>
          <t>Cash-flow date (mid-period)</t>
        </is>
      </c>
      <c r="C12" s="72">
        <f>DATE(2026,10,1)</f>
        <v>46296</v>
      </c>
      <c r="D12" s="72">
        <f>DATE(D7,7,1)</f>
        <v>46569</v>
      </c>
      <c r="E12" s="72">
        <f>DATE(E7,7,1)</f>
        <v>46935</v>
      </c>
      <c r="F12" s="72">
        <f>DATE(F7,7,1)</f>
        <v>47300</v>
      </c>
      <c r="G12" s="72">
        <f>DATE(G7,7,1)</f>
        <v>47665</v>
      </c>
      <c r="H12" s="72">
        <f>DATE(H7,7,1)</f>
        <v>48030</v>
      </c>
      <c r="I12" s="72">
        <f>DATE(I7,7,1)</f>
        <v>48396</v>
      </c>
      <c r="J12" s="72">
        <f>DATE(J7,7,1)</f>
        <v>48761</v>
      </c>
      <c r="K12" s="72">
        <f>DATE(K7,7,1)</f>
        <v>49126</v>
      </c>
      <c r="L12" s="72">
        <f>DATE(L7,7,1)</f>
        <v>49491</v>
      </c>
      <c r="M12" s="72">
        <f>DATE(M7,7,1)</f>
        <v>49857</v>
      </c>
      <c r="N12" s="72">
        <f>DATE(N7,7,1)</f>
        <v>50222</v>
      </c>
      <c r="O12" s="72">
        <f>DATE(O7,7,1)</f>
        <v>50587</v>
      </c>
      <c r="P12" s="72">
        <f>DATE(P7,7,1)</f>
        <v>50952</v>
      </c>
      <c r="Q12" s="72">
        <f>DATE(Q7,7,1)</f>
        <v>51318</v>
      </c>
      <c r="R12" s="72">
        <f>DATE(R7,7,1)</f>
        <v>51683</v>
      </c>
      <c r="S12" s="72">
        <f>DATE(S7,7,1)</f>
        <v>52048</v>
      </c>
      <c r="T12" s="72">
        <f>DATE(T7,7,1)</f>
        <v>52413</v>
      </c>
      <c r="U12" s="72">
        <f>DATE(U7,7,1)</f>
        <v>52779</v>
      </c>
      <c r="V12" s="72">
        <f>DATE(V7,7,1)</f>
        <v>53144</v>
      </c>
      <c r="W12" s="72">
        <f>DATE(W7,7,1)</f>
        <v>53509</v>
      </c>
      <c r="X12" s="72">
        <f>DATE(X7,7,1)</f>
        <v>53874</v>
      </c>
      <c r="Y12" s="72">
        <f>DATE(Y7,7,1)</f>
        <v>54240</v>
      </c>
      <c r="Z12" s="72">
        <f>DATE(Z7,7,1)</f>
        <v>54605</v>
      </c>
      <c r="AA12" s="72">
        <f>DATE(AA7,7,1)</f>
        <v>54970</v>
      </c>
    </row>
    <row r="13">
      <c r="A13" s="13" t="inlineStr">
        <is>
          <t>Years from valuation date</t>
        </is>
      </c>
      <c r="C13" s="11">
        <f>MAX(0,(C12-$B$4)/365.25)</f>
        <v>0</v>
      </c>
      <c r="D13" s="11">
        <f>MAX(0,(D12-$B$4)/365.25)</f>
        <v>0.7063655030800822</v>
      </c>
      <c r="E13" s="11">
        <f>MAX(0,(E12-$B$4)/365.25)</f>
        <v>1.7084188911704312</v>
      </c>
      <c r="F13" s="11">
        <f>MAX(0,(F12-$B$4)/365.25)</f>
        <v>2.707734428473648</v>
      </c>
      <c r="G13" s="11">
        <f>MAX(0,(G12-$B$4)/365.25)</f>
        <v>3.707049965776865</v>
      </c>
      <c r="H13" s="11">
        <f>MAX(0,(H12-$B$4)/365.25)</f>
        <v>4.706365503080082</v>
      </c>
      <c r="I13" s="11">
        <f>MAX(0,(I12-$B$4)/365.25)</f>
        <v>5.708418891170431</v>
      </c>
      <c r="J13" s="11">
        <f>MAX(0,(J12-$B$4)/365.25)</f>
        <v>6.707734428473648</v>
      </c>
      <c r="K13" s="11">
        <f>MAX(0,(K12-$B$4)/365.25)</f>
        <v>7.707049965776865</v>
      </c>
      <c r="L13" s="11">
        <f>MAX(0,(L12-$B$4)/365.25)</f>
        <v>8.706365503080082</v>
      </c>
      <c r="M13" s="11">
        <f>MAX(0,(M12-$B$4)/365.25)</f>
        <v>9.708418891170432</v>
      </c>
      <c r="N13" s="11">
        <f>MAX(0,(N12-$B$4)/365.25)</f>
        <v>10.707734428473648</v>
      </c>
      <c r="O13" s="11">
        <f>MAX(0,(O12-$B$4)/365.25)</f>
        <v>11.707049965776864</v>
      </c>
      <c r="P13" s="11">
        <f>MAX(0,(P12-$B$4)/365.25)</f>
        <v>12.706365503080082</v>
      </c>
      <c r="Q13" s="11">
        <f>MAX(0,(Q12-$B$4)/365.25)</f>
        <v>13.708418891170432</v>
      </c>
      <c r="R13" s="11">
        <f>MAX(0,(R12-$B$4)/365.25)</f>
        <v>14.707734428473648</v>
      </c>
      <c r="S13" s="11">
        <f>MAX(0,(S12-$B$4)/365.25)</f>
        <v>15.707049965776864</v>
      </c>
      <c r="T13" s="11">
        <f>MAX(0,(T12-$B$4)/365.25)</f>
        <v>16.706365503080082</v>
      </c>
      <c r="U13" s="11">
        <f>MAX(0,(U12-$B$4)/365.25)</f>
        <v>17.70841889117043</v>
      </c>
      <c r="V13" s="11">
        <f>MAX(0,(V12-$B$4)/365.25)</f>
        <v>18.70773442847365</v>
      </c>
      <c r="W13" s="11">
        <f>MAX(0,(W12-$B$4)/365.25)</f>
        <v>19.707049965776864</v>
      </c>
      <c r="X13" s="11">
        <f>MAX(0,(X12-$B$4)/365.25)</f>
        <v>20.706365503080082</v>
      </c>
      <c r="Y13" s="11">
        <f>MAX(0,(Y12-$B$4)/365.25)</f>
        <v>21.70841889117043</v>
      </c>
      <c r="Z13" s="11">
        <f>MAX(0,(Z12-$B$4)/365.25)</f>
        <v>22.70773442847365</v>
      </c>
      <c r="AA13" s="11">
        <f>MAX(0,(AA12-$B$4)/365.25)</f>
        <v>23.707049965776864</v>
      </c>
    </row>
    <row r="14">
      <c r="A14" s="13" t="inlineStr">
        <is>
          <t>Discount factor</t>
        </is>
      </c>
      <c r="C14" s="73">
        <f>1/(1+$B$5)^C13</f>
        <v>1.0</v>
      </c>
      <c r="D14" s="73">
        <f>1/(1+$B$5)^D13</f>
        <v>0.9289351816972986</v>
      </c>
      <c r="E14" s="73">
        <f>1/(1+$B$5)^E13</f>
        <v>0.8366992252310619</v>
      </c>
      <c r="F14" s="73">
        <f>1/(1+$B$5)^F13</f>
        <v>0.7538369308478127</v>
      </c>
      <c r="G14" s="73">
        <f>1/(1+$B$5)^G13</f>
        <v>0.679180882656031</v>
      </c>
      <c r="H14" s="73">
        <f>1/(1+$B$5)^H13</f>
        <v>0.6119183771570241</v>
      </c>
      <c r="I14" s="73">
        <f>1/(1+$B$5)^I13</f>
        <v>0.5511596957028242</v>
      </c>
      <c r="J14" s="73">
        <f>1/(1+$B$5)^J13</f>
        <v>0.49657573580385667</v>
      </c>
      <c r="K14" s="73">
        <f>1/(1+$B$5)^K13</f>
        <v>0.4473974844526683</v>
      </c>
      <c r="L14" s="73">
        <f>1/(1+$B$5)^L13</f>
        <v>0.40308958868187406</v>
      </c>
      <c r="M14" s="73">
        <f>1/(1+$B$5)^M13</f>
        <v>0.3630659632597832</v>
      </c>
      <c r="N14" s="73">
        <f>1/(1+$B$5)^N13</f>
        <v>0.32710981818284474</v>
      </c>
      <c r="O14" s="73">
        <f>1/(1+$B$5)^O13</f>
        <v>0.29471458076352874</v>
      </c>
      <c r="P14" s="73">
        <f>1/(1+$B$5)^P13</f>
        <v>0.2655275974201183</v>
      </c>
      <c r="Q14" s="73">
        <f>1/(1+$B$5)^Q13</f>
        <v>0.2391627956570098</v>
      </c>
      <c r="R14" s="73">
        <f>1/(1+$B$5)^R13</f>
        <v>0.21547736918397917</v>
      </c>
      <c r="S14" s="73">
        <f>1/(1+$B$5)^S13</f>
        <v>0.1941376228810946</v>
      </c>
      <c r="T14" s="73">
        <f>1/(1+$B$5)^T13</f>
        <v>0.17491125291093593</v>
      </c>
      <c r="U14" s="73">
        <f>1/(1+$B$5)^U13</f>
        <v>0.15754394136238364</v>
      </c>
      <c r="V14" s="73">
        <f>1/(1+$B$5)^V13</f>
        <v>0.14194161730876437</v>
      </c>
      <c r="W14" s="73">
        <f>1/(1+$B$5)^W13</f>
        <v>0.12788446543865808</v>
      </c>
      <c r="X14" s="73">
        <f>1/(1+$B$5)^X13</f>
        <v>0.11521946001894331</v>
      </c>
      <c r="Y14" s="73">
        <f>1/(1+$B$5)^Y13</f>
        <v>0.10377907396428576</v>
      </c>
      <c r="Z14" s="73">
        <f>1/(1+$B$5)^Z13</f>
        <v>0.09350133984151916</v>
      </c>
      <c r="AA14" s="73">
        <f>1/(1+$B$5)^AA13</f>
        <v>0.08424145849641984</v>
      </c>
    </row>
    <row r="15">
      <c r="A15" s="22" t="inlineStr">
        <is>
          <t>PV of free cash flow</t>
        </is>
      </c>
      <c r="C15" s="57">
        <f>C11*C14</f>
        <v>-145.4</v>
      </c>
      <c r="D15" s="57">
        <f>D11*D14</f>
        <v>-195.8447290239181</v>
      </c>
      <c r="E15" s="57">
        <f>E11*E14</f>
        <v>-101.1537903413485</v>
      </c>
      <c r="F15" s="57">
        <f>F11*F14</f>
        <v>8.033278330318247</v>
      </c>
      <c r="G15" s="57">
        <f>G11*G14</f>
        <v>155.77082820166092</v>
      </c>
      <c r="H15" s="57">
        <f>H11*H14</f>
        <v>241.37288664512522</v>
      </c>
      <c r="I15" s="57">
        <f>I11*I14</f>
        <v>247.36984114625432</v>
      </c>
      <c r="J15" s="57">
        <f>J11*J14</f>
        <v>198.18381811172398</v>
      </c>
      <c r="K15" s="57">
        <f>K11*K14</f>
        <v>196.64585742210315</v>
      </c>
      <c r="L15" s="57">
        <f>L11*L14</f>
        <v>188.61917424557146</v>
      </c>
      <c r="M15" s="57">
        <f>M11*M14</f>
        <v>174.8670658559565</v>
      </c>
      <c r="N15" s="57">
        <f>N11*N14</f>
        <v>72.11198447858094</v>
      </c>
      <c r="O15" s="57">
        <f>O11*O14</f>
        <v>48.28855023824128</v>
      </c>
      <c r="P15" s="57">
        <f>P11*P14</f>
        <v>33.64602446898636</v>
      </c>
      <c r="Q15" s="57">
        <f>Q11*Q14</f>
        <v>26.75274565373535</v>
      </c>
      <c r="R15" s="57">
        <f>R11*R14</f>
        <v>22.82302511682384</v>
      </c>
      <c r="S15" s="57">
        <f>S11*S14</f>
        <v>13.144556187330762</v>
      </c>
      <c r="T15" s="57">
        <f>T11*T14</f>
        <v>9.16937351226888</v>
      </c>
      <c r="U15" s="57">
        <f>U11*U14</f>
        <v>3.3035707398019865</v>
      </c>
      <c r="V15" s="57">
        <f>V11*V14</f>
        <v>1.1905609816446208</v>
      </c>
      <c r="W15" s="57">
        <f>W11*W14</f>
        <v>0.42906163138482223</v>
      </c>
      <c r="X15" s="57">
        <f>X11*X14</f>
        <v>0.15462784885852776</v>
      </c>
      <c r="Y15" s="57">
        <f>Y11*Y14</f>
        <v>0.055709807912619064</v>
      </c>
      <c r="Z15" s="57">
        <f>Z11*Z14</f>
        <v>0.020077040517575386</v>
      </c>
      <c r="AA15" s="57">
        <f>AA11*AA14</f>
        <v>0.00723548637210539</v>
      </c>
    </row>
    <row r="17">
      <c r="A17" s="30" t="inlineStr">
        <is>
          <t>Valuation summary</t>
        </is>
      </c>
      <c r="B17" s="31" t="n"/>
      <c r="C17" s="31" t="n"/>
    </row>
    <row r="18">
      <c r="A18" s="13" t="inlineStr">
        <is>
          <t>PV of risk-adjusted free cash flows</t>
        </is>
      </c>
      <c r="C18" s="53">
        <f>SUM(C15:AA15)</f>
        <v>1199.561333785907</v>
      </c>
    </row>
    <row r="19">
      <c r="A19" s="13" t="inlineStr">
        <is>
          <t>Cash &amp; investments (Main; incl. post-quarter financing)</t>
        </is>
      </c>
      <c r="C19" s="71">
        <f>Main!C7</f>
        <v>964.827</v>
      </c>
    </row>
    <row r="20">
      <c r="A20" s="13" t="inlineStr">
        <is>
          <t>Debt, convertibles &amp; preferred at face (Main)</t>
        </is>
      </c>
      <c r="C20" s="71">
        <f>Main!C8</f>
        <v>0</v>
      </c>
    </row>
    <row r="21">
      <c r="A21" s="13" t="inlineStr">
        <is>
          <t>Equity value, all claims treated as debt</t>
        </is>
      </c>
      <c r="C21" s="53">
        <f>C18+C19-C20</f>
        <v>2164.388333785907</v>
      </c>
    </row>
    <row r="22">
      <c r="A22" s="13" t="inlineStr">
        <is>
          <t>Basic shares incl. pre-funded / as-converted (Main)</t>
        </is>
      </c>
      <c r="C22" s="74">
        <f>Main!C4</f>
        <v>59.701882</v>
      </c>
    </row>
    <row r="23">
      <c r="A23" s="13" t="inlineStr">
        <is>
          <t>Value / share before conversions</t>
        </is>
      </c>
      <c r="C23" s="54">
        <f>C21/C22</f>
        <v>36.25326809271954</v>
      </c>
    </row>
    <row r="25">
      <c r="A25" s="28" t="inlineStr">
        <is>
          <t>Convertible instruments (converted if value / share before conversions &gt; conversion price)</t>
        </is>
      </c>
      <c r="B25" s="29" t="inlineStr">
        <is>
          <t>Face ($mm)</t>
        </is>
      </c>
      <c r="C25" s="29" t="inlineStr">
        <is>
          <t>Shares (mm)</t>
        </is>
      </c>
      <c r="D25" s="29" t="inlineStr">
        <is>
          <t>Conv. price</t>
        </is>
      </c>
      <c r="E25" s="29" t="inlineStr">
        <is>
          <t>Converted?</t>
        </is>
      </c>
    </row>
    <row r="26">
      <c r="A26" s="13" t="inlineStr">
        <is>
          <t>—</t>
        </is>
      </c>
      <c r="B26" s="64" t="n">
        <v>0</v>
      </c>
      <c r="C26" s="64" t="n">
        <v>0</v>
      </c>
      <c r="D26" s="64" t="n">
        <v>0</v>
      </c>
      <c r="E26" s="75">
        <f>IF(AND(C26&gt;0,$C$23&gt;D26),1,0)</f>
        <v>0</v>
      </c>
    </row>
    <row r="27">
      <c r="A27" s="13" t="inlineStr">
        <is>
          <t>—</t>
        </is>
      </c>
      <c r="B27" s="64" t="n">
        <v>0</v>
      </c>
      <c r="C27" s="64" t="n">
        <v>0</v>
      </c>
      <c r="D27" s="64" t="n">
        <v>0</v>
      </c>
      <c r="E27" s="75">
        <f>IF(AND(C27&gt;0,$C$23&gt;D27),1,0)</f>
        <v>0</v>
      </c>
    </row>
    <row r="28">
      <c r="A28" s="13" t="inlineStr">
        <is>
          <t>—</t>
        </is>
      </c>
      <c r="B28" s="64" t="n">
        <v>0</v>
      </c>
      <c r="C28" s="64" t="n">
        <v>0</v>
      </c>
      <c r="D28" s="64" t="n">
        <v>0</v>
      </c>
      <c r="E28" s="75">
        <f>IF(AND(C28&gt;0,$C$23&gt;D28),1,0)</f>
        <v>0</v>
      </c>
    </row>
    <row r="29">
      <c r="A29" s="13" t="inlineStr">
        <is>
          <t>—</t>
        </is>
      </c>
      <c r="B29" s="64" t="n">
        <v>0</v>
      </c>
      <c r="C29" s="64" t="n">
        <v>0</v>
      </c>
      <c r="D29" s="64" t="n">
        <v>0</v>
      </c>
      <c r="E29" s="75">
        <f>IF(AND(C29&gt;0,$C$23&gt;D29),1,0)</f>
        <v>0</v>
      </c>
    </row>
    <row r="30">
      <c r="A30" s="13" t="inlineStr">
        <is>
          <t>—</t>
        </is>
      </c>
      <c r="B30" s="64" t="n">
        <v>0</v>
      </c>
      <c r="C30" s="64" t="n">
        <v>0</v>
      </c>
      <c r="D30" s="64" t="n">
        <v>0</v>
      </c>
      <c r="E30" s="75">
        <f>IF(AND(C30&gt;0,$C$23&gt;D30),1,0)</f>
        <v>0</v>
      </c>
    </row>
    <row r="31">
      <c r="A31" s="22" t="inlineStr">
        <is>
          <t>Equity value (rNPV) after conversions</t>
        </is>
      </c>
      <c r="C31" s="57">
        <f>C21+SUMPRODUCT(B26:B30,E26:E30)</f>
        <v>2164.388333785907</v>
      </c>
    </row>
    <row r="32">
      <c r="A32" s="13" t="inlineStr">
        <is>
          <t>Shares after conversions (mm)</t>
        </is>
      </c>
      <c r="C32" s="18">
        <f>C22+SUMPRODUCT(C26:C30,E26:E30)</f>
        <v>59.701882</v>
      </c>
    </row>
    <row r="33">
      <c r="A33" s="13" t="inlineStr">
        <is>
          <t>Value / share before options &amp; warrants</t>
        </is>
      </c>
      <c r="C33" s="54">
        <f>C31/C32</f>
        <v>36.25326809271954</v>
      </c>
    </row>
    <row r="35">
      <c r="A35" s="28" t="inlineStr">
        <is>
          <t>Options, warrants &amp; RSUs (treasury-stock method)</t>
        </is>
      </c>
      <c r="B35" s="29" t="inlineStr">
        <is>
          <t>Count (mm)</t>
        </is>
      </c>
      <c r="C35" s="29" t="inlineStr">
        <is>
          <t>Strike</t>
        </is>
      </c>
      <c r="D35" s="29" t="inlineStr">
        <is>
          <t>Dilution (mm)</t>
        </is>
      </c>
    </row>
    <row r="36">
      <c r="A36" s="13" t="inlineStr">
        <is>
          <t>Options</t>
        </is>
      </c>
      <c r="B36" s="76" t="n">
        <v>6.552073</v>
      </c>
      <c r="C36" s="77" t="n">
        <v>38.33</v>
      </c>
      <c r="D36" s="73">
        <f>IF(AND(B36&gt;0,$C$33&gt;C36),B36*(1-C36/$C$33),0)</f>
        <v>0</v>
      </c>
    </row>
    <row r="37">
      <c r="A37" s="13" t="inlineStr">
        <is>
          <t>RSUs / PSUs</t>
        </is>
      </c>
      <c r="B37" s="76" t="n">
        <v>2.248</v>
      </c>
      <c r="C37" s="77" t="n">
        <v>0</v>
      </c>
      <c r="D37" s="73">
        <f>IF(AND(B37&gt;0,$C$33&gt;C37),B37*(1-C37/$C$33),0)</f>
        <v>2.248</v>
      </c>
    </row>
    <row r="38">
      <c r="A38" s="13" t="inlineStr">
        <is>
          <t>—</t>
        </is>
      </c>
      <c r="B38" s="64" t="n">
        <v>0</v>
      </c>
      <c r="C38" s="64" t="n">
        <v>0</v>
      </c>
      <c r="D38" s="73">
        <f>IF(AND(B38&gt;0,$C$33&gt;C38),B38*(1-C38/$C$33),0)</f>
        <v>0</v>
      </c>
    </row>
    <row r="39">
      <c r="A39" s="13" t="inlineStr">
        <is>
          <t>—</t>
        </is>
      </c>
      <c r="B39" s="64" t="n">
        <v>0</v>
      </c>
      <c r="C39" s="64" t="n">
        <v>0</v>
      </c>
      <c r="D39" s="73">
        <f>IF(AND(B39&gt;0,$C$33&gt;C39),B39*(1-C39/$C$33),0)</f>
        <v>0</v>
      </c>
    </row>
    <row r="40">
      <c r="A40" s="13" t="inlineStr">
        <is>
          <t>—</t>
        </is>
      </c>
      <c r="B40" s="64" t="n">
        <v>0</v>
      </c>
      <c r="C40" s="64" t="n">
        <v>0</v>
      </c>
      <c r="D40" s="73">
        <f>IF(AND(B40&gt;0,$C$33&gt;C40),B40*(1-C40/$C$33),0)</f>
        <v>0</v>
      </c>
    </row>
    <row r="41">
      <c r="A41" s="13" t="inlineStr">
        <is>
          <t>—</t>
        </is>
      </c>
      <c r="B41" s="64" t="n">
        <v>0</v>
      </c>
      <c r="C41" s="64" t="n">
        <v>0</v>
      </c>
      <c r="D41" s="73">
        <f>IF(AND(B41&gt;0,$C$33&gt;C41),B41*(1-C41/$C$33),0)</f>
        <v>0</v>
      </c>
    </row>
    <row r="42">
      <c r="A42" s="13" t="inlineStr">
        <is>
          <t>Diluted shares (mm)</t>
        </is>
      </c>
      <c r="C42" s="18">
        <f>C32+SUM(D36:D41)</f>
        <v>61.949881999999995</v>
      </c>
    </row>
    <row r="43">
      <c r="A43" s="22" t="inlineStr">
        <is>
          <t>rNPV / share, diluted</t>
        </is>
      </c>
      <c r="C43" s="78">
        <f>C31/C42</f>
        <v>34.93773133879266</v>
      </c>
    </row>
    <row r="44">
      <c r="A44" s="13" t="inlineStr">
        <is>
          <t>Current price (Main)</t>
        </is>
      </c>
      <c r="C44" s="79">
        <f>Main!C3</f>
        <v>36.64</v>
      </c>
    </row>
    <row r="45">
      <c r="A45" s="22" t="inlineStr">
        <is>
          <t>Upside / (downside) to rNPV</t>
        </is>
      </c>
      <c r="C45" s="59">
        <f>C43/C44-1</f>
        <v>-0.04645929752203448</v>
      </c>
    </row>
    <row r="46">
      <c r="A46" s="13" t="inlineStr">
        <is>
          <t>Net cash / share</t>
        </is>
      </c>
      <c r="C46" s="54">
        <f>(C19-C20)/C22</f>
        <v>16.160746825368086</v>
      </c>
    </row>
    <row r="47">
      <c r="A47" s="13" t="inlineStr">
        <is>
          <t>Est. cash &amp; investments at 12/31/2026</t>
        </is>
      </c>
      <c r="C47" s="71">
        <f>'Quarterly Model'!I20</f>
        <v>836.8830554980469</v>
      </c>
    </row>
    <row r="48">
      <c r="A48" s="13" t="inlineStr">
        <is>
          <t>Liquidation value / share (12/31/2026E cash − debt − wind-down)</t>
        </is>
      </c>
      <c r="C48" s="54">
        <f>MAX(0,C47-C20-Assumptions!$B$27)/C22</f>
        <v>13.347704105844553</v>
      </c>
    </row>
    <row r="49">
      <c r="A49" s="13" t="inlineStr">
        <is>
          <t>Market-implied value of pipeline (market cap − net cash)</t>
        </is>
      </c>
      <c r="C49" s="53">
        <f>Main!C5-(C19-C20)</f>
        <v>1222.64995648</v>
      </c>
    </row>
    <row r="51">
      <c r="A51" s="30" t="inlineStr">
        <is>
          <t>Sum of the parts (PV)</t>
        </is>
      </c>
      <c r="B51" s="80" t="inlineStr">
        <is>
          <t>$mm</t>
        </is>
      </c>
      <c r="C51" s="80" t="inlineStr">
        <is>
          <t>$ / share</t>
        </is>
      </c>
    </row>
    <row r="52">
      <c r="A52" s="13" t="inlineStr">
        <is>
          <t>Mitapivat — thalassemia + PKD (AQVESME / PYRUKYND)</t>
        </is>
      </c>
      <c r="B52" s="53">
        <f>SUMPRODUCT(Pipeline!C11:Z11,$D$14:$AA$14)</f>
        <v>2434.012946647539</v>
      </c>
      <c r="C52" s="54">
        <f>B52/$C$42</f>
        <v>39.290033621816086</v>
      </c>
    </row>
    <row r="53">
      <c r="A53" s="13" t="inlineStr">
        <is>
          <t>Mitapivat — sickle cell disease</t>
        </is>
      </c>
      <c r="B53" s="53">
        <f>SUMPRODUCT(Pipeline!C23:Z23,$D$14:$AA$14)</f>
        <v>1046.5117189818016</v>
      </c>
      <c r="C53" s="54">
        <f>B53/$C$42</f>
        <v>16.892876712530327</v>
      </c>
    </row>
    <row r="54">
      <c r="A54" s="13" t="inlineStr">
        <is>
          <t>Cevidoplenib — immune thrombocytopenia</t>
        </is>
      </c>
      <c r="B54" s="53">
        <f>SUMPRODUCT(Pipeline!C33:Z33,$D$14:$AA$14)</f>
        <v>274.9515335492017</v>
      </c>
      <c r="C54" s="54">
        <f>B54/$C$42</f>
        <v>4.438289867109057</v>
      </c>
    </row>
    <row r="55">
      <c r="A55" s="13" t="inlineStr">
        <is>
          <t>AG-236 — polycythemia vera</t>
        </is>
      </c>
      <c r="B55" s="53">
        <f>SUMPRODUCT(Pipeline!C43:Z43,$D$14:$AA$14)</f>
        <v>244.39991109968204</v>
      </c>
      <c r="C55" s="54">
        <f>B55/$C$42</f>
        <v>3.94512310934962</v>
      </c>
    </row>
    <row r="56">
      <c r="A56" s="13" t="inlineStr">
        <is>
          <t>Corporate G&amp;A + platform R&amp;D (2027+)</t>
        </is>
      </c>
      <c r="B56" s="53">
        <f>-SUMPRODUCT(Pipeline!C49:Z49,$D$14:$AA$14)-SUMPRODUCT(Pipeline!C52:Z52,$D$14:$AA$14)</f>
        <v>-2391.906252500113</v>
      </c>
      <c r="C56" s="54">
        <f>B56/$C$42</f>
        <v>-38.61034396320744</v>
      </c>
    </row>
    <row r="57">
      <c r="A57" s="13" t="inlineStr">
        <is>
          <t>2H 2026 operating result</t>
        </is>
      </c>
      <c r="B57" s="53">
        <f>C11*C14</f>
        <v>-145.4</v>
      </c>
      <c r="C57" s="54">
        <f>B57/$C$42</f>
        <v>-2.347058546455343</v>
      </c>
    </row>
    <row r="58">
      <c r="A58" s="13" t="inlineStr">
        <is>
          <t>Taxes</t>
        </is>
      </c>
      <c r="B58" s="53">
        <f>-SUMPRODUCT(D10:AA10,D14:AA14)</f>
        <v>-263.00852399220395</v>
      </c>
      <c r="C58" s="54">
        <f>B58/$C$42</f>
        <v>-4.245504841997987</v>
      </c>
    </row>
    <row r="59">
      <c r="A59" s="13" t="inlineStr">
        <is>
          <t>Net cash (cash − all claims at face)</t>
        </is>
      </c>
      <c r="B59" s="53">
        <f>C19-C20</f>
        <v>964.827</v>
      </c>
      <c r="C59" s="54">
        <f>B59/$C$42</f>
        <v>15.574315379648343</v>
      </c>
    </row>
    <row r="60">
      <c r="A60" s="13" t="inlineStr">
        <is>
          <t>Add back converted claims</t>
        </is>
      </c>
      <c r="B60" s="53">
        <f>SUMPRODUCT(B26:B30,E26:E30)</f>
        <v>0.0</v>
      </c>
      <c r="C60" s="54">
        <f>B60/$C$42</f>
        <v>0.0</v>
      </c>
    </row>
    <row r="61">
      <c r="A61" s="22" t="inlineStr">
        <is>
          <t>Equity value</t>
        </is>
      </c>
      <c r="B61" s="65">
        <f>SUM(B52:B60)</f>
        <v>2164.3883337859074</v>
      </c>
      <c r="C61" s="81">
        <f>B61/$C$42</f>
        <v>34.937731338792666</v>
      </c>
    </row>
    <row r="62">
      <c r="A62" s="25" t="inlineStr">
        <is>
          <t>Check vs. equity value above (should be 0)</t>
        </is>
      </c>
      <c r="B62" s="82">
        <f>ROUND(B61-C31,6)</f>
        <v>0.0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3"/>
  <sheetViews>
    <sheetView workbookViewId="0">
      <selection activeCell="A1" sqref="A1"/>
    </sheetView>
  </sheetViews>
  <sheetFormatPr baseColWidth="8" defaultRowHeight="15"/>
  <cols>
    <col width="46" customWidth="1" style="9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3" customWidth="1" style="9" min="11" max="11"/>
    <col width="13" customWidth="1" style="9" min="12" max="12"/>
  </cols>
  <sheetData>
    <row r="1">
      <c r="A1" s="23" t="inlineStr">
        <is>
          <t>AGIO — PDUFA options analysis (per contract = 100 shares)</t>
        </is>
      </c>
    </row>
    <row r="3">
      <c r="A3" s="30" t="inlineStr">
        <is>
          <t>Inputs</t>
        </is>
      </c>
      <c r="B3" s="31" t="n"/>
    </row>
    <row r="4">
      <c r="A4" s="13" t="inlineStr">
        <is>
          <t>Spot price (close 10/16/2026)</t>
        </is>
      </c>
      <c r="B4" s="77" t="n">
        <v>31.32</v>
      </c>
    </row>
    <row r="5">
      <c r="A5" s="13" t="inlineStr">
        <is>
          <t>Pricing date</t>
        </is>
      </c>
      <c r="B5" s="83">
        <f>DATE(2026,10,16)</f>
        <v>46311</v>
      </c>
    </row>
    <row r="6">
      <c r="A6" s="13" t="inlineStr">
        <is>
          <t>PDUFA date</t>
        </is>
      </c>
      <c r="B6" s="67">
        <f>Assumptions!$B$30</f>
        <v>46327</v>
      </c>
    </row>
    <row r="7">
      <c r="A7" s="13" t="inlineStr">
        <is>
          <t>Expiry (first monthly after the PDUFA date)</t>
        </is>
      </c>
      <c r="B7" s="83">
        <f>DATE(2026,11,20)</f>
        <v>46346</v>
      </c>
    </row>
    <row r="8">
      <c r="A8" s="13" t="inlineStr">
        <is>
          <t>Years to expiry (T)</t>
        </is>
      </c>
      <c r="B8" s="73">
        <f>(B7-B5)/365</f>
        <v>0.0958904109589041</v>
      </c>
    </row>
    <row r="9">
      <c r="A9" s="13" t="inlineStr">
        <is>
          <t>Risk-free rate</t>
        </is>
      </c>
      <c r="B9" s="84" t="n">
        <v>0.04</v>
      </c>
    </row>
    <row r="10">
      <c r="A10" s="13" t="inlineStr">
        <is>
          <t>Reference IV for wide quotes (theo prices)</t>
        </is>
      </c>
      <c r="B10" s="84" t="n">
        <v>1.0202</v>
      </c>
    </row>
    <row r="11">
      <c r="A11" s="13" t="inlineStr">
        <is>
          <t>Contract multiplier</t>
        </is>
      </c>
      <c r="B11" s="85" t="n">
        <v>100</v>
      </c>
    </row>
    <row r="13">
      <c r="A13" s="30" t="inlineStr">
        <is>
          <t>Event model (two outcomes at the PDUFA)</t>
        </is>
      </c>
      <c r="B13" s="31" t="n"/>
      <c r="C13" s="31" t="n"/>
    </row>
    <row r="14">
      <c r="A14" s="13" t="inlineStr">
        <is>
          <t>Model value / share, probability-weighted</t>
        </is>
      </c>
      <c r="B14" s="79">
        <f>NPV!C43</f>
        <v>34.93773133879266</v>
      </c>
    </row>
    <row r="15">
      <c r="A15" s="13" t="inlineStr">
        <is>
          <t>Model value / share if approved</t>
        </is>
      </c>
      <c r="B15" s="79">
        <f>Assumptions!$D$121</f>
        <v>38.238203305232126</v>
      </c>
    </row>
    <row r="16">
      <c r="A16" s="13" t="inlineStr">
        <is>
          <t>Model value / share if CRL</t>
        </is>
      </c>
      <c r="B16" s="79">
        <f>Assumptions!$D$120</f>
        <v>27.88849738955846</v>
      </c>
    </row>
    <row r="17">
      <c r="A17" s="13" t="inlineStr">
        <is>
          <t>Model probability of approval</t>
        </is>
      </c>
      <c r="B17" s="68">
        <f>Assumptions!$B$32</f>
        <v>0.65</v>
      </c>
    </row>
    <row r="18">
      <c r="A18" s="13" t="inlineStr">
        <is>
          <t>Event-move scale (share of model jump priced at expiry)</t>
        </is>
      </c>
      <c r="B18" s="26" t="n">
        <v>1</v>
      </c>
    </row>
    <row r="19">
      <c r="A19" s="13" t="inlineStr">
        <is>
          <t>Floor after a CRL, % of est. 12/31/2026 net cash / share</t>
        </is>
      </c>
      <c r="B19" s="26" t="n">
        <v>0.5</v>
      </c>
    </row>
    <row r="20">
      <c r="A20" s="13" t="inlineStr">
        <is>
          <t>Floor price after a CRL</t>
        </is>
      </c>
      <c r="B20" s="54">
        <f>MAX(0,B19*(NPV!C47-NPV!C20)/NPV!C22)</f>
        <v>7.008849867564032</v>
      </c>
    </row>
    <row r="21">
      <c r="A21" s="22" t="inlineStr">
        <is>
          <t>Price if approved (center of outcome)</t>
        </is>
      </c>
      <c r="B21" s="58">
        <f>IF(B14&gt;0,B4*(1+B18*(B15/B14-1)),B4+B18*(B15-B14))</f>
        <v>34.2787147770556</v>
      </c>
    </row>
    <row r="22">
      <c r="A22" s="22" t="inlineStr">
        <is>
          <t>Price if CRL (center of outcome)</t>
        </is>
      </c>
      <c r="B22" s="58">
        <f>MAX(B20,IF(B14&gt;0,B4*(1+B18*(B16/B14-1)),B4+B18*(B16-B14)))</f>
        <v>25.000699953036943</v>
      </c>
    </row>
    <row r="23">
      <c r="A23" s="13" t="inlineStr">
        <is>
          <t>Model expected price after the decision</t>
        </is>
      </c>
      <c r="B23" s="54">
        <f>B17*B21+(1-B17)*B22</f>
        <v>31.03140958864907</v>
      </c>
    </row>
    <row r="24">
      <c r="A24" s="13" t="inlineStr">
        <is>
          <t>Non-event volatility (6-month realized, 3 largest days removed)</t>
        </is>
      </c>
      <c r="B24" s="26" t="n">
        <v>0.421</v>
      </c>
    </row>
    <row r="25">
      <c r="A25" s="13" t="inlineStr">
        <is>
          <t>Model fair ATM straddle, % of spot (jump + non-event volatility)</t>
        </is>
      </c>
      <c r="B25" s="59">
        <f>(B17*((B21*NORMSDIST(((LN(B21/30.0)+$B$24^2*$B$8/2)/($B$24*SQRT($B$8))))-30.0*NORMSDIST((((LN(B21/30.0)+$B$24^2*$B$8/2)/($B$24*SQRT($B$8)))-$B$24*SQRT($B$8))))+(30.0*NORMSDIST(-(((LN(B21/30.0)+$B$24^2*$B$8/2)/($B$24*SQRT($B$8)))-$B$24*SQRT($B$8)))-B21*NORMSDIST(-((LN(B21/30.0)+$B$24^2*$B$8/2)/($B$24*SQRT($B$8))))))+(1-B17)*((B22*NORMSDIST(((LN(B22/30.0)+$B$24^2*$B$8/2)/($B$24*SQRT($B$8))))-30.0*NORMSDIST((((LN(B22/30.0)+$B$24^2*$B$8/2)/($B$24*SQRT($B$8)))-$B$24*SQRT($B$8))))+(30.0*NORMSDIST(-(((LN(B22/30.0)+$B$24^2*$B$8/2)/($B$24*SQRT($B$8)))-$B$24*SQRT($B$8)))-B22*NORMSDIST(-((LN(B22/30.0)+$B$24^2*$B$8/2)/($B$24*SQRT($B$8)))))))/B4</f>
        <v>0.16142222212554413</v>
      </c>
    </row>
    <row r="26">
      <c r="A26" s="13" t="inlineStr">
        <is>
          <t>Market ATM straddle, % of spot</t>
        </is>
      </c>
      <c r="B26" s="59">
        <f>($G$41+$G$42)/B4</f>
        <v>0.24984035759897832</v>
      </c>
    </row>
    <row r="27">
      <c r="A27" s="22" t="inlineStr">
        <is>
          <t>Options richness (market straddle ÷ model straddle)</t>
        </is>
      </c>
      <c r="B27" s="86">
        <f>B26/B25</f>
        <v>1.5477445069779059</v>
      </c>
    </row>
    <row r="28">
      <c r="A28" s="30" t="inlineStr">
        <is>
          <t>Market snapshot — 11/20/2026 expiry (Cboe delayed quotes, 10/16/2026 close)</t>
        </is>
      </c>
    </row>
    <row r="29">
      <c r="A29" s="29" t="inlineStr">
        <is>
          <t>Strike</t>
        </is>
      </c>
      <c r="B29" s="29" t="inlineStr">
        <is>
          <t>Call bid</t>
        </is>
      </c>
      <c r="C29" s="29" t="inlineStr">
        <is>
          <t>Call ask</t>
        </is>
      </c>
      <c r="D29" s="29" t="inlineStr">
        <is>
          <t>Call mid</t>
        </is>
      </c>
      <c r="E29" s="29" t="inlineStr">
        <is>
          <t>Call IV</t>
        </is>
      </c>
      <c r="F29" s="29" t="inlineStr">
        <is>
          <t>Put bid</t>
        </is>
      </c>
      <c r="G29" s="29" t="inlineStr">
        <is>
          <t>Put ask</t>
        </is>
      </c>
      <c r="H29" s="29" t="inlineStr">
        <is>
          <t>Put mid</t>
        </is>
      </c>
      <c r="I29" s="29" t="inlineStr">
        <is>
          <t>Put IV</t>
        </is>
      </c>
      <c r="J29" s="29" t="inlineStr">
        <is>
          <t>Call OI</t>
        </is>
      </c>
      <c r="K29" s="29" t="inlineStr">
        <is>
          <t>Put OI</t>
        </is>
      </c>
    </row>
    <row r="30">
      <c r="A30" s="87" t="n">
        <v>17.5</v>
      </c>
      <c r="B30" s="77" t="n">
        <v>11.6</v>
      </c>
      <c r="C30" s="77" t="n">
        <v>16.5</v>
      </c>
      <c r="D30" s="54">
        <f>(B30+C30)/2</f>
        <v>14.05</v>
      </c>
      <c r="E30" s="84" t="n">
        <v>0.7823</v>
      </c>
      <c r="F30" s="77" t="n">
        <v>0</v>
      </c>
      <c r="G30" s="77" t="n">
        <v>4.9</v>
      </c>
      <c r="H30" s="54">
        <f>(F30+G30)/2</f>
        <v>2.45</v>
      </c>
      <c r="I30" s="84" t="n">
        <v>2.6075</v>
      </c>
      <c r="J30" s="88" t="n">
        <v>0</v>
      </c>
      <c r="K30" s="88" t="n">
        <v>8</v>
      </c>
    </row>
    <row r="31">
      <c r="A31" s="87" t="n">
        <v>20</v>
      </c>
      <c r="B31" s="77" t="n">
        <v>9</v>
      </c>
      <c r="C31" s="77" t="n">
        <v>13.8</v>
      </c>
      <c r="D31" s="54">
        <f>(B31+C31)/2</f>
        <v>11.4</v>
      </c>
      <c r="E31" s="84" t="n">
        <v>0</v>
      </c>
      <c r="F31" s="77" t="n">
        <v>0</v>
      </c>
      <c r="G31" s="77" t="n">
        <v>3</v>
      </c>
      <c r="H31" s="54">
        <f>(F31+G31)/2</f>
        <v>1.5</v>
      </c>
      <c r="I31" s="84" t="n">
        <v>1.7591</v>
      </c>
      <c r="J31" s="88" t="n">
        <v>0</v>
      </c>
      <c r="K31" s="88" t="n">
        <v>13</v>
      </c>
    </row>
    <row r="32">
      <c r="A32" s="87" t="n">
        <v>22.5</v>
      </c>
      <c r="B32" s="77" t="n">
        <v>7</v>
      </c>
      <c r="C32" s="77" t="n">
        <v>11.8</v>
      </c>
      <c r="D32" s="54">
        <f>(B32+C32)/2</f>
        <v>9.4</v>
      </c>
      <c r="E32" s="84" t="n">
        <v>0.8626</v>
      </c>
      <c r="F32" s="77" t="n">
        <v>0</v>
      </c>
      <c r="G32" s="77" t="n">
        <v>4.9</v>
      </c>
      <c r="H32" s="54">
        <f>(F32+G32)/2</f>
        <v>2.45</v>
      </c>
      <c r="I32" s="84" t="n">
        <v>1.8124</v>
      </c>
      <c r="J32" s="88" t="n">
        <v>4</v>
      </c>
      <c r="K32" s="88" t="n">
        <v>4</v>
      </c>
    </row>
    <row r="33">
      <c r="A33" s="87" t="n">
        <v>25</v>
      </c>
      <c r="B33" s="77" t="n">
        <v>6.6</v>
      </c>
      <c r="C33" s="77" t="n">
        <v>10</v>
      </c>
      <c r="D33" s="54">
        <f>(B33+C33)/2</f>
        <v>8.3</v>
      </c>
      <c r="E33" s="84" t="n">
        <v>1.2263</v>
      </c>
      <c r="F33" s="77" t="n">
        <v>0</v>
      </c>
      <c r="G33" s="77" t="n">
        <v>1.5</v>
      </c>
      <c r="H33" s="54">
        <f>(F33+G33)/2</f>
        <v>0.75</v>
      </c>
      <c r="I33" s="84" t="n">
        <v>0.848</v>
      </c>
      <c r="J33" s="88" t="n">
        <v>10</v>
      </c>
      <c r="K33" s="88" t="n">
        <v>943</v>
      </c>
    </row>
    <row r="34">
      <c r="A34" s="87" t="n">
        <v>30</v>
      </c>
      <c r="B34" s="77" t="n">
        <v>4.2</v>
      </c>
      <c r="C34" s="77" t="n">
        <v>5.4</v>
      </c>
      <c r="D34" s="54">
        <f>(B34+C34)/2</f>
        <v>4.800000000000001</v>
      </c>
      <c r="E34" s="84" t="n">
        <v>1.0471</v>
      </c>
      <c r="F34" s="77" t="n">
        <v>2.65</v>
      </c>
      <c r="G34" s="77" t="n">
        <v>3.4</v>
      </c>
      <c r="H34" s="54">
        <f>(F34+G34)/2</f>
        <v>3.025</v>
      </c>
      <c r="I34" s="84" t="n">
        <v>0.9933999999999999</v>
      </c>
      <c r="J34" s="88" t="n">
        <v>423</v>
      </c>
      <c r="K34" s="88" t="n">
        <v>398</v>
      </c>
    </row>
    <row r="35">
      <c r="A35" s="87" t="n">
        <v>35</v>
      </c>
      <c r="B35" s="77" t="n">
        <v>2.2</v>
      </c>
      <c r="C35" s="77" t="n">
        <v>3.3</v>
      </c>
      <c r="D35" s="54">
        <f>(B35+C35)/2</f>
        <v>2.75</v>
      </c>
      <c r="E35" s="84" t="n">
        <v>1.0368</v>
      </c>
      <c r="F35" s="77" t="n">
        <v>4.5</v>
      </c>
      <c r="G35" s="77" t="n">
        <v>7.3</v>
      </c>
      <c r="H35" s="54">
        <f>(F35+G35)/2</f>
        <v>5.9</v>
      </c>
      <c r="I35" s="84" t="n">
        <v>0.9659</v>
      </c>
      <c r="J35" s="88" t="n">
        <v>1878</v>
      </c>
      <c r="K35" s="88" t="n">
        <v>689</v>
      </c>
    </row>
    <row r="36">
      <c r="A36" s="87" t="n">
        <v>40</v>
      </c>
      <c r="B36" s="77" t="n">
        <v>1.5</v>
      </c>
      <c r="C36" s="77" t="n">
        <v>2.05</v>
      </c>
      <c r="D36" s="54">
        <f>(B36+C36)/2</f>
        <v>1.775</v>
      </c>
      <c r="E36" s="84" t="n">
        <v>1.1118</v>
      </c>
      <c r="F36" s="77" t="n">
        <v>7.5</v>
      </c>
      <c r="G36" s="77" t="n">
        <v>11.8</v>
      </c>
      <c r="H36" s="54">
        <f>(F36+G36)/2</f>
        <v>9.65</v>
      </c>
      <c r="I36" s="84" t="n">
        <v>0.9414</v>
      </c>
      <c r="J36" s="88" t="n">
        <v>1392</v>
      </c>
      <c r="K36" s="88" t="n">
        <v>8</v>
      </c>
    </row>
    <row r="37">
      <c r="A37" s="87" t="n">
        <v>45</v>
      </c>
      <c r="B37" s="77" t="n">
        <v>0.05</v>
      </c>
      <c r="C37" s="77" t="n">
        <v>2.55</v>
      </c>
      <c r="D37" s="54">
        <f>(B37+C37)/2</f>
        <v>1.2999999999999998</v>
      </c>
      <c r="E37" s="84" t="n">
        <v>1.2129</v>
      </c>
      <c r="F37" s="77" t="n">
        <v>12</v>
      </c>
      <c r="G37" s="77" t="n">
        <v>16.5</v>
      </c>
      <c r="H37" s="54">
        <f>(F37+G37)/2</f>
        <v>14.25</v>
      </c>
      <c r="I37" s="84" t="n">
        <v>1.0308</v>
      </c>
      <c r="J37" s="88" t="n">
        <v>309</v>
      </c>
      <c r="K37" s="88" t="n">
        <v>115</v>
      </c>
    </row>
    <row r="39">
      <c r="A39" s="30" t="inlineStr">
        <is>
          <t>Legs (premium = mid when the market is tight, else Black-Scholes at the reference IV)</t>
        </is>
      </c>
    </row>
    <row r="40">
      <c r="A40" s="29" t="inlineStr">
        <is>
          <t>Leg</t>
        </is>
      </c>
      <c r="B40" s="29" t="inlineStr">
        <is>
          <t>Type</t>
        </is>
      </c>
      <c r="C40" s="29" t="inlineStr">
        <is>
          <t>Strike</t>
        </is>
      </c>
      <c r="D40" s="29" t="inlineStr">
        <is>
          <t>Mid</t>
        </is>
      </c>
      <c r="E40" s="29" t="inlineStr">
        <is>
          <t>Spread % of mid</t>
        </is>
      </c>
      <c r="F40" s="29" t="inlineStr">
        <is>
          <t>BS value</t>
        </is>
      </c>
      <c r="G40" s="29" t="inlineStr">
        <is>
          <t>Premium used</t>
        </is>
      </c>
      <c r="H40" s="29" t="inlineStr">
        <is>
          <t>Source</t>
        </is>
      </c>
      <c r="I40" s="29" t="inlineStr">
        <is>
          <t>d1</t>
        </is>
      </c>
      <c r="J40" s="29" t="inlineStr">
        <is>
          <t>Delta</t>
        </is>
      </c>
      <c r="K40" s="29" t="inlineStr">
        <is>
          <t>E[payoff] if approved</t>
        </is>
      </c>
      <c r="L40" s="29" t="inlineStr">
        <is>
          <t>E[payoff] if CRL</t>
        </is>
      </c>
    </row>
    <row r="41">
      <c r="A41" s="13" t="inlineStr">
        <is>
          <t>Nov-26 $30 call</t>
        </is>
      </c>
      <c r="B41" s="89" t="inlineStr">
        <is>
          <t>C</t>
        </is>
      </c>
      <c r="C41" s="11">
        <f>A34</f>
        <v>30</v>
      </c>
      <c r="D41" s="54">
        <f>(B34+C34)/2</f>
        <v>4.800000000000001</v>
      </c>
      <c r="E41" s="56">
        <f>IF(B34&gt;0,(C34-B34)/D41,9.99)</f>
        <v>0.25</v>
      </c>
      <c r="F41" s="54">
        <f>IF(B41="C",$B$4*NORMSDIST((LN($B$4/C41)+($B$9+$B$10^2/2)*$B$8)/($B$10*SQRT($B$8)))-C41*EXP(-$B$9*$B$8)*NORMSDIST((LN($B$4/C41)+($B$9+$B$10^2/2)*$B$8)/($B$10*SQRT($B$8))-$B$10*SQRT($B$8)),C41*EXP(-$B$9*$B$8)*NORMSDIST(-((LN($B$4/C41)+($B$9+$B$10^2/2)*$B$8)/($B$10*SQRT($B$8))-$B$10*SQRT($B$8)))-$B$4*NORMSDIST(-(LN($B$4/C41)+($B$9+$B$10^2/2)*$B$8)/($B$10*SQRT($B$8))))</f>
        <v>4.600247842416277</v>
      </c>
      <c r="G41" s="58">
        <f>IF(AND(B34&gt;0,E41&lt;=0.6),D41,F41)</f>
        <v>4.800000000000001</v>
      </c>
      <c r="H41" s="52" t="str">
        <f>IF(AND(B34&gt;0,E41&lt;=0.6),"market","theo")</f>
        <v>market</v>
      </c>
      <c r="I41" s="73">
        <f>(LN($B$4/C41)+($B$9+$B$10^2/2)*$B$8)/($B$10*SQRT($B$8))</f>
        <v>0.30639972124866216</v>
      </c>
      <c r="J41" s="11">
        <f>IF(B41="C",NORMSDIST(I41),NORMSDIST(I41)-1)</f>
        <v>0.6203498397148395</v>
      </c>
      <c r="K41" s="54">
        <f>IF(B41="C",($B$21*NORMSDIST(((LN($B$21/C41)+$B$24^2*$B$8/2)/($B$24*SQRT($B$8))))-C41*NORMSDIST((((LN($B$21/C41)+$B$24^2*$B$8/2)/($B$24*SQRT($B$8)))-$B$24*SQRT($B$8)))),(C41*NORMSDIST(-(((LN($B$21/C41)+$B$24^2*$B$8/2)/($B$24*SQRT($B$8)))-$B$24*SQRT($B$8)))-$B$21*NORMSDIST(-((LN($B$21/C41)+$B$24^2*$B$8/2)/($B$24*SQRT($B$8))))))</f>
        <v>4.611774747903848</v>
      </c>
      <c r="L41" s="54">
        <f>IF(B41="C",($B$22*NORMSDIST(((LN($B$22/C41)+$B$24^2*$B$8/2)/($B$24*SQRT($B$8))))-C41*NORMSDIST((((LN($B$22/C41)+$B$24^2*$B$8/2)/($B$24*SQRT($B$8)))-$B$24*SQRT($B$8)))),(C41*NORMSDIST(-(((LN($B$22/C41)+$B$24^2*$B$8/2)/($B$24*SQRT($B$8)))-$B$24*SQRT($B$8)))-$B$22*NORMSDIST(-((LN($B$22/C41)+$B$24^2*$B$8/2)/($B$24*SQRT($B$8))))))</f>
        <v>0.13120916192301468</v>
      </c>
    </row>
    <row r="42">
      <c r="A42" s="13" t="inlineStr">
        <is>
          <t>Nov-26 $30 put</t>
        </is>
      </c>
      <c r="B42" s="89" t="inlineStr">
        <is>
          <t>P</t>
        </is>
      </c>
      <c r="C42" s="11">
        <f>A34</f>
        <v>30</v>
      </c>
      <c r="D42" s="54">
        <f>(F34+G34)/2</f>
        <v>3.025</v>
      </c>
      <c r="E42" s="56">
        <f>IF(F34&gt;0,(G34-F34)/D42,9.99)</f>
        <v>0.24793388429752067</v>
      </c>
      <c r="F42" s="54">
        <f>IF(B42="C",$B$4*NORMSDIST((LN($B$4/C42)+($B$9+$B$10^2/2)*$B$8)/($B$10*SQRT($B$8)))-C42*EXP(-$B$9*$B$8)*NORMSDIST((LN($B$4/C42)+($B$9+$B$10^2/2)*$B$8)/($B$10*SQRT($B$8))-$B$10*SQRT($B$8)),C42*EXP(-$B$9*$B$8)*NORMSDIST(-((LN($B$4/C42)+($B$9+$B$10^2/2)*$B$8)/($B$10*SQRT($B$8))-$B$10*SQRT($B$8)))-$B$4*NORMSDIST(-(LN($B$4/C42)+($B$9+$B$10^2/2)*$B$8)/($B$10*SQRT($B$8))))</f>
        <v>3.1653997466908166</v>
      </c>
      <c r="G42" s="58">
        <f>IF(AND(F34&gt;0,E42&lt;=0.6),D42,F42)</f>
        <v>3.025</v>
      </c>
      <c r="H42" s="52" t="str">
        <f>IF(AND(F34&gt;0,E42&lt;=0.6),"market","theo")</f>
        <v>market</v>
      </c>
      <c r="I42" s="73">
        <f>(LN($B$4/C42)+($B$9+$B$10^2/2)*$B$8)/($B$10*SQRT($B$8))</f>
        <v>0.30639972124866216</v>
      </c>
      <c r="J42" s="11">
        <f>IF(B42="C",NORMSDIST(I42),NORMSDIST(I42)-1)</f>
        <v>-0.3796501602851605</v>
      </c>
      <c r="K42" s="54">
        <f>IF(B42="C",($B$21*NORMSDIST(((LN($B$21/C42)+$B$24^2*$B$8/2)/($B$24*SQRT($B$8))))-C42*NORMSDIST((((LN($B$21/C42)+$B$24^2*$B$8/2)/($B$24*SQRT($B$8)))-$B$24*SQRT($B$8)))),(C42*NORMSDIST(-(((LN($B$21/C42)+$B$24^2*$B$8/2)/($B$24*SQRT($B$8)))-$B$24*SQRT($B$8)))-$B$21*NORMSDIST(-((LN($B$21/C42)+$B$24^2*$B$8/2)/($B$24*SQRT($B$8))))))</f>
        <v>0.33305997084824845</v>
      </c>
      <c r="L42" s="54">
        <f>IF(B42="C",($B$22*NORMSDIST(((LN($B$22/C42)+$B$24^2*$B$8/2)/($B$24*SQRT($B$8))))-C42*NORMSDIST((((LN($B$22/C42)+$B$24^2*$B$8/2)/($B$24*SQRT($B$8)))-$B$24*SQRT($B$8)))),(C42*NORMSDIST(-(((LN($B$22/C42)+$B$24^2*$B$8/2)/($B$24*SQRT($B$8)))-$B$24*SQRT($B$8)))-$B$22*NORMSDIST(-((LN($B$22/C42)+$B$24^2*$B$8/2)/($B$24*SQRT($B$8))))))</f>
        <v>5.130509208886071</v>
      </c>
    </row>
    <row r="43">
      <c r="A43" s="13" t="inlineStr">
        <is>
          <t>Nov-26 $40 call</t>
        </is>
      </c>
      <c r="B43" s="89" t="inlineStr">
        <is>
          <t>C</t>
        </is>
      </c>
      <c r="C43" s="11">
        <f>A36</f>
        <v>40</v>
      </c>
      <c r="D43" s="54">
        <f>(B36+C36)/2</f>
        <v>1.775</v>
      </c>
      <c r="E43" s="56">
        <f>IF(B36&gt;0,(C36-B36)/D43,9.99)</f>
        <v>0.3098591549295774</v>
      </c>
      <c r="F43" s="54">
        <f>IF(B43="C",$B$4*NORMSDIST((LN($B$4/C43)+($B$9+$B$10^2/2)*$B$8)/($B$10*SQRT($B$8)))-C43*EXP(-$B$9*$B$8)*NORMSDIST((LN($B$4/C43)+($B$9+$B$10^2/2)*$B$8)/($B$10*SQRT($B$8))-$B$10*SQRT($B$8)),C43*EXP(-$B$9*$B$8)*NORMSDIST(-((LN($B$4/C43)+($B$9+$B$10^2/2)*$B$8)/($B$10*SQRT($B$8))-$B$10*SQRT($B$8)))-$B$4*NORMSDIST(-(LN($B$4/C43)+($B$9+$B$10^2/2)*$B$8)/($B$10*SQRT($B$8))))</f>
        <v>1.4229691909721112</v>
      </c>
      <c r="G43" s="58">
        <f>IF(AND(B36&gt;0,E43&lt;=0.6),D43,F43)</f>
        <v>1.775</v>
      </c>
      <c r="H43" s="52" t="str">
        <f>IF(AND(B36&gt;0,E43&lt;=0.6),"market","theo")</f>
        <v>market</v>
      </c>
      <c r="I43" s="73">
        <f>(LN($B$4/C43)+($B$9+$B$10^2/2)*$B$8)/($B$10*SQRT($B$8))</f>
        <v>-0.6042259506701558</v>
      </c>
      <c r="J43" s="11">
        <f>IF(B43="C",NORMSDIST(I43),NORMSDIST(I43)-1)</f>
        <v>0.27284671497502133</v>
      </c>
      <c r="K43" s="54">
        <f>IF(B43="C",($B$21*NORMSDIST(((LN($B$21/C43)+$B$24^2*$B$8/2)/($B$24*SQRT($B$8))))-C43*NORMSDIST((((LN($B$21/C43)+$B$24^2*$B$8/2)/($B$24*SQRT($B$8)))-$B$24*SQRT($B$8)))),(C43*NORMSDIST(-(((LN($B$21/C43)+$B$24^2*$B$8/2)/($B$24*SQRT($B$8)))-$B$24*SQRT($B$8)))-$B$21*NORMSDIST(-((LN($B$21/C43)+$B$24^2*$B$8/2)/($B$24*SQRT($B$8))))))</f>
        <v>0.27943987215336374</v>
      </c>
      <c r="L43" s="54">
        <f>IF(B43="C",($B$22*NORMSDIST(((LN($B$22/C43)+$B$24^2*$B$8/2)/($B$24*SQRT($B$8))))-C43*NORMSDIST((((LN($B$22/C43)+$B$24^2*$B$8/2)/($B$24*SQRT($B$8)))-$B$24*SQRT($B$8)))),(C43*NORMSDIST(-(((LN($B$22/C43)+$B$24^2*$B$8/2)/($B$24*SQRT($B$8)))-$B$24*SQRT($B$8)))-$B$22*NORMSDIST(-((LN($B$22/C43)+$B$24^2*$B$8/2)/($B$24*SQRT($B$8))))))</f>
        <v>0.00015769006168324991</v>
      </c>
    </row>
    <row r="44">
      <c r="A44" s="13" t="inlineStr">
        <is>
          <t>Nov-26 $22.50 put</t>
        </is>
      </c>
      <c r="B44" s="89" t="inlineStr">
        <is>
          <t>P</t>
        </is>
      </c>
      <c r="C44" s="11">
        <f>A32</f>
        <v>22.5</v>
      </c>
      <c r="D44" s="54">
        <f>(F32+G32)/2</f>
        <v>2.45</v>
      </c>
      <c r="E44" s="56">
        <f>IF(F32&gt;0,(G32-F32)/D44,9.99)</f>
        <v>9.99</v>
      </c>
      <c r="F44" s="54">
        <f>IF(B44="C",$B$4*NORMSDIST((LN($B$4/C44)+($B$9+$B$10^2/2)*$B$8)/($B$10*SQRT($B$8)))-C44*EXP(-$B$9*$B$8)*NORMSDIST((LN($B$4/C44)+($B$9+$B$10^2/2)*$B$8)/($B$10*SQRT($B$8))-$B$10*SQRT($B$8)),C44*EXP(-$B$9*$B$8)*NORMSDIST(-((LN($B$4/C44)+($B$9+$B$10^2/2)*$B$8)/($B$10*SQRT($B$8))-$B$10*SQRT($B$8)))-$B$4*NORMSDIST(-(LN($B$4/C44)+($B$9+$B$10^2/2)*$B$8)/($B$10*SQRT($B$8))))</f>
        <v>0.6174003428346118</v>
      </c>
      <c r="G44" s="58">
        <f>IF(AND(F32&gt;0,E44&lt;=0.6),D44,F44)</f>
        <v>0.6174003428346118</v>
      </c>
      <c r="H44" s="52" t="str">
        <f>IF(AND(F32&gt;0,E44&lt;=0.6),"market","theo")</f>
        <v>theo</v>
      </c>
      <c r="I44" s="73">
        <f>(LN($B$4/C44)+($B$9+$B$10^2/2)*$B$8)/($B$10*SQRT($B$8))</f>
        <v>1.2170253931674797</v>
      </c>
      <c r="J44" s="11">
        <f>IF(B44="C",NORMSDIST(I44),NORMSDIST(I44)-1)</f>
        <v>-0.11179727727644062</v>
      </c>
      <c r="K44" s="54">
        <f>IF(B44="C",($B$21*NORMSDIST(((LN($B$21/C44)+$B$24^2*$B$8/2)/($B$24*SQRT($B$8))))-C44*NORMSDIST((((LN($B$21/C44)+$B$24^2*$B$8/2)/($B$24*SQRT($B$8)))-$B$24*SQRT($B$8)))),(C44*NORMSDIST(-(((LN($B$21/C44)+$B$24^2*$B$8/2)/($B$24*SQRT($B$8)))-$B$24*SQRT($B$8)))-$B$21*NORMSDIST(-((LN($B$21/C44)+$B$24^2*$B$8/2)/($B$24*SQRT($B$8))))))</f>
        <v>0.0006000445440865754</v>
      </c>
      <c r="L44" s="54">
        <f>IF(B44="C",($B$22*NORMSDIST(((LN($B$22/C44)+$B$24^2*$B$8/2)/($B$24*SQRT($B$8))))-C44*NORMSDIST((((LN($B$22/C44)+$B$24^2*$B$8/2)/($B$24*SQRT($B$8)))-$B$24*SQRT($B$8)))),(C44*NORMSDIST(-(((LN($B$22/C44)+$B$24^2*$B$8/2)/($B$24*SQRT($B$8)))-$B$24*SQRT($B$8)))-$B$22*NORMSDIST(-((LN($B$22/C44)+$B$24^2*$B$8/2)/($B$24*SQRT($B$8))))))</f>
        <v>0.36575078917575965</v>
      </c>
    </row>
    <row r="46">
      <c r="A46" s="30" t="inlineStr">
        <is>
          <t>Strategies (+ = credit received, − = debit paid; per share unless noted)</t>
        </is>
      </c>
    </row>
    <row r="47">
      <c r="A47" s="29" t="inlineStr">
        <is>
          <t>Metric</t>
        </is>
      </c>
      <c r="B47" s="29" t="inlineStr">
        <is>
          <t>Long straddle</t>
        </is>
      </c>
      <c r="C47" s="29" t="inlineStr">
        <is>
          <t>Bull call spread</t>
        </is>
      </c>
      <c r="D47" s="29" t="inlineStr">
        <is>
          <t>Bear put spread</t>
        </is>
      </c>
      <c r="E47" s="29" t="inlineStr">
        <is>
          <t>Iron butterfly</t>
        </is>
      </c>
    </row>
    <row r="48" ht="50" customHeight="1" s="9">
      <c r="A48" s="13" t="inlineStr">
        <is>
          <t>Structure</t>
        </is>
      </c>
      <c r="B48" s="90" t="inlineStr">
        <is>
          <t>Buy $30 call + $30 put</t>
        </is>
      </c>
      <c r="C48" s="90" t="inlineStr">
        <is>
          <t>Buy $30 / sell $40 call</t>
        </is>
      </c>
      <c r="D48" s="90" t="inlineStr">
        <is>
          <t>Buy $30 / sell $22.50 put</t>
        </is>
      </c>
      <c r="E48" s="90" t="inlineStr">
        <is>
          <t>Sell $30 straddle, buy $22.50 put + $40 call</t>
        </is>
      </c>
    </row>
    <row r="49">
      <c r="A49" s="13" t="inlineStr">
        <is>
          <t>Net premium</t>
        </is>
      </c>
      <c r="B49" s="54">
        <f>-$G$41-$G$42</f>
        <v>-7.825000000000001</v>
      </c>
      <c r="C49" s="54">
        <f>-$G$41+$G$43</f>
        <v>-3.025000000000001</v>
      </c>
      <c r="D49" s="54">
        <f>-$G$42+$G$44</f>
        <v>-2.407599657165388</v>
      </c>
      <c r="E49" s="54">
        <f>$G$41+$G$42-$G$43-$G$44</f>
        <v>5.4325996571653885</v>
      </c>
    </row>
    <row r="50">
      <c r="A50" s="13" t="inlineStr">
        <is>
          <t>Net premium / contract</t>
        </is>
      </c>
      <c r="B50" s="91">
        <f>B49*$B$11</f>
        <v>-782.5000000000001</v>
      </c>
      <c r="C50" s="91">
        <f>C49*$B$11</f>
        <v>-302.50000000000006</v>
      </c>
      <c r="D50" s="91">
        <f>D49*$B$11</f>
        <v>-240.75996571653883</v>
      </c>
      <c r="E50" s="91">
        <f>E49*$B$11</f>
        <v>543.2599657165389</v>
      </c>
    </row>
    <row r="51">
      <c r="A51" s="13" t="inlineStr">
        <is>
          <t>Max profit / contract</t>
        </is>
      </c>
      <c r="B51" s="92" t="str">
        <f>"Unlimited"</f>
        <v>Unlimited</v>
      </c>
      <c r="C51" s="92">
        <f>(40.0-30.0+C49)*$B$11</f>
        <v>697.5</v>
      </c>
      <c r="D51" s="92">
        <f>(30.0-22.5+D49)*$B$11</f>
        <v>509.24003428346117</v>
      </c>
      <c r="E51" s="92">
        <f>E49*$B$11</f>
        <v>543.2599657165389</v>
      </c>
    </row>
    <row r="52">
      <c r="A52" s="13" t="inlineStr">
        <is>
          <t>Max loss / contract</t>
        </is>
      </c>
      <c r="B52" s="91">
        <f>B49*$B$11</f>
        <v>-782.5000000000001</v>
      </c>
      <c r="C52" s="91">
        <f>C49*$B$11</f>
        <v>-302.50000000000006</v>
      </c>
      <c r="D52" s="91">
        <f>D49*$B$11</f>
        <v>-240.75996571653883</v>
      </c>
      <c r="E52" s="91">
        <f>-(MAX(40.0-30.0,30.0-22.5)-E49)*$B$11</f>
        <v>-456.74003428346117</v>
      </c>
    </row>
    <row r="53">
      <c r="A53" s="13" t="inlineStr">
        <is>
          <t>Breakeven (low)</t>
        </is>
      </c>
      <c r="B53" s="93">
        <f>30.0+B49</f>
        <v>22.174999999999997</v>
      </c>
      <c r="C53" s="93" t="str">
        <f>"—"</f>
        <v>—</v>
      </c>
      <c r="D53" s="93">
        <f>30.0+D49</f>
        <v>27.592400342834612</v>
      </c>
      <c r="E53" s="93">
        <f>30.0-E49</f>
        <v>24.56740034283461</v>
      </c>
    </row>
    <row r="54">
      <c r="A54" s="13" t="inlineStr">
        <is>
          <t>Breakeven (high)</t>
        </is>
      </c>
      <c r="B54" s="93">
        <f>30.0-B49</f>
        <v>37.825</v>
      </c>
      <c r="C54" s="93">
        <f>30.0-C49</f>
        <v>33.025</v>
      </c>
      <c r="D54" s="93" t="str">
        <f>"—"</f>
        <v>—</v>
      </c>
      <c r="E54" s="93">
        <f>30.0+E49</f>
        <v>35.43259965716539</v>
      </c>
    </row>
    <row r="55">
      <c r="A55" s="13" t="inlineStr">
        <is>
          <t>Prob. of profit (market-implied, lognormal)</t>
        </is>
      </c>
      <c r="B55" s="55">
        <f>(1-NORMSDIST((LN($B$4/B53)+($B$9-IF((($E$34+$I$34)/2)&gt;0,(($E$34+$I$34)/2),$B$10)^2/2)*$B$8)/(IF((($E$34+$I$34)/2)&gt;0,(($E$34+$I$34)/2),$B$10)*SQRT($B$8))))+NORMSDIST((LN($B$4/B54)+($B$9-IF((($E$34+$I$34)/2)&gt;0,(($E$34+$I$34)/2),$B$10)^2/2)*$B$8)/(IF((($E$34+$I$34)/2)&gt;0,(($E$34+$I$34)/2),$B$10)*SQRT($B$8)))</f>
        <v>0.400489495578962</v>
      </c>
      <c r="C55" s="55">
        <f>NORMSDIST((LN($B$4/C54)+($B$9-IF((($E$34+$I$34)/2)&gt;0,(($E$34+$I$34)/2),$B$10)^2/2)*$B$8)/(IF((($E$34+$I$34)/2)&gt;0,(($E$34+$I$34)/2),$B$10)*SQRT($B$8)))</f>
        <v>0.3769093006386692</v>
      </c>
      <c r="D55" s="55">
        <f>1-NORMSDIST((LN($B$4/D53)+($B$9-IF((($E$34+$I$34)/2)&gt;0,(($E$34+$I$34)/2),$B$10)^2/2)*$B$8)/(IF((($E$34+$I$34)/2)&gt;0,(($E$34+$I$34)/2),$B$10)*SQRT($B$8)))</f>
        <v>0.3992604781963267</v>
      </c>
      <c r="E55" s="55">
        <f>MAX(0,NORMSDIST((LN($B$4/E53)+($B$9-IF((($E$34+$I$34)/2)&gt;0,(($E$34+$I$34)/2),$B$10)^2/2)*$B$8)/(IF((($E$34+$I$34)/2)&gt;0,(($E$34+$I$34)/2),$B$10)*SQRT($B$8)))-NORMSDIST((LN($B$4/E54)+($B$9-IF((($E$34+$I$34)/2)&gt;0,(($E$34+$I$34)/2),$B$10)^2/2)*$B$8)/(IF((($E$34+$I$34)/2)&gt;0,(($E$34+$I$34)/2),$B$10)*SQRT($B$8))))</f>
        <v>0.4374322777070566</v>
      </c>
    </row>
    <row r="56">
      <c r="A56" s="13" t="inlineStr">
        <is>
          <t>Expected P/L if approved</t>
        </is>
      </c>
      <c r="B56" s="91">
        <f>((1)*$K$41+(1)*$K$42+B49)*$B$11</f>
        <v>-288.0165281247905</v>
      </c>
      <c r="C56" s="91">
        <f>((1)*$K$41+(-1)*$K$43+C49)*$B$11</f>
        <v>130.73348757504831</v>
      </c>
      <c r="D56" s="91">
        <f>((1)*$K$42+(-1)*$K$44+D49)*$B$11</f>
        <v>-207.51397308612263</v>
      </c>
      <c r="E56" s="91">
        <f>((-1)*$K$41+(-1)*$K$42+(1)*$K$43+(1)*$K$44+E49)*$B$11</f>
        <v>76.7804855110743</v>
      </c>
    </row>
    <row r="57">
      <c r="A57" s="13" t="inlineStr">
        <is>
          <t>Expected P/L if CRL</t>
        </is>
      </c>
      <c r="B57" s="91">
        <f>((1)*$L$41+(1)*$L$42+B49)*$B$11</f>
        <v>-256.32816291909154</v>
      </c>
      <c r="C57" s="91">
        <f>((1)*$L$41+(-1)*$L$43+C49)*$B$11</f>
        <v>-289.3948528138669</v>
      </c>
      <c r="D57" s="91">
        <f>((1)*$L$42+(-1)*$L$44+D49)*$B$11</f>
        <v>235.71587625449234</v>
      </c>
      <c r="E57" s="91">
        <f>((-1)*$L$41+(-1)*$L$42+(1)*$L$43+(1)*$L$44+E49)*$B$11</f>
        <v>53.67897655937455</v>
      </c>
    </row>
    <row r="58">
      <c r="A58" s="22" t="inlineStr">
        <is>
          <t>Model expected P/L</t>
        </is>
      </c>
      <c r="B58" s="94">
        <f>$B$17*B56+(1-$B$17)*B57</f>
        <v>-276.9256003027959</v>
      </c>
      <c r="C58" s="94">
        <f>$B$17*C56+(1-$B$17)*C57</f>
        <v>-16.311431561072</v>
      </c>
      <c r="D58" s="94">
        <f>$B$17*D56+(1-$B$17)*D57</f>
        <v>-52.383525816907394</v>
      </c>
      <c r="E58" s="94">
        <f>$B$17*E56+(1-$B$17)*E57</f>
        <v>68.69495737797939</v>
      </c>
    </row>
    <row r="59">
      <c r="A59" s="13" t="inlineStr">
        <is>
          <t>Expected P/L ÷ max loss</t>
        </is>
      </c>
      <c r="B59" s="55">
        <f>B58/-B52</f>
        <v>-0.3538985307383972</v>
      </c>
      <c r="C59" s="55">
        <f>C58/-C52</f>
        <v>-0.05392208780519668</v>
      </c>
      <c r="D59" s="55">
        <f>D58/-D52</f>
        <v>-0.2175757321654617</v>
      </c>
      <c r="E59" s="55">
        <f>E58/-E52</f>
        <v>0.15040275040866255</v>
      </c>
    </row>
    <row r="61">
      <c r="A61" s="30" t="inlineStr">
        <is>
          <t>Payoff at expiry per contract ($)</t>
        </is>
      </c>
    </row>
    <row r="62">
      <c r="A62" s="29" t="inlineStr">
        <is>
          <t>Price at expiry</t>
        </is>
      </c>
      <c r="B62" s="29" t="inlineStr">
        <is>
          <t>Long straddle</t>
        </is>
      </c>
      <c r="C62" s="29" t="inlineStr">
        <is>
          <t>Bull call spread</t>
        </is>
      </c>
      <c r="D62" s="29" t="inlineStr">
        <is>
          <t>Bear put spread</t>
        </is>
      </c>
      <c r="E62" s="29" t="inlineStr">
        <is>
          <t>Iron butterfly</t>
        </is>
      </c>
    </row>
    <row r="63">
      <c r="A63" s="95" t="n">
        <v>7.8</v>
      </c>
      <c r="B63" s="53">
        <f>(MAX($A63-30.0,0)+MAX(30.0-$A63,0)-$G$41-$G$42)*$B$11</f>
        <v>1437.4999999999998</v>
      </c>
      <c r="C63" s="53">
        <f>(MAX($A63-30.0,0)-MAX($A63-40.0,0)-$G$41+$G$43)*$B$11</f>
        <v>-302.50000000000006</v>
      </c>
      <c r="D63" s="53">
        <f>(MAX(30.0-$A63,0)-MAX(22.5-$A63,0)-$G$42+$G$44)*$B$11</f>
        <v>509.24003428346117</v>
      </c>
      <c r="E63" s="53">
        <f>($G$41+$G$42-$G$43-$G$44-MAX($A63-30.0,0)-MAX(30.0-$A63,0)+MAX($A63-40.0,0)+MAX(22.5-$A63,0))*$B$11</f>
        <v>-206.74003428346134</v>
      </c>
    </row>
    <row r="64">
      <c r="A64" s="95" t="n">
        <v>9.4</v>
      </c>
      <c r="B64" s="53">
        <f>(MAX($A64-30.0,0)+MAX(30.0-$A64,0)-$G$41-$G$42)*$B$11</f>
        <v>1277.5</v>
      </c>
      <c r="C64" s="53">
        <f>(MAX($A64-30.0,0)-MAX($A64-40.0,0)-$G$41+$G$43)*$B$11</f>
        <v>-302.50000000000006</v>
      </c>
      <c r="D64" s="53">
        <f>(MAX(30.0-$A64,0)-MAX(22.5-$A64,0)-$G$42+$G$44)*$B$11</f>
        <v>509.24003428346134</v>
      </c>
      <c r="E64" s="53">
        <f>($G$41+$G$42-$G$43-$G$44-MAX($A64-30.0,0)-MAX(30.0-$A64,0)+MAX($A64-40.0,0)+MAX(22.5-$A64,0))*$B$11</f>
        <v>-206.74003428346134</v>
      </c>
    </row>
    <row r="65">
      <c r="A65" s="95" t="n">
        <v>11</v>
      </c>
      <c r="B65" s="53">
        <f>(MAX($A65-30.0,0)+MAX(30.0-$A65,0)-$G$41-$G$42)*$B$11</f>
        <v>1117.5</v>
      </c>
      <c r="C65" s="53">
        <f>(MAX($A65-30.0,0)-MAX($A65-40.0,0)-$G$41+$G$43)*$B$11</f>
        <v>-302.50000000000006</v>
      </c>
      <c r="D65" s="53">
        <f>(MAX(30.0-$A65,0)-MAX(22.5-$A65,0)-$G$42+$G$44)*$B$11</f>
        <v>509.24003428346117</v>
      </c>
      <c r="E65" s="53">
        <f>($G$41+$G$42-$G$43-$G$44-MAX($A65-30.0,0)-MAX(30.0-$A65,0)+MAX($A65-40.0,0)+MAX(22.5-$A65,0))*$B$11</f>
        <v>-206.74003428346114</v>
      </c>
    </row>
    <row r="66">
      <c r="A66" s="95" t="n">
        <v>12.5</v>
      </c>
      <c r="B66" s="53">
        <f>(MAX($A66-30.0,0)+MAX(30.0-$A66,0)-$G$41-$G$42)*$B$11</f>
        <v>967.4999999999999</v>
      </c>
      <c r="C66" s="53">
        <f>(MAX($A66-30.0,0)-MAX($A66-40.0,0)-$G$41+$G$43)*$B$11</f>
        <v>-302.50000000000006</v>
      </c>
      <c r="D66" s="53">
        <f>(MAX(30.0-$A66,0)-MAX(22.5-$A66,0)-$G$42+$G$44)*$B$11</f>
        <v>509.24003428346117</v>
      </c>
      <c r="E66" s="53">
        <f>($G$41+$G$42-$G$43-$G$44-MAX($A66-30.0,0)-MAX(30.0-$A66,0)+MAX($A66-40.0,0)+MAX(22.5-$A66,0))*$B$11</f>
        <v>-206.74003428346114</v>
      </c>
    </row>
    <row r="67">
      <c r="A67" s="95" t="n">
        <v>14.1</v>
      </c>
      <c r="B67" s="53">
        <f>(MAX($A67-30.0,0)+MAX(30.0-$A67,0)-$G$41-$G$42)*$B$11</f>
        <v>807.4999999999999</v>
      </c>
      <c r="C67" s="53">
        <f>(MAX($A67-30.0,0)-MAX($A67-40.0,0)-$G$41+$G$43)*$B$11</f>
        <v>-302.50000000000006</v>
      </c>
      <c r="D67" s="53">
        <f>(MAX(30.0-$A67,0)-MAX(22.5-$A67,0)-$G$42+$G$44)*$B$11</f>
        <v>509.24003428346117</v>
      </c>
      <c r="E67" s="53">
        <f>($G$41+$G$42-$G$43-$G$44-MAX($A67-30.0,0)-MAX(30.0-$A67,0)+MAX($A67-40.0,0)+MAX(22.5-$A67,0))*$B$11</f>
        <v>-206.74003428346114</v>
      </c>
    </row>
    <row r="68">
      <c r="A68" s="95" t="n">
        <v>15.7</v>
      </c>
      <c r="B68" s="53">
        <f>(MAX($A68-30.0,0)+MAX(30.0-$A68,0)-$G$41-$G$42)*$B$11</f>
        <v>647.5</v>
      </c>
      <c r="C68" s="53">
        <f>(MAX($A68-30.0,0)-MAX($A68-40.0,0)-$G$41+$G$43)*$B$11</f>
        <v>-302.50000000000006</v>
      </c>
      <c r="D68" s="53">
        <f>(MAX(30.0-$A68,0)-MAX(22.5-$A68,0)-$G$42+$G$44)*$B$11</f>
        <v>509.24003428346117</v>
      </c>
      <c r="E68" s="53">
        <f>($G$41+$G$42-$G$43-$G$44-MAX($A68-30.0,0)-MAX(30.0-$A68,0)+MAX($A68-40.0,0)+MAX(22.5-$A68,0))*$B$11</f>
        <v>-206.74003428346114</v>
      </c>
    </row>
    <row r="69">
      <c r="A69" s="95" t="n">
        <v>17.2</v>
      </c>
      <c r="B69" s="53">
        <f>(MAX($A69-30.0,0)+MAX(30.0-$A69,0)-$G$41-$G$42)*$B$11</f>
        <v>497.49999999999994</v>
      </c>
      <c r="C69" s="53">
        <f>(MAX($A69-30.0,0)-MAX($A69-40.0,0)-$G$41+$G$43)*$B$11</f>
        <v>-302.50000000000006</v>
      </c>
      <c r="D69" s="53">
        <f>(MAX(30.0-$A69,0)-MAX(22.5-$A69,0)-$G$42+$G$44)*$B$11</f>
        <v>509.24003428346117</v>
      </c>
      <c r="E69" s="53">
        <f>($G$41+$G$42-$G$43-$G$44-MAX($A69-30.0,0)-MAX(30.0-$A69,0)+MAX($A69-40.0,0)+MAX(22.5-$A69,0))*$B$11</f>
        <v>-206.74003428346114</v>
      </c>
    </row>
    <row r="70">
      <c r="A70" s="95" t="n">
        <v>18.8</v>
      </c>
      <c r="B70" s="53">
        <f>(MAX($A70-30.0,0)+MAX(30.0-$A70,0)-$G$41-$G$42)*$B$11</f>
        <v>337.4999999999999</v>
      </c>
      <c r="C70" s="53">
        <f>(MAX($A70-30.0,0)-MAX($A70-40.0,0)-$G$41+$G$43)*$B$11</f>
        <v>-302.50000000000006</v>
      </c>
      <c r="D70" s="53">
        <f>(MAX(30.0-$A70,0)-MAX(22.5-$A70,0)-$G$42+$G$44)*$B$11</f>
        <v>509.24003428346117</v>
      </c>
      <c r="E70" s="53">
        <f>($G$41+$G$42-$G$43-$G$44-MAX($A70-30.0,0)-MAX(30.0-$A70,0)+MAX($A70-40.0,0)+MAX(22.5-$A70,0))*$B$11</f>
        <v>-206.74003428346114</v>
      </c>
    </row>
    <row r="71">
      <c r="A71" s="95" t="n">
        <v>20.4</v>
      </c>
      <c r="B71" s="53">
        <f>(MAX($A71-30.0,0)+MAX(30.0-$A71,0)-$G$41-$G$42)*$B$11</f>
        <v>177.50000000000009</v>
      </c>
      <c r="C71" s="53">
        <f>(MAX($A71-30.0,0)-MAX($A71-40.0,0)-$G$41+$G$43)*$B$11</f>
        <v>-302.50000000000006</v>
      </c>
      <c r="D71" s="53">
        <f>(MAX(30.0-$A71,0)-MAX(22.5-$A71,0)-$G$42+$G$44)*$B$11</f>
        <v>509.24003428346117</v>
      </c>
      <c r="E71" s="53">
        <f>($G$41+$G$42-$G$43-$G$44-MAX($A71-30.0,0)-MAX(30.0-$A71,0)+MAX($A71-40.0,0)+MAX(22.5-$A71,0))*$B$11</f>
        <v>-206.74003428346114</v>
      </c>
    </row>
    <row r="72">
      <c r="A72" s="95" t="n">
        <v>21.9</v>
      </c>
      <c r="B72" s="53">
        <f>(MAX($A72-30.0,0)+MAX(30.0-$A72,0)-$G$41-$G$42)*$B$11</f>
        <v>27.500000000000078</v>
      </c>
      <c r="C72" s="53">
        <f>(MAX($A72-30.0,0)-MAX($A72-40.0,0)-$G$41+$G$43)*$B$11</f>
        <v>-302.50000000000006</v>
      </c>
      <c r="D72" s="53">
        <f>(MAX(30.0-$A72,0)-MAX(22.5-$A72,0)-$G$42+$G$44)*$B$11</f>
        <v>509.24003428346117</v>
      </c>
      <c r="E72" s="53">
        <f>($G$41+$G$42-$G$43-$G$44-MAX($A72-30.0,0)-MAX(30.0-$A72,0)+MAX($A72-40.0,0)+MAX(22.5-$A72,0))*$B$11</f>
        <v>-206.74003428346114</v>
      </c>
    </row>
    <row r="73">
      <c r="A73" s="95" t="n">
        <v>23.5</v>
      </c>
      <c r="B73" s="53">
        <f>(MAX($A73-30.0,0)+MAX(30.0-$A73,0)-$G$41-$G$42)*$B$11</f>
        <v>-132.50000000000006</v>
      </c>
      <c r="C73" s="53">
        <f>(MAX($A73-30.0,0)-MAX($A73-40.0,0)-$G$41+$G$43)*$B$11</f>
        <v>-302.50000000000006</v>
      </c>
      <c r="D73" s="53">
        <f>(MAX(30.0-$A73,0)-MAX(22.5-$A73,0)-$G$42+$G$44)*$B$11</f>
        <v>409.24003428346117</v>
      </c>
      <c r="E73" s="53">
        <f>($G$41+$G$42-$G$43-$G$44-MAX($A73-30.0,0)-MAX(30.0-$A73,0)+MAX($A73-40.0,0)+MAX(22.5-$A73,0))*$B$11</f>
        <v>-106.74003428346114</v>
      </c>
    </row>
    <row r="74">
      <c r="A74" s="95" t="n">
        <v>25.1</v>
      </c>
      <c r="B74" s="53">
        <f>(MAX($A74-30.0,0)+MAX(30.0-$A74,0)-$G$41-$G$42)*$B$11</f>
        <v>-292.5000000000002</v>
      </c>
      <c r="C74" s="53">
        <f>(MAX($A74-30.0,0)-MAX($A74-40.0,0)-$G$41+$G$43)*$B$11</f>
        <v>-302.50000000000006</v>
      </c>
      <c r="D74" s="53">
        <f>(MAX(30.0-$A74,0)-MAX(22.5-$A74,0)-$G$42+$G$44)*$B$11</f>
        <v>249.24003428346106</v>
      </c>
      <c r="E74" s="53">
        <f>($G$41+$G$42-$G$43-$G$44-MAX($A74-30.0,0)-MAX(30.0-$A74,0)+MAX($A74-40.0,0)+MAX(22.5-$A74,0))*$B$11</f>
        <v>53.25996571653899</v>
      </c>
    </row>
    <row r="75">
      <c r="A75" s="95" t="n">
        <v>26.6</v>
      </c>
      <c r="B75" s="53">
        <f>(MAX($A75-30.0,0)+MAX(30.0-$A75,0)-$G$41-$G$42)*$B$11</f>
        <v>-442.5000000000002</v>
      </c>
      <c r="C75" s="53">
        <f>(MAX($A75-30.0,0)-MAX($A75-40.0,0)-$G$41+$G$43)*$B$11</f>
        <v>-302.50000000000006</v>
      </c>
      <c r="D75" s="53">
        <f>(MAX(30.0-$A75,0)-MAX(22.5-$A75,0)-$G$42+$G$44)*$B$11</f>
        <v>99.24003428346104</v>
      </c>
      <c r="E75" s="53">
        <f>($G$41+$G$42-$G$43-$G$44-MAX($A75-30.0,0)-MAX(30.0-$A75,0)+MAX($A75-40.0,0)+MAX(22.5-$A75,0))*$B$11</f>
        <v>203.259965716539</v>
      </c>
    </row>
    <row r="76">
      <c r="A76" s="95" t="n">
        <v>28.2</v>
      </c>
      <c r="B76" s="53">
        <f>(MAX($A76-30.0,0)+MAX(30.0-$A76,0)-$G$41-$G$42)*$B$11</f>
        <v>-602.5</v>
      </c>
      <c r="C76" s="53">
        <f>(MAX($A76-30.0,0)-MAX($A76-40.0,0)-$G$41+$G$43)*$B$11</f>
        <v>-302.50000000000006</v>
      </c>
      <c r="D76" s="53">
        <f>(MAX(30.0-$A76,0)-MAX(22.5-$A76,0)-$G$42+$G$44)*$B$11</f>
        <v>-60.759965716538744</v>
      </c>
      <c r="E76" s="53">
        <f>($G$41+$G$42-$G$43-$G$44-MAX($A76-30.0,0)-MAX(30.0-$A76,0)+MAX($A76-40.0,0)+MAX(22.5-$A76,0))*$B$11</f>
        <v>363.2599657165388</v>
      </c>
    </row>
    <row r="77">
      <c r="A77" s="95" t="n">
        <v>29.8</v>
      </c>
      <c r="B77" s="53">
        <f>(MAX($A77-30.0,0)+MAX(30.0-$A77,0)-$G$41-$G$42)*$B$11</f>
        <v>-762.5000000000002</v>
      </c>
      <c r="C77" s="53">
        <f>(MAX($A77-30.0,0)-MAX($A77-40.0,0)-$G$41+$G$43)*$B$11</f>
        <v>-302.50000000000006</v>
      </c>
      <c r="D77" s="53">
        <f>(MAX(30.0-$A77,0)-MAX(22.5-$A77,0)-$G$42+$G$44)*$B$11</f>
        <v>-220.7599657165389</v>
      </c>
      <c r="E77" s="53">
        <f>($G$41+$G$42-$G$43-$G$44-MAX($A77-30.0,0)-MAX(30.0-$A77,0)+MAX($A77-40.0,0)+MAX(22.5-$A77,0))*$B$11</f>
        <v>523.2599657165389</v>
      </c>
    </row>
    <row r="78">
      <c r="A78" s="95" t="n">
        <v>31.3</v>
      </c>
      <c r="B78" s="53">
        <f>(MAX($A78-30.0,0)+MAX(30.0-$A78,0)-$G$41-$G$42)*$B$11</f>
        <v>-652.5</v>
      </c>
      <c r="C78" s="53">
        <f>(MAX($A78-30.0,0)-MAX($A78-40.0,0)-$G$41+$G$43)*$B$11</f>
        <v>-172.5</v>
      </c>
      <c r="D78" s="53">
        <f>(MAX(30.0-$A78,0)-MAX(22.5-$A78,0)-$G$42+$G$44)*$B$11</f>
        <v>-240.75996571653883</v>
      </c>
      <c r="E78" s="53">
        <f>($G$41+$G$42-$G$43-$G$44-MAX($A78-30.0,0)-MAX(30.0-$A78,0)+MAX($A78-40.0,0)+MAX(22.5-$A78,0))*$B$11</f>
        <v>413.2599657165388</v>
      </c>
    </row>
    <row r="79">
      <c r="A79" s="95" t="n">
        <v>32.9</v>
      </c>
      <c r="B79" s="53">
        <f>(MAX($A79-30.0,0)+MAX(30.0-$A79,0)-$G$41-$G$42)*$B$11</f>
        <v>-492.5000000000002</v>
      </c>
      <c r="C79" s="53">
        <f>(MAX($A79-30.0,0)-MAX($A79-40.0,0)-$G$41+$G$43)*$B$11</f>
        <v>-12.500000000000222</v>
      </c>
      <c r="D79" s="53">
        <f>(MAX(30.0-$A79,0)-MAX(22.5-$A79,0)-$G$42+$G$44)*$B$11</f>
        <v>-240.75996571653883</v>
      </c>
      <c r="E79" s="53">
        <f>($G$41+$G$42-$G$43-$G$44-MAX($A79-30.0,0)-MAX(30.0-$A79,0)+MAX($A79-40.0,0)+MAX(22.5-$A79,0))*$B$11</f>
        <v>253.259965716539</v>
      </c>
    </row>
    <row r="80">
      <c r="A80" s="95" t="n">
        <v>34.5</v>
      </c>
      <c r="B80" s="53">
        <f>(MAX($A80-30.0,0)+MAX(30.0-$A80,0)-$G$41-$G$42)*$B$11</f>
        <v>-332.50000000000006</v>
      </c>
      <c r="C80" s="53">
        <f>(MAX($A80-30.0,0)-MAX($A80-40.0,0)-$G$41+$G$43)*$B$11</f>
        <v>147.49999999999991</v>
      </c>
      <c r="D80" s="53">
        <f>(MAX(30.0-$A80,0)-MAX(22.5-$A80,0)-$G$42+$G$44)*$B$11</f>
        <v>-240.75996571653883</v>
      </c>
      <c r="E80" s="53">
        <f>($G$41+$G$42-$G$43-$G$44-MAX($A80-30.0,0)-MAX(30.0-$A80,0)+MAX($A80-40.0,0)+MAX(22.5-$A80,0))*$B$11</f>
        <v>93.25996571653886</v>
      </c>
    </row>
    <row r="81">
      <c r="A81" s="95" t="n">
        <v>36</v>
      </c>
      <c r="B81" s="53">
        <f>(MAX($A81-30.0,0)+MAX(30.0-$A81,0)-$G$41-$G$42)*$B$11</f>
        <v>-182.50000000000006</v>
      </c>
      <c r="C81" s="53">
        <f>(MAX($A81-30.0,0)-MAX($A81-40.0,0)-$G$41+$G$43)*$B$11</f>
        <v>297.49999999999994</v>
      </c>
      <c r="D81" s="53">
        <f>(MAX(30.0-$A81,0)-MAX(22.5-$A81,0)-$G$42+$G$44)*$B$11</f>
        <v>-240.75996571653883</v>
      </c>
      <c r="E81" s="53">
        <f>($G$41+$G$42-$G$43-$G$44-MAX($A81-30.0,0)-MAX(30.0-$A81,0)+MAX($A81-40.0,0)+MAX(22.5-$A81,0))*$B$11</f>
        <v>-56.74003428346115</v>
      </c>
    </row>
    <row r="82">
      <c r="A82" s="95" t="n">
        <v>37.6</v>
      </c>
      <c r="B82" s="53">
        <f>(MAX($A82-30.0,0)+MAX(30.0-$A82,0)-$G$41-$G$42)*$B$11</f>
        <v>-22.499999999999922</v>
      </c>
      <c r="C82" s="53">
        <f>(MAX($A82-30.0,0)-MAX($A82-40.0,0)-$G$41+$G$43)*$B$11</f>
        <v>457.5000000000001</v>
      </c>
      <c r="D82" s="53">
        <f>(MAX(30.0-$A82,0)-MAX(22.5-$A82,0)-$G$42+$G$44)*$B$11</f>
        <v>-240.75996571653883</v>
      </c>
      <c r="E82" s="53">
        <f>($G$41+$G$42-$G$43-$G$44-MAX($A82-30.0,0)-MAX(30.0-$A82,0)+MAX($A82-40.0,0)+MAX(22.5-$A82,0))*$B$11</f>
        <v>-216.74003428346128</v>
      </c>
    </row>
    <row r="83">
      <c r="A83" s="95" t="n">
        <v>39.1</v>
      </c>
      <c r="B83" s="53">
        <f>(MAX($A83-30.0,0)+MAX(30.0-$A83,0)-$G$41-$G$42)*$B$11</f>
        <v>127.50000000000009</v>
      </c>
      <c r="C83" s="53">
        <f>(MAX($A83-30.0,0)-MAX($A83-40.0,0)-$G$41+$G$43)*$B$11</f>
        <v>607.5000000000001</v>
      </c>
      <c r="D83" s="53">
        <f>(MAX(30.0-$A83,0)-MAX(22.5-$A83,0)-$G$42+$G$44)*$B$11</f>
        <v>-240.75996571653883</v>
      </c>
      <c r="E83" s="53">
        <f>($G$41+$G$42-$G$43-$G$44-MAX($A83-30.0,0)-MAX(30.0-$A83,0)+MAX($A83-40.0,0)+MAX(22.5-$A83,0))*$B$11</f>
        <v>-366.7400342834613</v>
      </c>
    </row>
    <row r="84">
      <c r="A84" s="95" t="n">
        <v>40.7</v>
      </c>
      <c r="B84" s="53">
        <f>(MAX($A84-30.0,0)+MAX(30.0-$A84,0)-$G$41-$G$42)*$B$11</f>
        <v>287.5000000000002</v>
      </c>
      <c r="C84" s="53">
        <f>(MAX($A84-30.0,0)-MAX($A84-40.0,0)-$G$41+$G$43)*$B$11</f>
        <v>697.5</v>
      </c>
      <c r="D84" s="53">
        <f>(MAX(30.0-$A84,0)-MAX(22.5-$A84,0)-$G$42+$G$44)*$B$11</f>
        <v>-240.75996571653883</v>
      </c>
      <c r="E84" s="53">
        <f>($G$41+$G$42-$G$43-$G$44-MAX($A84-30.0,0)-MAX(30.0-$A84,0)+MAX($A84-40.0,0)+MAX(22.5-$A84,0))*$B$11</f>
        <v>-456.74003428346117</v>
      </c>
    </row>
    <row r="85">
      <c r="A85" s="95" t="n">
        <v>42.3</v>
      </c>
      <c r="B85" s="53">
        <f>(MAX($A85-30.0,0)+MAX(30.0-$A85,0)-$G$41-$G$42)*$B$11</f>
        <v>447.4999999999996</v>
      </c>
      <c r="C85" s="53">
        <f>(MAX($A85-30.0,0)-MAX($A85-40.0,0)-$G$41+$G$43)*$B$11</f>
        <v>697.5</v>
      </c>
      <c r="D85" s="53">
        <f>(MAX(30.0-$A85,0)-MAX(22.5-$A85,0)-$G$42+$G$44)*$B$11</f>
        <v>-240.75996571653883</v>
      </c>
      <c r="E85" s="53">
        <f>($G$41+$G$42-$G$43-$G$44-MAX($A85-30.0,0)-MAX(30.0-$A85,0)+MAX($A85-40.0,0)+MAX(22.5-$A85,0))*$B$11</f>
        <v>-456.74003428346117</v>
      </c>
    </row>
    <row r="86">
      <c r="A86" s="95" t="n">
        <v>43.8</v>
      </c>
      <c r="B86" s="53">
        <f>(MAX($A86-30.0,0)+MAX(30.0-$A86,0)-$G$41-$G$42)*$B$11</f>
        <v>597.4999999999997</v>
      </c>
      <c r="C86" s="53">
        <f>(MAX($A86-30.0,0)-MAX($A86-40.0,0)-$G$41+$G$43)*$B$11</f>
        <v>697.5</v>
      </c>
      <c r="D86" s="53">
        <f>(MAX(30.0-$A86,0)-MAX(22.5-$A86,0)-$G$42+$G$44)*$B$11</f>
        <v>-240.75996571653883</v>
      </c>
      <c r="E86" s="53">
        <f>($G$41+$G$42-$G$43-$G$44-MAX($A86-30.0,0)-MAX(30.0-$A86,0)+MAX($A86-40.0,0)+MAX(22.5-$A86,0))*$B$11</f>
        <v>-456.74003428346117</v>
      </c>
    </row>
    <row r="87">
      <c r="A87" s="95" t="n">
        <v>45.4</v>
      </c>
      <c r="B87" s="53">
        <f>(MAX($A87-30.0,0)+MAX(30.0-$A87,0)-$G$41-$G$42)*$B$11</f>
        <v>757.4999999999998</v>
      </c>
      <c r="C87" s="53">
        <f>(MAX($A87-30.0,0)-MAX($A87-40.0,0)-$G$41+$G$43)*$B$11</f>
        <v>697.5</v>
      </c>
      <c r="D87" s="53">
        <f>(MAX(30.0-$A87,0)-MAX(22.5-$A87,0)-$G$42+$G$44)*$B$11</f>
        <v>-240.75996571653883</v>
      </c>
      <c r="E87" s="53">
        <f>($G$41+$G$42-$G$43-$G$44-MAX($A87-30.0,0)-MAX(30.0-$A87,0)+MAX($A87-40.0,0)+MAX(22.5-$A87,0))*$B$11</f>
        <v>-456.74003428346117</v>
      </c>
    </row>
    <row r="88">
      <c r="A88" s="95" t="n">
        <v>47</v>
      </c>
      <c r="B88" s="53">
        <f>(MAX($A88-30.0,0)+MAX(30.0-$A88,0)-$G$41-$G$42)*$B$11</f>
        <v>917.4999999999999</v>
      </c>
      <c r="C88" s="53">
        <f>(MAX($A88-30.0,0)-MAX($A88-40.0,0)-$G$41+$G$43)*$B$11</f>
        <v>697.5</v>
      </c>
      <c r="D88" s="53">
        <f>(MAX(30.0-$A88,0)-MAX(22.5-$A88,0)-$G$42+$G$44)*$B$11</f>
        <v>-240.75996571653883</v>
      </c>
      <c r="E88" s="53">
        <f>($G$41+$G$42-$G$43-$G$44-MAX($A88-30.0,0)-MAX(30.0-$A88,0)+MAX($A88-40.0,0)+MAX(22.5-$A88,0))*$B$11</f>
        <v>-456.74003428346117</v>
      </c>
    </row>
    <row r="89">
      <c r="A89" s="95" t="n">
        <v>48.5</v>
      </c>
      <c r="B89" s="53">
        <f>(MAX($A89-30.0,0)+MAX(30.0-$A89,0)-$G$41-$G$42)*$B$11</f>
        <v>1067.5</v>
      </c>
      <c r="C89" s="53">
        <f>(MAX($A89-30.0,0)-MAX($A89-40.0,0)-$G$41+$G$43)*$B$11</f>
        <v>697.5</v>
      </c>
      <c r="D89" s="53">
        <f>(MAX(30.0-$A89,0)-MAX(22.5-$A89,0)-$G$42+$G$44)*$B$11</f>
        <v>-240.75996571653883</v>
      </c>
      <c r="E89" s="53">
        <f>($G$41+$G$42-$G$43-$G$44-MAX($A89-30.0,0)-MAX(30.0-$A89,0)+MAX($A89-40.0,0)+MAX(22.5-$A89,0))*$B$11</f>
        <v>-456.74003428346117</v>
      </c>
    </row>
    <row r="90">
      <c r="A90" s="95" t="n">
        <v>50.1</v>
      </c>
      <c r="B90" s="53">
        <f>(MAX($A90-30.0,0)+MAX(30.0-$A90,0)-$G$41-$G$42)*$B$11</f>
        <v>1227.5</v>
      </c>
      <c r="C90" s="53">
        <f>(MAX($A90-30.0,0)-MAX($A90-40.0,0)-$G$41+$G$43)*$B$11</f>
        <v>697.5</v>
      </c>
      <c r="D90" s="53">
        <f>(MAX(30.0-$A90,0)-MAX(22.5-$A90,0)-$G$42+$G$44)*$B$11</f>
        <v>-240.75996571653883</v>
      </c>
      <c r="E90" s="53">
        <f>($G$41+$G$42-$G$43-$G$44-MAX($A90-30.0,0)-MAX(30.0-$A90,0)+MAX($A90-40.0,0)+MAX(22.5-$A90,0))*$B$11</f>
        <v>-456.74003428346117</v>
      </c>
    </row>
    <row r="91">
      <c r="A91" s="95" t="n">
        <v>51.7</v>
      </c>
      <c r="B91" s="53">
        <f>(MAX($A91-30.0,0)+MAX(30.0-$A91,0)-$G$41-$G$42)*$B$11</f>
        <v>1387.5000000000002</v>
      </c>
      <c r="C91" s="53">
        <f>(MAX($A91-30.0,0)-MAX($A91-40.0,0)-$G$41+$G$43)*$B$11</f>
        <v>697.5</v>
      </c>
      <c r="D91" s="53">
        <f>(MAX(30.0-$A91,0)-MAX(22.5-$A91,0)-$G$42+$G$44)*$B$11</f>
        <v>-240.75996571653883</v>
      </c>
      <c r="E91" s="53">
        <f>($G$41+$G$42-$G$43-$G$44-MAX($A91-30.0,0)-MAX(30.0-$A91,0)+MAX($A91-40.0,0)+MAX(22.5-$A91,0))*$B$11</f>
        <v>-456.740034283461</v>
      </c>
    </row>
    <row r="92">
      <c r="A92" s="95" t="n">
        <v>53.2</v>
      </c>
      <c r="B92" s="53">
        <f>(MAX($A92-30.0,0)+MAX(30.0-$A92,0)-$G$41-$G$42)*$B$11</f>
        <v>1537.5000000000002</v>
      </c>
      <c r="C92" s="53">
        <f>(MAX($A92-30.0,0)-MAX($A92-40.0,0)-$G$41+$G$43)*$B$11</f>
        <v>697.5</v>
      </c>
      <c r="D92" s="53">
        <f>(MAX(30.0-$A92,0)-MAX(22.5-$A92,0)-$G$42+$G$44)*$B$11</f>
        <v>-240.75996571653883</v>
      </c>
      <c r="E92" s="53">
        <f>($G$41+$G$42-$G$43-$G$44-MAX($A92-30.0,0)-MAX(30.0-$A92,0)+MAX($A92-40.0,0)+MAX(22.5-$A92,0))*$B$11</f>
        <v>-456.740034283461</v>
      </c>
    </row>
    <row r="93">
      <c r="A93" s="95" t="n">
        <v>54.8</v>
      </c>
      <c r="B93" s="53">
        <f>(MAX($A93-30.0,0)+MAX(30.0-$A93,0)-$G$41-$G$42)*$B$11</f>
        <v>1697.4999999999998</v>
      </c>
      <c r="C93" s="53">
        <f>(MAX($A93-30.0,0)-MAX($A93-40.0,0)-$G$41+$G$43)*$B$11</f>
        <v>697.5</v>
      </c>
      <c r="D93" s="53">
        <f>(MAX(30.0-$A93,0)-MAX(22.5-$A93,0)-$G$42+$G$44)*$B$11</f>
        <v>-240.75996571653883</v>
      </c>
      <c r="E93" s="53">
        <f>($G$41+$G$42-$G$43-$G$44-MAX($A93-30.0,0)-MAX(30.0-$A93,0)+MAX($A93-40.0,0)+MAX(22.5-$A93,0))*$B$11</f>
        <v>-456.740034283461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2026-10-19T00:51:31Z</dcterms:modified>
  <cp:lastModifiedBy>Wang, Eric</cp:lastModifiedBy>
</cp:coreProperties>
</file>