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Twist Bioscience Corporation</t>
        </is>
      </c>
      <c r="C2" s="10" t="n"/>
    </row>
    <row r="3">
      <c r="B3" t="inlineStr">
        <is>
          <t>Price</t>
        </is>
      </c>
      <c r="C3" s="11">
        <f>INDEX([1]Pharma!$F$1:$F$1000,MATCH("TWST",[1]Pharma!$B$1:$B$1000,0))</f>
        <v>142.7</v>
      </c>
      <c r="F3" s="1" t="n"/>
    </row>
    <row r="4">
      <c r="B4" t="inlineStr">
        <is>
          <t>Shares</t>
        </is>
      </c>
      <c r="C4" s="51" t="n">
        <v>62.707424</v>
      </c>
      <c r="F4" s="1" t="n"/>
    </row>
    <row r="5">
      <c r="B5" t="inlineStr">
        <is>
          <t>Market Cap.</t>
        </is>
      </c>
      <c r="C5" s="13">
        <f>C3*C4</f>
        <v>8948.3494048</v>
      </c>
      <c r="F5" s="1" t="n"/>
    </row>
    <row r="6"/>
    <row r="7">
      <c r="B7" t="inlineStr">
        <is>
          <t>Cash</t>
        </is>
      </c>
      <c r="C7" s="51">
        <f>117.436+49.403</f>
        <v>166.839</v>
      </c>
    </row>
    <row r="8">
      <c r="B8" t="inlineStr">
        <is>
          <t>Debt</t>
        </is>
      </c>
      <c r="C8" s="51" t="n">
        <v>15</v>
      </c>
    </row>
    <row r="9">
      <c r="B9" t="inlineStr">
        <is>
          <t>Enterprise V.</t>
        </is>
      </c>
      <c r="C9" s="13">
        <f>C5-C7+C8</f>
        <v>8796.5104048</v>
      </c>
    </row>
    <row r="10"/>
    <row r="11">
      <c r="B11" s="14" t="inlineStr">
        <is>
          <t>NPV / Share</t>
        </is>
      </c>
      <c r="C11" s="11">
        <f>NPV!B28</f>
        <v>15.588532270153587</v>
      </c>
    </row>
    <row r="12">
      <c r="B12" s="14" t="inlineStr">
        <is>
          <t>Upside</t>
        </is>
      </c>
      <c r="C12" s="15">
        <f>IFERROR(C11/C3-1,"")</f>
        <v>-0.8907601102301781</v>
      </c>
    </row>
    <row r="13">
      <c r="B13" s="14" t="inlineStr">
        <is>
          <t>Cash / Share</t>
        </is>
      </c>
      <c r="C13" s="11">
        <f>IFERROR((C7-C8)/C4,"")</f>
        <v>2.4213879364586877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2017</v>
      </c>
      <c r="C1" s="16" t="n">
        <v>2018</v>
      </c>
      <c r="D1" s="16" t="n">
        <v>2019</v>
      </c>
      <c r="E1" s="16" t="n">
        <v>2020</v>
      </c>
      <c r="F1" s="16" t="n">
        <v>2021</v>
      </c>
      <c r="G1" s="16" t="n">
        <v>2022</v>
      </c>
      <c r="H1" s="16" t="n">
        <v>2023</v>
      </c>
      <c r="I1" s="16" t="n">
        <v>2024</v>
      </c>
      <c r="J1" s="16" t="n">
        <v>2025</v>
      </c>
      <c r="K1" s="16" t="n">
        <v>2026</v>
      </c>
      <c r="L1" s="16" t="n">
        <v>2027</v>
      </c>
      <c r="M1" s="16" t="n">
        <v>2028</v>
      </c>
      <c r="N1" s="16" t="n">
        <v>2029</v>
      </c>
      <c r="O1" s="16" t="n">
        <v>2030</v>
      </c>
      <c r="P1" s="16" t="n">
        <v>2031</v>
      </c>
      <c r="Q1" s="16" t="n">
        <v>2032</v>
      </c>
      <c r="R1" s="16" t="n">
        <v>2033</v>
      </c>
      <c r="S1" s="16" t="n">
        <v>2034</v>
      </c>
      <c r="T1" s="16" t="n">
        <v>2035</v>
      </c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10.767</v>
      </c>
      <c r="C2" s="52" t="n">
        <v>25.427</v>
      </c>
      <c r="D2" s="52" t="n">
        <v>54.385</v>
      </c>
      <c r="E2" s="52" t="n">
        <v>90.09999999999999</v>
      </c>
      <c r="F2" s="52" t="n">
        <v>132.333</v>
      </c>
      <c r="G2" s="52" t="n">
        <v>203.565</v>
      </c>
      <c r="H2" s="52" t="n">
        <v>245.109</v>
      </c>
      <c r="I2" s="52" t="n">
        <v>312.974</v>
      </c>
      <c r="J2" s="52" t="n">
        <v>376.572</v>
      </c>
      <c r="K2" s="52">
        <f>J2*(1+NPV!C5)</f>
        <v>451.509828</v>
      </c>
      <c r="L2" s="52">
        <f>K2*(1+NPV!D5)</f>
        <v>532.6310937640001</v>
      </c>
      <c r="M2" s="52">
        <f>L2*(1+NPV!E5)</f>
        <v>618.0296124641615</v>
      </c>
      <c r="N2" s="52">
        <f>M2*(1+NPV!F5)</f>
        <v>705.1717878216083</v>
      </c>
      <c r="O2" s="52">
        <f>N2*(1+NPV!G5)</f>
        <v>790.9676886732373</v>
      </c>
      <c r="P2" s="52">
        <f>O2*(1+NPV!H5)</f>
        <v>871.9100488141319</v>
      </c>
      <c r="Q2" s="52">
        <f>P2*(1+NPV!I5)</f>
        <v>944.2785828657048</v>
      </c>
      <c r="R2" s="52">
        <f>Q2*(1+NPV!J5)</f>
        <v>1004.3976526414881</v>
      </c>
      <c r="S2" s="52">
        <f>R2*(1+NPV!K5)</f>
        <v>1048.9259485752607</v>
      </c>
      <c r="T2" s="52">
        <f>S2*(1+NPV!L5)</f>
        <v>1075.1490972896422</v>
      </c>
    </row>
    <row r="3" customFormat="1" s="1">
      <c r="A3" s="5" t="inlineStr">
        <is>
          <t>Cost of Sales</t>
        </is>
      </c>
      <c r="B3" s="52" t="n">
        <v>24.02</v>
      </c>
      <c r="C3" s="52" t="n">
        <v>32.189</v>
      </c>
      <c r="D3" s="52" t="n">
        <v>47.426</v>
      </c>
      <c r="E3" s="52" t="n">
        <v>61.406</v>
      </c>
      <c r="F3" s="52" t="n">
        <v>80.62</v>
      </c>
      <c r="G3" s="52" t="n">
        <v>119.33</v>
      </c>
      <c r="H3" s="52" t="n">
        <v>155.38</v>
      </c>
      <c r="I3" s="52" t="n">
        <v>179.625</v>
      </c>
      <c r="J3" s="52" t="n">
        <v>185.57</v>
      </c>
      <c r="K3" s="52">
        <f>K2*(1-Assumptions!$B$19)</f>
        <v>222.50404323840002</v>
      </c>
      <c r="L3" s="52">
        <f>L2*(1-Assumptions!$B$19)</f>
        <v>262.48060300689923</v>
      </c>
      <c r="M3" s="52">
        <f>M2*(1-Assumptions!$B$19)</f>
        <v>304.5649930223388</v>
      </c>
      <c r="N3" s="52">
        <f>N2*(1-Assumptions!$B$19)</f>
        <v>347.5086570384886</v>
      </c>
      <c r="O3" s="52">
        <f>O2*(1-Assumptions!$B$19)</f>
        <v>389.78887697817134</v>
      </c>
      <c r="P3" s="52">
        <f>P2*(1-Assumptions!$B$19)</f>
        <v>429.6772720556042</v>
      </c>
      <c r="Q3" s="52">
        <f>Q2*(1-Assumptions!$B$19)</f>
        <v>465.34048563621934</v>
      </c>
      <c r="R3" s="52">
        <f>R2*(1-Assumptions!$B$19)</f>
        <v>494.96716322172534</v>
      </c>
      <c r="S3" s="52">
        <f>S2*(1-Assumptions!$B$19)</f>
        <v>516.9107074578885</v>
      </c>
      <c r="T3" s="52">
        <f>T2*(1-Assumptions!$B$19)</f>
        <v>529.8334751443357</v>
      </c>
    </row>
    <row r="4" customFormat="1" s="1">
      <c r="A4" s="5" t="inlineStr">
        <is>
          <t>Gross Margin</t>
        </is>
      </c>
      <c r="B4" s="52">
        <f>B2-B3</f>
        <v>-13.253</v>
      </c>
      <c r="C4" s="52">
        <f>C2-C3</f>
        <v>-6.7620000000000005</v>
      </c>
      <c r="D4" s="52">
        <f>D2-D3</f>
        <v>6.958999999999996</v>
      </c>
      <c r="E4" s="52">
        <f>E2-E3</f>
        <v>28.693999999999996</v>
      </c>
      <c r="F4" s="52">
        <f>F2-F3</f>
        <v>51.712999999999994</v>
      </c>
      <c r="G4" s="52">
        <f>G2-G3</f>
        <v>84.235</v>
      </c>
      <c r="H4" s="52">
        <f>H2-H3</f>
        <v>89.72900000000001</v>
      </c>
      <c r="I4" s="52">
        <f>I2-I3</f>
        <v>133.349</v>
      </c>
      <c r="J4" s="52">
        <f>J2-J3</f>
        <v>191.002</v>
      </c>
      <c r="K4" s="52">
        <f>K2-K3</f>
        <v>229.0057847616</v>
      </c>
      <c r="L4" s="52">
        <f>L2-L3</f>
        <v>270.15049075710084</v>
      </c>
      <c r="M4" s="52">
        <f>M2-M3</f>
        <v>313.46461944182266</v>
      </c>
      <c r="N4" s="52">
        <f>N2-N3</f>
        <v>357.6631307831197</v>
      </c>
      <c r="O4" s="52">
        <f>O2-O3</f>
        <v>401.1788116950659</v>
      </c>
      <c r="P4" s="52">
        <f>P2-P3</f>
        <v>442.2327767585277</v>
      </c>
      <c r="Q4" s="52">
        <f>Q2-Q3</f>
        <v>478.9380972294855</v>
      </c>
      <c r="R4" s="52">
        <f>R2-R3</f>
        <v>509.43048941976275</v>
      </c>
      <c r="S4" s="52">
        <f>S2-S3</f>
        <v>532.0152411173722</v>
      </c>
      <c r="T4" s="52">
        <f>T2-T3</f>
        <v>545.3156221453065</v>
      </c>
    </row>
    <row r="5">
      <c r="A5" s="2" t="inlineStr">
        <is>
          <t>Research &amp; Dev.</t>
        </is>
      </c>
      <c r="B5" s="52" t="n">
        <v>19.169</v>
      </c>
      <c r="C5" s="52" t="n">
        <v>20.347</v>
      </c>
      <c r="D5" s="52" t="n">
        <v>35.683</v>
      </c>
      <c r="E5" s="52" t="n">
        <v>43.006</v>
      </c>
      <c r="F5" s="52" t="n">
        <v>69.072</v>
      </c>
      <c r="G5" s="52" t="n">
        <v>120.307</v>
      </c>
      <c r="H5" s="52" t="n">
        <v>106.894</v>
      </c>
      <c r="I5" s="52" t="n">
        <v>90.852</v>
      </c>
      <c r="J5" s="52" t="n">
        <v>80.285</v>
      </c>
      <c r="K5" s="52">
        <f>K7*Assumptions!$B$20</f>
        <v>87.43249692936712</v>
      </c>
      <c r="L5" s="52">
        <f>L7*Assumptions!$B$20</f>
        <v>96.14073906785953</v>
      </c>
      <c r="M5" s="52">
        <f>M7*Assumptions!$B$20</f>
        <v>103.43243349797062</v>
      </c>
      <c r="N5" s="52">
        <f>N7*Assumptions!$B$20</f>
        <v>108.74821111395401</v>
      </c>
      <c r="O5" s="52">
        <f>O7*Assumptions!$B$20</f>
        <v>111.58341750554158</v>
      </c>
      <c r="P5" s="52">
        <f>P7*Assumptions!$B$20</f>
        <v>111.54245507969604</v>
      </c>
      <c r="Q5" s="52">
        <f>Q7*Assumptions!$B$20</f>
        <v>108.38966113223343</v>
      </c>
      <c r="R5" s="52">
        <f>R7*Assumptions!$B$20</f>
        <v>102.08949644379365</v>
      </c>
      <c r="S5" s="52">
        <f>S7*Assumptions!$B$20</f>
        <v>92.82924786422879</v>
      </c>
      <c r="T5" s="52">
        <f>T7*Assumptions!$B$20</f>
        <v>81.01910739921382</v>
      </c>
    </row>
    <row r="6">
      <c r="A6" s="18" t="inlineStr">
        <is>
          <t>SG&amp;A &amp; Other</t>
        </is>
      </c>
      <c r="B6" s="52" t="n">
        <v>26.06</v>
      </c>
      <c r="C6" s="52" t="n">
        <v>43.45</v>
      </c>
      <c r="D6" s="52" t="n">
        <v>80.126</v>
      </c>
      <c r="E6" s="52" t="n">
        <v>125.767</v>
      </c>
      <c r="F6" s="52" t="n">
        <v>135.367</v>
      </c>
      <c r="G6" s="52" t="n">
        <v>198.704</v>
      </c>
      <c r="H6" s="52" t="n">
        <v>199.994</v>
      </c>
      <c r="I6" s="52" t="n">
        <v>263.328</v>
      </c>
      <c r="J6" s="52" t="n">
        <v>246.976</v>
      </c>
      <c r="K6" s="52">
        <f>K7-K5</f>
        <v>268.99839149039286</v>
      </c>
      <c r="L6" s="52">
        <f>L7-L5</f>
        <v>295.79052496744225</v>
      </c>
      <c r="M6" s="52">
        <f>M7-M5</f>
        <v>318.2244499018281</v>
      </c>
      <c r="N6" s="52">
        <f>N7-N5</f>
        <v>334.5791884537346</v>
      </c>
      <c r="O6" s="52">
        <f>O7-O5</f>
        <v>343.3021002504371</v>
      </c>
      <c r="P6" s="52">
        <f>P7-P5</f>
        <v>343.17607357785</v>
      </c>
      <c r="Q6" s="52">
        <f>Q7-Q5</f>
        <v>333.47605893394444</v>
      </c>
      <c r="R6" s="52">
        <f>R7-R5</f>
        <v>314.09271490473327</v>
      </c>
      <c r="S6" s="52">
        <f>S7-S5</f>
        <v>285.6022558627536</v>
      </c>
      <c r="T6" s="52">
        <f>T7-T5</f>
        <v>249.2666952881642</v>
      </c>
    </row>
    <row r="7">
      <c r="A7" s="2" t="inlineStr">
        <is>
          <t>Operating Expense</t>
        </is>
      </c>
      <c r="B7" s="52">
        <f>SUM(B5:B6)</f>
        <v>45.229</v>
      </c>
      <c r="C7" s="52">
        <f>SUM(C5:C6)</f>
        <v>63.797000000000004</v>
      </c>
      <c r="D7" s="52">
        <f>SUM(D5:D6)</f>
        <v>115.809</v>
      </c>
      <c r="E7" s="52">
        <f>SUM(E5:E6)</f>
        <v>168.773</v>
      </c>
      <c r="F7" s="52">
        <f>SUM(F5:F6)</f>
        <v>204.439</v>
      </c>
      <c r="G7" s="52">
        <f>SUM(G5:G6)</f>
        <v>319.011</v>
      </c>
      <c r="H7" s="52">
        <f>SUM(H5:H6)</f>
        <v>306.88800000000003</v>
      </c>
      <c r="I7" s="52">
        <f>SUM(I5:I6)</f>
        <v>354.17999999999995</v>
      </c>
      <c r="J7" s="52">
        <f>SUM(J5:J6)</f>
        <v>327.26099999999997</v>
      </c>
      <c r="K7" s="52">
        <f>K4-K2*NPV!C6</f>
        <v>356.43088841976</v>
      </c>
      <c r="L7" s="52">
        <f>L4-L2*NPV!D6</f>
        <v>391.9312640353018</v>
      </c>
      <c r="M7" s="52">
        <f>M4-M2*NPV!E6</f>
        <v>421.65688339979874</v>
      </c>
      <c r="N7" s="52">
        <f>N4-N2*NPV!F6</f>
        <v>443.32739956768864</v>
      </c>
      <c r="O7" s="52">
        <f>O4-O2*NPV!G6</f>
        <v>454.8855177559787</v>
      </c>
      <c r="P7" s="52">
        <f>P4-P2*NPV!H6</f>
        <v>454.718528657546</v>
      </c>
      <c r="Q7" s="52">
        <f>Q4-Q2*NPV!I6</f>
        <v>441.86572006617786</v>
      </c>
      <c r="R7" s="52">
        <f>R4-R2*NPV!J6</f>
        <v>416.18221134852695</v>
      </c>
      <c r="S7" s="52">
        <f>S4-S2*NPV!K6</f>
        <v>378.43150372698244</v>
      </c>
      <c r="T7" s="52">
        <f>T4-T2*NPV!L6</f>
        <v>330.285802687378</v>
      </c>
    </row>
    <row r="8">
      <c r="A8" s="2" t="inlineStr">
        <is>
          <t>Operating Income</t>
        </is>
      </c>
      <c r="B8" s="52">
        <f>B4-B7</f>
        <v>-58.482</v>
      </c>
      <c r="C8" s="52">
        <f>C4-C7</f>
        <v>-70.559</v>
      </c>
      <c r="D8" s="52">
        <f>D4-D7</f>
        <v>-108.85</v>
      </c>
      <c r="E8" s="52">
        <f>E4-E7</f>
        <v>-140.079</v>
      </c>
      <c r="F8" s="52">
        <f>F4-F7</f>
        <v>-152.726</v>
      </c>
      <c r="G8" s="52">
        <f>G4-G7</f>
        <v>-234.776</v>
      </c>
      <c r="H8" s="52">
        <f>H4-H7</f>
        <v>-217.15900000000002</v>
      </c>
      <c r="I8" s="52">
        <f>I4-I7</f>
        <v>-220.83099999999996</v>
      </c>
      <c r="J8" s="52">
        <f>J4-J7</f>
        <v>-136.25899999999996</v>
      </c>
      <c r="K8" s="52">
        <f>K4-K7</f>
        <v>-127.42510365815997</v>
      </c>
      <c r="L8" s="52">
        <f>L4-L7</f>
        <v>-121.78077327820097</v>
      </c>
      <c r="M8" s="52">
        <f>M4-M7</f>
        <v>-108.19226395797608</v>
      </c>
      <c r="N8" s="52">
        <f>N4-N7</f>
        <v>-85.66426878456895</v>
      </c>
      <c r="O8" s="52">
        <f>O4-O7</f>
        <v>-53.70670606091278</v>
      </c>
      <c r="P8" s="52">
        <f>P4-P7</f>
        <v>-12.48575189901834</v>
      </c>
      <c r="Q8" s="52">
        <f>Q4-Q7</f>
        <v>37.072377163307635</v>
      </c>
      <c r="R8" s="52">
        <f>R4-R7</f>
        <v>93.2482780712358</v>
      </c>
      <c r="S8" s="52">
        <f>S4-S7</f>
        <v>153.58373739038973</v>
      </c>
      <c r="T8" s="52">
        <f>T4-T7</f>
        <v>215.0298194579285</v>
      </c>
    </row>
    <row r="9">
      <c r="A9" s="18" t="inlineStr">
        <is>
          <t>Interest &amp; Other</t>
        </is>
      </c>
      <c r="B9" s="52" t="n">
        <v>-0.548</v>
      </c>
      <c r="C9" s="52" t="n">
        <v>-0.435</v>
      </c>
      <c r="D9" s="52" t="n">
        <v>1.473</v>
      </c>
      <c r="E9" s="52" t="n">
        <v>0.53</v>
      </c>
      <c r="F9" s="52" t="n">
        <v>-1.302</v>
      </c>
      <c r="G9" s="52" t="n">
        <v>6.502</v>
      </c>
      <c r="H9" s="52" t="n">
        <v>13.693</v>
      </c>
      <c r="I9" s="52" t="n">
        <v>12.665</v>
      </c>
      <c r="J9" s="52" t="n">
        <v>59.308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</row>
    <row r="10">
      <c r="A10" s="2" t="inlineStr">
        <is>
          <t>Pretax</t>
        </is>
      </c>
      <c r="B10" s="52">
        <f>B8+B9</f>
        <v>-59.03</v>
      </c>
      <c r="C10" s="52">
        <f>C8+C9</f>
        <v>-70.994</v>
      </c>
      <c r="D10" s="52">
        <f>D8+D9</f>
        <v>-107.377</v>
      </c>
      <c r="E10" s="52">
        <f>E8+E9</f>
        <v>-139.549</v>
      </c>
      <c r="F10" s="52">
        <f>F8+F9</f>
        <v>-154.028</v>
      </c>
      <c r="G10" s="52">
        <f>G8+G9</f>
        <v>-228.274</v>
      </c>
      <c r="H10" s="52">
        <f>H8+H9</f>
        <v>-203.466</v>
      </c>
      <c r="I10" s="52">
        <f>I8+I9</f>
        <v>-208.16599999999997</v>
      </c>
      <c r="J10" s="52">
        <f>J8+J9</f>
        <v>-76.95099999999996</v>
      </c>
      <c r="K10" s="52">
        <f>K8+K9</f>
        <v>-127.42510365815997</v>
      </c>
      <c r="L10" s="52">
        <f>L8+L9</f>
        <v>-121.78077327820097</v>
      </c>
      <c r="M10" s="52">
        <f>M8+M9</f>
        <v>-108.19226395797608</v>
      </c>
      <c r="N10" s="52">
        <f>N8+N9</f>
        <v>-85.66426878456895</v>
      </c>
      <c r="O10" s="52">
        <f>O8+O9</f>
        <v>-53.70670606091278</v>
      </c>
      <c r="P10" s="52">
        <f>P8+P9</f>
        <v>-12.48575189901834</v>
      </c>
      <c r="Q10" s="52">
        <f>Q8+Q9</f>
        <v>37.072377163307635</v>
      </c>
      <c r="R10" s="52">
        <f>R8+R9</f>
        <v>93.2482780712358</v>
      </c>
      <c r="S10" s="52">
        <f>S8+S9</f>
        <v>153.58373739038973</v>
      </c>
      <c r="T10" s="52">
        <f>T8+T9</f>
        <v>215.0298194579285</v>
      </c>
    </row>
    <row r="11">
      <c r="A11" s="2" t="inlineStr">
        <is>
          <t>Taxes</t>
        </is>
      </c>
      <c r="B11" s="52" t="n">
        <v>0.28</v>
      </c>
      <c r="C11" s="52" t="n">
        <v>0.242</v>
      </c>
      <c r="D11" s="52" t="n">
        <v>0.292</v>
      </c>
      <c r="E11" s="52" t="n">
        <v>0.382</v>
      </c>
      <c r="F11" s="52" t="n">
        <v>-1.93</v>
      </c>
      <c r="G11" s="52" t="n">
        <v>-10.411</v>
      </c>
      <c r="H11" s="52" t="n">
        <v>1.152</v>
      </c>
      <c r="I11" s="52" t="n">
        <v>0.5600000000000001</v>
      </c>
      <c r="J11" s="52" t="n">
        <v>0.719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6.302304117762298</v>
      </c>
      <c r="R11" s="52">
        <f>MAX(0,R10)*Assumptions!$E$14</f>
        <v>15.852207272110087</v>
      </c>
      <c r="S11" s="52">
        <f>MAX(0,S10)*Assumptions!$E$14</f>
        <v>26.109235356366256</v>
      </c>
      <c r="T11" s="52">
        <f>MAX(0,T10)*Assumptions!$E$14</f>
        <v>36.55506930784785</v>
      </c>
    </row>
    <row r="12">
      <c r="A12" s="2" t="inlineStr">
        <is>
          <t>Net Income</t>
        </is>
      </c>
      <c r="B12" s="52" t="n">
        <v>-59.31</v>
      </c>
      <c r="C12" s="52" t="n">
        <v>-71.236</v>
      </c>
      <c r="D12" s="52" t="n">
        <v>-107.669</v>
      </c>
      <c r="E12" s="52" t="n">
        <v>-139.931</v>
      </c>
      <c r="F12" s="52" t="n">
        <v>-152.098</v>
      </c>
      <c r="G12" s="52" t="n">
        <v>-217.863</v>
      </c>
      <c r="H12" s="52" t="n">
        <v>-204.618</v>
      </c>
      <c r="I12" s="52" t="n">
        <v>-208.726</v>
      </c>
      <c r="J12" s="52" t="n">
        <v>-77.67</v>
      </c>
      <c r="K12" s="52">
        <f>K10-K11</f>
        <v>-127.42510365815997</v>
      </c>
      <c r="L12" s="52">
        <f>L10-L11</f>
        <v>-121.78077327820097</v>
      </c>
      <c r="M12" s="52">
        <f>M10-M11</f>
        <v>-108.19226395797608</v>
      </c>
      <c r="N12" s="52">
        <f>N10-N11</f>
        <v>-85.66426878456895</v>
      </c>
      <c r="O12" s="52">
        <f>O10-O11</f>
        <v>-53.70670606091278</v>
      </c>
      <c r="P12" s="52">
        <f>P10-P11</f>
        <v>-12.48575189901834</v>
      </c>
      <c r="Q12" s="52">
        <f>Q10-Q11</f>
        <v>30.770073045545338</v>
      </c>
      <c r="R12" s="52">
        <f>R10-R11</f>
        <v>77.39607079912571</v>
      </c>
      <c r="S12" s="52">
        <f>S10-S11</f>
        <v>127.47450203402347</v>
      </c>
      <c r="T12" s="52">
        <f>T10-T11</f>
        <v>178.47475015008067</v>
      </c>
    </row>
    <row r="13">
      <c r="A13" s="2" t="inlineStr">
        <is>
          <t>Earnings per Share</t>
        </is>
      </c>
      <c r="B13" s="11">
        <f>IFERROR(B12/B14,0)</f>
        <v>-2.159790247988056</v>
      </c>
      <c r="C13" s="11">
        <f>IFERROR(C12/C14,0)</f>
        <v>-2.5940788754961583</v>
      </c>
      <c r="D13" s="11">
        <f>IFERROR(D12/D14,0)</f>
        <v>-3.920653994610735</v>
      </c>
      <c r="E13" s="11">
        <f>IFERROR(E12/E14,0)</f>
        <v>-3.5705792293952543</v>
      </c>
      <c r="F13" s="11">
        <f>IFERROR(F12/F14,0)</f>
        <v>-3.1522248243559723</v>
      </c>
      <c r="G13" s="11">
        <f>IFERROR(G12/G14,0)</f>
        <v>-4.043110327549411</v>
      </c>
      <c r="H13" s="11">
        <f>IFERROR(H12/H14,0)</f>
        <v>-3.5970466731124198</v>
      </c>
      <c r="I13" s="11">
        <f>IFERROR(I12/I14,0)</f>
        <v>-3.5977316602316605</v>
      </c>
      <c r="J13" s="11">
        <f>IFERROR(J12/J14,0)</f>
        <v>-1.29865569823435</v>
      </c>
      <c r="K13" s="11">
        <f>IFERROR(K12/K14,0)</f>
        <v>-2.0320576979555076</v>
      </c>
      <c r="L13" s="11">
        <f>IFERROR(L12/L14,0)</f>
        <v>-1.9420471374840873</v>
      </c>
      <c r="M13" s="11">
        <f>IFERROR(M12/M14,0)</f>
        <v>-1.7253501588261078</v>
      </c>
      <c r="N13" s="11">
        <f>IFERROR(N12/N14,0)</f>
        <v>-1.3660945278914494</v>
      </c>
      <c r="O13" s="11">
        <f>IFERROR(O12/O14,0)</f>
        <v>-0.8564648750507241</v>
      </c>
      <c r="P13" s="11">
        <f>IFERROR(P12/P14,0)</f>
        <v>-0.1991112232423762</v>
      </c>
      <c r="Q13" s="11">
        <f>IFERROR(Q12/Q14,0)</f>
        <v>0.4906926657606815</v>
      </c>
      <c r="R13" s="11">
        <f>IFERROR(R12/R14,0)</f>
        <v>1.2342409536568701</v>
      </c>
      <c r="S13" s="11">
        <f>IFERROR(S12/S14,0)</f>
        <v>2.032845457565335</v>
      </c>
      <c r="T13" s="11">
        <f>IFERROR(T12/T14,0)</f>
        <v>2.8461502445082205</v>
      </c>
    </row>
    <row r="14">
      <c r="A14" s="2" t="inlineStr">
        <is>
          <t>Shares</t>
        </is>
      </c>
      <c r="B14" s="52" t="n">
        <v>27.461</v>
      </c>
      <c r="C14" s="52" t="n">
        <v>27.461</v>
      </c>
      <c r="D14" s="52" t="n">
        <v>27.462</v>
      </c>
      <c r="E14" s="52" t="n">
        <v>39.19</v>
      </c>
      <c r="F14" s="52" t="n">
        <v>48.251</v>
      </c>
      <c r="G14" s="52" t="n">
        <v>53.885</v>
      </c>
      <c r="H14" s="52" t="n">
        <v>56.885</v>
      </c>
      <c r="I14" s="52" t="n">
        <v>58.016</v>
      </c>
      <c r="J14" s="52" t="n">
        <v>59.808</v>
      </c>
      <c r="K14" s="52">
        <f>Main!$C$4</f>
        <v>62.707424</v>
      </c>
      <c r="L14" s="52">
        <f>Main!$C$4</f>
        <v>62.707424</v>
      </c>
      <c r="M14" s="52">
        <f>Main!$C$4</f>
        <v>62.707424</v>
      </c>
      <c r="N14" s="52">
        <f>Main!$C$4</f>
        <v>62.707424</v>
      </c>
      <c r="O14" s="52">
        <f>Main!$C$4</f>
        <v>62.707424</v>
      </c>
      <c r="P14" s="52">
        <f>Main!$C$4</f>
        <v>62.707424</v>
      </c>
      <c r="Q14" s="52">
        <f>Main!$C$4</f>
        <v>62.707424</v>
      </c>
      <c r="R14" s="52">
        <f>Main!$C$4</f>
        <v>62.707424</v>
      </c>
      <c r="S14" s="52">
        <f>Main!$C$4</f>
        <v>62.707424</v>
      </c>
      <c r="T14" s="52">
        <f>Main!$C$4</f>
        <v>62.707424</v>
      </c>
    </row>
    <row r="15"/>
    <row r="16" customFormat="1" s="4">
      <c r="A16" s="3" t="inlineStr">
        <is>
          <t>Revenue Change</t>
        </is>
      </c>
      <c r="C16" s="15">
        <f>IFERROR(C2/B2-1,"")</f>
        <v>1.3615677533203305</v>
      </c>
      <c r="D16" s="15">
        <f>IFERROR(D2/C2-1,"")</f>
        <v>1.1388681323003107</v>
      </c>
      <c r="E16" s="15">
        <f>IFERROR(E2/D2-1,"")</f>
        <v>0.6567068125402225</v>
      </c>
      <c r="F16" s="15">
        <f>IFERROR(F2/E2-1,"")</f>
        <v>0.46873473917869046</v>
      </c>
      <c r="G16" s="15">
        <f>IFERROR(G2/F2-1,"")</f>
        <v>0.5382784339507152</v>
      </c>
      <c r="H16" s="15">
        <f>IFERROR(H2/G2-1,"")</f>
        <v>0.20408223417581617</v>
      </c>
      <c r="I16" s="15">
        <f>IFERROR(I2/H2-1,"")</f>
        <v>0.2768768180686958</v>
      </c>
      <c r="J16" s="15">
        <f>IFERROR(J2/I2-1,"")</f>
        <v>0.20320537808252448</v>
      </c>
      <c r="K16" s="15">
        <f>IFERROR(K2/J2-1,"")</f>
        <v>0.19900000000000007</v>
      </c>
      <c r="L16" s="15">
        <f>IFERROR(L2/K2-1,"")</f>
        <v>0.17966666666666664</v>
      </c>
      <c r="M16" s="15">
        <f>IFERROR(M2/L2-1,"")</f>
        <v>0.16033333333333344</v>
      </c>
      <c r="N16" s="15">
        <f>IFERROR(N2/M2-1,"")</f>
        <v>0.14100000000000001</v>
      </c>
      <c r="O16" s="15">
        <f>IFERROR(O2/N2-1,"")</f>
        <v>0.12166666666666659</v>
      </c>
      <c r="P16" s="15">
        <f>IFERROR(P2/O2-1,"")</f>
        <v>0.10233333333333339</v>
      </c>
      <c r="Q16" s="15">
        <f>IFERROR(Q2/P2-1,"")</f>
        <v>0.08299999999999996</v>
      </c>
      <c r="R16" s="15">
        <f>IFERROR(R2/Q2-1,"")</f>
        <v>0.06366666666666676</v>
      </c>
      <c r="S16" s="15">
        <f>IFERROR(S2/R2-1,"")</f>
        <v>0.044333333333333336</v>
      </c>
      <c r="T16" s="15">
        <f>IFERROR(T2/S2-1,"")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-1.230890684498932</v>
      </c>
      <c r="C17" s="15">
        <f>IFERROR(C4/C2,"")</f>
        <v>-0.2659377826719629</v>
      </c>
      <c r="D17" s="15">
        <f>IFERROR(D4/D2,"")</f>
        <v>0.12795807667555387</v>
      </c>
      <c r="E17" s="15">
        <f>IFERROR(E4/E2,"")</f>
        <v>0.31846836847946725</v>
      </c>
      <c r="F17" s="15">
        <f>IFERROR(F4/F2,"")</f>
        <v>0.39077932186227166</v>
      </c>
      <c r="G17" s="15">
        <f>IFERROR(G4/G2,"")</f>
        <v>0.41379903225014125</v>
      </c>
      <c r="H17" s="15">
        <f>IFERROR(H4/H2,"")</f>
        <v>0.36607794899412105</v>
      </c>
      <c r="I17" s="15">
        <f>IFERROR(I4/I2,"")</f>
        <v>0.42607053621067564</v>
      </c>
      <c r="J17" s="15">
        <f>IFERROR(J4/J2,"")</f>
        <v>0.5072124321510894</v>
      </c>
      <c r="K17" s="15">
        <f>IFERROR(K4/K2,"")</f>
        <v>0.5072</v>
      </c>
      <c r="L17" s="15">
        <f>IFERROR(L4/L2,"")</f>
        <v>0.5072</v>
      </c>
      <c r="M17" s="15">
        <f>IFERROR(M4/M2,"")</f>
        <v>0.5072</v>
      </c>
      <c r="N17" s="15">
        <f>IFERROR(N4/N2,"")</f>
        <v>0.5072</v>
      </c>
      <c r="O17" s="15">
        <f>IFERROR(O4/O2,"")</f>
        <v>0.5072</v>
      </c>
      <c r="P17" s="15">
        <f>IFERROR(P4/P2,"")</f>
        <v>0.5072</v>
      </c>
      <c r="Q17" s="15">
        <f>IFERROR(Q4/Q2,"")</f>
        <v>0.5072</v>
      </c>
      <c r="R17" s="15">
        <f>IFERROR(R4/R2,"")</f>
        <v>0.5072</v>
      </c>
      <c r="S17" s="15">
        <f>IFERROR(S4/S2,"")</f>
        <v>0.5072</v>
      </c>
      <c r="T17" s="15">
        <f>IFERROR(T4/T2,"")</f>
        <v>0.5072</v>
      </c>
    </row>
    <row r="18">
      <c r="A18" s="14" t="inlineStr">
        <is>
          <t>Operating Margin</t>
        </is>
      </c>
      <c r="B18" s="15">
        <f>IFERROR(B8/B2,"")</f>
        <v>-5.431596544998607</v>
      </c>
      <c r="C18" s="15">
        <f>IFERROR(C8/C2,"")</f>
        <v>-2.7749636213473865</v>
      </c>
      <c r="D18" s="15">
        <f>IFERROR(D8/D2,"")</f>
        <v>-2.001470993840213</v>
      </c>
      <c r="E18" s="15">
        <f>IFERROR(E8/E2,"")</f>
        <v>-1.5547058823529414</v>
      </c>
      <c r="F18" s="15">
        <f>IFERROR(F8/F2,"")</f>
        <v>-1.154103662729629</v>
      </c>
      <c r="G18" s="15">
        <f>IFERROR(G8/G2,"")</f>
        <v>-1.1533220347309214</v>
      </c>
      <c r="H18" s="15">
        <f>IFERROR(H8/H2,"")</f>
        <v>-0.8859690994618721</v>
      </c>
      <c r="I18" s="15">
        <f>IFERROR(I8/I2,"")</f>
        <v>-0.705588962661435</v>
      </c>
      <c r="J18" s="15">
        <f>IFERROR(J8/J2,"")</f>
        <v>-0.3618404979658603</v>
      </c>
      <c r="K18" s="15">
        <f>IFERROR(K8/K2,"")</f>
        <v>-0.2822199999999999</v>
      </c>
      <c r="L18" s="15">
        <f>IFERROR(L8/L2,"")</f>
        <v>-0.22863999999999998</v>
      </c>
      <c r="M18" s="15">
        <f>IFERROR(M8/M2,"")</f>
        <v>-0.17505999999999997</v>
      </c>
      <c r="N18" s="15">
        <f>IFERROR(N8/N2,"")</f>
        <v>-0.12147999999999996</v>
      </c>
      <c r="O18" s="15">
        <f>IFERROR(O8/O2,"")</f>
        <v>-0.06789999999999996</v>
      </c>
      <c r="P18" s="15">
        <f>IFERROR(P8/P2,"")</f>
        <v>-0.014319999999999966</v>
      </c>
      <c r="Q18" s="15">
        <f>IFERROR(Q8/Q2,"")</f>
        <v>0.039260000000000066</v>
      </c>
      <c r="R18" s="15">
        <f>IFERROR(R8/R2,"")</f>
        <v>0.09284000000000005</v>
      </c>
      <c r="S18" s="15">
        <f>IFERROR(S8/S2,"")</f>
        <v>0.14642000000000005</v>
      </c>
      <c r="T18" s="15">
        <f>IFERROR(T8/T2,"")</f>
        <v>0.20000000000000007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Twist Bioscience Corporation: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0.149</v>
      </c>
      <c r="C12" s="53" t="n">
        <v>0.199</v>
      </c>
      <c r="D12" s="53" t="n">
        <v>0.249</v>
      </c>
      <c r="E12" s="54">
        <f>CHOOSE($B$4,B12,C12,D12)</f>
        <v>0.199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-0.3358</v>
      </c>
    </row>
    <row r="19">
      <c r="A19" s="14" t="inlineStr">
        <is>
          <t>Gross margin (forecast)</t>
        </is>
      </c>
      <c r="B19" s="53" t="n">
        <v>0.5072</v>
      </c>
    </row>
    <row r="20">
      <c r="A20" s="14" t="inlineStr">
        <is>
          <t>R&amp;D share of operating expense (forecast)</t>
        </is>
      </c>
      <c r="B20" s="53" t="n">
        <v>0.2453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0.2521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Model'!J2</f>
        <v>376.572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825.6777026022037</v>
      </c>
      <c r="C29" s="56">
        <f>NPV!B26</f>
        <v>977.5167026022036</v>
      </c>
      <c r="D29" s="35">
        <f>NPV!B28</f>
        <v>15.588532270153587</v>
      </c>
      <c r="E29" s="57">
        <f>NPV!B30</f>
        <v>-0.8907601102301781</v>
      </c>
    </row>
    <row r="30">
      <c r="A30" s="58" t="n">
        <v>1</v>
      </c>
      <c r="B30" s="59">
        <f t="dataTable" ref="B30:E32" r1="B4"/>
        <v>145.6007662967242</v>
      </c>
      <c r="C30" s="59">
        <v>297.4397662967242</v>
      </c>
      <c r="D30" s="39">
        <v>4.7432942915455145</v>
      </c>
      <c r="E30" s="60">
        <v>-0.9667603763731919</v>
      </c>
    </row>
    <row r="31">
      <c r="A31" s="58" t="n">
        <v>2</v>
      </c>
      <c r="B31" s="59">
        <v>825.6777026022037</v>
      </c>
      <c r="C31" s="59">
        <v>977.5167026022036</v>
      </c>
      <c r="D31" s="39">
        <v>15.588532270153587</v>
      </c>
      <c r="E31" s="60">
        <v>-0.8907601102301781</v>
      </c>
    </row>
    <row r="32">
      <c r="A32" s="58" t="n">
        <v>3</v>
      </c>
      <c r="B32" s="59">
        <v>2279.1614089721866</v>
      </c>
      <c r="C32" s="59">
        <v>2431.0004089721865</v>
      </c>
      <c r="D32" s="39">
        <v>38.76734609561041</v>
      </c>
      <c r="E32" s="60">
        <v>-0.7283297400447764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15.588532270153587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21.461171654843312</v>
      </c>
      <c r="C37" s="39">
        <v>24.07827530890239</v>
      </c>
      <c r="D37" s="39">
        <v>27.229170544946257</v>
      </c>
      <c r="E37" s="39">
        <v>31.09191791512436</v>
      </c>
      <c r="F37" s="39">
        <v>35.933609879588516</v>
      </c>
    </row>
    <row r="38">
      <c r="A38" s="62" t="n">
        <v>0.08500000000000001</v>
      </c>
      <c r="B38" s="39">
        <v>16.45381281107073</v>
      </c>
      <c r="C38" s="39">
        <v>18.252443524036448</v>
      </c>
      <c r="D38" s="39">
        <v>20.359020794553132</v>
      </c>
      <c r="E38" s="39">
        <v>22.85762973484185</v>
      </c>
      <c r="F38" s="39">
        <v>25.86599072209433</v>
      </c>
    </row>
    <row r="39">
      <c r="A39" s="62" t="n">
        <v>0.095</v>
      </c>
      <c r="B39" s="39">
        <v>12.814626098965912</v>
      </c>
      <c r="C39" s="39">
        <v>14.10601922782694</v>
      </c>
      <c r="D39" s="39">
        <v>15.588532270153587</v>
      </c>
      <c r="E39" s="39">
        <v>17.306348937244426</v>
      </c>
      <c r="F39" s="39">
        <v>19.318381795093444</v>
      </c>
    </row>
    <row r="40">
      <c r="A40" s="62" t="n">
        <v>0.105</v>
      </c>
      <c r="B40" s="39">
        <v>10.07960356586996</v>
      </c>
      <c r="C40" s="39">
        <v>11.037722877191314</v>
      </c>
      <c r="D40" s="39">
        <v>12.12111080200771</v>
      </c>
      <c r="E40" s="39">
        <v>13.354885434062277</v>
      </c>
      <c r="F40" s="39">
        <v>14.771342228226882</v>
      </c>
    </row>
    <row r="41">
      <c r="A41" s="62" t="n">
        <v>0.115</v>
      </c>
      <c r="B41" s="39">
        <v>7.970986721146554</v>
      </c>
      <c r="C41" s="39">
        <v>8.700136669704374</v>
      </c>
      <c r="D41" s="39">
        <v>9.514945811711735</v>
      </c>
      <c r="E41" s="39">
        <v>10.430583845767135</v>
      </c>
      <c r="F41" s="39">
        <v>11.466013520419587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Twist Bioscience Corporation: free-cash-flow DCF ($mm)</t>
        </is>
      </c>
    </row>
    <row r="3">
      <c r="A3" s="20" t="inlineStr">
        <is>
          <t>Fiscal year</t>
        </is>
      </c>
      <c r="B3" s="43">
        <f>'Yearly Model'!J1</f>
        <v>2025</v>
      </c>
      <c r="C3" s="43">
        <f>'Yearly Model'!K1</f>
        <v>2026</v>
      </c>
      <c r="D3" s="43">
        <f>'Yearly Model'!L1</f>
        <v>2027</v>
      </c>
      <c r="E3" s="43">
        <f>'Yearly Model'!M1</f>
        <v>2028</v>
      </c>
      <c r="F3" s="43">
        <f>'Yearly Model'!N1</f>
        <v>2029</v>
      </c>
      <c r="G3" s="43">
        <f>'Yearly Model'!O1</f>
        <v>2030</v>
      </c>
      <c r="H3" s="43">
        <f>'Yearly Model'!P1</f>
        <v>2031</v>
      </c>
      <c r="I3" s="43">
        <f>'Yearly Model'!Q1</f>
        <v>2032</v>
      </c>
      <c r="J3" s="43">
        <f>'Yearly Model'!R1</f>
        <v>2033</v>
      </c>
      <c r="K3" s="43">
        <f>'Yearly Model'!S1</f>
        <v>2034</v>
      </c>
      <c r="L3" s="43">
        <f>'Yearly Model'!T1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0.199</v>
      </c>
      <c r="D5" s="63">
        <f>Assumptions!$E$12+(Assumptions!$E$11-Assumptions!$E$12)*(D4-1)/(Assumptions!$B$21-1)</f>
        <v>0.17966666666666667</v>
      </c>
      <c r="E5" s="63">
        <f>Assumptions!$E$12+(Assumptions!$E$11-Assumptions!$E$12)*(E4-1)/(Assumptions!$B$21-1)</f>
        <v>0.16033333333333333</v>
      </c>
      <c r="F5" s="63">
        <f>Assumptions!$E$12+(Assumptions!$E$11-Assumptions!$E$12)*(F4-1)/(Assumptions!$B$21-1)</f>
        <v>0.14100000000000001</v>
      </c>
      <c r="G5" s="63">
        <f>Assumptions!$E$12+(Assumptions!$E$11-Assumptions!$E$12)*(G4-1)/(Assumptions!$B$21-1)</f>
        <v>0.12166666666666667</v>
      </c>
      <c r="H5" s="63">
        <f>Assumptions!$E$12+(Assumptions!$E$11-Assumptions!$E$12)*(H4-1)/(Assumptions!$B$21-1)</f>
        <v>0.10233333333333333</v>
      </c>
      <c r="I5" s="63">
        <f>Assumptions!$E$12+(Assumptions!$E$11-Assumptions!$E$12)*(I4-1)/(Assumptions!$B$21-1)</f>
        <v>0.083</v>
      </c>
      <c r="J5" s="63">
        <f>Assumptions!$E$12+(Assumptions!$E$11-Assumptions!$E$12)*(J4-1)/(Assumptions!$B$21-1)</f>
        <v>0.06366666666666665</v>
      </c>
      <c r="K5" s="63">
        <f>Assumptions!$E$12+(Assumptions!$E$11-Assumptions!$E$12)*(K4-1)/(Assumptions!$B$21-1)</f>
        <v>0.044333333333333336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-0.3618404979658603</v>
      </c>
      <c r="C6" s="63">
        <f>Assumptions!$B$18+(Assumptions!$E$13-Assumptions!$B$18)*C4/Assumptions!$B$21</f>
        <v>-0.28221999999999997</v>
      </c>
      <c r="D6" s="63">
        <f>Assumptions!$B$18+(Assumptions!$E$13-Assumptions!$B$18)*D4/Assumptions!$B$21</f>
        <v>-0.22863999999999998</v>
      </c>
      <c r="E6" s="63">
        <f>Assumptions!$B$18+(Assumptions!$E$13-Assumptions!$B$18)*E4/Assumptions!$B$21</f>
        <v>-0.17505999999999997</v>
      </c>
      <c r="F6" s="63">
        <f>Assumptions!$B$18+(Assumptions!$E$13-Assumptions!$B$18)*F4/Assumptions!$B$21</f>
        <v>-0.12147999999999998</v>
      </c>
      <c r="G6" s="63">
        <f>Assumptions!$B$18+(Assumptions!$E$13-Assumptions!$B$18)*G4/Assumptions!$B$21</f>
        <v>-0.06789999999999996</v>
      </c>
      <c r="H6" s="63">
        <f>Assumptions!$B$18+(Assumptions!$E$13-Assumptions!$B$18)*H4/Assumptions!$B$21</f>
        <v>-0.014319999999999944</v>
      </c>
      <c r="I6" s="63">
        <f>Assumptions!$B$18+(Assumptions!$E$13-Assumptions!$B$18)*I4/Assumptions!$B$21</f>
        <v>0.03926000000000007</v>
      </c>
      <c r="J6" s="63">
        <f>Assumptions!$B$18+(Assumptions!$E$13-Assumptions!$B$18)*J4/Assumptions!$B$21</f>
        <v>0.09284000000000003</v>
      </c>
      <c r="K6" s="63">
        <f>Assumptions!$B$18+(Assumptions!$E$13-Assumptions!$B$18)*K4/Assumptions!$B$21</f>
        <v>0.14642000000000005</v>
      </c>
      <c r="L6" s="63">
        <f>Assumptions!$B$18+(Assumptions!$E$13-Assumptions!$B$18)*L4/Assumptions!$B$21</f>
        <v>0.20000000000000007</v>
      </c>
    </row>
    <row r="7">
      <c r="A7" s="14" t="inlineStr">
        <is>
          <t>Revenue</t>
        </is>
      </c>
      <c r="B7" s="55">
        <f>'Yearly Model'!J2</f>
        <v>376.572</v>
      </c>
      <c r="C7" s="55">
        <f>'Yearly Model'!K2</f>
        <v>451.509828</v>
      </c>
      <c r="D7" s="55">
        <f>'Yearly Model'!L2</f>
        <v>532.6310937640001</v>
      </c>
      <c r="E7" s="55">
        <f>'Yearly Model'!M2</f>
        <v>618.0296124641615</v>
      </c>
      <c r="F7" s="55">
        <f>'Yearly Model'!N2</f>
        <v>705.1717878216083</v>
      </c>
      <c r="G7" s="55">
        <f>'Yearly Model'!O2</f>
        <v>790.9676886732373</v>
      </c>
      <c r="H7" s="55">
        <f>'Yearly Model'!P2</f>
        <v>871.9100488141319</v>
      </c>
      <c r="I7" s="55">
        <f>'Yearly Model'!Q2</f>
        <v>944.2785828657048</v>
      </c>
      <c r="J7" s="55">
        <f>'Yearly Model'!R2</f>
        <v>1004.3976526414881</v>
      </c>
      <c r="K7" s="55">
        <f>'Yearly Model'!S2</f>
        <v>1048.9259485752607</v>
      </c>
      <c r="L7" s="55">
        <f>'Yearly Model'!T2</f>
        <v>1075.1490972896422</v>
      </c>
    </row>
    <row r="8">
      <c r="A8" s="14" t="inlineStr">
        <is>
          <t>Operating income</t>
        </is>
      </c>
      <c r="B8" s="55">
        <f>'Yearly Model'!J8</f>
        <v>-136.25899999999996</v>
      </c>
      <c r="C8" s="55">
        <f>'Yearly Model'!K8</f>
        <v>-127.42510365815997</v>
      </c>
      <c r="D8" s="55">
        <f>'Yearly Model'!L8</f>
        <v>-121.78077327820097</v>
      </c>
      <c r="E8" s="55">
        <f>'Yearly Model'!M8</f>
        <v>-108.19226395797608</v>
      </c>
      <c r="F8" s="55">
        <f>'Yearly Model'!N8</f>
        <v>-85.66426878456895</v>
      </c>
      <c r="G8" s="55">
        <f>'Yearly Model'!O8</f>
        <v>-53.70670606091278</v>
      </c>
      <c r="H8" s="55">
        <f>'Yearly Model'!P8</f>
        <v>-12.48575189901834</v>
      </c>
      <c r="I8" s="55">
        <f>'Yearly Model'!Q8</f>
        <v>37.072377163307635</v>
      </c>
      <c r="J8" s="55">
        <f>'Yearly Model'!R8</f>
        <v>93.2482780712358</v>
      </c>
      <c r="K8" s="55">
        <f>'Yearly Model'!S8</f>
        <v>153.58373739038973</v>
      </c>
      <c r="L8" s="55">
        <f>'Yearly Model'!T8</f>
        <v>215.0298194579285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6.302304117762298</v>
      </c>
      <c r="J9" s="52">
        <f>MAX(0,J8)*Assumptions!$E$14</f>
        <v>15.852207272110087</v>
      </c>
      <c r="K9" s="52">
        <f>MAX(0,K8)*Assumptions!$E$14</f>
        <v>26.109235356366256</v>
      </c>
      <c r="L9" s="52">
        <f>MAX(0,L8)*Assumptions!$E$14</f>
        <v>36.55506930784785</v>
      </c>
    </row>
    <row r="10">
      <c r="A10" s="14" t="inlineStr">
        <is>
          <t>NOPAT</t>
        </is>
      </c>
      <c r="C10" s="52">
        <f>C8-C9</f>
        <v>-127.42510365815997</v>
      </c>
      <c r="D10" s="52">
        <f>D8-D9</f>
        <v>-121.78077327820097</v>
      </c>
      <c r="E10" s="52">
        <f>E8-E9</f>
        <v>-108.19226395797608</v>
      </c>
      <c r="F10" s="52">
        <f>F8-F9</f>
        <v>-85.66426878456895</v>
      </c>
      <c r="G10" s="52">
        <f>G8-G9</f>
        <v>-53.70670606091278</v>
      </c>
      <c r="H10" s="52">
        <f>H8-H9</f>
        <v>-12.48575189901834</v>
      </c>
      <c r="I10" s="52">
        <f>I8-I9</f>
        <v>30.770073045545338</v>
      </c>
      <c r="J10" s="52">
        <f>J8-J9</f>
        <v>77.39607079912571</v>
      </c>
      <c r="K10" s="52">
        <f>K8-K9</f>
        <v>127.47450203402347</v>
      </c>
      <c r="L10" s="52">
        <f>L8-L9</f>
        <v>178.47475015008067</v>
      </c>
    </row>
    <row r="11">
      <c r="A11" s="14" t="inlineStr">
        <is>
          <t>Reinvestment</t>
        </is>
      </c>
      <c r="C11" s="52">
        <f>(C7-B7)*Assumptions!$E$15</f>
        <v>18.734457000000006</v>
      </c>
      <c r="D11" s="52">
        <f>(D7-C7)*Assumptions!$E$15</f>
        <v>20.28031644100001</v>
      </c>
      <c r="E11" s="52">
        <f>(E7-D7)*Assumptions!$E$15</f>
        <v>21.349629675040347</v>
      </c>
      <c r="F11" s="52">
        <f>(F7-E7)*Assumptions!$E$15</f>
        <v>21.785543839361708</v>
      </c>
      <c r="G11" s="52">
        <f>(G7-F7)*Assumptions!$E$15</f>
        <v>21.448975212907243</v>
      </c>
      <c r="H11" s="52">
        <f>(H7-G7)*Assumptions!$E$15</f>
        <v>20.23559003522365</v>
      </c>
      <c r="I11" s="52">
        <f>(I7-H7)*Assumptions!$E$15</f>
        <v>18.09213351289324</v>
      </c>
      <c r="J11" s="52">
        <f>(J7-I7)*Assumptions!$E$15</f>
        <v>15.029767443945815</v>
      </c>
      <c r="K11" s="52">
        <f>(K7-J7)*Assumptions!$E$15</f>
        <v>11.13207398344315</v>
      </c>
      <c r="L11" s="52">
        <f>(L7-K7)*Assumptions!$E$15</f>
        <v>6.555787178595381</v>
      </c>
    </row>
    <row r="12">
      <c r="A12" s="20" t="inlineStr">
        <is>
          <t>Free cash flow</t>
        </is>
      </c>
      <c r="C12" s="64">
        <f>C10-C11</f>
        <v>-146.15956065816</v>
      </c>
      <c r="D12" s="64">
        <f>D10-D11</f>
        <v>-142.061089719201</v>
      </c>
      <c r="E12" s="64">
        <f>E10-E11</f>
        <v>-129.54189363301643</v>
      </c>
      <c r="F12" s="64">
        <f>F10-F11</f>
        <v>-107.44981262393065</v>
      </c>
      <c r="G12" s="64">
        <f>G10-G11</f>
        <v>-75.15568127382002</v>
      </c>
      <c r="H12" s="64">
        <f>H10-H11</f>
        <v>-32.72134193424199</v>
      </c>
      <c r="I12" s="64">
        <f>I10-I11</f>
        <v>12.677939532652097</v>
      </c>
      <c r="J12" s="64">
        <f>J10-J11</f>
        <v>62.366303355179895</v>
      </c>
      <c r="K12" s="64">
        <f>K10-K11</f>
        <v>116.34242805058032</v>
      </c>
      <c r="L12" s="64">
        <f>L10-L11</f>
        <v>171.91896297148529</v>
      </c>
    </row>
    <row r="13">
      <c r="A13" s="14" t="inlineStr">
        <is>
          <t>Year fraction</t>
        </is>
      </c>
      <c r="C13" s="46">
        <f>Assumptions!$B$22</f>
        <v>0.2521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0.12605</v>
      </c>
      <c r="D14" s="11">
        <f>C14+C13/2+D13/2</f>
        <v>0.7521</v>
      </c>
      <c r="E14" s="11">
        <f>D14+D13/2+E13/2</f>
        <v>1.7521</v>
      </c>
      <c r="F14" s="11">
        <f>E14+E13/2+F13/2</f>
        <v>2.7521</v>
      </c>
      <c r="G14" s="11">
        <f>F14+F13/2+G13/2</f>
        <v>3.7521</v>
      </c>
      <c r="H14" s="11">
        <f>G14+G13/2+H13/2</f>
        <v>4.7521</v>
      </c>
      <c r="I14" s="11">
        <f>H14+H13/2+I13/2</f>
        <v>5.7521</v>
      </c>
      <c r="J14" s="11">
        <f>I14+I13/2+J13/2</f>
        <v>6.7521</v>
      </c>
      <c r="K14" s="11">
        <f>J14+J13/2+K13/2</f>
        <v>7.7521</v>
      </c>
      <c r="L14" s="11">
        <f>K14+K13/2+L13/2</f>
        <v>8.7521</v>
      </c>
    </row>
    <row r="15">
      <c r="A15" s="14" t="inlineStr">
        <is>
          <t>Discount factor</t>
        </is>
      </c>
      <c r="C15" s="65">
        <f>1/(1+Assumptions!$E$10)^C14</f>
        <v>0.9886255957975725</v>
      </c>
      <c r="D15" s="65">
        <f>1/(1+Assumptions!$E$10)^D14</f>
        <v>0.9340210004219904</v>
      </c>
      <c r="E15" s="65">
        <f>1/(1+Assumptions!$E$10)^E14</f>
        <v>0.8529872149972516</v>
      </c>
      <c r="F15" s="65">
        <f>1/(1+Assumptions!$E$10)^F14</f>
        <v>0.7789837579883575</v>
      </c>
      <c r="G15" s="65">
        <f>1/(1+Assumptions!$E$10)^G14</f>
        <v>0.7114006922268107</v>
      </c>
      <c r="H15" s="65">
        <f>1/(1+Assumptions!$E$10)^H14</f>
        <v>0.6496809974674069</v>
      </c>
      <c r="I15" s="65">
        <f>1/(1+Assumptions!$E$10)^I14</f>
        <v>0.5933159794222895</v>
      </c>
      <c r="J15" s="65">
        <f>1/(1+Assumptions!$E$10)^J14</f>
        <v>0.5418410770979812</v>
      </c>
      <c r="K15" s="65">
        <f>1/(1+Assumptions!$E$10)^K14</f>
        <v>0.494832033879435</v>
      </c>
      <c r="L15" s="65">
        <f>1/(1+Assumptions!$E$10)^L14</f>
        <v>0.45190140080313695</v>
      </c>
    </row>
    <row r="16">
      <c r="A16" s="20" t="inlineStr">
        <is>
          <t>PV of free cash flow</t>
        </is>
      </c>
      <c r="C16" s="64">
        <f>C12*C13*C15</f>
        <v>-36.4277145580443</v>
      </c>
      <c r="D16" s="64">
        <f>D12*D13*D15</f>
        <v>-132.68804114056624</v>
      </c>
      <c r="E16" s="64">
        <f>E12*E13*E15</f>
        <v>-110.49757907549689</v>
      </c>
      <c r="F16" s="64">
        <f>F12*F13*F15</f>
        <v>-83.70165883293436</v>
      </c>
      <c r="G16" s="64">
        <f>G12*G13*G15</f>
        <v>-53.46580368297312</v>
      </c>
      <c r="H16" s="64">
        <f>H12*H13*H15</f>
        <v>-21.25843406631043</v>
      </c>
      <c r="I16" s="64">
        <f>I12*I13*I15</f>
        <v>7.522024110872042</v>
      </c>
      <c r="J16" s="64">
        <f>J12*J13*J15</f>
        <v>33.79262498459011</v>
      </c>
      <c r="K16" s="64">
        <f>K12*K13*K15</f>
        <v>57.56996029874049</v>
      </c>
      <c r="L16" s="64">
        <f>L12*L13*L15</f>
        <v>77.69042019143683</v>
      </c>
    </row>
    <row r="19">
      <c r="A19" s="14" t="inlineStr">
        <is>
          <t>PV of forecast free cash flow</t>
        </is>
      </c>
      <c r="B19" s="52">
        <f>SUM(C16:L16)</f>
        <v>-261.46420177068586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176.21693704577243</v>
      </c>
    </row>
    <row r="21">
      <c r="A21" s="14" t="inlineStr">
        <is>
          <t>Terminal value</t>
        </is>
      </c>
      <c r="B21" s="52">
        <f>B20/(Assumptions!$E$10-Assumptions!$E$11)</f>
        <v>2517.384814939606</v>
      </c>
    </row>
    <row r="22">
      <c r="A22" s="14" t="inlineStr">
        <is>
          <t>PV of terminal value</t>
        </is>
      </c>
      <c r="B22" s="52">
        <f>B21/(1+Assumptions!$E$10)^(L14+0.5)</f>
        <v>1087.1419043728895</v>
      </c>
    </row>
    <row r="23">
      <c r="A23" s="20" t="inlineStr">
        <is>
          <t>Enterprise value</t>
        </is>
      </c>
      <c r="B23" s="66">
        <f>B19+B22</f>
        <v>825.6777026022037</v>
      </c>
    </row>
    <row r="24">
      <c r="A24" s="14" t="inlineStr">
        <is>
          <t>Cash &amp; investments</t>
        </is>
      </c>
      <c r="B24" s="55">
        <f>Main!C7</f>
        <v>166.839</v>
      </c>
    </row>
    <row r="25">
      <c r="A25" s="14" t="inlineStr">
        <is>
          <t>Debt</t>
        </is>
      </c>
      <c r="B25" s="55">
        <f>Main!C8</f>
        <v>15</v>
      </c>
    </row>
    <row r="26">
      <c r="A26" s="20" t="inlineStr">
        <is>
          <t>Equity value</t>
        </is>
      </c>
      <c r="B26" s="66">
        <f>B23+B24-B25</f>
        <v>977.5167026022036</v>
      </c>
    </row>
    <row r="27">
      <c r="A27" s="14" t="inlineStr">
        <is>
          <t>Shares (mm)</t>
        </is>
      </c>
      <c r="B27" s="55">
        <f>Main!C4</f>
        <v>62.707424</v>
      </c>
    </row>
    <row r="28">
      <c r="A28" s="20" t="inlineStr">
        <is>
          <t>NPV / share</t>
        </is>
      </c>
      <c r="B28" s="49">
        <f>B26/B27</f>
        <v>15.588532270153587</v>
      </c>
    </row>
    <row r="29">
      <c r="A29" s="14" t="inlineStr">
        <is>
          <t>Price</t>
        </is>
      </c>
      <c r="B29" s="50">
        <f>Main!C3</f>
        <v>142.7</v>
      </c>
    </row>
    <row r="30">
      <c r="A30" s="14" t="inlineStr">
        <is>
          <t>Upside</t>
        </is>
      </c>
      <c r="B30" s="63">
        <f>B28/B29-1</f>
        <v>-0.8907601102301781</v>
      </c>
    </row>
    <row r="31">
      <c r="A31" s="14" t="inlineStr">
        <is>
          <t>Terminal value, % of EV</t>
        </is>
      </c>
      <c r="B31" s="63">
        <f>IFERROR(B22/B23,0)</f>
        <v>1.316666177307024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2026-10-21T06:21:28Z</dcterms:modified>
  <cp:lastModifiedBy>Wang, Eric</cp:lastModifiedBy>
</cp:coreProperties>
</file>