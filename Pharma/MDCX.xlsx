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Medicus Pharma Ltd</t>
        </is>
      </c>
      <c r="C2" s="10" t="n"/>
    </row>
    <row r="3">
      <c r="B3" t="inlineStr">
        <is>
          <t>Price</t>
        </is>
      </c>
      <c r="C3" s="11">
        <f>INDEX([1]Pharma!$F$1:$F$1000,MATCH("MDCX",[1]Pharma!$B$1:$B$1000,0))</f>
        <v>2.72</v>
      </c>
      <c r="F3" s="1" t="n"/>
    </row>
    <row r="4">
      <c r="B4" t="inlineStr">
        <is>
          <t>Shares</t>
        </is>
      </c>
      <c r="C4" s="21" t="n">
        <v>63.18061</v>
      </c>
      <c r="F4" s="1" t="n"/>
    </row>
    <row r="5">
      <c r="B5" t="inlineStr">
        <is>
          <t>Market Cap.</t>
        </is>
      </c>
      <c r="C5" s="13">
        <f>C3*C4</f>
        <v>171.85125920000002</v>
      </c>
      <c r="F5" s="1" t="n"/>
    </row>
    <row r="6"/>
    <row r="7">
      <c r="B7" t="inlineStr">
        <is>
          <t>Cash</t>
        </is>
      </c>
      <c r="C7" s="21" t="n">
        <v>15.174128</v>
      </c>
    </row>
    <row r="8">
      <c r="B8" t="inlineStr">
        <is>
          <t>Debt</t>
        </is>
      </c>
      <c r="C8" s="21">
        <f>3.5+0.017114+17.982542</f>
        <v>21.499655999999998</v>
      </c>
    </row>
    <row r="9">
      <c r="B9" t="inlineStr">
        <is>
          <t>Enterprise V.</t>
        </is>
      </c>
      <c r="C9" s="13">
        <f>C5-C7+C8</f>
        <v>178.1767872</v>
      </c>
    </row>
    <row r="10"/>
    <row r="11">
      <c r="B11" s="14" t="inlineStr">
        <is>
          <t>Net Cash / Share</t>
        </is>
      </c>
      <c r="C11" s="11">
        <f>(C7-C8)/C4</f>
        <v>-0.10011818499378208</v>
      </c>
    </row>
    <row r="12">
      <c r="B12" s="14" t="inlineStr">
        <is>
          <t>Upside</t>
        </is>
      </c>
      <c r="C12" s="15">
        <f>IFERROR(C11/C3-1,"")</f>
        <v>-1.036808156247714</v>
      </c>
    </row>
    <row r="13">
      <c r="B13" s="14" t="inlineStr">
        <is>
          <t>Cash / Share</t>
        </is>
      </c>
      <c r="C13" s="11">
        <f>IFERROR((C7-C8)/C4,"")</f>
        <v>-0.10011818499378208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-29.32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178.1767872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0.194</v>
      </c>
      <c r="C5" s="23" t="n">
        <v>3.528</v>
      </c>
      <c r="D5" s="23" t="n">
        <v>8.717000000000001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4.536</v>
      </c>
      <c r="C6" s="23" t="n">
        <v>7.653</v>
      </c>
      <c r="D6" s="23" t="n">
        <v>25.642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4.7299999999999995</v>
      </c>
      <c r="C7" s="23">
        <f>SUM(C5:C6)</f>
        <v>11.181</v>
      </c>
      <c r="D7" s="23">
        <f>SUM(D5:D6)</f>
        <v>34.359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-4.7299999999999995</v>
      </c>
      <c r="C8" s="23">
        <f>C4-C7</f>
        <v>-11.181</v>
      </c>
      <c r="D8" s="23">
        <f>D4-D7</f>
        <v>-34.359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-0.585</v>
      </c>
      <c r="C9" s="23" t="n">
        <v>0.025</v>
      </c>
      <c r="D9" s="23" t="n">
        <v>-12.922</v>
      </c>
    </row>
    <row r="10">
      <c r="A10" s="2" t="inlineStr">
        <is>
          <t>Pretax</t>
        </is>
      </c>
      <c r="B10" s="23">
        <f>B8+B9</f>
        <v>-5.3149999999999995</v>
      </c>
      <c r="C10" s="23">
        <f>C8+C9</f>
        <v>-11.155999999999999</v>
      </c>
      <c r="D10" s="23">
        <f>D8+D9</f>
        <v>-47.281000000000006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-5.315</v>
      </c>
      <c r="C12" s="23" t="n">
        <v>-11.156</v>
      </c>
      <c r="D12" s="23" t="n">
        <v>-47.282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-1.5277378557056627</v>
      </c>
      <c r="C13" s="11">
        <f>IFERROR(C12/C14,0)</f>
        <v>-1.159787919742177</v>
      </c>
      <c r="D13" s="11">
        <f>IFERROR(D12/D14,0)</f>
        <v>-2.7355936125896783</v>
      </c>
    </row>
    <row r="14">
      <c r="A14" s="2" t="inlineStr">
        <is>
          <t>Shares</t>
        </is>
      </c>
      <c r="B14" s="23" t="n">
        <v>3.479</v>
      </c>
      <c r="C14" s="23" t="n">
        <v>9.619</v>
      </c>
      <c r="D14" s="23" t="n">
        <v>17.284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2026-10-21T01:05:37Z</dcterms:modified>
  <cp:lastModifiedBy>Wang, Eric</cp:lastModifiedBy>
</cp:coreProperties>
</file>