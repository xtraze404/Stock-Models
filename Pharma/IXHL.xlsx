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Incannex Healthcare Inc</t>
        </is>
      </c>
      <c r="C2" s="10" t="n"/>
    </row>
    <row r="3">
      <c r="B3" t="inlineStr">
        <is>
          <t>Price</t>
        </is>
      </c>
      <c r="C3" s="11">
        <f>INDEX([1]Pharma!$F$1:$F$1000,MATCH("IXHL",[1]Pharma!$B$1:$B$1000,0))</f>
        <v>2.78</v>
      </c>
      <c r="F3" s="1" t="n"/>
    </row>
    <row r="4">
      <c r="B4" t="inlineStr">
        <is>
          <t>Shares</t>
        </is>
      </c>
      <c r="C4" s="21" t="n">
        <v>12.544627</v>
      </c>
      <c r="F4" s="1" t="n"/>
    </row>
    <row r="5">
      <c r="B5" t="inlineStr">
        <is>
          <t>Market Cap.</t>
        </is>
      </c>
      <c r="C5" s="13">
        <f>C3*C4</f>
        <v>34.87406306</v>
      </c>
      <c r="F5" s="1" t="n"/>
    </row>
    <row r="6"/>
    <row r="7">
      <c r="B7" t="inlineStr">
        <is>
          <t>Cash</t>
        </is>
      </c>
      <c r="C7" s="21" t="n">
        <v>67.711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-32.83693694</v>
      </c>
    </row>
    <row r="10"/>
    <row r="11">
      <c r="B11" s="14" t="inlineStr">
        <is>
          <t>Net Cash / Share</t>
        </is>
      </c>
      <c r="C11" s="11">
        <f>(C7-C8)/C4</f>
        <v>5.3976096698610485</v>
      </c>
    </row>
    <row r="12">
      <c r="B12" s="14" t="inlineStr">
        <is>
          <t>Upside</t>
        </is>
      </c>
      <c r="C12" s="15">
        <f>IFERROR(C11/C3-1,"")</f>
        <v>0.9415862121802334</v>
      </c>
    </row>
    <row r="13">
      <c r="B13" s="14" t="inlineStr">
        <is>
          <t>Cash / Share</t>
        </is>
      </c>
      <c r="C13" s="11">
        <f>IFERROR((C7-C8)/C4,"")</f>
        <v>5.3976096698610485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-12.867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5.262376622367296</v>
      </c>
    </row>
    <row r="19">
      <c r="B19" s="14" t="inlineStr">
        <is>
          <t>Implied Pipeline Value</t>
        </is>
      </c>
      <c r="C19" s="13">
        <f>C9</f>
        <v>-32.83693694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17" t="n">
        <v>2026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0.605</v>
      </c>
      <c r="C2" s="23" t="n">
        <v>1.898</v>
      </c>
      <c r="D2" s="23" t="n">
        <v>0</v>
      </c>
      <c r="E2" s="23" t="n">
        <v>0</v>
      </c>
      <c r="F2" s="23" t="n">
        <v>0.012</v>
      </c>
      <c r="G2" s="23" t="n">
        <v>0.08599999999999999</v>
      </c>
      <c r="H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0.45</v>
      </c>
      <c r="C3" s="23" t="n">
        <v>0.912</v>
      </c>
      <c r="D3" s="23" t="n">
        <v>0.006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0.15499999999999997</v>
      </c>
      <c r="C4" s="23">
        <f>C2-C3</f>
        <v>0.9859999999999999</v>
      </c>
      <c r="D4" s="23">
        <f>D2-D3</f>
        <v>-0.006</v>
      </c>
      <c r="E4" s="23">
        <f>E2-E3</f>
        <v>0.0</v>
      </c>
      <c r="F4" s="23">
        <f>F2-F3</f>
        <v>0.012</v>
      </c>
      <c r="G4" s="23">
        <f>G2-G3</f>
        <v>0.086</v>
      </c>
      <c r="H4" s="23">
        <f>H2-H3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2.111</v>
      </c>
      <c r="C5" s="23" t="n">
        <v>4.75</v>
      </c>
      <c r="D5" s="23" t="n">
        <v>5.372</v>
      </c>
      <c r="E5" s="23" t="n">
        <v>9.365</v>
      </c>
      <c r="F5" s="23" t="n">
        <v>12.879</v>
      </c>
      <c r="G5" s="23" t="n">
        <v>10.747</v>
      </c>
      <c r="H5" s="23" t="n">
        <v>5.21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0.458</v>
      </c>
      <c r="C6" s="23" t="n">
        <v>7.685</v>
      </c>
      <c r="D6" s="23" t="n">
        <v>10.314</v>
      </c>
      <c r="E6" s="23" t="n">
        <v>40.303</v>
      </c>
      <c r="F6" s="23" t="n">
        <v>17.174</v>
      </c>
      <c r="G6" s="23" t="n">
        <v>13.128</v>
      </c>
      <c r="H6" s="23" t="n">
        <v>17.817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2.5690000000000004</v>
      </c>
      <c r="C7" s="23">
        <f>SUM(C5:C6)</f>
        <v>12.434999999999999</v>
      </c>
      <c r="D7" s="23">
        <f>SUM(D5:D6)</f>
        <v>15.686</v>
      </c>
      <c r="E7" s="23">
        <f>SUM(E5:E6)</f>
        <v>49.668</v>
      </c>
      <c r="F7" s="23">
        <f>SUM(F5:F6)</f>
        <v>30.052999999999997</v>
      </c>
      <c r="G7" s="23">
        <f>SUM(G5:G6)</f>
        <v>23.875</v>
      </c>
      <c r="H7" s="23">
        <f>SUM(H5:H6)</f>
        <v>23.027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-2.4140000000000006</v>
      </c>
      <c r="C8" s="23">
        <f>C4-C7</f>
        <v>-11.448999999999998</v>
      </c>
      <c r="D8" s="23">
        <f>D4-D7</f>
        <v>-15.692</v>
      </c>
      <c r="E8" s="23">
        <f>E4-E7</f>
        <v>-49.668</v>
      </c>
      <c r="F8" s="23">
        <f>F4-F7</f>
        <v>-30.040999999999997</v>
      </c>
      <c r="G8" s="23">
        <f>G4-G7</f>
        <v>-23.789</v>
      </c>
      <c r="H8" s="23">
        <f>H4-H7</f>
        <v>-23.027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-2.284</v>
      </c>
      <c r="C9" s="23" t="n">
        <v>0.076</v>
      </c>
      <c r="D9" s="23" t="n">
        <v>0.789</v>
      </c>
      <c r="E9" s="23" t="n">
        <v>0.857</v>
      </c>
      <c r="F9" s="23" t="n">
        <v>11.612</v>
      </c>
      <c r="G9" s="23" t="n">
        <v>-23.096</v>
      </c>
      <c r="H9" s="23" t="n">
        <v>3.725</v>
      </c>
    </row>
    <row r="10">
      <c r="A10" s="2" t="inlineStr">
        <is>
          <t>Pretax</t>
        </is>
      </c>
      <c r="B10" s="23">
        <f>B8+B9</f>
        <v>-4.698</v>
      </c>
      <c r="C10" s="23">
        <f>C8+C9</f>
        <v>-11.372999999999998</v>
      </c>
      <c r="D10" s="23">
        <f>D8+D9</f>
        <v>-14.903</v>
      </c>
      <c r="E10" s="23">
        <f>E8+E9</f>
        <v>-48.811</v>
      </c>
      <c r="F10" s="23">
        <f>F8+F9</f>
        <v>-18.428999999999995</v>
      </c>
      <c r="G10" s="23">
        <f>G8+G9</f>
        <v>-46.885000000000005</v>
      </c>
      <c r="H10" s="23">
        <f>H8+H9</f>
        <v>-19.302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0.03</v>
      </c>
      <c r="G11" s="23" t="n">
        <v>0</v>
      </c>
      <c r="H11" s="23" t="n">
        <v>0</v>
      </c>
    </row>
    <row r="12">
      <c r="A12" s="2" t="inlineStr">
        <is>
          <t>Net Income</t>
        </is>
      </c>
      <c r="B12" s="23" t="n">
        <v>-4.698</v>
      </c>
      <c r="C12" s="23" t="n">
        <v>-11.373</v>
      </c>
      <c r="D12" s="23" t="n">
        <v>-14.904</v>
      </c>
      <c r="E12" s="23" t="n">
        <v>-48.811</v>
      </c>
      <c r="F12" s="23" t="n">
        <v>-18.459</v>
      </c>
      <c r="G12" s="23" t="n">
        <v>-46.885</v>
      </c>
      <c r="H12" s="23" t="n">
        <v>-19.302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-1.4002254791431792</v>
      </c>
      <c r="E13" s="11">
        <f>IFERROR(E12/E14,0)</f>
        <v>-4.441805441805442</v>
      </c>
      <c r="F13" s="11">
        <f>IFERROR(F12/F14,0)</f>
        <v>-1.5987354928113633</v>
      </c>
      <c r="G13" s="11">
        <f>IFERROR(G12/G14,0)</f>
        <v>-4.082281236395298</v>
      </c>
      <c r="H13" s="11">
        <f>IFERROR(H12/H14,0)</f>
        <v>-1.6556870818322182</v>
      </c>
    </row>
    <row r="14">
      <c r="A14" s="2" t="inlineStr">
        <is>
          <t>Shares</t>
        </is>
      </c>
      <c r="B14" s="23" t="n"/>
      <c r="C14" s="23" t="n"/>
      <c r="D14" s="23" t="n">
        <v>10.644</v>
      </c>
      <c r="E14" s="23" t="n">
        <v>10.989</v>
      </c>
      <c r="F14" s="23" t="n">
        <v>11.546</v>
      </c>
      <c r="G14" s="23" t="n">
        <v>11.485</v>
      </c>
      <c r="H14" s="23" t="n">
        <v>11.658</v>
      </c>
    </row>
    <row r="15"/>
    <row r="16" customFormat="1" s="4">
      <c r="A16" s="3" t="inlineStr">
        <is>
          <t>Revenue Change</t>
        </is>
      </c>
      <c r="C16" s="15">
        <f>IFERROR(C2/B2-1,"")</f>
        <v>2.137190082644628</v>
      </c>
      <c r="D16" s="15">
        <f>IFERROR(D2/C2-1,"")</f>
        <v>-1.0</v>
      </c>
      <c r="E16" s="15">
        <f>IFERROR(E2/D2-1,"")</f>
        <v/>
      </c>
      <c r="F16" s="15">
        <f>IFERROR(F2/E2-1,"")</f>
        <v/>
      </c>
      <c r="G16" s="15">
        <f>IFERROR(G2/F2-1,"")</f>
        <v>6.166666666666666</v>
      </c>
      <c r="H16" s="15">
        <f>IFERROR(H2/G2-1,"")</f>
        <v>-1.0</v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0.256198347107438</v>
      </c>
      <c r="C17" s="15">
        <f>IFERROR(C4/C2,"")</f>
        <v>0.5194942044257113</v>
      </c>
      <c r="D17" s="15">
        <f>IFERROR(D4/D2,"")</f>
        <v/>
      </c>
      <c r="E17" s="15">
        <f>IFERROR(E4/E2,"")</f>
        <v/>
      </c>
      <c r="F17" s="15">
        <f>IFERROR(F4/F2,"")</f>
        <v>1.0</v>
      </c>
      <c r="G17" s="15">
        <f>IFERROR(G4/G2,"")</f>
        <v>1.0</v>
      </c>
      <c r="H17" s="15">
        <f>IFERROR(H4/H2,"")</f>
        <v/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-3.9900826446281004</v>
      </c>
      <c r="C18" s="15">
        <f>IFERROR(C8/C2,"")</f>
        <v>-6.032139093782929</v>
      </c>
      <c r="D18" s="15">
        <f>IFERROR(D8/D2,"")</f>
        <v/>
      </c>
      <c r="E18" s="15">
        <f>IFERROR(E8/E2,"")</f>
        <v/>
      </c>
      <c r="F18" s="15">
        <f>IFERROR(F8/F2,"")</f>
        <v>-2503.4166666666665</v>
      </c>
      <c r="G18" s="15">
        <f>IFERROR(G8/G2,"")</f>
        <v>-276.6162790697675</v>
      </c>
      <c r="H18" s="15">
        <f>IFERROR(H8/H2,"")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2026-10-21T01:06:18Z</dcterms:modified>
  <cp:lastModifiedBy>Wang, Eric</cp:lastModifiedBy>
</cp:coreProperties>
</file>