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Liquidia Corporation</t>
        </is>
      </c>
      <c r="C2" s="10" t="n"/>
    </row>
    <row r="3">
      <c r="B3" t="inlineStr">
        <is>
          <t>Price</t>
        </is>
      </c>
      <c r="C3" s="11">
        <f>INDEX([1]Pharma!$F$1:$F$1000,MATCH("LQDA",[1]Pharma!$B$1:$B$1000,0))</f>
        <v>36.35</v>
      </c>
      <c r="F3" s="1" t="n"/>
    </row>
    <row r="4">
      <c r="B4" t="inlineStr">
        <is>
          <t>Shares</t>
        </is>
      </c>
      <c r="C4" s="21" t="n">
        <v>89.50889100000001</v>
      </c>
      <c r="F4" s="1" t="n"/>
    </row>
    <row r="5">
      <c r="B5" t="inlineStr">
        <is>
          <t>Market Cap.</t>
        </is>
      </c>
      <c r="C5" s="13">
        <f>C3*C4</f>
        <v>3253.6481878500003</v>
      </c>
      <c r="F5" s="1" t="n"/>
    </row>
    <row r="6"/>
    <row r="7">
      <c r="B7" t="inlineStr">
        <is>
          <t>Cash</t>
        </is>
      </c>
      <c r="C7" s="21" t="n">
        <v>284.181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2969.4671878500003</v>
      </c>
    </row>
    <row r="10"/>
    <row r="11">
      <c r="B11" s="14" t="inlineStr">
        <is>
          <t>Net Cash / Share</t>
        </is>
      </c>
      <c r="C11" s="11">
        <f>(C7-C8)/C4</f>
        <v>3.1748913077249497</v>
      </c>
    </row>
    <row r="12">
      <c r="B12" s="14" t="inlineStr">
        <is>
          <t>Upside</t>
        </is>
      </c>
      <c r="C12" s="15">
        <f>IFERROR(C11/C3-1,"")</f>
        <v>-0.9126577356884471</v>
      </c>
    </row>
    <row r="13">
      <c r="B13" s="14" t="inlineStr">
        <is>
          <t>Cash / Share</t>
        </is>
      </c>
      <c r="C13" s="11">
        <f>IFERROR((C7-C8)/C4,"")</f>
        <v>3.1748913077249497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167.708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2969.4671878500003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8.071999999999999</v>
      </c>
      <c r="C2" s="23" t="n">
        <v>0.74</v>
      </c>
      <c r="D2" s="23" t="n">
        <v>12.853</v>
      </c>
      <c r="E2" s="23" t="n">
        <v>15.935</v>
      </c>
      <c r="F2" s="23" t="n">
        <v>17.488</v>
      </c>
      <c r="G2" s="23" t="n">
        <v>13.996</v>
      </c>
      <c r="H2" s="23" t="n">
        <v>158.32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0.238</v>
      </c>
      <c r="D3" s="23" t="n">
        <v>3.023</v>
      </c>
      <c r="E3" s="23" t="n">
        <v>2.859</v>
      </c>
      <c r="F3" s="23" t="n">
        <v>2.888</v>
      </c>
      <c r="G3" s="23" t="n">
        <v>5.879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8.072</v>
      </c>
      <c r="C4" s="23">
        <f>C2-C3</f>
        <v>0.502</v>
      </c>
      <c r="D4" s="23">
        <f>D2-D3</f>
        <v>9.83</v>
      </c>
      <c r="E4" s="23">
        <f>E2-E3</f>
        <v>13.076</v>
      </c>
      <c r="F4" s="23">
        <f>F2-F3</f>
        <v>14.6</v>
      </c>
      <c r="G4" s="23">
        <f>G2-G3</f>
        <v>8.117</v>
      </c>
      <c r="H4" s="23">
        <f>H2-H3</f>
        <v>158.32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40.491</v>
      </c>
      <c r="C5" s="23" t="n">
        <v>32.222</v>
      </c>
      <c r="D5" s="23" t="n">
        <v>20.517</v>
      </c>
      <c r="E5" s="23" t="n">
        <v>19.435</v>
      </c>
      <c r="F5" s="23" t="n">
        <v>43.242</v>
      </c>
      <c r="G5" s="23" t="n">
        <v>47.842</v>
      </c>
      <c r="H5" s="23" t="n">
        <v>39.276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14.404</v>
      </c>
      <c r="C6" s="23" t="n">
        <v>27.369</v>
      </c>
      <c r="D6" s="23" t="n">
        <v>23.11</v>
      </c>
      <c r="E6" s="23" t="n">
        <v>32.411</v>
      </c>
      <c r="F6" s="23" t="n">
        <v>44.742</v>
      </c>
      <c r="G6" s="23" t="n">
        <v>81.569</v>
      </c>
      <c r="H6" s="23" t="n">
        <v>170.42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54.894999999999996</v>
      </c>
      <c r="C7" s="23">
        <f>SUM(C5:C6)</f>
        <v>59.591</v>
      </c>
      <c r="D7" s="23">
        <f>SUM(D5:D6)</f>
        <v>43.626999999999995</v>
      </c>
      <c r="E7" s="23">
        <f>SUM(E5:E6)</f>
        <v>51.846000000000004</v>
      </c>
      <c r="F7" s="23">
        <f>SUM(F5:F6)</f>
        <v>87.984</v>
      </c>
      <c r="G7" s="23">
        <f>SUM(G5:G6)</f>
        <v>129.411</v>
      </c>
      <c r="H7" s="23">
        <f>SUM(H5:H6)</f>
        <v>209.696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-46.82299999999999</v>
      </c>
      <c r="C8" s="23">
        <f>C4-C7</f>
        <v>-59.089</v>
      </c>
      <c r="D8" s="23">
        <f>D4-D7</f>
        <v>-33.797</v>
      </c>
      <c r="E8" s="23">
        <f>E4-E7</f>
        <v>-38.77</v>
      </c>
      <c r="F8" s="23">
        <f>F4-F7</f>
        <v>-73.384</v>
      </c>
      <c r="G8" s="23">
        <f>G4-G7</f>
        <v>-121.294</v>
      </c>
      <c r="H8" s="23">
        <f>H4-H7</f>
        <v>-51.376000000000005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-0.76</v>
      </c>
      <c r="C9" s="23" t="n">
        <v>-0.674</v>
      </c>
      <c r="D9" s="23" t="n">
        <v>-0.782</v>
      </c>
      <c r="E9" s="23" t="n">
        <v>-2.245</v>
      </c>
      <c r="F9" s="23" t="n">
        <v>-5.118</v>
      </c>
      <c r="G9" s="23" t="n">
        <v>-9.1</v>
      </c>
      <c r="H9" s="23" t="n">
        <v>-17.548</v>
      </c>
    </row>
    <row r="10">
      <c r="A10" s="2" t="inlineStr">
        <is>
          <t>Pretax</t>
        </is>
      </c>
      <c r="B10" s="23">
        <f>B8+B9</f>
        <v>-47.58299999999999</v>
      </c>
      <c r="C10" s="23">
        <f>C8+C9</f>
        <v>-59.763</v>
      </c>
      <c r="D10" s="23">
        <f>D8+D9</f>
        <v>-34.57899999999999</v>
      </c>
      <c r="E10" s="23">
        <f>E8+E9</f>
        <v>-41.015</v>
      </c>
      <c r="F10" s="23">
        <f>F8+F9</f>
        <v>-78.502</v>
      </c>
      <c r="G10" s="23">
        <f>G8+G9</f>
        <v>-130.394</v>
      </c>
      <c r="H10" s="23">
        <f>H8+H9</f>
        <v>-68.924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-47.583</v>
      </c>
      <c r="C12" s="23" t="n">
        <v>-59.763</v>
      </c>
      <c r="D12" s="23" t="n">
        <v>-34.579</v>
      </c>
      <c r="E12" s="23" t="n">
        <v>-41.015</v>
      </c>
      <c r="F12" s="23" t="n">
        <v>-78.502</v>
      </c>
      <c r="G12" s="23" t="n">
        <v>-130.394</v>
      </c>
      <c r="H12" s="23" t="n">
        <v>-68.92400000000001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-2.5745590304079644</v>
      </c>
      <c r="C13" s="11">
        <f>IFERROR(C12/C14,0)</f>
        <v>-1.7635446175637395</v>
      </c>
      <c r="D13" s="11">
        <f>IFERROR(D12/D14,0)</f>
        <v>-0.6960626434236483</v>
      </c>
      <c r="E13" s="11">
        <f>IFERROR(E12/E14,0)</f>
        <v>-0.6728292786955167</v>
      </c>
      <c r="F13" s="11">
        <f>IFERROR(F12/F14,0)</f>
        <v>-1.2078531534165218</v>
      </c>
      <c r="G13" s="11">
        <f>IFERROR(G12/G14,0)</f>
        <v>-1.6566803882705698</v>
      </c>
      <c r="H13" s="11">
        <f>IFERROR(H12/H14,0)</f>
        <v>-0.8008924110203466</v>
      </c>
    </row>
    <row r="14">
      <c r="A14" s="2" t="inlineStr">
        <is>
          <t>Shares</t>
        </is>
      </c>
      <c r="B14" s="23" t="n">
        <v>18.482</v>
      </c>
      <c r="C14" s="23" t="n">
        <v>33.888</v>
      </c>
      <c r="D14" s="23" t="n">
        <v>49.678</v>
      </c>
      <c r="E14" s="23" t="n">
        <v>60.959</v>
      </c>
      <c r="F14" s="23" t="n">
        <v>64.99299999999999</v>
      </c>
      <c r="G14" s="23" t="n">
        <v>78.708</v>
      </c>
      <c r="H14" s="23" t="n">
        <v>86.059</v>
      </c>
    </row>
    <row r="15"/>
    <row r="16" customFormat="1" s="4">
      <c r="A16" s="3" t="inlineStr">
        <is>
          <t>Revenue Change</t>
        </is>
      </c>
      <c r="C16" s="15">
        <f>IFERROR(C2/B2-1,"")</f>
        <v>-0.9083250743310208</v>
      </c>
      <c r="D16" s="15">
        <f>IFERROR(D2/C2-1,"")</f>
        <v>16.36891891891892</v>
      </c>
      <c r="E16" s="15">
        <f>IFERROR(E2/D2-1,"")</f>
        <v>0.23978837625457095</v>
      </c>
      <c r="F16" s="15">
        <f>IFERROR(F2/E2-1,"")</f>
        <v>0.0974584248509569</v>
      </c>
      <c r="G16" s="15">
        <f>IFERROR(G2/F2-1,"")</f>
        <v>-0.19967978042086</v>
      </c>
      <c r="H16" s="15">
        <f>IFERROR(H2/G2-1,"")</f>
        <v>10.311803372392111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0.6783783783783784</v>
      </c>
      <c r="D17" s="15">
        <f>IFERROR(D4/D2,"")</f>
        <v>0.7648019917528982</v>
      </c>
      <c r="E17" s="15">
        <f>IFERROR(E4/E2,"")</f>
        <v>0.8205836209601506</v>
      </c>
      <c r="F17" s="15">
        <f>IFERROR(F4/F2,"")</f>
        <v>0.8348581884720951</v>
      </c>
      <c r="G17" s="15">
        <f>IFERROR(G4/G2,"")</f>
        <v>0.5799514146899114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-5.800668979187314</v>
      </c>
      <c r="C18" s="15">
        <f>IFERROR(C8/C2,"")</f>
        <v>-79.85</v>
      </c>
      <c r="D18" s="15">
        <f>IFERROR(D8/D2,"")</f>
        <v>-2.6295028398039366</v>
      </c>
      <c r="E18" s="15">
        <f>IFERROR(E8/E2,"")</f>
        <v>-2.433009099466583</v>
      </c>
      <c r="F18" s="15">
        <f>IFERROR(F8/F2,"")</f>
        <v>-4.196248856358646</v>
      </c>
      <c r="G18" s="15">
        <f>IFERROR(G8/G2,"")</f>
        <v>-8.666333238068018</v>
      </c>
      <c r="H18" s="15">
        <f>IFERROR(H8/H2,"")</f>
        <v>-0.3245073269327944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2026-10-21T06:22:10Z</dcterms:modified>
  <cp:lastModifiedBy>Wang, Eric</cp:lastModifiedBy>
</cp:coreProperties>
</file>