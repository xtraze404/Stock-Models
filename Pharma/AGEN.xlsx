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Agenus Inc</t>
        </is>
      </c>
      <c r="C2" s="10" t="n"/>
    </row>
    <row r="3">
      <c r="B3" t="inlineStr">
        <is>
          <t>Price</t>
        </is>
      </c>
      <c r="C3" s="11">
        <f>INDEX([1]Pharma!$F$1:$F$1000,MATCH("AGEN",[1]Pharma!$B$1:$B$1000,0))</f>
        <v>6.42</v>
      </c>
      <c r="F3" s="1" t="n"/>
    </row>
    <row r="4">
      <c r="B4" t="inlineStr">
        <is>
          <t>Shares</t>
        </is>
      </c>
      <c r="C4" s="51" t="n">
        <v>45.020407</v>
      </c>
      <c r="F4" s="1" t="n"/>
    </row>
    <row r="5">
      <c r="B5" t="inlineStr">
        <is>
          <t>Market Cap.</t>
        </is>
      </c>
      <c r="C5" s="13">
        <f>C3*C4</f>
        <v>289.03101294</v>
      </c>
      <c r="F5" s="1" t="n"/>
    </row>
    <row r="6"/>
    <row r="7">
      <c r="B7" t="inlineStr">
        <is>
          <t>Cash</t>
        </is>
      </c>
      <c r="C7" s="51" t="n">
        <v>18.738</v>
      </c>
    </row>
    <row r="8">
      <c r="B8" t="inlineStr">
        <is>
          <t>Debt</t>
        </is>
      </c>
      <c r="C8" s="51" t="n">
        <v>30.068</v>
      </c>
    </row>
    <row r="9">
      <c r="B9" t="inlineStr">
        <is>
          <t>Enterprise V.</t>
        </is>
      </c>
      <c r="C9" s="13">
        <f>C5-C7+C8</f>
        <v>300.36101293999997</v>
      </c>
    </row>
    <row r="10"/>
    <row r="11">
      <c r="B11" s="14" t="inlineStr">
        <is>
          <t>NPV / Share</t>
        </is>
      </c>
      <c r="C11" s="11">
        <f>NPV!B28</f>
        <v>6.100568048234903</v>
      </c>
    </row>
    <row r="12">
      <c r="B12" s="14" t="inlineStr">
        <is>
          <t>Upside</t>
        </is>
      </c>
      <c r="C12" s="15">
        <f>IFERROR(C11/C3-1,"")</f>
        <v>-0.049755755726650586</v>
      </c>
    </row>
    <row r="13">
      <c r="B13" s="14" t="inlineStr">
        <is>
          <t>Cash / Share</t>
        </is>
      </c>
      <c r="C13" s="11">
        <f>IFERROR((C7-C8)/C4,"")</f>
        <v>-0.251663651108263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3.334</v>
      </c>
      <c r="C2" s="52" t="n">
        <v>3.36</v>
      </c>
      <c r="D2" s="52" t="n">
        <v>2.756</v>
      </c>
      <c r="E2" s="52" t="n">
        <v>15.961</v>
      </c>
      <c r="F2" s="52" t="n">
        <v>3.045</v>
      </c>
      <c r="G2" s="52" t="n">
        <v>6.977</v>
      </c>
      <c r="H2" s="52" t="n">
        <v>24.817</v>
      </c>
      <c r="I2" s="52" t="n">
        <v>22.573</v>
      </c>
      <c r="J2" s="52" t="n">
        <v>42.877</v>
      </c>
      <c r="K2" s="52" t="n">
        <v>36.784</v>
      </c>
      <c r="L2" s="52" t="n">
        <v>150.048</v>
      </c>
      <c r="M2" s="52" t="n">
        <v>88.17</v>
      </c>
      <c r="N2" s="52" t="n">
        <v>295.665</v>
      </c>
      <c r="O2" s="52" t="n">
        <v>98.024</v>
      </c>
      <c r="P2" s="52" t="n">
        <v>156.314</v>
      </c>
      <c r="Q2" s="52" t="n">
        <v>103.463</v>
      </c>
      <c r="R2" s="52" t="n">
        <v>114.196</v>
      </c>
      <c r="S2" s="52">
        <f>R2*(1+NPV!C5)</f>
        <v>126.03812519999998</v>
      </c>
      <c r="T2" s="52">
        <f>S2*(1+NPV!D5)</f>
        <v>138.00614539954663</v>
      </c>
      <c r="U2" s="52">
        <f>T2*(1+NPV!E5)</f>
        <v>149.9038085346031</v>
      </c>
      <c r="V2" s="52">
        <f>U2*(1+NPV!F5)</f>
        <v>161.516356902417</v>
      </c>
      <c r="W2" s="52">
        <f>V2*(1+NPV!G5)</f>
        <v>172.61611987398862</v>
      </c>
      <c r="X2" s="52">
        <f>W2*(1+NPV!H5)</f>
        <v>182.96925115265296</v>
      </c>
      <c r="Y2" s="52">
        <f>X2*(1+NPV!I5)</f>
        <v>192.34337578670718</v>
      </c>
      <c r="Z2" s="52">
        <f>Y2*(1+NPV!J5)</f>
        <v>200.51583210902237</v>
      </c>
      <c r="AA2" s="52">
        <f>Z2*(1+NPV!K5)</f>
        <v>207.2821274658568</v>
      </c>
      <c r="AB2" s="52">
        <f>AA2*(1+NPV!L5)</f>
        <v>212.46418065250322</v>
      </c>
    </row>
    <row r="3" customFormat="1" s="1">
      <c r="A3" s="5" t="inlineStr">
        <is>
          <t>Cost of Sales</t>
        </is>
      </c>
      <c r="B3" s="52" t="n">
        <v>0</v>
      </c>
      <c r="C3" s="52" t="n">
        <v>0.123</v>
      </c>
      <c r="D3" s="52" t="n">
        <v>0</v>
      </c>
      <c r="E3" s="52" t="n">
        <v>0.672</v>
      </c>
      <c r="F3" s="52" t="n">
        <v>0.536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2" t="n">
        <v>2.349</v>
      </c>
      <c r="N3" s="52" t="n">
        <v>3.47</v>
      </c>
      <c r="O3" s="52" t="n">
        <v>10.568</v>
      </c>
      <c r="P3" s="52" t="n">
        <v>3.111</v>
      </c>
      <c r="Q3" s="52" t="n">
        <v>0.486</v>
      </c>
      <c r="R3" s="52" t="n">
        <v>1.022</v>
      </c>
      <c r="S3" s="52">
        <f>S2*(1-Assumptions!$B$19)</f>
        <v>1.1217393142800023</v>
      </c>
      <c r="T3" s="52">
        <f>T2*(1-Assumptions!$B$19)</f>
        <v>1.2282546940559675</v>
      </c>
      <c r="U3" s="52">
        <f>U2*(1-Assumptions!$B$19)</f>
        <v>1.3341438959579703</v>
      </c>
      <c r="V3" s="52">
        <f>V2*(1-Assumptions!$B$19)</f>
        <v>1.4374955764315143</v>
      </c>
      <c r="W3" s="52">
        <f>W2*(1-Assumptions!$B$19)</f>
        <v>1.536283466878502</v>
      </c>
      <c r="X3" s="52">
        <f>X2*(1-Assumptions!$B$19)</f>
        <v>1.6284263352586148</v>
      </c>
      <c r="Y3" s="52">
        <f>Y2*(1-Assumptions!$B$19)</f>
        <v>1.7118560445016977</v>
      </c>
      <c r="Z3" s="52">
        <f>Z2*(1-Assumptions!$B$19)</f>
        <v>1.7845909057703029</v>
      </c>
      <c r="AA3" s="52">
        <f>AA2*(1-Assumptions!$B$19)</f>
        <v>1.8448109344461294</v>
      </c>
      <c r="AB3" s="52">
        <f>AB2*(1-Assumptions!$B$19)</f>
        <v>1.8909312078072826</v>
      </c>
    </row>
    <row r="4" customFormat="1" s="1">
      <c r="A4" s="5" t="inlineStr">
        <is>
          <t>Gross Margin</t>
        </is>
      </c>
      <c r="B4" s="52">
        <f>B2-B3</f>
        <v>3.334</v>
      </c>
      <c r="C4" s="52">
        <f>C2-C3</f>
        <v>3.237</v>
      </c>
      <c r="D4" s="52">
        <f>D2-D3</f>
        <v>2.756</v>
      </c>
      <c r="E4" s="52">
        <f>E2-E3</f>
        <v>15.289</v>
      </c>
      <c r="F4" s="52">
        <f>F2-F3</f>
        <v>2.509</v>
      </c>
      <c r="G4" s="52">
        <f>G2-G3</f>
        <v>6.977</v>
      </c>
      <c r="H4" s="52">
        <f>H2-H3</f>
        <v>24.817</v>
      </c>
      <c r="I4" s="52">
        <f>I2-I3</f>
        <v>22.573</v>
      </c>
      <c r="J4" s="52">
        <f>J2-J3</f>
        <v>42.877</v>
      </c>
      <c r="K4" s="52">
        <f>K2-K3</f>
        <v>36.784</v>
      </c>
      <c r="L4" s="52">
        <f>L2-L3</f>
        <v>150.048</v>
      </c>
      <c r="M4" s="52">
        <f>M2-M3</f>
        <v>85.821</v>
      </c>
      <c r="N4" s="52">
        <f>N2-N3</f>
        <v>292.195</v>
      </c>
      <c r="O4" s="52">
        <f>O2-O3</f>
        <v>87.456</v>
      </c>
      <c r="P4" s="52">
        <f>P2-P3</f>
        <v>153.203</v>
      </c>
      <c r="Q4" s="52">
        <f>Q2-Q3</f>
        <v>102.97699999999999</v>
      </c>
      <c r="R4" s="52">
        <f>R2-R3</f>
        <v>113.17399999999999</v>
      </c>
      <c r="S4" s="52">
        <f>S2-S3</f>
        <v>124.91638588571998</v>
      </c>
      <c r="T4" s="52">
        <f>T2-T3</f>
        <v>136.77789070549065</v>
      </c>
      <c r="U4" s="52">
        <f>U2-U3</f>
        <v>148.56966463864512</v>
      </c>
      <c r="V4" s="52">
        <f>V2-V3</f>
        <v>160.07886132598549</v>
      </c>
      <c r="W4" s="52">
        <f>W2-W3</f>
        <v>171.07983640711012</v>
      </c>
      <c r="X4" s="52">
        <f>X2-X3</f>
        <v>181.34082481739435</v>
      </c>
      <c r="Y4" s="52">
        <f>Y2-Y3</f>
        <v>190.63151974220548</v>
      </c>
      <c r="Z4" s="52">
        <f>Z2-Z3</f>
        <v>198.73124120325207</v>
      </c>
      <c r="AA4" s="52">
        <f>AA2-AA3</f>
        <v>205.4373165314107</v>
      </c>
      <c r="AB4" s="52">
        <f>AB2-AB3</f>
        <v>210.57324944469593</v>
      </c>
    </row>
    <row r="5">
      <c r="A5" s="2" t="inlineStr">
        <is>
          <t>Research &amp; Dev.</t>
        </is>
      </c>
      <c r="B5" s="52" t="n">
        <v>16.903</v>
      </c>
      <c r="C5" s="52" t="n">
        <v>12.878</v>
      </c>
      <c r="D5" s="52" t="n">
        <v>11.022</v>
      </c>
      <c r="E5" s="52" t="n">
        <v>10.564</v>
      </c>
      <c r="F5" s="52" t="n">
        <v>13.005</v>
      </c>
      <c r="G5" s="52" t="n">
        <v>22.349</v>
      </c>
      <c r="H5" s="52" t="n">
        <v>70.444</v>
      </c>
      <c r="I5" s="52" t="n">
        <v>94.971</v>
      </c>
      <c r="J5" s="52" t="n">
        <v>116.125</v>
      </c>
      <c r="K5" s="52" t="n">
        <v>124.6</v>
      </c>
      <c r="L5" s="52" t="n">
        <v>168.339</v>
      </c>
      <c r="M5" s="52" t="n">
        <v>142.617</v>
      </c>
      <c r="N5" s="52" t="n">
        <v>178.608</v>
      </c>
      <c r="O5" s="52" t="n">
        <v>186.691</v>
      </c>
      <c r="P5" s="52" t="n">
        <v>234.569</v>
      </c>
      <c r="Q5" s="52" t="n">
        <v>155.528</v>
      </c>
      <c r="R5" s="52" t="n">
        <v>79.33799999999999</v>
      </c>
      <c r="S5" s="52">
        <f>S7*Assumptions!$B$20</f>
        <v>54.41319201515651</v>
      </c>
      <c r="T5" s="52">
        <f>T7*Assumptions!$B$20</f>
        <v>60.177814311919484</v>
      </c>
      <c r="U5" s="52">
        <f>U7*Assumptions!$B$20</f>
        <v>66.01513388503668</v>
      </c>
      <c r="V5" s="52">
        <f>V7*Assumptions!$B$20</f>
        <v>71.82873050822268</v>
      </c>
      <c r="W5" s="52">
        <f>W7*Assumptions!$B$20</f>
        <v>77.51266447299503</v>
      </c>
      <c r="X5" s="52">
        <f>X7*Assumptions!$B$20</f>
        <v>82.9542514460126</v>
      </c>
      <c r="Y5" s="52">
        <f>Y7*Assumptions!$B$20</f>
        <v>88.037428828321</v>
      </c>
      <c r="Z5" s="52">
        <f>Z7*Assumptions!$B$20</f>
        <v>92.64659573823442</v>
      </c>
      <c r="AA5" s="52">
        <f>AA7*Assumptions!$B$20</f>
        <v>96.6707669044213</v>
      </c>
      <c r="AB5" s="52">
        <f>AB7*Assumptions!$B$20</f>
        <v>100.00784592194618</v>
      </c>
    </row>
    <row r="6">
      <c r="A6" s="18" t="inlineStr">
        <is>
          <t>SG&amp;A &amp; Other</t>
        </is>
      </c>
      <c r="B6" s="52" t="n">
        <v>14.111</v>
      </c>
      <c r="C6" s="52" t="n">
        <v>12.112</v>
      </c>
      <c r="D6" s="52" t="n">
        <v>10.82</v>
      </c>
      <c r="E6" s="52" t="n">
        <v>11.465</v>
      </c>
      <c r="F6" s="52" t="n">
        <v>14.484</v>
      </c>
      <c r="G6" s="52" t="n">
        <v>27.949</v>
      </c>
      <c r="H6" s="52" t="n">
        <v>35.074</v>
      </c>
      <c r="I6" s="52" t="n">
        <v>35.079</v>
      </c>
      <c r="J6" s="52" t="n">
        <v>30.553</v>
      </c>
      <c r="K6" s="52" t="n">
        <v>36.005</v>
      </c>
      <c r="L6" s="52" t="n">
        <v>51.846</v>
      </c>
      <c r="M6" s="52" t="n">
        <v>60.439</v>
      </c>
      <c r="N6" s="52" t="n">
        <v>87.84</v>
      </c>
      <c r="O6" s="52" t="n">
        <v>80.19199999999999</v>
      </c>
      <c r="P6" s="52" t="n">
        <v>78.18300000000001</v>
      </c>
      <c r="Q6" s="52" t="n">
        <v>67.92400000000001</v>
      </c>
      <c r="R6" s="52" t="n">
        <v>54.005</v>
      </c>
      <c r="S6" s="52">
        <f>S7-S5</f>
        <v>37.03755086745947</v>
      </c>
      <c r="T6" s="52">
        <f>T7-T5</f>
        <v>40.96136940559226</v>
      </c>
      <c r="U6" s="52">
        <f>U7-U5</f>
        <v>44.93467096376446</v>
      </c>
      <c r="V6" s="52">
        <f>V7-V5</f>
        <v>48.89182496778183</v>
      </c>
      <c r="W6" s="52">
        <f>W7-W5</f>
        <v>52.76072119590418</v>
      </c>
      <c r="X6" s="52">
        <f>X7-X5</f>
        <v>56.46465854728591</v>
      </c>
      <c r="Y6" s="52">
        <f>Y7-Y5</f>
        <v>59.92463642936136</v>
      </c>
      <c r="Z6" s="52">
        <f>Z7-Z5</f>
        <v>63.0619685277058</v>
      </c>
      <c r="AA6" s="52">
        <f>AA7-AA5</f>
        <v>65.8011102458666</v>
      </c>
      <c r="AB6" s="52">
        <f>AB7-AB5</f>
        <v>68.0725673922491</v>
      </c>
    </row>
    <row r="7">
      <c r="A7" s="2" t="inlineStr">
        <is>
          <t>Operating Expense</t>
        </is>
      </c>
      <c r="B7" s="52">
        <f>SUM(B5:B6)</f>
        <v>31.014</v>
      </c>
      <c r="C7" s="52">
        <f>SUM(C5:C6)</f>
        <v>24.990000000000002</v>
      </c>
      <c r="D7" s="52">
        <f>SUM(D5:D6)</f>
        <v>21.842</v>
      </c>
      <c r="E7" s="52">
        <f>SUM(E5:E6)</f>
        <v>22.029</v>
      </c>
      <c r="F7" s="52">
        <f>SUM(F5:F6)</f>
        <v>27.489</v>
      </c>
      <c r="G7" s="52">
        <f>SUM(G5:G6)</f>
        <v>50.298</v>
      </c>
      <c r="H7" s="52">
        <f>SUM(H5:H6)</f>
        <v>105.518</v>
      </c>
      <c r="I7" s="52">
        <f>SUM(I5:I6)</f>
        <v>130.05</v>
      </c>
      <c r="J7" s="52">
        <f>SUM(J5:J6)</f>
        <v>146.678</v>
      </c>
      <c r="K7" s="52">
        <f>SUM(K5:K6)</f>
        <v>160.605</v>
      </c>
      <c r="L7" s="52">
        <f>SUM(L5:L6)</f>
        <v>220.185</v>
      </c>
      <c r="M7" s="52">
        <f>SUM(M5:M6)</f>
        <v>203.05599999999998</v>
      </c>
      <c r="N7" s="52">
        <f>SUM(N5:N6)</f>
        <v>266.448</v>
      </c>
      <c r="O7" s="52">
        <f>SUM(O5:O6)</f>
        <v>266.883</v>
      </c>
      <c r="P7" s="52">
        <f>SUM(P5:P6)</f>
        <v>312.752</v>
      </c>
      <c r="Q7" s="52">
        <f>SUM(Q5:Q6)</f>
        <v>223.452</v>
      </c>
      <c r="R7" s="52">
        <f>SUM(R5:R6)</f>
        <v>133.343</v>
      </c>
      <c r="S7" s="52">
        <f>S4-S2*NPV!C6</f>
        <v>91.45074288261598</v>
      </c>
      <c r="T7" s="52">
        <f>T4-T2*NPV!D6</f>
        <v>101.13918371751174</v>
      </c>
      <c r="U7" s="52">
        <f>U4-U2*NPV!E6</f>
        <v>110.94980484880114</v>
      </c>
      <c r="V7" s="52">
        <f>V4-V2*NPV!F6</f>
        <v>120.7205554760045</v>
      </c>
      <c r="W7" s="52">
        <f>W4-W2*NPV!G6</f>
        <v>130.2733856688992</v>
      </c>
      <c r="X7" s="52">
        <f>X4-X2*NPV!H6</f>
        <v>139.4189099932985</v>
      </c>
      <c r="Y7" s="52">
        <f>Y4-Y2*NPV!I6</f>
        <v>147.96206525768235</v>
      </c>
      <c r="Z7" s="52">
        <f>Z4-Z2*NPV!J6</f>
        <v>155.70856426594023</v>
      </c>
      <c r="AA7" s="52">
        <f>AA4-AA2*NPV!K6</f>
        <v>162.4718771502879</v>
      </c>
      <c r="AB7" s="52">
        <f>AB4-AB2*NPV!L6</f>
        <v>168.08041331419528</v>
      </c>
    </row>
    <row r="8">
      <c r="A8" s="2" t="inlineStr">
        <is>
          <t>Operating Income</t>
        </is>
      </c>
      <c r="B8" s="52">
        <f>B4-B7</f>
        <v>-27.68</v>
      </c>
      <c r="C8" s="52">
        <f>C4-C7</f>
        <v>-21.753</v>
      </c>
      <c r="D8" s="52">
        <f>D4-D7</f>
        <v>-19.086</v>
      </c>
      <c r="E8" s="52">
        <f>E4-E7</f>
        <v>-6.74</v>
      </c>
      <c r="F8" s="52">
        <f>F4-F7</f>
        <v>-24.98</v>
      </c>
      <c r="G8" s="52">
        <f>G4-G7</f>
        <v>-43.321</v>
      </c>
      <c r="H8" s="52">
        <f>H4-H7</f>
        <v>-80.701</v>
      </c>
      <c r="I8" s="52">
        <f>I4-I7</f>
        <v>-107.477</v>
      </c>
      <c r="J8" s="52">
        <f>J4-J7</f>
        <v>-103.80099999999999</v>
      </c>
      <c r="K8" s="52">
        <f>K4-K7</f>
        <v>-123.821</v>
      </c>
      <c r="L8" s="52">
        <f>L4-L7</f>
        <v>-70.137</v>
      </c>
      <c r="M8" s="52">
        <f>M4-M7</f>
        <v>-117.23499999999999</v>
      </c>
      <c r="N8" s="52">
        <f>N4-N7</f>
        <v>25.747000000000014</v>
      </c>
      <c r="O8" s="52">
        <f>O4-O7</f>
        <v>-179.42699999999996</v>
      </c>
      <c r="P8" s="52">
        <f>P4-P7</f>
        <v>-159.549</v>
      </c>
      <c r="Q8" s="52">
        <f>Q4-Q7</f>
        <v>-120.47500000000001</v>
      </c>
      <c r="R8" s="52">
        <f>R4-R7</f>
        <v>-20.168999999999997</v>
      </c>
      <c r="S8" s="52">
        <f>S4-S7</f>
        <v>33.46564300310399</v>
      </c>
      <c r="T8" s="52">
        <f>T4-T7</f>
        <v>35.63870698797891</v>
      </c>
      <c r="U8" s="52">
        <f>U4-U7</f>
        <v>37.619859789843986</v>
      </c>
      <c r="V8" s="52">
        <f>V4-V7</f>
        <v>39.35830584998098</v>
      </c>
      <c r="W8" s="52">
        <f>W4-W7</f>
        <v>40.80645073821091</v>
      </c>
      <c r="X8" s="52">
        <f>X4-X7</f>
        <v>41.921914824095836</v>
      </c>
      <c r="Y8" s="52">
        <f>Y4-Y7</f>
        <v>42.66945448452313</v>
      </c>
      <c r="Z8" s="52">
        <f>Z4-Z7</f>
        <v>43.02267693731184</v>
      </c>
      <c r="AA8" s="52">
        <f>AA4-AA7</f>
        <v>42.96543938112279</v>
      </c>
      <c r="AB8" s="52">
        <f>AB4-AB7</f>
        <v>42.49283613050065</v>
      </c>
    </row>
    <row r="9">
      <c r="A9" s="18" t="inlineStr">
        <is>
          <t>Interest &amp; Other</t>
        </is>
      </c>
      <c r="B9" s="52" t="n">
        <v>-2.639</v>
      </c>
      <c r="C9" s="52" t="n">
        <v>-0.154</v>
      </c>
      <c r="D9" s="52" t="n">
        <v>-4.189</v>
      </c>
      <c r="E9" s="52" t="n">
        <v>-4.584</v>
      </c>
      <c r="F9" s="52" t="n">
        <v>-5.093</v>
      </c>
      <c r="G9" s="52" t="n">
        <v>0.835</v>
      </c>
      <c r="H9" s="52" t="n">
        <v>-12.567</v>
      </c>
      <c r="I9" s="52" t="n">
        <v>-19.518</v>
      </c>
      <c r="J9" s="52" t="n">
        <v>-16.891</v>
      </c>
      <c r="K9" s="52" t="n">
        <v>-36.078</v>
      </c>
      <c r="L9" s="52" t="n">
        <v>-37.728</v>
      </c>
      <c r="M9" s="52" t="n">
        <v>-63.888</v>
      </c>
      <c r="N9" s="52" t="n">
        <v>-49.884</v>
      </c>
      <c r="O9" s="52" t="n">
        <v>-40.859</v>
      </c>
      <c r="P9" s="52" t="n">
        <v>-97.88800000000001</v>
      </c>
      <c r="Q9" s="52" t="n">
        <v>-111.796</v>
      </c>
      <c r="R9" s="52" t="n">
        <v>17.086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-30.319</v>
      </c>
      <c r="C10" s="52">
        <f>C8+C9</f>
        <v>-21.907</v>
      </c>
      <c r="D10" s="52">
        <f>D8+D9</f>
        <v>-23.275</v>
      </c>
      <c r="E10" s="52">
        <f>E8+E9</f>
        <v>-11.324</v>
      </c>
      <c r="F10" s="52">
        <f>F8+F9</f>
        <v>-30.073</v>
      </c>
      <c r="G10" s="52">
        <f>G8+G9</f>
        <v>-42.486</v>
      </c>
      <c r="H10" s="52">
        <f>H8+H9</f>
        <v>-93.268</v>
      </c>
      <c r="I10" s="52">
        <f>I8+I9</f>
        <v>-126.995</v>
      </c>
      <c r="J10" s="52">
        <f>J8+J9</f>
        <v>-120.69199999999998</v>
      </c>
      <c r="K10" s="52">
        <f>K8+K9</f>
        <v>-159.899</v>
      </c>
      <c r="L10" s="52">
        <f>L8+L9</f>
        <v>-107.86500000000001</v>
      </c>
      <c r="M10" s="52">
        <f>M8+M9</f>
        <v>-181.123</v>
      </c>
      <c r="N10" s="52">
        <f>N8+N9</f>
        <v>-24.136999999999986</v>
      </c>
      <c r="O10" s="52">
        <f>O8+O9</f>
        <v>-220.28599999999997</v>
      </c>
      <c r="P10" s="52">
        <f>P8+P9</f>
        <v>-257.437</v>
      </c>
      <c r="Q10" s="52">
        <f>Q8+Q9</f>
        <v>-232.27100000000002</v>
      </c>
      <c r="R10" s="52">
        <f>R8+R9</f>
        <v>-3.0829999999999984</v>
      </c>
      <c r="S10" s="52">
        <f>S8+S9</f>
        <v>33.46564300310399</v>
      </c>
      <c r="T10" s="52">
        <f>T8+T9</f>
        <v>35.63870698797891</v>
      </c>
      <c r="U10" s="52">
        <f>U8+U9</f>
        <v>37.619859789843986</v>
      </c>
      <c r="V10" s="52">
        <f>V8+V9</f>
        <v>39.35830584998098</v>
      </c>
      <c r="W10" s="52">
        <f>W8+W9</f>
        <v>40.80645073821091</v>
      </c>
      <c r="X10" s="52">
        <f>X8+X9</f>
        <v>41.921914824095836</v>
      </c>
      <c r="Y10" s="52">
        <f>Y8+Y9</f>
        <v>42.66945448452313</v>
      </c>
      <c r="Z10" s="52">
        <f>Z8+Z9</f>
        <v>43.02267693731184</v>
      </c>
      <c r="AA10" s="52">
        <f>AA8+AA9</f>
        <v>42.96543938112279</v>
      </c>
      <c r="AB10" s="52">
        <f>AB8+AB9</f>
        <v>42.49283613050065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-5.387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>
        <f>MAX(0,S10)*Assumptions!$E$14</f>
        <v>5.689159310527679</v>
      </c>
      <c r="T11" s="52">
        <f>MAX(0,T10)*Assumptions!$E$14</f>
        <v>6.058580187956415</v>
      </c>
      <c r="U11" s="52">
        <f>MAX(0,U10)*Assumptions!$E$14</f>
        <v>6.395376164273478</v>
      </c>
      <c r="V11" s="52">
        <f>MAX(0,V10)*Assumptions!$E$14</f>
        <v>6.690911994496767</v>
      </c>
      <c r="W11" s="52">
        <f>MAX(0,W10)*Assumptions!$E$14</f>
        <v>6.9370966254958555</v>
      </c>
      <c r="X11" s="52">
        <f>MAX(0,X10)*Assumptions!$E$14</f>
        <v>7.126725520096293</v>
      </c>
      <c r="Y11" s="52">
        <f>MAX(0,Y10)*Assumptions!$E$14</f>
        <v>7.253807262368933</v>
      </c>
      <c r="Z11" s="52">
        <f>MAX(0,Z10)*Assumptions!$E$14</f>
        <v>7.313855079343014</v>
      </c>
      <c r="AA11" s="52">
        <f>MAX(0,AA10)*Assumptions!$E$14</f>
        <v>7.304124694790875</v>
      </c>
      <c r="AB11" s="52">
        <f>MAX(0,AB10)*Assumptions!$E$14</f>
        <v>7.223782142185111</v>
      </c>
    </row>
    <row r="12">
      <c r="A12" s="2" t="inlineStr">
        <is>
          <t>Net Income</t>
        </is>
      </c>
      <c r="B12" s="52" t="n">
        <v>-30.317</v>
      </c>
      <c r="C12" s="52" t="n">
        <v>-21.906</v>
      </c>
      <c r="D12" s="52" t="n">
        <v>-23.276</v>
      </c>
      <c r="E12" s="52" t="n">
        <v>-11.325</v>
      </c>
      <c r="F12" s="52" t="n">
        <v>-30.073</v>
      </c>
      <c r="G12" s="52" t="n">
        <v>-42.486</v>
      </c>
      <c r="H12" s="52" t="n">
        <v>-87.881</v>
      </c>
      <c r="I12" s="52" t="n">
        <v>-126.995</v>
      </c>
      <c r="J12" s="52" t="n">
        <v>-120.692</v>
      </c>
      <c r="K12" s="52" t="n">
        <v>-159.899</v>
      </c>
      <c r="L12" s="52" t="n">
        <v>-107.865</v>
      </c>
      <c r="M12" s="52" t="n">
        <v>-181.123</v>
      </c>
      <c r="N12" s="52" t="n">
        <v>-24.137</v>
      </c>
      <c r="O12" s="52" t="n">
        <v>-220.286</v>
      </c>
      <c r="P12" s="52" t="n">
        <v>-257.437</v>
      </c>
      <c r="Q12" s="52" t="n">
        <v>-232.271</v>
      </c>
      <c r="R12" s="52" t="n">
        <v>-3.083</v>
      </c>
      <c r="S12" s="52">
        <f>S10-S11</f>
        <v>27.776483692576313</v>
      </c>
      <c r="T12" s="52">
        <f>T10-T11</f>
        <v>29.58012680002249</v>
      </c>
      <c r="U12" s="52">
        <f>U10-U11</f>
        <v>31.224483625570507</v>
      </c>
      <c r="V12" s="52">
        <f>V10-V11</f>
        <v>32.667393855484214</v>
      </c>
      <c r="W12" s="52">
        <f>W10-W11</f>
        <v>33.86935411271506</v>
      </c>
      <c r="X12" s="52">
        <f>X10-X11</f>
        <v>34.79518930399954</v>
      </c>
      <c r="Y12" s="52">
        <f>Y10-Y11</f>
        <v>35.4156472221542</v>
      </c>
      <c r="Z12" s="52">
        <f>Z10-Z11</f>
        <v>35.70882185796883</v>
      </c>
      <c r="AA12" s="52">
        <f>AA10-AA11</f>
        <v>35.66131468633192</v>
      </c>
      <c r="AB12" s="52">
        <f>AB10-AB11</f>
        <v>35.26905398831554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-6.6888345195729535</v>
      </c>
      <c r="G13" s="11">
        <f>IFERROR(G12/G14,0)</f>
        <v>-9.41622340425532</v>
      </c>
      <c r="H13" s="11">
        <f>IFERROR(H12/H14,0)</f>
        <v>-14.879952590585846</v>
      </c>
      <c r="I13" s="11">
        <f>IFERROR(I12/I14,0)</f>
        <v>-19.314828897338405</v>
      </c>
      <c r="J13" s="11">
        <f>IFERROR(J12/J14,0)</f>
        <v>-16.23950484391819</v>
      </c>
      <c r="K13" s="11">
        <f>IFERROR(K12/K14,0)</f>
        <v>-19.115242080095637</v>
      </c>
      <c r="L13" s="11">
        <f>IFERROR(L12/L14,0)</f>
        <v>-12.888636635201339</v>
      </c>
      <c r="M13" s="11">
        <f>IFERROR(M12/M14,0)</f>
        <v>-16.935296867695182</v>
      </c>
      <c r="N13" s="11">
        <f>IFERROR(N12/N14,0)</f>
        <v>-1.7006270696822379</v>
      </c>
      <c r="O13" s="11">
        <f>IFERROR(O12/O14,0)</f>
        <v>-15.637538155746434</v>
      </c>
      <c r="P13" s="11">
        <f>IFERROR(P12/P14,0)</f>
        <v>-14.386777690846095</v>
      </c>
      <c r="Q13" s="11">
        <f>IFERROR(Q12/Q14,0)</f>
        <v>-10.816886322358311</v>
      </c>
      <c r="R13" s="11">
        <f>IFERROR(R12/R14,0)</f>
        <v>-0.10368601600860967</v>
      </c>
      <c r="S13" s="11">
        <f>IFERROR(S12/S14,0)</f>
        <v>0.6169754016789833</v>
      </c>
      <c r="T13" s="11">
        <f>IFERROR(T12/T14,0)</f>
        <v>0.6570381915921483</v>
      </c>
      <c r="U13" s="11">
        <f>IFERROR(U12/U14,0)</f>
        <v>0.6935628908368267</v>
      </c>
      <c r="V13" s="11">
        <f>IFERROR(V12/V14,0)</f>
        <v>0.725613028231491</v>
      </c>
      <c r="W13" s="11">
        <f>IFERROR(W12/W14,0)</f>
        <v>0.7523111488688909</v>
      </c>
      <c r="X13" s="11">
        <f>IFERROR(X12/X14,0)</f>
        <v>0.7728759383272467</v>
      </c>
      <c r="Y13" s="11">
        <f>IFERROR(Y12/Y14,0)</f>
        <v>0.786657642214434</v>
      </c>
      <c r="Z13" s="11">
        <f>IFERROR(Z12/Z14,0)</f>
        <v>0.7931696809841997</v>
      </c>
      <c r="AA13" s="11">
        <f>IFERROR(AA12/AA14,0)</f>
        <v>0.7921144445969118</v>
      </c>
      <c r="AB13" s="11">
        <f>IFERROR(AB12/AB14,0)</f>
        <v>0.7834014914240012</v>
      </c>
    </row>
    <row r="14">
      <c r="A14" s="2" t="inlineStr">
        <is>
          <t>Shares</t>
        </is>
      </c>
      <c r="B14" s="52" t="n"/>
      <c r="C14" s="52" t="n"/>
      <c r="D14" s="52" t="n"/>
      <c r="E14" s="52" t="n"/>
      <c r="F14" s="52" t="n">
        <v>4.496</v>
      </c>
      <c r="G14" s="52" t="n">
        <v>4.512</v>
      </c>
      <c r="H14" s="52" t="n">
        <v>5.906</v>
      </c>
      <c r="I14" s="52" t="n">
        <v>6.575</v>
      </c>
      <c r="J14" s="52" t="n">
        <v>7.432</v>
      </c>
      <c r="K14" s="52" t="n">
        <v>8.365</v>
      </c>
      <c r="L14" s="52" t="n">
        <v>8.369</v>
      </c>
      <c r="M14" s="52" t="n">
        <v>10.695</v>
      </c>
      <c r="N14" s="52" t="n">
        <v>14.193</v>
      </c>
      <c r="O14" s="52" t="n">
        <v>14.087</v>
      </c>
      <c r="P14" s="52" t="n">
        <v>17.894</v>
      </c>
      <c r="Q14" s="52" t="n">
        <v>21.473</v>
      </c>
      <c r="R14" s="52" t="n">
        <v>29.734</v>
      </c>
      <c r="S14" s="52">
        <f>Main!$C$4</f>
        <v>45.020407</v>
      </c>
      <c r="T14" s="52">
        <f>Main!$C$4</f>
        <v>45.020407</v>
      </c>
      <c r="U14" s="52">
        <f>Main!$C$4</f>
        <v>45.020407</v>
      </c>
      <c r="V14" s="52">
        <f>Main!$C$4</f>
        <v>45.020407</v>
      </c>
      <c r="W14" s="52">
        <f>Main!$C$4</f>
        <v>45.020407</v>
      </c>
      <c r="X14" s="52">
        <f>Main!$C$4</f>
        <v>45.020407</v>
      </c>
      <c r="Y14" s="52">
        <f>Main!$C$4</f>
        <v>45.020407</v>
      </c>
      <c r="Z14" s="52">
        <f>Main!$C$4</f>
        <v>45.020407</v>
      </c>
      <c r="AA14" s="52">
        <f>Main!$C$4</f>
        <v>45.020407</v>
      </c>
      <c r="AB14" s="52">
        <f>Main!$C$4</f>
        <v>45.020407</v>
      </c>
    </row>
    <row r="15"/>
    <row r="16" customFormat="1" s="4">
      <c r="A16" s="3" t="inlineStr">
        <is>
          <t>Revenue Change</t>
        </is>
      </c>
      <c r="C16" s="15">
        <f>IFERROR(C2/B2-1,"")</f>
        <v>0.007798440311937549</v>
      </c>
      <c r="D16" s="15">
        <f>IFERROR(D2/C2-1,"")</f>
        <v>-0.1797619047619048</v>
      </c>
      <c r="E16" s="15">
        <f>IFERROR(E2/D2-1,"")</f>
        <v>4.7913642960812775</v>
      </c>
      <c r="F16" s="15">
        <f>IFERROR(F2/E2-1,"")</f>
        <v>-0.8092224797944991</v>
      </c>
      <c r="G16" s="15">
        <f>IFERROR(G2/F2-1,"")</f>
        <v>1.2912972085385879</v>
      </c>
      <c r="H16" s="15">
        <f>IFERROR(H2/G2-1,"")</f>
        <v>2.5569729109932635</v>
      </c>
      <c r="I16" s="15">
        <f>IFERROR(I2/H2-1,"")</f>
        <v>-0.09042188822178343</v>
      </c>
      <c r="J16" s="15">
        <f>IFERROR(J2/I2-1,"")</f>
        <v>0.8994816816550748</v>
      </c>
      <c r="K16" s="15">
        <f>IFERROR(K2/J2-1,"")</f>
        <v>-0.14210415840660506</v>
      </c>
      <c r="L16" s="15">
        <f>IFERROR(L2/K2-1,"")</f>
        <v>3.079164854284472</v>
      </c>
      <c r="M16" s="15">
        <f>IFERROR(M2/L2-1,"")</f>
        <v>-0.4123880358285349</v>
      </c>
      <c r="N16" s="15">
        <f>IFERROR(N2/M2-1,"")</f>
        <v>2.3533514800952706</v>
      </c>
      <c r="O16" s="15">
        <f>IFERROR(O2/N2-1,"")</f>
        <v>-0.6684626181658295</v>
      </c>
      <c r="P16" s="15">
        <f>IFERROR(P2/O2-1,"")</f>
        <v>0.5946502897249653</v>
      </c>
      <c r="Q16" s="15">
        <f>IFERROR(Q2/P2-1,"")</f>
        <v>-0.33810791099965454</v>
      </c>
      <c r="R16" s="15">
        <f>IFERROR(R2/Q2-1,"")</f>
        <v>0.1037375680194852</v>
      </c>
      <c r="S16" s="15">
        <f>IFERROR(S2/R2-1,"")</f>
        <v>0.1036999999999999</v>
      </c>
      <c r="T16" s="15">
        <f>IFERROR(T2/S2-1,"")</f>
        <v>0.09495555555555546</v>
      </c>
      <c r="U16" s="15">
        <f>IFERROR(U2/T2-1,"")</f>
        <v>0.08621111111111102</v>
      </c>
      <c r="V16" s="15">
        <f>IFERROR(V2/U2-1,"")</f>
        <v>0.07746666666666657</v>
      </c>
      <c r="W16" s="15">
        <f>IFERROR(W2/V2-1,"")</f>
        <v>0.06872222222222213</v>
      </c>
      <c r="X16" s="15">
        <f>IFERROR(X2/W2-1,"")</f>
        <v>0.059977777777777685</v>
      </c>
      <c r="Y16" s="15">
        <f>IFERROR(Y2/X2-1,"")</f>
        <v>0.05123333333333324</v>
      </c>
      <c r="Z16" s="15">
        <f>IFERROR(Z2/Y2-1,"")</f>
        <v>0.0424888888888888</v>
      </c>
      <c r="AA16" s="15">
        <f>IFERROR(AA2/Z2-1,"")</f>
        <v>0.033744444444444355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0.9633928571428572</v>
      </c>
      <c r="D17" s="15">
        <f>IFERROR(D4/D2,"")</f>
        <v>1.0</v>
      </c>
      <c r="E17" s="15">
        <f>IFERROR(E4/E2,"")</f>
        <v>0.9578973748511997</v>
      </c>
      <c r="F17" s="15">
        <f>IFERROR(F4/F2,"")</f>
        <v>0.8239737274220033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0.9733582851309969</v>
      </c>
      <c r="N17" s="15">
        <f>IFERROR(N4/N2,"")</f>
        <v>0.9882637444404985</v>
      </c>
      <c r="O17" s="15">
        <f>IFERROR(O4/O2,"")</f>
        <v>0.8921896678364483</v>
      </c>
      <c r="P17" s="15">
        <f>IFERROR(P4/P2,"")</f>
        <v>0.980097751960797</v>
      </c>
      <c r="Q17" s="15">
        <f>IFERROR(Q4/Q2,"")</f>
        <v>0.9953026685868378</v>
      </c>
      <c r="R17" s="15">
        <f>IFERROR(R4/R2,"")</f>
        <v>0.9910504746225787</v>
      </c>
      <c r="S17" s="15">
        <f>IFERROR(S4/S2,"")</f>
        <v>0.9911</v>
      </c>
      <c r="T17" s="15">
        <f>IFERROR(T4/T2,"")</f>
        <v>0.9910999999999999</v>
      </c>
      <c r="U17" s="15">
        <f>IFERROR(U4/U2,"")</f>
        <v>0.9911</v>
      </c>
      <c r="V17" s="15">
        <f>IFERROR(V4/V2,"")</f>
        <v>0.9911000000000001</v>
      </c>
      <c r="W17" s="15">
        <f>IFERROR(W4/W2,"")</f>
        <v>0.9911</v>
      </c>
      <c r="X17" s="15">
        <f>IFERROR(X4/X2,"")</f>
        <v>0.9911</v>
      </c>
      <c r="Y17" s="15">
        <f>IFERROR(Y4/Y2,"")</f>
        <v>0.9911</v>
      </c>
      <c r="Z17" s="15">
        <f>IFERROR(Z4/Z2,"")</f>
        <v>0.9911</v>
      </c>
      <c r="AA17" s="15">
        <f>IFERROR(AA4/AA2,"")</f>
        <v>0.9911000000000001</v>
      </c>
      <c r="AB17" s="15">
        <f>IFERROR(AB4/AB2,"")</f>
        <v>0.9911</v>
      </c>
    </row>
    <row r="18">
      <c r="A18" s="14" t="inlineStr">
        <is>
          <t>Operating Margin</t>
        </is>
      </c>
      <c r="B18" s="15">
        <f>IFERROR(B8/B2,"")</f>
        <v>-8.302339532093582</v>
      </c>
      <c r="C18" s="15">
        <f>IFERROR(C8/C2,"")</f>
        <v>-6.474107142857143</v>
      </c>
      <c r="D18" s="15">
        <f>IFERROR(D8/D2,"")</f>
        <v>-6.9252539912917275</v>
      </c>
      <c r="E18" s="15">
        <f>IFERROR(E8/E2,"")</f>
        <v>-0.4222793058079068</v>
      </c>
      <c r="F18" s="15">
        <f>IFERROR(F8/F2,"")</f>
        <v>-8.203612479474549</v>
      </c>
      <c r="G18" s="15">
        <f>IFERROR(G8/G2,"")</f>
        <v>-6.2091156657589215</v>
      </c>
      <c r="H18" s="15">
        <f>IFERROR(H8/H2,"")</f>
        <v>-3.251843494378853</v>
      </c>
      <c r="I18" s="15">
        <f>IFERROR(I8/I2,"")</f>
        <v>-4.7613077570548885</v>
      </c>
      <c r="J18" s="15">
        <f>IFERROR(J8/J2,"")</f>
        <v>-2.4209016489026745</v>
      </c>
      <c r="K18" s="15">
        <f>IFERROR(K8/K2,"")</f>
        <v>-3.366164636798608</v>
      </c>
      <c r="L18" s="15">
        <f>IFERROR(L8/L2,"")</f>
        <v>-0.46743042226487524</v>
      </c>
      <c r="M18" s="15">
        <f>IFERROR(M8/M2,"")</f>
        <v>-1.329647272314846</v>
      </c>
      <c r="N18" s="15">
        <f>IFERROR(N8/N2,"")</f>
        <v>0.08708166336901565</v>
      </c>
      <c r="O18" s="15">
        <f>IFERROR(O8/O2,"")</f>
        <v>-1.8304394842079488</v>
      </c>
      <c r="P18" s="15">
        <f>IFERROR(P8/P2,"")</f>
        <v>-1.0206955231137327</v>
      </c>
      <c r="Q18" s="15">
        <f>IFERROR(Q8/Q2,"")</f>
        <v>-1.164425930042624</v>
      </c>
      <c r="R18" s="15">
        <f>IFERROR(R8/R2,"")</f>
        <v>-0.176617394654804</v>
      </c>
      <c r="S18" s="15">
        <f>IFERROR(S8/S2,"")</f>
        <v>0.26552</v>
      </c>
      <c r="T18" s="15">
        <f>IFERROR(T8/T2,"")</f>
        <v>0.2582399999999999</v>
      </c>
      <c r="U18" s="15">
        <f>IFERROR(U8/U2,"")</f>
        <v>0.25095999999999996</v>
      </c>
      <c r="V18" s="15">
        <f>IFERROR(V8/V2,"")</f>
        <v>0.24368000000000006</v>
      </c>
      <c r="W18" s="15">
        <f>IFERROR(W8/W2,"")</f>
        <v>0.23640000000000003</v>
      </c>
      <c r="X18" s="15">
        <f>IFERROR(X8/X2,"")</f>
        <v>0.22911999999999993</v>
      </c>
      <c r="Y18" s="15">
        <f>IFERROR(Y8/Y2,"")</f>
        <v>0.22184000000000004</v>
      </c>
      <c r="Z18" s="15">
        <f>IFERROR(Z8/Z2,"")</f>
        <v>0.21456000000000003</v>
      </c>
      <c r="AA18" s="15">
        <f>IFERROR(AA8/AA2,"")</f>
        <v>0.20727999999999996</v>
      </c>
      <c r="AB18" s="15">
        <f>IFERROR(AB8/AB2,"")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Agenus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0.0537</v>
      </c>
      <c r="C12" s="53" t="n">
        <v>0.1037</v>
      </c>
      <c r="D12" s="53" t="n">
        <v>0.1537</v>
      </c>
      <c r="E12" s="54">
        <f>CHOOSE($B$4,B12,C12,D12)</f>
        <v>0.1037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0.2728</v>
      </c>
    </row>
    <row r="19">
      <c r="A19" s="14" t="inlineStr">
        <is>
          <t>Gross margin (forecast)</t>
        </is>
      </c>
      <c r="B19" s="53" t="n">
        <v>0.9911</v>
      </c>
    </row>
    <row r="20">
      <c r="A20" s="14" t="inlineStr">
        <is>
          <t>R&amp;D share of operating expense (forecast)</t>
        </is>
      </c>
      <c r="B20" s="53" t="n">
        <v>0.595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114.196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285.98005646273094</v>
      </c>
      <c r="C29" s="56">
        <f>NPV!B26</f>
        <v>274.65005646273096</v>
      </c>
      <c r="D29" s="35">
        <f>NPV!B28</f>
        <v>6.100568048234903</v>
      </c>
      <c r="E29" s="57">
        <f>NPV!B30</f>
        <v>-0.049755755726650586</v>
      </c>
    </row>
    <row r="30">
      <c r="A30" s="58" t="n">
        <v>1</v>
      </c>
      <c r="B30" s="59">
        <f t="dataTable" ref="B30:E32" r1="B4"/>
        <v>181.1179675675218</v>
      </c>
      <c r="C30" s="59">
        <v>169.78796756752178</v>
      </c>
      <c r="D30" s="39">
        <v>3.7713556780488853</v>
      </c>
      <c r="E30" s="60">
        <v>-0.41256142086465963</v>
      </c>
    </row>
    <row r="31">
      <c r="A31" s="58" t="n">
        <v>2</v>
      </c>
      <c r="B31" s="59">
        <v>285.98005646273094</v>
      </c>
      <c r="C31" s="59">
        <v>274.65005646273096</v>
      </c>
      <c r="D31" s="39">
        <v>6.100568048234903</v>
      </c>
      <c r="E31" s="60">
        <v>-0.049755755726650586</v>
      </c>
    </row>
    <row r="32">
      <c r="A32" s="58" t="n">
        <v>3</v>
      </c>
      <c r="B32" s="59">
        <v>468.2492360684918</v>
      </c>
      <c r="C32" s="59">
        <v>456.91923606849184</v>
      </c>
      <c r="D32" s="39">
        <v>10.149158271014562</v>
      </c>
      <c r="E32" s="60">
        <v>0.5808657743013337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6.100568048234903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7.025690364547743</v>
      </c>
      <c r="C37" s="39">
        <v>7.305200360542296</v>
      </c>
      <c r="D37" s="39">
        <v>7.618780910509265</v>
      </c>
      <c r="E37" s="39">
        <v>7.973237415036778</v>
      </c>
      <c r="F37" s="39">
        <v>8.377319592553246</v>
      </c>
    </row>
    <row r="38">
      <c r="A38" s="62" t="n">
        <v>0.115</v>
      </c>
      <c r="B38" s="39">
        <v>6.31905006450244</v>
      </c>
      <c r="C38" s="39">
        <v>6.53541939442061</v>
      </c>
      <c r="D38" s="39">
        <v>6.7750948902902515</v>
      </c>
      <c r="E38" s="39">
        <v>7.042182136055122</v>
      </c>
      <c r="F38" s="39">
        <v>7.341813043909954</v>
      </c>
    </row>
    <row r="39">
      <c r="A39" s="62" t="n">
        <v>0.125</v>
      </c>
      <c r="B39" s="39">
        <v>5.741530017361173</v>
      </c>
      <c r="C39" s="39">
        <v>5.912800491510024</v>
      </c>
      <c r="D39" s="39">
        <v>6.100568048234903</v>
      </c>
      <c r="E39" s="39">
        <v>6.307431337675703</v>
      </c>
      <c r="F39" s="39">
        <v>6.536566431148816</v>
      </c>
    </row>
    <row r="40">
      <c r="A40" s="62" t="n">
        <v>0.135</v>
      </c>
      <c r="B40" s="39">
        <v>5.260728536315437</v>
      </c>
      <c r="C40" s="39">
        <v>5.398832232928616</v>
      </c>
      <c r="D40" s="39">
        <v>5.5489451663344544</v>
      </c>
      <c r="E40" s="39">
        <v>5.712777674972501</v>
      </c>
      <c r="F40" s="39">
        <v>5.8923821170124135</v>
      </c>
    </row>
    <row r="41">
      <c r="A41" s="62" t="n">
        <v>0.145</v>
      </c>
      <c r="B41" s="39">
        <v>4.854231232945675</v>
      </c>
      <c r="C41" s="39">
        <v>4.967344935686129</v>
      </c>
      <c r="D41" s="39">
        <v>5.089408089340731</v>
      </c>
      <c r="E41" s="39">
        <v>5.221583462581129</v>
      </c>
      <c r="F41" s="39">
        <v>5.365245195528471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Agenus Inc: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0.1037</v>
      </c>
      <c r="D5" s="63">
        <f>Assumptions!$E$12+(Assumptions!$E$11-Assumptions!$E$12)*(D4-1)/(Assumptions!$B$21-1)</f>
        <v>0.09495555555555556</v>
      </c>
      <c r="E5" s="63">
        <f>Assumptions!$E$12+(Assumptions!$E$11-Assumptions!$E$12)*(E4-1)/(Assumptions!$B$21-1)</f>
        <v>0.08621111111111111</v>
      </c>
      <c r="F5" s="63">
        <f>Assumptions!$E$12+(Assumptions!$E$11-Assumptions!$E$12)*(F4-1)/(Assumptions!$B$21-1)</f>
        <v>0.07746666666666667</v>
      </c>
      <c r="G5" s="63">
        <f>Assumptions!$E$12+(Assumptions!$E$11-Assumptions!$E$12)*(G4-1)/(Assumptions!$B$21-1)</f>
        <v>0.06872222222222223</v>
      </c>
      <c r="H5" s="63">
        <f>Assumptions!$E$12+(Assumptions!$E$11-Assumptions!$E$12)*(H4-1)/(Assumptions!$B$21-1)</f>
        <v>0.05997777777777778</v>
      </c>
      <c r="I5" s="63">
        <f>Assumptions!$E$12+(Assumptions!$E$11-Assumptions!$E$12)*(I4-1)/(Assumptions!$B$21-1)</f>
        <v>0.05123333333333334</v>
      </c>
      <c r="J5" s="63">
        <f>Assumptions!$E$12+(Assumptions!$E$11-Assumptions!$E$12)*(J4-1)/(Assumptions!$B$21-1)</f>
        <v>0.042488888888888895</v>
      </c>
      <c r="K5" s="63">
        <f>Assumptions!$E$12+(Assumptions!$E$11-Assumptions!$E$12)*(K4-1)/(Assumptions!$B$21-1)</f>
        <v>0.03374444444444445</v>
      </c>
      <c r="L5" s="63">
        <f>Assumptions!$E$12+(Assumptions!$E$11-Assumptions!$E$12)*(L4-1)/(Assumptions!$B$21-1)</f>
        <v>0.02500000000000001</v>
      </c>
    </row>
    <row r="6">
      <c r="A6" s="14" t="inlineStr">
        <is>
          <t>Operating margin</t>
        </is>
      </c>
      <c r="B6" s="63">
        <f>IFERROR(B8/B7,0)</f>
        <v>-0.176617394654804</v>
      </c>
      <c r="C6" s="63">
        <f>Assumptions!$B$18+(Assumptions!$E$13-Assumptions!$B$18)*C4/Assumptions!$B$21</f>
        <v>0.26552</v>
      </c>
      <c r="D6" s="63">
        <f>Assumptions!$B$18+(Assumptions!$E$13-Assumptions!$B$18)*D4/Assumptions!$B$21</f>
        <v>0.25823999999999997</v>
      </c>
      <c r="E6" s="63">
        <f>Assumptions!$B$18+(Assumptions!$E$13-Assumptions!$B$18)*E4/Assumptions!$B$21</f>
        <v>0.25096</v>
      </c>
      <c r="F6" s="63">
        <f>Assumptions!$B$18+(Assumptions!$E$13-Assumptions!$B$18)*F4/Assumptions!$B$21</f>
        <v>0.24368</v>
      </c>
      <c r="G6" s="63">
        <f>Assumptions!$B$18+(Assumptions!$E$13-Assumptions!$B$18)*G4/Assumptions!$B$21</f>
        <v>0.2364</v>
      </c>
      <c r="H6" s="63">
        <f>Assumptions!$B$18+(Assumptions!$E$13-Assumptions!$B$18)*H4/Assumptions!$B$21</f>
        <v>0.22912</v>
      </c>
      <c r="I6" s="63">
        <f>Assumptions!$B$18+(Assumptions!$E$13-Assumptions!$B$18)*I4/Assumptions!$B$21</f>
        <v>0.22184</v>
      </c>
      <c r="J6" s="63">
        <f>Assumptions!$B$18+(Assumptions!$E$13-Assumptions!$B$18)*J4/Assumptions!$B$21</f>
        <v>0.21456</v>
      </c>
      <c r="K6" s="63">
        <f>Assumptions!$B$18+(Assumptions!$E$13-Assumptions!$B$18)*K4/Assumptions!$B$21</f>
        <v>0.20728000000000002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Model'!R2</f>
        <v>114.196</v>
      </c>
      <c r="C7" s="55">
        <f>'Yearly Model'!S2</f>
        <v>126.03812519999998</v>
      </c>
      <c r="D7" s="55">
        <f>'Yearly Model'!T2</f>
        <v>138.00614539954663</v>
      </c>
      <c r="E7" s="55">
        <f>'Yearly Model'!U2</f>
        <v>149.9038085346031</v>
      </c>
      <c r="F7" s="55">
        <f>'Yearly Model'!V2</f>
        <v>161.516356902417</v>
      </c>
      <c r="G7" s="55">
        <f>'Yearly Model'!W2</f>
        <v>172.61611987398862</v>
      </c>
      <c r="H7" s="55">
        <f>'Yearly Model'!X2</f>
        <v>182.96925115265296</v>
      </c>
      <c r="I7" s="55">
        <f>'Yearly Model'!Y2</f>
        <v>192.34337578670718</v>
      </c>
      <c r="J7" s="55">
        <f>'Yearly Model'!Z2</f>
        <v>200.51583210902237</v>
      </c>
      <c r="K7" s="55">
        <f>'Yearly Model'!AA2</f>
        <v>207.2821274658568</v>
      </c>
      <c r="L7" s="55">
        <f>'Yearly Model'!AB2</f>
        <v>212.46418065250322</v>
      </c>
    </row>
    <row r="8">
      <c r="A8" s="14" t="inlineStr">
        <is>
          <t>Operating income</t>
        </is>
      </c>
      <c r="B8" s="55">
        <f>'Yearly Model'!R8</f>
        <v>-20.168999999999997</v>
      </c>
      <c r="C8" s="55">
        <f>'Yearly Model'!S8</f>
        <v>33.46564300310399</v>
      </c>
      <c r="D8" s="55">
        <f>'Yearly Model'!T8</f>
        <v>35.63870698797891</v>
      </c>
      <c r="E8" s="55">
        <f>'Yearly Model'!U8</f>
        <v>37.619859789843986</v>
      </c>
      <c r="F8" s="55">
        <f>'Yearly Model'!V8</f>
        <v>39.35830584998098</v>
      </c>
      <c r="G8" s="55">
        <f>'Yearly Model'!W8</f>
        <v>40.80645073821091</v>
      </c>
      <c r="H8" s="55">
        <f>'Yearly Model'!X8</f>
        <v>41.921914824095836</v>
      </c>
      <c r="I8" s="55">
        <f>'Yearly Model'!Y8</f>
        <v>42.66945448452313</v>
      </c>
      <c r="J8" s="55">
        <f>'Yearly Model'!Z8</f>
        <v>43.02267693731184</v>
      </c>
      <c r="K8" s="55">
        <f>'Yearly Model'!AA8</f>
        <v>42.96543938112279</v>
      </c>
      <c r="L8" s="55">
        <f>'Yearly Model'!AB8</f>
        <v>42.49283613050065</v>
      </c>
    </row>
    <row r="9">
      <c r="A9" s="14" t="inlineStr">
        <is>
          <t>Tax on operating income</t>
        </is>
      </c>
      <c r="C9" s="52">
        <f>MAX(0,C8)*Assumptions!$E$14</f>
        <v>5.689159310527679</v>
      </c>
      <c r="D9" s="52">
        <f>MAX(0,D8)*Assumptions!$E$14</f>
        <v>6.058580187956415</v>
      </c>
      <c r="E9" s="52">
        <f>MAX(0,E8)*Assumptions!$E$14</f>
        <v>6.395376164273478</v>
      </c>
      <c r="F9" s="52">
        <f>MAX(0,F8)*Assumptions!$E$14</f>
        <v>6.690911994496767</v>
      </c>
      <c r="G9" s="52">
        <f>MAX(0,G8)*Assumptions!$E$14</f>
        <v>6.9370966254958555</v>
      </c>
      <c r="H9" s="52">
        <f>MAX(0,H8)*Assumptions!$E$14</f>
        <v>7.126725520096293</v>
      </c>
      <c r="I9" s="52">
        <f>MAX(0,I8)*Assumptions!$E$14</f>
        <v>7.253807262368933</v>
      </c>
      <c r="J9" s="52">
        <f>MAX(0,J8)*Assumptions!$E$14</f>
        <v>7.313855079343014</v>
      </c>
      <c r="K9" s="52">
        <f>MAX(0,K8)*Assumptions!$E$14</f>
        <v>7.304124694790875</v>
      </c>
      <c r="L9" s="52">
        <f>MAX(0,L8)*Assumptions!$E$14</f>
        <v>7.223782142185111</v>
      </c>
    </row>
    <row r="10">
      <c r="A10" s="14" t="inlineStr">
        <is>
          <t>NOPAT</t>
        </is>
      </c>
      <c r="C10" s="52">
        <f>C8-C9</f>
        <v>27.776483692576313</v>
      </c>
      <c r="D10" s="52">
        <f>D8-D9</f>
        <v>29.58012680002249</v>
      </c>
      <c r="E10" s="52">
        <f>E8-E9</f>
        <v>31.224483625570507</v>
      </c>
      <c r="F10" s="52">
        <f>F8-F9</f>
        <v>32.667393855484214</v>
      </c>
      <c r="G10" s="52">
        <f>G8-G9</f>
        <v>33.86935411271506</v>
      </c>
      <c r="H10" s="52">
        <f>H8-H9</f>
        <v>34.79518930399954</v>
      </c>
      <c r="I10" s="52">
        <f>I8-I9</f>
        <v>35.4156472221542</v>
      </c>
      <c r="J10" s="52">
        <f>J8-J9</f>
        <v>35.70882185796883</v>
      </c>
      <c r="K10" s="52">
        <f>K8-K9</f>
        <v>35.66131468633192</v>
      </c>
      <c r="L10" s="52">
        <f>L8-L9</f>
        <v>35.26905398831554</v>
      </c>
    </row>
    <row r="11">
      <c r="A11" s="14" t="inlineStr">
        <is>
          <t>Reinvestment</t>
        </is>
      </c>
      <c r="C11" s="52">
        <f>(C7-B7)*Assumptions!$E$15</f>
        <v>2.960531299999996</v>
      </c>
      <c r="D11" s="52">
        <f>(D7-C7)*Assumptions!$E$15</f>
        <v>2.992005049886661</v>
      </c>
      <c r="E11" s="52">
        <f>(E7-D7)*Assumptions!$E$15</f>
        <v>2.9744157837641154</v>
      </c>
      <c r="F11" s="52">
        <f>(F7-E7)*Assumptions!$E$15</f>
        <v>2.903137091953475</v>
      </c>
      <c r="G11" s="52">
        <f>(G7-F7)*Assumptions!$E$15</f>
        <v>2.774940742892909</v>
      </c>
      <c r="H11" s="52">
        <f>(H7-G7)*Assumptions!$E$15</f>
        <v>2.588282819666084</v>
      </c>
      <c r="I11" s="52">
        <f>(I7-H7)*Assumptions!$E$15</f>
        <v>2.3435311585135565</v>
      </c>
      <c r="J11" s="52">
        <f>(J7-I7)*Assumptions!$E$15</f>
        <v>2.043114080578796</v>
      </c>
      <c r="K11" s="52">
        <f>(K7-J7)*Assumptions!$E$15</f>
        <v>1.6915738392086084</v>
      </c>
      <c r="L11" s="52">
        <f>(L7-K7)*Assumptions!$E$15</f>
        <v>1.2955132966616034</v>
      </c>
    </row>
    <row r="12">
      <c r="A12" s="20" t="inlineStr">
        <is>
          <t>Free cash flow</t>
        </is>
      </c>
      <c r="C12" s="64">
        <f>C10-C11</f>
        <v>24.815952392576317</v>
      </c>
      <c r="D12" s="64">
        <f>D10-D11</f>
        <v>26.58812175013583</v>
      </c>
      <c r="E12" s="64">
        <f>E10-E11</f>
        <v>28.25006784180639</v>
      </c>
      <c r="F12" s="64">
        <f>F10-F11</f>
        <v>29.76425676353074</v>
      </c>
      <c r="G12" s="64">
        <f>G10-G11</f>
        <v>31.09441336982215</v>
      </c>
      <c r="H12" s="64">
        <f>H10-H11</f>
        <v>32.20690648433346</v>
      </c>
      <c r="I12" s="64">
        <f>I10-I11</f>
        <v>33.07211606364064</v>
      </c>
      <c r="J12" s="64">
        <f>J10-J11</f>
        <v>33.66570777739003</v>
      </c>
      <c r="K12" s="64">
        <f>K10-K11</f>
        <v>33.96974084712331</v>
      </c>
      <c r="L12" s="64">
        <f>L10-L11</f>
        <v>33.97354069165394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12.143801269095864</v>
      </c>
      <c r="D16" s="64">
        <f>D12*D13*D15</f>
        <v>23.62247570498429</v>
      </c>
      <c r="E16" s="64">
        <f>E12*E13*E15</f>
        <v>22.31026479597275</v>
      </c>
      <c r="F16" s="64">
        <f>F12*F13*F15</f>
        <v>20.894296327379724</v>
      </c>
      <c r="G16" s="64">
        <f>G12*G13*G15</f>
        <v>19.402717150507556</v>
      </c>
      <c r="H16" s="64">
        <f>H12*H13*H15</f>
        <v>17.86391627835275</v>
      </c>
      <c r="I16" s="64">
        <f>I12*I13*I15</f>
        <v>16.305612732714835</v>
      </c>
      <c r="J16" s="64">
        <f>J12*J13*J15</f>
        <v>14.754019968148611</v>
      </c>
      <c r="K16" s="64">
        <f>K12*K13*K15</f>
        <v>13.233122376444273</v>
      </c>
      <c r="L16" s="64">
        <f>L12*L13*L15</f>
        <v>11.76409122609123</v>
      </c>
    </row>
    <row r="19">
      <c r="A19" s="14" t="inlineStr">
        <is>
          <t>PV of forecast free cash flow</t>
        </is>
      </c>
      <c r="B19" s="52">
        <f>SUM(C16:L16)</f>
        <v>172.2943178296919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34.82287920894528</v>
      </c>
    </row>
    <row r="21">
      <c r="A21" s="14" t="inlineStr">
        <is>
          <t>Terminal value</t>
        </is>
      </c>
      <c r="B21" s="52">
        <f>B20/(Assumptions!$E$10-Assumptions!$E$11)</f>
        <v>348.2287920894528</v>
      </c>
    </row>
    <row r="22">
      <c r="A22" s="14" t="inlineStr">
        <is>
          <t>PV of terminal value</t>
        </is>
      </c>
      <c r="B22" s="52">
        <f>B21/(1+Assumptions!$E$10)^(L14+0.5)</f>
        <v>113.68573863303907</v>
      </c>
    </row>
    <row r="23">
      <c r="A23" s="20" t="inlineStr">
        <is>
          <t>Enterprise value</t>
        </is>
      </c>
      <c r="B23" s="66">
        <f>B19+B22</f>
        <v>285.98005646273094</v>
      </c>
    </row>
    <row r="24">
      <c r="A24" s="14" t="inlineStr">
        <is>
          <t>Cash &amp; investments</t>
        </is>
      </c>
      <c r="B24" s="55">
        <f>Main!C7</f>
        <v>18.738</v>
      </c>
    </row>
    <row r="25">
      <c r="A25" s="14" t="inlineStr">
        <is>
          <t>Debt</t>
        </is>
      </c>
      <c r="B25" s="55">
        <f>Main!C8</f>
        <v>30.068</v>
      </c>
    </row>
    <row r="26">
      <c r="A26" s="20" t="inlineStr">
        <is>
          <t>Equity value</t>
        </is>
      </c>
      <c r="B26" s="66">
        <f>B23+B24-B25</f>
        <v>274.65005646273096</v>
      </c>
    </row>
    <row r="27">
      <c r="A27" s="14" t="inlineStr">
        <is>
          <t>Shares (mm)</t>
        </is>
      </c>
      <c r="B27" s="55">
        <f>Main!C4</f>
        <v>45.020407</v>
      </c>
    </row>
    <row r="28">
      <c r="A28" s="20" t="inlineStr">
        <is>
          <t>NPV / share</t>
        </is>
      </c>
      <c r="B28" s="49">
        <f>B26/B27</f>
        <v>6.100568048234903</v>
      </c>
    </row>
    <row r="29">
      <c r="A29" s="14" t="inlineStr">
        <is>
          <t>Price</t>
        </is>
      </c>
      <c r="B29" s="50">
        <f>Main!C3</f>
        <v>6.42</v>
      </c>
    </row>
    <row r="30">
      <c r="A30" s="14" t="inlineStr">
        <is>
          <t>Upside</t>
        </is>
      </c>
      <c r="B30" s="63">
        <f>B28/B29-1</f>
        <v>-0.049755755726650586</v>
      </c>
    </row>
    <row r="31">
      <c r="A31" s="14" t="inlineStr">
        <is>
          <t>Terminal value, % of EV</t>
        </is>
      </c>
      <c r="B31" s="63">
        <f>IFERROR(B22/B23,0)</f>
        <v>0.39753030347364327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2026-10-21T01:05:26Z</dcterms:modified>
  <cp:lastModifiedBy>Wang, Eric</cp:lastModifiedBy>
</cp:coreProperties>
</file>