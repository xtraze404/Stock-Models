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United Therapeutics Corporation</t>
        </is>
      </c>
      <c r="C2" s="10" t="n"/>
    </row>
    <row r="3">
      <c r="B3" t="inlineStr">
        <is>
          <t>Price</t>
        </is>
      </c>
      <c r="C3" s="11">
        <f>INDEX([1]Pharma!$F$1:$F$1000,MATCH("UTHR",[1]Pharma!$B$1:$B$1000,0))</f>
        <v>553.88</v>
      </c>
      <c r="F3" s="1" t="n"/>
    </row>
    <row r="4">
      <c r="B4" t="inlineStr">
        <is>
          <t>Shares</t>
        </is>
      </c>
      <c r="C4" s="51" t="n">
        <v>42.890692</v>
      </c>
      <c r="F4" s="1" t="n"/>
    </row>
    <row r="5">
      <c r="B5" t="inlineStr">
        <is>
          <t>Market Cap.</t>
        </is>
      </c>
      <c r="C5" s="13">
        <f>C3*C4</f>
        <v>23756.29648496</v>
      </c>
      <c r="F5" s="1" t="n"/>
    </row>
    <row r="6"/>
    <row r="7">
      <c r="B7" t="inlineStr">
        <is>
          <t>Cash</t>
        </is>
      </c>
      <c r="C7" s="51">
        <f>1803.2+859.1</f>
        <v>2662.3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21093.99648496</v>
      </c>
    </row>
    <row r="10"/>
    <row r="11">
      <c r="B11" s="14" t="inlineStr">
        <is>
          <t>NPV / Share</t>
        </is>
      </c>
      <c r="C11" s="11">
        <f>NPV!B28</f>
        <v>478.8181686189655</v>
      </c>
    </row>
    <row r="12">
      <c r="B12" s="14" t="inlineStr">
        <is>
          <t>Upside</t>
        </is>
      </c>
      <c r="C12" s="15">
        <f>IFERROR(C11/C3-1,"")</f>
        <v>-0.13552002488090287</v>
      </c>
    </row>
    <row r="13">
      <c r="B13" s="14" t="inlineStr">
        <is>
          <t>Cash / Share</t>
        </is>
      </c>
      <c r="C13" s="11">
        <f>IFERROR((C7-C8)/C4,"")</f>
        <v>62.07174274548893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281.497</v>
      </c>
      <c r="C2" s="52" t="n">
        <v>358.88</v>
      </c>
      <c r="D2" s="52" t="n">
        <v>592.899</v>
      </c>
      <c r="E2" s="52" t="n">
        <v>743.183</v>
      </c>
      <c r="F2" s="52" t="n">
        <v>916.076</v>
      </c>
      <c r="G2" s="52" t="n">
        <v>1116.984</v>
      </c>
      <c r="H2" s="52" t="n">
        <v>1288.5</v>
      </c>
      <c r="I2" s="52" t="n">
        <v>1465.8</v>
      </c>
      <c r="J2" s="52" t="n">
        <v>1598.8</v>
      </c>
      <c r="K2" s="52" t="n">
        <v>1725.3</v>
      </c>
      <c r="L2" s="52" t="n">
        <v>1627.8</v>
      </c>
      <c r="M2" s="52" t="n">
        <v>1448.8</v>
      </c>
      <c r="N2" s="52" t="n">
        <v>1483.3</v>
      </c>
      <c r="O2" s="52" t="n">
        <v>1685.5</v>
      </c>
      <c r="P2" s="52" t="n">
        <v>1936.3</v>
      </c>
      <c r="Q2" s="52" t="n">
        <v>2327.5</v>
      </c>
      <c r="R2" s="52" t="n">
        <v>2877.4</v>
      </c>
      <c r="S2" s="52" t="n">
        <v>3182.7</v>
      </c>
      <c r="T2" s="52">
        <f>S2*(1+NPV!C5)</f>
        <v>3126.3662099999997</v>
      </c>
      <c r="U2" s="52">
        <f>T2*(1+NPV!D5)</f>
        <v>3085.862398879333</v>
      </c>
      <c r="V2" s="52">
        <f>U2*(1+NPV!E5)</f>
        <v>3060.524039848535</v>
      </c>
      <c r="W2" s="52">
        <f>V2*(1+NPV!F5)</f>
        <v>3049.91422317706</v>
      </c>
      <c r="X2" s="52">
        <f>W2*(1+NPV!G5)</f>
        <v>3053.811335795564</v>
      </c>
      <c r="Y2" s="52">
        <f>X2*(1+NPV!H5)</f>
        <v>3072.202066284466</v>
      </c>
      <c r="Z2" s="52">
        <f>Y2*(1+NPV!I5)</f>
        <v>3105.2794418647954</v>
      </c>
      <c r="AA2" s="52">
        <f>Z2*(1+NPV!J5)</f>
        <v>3153.445776318609</v>
      </c>
      <c r="AB2" s="52">
        <f>AA2*(1+NPV!K5)</f>
        <v>3217.3205724322625</v>
      </c>
      <c r="AC2" s="52">
        <f>AB2*(1+NPV!L5)</f>
        <v>3297.753586743069</v>
      </c>
    </row>
    <row r="3" customFormat="1" s="1">
      <c r="A3" s="5" t="inlineStr">
        <is>
          <t>Cost of Sales</t>
        </is>
      </c>
      <c r="B3" s="52" t="n">
        <v>26.957</v>
      </c>
      <c r="C3" s="52" t="n">
        <v>40.861</v>
      </c>
      <c r="D3" s="52" t="n">
        <v>67.67400000000001</v>
      </c>
      <c r="E3" s="52" t="n">
        <v>88.904</v>
      </c>
      <c r="F3" s="52" t="n">
        <v>119.297</v>
      </c>
      <c r="G3" s="52" t="n">
        <v>131.127</v>
      </c>
      <c r="H3" s="52" t="n">
        <v>125.9</v>
      </c>
      <c r="I3" s="52" t="n">
        <v>69</v>
      </c>
      <c r="J3" s="52" t="n">
        <v>72.7</v>
      </c>
      <c r="K3" s="52" t="n">
        <v>105.7</v>
      </c>
      <c r="L3" s="52" t="n">
        <v>198.7</v>
      </c>
      <c r="M3" s="52" t="n">
        <v>117.6</v>
      </c>
      <c r="N3" s="52" t="n">
        <v>108.1</v>
      </c>
      <c r="O3" s="52" t="n">
        <v>122.5</v>
      </c>
      <c r="P3" s="52" t="n">
        <v>151.6</v>
      </c>
      <c r="Q3" s="52" t="n">
        <v>257.5</v>
      </c>
      <c r="R3" s="52" t="n">
        <v>309.7</v>
      </c>
      <c r="S3" s="52" t="n">
        <v>384.4</v>
      </c>
      <c r="T3" s="52">
        <f>T2*(1-Assumptions!$B$19)</f>
        <v>377.665038168</v>
      </c>
      <c r="U3" s="52">
        <f>U2*(1-Assumptions!$B$19)</f>
        <v>372.77217778462347</v>
      </c>
      <c r="V3" s="52">
        <f>V2*(1-Assumptions!$B$19)</f>
        <v>369.71130401370306</v>
      </c>
      <c r="W3" s="52">
        <f>W2*(1-Assumptions!$B$19)</f>
        <v>368.4296381597889</v>
      </c>
      <c r="X3" s="52">
        <f>X2*(1-Assumptions!$B$19)</f>
        <v>368.9004093641042</v>
      </c>
      <c r="Y3" s="52">
        <f>Y2*(1-Assumptions!$B$19)</f>
        <v>371.1220096071636</v>
      </c>
      <c r="Z3" s="52">
        <f>Z2*(1-Assumptions!$B$19)</f>
        <v>375.11775657726736</v>
      </c>
      <c r="AA3" s="52">
        <f>AA2*(1-Assumptions!$B$19)</f>
        <v>380.93624977928806</v>
      </c>
      <c r="AB3" s="52">
        <f>AB2*(1-Assumptions!$B$19)</f>
        <v>388.6523251498174</v>
      </c>
      <c r="AC3" s="52">
        <f>AC2*(1-Assumptions!$B$19)</f>
        <v>398.36863327856275</v>
      </c>
    </row>
    <row r="4" customFormat="1" s="1">
      <c r="A4" s="5" t="inlineStr">
        <is>
          <t>Gross Margin</t>
        </is>
      </c>
      <c r="B4" s="52">
        <f>B2-B3</f>
        <v>254.54000000000002</v>
      </c>
      <c r="C4" s="52">
        <f>C2-C3</f>
        <v>318.019</v>
      </c>
      <c r="D4" s="52">
        <f>D2-D3</f>
        <v>525.225</v>
      </c>
      <c r="E4" s="52">
        <f>E2-E3</f>
        <v>654.279</v>
      </c>
      <c r="F4" s="52">
        <f>F2-F3</f>
        <v>796.779</v>
      </c>
      <c r="G4" s="52">
        <f>G2-G3</f>
        <v>985.857</v>
      </c>
      <c r="H4" s="52">
        <f>H2-H3</f>
        <v>1162.6</v>
      </c>
      <c r="I4" s="52">
        <f>I2-I3</f>
        <v>1396.8</v>
      </c>
      <c r="J4" s="52">
        <f>J2-J3</f>
        <v>1526.1</v>
      </c>
      <c r="K4" s="52">
        <f>K2-K3</f>
        <v>1619.6</v>
      </c>
      <c r="L4" s="52">
        <f>L2-L3</f>
        <v>1429.1</v>
      </c>
      <c r="M4" s="52">
        <f>M2-M3</f>
        <v>1331.2</v>
      </c>
      <c r="N4" s="52">
        <f>N2-N3</f>
        <v>1375.2</v>
      </c>
      <c r="O4" s="52">
        <f>O2-O3</f>
        <v>1563.0</v>
      </c>
      <c r="P4" s="52">
        <f>P2-P3</f>
        <v>1784.7</v>
      </c>
      <c r="Q4" s="52">
        <f>Q2-Q3</f>
        <v>2070.0</v>
      </c>
      <c r="R4" s="52">
        <f>R2-R3</f>
        <v>2567.7000000000003</v>
      </c>
      <c r="S4" s="52">
        <f>S2-S3</f>
        <v>2798.2999999999997</v>
      </c>
      <c r="T4" s="52">
        <f>T2-T3</f>
        <v>2748.7011718319995</v>
      </c>
      <c r="U4" s="52">
        <f>U2-U3</f>
        <v>2713.0902210947092</v>
      </c>
      <c r="V4" s="52">
        <f>V2-V3</f>
        <v>2690.812735834832</v>
      </c>
      <c r="W4" s="52">
        <f>W2-W3</f>
        <v>2681.4845850172715</v>
      </c>
      <c r="X4" s="52">
        <f>X2-X3</f>
        <v>2684.9109264314598</v>
      </c>
      <c r="Y4" s="52">
        <f>Y2-Y3</f>
        <v>2701.0800566773023</v>
      </c>
      <c r="Z4" s="52">
        <f>Z2-Z3</f>
        <v>2730.161685287528</v>
      </c>
      <c r="AA4" s="52">
        <f>AA2-AA3</f>
        <v>2772.509526539321</v>
      </c>
      <c r="AB4" s="52">
        <f>AB2-AB3</f>
        <v>2828.668247282445</v>
      </c>
      <c r="AC4" s="52">
        <f>AC2-AC3</f>
        <v>2899.384953464506</v>
      </c>
    </row>
    <row r="5">
      <c r="A5" s="2" t="inlineStr">
        <is>
          <t>Research &amp; Dev.</t>
        </is>
      </c>
      <c r="B5" s="52" t="n">
        <v>239.181</v>
      </c>
      <c r="C5" s="52" t="n">
        <v>120.368</v>
      </c>
      <c r="D5" s="52" t="n">
        <v>165.306</v>
      </c>
      <c r="E5" s="52" t="n">
        <v>180.015</v>
      </c>
      <c r="F5" s="52" t="n">
        <v>173.387</v>
      </c>
      <c r="G5" s="52" t="n">
        <v>299.348</v>
      </c>
      <c r="H5" s="52" t="n">
        <v>242.5</v>
      </c>
      <c r="I5" s="52" t="n">
        <v>245.1</v>
      </c>
      <c r="J5" s="52" t="n">
        <v>147.6</v>
      </c>
      <c r="K5" s="52" t="n">
        <v>264.6</v>
      </c>
      <c r="L5" s="52" t="n">
        <v>357.9</v>
      </c>
      <c r="M5" s="52" t="n">
        <v>1182.6</v>
      </c>
      <c r="N5" s="52" t="n">
        <v>357.7</v>
      </c>
      <c r="O5" s="52" t="n">
        <v>540.1</v>
      </c>
      <c r="P5" s="52" t="n">
        <v>322.9</v>
      </c>
      <c r="Q5" s="52" t="n">
        <v>408</v>
      </c>
      <c r="R5" s="52" t="n">
        <v>481</v>
      </c>
      <c r="S5" s="52" t="n">
        <v>550</v>
      </c>
      <c r="T5" s="52">
        <f>T7*Assumptions!$B$20</f>
        <v>568.6974060774692</v>
      </c>
      <c r="U5" s="52">
        <f>U7*Assumptions!$B$20</f>
        <v>557.5213030784768</v>
      </c>
      <c r="V5" s="52">
        <f>V7*Assumptions!$B$20</f>
        <v>549.1663920261262</v>
      </c>
      <c r="W5" s="52">
        <f>W7*Assumptions!$B$20</f>
        <v>543.4986672589854</v>
      </c>
      <c r="X5" s="52">
        <f>X7*Assumptions!$B$20</f>
        <v>540.424380347774</v>
      </c>
      <c r="Y5" s="52">
        <f>Y7*Assumptions!$B$20</f>
        <v>539.8874823353002</v>
      </c>
      <c r="Z5" s="52">
        <f>Z7*Assumptions!$B$20</f>
        <v>541.867995851434</v>
      </c>
      <c r="AA5" s="52">
        <f>AA7*Assumptions!$B$20</f>
        <v>546.3812526549533</v>
      </c>
      <c r="AB5" s="52">
        <f>AB7*Assumptions!$B$20</f>
        <v>553.4779616770519</v>
      </c>
      <c r="AC5" s="52">
        <f>AC7*Assumptions!$B$20</f>
        <v>563.2451002535212</v>
      </c>
    </row>
    <row r="6">
      <c r="A6" s="18" t="inlineStr">
        <is>
          <t>SG&amp;A &amp; Other</t>
        </is>
      </c>
      <c r="B6" s="52" t="n">
        <v>97.41500000000001</v>
      </c>
      <c r="C6" s="52" t="n">
        <v>171.894</v>
      </c>
      <c r="D6" s="52" t="n">
        <v>188.606</v>
      </c>
      <c r="E6" s="52" t="n">
        <v>156.482</v>
      </c>
      <c r="F6" s="52" t="n">
        <v>201.746</v>
      </c>
      <c r="G6" s="52" t="n">
        <v>394.01</v>
      </c>
      <c r="H6" s="52" t="n">
        <v>381.3</v>
      </c>
      <c r="I6" s="52" t="n">
        <v>452.7</v>
      </c>
      <c r="J6" s="52" t="n">
        <v>316.8</v>
      </c>
      <c r="K6" s="52" t="n">
        <v>540.1</v>
      </c>
      <c r="L6" s="52" t="n">
        <v>265.8</v>
      </c>
      <c r="M6" s="52" t="n">
        <v>336.2</v>
      </c>
      <c r="N6" s="52" t="n">
        <v>423.9</v>
      </c>
      <c r="O6" s="52" t="n">
        <v>467</v>
      </c>
      <c r="P6" s="52" t="n">
        <v>482.1</v>
      </c>
      <c r="Q6" s="52" t="n">
        <v>477.1</v>
      </c>
      <c r="R6" s="52" t="n">
        <v>709.7</v>
      </c>
      <c r="S6" s="52" t="n">
        <v>755.8</v>
      </c>
      <c r="T6" s="52">
        <f>T7-T5</f>
        <v>781.4863690352306</v>
      </c>
      <c r="U6" s="52">
        <f>U7-U5</f>
        <v>766.1285142968242</v>
      </c>
      <c r="V6" s="52">
        <f>V7-V5</f>
        <v>754.647454189748</v>
      </c>
      <c r="W6" s="52">
        <f>W7-W5</f>
        <v>746.8590422827652</v>
      </c>
      <c r="X6" s="52">
        <f>X7-X5</f>
        <v>742.634452386732</v>
      </c>
      <c r="Y6" s="52">
        <f>Y7-Y5</f>
        <v>741.8966637599045</v>
      </c>
      <c r="Z6" s="52">
        <f>Z7-Z5</f>
        <v>744.6182241187321</v>
      </c>
      <c r="AA6" s="52">
        <f>AA7-AA5</f>
        <v>750.8202018914695</v>
      </c>
      <c r="AB6" s="52">
        <f>AB7-AB5</f>
        <v>760.5722797214568</v>
      </c>
      <c r="AC6" s="52">
        <f>AC7-AC5</f>
        <v>773.9939791707931</v>
      </c>
    </row>
    <row r="7">
      <c r="A7" s="2" t="inlineStr">
        <is>
          <t>Operating Expense</t>
        </is>
      </c>
      <c r="B7" s="52">
        <f>SUM(B5:B6)</f>
        <v>336.596</v>
      </c>
      <c r="C7" s="52">
        <f>SUM(C5:C6)</f>
        <v>292.262</v>
      </c>
      <c r="D7" s="52">
        <f>SUM(D5:D6)</f>
        <v>353.91200000000003</v>
      </c>
      <c r="E7" s="52">
        <f>SUM(E5:E6)</f>
        <v>336.49699999999996</v>
      </c>
      <c r="F7" s="52">
        <f>SUM(F5:F6)</f>
        <v>375.13300000000004</v>
      </c>
      <c r="G7" s="52">
        <f>SUM(G5:G6)</f>
        <v>693.358</v>
      </c>
      <c r="H7" s="52">
        <f>SUM(H5:H6)</f>
        <v>623.8</v>
      </c>
      <c r="I7" s="52">
        <f>SUM(I5:I6)</f>
        <v>697.8</v>
      </c>
      <c r="J7" s="52">
        <f>SUM(J5:J6)</f>
        <v>464.4</v>
      </c>
      <c r="K7" s="52">
        <f>SUM(K5:K6)</f>
        <v>804.7</v>
      </c>
      <c r="L7" s="52">
        <f>SUM(L5:L6)</f>
        <v>623.7</v>
      </c>
      <c r="M7" s="52">
        <f>SUM(M5:M6)</f>
        <v>1518.8</v>
      </c>
      <c r="N7" s="52">
        <f>SUM(N5:N6)</f>
        <v>781.5999999999999</v>
      </c>
      <c r="O7" s="52">
        <f>SUM(O5:O6)</f>
        <v>1007.1</v>
      </c>
      <c r="P7" s="52">
        <f>SUM(P5:P6)</f>
        <v>805.0</v>
      </c>
      <c r="Q7" s="52">
        <f>SUM(Q5:Q6)</f>
        <v>885.1</v>
      </c>
      <c r="R7" s="52">
        <f>SUM(R5:R6)</f>
        <v>1190.7</v>
      </c>
      <c r="S7" s="52">
        <f>SUM(S5:S6)</f>
        <v>1305.8</v>
      </c>
      <c r="T7" s="52">
        <f>T4-T2*NPV!C6</f>
        <v>1350.1837751126998</v>
      </c>
      <c r="U7" s="52">
        <f>U4-U2*NPV!D6</f>
        <v>1323.649817375301</v>
      </c>
      <c r="V7" s="52">
        <f>V4-V2*NPV!E6</f>
        <v>1303.8138462158743</v>
      </c>
      <c r="W7" s="52">
        <f>W4-W2*NPV!F6</f>
        <v>1290.3577095417506</v>
      </c>
      <c r="X7" s="52">
        <f>X4-X2*NPV!G6</f>
        <v>1283.058832734506</v>
      </c>
      <c r="Y7" s="52">
        <f>Y4-Y2*NPV!H6</f>
        <v>1281.7841460952047</v>
      </c>
      <c r="Z7" s="52">
        <f>Z4-Z2*NPV!I6</f>
        <v>1286.486219970166</v>
      </c>
      <c r="AA7" s="52">
        <f>AA4-AA2*NPV!J6</f>
        <v>1297.2014545464228</v>
      </c>
      <c r="AB7" s="52">
        <f>AB4-AB2*NPV!K6</f>
        <v>1314.0502413985087</v>
      </c>
      <c r="AC7" s="52">
        <f>AC4-AC2*NPV!L6</f>
        <v>1337.2390794243142</v>
      </c>
    </row>
    <row r="8">
      <c r="A8" s="2" t="inlineStr">
        <is>
          <t>Operating Income</t>
        </is>
      </c>
      <c r="B8" s="52">
        <f>B4-B7</f>
        <v>-82.05599999999998</v>
      </c>
      <c r="C8" s="52">
        <f>C4-C7</f>
        <v>25.757000000000005</v>
      </c>
      <c r="D8" s="52">
        <f>D4-D7</f>
        <v>171.313</v>
      </c>
      <c r="E8" s="52">
        <f>E4-E7</f>
        <v>317.78200000000004</v>
      </c>
      <c r="F8" s="52">
        <f>F4-F7</f>
        <v>421.64599999999996</v>
      </c>
      <c r="G8" s="52">
        <f>G4-G7</f>
        <v>292.499</v>
      </c>
      <c r="H8" s="52">
        <f>H4-H7</f>
        <v>538.8</v>
      </c>
      <c r="I8" s="52">
        <f>I4-I7</f>
        <v>699.0</v>
      </c>
      <c r="J8" s="52">
        <f>J4-J7</f>
        <v>1061.6999999999998</v>
      </c>
      <c r="K8" s="52">
        <f>K4-K7</f>
        <v>814.8999999999999</v>
      </c>
      <c r="L8" s="52">
        <f>L4-L7</f>
        <v>805.3999999999999</v>
      </c>
      <c r="M8" s="52">
        <f>M4-M7</f>
        <v>-187.5999999999999</v>
      </c>
      <c r="N8" s="52">
        <f>N4-N7</f>
        <v>593.6000000000001</v>
      </c>
      <c r="O8" s="52">
        <f>O4-O7</f>
        <v>555.9</v>
      </c>
      <c r="P8" s="52">
        <f>P4-P7</f>
        <v>979.7</v>
      </c>
      <c r="Q8" s="52">
        <f>Q4-Q7</f>
        <v>1184.9</v>
      </c>
      <c r="R8" s="52">
        <f>R4-R7</f>
        <v>1377.0000000000002</v>
      </c>
      <c r="S8" s="52">
        <f>S4-S7</f>
        <v>1492.4999999999998</v>
      </c>
      <c r="T8" s="52">
        <f>T4-T7</f>
        <v>1398.5173967192998</v>
      </c>
      <c r="U8" s="52">
        <f>U4-U7</f>
        <v>1389.4404037194083</v>
      </c>
      <c r="V8" s="52">
        <f>V4-V7</f>
        <v>1386.9988896189577</v>
      </c>
      <c r="W8" s="52">
        <f>W4-W7</f>
        <v>1391.1268754755208</v>
      </c>
      <c r="X8" s="52">
        <f>X4-X7</f>
        <v>1401.8520936969537</v>
      </c>
      <c r="Y8" s="52">
        <f>Y4-Y7</f>
        <v>1419.2959105820976</v>
      </c>
      <c r="Z8" s="52">
        <f>Z4-Z7</f>
        <v>1443.675465317362</v>
      </c>
      <c r="AA8" s="52">
        <f>AA4-AA7</f>
        <v>1475.3080719928982</v>
      </c>
      <c r="AB8" s="52">
        <f>AB4-AB7</f>
        <v>1514.6180058839363</v>
      </c>
      <c r="AC8" s="52">
        <f>AC4-AC7</f>
        <v>1562.1458740401918</v>
      </c>
    </row>
    <row r="9">
      <c r="A9" s="18" t="inlineStr">
        <is>
          <t>Interest &amp; Other</t>
        </is>
      </c>
      <c r="B9" s="52" t="n">
        <v>-1.665</v>
      </c>
      <c r="C9" s="52" t="n">
        <v>-6.99</v>
      </c>
      <c r="D9" s="52" t="n">
        <v>-21.452</v>
      </c>
      <c r="E9" s="52" t="n">
        <v>-18.04</v>
      </c>
      <c r="F9" s="52" t="n">
        <v>19.025</v>
      </c>
      <c r="G9" s="52" t="n">
        <v>-13.596</v>
      </c>
      <c r="H9" s="52" t="n">
        <v>-13.6</v>
      </c>
      <c r="I9" s="52" t="n">
        <v>345.4</v>
      </c>
      <c r="J9" s="52" t="n">
        <v>-1.5</v>
      </c>
      <c r="K9" s="52" t="n">
        <v>-45.4</v>
      </c>
      <c r="L9" s="52" t="n">
        <v>-46.5</v>
      </c>
      <c r="M9" s="52" t="n">
        <v>22.6</v>
      </c>
      <c r="N9" s="52" t="n">
        <v>45.3</v>
      </c>
      <c r="O9" s="52" t="n">
        <v>38</v>
      </c>
      <c r="P9" s="52" t="n">
        <v>-29.1</v>
      </c>
      <c r="Q9" s="52" t="n">
        <v>89.40000000000001</v>
      </c>
      <c r="R9" s="52" t="n">
        <v>162</v>
      </c>
      <c r="S9" s="52" t="n">
        <v>221.4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-83.72099999999999</v>
      </c>
      <c r="C10" s="52">
        <f>C8+C9</f>
        <v>18.767000000000003</v>
      </c>
      <c r="D10" s="52">
        <f>D8+D9</f>
        <v>149.861</v>
      </c>
      <c r="E10" s="52">
        <f>E8+E9</f>
        <v>299.742</v>
      </c>
      <c r="F10" s="52">
        <f>F8+F9</f>
        <v>440.67099999999994</v>
      </c>
      <c r="G10" s="52">
        <f>G8+G9</f>
        <v>278.903</v>
      </c>
      <c r="H10" s="52">
        <f>H8+H9</f>
        <v>525.1999999999999</v>
      </c>
      <c r="I10" s="52">
        <f>I8+I9</f>
        <v>1044.4</v>
      </c>
      <c r="J10" s="52">
        <f>J8+J9</f>
        <v>1060.1999999999998</v>
      </c>
      <c r="K10" s="52">
        <f>K8+K9</f>
        <v>769.4999999999999</v>
      </c>
      <c r="L10" s="52">
        <f>L8+L9</f>
        <v>758.8999999999999</v>
      </c>
      <c r="M10" s="52">
        <f>M8+M9</f>
        <v>-164.99999999999991</v>
      </c>
      <c r="N10" s="52">
        <f>N8+N9</f>
        <v>638.9000000000001</v>
      </c>
      <c r="O10" s="52">
        <f>O8+O9</f>
        <v>593.9</v>
      </c>
      <c r="P10" s="52">
        <f>P8+P9</f>
        <v>950.6</v>
      </c>
      <c r="Q10" s="52">
        <f>Q8+Q9</f>
        <v>1274.3000000000002</v>
      </c>
      <c r="R10" s="52">
        <f>R8+R9</f>
        <v>1539.0000000000002</v>
      </c>
      <c r="S10" s="52">
        <f>S8+S9</f>
        <v>1713.8999999999999</v>
      </c>
      <c r="T10" s="52">
        <f>T8+T9</f>
        <v>1398.5173967192998</v>
      </c>
      <c r="U10" s="52">
        <f>U8+U9</f>
        <v>1389.4404037194083</v>
      </c>
      <c r="V10" s="52">
        <f>V8+V9</f>
        <v>1386.9988896189577</v>
      </c>
      <c r="W10" s="52">
        <f>W8+W9</f>
        <v>1391.1268754755208</v>
      </c>
      <c r="X10" s="52">
        <f>X8+X9</f>
        <v>1401.8520936969537</v>
      </c>
      <c r="Y10" s="52">
        <f>Y8+Y9</f>
        <v>1419.2959105820976</v>
      </c>
      <c r="Z10" s="52">
        <f>Z8+Z9</f>
        <v>1443.675465317362</v>
      </c>
      <c r="AA10" s="52">
        <f>AA8+AA9</f>
        <v>1475.3080719928982</v>
      </c>
      <c r="AB10" s="52">
        <f>AB8+AB9</f>
        <v>1514.6180058839363</v>
      </c>
      <c r="AC10" s="52">
        <f>AC8+AC9</f>
        <v>1562.1458740401918</v>
      </c>
    </row>
    <row r="11">
      <c r="A11" s="2" t="inlineStr">
        <is>
          <t>Taxes</t>
        </is>
      </c>
      <c r="B11" s="52" t="n">
        <v>-34.394</v>
      </c>
      <c r="C11" s="52" t="n">
        <v>-0.695</v>
      </c>
      <c r="D11" s="52" t="n">
        <v>43.945</v>
      </c>
      <c r="E11" s="52" t="n">
        <v>81.874</v>
      </c>
      <c r="F11" s="52" t="n">
        <v>136.229</v>
      </c>
      <c r="G11" s="52" t="n">
        <v>104.343</v>
      </c>
      <c r="H11" s="52" t="n">
        <v>185.1</v>
      </c>
      <c r="I11" s="52" t="n">
        <v>392.8</v>
      </c>
      <c r="J11" s="52" t="n">
        <v>346.5</v>
      </c>
      <c r="K11" s="52" t="n">
        <v>351.6</v>
      </c>
      <c r="L11" s="52" t="n">
        <v>169.7</v>
      </c>
      <c r="M11" s="52" t="n">
        <v>-60.5</v>
      </c>
      <c r="N11" s="52" t="n">
        <v>124.1</v>
      </c>
      <c r="O11" s="52" t="n">
        <v>118.1</v>
      </c>
      <c r="P11" s="52" t="n">
        <v>223.3</v>
      </c>
      <c r="Q11" s="52" t="n">
        <v>289.5</v>
      </c>
      <c r="R11" s="52" t="n">
        <v>343.9</v>
      </c>
      <c r="S11" s="52" t="n">
        <v>379.2</v>
      </c>
      <c r="T11" s="52">
        <f>MAX(0,T10)*Assumptions!$E$14</f>
        <v>237.74795744228098</v>
      </c>
      <c r="U11" s="52">
        <f>MAX(0,U10)*Assumptions!$E$14</f>
        <v>236.20486863229942</v>
      </c>
      <c r="V11" s="52">
        <f>MAX(0,V10)*Assumptions!$E$14</f>
        <v>235.78981123522283</v>
      </c>
      <c r="W11" s="52">
        <f>MAX(0,W10)*Assumptions!$E$14</f>
        <v>236.49156883083856</v>
      </c>
      <c r="X11" s="52">
        <f>MAX(0,X10)*Assumptions!$E$14</f>
        <v>238.31485592848216</v>
      </c>
      <c r="Y11" s="52">
        <f>MAX(0,Y10)*Assumptions!$E$14</f>
        <v>241.2803047989566</v>
      </c>
      <c r="Z11" s="52">
        <f>MAX(0,Z10)*Assumptions!$E$14</f>
        <v>245.42482910395157</v>
      </c>
      <c r="AA11" s="52">
        <f>MAX(0,AA10)*Assumptions!$E$14</f>
        <v>250.8023722387927</v>
      </c>
      <c r="AB11" s="52">
        <f>MAX(0,AB10)*Assumptions!$E$14</f>
        <v>257.4850610002692</v>
      </c>
      <c r="AC11" s="52">
        <f>MAX(0,AC10)*Assumptions!$E$14</f>
        <v>265.56479858683264</v>
      </c>
    </row>
    <row r="12">
      <c r="A12" s="2" t="inlineStr">
        <is>
          <t>Net Income</t>
        </is>
      </c>
      <c r="B12" s="52" t="n">
        <v>-49.327</v>
      </c>
      <c r="C12" s="52" t="n">
        <v>19.462</v>
      </c>
      <c r="D12" s="52" t="n">
        <v>105.916</v>
      </c>
      <c r="E12" s="52" t="n">
        <v>217.868</v>
      </c>
      <c r="F12" s="52" t="n">
        <v>304.442</v>
      </c>
      <c r="G12" s="52" t="n">
        <v>174.56</v>
      </c>
      <c r="H12" s="52" t="n">
        <v>340.1</v>
      </c>
      <c r="I12" s="52" t="n">
        <v>651.6</v>
      </c>
      <c r="J12" s="52" t="n">
        <v>713.7</v>
      </c>
      <c r="K12" s="52" t="n">
        <v>417.9</v>
      </c>
      <c r="L12" s="52" t="n">
        <v>589.2</v>
      </c>
      <c r="M12" s="52" t="n">
        <v>-104.5</v>
      </c>
      <c r="N12" s="52" t="n">
        <v>514.8</v>
      </c>
      <c r="O12" s="52" t="n">
        <v>475.8</v>
      </c>
      <c r="P12" s="52" t="n">
        <v>727.3</v>
      </c>
      <c r="Q12" s="52" t="n">
        <v>984.8</v>
      </c>
      <c r="R12" s="52" t="n">
        <v>1195.1</v>
      </c>
      <c r="S12" s="52" t="n">
        <v>1334.7</v>
      </c>
      <c r="T12" s="52">
        <f>T10-T11</f>
        <v>1160.7694392770188</v>
      </c>
      <c r="U12" s="52">
        <f>U10-U11</f>
        <v>1153.235535087109</v>
      </c>
      <c r="V12" s="52">
        <f>V10-V11</f>
        <v>1151.2090783837348</v>
      </c>
      <c r="W12" s="52">
        <f>W10-W11</f>
        <v>1154.6353066446823</v>
      </c>
      <c r="X12" s="52">
        <f>X10-X11</f>
        <v>1163.5372377684716</v>
      </c>
      <c r="Y12" s="52">
        <f>Y10-Y11</f>
        <v>1178.015605783141</v>
      </c>
      <c r="Z12" s="52">
        <f>Z10-Z11</f>
        <v>1198.2506362134104</v>
      </c>
      <c r="AA12" s="52">
        <f>AA10-AA11</f>
        <v>1224.5056997541055</v>
      </c>
      <c r="AB12" s="52">
        <f>AB10-AB11</f>
        <v>1257.1329448836673</v>
      </c>
      <c r="AC12" s="52">
        <f>AC10-AC11</f>
        <v>1296.581075453359</v>
      </c>
    </row>
    <row r="13">
      <c r="A13" s="2" t="inlineStr">
        <is>
          <t>Earnings per Share</t>
        </is>
      </c>
      <c r="B13" s="11">
        <f>IFERROR(B12/B14,0)</f>
        <v>-1.0769617047290512</v>
      </c>
      <c r="C13" s="11">
        <f>IFERROR(C12/C14,0)</f>
        <v>0.34671227263819854</v>
      </c>
      <c r="D13" s="11">
        <f>IFERROR(D12/D14,0)</f>
        <v>1.7796222864439815</v>
      </c>
      <c r="E13" s="11">
        <f>IFERROR(E12/E14,0)</f>
        <v>3.6681202121390686</v>
      </c>
      <c r="F13" s="11">
        <f>IFERROR(F12/F14,0)</f>
        <v>5.714001501501501</v>
      </c>
      <c r="G13" s="11">
        <f>IFERROR(G12/G14,0)</f>
        <v>3.279292141797073</v>
      </c>
      <c r="H13" s="11">
        <f>IFERROR(H12/H14,0)</f>
        <v>6.2749077490774905</v>
      </c>
      <c r="I13" s="11">
        <f>IFERROR(I12/I14,0)</f>
        <v>12.7265625</v>
      </c>
      <c r="J13" s="11">
        <f>IFERROR(J12/J14,0)</f>
        <v>15.250000000000002</v>
      </c>
      <c r="K13" s="11">
        <f>IFERROR(K12/K14,0)</f>
        <v>9.307349665924276</v>
      </c>
      <c r="L13" s="11">
        <f>IFERROR(L12/L14,0)</f>
        <v>13.390909090909092</v>
      </c>
      <c r="M13" s="11">
        <f>IFERROR(M12/M14,0)</f>
        <v>-2.3858447488584478</v>
      </c>
      <c r="N13" s="11">
        <f>IFERROR(N12/N14,0)</f>
        <v>11.542600896860986</v>
      </c>
      <c r="O13" s="11">
        <f>IFERROR(O12/O14,0)</f>
        <v>10.059196617336154</v>
      </c>
      <c r="P13" s="11">
        <f>IFERROR(P12/P14,0)</f>
        <v>14.995876288659792</v>
      </c>
      <c r="Q13" s="11">
        <f>IFERROR(Q12/Q14,0)</f>
        <v>19.814889336016094</v>
      </c>
      <c r="R13" s="11">
        <f>IFERROR(R12/R14,0)</f>
        <v>24.64123711340206</v>
      </c>
      <c r="S13" s="11">
        <f>IFERROR(S12/S14,0)</f>
        <v>27.864300626304804</v>
      </c>
      <c r="T13" s="11">
        <f>IFERROR(T12/T14,0)</f>
        <v>27.06343463232113</v>
      </c>
      <c r="U13" s="11">
        <f>IFERROR(U12/U14,0)</f>
        <v>26.88778103853183</v>
      </c>
      <c r="V13" s="11">
        <f>IFERROR(V12/V14,0)</f>
        <v>26.840534034371252</v>
      </c>
      <c r="W13" s="11">
        <f>IFERROR(W12/W14,0)</f>
        <v>26.920416827144738</v>
      </c>
      <c r="X13" s="11">
        <f>IFERROR(X12/X14,0)</f>
        <v>27.127966081043215</v>
      </c>
      <c r="Y13" s="11">
        <f>IFERROR(Y12/Y14,0)</f>
        <v>27.46553041818819</v>
      </c>
      <c r="Z13" s="11">
        <f>IFERROR(Z12/Z14,0)</f>
        <v>27.937311811462738</v>
      </c>
      <c r="AA13" s="11">
        <f>IFERROR(AA12/AA14,0)</f>
        <v>28.549450770206867</v>
      </c>
      <c r="AB13" s="11">
        <f>IFERROR(AB12/AB14,0)</f>
        <v>29.310157665063254</v>
      </c>
      <c r="AC13" s="11">
        <f>IFERROR(AC12/AC14,0)</f>
        <v>30.22989406310719</v>
      </c>
    </row>
    <row r="14">
      <c r="A14" s="2" t="inlineStr">
        <is>
          <t>Shares</t>
        </is>
      </c>
      <c r="B14" s="52" t="n">
        <v>45.802</v>
      </c>
      <c r="C14" s="52" t="n">
        <v>56.133</v>
      </c>
      <c r="D14" s="52" t="n">
        <v>59.516</v>
      </c>
      <c r="E14" s="52" t="n">
        <v>59.395</v>
      </c>
      <c r="F14" s="52" t="n">
        <v>53.28</v>
      </c>
      <c r="G14" s="52" t="n">
        <v>53.231</v>
      </c>
      <c r="H14" s="52" t="n">
        <v>54.2</v>
      </c>
      <c r="I14" s="52" t="n">
        <v>51.2</v>
      </c>
      <c r="J14" s="52" t="n">
        <v>46.8</v>
      </c>
      <c r="K14" s="52" t="n">
        <v>44.9</v>
      </c>
      <c r="L14" s="52" t="n">
        <v>44</v>
      </c>
      <c r="M14" s="52" t="n">
        <v>43.8</v>
      </c>
      <c r="N14" s="52" t="n">
        <v>44.6</v>
      </c>
      <c r="O14" s="52" t="n">
        <v>47.3</v>
      </c>
      <c r="P14" s="52" t="n">
        <v>48.5</v>
      </c>
      <c r="Q14" s="52" t="n">
        <v>49.7</v>
      </c>
      <c r="R14" s="52" t="n">
        <v>48.5</v>
      </c>
      <c r="S14" s="52" t="n">
        <v>47.9</v>
      </c>
      <c r="T14" s="52">
        <f>Main!$C$4</f>
        <v>42.890692</v>
      </c>
      <c r="U14" s="52">
        <f>Main!$C$4</f>
        <v>42.890692</v>
      </c>
      <c r="V14" s="52">
        <f>Main!$C$4</f>
        <v>42.890692</v>
      </c>
      <c r="W14" s="52">
        <f>Main!$C$4</f>
        <v>42.890692</v>
      </c>
      <c r="X14" s="52">
        <f>Main!$C$4</f>
        <v>42.890692</v>
      </c>
      <c r="Y14" s="52">
        <f>Main!$C$4</f>
        <v>42.890692</v>
      </c>
      <c r="Z14" s="52">
        <f>Main!$C$4</f>
        <v>42.890692</v>
      </c>
      <c r="AA14" s="52">
        <f>Main!$C$4</f>
        <v>42.890692</v>
      </c>
      <c r="AB14" s="52">
        <f>Main!$C$4</f>
        <v>42.890692</v>
      </c>
      <c r="AC14" s="52">
        <f>Main!$C$4</f>
        <v>42.890692</v>
      </c>
    </row>
    <row r="15"/>
    <row r="16" customFormat="1" s="4">
      <c r="A16" s="3" t="inlineStr">
        <is>
          <t>Revenue Change</t>
        </is>
      </c>
      <c r="C16" s="15">
        <f>IFERROR(C2/B2-1,"")</f>
        <v>0.2748981339055123</v>
      </c>
      <c r="D16" s="15">
        <f>IFERROR(D2/C2-1,"")</f>
        <v>0.6520814757021847</v>
      </c>
      <c r="E16" s="15">
        <f>IFERROR(E2/D2-1,"")</f>
        <v>0.2534731885194612</v>
      </c>
      <c r="F16" s="15">
        <f>IFERROR(F2/E2-1,"")</f>
        <v>0.23263852913750727</v>
      </c>
      <c r="G16" s="15">
        <f>IFERROR(G2/F2-1,"")</f>
        <v>0.2193136813976131</v>
      </c>
      <c r="H16" s="15">
        <f>IFERROR(H2/G2-1,"")</f>
        <v>0.15355278141853423</v>
      </c>
      <c r="I16" s="15">
        <f>IFERROR(I2/H2-1,"")</f>
        <v>0.1376018626309663</v>
      </c>
      <c r="J16" s="15">
        <f>IFERROR(J2/I2-1,"")</f>
        <v>0.09073543457497601</v>
      </c>
      <c r="K16" s="15">
        <f>IFERROR(K2/J2-1,"")</f>
        <v>0.07912184138103573</v>
      </c>
      <c r="L16" s="15">
        <f>IFERROR(L2/K2-1,"")</f>
        <v>-0.05651191097200492</v>
      </c>
      <c r="M16" s="15">
        <f>IFERROR(M2/L2-1,"")</f>
        <v>-0.10996436908711149</v>
      </c>
      <c r="N16" s="15">
        <f>IFERROR(N2/M2-1,"")</f>
        <v>0.023812810601877343</v>
      </c>
      <c r="O16" s="15">
        <f>IFERROR(O2/N2-1,"")</f>
        <v>0.13631767006000128</v>
      </c>
      <c r="P16" s="15">
        <f>IFERROR(P2/O2-1,"")</f>
        <v>0.14879857609018088</v>
      </c>
      <c r="Q16" s="15">
        <f>IFERROR(Q2/P2-1,"")</f>
        <v>0.20203480865568357</v>
      </c>
      <c r="R16" s="15">
        <f>IFERROR(R2/Q2-1,"")</f>
        <v>0.23626208378088087</v>
      </c>
      <c r="S16" s="15">
        <f>IFERROR(S2/R2-1,"")</f>
        <v>0.10610273163272388</v>
      </c>
      <c r="T16" s="15">
        <f>IFERROR(T2/S2-1,"")</f>
        <v>-0.01770000000000005</v>
      </c>
      <c r="U16" s="15">
        <f>IFERROR(U2/T2-1,"")</f>
        <v>-0.012955555555555609</v>
      </c>
      <c r="V16" s="15">
        <f>IFERROR(V2/U2-1,"")</f>
        <v>-0.008211111111111058</v>
      </c>
      <c r="W16" s="15">
        <f>IFERROR(W2/V2-1,"")</f>
        <v>-0.003466666666666618</v>
      </c>
      <c r="X16" s="15">
        <f>IFERROR(X2/W2-1,"")</f>
        <v>0.001277777777777711</v>
      </c>
      <c r="Y16" s="15">
        <f>IFERROR(Y2/X2-1,"")</f>
        <v>0.006022222222222151</v>
      </c>
      <c r="Z16" s="15">
        <f>IFERROR(Z2/Y2-1,"")</f>
        <v>0.010766666666666591</v>
      </c>
      <c r="AA16" s="15">
        <f>IFERROR(AA2/Z2-1,"")</f>
        <v>0.015511111111111031</v>
      </c>
      <c r="AB16" s="15">
        <f>IFERROR(AB2/AA2-1,"")</f>
        <v>0.02025555555555547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0.9042369900922568</v>
      </c>
      <c r="C17" s="15">
        <f>IFERROR(C4/C2,"")</f>
        <v>0.8861430004458315</v>
      </c>
      <c r="D17" s="15">
        <f>IFERROR(D4/D2,"")</f>
        <v>0.8858591429568949</v>
      </c>
      <c r="E17" s="15">
        <f>IFERROR(E4/E2,"")</f>
        <v>0.880374012860897</v>
      </c>
      <c r="F17" s="15">
        <f>IFERROR(F4/F2,"")</f>
        <v>0.8697739052218375</v>
      </c>
      <c r="G17" s="15">
        <f>IFERROR(G4/G2,"")</f>
        <v>0.8826061966867923</v>
      </c>
      <c r="H17" s="15">
        <f>IFERROR(H4/H2,"")</f>
        <v>0.902289483896003</v>
      </c>
      <c r="I17" s="15">
        <f>IFERROR(I4/I2,"")</f>
        <v>0.9529267294310274</v>
      </c>
      <c r="J17" s="15">
        <f>IFERROR(J4/J2,"")</f>
        <v>0.9545283962972229</v>
      </c>
      <c r="K17" s="15">
        <f>IFERROR(K4/K2,"")</f>
        <v>0.9387352924129136</v>
      </c>
      <c r="L17" s="15">
        <f>IFERROR(L4/L2,"")</f>
        <v>0.8779334070524634</v>
      </c>
      <c r="M17" s="15">
        <f>IFERROR(M4/M2,"")</f>
        <v>0.9188293760353397</v>
      </c>
      <c r="N17" s="15">
        <f>IFERROR(N4/N2,"")</f>
        <v>0.9271219577968045</v>
      </c>
      <c r="O17" s="15">
        <f>IFERROR(O4/O2,"")</f>
        <v>0.9273212696529219</v>
      </c>
      <c r="P17" s="15">
        <f>IFERROR(P4/P2,"")</f>
        <v>0.9217063471569489</v>
      </c>
      <c r="Q17" s="15">
        <f>IFERROR(Q4/Q2,"")</f>
        <v>0.8893662728249194</v>
      </c>
      <c r="R17" s="15">
        <f>IFERROR(R4/R2,"")</f>
        <v>0.8923681100993953</v>
      </c>
      <c r="S17" s="15">
        <f>IFERROR(S4/S2,"")</f>
        <v>0.8792220441763282</v>
      </c>
      <c r="T17" s="15">
        <f>IFERROR(T4/T2,"")</f>
        <v>0.8792</v>
      </c>
      <c r="U17" s="15">
        <f>IFERROR(U4/U2,"")</f>
        <v>0.8792</v>
      </c>
      <c r="V17" s="15">
        <f>IFERROR(V4/V2,"")</f>
        <v>0.8792000000000001</v>
      </c>
      <c r="W17" s="15">
        <f>IFERROR(W4/W2,"")</f>
        <v>0.8792000000000001</v>
      </c>
      <c r="X17" s="15">
        <f>IFERROR(X4/X2,"")</f>
        <v>0.8792</v>
      </c>
      <c r="Y17" s="15">
        <f>IFERROR(Y4/Y2,"")</f>
        <v>0.8791999999999999</v>
      </c>
      <c r="Z17" s="15">
        <f>IFERROR(Z4/Z2,"")</f>
        <v>0.8792</v>
      </c>
      <c r="AA17" s="15">
        <f>IFERROR(AA4/AA2,"")</f>
        <v>0.8792</v>
      </c>
      <c r="AB17" s="15">
        <f>IFERROR(AB4/AB2,"")</f>
        <v>0.8792</v>
      </c>
      <c r="AC17" s="15">
        <f>IFERROR(AC4/AC2,"")</f>
        <v>0.8792</v>
      </c>
    </row>
    <row r="18">
      <c r="A18" s="14" t="inlineStr">
        <is>
          <t>Operating Margin</t>
        </is>
      </c>
      <c r="B18" s="15">
        <f>IFERROR(B8/B2,"")</f>
        <v>-0.2914986660603842</v>
      </c>
      <c r="C18" s="15">
        <f>IFERROR(C8/C2,"")</f>
        <v>0.07177050824788231</v>
      </c>
      <c r="D18" s="15">
        <f>IFERROR(D8/D2,"")</f>
        <v>0.2889412867958961</v>
      </c>
      <c r="E18" s="15">
        <f>IFERROR(E8/E2,"")</f>
        <v>0.4275958949545402</v>
      </c>
      <c r="F18" s="15">
        <f>IFERROR(F8/F2,"")</f>
        <v>0.46027403839856074</v>
      </c>
      <c r="G18" s="15">
        <f>IFERROR(G8/G2,"")</f>
        <v>0.2618649864277376</v>
      </c>
      <c r="H18" s="15">
        <f>IFERROR(H8/H2,"")</f>
        <v>0.4181606519208381</v>
      </c>
      <c r="I18" s="15">
        <f>IFERROR(I8/I2,"")</f>
        <v>0.47687269750307</v>
      </c>
      <c r="J18" s="15">
        <f>IFERROR(J8/J2,"")</f>
        <v>0.6640605454090567</v>
      </c>
      <c r="K18" s="15">
        <f>IFERROR(K8/K2,"")</f>
        <v>0.47232365385730013</v>
      </c>
      <c r="L18" s="15">
        <f>IFERROR(L8/L2,"")</f>
        <v>0.4947782282835729</v>
      </c>
      <c r="M18" s="15">
        <f>IFERROR(M8/M2,"")</f>
        <v>-0.1294864715626725</v>
      </c>
      <c r="N18" s="15">
        <f>IFERROR(N8/N2,"")</f>
        <v>0.4001887682869279</v>
      </c>
      <c r="O18" s="15">
        <f>IFERROR(O8/O2,"")</f>
        <v>0.32981311183625034</v>
      </c>
      <c r="P18" s="15">
        <f>IFERROR(P8/P2,"")</f>
        <v>0.5059649847647576</v>
      </c>
      <c r="Q18" s="15">
        <f>IFERROR(Q8/Q2,"")</f>
        <v>0.5090870032223416</v>
      </c>
      <c r="R18" s="15">
        <f>IFERROR(R8/R2,"")</f>
        <v>0.47855703065267263</v>
      </c>
      <c r="S18" s="15">
        <f>IFERROR(S8/S2,"")</f>
        <v>0.46894146479404275</v>
      </c>
      <c r="T18" s="15">
        <f>IFERROR(T8/T2,"")</f>
        <v>0.44732999999999995</v>
      </c>
      <c r="U18" s="15">
        <f>IFERROR(U8/U2,"")</f>
        <v>0.45026</v>
      </c>
      <c r="V18" s="15">
        <f>IFERROR(V8/V2,"")</f>
        <v>0.4531900000000001</v>
      </c>
      <c r="W18" s="15">
        <f>IFERROR(W8/W2,"")</f>
        <v>0.45612</v>
      </c>
      <c r="X18" s="15">
        <f>IFERROR(X8/X2,"")</f>
        <v>0.45905</v>
      </c>
      <c r="Y18" s="15">
        <f>IFERROR(Y8/Y2,"")</f>
        <v>0.46197999999999995</v>
      </c>
      <c r="Z18" s="15">
        <f>IFERROR(Z8/Z2,"")</f>
        <v>0.46491</v>
      </c>
      <c r="AA18" s="15">
        <f>IFERROR(AA8/AA2,"")</f>
        <v>0.46784000000000003</v>
      </c>
      <c r="AB18" s="15">
        <f>IFERROR(AB8/AB2,"")</f>
        <v>0.47077</v>
      </c>
      <c r="AC18" s="15">
        <f>IFERROR(AC8/AC2,"")</f>
        <v>0.4737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United Therapeutics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-0.0677</v>
      </c>
      <c r="C12" s="53" t="n">
        <v>-0.0177</v>
      </c>
      <c r="D12" s="53" t="n">
        <v>0.0323</v>
      </c>
      <c r="E12" s="54">
        <f>CHOOSE($B$4,B12,C12,D12)</f>
        <v>-0.0177</v>
      </c>
    </row>
    <row r="13">
      <c r="A13" s="14" t="inlineStr">
        <is>
          <t>Operating margin, year 10</t>
        </is>
      </c>
      <c r="B13" s="53" t="n">
        <v>0.4237</v>
      </c>
      <c r="C13" s="53" t="n">
        <v>0.4737</v>
      </c>
      <c r="D13" s="53" t="n">
        <v>0.5237000000000001</v>
      </c>
      <c r="E13" s="54">
        <f>CHOOSE($B$4,B13,C13,D13)</f>
        <v>0.4737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0.4444</v>
      </c>
    </row>
    <row r="19">
      <c r="A19" s="14" t="inlineStr">
        <is>
          <t>Gross margin (forecast)</t>
        </is>
      </c>
      <c r="B19" s="53" t="n">
        <v>0.8792</v>
      </c>
    </row>
    <row r="20">
      <c r="A20" s="14" t="inlineStr">
        <is>
          <t>R&amp;D share of operating expense (forecast)</t>
        </is>
      </c>
      <c r="B20" s="53" t="n">
        <v>0.4212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3182.7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17874.542594240116</v>
      </c>
      <c r="C29" s="56">
        <f>NPV!B26</f>
        <v>20536.842594240115</v>
      </c>
      <c r="D29" s="35">
        <f>NPV!B28</f>
        <v>478.8181686189655</v>
      </c>
      <c r="E29" s="57">
        <f>NPV!B30</f>
        <v>-0.13552002488090287</v>
      </c>
    </row>
    <row r="30">
      <c r="A30" s="58" t="n">
        <v>1</v>
      </c>
      <c r="B30" s="59">
        <f t="dataTable" ref="B30:E32" r1="B4"/>
        <v>11001.009762751668</v>
      </c>
      <c r="C30" s="59">
        <v>13663.309762751669</v>
      </c>
      <c r="D30" s="39">
        <v>318.5611871860605</v>
      </c>
      <c r="E30" s="60">
        <v>-0.4248552264279979</v>
      </c>
    </row>
    <row r="31">
      <c r="A31" s="58" t="n">
        <v>2</v>
      </c>
      <c r="B31" s="59">
        <v>17874.542594240116</v>
      </c>
      <c r="C31" s="59">
        <v>20536.842594240115</v>
      </c>
      <c r="D31" s="39">
        <v>478.8181686189655</v>
      </c>
      <c r="E31" s="60">
        <v>-0.13552002488090287</v>
      </c>
    </row>
    <row r="32">
      <c r="A32" s="58" t="n">
        <v>3</v>
      </c>
      <c r="B32" s="59">
        <v>31519.8321432803</v>
      </c>
      <c r="C32" s="59">
        <v>34182.1321432803</v>
      </c>
      <c r="D32" s="39">
        <v>796.9592130451125</v>
      </c>
      <c r="E32" s="60">
        <v>0.4388662039523228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478.8181686189655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575.0700612814692</v>
      </c>
      <c r="C37" s="39">
        <v>621.2866475200966</v>
      </c>
      <c r="D37" s="39">
        <v>678.9875998664357</v>
      </c>
      <c r="E37" s="39">
        <v>753.0940258293595</v>
      </c>
      <c r="F37" s="39">
        <v>851.8077622819767</v>
      </c>
    </row>
    <row r="38">
      <c r="A38" s="62" t="n">
        <v>0.075</v>
      </c>
      <c r="B38" s="39">
        <v>491.9004137065543</v>
      </c>
      <c r="C38" s="39">
        <v>522.3464966938382</v>
      </c>
      <c r="D38" s="39">
        <v>558.8278836107319</v>
      </c>
      <c r="E38" s="39">
        <v>603.3557655622982</v>
      </c>
      <c r="F38" s="39">
        <v>658.9469225661506</v>
      </c>
    </row>
    <row r="39">
      <c r="A39" s="62" t="n">
        <v>0.08500000000000001</v>
      </c>
      <c r="B39" s="39">
        <v>432.58496534128636</v>
      </c>
      <c r="C39" s="39">
        <v>453.94337891733267</v>
      </c>
      <c r="D39" s="39">
        <v>478.8181686189655</v>
      </c>
      <c r="E39" s="39">
        <v>508.16788867244514</v>
      </c>
      <c r="F39" s="39">
        <v>543.3345097775817</v>
      </c>
    </row>
    <row r="40">
      <c r="A40" s="62" t="n">
        <v>0.095</v>
      </c>
      <c r="B40" s="39">
        <v>388.1626646257057</v>
      </c>
      <c r="C40" s="39">
        <v>403.84564764166475</v>
      </c>
      <c r="D40" s="39">
        <v>421.73320845766796</v>
      </c>
      <c r="E40" s="39">
        <v>442.33372132512557</v>
      </c>
      <c r="F40" s="39">
        <v>466.32501432544115</v>
      </c>
    </row>
    <row r="41">
      <c r="A41" s="62" t="n">
        <v>0.105</v>
      </c>
      <c r="B41" s="39">
        <v>353.657237857168</v>
      </c>
      <c r="C41" s="39">
        <v>365.57997015513934</v>
      </c>
      <c r="D41" s="39">
        <v>378.96280198527654</v>
      </c>
      <c r="E41" s="39">
        <v>394.09743975923374</v>
      </c>
      <c r="F41" s="39">
        <v>411.35893102145207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United Therapeutics Corporation: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-0.0177</v>
      </c>
      <c r="D5" s="63">
        <f>Assumptions!$E$12+(Assumptions!$E$11-Assumptions!$E$12)*(D4-1)/(Assumptions!$B$21-1)</f>
        <v>-0.012955555555555557</v>
      </c>
      <c r="E5" s="63">
        <f>Assumptions!$E$12+(Assumptions!$E$11-Assumptions!$E$12)*(E4-1)/(Assumptions!$B$21-1)</f>
        <v>-0.008211111111111112</v>
      </c>
      <c r="F5" s="63">
        <f>Assumptions!$E$12+(Assumptions!$E$11-Assumptions!$E$12)*(F4-1)/(Assumptions!$B$21-1)</f>
        <v>-0.0034666666666666682</v>
      </c>
      <c r="G5" s="63">
        <f>Assumptions!$E$12+(Assumptions!$E$11-Assumptions!$E$12)*(G4-1)/(Assumptions!$B$21-1)</f>
        <v>0.001277777777777777</v>
      </c>
      <c r="H5" s="63">
        <f>Assumptions!$E$12+(Assumptions!$E$11-Assumptions!$E$12)*(H4-1)/(Assumptions!$B$21-1)</f>
        <v>0.006022222222222224</v>
      </c>
      <c r="I5" s="63">
        <f>Assumptions!$E$12+(Assumptions!$E$11-Assumptions!$E$12)*(I4-1)/(Assumptions!$B$21-1)</f>
        <v>0.010766666666666664</v>
      </c>
      <c r="J5" s="63">
        <f>Assumptions!$E$12+(Assumptions!$E$11-Assumptions!$E$12)*(J4-1)/(Assumptions!$B$21-1)</f>
        <v>0.015511111111111107</v>
      </c>
      <c r="K5" s="63">
        <f>Assumptions!$E$12+(Assumptions!$E$11-Assumptions!$E$12)*(K4-1)/(Assumptions!$B$21-1)</f>
        <v>0.020255555555555554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0.46894146479404275</v>
      </c>
      <c r="C6" s="63">
        <f>Assumptions!$B$18+(Assumptions!$E$13-Assumptions!$B$18)*C4/Assumptions!$B$21</f>
        <v>0.44733</v>
      </c>
      <c r="D6" s="63">
        <f>Assumptions!$B$18+(Assumptions!$E$13-Assumptions!$B$18)*D4/Assumptions!$B$21</f>
        <v>0.45026</v>
      </c>
      <c r="E6" s="63">
        <f>Assumptions!$B$18+(Assumptions!$E$13-Assumptions!$B$18)*E4/Assumptions!$B$21</f>
        <v>0.45319000000000004</v>
      </c>
      <c r="F6" s="63">
        <f>Assumptions!$B$18+(Assumptions!$E$13-Assumptions!$B$18)*F4/Assumptions!$B$21</f>
        <v>0.45612</v>
      </c>
      <c r="G6" s="63">
        <f>Assumptions!$B$18+(Assumptions!$E$13-Assumptions!$B$18)*G4/Assumptions!$B$21</f>
        <v>0.45905</v>
      </c>
      <c r="H6" s="63">
        <f>Assumptions!$B$18+(Assumptions!$E$13-Assumptions!$B$18)*H4/Assumptions!$B$21</f>
        <v>0.46198</v>
      </c>
      <c r="I6" s="63">
        <f>Assumptions!$B$18+(Assumptions!$E$13-Assumptions!$B$18)*I4/Assumptions!$B$21</f>
        <v>0.46491</v>
      </c>
      <c r="J6" s="63">
        <f>Assumptions!$B$18+(Assumptions!$E$13-Assumptions!$B$18)*J4/Assumptions!$B$21</f>
        <v>0.46784000000000003</v>
      </c>
      <c r="K6" s="63">
        <f>Assumptions!$B$18+(Assumptions!$E$13-Assumptions!$B$18)*K4/Assumptions!$B$21</f>
        <v>0.47077</v>
      </c>
      <c r="L6" s="63">
        <f>Assumptions!$B$18+(Assumptions!$E$13-Assumptions!$B$18)*L4/Assumptions!$B$21</f>
        <v>0.4737</v>
      </c>
    </row>
    <row r="7">
      <c r="A7" s="14" t="inlineStr">
        <is>
          <t>Revenue</t>
        </is>
      </c>
      <c r="B7" s="55">
        <f>'Yearly Model'!S2</f>
        <v>3182.7</v>
      </c>
      <c r="C7" s="55">
        <f>'Yearly Model'!T2</f>
        <v>3126.3662099999997</v>
      </c>
      <c r="D7" s="55">
        <f>'Yearly Model'!U2</f>
        <v>3085.862398879333</v>
      </c>
      <c r="E7" s="55">
        <f>'Yearly Model'!V2</f>
        <v>3060.524039848535</v>
      </c>
      <c r="F7" s="55">
        <f>'Yearly Model'!W2</f>
        <v>3049.91422317706</v>
      </c>
      <c r="G7" s="55">
        <f>'Yearly Model'!X2</f>
        <v>3053.811335795564</v>
      </c>
      <c r="H7" s="55">
        <f>'Yearly Model'!Y2</f>
        <v>3072.202066284466</v>
      </c>
      <c r="I7" s="55">
        <f>'Yearly Model'!Z2</f>
        <v>3105.2794418647954</v>
      </c>
      <c r="J7" s="55">
        <f>'Yearly Model'!AA2</f>
        <v>3153.445776318609</v>
      </c>
      <c r="K7" s="55">
        <f>'Yearly Model'!AB2</f>
        <v>3217.3205724322625</v>
      </c>
      <c r="L7" s="55">
        <f>'Yearly Model'!AC2</f>
        <v>3297.753586743069</v>
      </c>
    </row>
    <row r="8">
      <c r="A8" s="14" t="inlineStr">
        <is>
          <t>Operating income</t>
        </is>
      </c>
      <c r="B8" s="55">
        <f>'Yearly Model'!S8</f>
        <v>1492.4999999999998</v>
      </c>
      <c r="C8" s="55">
        <f>'Yearly Model'!T8</f>
        <v>1398.5173967192998</v>
      </c>
      <c r="D8" s="55">
        <f>'Yearly Model'!U8</f>
        <v>1389.4404037194083</v>
      </c>
      <c r="E8" s="55">
        <f>'Yearly Model'!V8</f>
        <v>1386.9988896189577</v>
      </c>
      <c r="F8" s="55">
        <f>'Yearly Model'!W8</f>
        <v>1391.1268754755208</v>
      </c>
      <c r="G8" s="55">
        <f>'Yearly Model'!X8</f>
        <v>1401.8520936969537</v>
      </c>
      <c r="H8" s="55">
        <f>'Yearly Model'!Y8</f>
        <v>1419.2959105820976</v>
      </c>
      <c r="I8" s="55">
        <f>'Yearly Model'!Z8</f>
        <v>1443.675465317362</v>
      </c>
      <c r="J8" s="55">
        <f>'Yearly Model'!AA8</f>
        <v>1475.3080719928982</v>
      </c>
      <c r="K8" s="55">
        <f>'Yearly Model'!AB8</f>
        <v>1514.6180058839363</v>
      </c>
      <c r="L8" s="55">
        <f>'Yearly Model'!AC8</f>
        <v>1562.1458740401918</v>
      </c>
    </row>
    <row r="9">
      <c r="A9" s="14" t="inlineStr">
        <is>
          <t>Tax on operating income</t>
        </is>
      </c>
      <c r="C9" s="52">
        <f>MAX(0,C8)*Assumptions!$E$14</f>
        <v>237.74795744228098</v>
      </c>
      <c r="D9" s="52">
        <f>MAX(0,D8)*Assumptions!$E$14</f>
        <v>236.20486863229942</v>
      </c>
      <c r="E9" s="52">
        <f>MAX(0,E8)*Assumptions!$E$14</f>
        <v>235.78981123522283</v>
      </c>
      <c r="F9" s="52">
        <f>MAX(0,F8)*Assumptions!$E$14</f>
        <v>236.49156883083856</v>
      </c>
      <c r="G9" s="52">
        <f>MAX(0,G8)*Assumptions!$E$14</f>
        <v>238.31485592848216</v>
      </c>
      <c r="H9" s="52">
        <f>MAX(0,H8)*Assumptions!$E$14</f>
        <v>241.2803047989566</v>
      </c>
      <c r="I9" s="52">
        <f>MAX(0,I8)*Assumptions!$E$14</f>
        <v>245.42482910395157</v>
      </c>
      <c r="J9" s="52">
        <f>MAX(0,J8)*Assumptions!$E$14</f>
        <v>250.8023722387927</v>
      </c>
      <c r="K9" s="52">
        <f>MAX(0,K8)*Assumptions!$E$14</f>
        <v>257.4850610002692</v>
      </c>
      <c r="L9" s="52">
        <f>MAX(0,L8)*Assumptions!$E$14</f>
        <v>265.56479858683264</v>
      </c>
    </row>
    <row r="10">
      <c r="A10" s="14" t="inlineStr">
        <is>
          <t>NOPAT</t>
        </is>
      </c>
      <c r="C10" s="52">
        <f>C8-C9</f>
        <v>1160.7694392770188</v>
      </c>
      <c r="D10" s="52">
        <f>D8-D9</f>
        <v>1153.235535087109</v>
      </c>
      <c r="E10" s="52">
        <f>E8-E9</f>
        <v>1151.2090783837348</v>
      </c>
      <c r="F10" s="52">
        <f>F8-F9</f>
        <v>1154.6353066446823</v>
      </c>
      <c r="G10" s="52">
        <f>G8-G9</f>
        <v>1163.5372377684716</v>
      </c>
      <c r="H10" s="52">
        <f>H8-H9</f>
        <v>1178.015605783141</v>
      </c>
      <c r="I10" s="52">
        <f>I8-I9</f>
        <v>1198.2506362134104</v>
      </c>
      <c r="J10" s="52">
        <f>J8-J9</f>
        <v>1224.5056997541055</v>
      </c>
      <c r="K10" s="52">
        <f>K8-K9</f>
        <v>1257.1329448836673</v>
      </c>
      <c r="L10" s="52">
        <f>L8-L9</f>
        <v>1296.581075453359</v>
      </c>
    </row>
    <row r="11">
      <c r="A11" s="14" t="inlineStr">
        <is>
          <t>Reinvestment</t>
        </is>
      </c>
      <c r="C11" s="52">
        <f>(C7-B7)*Assumptions!$E$15</f>
        <v>-14.083447500000034</v>
      </c>
      <c r="D11" s="52">
        <f>(D7-C7)*Assumptions!$E$15</f>
        <v>-10.125952780166699</v>
      </c>
      <c r="E11" s="52">
        <f>(E7-D7)*Assumptions!$E$15</f>
        <v>-6.3345897576995185</v>
      </c>
      <c r="F11" s="52">
        <f>(F7-E7)*Assumptions!$E$15</f>
        <v>-2.6524541678686546</v>
      </c>
      <c r="G11" s="52">
        <f>(G7-F7)*Assumptions!$E$15</f>
        <v>0.9742781546259494</v>
      </c>
      <c r="H11" s="52">
        <f>(H7-G7)*Assumptions!$E$15</f>
        <v>4.597682622225534</v>
      </c>
      <c r="I11" s="52">
        <f>(I7-H7)*Assumptions!$E$15</f>
        <v>8.26934389508233</v>
      </c>
      <c r="J11" s="52">
        <f>(J7-I7)*Assumptions!$E$15</f>
        <v>12.04158361345344</v>
      </c>
      <c r="K11" s="52">
        <f>(K7-J7)*Assumptions!$E$15</f>
        <v>15.968699028413312</v>
      </c>
      <c r="L11" s="52">
        <f>(L7-K7)*Assumptions!$E$15</f>
        <v>20.10825357770159</v>
      </c>
    </row>
    <row r="12">
      <c r="A12" s="20" t="inlineStr">
        <is>
          <t>Free cash flow</t>
        </is>
      </c>
      <c r="C12" s="64">
        <f>C10-C11</f>
        <v>1174.8528867770187</v>
      </c>
      <c r="D12" s="64">
        <f>D10-D11</f>
        <v>1163.3614878672756</v>
      </c>
      <c r="E12" s="64">
        <f>E10-E11</f>
        <v>1157.5436681414344</v>
      </c>
      <c r="F12" s="64">
        <f>F10-F11</f>
        <v>1157.287760812551</v>
      </c>
      <c r="G12" s="64">
        <f>G10-G11</f>
        <v>1162.5629596138456</v>
      </c>
      <c r="H12" s="64">
        <f>H10-H11</f>
        <v>1173.4179231609155</v>
      </c>
      <c r="I12" s="64">
        <f>I10-I11</f>
        <v>1189.981292318328</v>
      </c>
      <c r="J12" s="64">
        <f>J10-J11</f>
        <v>1212.464116140652</v>
      </c>
      <c r="K12" s="64">
        <f>K10-K11</f>
        <v>1241.164245855254</v>
      </c>
      <c r="L12" s="64">
        <f>L10-L11</f>
        <v>1276.4728218756575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580.1898411898762</v>
      </c>
      <c r="D16" s="64">
        <f>D12*D13*D15</f>
        <v>1071.863994630551</v>
      </c>
      <c r="E16" s="64">
        <f>E12*E13*E15</f>
        <v>982.952757591202</v>
      </c>
      <c r="F16" s="64">
        <f>F12*F13*F15</f>
        <v>905.7469571014034</v>
      </c>
      <c r="G16" s="64">
        <f>G12*G13*G15</f>
        <v>838.5949970527467</v>
      </c>
      <c r="H16" s="64">
        <f>H12*H13*H15</f>
        <v>780.1152444149159</v>
      </c>
      <c r="I16" s="64">
        <f>I12*I13*I15</f>
        <v>729.1492658778014</v>
      </c>
      <c r="J16" s="64">
        <f>J12*J13*J15</f>
        <v>684.7238652355703</v>
      </c>
      <c r="K16" s="64">
        <f>K12*K13*K15</f>
        <v>646.0201867687838</v>
      </c>
      <c r="L16" s="64">
        <f>L12*L13*L15</f>
        <v>612.3485119800033</v>
      </c>
    </row>
    <row r="19">
      <c r="A19" s="14" t="inlineStr">
        <is>
          <t>PV of forecast free cash flow</t>
        </is>
      </c>
      <c r="B19" s="52">
        <f>SUM(C16:L16)</f>
        <v>7831.705621842854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1308.3846424225487</v>
      </c>
    </row>
    <row r="21">
      <c r="A21" s="14" t="inlineStr">
        <is>
          <t>Terminal value</t>
        </is>
      </c>
      <c r="B21" s="52">
        <f>B20/(Assumptions!$E$10-Assumptions!$E$11)</f>
        <v>21806.410707042476</v>
      </c>
    </row>
    <row r="22">
      <c r="A22" s="14" t="inlineStr">
        <is>
          <t>PV of terminal value</t>
        </is>
      </c>
      <c r="B22" s="52">
        <f>B21/(1+Assumptions!$E$10)^(L14+0.5)</f>
        <v>10042.836972397263</v>
      </c>
    </row>
    <row r="23">
      <c r="A23" s="20" t="inlineStr">
        <is>
          <t>Enterprise value</t>
        </is>
      </c>
      <c r="B23" s="66">
        <f>B19+B22</f>
        <v>17874.542594240116</v>
      </c>
    </row>
    <row r="24">
      <c r="A24" s="14" t="inlineStr">
        <is>
          <t>Cash &amp; investments</t>
        </is>
      </c>
      <c r="B24" s="55">
        <f>Main!C7</f>
        <v>2662.3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20536.842594240115</v>
      </c>
    </row>
    <row r="27">
      <c r="A27" s="14" t="inlineStr">
        <is>
          <t>Shares (mm)</t>
        </is>
      </c>
      <c r="B27" s="55">
        <f>Main!C4</f>
        <v>42.890692</v>
      </c>
    </row>
    <row r="28">
      <c r="A28" s="20" t="inlineStr">
        <is>
          <t>NPV / share</t>
        </is>
      </c>
      <c r="B28" s="49">
        <f>B26/B27</f>
        <v>478.8181686189655</v>
      </c>
    </row>
    <row r="29">
      <c r="A29" s="14" t="inlineStr">
        <is>
          <t>Price</t>
        </is>
      </c>
      <c r="B29" s="50">
        <f>Main!C3</f>
        <v>553.88</v>
      </c>
    </row>
    <row r="30">
      <c r="A30" s="14" t="inlineStr">
        <is>
          <t>Upside</t>
        </is>
      </c>
      <c r="B30" s="63">
        <f>B28/B29-1</f>
        <v>-0.13552002488090287</v>
      </c>
    </row>
    <row r="31">
      <c r="A31" s="14" t="inlineStr">
        <is>
          <t>Terminal value, % of EV</t>
        </is>
      </c>
      <c r="B31" s="63">
        <f>IFERROR(B22/B23,0)</f>
        <v>0.5618514107115369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2026-10-21T06:21:12Z</dcterms:modified>
  <cp:lastModifiedBy>Wang, Eric</cp:lastModifiedBy>
</cp:coreProperties>
</file>