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Vericel Corporation</t>
        </is>
      </c>
      <c r="C2" s="10" t="n"/>
    </row>
    <row r="3">
      <c r="B3" t="inlineStr">
        <is>
          <t>Price</t>
        </is>
      </c>
      <c r="C3" s="11">
        <f>INDEX([1]Pharma!$F$1:$F$1000,MATCH("VCEL",[1]Pharma!$B$1:$B$1000,0))</f>
        <v>40.58</v>
      </c>
      <c r="F3" s="1" t="n"/>
    </row>
    <row r="4">
      <c r="B4" t="inlineStr">
        <is>
          <t>Shares</t>
        </is>
      </c>
      <c r="C4" s="51" t="n">
        <v>51.206614</v>
      </c>
      <c r="F4" s="1" t="n"/>
    </row>
    <row r="5">
      <c r="B5" t="inlineStr">
        <is>
          <t>Market Cap.</t>
        </is>
      </c>
      <c r="C5" s="13">
        <f>C3*C4</f>
        <v>2077.96439612</v>
      </c>
      <c r="F5" s="1" t="n"/>
    </row>
    <row r="6"/>
    <row r="7">
      <c r="B7" t="inlineStr">
        <is>
          <t>Cash</t>
        </is>
      </c>
      <c r="C7" s="51">
        <f>125.358+37.1</f>
        <v>162.458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1915.5063961199999</v>
      </c>
    </row>
    <row r="10"/>
    <row r="11">
      <c r="B11" s="14" t="inlineStr">
        <is>
          <t>NPV / Share</t>
        </is>
      </c>
      <c r="C11" s="11">
        <f>NPV!B28</f>
        <v>20.363223827287637</v>
      </c>
    </row>
    <row r="12">
      <c r="B12" s="14" t="inlineStr">
        <is>
          <t>Upside</t>
        </is>
      </c>
      <c r="C12" s="15">
        <f>IFERROR(C11/C3-1,"")</f>
        <v>-0.49819556857349334</v>
      </c>
    </row>
    <row r="13">
      <c r="B13" s="14" t="inlineStr">
        <is>
          <t>Cash / Share</t>
        </is>
      </c>
      <c r="C13" s="11">
        <f>IFERROR((C7-C8)/C4,"")</f>
        <v>3.172597977284731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0.182</v>
      </c>
      <c r="C2" s="52" t="n">
        <v>0.089</v>
      </c>
      <c r="D2" s="52" t="n">
        <v>0.018</v>
      </c>
      <c r="E2" s="52" t="n">
        <v>0.021</v>
      </c>
      <c r="F2" s="52" t="n">
        <v>0.019</v>
      </c>
      <c r="G2" s="52" t="n">
        <v>28.796</v>
      </c>
      <c r="H2" s="52" t="n">
        <v>51.168</v>
      </c>
      <c r="I2" s="52" t="n">
        <v>54.383</v>
      </c>
      <c r="J2" s="52" t="n">
        <v>63.924</v>
      </c>
      <c r="K2" s="52" t="n">
        <v>90.857</v>
      </c>
      <c r="L2" s="52" t="n">
        <v>117.85</v>
      </c>
      <c r="M2" s="52" t="n">
        <v>124.179</v>
      </c>
      <c r="N2" s="52" t="n">
        <v>156.184</v>
      </c>
      <c r="O2" s="52" t="n">
        <v>164.365</v>
      </c>
      <c r="P2" s="52" t="n">
        <v>197.516</v>
      </c>
      <c r="Q2" s="52" t="n">
        <v>237.224</v>
      </c>
      <c r="R2" s="52" t="n">
        <v>276.259</v>
      </c>
      <c r="S2" s="52">
        <f>R2*(1+NPV!C5)</f>
        <v>331.78705900000006</v>
      </c>
      <c r="T2" s="52">
        <f>S2*(1+NPV!D5)</f>
        <v>391.9879775941112</v>
      </c>
      <c r="U2" s="52">
        <f>T2*(1+NPV!E5)</f>
        <v>455.4464757446246</v>
      </c>
      <c r="V2" s="52">
        <f>U2*(1+NPV!F5)</f>
        <v>520.2716907922762</v>
      </c>
      <c r="W2" s="52">
        <f>V2*(1+NPV!G5)</f>
        <v>584.1494928284391</v>
      </c>
      <c r="X2" s="52">
        <f>W2*(1+NPV!H5)</f>
        <v>644.4467015881745</v>
      </c>
      <c r="Y2" s="52">
        <f>X2*(1+NPV!I5)</f>
        <v>698.3654089543852</v>
      </c>
      <c r="Z2" s="52">
        <f>Y2*(1+NPV!J5)</f>
        <v>743.1383912840163</v>
      </c>
      <c r="AA2" s="52">
        <f>Z2*(1+NPV!K5)</f>
        <v>776.2493351623374</v>
      </c>
      <c r="AB2" s="52">
        <f>AA2*(1+NPV!L5)</f>
        <v>795.6555685413957</v>
      </c>
    </row>
    <row r="3" customFormat="1" s="1">
      <c r="A3" s="5" t="inlineStr">
        <is>
          <t>Cost of Sales</t>
        </is>
      </c>
      <c r="B3" s="52" t="n">
        <v>0.112</v>
      </c>
      <c r="C3" s="52" t="n">
        <v>0.034</v>
      </c>
      <c r="D3" s="52" t="n">
        <v>0.004</v>
      </c>
      <c r="E3" s="52" t="n">
        <v>0.006</v>
      </c>
      <c r="F3" s="52" t="n">
        <v>0.004</v>
      </c>
      <c r="G3" s="52" t="n">
        <v>17.293</v>
      </c>
      <c r="H3" s="52" t="n">
        <v>26.47</v>
      </c>
      <c r="I3" s="52" t="n">
        <v>28.307</v>
      </c>
      <c r="J3" s="52" t="n">
        <v>30.354</v>
      </c>
      <c r="K3" s="52" t="n">
        <v>32.16</v>
      </c>
      <c r="L3" s="52" t="n">
        <v>37.571</v>
      </c>
      <c r="M3" s="52" t="n">
        <v>39.951</v>
      </c>
      <c r="N3" s="52" t="n">
        <v>50.159</v>
      </c>
      <c r="O3" s="52" t="n">
        <v>54.577</v>
      </c>
      <c r="P3" s="52" t="n">
        <v>61.94</v>
      </c>
      <c r="Q3" s="52" t="n">
        <v>65.117</v>
      </c>
      <c r="R3" s="52" t="n">
        <v>70.66</v>
      </c>
      <c r="S3" s="52">
        <f>S2*(1-Assumptions!$B$19)</f>
        <v>84.87112969220003</v>
      </c>
      <c r="T3" s="52">
        <f>T2*(1-Assumptions!$B$19)</f>
        <v>100.27052466857366</v>
      </c>
      <c r="U3" s="52">
        <f>U2*(1-Assumptions!$B$19)</f>
        <v>116.50320849547498</v>
      </c>
      <c r="V3" s="52">
        <f>V2*(1-Assumptions!$B$19)</f>
        <v>133.08549850466426</v>
      </c>
      <c r="W3" s="52">
        <f>W2*(1-Assumptions!$B$19)</f>
        <v>149.42544026551474</v>
      </c>
      <c r="X3" s="52">
        <f>X2*(1-Assumptions!$B$19)</f>
        <v>164.84946626625506</v>
      </c>
      <c r="Y3" s="52">
        <f>Y2*(1-Assumptions!$B$19)</f>
        <v>178.64187161053175</v>
      </c>
      <c r="Z3" s="52">
        <f>Z2*(1-Assumptions!$B$19)</f>
        <v>190.09480049045138</v>
      </c>
      <c r="AA3" s="52">
        <f>AA2*(1-Assumptions!$B$19)</f>
        <v>198.56457993452594</v>
      </c>
      <c r="AB3" s="52">
        <f>AB2*(1-Assumptions!$B$19)</f>
        <v>203.52869443288904</v>
      </c>
    </row>
    <row r="4" customFormat="1" s="1">
      <c r="A4" s="5" t="inlineStr">
        <is>
          <t>Gross Margin</t>
        </is>
      </c>
      <c r="B4" s="52">
        <f>B2-B3</f>
        <v>0.06999999999999999</v>
      </c>
      <c r="C4" s="52">
        <f>C2-C3</f>
        <v>0.05499999999999999</v>
      </c>
      <c r="D4" s="52">
        <f>D2-D3</f>
        <v>0.013999999999999999</v>
      </c>
      <c r="E4" s="52">
        <f>E2-E3</f>
        <v>0.015000000000000001</v>
      </c>
      <c r="F4" s="52">
        <f>F2-F3</f>
        <v>0.015</v>
      </c>
      <c r="G4" s="52">
        <f>G2-G3</f>
        <v>11.503</v>
      </c>
      <c r="H4" s="52">
        <f>H2-H3</f>
        <v>24.698</v>
      </c>
      <c r="I4" s="52">
        <f>I2-I3</f>
        <v>26.076000000000004</v>
      </c>
      <c r="J4" s="52">
        <f>J2-J3</f>
        <v>33.57</v>
      </c>
      <c r="K4" s="52">
        <f>K2-K3</f>
        <v>58.697</v>
      </c>
      <c r="L4" s="52">
        <f>L2-L3</f>
        <v>80.279</v>
      </c>
      <c r="M4" s="52">
        <f>M2-M3</f>
        <v>84.22800000000001</v>
      </c>
      <c r="N4" s="52">
        <f>N2-N3</f>
        <v>106.025</v>
      </c>
      <c r="O4" s="52">
        <f>O2-O3</f>
        <v>109.78800000000001</v>
      </c>
      <c r="P4" s="52">
        <f>P2-P3</f>
        <v>135.576</v>
      </c>
      <c r="Q4" s="52">
        <f>Q2-Q3</f>
        <v>172.10699999999997</v>
      </c>
      <c r="R4" s="52">
        <f>R2-R3</f>
        <v>205.59900000000002</v>
      </c>
      <c r="S4" s="52">
        <f>S2-S3</f>
        <v>246.9159293078</v>
      </c>
      <c r="T4" s="52">
        <f>T2-T3</f>
        <v>291.71745292553754</v>
      </c>
      <c r="U4" s="52">
        <f>U2-U3</f>
        <v>338.9432672491496</v>
      </c>
      <c r="V4" s="52">
        <f>V2-V3</f>
        <v>387.18619228761196</v>
      </c>
      <c r="W4" s="52">
        <f>W2-W3</f>
        <v>434.7240525629243</v>
      </c>
      <c r="X4" s="52">
        <f>X2-X3</f>
        <v>479.59723532191947</v>
      </c>
      <c r="Y4" s="52">
        <f>Y2-Y3</f>
        <v>519.7235373438534</v>
      </c>
      <c r="Z4" s="52">
        <f>Z2-Z3</f>
        <v>553.0435907935649</v>
      </c>
      <c r="AA4" s="52">
        <f>AA2-AA3</f>
        <v>577.6847552278115</v>
      </c>
      <c r="AB4" s="52">
        <f>AB2-AB3</f>
        <v>592.1268741085066</v>
      </c>
    </row>
    <row r="5">
      <c r="A5" s="2" t="inlineStr">
        <is>
          <t>Research &amp; Dev.</t>
        </is>
      </c>
      <c r="B5" s="52" t="n">
        <v>11.289</v>
      </c>
      <c r="C5" s="52" t="n">
        <v>12.658</v>
      </c>
      <c r="D5" s="52" t="n">
        <v>21.33</v>
      </c>
      <c r="E5" s="52" t="n">
        <v>26.025</v>
      </c>
      <c r="F5" s="52" t="n">
        <v>15.104</v>
      </c>
      <c r="G5" s="52" t="n">
        <v>21.263</v>
      </c>
      <c r="H5" s="52" t="n">
        <v>18.89</v>
      </c>
      <c r="I5" s="52" t="n">
        <v>15.295</v>
      </c>
      <c r="J5" s="52" t="n">
        <v>12.944</v>
      </c>
      <c r="K5" s="52" t="n">
        <v>13.599</v>
      </c>
      <c r="L5" s="52" t="n">
        <v>30.391</v>
      </c>
      <c r="M5" s="52" t="n">
        <v>13.02</v>
      </c>
      <c r="N5" s="52" t="n">
        <v>16.287</v>
      </c>
      <c r="O5" s="52" t="n">
        <v>19.943</v>
      </c>
      <c r="P5" s="52" t="n">
        <v>21.042</v>
      </c>
      <c r="Q5" s="52" t="n">
        <v>24.797</v>
      </c>
      <c r="R5" s="52" t="n">
        <v>27.563</v>
      </c>
      <c r="S5" s="52">
        <f>S7*Assumptions!$B$20</f>
        <v>31.530090841470194</v>
      </c>
      <c r="T5" s="52">
        <f>T7*Assumptions!$B$20</f>
        <v>36.47064767271117</v>
      </c>
      <c r="U5" s="52">
        <f>U7*Assumptions!$B$20</f>
        <v>41.46809874464169</v>
      </c>
      <c r="V5" s="52">
        <f>V7*Assumptions!$B$20</f>
        <v>46.33459036083939</v>
      </c>
      <c r="W5" s="52">
        <f>W7*Assumptions!$B$20</f>
        <v>50.86047393655715</v>
      </c>
      <c r="X5" s="52">
        <f>X7*Assumptions!$B$20</f>
        <v>54.827385808072606</v>
      </c>
      <c r="Y5" s="52">
        <f>Y7*Assumptions!$B$20</f>
        <v>58.0242452034752</v>
      </c>
      <c r="Z5" s="52">
        <f>Z7*Assumptions!$B$20</f>
        <v>60.264740958722086</v>
      </c>
      <c r="AA5" s="52">
        <f>AA7*Assumptions!$B$20</f>
        <v>61.404446814914905</v>
      </c>
      <c r="AB5" s="52">
        <f>AB7*Assumptions!$B$20</f>
        <v>61.35549924871223</v>
      </c>
    </row>
    <row r="6">
      <c r="A6" s="18" t="inlineStr">
        <is>
          <t>SG&amp;A &amp; Other</t>
        </is>
      </c>
      <c r="B6" s="52" t="n">
        <v>4.95</v>
      </c>
      <c r="C6" s="52" t="n">
        <v>5.201</v>
      </c>
      <c r="D6" s="52" t="n">
        <v>7.724</v>
      </c>
      <c r="E6" s="52" t="n">
        <v>7.75</v>
      </c>
      <c r="F6" s="52" t="n">
        <v>5.875</v>
      </c>
      <c r="G6" s="52" t="n">
        <v>13.774</v>
      </c>
      <c r="H6" s="52" t="n">
        <v>22.479</v>
      </c>
      <c r="I6" s="52" t="n">
        <v>30.026</v>
      </c>
      <c r="J6" s="52" t="n">
        <v>35.61</v>
      </c>
      <c r="K6" s="52" t="n">
        <v>49.007</v>
      </c>
      <c r="L6" s="52" t="n">
        <v>61.139</v>
      </c>
      <c r="M6" s="52" t="n">
        <v>68.836</v>
      </c>
      <c r="N6" s="52" t="n">
        <v>97.592</v>
      </c>
      <c r="O6" s="52" t="n">
        <v>106.903</v>
      </c>
      <c r="P6" s="52" t="n">
        <v>120.998</v>
      </c>
      <c r="Q6" s="52" t="n">
        <v>142.791</v>
      </c>
      <c r="R6" s="52" t="n">
        <v>166.992</v>
      </c>
      <c r="S6" s="52">
        <f>S7-S5</f>
        <v>190.98290027687983</v>
      </c>
      <c r="T6" s="52">
        <f>T7-T5</f>
        <v>220.9086584155822</v>
      </c>
      <c r="U6" s="52">
        <f>U7-U5</f>
        <v>251.17903424506682</v>
      </c>
      <c r="V6" s="52">
        <f>V7-V5</f>
        <v>280.6561673021062</v>
      </c>
      <c r="W6" s="52">
        <f>W7-W5</f>
        <v>308.07018193187724</v>
      </c>
      <c r="X6" s="52">
        <f>X7-X5</f>
        <v>332.09841382546733</v>
      </c>
      <c r="Y6" s="52">
        <f>Y7-Y5</f>
        <v>351.46231233692856</v>
      </c>
      <c r="Z6" s="52">
        <f>Z7-Z5</f>
        <v>365.03336037312044</v>
      </c>
      <c r="AA6" s="52">
        <f>AA7-AA5</f>
        <v>371.93674453945994</v>
      </c>
      <c r="AB6" s="52">
        <f>AB7-AB5</f>
        <v>371.64026115151523</v>
      </c>
    </row>
    <row r="7">
      <c r="A7" s="2" t="inlineStr">
        <is>
          <t>Operating Expense</t>
        </is>
      </c>
      <c r="B7" s="52">
        <f>SUM(B5:B6)</f>
        <v>16.239</v>
      </c>
      <c r="C7" s="52">
        <f>SUM(C5:C6)</f>
        <v>17.858999999999998</v>
      </c>
      <c r="D7" s="52">
        <f>SUM(D5:D6)</f>
        <v>29.054</v>
      </c>
      <c r="E7" s="52">
        <f>SUM(E5:E6)</f>
        <v>33.775</v>
      </c>
      <c r="F7" s="52">
        <f>SUM(F5:F6)</f>
        <v>20.979</v>
      </c>
      <c r="G7" s="52">
        <f>SUM(G5:G6)</f>
        <v>35.037</v>
      </c>
      <c r="H7" s="52">
        <f>SUM(H5:H6)</f>
        <v>41.369</v>
      </c>
      <c r="I7" s="52">
        <f>SUM(I5:I6)</f>
        <v>45.321</v>
      </c>
      <c r="J7" s="52">
        <f>SUM(J5:J6)</f>
        <v>48.554</v>
      </c>
      <c r="K7" s="52">
        <f>SUM(K5:K6)</f>
        <v>62.605999999999995</v>
      </c>
      <c r="L7" s="52">
        <f>SUM(L5:L6)</f>
        <v>91.53</v>
      </c>
      <c r="M7" s="52">
        <f>SUM(M5:M6)</f>
        <v>81.856</v>
      </c>
      <c r="N7" s="52">
        <f>SUM(N5:N6)</f>
        <v>113.87899999999999</v>
      </c>
      <c r="O7" s="52">
        <f>SUM(O5:O6)</f>
        <v>126.846</v>
      </c>
      <c r="P7" s="52">
        <f>SUM(P5:P6)</f>
        <v>142.04000000000002</v>
      </c>
      <c r="Q7" s="52">
        <f>SUM(Q5:Q6)</f>
        <v>167.588</v>
      </c>
      <c r="R7" s="52">
        <f>SUM(R5:R6)</f>
        <v>194.55499999999998</v>
      </c>
      <c r="S7" s="52">
        <f>S4-S2*NPV!C6</f>
        <v>222.51299111835002</v>
      </c>
      <c r="T7" s="52">
        <f>T4-T2*NPV!D6</f>
        <v>257.3793060882934</v>
      </c>
      <c r="U7" s="52">
        <f>U4-U2*NPV!E6</f>
        <v>292.6471329897085</v>
      </c>
      <c r="V7" s="52">
        <f>V4-V2*NPV!F6</f>
        <v>326.9907576629456</v>
      </c>
      <c r="W7" s="52">
        <f>W4-W2*NPV!G6</f>
        <v>358.93065586843437</v>
      </c>
      <c r="X7" s="52">
        <f>X4-X2*NPV!H6</f>
        <v>386.92579963353995</v>
      </c>
      <c r="Y7" s="52">
        <f>Y4-Y2*NPV!I6</f>
        <v>409.48655754040374</v>
      </c>
      <c r="Z7" s="52">
        <f>Z4-Z2*NPV!J6</f>
        <v>425.29810133184253</v>
      </c>
      <c r="AA7" s="52">
        <f>AA4-AA2*NPV!K6</f>
        <v>433.3411913543748</v>
      </c>
      <c r="AB7" s="52">
        <f>AB4-AB2*NPV!L6</f>
        <v>432.9957604002275</v>
      </c>
    </row>
    <row r="8">
      <c r="A8" s="2" t="inlineStr">
        <is>
          <t>Operating Income</t>
        </is>
      </c>
      <c r="B8" s="52">
        <f>B4-B7</f>
        <v>-16.169</v>
      </c>
      <c r="C8" s="52">
        <f>C4-C7</f>
        <v>-17.804</v>
      </c>
      <c r="D8" s="52">
        <f>D4-D7</f>
        <v>-29.04</v>
      </c>
      <c r="E8" s="52">
        <f>E4-E7</f>
        <v>-33.76</v>
      </c>
      <c r="F8" s="52">
        <f>F4-F7</f>
        <v>-20.964</v>
      </c>
      <c r="G8" s="52">
        <f>G4-G7</f>
        <v>-23.534</v>
      </c>
      <c r="H8" s="52">
        <f>H4-H7</f>
        <v>-16.671</v>
      </c>
      <c r="I8" s="52">
        <f>I4-I7</f>
        <v>-19.244999999999994</v>
      </c>
      <c r="J8" s="52">
        <f>J4-J7</f>
        <v>-14.984000000000002</v>
      </c>
      <c r="K8" s="52">
        <f>K4-K7</f>
        <v>-3.908999999999992</v>
      </c>
      <c r="L8" s="52">
        <f>L4-L7</f>
        <v>-11.251000000000005</v>
      </c>
      <c r="M8" s="52">
        <f>M4-M7</f>
        <v>2.372000000000014</v>
      </c>
      <c r="N8" s="52">
        <f>N4-N7</f>
        <v>-7.853999999999985</v>
      </c>
      <c r="O8" s="52">
        <f>O4-O7</f>
        <v>-17.057999999999993</v>
      </c>
      <c r="P8" s="52">
        <f>P4-P7</f>
        <v>-6.464000000000027</v>
      </c>
      <c r="Q8" s="52">
        <f>Q4-Q7</f>
        <v>4.518999999999977</v>
      </c>
      <c r="R8" s="52">
        <f>R4-R7</f>
        <v>11.04400000000004</v>
      </c>
      <c r="S8" s="52">
        <f>S4-S7</f>
        <v>24.402938189449998</v>
      </c>
      <c r="T8" s="52">
        <f>T4-T7</f>
        <v>34.33814683724415</v>
      </c>
      <c r="U8" s="52">
        <f>U4-U7</f>
        <v>46.29613425944109</v>
      </c>
      <c r="V8" s="52">
        <f>V4-V7</f>
        <v>60.19543462466635</v>
      </c>
      <c r="W8" s="52">
        <f>W4-W7</f>
        <v>75.79339669448996</v>
      </c>
      <c r="X8" s="52">
        <f>X4-X7</f>
        <v>92.67143568837952</v>
      </c>
      <c r="Y8" s="52">
        <f>Y4-Y7</f>
        <v>110.23697980344969</v>
      </c>
      <c r="Z8" s="52">
        <f>Z4-Z7</f>
        <v>127.7454894617224</v>
      </c>
      <c r="AA8" s="52">
        <f>AA4-AA7</f>
        <v>144.34356387343666</v>
      </c>
      <c r="AB8" s="52">
        <f>AB4-AB7</f>
        <v>159.13111370827914</v>
      </c>
    </row>
    <row r="9">
      <c r="A9" s="18" t="inlineStr">
        <is>
          <t>Interest &amp; Other</t>
        </is>
      </c>
      <c r="B9" s="52" t="n">
        <v>0.108</v>
      </c>
      <c r="C9" s="52" t="n">
        <v>3.246</v>
      </c>
      <c r="D9" s="52" t="n">
        <v>9.372</v>
      </c>
      <c r="E9" s="52" t="n">
        <v>4.286</v>
      </c>
      <c r="F9" s="52" t="n">
        <v>5.342</v>
      </c>
      <c r="G9" s="52" t="n">
        <v>3.614</v>
      </c>
      <c r="H9" s="52" t="n">
        <v>0.331</v>
      </c>
      <c r="I9" s="52" t="n">
        <v>-0.321</v>
      </c>
      <c r="J9" s="52" t="n">
        <v>-2.302</v>
      </c>
      <c r="K9" s="52" t="n">
        <v>-4.228</v>
      </c>
      <c r="L9" s="52" t="n">
        <v>1.586</v>
      </c>
      <c r="M9" s="52" t="n">
        <v>0.672</v>
      </c>
      <c r="N9" s="52" t="n">
        <v>0.272</v>
      </c>
      <c r="O9" s="52" t="n">
        <v>1.07</v>
      </c>
      <c r="P9" s="52" t="n">
        <v>4.096</v>
      </c>
      <c r="Q9" s="52" t="n">
        <v>5.991</v>
      </c>
      <c r="R9" s="52" t="n">
        <v>6.333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-16.061</v>
      </c>
      <c r="C10" s="52">
        <f>C8+C9</f>
        <v>-14.557999999999998</v>
      </c>
      <c r="D10" s="52">
        <f>D8+D9</f>
        <v>-19.668</v>
      </c>
      <c r="E10" s="52">
        <f>E8+E9</f>
        <v>-29.473999999999997</v>
      </c>
      <c r="F10" s="52">
        <f>F8+F9</f>
        <v>-15.622</v>
      </c>
      <c r="G10" s="52">
        <f>G8+G9</f>
        <v>-19.919999999999998</v>
      </c>
      <c r="H10" s="52">
        <f>H8+H9</f>
        <v>-16.34</v>
      </c>
      <c r="I10" s="52">
        <f>I8+I9</f>
        <v>-19.565999999999995</v>
      </c>
      <c r="J10" s="52">
        <f>J8+J9</f>
        <v>-17.286</v>
      </c>
      <c r="K10" s="52">
        <f>K8+K9</f>
        <v>-8.136999999999992</v>
      </c>
      <c r="L10" s="52">
        <f>L8+L9</f>
        <v>-9.665000000000004</v>
      </c>
      <c r="M10" s="52">
        <f>M8+M9</f>
        <v>3.0440000000000142</v>
      </c>
      <c r="N10" s="52">
        <f>N8+N9</f>
        <v>-7.581999999999985</v>
      </c>
      <c r="O10" s="52">
        <f>O8+O9</f>
        <v>-15.987999999999992</v>
      </c>
      <c r="P10" s="52">
        <f>P8+P9</f>
        <v>-2.368000000000027</v>
      </c>
      <c r="Q10" s="52">
        <f>Q8+Q9</f>
        <v>10.509999999999977</v>
      </c>
      <c r="R10" s="52">
        <f>R8+R9</f>
        <v>17.377000000000038</v>
      </c>
      <c r="S10" s="52">
        <f>S8+S9</f>
        <v>24.402938189449998</v>
      </c>
      <c r="T10" s="52">
        <f>T8+T9</f>
        <v>34.33814683724415</v>
      </c>
      <c r="U10" s="52">
        <f>U8+U9</f>
        <v>46.29613425944109</v>
      </c>
      <c r="V10" s="52">
        <f>V8+V9</f>
        <v>60.19543462466635</v>
      </c>
      <c r="W10" s="52">
        <f>W8+W9</f>
        <v>75.79339669448996</v>
      </c>
      <c r="X10" s="52">
        <f>X8+X9</f>
        <v>92.67143568837952</v>
      </c>
      <c r="Y10" s="52">
        <f>Y8+Y9</f>
        <v>110.23697980344969</v>
      </c>
      <c r="Z10" s="52">
        <f>Z8+Z9</f>
        <v>127.7454894617224</v>
      </c>
      <c r="AA10" s="52">
        <f>AA8+AA9</f>
        <v>144.34356387343666</v>
      </c>
      <c r="AB10" s="52">
        <f>AB8+AB9</f>
        <v>159.13111370827914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0.18</v>
      </c>
      <c r="N11" s="52" t="n">
        <v>-0.111</v>
      </c>
      <c r="O11" s="52" t="n">
        <v>0.721</v>
      </c>
      <c r="P11" s="52" t="n">
        <v>0.8139999999999999</v>
      </c>
      <c r="Q11" s="52" t="n">
        <v>0.148</v>
      </c>
      <c r="R11" s="52" t="n">
        <v>0.859</v>
      </c>
      <c r="S11" s="52">
        <f>MAX(0,S10)*Assumptions!$E$14</f>
        <v>4.1484994922065</v>
      </c>
      <c r="T11" s="52">
        <f>MAX(0,T10)*Assumptions!$E$14</f>
        <v>5.837484962331507</v>
      </c>
      <c r="U11" s="52">
        <f>MAX(0,U10)*Assumptions!$E$14</f>
        <v>7.870342824104986</v>
      </c>
      <c r="V11" s="52">
        <f>MAX(0,V10)*Assumptions!$E$14</f>
        <v>10.23322388619328</v>
      </c>
      <c r="W11" s="52">
        <f>MAX(0,W10)*Assumptions!$E$14</f>
        <v>12.884877438063294</v>
      </c>
      <c r="X11" s="52">
        <f>MAX(0,X10)*Assumptions!$E$14</f>
        <v>15.75414406702452</v>
      </c>
      <c r="Y11" s="52">
        <f>MAX(0,Y10)*Assumptions!$E$14</f>
        <v>18.740286566586448</v>
      </c>
      <c r="Z11" s="52">
        <f>MAX(0,Z10)*Assumptions!$E$14</f>
        <v>21.71673320849281</v>
      </c>
      <c r="AA11" s="52">
        <f>MAX(0,AA10)*Assumptions!$E$14</f>
        <v>24.538405858484236</v>
      </c>
      <c r="AB11" s="52">
        <f>MAX(0,AB10)*Assumptions!$E$14</f>
        <v>27.052289330407458</v>
      </c>
    </row>
    <row r="12">
      <c r="A12" s="2" t="inlineStr">
        <is>
          <t>Net Income</t>
        </is>
      </c>
      <c r="B12" s="52" t="n">
        <v>-16.061</v>
      </c>
      <c r="C12" s="52" t="n">
        <v>-14.558</v>
      </c>
      <c r="D12" s="52" t="n">
        <v>-19.668</v>
      </c>
      <c r="E12" s="52" t="n">
        <v>-29.474</v>
      </c>
      <c r="F12" s="52" t="n">
        <v>-15.622</v>
      </c>
      <c r="G12" s="52" t="n">
        <v>-19.92</v>
      </c>
      <c r="H12" s="52" t="n">
        <v>-16.34</v>
      </c>
      <c r="I12" s="52" t="n">
        <v>-19.566</v>
      </c>
      <c r="J12" s="52" t="n">
        <v>-17.286</v>
      </c>
      <c r="K12" s="52" t="n">
        <v>-8.137</v>
      </c>
      <c r="L12" s="52" t="n">
        <v>-9.664999999999999</v>
      </c>
      <c r="M12" s="52" t="n">
        <v>2.864</v>
      </c>
      <c r="N12" s="52" t="n">
        <v>-7.471</v>
      </c>
      <c r="O12" s="52" t="n">
        <v>-16.709</v>
      </c>
      <c r="P12" s="52" t="n">
        <v>-3.182</v>
      </c>
      <c r="Q12" s="52" t="n">
        <v>10.362</v>
      </c>
      <c r="R12" s="52" t="n">
        <v>16.518</v>
      </c>
      <c r="S12" s="52">
        <f>S10-S11</f>
        <v>20.254438697243497</v>
      </c>
      <c r="T12" s="52">
        <f>T10-T11</f>
        <v>28.500661874912645</v>
      </c>
      <c r="U12" s="52">
        <f>U10-U11</f>
        <v>38.4257914353361</v>
      </c>
      <c r="V12" s="52">
        <f>V10-V11</f>
        <v>49.96221073847307</v>
      </c>
      <c r="W12" s="52">
        <f>W10-W11</f>
        <v>62.908519256426665</v>
      </c>
      <c r="X12" s="52">
        <f>X10-X11</f>
        <v>76.91729162135499</v>
      </c>
      <c r="Y12" s="52">
        <f>Y10-Y11</f>
        <v>91.49669323686324</v>
      </c>
      <c r="Z12" s="52">
        <f>Z10-Z11</f>
        <v>106.02875625322959</v>
      </c>
      <c r="AA12" s="52">
        <f>AA10-AA11</f>
        <v>119.80515801495243</v>
      </c>
      <c r="AB12" s="52">
        <f>AB10-AB11</f>
        <v>132.07882437787168</v>
      </c>
    </row>
    <row r="13">
      <c r="A13" s="2" t="inlineStr">
        <is>
          <t>Earnings per Share</t>
        </is>
      </c>
      <c r="B13" s="11">
        <f>IFERROR(B12/B14,0)</f>
        <v>-17.068012752391073</v>
      </c>
      <c r="C13" s="11">
        <f>IFERROR(C12/C14,0)</f>
        <v>-11.181259600614439</v>
      </c>
      <c r="D13" s="11">
        <f>IFERROR(D12/D14,0)</f>
        <v>-9.67437284800787</v>
      </c>
      <c r="E13" s="11">
        <f>IFERROR(E12/E14,0)</f>
        <v>-14.307766990291261</v>
      </c>
      <c r="F13" s="11">
        <f>IFERROR(F12/F14,0)</f>
        <v>-5.179708222811671</v>
      </c>
      <c r="G13" s="11">
        <f>IFERROR(G12/G14,0)</f>
        <v>-1.711046211991067</v>
      </c>
      <c r="H13" s="11">
        <f>IFERROR(H12/H14,0)</f>
        <v>-0.6877104377104376</v>
      </c>
      <c r="I13" s="11">
        <f>IFERROR(I12/I14,0)</f>
        <v>-0.8472697354176589</v>
      </c>
      <c r="J13" s="11">
        <f>IFERROR(J12/J14,0)</f>
        <v>-0.5182431419577276</v>
      </c>
      <c r="K13" s="11">
        <f>IFERROR(K12/K14,0)</f>
        <v>-0.20220167983698625</v>
      </c>
      <c r="L13" s="11">
        <f>IFERROR(L12/L14,0)</f>
        <v>-0.21876414667270255</v>
      </c>
      <c r="M13" s="11">
        <f>IFERROR(M12/M14,0)</f>
        <v>0.06057273380990652</v>
      </c>
      <c r="N13" s="11">
        <f>IFERROR(N12/N14,0)</f>
        <v>-0.16076347047684628</v>
      </c>
      <c r="O13" s="11">
        <f>IFERROR(O12/O14,0)</f>
        <v>-0.3545300233396987</v>
      </c>
      <c r="P13" s="11">
        <f>IFERROR(P12/P14,0)</f>
        <v>-0.06686278629964278</v>
      </c>
      <c r="Q13" s="11">
        <f>IFERROR(Q12/Q14,0)</f>
        <v>0.2005069757541748</v>
      </c>
      <c r="R13" s="11">
        <f>IFERROR(R12/R14,0)</f>
        <v>0.3167340990585032</v>
      </c>
      <c r="S13" s="11">
        <f>IFERROR(S12/S14,0)</f>
        <v>0.39554340963148815</v>
      </c>
      <c r="T13" s="11">
        <f>IFERROR(T12/T14,0)</f>
        <v>0.5565816532003589</v>
      </c>
      <c r="U13" s="11">
        <f>IFERROR(U12/U14,0)</f>
        <v>0.7504068016552725</v>
      </c>
      <c r="V13" s="11">
        <f>IFERROR(V12/V14,0)</f>
        <v>0.9756983880729365</v>
      </c>
      <c r="W13" s="11">
        <f>IFERROR(W12/W14,0)</f>
        <v>1.2285233164689753</v>
      </c>
      <c r="X13" s="11">
        <f>IFERROR(X12/X14,0)</f>
        <v>1.5020968115828746</v>
      </c>
      <c r="Y13" s="11">
        <f>IFERROR(Y12/Y14,0)</f>
        <v>1.786813969712257</v>
      </c>
      <c r="Z13" s="11">
        <f>IFERROR(Z12/Z14,0)</f>
        <v>2.070606665248938</v>
      </c>
      <c r="AA13" s="11">
        <f>IFERROR(AA12/AA14,0)</f>
        <v>2.33964225822376</v>
      </c>
      <c r="AB13" s="11">
        <f>IFERROR(AB12/AB14,0)</f>
        <v>2.5793313414136634</v>
      </c>
    </row>
    <row r="14">
      <c r="A14" s="2" t="inlineStr">
        <is>
          <t>Shares</t>
        </is>
      </c>
      <c r="B14" s="52" t="n">
        <v>0.9409999999999999</v>
      </c>
      <c r="C14" s="52" t="n">
        <v>1.302</v>
      </c>
      <c r="D14" s="52" t="n">
        <v>2.033</v>
      </c>
      <c r="E14" s="52" t="n">
        <v>2.06</v>
      </c>
      <c r="F14" s="52" t="n">
        <v>3.016</v>
      </c>
      <c r="G14" s="52" t="n">
        <v>11.642</v>
      </c>
      <c r="H14" s="52" t="n">
        <v>23.76</v>
      </c>
      <c r="I14" s="52" t="n">
        <v>23.093</v>
      </c>
      <c r="J14" s="52" t="n">
        <v>33.355</v>
      </c>
      <c r="K14" s="52" t="n">
        <v>40.242</v>
      </c>
      <c r="L14" s="52" t="n">
        <v>44.18</v>
      </c>
      <c r="M14" s="52" t="n">
        <v>47.282</v>
      </c>
      <c r="N14" s="52" t="n">
        <v>46.472</v>
      </c>
      <c r="O14" s="52" t="n">
        <v>47.13</v>
      </c>
      <c r="P14" s="52" t="n">
        <v>47.59</v>
      </c>
      <c r="Q14" s="52" t="n">
        <v>51.679</v>
      </c>
      <c r="R14" s="52" t="n">
        <v>52.151</v>
      </c>
      <c r="S14" s="52">
        <f>Main!$C$4</f>
        <v>51.206614</v>
      </c>
      <c r="T14" s="52">
        <f>Main!$C$4</f>
        <v>51.206614</v>
      </c>
      <c r="U14" s="52">
        <f>Main!$C$4</f>
        <v>51.206614</v>
      </c>
      <c r="V14" s="52">
        <f>Main!$C$4</f>
        <v>51.206614</v>
      </c>
      <c r="W14" s="52">
        <f>Main!$C$4</f>
        <v>51.206614</v>
      </c>
      <c r="X14" s="52">
        <f>Main!$C$4</f>
        <v>51.206614</v>
      </c>
      <c r="Y14" s="52">
        <f>Main!$C$4</f>
        <v>51.206614</v>
      </c>
      <c r="Z14" s="52">
        <f>Main!$C$4</f>
        <v>51.206614</v>
      </c>
      <c r="AA14" s="52">
        <f>Main!$C$4</f>
        <v>51.206614</v>
      </c>
      <c r="AB14" s="52">
        <f>Main!$C$4</f>
        <v>51.206614</v>
      </c>
    </row>
    <row r="15"/>
    <row r="16" customFormat="1" s="4">
      <c r="A16" s="3" t="inlineStr">
        <is>
          <t>Revenue Change</t>
        </is>
      </c>
      <c r="C16" s="15">
        <f>IFERROR(C2/B2-1,"")</f>
        <v>-0.510989010989011</v>
      </c>
      <c r="D16" s="15">
        <f>IFERROR(D2/C2-1,"")</f>
        <v>-0.797752808988764</v>
      </c>
      <c r="E16" s="15">
        <f>IFERROR(E2/D2-1,"")</f>
        <v>0.16666666666666674</v>
      </c>
      <c r="F16" s="15">
        <f>IFERROR(F2/E2-1,"")</f>
        <v>-0.09523809523809534</v>
      </c>
      <c r="G16" s="15">
        <f>IFERROR(G2/F2-1,"")</f>
        <v>1514.578947368421</v>
      </c>
      <c r="H16" s="15">
        <f>IFERROR(H2/G2-1,"")</f>
        <v>0.776913460202806</v>
      </c>
      <c r="I16" s="15">
        <f>IFERROR(I2/H2-1,"")</f>
        <v>0.06283223889931211</v>
      </c>
      <c r="J16" s="15">
        <f>IFERROR(J2/I2-1,"")</f>
        <v>0.17544085467885173</v>
      </c>
      <c r="K16" s="15">
        <f>IFERROR(K2/J2-1,"")</f>
        <v>0.42132845253738815</v>
      </c>
      <c r="L16" s="15">
        <f>IFERROR(L2/K2-1,"")</f>
        <v>0.2970932344233246</v>
      </c>
      <c r="M16" s="15">
        <f>IFERROR(M2/L2-1,"")</f>
        <v>0.053703860840051076</v>
      </c>
      <c r="N16" s="15">
        <f>IFERROR(N2/M2-1,"")</f>
        <v>0.2577327889578753</v>
      </c>
      <c r="O16" s="15">
        <f>IFERROR(O2/N2-1,"")</f>
        <v>0.052380525533985534</v>
      </c>
      <c r="P16" s="15">
        <f>IFERROR(P2/O2-1,"")</f>
        <v>0.20169135764913437</v>
      </c>
      <c r="Q16" s="15">
        <f>IFERROR(Q2/P2-1,"")</f>
        <v>0.2010368780250713</v>
      </c>
      <c r="R16" s="15">
        <f>IFERROR(R2/Q2-1,"")</f>
        <v>0.1645491181330727</v>
      </c>
      <c r="S16" s="15">
        <f>IFERROR(S2/R2-1,"")</f>
        <v>0.20100000000000007</v>
      </c>
      <c r="T16" s="15">
        <f>IFERROR(T2/S2-1,"")</f>
        <v>0.18144444444444452</v>
      </c>
      <c r="U16" s="15">
        <f>IFERROR(U2/T2-1,"")</f>
        <v>0.16188888888888897</v>
      </c>
      <c r="V16" s="15">
        <f>IFERROR(V2/U2-1,"")</f>
        <v>0.14233333333333342</v>
      </c>
      <c r="W16" s="15">
        <f>IFERROR(W2/V2-1,"")</f>
        <v>0.12277777777777787</v>
      </c>
      <c r="X16" s="15">
        <f>IFERROR(X2/W2-1,"")</f>
        <v>0.1032222222222221</v>
      </c>
      <c r="Y16" s="15">
        <f>IFERROR(Y2/X2-1,"")</f>
        <v>0.08366666666666678</v>
      </c>
      <c r="Z16" s="15">
        <f>IFERROR(Z2/Y2-1,"")</f>
        <v>0.06411111111111101</v>
      </c>
      <c r="AA16" s="15">
        <f>IFERROR(AA2/Z2-1,"")</f>
        <v>0.04455555555555546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0.3846153846153846</v>
      </c>
      <c r="C17" s="15">
        <f>IFERROR(C4/C2,"")</f>
        <v>0.6179775280898876</v>
      </c>
      <c r="D17" s="15">
        <f>IFERROR(D4/D2,"")</f>
        <v>0.7777777777777778</v>
      </c>
      <c r="E17" s="15">
        <f>IFERROR(E4/E2,"")</f>
        <v>0.7142857142857143</v>
      </c>
      <c r="F17" s="15">
        <f>IFERROR(F4/F2,"")</f>
        <v>0.7894736842105263</v>
      </c>
      <c r="G17" s="15">
        <f>IFERROR(G4/G2,"")</f>
        <v>0.3994652035004862</v>
      </c>
      <c r="H17" s="15">
        <f>IFERROR(H4/H2,"")</f>
        <v>0.48268449030644156</v>
      </c>
      <c r="I17" s="15">
        <f>IFERROR(I4/I2,"")</f>
        <v>0.47948807531765447</v>
      </c>
      <c r="J17" s="15">
        <f>IFERROR(J4/J2,"")</f>
        <v>0.5251548714097991</v>
      </c>
      <c r="K17" s="15">
        <f>IFERROR(K4/K2,"")</f>
        <v>0.646037179303741</v>
      </c>
      <c r="L17" s="15">
        <f>IFERROR(L4/L2,"")</f>
        <v>0.6811964361476454</v>
      </c>
      <c r="M17" s="15">
        <f>IFERROR(M4/M2,"")</f>
        <v>0.6782789360519895</v>
      </c>
      <c r="N17" s="15">
        <f>IFERROR(N4/N2,"")</f>
        <v>0.678846744865031</v>
      </c>
      <c r="O17" s="15">
        <f>IFERROR(O4/O2,"")</f>
        <v>0.6679524229610927</v>
      </c>
      <c r="P17" s="15">
        <f>IFERROR(P4/P2,"")</f>
        <v>0.686405151987687</v>
      </c>
      <c r="Q17" s="15">
        <f>IFERROR(Q4/Q2,"")</f>
        <v>0.7255041648399824</v>
      </c>
      <c r="R17" s="15">
        <f>IFERROR(R4/R2,"")</f>
        <v>0.744225527494127</v>
      </c>
      <c r="S17" s="15">
        <f>IFERROR(S4/S2,"")</f>
        <v>0.7441999999999999</v>
      </c>
      <c r="T17" s="15">
        <f>IFERROR(T4/T2,"")</f>
        <v>0.7442</v>
      </c>
      <c r="U17" s="15">
        <f>IFERROR(U4/U2,"")</f>
        <v>0.7442</v>
      </c>
      <c r="V17" s="15">
        <f>IFERROR(V4/V2,"")</f>
        <v>0.7442</v>
      </c>
      <c r="W17" s="15">
        <f>IFERROR(W4/W2,"")</f>
        <v>0.7442</v>
      </c>
      <c r="X17" s="15">
        <f>IFERROR(X4/X2,"")</f>
        <v>0.7442</v>
      </c>
      <c r="Y17" s="15">
        <f>IFERROR(Y4/Y2,"")</f>
        <v>0.7442</v>
      </c>
      <c r="Z17" s="15">
        <f>IFERROR(Z4/Z2,"")</f>
        <v>0.7442</v>
      </c>
      <c r="AA17" s="15">
        <f>IFERROR(AA4/AA2,"")</f>
        <v>0.7442</v>
      </c>
      <c r="AB17" s="15">
        <f>IFERROR(AB4/AB2,"")</f>
        <v>0.7441999999999999</v>
      </c>
    </row>
    <row r="18">
      <c r="A18" s="14" t="inlineStr">
        <is>
          <t>Operating Margin</t>
        </is>
      </c>
      <c r="B18" s="15">
        <f>IFERROR(B8/B2,"")</f>
        <v>-88.84065934065934</v>
      </c>
      <c r="C18" s="15">
        <f>IFERROR(C8/C2,"")</f>
        <v>-200.04494382022472</v>
      </c>
      <c r="D18" s="15">
        <f>IFERROR(D8/D2,"")</f>
        <v>-1613.3333333333335</v>
      </c>
      <c r="E18" s="15">
        <f>IFERROR(E8/E2,"")</f>
        <v>-1607.6190476190475</v>
      </c>
      <c r="F18" s="15">
        <f>IFERROR(F8/F2,"")</f>
        <v>-1103.3684210526314</v>
      </c>
      <c r="G18" s="15">
        <f>IFERROR(G8/G2,"")</f>
        <v>-0.8172662869843034</v>
      </c>
      <c r="H18" s="15">
        <f>IFERROR(H8/H2,"")</f>
        <v>-0.3258090994371482</v>
      </c>
      <c r="I18" s="15">
        <f>IFERROR(I8/I2,"")</f>
        <v>-0.35387896953091946</v>
      </c>
      <c r="J18" s="15">
        <f>IFERROR(J8/J2,"")</f>
        <v>-0.23440335398285467</v>
      </c>
      <c r="K18" s="15">
        <f>IFERROR(K8/K2,"")</f>
        <v>-0.04302365255291273</v>
      </c>
      <c r="L18" s="15">
        <f>IFERROR(L8/L2,"")</f>
        <v>-0.09546881629189652</v>
      </c>
      <c r="M18" s="15">
        <f>IFERROR(M8/M2,"")</f>
        <v>0.01910145837863096</v>
      </c>
      <c r="N18" s="15">
        <f>IFERROR(N8/N2,"")</f>
        <v>-0.05028684116170661</v>
      </c>
      <c r="O18" s="15">
        <f>IFERROR(O8/O2,"")</f>
        <v>-0.10378121862927017</v>
      </c>
      <c r="P18" s="15">
        <f>IFERROR(P8/P2,"")</f>
        <v>-0.03272646266631578</v>
      </c>
      <c r="Q18" s="15">
        <f>IFERROR(Q8/Q2,"")</f>
        <v>0.01904950595218012</v>
      </c>
      <c r="R18" s="15">
        <f>IFERROR(R8/R2,"")</f>
        <v>0.039976978125599666</v>
      </c>
      <c r="S18" s="15">
        <f>IFERROR(S8/S2,"")</f>
        <v>0.07354999999999998</v>
      </c>
      <c r="T18" s="15">
        <f>IFERROR(T8/T2,"")</f>
        <v>0.08760000000000003</v>
      </c>
      <c r="U18" s="15">
        <f>IFERROR(U8/U2,"")</f>
        <v>0.10165</v>
      </c>
      <c r="V18" s="15">
        <f>IFERROR(V8/V2,"")</f>
        <v>0.11569999999999998</v>
      </c>
      <c r="W18" s="15">
        <f>IFERROR(W8/W2,"")</f>
        <v>0.12974999999999998</v>
      </c>
      <c r="X18" s="15">
        <f>IFERROR(X8/X2,"")</f>
        <v>0.14380000000000004</v>
      </c>
      <c r="Y18" s="15">
        <f>IFERROR(Y8/Y2,"")</f>
        <v>0.15784999999999996</v>
      </c>
      <c r="Z18" s="15">
        <f>IFERROR(Z8/Z2,"")</f>
        <v>0.1719</v>
      </c>
      <c r="AA18" s="15">
        <f>IFERROR(AA8/AA2,"")</f>
        <v>0.18595000000000003</v>
      </c>
      <c r="AB18" s="15">
        <f>IFERROR(AB8/AB2,"")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Vericel Corporation: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0.151</v>
      </c>
      <c r="C12" s="53" t="n">
        <v>0.201</v>
      </c>
      <c r="D12" s="53" t="n">
        <v>0.251</v>
      </c>
      <c r="E12" s="54">
        <f>CHOOSE($B$4,B12,C12,D12)</f>
        <v>0.201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0.0595</v>
      </c>
    </row>
    <row r="19">
      <c r="A19" s="14" t="inlineStr">
        <is>
          <t>Gross margin (forecast)</t>
        </is>
      </c>
      <c r="B19" s="53" t="n">
        <v>0.7442</v>
      </c>
    </row>
    <row r="20">
      <c r="A20" s="14" t="inlineStr">
        <is>
          <t>R&amp;D share of operating expense (forecast)</t>
        </is>
      </c>
      <c r="B20" s="53" t="n">
        <v>0.1417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276.259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880.2737423195206</v>
      </c>
      <c r="C29" s="56">
        <f>NPV!B26</f>
        <v>1042.7317423195207</v>
      </c>
      <c r="D29" s="35">
        <f>NPV!B28</f>
        <v>20.363223827287637</v>
      </c>
      <c r="E29" s="57">
        <f>NPV!B30</f>
        <v>-0.49819556857349334</v>
      </c>
    </row>
    <row r="30">
      <c r="A30" s="58" t="n">
        <v>1</v>
      </c>
      <c r="B30" s="59">
        <f t="dataTable" ref="B30:E32" r1="B4"/>
        <v>453.6049988081576</v>
      </c>
      <c r="C30" s="59">
        <v>616.0629988081575</v>
      </c>
      <c r="D30" s="39">
        <v>12.03092629417281</v>
      </c>
      <c r="E30" s="60">
        <v>-0.7035257197098863</v>
      </c>
    </row>
    <row r="31">
      <c r="A31" s="58" t="n">
        <v>2</v>
      </c>
      <c r="B31" s="59">
        <v>880.2737423195206</v>
      </c>
      <c r="C31" s="59">
        <v>1042.7317423195207</v>
      </c>
      <c r="D31" s="39">
        <v>20.363223827287637</v>
      </c>
      <c r="E31" s="60">
        <v>-0.49819556857349334</v>
      </c>
    </row>
    <row r="32">
      <c r="A32" s="58" t="n">
        <v>3</v>
      </c>
      <c r="B32" s="59">
        <v>1684.3061035433939</v>
      </c>
      <c r="C32" s="59">
        <v>1846.764103543394</v>
      </c>
      <c r="D32" s="39">
        <v>36.064952538033346</v>
      </c>
      <c r="E32" s="60">
        <v>-0.1112628748636435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20.363223827287637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24.2271462950561</v>
      </c>
      <c r="C37" s="39">
        <v>25.61573231433899</v>
      </c>
      <c r="D37" s="39">
        <v>27.218051991610135</v>
      </c>
      <c r="E37" s="39">
        <v>29.08754415756815</v>
      </c>
      <c r="F37" s="39">
        <v>31.297080069644274</v>
      </c>
    </row>
    <row r="38">
      <c r="A38" s="62" t="n">
        <v>0.1</v>
      </c>
      <c r="B38" s="39">
        <v>21.13038359878862</v>
      </c>
      <c r="C38" s="39">
        <v>22.152427877616066</v>
      </c>
      <c r="D38" s="39">
        <v>23.31081738112775</v>
      </c>
      <c r="E38" s="39">
        <v>24.634773109320108</v>
      </c>
      <c r="F38" s="39">
        <v>26.162507236533667</v>
      </c>
    </row>
    <row r="39">
      <c r="A39" s="62" t="n">
        <v>0.11</v>
      </c>
      <c r="B39" s="39">
        <v>18.72136035125585</v>
      </c>
      <c r="C39" s="39">
        <v>19.49666082588106</v>
      </c>
      <c r="D39" s="39">
        <v>20.363223827287637</v>
      </c>
      <c r="E39" s="39">
        <v>21.338164357527898</v>
      </c>
      <c r="F39" s="39">
        <v>22.44316149728817</v>
      </c>
    </row>
    <row r="40">
      <c r="A40" s="62" t="n">
        <v>0.12</v>
      </c>
      <c r="B40" s="39">
        <v>16.800902547761147</v>
      </c>
      <c r="C40" s="39">
        <v>17.403337900861313</v>
      </c>
      <c r="D40" s="39">
        <v>18.069223043210716</v>
      </c>
      <c r="E40" s="39">
        <v>18.809135566138025</v>
      </c>
      <c r="F40" s="39">
        <v>19.636141969797084</v>
      </c>
    </row>
    <row r="41">
      <c r="A41" s="62" t="n">
        <v>0.13</v>
      </c>
      <c r="B41" s="39">
        <v>15.23935377649148</v>
      </c>
      <c r="C41" s="39">
        <v>15.716743907957</v>
      </c>
      <c r="D41" s="39">
        <v>16.239624708021395</v>
      </c>
      <c r="E41" s="39">
        <v>16.814821912540204</v>
      </c>
      <c r="F41" s="39">
        <v>17.45059830733052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Vericel Corporation: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0.201</v>
      </c>
      <c r="D5" s="63">
        <f>Assumptions!$E$12+(Assumptions!$E$11-Assumptions!$E$12)*(D4-1)/(Assumptions!$B$21-1)</f>
        <v>0.18144444444444446</v>
      </c>
      <c r="E5" s="63">
        <f>Assumptions!$E$12+(Assumptions!$E$11-Assumptions!$E$12)*(E4-1)/(Assumptions!$B$21-1)</f>
        <v>0.1618888888888889</v>
      </c>
      <c r="F5" s="63">
        <f>Assumptions!$E$12+(Assumptions!$E$11-Assumptions!$E$12)*(F4-1)/(Assumptions!$B$21-1)</f>
        <v>0.14233333333333334</v>
      </c>
      <c r="G5" s="63">
        <f>Assumptions!$E$12+(Assumptions!$E$11-Assumptions!$E$12)*(G4-1)/(Assumptions!$B$21-1)</f>
        <v>0.12277777777777778</v>
      </c>
      <c r="H5" s="63">
        <f>Assumptions!$E$12+(Assumptions!$E$11-Assumptions!$E$12)*(H4-1)/(Assumptions!$B$21-1)</f>
        <v>0.10322222222222222</v>
      </c>
      <c r="I5" s="63">
        <f>Assumptions!$E$12+(Assumptions!$E$11-Assumptions!$E$12)*(I4-1)/(Assumptions!$B$21-1)</f>
        <v>0.08366666666666667</v>
      </c>
      <c r="J5" s="63">
        <f>Assumptions!$E$12+(Assumptions!$E$11-Assumptions!$E$12)*(J4-1)/(Assumptions!$B$21-1)</f>
        <v>0.06411111111111109</v>
      </c>
      <c r="K5" s="63">
        <f>Assumptions!$E$12+(Assumptions!$E$11-Assumptions!$E$12)*(K4-1)/(Assumptions!$B$21-1)</f>
        <v>0.04455555555555554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0.039976978125599666</v>
      </c>
      <c r="C6" s="63">
        <f>Assumptions!$B$18+(Assumptions!$E$13-Assumptions!$B$18)*C4/Assumptions!$B$21</f>
        <v>0.07355</v>
      </c>
      <c r="D6" s="63">
        <f>Assumptions!$B$18+(Assumptions!$E$13-Assumptions!$B$18)*D4/Assumptions!$B$21</f>
        <v>0.0876</v>
      </c>
      <c r="E6" s="63">
        <f>Assumptions!$B$18+(Assumptions!$E$13-Assumptions!$B$18)*E4/Assumptions!$B$21</f>
        <v>0.10165</v>
      </c>
      <c r="F6" s="63">
        <f>Assumptions!$B$18+(Assumptions!$E$13-Assumptions!$B$18)*F4/Assumptions!$B$21</f>
        <v>0.1157</v>
      </c>
      <c r="G6" s="63">
        <f>Assumptions!$B$18+(Assumptions!$E$13-Assumptions!$B$18)*G4/Assumptions!$B$21</f>
        <v>0.12975</v>
      </c>
      <c r="H6" s="63">
        <f>Assumptions!$B$18+(Assumptions!$E$13-Assumptions!$B$18)*H4/Assumptions!$B$21</f>
        <v>0.1438</v>
      </c>
      <c r="I6" s="63">
        <f>Assumptions!$B$18+(Assumptions!$E$13-Assumptions!$B$18)*I4/Assumptions!$B$21</f>
        <v>0.15785</v>
      </c>
      <c r="J6" s="63">
        <f>Assumptions!$B$18+(Assumptions!$E$13-Assumptions!$B$18)*J4/Assumptions!$B$21</f>
        <v>0.1719</v>
      </c>
      <c r="K6" s="63">
        <f>Assumptions!$B$18+(Assumptions!$E$13-Assumptions!$B$18)*K4/Assumptions!$B$21</f>
        <v>0.18595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276.259</v>
      </c>
      <c r="C7" s="55">
        <f>'Yearly Model'!S2</f>
        <v>331.78705900000006</v>
      </c>
      <c r="D7" s="55">
        <f>'Yearly Model'!T2</f>
        <v>391.9879775941112</v>
      </c>
      <c r="E7" s="55">
        <f>'Yearly Model'!U2</f>
        <v>455.4464757446246</v>
      </c>
      <c r="F7" s="55">
        <f>'Yearly Model'!V2</f>
        <v>520.2716907922762</v>
      </c>
      <c r="G7" s="55">
        <f>'Yearly Model'!W2</f>
        <v>584.1494928284391</v>
      </c>
      <c r="H7" s="55">
        <f>'Yearly Model'!X2</f>
        <v>644.4467015881745</v>
      </c>
      <c r="I7" s="55">
        <f>'Yearly Model'!Y2</f>
        <v>698.3654089543852</v>
      </c>
      <c r="J7" s="55">
        <f>'Yearly Model'!Z2</f>
        <v>743.1383912840163</v>
      </c>
      <c r="K7" s="55">
        <f>'Yearly Model'!AA2</f>
        <v>776.2493351623374</v>
      </c>
      <c r="L7" s="55">
        <f>'Yearly Model'!AB2</f>
        <v>795.6555685413957</v>
      </c>
    </row>
    <row r="8">
      <c r="A8" s="14" t="inlineStr">
        <is>
          <t>Operating income</t>
        </is>
      </c>
      <c r="B8" s="55">
        <f>'Yearly Model'!R8</f>
        <v>11.04400000000004</v>
      </c>
      <c r="C8" s="55">
        <f>'Yearly Model'!S8</f>
        <v>24.402938189449998</v>
      </c>
      <c r="D8" s="55">
        <f>'Yearly Model'!T8</f>
        <v>34.33814683724415</v>
      </c>
      <c r="E8" s="55">
        <f>'Yearly Model'!U8</f>
        <v>46.29613425944109</v>
      </c>
      <c r="F8" s="55">
        <f>'Yearly Model'!V8</f>
        <v>60.19543462466635</v>
      </c>
      <c r="G8" s="55">
        <f>'Yearly Model'!W8</f>
        <v>75.79339669448996</v>
      </c>
      <c r="H8" s="55">
        <f>'Yearly Model'!X8</f>
        <v>92.67143568837952</v>
      </c>
      <c r="I8" s="55">
        <f>'Yearly Model'!Y8</f>
        <v>110.23697980344969</v>
      </c>
      <c r="J8" s="55">
        <f>'Yearly Model'!Z8</f>
        <v>127.7454894617224</v>
      </c>
      <c r="K8" s="55">
        <f>'Yearly Model'!AA8</f>
        <v>144.34356387343666</v>
      </c>
      <c r="L8" s="55">
        <f>'Yearly Model'!AB8</f>
        <v>159.13111370827914</v>
      </c>
    </row>
    <row r="9">
      <c r="A9" s="14" t="inlineStr">
        <is>
          <t>Tax on operating income</t>
        </is>
      </c>
      <c r="C9" s="52">
        <f>MAX(0,C8)*Assumptions!$E$14</f>
        <v>4.1484994922065</v>
      </c>
      <c r="D9" s="52">
        <f>MAX(0,D8)*Assumptions!$E$14</f>
        <v>5.837484962331507</v>
      </c>
      <c r="E9" s="52">
        <f>MAX(0,E8)*Assumptions!$E$14</f>
        <v>7.870342824104986</v>
      </c>
      <c r="F9" s="52">
        <f>MAX(0,F8)*Assumptions!$E$14</f>
        <v>10.23322388619328</v>
      </c>
      <c r="G9" s="52">
        <f>MAX(0,G8)*Assumptions!$E$14</f>
        <v>12.884877438063294</v>
      </c>
      <c r="H9" s="52">
        <f>MAX(0,H8)*Assumptions!$E$14</f>
        <v>15.75414406702452</v>
      </c>
      <c r="I9" s="52">
        <f>MAX(0,I8)*Assumptions!$E$14</f>
        <v>18.740286566586448</v>
      </c>
      <c r="J9" s="52">
        <f>MAX(0,J8)*Assumptions!$E$14</f>
        <v>21.71673320849281</v>
      </c>
      <c r="K9" s="52">
        <f>MAX(0,K8)*Assumptions!$E$14</f>
        <v>24.538405858484236</v>
      </c>
      <c r="L9" s="52">
        <f>MAX(0,L8)*Assumptions!$E$14</f>
        <v>27.052289330407458</v>
      </c>
    </row>
    <row r="10">
      <c r="A10" s="14" t="inlineStr">
        <is>
          <t>NOPAT</t>
        </is>
      </c>
      <c r="C10" s="52">
        <f>C8-C9</f>
        <v>20.254438697243497</v>
      </c>
      <c r="D10" s="52">
        <f>D8-D9</f>
        <v>28.500661874912645</v>
      </c>
      <c r="E10" s="52">
        <f>E8-E9</f>
        <v>38.4257914353361</v>
      </c>
      <c r="F10" s="52">
        <f>F8-F9</f>
        <v>49.96221073847307</v>
      </c>
      <c r="G10" s="52">
        <f>G8-G9</f>
        <v>62.908519256426665</v>
      </c>
      <c r="H10" s="52">
        <f>H8-H9</f>
        <v>76.91729162135499</v>
      </c>
      <c r="I10" s="52">
        <f>I8-I9</f>
        <v>91.49669323686324</v>
      </c>
      <c r="J10" s="52">
        <f>J8-J9</f>
        <v>106.02875625322959</v>
      </c>
      <c r="K10" s="52">
        <f>K8-K9</f>
        <v>119.80515801495243</v>
      </c>
      <c r="L10" s="52">
        <f>L8-L9</f>
        <v>132.07882437787168</v>
      </c>
    </row>
    <row r="11">
      <c r="A11" s="14" t="inlineStr">
        <is>
          <t>Reinvestment</t>
        </is>
      </c>
      <c r="C11" s="52">
        <f>(C7-B7)*Assumptions!$E$15</f>
        <v>13.88201475000001</v>
      </c>
      <c r="D11" s="52">
        <f>(D7-C7)*Assumptions!$E$15</f>
        <v>15.05022964852779</v>
      </c>
      <c r="E11" s="52">
        <f>(E7-D7)*Assumptions!$E$15</f>
        <v>15.864624537628345</v>
      </c>
      <c r="F11" s="52">
        <f>(F7-E7)*Assumptions!$E$15</f>
        <v>16.206303761912906</v>
      </c>
      <c r="G11" s="52">
        <f>(G7-F7)*Assumptions!$E$15</f>
        <v>15.969450509040712</v>
      </c>
      <c r="H11" s="52">
        <f>(H7-G7)*Assumptions!$E$15</f>
        <v>15.07430218993386</v>
      </c>
      <c r="I11" s="52">
        <f>(I7-H7)*Assumptions!$E$15</f>
        <v>13.479676841552674</v>
      </c>
      <c r="J11" s="52">
        <f>(J7-I7)*Assumptions!$E$15</f>
        <v>11.19324558240777</v>
      </c>
      <c r="K11" s="52">
        <f>(K7-J7)*Assumptions!$E$15</f>
        <v>8.277735969580277</v>
      </c>
      <c r="L11" s="52">
        <f>(L7-K7)*Assumptions!$E$15</f>
        <v>4.851558344764584</v>
      </c>
    </row>
    <row r="12">
      <c r="A12" s="20" t="inlineStr">
        <is>
          <t>Free cash flow</t>
        </is>
      </c>
      <c r="C12" s="64">
        <f>C10-C11</f>
        <v>6.372423947243487</v>
      </c>
      <c r="D12" s="64">
        <f>D10-D11</f>
        <v>13.450432226384855</v>
      </c>
      <c r="E12" s="64">
        <f>E10-E11</f>
        <v>22.561166897707757</v>
      </c>
      <c r="F12" s="64">
        <f>F10-F11</f>
        <v>33.75590697656016</v>
      </c>
      <c r="G12" s="64">
        <f>G10-G11</f>
        <v>46.93906874738595</v>
      </c>
      <c r="H12" s="64">
        <f>H10-H11</f>
        <v>61.84298943142113</v>
      </c>
      <c r="I12" s="64">
        <f>I10-I11</f>
        <v>78.01701639531056</v>
      </c>
      <c r="J12" s="64">
        <f>J10-J11</f>
        <v>94.83551067082182</v>
      </c>
      <c r="K12" s="64">
        <f>K10-K11</f>
        <v>111.52742204537215</v>
      </c>
      <c r="L12" s="64">
        <f>L10-L11</f>
        <v>127.2272660331071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3.128943360073623</v>
      </c>
      <c r="D16" s="64">
        <f>D12*D13*D15</f>
        <v>12.112322828345496</v>
      </c>
      <c r="E16" s="64">
        <f>E12*E13*E15</f>
        <v>18.30331594787275</v>
      </c>
      <c r="F16" s="64">
        <f>F12*F13*F15</f>
        <v>24.67146965923252</v>
      </c>
      <c r="G16" s="64">
        <f>G12*G13*G15</f>
        <v>30.9069912900801</v>
      </c>
      <c r="H16" s="64">
        <f>H12*H13*H15</f>
        <v>36.68510417265501</v>
      </c>
      <c r="I16" s="64">
        <f>I12*I13*I15</f>
        <v>41.69323951846973</v>
      </c>
      <c r="J16" s="64">
        <f>J12*J13*J15</f>
        <v>45.658780886173055</v>
      </c>
      <c r="K16" s="64">
        <f>K12*K13*K15</f>
        <v>48.37400098347736</v>
      </c>
      <c r="L16" s="64">
        <f>L12*L13*L15</f>
        <v>49.715013479144126</v>
      </c>
    </row>
    <row r="19">
      <c r="A19" s="14" t="inlineStr">
        <is>
          <t>PV of forecast free cash flow</t>
        </is>
      </c>
      <c r="B19" s="52">
        <f>SUM(C16:L16)</f>
        <v>311.24918212552376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130.40794768393474</v>
      </c>
    </row>
    <row r="21">
      <c r="A21" s="14" t="inlineStr">
        <is>
          <t>Terminal value</t>
        </is>
      </c>
      <c r="B21" s="52">
        <f>B20/(Assumptions!$E$10-Assumptions!$E$11)</f>
        <v>1534.2111492227618</v>
      </c>
    </row>
    <row r="22">
      <c r="A22" s="14" t="inlineStr">
        <is>
          <t>PV of terminal value</t>
        </is>
      </c>
      <c r="B22" s="52">
        <f>B21/(1+Assumptions!$E$10)^(L14+0.5)</f>
        <v>569.0245601939968</v>
      </c>
    </row>
    <row r="23">
      <c r="A23" s="20" t="inlineStr">
        <is>
          <t>Enterprise value</t>
        </is>
      </c>
      <c r="B23" s="66">
        <f>B19+B22</f>
        <v>880.2737423195206</v>
      </c>
    </row>
    <row r="24">
      <c r="A24" s="14" t="inlineStr">
        <is>
          <t>Cash &amp; investments</t>
        </is>
      </c>
      <c r="B24" s="55">
        <f>Main!C7</f>
        <v>162.458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1042.7317423195207</v>
      </c>
    </row>
    <row r="27">
      <c r="A27" s="14" t="inlineStr">
        <is>
          <t>Shares (mm)</t>
        </is>
      </c>
      <c r="B27" s="55">
        <f>Main!C4</f>
        <v>51.206614</v>
      </c>
    </row>
    <row r="28">
      <c r="A28" s="20" t="inlineStr">
        <is>
          <t>NPV / share</t>
        </is>
      </c>
      <c r="B28" s="49">
        <f>B26/B27</f>
        <v>20.363223827287637</v>
      </c>
    </row>
    <row r="29">
      <c r="A29" s="14" t="inlineStr">
        <is>
          <t>Price</t>
        </is>
      </c>
      <c r="B29" s="50">
        <f>Main!C3</f>
        <v>40.58</v>
      </c>
    </row>
    <row r="30">
      <c r="A30" s="14" t="inlineStr">
        <is>
          <t>Upside</t>
        </is>
      </c>
      <c r="B30" s="63">
        <f>B28/B29-1</f>
        <v>-0.49819556857349334</v>
      </c>
    </row>
    <row r="31">
      <c r="A31" s="14" t="inlineStr">
        <is>
          <t>Terminal value, % of EV</t>
        </is>
      </c>
      <c r="B31" s="63">
        <f>IFERROR(B22/B23,0)</f>
        <v>0.6464177367083761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2026-10-21T06:22:35Z</dcterms:modified>
  <cp:lastModifiedBy>Wang, Eric</cp:lastModifiedBy>
</cp:coreProperties>
</file>