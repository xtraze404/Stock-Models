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Novo Nordisk A/S</t>
        </is>
      </c>
      <c r="C2" s="10" t="n"/>
    </row>
    <row r="3">
      <c r="B3" t="inlineStr">
        <is>
          <t>Price</t>
        </is>
      </c>
      <c r="C3" s="11">
        <f>INDEX([1]Pharma!$F$1:$F$1000,MATCH("NVO",[1]Pharma!$B$1:$B$1000,0))</f>
        <v>39.345</v>
      </c>
      <c r="F3" s="1" t="n"/>
    </row>
    <row r="4">
      <c r="B4" t="inlineStr">
        <is>
          <t>Shares</t>
        </is>
      </c>
      <c r="C4" s="57" t="n">
        <v>4444</v>
      </c>
      <c r="F4" s="1" t="n"/>
    </row>
    <row r="5">
      <c r="B5" t="inlineStr">
        <is>
          <t>Market Cap.</t>
        </is>
      </c>
      <c r="C5" s="13">
        <f>C3*C4</f>
        <v>174849.18</v>
      </c>
      <c r="F5" s="1" t="n"/>
    </row>
    <row r="6"/>
    <row r="7">
      <c r="B7" t="inlineStr">
        <is>
          <t>Cash</t>
        </is>
      </c>
      <c r="C7" s="57">
        <f>(26464)/6.6425</f>
        <v>3984.042152803914</v>
      </c>
    </row>
    <row r="8">
      <c r="B8" t="inlineStr">
        <is>
          <t>Debt</t>
        </is>
      </c>
      <c r="C8" s="57">
        <f>(12017+118941)/6.6425</f>
        <v>19715.167482122695</v>
      </c>
    </row>
    <row r="9">
      <c r="B9" t="inlineStr">
        <is>
          <t>Enterprise V.</t>
        </is>
      </c>
      <c r="C9" s="13">
        <f>C5-C7+C8</f>
        <v>190580.30532931877</v>
      </c>
    </row>
    <row r="10"/>
    <row r="11">
      <c r="B11" s="14" t="inlineStr">
        <is>
          <t>NPV / Share</t>
        </is>
      </c>
      <c r="C11" s="11">
        <f>NPV!B28</f>
        <v>37.44090648315759</v>
      </c>
    </row>
    <row r="12">
      <c r="B12" s="14" t="inlineStr">
        <is>
          <t>Upside</t>
        </is>
      </c>
      <c r="C12" s="15">
        <f>IFERROR(C11/C3-1,"")</f>
        <v>-0.04839480281719177</v>
      </c>
    </row>
    <row r="13">
      <c r="B13" s="14" t="inlineStr">
        <is>
          <t>Cash / Share</t>
        </is>
      </c>
      <c r="C13" s="11">
        <f>IFERROR((C7-C8)/C4,"")</f>
        <v>-3.539857184815207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16247.949</v>
      </c>
      <c r="C2" s="58" t="n">
        <v>16828.002</v>
      </c>
      <c r="D2" s="58" t="n">
        <v>16815.356</v>
      </c>
      <c r="E2" s="58" t="n">
        <v>16835.679</v>
      </c>
      <c r="F2" s="58" t="n">
        <v>18369.74</v>
      </c>
      <c r="G2" s="58" t="n">
        <v>19111.178</v>
      </c>
      <c r="H2" s="58" t="n">
        <v>21196.839</v>
      </c>
      <c r="I2" s="58" t="n">
        <v>26639.669</v>
      </c>
      <c r="J2" s="58" t="n">
        <v>34965.901</v>
      </c>
      <c r="K2" s="58" t="n">
        <v>43718.931</v>
      </c>
      <c r="L2" s="58" t="n">
        <v>46528.265</v>
      </c>
      <c r="M2" s="58">
        <f>L2*(1+NPV!C5)</f>
        <v>45132.41705</v>
      </c>
      <c r="N2" s="58">
        <f>M2*(1+NPV!D5)</f>
        <v>41521.823685999996</v>
      </c>
      <c r="O2" s="58">
        <f>N2*(1+NPV!E5)</f>
        <v>40691.387212279995</v>
      </c>
      <c r="P2" s="58">
        <f>O2*(1+NPV!F5)</f>
        <v>41505.2149565256</v>
      </c>
      <c r="Q2" s="58">
        <f>P2*(1+NPV!G5)</f>
        <v>42750.37140522137</v>
      </c>
      <c r="R2" s="58">
        <f>Q2*(1+NPV!H5)</f>
        <v>41467.86026306473</v>
      </c>
      <c r="S2" s="58">
        <f>R2*(1+NPV!I5)</f>
        <v>39394.46724991149</v>
      </c>
      <c r="T2" s="58">
        <f>S2*(1+NPV!J5)</f>
        <v>39394.46724991149</v>
      </c>
      <c r="U2" s="58">
        <f>T2*(1+NPV!K5)</f>
        <v>40182.35659490972</v>
      </c>
      <c r="V2" s="58">
        <f>U2*(1+NPV!L5)</f>
        <v>41186.915509782455</v>
      </c>
    </row>
    <row r="3" customFormat="1" s="1">
      <c r="A3" s="5" t="inlineStr">
        <is>
          <t>Cost of Sales</t>
        </is>
      </c>
      <c r="B3" s="58" t="n">
        <v>2437.034</v>
      </c>
      <c r="C3" s="58" t="n">
        <v>2586.827</v>
      </c>
      <c r="D3" s="58" t="n">
        <v>2654.422</v>
      </c>
      <c r="E3" s="58" t="n">
        <v>2652.164</v>
      </c>
      <c r="F3" s="58" t="n">
        <v>3024.163</v>
      </c>
      <c r="G3" s="58" t="n">
        <v>3151.223</v>
      </c>
      <c r="H3" s="58" t="n">
        <v>3561.611</v>
      </c>
      <c r="I3" s="58" t="n">
        <v>4282.725</v>
      </c>
      <c r="J3" s="58" t="n">
        <v>5384.268</v>
      </c>
      <c r="K3" s="58" t="n">
        <v>6702.597</v>
      </c>
      <c r="L3" s="58" t="n">
        <v>8850.281999999999</v>
      </c>
      <c r="M3" s="58">
        <f>M2*(1-Assumptions!$B$19)</f>
        <v>8584.18572291</v>
      </c>
      <c r="N3" s="58">
        <f>N2*(1-Assumptions!$B$19)</f>
        <v>7897.4508650772</v>
      </c>
      <c r="O3" s="58">
        <f>O2*(1-Assumptions!$B$19)</f>
        <v>7739.501847775657</v>
      </c>
      <c r="P3" s="58">
        <f>P2*(1-Assumptions!$B$19)</f>
        <v>7894.29188473117</v>
      </c>
      <c r="Q3" s="58">
        <f>Q2*(1-Assumptions!$B$19)</f>
        <v>8131.120641273106</v>
      </c>
      <c r="R3" s="58">
        <f>R2*(1-Assumptions!$B$19)</f>
        <v>7887.187022034913</v>
      </c>
      <c r="S3" s="58">
        <f>S2*(1-Assumptions!$B$19)</f>
        <v>7492.827670933167</v>
      </c>
      <c r="T3" s="58">
        <f>T2*(1-Assumptions!$B$19)</f>
        <v>7492.827670933167</v>
      </c>
      <c r="U3" s="58">
        <f>U2*(1-Assumptions!$B$19)</f>
        <v>7642.6842243518295</v>
      </c>
      <c r="V3" s="58">
        <f>V2*(1-Assumptions!$B$19)</f>
        <v>7833.751329960624</v>
      </c>
    </row>
    <row r="4" customFormat="1" s="1">
      <c r="A4" s="5" t="inlineStr">
        <is>
          <t>Gross Margin</t>
        </is>
      </c>
      <c r="B4" s="58">
        <f>B2-B3</f>
        <v>13810.915</v>
      </c>
      <c r="C4" s="58">
        <f>C2-C3</f>
        <v>14241.175</v>
      </c>
      <c r="D4" s="58">
        <f>D2-D3</f>
        <v>14160.934</v>
      </c>
      <c r="E4" s="58">
        <f>E2-E3</f>
        <v>14183.515</v>
      </c>
      <c r="F4" s="58">
        <f>F2-F3</f>
        <v>15345.577000000001</v>
      </c>
      <c r="G4" s="58">
        <f>G2-G3</f>
        <v>15959.955</v>
      </c>
      <c r="H4" s="58">
        <f>H2-H3</f>
        <v>17635.228</v>
      </c>
      <c r="I4" s="58">
        <f>I2-I3</f>
        <v>22356.944000000003</v>
      </c>
      <c r="J4" s="58">
        <f>J2-J3</f>
        <v>29581.632999999998</v>
      </c>
      <c r="K4" s="58">
        <f>K2-K3</f>
        <v>37016.333999999995</v>
      </c>
      <c r="L4" s="58">
        <f>L2-L3</f>
        <v>37677.983</v>
      </c>
      <c r="M4" s="58">
        <f>M2-M3</f>
        <v>36548.23132709</v>
      </c>
      <c r="N4" s="58">
        <f>N2-N3</f>
        <v>33624.3728209228</v>
      </c>
      <c r="O4" s="58">
        <f>O2-O3</f>
        <v>32951.88536450434</v>
      </c>
      <c r="P4" s="58">
        <f>P2-P3</f>
        <v>33610.92307179443</v>
      </c>
      <c r="Q4" s="58">
        <f>Q2-Q3</f>
        <v>34619.250763948265</v>
      </c>
      <c r="R4" s="58">
        <f>R2-R3</f>
        <v>33580.673241029814</v>
      </c>
      <c r="S4" s="58">
        <f>S2-S3</f>
        <v>31901.639578978324</v>
      </c>
      <c r="T4" s="58">
        <f>T2-T3</f>
        <v>31901.639578978324</v>
      </c>
      <c r="U4" s="58">
        <f>U2-U3</f>
        <v>32539.672370557888</v>
      </c>
      <c r="V4" s="58">
        <f>V2-V3</f>
        <v>33353.16417982183</v>
      </c>
    </row>
    <row r="5">
      <c r="A5" s="2" t="inlineStr">
        <is>
          <t>Research &amp; Dev.</t>
        </is>
      </c>
      <c r="B5" s="58" t="n">
        <v>2048.626</v>
      </c>
      <c r="C5" s="58" t="n">
        <v>2192.397</v>
      </c>
      <c r="D5" s="58" t="n">
        <v>2109.748</v>
      </c>
      <c r="E5" s="58" t="n">
        <v>2228.83</v>
      </c>
      <c r="F5" s="58" t="n">
        <v>2140.76</v>
      </c>
      <c r="G5" s="58" t="n">
        <v>2327.738</v>
      </c>
      <c r="H5" s="58" t="n">
        <v>2675.499</v>
      </c>
      <c r="I5" s="58" t="n">
        <v>3620.173</v>
      </c>
      <c r="J5" s="58" t="n">
        <v>4884.155</v>
      </c>
      <c r="K5" s="58" t="n">
        <v>7235.529</v>
      </c>
      <c r="L5" s="58" t="n">
        <v>7834.249</v>
      </c>
      <c r="M5" s="58">
        <f>M7*Assumptions!$B$20</f>
        <v>7778.519724963721</v>
      </c>
      <c r="N5" s="58">
        <f>N7*Assumptions!$B$20</f>
        <v>7320.121463309372</v>
      </c>
      <c r="O5" s="58">
        <f>O7*Assumptions!$B$20</f>
        <v>7334.324684059076</v>
      </c>
      <c r="P5" s="58">
        <f>P7*Assumptions!$B$20</f>
        <v>7644.828940756469</v>
      </c>
      <c r="Q5" s="58">
        <f>Q7*Assumptions!$B$20</f>
        <v>8042.906104885858</v>
      </c>
      <c r="R5" s="58">
        <f>R7*Assumptions!$B$20</f>
        <v>7965.289248768776</v>
      </c>
      <c r="S5" s="58">
        <f>S7*Assumptions!$B$20</f>
        <v>7722.511597008359</v>
      </c>
      <c r="T5" s="58">
        <f>T7*Assumptions!$B$20</f>
        <v>7877.99840768638</v>
      </c>
      <c r="U5" s="58">
        <f>U7*Assumptions!$B$20</f>
        <v>8194.154922731686</v>
      </c>
      <c r="V5" s="58">
        <f>V7*Assumptions!$B$20</f>
        <v>8561.57025636385</v>
      </c>
    </row>
    <row r="6">
      <c r="A6" s="18" t="inlineStr">
        <is>
          <t>SG&amp;A &amp; Other</t>
        </is>
      </c>
      <c r="B6" s="58" t="n">
        <v>4318.705</v>
      </c>
      <c r="C6" s="58" t="n">
        <v>4757.546</v>
      </c>
      <c r="D6" s="58" t="n">
        <v>4679.413</v>
      </c>
      <c r="E6" s="58" t="n">
        <v>4841.701</v>
      </c>
      <c r="F6" s="58" t="n">
        <v>5303.726</v>
      </c>
      <c r="G6" s="58" t="n">
        <v>5483.779</v>
      </c>
      <c r="H6" s="58" t="n">
        <v>6131.125</v>
      </c>
      <c r="I6" s="58" t="n">
        <v>7474.595</v>
      </c>
      <c r="J6" s="58" t="n">
        <v>9255.401</v>
      </c>
      <c r="K6" s="58" t="n">
        <v>10459.917</v>
      </c>
      <c r="L6" s="58" t="n">
        <v>10625.367</v>
      </c>
      <c r="M6" s="58">
        <f>M7-M5</f>
        <v>10549.754839041278</v>
      </c>
      <c r="N6" s="58">
        <f>N7-N5</f>
        <v>9928.044095855028</v>
      </c>
      <c r="O6" s="58">
        <f>O7-O5</f>
        <v>9947.30746499624</v>
      </c>
      <c r="P6" s="58">
        <f>P7-P5</f>
        <v>10368.434350375643</v>
      </c>
      <c r="Q6" s="58">
        <f>Q7-Q5</f>
        <v>10908.333539048775</v>
      </c>
      <c r="R6" s="58">
        <f>R7-R5</f>
        <v>10803.064306294316</v>
      </c>
      <c r="S6" s="58">
        <f>S7-S5</f>
        <v>10473.792825725757</v>
      </c>
      <c r="T6" s="58">
        <f>T7-T5</f>
        <v>10684.674560471914</v>
      </c>
      <c r="U6" s="58">
        <f>U7-U5</f>
        <v>11113.46742112243</v>
      </c>
      <c r="V6" s="58">
        <f>V7-V5</f>
        <v>11611.780960327598</v>
      </c>
    </row>
    <row r="7">
      <c r="A7" s="2" t="inlineStr">
        <is>
          <t>Operating Expense</t>
        </is>
      </c>
      <c r="B7" s="58">
        <f>SUM(B5:B6)</f>
        <v>6367.331</v>
      </c>
      <c r="C7" s="58">
        <f>SUM(C5:C6)</f>
        <v>6949.943</v>
      </c>
      <c r="D7" s="58">
        <f>SUM(D5:D6)</f>
        <v>6789.161</v>
      </c>
      <c r="E7" s="58">
        <f>SUM(E5:E6)</f>
        <v>7070.531</v>
      </c>
      <c r="F7" s="58">
        <f>SUM(F5:F6)</f>
        <v>7444.486</v>
      </c>
      <c r="G7" s="58">
        <f>SUM(G5:G6)</f>
        <v>7811.517</v>
      </c>
      <c r="H7" s="58">
        <f>SUM(H5:H6)</f>
        <v>8806.624</v>
      </c>
      <c r="I7" s="58">
        <f>SUM(I5:I6)</f>
        <v>11094.768</v>
      </c>
      <c r="J7" s="58">
        <f>SUM(J5:J6)</f>
        <v>14139.556</v>
      </c>
      <c r="K7" s="58">
        <f>SUM(K5:K6)</f>
        <v>17695.446</v>
      </c>
      <c r="L7" s="58">
        <f>SUM(L5:L6)</f>
        <v>18459.616</v>
      </c>
      <c r="M7" s="58">
        <f>M4-M2*NPV!C6</f>
        <v>18328.274564004998</v>
      </c>
      <c r="N7" s="58">
        <f>N4-N2*NPV!D6</f>
        <v>17248.1655591644</v>
      </c>
      <c r="O7" s="58">
        <f>O4-O2*NPV!E6</f>
        <v>17281.632149055316</v>
      </c>
      <c r="P7" s="58">
        <f>P4-P2*NPV!F6</f>
        <v>18013.263291132112</v>
      </c>
      <c r="Q7" s="58">
        <f>Q4-Q2*NPV!G6</f>
        <v>18951.239643934634</v>
      </c>
      <c r="R7" s="58">
        <f>R4-R2*NPV!H6</f>
        <v>18768.35355506309</v>
      </c>
      <c r="S7" s="58">
        <f>S4-S2*NPV!I6</f>
        <v>18196.304422734116</v>
      </c>
      <c r="T7" s="58">
        <f>T4-T2*NPV!J6</f>
        <v>18562.672968158295</v>
      </c>
      <c r="U7" s="58">
        <f>U4-U2*NPV!K6</f>
        <v>19307.622343854116</v>
      </c>
      <c r="V7" s="58">
        <f>V4-V2*NPV!L6</f>
        <v>20173.351216691448</v>
      </c>
    </row>
    <row r="8">
      <c r="A8" s="2" t="inlineStr">
        <is>
          <t>Operating Income</t>
        </is>
      </c>
      <c r="B8" s="58">
        <f>B4-B7</f>
        <v>7443.584000000001</v>
      </c>
      <c r="C8" s="58">
        <f>C4-C7</f>
        <v>7291.231999999999</v>
      </c>
      <c r="D8" s="58">
        <f>D4-D7</f>
        <v>7371.772999999999</v>
      </c>
      <c r="E8" s="58">
        <f>E4-E7</f>
        <v>7112.9839999999995</v>
      </c>
      <c r="F8" s="58">
        <f>F4-F7</f>
        <v>7901.091000000001</v>
      </c>
      <c r="G8" s="58">
        <f>G4-G7</f>
        <v>8148.438</v>
      </c>
      <c r="H8" s="58">
        <f>H4-H7</f>
        <v>8828.604</v>
      </c>
      <c r="I8" s="58">
        <f>I4-I7</f>
        <v>11262.176000000003</v>
      </c>
      <c r="J8" s="58">
        <f>J4-J7</f>
        <v>15442.076999999997</v>
      </c>
      <c r="K8" s="58">
        <f>K4-K7</f>
        <v>19320.887999999995</v>
      </c>
      <c r="L8" s="58">
        <f>L4-L7</f>
        <v>19218.367</v>
      </c>
      <c r="M8" s="58">
        <f>M4-M7</f>
        <v>18219.956763085</v>
      </c>
      <c r="N8" s="58">
        <f>N4-N7</f>
        <v>16376.207261758398</v>
      </c>
      <c r="O8" s="58">
        <f>O4-O7</f>
        <v>15670.253215449025</v>
      </c>
      <c r="P8" s="58">
        <f>P4-P7</f>
        <v>15597.659780662318</v>
      </c>
      <c r="Q8" s="58">
        <f>Q4-Q7</f>
        <v>15668.01112001363</v>
      </c>
      <c r="R8" s="58">
        <f>R4-R7</f>
        <v>14812.319685966722</v>
      </c>
      <c r="S8" s="58">
        <f>S4-S7</f>
        <v>13705.335156244208</v>
      </c>
      <c r="T8" s="58">
        <f>T4-T7</f>
        <v>13338.966610820029</v>
      </c>
      <c r="U8" s="58">
        <f>U4-U7</f>
        <v>13232.050026703771</v>
      </c>
      <c r="V8" s="58">
        <f>V4-V7</f>
        <v>13179.812963130385</v>
      </c>
    </row>
    <row r="9">
      <c r="A9" s="18" t="inlineStr">
        <is>
          <t>Interest &amp; Other</t>
        </is>
      </c>
      <c r="B9" s="58" t="n">
        <v>-897.403</v>
      </c>
      <c r="C9" s="58" t="n">
        <v>-95.446</v>
      </c>
      <c r="D9" s="58" t="n">
        <v>-43.207</v>
      </c>
      <c r="E9" s="58" t="n">
        <v>55.25</v>
      </c>
      <c r="F9" s="58" t="n">
        <v>-591.645</v>
      </c>
      <c r="G9" s="58" t="n">
        <v>-149.944</v>
      </c>
      <c r="H9" s="58" t="n">
        <v>65.63800000000001</v>
      </c>
      <c r="I9" s="58" t="n">
        <v>-865.186</v>
      </c>
      <c r="J9" s="58" t="n">
        <v>316.146</v>
      </c>
      <c r="K9" s="58" t="n">
        <v>-172.826</v>
      </c>
      <c r="L9" s="58" t="n">
        <v>433.873</v>
      </c>
      <c r="M9" s="58" t="n">
        <v>0</v>
      </c>
      <c r="N9" s="58" t="n">
        <v>0</v>
      </c>
      <c r="O9" s="58" t="n">
        <v>0</v>
      </c>
      <c r="P9" s="58" t="n">
        <v>0</v>
      </c>
      <c r="Q9" s="58" t="n">
        <v>0</v>
      </c>
      <c r="R9" s="58" t="n">
        <v>0</v>
      </c>
      <c r="S9" s="58" t="n">
        <v>0</v>
      </c>
      <c r="T9" s="58" t="n">
        <v>0</v>
      </c>
      <c r="U9" s="58" t="n">
        <v>0</v>
      </c>
      <c r="V9" s="58" t="n">
        <v>0</v>
      </c>
    </row>
    <row r="10">
      <c r="A10" s="2" t="inlineStr">
        <is>
          <t>Pretax</t>
        </is>
      </c>
      <c r="B10" s="58">
        <f>B8+B9</f>
        <v>6546.1810000000005</v>
      </c>
      <c r="C10" s="58">
        <f>C8+C9</f>
        <v>7195.785999999999</v>
      </c>
      <c r="D10" s="58">
        <f>D8+D9</f>
        <v>7328.565999999999</v>
      </c>
      <c r="E10" s="58">
        <f>E8+E9</f>
        <v>7168.2339999999995</v>
      </c>
      <c r="F10" s="58">
        <f>F8+F9</f>
        <v>7309.446000000002</v>
      </c>
      <c r="G10" s="58">
        <f>G8+G9</f>
        <v>7998.494</v>
      </c>
      <c r="H10" s="58">
        <f>H8+H9</f>
        <v>8894.242</v>
      </c>
      <c r="I10" s="58">
        <f>I8+I9</f>
        <v>10396.990000000003</v>
      </c>
      <c r="J10" s="58">
        <f>J8+J9</f>
        <v>15758.222999999998</v>
      </c>
      <c r="K10" s="58">
        <f>K8+K9</f>
        <v>19148.061999999994</v>
      </c>
      <c r="L10" s="58">
        <f>L8+L9</f>
        <v>19652.239999999998</v>
      </c>
      <c r="M10" s="58">
        <f>M8+M9</f>
        <v>18219.956763085</v>
      </c>
      <c r="N10" s="58">
        <f>N8+N9</f>
        <v>16376.207261758398</v>
      </c>
      <c r="O10" s="58">
        <f>O8+O9</f>
        <v>15670.253215449025</v>
      </c>
      <c r="P10" s="58">
        <f>P8+P9</f>
        <v>15597.659780662318</v>
      </c>
      <c r="Q10" s="58">
        <f>Q8+Q9</f>
        <v>15668.01112001363</v>
      </c>
      <c r="R10" s="58">
        <f>R8+R9</f>
        <v>14812.319685966722</v>
      </c>
      <c r="S10" s="58">
        <f>S8+S9</f>
        <v>13705.335156244208</v>
      </c>
      <c r="T10" s="58">
        <f>T8+T9</f>
        <v>13338.966610820029</v>
      </c>
      <c r="U10" s="58">
        <f>U8+U9</f>
        <v>13232.050026703771</v>
      </c>
      <c r="V10" s="58">
        <f>V8+V9</f>
        <v>13179.812963130385</v>
      </c>
    </row>
    <row r="11">
      <c r="A11" s="2" t="inlineStr">
        <is>
          <t>Taxes</t>
        </is>
      </c>
      <c r="B11" s="58" t="n">
        <v>1298.156</v>
      </c>
      <c r="C11" s="58" t="n">
        <v>1486.338</v>
      </c>
      <c r="D11" s="58" t="n">
        <v>1588.257</v>
      </c>
      <c r="E11" s="58" t="n">
        <v>1352.954</v>
      </c>
      <c r="F11" s="58" t="n">
        <v>1445.54</v>
      </c>
      <c r="G11" s="58" t="n">
        <v>1654.799</v>
      </c>
      <c r="H11" s="58" t="n">
        <v>1704.629</v>
      </c>
      <c r="I11" s="58" t="n">
        <v>2037.938</v>
      </c>
      <c r="J11" s="58" t="n">
        <v>3160.105</v>
      </c>
      <c r="K11" s="58" t="n">
        <v>3944.75</v>
      </c>
      <c r="L11" s="58" t="n">
        <v>4231.238</v>
      </c>
      <c r="M11" s="58">
        <f>MAX(0,M10)*Assumptions!$E$14</f>
        <v>3097.39264972445</v>
      </c>
      <c r="N11" s="58">
        <f>MAX(0,N10)*Assumptions!$E$14</f>
        <v>2783.955234498928</v>
      </c>
      <c r="O11" s="58">
        <f>MAX(0,O10)*Assumptions!$E$14</f>
        <v>2663.9430466263343</v>
      </c>
      <c r="P11" s="58">
        <f>MAX(0,P10)*Assumptions!$E$14</f>
        <v>2651.6021627125942</v>
      </c>
      <c r="Q11" s="58">
        <f>MAX(0,Q10)*Assumptions!$E$14</f>
        <v>2663.561890402317</v>
      </c>
      <c r="R11" s="58">
        <f>MAX(0,R10)*Assumptions!$E$14</f>
        <v>2518.094346614343</v>
      </c>
      <c r="S11" s="58">
        <f>MAX(0,S10)*Assumptions!$E$14</f>
        <v>2329.9069765615154</v>
      </c>
      <c r="T11" s="58">
        <f>MAX(0,T10)*Assumptions!$E$14</f>
        <v>2267.624323839405</v>
      </c>
      <c r="U11" s="58">
        <f>MAX(0,U10)*Assumptions!$E$14</f>
        <v>2249.4485045396414</v>
      </c>
      <c r="V11" s="58">
        <f>MAX(0,V10)*Assumptions!$E$14</f>
        <v>2240.568203732166</v>
      </c>
    </row>
    <row r="12">
      <c r="A12" s="2" t="inlineStr">
        <is>
          <t>Net Income</t>
        </is>
      </c>
      <c r="B12" s="58" t="n">
        <v>5248.024</v>
      </c>
      <c r="C12" s="58" t="n">
        <v>5709.447</v>
      </c>
      <c r="D12" s="58" t="n">
        <v>5740.309</v>
      </c>
      <c r="E12" s="58" t="n">
        <v>5815.28</v>
      </c>
      <c r="F12" s="58" t="n">
        <v>5863.907</v>
      </c>
      <c r="G12" s="58" t="n">
        <v>6343.696</v>
      </c>
      <c r="H12" s="58" t="n">
        <v>7189.612</v>
      </c>
      <c r="I12" s="58" t="n">
        <v>8359.052</v>
      </c>
      <c r="J12" s="58" t="n">
        <v>12598.118</v>
      </c>
      <c r="K12" s="58" t="n">
        <v>15203.312</v>
      </c>
      <c r="L12" s="58" t="n">
        <v>15421.001</v>
      </c>
      <c r="M12" s="58">
        <f>M10-M11</f>
        <v>15122.56411336055</v>
      </c>
      <c r="N12" s="58">
        <f>N10-N11</f>
        <v>13592.25202725947</v>
      </c>
      <c r="O12" s="58">
        <f>O10-O11</f>
        <v>13006.31016882269</v>
      </c>
      <c r="P12" s="58">
        <f>P10-P11</f>
        <v>12946.057617949724</v>
      </c>
      <c r="Q12" s="58">
        <f>Q10-Q11</f>
        <v>13004.449229611313</v>
      </c>
      <c r="R12" s="58">
        <f>R10-R11</f>
        <v>12294.225339352379</v>
      </c>
      <c r="S12" s="58">
        <f>S10-S11</f>
        <v>11375.428179682693</v>
      </c>
      <c r="T12" s="58">
        <f>T10-T11</f>
        <v>11071.342286980624</v>
      </c>
      <c r="U12" s="58">
        <f>U10-U11</f>
        <v>10982.60152216413</v>
      </c>
      <c r="V12" s="58">
        <f>V10-V11</f>
        <v>10939.24475939822</v>
      </c>
    </row>
    <row r="13">
      <c r="A13" s="2" t="inlineStr">
        <is>
          <t>Earnings per Share</t>
        </is>
      </c>
      <c r="B13" s="11">
        <f>IFERROR(B12/B14,0)</f>
        <v>1.0179671939847106</v>
      </c>
      <c r="C13" s="11">
        <f>IFERROR(C12/C14,0)</f>
        <v>1.1262440679062733</v>
      </c>
      <c r="D13" s="11">
        <f>IFERROR(D12/D14,0)</f>
        <v>1.1582109710975337</v>
      </c>
      <c r="E13" s="11">
        <f>IFERROR(E12/E14,0)</f>
        <v>1.199323543969642</v>
      </c>
      <c r="F13" s="11">
        <f>IFERROR(F12/F14,0)</f>
        <v>1.2325864968259974</v>
      </c>
      <c r="G13" s="11">
        <f>IFERROR(G12/G14,0)</f>
        <v>1.3554905982905983</v>
      </c>
      <c r="H13" s="11">
        <f>IFERROR(H12/H14,0)</f>
        <v>1.5608553688506797</v>
      </c>
      <c r="I13" s="11">
        <f>IFERROR(I12/I14,0)</f>
        <v>1.839337235400255</v>
      </c>
      <c r="J13" s="11">
        <f>IFERROR(J12/J14,0)</f>
        <v>2.8028205926848804</v>
      </c>
      <c r="K13" s="11">
        <f>IFERROR(K12/K14,0)</f>
        <v>3.406522966614385</v>
      </c>
      <c r="L13" s="11">
        <f>IFERROR(L12/L14,0)</f>
        <v>3.467185511612744</v>
      </c>
      <c r="M13" s="11">
        <f>IFERROR(M12/M14,0)</f>
        <v>3.4029172172278463</v>
      </c>
      <c r="N13" s="11">
        <f>IFERROR(N12/N14,0)</f>
        <v>3.0585625623896195</v>
      </c>
      <c r="O13" s="11">
        <f>IFERROR(O12/O14,0)</f>
        <v>2.9267124592310285</v>
      </c>
      <c r="P13" s="11">
        <f>IFERROR(P12/P14,0)</f>
        <v>2.9131542794666347</v>
      </c>
      <c r="Q13" s="11">
        <f>IFERROR(Q12/Q14,0)</f>
        <v>2.9262937060331486</v>
      </c>
      <c r="R13" s="11">
        <f>IFERROR(R12/R14,0)</f>
        <v>2.766477349089194</v>
      </c>
      <c r="S13" s="11">
        <f>IFERROR(S12/S14,0)</f>
        <v>2.5597273131599216</v>
      </c>
      <c r="T13" s="11">
        <f>IFERROR(T12/T14,0)</f>
        <v>2.4913011446851088</v>
      </c>
      <c r="U13" s="11">
        <f>IFERROR(U12/U14,0)</f>
        <v>2.4713324757345028</v>
      </c>
      <c r="V13" s="11">
        <f>IFERROR(V12/V14,0)</f>
        <v>2.461576228487448</v>
      </c>
    </row>
    <row r="14">
      <c r="A14" s="2" t="inlineStr">
        <is>
          <t>Shares</t>
        </is>
      </c>
      <c r="B14" s="58" t="n">
        <v>5155.396</v>
      </c>
      <c r="C14" s="58" t="n">
        <v>5069.458</v>
      </c>
      <c r="D14" s="58" t="n">
        <v>4956.186</v>
      </c>
      <c r="E14" s="58" t="n">
        <v>4848.8</v>
      </c>
      <c r="F14" s="58" t="n">
        <v>4757.4</v>
      </c>
      <c r="G14" s="58" t="n">
        <v>4680</v>
      </c>
      <c r="H14" s="58" t="n">
        <v>4606.2</v>
      </c>
      <c r="I14" s="58" t="n">
        <v>4544.6</v>
      </c>
      <c r="J14" s="58" t="n">
        <v>4494.8</v>
      </c>
      <c r="K14" s="58" t="n">
        <v>4463</v>
      </c>
      <c r="L14" s="58" t="n">
        <v>4447.7</v>
      </c>
      <c r="M14" s="58">
        <f>Main!$C$4</f>
        <v>4444</v>
      </c>
      <c r="N14" s="58">
        <f>Main!$C$4</f>
        <v>4444</v>
      </c>
      <c r="O14" s="58">
        <f>Main!$C$4</f>
        <v>4444</v>
      </c>
      <c r="P14" s="58">
        <f>Main!$C$4</f>
        <v>4444</v>
      </c>
      <c r="Q14" s="58">
        <f>Main!$C$4</f>
        <v>4444</v>
      </c>
      <c r="R14" s="58">
        <f>Main!$C$4</f>
        <v>4444</v>
      </c>
      <c r="S14" s="58">
        <f>Main!$C$4</f>
        <v>4444</v>
      </c>
      <c r="T14" s="58">
        <f>Main!$C$4</f>
        <v>4444</v>
      </c>
      <c r="U14" s="58">
        <f>Main!$C$4</f>
        <v>4444</v>
      </c>
      <c r="V14" s="58">
        <f>Main!$C$4</f>
        <v>4444</v>
      </c>
    </row>
    <row r="15"/>
    <row r="16" customFormat="1" s="4">
      <c r="A16" s="3" t="inlineStr">
        <is>
          <t>Revenue Change</t>
        </is>
      </c>
      <c r="C16" s="15">
        <f>IFERROR(C2/B2-1,"")</f>
        <v>0.03570007512948248</v>
      </c>
      <c r="D16" s="15">
        <f>IFERROR(D2/C2-1,"")</f>
        <v>-0.0007514855298924594</v>
      </c>
      <c r="E16" s="15">
        <f>IFERROR(E2/D2-1,"")</f>
        <v>0.001208597665134148</v>
      </c>
      <c r="F16" s="15">
        <f>IFERROR(F2/E2-1,"")</f>
        <v>0.09111963942767032</v>
      </c>
      <c r="G16" s="15">
        <f>IFERROR(G2/F2-1,"")</f>
        <v>0.040361921290121616</v>
      </c>
      <c r="H16" s="15">
        <f>IFERROR(H2/G2-1,"")</f>
        <v>0.10913304245295596</v>
      </c>
      <c r="I16" s="15">
        <f>IFERROR(I2/H2-1,"")</f>
        <v>0.25677555035446575</v>
      </c>
      <c r="J16" s="15">
        <f>IFERROR(J2/I2-1,"")</f>
        <v>0.31255012965814233</v>
      </c>
      <c r="K16" s="15">
        <f>IFERROR(K2/J2-1,"")</f>
        <v>0.25033045766502626</v>
      </c>
      <c r="L16" s="15">
        <f>IFERROR(L2/K2-1,"")</f>
        <v>0.06425898199569424</v>
      </c>
      <c r="M16" s="15">
        <f>IFERROR(M2/L2-1,"")</f>
        <v>-0.030000000000000027</v>
      </c>
      <c r="N16" s="15">
        <f>IFERROR(N2/M2-1,"")</f>
        <v>-0.07999999999999996</v>
      </c>
      <c r="O16" s="15">
        <f>IFERROR(O2/N2-1,"")</f>
        <v>-0.020000000000000018</v>
      </c>
      <c r="P16" s="15">
        <f>IFERROR(P2/O2-1,"")</f>
        <v>0.020000000000000018</v>
      </c>
      <c r="Q16" s="15">
        <f>IFERROR(Q2/P2-1,"")</f>
        <v>0.030000000000000027</v>
      </c>
      <c r="R16" s="15">
        <f>IFERROR(R2/Q2-1,"")</f>
        <v>-0.029999999999999916</v>
      </c>
      <c r="S16" s="15">
        <f>IFERROR(S2/R2-1,"")</f>
        <v>-0.050000000000000044</v>
      </c>
      <c r="T16" s="15">
        <f>IFERROR(T2/S2-1,"")</f>
        <v>0.0</v>
      </c>
      <c r="U16" s="15">
        <f>IFERROR(U2/T2-1,"")</f>
        <v>0.020000000000000018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0.8500097458454603</v>
      </c>
      <c r="C17" s="15">
        <f>IFERROR(C4/C2,"")</f>
        <v>0.8462784233089584</v>
      </c>
      <c r="D17" s="15">
        <f>IFERROR(D4/D2,"")</f>
        <v>0.842142979310102</v>
      </c>
      <c r="E17" s="15">
        <f>IFERROR(E4/E2,"")</f>
        <v>0.8424676545567303</v>
      </c>
      <c r="F17" s="15">
        <f>IFERROR(F4/F2,"")</f>
        <v>0.8353725746798811</v>
      </c>
      <c r="G17" s="15">
        <f>IFERROR(G4/G2,"")</f>
        <v>0.8351110015300993</v>
      </c>
      <c r="H17" s="15">
        <f>IFERROR(H4/H2,"")</f>
        <v>0.8319744278852144</v>
      </c>
      <c r="I17" s="15">
        <f>IFERROR(I4/I2,"")</f>
        <v>0.8392350520571409</v>
      </c>
      <c r="J17" s="15">
        <f>IFERROR(J4/J2,"")</f>
        <v>0.846013749223851</v>
      </c>
      <c r="K17" s="15">
        <f>IFERROR(K4/K2,"")</f>
        <v>0.8466889092050306</v>
      </c>
      <c r="L17" s="15">
        <f>IFERROR(L4/L2,"")</f>
        <v>0.8097869757232512</v>
      </c>
      <c r="M17" s="15">
        <f>IFERROR(M4/M2,"")</f>
        <v>0.8098</v>
      </c>
      <c r="N17" s="15">
        <f>IFERROR(N4/N2,"")</f>
        <v>0.8098000000000001</v>
      </c>
      <c r="O17" s="15">
        <f>IFERROR(O4/O2,"")</f>
        <v>0.8098000000000001</v>
      </c>
      <c r="P17" s="15">
        <f>IFERROR(P4/P2,"")</f>
        <v>0.8098000000000001</v>
      </c>
      <c r="Q17" s="15">
        <f>IFERROR(Q4/Q2,"")</f>
        <v>0.8098</v>
      </c>
      <c r="R17" s="15">
        <f>IFERROR(R4/R2,"")</f>
        <v>0.8097999999999999</v>
      </c>
      <c r="S17" s="15">
        <f>IFERROR(S4/S2,"")</f>
        <v>0.8098</v>
      </c>
      <c r="T17" s="15">
        <f>IFERROR(T4/T2,"")</f>
        <v>0.8098</v>
      </c>
      <c r="U17" s="15">
        <f>IFERROR(U4/U2,"")</f>
        <v>0.8098</v>
      </c>
      <c r="V17" s="15">
        <f>IFERROR(V4/V2,"")</f>
        <v>0.8098000000000001</v>
      </c>
    </row>
    <row r="18">
      <c r="A18" s="14" t="inlineStr">
        <is>
          <t>Operating Margin</t>
        </is>
      </c>
      <c r="B18" s="15">
        <f>IFERROR(B8/B2,"")</f>
        <v>0.4581245300560705</v>
      </c>
      <c r="C18" s="15">
        <f>IFERROR(C8/C2,"")</f>
        <v>0.43327972031379597</v>
      </c>
      <c r="D18" s="15">
        <f>IFERROR(D8/D2,"")</f>
        <v>0.4383952977266731</v>
      </c>
      <c r="E18" s="15">
        <f>IFERROR(E8/E2,"")</f>
        <v>0.42249463178764574</v>
      </c>
      <c r="F18" s="15">
        <f>IFERROR(F8/F2,"")</f>
        <v>0.4301144708634962</v>
      </c>
      <c r="G18" s="15">
        <f>IFERROR(G8/G2,"")</f>
        <v>0.4263702635180312</v>
      </c>
      <c r="H18" s="15">
        <f>IFERROR(H8/H2,"")</f>
        <v>0.4165056874753825</v>
      </c>
      <c r="I18" s="15">
        <f>IFERROR(I8/I2,"")</f>
        <v>0.42275960711073407</v>
      </c>
      <c r="J18" s="15">
        <f>IFERROR(J8/J2,"")</f>
        <v>0.44163246358216246</v>
      </c>
      <c r="K18" s="15">
        <f>IFERROR(K8/K2,"")</f>
        <v>0.4419341360382301</v>
      </c>
      <c r="L18" s="15">
        <f>IFERROR(L8/L2,"")</f>
        <v>0.4130471445690055</v>
      </c>
      <c r="M18" s="15">
        <f>IFERROR(M8/M2,"")</f>
        <v>0.4037</v>
      </c>
      <c r="N18" s="15">
        <f>IFERROR(N8/N2,"")</f>
        <v>0.3944</v>
      </c>
      <c r="O18" s="15">
        <f>IFERROR(O8/O2,"")</f>
        <v>0.3851</v>
      </c>
      <c r="P18" s="15">
        <f>IFERROR(P8/P2,"")</f>
        <v>0.37579999999999997</v>
      </c>
      <c r="Q18" s="15">
        <f>IFERROR(Q8/Q2,"")</f>
        <v>0.3665</v>
      </c>
      <c r="R18" s="15">
        <f>IFERROR(R8/R2,"")</f>
        <v>0.3572</v>
      </c>
      <c r="S18" s="15">
        <f>IFERROR(S8/S2,"")</f>
        <v>0.3479</v>
      </c>
      <c r="T18" s="15">
        <f>IFERROR(T8/T2,"")</f>
        <v>0.33859999999999996</v>
      </c>
      <c r="U18" s="15">
        <f>IFERROR(U8/U2,"")</f>
        <v>0.32930000000000004</v>
      </c>
      <c r="V18" s="15">
        <f>IFERROR(V8/V2,"")</f>
        <v>0.32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Novo Nordisk A/S: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0.09</v>
      </c>
      <c r="C10" s="59" t="n">
        <v>0.08</v>
      </c>
      <c r="D10" s="59" t="n">
        <v>0.07000000000000001</v>
      </c>
      <c r="E10" s="60">
        <f>IF(ISNUMBER($B$6),$B$6,CHOOSE($B$4,B10,C10,D10))</f>
        <v>0.08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-0.08</v>
      </c>
      <c r="C12" s="59" t="n">
        <v>-0.03</v>
      </c>
      <c r="D12" s="59" t="n">
        <v>0.02</v>
      </c>
      <c r="E12" s="60">
        <f>CHOOSE($B$4,B12,C12,D12)</f>
        <v>-0.03</v>
      </c>
    </row>
    <row r="13">
      <c r="A13" s="14" t="inlineStr">
        <is>
          <t>Operating margin, year 10</t>
        </is>
      </c>
      <c r="B13" s="59" t="n">
        <v>0.27</v>
      </c>
      <c r="C13" s="59" t="n">
        <v>0.32</v>
      </c>
      <c r="D13" s="59" t="n">
        <v>0.37</v>
      </c>
      <c r="E13" s="60">
        <f>CHOOSE($B$4,B13,C13,D13)</f>
        <v>0.32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0.413</v>
      </c>
    </row>
    <row r="19">
      <c r="A19" s="14" t="inlineStr">
        <is>
          <t>Gross margin (forecast)</t>
        </is>
      </c>
      <c r="B19" s="59" t="n">
        <v>0.8098</v>
      </c>
    </row>
    <row r="20">
      <c r="A20" s="14" t="inlineStr">
        <is>
          <t>R&amp;D share of operating expense (forecast)</t>
        </is>
      </c>
      <c r="B20" s="59" t="n">
        <v>0.4244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(DKK)</t>
        </is>
      </c>
      <c r="B24" s="32" t="n">
        <v>6.6425</v>
      </c>
    </row>
    <row r="25">
      <c r="A25" s="14" t="inlineStr">
        <is>
          <t>Base revenue, FY2025</t>
        </is>
      </c>
      <c r="B25" s="61">
        <f>'Yearly Model'!L2</f>
        <v>46528.265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182118.5137404711</v>
      </c>
      <c r="C29" s="62">
        <f>NPV!B26</f>
        <v>166387.38841115232</v>
      </c>
      <c r="D29" s="35">
        <f>NPV!B28</f>
        <v>37.44090648315759</v>
      </c>
      <c r="E29" s="63">
        <f>NPV!B30</f>
        <v>-0.04839480281719177</v>
      </c>
    </row>
    <row r="30">
      <c r="A30" s="64" t="n">
        <v>1</v>
      </c>
      <c r="B30" s="65">
        <f t="dataTable" ref="B30:E32" r1="B4"/>
        <v>113782.48335016386</v>
      </c>
      <c r="C30" s="65">
        <v>98051.35802084509</v>
      </c>
      <c r="D30" s="39">
        <v>22.06376193088323</v>
      </c>
      <c r="E30" s="66">
        <v>-0.43922323215444825</v>
      </c>
    </row>
    <row r="31">
      <c r="A31" s="64" t="n">
        <v>2</v>
      </c>
      <c r="B31" s="65">
        <v>182118.5137404711</v>
      </c>
      <c r="C31" s="65">
        <v>166387.38841115232</v>
      </c>
      <c r="D31" s="39">
        <v>37.44090648315759</v>
      </c>
      <c r="E31" s="66">
        <v>-0.04839480281719177</v>
      </c>
    </row>
    <row r="32">
      <c r="A32" s="64" t="n">
        <v>3</v>
      </c>
      <c r="B32" s="65">
        <v>323222.0200219514</v>
      </c>
      <c r="C32" s="65">
        <v>307490.8946926326</v>
      </c>
      <c r="D32" s="39">
        <v>69.19237054289663</v>
      </c>
      <c r="E32" s="66">
        <v>0.7586064440944624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37.44090648315759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0.06</v>
      </c>
      <c r="B37" s="39">
        <f t="dataTable" ref="B37:F41" dt2D="1" r1="B7" r2="B6"/>
        <v>48.872353663929395</v>
      </c>
      <c r="C37" s="39">
        <v>52.70395169110592</v>
      </c>
      <c r="D37" s="39">
        <v>57.63029201176143</v>
      </c>
      <c r="E37" s="39">
        <v>64.19874577263546</v>
      </c>
      <c r="F37" s="39">
        <v>73.39458103785911</v>
      </c>
    </row>
    <row r="38">
      <c r="A38" s="68" t="n">
        <v>0.07000000000000001</v>
      </c>
      <c r="B38" s="39">
        <v>40.23511753122811</v>
      </c>
      <c r="C38" s="39">
        <v>42.51963635313009</v>
      </c>
      <c r="D38" s="39">
        <v>45.31182602434362</v>
      </c>
      <c r="E38" s="39">
        <v>48.80206311336053</v>
      </c>
      <c r="F38" s="39">
        <v>53.28951079923942</v>
      </c>
    </row>
    <row r="39">
      <c r="A39" s="68" t="n">
        <v>0.08</v>
      </c>
      <c r="B39" s="39">
        <v>34.236588775983506</v>
      </c>
      <c r="C39" s="39">
        <v>35.705234391771626</v>
      </c>
      <c r="D39" s="39">
        <v>37.44090648315759</v>
      </c>
      <c r="E39" s="39">
        <v>39.523712992820734</v>
      </c>
      <c r="F39" s="39">
        <v>42.069365393520144</v>
      </c>
    </row>
    <row r="40">
      <c r="A40" s="68" t="n">
        <v>0.09</v>
      </c>
      <c r="B40" s="39">
        <v>29.821388043593306</v>
      </c>
      <c r="C40" s="39">
        <v>30.816905105515072</v>
      </c>
      <c r="D40" s="39">
        <v>31.965578638501718</v>
      </c>
      <c r="E40" s="39">
        <v>33.30569776031948</v>
      </c>
      <c r="F40" s="39">
        <v>34.889474904285926</v>
      </c>
    </row>
    <row r="41">
      <c r="A41" s="68" t="n">
        <v>0.1</v>
      </c>
      <c r="B41" s="39">
        <v>26.43088153191533</v>
      </c>
      <c r="C41" s="39">
        <v>27.13280682727011</v>
      </c>
      <c r="D41" s="39">
        <v>27.928322162005525</v>
      </c>
      <c r="E41" s="39">
        <v>28.837482544560284</v>
      </c>
      <c r="F41" s="39">
        <v>29.886513755200397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-0.03</v>
      </c>
      <c r="C46" s="59" t="n">
        <v>-0.08</v>
      </c>
      <c r="D46" s="59" t="n">
        <v>-0.02</v>
      </c>
      <c r="E46" s="59" t="n">
        <v>0.02</v>
      </c>
      <c r="F46" s="59" t="n">
        <v>0.03</v>
      </c>
      <c r="G46" s="59" t="n">
        <v>-0.03</v>
      </c>
      <c r="H46" s="59" t="n">
        <v>-0.05</v>
      </c>
      <c r="I46" s="59" t="n">
        <v>0</v>
      </c>
      <c r="J46" s="59" t="n">
        <v>0.02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Novo Nordisk A/S: free-cash-flow DCF ($mm)</t>
        </is>
      </c>
    </row>
    <row r="3">
      <c r="A3" s="20" t="inlineStr">
        <is>
          <t>Fiscal year</t>
        </is>
      </c>
      <c r="B3" s="44">
        <f>'Yearly Model'!L1</f>
        <v>2025</v>
      </c>
      <c r="C3" s="44">
        <f>'Yearly Model'!M1</f>
        <v>2026</v>
      </c>
      <c r="D3" s="44">
        <f>'Yearly Model'!N1</f>
        <v>2027</v>
      </c>
      <c r="E3" s="44">
        <f>'Yearly Model'!O1</f>
        <v>2028</v>
      </c>
      <c r="F3" s="44">
        <f>'Yearly Model'!P1</f>
        <v>2029</v>
      </c>
      <c r="G3" s="44">
        <f>'Yearly Model'!Q1</f>
        <v>2030</v>
      </c>
      <c r="H3" s="44">
        <f>'Yearly Model'!R1</f>
        <v>2031</v>
      </c>
      <c r="I3" s="44">
        <f>'Yearly Model'!S1</f>
        <v>2032</v>
      </c>
      <c r="J3" s="44">
        <f>'Yearly Model'!T1</f>
        <v>2033</v>
      </c>
      <c r="K3" s="44">
        <f>'Yearly Model'!U1</f>
        <v>2034</v>
      </c>
      <c r="L3" s="44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-0.03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-0.08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-0.02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0.02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0.03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-0.03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-0.05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0.02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0.4130471445690055</v>
      </c>
      <c r="C6" s="69">
        <f>Assumptions!$B$18+(Assumptions!$E$13-Assumptions!$B$18)*C4/Assumptions!$B$21</f>
        <v>0.4037</v>
      </c>
      <c r="D6" s="69">
        <f>Assumptions!$B$18+(Assumptions!$E$13-Assumptions!$B$18)*D4/Assumptions!$B$21</f>
        <v>0.3944</v>
      </c>
      <c r="E6" s="69">
        <f>Assumptions!$B$18+(Assumptions!$E$13-Assumptions!$B$18)*E4/Assumptions!$B$21</f>
        <v>0.3851</v>
      </c>
      <c r="F6" s="69">
        <f>Assumptions!$B$18+(Assumptions!$E$13-Assumptions!$B$18)*F4/Assumptions!$B$21</f>
        <v>0.37579999999999997</v>
      </c>
      <c r="G6" s="69">
        <f>Assumptions!$B$18+(Assumptions!$E$13-Assumptions!$B$18)*G4/Assumptions!$B$21</f>
        <v>0.3665</v>
      </c>
      <c r="H6" s="69">
        <f>Assumptions!$B$18+(Assumptions!$E$13-Assumptions!$B$18)*H4/Assumptions!$B$21</f>
        <v>0.3572</v>
      </c>
      <c r="I6" s="69">
        <f>Assumptions!$B$18+(Assumptions!$E$13-Assumptions!$B$18)*I4/Assumptions!$B$21</f>
        <v>0.3479</v>
      </c>
      <c r="J6" s="69">
        <f>Assumptions!$B$18+(Assumptions!$E$13-Assumptions!$B$18)*J4/Assumptions!$B$21</f>
        <v>0.3386</v>
      </c>
      <c r="K6" s="69">
        <f>Assumptions!$B$18+(Assumptions!$E$13-Assumptions!$B$18)*K4/Assumptions!$B$21</f>
        <v>0.32930000000000004</v>
      </c>
      <c r="L6" s="69">
        <f>Assumptions!$B$18+(Assumptions!$E$13-Assumptions!$B$18)*L4/Assumptions!$B$21</f>
        <v>0.32</v>
      </c>
    </row>
    <row r="7">
      <c r="A7" s="14" t="inlineStr">
        <is>
          <t>Revenue</t>
        </is>
      </c>
      <c r="B7" s="61">
        <f>'Yearly Model'!L2</f>
        <v>46528.265</v>
      </c>
      <c r="C7" s="61">
        <f>'Yearly Model'!M2</f>
        <v>45132.41705</v>
      </c>
      <c r="D7" s="61">
        <f>'Yearly Model'!N2</f>
        <v>41521.823685999996</v>
      </c>
      <c r="E7" s="61">
        <f>'Yearly Model'!O2</f>
        <v>40691.387212279995</v>
      </c>
      <c r="F7" s="61">
        <f>'Yearly Model'!P2</f>
        <v>41505.2149565256</v>
      </c>
      <c r="G7" s="61">
        <f>'Yearly Model'!Q2</f>
        <v>42750.37140522137</v>
      </c>
      <c r="H7" s="61">
        <f>'Yearly Model'!R2</f>
        <v>41467.86026306473</v>
      </c>
      <c r="I7" s="61">
        <f>'Yearly Model'!S2</f>
        <v>39394.46724991149</v>
      </c>
      <c r="J7" s="61">
        <f>'Yearly Model'!T2</f>
        <v>39394.46724991149</v>
      </c>
      <c r="K7" s="61">
        <f>'Yearly Model'!U2</f>
        <v>40182.35659490972</v>
      </c>
      <c r="L7" s="61">
        <f>'Yearly Model'!V2</f>
        <v>41186.915509782455</v>
      </c>
    </row>
    <row r="8">
      <c r="A8" s="14" t="inlineStr">
        <is>
          <t>Operating income</t>
        </is>
      </c>
      <c r="B8" s="61">
        <f>'Yearly Model'!L8</f>
        <v>19218.367</v>
      </c>
      <c r="C8" s="61">
        <f>'Yearly Model'!M8</f>
        <v>18219.956763085</v>
      </c>
      <c r="D8" s="61">
        <f>'Yearly Model'!N8</f>
        <v>16376.207261758398</v>
      </c>
      <c r="E8" s="61">
        <f>'Yearly Model'!O8</f>
        <v>15670.253215449025</v>
      </c>
      <c r="F8" s="61">
        <f>'Yearly Model'!P8</f>
        <v>15597.659780662318</v>
      </c>
      <c r="G8" s="61">
        <f>'Yearly Model'!Q8</f>
        <v>15668.01112001363</v>
      </c>
      <c r="H8" s="61">
        <f>'Yearly Model'!R8</f>
        <v>14812.319685966722</v>
      </c>
      <c r="I8" s="61">
        <f>'Yearly Model'!S8</f>
        <v>13705.335156244208</v>
      </c>
      <c r="J8" s="61">
        <f>'Yearly Model'!T8</f>
        <v>13338.966610820029</v>
      </c>
      <c r="K8" s="61">
        <f>'Yearly Model'!U8</f>
        <v>13232.050026703771</v>
      </c>
      <c r="L8" s="61">
        <f>'Yearly Model'!V8</f>
        <v>13179.812963130385</v>
      </c>
    </row>
    <row r="9">
      <c r="A9" s="14" t="inlineStr">
        <is>
          <t>Tax on operating income</t>
        </is>
      </c>
      <c r="C9" s="58">
        <f>MAX(0,C8)*Assumptions!$E$14</f>
        <v>3097.39264972445</v>
      </c>
      <c r="D9" s="58">
        <f>MAX(0,D8)*Assumptions!$E$14</f>
        <v>2783.955234498928</v>
      </c>
      <c r="E9" s="58">
        <f>MAX(0,E8)*Assumptions!$E$14</f>
        <v>2663.9430466263343</v>
      </c>
      <c r="F9" s="58">
        <f>MAX(0,F8)*Assumptions!$E$14</f>
        <v>2651.6021627125942</v>
      </c>
      <c r="G9" s="58">
        <f>MAX(0,G8)*Assumptions!$E$14</f>
        <v>2663.561890402317</v>
      </c>
      <c r="H9" s="58">
        <f>MAX(0,H8)*Assumptions!$E$14</f>
        <v>2518.094346614343</v>
      </c>
      <c r="I9" s="58">
        <f>MAX(0,I8)*Assumptions!$E$14</f>
        <v>2329.9069765615154</v>
      </c>
      <c r="J9" s="58">
        <f>MAX(0,J8)*Assumptions!$E$14</f>
        <v>2267.624323839405</v>
      </c>
      <c r="K9" s="58">
        <f>MAX(0,K8)*Assumptions!$E$14</f>
        <v>2249.4485045396414</v>
      </c>
      <c r="L9" s="58">
        <f>MAX(0,L8)*Assumptions!$E$14</f>
        <v>2240.568203732166</v>
      </c>
    </row>
    <row r="10">
      <c r="A10" s="14" t="inlineStr">
        <is>
          <t>NOPAT</t>
        </is>
      </c>
      <c r="C10" s="58">
        <f>C8-C9</f>
        <v>15122.56411336055</v>
      </c>
      <c r="D10" s="58">
        <f>D8-D9</f>
        <v>13592.25202725947</v>
      </c>
      <c r="E10" s="58">
        <f>E8-E9</f>
        <v>13006.31016882269</v>
      </c>
      <c r="F10" s="58">
        <f>F8-F9</f>
        <v>12946.057617949724</v>
      </c>
      <c r="G10" s="58">
        <f>G8-G9</f>
        <v>13004.449229611313</v>
      </c>
      <c r="H10" s="58">
        <f>H8-H9</f>
        <v>12294.225339352379</v>
      </c>
      <c r="I10" s="58">
        <f>I8-I9</f>
        <v>11375.428179682693</v>
      </c>
      <c r="J10" s="58">
        <f>J8-J9</f>
        <v>11071.342286980624</v>
      </c>
      <c r="K10" s="58">
        <f>K8-K9</f>
        <v>10982.60152216413</v>
      </c>
      <c r="L10" s="58">
        <f>L8-L9</f>
        <v>10939.24475939822</v>
      </c>
    </row>
    <row r="11">
      <c r="A11" s="14" t="inlineStr">
        <is>
          <t>Reinvestment</t>
        </is>
      </c>
      <c r="C11" s="58">
        <f>(C7-B7)*Assumptions!$E$15</f>
        <v>-348.96198750000076</v>
      </c>
      <c r="D11" s="58">
        <f>(D7-C7)*Assumptions!$E$15</f>
        <v>-902.6483410000001</v>
      </c>
      <c r="E11" s="58">
        <f>(E7-D7)*Assumptions!$E$15</f>
        <v>-207.6091184300003</v>
      </c>
      <c r="F11" s="58">
        <f>(F7-E7)*Assumptions!$E$15</f>
        <v>203.45693606140048</v>
      </c>
      <c r="G11" s="58">
        <f>(G7-F7)*Assumptions!$E$15</f>
        <v>311.28911217394307</v>
      </c>
      <c r="H11" s="58">
        <f>(H7-G7)*Assumptions!$E$15</f>
        <v>-320.62778553915996</v>
      </c>
      <c r="I11" s="58">
        <f>(I7-H7)*Assumptions!$E$15</f>
        <v>-518.3482532883099</v>
      </c>
      <c r="J11" s="58">
        <f>(J7-I7)*Assumptions!$E$15</f>
        <v>0.0</v>
      </c>
      <c r="K11" s="58">
        <f>(K7-J7)*Assumptions!$E$15</f>
        <v>196.97233624955697</v>
      </c>
      <c r="L11" s="58">
        <f>(L7-K7)*Assumptions!$E$15</f>
        <v>251.13972871818441</v>
      </c>
    </row>
    <row r="12">
      <c r="A12" s="20" t="inlineStr">
        <is>
          <t>Free cash flow</t>
        </is>
      </c>
      <c r="C12" s="70">
        <f>C10-C11</f>
        <v>15471.52610086055</v>
      </c>
      <c r="D12" s="70">
        <f>D10-D11</f>
        <v>14494.90036825947</v>
      </c>
      <c r="E12" s="70">
        <f>E10-E11</f>
        <v>13213.919287252691</v>
      </c>
      <c r="F12" s="70">
        <f>F10-F11</f>
        <v>12742.600681888323</v>
      </c>
      <c r="G12" s="70">
        <f>G10-G11</f>
        <v>12693.16011743737</v>
      </c>
      <c r="H12" s="70">
        <f>H10-H11</f>
        <v>12614.853124891539</v>
      </c>
      <c r="I12" s="70">
        <f>I10-I11</f>
        <v>11893.776432971003</v>
      </c>
      <c r="J12" s="70">
        <f>J10-J11</f>
        <v>11071.342286980624</v>
      </c>
      <c r="K12" s="70">
        <f>K10-K11</f>
        <v>10785.629185914573</v>
      </c>
      <c r="L12" s="70">
        <f>L10-L11</f>
        <v>10688.105030680035</v>
      </c>
    </row>
    <row r="13">
      <c r="A13" s="14" t="inlineStr">
        <is>
          <t>Year fraction</t>
        </is>
      </c>
      <c r="C13" s="47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71">
        <f>1/(1+Assumptions!$E$10)^C14</f>
        <v>0.9622504486493761</v>
      </c>
      <c r="D15" s="71">
        <f>1/(1+Assumptions!$E$10)^D14</f>
        <v>0.8909726376383114</v>
      </c>
      <c r="E15" s="71">
        <f>1/(1+Assumptions!$E$10)^E14</f>
        <v>0.8249746644799177</v>
      </c>
      <c r="F15" s="71">
        <f>1/(1+Assumptions!$E$10)^F14</f>
        <v>0.763865430073998</v>
      </c>
      <c r="G15" s="71">
        <f>1/(1+Assumptions!$E$10)^G14</f>
        <v>0.7072828056240721</v>
      </c>
      <c r="H15" s="71">
        <f>1/(1+Assumptions!$E$10)^H14</f>
        <v>0.6548914866889556</v>
      </c>
      <c r="I15" s="71">
        <f>1/(1+Assumptions!$E$10)^I14</f>
        <v>0.6063810061934773</v>
      </c>
      <c r="J15" s="71">
        <f>1/(1+Assumptions!$E$10)^J14</f>
        <v>0.5614638946235901</v>
      </c>
      <c r="K15" s="71">
        <f>1/(1+Assumptions!$E$10)^K14</f>
        <v>0.5198739765033241</v>
      </c>
      <c r="L15" s="71">
        <f>1/(1+Assumptions!$E$10)^L14</f>
        <v>0.48136479305863344</v>
      </c>
    </row>
    <row r="16">
      <c r="A16" s="20" t="inlineStr">
        <is>
          <t>PV of free cash flow</t>
        </is>
      </c>
      <c r="C16" s="70">
        <f>C12*C13*C15</f>
        <v>14887.482931843597</v>
      </c>
      <c r="D16" s="70">
        <f>D12*D13*D15</f>
        <v>12914.559613412672</v>
      </c>
      <c r="E16" s="70">
        <f>E12*E13*E15</f>
        <v>10901.148630466003</v>
      </c>
      <c r="F16" s="70">
        <f>F12*F13*F15</f>
        <v>9733.632150131843</v>
      </c>
      <c r="G16" s="70">
        <f>G12*G13*G15</f>
        <v>8977.653900096679</v>
      </c>
      <c r="H16" s="70">
        <f>H12*H13*H15</f>
        <v>8261.359917323038</v>
      </c>
      <c r="I16" s="70">
        <f>I12*I13*I15</f>
        <v>7212.160120865225</v>
      </c>
      <c r="J16" s="70">
        <f>J12*J13*J15</f>
        <v>6216.158959158986</v>
      </c>
      <c r="K16" s="70">
        <f>K12*K13*K15</f>
        <v>5607.167933971719</v>
      </c>
      <c r="L16" s="70">
        <f>L12*L13*L15</f>
        <v>5144.877466282234</v>
      </c>
    </row>
    <row r="19">
      <c r="A19" s="14" t="inlineStr">
        <is>
          <t>PV of forecast free cash flow</t>
        </is>
      </c>
      <c r="B19" s="58">
        <f>SUM(C16:L16)</f>
        <v>89856.20162355201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10955.307656447034</v>
      </c>
    </row>
    <row r="21">
      <c r="A21" s="14" t="inlineStr">
        <is>
          <t>Terminal value</t>
        </is>
      </c>
      <c r="B21" s="58">
        <f>B20/(Assumptions!$E$10-Assumptions!$E$11)</f>
        <v>199187.41193540063</v>
      </c>
    </row>
    <row r="22">
      <c r="A22" s="14" t="inlineStr">
        <is>
          <t>PV of terminal value</t>
        </is>
      </c>
      <c r="B22" s="58">
        <f>B21/(1+Assumptions!$E$10)^(L14+0.5)</f>
        <v>92262.31211691907</v>
      </c>
    </row>
    <row r="23">
      <c r="A23" s="20" t="inlineStr">
        <is>
          <t>Enterprise value</t>
        </is>
      </c>
      <c r="B23" s="72">
        <f>B19+B22</f>
        <v>182118.5137404711</v>
      </c>
    </row>
    <row r="24">
      <c r="A24" s="14" t="inlineStr">
        <is>
          <t>Cash &amp; investments</t>
        </is>
      </c>
      <c r="B24" s="61">
        <f>Main!C7</f>
        <v>3984.042152803914</v>
      </c>
    </row>
    <row r="25">
      <c r="A25" s="14" t="inlineStr">
        <is>
          <t>Debt</t>
        </is>
      </c>
      <c r="B25" s="61">
        <f>Main!C8</f>
        <v>19715.167482122695</v>
      </c>
    </row>
    <row r="26">
      <c r="A26" s="20" t="inlineStr">
        <is>
          <t>Equity value</t>
        </is>
      </c>
      <c r="B26" s="72">
        <f>B23+B24-B25</f>
        <v>166387.38841115232</v>
      </c>
    </row>
    <row r="27">
      <c r="A27" s="14" t="inlineStr">
        <is>
          <t>Shares (mm)</t>
        </is>
      </c>
      <c r="B27" s="61">
        <f>Main!C4</f>
        <v>4444</v>
      </c>
    </row>
    <row r="28">
      <c r="A28" s="20" t="inlineStr">
        <is>
          <t>NPV / share</t>
        </is>
      </c>
      <c r="B28" s="50">
        <f>B26/B27</f>
        <v>37.44090648315759</v>
      </c>
    </row>
    <row r="29">
      <c r="A29" s="14" t="inlineStr">
        <is>
          <t>Price</t>
        </is>
      </c>
      <c r="B29" s="51">
        <f>Main!C3</f>
        <v>39.345</v>
      </c>
    </row>
    <row r="30">
      <c r="A30" s="14" t="inlineStr">
        <is>
          <t>Upside</t>
        </is>
      </c>
      <c r="B30" s="69">
        <f>B28/B29-1</f>
        <v>-0.04839480281719177</v>
      </c>
    </row>
    <row r="31">
      <c r="A31" s="14" t="inlineStr">
        <is>
          <t>Terminal value, % of EV</t>
        </is>
      </c>
      <c r="B31" s="69">
        <f>IFERROR(B22/B23,0)</f>
        <v>0.5066058920752996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NVO: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39.35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46402</v>
      </c>
    </row>
    <row r="7">
      <c r="A7" s="14" t="inlineStr">
        <is>
          <t>Long expiry</t>
        </is>
      </c>
      <c r="B7" s="31" t="n">
        <v>46773</v>
      </c>
    </row>
    <row r="8">
      <c r="A8" s="14" t="inlineStr">
        <is>
          <t>Years to near expiry</t>
        </is>
      </c>
      <c r="B8" s="71">
        <f>(B6-B5)/365</f>
        <v>0.23835616438356164</v>
      </c>
    </row>
    <row r="9">
      <c r="A9" s="14" t="inlineStr">
        <is>
          <t>Years to long expiry</t>
        </is>
      </c>
      <c r="B9" s="71">
        <f>(B7-B5)/365</f>
        <v>1.2547945205479452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0.045</v>
      </c>
    </row>
    <row r="12">
      <c r="A12" s="14" t="inlineStr">
        <is>
          <t>ATM implied volatility, near</t>
        </is>
      </c>
      <c r="B12" s="59" t="n">
        <v>0.349</v>
      </c>
    </row>
    <row r="13">
      <c r="A13" s="14" t="inlineStr">
        <is>
          <t>ATM implied volatility, long</t>
        </is>
      </c>
      <c r="B13" s="59" t="n">
        <v>0.3767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40</v>
      </c>
    </row>
    <row r="18">
      <c r="A18" s="14" t="inlineStr">
        <is>
          <t>ATM call (mid)</t>
        </is>
      </c>
      <c r="B18" s="52" t="n">
        <v>2.59</v>
      </c>
    </row>
    <row r="19">
      <c r="A19" s="14" t="inlineStr">
        <is>
          <t>ATM put (mid)</t>
        </is>
      </c>
      <c r="B19" s="52" t="n">
        <v>2.825</v>
      </c>
    </row>
    <row r="20">
      <c r="A20" s="14" t="inlineStr">
        <is>
          <t>Straddle, % of spot (expected move)</t>
        </is>
      </c>
      <c r="B20" s="69">
        <f>(B18+B19)/B4</f>
        <v>0.13761118170266837</v>
      </c>
    </row>
    <row r="21">
      <c r="A21" s="14" t="inlineStr">
        <is>
          <t>Expected range, low</t>
        </is>
      </c>
      <c r="B21" s="53">
        <f>B4*(1-B20)</f>
        <v>33.935</v>
      </c>
    </row>
    <row r="22">
      <c r="A22" s="14" t="inlineStr">
        <is>
          <t>Expected range, high</t>
        </is>
      </c>
      <c r="B22" s="53">
        <f>B4*(1+B20)</f>
        <v>44.765</v>
      </c>
    </row>
    <row r="23">
      <c r="A23" s="14" t="inlineStr">
        <is>
          <t>1-SD move by long expiry (ATM IV)</t>
        </is>
      </c>
      <c r="B23" s="69">
        <f>B13*SQRT(B9)</f>
        <v>0.4219703411638285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39.10389202272523</v>
      </c>
    </row>
    <row r="28">
      <c r="A28" s="14" t="inlineStr">
        <is>
          <t>Bear</t>
        </is>
      </c>
      <c r="B28" s="51">
        <f>Assumptions!D30</f>
        <v>22.06376193088323</v>
      </c>
      <c r="C28" s="69">
        <f>B28/$B$4-1</f>
        <v>-0.4392944871440094</v>
      </c>
      <c r="D28" s="69">
        <f>IF(B28&gt;0,(B28/$B$4)^(1/$B$9)-1,"")</f>
        <v>-0.36939716283323987</v>
      </c>
      <c r="E28" s="69">
        <f>IF(B28&gt;0,NORMSDIST((LN($B$27/B28)-$B$13^2*$B$9/2)/($B$13*SQRT($B$9))),1)</f>
        <v>0.8739444725410475</v>
      </c>
    </row>
    <row r="29">
      <c r="A29" s="14" t="inlineStr">
        <is>
          <t>Base (reviewed)</t>
        </is>
      </c>
      <c r="B29" s="51">
        <f>Assumptions!D31</f>
        <v>37.44090648315759</v>
      </c>
      <c r="C29" s="69">
        <f>B29/$B$4-1</f>
        <v>-0.0485157183441528</v>
      </c>
      <c r="D29" s="69">
        <f>IF(B29&gt;0,(B29/$B$4)^(1/$B$9)-1,"")</f>
        <v>-0.038858530360708965</v>
      </c>
      <c r="E29" s="69">
        <f>IF(B29&gt;0,NORMSDIST((LN($B$27/B29)-$B$13^2*$B$9/2)/($B$13*SQRT($B$9))),1)</f>
        <v>0.4569992106542898</v>
      </c>
    </row>
    <row r="30">
      <c r="A30" s="14" t="inlineStr">
        <is>
          <t>Bull</t>
        </is>
      </c>
      <c r="B30" s="51">
        <f>Assumptions!D32</f>
        <v>69.19237054289663</v>
      </c>
      <c r="C30" s="69">
        <f>B30/$B$4-1</f>
        <v>0.7583829871130019</v>
      </c>
      <c r="D30" s="69">
        <f>IF(B30&gt;0,(B30/$B$4)^(1/$B$9)-1,"")</f>
        <v>0.5679836267834975</v>
      </c>
      <c r="E30" s="69">
        <f>IF(B30&gt;0,NORMSDIST((LN($B$27/B30)-$B$13^2*$B$9/2)/($B$13*SQRT($B$9))),1)</f>
        <v>0.058982151520421626</v>
      </c>
    </row>
    <row r="32">
      <c r="A32" s="27" t="inlineStr">
        <is>
          <t>Chain, 2028-01-21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22.5</v>
      </c>
      <c r="B34" s="52" t="n">
        <v>17.75</v>
      </c>
      <c r="C34" s="52" t="n">
        <v>18.2</v>
      </c>
      <c r="D34" s="59" t="n">
        <v>0.4136</v>
      </c>
      <c r="E34" s="52" t="n">
        <v>0.52</v>
      </c>
      <c r="F34" s="52" t="n">
        <v>0.68</v>
      </c>
      <c r="G34" s="59" t="n">
        <v>0.4104</v>
      </c>
      <c r="H34" s="55" t="n">
        <v>3239</v>
      </c>
      <c r="I34" s="55" t="n">
        <v>2759</v>
      </c>
    </row>
    <row r="35">
      <c r="A35" s="11" t="n">
        <v>30</v>
      </c>
      <c r="B35" s="52" t="n">
        <v>12.15</v>
      </c>
      <c r="C35" s="52" t="n">
        <v>12.45</v>
      </c>
      <c r="D35" s="59" t="n">
        <v>0.3923</v>
      </c>
      <c r="E35" s="52" t="n">
        <v>1.97</v>
      </c>
      <c r="F35" s="52" t="n">
        <v>2.26</v>
      </c>
      <c r="G35" s="59" t="n">
        <v>0.3938</v>
      </c>
      <c r="H35" s="55" t="n">
        <v>3635</v>
      </c>
      <c r="I35" s="55" t="n">
        <v>1742</v>
      </c>
    </row>
    <row r="36">
      <c r="A36" s="11" t="n">
        <v>32.5</v>
      </c>
      <c r="B36" s="52" t="n">
        <v>10.5</v>
      </c>
      <c r="C36" s="52" t="n">
        <v>10.95</v>
      </c>
      <c r="D36" s="59" t="n">
        <v>0.3891</v>
      </c>
      <c r="E36" s="52" t="n">
        <v>2.72</v>
      </c>
      <c r="F36" s="52" t="n">
        <v>3.1</v>
      </c>
      <c r="G36" s="59" t="n">
        <v>0.3891</v>
      </c>
      <c r="H36" s="55" t="n">
        <v>185</v>
      </c>
      <c r="I36" s="55" t="n">
        <v>5660</v>
      </c>
    </row>
    <row r="37">
      <c r="A37" s="11" t="n">
        <v>35</v>
      </c>
      <c r="B37" s="52" t="n">
        <v>9.1</v>
      </c>
      <c r="C37" s="52" t="n">
        <v>9.35</v>
      </c>
      <c r="D37" s="59" t="n">
        <v>0.3811</v>
      </c>
      <c r="E37" s="52" t="n">
        <v>3.65</v>
      </c>
      <c r="F37" s="52" t="n">
        <v>4.05</v>
      </c>
      <c r="G37" s="59" t="n">
        <v>0.3839</v>
      </c>
      <c r="H37" s="55" t="n">
        <v>6621</v>
      </c>
      <c r="I37" s="55" t="n">
        <v>9370</v>
      </c>
    </row>
    <row r="38">
      <c r="A38" s="11" t="n">
        <v>37.5</v>
      </c>
      <c r="B38" s="52" t="n">
        <v>7.8</v>
      </c>
      <c r="C38" s="52" t="n">
        <v>8.199999999999999</v>
      </c>
      <c r="D38" s="59" t="n">
        <v>0.3821</v>
      </c>
      <c r="E38" s="52" t="n">
        <v>4.8</v>
      </c>
      <c r="F38" s="52" t="n">
        <v>5.15</v>
      </c>
      <c r="G38" s="59" t="n">
        <v>0.381</v>
      </c>
      <c r="H38" s="55" t="n">
        <v>321</v>
      </c>
      <c r="I38" s="55" t="n">
        <v>590</v>
      </c>
    </row>
    <row r="39">
      <c r="A39" s="11" t="n">
        <v>40</v>
      </c>
      <c r="B39" s="52" t="n">
        <v>6.7</v>
      </c>
      <c r="C39" s="52" t="n">
        <v>6.9</v>
      </c>
      <c r="D39" s="59" t="n">
        <v>0.3757</v>
      </c>
      <c r="E39" s="52" t="n">
        <v>6.1</v>
      </c>
      <c r="F39" s="52" t="n">
        <v>6.4</v>
      </c>
      <c r="G39" s="59" t="n">
        <v>0.3777</v>
      </c>
      <c r="H39" s="55" t="n">
        <v>14694</v>
      </c>
      <c r="I39" s="55" t="n">
        <v>7733</v>
      </c>
    </row>
    <row r="40">
      <c r="A40" s="11" t="n">
        <v>42.5</v>
      </c>
      <c r="B40" s="52" t="n">
        <v>5.65</v>
      </c>
      <c r="C40" s="52" t="n">
        <v>6.05</v>
      </c>
      <c r="D40" s="59" t="n">
        <v>0.3765</v>
      </c>
      <c r="E40" s="52" t="n">
        <v>7.5</v>
      </c>
      <c r="F40" s="52" t="n">
        <v>7.9</v>
      </c>
      <c r="G40" s="59" t="n">
        <v>0.376</v>
      </c>
      <c r="H40" s="55" t="n">
        <v>249</v>
      </c>
      <c r="I40" s="55" t="n">
        <v>154</v>
      </c>
    </row>
    <row r="41">
      <c r="A41" s="11" t="n">
        <v>45</v>
      </c>
      <c r="B41" s="52" t="n">
        <v>4.85</v>
      </c>
      <c r="C41" s="52" t="n">
        <v>5.15</v>
      </c>
      <c r="D41" s="59" t="n">
        <v>0.3758</v>
      </c>
      <c r="E41" s="52" t="n">
        <v>9.15</v>
      </c>
      <c r="F41" s="52" t="n">
        <v>9.5</v>
      </c>
      <c r="G41" s="59" t="n">
        <v>0.3764</v>
      </c>
      <c r="H41" s="55" t="n">
        <v>8404</v>
      </c>
      <c r="I41" s="55" t="n">
        <v>6443</v>
      </c>
    </row>
    <row r="42">
      <c r="A42" s="11" t="n">
        <v>47.5</v>
      </c>
      <c r="B42" s="52" t="n">
        <v>4.15</v>
      </c>
      <c r="C42" s="52" t="n">
        <v>4.55</v>
      </c>
      <c r="D42" s="59" t="n">
        <v>0.3803</v>
      </c>
      <c r="E42" s="52" t="n">
        <v>10.85</v>
      </c>
      <c r="F42" s="52" t="n">
        <v>11.3</v>
      </c>
      <c r="G42" s="59" t="n">
        <v>0.3768</v>
      </c>
      <c r="H42" s="55" t="n">
        <v>1688</v>
      </c>
      <c r="I42" s="55" t="n">
        <v>550</v>
      </c>
    </row>
    <row r="43">
      <c r="A43" s="11" t="n">
        <v>50</v>
      </c>
      <c r="B43" s="52" t="n">
        <v>3.6</v>
      </c>
      <c r="C43" s="52" t="n">
        <v>3.9</v>
      </c>
      <c r="D43" s="59" t="n">
        <v>0.3822</v>
      </c>
      <c r="E43" s="52" t="n">
        <v>12.7</v>
      </c>
      <c r="F43" s="52" t="n">
        <v>13.2</v>
      </c>
      <c r="G43" s="59" t="n">
        <v>0.378</v>
      </c>
      <c r="H43" s="55" t="n">
        <v>11041</v>
      </c>
      <c r="I43" s="55" t="n">
        <v>3328</v>
      </c>
    </row>
    <row r="44">
      <c r="A44" s="11" t="n">
        <v>70</v>
      </c>
      <c r="B44" s="52" t="n">
        <v>1.2</v>
      </c>
      <c r="C44" s="52" t="n">
        <v>1.45</v>
      </c>
      <c r="D44" s="59" t="n">
        <v>0.4073</v>
      </c>
      <c r="E44" s="52" t="n">
        <v>30.6</v>
      </c>
      <c r="F44" s="52" t="n">
        <v>30.9</v>
      </c>
      <c r="G44" s="59" t="n">
        <v>0.4178</v>
      </c>
      <c r="H44" s="55" t="n">
        <v>14295</v>
      </c>
      <c r="I44" s="55" t="n">
        <v>100</v>
      </c>
    </row>
    <row r="46">
      <c r="A46" s="27" t="inlineStr">
        <is>
          <t>Strategies, 2028-01-21 expiry (premium: + = credit; P/L at expiry per contract)</t>
        </is>
      </c>
    </row>
    <row r="47">
      <c r="A47" s="20" t="inlineStr">
        <is>
          <t>Leg prices</t>
        </is>
      </c>
    </row>
    <row r="48">
      <c r="A48" s="14" t="inlineStr">
        <is>
          <t>ATM call (mid)</t>
        </is>
      </c>
      <c r="B48" s="30" t="n">
        <v>40</v>
      </c>
      <c r="C48" s="52" t="n">
        <v>6.8</v>
      </c>
    </row>
    <row r="49">
      <c r="A49" s="14" t="inlineStr">
        <is>
          <t>Upper call (mid)</t>
        </is>
      </c>
      <c r="B49" s="30" t="n">
        <v>50</v>
      </c>
      <c r="C49" s="52" t="n">
        <v>3.75</v>
      </c>
    </row>
    <row r="50">
      <c r="A50" s="14" t="inlineStr">
        <is>
          <t>ATM put (mid)</t>
        </is>
      </c>
      <c r="B50" s="30" t="n">
        <v>40</v>
      </c>
      <c r="C50" s="52" t="n">
        <v>6.25</v>
      </c>
    </row>
    <row r="51">
      <c r="A51" s="14" t="inlineStr">
        <is>
          <t>Lower put (mid)</t>
        </is>
      </c>
      <c r="B51" s="30" t="n">
        <v>22.5</v>
      </c>
      <c r="C51" s="52" t="n">
        <v>0.6</v>
      </c>
    </row>
    <row r="52">
      <c r="A52" s="14" t="inlineStr">
        <is>
          <t>Short-put strike (mid)</t>
        </is>
      </c>
      <c r="B52" s="30" t="n">
        <v>35</v>
      </c>
      <c r="C52" s="52" t="n">
        <v>3.85</v>
      </c>
    </row>
    <row r="54">
      <c r="A54" s="24" t="inlineStr">
        <is>
          <t>Strategy</t>
        </is>
      </c>
      <c r="B54" s="25" t="inlineStr">
        <is>
          <t>Premium</t>
        </is>
      </c>
      <c r="C54" s="25" t="inlineStr">
        <is>
          <t>Max profit</t>
        </is>
      </c>
      <c r="D54" s="25" t="inlineStr">
        <is>
          <t>Max loss</t>
        </is>
      </c>
      <c r="E54" s="25" t="inlineStr">
        <is>
          <t>Breakeven</t>
        </is>
      </c>
      <c r="F54" s="25" t="inlineStr">
        <is>
          <t>P/L at bear</t>
        </is>
      </c>
      <c r="G54" s="25" t="inlineStr">
        <is>
          <t>P/L at spot</t>
        </is>
      </c>
      <c r="H54" s="25" t="inlineStr">
        <is>
          <t>P/L at base</t>
        </is>
      </c>
      <c r="I54" s="25" t="inlineStr">
        <is>
          <t>P/L at bull</t>
        </is>
      </c>
      <c r="J54" s="25" t="inlineStr">
        <is>
          <t>Market P(profit)</t>
        </is>
      </c>
    </row>
    <row r="55">
      <c r="A55" s="14" t="inlineStr">
        <is>
          <t>Long ATM call</t>
        </is>
      </c>
      <c r="B55" s="73">
        <f>-$C$48*$B$14</f>
        <v>-680.0</v>
      </c>
      <c r="C55" s="73" t="str">
        <f>"Unlimited"</f>
        <v>Unlimited</v>
      </c>
      <c r="D55" s="73">
        <f>B55</f>
        <v>-680.0</v>
      </c>
      <c r="E55" s="53">
        <f>$B$48+$C$48</f>
        <v>46.8</v>
      </c>
      <c r="F55" s="73">
        <f>(MAX($B$28-$B$48,0)-$C$48)*$B$14</f>
        <v>-680.0</v>
      </c>
      <c r="G55" s="73">
        <f>(MAX($B$4-$B$48,0)-$C$48)*$B$14</f>
        <v>-680.0</v>
      </c>
      <c r="H55" s="73">
        <f>(MAX($B$29-$B$48,0)-$C$48)*$B$14</f>
        <v>-680.0</v>
      </c>
      <c r="I55" s="73">
        <f>(MAX($B$30-$B$48,0)-$C$48)*$B$14</f>
        <v>2239.2370542896624</v>
      </c>
      <c r="J55" s="69">
        <f>NORMSDIST((LN($B$27/(E55))-$B$13^2*$B$9/2)/($B$13*SQRT($B$9)))</f>
        <v>0.2621430234211125</v>
      </c>
    </row>
    <row r="56">
      <c r="A56" s="14" t="inlineStr">
        <is>
          <t>Bull call spread (ATM / upper)</t>
        </is>
      </c>
      <c r="B56" s="73">
        <f>-($C$48-$C$49)*$B$14</f>
        <v>-305.0</v>
      </c>
      <c r="C56" s="73">
        <f>($B$49-$B$48)*$B$14+B56</f>
        <v>695.0</v>
      </c>
      <c r="D56" s="73">
        <f>B56</f>
        <v>-305.0</v>
      </c>
      <c r="E56" s="53">
        <f>$B$48+$C$48-$C$49</f>
        <v>43.05</v>
      </c>
      <c r="F56" s="73">
        <f>(MAX($B$28-$B$48,0)-MAX($B$28-$B$49,0)-$C$48+$C$49)*$B$14</f>
        <v>-305.0</v>
      </c>
      <c r="G56" s="73">
        <f>(MAX($B$4-$B$48,0)-MAX($B$4-$B$49,0)-$C$48+$C$49)*$B$14</f>
        <v>-305.0</v>
      </c>
      <c r="H56" s="73">
        <f>(MAX($B$29-$B$48,0)-MAX($B$29-$B$49,0)-$C$48+$C$49)*$B$14</f>
        <v>-305.0</v>
      </c>
      <c r="I56" s="73">
        <f>(MAX($B$30-$B$48,0)-MAX($B$30-$B$49,0)-$C$48+$C$49)*$B$14</f>
        <v>695.0</v>
      </c>
      <c r="J56" s="69">
        <f>NORMSDIST((LN($B$27/(E56))-$B$13^2*$B$9/2)/($B$13*SQRT($B$9)))</f>
        <v>0.3303953929997835</v>
      </c>
    </row>
    <row r="57">
      <c r="A57" s="14" t="inlineStr">
        <is>
          <t>Cash-secured put (~10% below spot)</t>
        </is>
      </c>
      <c r="B57" s="73">
        <f>$C$52*$B$14</f>
        <v>385.0</v>
      </c>
      <c r="C57" s="73">
        <f>B57</f>
        <v>385.0</v>
      </c>
      <c r="D57" s="73">
        <f>-($B$52*$B$14-B57)</f>
        <v>-3115.0</v>
      </c>
      <c r="E57" s="53">
        <f>$B$52-$C$52</f>
        <v>31.15</v>
      </c>
      <c r="F57" s="73">
        <f>($C$52-MAX($B$52-$B$28,0))*$B$14</f>
        <v>-908.6238069116769</v>
      </c>
      <c r="G57" s="73">
        <f>($C$52-MAX($B$52-$B$4,0))*$B$14</f>
        <v>385.0</v>
      </c>
      <c r="H57" s="73">
        <f>($C$52-MAX($B$52-$B$29,0))*$B$14</f>
        <v>385.0</v>
      </c>
      <c r="I57" s="73">
        <f>($C$52-MAX($B$52-$B$30,0))*$B$14</f>
        <v>385.0</v>
      </c>
      <c r="J57" s="69">
        <f>NORMSDIST((LN($B$27/(E57))-$B$13^2*$B$9/2)/($B$13*SQRT($B$9)))</f>
        <v>0.6285190834491868</v>
      </c>
    </row>
    <row r="58">
      <c r="A58" s="14" t="inlineStr">
        <is>
          <t>Covered call (100 shares + upper call, incl. dividends)</t>
        </is>
      </c>
      <c r="B58" s="73">
        <f>$C$49*$B$14</f>
        <v>375.0</v>
      </c>
      <c r="C58" s="73">
        <f>($B$49-$B$4)*$B$14+B58+$B$4*$B$11*$B$9*$B$14</f>
        <v>1662.1927397260272</v>
      </c>
      <c r="D58" s="73">
        <f>-($B$4*$B$14-B58-$B$4*$B$11*$B$9*$B$14)</f>
        <v>-3337.8072602739726</v>
      </c>
      <c r="E58" s="53">
        <f>$B$4-$C$49-$B$4*$B$11*$B$9</f>
        <v>33.37807260273973</v>
      </c>
      <c r="F58" s="73">
        <f>($B$28-$B$4+$C$49-MAX($B$28-$B$49,0)+$B$4*$B$11*$B$9)*$B$14</f>
        <v>-1131.4310671856497</v>
      </c>
      <c r="G58" s="73">
        <f>($B$4-$B$4+$C$49-MAX($B$4-$B$49,0)+$B$4*$B$11*$B$9)*$B$14</f>
        <v>597.1927397260274</v>
      </c>
      <c r="H58" s="73">
        <f>($B$29-$B$4+$C$49-MAX($B$29-$B$49,0)+$B$4*$B$11*$B$9)*$B$14</f>
        <v>406.2833880417862</v>
      </c>
      <c r="I58" s="73">
        <f>($B$30-$B$4+$C$49-MAX($B$30-$B$49,0)+$B$4*$B$11*$B$9)*$B$14</f>
        <v>1662.1927397260272</v>
      </c>
      <c r="J58" s="69">
        <f>NORMSDIST((LN($B$27/(E58))-$B$13^2*$B$9/2)/($B$13*SQRT($B$9)))</f>
        <v>0.5652185710072712</v>
      </c>
    </row>
    <row r="59">
      <c r="A59" s="14" t="inlineStr">
        <is>
          <t>Bear put spread (ATM / lower)</t>
        </is>
      </c>
      <c r="B59" s="73">
        <f>-($C$50-$C$51)*$B$14</f>
        <v>-565.0</v>
      </c>
      <c r="C59" s="73">
        <f>($B$50-$B$51)*$B$14+B59</f>
        <v>1185.0</v>
      </c>
      <c r="D59" s="73">
        <f>B59</f>
        <v>-565.0</v>
      </c>
      <c r="E59" s="53">
        <f>$B$50-$C$50+$C$51</f>
        <v>34.35</v>
      </c>
      <c r="F59" s="73">
        <f>(MAX($B$50-$B$28,0)-MAX($B$51-$B$28,0)-$C$50+$C$51)*$B$14</f>
        <v>1185.0</v>
      </c>
      <c r="G59" s="73">
        <f>(MAX($B$50-$B$4,0)-MAX($B$51-$B$4,0)-$C$50+$C$51)*$B$14</f>
        <v>-500.00000000000017</v>
      </c>
      <c r="H59" s="73">
        <f>(MAX($B$50-$B$29,0)-MAX($B$51-$B$29,0)-$C$50+$C$51)*$B$14</f>
        <v>-309.09064831575904</v>
      </c>
      <c r="I59" s="73">
        <f>(MAX($B$50-$B$30,0)-MAX($B$51-$B$30,0)-$C$50+$C$51)*$B$14</f>
        <v>-565.0</v>
      </c>
      <c r="J59" s="69">
        <f>1-NORMSDIST((LN($B$27/(E59))-$B$13^2*$B$9/2)/($B$13*SQRT($B$9)))</f>
        <v>0.46168373342816715</v>
      </c>
    </row>
    <row r="61">
      <c r="A61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2026-10-21T01:03:34Z</dcterms:modified>
  <cp:lastModifiedBy>Wang, Eric</cp:lastModifiedBy>
</cp:coreProperties>
</file>