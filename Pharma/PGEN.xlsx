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Precigen, Inc.</t>
        </is>
      </c>
      <c r="C2" s="10" t="n"/>
    </row>
    <row r="3">
      <c r="B3" t="inlineStr">
        <is>
          <t>Price</t>
        </is>
      </c>
      <c r="C3" s="11">
        <f>INDEX([1]Pharma!$F$1:$F$1000,MATCH("PGEN",[1]Pharma!$B$1:$B$1000,0))</f>
        <v>6.83</v>
      </c>
      <c r="F3" s="1" t="n"/>
    </row>
    <row r="4">
      <c r="B4" t="inlineStr">
        <is>
          <t>Shares</t>
        </is>
      </c>
      <c r="C4" s="21" t="n">
        <v>358.035247</v>
      </c>
      <c r="F4" s="1" t="n"/>
    </row>
    <row r="5">
      <c r="B5" t="inlineStr">
        <is>
          <t>Market Cap.</t>
        </is>
      </c>
      <c r="C5" s="13">
        <f>C3*C4</f>
        <v>2445.3807370100003</v>
      </c>
      <c r="F5" s="1" t="n"/>
    </row>
    <row r="6"/>
    <row r="7">
      <c r="B7" t="inlineStr">
        <is>
          <t>Cash</t>
        </is>
      </c>
      <c r="C7" s="21" t="n">
        <v>38.698</v>
      </c>
    </row>
    <row r="8">
      <c r="B8" t="inlineStr">
        <is>
          <t>Debt</t>
        </is>
      </c>
      <c r="C8" s="21" t="n">
        <v>93.88</v>
      </c>
    </row>
    <row r="9">
      <c r="B9" t="inlineStr">
        <is>
          <t>Enterprise V.</t>
        </is>
      </c>
      <c r="C9" s="13">
        <f>C5-C7+C8</f>
        <v>2500.5627370100005</v>
      </c>
    </row>
    <row r="10"/>
    <row r="11">
      <c r="B11" s="14" t="inlineStr">
        <is>
          <t>Net Cash / Share</t>
        </is>
      </c>
      <c r="C11" s="11">
        <f>(C7-C8)/C4</f>
        <v>-0.15412449043040724</v>
      </c>
    </row>
    <row r="12">
      <c r="B12" s="14" t="inlineStr">
        <is>
          <t>Upside</t>
        </is>
      </c>
      <c r="C12" s="15">
        <f>IFERROR(C11/C3-1,"")</f>
        <v>-1.0225658111903964</v>
      </c>
    </row>
    <row r="13">
      <c r="B13" s="14" t="inlineStr">
        <is>
          <t>Cash / Share</t>
        </is>
      </c>
      <c r="C13" s="11">
        <f>IFERROR((C7-C8)/C4,"")</f>
        <v>-0.15412449043040724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-114.165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2500.5627370100005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2011</v>
      </c>
      <c r="C1" s="17" t="n">
        <v>2012</v>
      </c>
      <c r="D1" s="17" t="n">
        <v>2013</v>
      </c>
      <c r="E1" s="17" t="n">
        <v>2014</v>
      </c>
      <c r="F1" s="17" t="n">
        <v>2015</v>
      </c>
      <c r="G1" s="17" t="n">
        <v>2016</v>
      </c>
      <c r="H1" s="17" t="n">
        <v>2017</v>
      </c>
      <c r="I1" s="17" t="n">
        <v>2018</v>
      </c>
      <c r="J1" s="17" t="n">
        <v>2019</v>
      </c>
      <c r="K1" s="17" t="n">
        <v>2020</v>
      </c>
      <c r="L1" s="17" t="n">
        <v>2021</v>
      </c>
      <c r="M1" s="17" t="n">
        <v>2022</v>
      </c>
      <c r="N1" s="17" t="n">
        <v>2023</v>
      </c>
      <c r="O1" s="17" t="n">
        <v>2024</v>
      </c>
      <c r="P1" s="17" t="n">
        <v>2025</v>
      </c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8.013</v>
      </c>
      <c r="C2" s="23" t="n">
        <v>13.774</v>
      </c>
      <c r="D2" s="23" t="n">
        <v>23.76</v>
      </c>
      <c r="E2" s="23" t="n">
        <v>71.93000000000001</v>
      </c>
      <c r="F2" s="23" t="n">
        <v>173.605</v>
      </c>
      <c r="G2" s="23" t="n">
        <v>190.926</v>
      </c>
      <c r="H2" s="23" t="n">
        <v>230.981</v>
      </c>
      <c r="I2" s="23" t="n">
        <v>151.178</v>
      </c>
      <c r="J2" s="23" t="n">
        <v>90.72199999999999</v>
      </c>
      <c r="K2" s="23" t="n">
        <v>31.992</v>
      </c>
      <c r="L2" s="23" t="n">
        <v>14.267</v>
      </c>
      <c r="M2" s="23" t="n">
        <v>26.909</v>
      </c>
      <c r="N2" s="23" t="n">
        <v>6.225</v>
      </c>
      <c r="O2" s="23" t="n">
        <v>3.925</v>
      </c>
      <c r="P2" s="23" t="n">
        <v>9.683999999999999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0.022</v>
      </c>
      <c r="E3" s="23" t="n">
        <v>11.035</v>
      </c>
      <c r="F3" s="23" t="n">
        <v>40.746</v>
      </c>
      <c r="G3" s="23" t="n">
        <v>37.709</v>
      </c>
      <c r="H3" s="23" t="n">
        <v>33.263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</row>
    <row r="4" customFormat="1" s="1">
      <c r="A4" s="5" t="inlineStr">
        <is>
          <t>Gross Margin</t>
        </is>
      </c>
      <c r="B4" s="23">
        <f>B2-B3</f>
        <v>8.013</v>
      </c>
      <c r="C4" s="23">
        <f>C2-C3</f>
        <v>13.774</v>
      </c>
      <c r="D4" s="23">
        <f>D2-D3</f>
        <v>23.738000000000003</v>
      </c>
      <c r="E4" s="23">
        <f>E2-E3</f>
        <v>60.89500000000001</v>
      </c>
      <c r="F4" s="23">
        <f>F2-F3</f>
        <v>132.85899999999998</v>
      </c>
      <c r="G4" s="23">
        <f>G2-G3</f>
        <v>153.21699999999998</v>
      </c>
      <c r="H4" s="23">
        <f>H2-H3</f>
        <v>197.718</v>
      </c>
      <c r="I4" s="23">
        <f>I2-I3</f>
        <v>151.178</v>
      </c>
      <c r="J4" s="23">
        <f>J2-J3</f>
        <v>90.722</v>
      </c>
      <c r="K4" s="23">
        <f>K2-K3</f>
        <v>31.992</v>
      </c>
      <c r="L4" s="23">
        <f>L2-L3</f>
        <v>14.267</v>
      </c>
      <c r="M4" s="23">
        <f>M2-M3</f>
        <v>26.909</v>
      </c>
      <c r="N4" s="23">
        <f>N2-N3</f>
        <v>6.225</v>
      </c>
      <c r="O4" s="23">
        <f>O2-O3</f>
        <v>3.925</v>
      </c>
      <c r="P4" s="23">
        <f>P2-P3</f>
        <v>9.684</v>
      </c>
    </row>
    <row r="5">
      <c r="A5" s="2" t="inlineStr">
        <is>
          <t>Research &amp; Dev.</t>
        </is>
      </c>
      <c r="B5" s="23" t="n">
        <v>70.22799999999999</v>
      </c>
      <c r="C5" s="23" t="n">
        <v>64.03400000000001</v>
      </c>
      <c r="D5" s="23" t="n">
        <v>48.143</v>
      </c>
      <c r="E5" s="23" t="n">
        <v>58.983</v>
      </c>
      <c r="F5" s="23" t="n">
        <v>147.483</v>
      </c>
      <c r="G5" s="23" t="n">
        <v>112.135</v>
      </c>
      <c r="H5" s="23" t="n">
        <v>143.207</v>
      </c>
      <c r="I5" s="23" t="n">
        <v>404.586</v>
      </c>
      <c r="J5" s="23" t="n">
        <v>0</v>
      </c>
      <c r="K5" s="23" t="n">
        <v>0</v>
      </c>
      <c r="L5" s="23" t="n">
        <v>0</v>
      </c>
      <c r="M5" s="23" t="n">
        <v>0</v>
      </c>
      <c r="N5" s="23" t="n">
        <v>48.614</v>
      </c>
      <c r="O5" s="23" t="n">
        <v>53.07</v>
      </c>
      <c r="P5" s="23" t="n">
        <v>41.333</v>
      </c>
    </row>
    <row r="6">
      <c r="A6" s="19" t="inlineStr">
        <is>
          <t>SG&amp;A &amp; Other</t>
        </is>
      </c>
      <c r="B6" s="23" t="n">
        <v>20.212</v>
      </c>
      <c r="C6" s="23" t="n">
        <v>24.897</v>
      </c>
      <c r="D6" s="23" t="n">
        <v>33.618</v>
      </c>
      <c r="E6" s="23" t="n">
        <v>71.874</v>
      </c>
      <c r="F6" s="23" t="n">
        <v>132.24</v>
      </c>
      <c r="G6" s="23" t="n">
        <v>166.248</v>
      </c>
      <c r="H6" s="23" t="n">
        <v>192.401</v>
      </c>
      <c r="I6" s="23" t="n">
        <v>252.202</v>
      </c>
      <c r="J6" s="23" t="n">
        <v>413.046</v>
      </c>
      <c r="K6" s="23" t="n">
        <v>202.513</v>
      </c>
      <c r="L6" s="23" t="n">
        <v>106.467</v>
      </c>
      <c r="M6" s="23" t="n">
        <v>-1.391</v>
      </c>
      <c r="N6" s="23" t="n">
        <v>57.369</v>
      </c>
      <c r="O6" s="23" t="n">
        <v>85.884</v>
      </c>
      <c r="P6" s="23" t="n">
        <v>78.858</v>
      </c>
    </row>
    <row r="7">
      <c r="A7" s="2" t="inlineStr">
        <is>
          <t>Operating Expense</t>
        </is>
      </c>
      <c r="B7" s="23">
        <f>SUM(B5:B6)</f>
        <v>90.44</v>
      </c>
      <c r="C7" s="23">
        <f>SUM(C5:C6)</f>
        <v>88.93100000000001</v>
      </c>
      <c r="D7" s="23">
        <f>SUM(D5:D6)</f>
        <v>81.761</v>
      </c>
      <c r="E7" s="23">
        <f>SUM(E5:E6)</f>
        <v>130.857</v>
      </c>
      <c r="F7" s="23">
        <f>SUM(F5:F6)</f>
        <v>279.723</v>
      </c>
      <c r="G7" s="23">
        <f>SUM(G5:G6)</f>
        <v>278.383</v>
      </c>
      <c r="H7" s="23">
        <f>SUM(H5:H6)</f>
        <v>335.608</v>
      </c>
      <c r="I7" s="23">
        <f>SUM(I5:I6)</f>
        <v>656.788</v>
      </c>
      <c r="J7" s="23">
        <f>SUM(J5:J6)</f>
        <v>413.046</v>
      </c>
      <c r="K7" s="23">
        <f>SUM(K5:K6)</f>
        <v>202.513</v>
      </c>
      <c r="L7" s="23">
        <f>SUM(L5:L6)</f>
        <v>106.467</v>
      </c>
      <c r="M7" s="23">
        <f>SUM(M5:M6)</f>
        <v>-1.391</v>
      </c>
      <c r="N7" s="23">
        <f>SUM(N5:N6)</f>
        <v>105.983</v>
      </c>
      <c r="O7" s="23">
        <f>SUM(O5:O6)</f>
        <v>138.954</v>
      </c>
      <c r="P7" s="23">
        <f>SUM(P5:P6)</f>
        <v>120.191</v>
      </c>
    </row>
    <row r="8">
      <c r="A8" s="2" t="inlineStr">
        <is>
          <t>Operating Income</t>
        </is>
      </c>
      <c r="B8" s="23">
        <f>B4-B7</f>
        <v>-82.42699999999999</v>
      </c>
      <c r="C8" s="23">
        <f>C4-C7</f>
        <v>-75.15700000000001</v>
      </c>
      <c r="D8" s="23">
        <f>D4-D7</f>
        <v>-58.022999999999996</v>
      </c>
      <c r="E8" s="23">
        <f>E4-E7</f>
        <v>-69.96199999999999</v>
      </c>
      <c r="F8" s="23">
        <f>F4-F7</f>
        <v>-146.86400000000003</v>
      </c>
      <c r="G8" s="23">
        <f>G4-G7</f>
        <v>-125.166</v>
      </c>
      <c r="H8" s="23">
        <f>H4-H7</f>
        <v>-137.89000000000001</v>
      </c>
      <c r="I8" s="23">
        <f>I4-I7</f>
        <v>-505.61</v>
      </c>
      <c r="J8" s="23">
        <f>J4-J7</f>
        <v>-322.324</v>
      </c>
      <c r="K8" s="23">
        <f>K4-K7</f>
        <v>-170.52100000000002</v>
      </c>
      <c r="L8" s="23">
        <f>L4-L7</f>
        <v>-92.2</v>
      </c>
      <c r="M8" s="23">
        <f>M4-M7</f>
        <v>28.299999999999997</v>
      </c>
      <c r="N8" s="23">
        <f>N4-N7</f>
        <v>-99.75800000000001</v>
      </c>
      <c r="O8" s="23">
        <f>O4-O7</f>
        <v>-135.029</v>
      </c>
      <c r="P8" s="23">
        <f>P4-P7</f>
        <v>-110.507</v>
      </c>
    </row>
    <row r="9">
      <c r="A9" s="19" t="inlineStr">
        <is>
          <t>Interest &amp; Other</t>
        </is>
      </c>
      <c r="B9" s="23" t="n">
        <v>-2.853</v>
      </c>
      <c r="C9" s="23" t="n">
        <v>-6.717</v>
      </c>
      <c r="D9" s="23" t="n">
        <v>19.043</v>
      </c>
      <c r="E9" s="23" t="n">
        <v>-11.963</v>
      </c>
      <c r="F9" s="23" t="n">
        <v>63.387</v>
      </c>
      <c r="G9" s="23" t="n">
        <v>-65.32299999999999</v>
      </c>
      <c r="H9" s="23" t="n">
        <v>22.944</v>
      </c>
      <c r="I9" s="23" t="n">
        <v>-19.151</v>
      </c>
      <c r="J9" s="23" t="n">
        <v>-0.93</v>
      </c>
      <c r="K9" s="23" t="n">
        <v>-0.082</v>
      </c>
      <c r="L9" s="23" t="n">
        <v>-0.16</v>
      </c>
      <c r="M9" s="23" t="n">
        <v>-0.189</v>
      </c>
      <c r="N9" s="23" t="n">
        <v>3.4</v>
      </c>
      <c r="O9" s="23" t="n">
        <v>7.036</v>
      </c>
      <c r="P9" s="23" t="n">
        <v>-140.09</v>
      </c>
    </row>
    <row r="10">
      <c r="A10" s="2" t="inlineStr">
        <is>
          <t>Pretax</t>
        </is>
      </c>
      <c r="B10" s="23">
        <f>B8+B9</f>
        <v>-85.27999999999999</v>
      </c>
      <c r="C10" s="23">
        <f>C8+C9</f>
        <v>-81.87400000000001</v>
      </c>
      <c r="D10" s="23">
        <f>D8+D9</f>
        <v>-38.98</v>
      </c>
      <c r="E10" s="23">
        <f>E8+E9</f>
        <v>-81.92499999999998</v>
      </c>
      <c r="F10" s="23">
        <f>F8+F9</f>
        <v>-83.47700000000003</v>
      </c>
      <c r="G10" s="23">
        <f>G8+G9</f>
        <v>-190.48899999999998</v>
      </c>
      <c r="H10" s="23">
        <f>H8+H9</f>
        <v>-114.94600000000001</v>
      </c>
      <c r="I10" s="23">
        <f>I8+I9</f>
        <v>-524.761</v>
      </c>
      <c r="J10" s="23">
        <f>J8+J9</f>
        <v>-323.254</v>
      </c>
      <c r="K10" s="23">
        <f>K8+K9</f>
        <v>-170.603</v>
      </c>
      <c r="L10" s="23">
        <f>L8+L9</f>
        <v>-92.36</v>
      </c>
      <c r="M10" s="23">
        <f>M8+M9</f>
        <v>28.110999999999997</v>
      </c>
      <c r="N10" s="23">
        <f>N8+N9</f>
        <v>-96.358</v>
      </c>
      <c r="O10" s="23">
        <f>O8+O9</f>
        <v>-127.993</v>
      </c>
      <c r="P10" s="23">
        <f>P8+P9</f>
        <v>-250.597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-0.103</v>
      </c>
      <c r="F11" s="23" t="n">
        <v>1.016</v>
      </c>
      <c r="G11" s="23" t="n">
        <v>-3.877</v>
      </c>
      <c r="H11" s="23" t="n">
        <v>2.072</v>
      </c>
      <c r="I11" s="23" t="n">
        <v>-15.425</v>
      </c>
      <c r="J11" s="23" t="n">
        <v>-0.93</v>
      </c>
      <c r="K11" s="23" t="n">
        <v>-0.082</v>
      </c>
      <c r="L11" s="23" t="n">
        <v>-0.16</v>
      </c>
      <c r="M11" s="23" t="n">
        <v>-0.189</v>
      </c>
      <c r="N11" s="23" t="n">
        <v>-0.458</v>
      </c>
      <c r="O11" s="23" t="n">
        <v>-1.793</v>
      </c>
      <c r="P11" s="23" t="n">
        <v>0.003</v>
      </c>
    </row>
    <row r="12">
      <c r="A12" s="2" t="inlineStr">
        <is>
          <t>Net Income</t>
        </is>
      </c>
      <c r="B12" s="23" t="n">
        <v>-85.28</v>
      </c>
      <c r="C12" s="23" t="n">
        <v>-81.874</v>
      </c>
      <c r="D12" s="23" t="n">
        <v>-38.98</v>
      </c>
      <c r="E12" s="23" t="n">
        <v>-81.822</v>
      </c>
      <c r="F12" s="23" t="n">
        <v>-84.49299999999999</v>
      </c>
      <c r="G12" s="23" t="n">
        <v>-186.612</v>
      </c>
      <c r="H12" s="23" t="n">
        <v>-117.018</v>
      </c>
      <c r="I12" s="23" t="n">
        <v>-509.336</v>
      </c>
      <c r="J12" s="23" t="n">
        <v>-322.324</v>
      </c>
      <c r="K12" s="23" t="n">
        <v>-170.521</v>
      </c>
      <c r="L12" s="23" t="n">
        <v>-92.2</v>
      </c>
      <c r="M12" s="23" t="n">
        <v>28.3</v>
      </c>
      <c r="N12" s="23" t="n">
        <v>-95.90000000000001</v>
      </c>
      <c r="O12" s="23" t="n">
        <v>-126.2</v>
      </c>
      <c r="P12" s="23" t="n">
        <v>-250.6</v>
      </c>
    </row>
    <row r="13">
      <c r="A13" s="2" t="inlineStr">
        <is>
          <t>Earnings per Share</t>
        </is>
      </c>
      <c r="B13" s="11">
        <f>IFERROR(B12/B14,0)</f>
        <v>-16.27170387330662</v>
      </c>
      <c r="C13" s="11">
        <f>IFERROR(C12/C14,0)</f>
        <v>-14.79472352728587</v>
      </c>
      <c r="D13" s="11">
        <f>IFERROR(D12/D14,0)</f>
        <v>-0.9518460636843133</v>
      </c>
      <c r="E13" s="11">
        <f>IFERROR(E12/E14,0)</f>
        <v>-0.8250597452884412</v>
      </c>
      <c r="F13" s="11">
        <f>IFERROR(F12/F14,0)</f>
        <v>-0.760745862820305</v>
      </c>
      <c r="G13" s="11">
        <f>IFERROR(G12/G14,0)</f>
        <v>-1.581672091131001</v>
      </c>
      <c r="H13" s="11">
        <f>IFERROR(H12/H14,0)</f>
        <v>-0.9751581263177194</v>
      </c>
      <c r="I13" s="11">
        <f>IFERROR(I12/I14,0)</f>
        <v>-3.9324284677506527</v>
      </c>
      <c r="J13" s="11">
        <f>IFERROR(J12/J14,0)</f>
        <v>-2.0911255425297943</v>
      </c>
      <c r="K13" s="11">
        <f>IFERROR(K12/K14,0)</f>
        <v>-1.020680449642656</v>
      </c>
      <c r="L13" s="11">
        <f>IFERROR(L12/L14,0)</f>
        <v>-0.4662216828478965</v>
      </c>
      <c r="M13" s="11">
        <f>IFERROR(M12/M14,0)</f>
        <v>0.14124505267991277</v>
      </c>
      <c r="N13" s="11">
        <f>IFERROR(N12/N14,0)</f>
        <v>-0.39217129584192106</v>
      </c>
      <c r="O13" s="11">
        <f>IFERROR(O12/O14,0)</f>
        <v>-0.4713756924030823</v>
      </c>
      <c r="P13" s="11">
        <f>IFERROR(P12/P14,0)</f>
        <v>-0.8006875816742869</v>
      </c>
    </row>
    <row r="14">
      <c r="A14" s="2" t="inlineStr">
        <is>
          <t>Shares</t>
        </is>
      </c>
      <c r="B14" s="23" t="n">
        <v>5.241</v>
      </c>
      <c r="C14" s="23" t="n">
        <v>5.534</v>
      </c>
      <c r="D14" s="23" t="n">
        <v>40.952</v>
      </c>
      <c r="E14" s="23" t="n">
        <v>99.17100000000001</v>
      </c>
      <c r="F14" s="23" t="n">
        <v>111.066</v>
      </c>
      <c r="G14" s="23" t="n">
        <v>117.984</v>
      </c>
      <c r="H14" s="23" t="n">
        <v>119.999</v>
      </c>
      <c r="I14" s="23" t="n">
        <v>129.522</v>
      </c>
      <c r="J14" s="23" t="n">
        <v>154.139</v>
      </c>
      <c r="K14" s="23" t="n">
        <v>167.066</v>
      </c>
      <c r="L14" s="23" t="n">
        <v>197.76</v>
      </c>
      <c r="M14" s="23" t="n">
        <v>200.361</v>
      </c>
      <c r="N14" s="23" t="n">
        <v>244.536</v>
      </c>
      <c r="O14" s="23" t="n">
        <v>267.727</v>
      </c>
      <c r="P14" s="23" t="n">
        <v>312.981</v>
      </c>
    </row>
    <row r="15"/>
    <row r="16" customFormat="1" s="4">
      <c r="A16" s="3" t="inlineStr">
        <is>
          <t>Revenue Change</t>
        </is>
      </c>
      <c r="C16" s="15">
        <f>IFERROR(C2/B2-1,"")</f>
        <v>0.7189566953700237</v>
      </c>
      <c r="D16" s="15">
        <f>IFERROR(D2/C2-1,"")</f>
        <v>0.7249891099172356</v>
      </c>
      <c r="E16" s="15">
        <f>IFERROR(E2/D2-1,"")</f>
        <v>2.0273569023569022</v>
      </c>
      <c r="F16" s="15">
        <f>IFERROR(F2/E2-1,"")</f>
        <v>1.4135270401779505</v>
      </c>
      <c r="G16" s="15">
        <f>IFERROR(G2/F2-1,"")</f>
        <v>0.09977247199101402</v>
      </c>
      <c r="H16" s="15">
        <f>IFERROR(H2/G2-1,"")</f>
        <v>0.20979332306757592</v>
      </c>
      <c r="I16" s="15">
        <f>IFERROR(I2/H2-1,"")</f>
        <v>-0.34549594988332377</v>
      </c>
      <c r="J16" s="15">
        <f>IFERROR(J2/I2-1,"")</f>
        <v>-0.39989945627009227</v>
      </c>
      <c r="K16" s="15">
        <f>IFERROR(K2/J2-1,"")</f>
        <v>-0.6473622715548599</v>
      </c>
      <c r="L16" s="15">
        <f>IFERROR(L2/K2-1,"")</f>
        <v>-0.5540447611902977</v>
      </c>
      <c r="M16" s="15">
        <f>IFERROR(M2/L2-1,"")</f>
        <v>0.8861007920375692</v>
      </c>
      <c r="N16" s="15">
        <f>IFERROR(N2/M2-1,"")</f>
        <v>-0.7686647590025641</v>
      </c>
      <c r="O16" s="15">
        <f>IFERROR(O2/N2-1,"")</f>
        <v>-0.3694779116465864</v>
      </c>
      <c r="P16" s="15">
        <f>IFERROR(P2/O2-1,"")</f>
        <v>1.4672611464968153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0.9990740740740741</v>
      </c>
      <c r="E17" s="15">
        <f>IFERROR(E4/E2,"")</f>
        <v>0.8465869595440012</v>
      </c>
      <c r="F17" s="15">
        <f>IFERROR(F4/F2,"")</f>
        <v>0.7652947783761987</v>
      </c>
      <c r="G17" s="15">
        <f>IFERROR(G4/G2,"")</f>
        <v>0.802494160041063</v>
      </c>
      <c r="H17" s="15">
        <f>IFERROR(H4/H2,"")</f>
        <v>0.8559924842303046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</row>
    <row r="18">
      <c r="A18" s="14" t="inlineStr">
        <is>
          <t>Operating Margin</t>
        </is>
      </c>
      <c r="B18" s="15">
        <f>IFERROR(B8/B2,"")</f>
        <v>-10.286659178834393</v>
      </c>
      <c r="C18" s="15">
        <f>IFERROR(C8/C2,"")</f>
        <v>-5.456439668941485</v>
      </c>
      <c r="D18" s="15">
        <f>IFERROR(D8/D2,"")</f>
        <v>-2.4420454545454544</v>
      </c>
      <c r="E18" s="15">
        <f>IFERROR(E8/E2,"")</f>
        <v>-0.9726400667315444</v>
      </c>
      <c r="F18" s="15">
        <f>IFERROR(F8/F2,"")</f>
        <v>-0.8459664180179145</v>
      </c>
      <c r="G18" s="15">
        <f>IFERROR(G8/G2,"")</f>
        <v>-0.6555733635020898</v>
      </c>
      <c r="H18" s="15">
        <f>IFERROR(H8/H2,"")</f>
        <v>-0.5969755088080838</v>
      </c>
      <c r="I18" s="15">
        <f>IFERROR(I8/I2,"")</f>
        <v>-3.3444681104393497</v>
      </c>
      <c r="J18" s="15">
        <f>IFERROR(J8/J2,"")</f>
        <v>-3.5528758184343383</v>
      </c>
      <c r="K18" s="15">
        <f>IFERROR(K8/K2,"")</f>
        <v>-5.330113778444612</v>
      </c>
      <c r="L18" s="15">
        <f>IFERROR(L8/L2,"")</f>
        <v>-6.462465830237612</v>
      </c>
      <c r="M18" s="15">
        <f>IFERROR(M8/M2,"")</f>
        <v>1.05169274220521</v>
      </c>
      <c r="N18" s="15">
        <f>IFERROR(N8/N2,"")</f>
        <v>-16.02538152610442</v>
      </c>
      <c r="O18" s="15">
        <f>IFERROR(O8/O2,"")</f>
        <v>-34.402292993630574</v>
      </c>
      <c r="P18" s="15">
        <f>IFERROR(P8/P2,"")</f>
        <v>-11.41129698471706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2026-10-21T01:04:23Z</dcterms:modified>
  <cp:lastModifiedBy>Wang, Eric</cp:lastModifiedBy>
</cp:coreProperties>
</file>