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Matinas BioPharma Holdings Inc</t>
        </is>
      </c>
      <c r="C2" s="10" t="n"/>
    </row>
    <row r="3">
      <c r="B3" t="inlineStr">
        <is>
          <t>Price</t>
        </is>
      </c>
      <c r="C3" s="11">
        <f>INDEX([1]Pharma!$F$1:$F$1000,MATCH("MTNB",[1]Pharma!$B$1:$B$1000,0))</f>
        <v>1.7</v>
      </c>
      <c r="F3" s="1" t="n"/>
    </row>
    <row r="4">
      <c r="B4" t="inlineStr">
        <is>
          <t>Shares</t>
        </is>
      </c>
      <c r="C4" s="21" t="n">
        <v>14.692796</v>
      </c>
      <c r="F4" s="1" t="n"/>
    </row>
    <row r="5">
      <c r="B5" t="inlineStr">
        <is>
          <t>Market Cap.</t>
        </is>
      </c>
      <c r="C5" s="13">
        <f>C3*C4</f>
        <v>24.9777532</v>
      </c>
      <c r="F5" s="1" t="n"/>
    </row>
    <row r="6"/>
    <row r="7">
      <c r="B7" t="inlineStr">
        <is>
          <t>Cash</t>
        </is>
      </c>
      <c r="C7" s="21" t="n">
        <v>0.761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24.2167532</v>
      </c>
    </row>
    <row r="10"/>
    <row r="11">
      <c r="B11" s="14" t="inlineStr">
        <is>
          <t>Net Cash / Share</t>
        </is>
      </c>
      <c r="C11" s="11">
        <f>(C7-C8)/C4</f>
        <v>0.051794090110554865</v>
      </c>
    </row>
    <row r="12">
      <c r="B12" s="14" t="inlineStr">
        <is>
          <t>Upside</t>
        </is>
      </c>
      <c r="C12" s="15">
        <f>IFERROR(C11/C3-1,"")</f>
        <v>-0.9695328881702618</v>
      </c>
    </row>
    <row r="13">
      <c r="B13" s="14" t="inlineStr">
        <is>
          <t>Cash / Share</t>
        </is>
      </c>
      <c r="C13" s="11">
        <f>IFERROR((C7-C8)/C4,"")</f>
        <v>0.051794090110554865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-6.42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0.11853582554517134</v>
      </c>
    </row>
    <row r="19">
      <c r="B19" s="14" t="inlineStr">
        <is>
          <t>Implied Pipeline Value</t>
        </is>
      </c>
      <c r="C19" s="13">
        <f>C9</f>
        <v>24.2167532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0.194</v>
      </c>
      <c r="E2" s="23" t="n">
        <v>0</v>
      </c>
      <c r="F2" s="23" t="n">
        <v>0.15</v>
      </c>
      <c r="G2" s="23" t="n">
        <v>0.12</v>
      </c>
      <c r="H2" s="23" t="n">
        <v>0.09</v>
      </c>
      <c r="I2" s="23" t="n">
        <v>0.158</v>
      </c>
      <c r="J2" s="23" t="n">
        <v>0.033</v>
      </c>
      <c r="K2" s="23" t="n">
        <v>3.188</v>
      </c>
      <c r="L2" s="23" t="n">
        <v>1.096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0.194</v>
      </c>
      <c r="E4" s="23">
        <f>E2-E3</f>
        <v>0.0</v>
      </c>
      <c r="F4" s="23">
        <f>F2-F3</f>
        <v>0.15</v>
      </c>
      <c r="G4" s="23">
        <f>G2-G3</f>
        <v>0.12</v>
      </c>
      <c r="H4" s="23">
        <f>H2-H3</f>
        <v>0.09</v>
      </c>
      <c r="I4" s="23">
        <f>I2-I3</f>
        <v>0.158</v>
      </c>
      <c r="J4" s="23">
        <f>J2-J3</f>
        <v>0.033</v>
      </c>
      <c r="K4" s="23">
        <f>K2-K3</f>
        <v>3.188</v>
      </c>
      <c r="L4" s="23">
        <f>L2-L3</f>
        <v>1.096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1.761</v>
      </c>
      <c r="C5" s="23" t="n">
        <v>5.176</v>
      </c>
      <c r="D5" s="23" t="n">
        <v>5.292</v>
      </c>
      <c r="E5" s="23" t="n">
        <v>3.948</v>
      </c>
      <c r="F5" s="23" t="n">
        <v>9.01</v>
      </c>
      <c r="G5" s="23" t="n">
        <v>6.787</v>
      </c>
      <c r="H5" s="23" t="n">
        <v>11.235</v>
      </c>
      <c r="I5" s="23" t="n">
        <v>14.359</v>
      </c>
      <c r="J5" s="23" t="n">
        <v>14.583</v>
      </c>
      <c r="K5" s="23" t="n">
        <v>16.678</v>
      </c>
      <c r="L5" s="23" t="n">
        <v>14.489</v>
      </c>
      <c r="M5" s="23" t="n">
        <v>11.433</v>
      </c>
      <c r="N5" s="23" t="n">
        <v>0.08500000000000001</v>
      </c>
    </row>
    <row r="6">
      <c r="A6" s="19" t="inlineStr">
        <is>
          <t>SG&amp;A &amp; Other</t>
        </is>
      </c>
      <c r="B6" s="23" t="n">
        <v>1.951</v>
      </c>
      <c r="C6" s="23" t="n">
        <v>5.289</v>
      </c>
      <c r="D6" s="23" t="n">
        <v>4.814</v>
      </c>
      <c r="E6" s="23" t="n">
        <v>4.309</v>
      </c>
      <c r="F6" s="23" t="n">
        <v>7.642</v>
      </c>
      <c r="G6" s="23" t="n">
        <v>7.979</v>
      </c>
      <c r="H6" s="23" t="n">
        <v>7.776</v>
      </c>
      <c r="I6" s="23" t="n">
        <v>10.006</v>
      </c>
      <c r="J6" s="23" t="n">
        <v>10.185</v>
      </c>
      <c r="K6" s="23" t="n">
        <v>11.1</v>
      </c>
      <c r="L6" s="23" t="n">
        <v>10.373</v>
      </c>
      <c r="M6" s="23" t="n">
        <v>13.16</v>
      </c>
      <c r="N6" s="23" t="n">
        <v>6.875</v>
      </c>
    </row>
    <row r="7">
      <c r="A7" s="2" t="inlineStr">
        <is>
          <t>Operating Expense</t>
        </is>
      </c>
      <c r="B7" s="23">
        <f>SUM(B5:B6)</f>
        <v>3.7119999999999997</v>
      </c>
      <c r="C7" s="23">
        <f>SUM(C5:C6)</f>
        <v>10.465</v>
      </c>
      <c r="D7" s="23">
        <f>SUM(D5:D6)</f>
        <v>10.106</v>
      </c>
      <c r="E7" s="23">
        <f>SUM(E5:E6)</f>
        <v>8.257</v>
      </c>
      <c r="F7" s="23">
        <f>SUM(F5:F6)</f>
        <v>16.652</v>
      </c>
      <c r="G7" s="23">
        <f>SUM(G5:G6)</f>
        <v>14.766</v>
      </c>
      <c r="H7" s="23">
        <f>SUM(H5:H6)</f>
        <v>19.011</v>
      </c>
      <c r="I7" s="23">
        <f>SUM(I5:I6)</f>
        <v>24.365000000000002</v>
      </c>
      <c r="J7" s="23">
        <f>SUM(J5:J6)</f>
        <v>24.768</v>
      </c>
      <c r="K7" s="23">
        <f>SUM(K5:K6)</f>
        <v>27.778</v>
      </c>
      <c r="L7" s="23">
        <f>SUM(L5:L6)</f>
        <v>24.862000000000002</v>
      </c>
      <c r="M7" s="23">
        <f>SUM(M5:M6)</f>
        <v>24.593</v>
      </c>
      <c r="N7" s="23">
        <f>SUM(N5:N6)</f>
        <v>6.96</v>
      </c>
    </row>
    <row r="8">
      <c r="A8" s="2" t="inlineStr">
        <is>
          <t>Operating Income</t>
        </is>
      </c>
      <c r="B8" s="23">
        <f>B4-B7</f>
        <v>-3.7119999999999997</v>
      </c>
      <c r="C8" s="23">
        <f>C4-C7</f>
        <v>-10.465</v>
      </c>
      <c r="D8" s="23">
        <f>D4-D7</f>
        <v>-9.911999999999999</v>
      </c>
      <c r="E8" s="23">
        <f>E4-E7</f>
        <v>-8.257</v>
      </c>
      <c r="F8" s="23">
        <f>F4-F7</f>
        <v>-16.502000000000002</v>
      </c>
      <c r="G8" s="23">
        <f>G4-G7</f>
        <v>-14.646</v>
      </c>
      <c r="H8" s="23">
        <f>H4-H7</f>
        <v>-18.921</v>
      </c>
      <c r="I8" s="23">
        <f>I4-I7</f>
        <v>-24.207</v>
      </c>
      <c r="J8" s="23">
        <f>J4-J7</f>
        <v>-24.735</v>
      </c>
      <c r="K8" s="23">
        <f>K4-K7</f>
        <v>-24.59</v>
      </c>
      <c r="L8" s="23">
        <f>L4-L7</f>
        <v>-23.766000000000002</v>
      </c>
      <c r="M8" s="23">
        <f>M4-M7</f>
        <v>-24.593</v>
      </c>
      <c r="N8" s="23">
        <f>N4-N7</f>
        <v>-6.96</v>
      </c>
    </row>
    <row r="9">
      <c r="A9" s="19" t="inlineStr">
        <is>
          <t>Interest &amp; Other</t>
        </is>
      </c>
      <c r="B9" s="23" t="n">
        <v>-0.001</v>
      </c>
      <c r="C9" s="23" t="n">
        <v>0.514</v>
      </c>
      <c r="D9" s="23" t="n">
        <v>0.776</v>
      </c>
      <c r="E9" s="23" t="n">
        <v>0.658</v>
      </c>
      <c r="F9" s="23" t="n">
        <v>1.416</v>
      </c>
      <c r="G9" s="23" t="n">
        <v>1.07</v>
      </c>
      <c r="H9" s="23" t="n">
        <v>1.548</v>
      </c>
      <c r="I9" s="23" t="n">
        <v>1.76</v>
      </c>
      <c r="J9" s="23" t="n">
        <v>1.452</v>
      </c>
      <c r="K9" s="23" t="n">
        <v>3.593</v>
      </c>
      <c r="L9" s="23" t="n">
        <v>0.824</v>
      </c>
      <c r="M9" s="23" t="n">
        <v>0.262</v>
      </c>
      <c r="N9" s="23" t="n">
        <v>-3.385</v>
      </c>
    </row>
    <row r="10">
      <c r="A10" s="2" t="inlineStr">
        <is>
          <t>Pretax</t>
        </is>
      </c>
      <c r="B10" s="23">
        <f>B8+B9</f>
        <v>-3.7129999999999996</v>
      </c>
      <c r="C10" s="23">
        <f>C8+C9</f>
        <v>-9.951</v>
      </c>
      <c r="D10" s="23">
        <f>D8+D9</f>
        <v>-9.136</v>
      </c>
      <c r="E10" s="23">
        <f>E8+E9</f>
        <v>-7.598999999999999</v>
      </c>
      <c r="F10" s="23">
        <f>F8+F9</f>
        <v>-15.086000000000002</v>
      </c>
      <c r="G10" s="23">
        <f>G8+G9</f>
        <v>-13.576</v>
      </c>
      <c r="H10" s="23">
        <f>H8+H9</f>
        <v>-17.372999999999998</v>
      </c>
      <c r="I10" s="23">
        <f>I8+I9</f>
        <v>-22.447</v>
      </c>
      <c r="J10" s="23">
        <f>J8+J9</f>
        <v>-23.283</v>
      </c>
      <c r="K10" s="23">
        <f>K8+K9</f>
        <v>-20.997</v>
      </c>
      <c r="L10" s="23">
        <f>L8+L9</f>
        <v>-22.942</v>
      </c>
      <c r="M10" s="23">
        <f>M8+M9</f>
        <v>-24.331</v>
      </c>
      <c r="N10" s="23">
        <f>N8+N9</f>
        <v>-10.344999999999999</v>
      </c>
    </row>
    <row r="11">
      <c r="A11" s="2" t="inlineStr">
        <is>
          <t>Taxes</t>
        </is>
      </c>
      <c r="B11" s="23" t="n">
        <v>0</v>
      </c>
      <c r="C11" s="23" t="n">
        <v>0.27</v>
      </c>
      <c r="D11" s="23" t="n">
        <v>0</v>
      </c>
      <c r="E11" s="23" t="n">
        <v>0</v>
      </c>
      <c r="F11" s="23" t="n">
        <v>0.4</v>
      </c>
      <c r="G11" s="23" t="n">
        <v>0.507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-0.08</v>
      </c>
      <c r="N11" s="23" t="n">
        <v>0</v>
      </c>
    </row>
    <row r="12">
      <c r="A12" s="2" t="inlineStr">
        <is>
          <t>Net Income</t>
        </is>
      </c>
      <c r="B12" s="23" t="n">
        <v>-3.713</v>
      </c>
      <c r="C12" s="23" t="n">
        <v>-10.221</v>
      </c>
      <c r="D12" s="23" t="n">
        <v>-9.135</v>
      </c>
      <c r="E12" s="23" t="n">
        <v>-7.599</v>
      </c>
      <c r="F12" s="23" t="n">
        <v>-15.486</v>
      </c>
      <c r="G12" s="23" t="n">
        <v>-14.083</v>
      </c>
      <c r="H12" s="23" t="n">
        <v>-17.373</v>
      </c>
      <c r="I12" s="23" t="n">
        <v>-22.447</v>
      </c>
      <c r="J12" s="23" t="n">
        <v>-23.283</v>
      </c>
      <c r="K12" s="23" t="n">
        <v>-20.997</v>
      </c>
      <c r="L12" s="23" t="n">
        <v>-22.942</v>
      </c>
      <c r="M12" s="23" t="n">
        <v>-24.251</v>
      </c>
      <c r="N12" s="23" t="n">
        <v>-10.345</v>
      </c>
    </row>
    <row r="13">
      <c r="A13" s="2" t="inlineStr">
        <is>
          <t>Earnings per Share</t>
        </is>
      </c>
      <c r="B13" s="11">
        <f>IFERROR(B12/B14,0)</f>
        <v>-9.771052631578948</v>
      </c>
      <c r="C13" s="11">
        <f>IFERROR(C12/C14,0)</f>
        <v>-15.92056074766355</v>
      </c>
      <c r="D13" s="11">
        <f>IFERROR(D12/D14,0)</f>
        <v>-8.86893203883495</v>
      </c>
      <c r="E13" s="11">
        <f>IFERROR(E12/E14,0)</f>
        <v>-6.590633130962706</v>
      </c>
      <c r="F13" s="11">
        <f>IFERROR(F12/F14,0)</f>
        <v>-8.555801104972376</v>
      </c>
      <c r="G13" s="11">
        <f>IFERROR(G12/G14,0)</f>
        <v>-7.177879714576963</v>
      </c>
      <c r="H13" s="11">
        <f>IFERROR(H12/H14,0)</f>
        <v>-5.982438016528926</v>
      </c>
      <c r="I13" s="11">
        <f>IFERROR(I12/I14,0)</f>
        <v>-5.7001015744032495</v>
      </c>
      <c r="J13" s="11">
        <f>IFERROR(J12/J14,0)</f>
        <v>-5.538296860133207</v>
      </c>
      <c r="K13" s="11">
        <f>IFERROR(K12/K14,0)</f>
        <v>-4.842481549815497</v>
      </c>
      <c r="L13" s="11">
        <f>IFERROR(L12/L14,0)</f>
        <v>-5.280092059838895</v>
      </c>
      <c r="M13" s="11">
        <f>IFERROR(M12/M14,0)</f>
        <v>-4.983764899301275</v>
      </c>
      <c r="N13" s="11">
        <f>IFERROR(N12/N14,0)</f>
        <v>-1.8898428936792109</v>
      </c>
    </row>
    <row r="14">
      <c r="A14" s="2" t="inlineStr">
        <is>
          <t>Shares</t>
        </is>
      </c>
      <c r="B14" s="23" t="n">
        <v>0.38</v>
      </c>
      <c r="C14" s="23" t="n">
        <v>0.642</v>
      </c>
      <c r="D14" s="23" t="n">
        <v>1.03</v>
      </c>
      <c r="E14" s="23" t="n">
        <v>1.153</v>
      </c>
      <c r="F14" s="23" t="n">
        <v>1.81</v>
      </c>
      <c r="G14" s="23" t="n">
        <v>1.962</v>
      </c>
      <c r="H14" s="23" t="n">
        <v>2.904</v>
      </c>
      <c r="I14" s="23" t="n">
        <v>3.938</v>
      </c>
      <c r="J14" s="23" t="n">
        <v>4.204</v>
      </c>
      <c r="K14" s="23" t="n">
        <v>4.336</v>
      </c>
      <c r="L14" s="23" t="n">
        <v>4.345</v>
      </c>
      <c r="M14" s="23" t="n">
        <v>4.866</v>
      </c>
      <c r="N14" s="23" t="n">
        <v>5.474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-1.0</v>
      </c>
      <c r="F16" s="15">
        <f>IFERROR(F2/E2-1,"")</f>
        <v/>
      </c>
      <c r="G16" s="15">
        <f>IFERROR(G2/F2-1,"")</f>
        <v>-0.19999999999999996</v>
      </c>
      <c r="H16" s="15">
        <f>IFERROR(H2/G2-1,"")</f>
        <v>-0.25</v>
      </c>
      <c r="I16" s="15">
        <f>IFERROR(I2/H2-1,"")</f>
        <v>0.7555555555555555</v>
      </c>
      <c r="J16" s="15">
        <f>IFERROR(J2/I2-1,"")</f>
        <v>-0.7911392405063291</v>
      </c>
      <c r="K16" s="15">
        <f>IFERROR(K2/J2-1,"")</f>
        <v>95.60606060606061</v>
      </c>
      <c r="L16" s="15">
        <f>IFERROR(L2/K2-1,"")</f>
        <v>-0.6562107904642409</v>
      </c>
      <c r="M16" s="15">
        <f>IFERROR(M2/L2-1,"")</f>
        <v>-1.0</v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-51.092783505154635</v>
      </c>
      <c r="E18" s="15">
        <f>IFERROR(E8/E2,"")</f>
        <v/>
      </c>
      <c r="F18" s="15">
        <f>IFERROR(F8/F2,"")</f>
        <v>-110.01333333333335</v>
      </c>
      <c r="G18" s="15">
        <f>IFERROR(G8/G2,"")</f>
        <v>-122.05000000000001</v>
      </c>
      <c r="H18" s="15">
        <f>IFERROR(H8/H2,"")</f>
        <v>-210.23333333333332</v>
      </c>
      <c r="I18" s="15">
        <f>IFERROR(I8/I2,"")</f>
        <v>-153.20886075949366</v>
      </c>
      <c r="J18" s="15">
        <f>IFERROR(J8/J2,"")</f>
        <v>-749.5454545454545</v>
      </c>
      <c r="K18" s="15">
        <f>IFERROR(K8/K2,"")</f>
        <v>-7.713299874529485</v>
      </c>
      <c r="L18" s="15">
        <f>IFERROR(L8/L2,"")</f>
        <v>-21.684306569343065</v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2026-10-21T01:06:18Z</dcterms:modified>
  <cp:lastModifiedBy>Wang, Eric</cp:lastModifiedBy>
</cp:coreProperties>
</file>