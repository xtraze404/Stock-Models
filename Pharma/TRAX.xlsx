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First Tracks Biotherapeutics Inc</t>
        </is>
      </c>
      <c r="C2" s="10" t="n"/>
    </row>
    <row r="3">
      <c r="B3" t="inlineStr">
        <is>
          <t>Price</t>
        </is>
      </c>
      <c r="C3" s="11">
        <f>INDEX([1]Pharma!$F$1:$F$1000,MATCH("TRAX",[1]Pharma!$B$1:$B$1000,0))</f>
        <v>41.25</v>
      </c>
      <c r="F3" s="1" t="n"/>
    </row>
    <row r="4">
      <c r="B4" t="inlineStr">
        <is>
          <t>Shares</t>
        </is>
      </c>
      <c r="C4" s="12" t="n">
        <v>35.730843</v>
      </c>
      <c r="F4" s="1" t="n"/>
    </row>
    <row r="5">
      <c r="B5" t="inlineStr">
        <is>
          <t>Market Cap.</t>
        </is>
      </c>
      <c r="C5" s="13">
        <f>C3*C4</f>
        <v>1473.89727375</v>
      </c>
      <c r="F5" s="1" t="n"/>
    </row>
    <row r="6"/>
    <row r="7">
      <c r="B7" t="inlineStr">
        <is>
          <t>Cash</t>
        </is>
      </c>
      <c r="C7" s="12" t="n">
        <v>168.018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1305.87927375</v>
      </c>
    </row>
    <row r="10"/>
    <row r="11">
      <c r="B11" s="14" t="inlineStr">
        <is>
          <t>Net Cash / Share</t>
        </is>
      </c>
      <c r="C11" s="11">
        <f>(C7-C8)/C4</f>
        <v>4.7023239837918185</v>
      </c>
    </row>
    <row r="12">
      <c r="B12" s="14" t="inlineStr">
        <is>
          <t>Upside</t>
        </is>
      </c>
      <c r="C12" s="15">
        <f>IFERROR(C11/C3-1,"")</f>
        <v>-0.8860042670595922</v>
      </c>
    </row>
    <row r="13">
      <c r="B13" s="14" t="inlineStr">
        <is>
          <t>Cash / Share</t>
        </is>
      </c>
      <c r="C13" s="11">
        <f>IFERROR((C7-C8)/C4,"")</f>
        <v>4.7023239837918185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1305.87927375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2026-10-21T01:04:46Z</dcterms:modified>
  <cp:lastModifiedBy>Wang, Eric</cp:lastModifiedBy>
</cp:coreProperties>
</file>