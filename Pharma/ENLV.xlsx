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Enlivex Ltd</t>
        </is>
      </c>
      <c r="C2" s="10" t="n"/>
    </row>
    <row r="3">
      <c r="B3" t="inlineStr">
        <is>
          <t>Price</t>
        </is>
      </c>
      <c r="C3" s="11">
        <f>INDEX([1]Pharma!$F$1:$F$1000,MATCH("ENLV",[1]Pharma!$B$1:$B$1000,0))</f>
        <v>0.2237</v>
      </c>
      <c r="F3" s="1" t="n"/>
    </row>
    <row r="4">
      <c r="B4" t="inlineStr">
        <is>
          <t>Shares</t>
        </is>
      </c>
      <c r="C4" s="21" t="n">
        <v>237.381498</v>
      </c>
      <c r="F4" s="1" t="n"/>
    </row>
    <row r="5">
      <c r="B5" t="inlineStr">
        <is>
          <t>Market Cap.</t>
        </is>
      </c>
      <c r="C5" s="13">
        <f>C3*C4</f>
        <v>53.102241102600004</v>
      </c>
      <c r="F5" s="1" t="n"/>
    </row>
    <row r="6"/>
    <row r="7">
      <c r="B7" t="inlineStr">
        <is>
          <t>Cash</t>
        </is>
      </c>
      <c r="C7" s="21">
        <f>1.894+3.861</f>
        <v>5.755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47.3472411026</v>
      </c>
    </row>
    <row r="10"/>
    <row r="11">
      <c r="B11" s="14" t="inlineStr">
        <is>
          <t>Net Cash / Share</t>
        </is>
      </c>
      <c r="C11" s="11">
        <f>(C7-C8)/C4</f>
        <v>0.0242436754696021</v>
      </c>
    </row>
    <row r="12">
      <c r="B12" s="14" t="inlineStr">
        <is>
          <t>Upside</t>
        </is>
      </c>
      <c r="C12" s="15">
        <f>IFERROR(C11/C3-1,"")</f>
        <v>-0.8916241597246218</v>
      </c>
    </row>
    <row r="13">
      <c r="B13" s="14" t="inlineStr">
        <is>
          <t>Cash / Share</t>
        </is>
      </c>
      <c r="C13" s="11">
        <f>IFERROR((C7-C8)/C4,"")</f>
        <v>0.0242436754696021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-10.416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0.5525153609831029</v>
      </c>
    </row>
    <row r="19">
      <c r="B19" s="14" t="inlineStr">
        <is>
          <t>Implied Pipeline Value</t>
        </is>
      </c>
      <c r="C19" s="13">
        <f>C9</f>
        <v>47.3472411026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0.14</v>
      </c>
      <c r="C5" s="23" t="n">
        <v>0.732</v>
      </c>
      <c r="D5" s="23" t="n">
        <v>4.441</v>
      </c>
      <c r="E5" s="23" t="n">
        <v>7.694</v>
      </c>
      <c r="F5" s="23" t="n">
        <v>8.881</v>
      </c>
      <c r="G5" s="23" t="n">
        <v>1.691</v>
      </c>
      <c r="H5" s="23" t="n">
        <v>4.013</v>
      </c>
      <c r="I5" s="23" t="n">
        <v>5.604</v>
      </c>
      <c r="J5" s="23" t="n">
        <v>6.086</v>
      </c>
      <c r="K5" s="23" t="n">
        <v>12.881</v>
      </c>
      <c r="L5" s="23" t="n">
        <v>18.693</v>
      </c>
      <c r="M5" s="23" t="n">
        <v>19.012</v>
      </c>
      <c r="N5" s="23" t="n">
        <v>10.623</v>
      </c>
      <c r="O5" s="23" t="n">
        <v>9.204000000000001</v>
      </c>
    </row>
    <row r="6">
      <c r="A6" s="19" t="inlineStr">
        <is>
          <t>SG&amp;A &amp; Other</t>
        </is>
      </c>
      <c r="B6" s="23" t="n">
        <v>0.08599999999999999</v>
      </c>
      <c r="C6" s="23" t="n">
        <v>0.416</v>
      </c>
      <c r="D6" s="23" t="n">
        <v>2.639</v>
      </c>
      <c r="E6" s="23" t="n">
        <v>7.782</v>
      </c>
      <c r="F6" s="23" t="n">
        <v>6.985</v>
      </c>
      <c r="G6" s="23" t="n">
        <v>0.48</v>
      </c>
      <c r="H6" s="23" t="n">
        <v>1.286</v>
      </c>
      <c r="I6" s="23" t="n">
        <v>3.015</v>
      </c>
      <c r="J6" s="23" t="n">
        <v>3.699</v>
      </c>
      <c r="K6" s="23" t="n">
        <v>6.407</v>
      </c>
      <c r="L6" s="23" t="n">
        <v>7.104</v>
      </c>
      <c r="M6" s="23" t="n">
        <v>10.383</v>
      </c>
      <c r="N6" s="23" t="n">
        <v>5.265</v>
      </c>
      <c r="O6" s="23" t="n">
        <v>5.825</v>
      </c>
    </row>
    <row r="7">
      <c r="A7" s="2" t="inlineStr">
        <is>
          <t>Operating Expense</t>
        </is>
      </c>
      <c r="B7" s="23">
        <f>SUM(B5:B6)</f>
        <v>0.226</v>
      </c>
      <c r="C7" s="23">
        <f>SUM(C5:C6)</f>
        <v>1.148</v>
      </c>
      <c r="D7" s="23">
        <f>SUM(D5:D6)</f>
        <v>7.08</v>
      </c>
      <c r="E7" s="23">
        <f>SUM(E5:E6)</f>
        <v>15.475999999999999</v>
      </c>
      <c r="F7" s="23">
        <f>SUM(F5:F6)</f>
        <v>15.866</v>
      </c>
      <c r="G7" s="23">
        <f>SUM(G5:G6)</f>
        <v>2.1710000000000003</v>
      </c>
      <c r="H7" s="23">
        <f>SUM(H5:H6)</f>
        <v>5.2989999999999995</v>
      </c>
      <c r="I7" s="23">
        <f>SUM(I5:I6)</f>
        <v>8.619</v>
      </c>
      <c r="J7" s="23">
        <f>SUM(J5:J6)</f>
        <v>9.785</v>
      </c>
      <c r="K7" s="23">
        <f>SUM(K5:K6)</f>
        <v>19.288</v>
      </c>
      <c r="L7" s="23">
        <f>SUM(L5:L6)</f>
        <v>25.797</v>
      </c>
      <c r="M7" s="23">
        <f>SUM(M5:M6)</f>
        <v>29.395</v>
      </c>
      <c r="N7" s="23">
        <f>SUM(N5:N6)</f>
        <v>15.887999999999998</v>
      </c>
      <c r="O7" s="23">
        <f>SUM(O5:O6)</f>
        <v>15.029</v>
      </c>
    </row>
    <row r="8">
      <c r="A8" s="2" t="inlineStr">
        <is>
          <t>Operating Income</t>
        </is>
      </c>
      <c r="B8" s="23">
        <f>B4-B7</f>
        <v>-0.226</v>
      </c>
      <c r="C8" s="23">
        <f>C4-C7</f>
        <v>-1.148</v>
      </c>
      <c r="D8" s="23">
        <f>D4-D7</f>
        <v>-7.08</v>
      </c>
      <c r="E8" s="23">
        <f>E4-E7</f>
        <v>-15.475999999999999</v>
      </c>
      <c r="F8" s="23">
        <f>F4-F7</f>
        <v>-15.866</v>
      </c>
      <c r="G8" s="23">
        <f>G4-G7</f>
        <v>-2.1710000000000003</v>
      </c>
      <c r="H8" s="23">
        <f>H4-H7</f>
        <v>-5.2989999999999995</v>
      </c>
      <c r="I8" s="23">
        <f>I4-I7</f>
        <v>-8.619</v>
      </c>
      <c r="J8" s="23">
        <f>J4-J7</f>
        <v>-9.785</v>
      </c>
      <c r="K8" s="23">
        <f>K4-K7</f>
        <v>-19.288</v>
      </c>
      <c r="L8" s="23">
        <f>L4-L7</f>
        <v>-25.797</v>
      </c>
      <c r="M8" s="23">
        <f>M4-M7</f>
        <v>-29.395</v>
      </c>
      <c r="N8" s="23">
        <f>N4-N7</f>
        <v>-15.887999999999998</v>
      </c>
      <c r="O8" s="23">
        <f>O4-O7</f>
        <v>-15.029</v>
      </c>
    </row>
    <row r="9">
      <c r="A9" s="19" t="inlineStr">
        <is>
          <t>Interest &amp; Other</t>
        </is>
      </c>
      <c r="B9" s="23" t="n">
        <v>-0.003</v>
      </c>
      <c r="C9" s="23" t="n">
        <v>0.003</v>
      </c>
      <c r="D9" s="23" t="n">
        <v>0.058</v>
      </c>
      <c r="E9" s="23" t="n">
        <v>0.135</v>
      </c>
      <c r="F9" s="23" t="n">
        <v>0.06</v>
      </c>
      <c r="G9" s="23" t="n">
        <v>-0.305</v>
      </c>
      <c r="H9" s="23" t="n">
        <v>1.053</v>
      </c>
      <c r="I9" s="23" t="n">
        <v>-0.765</v>
      </c>
      <c r="J9" s="23" t="n">
        <v>-2.039</v>
      </c>
      <c r="K9" s="23" t="n">
        <v>4.82</v>
      </c>
      <c r="L9" s="23" t="n">
        <v>-5.263</v>
      </c>
      <c r="M9" s="23" t="n">
        <v>0.327</v>
      </c>
      <c r="N9" s="23" t="n">
        <v>0.874</v>
      </c>
      <c r="O9" s="23" t="n">
        <v>1633.203</v>
      </c>
    </row>
    <row r="10">
      <c r="A10" s="2" t="inlineStr">
        <is>
          <t>Pretax</t>
        </is>
      </c>
      <c r="B10" s="23">
        <f>B8+B9</f>
        <v>-0.229</v>
      </c>
      <c r="C10" s="23">
        <f>C8+C9</f>
        <v>-1.145</v>
      </c>
      <c r="D10" s="23">
        <f>D8+D9</f>
        <v>-7.022</v>
      </c>
      <c r="E10" s="23">
        <f>E8+E9</f>
        <v>-15.341</v>
      </c>
      <c r="F10" s="23">
        <f>F8+F9</f>
        <v>-15.806</v>
      </c>
      <c r="G10" s="23">
        <f>G8+G9</f>
        <v>-2.4760000000000004</v>
      </c>
      <c r="H10" s="23">
        <f>H8+H9</f>
        <v>-4.2459999999999996</v>
      </c>
      <c r="I10" s="23">
        <f>I8+I9</f>
        <v>-9.384</v>
      </c>
      <c r="J10" s="23">
        <f>J8+J9</f>
        <v>-11.824</v>
      </c>
      <c r="K10" s="23">
        <f>K8+K9</f>
        <v>-14.468</v>
      </c>
      <c r="L10" s="23">
        <f>L8+L9</f>
        <v>-31.060000000000002</v>
      </c>
      <c r="M10" s="23">
        <f>M8+M9</f>
        <v>-29.067999999999998</v>
      </c>
      <c r="N10" s="23">
        <f>N8+N9</f>
        <v>-15.013999999999998</v>
      </c>
      <c r="O10" s="23">
        <f>O8+O9</f>
        <v>1618.174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0.024</v>
      </c>
      <c r="F11" s="23" t="n">
        <v>0.216</v>
      </c>
      <c r="G11" s="23" t="n">
        <v>0.028</v>
      </c>
      <c r="H11" s="23" t="n">
        <v>-0.004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382.646</v>
      </c>
    </row>
    <row r="12">
      <c r="A12" s="2" t="inlineStr">
        <is>
          <t>Net Income</t>
        </is>
      </c>
      <c r="B12" s="23" t="n">
        <v>-0.229</v>
      </c>
      <c r="C12" s="23" t="n">
        <v>-1.145</v>
      </c>
      <c r="D12" s="23" t="n">
        <v>-7.022</v>
      </c>
      <c r="E12" s="23" t="n">
        <v>-15.365</v>
      </c>
      <c r="F12" s="23" t="n">
        <v>-16.022</v>
      </c>
      <c r="G12" s="23" t="n">
        <v>-2.504</v>
      </c>
      <c r="H12" s="23" t="n">
        <v>-4.242</v>
      </c>
      <c r="I12" s="23" t="n">
        <v>-9.384</v>
      </c>
      <c r="J12" s="23" t="n">
        <v>-11.824</v>
      </c>
      <c r="K12" s="23" t="n">
        <v>-14.468</v>
      </c>
      <c r="L12" s="23" t="n">
        <v>-31.06</v>
      </c>
      <c r="M12" s="23" t="n">
        <v>-29.068</v>
      </c>
      <c r="N12" s="23" t="n">
        <v>-15.014</v>
      </c>
      <c r="O12" s="23" t="n">
        <v>1235.528</v>
      </c>
    </row>
    <row r="13">
      <c r="A13" s="2" t="inlineStr">
        <is>
          <t>Earnings per Share</t>
        </is>
      </c>
      <c r="B13" s="11">
        <f>IFERROR(B12/B14,0)</f>
        <v>-0.025343072155821163</v>
      </c>
      <c r="C13" s="11">
        <f>IFERROR(C12/C14,0)</f>
        <v>-0.11360253993451731</v>
      </c>
      <c r="D13" s="11">
        <f>IFERROR(D12/D14,0)</f>
        <v>-0.47866394001363327</v>
      </c>
      <c r="E13" s="11">
        <f>IFERROR(E12/E14,0)</f>
        <v>-4.511156782149149</v>
      </c>
      <c r="F13" s="11">
        <f>IFERROR(F12/F14,0)</f>
        <v>-4.695779601406799</v>
      </c>
      <c r="G13" s="11">
        <f>IFERROR(G12/G14,0)</f>
        <v>-0.7308814944541739</v>
      </c>
      <c r="H13" s="11">
        <f>IFERROR(H12/H14,0)</f>
        <v>-1.2088914220575664</v>
      </c>
      <c r="I13" s="11">
        <f>IFERROR(I12/I14,0)</f>
        <v>-1.0849809226500176</v>
      </c>
      <c r="J13" s="11">
        <f>IFERROR(J12/J14,0)</f>
        <v>-0.8978662009264181</v>
      </c>
      <c r="K13" s="11">
        <f>IFERROR(K12/K14,0)</f>
        <v>-0.8100783874580068</v>
      </c>
      <c r="L13" s="11">
        <f>IFERROR(L12/L14,0)</f>
        <v>-1.6885023104104375</v>
      </c>
      <c r="M13" s="11">
        <f>IFERROR(M12/M14,0)</f>
        <v>-1.5649833100032302</v>
      </c>
      <c r="N13" s="11">
        <f>IFERROR(N12/N14,0)</f>
        <v>-0.7318904163010627</v>
      </c>
      <c r="O13" s="11">
        <f>IFERROR(O12/O14,0)</f>
        <v>25.475329388234808</v>
      </c>
    </row>
    <row r="14">
      <c r="A14" s="2" t="inlineStr">
        <is>
          <t>Shares</t>
        </is>
      </c>
      <c r="B14" s="23" t="n">
        <v>9.036</v>
      </c>
      <c r="C14" s="23" t="n">
        <v>10.079</v>
      </c>
      <c r="D14" s="23" t="n">
        <v>14.67</v>
      </c>
      <c r="E14" s="23" t="n">
        <v>3.406</v>
      </c>
      <c r="F14" s="23" t="n">
        <v>3.412</v>
      </c>
      <c r="G14" s="23" t="n">
        <v>3.426</v>
      </c>
      <c r="H14" s="23" t="n">
        <v>3.509</v>
      </c>
      <c r="I14" s="23" t="n">
        <v>8.648999999999999</v>
      </c>
      <c r="J14" s="23" t="n">
        <v>13.169</v>
      </c>
      <c r="K14" s="23" t="n">
        <v>17.86</v>
      </c>
      <c r="L14" s="23" t="n">
        <v>18.395</v>
      </c>
      <c r="M14" s="23" t="n">
        <v>18.574</v>
      </c>
      <c r="N14" s="23" t="n">
        <v>20.514</v>
      </c>
      <c r="O14" s="23" t="n">
        <v>48.499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2026-10-21T01:06:12Z</dcterms:modified>
  <cp:lastModifiedBy>Wang, Eric</cp:lastModifiedBy>
</cp:coreProperties>
</file>