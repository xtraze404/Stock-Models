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Quantum Biopharma Ltd</t>
        </is>
      </c>
      <c r="C2" s="10" t="n"/>
    </row>
    <row r="3">
      <c r="B3" t="inlineStr">
        <is>
          <t>Price</t>
        </is>
      </c>
      <c r="C3" s="11">
        <f>INDEX([1]Pharma!$F$1:$F$1000,MATCH("QNTM",[1]Pharma!$B$1:$B$1000,0))</f>
        <v>2.43</v>
      </c>
      <c r="F3" s="1" t="n"/>
    </row>
    <row r="4">
      <c r="B4" t="inlineStr">
        <is>
          <t>Shares</t>
        </is>
      </c>
      <c r="C4" s="21" t="n">
        <v>3.887729</v>
      </c>
      <c r="F4" s="1" t="n"/>
    </row>
    <row r="5">
      <c r="B5" t="inlineStr">
        <is>
          <t>Market Cap.</t>
        </is>
      </c>
      <c r="C5" s="13">
        <f>C3*C4</f>
        <v>9.44718147</v>
      </c>
      <c r="F5" s="1" t="n"/>
    </row>
    <row r="6"/>
    <row r="7">
      <c r="B7" t="inlineStr">
        <is>
          <t>Cash</t>
        </is>
      </c>
      <c r="C7" s="21">
        <f>1.905357+0.45908</f>
        <v>2.364437</v>
      </c>
    </row>
    <row r="8">
      <c r="B8" t="inlineStr">
        <is>
          <t>Debt</t>
        </is>
      </c>
      <c r="C8" s="21" t="n">
        <v>1.300549</v>
      </c>
    </row>
    <row r="9">
      <c r="B9" t="inlineStr">
        <is>
          <t>Enterprise V.</t>
        </is>
      </c>
      <c r="C9" s="13">
        <f>C5-C7+C8</f>
        <v>8.38329347</v>
      </c>
    </row>
    <row r="10"/>
    <row r="11">
      <c r="B11" s="14" t="inlineStr">
        <is>
          <t>Net Cash / Share</t>
        </is>
      </c>
      <c r="C11" s="11">
        <f>(C7-C8)/C4</f>
        <v>0.27365281890790233</v>
      </c>
    </row>
    <row r="12">
      <c r="B12" s="14" t="inlineStr">
        <is>
          <t>Upside</t>
        </is>
      </c>
      <c r="C12" s="15">
        <f>IFERROR(C11/C3-1,"")</f>
        <v>-0.887385671231316</v>
      </c>
    </row>
    <row r="13">
      <c r="B13" s="14" t="inlineStr">
        <is>
          <t>Cash / Share</t>
        </is>
      </c>
      <c r="C13" s="11">
        <f>IFERROR((C7-C8)/C4,"")</f>
        <v>0.27365281890790233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-8.237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0.12915964550200318</v>
      </c>
    </row>
    <row r="19">
      <c r="B19" s="14" t="inlineStr">
        <is>
          <t>Implied Pipeline Value</t>
        </is>
      </c>
      <c r="C19" s="13">
        <f>C9</f>
        <v>8.38329347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0.182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1.383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-1.201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7.833</v>
      </c>
      <c r="E5" s="23" t="n">
        <v>6.328</v>
      </c>
      <c r="F5" s="23" t="n">
        <v>6.911</v>
      </c>
      <c r="G5" s="23" t="n">
        <v>3.859</v>
      </c>
      <c r="H5" s="23" t="n">
        <v>6.083</v>
      </c>
      <c r="I5" s="23" t="n">
        <v>2.763</v>
      </c>
      <c r="J5" s="1" t="n"/>
      <c r="K5" s="1" t="n"/>
    </row>
    <row r="6">
      <c r="A6" s="19" t="inlineStr">
        <is>
          <t>SG&amp;A &amp; Other</t>
        </is>
      </c>
      <c r="B6" s="23" t="n">
        <v>23.207</v>
      </c>
      <c r="C6" s="23" t="n">
        <v>21.282</v>
      </c>
      <c r="D6" s="23" t="n">
        <v>22.858</v>
      </c>
      <c r="E6" s="23" t="n">
        <v>27.416</v>
      </c>
      <c r="F6" s="23" t="n">
        <v>20.519</v>
      </c>
      <c r="G6" s="23" t="n">
        <v>19.93</v>
      </c>
      <c r="H6" s="23" t="n">
        <v>10.053</v>
      </c>
      <c r="I6" s="23" t="n">
        <v>12.539</v>
      </c>
      <c r="J6" s="1" t="n"/>
      <c r="K6" s="1" t="n"/>
    </row>
    <row r="7">
      <c r="A7" s="2" t="inlineStr">
        <is>
          <t>Operating Expense</t>
        </is>
      </c>
      <c r="B7" s="23">
        <f>SUM(B5:B6)</f>
        <v>23.207</v>
      </c>
      <c r="C7" s="23">
        <f>SUM(C5:C6)</f>
        <v>21.282</v>
      </c>
      <c r="D7" s="23">
        <f>SUM(D5:D6)</f>
        <v>30.691000000000003</v>
      </c>
      <c r="E7" s="23">
        <f>SUM(E5:E6)</f>
        <v>33.744</v>
      </c>
      <c r="F7" s="23">
        <f>SUM(F5:F6)</f>
        <v>27.43</v>
      </c>
      <c r="G7" s="23">
        <f>SUM(G5:G6)</f>
        <v>23.789</v>
      </c>
      <c r="H7" s="23">
        <f>SUM(H5:H6)</f>
        <v>16.136000000000003</v>
      </c>
      <c r="I7" s="23">
        <f>SUM(I5:I6)</f>
        <v>15.302</v>
      </c>
      <c r="J7" s="1" t="n"/>
      <c r="K7" s="1" t="n"/>
    </row>
    <row r="8">
      <c r="A8" s="2" t="inlineStr">
        <is>
          <t>Operating Income</t>
        </is>
      </c>
      <c r="B8" s="23">
        <f>B4-B7</f>
        <v>-23.207</v>
      </c>
      <c r="C8" s="23">
        <f>C4-C7</f>
        <v>-22.483</v>
      </c>
      <c r="D8" s="23">
        <f>D4-D7</f>
        <v>-30.691000000000003</v>
      </c>
      <c r="E8" s="23">
        <f>E4-E7</f>
        <v>-33.744</v>
      </c>
      <c r="F8" s="23">
        <f>F4-F7</f>
        <v>-27.43</v>
      </c>
      <c r="G8" s="23">
        <f>G4-G7</f>
        <v>-23.789</v>
      </c>
      <c r="H8" s="23">
        <f>H4-H7</f>
        <v>-16.136000000000003</v>
      </c>
      <c r="I8" s="23">
        <f>I4-I7</f>
        <v>-15.302</v>
      </c>
      <c r="J8" s="1" t="n"/>
      <c r="K8" s="1" t="n"/>
    </row>
    <row r="9">
      <c r="A9" s="19" t="inlineStr">
        <is>
          <t>Interest &amp; Other</t>
        </is>
      </c>
      <c r="B9" s="23" t="n">
        <v>7.17</v>
      </c>
      <c r="C9" s="23" t="n">
        <v>-16.645</v>
      </c>
      <c r="D9" s="23" t="n">
        <v>-1.109</v>
      </c>
      <c r="E9" s="23" t="n">
        <v>-1.542</v>
      </c>
      <c r="F9" s="23" t="n">
        <v>3.823</v>
      </c>
      <c r="G9" s="23" t="n">
        <v>0</v>
      </c>
      <c r="H9" s="23" t="n">
        <v>0</v>
      </c>
      <c r="I9" s="23" t="n">
        <v>0</v>
      </c>
    </row>
    <row r="10">
      <c r="A10" s="2" t="inlineStr">
        <is>
          <t>Pretax</t>
        </is>
      </c>
      <c r="B10" s="23">
        <f>B8+B9</f>
        <v>-16.037</v>
      </c>
      <c r="C10" s="23">
        <f>C8+C9</f>
        <v>-39.128</v>
      </c>
      <c r="D10" s="23">
        <f>D8+D9</f>
        <v>-31.800000000000004</v>
      </c>
      <c r="E10" s="23">
        <f>E8+E9</f>
        <v>-35.286</v>
      </c>
      <c r="F10" s="23">
        <f>F8+F9</f>
        <v>-23.607</v>
      </c>
      <c r="G10" s="23">
        <f>G8+G9</f>
        <v>-23.789</v>
      </c>
      <c r="H10" s="23">
        <f>H8+H9</f>
        <v>-16.136000000000003</v>
      </c>
      <c r="I10" s="23">
        <f>I8+I9</f>
        <v>-15.302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-16.037</v>
      </c>
      <c r="C12" s="23" t="n">
        <v>-39.13</v>
      </c>
      <c r="D12" s="23" t="n">
        <v>-31.8</v>
      </c>
      <c r="E12" s="23" t="n">
        <v>-35.285</v>
      </c>
      <c r="F12" s="23" t="n">
        <v>-23.607</v>
      </c>
      <c r="G12" s="23" t="n">
        <v>-23.789</v>
      </c>
      <c r="H12" s="23" t="n">
        <v>-16.136</v>
      </c>
      <c r="I12" s="23" t="n">
        <v>-15.302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-160.36999999999998</v>
      </c>
      <c r="C13" s="11">
        <f>IFERROR(C12/C14,0)</f>
        <v>-326.08333333333337</v>
      </c>
      <c r="D13" s="11">
        <f>IFERROR(D12/D14,0)</f>
        <v>-155.8823529411765</v>
      </c>
      <c r="E13" s="11">
        <f>IFERROR(E12/E14,0)</f>
        <v>-59.60304054054054</v>
      </c>
      <c r="F13" s="11">
        <f>IFERROR(F12/F14,0)</f>
        <v>-39.60906040268456</v>
      </c>
      <c r="G13" s="11">
        <f>IFERROR(G12/G14,0)</f>
        <v>-39.062397372742204</v>
      </c>
      <c r="H13" s="11">
        <f>IFERROR(H12/H14,0)</f>
        <v>-14.191732629727351</v>
      </c>
      <c r="I13" s="11">
        <f>IFERROR(I12/I14,0)</f>
        <v>0</v>
      </c>
    </row>
    <row r="14">
      <c r="A14" s="2" t="inlineStr">
        <is>
          <t>Shares</t>
        </is>
      </c>
      <c r="B14" s="23" t="n">
        <v>0.1</v>
      </c>
      <c r="C14" s="23" t="n">
        <v>0.12</v>
      </c>
      <c r="D14" s="23" t="n">
        <v>0.204</v>
      </c>
      <c r="E14" s="23" t="n">
        <v>0.592</v>
      </c>
      <c r="F14" s="23" t="n">
        <v>0.596</v>
      </c>
      <c r="G14" s="23" t="n">
        <v>0.609</v>
      </c>
      <c r="H14" s="23" t="n">
        <v>1.137</v>
      </c>
      <c r="I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-1.0</v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-6.598901098901099</v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-123.53296703296704</v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2026-10-21T01:06:37Z</dcterms:modified>
  <cp:lastModifiedBy>Wang, Eric</cp:lastModifiedBy>
</cp:coreProperties>
</file>