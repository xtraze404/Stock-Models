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Heron Therapeutics Inc</t>
        </is>
      </c>
      <c r="C2" s="10" t="n"/>
    </row>
    <row r="3">
      <c r="B3" t="inlineStr">
        <is>
          <t>Price</t>
        </is>
      </c>
      <c r="C3" s="11">
        <f>INDEX([1]Pharma!$F$1:$F$1000,MATCH("HRTX",[1]Pharma!$B$1:$B$1000,0))</f>
        <v>0.3545</v>
      </c>
      <c r="F3" s="1" t="n"/>
    </row>
    <row r="4">
      <c r="B4" t="inlineStr">
        <is>
          <t>Shares</t>
        </is>
      </c>
      <c r="C4" s="51" t="n">
        <v>189.852307</v>
      </c>
      <c r="F4" s="1" t="n"/>
    </row>
    <row r="5">
      <c r="B5" t="inlineStr">
        <is>
          <t>Market Cap.</t>
        </is>
      </c>
      <c r="C5" s="13">
        <f>C3*C4</f>
        <v>67.3026428315</v>
      </c>
      <c r="F5" s="1" t="n"/>
    </row>
    <row r="6"/>
    <row r="7">
      <c r="B7" t="inlineStr">
        <is>
          <t>Cash</t>
        </is>
      </c>
      <c r="C7" s="51" t="n">
        <v>42.7</v>
      </c>
    </row>
    <row r="8">
      <c r="B8" t="inlineStr">
        <is>
          <t>Debt</t>
        </is>
      </c>
      <c r="C8" s="51" t="n">
        <v>33.925</v>
      </c>
    </row>
    <row r="9">
      <c r="B9" t="inlineStr">
        <is>
          <t>Enterprise V.</t>
        </is>
      </c>
      <c r="C9" s="13">
        <f>C5-C7+C8</f>
        <v>58.52764283149999</v>
      </c>
    </row>
    <row r="10"/>
    <row r="11">
      <c r="B11" s="14" t="inlineStr">
        <is>
          <t>NPV / Share</t>
        </is>
      </c>
      <c r="C11" s="11">
        <f>NPV!B28</f>
        <v>0.6444984142175825</v>
      </c>
    </row>
    <row r="12">
      <c r="B12" s="14" t="inlineStr">
        <is>
          <t>Upside</t>
        </is>
      </c>
      <c r="C12" s="15">
        <f>IFERROR(C11/C3-1,"")</f>
        <v>0.8180491233218123</v>
      </c>
    </row>
    <row r="13">
      <c r="B13" s="14" t="inlineStr">
        <is>
          <t>Cash / Share</t>
        </is>
      </c>
      <c r="C13" s="11">
        <f>IFERROR((C7-C8)/C4,"")</f>
        <v>0.04622013889986602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1.279</v>
      </c>
      <c r="J2" s="52" t="n">
        <v>30.767</v>
      </c>
      <c r="K2" s="52" t="n">
        <v>77.474</v>
      </c>
      <c r="L2" s="52" t="n">
        <v>145.968</v>
      </c>
      <c r="M2" s="52" t="n">
        <v>88.63800000000001</v>
      </c>
      <c r="N2" s="52" t="n">
        <v>86.346</v>
      </c>
      <c r="O2" s="52" t="n">
        <v>107.672</v>
      </c>
      <c r="P2" s="52" t="n">
        <v>127.044</v>
      </c>
      <c r="Q2" s="52" t="n">
        <v>144.285</v>
      </c>
      <c r="R2" s="52" t="n">
        <v>154.904</v>
      </c>
      <c r="S2" s="52">
        <f>R2*(1+NPV!C5)</f>
        <v>147.313704</v>
      </c>
      <c r="T2" s="52">
        <f>S2*(1+NPV!D5)</f>
        <v>141.30657851466665</v>
      </c>
      <c r="U2" s="52">
        <f>T2*(1+NPV!E5)</f>
        <v>136.70626434746694</v>
      </c>
      <c r="V2" s="52">
        <f>U2*(1+NPV!F5)</f>
        <v>133.37974524834524</v>
      </c>
      <c r="W2" s="52">
        <f>V2*(1+NPV!G5)</f>
        <v>131.23084935267747</v>
      </c>
      <c r="X2" s="52">
        <f>W2*(1+NPV!H5)</f>
        <v>130.1955837633397</v>
      </c>
      <c r="Y2" s="52">
        <f>X2*(1+NPV!I5)</f>
        <v>130.2389822912608</v>
      </c>
      <c r="Z2" s="52">
        <f>Y2*(1+NPV!J5)</f>
        <v>131.35324913975273</v>
      </c>
      <c r="AA2" s="52">
        <f>Z2*(1+NPV!K5)</f>
        <v>133.55706476420858</v>
      </c>
      <c r="AB2" s="52">
        <f>AA2*(1+NPV!L5)</f>
        <v>136.89599138331377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0.035</v>
      </c>
      <c r="J3" s="52" t="n">
        <v>4.588</v>
      </c>
      <c r="K3" s="52" t="n">
        <v>27.512</v>
      </c>
      <c r="L3" s="52" t="n">
        <v>61.619</v>
      </c>
      <c r="M3" s="52" t="n">
        <v>36.189</v>
      </c>
      <c r="N3" s="52" t="n">
        <v>46.021</v>
      </c>
      <c r="O3" s="52" t="n">
        <v>54.874</v>
      </c>
      <c r="P3" s="52" t="n">
        <v>65.105</v>
      </c>
      <c r="Q3" s="52" t="n">
        <v>38.648</v>
      </c>
      <c r="R3" s="52" t="n">
        <v>41.347</v>
      </c>
      <c r="S3" s="52">
        <f>S2*(1-Assumptions!$B$19)</f>
        <v>39.31802759760001</v>
      </c>
      <c r="T3" s="52">
        <f>T2*(1-Assumptions!$B$19)</f>
        <v>37.714725805564534</v>
      </c>
      <c r="U3" s="52">
        <f>U2*(1-Assumptions!$B$19)</f>
        <v>36.48690195433893</v>
      </c>
      <c r="V3" s="52">
        <f>V2*(1-Assumptions!$B$19)</f>
        <v>35.59905400678335</v>
      </c>
      <c r="W3" s="52">
        <f>W2*(1-Assumptions!$B$19)</f>
        <v>35.025513692229616</v>
      </c>
      <c r="X3" s="52">
        <f>X2*(1-Assumptions!$B$19)</f>
        <v>34.74920130643537</v>
      </c>
      <c r="Y3" s="52">
        <f>Y2*(1-Assumptions!$B$19)</f>
        <v>34.76078437353751</v>
      </c>
      <c r="Z3" s="52">
        <f>Z2*(1-Assumptions!$B$19)</f>
        <v>35.05818219540001</v>
      </c>
      <c r="AA3" s="52">
        <f>AA2*(1-Assumptions!$B$19)</f>
        <v>35.64638058556727</v>
      </c>
      <c r="AB3" s="52">
        <f>AB2*(1-Assumptions!$B$19)</f>
        <v>36.53754010020645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1.244</v>
      </c>
      <c r="J4" s="52">
        <f>J2-J3</f>
        <v>26.179</v>
      </c>
      <c r="K4" s="52">
        <f>K2-K3</f>
        <v>49.962</v>
      </c>
      <c r="L4" s="52">
        <f>L2-L3</f>
        <v>84.34899999999999</v>
      </c>
      <c r="M4" s="52">
        <f>M2-M3</f>
        <v>52.449000000000005</v>
      </c>
      <c r="N4" s="52">
        <f>N2-N3</f>
        <v>40.325</v>
      </c>
      <c r="O4" s="52">
        <f>O2-O3</f>
        <v>52.797999999999995</v>
      </c>
      <c r="P4" s="52">
        <f>P2-P3</f>
        <v>61.93899999999999</v>
      </c>
      <c r="Q4" s="52">
        <f>Q2-Q3</f>
        <v>105.637</v>
      </c>
      <c r="R4" s="52">
        <f>R2-R3</f>
        <v>113.55699999999999</v>
      </c>
      <c r="S4" s="52">
        <f>S2-S3</f>
        <v>107.9956764024</v>
      </c>
      <c r="T4" s="52">
        <f>T2-T3</f>
        <v>103.59185270910211</v>
      </c>
      <c r="U4" s="52">
        <f>U2-U3</f>
        <v>100.21936239312801</v>
      </c>
      <c r="V4" s="52">
        <f>V2-V3</f>
        <v>97.7806912415619</v>
      </c>
      <c r="W4" s="52">
        <f>W2-W3</f>
        <v>96.20533566044784</v>
      </c>
      <c r="X4" s="52">
        <f>X2-X3</f>
        <v>95.44638245690433</v>
      </c>
      <c r="Y4" s="52">
        <f>Y2-Y3</f>
        <v>95.47819791772329</v>
      </c>
      <c r="Z4" s="52">
        <f>Z2-Z3</f>
        <v>96.29506694435273</v>
      </c>
      <c r="AA4" s="52">
        <f>AA2-AA3</f>
        <v>97.9106841786413</v>
      </c>
      <c r="AB4" s="52">
        <f>AB2-AB3</f>
        <v>100.35845128310731</v>
      </c>
    </row>
    <row r="5">
      <c r="A5" s="2" t="inlineStr">
        <is>
          <t>Research &amp; Dev.</t>
        </is>
      </c>
      <c r="B5" s="52" t="n">
        <v>7.796</v>
      </c>
      <c r="C5" s="52" t="n">
        <v>7.264</v>
      </c>
      <c r="D5" s="52" t="n">
        <v>8.207000000000001</v>
      </c>
      <c r="E5" s="52" t="n">
        <v>15.174</v>
      </c>
      <c r="F5" s="52" t="n">
        <v>32.516</v>
      </c>
      <c r="G5" s="52" t="n">
        <v>54.833</v>
      </c>
      <c r="H5" s="52" t="n">
        <v>61.183</v>
      </c>
      <c r="I5" s="52" t="n">
        <v>103.125</v>
      </c>
      <c r="J5" s="52" t="n">
        <v>138.582</v>
      </c>
      <c r="K5" s="52" t="n">
        <v>140.032</v>
      </c>
      <c r="L5" s="52" t="n">
        <v>167.382</v>
      </c>
      <c r="M5" s="52" t="n">
        <v>174.533</v>
      </c>
      <c r="N5" s="52" t="n">
        <v>130.821</v>
      </c>
      <c r="O5" s="52" t="n">
        <v>82.70399999999999</v>
      </c>
      <c r="P5" s="52" t="n">
        <v>39.133</v>
      </c>
      <c r="Q5" s="52" t="n">
        <v>16.683</v>
      </c>
      <c r="R5" s="52" t="n">
        <v>12.429</v>
      </c>
      <c r="S5" s="52">
        <f>S7*Assumptions!$B$20</f>
        <v>12.271739922792504</v>
      </c>
      <c r="T5" s="52">
        <f>T7*Assumptions!$B$20</f>
        <v>11.359833958617129</v>
      </c>
      <c r="U5" s="52">
        <f>U7*Assumptions!$B$20</f>
        <v>10.591912912688706</v>
      </c>
      <c r="V5" s="52">
        <f>V7*Assumptions!$B$20</f>
        <v>9.945768011375915</v>
      </c>
      <c r="W5" s="52">
        <f>W7*Assumptions!$B$20</f>
        <v>9.403379974232688</v>
      </c>
      <c r="X5" s="52">
        <f>X7*Assumptions!$B$20</f>
        <v>8.950061834933516</v>
      </c>
      <c r="Y5" s="52">
        <f>Y7*Assumptions!$B$20</f>
        <v>8.57378289073621</v>
      </c>
      <c r="Z5" s="52">
        <f>Z7*Assumptions!$B$20</f>
        <v>8.264629268775009</v>
      </c>
      <c r="AA5" s="52">
        <f>AA7*Assumptions!$B$20</f>
        <v>8.014366665172684</v>
      </c>
      <c r="AB5" s="52">
        <f>AB7*Assumptions!$B$20</f>
        <v>7.816077996990213</v>
      </c>
    </row>
    <row r="6">
      <c r="A6" s="18" t="inlineStr">
        <is>
          <t>SG&amp;A &amp; Other</t>
        </is>
      </c>
      <c r="B6" s="52" t="n">
        <v>2.446</v>
      </c>
      <c r="C6" s="52" t="n">
        <v>2.67</v>
      </c>
      <c r="D6" s="52" t="n">
        <v>2.855</v>
      </c>
      <c r="E6" s="52" t="n">
        <v>8.657</v>
      </c>
      <c r="F6" s="52" t="n">
        <v>21.941</v>
      </c>
      <c r="G6" s="52" t="n">
        <v>19.728</v>
      </c>
      <c r="H6" s="52" t="n">
        <v>35.742</v>
      </c>
      <c r="I6" s="52" t="n">
        <v>69.03400000000001</v>
      </c>
      <c r="J6" s="52" t="n">
        <v>82.155</v>
      </c>
      <c r="K6" s="52" t="n">
        <v>93.867</v>
      </c>
      <c r="L6" s="52" t="n">
        <v>127.661</v>
      </c>
      <c r="M6" s="52" t="n">
        <v>106.079</v>
      </c>
      <c r="N6" s="52" t="n">
        <v>127.332</v>
      </c>
      <c r="O6" s="52" t="n">
        <v>144.752</v>
      </c>
      <c r="P6" s="52" t="n">
        <v>133.421</v>
      </c>
      <c r="Q6" s="52" t="n">
        <v>100.482</v>
      </c>
      <c r="R6" s="52" t="n">
        <v>103.666</v>
      </c>
      <c r="S6" s="52">
        <f>S7-S5</f>
        <v>102.31033218544749</v>
      </c>
      <c r="T6" s="52">
        <f>T7-T5</f>
        <v>94.70771000606194</v>
      </c>
      <c r="U6" s="52">
        <f>U7-U5</f>
        <v>88.30549990419931</v>
      </c>
      <c r="V6" s="52">
        <f>V7-V5</f>
        <v>82.91854582033197</v>
      </c>
      <c r="W6" s="52">
        <f>W7-W5</f>
        <v>78.39661978517616</v>
      </c>
      <c r="X6" s="52">
        <f>X7-X5</f>
        <v>74.6172755594037</v>
      </c>
      <c r="Y6" s="52">
        <f>Y7-Y5</f>
        <v>71.48021235423306</v>
      </c>
      <c r="Z6" s="52">
        <f>Z7-Z5</f>
        <v>68.90277753584692</v>
      </c>
      <c r="AA6" s="52">
        <f>AA7-AA5</f>
        <v>66.81632115156573</v>
      </c>
      <c r="AB6" s="52">
        <f>AB7-AB5</f>
        <v>65.16317500945435</v>
      </c>
    </row>
    <row r="7">
      <c r="A7" s="2" t="inlineStr">
        <is>
          <t>Operating Expense</t>
        </is>
      </c>
      <c r="B7" s="52">
        <f>SUM(B5:B6)</f>
        <v>10.242</v>
      </c>
      <c r="C7" s="52">
        <f>SUM(C5:C6)</f>
        <v>9.934000000000001</v>
      </c>
      <c r="D7" s="52">
        <f>SUM(D5:D6)</f>
        <v>11.062000000000001</v>
      </c>
      <c r="E7" s="52">
        <f>SUM(E5:E6)</f>
        <v>23.831</v>
      </c>
      <c r="F7" s="52">
        <f>SUM(F5:F6)</f>
        <v>54.456999999999994</v>
      </c>
      <c r="G7" s="52">
        <f>SUM(G5:G6)</f>
        <v>74.561</v>
      </c>
      <c r="H7" s="52">
        <f>SUM(H5:H6)</f>
        <v>96.925</v>
      </c>
      <c r="I7" s="52">
        <f>SUM(I5:I6)</f>
        <v>172.159</v>
      </c>
      <c r="J7" s="52">
        <f>SUM(J5:J6)</f>
        <v>220.737</v>
      </c>
      <c r="K7" s="52">
        <f>SUM(K5:K6)</f>
        <v>233.899</v>
      </c>
      <c r="L7" s="52">
        <f>SUM(L5:L6)</f>
        <v>295.043</v>
      </c>
      <c r="M7" s="52">
        <f>SUM(M5:M6)</f>
        <v>280.61199999999997</v>
      </c>
      <c r="N7" s="52">
        <f>SUM(N5:N6)</f>
        <v>258.153</v>
      </c>
      <c r="O7" s="52">
        <f>SUM(O5:O6)</f>
        <v>227.45600000000002</v>
      </c>
      <c r="P7" s="52">
        <f>SUM(P5:P6)</f>
        <v>172.554</v>
      </c>
      <c r="Q7" s="52">
        <f>SUM(Q5:Q6)</f>
        <v>117.16499999999999</v>
      </c>
      <c r="R7" s="52">
        <f>SUM(R5:R6)</f>
        <v>116.095</v>
      </c>
      <c r="S7" s="52">
        <f>S4-S2*NPV!C6</f>
        <v>114.58207210824</v>
      </c>
      <c r="T7" s="52">
        <f>T4-T2*NPV!D6</f>
        <v>106.06754396467907</v>
      </c>
      <c r="U7" s="52">
        <f>U4-U2*NPV!E6</f>
        <v>98.89741281688801</v>
      </c>
      <c r="V7" s="52">
        <f>V4-V2*NPV!F6</f>
        <v>92.86431383170789</v>
      </c>
      <c r="W7" s="52">
        <f>W4-W2*NPV!G6</f>
        <v>87.79999975940885</v>
      </c>
      <c r="X7" s="52">
        <f>X4-X2*NPV!H6</f>
        <v>83.56733739433722</v>
      </c>
      <c r="Y7" s="52">
        <f>Y4-Y2*NPV!I6</f>
        <v>80.05399524496927</v>
      </c>
      <c r="Z7" s="52">
        <f>Z4-Z2*NPV!J6</f>
        <v>77.16740680462193</v>
      </c>
      <c r="AA7" s="52">
        <f>AA4-AA2*NPV!K6</f>
        <v>74.83068781673842</v>
      </c>
      <c r="AB7" s="52">
        <f>AB4-AB2*NPV!L6</f>
        <v>72.97925300644457</v>
      </c>
    </row>
    <row r="8">
      <c r="A8" s="2" t="inlineStr">
        <is>
          <t>Operating Income</t>
        </is>
      </c>
      <c r="B8" s="52">
        <f>B4-B7</f>
        <v>-10.242</v>
      </c>
      <c r="C8" s="52">
        <f>C4-C7</f>
        <v>-9.934000000000001</v>
      </c>
      <c r="D8" s="52">
        <f>D4-D7</f>
        <v>-11.062000000000001</v>
      </c>
      <c r="E8" s="52">
        <f>E4-E7</f>
        <v>-23.831</v>
      </c>
      <c r="F8" s="52">
        <f>F4-F7</f>
        <v>-54.456999999999994</v>
      </c>
      <c r="G8" s="52">
        <f>G4-G7</f>
        <v>-74.561</v>
      </c>
      <c r="H8" s="52">
        <f>H4-H7</f>
        <v>-96.925</v>
      </c>
      <c r="I8" s="52">
        <f>I4-I7</f>
        <v>-170.915</v>
      </c>
      <c r="J8" s="52">
        <f>J4-J7</f>
        <v>-194.558</v>
      </c>
      <c r="K8" s="52">
        <f>K4-K7</f>
        <v>-183.937</v>
      </c>
      <c r="L8" s="52">
        <f>L4-L7</f>
        <v>-210.69400000000002</v>
      </c>
      <c r="M8" s="52">
        <f>M4-M7</f>
        <v>-228.16299999999995</v>
      </c>
      <c r="N8" s="52">
        <f>N4-N7</f>
        <v>-217.82800000000003</v>
      </c>
      <c r="O8" s="52">
        <f>O4-O7</f>
        <v>-174.65800000000002</v>
      </c>
      <c r="P8" s="52">
        <f>P4-P7</f>
        <v>-110.61500000000001</v>
      </c>
      <c r="Q8" s="52">
        <f>Q4-Q7</f>
        <v>-11.527999999999992</v>
      </c>
      <c r="R8" s="52">
        <f>R4-R7</f>
        <v>-2.538000000000011</v>
      </c>
      <c r="S8" s="52">
        <f>S4-S7</f>
        <v>-6.586395705840005</v>
      </c>
      <c r="T8" s="52">
        <f>T4-T7</f>
        <v>-2.4756912555769617</v>
      </c>
      <c r="U8" s="52">
        <f>U4-U7</f>
        <v>1.3219495762400015</v>
      </c>
      <c r="V8" s="52">
        <f>V4-V7</f>
        <v>4.916377409854007</v>
      </c>
      <c r="W8" s="52">
        <f>W4-W7</f>
        <v>8.405335901038995</v>
      </c>
      <c r="X8" s="52">
        <f>X4-X7</f>
        <v>11.879045062567116</v>
      </c>
      <c r="Y8" s="52">
        <f>Y4-Y7</f>
        <v>15.42420267275402</v>
      </c>
      <c r="Z8" s="52">
        <f>Z4-Z7</f>
        <v>19.127660139730793</v>
      </c>
      <c r="AA8" s="52">
        <f>AA4-AA7</f>
        <v>23.079996361902886</v>
      </c>
      <c r="AB8" s="52">
        <f>AB4-AB7</f>
        <v>27.37919827666275</v>
      </c>
    </row>
    <row r="9">
      <c r="A9" s="18" t="inlineStr">
        <is>
          <t>Interest &amp; Other</t>
        </is>
      </c>
      <c r="B9" s="52" t="n">
        <v>0.092</v>
      </c>
      <c r="C9" s="52" t="n">
        <v>2.588</v>
      </c>
      <c r="D9" s="52" t="n">
        <v>-0.752</v>
      </c>
      <c r="E9" s="52" t="n">
        <v>0.483</v>
      </c>
      <c r="F9" s="52" t="n">
        <v>-0.826</v>
      </c>
      <c r="G9" s="52" t="n">
        <v>-1.806</v>
      </c>
      <c r="H9" s="52" t="n">
        <v>-0.666</v>
      </c>
      <c r="I9" s="52" t="n">
        <v>-2.228</v>
      </c>
      <c r="J9" s="52" t="n">
        <v>-2.926</v>
      </c>
      <c r="K9" s="52" t="n">
        <v>5.097</v>
      </c>
      <c r="L9" s="52" t="n">
        <v>5.945</v>
      </c>
      <c r="M9" s="52" t="n">
        <v>0.885</v>
      </c>
      <c r="N9" s="52" t="n">
        <v>-3.172</v>
      </c>
      <c r="O9" s="52" t="n">
        <v>-7.342</v>
      </c>
      <c r="P9" s="52" t="n">
        <v>-0.385</v>
      </c>
      <c r="Q9" s="52" t="n">
        <v>-2.472</v>
      </c>
      <c r="R9" s="52" t="n">
        <v>-17.462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-10.15</v>
      </c>
      <c r="C10" s="52">
        <f>C8+C9</f>
        <v>-7.346000000000001</v>
      </c>
      <c r="D10" s="52">
        <f>D8+D9</f>
        <v>-11.814000000000002</v>
      </c>
      <c r="E10" s="52">
        <f>E8+E9</f>
        <v>-23.348</v>
      </c>
      <c r="F10" s="52">
        <f>F8+F9</f>
        <v>-55.282999999999994</v>
      </c>
      <c r="G10" s="52">
        <f>G8+G9</f>
        <v>-76.367</v>
      </c>
      <c r="H10" s="52">
        <f>H8+H9</f>
        <v>-97.591</v>
      </c>
      <c r="I10" s="52">
        <f>I8+I9</f>
        <v>-173.143</v>
      </c>
      <c r="J10" s="52">
        <f>J8+J9</f>
        <v>-197.48399999999998</v>
      </c>
      <c r="K10" s="52">
        <f>K8+K9</f>
        <v>-178.84</v>
      </c>
      <c r="L10" s="52">
        <f>L8+L9</f>
        <v>-204.74900000000002</v>
      </c>
      <c r="M10" s="52">
        <f>M8+M9</f>
        <v>-227.27799999999996</v>
      </c>
      <c r="N10" s="52">
        <f>N8+N9</f>
        <v>-221.00000000000003</v>
      </c>
      <c r="O10" s="52">
        <f>O8+O9</f>
        <v>-182.00000000000003</v>
      </c>
      <c r="P10" s="52">
        <f>P8+P9</f>
        <v>-111.00000000000001</v>
      </c>
      <c r="Q10" s="52">
        <f>Q8+Q9</f>
        <v>-13.999999999999991</v>
      </c>
      <c r="R10" s="52">
        <f>R8+R9</f>
        <v>-20.00000000000001</v>
      </c>
      <c r="S10" s="52">
        <f>S8+S9</f>
        <v>-6.586395705840005</v>
      </c>
      <c r="T10" s="52">
        <f>T8+T9</f>
        <v>-2.4756912555769617</v>
      </c>
      <c r="U10" s="52">
        <f>U8+U9</f>
        <v>1.3219495762400015</v>
      </c>
      <c r="V10" s="52">
        <f>V8+V9</f>
        <v>4.916377409854007</v>
      </c>
      <c r="W10" s="52">
        <f>W8+W9</f>
        <v>8.405335901038995</v>
      </c>
      <c r="X10" s="52">
        <f>X8+X9</f>
        <v>11.879045062567116</v>
      </c>
      <c r="Y10" s="52">
        <f>Y8+Y9</f>
        <v>15.42420267275402</v>
      </c>
      <c r="Z10" s="52">
        <f>Z8+Z9</f>
        <v>19.127660139730793</v>
      </c>
      <c r="AA10" s="52">
        <f>AA8+AA9</f>
        <v>23.079996361902886</v>
      </c>
      <c r="AB10" s="52">
        <f>AB8+AB9</f>
        <v>27.37919827666275</v>
      </c>
    </row>
    <row r="11">
      <c r="A11" s="2" t="inlineStr">
        <is>
          <t>Taxes</t>
        </is>
      </c>
      <c r="B11" s="52" t="n">
        <v>-0.122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0.22473142796080028</v>
      </c>
      <c r="V11" s="52">
        <f>MAX(0,V10)*Assumptions!$E$14</f>
        <v>0.8357841596751813</v>
      </c>
      <c r="W11" s="52">
        <f>MAX(0,W10)*Assumptions!$E$14</f>
        <v>1.4289071031766294</v>
      </c>
      <c r="X11" s="52">
        <f>MAX(0,X10)*Assumptions!$E$14</f>
        <v>2.01943766063641</v>
      </c>
      <c r="Y11" s="52">
        <f>MAX(0,Y10)*Assumptions!$E$14</f>
        <v>2.622114454368184</v>
      </c>
      <c r="Z11" s="52">
        <f>MAX(0,Z10)*Assumptions!$E$14</f>
        <v>3.251702223754235</v>
      </c>
      <c r="AA11" s="52">
        <f>MAX(0,AA10)*Assumptions!$E$14</f>
        <v>3.923599381523491</v>
      </c>
      <c r="AB11" s="52">
        <f>MAX(0,AB10)*Assumptions!$E$14</f>
        <v>4.654463707032668</v>
      </c>
    </row>
    <row r="12">
      <c r="A12" s="2" t="inlineStr">
        <is>
          <t>Net Income</t>
        </is>
      </c>
      <c r="B12" s="52" t="n">
        <v>-10.028</v>
      </c>
      <c r="C12" s="52" t="n">
        <v>-7.346</v>
      </c>
      <c r="D12" s="52" t="n">
        <v>-11.814</v>
      </c>
      <c r="E12" s="52" t="n">
        <v>-23.348</v>
      </c>
      <c r="F12" s="52" t="n">
        <v>-55.283</v>
      </c>
      <c r="G12" s="52" t="n">
        <v>-76.367</v>
      </c>
      <c r="H12" s="52" t="n">
        <v>-97.59099999999999</v>
      </c>
      <c r="I12" s="52" t="n">
        <v>-173.143</v>
      </c>
      <c r="J12" s="52" t="n">
        <v>-197.484</v>
      </c>
      <c r="K12" s="52" t="n">
        <v>-178.84</v>
      </c>
      <c r="L12" s="52" t="n">
        <v>-204.749</v>
      </c>
      <c r="M12" s="52" t="n">
        <v>-227.278</v>
      </c>
      <c r="N12" s="52" t="n">
        <v>-221</v>
      </c>
      <c r="O12" s="52" t="n">
        <v>-182</v>
      </c>
      <c r="P12" s="52" t="n">
        <v>-111</v>
      </c>
      <c r="Q12" s="52" t="n">
        <v>-14</v>
      </c>
      <c r="R12" s="52" t="n">
        <v>-20</v>
      </c>
      <c r="S12" s="52">
        <f>S10-S11</f>
        <v>-6.586395705840005</v>
      </c>
      <c r="T12" s="52">
        <f>T10-T11</f>
        <v>-2.4756912555769617</v>
      </c>
      <c r="U12" s="52">
        <f>U10-U11</f>
        <v>1.0972181482792012</v>
      </c>
      <c r="V12" s="52">
        <f>V10-V11</f>
        <v>4.0805932501788265</v>
      </c>
      <c r="W12" s="52">
        <f>W10-W11</f>
        <v>6.976428797862366</v>
      </c>
      <c r="X12" s="52">
        <f>X10-X11</f>
        <v>9.859607401930706</v>
      </c>
      <c r="Y12" s="52">
        <f>Y10-Y11</f>
        <v>12.802088218385837</v>
      </c>
      <c r="Z12" s="52">
        <f>Z10-Z11</f>
        <v>15.875957915976558</v>
      </c>
      <c r="AA12" s="52">
        <f>AA10-AA11</f>
        <v>19.156396980379395</v>
      </c>
      <c r="AB12" s="52">
        <f>AB10-AB11</f>
        <v>22.72473456963008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-0.9823715283552303</v>
      </c>
      <c r="E13" s="11">
        <f>IFERROR(E12/E14,0)</f>
        <v>-1.9101693528593633</v>
      </c>
      <c r="F13" s="11">
        <f>IFERROR(F12/F14,0)</f>
        <v>-3.4203427581513335</v>
      </c>
      <c r="G13" s="11">
        <f>IFERROR(G12/G14,0)</f>
        <v>-2.8742895856072868</v>
      </c>
      <c r="H13" s="11">
        <f>IFERROR(H12/H14,0)</f>
        <v>-2.950061969106133</v>
      </c>
      <c r="I13" s="11">
        <f>IFERROR(I12/I14,0)</f>
        <v>-4.565405405405405</v>
      </c>
      <c r="J13" s="11">
        <f>IFERROR(J12/J14,0)</f>
        <v>-3.6544041450777205</v>
      </c>
      <c r="K13" s="11">
        <f>IFERROR(K12/K14,0)</f>
        <v>-2.443403057669449</v>
      </c>
      <c r="L13" s="11">
        <f>IFERROR(L12/L14,0)</f>
        <v>-2.503686765551058</v>
      </c>
      <c r="M13" s="11">
        <f>IFERROR(M12/M14,0)</f>
        <v>-2.5037786150219223</v>
      </c>
      <c r="N13" s="11">
        <f>IFERROR(N12/N14,0)</f>
        <v>-2.244315585299225</v>
      </c>
      <c r="O13" s="11">
        <f>IFERROR(O12/O14,0)</f>
        <v>-1.671626437415041</v>
      </c>
      <c r="P13" s="11">
        <f>IFERROR(P12/P14,0)</f>
        <v>-0.8035617330871974</v>
      </c>
      <c r="Q13" s="11">
        <f>IFERROR(Q12/Q14,0)</f>
        <v>-0.09183399038366928</v>
      </c>
      <c r="R13" s="11">
        <f>IFERROR(R12/R14,0)</f>
        <v>-0.11997096702597972</v>
      </c>
      <c r="S13" s="11">
        <f>IFERROR(S12/S14,0)</f>
        <v>-0.03469220790580124</v>
      </c>
      <c r="T13" s="11">
        <f>IFERROR(T12/T14,0)</f>
        <v>-0.013040090450820604</v>
      </c>
      <c r="U13" s="11">
        <f>IFERROR(U12/U14,0)</f>
        <v>0.005779324811044836</v>
      </c>
      <c r="V13" s="11">
        <f>IFERROR(V12/V14,0)</f>
        <v>0.02149351416719327</v>
      </c>
      <c r="W13" s="11">
        <f>IFERROR(W12/W14,0)</f>
        <v>0.03674661060538161</v>
      </c>
      <c r="X13" s="11">
        <f>IFERROR(X12/X14,0)</f>
        <v>0.0519330397282489</v>
      </c>
      <c r="Y13" s="11">
        <f>IFERROR(Y12/Y14,0)</f>
        <v>0.06743182856548505</v>
      </c>
      <c r="Z13" s="11">
        <f>IFERROR(Z12/Z14,0)</f>
        <v>0.08362267578858844</v>
      </c>
      <c r="AA13" s="11">
        <f>IFERROR(AA12/AA14,0)</f>
        <v>0.10090157598337425</v>
      </c>
      <c r="AB13" s="11">
        <f>IFERROR(AB12/AB14,0)</f>
        <v>0.11969691034426082</v>
      </c>
    </row>
    <row r="14">
      <c r="A14" s="2" t="inlineStr">
        <is>
          <t>Shares</t>
        </is>
      </c>
      <c r="B14" s="52" t="n"/>
      <c r="C14" s="52" t="n"/>
      <c r="D14" s="52" t="n">
        <v>12.026</v>
      </c>
      <c r="E14" s="52" t="n">
        <v>12.223</v>
      </c>
      <c r="F14" s="52" t="n">
        <v>16.163</v>
      </c>
      <c r="G14" s="52" t="n">
        <v>26.569</v>
      </c>
      <c r="H14" s="52" t="n">
        <v>33.081</v>
      </c>
      <c r="I14" s="52" t="n">
        <v>37.925</v>
      </c>
      <c r="J14" s="52" t="n">
        <v>54.04</v>
      </c>
      <c r="K14" s="52" t="n">
        <v>73.193</v>
      </c>
      <c r="L14" s="52" t="n">
        <v>81.779</v>
      </c>
      <c r="M14" s="52" t="n">
        <v>90.774</v>
      </c>
      <c r="N14" s="52" t="n">
        <v>98.471</v>
      </c>
      <c r="O14" s="52" t="n">
        <v>108.876</v>
      </c>
      <c r="P14" s="52" t="n">
        <v>138.135</v>
      </c>
      <c r="Q14" s="52" t="n">
        <v>152.449</v>
      </c>
      <c r="R14" s="52" t="n">
        <v>166.707</v>
      </c>
      <c r="S14" s="52">
        <f>Main!$C$4</f>
        <v>189.852307</v>
      </c>
      <c r="T14" s="52">
        <f>Main!$C$4</f>
        <v>189.852307</v>
      </c>
      <c r="U14" s="52">
        <f>Main!$C$4</f>
        <v>189.852307</v>
      </c>
      <c r="V14" s="52">
        <f>Main!$C$4</f>
        <v>189.852307</v>
      </c>
      <c r="W14" s="52">
        <f>Main!$C$4</f>
        <v>189.852307</v>
      </c>
      <c r="X14" s="52">
        <f>Main!$C$4</f>
        <v>189.852307</v>
      </c>
      <c r="Y14" s="52">
        <f>Main!$C$4</f>
        <v>189.852307</v>
      </c>
      <c r="Z14" s="52">
        <f>Main!$C$4</f>
        <v>189.852307</v>
      </c>
      <c r="AA14" s="52">
        <f>Main!$C$4</f>
        <v>189.852307</v>
      </c>
      <c r="AB14" s="52">
        <f>Main!$C$4</f>
        <v>189.852307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>23.05551211884285</v>
      </c>
      <c r="K16" s="15">
        <f>IFERROR(K2/J2-1,"")</f>
        <v>1.5180875613481981</v>
      </c>
      <c r="L16" s="15">
        <f>IFERROR(L2/K2-1,"")</f>
        <v>0.8840901463716857</v>
      </c>
      <c r="M16" s="15">
        <f>IFERROR(M2/L2-1,"")</f>
        <v>-0.3927573166721472</v>
      </c>
      <c r="N16" s="15">
        <f>IFERROR(N2/M2-1,"")</f>
        <v>-0.02585798416029239</v>
      </c>
      <c r="O16" s="15">
        <f>IFERROR(O2/N2-1,"")</f>
        <v>0.24698306812127946</v>
      </c>
      <c r="P16" s="15">
        <f>IFERROR(P2/O2-1,"")</f>
        <v>0.17991678430789815</v>
      </c>
      <c r="Q16" s="15">
        <f>IFERROR(Q2/P2-1,"")</f>
        <v>0.1357088882591857</v>
      </c>
      <c r="R16" s="15">
        <f>IFERROR(R2/Q2-1,"")</f>
        <v>0.07359739404650512</v>
      </c>
      <c r="S16" s="15">
        <f>IFERROR(S2/R2-1,"")</f>
        <v>-0.04899999999999993</v>
      </c>
      <c r="T16" s="15">
        <f>IFERROR(T2/S2-1,"")</f>
        <v>-0.04077777777777791</v>
      </c>
      <c r="U16" s="15">
        <f>IFERROR(U2/T2-1,"")</f>
        <v>-0.03255555555555567</v>
      </c>
      <c r="V16" s="15">
        <f>IFERROR(V2/U2-1,"")</f>
        <v>-0.024333333333333318</v>
      </c>
      <c r="W16" s="15">
        <f>IFERROR(W2/V2-1,"")</f>
        <v>-0.016111111111111076</v>
      </c>
      <c r="X16" s="15">
        <f>IFERROR(X2/W2-1,"")</f>
        <v>-0.007888888888888723</v>
      </c>
      <c r="Y16" s="15">
        <f>IFERROR(Y2/X2-1,"")</f>
        <v>0.0003333333333332966</v>
      </c>
      <c r="Z16" s="15">
        <f>IFERROR(Z2/Y2-1,"")</f>
        <v>0.00855555555555565</v>
      </c>
      <c r="AA16" s="15">
        <f>IFERROR(AA2/Z2-1,"")</f>
        <v>0.01677777777777778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>0.9726348709929633</v>
      </c>
      <c r="J17" s="15">
        <f>IFERROR(J4/J2,"")</f>
        <v>0.8508791887411837</v>
      </c>
      <c r="K17" s="15">
        <f>IFERROR(K4/K2,"")</f>
        <v>0.6448873170353925</v>
      </c>
      <c r="L17" s="15">
        <f>IFERROR(L4/L2,"")</f>
        <v>0.577859530856078</v>
      </c>
      <c r="M17" s="15">
        <f>IFERROR(M4/M2,"")</f>
        <v>0.5917213836052257</v>
      </c>
      <c r="N17" s="15">
        <f>IFERROR(N4/N2,"")</f>
        <v>0.4670164223009752</v>
      </c>
      <c r="O17" s="15">
        <f>IFERROR(O4/O2,"")</f>
        <v>0.4903596106694405</v>
      </c>
      <c r="P17" s="15">
        <f>IFERROR(P4/P2,"")</f>
        <v>0.48753975000787125</v>
      </c>
      <c r="Q17" s="15">
        <f>IFERROR(Q4/Q2,"")</f>
        <v>0.7321412482240012</v>
      </c>
      <c r="R17" s="15">
        <f>IFERROR(R4/R2,"")</f>
        <v>0.7330798429995351</v>
      </c>
      <c r="S17" s="15">
        <f>IFERROR(S4/S2,"")</f>
        <v>0.7331</v>
      </c>
      <c r="T17" s="15">
        <f>IFERROR(T4/T2,"")</f>
        <v>0.7331</v>
      </c>
      <c r="U17" s="15">
        <f>IFERROR(U4/U2,"")</f>
        <v>0.7331</v>
      </c>
      <c r="V17" s="15">
        <f>IFERROR(V4/V2,"")</f>
        <v>0.7331</v>
      </c>
      <c r="W17" s="15">
        <f>IFERROR(W4/W2,"")</f>
        <v>0.7331</v>
      </c>
      <c r="X17" s="15">
        <f>IFERROR(X4/X2,"")</f>
        <v>0.7331</v>
      </c>
      <c r="Y17" s="15">
        <f>IFERROR(Y4/Y2,"")</f>
        <v>0.7331</v>
      </c>
      <c r="Z17" s="15">
        <f>IFERROR(Z4/Z2,"")</f>
        <v>0.7331</v>
      </c>
      <c r="AA17" s="15">
        <f>IFERROR(AA4/AA2,"")</f>
        <v>0.7331</v>
      </c>
      <c r="AB17" s="15">
        <f>IFERROR(AB4/AB2,"")</f>
        <v>0.7331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>-133.63174354964818</v>
      </c>
      <c r="J18" s="15">
        <f>IFERROR(J8/J2,"")</f>
        <v>-6.323593460525888</v>
      </c>
      <c r="K18" s="15">
        <f>IFERROR(K8/K2,"")</f>
        <v>-2.3741771432996877</v>
      </c>
      <c r="L18" s="15">
        <f>IFERROR(L8/L2,"")</f>
        <v>-1.443425956374</v>
      </c>
      <c r="M18" s="15">
        <f>IFERROR(M8/M2,"")</f>
        <v>-2.5740991448362998</v>
      </c>
      <c r="N18" s="15">
        <f>IFERROR(N8/N2,"")</f>
        <v>-2.5227341162300516</v>
      </c>
      <c r="O18" s="15">
        <f>IFERROR(O8/O2,"")</f>
        <v>-1.6221301731183597</v>
      </c>
      <c r="P18" s="15">
        <f>IFERROR(P8/P2,"")</f>
        <v>-0.8706825981549701</v>
      </c>
      <c r="Q18" s="15">
        <f>IFERROR(Q8/Q2,"")</f>
        <v>-0.07989742523477833</v>
      </c>
      <c r="R18" s="15">
        <f>IFERROR(R8/R2,"")</f>
        <v>-0.01638434126943146</v>
      </c>
      <c r="S18" s="15">
        <f>IFERROR(S8/S2,"")</f>
        <v>-0.044710000000000034</v>
      </c>
      <c r="T18" s="15">
        <f>IFERROR(T8/T2,"")</f>
        <v>-0.017520000000000015</v>
      </c>
      <c r="U18" s="15">
        <f>IFERROR(U8/U2,"")</f>
        <v>0.009669999999999972</v>
      </c>
      <c r="V18" s="15">
        <f>IFERROR(V8/V2,"")</f>
        <v>0.03686000000000001</v>
      </c>
      <c r="W18" s="15">
        <f>IFERROR(W8/W2,"")</f>
        <v>0.06405000000000002</v>
      </c>
      <c r="X18" s="15">
        <f>IFERROR(X8/X2,"")</f>
        <v>0.09124000000000002</v>
      </c>
      <c r="Y18" s="15">
        <f>IFERROR(Y8/Y2,"")</f>
        <v>0.11843000000000002</v>
      </c>
      <c r="Z18" s="15">
        <f>IFERROR(Z8/Z2,"")</f>
        <v>0.14562</v>
      </c>
      <c r="AA18" s="15">
        <f>IFERROR(AA8/AA2,"")</f>
        <v>0.17281000000000002</v>
      </c>
      <c r="AB18" s="15">
        <f>IFERROR(AB8/AB2,"")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Heron Therapeutics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-0.099</v>
      </c>
      <c r="C12" s="53" t="n">
        <v>-0.049</v>
      </c>
      <c r="D12" s="53" t="n">
        <v>0.001</v>
      </c>
      <c r="E12" s="54">
        <f>CHOOSE($B$4,B12,C12,D12)</f>
        <v>-0.049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-0.07190000000000001</v>
      </c>
    </row>
    <row r="19">
      <c r="A19" s="14" t="inlineStr">
        <is>
          <t>Gross margin (forecast)</t>
        </is>
      </c>
      <c r="B19" s="53" t="n">
        <v>0.7331</v>
      </c>
    </row>
    <row r="20">
      <c r="A20" s="14" t="inlineStr">
        <is>
          <t>R&amp;D share of operating expense (forecast)</t>
        </is>
      </c>
      <c r="B20" s="53" t="n">
        <v>0.1071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154.904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113.5845107970496</v>
      </c>
      <c r="C29" s="56">
        <f>NPV!B26</f>
        <v>122.35951079704962</v>
      </c>
      <c r="D29" s="35">
        <f>NPV!B28</f>
        <v>0.6444984142175825</v>
      </c>
      <c r="E29" s="57">
        <f>NPV!B30</f>
        <v>0.8180491233218123</v>
      </c>
    </row>
    <row r="30">
      <c r="A30" s="58" t="n">
        <v>1</v>
      </c>
      <c r="B30" s="59">
        <f t="dataTable" ref="B30:E32" r1="B4"/>
        <v>55.29712524976229</v>
      </c>
      <c r="C30" s="59">
        <v>64.0721252497623</v>
      </c>
      <c r="D30" s="39">
        <v>0.33748404884941585</v>
      </c>
      <c r="E30" s="60">
        <v>-0.047999862201929866</v>
      </c>
    </row>
    <row r="31">
      <c r="A31" s="58" t="n">
        <v>2</v>
      </c>
      <c r="B31" s="59">
        <v>113.5845107970496</v>
      </c>
      <c r="C31" s="59">
        <v>122.35951079704962</v>
      </c>
      <c r="D31" s="39">
        <v>0.6444984142175825</v>
      </c>
      <c r="E31" s="60">
        <v>0.8180491233218123</v>
      </c>
    </row>
    <row r="32">
      <c r="A32" s="58" t="n">
        <v>3</v>
      </c>
      <c r="B32" s="59">
        <v>224.16814672649332</v>
      </c>
      <c r="C32" s="59">
        <v>232.9431467264933</v>
      </c>
      <c r="D32" s="39">
        <v>1.2269703244980494</v>
      </c>
      <c r="E32" s="60">
        <v>2.461129265156698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0.6444984142175825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0.7695732897585579</v>
      </c>
      <c r="C37" s="39">
        <v>0.8111052716651678</v>
      </c>
      <c r="D37" s="39">
        <v>0.8579164501133367</v>
      </c>
      <c r="E37" s="39">
        <v>0.9110638963496289</v>
      </c>
      <c r="F37" s="39">
        <v>0.9719067198443448</v>
      </c>
    </row>
    <row r="38">
      <c r="A38" s="62" t="n">
        <v>0.115</v>
      </c>
      <c r="B38" s="39">
        <v>0.6711502608090636</v>
      </c>
      <c r="C38" s="39">
        <v>0.703018915952555</v>
      </c>
      <c r="D38" s="39">
        <v>0.7385024940976872</v>
      </c>
      <c r="E38" s="39">
        <v>0.7782399391111307</v>
      </c>
      <c r="F38" s="39">
        <v>0.823029945406625</v>
      </c>
    </row>
    <row r="39">
      <c r="A39" s="62" t="n">
        <v>0.125</v>
      </c>
      <c r="B39" s="39">
        <v>0.5919869828663035</v>
      </c>
      <c r="C39" s="39">
        <v>0.6169623004801701</v>
      </c>
      <c r="D39" s="39">
        <v>0.6444984142175825</v>
      </c>
      <c r="E39" s="39">
        <v>0.6750005115688819</v>
      </c>
      <c r="F39" s="39">
        <v>0.7089638337874655</v>
      </c>
    </row>
    <row r="40">
      <c r="A40" s="62" t="n">
        <v>0.135</v>
      </c>
      <c r="B40" s="39">
        <v>0.5271692101537964</v>
      </c>
      <c r="C40" s="39">
        <v>0.5470836552606329</v>
      </c>
      <c r="D40" s="39">
        <v>0.5688632567284015</v>
      </c>
      <c r="E40" s="39">
        <v>0.5927751874239737</v>
      </c>
      <c r="F40" s="39">
        <v>0.6191400649618428</v>
      </c>
    </row>
    <row r="41">
      <c r="A41" s="62" t="n">
        <v>0.145</v>
      </c>
      <c r="B41" s="39">
        <v>0.47330350234824686</v>
      </c>
      <c r="C41" s="39">
        <v>0.4894129900064482</v>
      </c>
      <c r="D41" s="39">
        <v>0.5069127922203559</v>
      </c>
      <c r="E41" s="39">
        <v>0.525984873048647</v>
      </c>
      <c r="F41" s="39">
        <v>0.5468442895747632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Heron Therapeutics Inc: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-0.049</v>
      </c>
      <c r="D5" s="63">
        <f>Assumptions!$E$12+(Assumptions!$E$11-Assumptions!$E$12)*(D4-1)/(Assumptions!$B$21-1)</f>
        <v>-0.04077777777777778</v>
      </c>
      <c r="E5" s="63">
        <f>Assumptions!$E$12+(Assumptions!$E$11-Assumptions!$E$12)*(E4-1)/(Assumptions!$B$21-1)</f>
        <v>-0.03255555555555556</v>
      </c>
      <c r="F5" s="63">
        <f>Assumptions!$E$12+(Assumptions!$E$11-Assumptions!$E$12)*(F4-1)/(Assumptions!$B$21-1)</f>
        <v>-0.024333333333333332</v>
      </c>
      <c r="G5" s="63">
        <f>Assumptions!$E$12+(Assumptions!$E$11-Assumptions!$E$12)*(G4-1)/(Assumptions!$B$21-1)</f>
        <v>-0.01611111111111111</v>
      </c>
      <c r="H5" s="63">
        <f>Assumptions!$E$12+(Assumptions!$E$11-Assumptions!$E$12)*(H4-1)/(Assumptions!$B$21-1)</f>
        <v>-0.007888888888888883</v>
      </c>
      <c r="I5" s="63">
        <f>Assumptions!$E$12+(Assumptions!$E$11-Assumptions!$E$12)*(I4-1)/(Assumptions!$B$21-1)</f>
        <v>0.00033333333333333826</v>
      </c>
      <c r="J5" s="63">
        <f>Assumptions!$E$12+(Assumptions!$E$11-Assumptions!$E$12)*(J4-1)/(Assumptions!$B$21-1)</f>
        <v>0.008555555555555552</v>
      </c>
      <c r="K5" s="63">
        <f>Assumptions!$E$12+(Assumptions!$E$11-Assumptions!$E$12)*(K4-1)/(Assumptions!$B$21-1)</f>
        <v>0.01677777777777778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-0.01638434126943146</v>
      </c>
      <c r="C6" s="63">
        <f>Assumptions!$B$18+(Assumptions!$E$13-Assumptions!$B$18)*C4/Assumptions!$B$21</f>
        <v>-0.04471</v>
      </c>
      <c r="D6" s="63">
        <f>Assumptions!$B$18+(Assumptions!$E$13-Assumptions!$B$18)*D4/Assumptions!$B$21</f>
        <v>-0.01752</v>
      </c>
      <c r="E6" s="63">
        <f>Assumptions!$B$18+(Assumptions!$E$13-Assumptions!$B$18)*E4/Assumptions!$B$21</f>
        <v>0.009669999999999998</v>
      </c>
      <c r="F6" s="63">
        <f>Assumptions!$B$18+(Assumptions!$E$13-Assumptions!$B$18)*F4/Assumptions!$B$21</f>
        <v>0.036860000000000004</v>
      </c>
      <c r="G6" s="63">
        <f>Assumptions!$B$18+(Assumptions!$E$13-Assumptions!$B$18)*G4/Assumptions!$B$21</f>
        <v>0.06405000000000001</v>
      </c>
      <c r="H6" s="63">
        <f>Assumptions!$B$18+(Assumptions!$E$13-Assumptions!$B$18)*H4/Assumptions!$B$21</f>
        <v>0.09124</v>
      </c>
      <c r="I6" s="63">
        <f>Assumptions!$B$18+(Assumptions!$E$13-Assumptions!$B$18)*I4/Assumptions!$B$21</f>
        <v>0.11843000000000002</v>
      </c>
      <c r="J6" s="63">
        <f>Assumptions!$B$18+(Assumptions!$E$13-Assumptions!$B$18)*J4/Assumptions!$B$21</f>
        <v>0.14562000000000003</v>
      </c>
      <c r="K6" s="63">
        <f>Assumptions!$B$18+(Assumptions!$E$13-Assumptions!$B$18)*K4/Assumptions!$B$21</f>
        <v>0.17281000000000002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154.904</v>
      </c>
      <c r="C7" s="55">
        <f>'Yearly Model'!S2</f>
        <v>147.313704</v>
      </c>
      <c r="D7" s="55">
        <f>'Yearly Model'!T2</f>
        <v>141.30657851466665</v>
      </c>
      <c r="E7" s="55">
        <f>'Yearly Model'!U2</f>
        <v>136.70626434746694</v>
      </c>
      <c r="F7" s="55">
        <f>'Yearly Model'!V2</f>
        <v>133.37974524834524</v>
      </c>
      <c r="G7" s="55">
        <f>'Yearly Model'!W2</f>
        <v>131.23084935267747</v>
      </c>
      <c r="H7" s="55">
        <f>'Yearly Model'!X2</f>
        <v>130.1955837633397</v>
      </c>
      <c r="I7" s="55">
        <f>'Yearly Model'!Y2</f>
        <v>130.2389822912608</v>
      </c>
      <c r="J7" s="55">
        <f>'Yearly Model'!Z2</f>
        <v>131.35324913975273</v>
      </c>
      <c r="K7" s="55">
        <f>'Yearly Model'!AA2</f>
        <v>133.55706476420858</v>
      </c>
      <c r="L7" s="55">
        <f>'Yearly Model'!AB2</f>
        <v>136.89599138331377</v>
      </c>
    </row>
    <row r="8">
      <c r="A8" s="14" t="inlineStr">
        <is>
          <t>Operating income</t>
        </is>
      </c>
      <c r="B8" s="55">
        <f>'Yearly Model'!R8</f>
        <v>-2.538000000000011</v>
      </c>
      <c r="C8" s="55">
        <f>'Yearly Model'!S8</f>
        <v>-6.586395705840005</v>
      </c>
      <c r="D8" s="55">
        <f>'Yearly Model'!T8</f>
        <v>-2.4756912555769617</v>
      </c>
      <c r="E8" s="55">
        <f>'Yearly Model'!U8</f>
        <v>1.3219495762400015</v>
      </c>
      <c r="F8" s="55">
        <f>'Yearly Model'!V8</f>
        <v>4.916377409854007</v>
      </c>
      <c r="G8" s="55">
        <f>'Yearly Model'!W8</f>
        <v>8.405335901038995</v>
      </c>
      <c r="H8" s="55">
        <f>'Yearly Model'!X8</f>
        <v>11.879045062567116</v>
      </c>
      <c r="I8" s="55">
        <f>'Yearly Model'!Y8</f>
        <v>15.42420267275402</v>
      </c>
      <c r="J8" s="55">
        <f>'Yearly Model'!Z8</f>
        <v>19.127660139730793</v>
      </c>
      <c r="K8" s="55">
        <f>'Yearly Model'!AA8</f>
        <v>23.079996361902886</v>
      </c>
      <c r="L8" s="55">
        <f>'Yearly Model'!AB8</f>
        <v>27.37919827666275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0.22473142796080028</v>
      </c>
      <c r="F9" s="52">
        <f>MAX(0,F8)*Assumptions!$E$14</f>
        <v>0.8357841596751813</v>
      </c>
      <c r="G9" s="52">
        <f>MAX(0,G8)*Assumptions!$E$14</f>
        <v>1.4289071031766294</v>
      </c>
      <c r="H9" s="52">
        <f>MAX(0,H8)*Assumptions!$E$14</f>
        <v>2.01943766063641</v>
      </c>
      <c r="I9" s="52">
        <f>MAX(0,I8)*Assumptions!$E$14</f>
        <v>2.622114454368184</v>
      </c>
      <c r="J9" s="52">
        <f>MAX(0,J8)*Assumptions!$E$14</f>
        <v>3.251702223754235</v>
      </c>
      <c r="K9" s="52">
        <f>MAX(0,K8)*Assumptions!$E$14</f>
        <v>3.923599381523491</v>
      </c>
      <c r="L9" s="52">
        <f>MAX(0,L8)*Assumptions!$E$14</f>
        <v>4.654463707032668</v>
      </c>
    </row>
    <row r="10">
      <c r="A10" s="14" t="inlineStr">
        <is>
          <t>NOPAT</t>
        </is>
      </c>
      <c r="C10" s="52">
        <f>C8-C9</f>
        <v>-6.586395705840005</v>
      </c>
      <c r="D10" s="52">
        <f>D8-D9</f>
        <v>-2.4756912555769617</v>
      </c>
      <c r="E10" s="52">
        <f>E8-E9</f>
        <v>1.0972181482792012</v>
      </c>
      <c r="F10" s="52">
        <f>F8-F9</f>
        <v>4.0805932501788265</v>
      </c>
      <c r="G10" s="52">
        <f>G8-G9</f>
        <v>6.976428797862366</v>
      </c>
      <c r="H10" s="52">
        <f>H8-H9</f>
        <v>9.859607401930706</v>
      </c>
      <c r="I10" s="52">
        <f>I8-I9</f>
        <v>12.802088218385837</v>
      </c>
      <c r="J10" s="52">
        <f>J8-J9</f>
        <v>15.875957915976558</v>
      </c>
      <c r="K10" s="52">
        <f>K8-K9</f>
        <v>19.156396980379395</v>
      </c>
      <c r="L10" s="52">
        <f>L8-L9</f>
        <v>22.72473456963008</v>
      </c>
    </row>
    <row r="11">
      <c r="A11" s="14" t="inlineStr">
        <is>
          <t>Reinvestment</t>
        </is>
      </c>
      <c r="C11" s="52">
        <f>(C7-B7)*Assumptions!$E$15</f>
        <v>-1.8975739999999988</v>
      </c>
      <c r="D11" s="52">
        <f>(D7-C7)*Assumptions!$E$15</f>
        <v>-1.5017813713333368</v>
      </c>
      <c r="E11" s="52">
        <f>(E7-D7)*Assumptions!$E$15</f>
        <v>-1.1500785417999282</v>
      </c>
      <c r="F11" s="52">
        <f>(F7-E7)*Assumptions!$E$15</f>
        <v>-0.8316297747804242</v>
      </c>
      <c r="G11" s="52">
        <f>(G7-F7)*Assumptions!$E$15</f>
        <v>-0.5372239739169444</v>
      </c>
      <c r="H11" s="52">
        <f>(H7-G7)*Assumptions!$E$15</f>
        <v>-0.25881639733444217</v>
      </c>
      <c r="I11" s="52">
        <f>(I7-H7)*Assumptions!$E$15</f>
        <v>0.010849631980278218</v>
      </c>
      <c r="J11" s="52">
        <f>(J7-I7)*Assumptions!$E$15</f>
        <v>0.2785667121229807</v>
      </c>
      <c r="K11" s="52">
        <f>(K7-J7)*Assumptions!$E$15</f>
        <v>0.5509539061139606</v>
      </c>
      <c r="L11" s="52">
        <f>(L7-K7)*Assumptions!$E$15</f>
        <v>0.8347316547762986</v>
      </c>
    </row>
    <row r="12">
      <c r="A12" s="20" t="inlineStr">
        <is>
          <t>Free cash flow</t>
        </is>
      </c>
      <c r="C12" s="64">
        <f>C10-C11</f>
        <v>-4.688821705840006</v>
      </c>
      <c r="D12" s="64">
        <f>D10-D11</f>
        <v>-0.9739098842436249</v>
      </c>
      <c r="E12" s="64">
        <f>E10-E11</f>
        <v>2.2472966900791294</v>
      </c>
      <c r="F12" s="64">
        <f>F10-F11</f>
        <v>4.912223024959251</v>
      </c>
      <c r="G12" s="64">
        <f>G10-G11</f>
        <v>7.51365277177931</v>
      </c>
      <c r="H12" s="64">
        <f>H10-H11</f>
        <v>10.118423799265148</v>
      </c>
      <c r="I12" s="64">
        <f>I10-I11</f>
        <v>12.791238586405559</v>
      </c>
      <c r="J12" s="64">
        <f>J10-J11</f>
        <v>15.597391203853578</v>
      </c>
      <c r="K12" s="64">
        <f>K10-K11</f>
        <v>18.605443074265434</v>
      </c>
      <c r="L12" s="64">
        <f>L10-L11</f>
        <v>21.89000291485378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-2.2944966238320843</v>
      </c>
      <c r="D16" s="64">
        <f>D12*D13*D15</f>
        <v>-0.8652797213579616</v>
      </c>
      <c r="E16" s="64">
        <f>E12*E13*E15</f>
        <v>1.7747845602190429</v>
      </c>
      <c r="F16" s="64">
        <f>F12*F13*F15</f>
        <v>3.4483455886402243</v>
      </c>
      <c r="G16" s="64">
        <f>G12*G13*G15</f>
        <v>4.688471776716297</v>
      </c>
      <c r="H16" s="64">
        <f>H12*H13*H15</f>
        <v>5.612295477893532</v>
      </c>
      <c r="I16" s="64">
        <f>I12*I13*I15</f>
        <v>6.306490409030334</v>
      </c>
      <c r="J16" s="64">
        <f>J12*J13*J15</f>
        <v>6.835567598766873</v>
      </c>
      <c r="K16" s="64">
        <f>K12*K13*K15</f>
        <v>7.247865274502732</v>
      </c>
      <c r="L16" s="64">
        <f>L12*L13*L15</f>
        <v>7.57989853241894</v>
      </c>
    </row>
    <row r="19">
      <c r="A19" s="14" t="inlineStr">
        <is>
          <t>PV of forecast free cash flow</t>
        </is>
      </c>
      <c r="B19" s="52">
        <f>SUM(C16:L16)</f>
        <v>40.33394287299793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22.437252987725117</v>
      </c>
    </row>
    <row r="21">
      <c r="A21" s="14" t="inlineStr">
        <is>
          <t>Terminal value</t>
        </is>
      </c>
      <c r="B21" s="52">
        <f>B20/(Assumptions!$E$10-Assumptions!$E$11)</f>
        <v>224.37252987725117</v>
      </c>
    </row>
    <row r="22">
      <c r="A22" s="14" t="inlineStr">
        <is>
          <t>PV of terminal value</t>
        </is>
      </c>
      <c r="B22" s="52">
        <f>B21/(1+Assumptions!$E$10)^(L14+0.5)</f>
        <v>73.25056792405167</v>
      </c>
    </row>
    <row r="23">
      <c r="A23" s="20" t="inlineStr">
        <is>
          <t>Enterprise value</t>
        </is>
      </c>
      <c r="B23" s="66">
        <f>B19+B22</f>
        <v>113.5845107970496</v>
      </c>
    </row>
    <row r="24">
      <c r="A24" s="14" t="inlineStr">
        <is>
          <t>Cash &amp; investments</t>
        </is>
      </c>
      <c r="B24" s="55">
        <f>Main!C7</f>
        <v>42.7</v>
      </c>
    </row>
    <row r="25">
      <c r="A25" s="14" t="inlineStr">
        <is>
          <t>Debt</t>
        </is>
      </c>
      <c r="B25" s="55">
        <f>Main!C8</f>
        <v>33.925</v>
      </c>
    </row>
    <row r="26">
      <c r="A26" s="20" t="inlineStr">
        <is>
          <t>Equity value</t>
        </is>
      </c>
      <c r="B26" s="66">
        <f>B23+B24-B25</f>
        <v>122.35951079704962</v>
      </c>
    </row>
    <row r="27">
      <c r="A27" s="14" t="inlineStr">
        <is>
          <t>Shares (mm)</t>
        </is>
      </c>
      <c r="B27" s="55">
        <f>Main!C4</f>
        <v>189.852307</v>
      </c>
    </row>
    <row r="28">
      <c r="A28" s="20" t="inlineStr">
        <is>
          <t>NPV / share</t>
        </is>
      </c>
      <c r="B28" s="49">
        <f>B26/B27</f>
        <v>0.6444984142175825</v>
      </c>
    </row>
    <row r="29">
      <c r="A29" s="14" t="inlineStr">
        <is>
          <t>Price</t>
        </is>
      </c>
      <c r="B29" s="50">
        <f>Main!C3</f>
        <v>0.3545</v>
      </c>
    </row>
    <row r="30">
      <c r="A30" s="14" t="inlineStr">
        <is>
          <t>Upside</t>
        </is>
      </c>
      <c r="B30" s="63">
        <f>B28/B29-1</f>
        <v>0.8180491233218123</v>
      </c>
    </row>
    <row r="31">
      <c r="A31" s="14" t="inlineStr">
        <is>
          <t>Terminal value, % of EV</t>
        </is>
      </c>
      <c r="B31" s="63">
        <f>IFERROR(B22/B23,0)</f>
        <v>0.6448992684833078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2026-10-21T06:28:48Z</dcterms:modified>
  <cp:lastModifiedBy>Wang, Eric</cp:lastModifiedBy>
</cp:coreProperties>
</file>