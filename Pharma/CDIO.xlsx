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Cardio Diagnostics Holdings Inc</t>
        </is>
      </c>
      <c r="C2" s="10" t="n"/>
    </row>
    <row r="3">
      <c r="B3" t="inlineStr">
        <is>
          <t>Price</t>
        </is>
      </c>
      <c r="C3" s="11">
        <f>INDEX([1]Pharma!$F$1:$F$1000,MATCH("CDIO",[1]Pharma!$B$1:$B$1000,0))</f>
        <v>1.72</v>
      </c>
      <c r="F3" s="1" t="n"/>
    </row>
    <row r="4">
      <c r="B4" t="inlineStr">
        <is>
          <t>Shares</t>
        </is>
      </c>
      <c r="C4" s="21" t="n">
        <v>2.959469</v>
      </c>
      <c r="F4" s="1" t="n"/>
    </row>
    <row r="5">
      <c r="B5" t="inlineStr">
        <is>
          <t>Market Cap.</t>
        </is>
      </c>
      <c r="C5" s="13">
        <f>C3*C4</f>
        <v>5.09028668</v>
      </c>
      <c r="F5" s="1" t="n"/>
    </row>
    <row r="6"/>
    <row r="7">
      <c r="B7" t="inlineStr">
        <is>
          <t>Cash</t>
        </is>
      </c>
      <c r="C7" s="21" t="n"/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5.09028668</v>
      </c>
    </row>
    <row r="10"/>
    <row r="11">
      <c r="B11" s="14" t="inlineStr">
        <is>
          <t>NPV / Share</t>
        </is>
      </c>
      <c r="C11" s="11" t="n"/>
    </row>
    <row r="12">
      <c r="B12" s="14" t="inlineStr">
        <is>
          <t>Upside</t>
        </is>
      </c>
      <c r="C12" s="15" t="n"/>
    </row>
    <row r="13">
      <c r="B13" s="14" t="inlineStr">
        <is>
          <t>Cash / Share</t>
        </is>
      </c>
      <c r="C13" s="11">
        <f>IFERROR((C7-C8)/C4,"")</f>
        <v>0.0</v>
      </c>
    </row>
    <row r="14">
      <c r="B14" s="14" t="inlineStr">
        <is>
          <t>Scenario</t>
        </is>
      </c>
      <c r="C14" s="14" t="inlineStr">
        <is>
          <t>no data</t>
        </is>
      </c>
    </row>
    <row r="15">
      <c r="B15" s="14" t="inlineStr">
        <is>
          <t>Model</t>
        </is>
      </c>
      <c r="C15" s="14" t="inlineStr">
        <is>
          <t>n/a</t>
        </is>
      </c>
    </row>
    <row r="16"/>
    <row r="17">
      <c r="B17" s="14" t="inlineStr">
        <is>
          <t>TTM Operating Cash Flow</t>
        </is>
      </c>
      <c r="C17" s="21" t="n">
        <v>-5.66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net debt</v>
      </c>
    </row>
    <row r="19">
      <c r="B19" s="14" t="inlineStr">
        <is>
          <t>Implied Pipeline Value</t>
        </is>
      </c>
      <c r="C19" s="13">
        <f>C9</f>
        <v>5.09028668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2021</v>
      </c>
      <c r="C1" s="17" t="n">
        <v>2022</v>
      </c>
      <c r="D1" s="17" t="n">
        <v>2023</v>
      </c>
      <c r="E1" s="17" t="n">
        <v>2024</v>
      </c>
      <c r="F1" s="17" t="n">
        <v>2025</v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0.001</v>
      </c>
      <c r="C2" s="23" t="n">
        <v>0.001</v>
      </c>
      <c r="D2" s="23" t="n">
        <v>0.017</v>
      </c>
      <c r="E2" s="23" t="n">
        <v>0.035</v>
      </c>
      <c r="F2" s="23" t="n">
        <v>0.015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0.001</v>
      </c>
      <c r="C4" s="23">
        <f>C2-C3</f>
        <v>0.001</v>
      </c>
      <c r="D4" s="23">
        <f>D2-D3</f>
        <v>0.017</v>
      </c>
      <c r="E4" s="23">
        <f>E2-E3</f>
        <v>0.035</v>
      </c>
      <c r="F4" s="23">
        <f>F2-F3</f>
        <v>0.015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0.031</v>
      </c>
      <c r="C5" s="23" t="n">
        <v>0.04</v>
      </c>
      <c r="D5" s="23" t="n">
        <v>0.145</v>
      </c>
      <c r="E5" s="23" t="n">
        <v>0.228</v>
      </c>
      <c r="F5" s="23" t="n">
        <v>0.641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0.59</v>
      </c>
      <c r="C6" s="23" t="n">
        <v>4.509</v>
      </c>
      <c r="D6" s="23" t="n">
        <v>7.114</v>
      </c>
      <c r="E6" s="23" t="n">
        <v>8.173</v>
      </c>
      <c r="F6" s="23" t="n">
        <v>5.858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0.621</v>
      </c>
      <c r="C7" s="23">
        <f>SUM(C5:C6)</f>
        <v>4.549</v>
      </c>
      <c r="D7" s="23">
        <f>SUM(D5:D6)</f>
        <v>7.2589999999999995</v>
      </c>
      <c r="E7" s="23">
        <f>SUM(E5:E6)</f>
        <v>8.401</v>
      </c>
      <c r="F7" s="23">
        <f>SUM(F5:F6)</f>
        <v>6.499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-0.62</v>
      </c>
      <c r="C8" s="23">
        <f>C4-C7</f>
        <v>-4.548</v>
      </c>
      <c r="D8" s="23">
        <f>D4-D7</f>
        <v>-7.241999999999999</v>
      </c>
      <c r="E8" s="23">
        <f>E4-E7</f>
        <v>-8.366</v>
      </c>
      <c r="F8" s="23">
        <f>F4-F7</f>
        <v>-6.484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</v>
      </c>
      <c r="C9" s="23" t="n">
        <v>-0.113</v>
      </c>
      <c r="D9" s="23" t="n">
        <v>-1.134</v>
      </c>
      <c r="E9" s="23" t="n">
        <v>-0.018</v>
      </c>
      <c r="F9" s="23" t="n">
        <v>-0.014</v>
      </c>
    </row>
    <row r="10">
      <c r="A10" s="2" t="inlineStr">
        <is>
          <t>Pretax</t>
        </is>
      </c>
      <c r="B10" s="23">
        <f>B8+B9</f>
        <v>-0.62</v>
      </c>
      <c r="C10" s="23">
        <f>C8+C9</f>
        <v>-4.6610000000000005</v>
      </c>
      <c r="D10" s="23">
        <f>D8+D9</f>
        <v>-8.376</v>
      </c>
      <c r="E10" s="23">
        <f>E8+E9</f>
        <v>-8.384</v>
      </c>
      <c r="F10" s="23">
        <f>F8+F9</f>
        <v>-6.498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</row>
    <row r="12">
      <c r="A12" s="2" t="inlineStr">
        <is>
          <t>Net Income</t>
        </is>
      </c>
      <c r="B12" s="23" t="n">
        <v>-0.62</v>
      </c>
      <c r="C12" s="23" t="n">
        <v>-4.661</v>
      </c>
      <c r="D12" s="23" t="n">
        <v>-8.377000000000001</v>
      </c>
      <c r="E12" s="23" t="n">
        <v>-8.382999999999999</v>
      </c>
      <c r="F12" s="23" t="n">
        <v>-6.498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-7.469879518072289</v>
      </c>
      <c r="C13" s="11">
        <f>IFERROR(C12/C14,0)</f>
        <v>-21.09049773755656</v>
      </c>
      <c r="D13" s="11">
        <f>IFERROR(D12/D14,0)</f>
        <v>-9.246136865342164</v>
      </c>
      <c r="E13" s="11">
        <f>IFERROR(E12/E14,0)</f>
        <v>-9.356026785714285</v>
      </c>
      <c r="F13" s="11">
        <f>IFERROR(F12/F14,0)</f>
        <v>-3.711022272986865</v>
      </c>
    </row>
    <row r="14">
      <c r="A14" s="2" t="inlineStr">
        <is>
          <t>Shares</t>
        </is>
      </c>
      <c r="B14" s="23" t="n">
        <v>0.083</v>
      </c>
      <c r="C14" s="23" t="n">
        <v>0.221</v>
      </c>
      <c r="D14" s="23" t="n">
        <v>0.906</v>
      </c>
      <c r="E14" s="23" t="n">
        <v>0.896</v>
      </c>
      <c r="F14" s="23" t="n">
        <v>1.751</v>
      </c>
    </row>
    <row r="15"/>
    <row r="16" customFormat="1" s="4">
      <c r="A16" s="3" t="inlineStr">
        <is>
          <t>Revenue Change</t>
        </is>
      </c>
      <c r="C16" s="15">
        <f>IFERROR(C2/B2-1,"")</f>
        <v>0.0</v>
      </c>
      <c r="D16" s="15">
        <f>IFERROR(D2/C2-1,"")</f>
        <v>16.0</v>
      </c>
      <c r="E16" s="15">
        <f>IFERROR(E2/D2-1,"")</f>
        <v>1.058823529411765</v>
      </c>
      <c r="F16" s="15">
        <f>IFERROR(F2/E2-1,"")</f>
        <v>-0.5714285714285715</v>
      </c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-620.0</v>
      </c>
      <c r="C18" s="15">
        <f>IFERROR(C8/C2,"")</f>
        <v>-4548.0</v>
      </c>
      <c r="D18" s="15">
        <f>IFERROR(D8/D2,"")</f>
        <v>-425.99999999999994</v>
      </c>
      <c r="E18" s="15">
        <f>IFERROR(E8/E2,"")</f>
        <v>-239.02857142857138</v>
      </c>
      <c r="F18" s="15">
        <f>IFERROR(F8/F2,"")</f>
        <v>-432.2666666666667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2026-10-21T01:06:46Z</dcterms:modified>
  <cp:lastModifiedBy>Wang, Eric</cp:lastModifiedBy>
</cp:coreProperties>
</file>