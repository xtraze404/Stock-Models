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Sanofi SA</t>
        </is>
      </c>
      <c r="C2" s="10" t="n"/>
    </row>
    <row r="3">
      <c r="B3" t="inlineStr">
        <is>
          <t>Price</t>
        </is>
      </c>
      <c r="C3" s="11">
        <f>INDEX([1]Pharma!$F$1:$F$1000,MATCH("SNY",[1]Pharma!$B$1:$B$1000,0))</f>
        <v>41.4</v>
      </c>
      <c r="F3" s="1" t="n"/>
    </row>
    <row r="4">
      <c r="B4" t="inlineStr">
        <is>
          <t>Shares</t>
        </is>
      </c>
      <c r="C4" s="57">
        <f>1219.427096/0.5</f>
        <v>2438.854192</v>
      </c>
      <c r="F4" s="1" t="n"/>
    </row>
    <row r="5">
      <c r="B5" t="inlineStr">
        <is>
          <t>Market Cap.</t>
        </is>
      </c>
      <c r="C5" s="13">
        <f>C3*C4</f>
        <v>100968.56354879998</v>
      </c>
      <c r="F5" s="1" t="n"/>
    </row>
    <row r="6"/>
    <row r="7">
      <c r="B7" t="inlineStr">
        <is>
          <t>Cash</t>
        </is>
      </c>
      <c r="C7" s="57">
        <f>(7657+793)/0.88865</f>
        <v>9508.805491475834</v>
      </c>
    </row>
    <row r="8">
      <c r="B8" t="inlineStr">
        <is>
          <t>Debt</t>
        </is>
      </c>
      <c r="C8" s="57">
        <f>(4342+14248)/0.88865</f>
        <v>20919.372081246835</v>
      </c>
    </row>
    <row r="9">
      <c r="B9" t="inlineStr">
        <is>
          <t>Enterprise V.</t>
        </is>
      </c>
      <c r="C9" s="13">
        <f>C5-C7+C8</f>
        <v>112379.13013857098</v>
      </c>
    </row>
    <row r="10"/>
    <row r="11">
      <c r="B11" s="14" t="inlineStr">
        <is>
          <t>NPV / Share</t>
        </is>
      </c>
      <c r="C11" s="11">
        <f>NPV!B28</f>
        <v>66.8224694064455</v>
      </c>
    </row>
    <row r="12">
      <c r="B12" s="14" t="inlineStr">
        <is>
          <t>Upside</t>
        </is>
      </c>
      <c r="C12" s="15">
        <f>IFERROR(C11/C3-1,"")</f>
        <v>0.6140693093344325</v>
      </c>
    </row>
    <row r="13">
      <c r="B13" s="14" t="inlineStr">
        <is>
          <t>Cash / Share</t>
        </is>
      </c>
      <c r="C13" s="11">
        <f>IFERROR((C7-C8)/C4,"")</f>
        <v>-4.678658784604783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38327.801</v>
      </c>
      <c r="C2" s="58" t="n">
        <v>38045.35</v>
      </c>
      <c r="D2" s="58" t="n">
        <v>39466.607</v>
      </c>
      <c r="E2" s="58" t="n">
        <v>38781.297</v>
      </c>
      <c r="F2" s="58" t="n">
        <v>40652.675</v>
      </c>
      <c r="G2" s="58" t="n">
        <v>40557.025</v>
      </c>
      <c r="H2" s="58" t="n">
        <v>42492.545</v>
      </c>
      <c r="I2" s="58" t="n">
        <v>42368.762</v>
      </c>
      <c r="J2" s="58" t="n">
        <v>42555.562</v>
      </c>
      <c r="K2" s="58" t="n">
        <v>46228.549</v>
      </c>
      <c r="L2" s="58" t="n">
        <v>49092.444</v>
      </c>
      <c r="M2" s="58">
        <f>L2*(1+NPV!C5)</f>
        <v>54001.68840000001</v>
      </c>
      <c r="N2" s="58">
        <f>M2*(1+NPV!D5)</f>
        <v>57781.80658800001</v>
      </c>
      <c r="O2" s="58">
        <f>N2*(1+NPV!E5)</f>
        <v>61248.71498328001</v>
      </c>
      <c r="P2" s="58">
        <f>O2*(1+NPV!F5)</f>
        <v>64311.15073244402</v>
      </c>
      <c r="Q2" s="58">
        <f>P2*(1+NPV!G5)</f>
        <v>66883.59676174178</v>
      </c>
      <c r="R2" s="58">
        <f>Q2*(1+NPV!H5)</f>
        <v>65545.92482650695</v>
      </c>
      <c r="S2" s="58">
        <f>R2*(1+NPV!I5)</f>
        <v>63579.54708171174</v>
      </c>
      <c r="T2" s="58">
        <f>S2*(1+NPV!J5)</f>
        <v>64215.342552528855</v>
      </c>
      <c r="U2" s="58">
        <f>T2*(1+NPV!K5)</f>
        <v>65499.64940357943</v>
      </c>
      <c r="V2" s="58">
        <f>U2*(1+NPV!L5)</f>
        <v>67137.1406386689</v>
      </c>
    </row>
    <row r="3" customFormat="1" s="1">
      <c r="A3" s="5" t="inlineStr">
        <is>
          <t>Cost of Sales</t>
        </is>
      </c>
      <c r="B3" s="58" t="n">
        <v>12287.177</v>
      </c>
      <c r="C3" s="58" t="n">
        <v>12041.861</v>
      </c>
      <c r="D3" s="58" t="n">
        <v>13068.137</v>
      </c>
      <c r="E3" s="58" t="n">
        <v>12867.833</v>
      </c>
      <c r="F3" s="58" t="n">
        <v>13479.998</v>
      </c>
      <c r="G3" s="58" t="n">
        <v>13682.552</v>
      </c>
      <c r="H3" s="58" t="n">
        <v>13790.581</v>
      </c>
      <c r="I3" s="58" t="n">
        <v>13370.843</v>
      </c>
      <c r="J3" s="58" t="n">
        <v>14210.319</v>
      </c>
      <c r="K3" s="58" t="n">
        <v>14859.619</v>
      </c>
      <c r="L3" s="58" t="n">
        <v>14684.071</v>
      </c>
      <c r="M3" s="58">
        <f>M2*(1-Assumptions!$B$19)</f>
        <v>16151.905000440003</v>
      </c>
      <c r="N3" s="58">
        <f>N2*(1-Assumptions!$B$19)</f>
        <v>17282.538350470804</v>
      </c>
      <c r="O3" s="58">
        <f>O2*(1-Assumptions!$B$19)</f>
        <v>18319.490651499054</v>
      </c>
      <c r="P3" s="58">
        <f>P2*(1-Assumptions!$B$19)</f>
        <v>19235.465184074008</v>
      </c>
      <c r="Q3" s="58">
        <f>Q2*(1-Assumptions!$B$19)</f>
        <v>20004.88379143697</v>
      </c>
      <c r="R3" s="58">
        <f>R2*(1-Assumptions!$B$19)</f>
        <v>19604.78611560823</v>
      </c>
      <c r="S3" s="58">
        <f>S2*(1-Assumptions!$B$19)</f>
        <v>19016.642532139984</v>
      </c>
      <c r="T3" s="58">
        <f>T2*(1-Assumptions!$B$19)</f>
        <v>19206.808957461384</v>
      </c>
      <c r="U3" s="58">
        <f>U2*(1-Assumptions!$B$19)</f>
        <v>19590.94513661061</v>
      </c>
      <c r="V3" s="58">
        <f>V2*(1-Assumptions!$B$19)</f>
        <v>20080.71876502587</v>
      </c>
    </row>
    <row r="4" customFormat="1" s="1">
      <c r="A4" s="5" t="inlineStr">
        <is>
          <t>Gross Margin</t>
        </is>
      </c>
      <c r="B4" s="58">
        <f>B2-B3</f>
        <v>26040.624</v>
      </c>
      <c r="C4" s="58">
        <f>C2-C3</f>
        <v>26003.488999999998</v>
      </c>
      <c r="D4" s="58">
        <f>D2-D3</f>
        <v>26398.47</v>
      </c>
      <c r="E4" s="58">
        <f>E2-E3</f>
        <v>25913.464</v>
      </c>
      <c r="F4" s="58">
        <f>F2-F3</f>
        <v>27172.677000000003</v>
      </c>
      <c r="G4" s="58">
        <f>G2-G3</f>
        <v>26874.473</v>
      </c>
      <c r="H4" s="58">
        <f>H2-H3</f>
        <v>28701.964</v>
      </c>
      <c r="I4" s="58">
        <f>I2-I3</f>
        <v>28997.919</v>
      </c>
      <c r="J4" s="58">
        <f>J2-J3</f>
        <v>28345.243</v>
      </c>
      <c r="K4" s="58">
        <f>K2-K3</f>
        <v>31368.93</v>
      </c>
      <c r="L4" s="58">
        <f>L2-L3</f>
        <v>34408.37300000001</v>
      </c>
      <c r="M4" s="58">
        <f>M2-M3</f>
        <v>37849.78339956</v>
      </c>
      <c r="N4" s="58">
        <f>N2-N3</f>
        <v>40499.268237529206</v>
      </c>
      <c r="O4" s="58">
        <f>O2-O3</f>
        <v>42929.22433178096</v>
      </c>
      <c r="P4" s="58">
        <f>P2-P3</f>
        <v>45075.685548370006</v>
      </c>
      <c r="Q4" s="58">
        <f>Q2-Q3</f>
        <v>46878.71297030481</v>
      </c>
      <c r="R4" s="58">
        <f>R2-R3</f>
        <v>45941.13871089872</v>
      </c>
      <c r="S4" s="58">
        <f>S2-S3</f>
        <v>44562.90454957176</v>
      </c>
      <c r="T4" s="58">
        <f>T2-T3</f>
        <v>45008.53359506747</v>
      </c>
      <c r="U4" s="58">
        <f>U2-U3</f>
        <v>45908.70426696882</v>
      </c>
      <c r="V4" s="58">
        <f>V2-V3</f>
        <v>47056.421873643034</v>
      </c>
    </row>
    <row r="5">
      <c r="A5" s="2" t="inlineStr">
        <is>
          <t>Research &amp; Dev.</t>
        </is>
      </c>
      <c r="B5" s="58" t="n">
        <v>5718.787</v>
      </c>
      <c r="C5" s="58" t="n">
        <v>5820.064</v>
      </c>
      <c r="D5" s="58" t="n">
        <v>6157.655</v>
      </c>
      <c r="E5" s="58" t="n">
        <v>6632.532</v>
      </c>
      <c r="F5" s="58" t="n">
        <v>6774.321</v>
      </c>
      <c r="G5" s="58" t="n">
        <v>6222.922</v>
      </c>
      <c r="H5" s="58" t="n">
        <v>6405.221</v>
      </c>
      <c r="I5" s="58" t="n">
        <v>7315.591</v>
      </c>
      <c r="J5" s="58" t="n">
        <v>7322.343</v>
      </c>
      <c r="K5" s="58" t="n">
        <v>8320.486000000001</v>
      </c>
      <c r="L5" s="58" t="n">
        <v>8824.621999999999</v>
      </c>
      <c r="M5" s="58">
        <f>M7*Assumptions!$B$20</f>
        <v>8980.374937610735</v>
      </c>
      <c r="N5" s="58">
        <f>N7*Assumptions!$B$20</f>
        <v>9478.113834960352</v>
      </c>
      <c r="O5" s="58">
        <f>O7*Assumptions!$B$20</f>
        <v>9908.060075877847</v>
      </c>
      <c r="P5" s="58">
        <f>P7*Assumptions!$B$20</f>
        <v>10257.785461032607</v>
      </c>
      <c r="Q5" s="58">
        <f>Q7*Assumptions!$B$20</f>
        <v>10516.592156089215</v>
      </c>
      <c r="R5" s="58">
        <f>R7*Assumptions!$B$20</f>
        <v>10157.785684050428</v>
      </c>
      <c r="S5" s="58">
        <f>S7*Assumptions!$B$20</f>
        <v>9709.031723479422</v>
      </c>
      <c r="T5" s="58">
        <f>T7*Assumptions!$B$20</f>
        <v>9660.661446764227</v>
      </c>
      <c r="U5" s="58">
        <f>U7*Assumptions!$B$20</f>
        <v>9705.504869870523</v>
      </c>
      <c r="V5" s="58">
        <f>V7*Assumptions!$B$20</f>
        <v>9796.06344064257</v>
      </c>
    </row>
    <row r="6">
      <c r="A6" s="18" t="inlineStr">
        <is>
          <t>SG&amp;A &amp; Other</t>
        </is>
      </c>
      <c r="B6" s="58" t="n">
        <v>13993.136</v>
      </c>
      <c r="C6" s="58" t="n">
        <v>12834.074</v>
      </c>
      <c r="D6" s="58" t="n">
        <v>13709.559</v>
      </c>
      <c r="E6" s="58" t="n">
        <v>14019.018</v>
      </c>
      <c r="F6" s="58" t="n">
        <v>16965.059</v>
      </c>
      <c r="G6" s="58" t="n">
        <v>4770.157</v>
      </c>
      <c r="H6" s="58" t="n">
        <v>13152.535</v>
      </c>
      <c r="I6" s="58" t="n">
        <v>10247.004</v>
      </c>
      <c r="J6" s="58" t="n">
        <v>13190.795</v>
      </c>
      <c r="K6" s="58" t="n">
        <v>14887.751</v>
      </c>
      <c r="L6" s="58" t="n">
        <v>18444.832</v>
      </c>
      <c r="M6" s="58">
        <f>M7-M5</f>
        <v>18771.092731149263</v>
      </c>
      <c r="N6" s="58">
        <f>N7-N5</f>
        <v>19811.483924496853</v>
      </c>
      <c r="O6" s="58">
        <f>O7-O5</f>
        <v>20710.172544263834</v>
      </c>
      <c r="P6" s="58">
        <f>P7-P5</f>
        <v>21441.180734989044</v>
      </c>
      <c r="Q6" s="58">
        <f>Q7-Q5</f>
        <v>21982.147510441115</v>
      </c>
      <c r="R6" s="58">
        <f>R7-R5</f>
        <v>21232.157715363748</v>
      </c>
      <c r="S6" s="58">
        <f>S7-S5</f>
        <v>20294.15654438035</v>
      </c>
      <c r="T6" s="58">
        <f>T7-T5</f>
        <v>20193.051305906432</v>
      </c>
      <c r="U6" s="58">
        <f>U7-U5</f>
        <v>20286.784592028496</v>
      </c>
      <c r="V6" s="58">
        <f>V7-V5</f>
        <v>20476.073273333237</v>
      </c>
    </row>
    <row r="7">
      <c r="A7" s="2" t="inlineStr">
        <is>
          <t>Operating Expense</t>
        </is>
      </c>
      <c r="B7" s="58">
        <f>SUM(B5:B6)</f>
        <v>19711.923000000003</v>
      </c>
      <c r="C7" s="58">
        <f>SUM(C5:C6)</f>
        <v>18654.138</v>
      </c>
      <c r="D7" s="58">
        <f>SUM(D5:D6)</f>
        <v>19867.214</v>
      </c>
      <c r="E7" s="58">
        <f>SUM(E5:E6)</f>
        <v>20651.55</v>
      </c>
      <c r="F7" s="58">
        <f>SUM(F5:F6)</f>
        <v>23739.38</v>
      </c>
      <c r="G7" s="58">
        <f>SUM(G5:G6)</f>
        <v>10993.079</v>
      </c>
      <c r="H7" s="58">
        <f>SUM(H5:H6)</f>
        <v>19557.756</v>
      </c>
      <c r="I7" s="58">
        <f>SUM(I5:I6)</f>
        <v>17562.595</v>
      </c>
      <c r="J7" s="58">
        <f>SUM(J5:J6)</f>
        <v>20513.138</v>
      </c>
      <c r="K7" s="58">
        <f>SUM(K5:K6)</f>
        <v>23208.237</v>
      </c>
      <c r="L7" s="58">
        <f>SUM(L5:L6)</f>
        <v>27269.453999999998</v>
      </c>
      <c r="M7" s="58">
        <f>M4-M2*NPV!C6</f>
        <v>27751.46766876</v>
      </c>
      <c r="N7" s="58">
        <f>N4-N2*NPV!D6</f>
        <v>29289.597759457203</v>
      </c>
      <c r="O7" s="58">
        <f>O4-O2*NPV!E6</f>
        <v>30618.23262014168</v>
      </c>
      <c r="P7" s="58">
        <f>P4-P2*NPV!F6</f>
        <v>31698.96619602165</v>
      </c>
      <c r="Q7" s="58">
        <f>Q4-Q2*NPV!G6</f>
        <v>32498.73966653033</v>
      </c>
      <c r="R7" s="58">
        <f>R4-R2*NPV!H6</f>
        <v>31389.943399414176</v>
      </c>
      <c r="S7" s="58">
        <f>S4-S2*NPV!I6</f>
        <v>30003.188267859772</v>
      </c>
      <c r="T7" s="58">
        <f>T4-T2*NPV!J6</f>
        <v>29853.71275267066</v>
      </c>
      <c r="U7" s="58">
        <f>U4-U2*NPV!K6</f>
        <v>29992.28946189902</v>
      </c>
      <c r="V7" s="58">
        <f>V4-V2*NPV!L6</f>
        <v>30272.136713975808</v>
      </c>
    </row>
    <row r="8">
      <c r="A8" s="2" t="inlineStr">
        <is>
          <t>Operating Income</t>
        </is>
      </c>
      <c r="B8" s="58">
        <f>B4-B7</f>
        <v>6328.700999999997</v>
      </c>
      <c r="C8" s="58">
        <f>C4-C7</f>
        <v>7349.350999999999</v>
      </c>
      <c r="D8" s="58">
        <f>D4-D7</f>
        <v>6531.256000000001</v>
      </c>
      <c r="E8" s="58">
        <f>E4-E7</f>
        <v>5261.914000000001</v>
      </c>
      <c r="F8" s="58">
        <f>F4-F7</f>
        <v>3433.2970000000023</v>
      </c>
      <c r="G8" s="58">
        <f>G4-G7</f>
        <v>15881.394000000002</v>
      </c>
      <c r="H8" s="58">
        <f>H4-H7</f>
        <v>9144.207999999999</v>
      </c>
      <c r="I8" s="58">
        <f>I4-I7</f>
        <v>11435.324</v>
      </c>
      <c r="J8" s="58">
        <f>J4-J7</f>
        <v>7832.105</v>
      </c>
      <c r="K8" s="58">
        <f>K4-K7</f>
        <v>8160.692999999999</v>
      </c>
      <c r="L8" s="58">
        <f>L4-L7</f>
        <v>7138.919000000009</v>
      </c>
      <c r="M8" s="58">
        <f>M4-M7</f>
        <v>10098.3157308</v>
      </c>
      <c r="N8" s="58">
        <f>N4-N7</f>
        <v>11209.670478072003</v>
      </c>
      <c r="O8" s="58">
        <f>O4-O7</f>
        <v>12310.991711639283</v>
      </c>
      <c r="P8" s="58">
        <f>P4-P7</f>
        <v>13376.719352348355</v>
      </c>
      <c r="Q8" s="58">
        <f>Q4-Q7</f>
        <v>14379.97330377448</v>
      </c>
      <c r="R8" s="58">
        <f>R4-R7</f>
        <v>14551.195311484542</v>
      </c>
      <c r="S8" s="58">
        <f>S4-S7</f>
        <v>14559.716281711986</v>
      </c>
      <c r="T8" s="58">
        <f>T4-T7</f>
        <v>15154.82084239681</v>
      </c>
      <c r="U8" s="58">
        <f>U4-U7</f>
        <v>15916.414805069802</v>
      </c>
      <c r="V8" s="58">
        <f>V4-V7</f>
        <v>16784.285159667226</v>
      </c>
    </row>
    <row r="9">
      <c r="A9" s="18" t="inlineStr">
        <is>
          <t>Interest &amp; Other</t>
        </is>
      </c>
      <c r="B9" s="58" t="n">
        <v>-706.6900000000001</v>
      </c>
      <c r="C9" s="58" t="n">
        <v>-559.275</v>
      </c>
      <c r="D9" s="58" t="n">
        <v>4877.061</v>
      </c>
      <c r="E9" s="58" t="n">
        <v>124.909</v>
      </c>
      <c r="F9" s="58" t="n">
        <v>-198.053</v>
      </c>
      <c r="G9" s="58" t="n">
        <v>-13.504</v>
      </c>
      <c r="H9" s="58" t="n">
        <v>-388.229</v>
      </c>
      <c r="I9" s="58" t="n">
        <v>132.786</v>
      </c>
      <c r="J9" s="58" t="n">
        <v>-611.039</v>
      </c>
      <c r="K9" s="58" t="n">
        <v>-549.148</v>
      </c>
      <c r="L9" s="58" t="n">
        <v>2826.76</v>
      </c>
      <c r="M9" s="58" t="n">
        <v>0</v>
      </c>
      <c r="N9" s="58" t="n">
        <v>0</v>
      </c>
      <c r="O9" s="58" t="n">
        <v>0</v>
      </c>
      <c r="P9" s="58" t="n">
        <v>0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  <c r="V9" s="58" t="n">
        <v>0</v>
      </c>
    </row>
    <row r="10">
      <c r="A10" s="2" t="inlineStr">
        <is>
          <t>Pretax</t>
        </is>
      </c>
      <c r="B10" s="58">
        <f>B8+B9</f>
        <v>5622.010999999997</v>
      </c>
      <c r="C10" s="58">
        <f>C8+C9</f>
        <v>6790.075999999999</v>
      </c>
      <c r="D10" s="58">
        <f>D8+D9</f>
        <v>11408.317000000001</v>
      </c>
      <c r="E10" s="58">
        <f>E8+E9</f>
        <v>5386.823</v>
      </c>
      <c r="F10" s="58">
        <f>F8+F9</f>
        <v>3235.2440000000024</v>
      </c>
      <c r="G10" s="58">
        <f>G8+G9</f>
        <v>15867.890000000001</v>
      </c>
      <c r="H10" s="58">
        <f>H8+H9</f>
        <v>8755.979</v>
      </c>
      <c r="I10" s="58">
        <f>I8+I9</f>
        <v>11568.11</v>
      </c>
      <c r="J10" s="58">
        <f>J8+J9</f>
        <v>7221.066</v>
      </c>
      <c r="K10" s="58">
        <f>K8+K9</f>
        <v>7611.544999999999</v>
      </c>
      <c r="L10" s="58">
        <f>L8+L9</f>
        <v>9965.67900000001</v>
      </c>
      <c r="M10" s="58">
        <f>M8+M9</f>
        <v>10098.3157308</v>
      </c>
      <c r="N10" s="58">
        <f>N8+N9</f>
        <v>11209.670478072003</v>
      </c>
      <c r="O10" s="58">
        <f>O8+O9</f>
        <v>12310.991711639283</v>
      </c>
      <c r="P10" s="58">
        <f>P8+P9</f>
        <v>13376.719352348355</v>
      </c>
      <c r="Q10" s="58">
        <f>Q8+Q9</f>
        <v>14379.97330377448</v>
      </c>
      <c r="R10" s="58">
        <f>R8+R9</f>
        <v>14551.195311484542</v>
      </c>
      <c r="S10" s="58">
        <f>S8+S9</f>
        <v>14559.716281711986</v>
      </c>
      <c r="T10" s="58">
        <f>T8+T9</f>
        <v>15154.82084239681</v>
      </c>
      <c r="U10" s="58">
        <f>U8+U9</f>
        <v>15916.414805069802</v>
      </c>
      <c r="V10" s="58">
        <f>V8+V9</f>
        <v>16784.285159667226</v>
      </c>
    </row>
    <row r="11">
      <c r="A11" s="2" t="inlineStr">
        <is>
          <t>Taxes</t>
        </is>
      </c>
      <c r="B11" s="58" t="n">
        <v>797.8390000000001</v>
      </c>
      <c r="C11" s="58" t="n">
        <v>1491.026</v>
      </c>
      <c r="D11" s="58" t="n">
        <v>1937.771</v>
      </c>
      <c r="E11" s="58" t="n">
        <v>541.27</v>
      </c>
      <c r="F11" s="58" t="n">
        <v>136.162</v>
      </c>
      <c r="G11" s="58" t="n">
        <v>2033.421</v>
      </c>
      <c r="H11" s="58" t="n">
        <v>1753.221</v>
      </c>
      <c r="I11" s="58" t="n">
        <v>2148.202</v>
      </c>
      <c r="J11" s="58" t="n">
        <v>1144.433</v>
      </c>
      <c r="K11" s="58" t="n">
        <v>1354.864</v>
      </c>
      <c r="L11" s="58" t="n">
        <v>1173.69</v>
      </c>
      <c r="M11" s="58">
        <f>MAX(0,M10)*Assumptions!$E$14</f>
        <v>1716.7136742360003</v>
      </c>
      <c r="N11" s="58">
        <f>MAX(0,N10)*Assumptions!$E$14</f>
        <v>1905.6439812722406</v>
      </c>
      <c r="O11" s="58">
        <f>MAX(0,O10)*Assumptions!$E$14</f>
        <v>2092.868590978678</v>
      </c>
      <c r="P11" s="58">
        <f>MAX(0,P10)*Assumptions!$E$14</f>
        <v>2274.0422898992206</v>
      </c>
      <c r="Q11" s="58">
        <f>MAX(0,Q10)*Assumptions!$E$14</f>
        <v>2444.595461641662</v>
      </c>
      <c r="R11" s="58">
        <f>MAX(0,R10)*Assumptions!$E$14</f>
        <v>2473.7032029523725</v>
      </c>
      <c r="S11" s="58">
        <f>MAX(0,S10)*Assumptions!$E$14</f>
        <v>2475.1517678910377</v>
      </c>
      <c r="T11" s="58">
        <f>MAX(0,T10)*Assumptions!$E$14</f>
        <v>2576.319543207458</v>
      </c>
      <c r="U11" s="58">
        <f>MAX(0,U10)*Assumptions!$E$14</f>
        <v>2705.7905168618668</v>
      </c>
      <c r="V11" s="58">
        <f>MAX(0,V10)*Assumptions!$E$14</f>
        <v>2853.3284771434287</v>
      </c>
    </row>
    <row r="12">
      <c r="A12" s="2" t="inlineStr">
        <is>
          <t>Net Income</t>
        </is>
      </c>
      <c r="B12" s="58" t="n">
        <v>4824.171</v>
      </c>
      <c r="C12" s="58" t="n">
        <v>5299.049</v>
      </c>
      <c r="D12" s="58" t="n">
        <v>9470.545</v>
      </c>
      <c r="E12" s="58" t="n">
        <v>4845.552</v>
      </c>
      <c r="F12" s="58" t="n">
        <v>3099.083</v>
      </c>
      <c r="G12" s="58" t="n">
        <v>13834.468</v>
      </c>
      <c r="H12" s="58" t="n">
        <v>7002.757</v>
      </c>
      <c r="I12" s="58" t="n">
        <v>9419.906999999999</v>
      </c>
      <c r="J12" s="58" t="n">
        <v>6076.633</v>
      </c>
      <c r="K12" s="58" t="n">
        <v>6256.681</v>
      </c>
      <c r="L12" s="58" t="n">
        <v>8791.987999999999</v>
      </c>
      <c r="M12" s="58">
        <f>M10-M11</f>
        <v>8381.602056564001</v>
      </c>
      <c r="N12" s="58">
        <f>N10-N11</f>
        <v>9304.026496799763</v>
      </c>
      <c r="O12" s="58">
        <f>O10-O11</f>
        <v>10218.123120660604</v>
      </c>
      <c r="P12" s="58">
        <f>P10-P11</f>
        <v>11102.677062449135</v>
      </c>
      <c r="Q12" s="58">
        <f>Q10-Q11</f>
        <v>11935.377842132819</v>
      </c>
      <c r="R12" s="58">
        <f>R10-R11</f>
        <v>12077.49210853217</v>
      </c>
      <c r="S12" s="58">
        <f>S10-S11</f>
        <v>12084.564513820947</v>
      </c>
      <c r="T12" s="58">
        <f>T10-T11</f>
        <v>12578.501299189353</v>
      </c>
      <c r="U12" s="58">
        <f>U10-U11</f>
        <v>13210.624288207935</v>
      </c>
      <c r="V12" s="58">
        <f>V10-V11</f>
        <v>13930.956682523798</v>
      </c>
    </row>
    <row r="13">
      <c r="A13" s="2" t="inlineStr">
        <is>
          <t>Earnings per Share</t>
        </is>
      </c>
      <c r="B13" s="11">
        <f>IFERROR(B12/B14,0)</f>
        <v>3.652737942000454</v>
      </c>
      <c r="C13" s="11">
        <f>IFERROR(C12/C14,0)</f>
        <v>4.08877237654321</v>
      </c>
      <c r="D13" s="11">
        <f>IFERROR(D12/D14,0)</f>
        <v>7.475959109567414</v>
      </c>
      <c r="E13" s="11">
        <f>IFERROR(E12/E14,0)</f>
        <v>3.86038240917782</v>
      </c>
      <c r="F13" s="11">
        <f>IFERROR(F12/F14,0)</f>
        <v>2.465263702171665</v>
      </c>
      <c r="G13" s="11">
        <f>IFERROR(G12/G14,0)</f>
        <v>10.978865169431</v>
      </c>
      <c r="H13" s="11">
        <f>IFERROR(H12/H14,0)</f>
        <v>5.571451189434322</v>
      </c>
      <c r="I13" s="11">
        <f>IFERROR(I12/I14,0)</f>
        <v>7.494555652796562</v>
      </c>
      <c r="J13" s="11">
        <f>IFERROR(J12/J14,0)</f>
        <v>4.836543298312638</v>
      </c>
      <c r="K13" s="11">
        <f>IFERROR(K12/K14,0)</f>
        <v>4.9810373377915775</v>
      </c>
      <c r="L13" s="11">
        <f>IFERROR(L12/L14,0)</f>
        <v>7.173619451697128</v>
      </c>
      <c r="M13" s="11">
        <f>IFERROR(M12/M14,0)</f>
        <v>3.4366966602831672</v>
      </c>
      <c r="N13" s="11">
        <f>IFERROR(N12/N14,0)</f>
        <v>3.8149170734843847</v>
      </c>
      <c r="O13" s="11">
        <f>IFERROR(O12/O14,0)</f>
        <v>4.189722843693726</v>
      </c>
      <c r="P13" s="11">
        <f>IFERROR(P12/P14,0)</f>
        <v>4.552415268968706</v>
      </c>
      <c r="Q13" s="11">
        <f>IFERROR(Q12/Q14,0)</f>
        <v>4.8938464141413585</v>
      </c>
      <c r="R13" s="11">
        <f>IFERROR(R12/R14,0)</f>
        <v>4.9521173295841585</v>
      </c>
      <c r="S13" s="11">
        <f>IFERROR(S12/S14,0)</f>
        <v>4.95501721811049</v>
      </c>
      <c r="T13" s="11">
        <f>IFERROR(T12/T14,0)</f>
        <v>5.157545432789593</v>
      </c>
      <c r="U13" s="11">
        <f>IFERROR(U12/U14,0)</f>
        <v>5.416733944793341</v>
      </c>
      <c r="V13" s="11">
        <f>IFERROR(V12/V14,0)</f>
        <v>5.712090836844829</v>
      </c>
    </row>
    <row r="14">
      <c r="A14" s="2" t="inlineStr">
        <is>
          <t>Shares</t>
        </is>
      </c>
      <c r="B14" s="58" t="n">
        <v>1320.7</v>
      </c>
      <c r="C14" s="58" t="n">
        <v>1296</v>
      </c>
      <c r="D14" s="58" t="n">
        <v>1266.8</v>
      </c>
      <c r="E14" s="58" t="n">
        <v>1255.2</v>
      </c>
      <c r="F14" s="58" t="n">
        <v>1257.1</v>
      </c>
      <c r="G14" s="58" t="n">
        <v>1260.1</v>
      </c>
      <c r="H14" s="58" t="n">
        <v>1256.9</v>
      </c>
      <c r="I14" s="58" t="n">
        <v>1256.9</v>
      </c>
      <c r="J14" s="58" t="n">
        <v>1256.4</v>
      </c>
      <c r="K14" s="58" t="n">
        <v>1256.1</v>
      </c>
      <c r="L14" s="58" t="n">
        <v>1225.6</v>
      </c>
      <c r="M14" s="58">
        <f>Main!$C$4</f>
        <v>2438.854192</v>
      </c>
      <c r="N14" s="58">
        <f>Main!$C$4</f>
        <v>2438.854192</v>
      </c>
      <c r="O14" s="58">
        <f>Main!$C$4</f>
        <v>2438.854192</v>
      </c>
      <c r="P14" s="58">
        <f>Main!$C$4</f>
        <v>2438.854192</v>
      </c>
      <c r="Q14" s="58">
        <f>Main!$C$4</f>
        <v>2438.854192</v>
      </c>
      <c r="R14" s="58">
        <f>Main!$C$4</f>
        <v>2438.854192</v>
      </c>
      <c r="S14" s="58">
        <f>Main!$C$4</f>
        <v>2438.854192</v>
      </c>
      <c r="T14" s="58">
        <f>Main!$C$4</f>
        <v>2438.854192</v>
      </c>
      <c r="U14" s="58">
        <f>Main!$C$4</f>
        <v>2438.854192</v>
      </c>
      <c r="V14" s="58">
        <f>Main!$C$4</f>
        <v>2438.854192</v>
      </c>
    </row>
    <row r="15"/>
    <row r="16" customFormat="1" s="4">
      <c r="A16" s="3" t="inlineStr">
        <is>
          <t>Revenue Change</t>
        </is>
      </c>
      <c r="C16" s="15">
        <f>IFERROR(C2/B2-1,"")</f>
        <v>-0.007369350514004225</v>
      </c>
      <c r="D16" s="15">
        <f>IFERROR(D2/C2-1,"")</f>
        <v>0.03735691746823222</v>
      </c>
      <c r="E16" s="15">
        <f>IFERROR(E2/D2-1,"")</f>
        <v>-0.017364299900419766</v>
      </c>
      <c r="F16" s="15">
        <f>IFERROR(F2/E2-1,"")</f>
        <v>0.04825465223610248</v>
      </c>
      <c r="G16" s="15">
        <f>IFERROR(G2/F2-1,"")</f>
        <v>-0.0023528586987203726</v>
      </c>
      <c r="H16" s="15">
        <f>IFERROR(H2/G2-1,"")</f>
        <v>0.04772342152808284</v>
      </c>
      <c r="I16" s="15">
        <f>IFERROR(I2/H2-1,"")</f>
        <v>-0.0029130521600905235</v>
      </c>
      <c r="J16" s="15">
        <f>IFERROR(J2/I2-1,"")</f>
        <v>0.0044089086199874394</v>
      </c>
      <c r="K16" s="15">
        <f>IFERROR(K2/J2-1,"")</f>
        <v>0.08631038640730448</v>
      </c>
      <c r="L16" s="15">
        <f>IFERROR(L2/K2-1,"")</f>
        <v>0.061950787164009924</v>
      </c>
      <c r="M16" s="15">
        <f>IFERROR(M2/L2-1,"")</f>
        <v>0.10000000000000009</v>
      </c>
      <c r="N16" s="15">
        <f>IFERROR(N2/M2-1,"")</f>
        <v>0.07000000000000006</v>
      </c>
      <c r="O16" s="15">
        <f>IFERROR(O2/N2-1,"")</f>
        <v>0.06000000000000005</v>
      </c>
      <c r="P16" s="15">
        <f>IFERROR(P2/O2-1,"")</f>
        <v>0.050000000000000044</v>
      </c>
      <c r="Q16" s="15">
        <f>IFERROR(Q2/P2-1,"")</f>
        <v>0.040000000000000036</v>
      </c>
      <c r="R16" s="15">
        <f>IFERROR(R2/Q2-1,"")</f>
        <v>-0.019999999999999907</v>
      </c>
      <c r="S16" s="15">
        <f>IFERROR(S2/R2-1,"")</f>
        <v>-0.030000000000000027</v>
      </c>
      <c r="T16" s="15">
        <f>IFERROR(T2/S2-1,"")</f>
        <v>0.010000000000000009</v>
      </c>
      <c r="U16" s="15">
        <f>IFERROR(U2/T2-1,"")</f>
        <v>0.020000000000000018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0.6794186809725922</v>
      </c>
      <c r="C17" s="15">
        <f>IFERROR(C4/C2,"")</f>
        <v>0.683486654742301</v>
      </c>
      <c r="D17" s="15">
        <f>IFERROR(D4/D2,"")</f>
        <v>0.6688811632578396</v>
      </c>
      <c r="E17" s="15">
        <f>IFERROR(E4/E2,"")</f>
        <v>0.6681948775462564</v>
      </c>
      <c r="F17" s="15">
        <f>IFERROR(F4/F2,"")</f>
        <v>0.6684105535490592</v>
      </c>
      <c r="G17" s="15">
        <f>IFERROR(G4/G2,"")</f>
        <v>0.662634229211832</v>
      </c>
      <c r="H17" s="15">
        <f>IFERROR(H4/H2,"")</f>
        <v>0.6754588128341101</v>
      </c>
      <c r="I17" s="15">
        <f>IFERROR(I4/I2,"")</f>
        <v>0.6844174252719492</v>
      </c>
      <c r="J17" s="15">
        <f>IFERROR(J4/J2,"")</f>
        <v>0.6660761053983966</v>
      </c>
      <c r="K17" s="15">
        <f>IFERROR(K4/K2,"")</f>
        <v>0.6785618557917533</v>
      </c>
      <c r="L17" s="15">
        <f>IFERROR(L4/L2,"")</f>
        <v>0.7008893873770067</v>
      </c>
      <c r="M17" s="15">
        <f>IFERROR(M4/M2,"")</f>
        <v>0.7009</v>
      </c>
      <c r="N17" s="15">
        <f>IFERROR(N4/N2,"")</f>
        <v>0.7009000000000001</v>
      </c>
      <c r="O17" s="15">
        <f>IFERROR(O4/O2,"")</f>
        <v>0.7009</v>
      </c>
      <c r="P17" s="15">
        <f>IFERROR(P4/P2,"")</f>
        <v>0.7008999999999999</v>
      </c>
      <c r="Q17" s="15">
        <f>IFERROR(Q4/Q2,"")</f>
        <v>0.7009</v>
      </c>
      <c r="R17" s="15">
        <f>IFERROR(R4/R2,"")</f>
        <v>0.7009</v>
      </c>
      <c r="S17" s="15">
        <f>IFERROR(S4/S2,"")</f>
        <v>0.7009</v>
      </c>
      <c r="T17" s="15">
        <f>IFERROR(T4/T2,"")</f>
        <v>0.7009</v>
      </c>
      <c r="U17" s="15">
        <f>IFERROR(U4/U2,"")</f>
        <v>0.7009</v>
      </c>
      <c r="V17" s="15">
        <f>IFERROR(V4/V2,"")</f>
        <v>0.7009</v>
      </c>
    </row>
    <row r="18">
      <c r="A18" s="14" t="inlineStr">
        <is>
          <t>Operating Margin</t>
        </is>
      </c>
      <c r="B18" s="15">
        <f>IFERROR(B8/B2,"")</f>
        <v>0.16512037828624704</v>
      </c>
      <c r="C18" s="15">
        <f>IFERROR(C8/C2,"")</f>
        <v>0.19317343643835577</v>
      </c>
      <c r="D18" s="15">
        <f>IFERROR(D8/D2,"")</f>
        <v>0.16548815559442442</v>
      </c>
      <c r="E18" s="15">
        <f>IFERROR(E8/E2,"")</f>
        <v>0.13568174370238315</v>
      </c>
      <c r="F18" s="15">
        <f>IFERROR(F8/F2,"")</f>
        <v>0.08445439322258626</v>
      </c>
      <c r="G18" s="15">
        <f>IFERROR(G8/G2,"")</f>
        <v>0.3915818283022485</v>
      </c>
      <c r="H18" s="15">
        <f>IFERROR(H8/H2,"")</f>
        <v>0.21519558313111156</v>
      </c>
      <c r="I18" s="15">
        <f>IFERROR(I8/I2,"")</f>
        <v>0.26989988520315983</v>
      </c>
      <c r="J18" s="15">
        <f>IFERROR(J8/J2,"")</f>
        <v>0.18404421494891784</v>
      </c>
      <c r="K18" s="15">
        <f>IFERROR(K8/K2,"")</f>
        <v>0.1765292914558058</v>
      </c>
      <c r="L18" s="15">
        <f>IFERROR(L8/L2,"")</f>
        <v>0.14541787734177603</v>
      </c>
      <c r="M18" s="15">
        <f>IFERROR(M8/M2,"")</f>
        <v>0.187</v>
      </c>
      <c r="N18" s="15">
        <f>IFERROR(N8/N2,"")</f>
        <v>0.19400000000000003</v>
      </c>
      <c r="O18" s="15">
        <f>IFERROR(O8/O2,"")</f>
        <v>0.201</v>
      </c>
      <c r="P18" s="15">
        <f>IFERROR(P8/P2,"")</f>
        <v>0.208</v>
      </c>
      <c r="Q18" s="15">
        <f>IFERROR(Q8/Q2,"")</f>
        <v>0.21499999999999997</v>
      </c>
      <c r="R18" s="15">
        <f>IFERROR(R8/R2,"")</f>
        <v>0.222</v>
      </c>
      <c r="S18" s="15">
        <f>IFERROR(S8/S2,"")</f>
        <v>0.22899999999999998</v>
      </c>
      <c r="T18" s="15">
        <f>IFERROR(T8/T2,"")</f>
        <v>0.23600000000000002</v>
      </c>
      <c r="U18" s="15">
        <f>IFERROR(U8/U2,"")</f>
        <v>0.243</v>
      </c>
      <c r="V18" s="15">
        <f>IFERROR(V8/V2,"")</f>
        <v>0.25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Sanofi SA: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0.095</v>
      </c>
      <c r="C10" s="59" t="n">
        <v>0.08500000000000001</v>
      </c>
      <c r="D10" s="59" t="n">
        <v>0.075</v>
      </c>
      <c r="E10" s="60">
        <f>IF(ISNUMBER($B$6),$B$6,CHOOSE($B$4,B10,C10,D10))</f>
        <v>0.085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0.05</v>
      </c>
      <c r="C12" s="59" t="n">
        <v>0.1</v>
      </c>
      <c r="D12" s="59" t="n">
        <v>0.15</v>
      </c>
      <c r="E12" s="60">
        <f>CHOOSE($B$4,B12,C12,D12)</f>
        <v>0.1</v>
      </c>
    </row>
    <row r="13">
      <c r="A13" s="14" t="inlineStr">
        <is>
          <t>Operating margin, year 10</t>
        </is>
      </c>
      <c r="B13" s="59" t="n">
        <v>0.2</v>
      </c>
      <c r="C13" s="59" t="n">
        <v>0.25</v>
      </c>
      <c r="D13" s="59" t="n">
        <v>0.3</v>
      </c>
      <c r="E13" s="60">
        <f>CHOOSE($B$4,B13,C13,D13)</f>
        <v>0.25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0.18</v>
      </c>
    </row>
    <row r="19">
      <c r="A19" s="14" t="inlineStr">
        <is>
          <t>Gross margin (forecast)</t>
        </is>
      </c>
      <c r="B19" s="59" t="n">
        <v>0.7009</v>
      </c>
    </row>
    <row r="20">
      <c r="A20" s="14" t="inlineStr">
        <is>
          <t>R&amp;D share of operating expense (forecast)</t>
        </is>
      </c>
      <c r="B20" s="59" t="n">
        <v>0.3236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(EUR)</t>
        </is>
      </c>
      <c r="B24" s="32" t="n">
        <v>0.8886500000000001</v>
      </c>
    </row>
    <row r="25">
      <c r="A25" s="14" t="inlineStr">
        <is>
          <t>Base revenue, FY2025</t>
        </is>
      </c>
      <c r="B25" s="61">
        <f>'Yearly Model'!L2</f>
        <v>49092.444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174380.82622147238</v>
      </c>
      <c r="C29" s="62">
        <f>NPV!B26</f>
        <v>162970.25963170137</v>
      </c>
      <c r="D29" s="35">
        <f>NPV!B28</f>
        <v>66.8224694064455</v>
      </c>
      <c r="E29" s="63">
        <f>NPV!B30</f>
        <v>0.6140693093344325</v>
      </c>
    </row>
    <row r="30">
      <c r="A30" s="64" t="n">
        <v>1</v>
      </c>
      <c r="B30" s="65">
        <f t="dataTable" ref="B30:E32" r1="B4"/>
        <v>100322.30350523209</v>
      </c>
      <c r="C30" s="65">
        <v>88911.7369154611</v>
      </c>
      <c r="D30" s="39">
        <v>36.456356106532304</v>
      </c>
      <c r="E30" s="66">
        <v>-0.11941168824801196</v>
      </c>
    </row>
    <row r="31">
      <c r="A31" s="64" t="n">
        <v>2</v>
      </c>
      <c r="B31" s="65">
        <v>174380.82622147238</v>
      </c>
      <c r="C31" s="65">
        <v>162970.25963170137</v>
      </c>
      <c r="D31" s="39">
        <v>66.8224694064455</v>
      </c>
      <c r="E31" s="66">
        <v>0.6140693093344325</v>
      </c>
    </row>
    <row r="32">
      <c r="A32" s="64" t="n">
        <v>3</v>
      </c>
      <c r="B32" s="65">
        <v>325956.6345346245</v>
      </c>
      <c r="C32" s="65">
        <v>314546.06794485357</v>
      </c>
      <c r="D32" s="39">
        <v>128.97288775058252</v>
      </c>
      <c r="E32" s="66">
        <v>2.115287143733877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66.8224694064455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0.065</v>
      </c>
      <c r="B37" s="39">
        <f t="dataTable" ref="B37:F41" dt2D="1" r1="B7" r2="B6"/>
        <v>88.46010530791466</v>
      </c>
      <c r="C37" s="39">
        <v>95.13225541896138</v>
      </c>
      <c r="D37" s="39">
        <v>103.47244305776978</v>
      </c>
      <c r="E37" s="39">
        <v>114.19554145052345</v>
      </c>
      <c r="F37" s="39">
        <v>128.493005974195</v>
      </c>
    </row>
    <row r="38">
      <c r="A38" s="68" t="n">
        <v>0.075</v>
      </c>
      <c r="B38" s="39">
        <v>72.35901140550685</v>
      </c>
      <c r="C38" s="39">
        <v>76.49370531197977</v>
      </c>
      <c r="D38" s="39">
        <v>81.45533799974727</v>
      </c>
      <c r="E38" s="39">
        <v>87.51955572924088</v>
      </c>
      <c r="F38" s="39">
        <v>95.09982789110785</v>
      </c>
    </row>
    <row r="39">
      <c r="A39" s="68" t="n">
        <v>0.08500000000000001</v>
      </c>
      <c r="B39" s="39">
        <v>60.912014167902754</v>
      </c>
      <c r="C39" s="39">
        <v>63.639916585691736</v>
      </c>
      <c r="D39" s="39">
        <v>66.8224694064455</v>
      </c>
      <c r="E39" s="39">
        <v>70.58366819460907</v>
      </c>
      <c r="F39" s="39">
        <v>75.09710674040534</v>
      </c>
    </row>
    <row r="40">
      <c r="A40" s="68" t="n">
        <v>0.095</v>
      </c>
      <c r="B40" s="39">
        <v>52.36848348279516</v>
      </c>
      <c r="C40" s="39">
        <v>54.251867770020354</v>
      </c>
      <c r="D40" s="39">
        <v>56.404306955420566</v>
      </c>
      <c r="E40" s="39">
        <v>58.887890630882346</v>
      </c>
      <c r="F40" s="39">
        <v>61.7854049189211</v>
      </c>
    </row>
    <row r="41">
      <c r="A41" s="68" t="n">
        <v>0.105</v>
      </c>
      <c r="B41" s="39">
        <v>45.75645273841202</v>
      </c>
      <c r="C41" s="39">
        <v>47.10243411363002</v>
      </c>
      <c r="D41" s="39">
        <v>48.616663160750235</v>
      </c>
      <c r="E41" s="39">
        <v>50.33278941415316</v>
      </c>
      <c r="F41" s="39">
        <v>52.29407656089936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0.1</v>
      </c>
      <c r="C46" s="59" t="n">
        <v>0.07000000000000001</v>
      </c>
      <c r="D46" s="59" t="n">
        <v>0.06</v>
      </c>
      <c r="E46" s="59" t="n">
        <v>0.05</v>
      </c>
      <c r="F46" s="59" t="n">
        <v>0.04</v>
      </c>
      <c r="G46" s="59" t="n">
        <v>-0.02</v>
      </c>
      <c r="H46" s="59" t="n">
        <v>-0.03</v>
      </c>
      <c r="I46" s="59" t="n">
        <v>0.01</v>
      </c>
      <c r="J46" s="59" t="n">
        <v>0.02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Sanofi SA: free-cash-flow DCF ($mm)</t>
        </is>
      </c>
    </row>
    <row r="3">
      <c r="A3" s="20" t="inlineStr">
        <is>
          <t>Fiscal year</t>
        </is>
      </c>
      <c r="B3" s="44">
        <f>'Yearly Model'!L1</f>
        <v>2025</v>
      </c>
      <c r="C3" s="44">
        <f>'Yearly Model'!M1</f>
        <v>2026</v>
      </c>
      <c r="D3" s="44">
        <f>'Yearly Model'!N1</f>
        <v>2027</v>
      </c>
      <c r="E3" s="44">
        <f>'Yearly Model'!O1</f>
        <v>2028</v>
      </c>
      <c r="F3" s="44">
        <f>'Yearly Model'!P1</f>
        <v>2029</v>
      </c>
      <c r="G3" s="44">
        <f>'Yearly Model'!Q1</f>
        <v>2030</v>
      </c>
      <c r="H3" s="44">
        <f>'Yearly Model'!R1</f>
        <v>2031</v>
      </c>
      <c r="I3" s="44">
        <f>'Yearly Model'!S1</f>
        <v>2032</v>
      </c>
      <c r="J3" s="44">
        <f>'Yearly Model'!T1</f>
        <v>2033</v>
      </c>
      <c r="K3" s="44">
        <f>'Yearly Model'!U1</f>
        <v>2034</v>
      </c>
      <c r="L3" s="44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0.1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0.07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0.06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0.05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0.04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-0.02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-0.03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0.01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0.02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0.14541787734177603</v>
      </c>
      <c r="C6" s="69">
        <f>Assumptions!$B$18+(Assumptions!$E$13-Assumptions!$B$18)*C4/Assumptions!$B$21</f>
        <v>0.187</v>
      </c>
      <c r="D6" s="69">
        <f>Assumptions!$B$18+(Assumptions!$E$13-Assumptions!$B$18)*D4/Assumptions!$B$21</f>
        <v>0.194</v>
      </c>
      <c r="E6" s="69">
        <f>Assumptions!$B$18+(Assumptions!$E$13-Assumptions!$B$18)*E4/Assumptions!$B$21</f>
        <v>0.20099999999999998</v>
      </c>
      <c r="F6" s="69">
        <f>Assumptions!$B$18+(Assumptions!$E$13-Assumptions!$B$18)*F4/Assumptions!$B$21</f>
        <v>0.208</v>
      </c>
      <c r="G6" s="69">
        <f>Assumptions!$B$18+(Assumptions!$E$13-Assumptions!$B$18)*G4/Assumptions!$B$21</f>
        <v>0.215</v>
      </c>
      <c r="H6" s="69">
        <f>Assumptions!$B$18+(Assumptions!$E$13-Assumptions!$B$18)*H4/Assumptions!$B$21</f>
        <v>0.222</v>
      </c>
      <c r="I6" s="69">
        <f>Assumptions!$B$18+(Assumptions!$E$13-Assumptions!$B$18)*I4/Assumptions!$B$21</f>
        <v>0.22899999999999998</v>
      </c>
      <c r="J6" s="69">
        <f>Assumptions!$B$18+(Assumptions!$E$13-Assumptions!$B$18)*J4/Assumptions!$B$21</f>
        <v>0.236</v>
      </c>
      <c r="K6" s="69">
        <f>Assumptions!$B$18+(Assumptions!$E$13-Assumptions!$B$18)*K4/Assumptions!$B$21</f>
        <v>0.243</v>
      </c>
      <c r="L6" s="69">
        <f>Assumptions!$B$18+(Assumptions!$E$13-Assumptions!$B$18)*L4/Assumptions!$B$21</f>
        <v>0.25</v>
      </c>
    </row>
    <row r="7">
      <c r="A7" s="14" t="inlineStr">
        <is>
          <t>Revenue</t>
        </is>
      </c>
      <c r="B7" s="61">
        <f>'Yearly Model'!L2</f>
        <v>49092.444</v>
      </c>
      <c r="C7" s="61">
        <f>'Yearly Model'!M2</f>
        <v>54001.68840000001</v>
      </c>
      <c r="D7" s="61">
        <f>'Yearly Model'!N2</f>
        <v>57781.80658800001</v>
      </c>
      <c r="E7" s="61">
        <f>'Yearly Model'!O2</f>
        <v>61248.71498328001</v>
      </c>
      <c r="F7" s="61">
        <f>'Yearly Model'!P2</f>
        <v>64311.15073244402</v>
      </c>
      <c r="G7" s="61">
        <f>'Yearly Model'!Q2</f>
        <v>66883.59676174178</v>
      </c>
      <c r="H7" s="61">
        <f>'Yearly Model'!R2</f>
        <v>65545.92482650695</v>
      </c>
      <c r="I7" s="61">
        <f>'Yearly Model'!S2</f>
        <v>63579.54708171174</v>
      </c>
      <c r="J7" s="61">
        <f>'Yearly Model'!T2</f>
        <v>64215.342552528855</v>
      </c>
      <c r="K7" s="61">
        <f>'Yearly Model'!U2</f>
        <v>65499.64940357943</v>
      </c>
      <c r="L7" s="61">
        <f>'Yearly Model'!V2</f>
        <v>67137.1406386689</v>
      </c>
    </row>
    <row r="8">
      <c r="A8" s="14" t="inlineStr">
        <is>
          <t>Operating income</t>
        </is>
      </c>
      <c r="B8" s="61">
        <f>'Yearly Model'!L8</f>
        <v>7138.919000000009</v>
      </c>
      <c r="C8" s="61">
        <f>'Yearly Model'!M8</f>
        <v>10098.3157308</v>
      </c>
      <c r="D8" s="61">
        <f>'Yearly Model'!N8</f>
        <v>11209.670478072003</v>
      </c>
      <c r="E8" s="61">
        <f>'Yearly Model'!O8</f>
        <v>12310.991711639283</v>
      </c>
      <c r="F8" s="61">
        <f>'Yearly Model'!P8</f>
        <v>13376.719352348355</v>
      </c>
      <c r="G8" s="61">
        <f>'Yearly Model'!Q8</f>
        <v>14379.97330377448</v>
      </c>
      <c r="H8" s="61">
        <f>'Yearly Model'!R8</f>
        <v>14551.195311484542</v>
      </c>
      <c r="I8" s="61">
        <f>'Yearly Model'!S8</f>
        <v>14559.716281711986</v>
      </c>
      <c r="J8" s="61">
        <f>'Yearly Model'!T8</f>
        <v>15154.82084239681</v>
      </c>
      <c r="K8" s="61">
        <f>'Yearly Model'!U8</f>
        <v>15916.414805069802</v>
      </c>
      <c r="L8" s="61">
        <f>'Yearly Model'!V8</f>
        <v>16784.285159667226</v>
      </c>
    </row>
    <row r="9">
      <c r="A9" s="14" t="inlineStr">
        <is>
          <t>Tax on operating income</t>
        </is>
      </c>
      <c r="C9" s="58">
        <f>MAX(0,C8)*Assumptions!$E$14</f>
        <v>1716.7136742360003</v>
      </c>
      <c r="D9" s="58">
        <f>MAX(0,D8)*Assumptions!$E$14</f>
        <v>1905.6439812722406</v>
      </c>
      <c r="E9" s="58">
        <f>MAX(0,E8)*Assumptions!$E$14</f>
        <v>2092.868590978678</v>
      </c>
      <c r="F9" s="58">
        <f>MAX(0,F8)*Assumptions!$E$14</f>
        <v>2274.0422898992206</v>
      </c>
      <c r="G9" s="58">
        <f>MAX(0,G8)*Assumptions!$E$14</f>
        <v>2444.595461641662</v>
      </c>
      <c r="H9" s="58">
        <f>MAX(0,H8)*Assumptions!$E$14</f>
        <v>2473.7032029523725</v>
      </c>
      <c r="I9" s="58">
        <f>MAX(0,I8)*Assumptions!$E$14</f>
        <v>2475.1517678910377</v>
      </c>
      <c r="J9" s="58">
        <f>MAX(0,J8)*Assumptions!$E$14</f>
        <v>2576.319543207458</v>
      </c>
      <c r="K9" s="58">
        <f>MAX(0,K8)*Assumptions!$E$14</f>
        <v>2705.7905168618668</v>
      </c>
      <c r="L9" s="58">
        <f>MAX(0,L8)*Assumptions!$E$14</f>
        <v>2853.3284771434287</v>
      </c>
    </row>
    <row r="10">
      <c r="A10" s="14" t="inlineStr">
        <is>
          <t>NOPAT</t>
        </is>
      </c>
      <c r="C10" s="58">
        <f>C8-C9</f>
        <v>8381.602056564001</v>
      </c>
      <c r="D10" s="58">
        <f>D8-D9</f>
        <v>9304.026496799763</v>
      </c>
      <c r="E10" s="58">
        <f>E8-E9</f>
        <v>10218.123120660604</v>
      </c>
      <c r="F10" s="58">
        <f>F8-F9</f>
        <v>11102.677062449135</v>
      </c>
      <c r="G10" s="58">
        <f>G8-G9</f>
        <v>11935.377842132819</v>
      </c>
      <c r="H10" s="58">
        <f>H8-H9</f>
        <v>12077.49210853217</v>
      </c>
      <c r="I10" s="58">
        <f>I8-I9</f>
        <v>12084.564513820947</v>
      </c>
      <c r="J10" s="58">
        <f>J8-J9</f>
        <v>12578.501299189353</v>
      </c>
      <c r="K10" s="58">
        <f>K8-K9</f>
        <v>13210.624288207935</v>
      </c>
      <c r="L10" s="58">
        <f>L8-L9</f>
        <v>13930.956682523798</v>
      </c>
    </row>
    <row r="11">
      <c r="A11" s="14" t="inlineStr">
        <is>
          <t>Reinvestment</t>
        </is>
      </c>
      <c r="C11" s="58">
        <f>(C7-B7)*Assumptions!$E$15</f>
        <v>1227.3111000000008</v>
      </c>
      <c r="D11" s="58">
        <f>(D7-C7)*Assumptions!$E$15</f>
        <v>945.0295470000001</v>
      </c>
      <c r="E11" s="58">
        <f>(E7-D7)*Assumptions!$E$15</f>
        <v>866.7270988200016</v>
      </c>
      <c r="F11" s="58">
        <f>(F7-E7)*Assumptions!$E$15</f>
        <v>765.608937291001</v>
      </c>
      <c r="G11" s="58">
        <f>(G7-F7)*Assumptions!$E$15</f>
        <v>643.11150732444</v>
      </c>
      <c r="H11" s="58">
        <f>(H7-G7)*Assumptions!$E$15</f>
        <v>-334.4179838087075</v>
      </c>
      <c r="I11" s="58">
        <f>(I7-H7)*Assumptions!$E$15</f>
        <v>-491.5944361988022</v>
      </c>
      <c r="J11" s="58">
        <f>(J7-I7)*Assumptions!$E$15</f>
        <v>158.9488677042791</v>
      </c>
      <c r="K11" s="58">
        <f>(K7-J7)*Assumptions!$E$15</f>
        <v>321.0767127626441</v>
      </c>
      <c r="L11" s="58">
        <f>(L7-K7)*Assumptions!$E$15</f>
        <v>409.37280877236844</v>
      </c>
    </row>
    <row r="12">
      <c r="A12" s="20" t="inlineStr">
        <is>
          <t>Free cash flow</t>
        </is>
      </c>
      <c r="C12" s="70">
        <f>C10-C11</f>
        <v>7154.290956564</v>
      </c>
      <c r="D12" s="70">
        <f>D10-D11</f>
        <v>8358.996949799763</v>
      </c>
      <c r="E12" s="70">
        <f>E10-E11</f>
        <v>9351.396021840603</v>
      </c>
      <c r="F12" s="70">
        <f>F10-F11</f>
        <v>10337.068125158134</v>
      </c>
      <c r="G12" s="70">
        <f>G10-G11</f>
        <v>11292.266334808379</v>
      </c>
      <c r="H12" s="70">
        <f>H10-H11</f>
        <v>12411.910092340877</v>
      </c>
      <c r="I12" s="70">
        <f>I10-I11</f>
        <v>12576.15895001975</v>
      </c>
      <c r="J12" s="70">
        <f>J10-J11</f>
        <v>12419.552431485074</v>
      </c>
      <c r="K12" s="70">
        <f>K10-K11</f>
        <v>12889.547575445291</v>
      </c>
      <c r="L12" s="70">
        <f>L10-L11</f>
        <v>13521.58387375143</v>
      </c>
    </row>
    <row r="13">
      <c r="A13" s="14" t="inlineStr">
        <is>
          <t>Year fraction</t>
        </is>
      </c>
      <c r="C13" s="47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71">
        <f>1/(1+Assumptions!$E$10)^C14</f>
        <v>0.9600307214746386</v>
      </c>
      <c r="D15" s="71">
        <f>1/(1+Assumptions!$E$10)^D14</f>
        <v>0.88482094145128</v>
      </c>
      <c r="E15" s="71">
        <f>1/(1+Assumptions!$E$10)^E14</f>
        <v>0.8155031718444976</v>
      </c>
      <c r="F15" s="71">
        <f>1/(1+Assumptions!$E$10)^F14</f>
        <v>0.7516158265847905</v>
      </c>
      <c r="G15" s="71">
        <f>1/(1+Assumptions!$E$10)^G14</f>
        <v>0.6927334807233092</v>
      </c>
      <c r="H15" s="71">
        <f>1/(1+Assumptions!$E$10)^H14</f>
        <v>0.638464037533004</v>
      </c>
      <c r="I15" s="71">
        <f>1/(1+Assumptions!$E$10)^I14</f>
        <v>0.5884461175419391</v>
      </c>
      <c r="J15" s="71">
        <f>1/(1+Assumptions!$E$10)^J14</f>
        <v>0.5423466521123863</v>
      </c>
      <c r="K15" s="71">
        <f>1/(1+Assumptions!$E$10)^K14</f>
        <v>0.49985866554136993</v>
      </c>
      <c r="L15" s="71">
        <f>1/(1+Assumptions!$E$10)^L14</f>
        <v>0.460699230913705</v>
      </c>
    </row>
    <row r="16">
      <c r="A16" s="20" t="inlineStr">
        <is>
          <t>PV of free cash flow</t>
        </is>
      </c>
      <c r="C16" s="70">
        <f>C12*C13*C15</f>
        <v>6868.33910866962</v>
      </c>
      <c r="D16" s="70">
        <f>D12*D13*D15</f>
        <v>7396.215550710203</v>
      </c>
      <c r="E16" s="70">
        <f>E12*E13*E15</f>
        <v>7626.093116985028</v>
      </c>
      <c r="F16" s="70">
        <f>F12*F13*F15</f>
        <v>7769.504003354022</v>
      </c>
      <c r="G16" s="70">
        <f>G12*G13*G15</f>
        <v>7822.530963366454</v>
      </c>
      <c r="H16" s="70">
        <f>H12*H13*H15</f>
        <v>7924.558231052596</v>
      </c>
      <c r="I16" s="70">
        <f>I12*I13*I15</f>
        <v>7400.391907729431</v>
      </c>
      <c r="J16" s="70">
        <f>J12*J13*J15</f>
        <v>6735.702681950177</v>
      </c>
      <c r="K16" s="70">
        <f>K12*K13*K15</f>
        <v>6442.952050494084</v>
      </c>
      <c r="L16" s="70">
        <f>L12*L13*L15</f>
        <v>6229.38329137244</v>
      </c>
    </row>
    <row r="19">
      <c r="A19" s="14" t="inlineStr">
        <is>
          <t>PV of forecast free cash flow</t>
        </is>
      </c>
      <c r="B19" s="58">
        <f>SUM(C16:L16)</f>
        <v>72215.67090568406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13859.623470595212</v>
      </c>
    </row>
    <row r="21">
      <c r="A21" s="14" t="inlineStr">
        <is>
          <t>Terminal value</t>
        </is>
      </c>
      <c r="B21" s="58">
        <f>B20/(Assumptions!$E$10-Assumptions!$E$11)</f>
        <v>230993.72450992017</v>
      </c>
    </row>
    <row r="22">
      <c r="A22" s="14" t="inlineStr">
        <is>
          <t>PV of terminal value</t>
        </is>
      </c>
      <c r="B22" s="58">
        <f>B21/(1+Assumptions!$E$10)^(L14+0.5)</f>
        <v>102165.15531578832</v>
      </c>
    </row>
    <row r="23">
      <c r="A23" s="20" t="inlineStr">
        <is>
          <t>Enterprise value</t>
        </is>
      </c>
      <c r="B23" s="72">
        <f>B19+B22</f>
        <v>174380.82622147238</v>
      </c>
    </row>
    <row r="24">
      <c r="A24" s="14" t="inlineStr">
        <is>
          <t>Cash &amp; investments</t>
        </is>
      </c>
      <c r="B24" s="61">
        <f>Main!C7</f>
        <v>9508.805491475834</v>
      </c>
    </row>
    <row r="25">
      <c r="A25" s="14" t="inlineStr">
        <is>
          <t>Debt</t>
        </is>
      </c>
      <c r="B25" s="61">
        <f>Main!C8</f>
        <v>20919.372081246835</v>
      </c>
    </row>
    <row r="26">
      <c r="A26" s="20" t="inlineStr">
        <is>
          <t>Equity value</t>
        </is>
      </c>
      <c r="B26" s="72">
        <f>B23+B24-B25</f>
        <v>162970.25963170137</v>
      </c>
    </row>
    <row r="27">
      <c r="A27" s="14" t="inlineStr">
        <is>
          <t>Shares (mm)</t>
        </is>
      </c>
      <c r="B27" s="61">
        <f>Main!C4</f>
        <v>2438.854192</v>
      </c>
    </row>
    <row r="28">
      <c r="A28" s="20" t="inlineStr">
        <is>
          <t>NPV / share</t>
        </is>
      </c>
      <c r="B28" s="50">
        <f>B26/B27</f>
        <v>66.8224694064455</v>
      </c>
    </row>
    <row r="29">
      <c r="A29" s="14" t="inlineStr">
        <is>
          <t>Price</t>
        </is>
      </c>
      <c r="B29" s="51">
        <f>Main!C3</f>
        <v>41.4</v>
      </c>
    </row>
    <row r="30">
      <c r="A30" s="14" t="inlineStr">
        <is>
          <t>Upside</t>
        </is>
      </c>
      <c r="B30" s="69">
        <f>B28/B29-1</f>
        <v>0.6140693093344325</v>
      </c>
    </row>
    <row r="31">
      <c r="A31" s="14" t="inlineStr">
        <is>
          <t>Terminal value, % of EV</t>
        </is>
      </c>
      <c r="B31" s="69">
        <f>IFERROR(B22/B23,0)</f>
        <v>0.5858737885897699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SNY: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41.4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46773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1.2547945205479452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0.054</v>
      </c>
    </row>
    <row r="12">
      <c r="A12" s="14" t="inlineStr">
        <is>
          <t>ATM implied volatility, near</t>
        </is>
      </c>
      <c r="B12" s="59" t="n">
        <v>0.2641</v>
      </c>
    </row>
    <row r="13">
      <c r="A13" s="14" t="inlineStr">
        <is>
          <t>ATM implied volatility, long</t>
        </is>
      </c>
      <c r="B13" s="59" t="n">
        <v>0.2496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42.5</v>
      </c>
    </row>
    <row r="18">
      <c r="A18" s="14" t="inlineStr">
        <is>
          <t>ATM call (mid)</t>
        </is>
      </c>
      <c r="B18" s="52" t="n">
        <v>1.875</v>
      </c>
    </row>
    <row r="19">
      <c r="A19" s="14" t="inlineStr">
        <is>
          <t>ATM put (mid)</t>
        </is>
      </c>
      <c r="B19" s="52" t="n">
        <v>2.5</v>
      </c>
    </row>
    <row r="20">
      <c r="A20" s="14" t="inlineStr">
        <is>
          <t>Straddle, % of spot (expected move)</t>
        </is>
      </c>
      <c r="B20" s="69">
        <f>(B18+B19)/B4</f>
        <v>0.10567632850241546</v>
      </c>
    </row>
    <row r="21">
      <c r="A21" s="14" t="inlineStr">
        <is>
          <t>Expected range, low</t>
        </is>
      </c>
      <c r="B21" s="53">
        <f>B4*(1-B20)</f>
        <v>37.025</v>
      </c>
    </row>
    <row r="22">
      <c r="A22" s="14" t="inlineStr">
        <is>
          <t>Expected range, high</t>
        </is>
      </c>
      <c r="B22" s="53">
        <f>B4*(1+B20)</f>
        <v>45.77499999999999</v>
      </c>
    </row>
    <row r="23">
      <c r="A23" s="14" t="inlineStr">
        <is>
          <t>1-SD move by long expiry (ATM IV)</t>
        </is>
      </c>
      <c r="B23" s="69">
        <f>B13*SQRT(B9)</f>
        <v>0.2795959574050746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40.67907195184265</v>
      </c>
    </row>
    <row r="28">
      <c r="A28" s="14" t="inlineStr">
        <is>
          <t>Bear</t>
        </is>
      </c>
      <c r="B28" s="51">
        <f>Assumptions!D30</f>
        <v>36.456356106532304</v>
      </c>
      <c r="C28" s="69">
        <f>B28/$B$4-1</f>
        <v>-0.11941168824801196</v>
      </c>
      <c r="D28" s="69">
        <f>IF(B28&gt;0,(B28/$B$4)^(1/$B$9)-1,"")</f>
        <v>-0.09637726378003253</v>
      </c>
      <c r="E28" s="69">
        <f>IF(B28&gt;0,NORMSDIST((LN($B$27/B28)-$B$13^2*$B$9/2)/($B$13*SQRT($B$9))),1)</f>
        <v>0.5995524559271274</v>
      </c>
    </row>
    <row r="29">
      <c r="A29" s="14" t="inlineStr">
        <is>
          <t>Base (reviewed)</t>
        </is>
      </c>
      <c r="B29" s="51">
        <f>Assumptions!D31</f>
        <v>66.8224694064455</v>
      </c>
      <c r="C29" s="69">
        <f>B29/$B$4-1</f>
        <v>0.6140693093344325</v>
      </c>
      <c r="D29" s="69">
        <f>IF(B29&gt;0,(B29/$B$4)^(1/$B$9)-1,"")</f>
        <v>0.46454315646143796</v>
      </c>
      <c r="E29" s="69">
        <f>IF(B29&gt;0,NORMSDIST((LN($B$27/B29)-$B$13^2*$B$9/2)/($B$13*SQRT($B$9))),1)</f>
        <v>0.027749370444618424</v>
      </c>
    </row>
    <row r="30">
      <c r="A30" s="14" t="inlineStr">
        <is>
          <t>Bull</t>
        </is>
      </c>
      <c r="B30" s="51">
        <f>Assumptions!D32</f>
        <v>128.97288775058252</v>
      </c>
      <c r="C30" s="69">
        <f>B30/$B$4-1</f>
        <v>2.115287143733877</v>
      </c>
      <c r="D30" s="69">
        <f>IF(B30&gt;0,(B30/$B$4)^(1/$B$9)-1,"")</f>
        <v>1.4733749434345613</v>
      </c>
      <c r="E30" s="69">
        <f>IF(B30&gt;0,NORMSDIST((LN($B$27/B30)-$B$13^2*$B$9/2)/($B$13*SQRT($B$9))),1)</f>
        <v>9.915574522819114e-06</v>
      </c>
    </row>
    <row r="32">
      <c r="A32" s="27" t="inlineStr">
        <is>
          <t>Chain, 2028-01-21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32.5</v>
      </c>
      <c r="B34" s="52" t="n">
        <v>10.3</v>
      </c>
      <c r="C34" s="52" t="n">
        <v>11</v>
      </c>
      <c r="D34" s="59" t="n">
        <v>0.2804</v>
      </c>
      <c r="E34" s="52" t="n">
        <v>0.2</v>
      </c>
      <c r="F34" s="52" t="n">
        <v>1.5</v>
      </c>
      <c r="G34" s="59" t="n">
        <v>0.2361</v>
      </c>
      <c r="H34" s="55" t="n">
        <v>145</v>
      </c>
      <c r="I34" s="55" t="n">
        <v>158</v>
      </c>
    </row>
    <row r="35">
      <c r="A35" s="11" t="n">
        <v>35</v>
      </c>
      <c r="B35" s="52" t="n">
        <v>8.4</v>
      </c>
      <c r="C35" s="52" t="n">
        <v>9</v>
      </c>
      <c r="D35" s="59" t="n">
        <v>0.2701</v>
      </c>
      <c r="E35" s="52" t="n">
        <v>0.8</v>
      </c>
      <c r="F35" s="52" t="n">
        <v>2.1</v>
      </c>
      <c r="G35" s="59" t="n">
        <v>0.2343</v>
      </c>
      <c r="H35" s="55" t="n">
        <v>66</v>
      </c>
      <c r="I35" s="55" t="n">
        <v>222</v>
      </c>
    </row>
    <row r="36">
      <c r="A36" s="11" t="n">
        <v>37.5</v>
      </c>
      <c r="B36" s="52" t="n">
        <v>6.7</v>
      </c>
      <c r="C36" s="52" t="n">
        <v>7.3</v>
      </c>
      <c r="D36" s="59" t="n">
        <v>0.2635</v>
      </c>
      <c r="E36" s="52" t="n">
        <v>2.35</v>
      </c>
      <c r="F36" s="52" t="n">
        <v>2.9</v>
      </c>
      <c r="G36" s="59" t="n">
        <v>0.2544</v>
      </c>
      <c r="H36" s="55" t="n">
        <v>147</v>
      </c>
      <c r="I36" s="55" t="n">
        <v>690</v>
      </c>
    </row>
    <row r="37">
      <c r="A37" s="11" t="n">
        <v>40</v>
      </c>
      <c r="B37" s="52" t="n">
        <v>5.3</v>
      </c>
      <c r="C37" s="52" t="n">
        <v>5.7</v>
      </c>
      <c r="D37" s="59" t="n">
        <v>0.2553</v>
      </c>
      <c r="E37" s="52" t="n">
        <v>2.4</v>
      </c>
      <c r="F37" s="52" t="n">
        <v>4</v>
      </c>
      <c r="G37" s="59" t="n">
        <v>0.2198</v>
      </c>
      <c r="H37" s="55" t="n">
        <v>102</v>
      </c>
      <c r="I37" s="55" t="n">
        <v>508</v>
      </c>
    </row>
    <row r="38">
      <c r="A38" s="11" t="n">
        <v>42.5</v>
      </c>
      <c r="B38" s="52" t="n">
        <v>4.1</v>
      </c>
      <c r="C38" s="52" t="n">
        <v>4.5</v>
      </c>
      <c r="D38" s="59" t="n">
        <v>0.2517</v>
      </c>
      <c r="E38" s="52" t="n">
        <v>4.8</v>
      </c>
      <c r="F38" s="52" t="n">
        <v>5.3</v>
      </c>
      <c r="G38" s="59" t="n">
        <v>0.2475</v>
      </c>
      <c r="H38" s="55" t="n">
        <v>120</v>
      </c>
      <c r="I38" s="55" t="n">
        <v>487</v>
      </c>
    </row>
    <row r="39">
      <c r="A39" s="11" t="n">
        <v>45</v>
      </c>
      <c r="B39" s="52" t="n">
        <v>3.2</v>
      </c>
      <c r="C39" s="52" t="n">
        <v>3.5</v>
      </c>
      <c r="D39" s="59" t="n">
        <v>0.2507</v>
      </c>
      <c r="E39" s="52" t="n">
        <v>5.3</v>
      </c>
      <c r="F39" s="52" t="n">
        <v>6.9</v>
      </c>
      <c r="G39" s="59" t="n">
        <v>0.2116</v>
      </c>
      <c r="H39" s="55" t="n">
        <v>534</v>
      </c>
      <c r="I39" s="55" t="n">
        <v>784</v>
      </c>
    </row>
    <row r="40">
      <c r="A40" s="11" t="n">
        <v>47.5</v>
      </c>
      <c r="B40" s="52" t="n">
        <v>2.45</v>
      </c>
      <c r="C40" s="52" t="n">
        <v>2.7</v>
      </c>
      <c r="D40" s="59" t="n">
        <v>0.2493</v>
      </c>
      <c r="E40" s="52" t="n">
        <v>6.7</v>
      </c>
      <c r="F40" s="52" t="n">
        <v>8.699999999999999</v>
      </c>
      <c r="G40" s="59" t="n">
        <v>0.1892</v>
      </c>
      <c r="H40" s="55" t="n">
        <v>164</v>
      </c>
      <c r="I40" s="55" t="n">
        <v>2847</v>
      </c>
    </row>
    <row r="41">
      <c r="A41" s="11" t="n">
        <v>50</v>
      </c>
      <c r="B41" s="52" t="n">
        <v>1.85</v>
      </c>
      <c r="C41" s="52" t="n">
        <v>2.1</v>
      </c>
      <c r="D41" s="59" t="n">
        <v>0.2491</v>
      </c>
      <c r="E41" s="52" t="n">
        <v>10.1</v>
      </c>
      <c r="F41" s="52" t="n">
        <v>10.7</v>
      </c>
      <c r="G41" s="59" t="n">
        <v>0.2441</v>
      </c>
      <c r="H41" s="55" t="n">
        <v>660</v>
      </c>
      <c r="I41" s="55" t="n">
        <v>2099</v>
      </c>
    </row>
    <row r="42">
      <c r="A42" s="11" t="n">
        <v>65</v>
      </c>
      <c r="B42" s="52" t="n">
        <v>0.1</v>
      </c>
      <c r="C42" s="52" t="n">
        <v>1.55</v>
      </c>
      <c r="D42" s="59" t="n">
        <v>0.307</v>
      </c>
      <c r="E42" s="52" t="n">
        <v>23.5</v>
      </c>
      <c r="F42" s="52" t="n">
        <v>24.4</v>
      </c>
      <c r="G42" s="59" t="n">
        <v>0</v>
      </c>
      <c r="H42" s="55" t="n">
        <v>188</v>
      </c>
      <c r="I42" s="55" t="n">
        <v>53</v>
      </c>
    </row>
    <row r="43">
      <c r="A43" s="11" t="n">
        <v>75</v>
      </c>
      <c r="B43" s="52" t="n">
        <v>0.1</v>
      </c>
      <c r="C43" s="52" t="n">
        <v>1.35</v>
      </c>
      <c r="D43" s="59" t="n">
        <v>0.361</v>
      </c>
      <c r="E43" s="52" t="n">
        <v>31</v>
      </c>
      <c r="F43" s="52" t="n">
        <v>36</v>
      </c>
      <c r="G43" s="59" t="n">
        <v>0</v>
      </c>
      <c r="H43" s="55" t="n">
        <v>105</v>
      </c>
      <c r="I43" s="55" t="n">
        <v>0</v>
      </c>
    </row>
    <row r="45">
      <c r="A45" s="27" t="inlineStr">
        <is>
          <t>Strategies, 2028-01-21 expiry (premium: + = credit; P/L at expiry per contract)</t>
        </is>
      </c>
    </row>
    <row r="46">
      <c r="A46" s="20" t="inlineStr">
        <is>
          <t>Leg prices</t>
        </is>
      </c>
    </row>
    <row r="47">
      <c r="A47" s="14" t="inlineStr">
        <is>
          <t>ATM call (mid)</t>
        </is>
      </c>
      <c r="B47" s="30" t="n">
        <v>42.5</v>
      </c>
      <c r="C47" s="52" t="n">
        <v>4.3</v>
      </c>
    </row>
    <row r="48">
      <c r="A48" s="14" t="inlineStr">
        <is>
          <t>Upper call (theo)</t>
        </is>
      </c>
      <c r="B48" s="30" t="n">
        <v>65</v>
      </c>
      <c r="C48" s="52" t="n">
        <v>0.263</v>
      </c>
    </row>
    <row r="49">
      <c r="A49" s="14" t="inlineStr">
        <is>
          <t>ATM put (mid)</t>
        </is>
      </c>
      <c r="B49" s="30" t="n">
        <v>42.5</v>
      </c>
      <c r="C49" s="52" t="n">
        <v>5.05</v>
      </c>
    </row>
    <row r="50">
      <c r="A50" s="14" t="inlineStr">
        <is>
          <t>Lower put (mid)</t>
        </is>
      </c>
      <c r="B50" s="30" t="n">
        <v>37.5</v>
      </c>
      <c r="C50" s="52" t="n">
        <v>2.625</v>
      </c>
    </row>
    <row r="51">
      <c r="A51" s="14" t="inlineStr">
        <is>
          <t>Short-put strike (mid)</t>
        </is>
      </c>
      <c r="B51" s="30" t="n">
        <v>37.5</v>
      </c>
      <c r="C51" s="52" t="n">
        <v>2.625</v>
      </c>
    </row>
    <row r="53">
      <c r="A53" s="24" t="inlineStr">
        <is>
          <t>Strategy</t>
        </is>
      </c>
      <c r="B53" s="25" t="inlineStr">
        <is>
          <t>Premium</t>
        </is>
      </c>
      <c r="C53" s="25" t="inlineStr">
        <is>
          <t>Max profit</t>
        </is>
      </c>
      <c r="D53" s="25" t="inlineStr">
        <is>
          <t>Max loss</t>
        </is>
      </c>
      <c r="E53" s="25" t="inlineStr">
        <is>
          <t>Breakeven</t>
        </is>
      </c>
      <c r="F53" s="25" t="inlineStr">
        <is>
          <t>P/L at bear</t>
        </is>
      </c>
      <c r="G53" s="25" t="inlineStr">
        <is>
          <t>P/L at spot</t>
        </is>
      </c>
      <c r="H53" s="25" t="inlineStr">
        <is>
          <t>P/L at base</t>
        </is>
      </c>
      <c r="I53" s="25" t="inlineStr">
        <is>
          <t>P/L at bull</t>
        </is>
      </c>
      <c r="J53" s="25" t="inlineStr">
        <is>
          <t>Market P(profit)</t>
        </is>
      </c>
    </row>
    <row r="54">
      <c r="A54" s="14" t="inlineStr">
        <is>
          <t>Long ATM call</t>
        </is>
      </c>
      <c r="B54" s="73">
        <f>-$C$47*$B$14</f>
        <v>-430.0</v>
      </c>
      <c r="C54" s="73" t="str">
        <f>"Unlimited"</f>
        <v>Unlimited</v>
      </c>
      <c r="D54" s="73">
        <f>B54</f>
        <v>-430.0</v>
      </c>
      <c r="E54" s="53">
        <f>$B$47+$C$47</f>
        <v>46.8</v>
      </c>
      <c r="F54" s="73">
        <f>(MAX($B$28-$B$47,0)-$C$47)*$B$14</f>
        <v>-430.0</v>
      </c>
      <c r="G54" s="73">
        <f>(MAX($B$4-$B$47,0)-$C$47)*$B$14</f>
        <v>-430.0</v>
      </c>
      <c r="H54" s="73">
        <f>(MAX($B$29-$B$47,0)-$C$47)*$B$14</f>
        <v>2002.2469406445505</v>
      </c>
      <c r="I54" s="73">
        <f>(MAX($B$30-$B$47,0)-$C$47)*$B$14</f>
        <v>8217.288775058252</v>
      </c>
      <c r="J54" s="69">
        <f>NORMSDIST((LN($B$27/(E54))-$B$13^2*$B$9/2)/($B$13*SQRT($B$9)))</f>
        <v>0.26072022877620765</v>
      </c>
    </row>
    <row r="55">
      <c r="A55" s="14" t="inlineStr">
        <is>
          <t>Bull call spread (ATM / upper)</t>
        </is>
      </c>
      <c r="B55" s="73">
        <f>-($C$47-$C$48)*$B$14</f>
        <v>-403.7</v>
      </c>
      <c r="C55" s="73">
        <f>($B$48-$B$47)*$B$14+B55</f>
        <v>1846.3</v>
      </c>
      <c r="D55" s="73">
        <f>B55</f>
        <v>-403.7</v>
      </c>
      <c r="E55" s="53">
        <f>$B$47+$C$47-$C$48</f>
        <v>46.537</v>
      </c>
      <c r="F55" s="73">
        <f>(MAX($B$28-$B$47,0)-MAX($B$28-$B$48,0)-$C$47+$C$48)*$B$14</f>
        <v>-403.7</v>
      </c>
      <c r="G55" s="73">
        <f>(MAX($B$4-$B$47,0)-MAX($B$4-$B$48,0)-$C$47+$C$48)*$B$14</f>
        <v>-403.7</v>
      </c>
      <c r="H55" s="73">
        <f>(MAX($B$29-$B$47,0)-MAX($B$29-$B$48,0)-$C$47+$C$48)*$B$14</f>
        <v>1846.3000000000002</v>
      </c>
      <c r="I55" s="73">
        <f>(MAX($B$30-$B$47,0)-MAX($B$30-$B$48,0)-$C$47+$C$48)*$B$14</f>
        <v>1846.3000000000002</v>
      </c>
      <c r="J55" s="69">
        <f>NORMSDIST((LN($B$27/(E55))-$B$13^2*$B$9/2)/($B$13*SQRT($B$9)))</f>
        <v>0.2673094626849928</v>
      </c>
    </row>
    <row r="56">
      <c r="A56" s="14" t="inlineStr">
        <is>
          <t>Cash-secured put (~10% below spot)</t>
        </is>
      </c>
      <c r="B56" s="73">
        <f>$C$51*$B$14</f>
        <v>262.5</v>
      </c>
      <c r="C56" s="73">
        <f>B56</f>
        <v>262.5</v>
      </c>
      <c r="D56" s="73">
        <f>-($B$51*$B$14-B56)</f>
        <v>-3487.5</v>
      </c>
      <c r="E56" s="53">
        <f>$B$51-$C$51</f>
        <v>34.875</v>
      </c>
      <c r="F56" s="73">
        <f>($C$51-MAX($B$51-$B$28,0))*$B$14</f>
        <v>158.13561065323043</v>
      </c>
      <c r="G56" s="73">
        <f>($C$51-MAX($B$51-$B$4,0))*$B$14</f>
        <v>262.5</v>
      </c>
      <c r="H56" s="73">
        <f>($C$51-MAX($B$51-$B$29,0))*$B$14</f>
        <v>262.5</v>
      </c>
      <c r="I56" s="73">
        <f>($C$51-MAX($B$51-$B$30,0))*$B$14</f>
        <v>262.5</v>
      </c>
      <c r="J56" s="69">
        <f>NORMSDIST((LN($B$27/(E56))-$B$13^2*$B$9/2)/($B$13*SQRT($B$9)))</f>
        <v>0.6593884997860111</v>
      </c>
    </row>
    <row r="57">
      <c r="A57" s="14" t="inlineStr">
        <is>
          <t>Covered call (100 shares + upper call, incl. dividends)</t>
        </is>
      </c>
      <c r="B57" s="73">
        <f>$C$48*$B$14</f>
        <v>26.3</v>
      </c>
      <c r="C57" s="73">
        <f>($B$48-$B$4)*$B$14+B57+$B$4*$B$11*$B$9*$B$14</f>
        <v>2666.821863013699</v>
      </c>
      <c r="D57" s="73">
        <f>-($B$4*$B$14-B57-$B$4*$B$11*$B$9*$B$14)</f>
        <v>-3833.178136986301</v>
      </c>
      <c r="E57" s="53">
        <f>$B$4-$C$48-$B$4*$B$11*$B$9</f>
        <v>38.331781369863016</v>
      </c>
      <c r="F57" s="73">
        <f>($B$28-$B$4+$C$48-MAX($B$28-$B$48,0)+$B$4*$B$11*$B$9)*$B$14</f>
        <v>-187.54252633307084</v>
      </c>
      <c r="G57" s="73">
        <f>($B$4-$B$4+$C$48-MAX($B$4-$B$48,0)+$B$4*$B$11*$B$9)*$B$14</f>
        <v>306.8218630136986</v>
      </c>
      <c r="H57" s="73">
        <f>($B$29-$B$4+$C$48-MAX($B$29-$B$48,0)+$B$4*$B$11*$B$9)*$B$14</f>
        <v>2666.821863013699</v>
      </c>
      <c r="I57" s="73">
        <f>($B$30-$B$4+$C$48-MAX($B$30-$B$48,0)+$B$4*$B$11*$B$9)*$B$14</f>
        <v>2666.8218630136985</v>
      </c>
      <c r="J57" s="69">
        <f>NORMSDIST((LN($B$27/(E57))-$B$13^2*$B$9/2)/($B$13*SQRT($B$9)))</f>
        <v>0.5290072169406441</v>
      </c>
    </row>
    <row r="58">
      <c r="A58" s="14" t="inlineStr">
        <is>
          <t>Bear put spread (ATM / lower)</t>
        </is>
      </c>
      <c r="B58" s="73">
        <f>-($C$49-$C$50)*$B$14</f>
        <v>-242.49999999999997</v>
      </c>
      <c r="C58" s="73">
        <f>($B$49-$B$50)*$B$14+B58</f>
        <v>257.5</v>
      </c>
      <c r="D58" s="73">
        <f>B58</f>
        <v>-242.49999999999997</v>
      </c>
      <c r="E58" s="53">
        <f>$B$49-$C$49+$C$50</f>
        <v>40.075</v>
      </c>
      <c r="F58" s="73">
        <f>(MAX($B$49-$B$28,0)-MAX($B$50-$B$28,0)-$C$49+$C$50)*$B$14</f>
        <v>257.5</v>
      </c>
      <c r="G58" s="73">
        <f>(MAX($B$49-$B$4,0)-MAX($B$50-$B$4,0)-$C$49+$C$50)*$B$14</f>
        <v>-132.49999999999983</v>
      </c>
      <c r="H58" s="73">
        <f>(MAX($B$49-$B$29,0)-MAX($B$50-$B$29,0)-$C$49+$C$50)*$B$14</f>
        <v>-242.49999999999997</v>
      </c>
      <c r="I58" s="73">
        <f>(MAX($B$49-$B$30,0)-MAX($B$50-$B$30,0)-$C$49+$C$50)*$B$14</f>
        <v>-242.49999999999997</v>
      </c>
      <c r="J58" s="69">
        <f>1-NORMSDIST((LN($B$27/(E58))-$B$13^2*$B$9/2)/($B$13*SQRT($B$9)))</f>
        <v>0.5343814242661893</v>
      </c>
    </row>
    <row r="60">
      <c r="A60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2026-10-21T06:21:05Z</dcterms:modified>
  <cp:lastModifiedBy>Wang, Eric</cp:lastModifiedBy>
</cp:coreProperties>
</file>