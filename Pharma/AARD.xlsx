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Aardvark Therapeutics, Inc.</t>
        </is>
      </c>
      <c r="C2" s="10" t="n"/>
    </row>
    <row r="3">
      <c r="B3" t="inlineStr">
        <is>
          <t>Price</t>
        </is>
      </c>
      <c r="C3" s="11">
        <f>INDEX([1]Pharma!$F$1:$F$1000,MATCH("AARD",[1]Pharma!$B$1:$B$1000,0))</f>
        <v>3.9</v>
      </c>
      <c r="F3" s="1" t="n"/>
    </row>
    <row r="4">
      <c r="B4" t="inlineStr">
        <is>
          <t>Shares</t>
        </is>
      </c>
      <c r="C4" s="21" t="n">
        <v>21.884846</v>
      </c>
      <c r="F4" s="1" t="n"/>
    </row>
    <row r="5">
      <c r="B5" t="inlineStr">
        <is>
          <t>Market Cap.</t>
        </is>
      </c>
      <c r="C5" s="13">
        <f>C3*C4</f>
        <v>85.3508994</v>
      </c>
      <c r="F5" s="1" t="n"/>
    </row>
    <row r="6"/>
    <row r="7">
      <c r="B7" t="inlineStr">
        <is>
          <t>Cash</t>
        </is>
      </c>
      <c r="C7" s="21">
        <f>73.849+0.021</f>
        <v>73.87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11.480899399999998</v>
      </c>
    </row>
    <row r="10"/>
    <row r="11">
      <c r="B11" s="14" t="inlineStr">
        <is>
          <t>Net Cash / Share</t>
        </is>
      </c>
      <c r="C11" s="11">
        <f>(C7-C8)/C4</f>
        <v>3.37539501077595</v>
      </c>
    </row>
    <row r="12">
      <c r="B12" s="14" t="inlineStr">
        <is>
          <t>Upside</t>
        </is>
      </c>
      <c r="C12" s="15">
        <f>IFERROR(C11/C3-1,"")</f>
        <v>-0.13451409980103846</v>
      </c>
    </row>
    <row r="13">
      <c r="B13" s="14" t="inlineStr">
        <is>
          <t>Cash / Share</t>
        </is>
      </c>
      <c r="C13" s="11">
        <f>IFERROR((C7-C8)/C4,"")</f>
        <v>3.37539501077595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-69.408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1.0642865375749193</v>
      </c>
    </row>
    <row r="19">
      <c r="B19" s="14" t="inlineStr">
        <is>
          <t>Implied Pipeline Value</t>
        </is>
      </c>
      <c r="C19" s="13">
        <f>C9</f>
        <v>11.480899399999998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17.363</v>
      </c>
      <c r="C5" s="23" t="n">
        <v>48.936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5.422</v>
      </c>
      <c r="C6" s="23" t="n">
        <v>13.789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22.785</v>
      </c>
      <c r="C7" s="23">
        <f>SUM(C5:C6)</f>
        <v>62.725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-22.785</v>
      </c>
      <c r="C8" s="23">
        <f>C4-C7</f>
        <v>-62.725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2.197</v>
      </c>
      <c r="C9" s="23" t="n">
        <v>5.134</v>
      </c>
    </row>
    <row r="10">
      <c r="A10" s="2" t="inlineStr">
        <is>
          <t>Pretax</t>
        </is>
      </c>
      <c r="B10" s="23">
        <f>B8+B9</f>
        <v>-20.588</v>
      </c>
      <c r="C10" s="23">
        <f>C8+C9</f>
        <v>-57.591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-20.588</v>
      </c>
      <c r="C12" s="23" t="n">
        <v>-57.591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-1.0303272945651087</v>
      </c>
      <c r="C13" s="11">
        <f>IFERROR(C12/C14,0)</f>
        <v>-2.934573248407643</v>
      </c>
    </row>
    <row r="14">
      <c r="A14" s="2" t="inlineStr">
        <is>
          <t>Shares</t>
        </is>
      </c>
      <c r="B14" s="23" t="n">
        <v>19.982</v>
      </c>
      <c r="C14" s="23" t="n">
        <v>19.625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2026-10-21T01:06:01Z</dcterms:modified>
  <cp:lastModifiedBy>Wang, Eric</cp:lastModifiedBy>
</cp:coreProperties>
</file>