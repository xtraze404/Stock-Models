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Zhengye Biotechnology Holding Ltd</t>
        </is>
      </c>
      <c r="C2" s="10" t="n"/>
    </row>
    <row r="3">
      <c r="B3" t="inlineStr">
        <is>
          <t>Price</t>
        </is>
      </c>
      <c r="C3" s="11">
        <f>INDEX([1]Pharma!$F$1:$F$1000,MATCH("ZYBT",[1]Pharma!$B$1:$B$1000,0))</f>
        <v>1.49</v>
      </c>
      <c r="F3" s="1" t="n"/>
    </row>
    <row r="4">
      <c r="B4" t="inlineStr">
        <is>
          <t>Shares</t>
        </is>
      </c>
      <c r="C4" s="21" t="n">
        <v>47.391376</v>
      </c>
      <c r="F4" s="1" t="n"/>
    </row>
    <row r="5">
      <c r="B5" t="inlineStr">
        <is>
          <t>Market Cap.</t>
        </is>
      </c>
      <c r="C5" s="13">
        <f>C3*C4</f>
        <v>70.61315024</v>
      </c>
      <c r="F5" s="1" t="n"/>
    </row>
    <row r="6"/>
    <row r="7">
      <c r="B7" t="inlineStr">
        <is>
          <t>Cash</t>
        </is>
      </c>
      <c r="C7" s="21">
        <f>(50.332+1.56)/6.6862</f>
        <v>7.7610600939248</v>
      </c>
    </row>
    <row r="8">
      <c r="B8" t="inlineStr">
        <is>
          <t>Debt</t>
        </is>
      </c>
      <c r="C8" s="21">
        <f>(9.55+65.1)/6.6862</f>
        <v>11.164787173581404</v>
      </c>
    </row>
    <row r="9">
      <c r="B9" t="inlineStr">
        <is>
          <t>Enterprise V.</t>
        </is>
      </c>
      <c r="C9" s="13">
        <f>C5-C7+C8</f>
        <v>74.0168773196566</v>
      </c>
    </row>
    <row r="10"/>
    <row r="11">
      <c r="B11" s="14" t="inlineStr">
        <is>
          <t>Net Cash / Share</t>
        </is>
      </c>
      <c r="C11" s="11">
        <f>(C7-C8)/C4</f>
        <v>-0.07182165547707675</v>
      </c>
    </row>
    <row r="12">
      <c r="B12" s="14" t="inlineStr">
        <is>
          <t>Upside</t>
        </is>
      </c>
      <c r="C12" s="15">
        <f>IFERROR(C11/C3-1,"")</f>
        <v>-1.04820245334032</v>
      </c>
    </row>
    <row r="13">
      <c r="B13" s="14" t="inlineStr">
        <is>
          <t>Cash / Share</t>
        </is>
      </c>
      <c r="C13" s="11">
        <f>IFERROR((C7-C8)/C4,"")</f>
        <v>-0.07182165547707675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1.994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74.0168773196566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38.926</v>
      </c>
      <c r="C2" s="23" t="n">
        <v>31.655</v>
      </c>
      <c r="D2" s="23" t="n">
        <v>27.872</v>
      </c>
      <c r="E2" s="23" t="n">
        <v>17.403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16.809</v>
      </c>
      <c r="C3" s="23" t="n">
        <v>14.08</v>
      </c>
      <c r="D3" s="23" t="n">
        <v>14.217</v>
      </c>
      <c r="E3" s="23" t="n">
        <v>13.833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22.117</v>
      </c>
      <c r="C4" s="23">
        <f>C2-C3</f>
        <v>17.575000000000003</v>
      </c>
      <c r="D4" s="23">
        <f>D2-D3</f>
        <v>13.655</v>
      </c>
      <c r="E4" s="23">
        <f>E2-E3</f>
        <v>3.5699999999999985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2.008</v>
      </c>
      <c r="C5" s="23" t="n">
        <v>1.78</v>
      </c>
      <c r="D5" s="23" t="n">
        <v>1.913</v>
      </c>
      <c r="E5" s="23" t="n">
        <v>2.694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10.263</v>
      </c>
      <c r="C6" s="23" t="n">
        <v>9.067</v>
      </c>
      <c r="D6" s="23" t="n">
        <v>9.282</v>
      </c>
      <c r="E6" s="23" t="n">
        <v>11.421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12.271</v>
      </c>
      <c r="C7" s="23">
        <f>SUM(C5:C6)</f>
        <v>10.847</v>
      </c>
      <c r="D7" s="23">
        <f>SUM(D5:D6)</f>
        <v>11.195</v>
      </c>
      <c r="E7" s="23">
        <f>SUM(E5:E6)</f>
        <v>14.114999999999998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9.846</v>
      </c>
      <c r="C8" s="23">
        <f>C4-C7</f>
        <v>6.728000000000003</v>
      </c>
      <c r="D8" s="23">
        <f>D4-D7</f>
        <v>2.459999999999999</v>
      </c>
      <c r="E8" s="23">
        <f>E4-E7</f>
        <v>-10.545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-1.634</v>
      </c>
      <c r="C9" s="23" t="n">
        <v>-1.088</v>
      </c>
      <c r="D9" s="23" t="n">
        <v>-0.629</v>
      </c>
      <c r="E9" s="23" t="n">
        <v>1.767</v>
      </c>
    </row>
    <row r="10">
      <c r="A10" s="2" t="inlineStr">
        <is>
          <t>Pretax</t>
        </is>
      </c>
      <c r="B10" s="23">
        <f>B8+B9</f>
        <v>8.212</v>
      </c>
      <c r="C10" s="23">
        <f>C8+C9</f>
        <v>5.640000000000003</v>
      </c>
      <c r="D10" s="23">
        <f>D8+D9</f>
        <v>1.830999999999999</v>
      </c>
      <c r="E10" s="23">
        <f>E8+E9</f>
        <v>-8.778</v>
      </c>
      <c r="I10" s="1" t="n"/>
      <c r="J10" s="1" t="n"/>
      <c r="K10" s="1" t="n"/>
    </row>
    <row r="11">
      <c r="A11" s="2" t="inlineStr">
        <is>
          <t>Taxes</t>
        </is>
      </c>
      <c r="B11" s="23" t="n">
        <v>1.222</v>
      </c>
      <c r="C11" s="23" t="n">
        <v>0.9350000000000001</v>
      </c>
      <c r="D11" s="23" t="n">
        <v>0.138</v>
      </c>
      <c r="E11" s="23" t="n">
        <v>1.659</v>
      </c>
    </row>
    <row r="12">
      <c r="A12" s="2" t="inlineStr">
        <is>
          <t>Net Income</t>
        </is>
      </c>
      <c r="B12" s="23" t="n">
        <v>6.99</v>
      </c>
      <c r="C12" s="23" t="n">
        <v>4.705</v>
      </c>
      <c r="D12" s="23" t="n">
        <v>1.692</v>
      </c>
      <c r="E12" s="23" t="n">
        <v>-10.437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0.15306792799894892</v>
      </c>
      <c r="C13" s="11">
        <f>IFERROR(C12/C14,0)</f>
        <v>0.1030307011781194</v>
      </c>
      <c r="D13" s="11">
        <f>IFERROR(D12/D14,0)</f>
        <v>0.03705163579030351</v>
      </c>
      <c r="E13" s="11">
        <f>IFERROR(E12/E14,0)</f>
        <v>-0.2204223864836325</v>
      </c>
    </row>
    <row r="14">
      <c r="A14" s="2" t="inlineStr">
        <is>
          <t>Shares</t>
        </is>
      </c>
      <c r="B14" s="23" t="n">
        <v>45.666</v>
      </c>
      <c r="C14" s="23" t="n">
        <v>45.666</v>
      </c>
      <c r="D14" s="23" t="n">
        <v>45.666</v>
      </c>
      <c r="E14" s="23" t="n">
        <v>47.35</v>
      </c>
    </row>
    <row r="15"/>
    <row r="16" customFormat="1" s="4">
      <c r="A16" s="3" t="inlineStr">
        <is>
          <t>Revenue Change</t>
        </is>
      </c>
      <c r="C16" s="15">
        <f>IFERROR(C2/B2-1,"")</f>
        <v>-0.18679032009453833</v>
      </c>
      <c r="D16" s="15">
        <f>IFERROR(D2/C2-1,"")</f>
        <v>-0.1195071868583163</v>
      </c>
      <c r="E16" s="15">
        <f>IFERROR(E2/D2-1,"")</f>
        <v>-0.3756099311136625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0.5681806504649848</v>
      </c>
      <c r="C17" s="15">
        <f>IFERROR(C4/C2,"")</f>
        <v>0.5552045490443849</v>
      </c>
      <c r="D17" s="15">
        <f>IFERROR(D4/D2,"")</f>
        <v>0.4899181974741676</v>
      </c>
      <c r="E17" s="15">
        <f>IFERROR(E4/E2,"")</f>
        <v>0.2051370453370108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0.2529414787031804</v>
      </c>
      <c r="C18" s="15">
        <f>IFERROR(C8/C2,"")</f>
        <v>0.21254146264413215</v>
      </c>
      <c r="D18" s="15">
        <f>IFERROR(D8/D2,"")</f>
        <v>0.08826061997703785</v>
      </c>
      <c r="E18" s="15">
        <f>IFERROR(E8/E2,"")</f>
        <v>-0.605930012066885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2026-10-21T01:06:05Z</dcterms:modified>
  <cp:lastModifiedBy>Wang, Eric</cp:lastModifiedBy>
</cp:coreProperties>
</file>