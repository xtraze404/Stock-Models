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AVITA Medical Inc</t>
        </is>
      </c>
      <c r="C2" s="10" t="n"/>
    </row>
    <row r="3">
      <c r="B3" t="inlineStr">
        <is>
          <t>Price</t>
        </is>
      </c>
      <c r="C3" s="11">
        <f>INDEX([1]Pharma!$F$1:$F$1000,MATCH("RCEL",[1]Pharma!$B$1:$B$1000,0))</f>
        <v>13.8</v>
      </c>
      <c r="F3" s="1" t="n"/>
    </row>
    <row r="4">
      <c r="B4" t="inlineStr">
        <is>
          <t>Shares</t>
        </is>
      </c>
      <c r="C4" s="51" t="n">
        <v>30.926847</v>
      </c>
      <c r="F4" s="1" t="n"/>
    </row>
    <row r="5">
      <c r="B5" t="inlineStr">
        <is>
          <t>Market Cap.</t>
        </is>
      </c>
      <c r="C5" s="13">
        <f>C3*C4</f>
        <v>426.7904886</v>
      </c>
      <c r="F5" s="1" t="n"/>
    </row>
    <row r="6"/>
    <row r="7">
      <c r="B7" t="inlineStr">
        <is>
          <t>Cash</t>
        </is>
      </c>
      <c r="C7" s="51">
        <f>9.139+1.996</f>
        <v>11.135</v>
      </c>
    </row>
    <row r="8">
      <c r="B8" t="inlineStr">
        <is>
          <t>Debt</t>
        </is>
      </c>
      <c r="C8" s="51" t="n">
        <v>46.659</v>
      </c>
    </row>
    <row r="9">
      <c r="B9" t="inlineStr">
        <is>
          <t>Enterprise V.</t>
        </is>
      </c>
      <c r="C9" s="13">
        <f>C5-C7+C8</f>
        <v>462.3144886</v>
      </c>
    </row>
    <row r="10"/>
    <row r="11">
      <c r="B11" s="14" t="inlineStr">
        <is>
          <t>NPV / Share</t>
        </is>
      </c>
      <c r="C11" s="11">
        <f>NPV!B28</f>
        <v>-1.4450079582378448</v>
      </c>
    </row>
    <row r="12">
      <c r="B12" s="14" t="inlineStr">
        <is>
          <t>Upside</t>
        </is>
      </c>
      <c r="C12" s="15">
        <f>IFERROR(C11/C3-1,"")</f>
        <v>-1.104710721611438</v>
      </c>
    </row>
    <row r="13">
      <c r="B13" s="14" t="inlineStr">
        <is>
          <t>Cash / Share</t>
        </is>
      </c>
      <c r="C13" s="11">
        <f>IFERROR((C7-C8)/C4,"")</f>
        <v>-1.148646029128026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0.627</v>
      </c>
      <c r="C2" s="52" t="n">
        <v>0.929</v>
      </c>
      <c r="D2" s="52" t="n">
        <v>5.474</v>
      </c>
      <c r="E2" s="52" t="n">
        <v>14.263</v>
      </c>
      <c r="F2" s="52" t="n">
        <v>29.232</v>
      </c>
      <c r="G2" s="52" t="n">
        <v>34.421</v>
      </c>
      <c r="H2" s="52" t="n">
        <v>50.143</v>
      </c>
      <c r="I2" s="52" t="n">
        <v>64.251</v>
      </c>
      <c r="J2" s="52" t="n">
        <v>71.61</v>
      </c>
      <c r="K2" s="52">
        <f>J2*(1+NPV!C5)</f>
        <v>79.408329</v>
      </c>
      <c r="L2" s="52">
        <f>K2*(1+NPV!D5)</f>
        <v>87.31563393886665</v>
      </c>
      <c r="M2" s="52">
        <f>L2*(1+NPV!E5)</f>
        <v>95.19635498870458</v>
      </c>
      <c r="N2" s="52">
        <f>M2*(1+NPV!F5)</f>
        <v>102.90091331912375</v>
      </c>
      <c r="O2" s="52">
        <f>N2*(1+NPV!G5)</f>
        <v>110.26976205625432</v>
      </c>
      <c r="P2" s="52">
        <f>O2*(1+NPV!H5)</f>
        <v>117.13834301278055</v>
      </c>
      <c r="Q2" s="52">
        <f>P2*(1+NPV!I5)</f>
        <v>123.34277058102415</v>
      </c>
      <c r="R2" s="52">
        <f>Q2*(1+NPV!J5)</f>
        <v>128.72599727927152</v>
      </c>
      <c r="S2" s="52">
        <f>R2*(1+NPV!K5)</f>
        <v>133.14415956366784</v>
      </c>
      <c r="T2" s="52">
        <f>S2*(1+NPV!L5)</f>
        <v>136.47276355275952</v>
      </c>
    </row>
    <row r="3" customFormat="1" s="1">
      <c r="A3" s="5" t="inlineStr">
        <is>
          <t>Cost of Sales</t>
        </is>
      </c>
      <c r="B3" s="52" t="n">
        <v>0.322</v>
      </c>
      <c r="C3" s="52" t="n">
        <v>0.546</v>
      </c>
      <c r="D3" s="52" t="n">
        <v>1.271</v>
      </c>
      <c r="E3" s="52" t="n">
        <v>2.973</v>
      </c>
      <c r="F3" s="52" t="n">
        <v>5.949</v>
      </c>
      <c r="G3" s="52" t="n">
        <v>6.041</v>
      </c>
      <c r="H3" s="52" t="n">
        <v>7.78</v>
      </c>
      <c r="I3" s="52" t="n">
        <v>9.093999999999999</v>
      </c>
      <c r="J3" s="52" t="n">
        <v>12.794</v>
      </c>
      <c r="K3" s="52">
        <f>K2*(1-Assumptions!$B$19)</f>
        <v>14.190268392299997</v>
      </c>
      <c r="L3" s="52">
        <f>L2*(1-Assumptions!$B$19)</f>
        <v>15.603303784875468</v>
      </c>
      <c r="M3" s="52">
        <f>M2*(1-Assumptions!$B$19)</f>
        <v>17.011588636481505</v>
      </c>
      <c r="N3" s="52">
        <f>N2*(1-Assumptions!$B$19)</f>
        <v>18.38839321012741</v>
      </c>
      <c r="O3" s="52">
        <f>O2*(1-Assumptions!$B$19)</f>
        <v>19.705206479452645</v>
      </c>
      <c r="P3" s="52">
        <f>P2*(1-Assumptions!$B$19)</f>
        <v>20.932621896383882</v>
      </c>
      <c r="Q3" s="52">
        <f>Q2*(1-Assumptions!$B$19)</f>
        <v>22.041353102829014</v>
      </c>
      <c r="R3" s="52">
        <f>R2*(1-Assumptions!$B$19)</f>
        <v>23.003335713805818</v>
      </c>
      <c r="S3" s="52">
        <f>S2*(1-Assumptions!$B$19)</f>
        <v>23.79286131402744</v>
      </c>
      <c r="T3" s="52">
        <f>T2*(1-Assumptions!$B$19)</f>
        <v>24.38768284687812</v>
      </c>
    </row>
    <row r="4" customFormat="1" s="1">
      <c r="A4" s="5" t="inlineStr">
        <is>
          <t>Gross Margin</t>
        </is>
      </c>
      <c r="B4" s="52">
        <f>B2-B3</f>
        <v>0.305</v>
      </c>
      <c r="C4" s="52">
        <f>C2-C3</f>
        <v>0.383</v>
      </c>
      <c r="D4" s="52">
        <f>D2-D3</f>
        <v>4.203</v>
      </c>
      <c r="E4" s="52">
        <f>E2-E3</f>
        <v>11.29</v>
      </c>
      <c r="F4" s="52">
        <f>F2-F3</f>
        <v>23.283</v>
      </c>
      <c r="G4" s="52">
        <f>G2-G3</f>
        <v>28.38</v>
      </c>
      <c r="H4" s="52">
        <f>H2-H3</f>
        <v>42.363</v>
      </c>
      <c r="I4" s="52">
        <f>I2-I3</f>
        <v>55.157000000000004</v>
      </c>
      <c r="J4" s="52">
        <f>J2-J3</f>
        <v>58.816</v>
      </c>
      <c r="K4" s="52">
        <f>K2-K3</f>
        <v>65.2180606077</v>
      </c>
      <c r="L4" s="52">
        <f>L2-L3</f>
        <v>71.71233015399119</v>
      </c>
      <c r="M4" s="52">
        <f>M2-M3</f>
        <v>78.18476635222308</v>
      </c>
      <c r="N4" s="52">
        <f>N2-N3</f>
        <v>84.51252010899634</v>
      </c>
      <c r="O4" s="52">
        <f>O2-O3</f>
        <v>90.56455557680168</v>
      </c>
      <c r="P4" s="52">
        <f>P2-P3</f>
        <v>96.20572111639667</v>
      </c>
      <c r="Q4" s="52">
        <f>Q2-Q3</f>
        <v>101.30141747819513</v>
      </c>
      <c r="R4" s="52">
        <f>R2-R3</f>
        <v>105.7226615654657</v>
      </c>
      <c r="S4" s="52">
        <f>S2-S3</f>
        <v>109.3512982496404</v>
      </c>
      <c r="T4" s="52">
        <f>T2-T3</f>
        <v>112.0850807058814</v>
      </c>
    </row>
    <row r="5">
      <c r="A5" s="2" t="inlineStr">
        <is>
          <t>Research &amp; Dev.</t>
        </is>
      </c>
      <c r="B5" s="52" t="n">
        <v>7.768</v>
      </c>
      <c r="C5" s="52" t="n">
        <v>8.773</v>
      </c>
      <c r="D5" s="52" t="n">
        <v>9.994</v>
      </c>
      <c r="E5" s="52" t="n">
        <v>9.164</v>
      </c>
      <c r="F5" s="52" t="n">
        <v>14.818</v>
      </c>
      <c r="G5" s="52" t="n">
        <v>13.857</v>
      </c>
      <c r="H5" s="52" t="n">
        <v>20.821</v>
      </c>
      <c r="I5" s="52" t="n">
        <v>20.36</v>
      </c>
      <c r="J5" s="52" t="n">
        <v>20.839</v>
      </c>
      <c r="K5" s="52">
        <f>K7*Assumptions!$B$20</f>
        <v>19.923700939558415</v>
      </c>
      <c r="L5" s="52">
        <f>L7*Assumptions!$B$20</f>
        <v>20.712767405102635</v>
      </c>
      <c r="M5" s="52">
        <f>M7*Assumptions!$B$20</f>
        <v>21.279472748160472</v>
      </c>
      <c r="N5" s="52">
        <f>N7*Assumptions!$B$20</f>
        <v>21.593519576313835</v>
      </c>
      <c r="O5" s="52">
        <f>O7*Assumptions!$B$20</f>
        <v>21.630842923450537</v>
      </c>
      <c r="P5" s="52">
        <f>P7*Assumptions!$B$20</f>
        <v>21.375196795275006</v>
      </c>
      <c r="Q5" s="52">
        <f>Q7*Assumptions!$B$20</f>
        <v>20.819456465954854</v>
      </c>
      <c r="R5" s="52">
        <f>R7*Assumptions!$B$20</f>
        <v>19.966528787943204</v>
      </c>
      <c r="S5" s="52">
        <f>S7*Assumptions!$B$20</f>
        <v>18.829781752438716</v>
      </c>
      <c r="T5" s="52">
        <f>T7*Assumptions!$B$20</f>
        <v>17.432932555839745</v>
      </c>
    </row>
    <row r="6">
      <c r="A6" s="18" t="inlineStr">
        <is>
          <t>SG&amp;A &amp; Other</t>
        </is>
      </c>
      <c r="B6" s="52" t="n">
        <v>0</v>
      </c>
      <c r="C6" s="52" t="n">
        <v>5.451</v>
      </c>
      <c r="D6" s="52" t="n">
        <v>19.737</v>
      </c>
      <c r="E6" s="52" t="n">
        <v>44.805</v>
      </c>
      <c r="F6" s="52" t="n">
        <v>35.005</v>
      </c>
      <c r="G6" s="52" t="n">
        <v>42.028</v>
      </c>
      <c r="H6" s="52" t="n">
        <v>64.197</v>
      </c>
      <c r="I6" s="52" t="n">
        <v>91.39</v>
      </c>
      <c r="J6" s="52" t="n">
        <v>80.511</v>
      </c>
      <c r="K6" s="52">
        <f>K7-K5</f>
        <v>76.98145927230158</v>
      </c>
      <c r="L6" s="52">
        <f>L7-L5</f>
        <v>80.03026472088294</v>
      </c>
      <c r="M6" s="52">
        <f>M7-M5</f>
        <v>82.21990832265894</v>
      </c>
      <c r="N6" s="52">
        <f>N7-N5</f>
        <v>83.43332661198302</v>
      </c>
      <c r="O6" s="52">
        <f>O7-O5</f>
        <v>83.57753705442173</v>
      </c>
      <c r="P6" s="52">
        <f>P7-P5</f>
        <v>82.58976816228825</v>
      </c>
      <c r="Q6" s="52">
        <f>Q7-Q5</f>
        <v>80.44249132565434</v>
      </c>
      <c r="R6" s="52">
        <f>R7-R5</f>
        <v>77.14693807948483</v>
      </c>
      <c r="S6" s="52">
        <f>S7-S5</f>
        <v>72.75475984502586</v>
      </c>
      <c r="T6" s="52">
        <f>T7-T5</f>
        <v>67.35759543948976</v>
      </c>
    </row>
    <row r="7">
      <c r="A7" s="2" t="inlineStr">
        <is>
          <t>Operating Expense</t>
        </is>
      </c>
      <c r="B7" s="52">
        <f>SUM(B5:B6)</f>
        <v>7.768</v>
      </c>
      <c r="C7" s="52">
        <f>SUM(C5:C6)</f>
        <v>14.224</v>
      </c>
      <c r="D7" s="52">
        <f>SUM(D5:D6)</f>
        <v>29.730999999999998</v>
      </c>
      <c r="E7" s="52">
        <f>SUM(E5:E6)</f>
        <v>53.969</v>
      </c>
      <c r="F7" s="52">
        <f>SUM(F5:F6)</f>
        <v>49.823</v>
      </c>
      <c r="G7" s="52">
        <f>SUM(G5:G6)</f>
        <v>55.885</v>
      </c>
      <c r="H7" s="52">
        <f>SUM(H5:H6)</f>
        <v>85.018</v>
      </c>
      <c r="I7" s="52">
        <f>SUM(I5:I6)</f>
        <v>111.75</v>
      </c>
      <c r="J7" s="52">
        <f>SUM(J5:J6)</f>
        <v>101.35</v>
      </c>
      <c r="K7" s="52">
        <f>K4-K2*NPV!C6</f>
        <v>96.90516021186</v>
      </c>
      <c r="L7" s="52">
        <f>L4-L2*NPV!D6</f>
        <v>100.74303212598558</v>
      </c>
      <c r="M7" s="52">
        <f>M4-M2*NPV!E6</f>
        <v>103.49938107081941</v>
      </c>
      <c r="N7" s="52">
        <f>N4-N2*NPV!F6</f>
        <v>105.02684618829686</v>
      </c>
      <c r="O7" s="52">
        <f>O4-O2*NPV!G6</f>
        <v>105.20837997787226</v>
      </c>
      <c r="P7" s="52">
        <f>P4-P2*NPV!H6</f>
        <v>103.96496495756325</v>
      </c>
      <c r="Q7" s="52">
        <f>Q4-Q2*NPV!I6</f>
        <v>101.2619477916092</v>
      </c>
      <c r="R7" s="52">
        <f>R4-R2*NPV!J6</f>
        <v>97.11346686742803</v>
      </c>
      <c r="S7" s="52">
        <f>S4-S2*NPV!K6</f>
        <v>91.58454159746458</v>
      </c>
      <c r="T7" s="52">
        <f>T4-T2*NPV!L6</f>
        <v>84.7905279953295</v>
      </c>
    </row>
    <row r="8">
      <c r="A8" s="2" t="inlineStr">
        <is>
          <t>Operating Income</t>
        </is>
      </c>
      <c r="B8" s="52">
        <f>B4-B7</f>
        <v>-7.463</v>
      </c>
      <c r="C8" s="52">
        <f>C4-C7</f>
        <v>-13.841000000000001</v>
      </c>
      <c r="D8" s="52">
        <f>D4-D7</f>
        <v>-25.528</v>
      </c>
      <c r="E8" s="52">
        <f>E4-E7</f>
        <v>-42.679</v>
      </c>
      <c r="F8" s="52">
        <f>F4-F7</f>
        <v>-26.54</v>
      </c>
      <c r="G8" s="52">
        <f>G4-G7</f>
        <v>-27.505</v>
      </c>
      <c r="H8" s="52">
        <f>H4-H7</f>
        <v>-42.655</v>
      </c>
      <c r="I8" s="52">
        <f>I4-I7</f>
        <v>-56.592999999999996</v>
      </c>
      <c r="J8" s="52">
        <f>J4-J7</f>
        <v>-42.53399999999999</v>
      </c>
      <c r="K8" s="52">
        <f>K4-K7</f>
        <v>-31.687099604159997</v>
      </c>
      <c r="L8" s="52">
        <f>L4-L7</f>
        <v>-29.03070197199439</v>
      </c>
      <c r="M8" s="52">
        <f>M4-M7</f>
        <v>-25.31461471859633</v>
      </c>
      <c r="N8" s="52">
        <f>N4-N7</f>
        <v>-20.514326079300517</v>
      </c>
      <c r="O8" s="52">
        <f>O4-O7</f>
        <v>-14.643824401070574</v>
      </c>
      <c r="P8" s="52">
        <f>P4-P7</f>
        <v>-7.75924384116658</v>
      </c>
      <c r="Q8" s="52">
        <f>Q4-Q7</f>
        <v>0.03946968658593164</v>
      </c>
      <c r="R8" s="52">
        <f>R4-R7</f>
        <v>8.609194698037669</v>
      </c>
      <c r="S8" s="52">
        <f>S4-S7</f>
        <v>17.766756652175815</v>
      </c>
      <c r="T8" s="52">
        <f>T4-T7</f>
        <v>27.294552710551898</v>
      </c>
    </row>
    <row r="9">
      <c r="A9" s="18" t="inlineStr">
        <is>
          <t>Interest &amp; Other</t>
        </is>
      </c>
      <c r="B9" s="52" t="n">
        <v>-1.277</v>
      </c>
      <c r="C9" s="52" t="n">
        <v>0.032</v>
      </c>
      <c r="D9" s="52" t="n">
        <v>0.305</v>
      </c>
      <c r="E9" s="52" t="n">
        <v>0.653</v>
      </c>
      <c r="F9" s="52" t="n">
        <v>-0.005</v>
      </c>
      <c r="G9" s="52" t="n">
        <v>0.876</v>
      </c>
      <c r="H9" s="52" t="n">
        <v>7.34</v>
      </c>
      <c r="I9" s="52" t="n">
        <v>-5.198</v>
      </c>
      <c r="J9" s="52" t="n">
        <v>-6.042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-8.74</v>
      </c>
      <c r="C10" s="52">
        <f>C8+C9</f>
        <v>-13.809000000000001</v>
      </c>
      <c r="D10" s="52">
        <f>D8+D9</f>
        <v>-25.223</v>
      </c>
      <c r="E10" s="52">
        <f>E8+E9</f>
        <v>-42.026</v>
      </c>
      <c r="F10" s="52">
        <f>F8+F9</f>
        <v>-26.544999999999998</v>
      </c>
      <c r="G10" s="52">
        <f>G8+G9</f>
        <v>-26.628999999999998</v>
      </c>
      <c r="H10" s="52">
        <f>H8+H9</f>
        <v>-35.315</v>
      </c>
      <c r="I10" s="52">
        <f>I8+I9</f>
        <v>-61.791</v>
      </c>
      <c r="J10" s="52">
        <f>J8+J9</f>
        <v>-48.57599999999999</v>
      </c>
      <c r="K10" s="52">
        <f>K8+K9</f>
        <v>-31.687099604159997</v>
      </c>
      <c r="L10" s="52">
        <f>L8+L9</f>
        <v>-29.03070197199439</v>
      </c>
      <c r="M10" s="52">
        <f>M8+M9</f>
        <v>-25.31461471859633</v>
      </c>
      <c r="N10" s="52">
        <f>N8+N9</f>
        <v>-20.514326079300517</v>
      </c>
      <c r="O10" s="52">
        <f>O8+O9</f>
        <v>-14.643824401070574</v>
      </c>
      <c r="P10" s="52">
        <f>P8+P9</f>
        <v>-7.75924384116658</v>
      </c>
      <c r="Q10" s="52">
        <f>Q8+Q9</f>
        <v>0.03946968658593164</v>
      </c>
      <c r="R10" s="52">
        <f>R8+R9</f>
        <v>8.609194698037669</v>
      </c>
      <c r="S10" s="52">
        <f>S8+S9</f>
        <v>17.766756652175815</v>
      </c>
      <c r="T10" s="52">
        <f>T8+T9</f>
        <v>27.294552710551898</v>
      </c>
    </row>
    <row r="11">
      <c r="A11" s="2" t="inlineStr">
        <is>
          <t>Taxes</t>
        </is>
      </c>
      <c r="B11" s="52" t="n">
        <v>-0.729</v>
      </c>
      <c r="C11" s="52" t="n">
        <v>-1.074</v>
      </c>
      <c r="D11" s="52" t="n">
        <v>-0.121</v>
      </c>
      <c r="E11" s="52" t="n">
        <v>0.004</v>
      </c>
      <c r="F11" s="52" t="n">
        <v>0.038</v>
      </c>
      <c r="G11" s="52" t="n">
        <v>0.036</v>
      </c>
      <c r="H11" s="52" t="n">
        <v>0.066</v>
      </c>
      <c r="I11" s="52" t="n">
        <v>0.054</v>
      </c>
      <c r="J11" s="52" t="n">
        <v>0.011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0.006709846719608379</v>
      </c>
      <c r="R11" s="52">
        <f>MAX(0,R10)*Assumptions!$E$14</f>
        <v>1.4635630986664039</v>
      </c>
      <c r="S11" s="52">
        <f>MAX(0,S10)*Assumptions!$E$14</f>
        <v>3.0203486308698886</v>
      </c>
      <c r="T11" s="52">
        <f>MAX(0,T10)*Assumptions!$E$14</f>
        <v>4.640073960793823</v>
      </c>
    </row>
    <row r="12">
      <c r="A12" s="2" t="inlineStr">
        <is>
          <t>Net Income</t>
        </is>
      </c>
      <c r="B12" s="52" t="n">
        <v>-8.01</v>
      </c>
      <c r="C12" s="52" t="n">
        <v>-12.735</v>
      </c>
      <c r="D12" s="52" t="n">
        <v>-25.102</v>
      </c>
      <c r="E12" s="52" t="n">
        <v>-42.03</v>
      </c>
      <c r="F12" s="52" t="n">
        <v>-26.583</v>
      </c>
      <c r="G12" s="52" t="n">
        <v>-26.665</v>
      </c>
      <c r="H12" s="52" t="n">
        <v>-35.381</v>
      </c>
      <c r="I12" s="52" t="n">
        <v>-61.845</v>
      </c>
      <c r="J12" s="52" t="n">
        <v>-48.587</v>
      </c>
      <c r="K12" s="52">
        <f>K10-K11</f>
        <v>-31.687099604159997</v>
      </c>
      <c r="L12" s="52">
        <f>L10-L11</f>
        <v>-29.03070197199439</v>
      </c>
      <c r="M12" s="52">
        <f>M10-M11</f>
        <v>-25.31461471859633</v>
      </c>
      <c r="N12" s="52">
        <f>N10-N11</f>
        <v>-20.514326079300517</v>
      </c>
      <c r="O12" s="52">
        <f>O10-O11</f>
        <v>-14.643824401070574</v>
      </c>
      <c r="P12" s="52">
        <f>P10-P11</f>
        <v>-7.75924384116658</v>
      </c>
      <c r="Q12" s="52">
        <f>Q10-Q11</f>
        <v>0.03275983986632326</v>
      </c>
      <c r="R12" s="52">
        <f>R10-R11</f>
        <v>7.145631599371265</v>
      </c>
      <c r="S12" s="52">
        <f>S10-S11</f>
        <v>14.746408021305927</v>
      </c>
      <c r="T12" s="52">
        <f>T10-T11</f>
        <v>22.654478749758074</v>
      </c>
    </row>
    <row r="13">
      <c r="A13" s="2" t="inlineStr">
        <is>
          <t>Earnings per Share</t>
        </is>
      </c>
      <c r="B13" s="11">
        <f>IFERROR(B12/B14,0)</f>
        <v>-0.8608275120902741</v>
      </c>
      <c r="C13" s="11">
        <f>IFERROR(C12/C14,0)</f>
        <v>-1.365390800900611</v>
      </c>
      <c r="D13" s="11">
        <f>IFERROR(D12/D14,0)</f>
        <v>-1.5625272331154683</v>
      </c>
      <c r="E13" s="11">
        <f>IFERROR(E12/E14,0)</f>
        <v>-2.071361687447637</v>
      </c>
      <c r="F13" s="11">
        <f>IFERROR(F12/F14,0)</f>
        <v>-1.172400105848108</v>
      </c>
      <c r="G13" s="11">
        <f>IFERROR(G12/G14,0)</f>
        <v>-1.0666</v>
      </c>
      <c r="H13" s="11">
        <f>IFERROR(H12/H14,0)</f>
        <v>-1.3967470688089694</v>
      </c>
      <c r="I13" s="11">
        <f>IFERROR(I12/I14,0)</f>
        <v>-2.389406173936561</v>
      </c>
      <c r="J13" s="11">
        <f>IFERROR(J12/J14,0)</f>
        <v>-1.7439072538674134</v>
      </c>
      <c r="K13" s="11">
        <f>IFERROR(K12/K14,0)</f>
        <v>-1.024582286198137</v>
      </c>
      <c r="L13" s="11">
        <f>IFERROR(L12/L14,0)</f>
        <v>-0.9386893520698826</v>
      </c>
      <c r="M13" s="11">
        <f>IFERROR(M12/M14,0)</f>
        <v>-0.8185320255439015</v>
      </c>
      <c r="N13" s="11">
        <f>IFERROR(N12/N14,0)</f>
        <v>-0.6633177342423726</v>
      </c>
      <c r="O13" s="11">
        <f>IFERROR(O12/O14,0)</f>
        <v>-0.4734987825002198</v>
      </c>
      <c r="P13" s="11">
        <f>IFERROR(P12/P14,0)</f>
        <v>-0.2508902327213175</v>
      </c>
      <c r="Q13" s="11">
        <f>IFERROR(Q12/Q14,0)</f>
        <v>0.0010592686628004228</v>
      </c>
      <c r="R13" s="11">
        <f>IFERROR(R12/R14,0)</f>
        <v>0.23104946971707999</v>
      </c>
      <c r="S13" s="11">
        <f>IFERROR(S12/S14,0)</f>
        <v>0.4768157588552731</v>
      </c>
      <c r="T13" s="11">
        <f>IFERROR(T12/T14,0)</f>
        <v>0.7325182146682484</v>
      </c>
    </row>
    <row r="14">
      <c r="A14" s="2" t="inlineStr">
        <is>
          <t>Shares</t>
        </is>
      </c>
      <c r="B14" s="52" t="n">
        <v>9.305</v>
      </c>
      <c r="C14" s="52" t="n">
        <v>9.327</v>
      </c>
      <c r="D14" s="52" t="n">
        <v>16.065</v>
      </c>
      <c r="E14" s="52" t="n">
        <v>20.291</v>
      </c>
      <c r="F14" s="52" t="n">
        <v>22.674</v>
      </c>
      <c r="G14" s="52" t="n">
        <v>25</v>
      </c>
      <c r="H14" s="52" t="n">
        <v>25.331</v>
      </c>
      <c r="I14" s="52" t="n">
        <v>25.883</v>
      </c>
      <c r="J14" s="52" t="n">
        <v>27.861</v>
      </c>
      <c r="K14" s="52">
        <f>Main!$C$4</f>
        <v>30.926847</v>
      </c>
      <c r="L14" s="52">
        <f>Main!$C$4</f>
        <v>30.926847</v>
      </c>
      <c r="M14" s="52">
        <f>Main!$C$4</f>
        <v>30.926847</v>
      </c>
      <c r="N14" s="52">
        <f>Main!$C$4</f>
        <v>30.926847</v>
      </c>
      <c r="O14" s="52">
        <f>Main!$C$4</f>
        <v>30.926847</v>
      </c>
      <c r="P14" s="52">
        <f>Main!$C$4</f>
        <v>30.926847</v>
      </c>
      <c r="Q14" s="52">
        <f>Main!$C$4</f>
        <v>30.926847</v>
      </c>
      <c r="R14" s="52">
        <f>Main!$C$4</f>
        <v>30.926847</v>
      </c>
      <c r="S14" s="52">
        <f>Main!$C$4</f>
        <v>30.926847</v>
      </c>
      <c r="T14" s="52">
        <f>Main!$C$4</f>
        <v>30.926847</v>
      </c>
    </row>
    <row r="15"/>
    <row r="16" customFormat="1" s="4">
      <c r="A16" s="3" t="inlineStr">
        <is>
          <t>Revenue Change</t>
        </is>
      </c>
      <c r="C16" s="15">
        <f>IFERROR(C2/B2-1,"")</f>
        <v>0.4816586921850081</v>
      </c>
      <c r="D16" s="15">
        <f>IFERROR(D2/C2-1,"")</f>
        <v>4.892357373519914</v>
      </c>
      <c r="E16" s="15">
        <f>IFERROR(E2/D2-1,"")</f>
        <v>1.6055900621118013</v>
      </c>
      <c r="F16" s="15">
        <f>IFERROR(F2/E2-1,"")</f>
        <v>1.049498702937671</v>
      </c>
      <c r="G16" s="15">
        <f>IFERROR(G2/F2-1,"")</f>
        <v>0.1775109469074987</v>
      </c>
      <c r="H16" s="15">
        <f>IFERROR(H2/G2-1,"")</f>
        <v>0.4567560500857035</v>
      </c>
      <c r="I16" s="15">
        <f>IFERROR(I2/H2-1,"")</f>
        <v>0.2813553237740065</v>
      </c>
      <c r="J16" s="15">
        <f>IFERROR(J2/I2-1,"")</f>
        <v>0.11453518233179238</v>
      </c>
      <c r="K16" s="15">
        <f>IFERROR(K2/J2-1,"")</f>
        <v>0.1089</v>
      </c>
      <c r="L16" s="15">
        <f>IFERROR(L2/K2-1,"")</f>
        <v>0.09957777777777777</v>
      </c>
      <c r="M16" s="15">
        <f>IFERROR(M2/L2-1,"")</f>
        <v>0.09025555555555553</v>
      </c>
      <c r="N16" s="15">
        <f>IFERROR(N2/M2-1,"")</f>
        <v>0.0809333333333333</v>
      </c>
      <c r="O16" s="15">
        <f>IFERROR(O2/N2-1,"")</f>
        <v>0.07161111111111107</v>
      </c>
      <c r="P16" s="15">
        <f>IFERROR(P2/O2-1,"")</f>
        <v>0.06228888888888884</v>
      </c>
      <c r="Q16" s="15">
        <f>IFERROR(Q2/P2-1,"")</f>
        <v>0.052966666666666606</v>
      </c>
      <c r="R16" s="15">
        <f>IFERROR(R2/Q2-1,"")</f>
        <v>0.043644444444444375</v>
      </c>
      <c r="S16" s="15">
        <f>IFERROR(S2/R2-1,"")</f>
        <v>0.03432222222222214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0.4864433811802233</v>
      </c>
      <c r="C17" s="15">
        <f>IFERROR(C4/C2,"")</f>
        <v>0.41227125941872983</v>
      </c>
      <c r="D17" s="15">
        <f>IFERROR(D4/D2,"")</f>
        <v>0.767811472415053</v>
      </c>
      <c r="E17" s="15">
        <f>IFERROR(E4/E2,"")</f>
        <v>0.7915585781392414</v>
      </c>
      <c r="F17" s="15">
        <f>IFERROR(F4/F2,"")</f>
        <v>0.7964901477832513</v>
      </c>
      <c r="G17" s="15">
        <f>IFERROR(G4/G2,"")</f>
        <v>0.8244966735423143</v>
      </c>
      <c r="H17" s="15">
        <f>IFERROR(H4/H2,"")</f>
        <v>0.844843746883912</v>
      </c>
      <c r="I17" s="15">
        <f>IFERROR(I4/I2,"")</f>
        <v>0.8584613469051066</v>
      </c>
      <c r="J17" s="15">
        <f>IFERROR(J4/J2,"")</f>
        <v>0.8213378019829634</v>
      </c>
      <c r="K17" s="15">
        <f>IFERROR(K4/K2,"")</f>
        <v>0.8213</v>
      </c>
      <c r="L17" s="15">
        <f>IFERROR(L4/L2,"")</f>
        <v>0.8213</v>
      </c>
      <c r="M17" s="15">
        <f>IFERROR(M4/M2,"")</f>
        <v>0.8213</v>
      </c>
      <c r="N17" s="15">
        <f>IFERROR(N4/N2,"")</f>
        <v>0.8213000000000001</v>
      </c>
      <c r="O17" s="15">
        <f>IFERROR(O4/O2,"")</f>
        <v>0.8213</v>
      </c>
      <c r="P17" s="15">
        <f>IFERROR(P4/P2,"")</f>
        <v>0.8213</v>
      </c>
      <c r="Q17" s="15">
        <f>IFERROR(Q4/Q2,"")</f>
        <v>0.8212999999999999</v>
      </c>
      <c r="R17" s="15">
        <f>IFERROR(R4/R2,"")</f>
        <v>0.8212999999999999</v>
      </c>
      <c r="S17" s="15">
        <f>IFERROR(S4/S2,"")</f>
        <v>0.8212999999999999</v>
      </c>
      <c r="T17" s="15">
        <f>IFERROR(T4/T2,"")</f>
        <v>0.8213</v>
      </c>
    </row>
    <row r="18">
      <c r="A18" s="14" t="inlineStr">
        <is>
          <t>Operating Margin</t>
        </is>
      </c>
      <c r="B18" s="15">
        <f>IFERROR(B8/B2,"")</f>
        <v>-11.902711323763956</v>
      </c>
      <c r="C18" s="15">
        <f>IFERROR(C8/C2,"")</f>
        <v>-14.89881593110872</v>
      </c>
      <c r="D18" s="15">
        <f>IFERROR(D8/D2,"")</f>
        <v>-4.663500182681768</v>
      </c>
      <c r="E18" s="15">
        <f>IFERROR(E8/E2,"")</f>
        <v>-2.9922877375026293</v>
      </c>
      <c r="F18" s="15">
        <f>IFERROR(F8/F2,"")</f>
        <v>-0.9079091406677613</v>
      </c>
      <c r="G18" s="15">
        <f>IFERROR(G8/G2,"")</f>
        <v>-0.7990761453763691</v>
      </c>
      <c r="H18" s="15">
        <f>IFERROR(H8/H2,"")</f>
        <v>-0.8506670921165467</v>
      </c>
      <c r="I18" s="15">
        <f>IFERROR(I8/I2,"")</f>
        <v>-0.8808111936000995</v>
      </c>
      <c r="J18" s="15">
        <f>IFERROR(J8/J2,"")</f>
        <v>-0.593967322999581</v>
      </c>
      <c r="K18" s="15">
        <f>IFERROR(K8/K2,"")</f>
        <v>-0.39904</v>
      </c>
      <c r="L18" s="15">
        <f>IFERROR(L8/L2,"")</f>
        <v>-0.33248000000000005</v>
      </c>
      <c r="M18" s="15">
        <f>IFERROR(M8/M2,"")</f>
        <v>-0.2659200000000001</v>
      </c>
      <c r="N18" s="15">
        <f>IFERROR(N8/N2,"")</f>
        <v>-0.19936000000000006</v>
      </c>
      <c r="O18" s="15">
        <f>IFERROR(O8/O2,"")</f>
        <v>-0.1328</v>
      </c>
      <c r="P18" s="15">
        <f>IFERROR(P8/P2,"")</f>
        <v>-0.06623999999999997</v>
      </c>
      <c r="Q18" s="15">
        <f>IFERROR(Q8/Q2,"")</f>
        <v>0.0003200000000000317</v>
      </c>
      <c r="R18" s="15">
        <f>IFERROR(R8/R2,"")</f>
        <v>0.06687999999999991</v>
      </c>
      <c r="S18" s="15">
        <f>IFERROR(S8/S2,"")</f>
        <v>0.13343999999999984</v>
      </c>
      <c r="T18" s="15">
        <f>IFERROR(T8/T2,"")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AVITA Medical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0.0589</v>
      </c>
      <c r="C12" s="53" t="n">
        <v>0.1089</v>
      </c>
      <c r="D12" s="53" t="n">
        <v>0.1589</v>
      </c>
      <c r="E12" s="54">
        <f>CHOOSE($B$4,B12,C12,D12)</f>
        <v>0.1089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-0.4656</v>
      </c>
    </row>
    <row r="19">
      <c r="A19" s="14" t="inlineStr">
        <is>
          <t>Gross margin (forecast)</t>
        </is>
      </c>
      <c r="B19" s="53" t="n">
        <v>0.8213</v>
      </c>
    </row>
    <row r="20">
      <c r="A20" s="14" t="inlineStr">
        <is>
          <t>R&amp;D share of operating expense (forecast)</t>
        </is>
      </c>
      <c r="B20" s="53" t="n">
        <v>0.2056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71.61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-9.165540038204213</v>
      </c>
      <c r="C29" s="56">
        <f>NPV!B26</f>
        <v>-44.689540038204214</v>
      </c>
      <c r="D29" s="35">
        <f>NPV!B28</f>
        <v>-1.4450079582378448</v>
      </c>
      <c r="E29" s="57">
        <f>NPV!B30</f>
        <v>-1.104710721611438</v>
      </c>
    </row>
    <row r="30">
      <c r="A30" s="58" t="n">
        <v>1</v>
      </c>
      <c r="B30" s="59">
        <f t="dataTable" ref="B30:E32" r1="B4"/>
        <v>-49.176306394226614</v>
      </c>
      <c r="C30" s="59">
        <v>-84.70030639422662</v>
      </c>
      <c r="D30" s="39">
        <v>-2.738730734310763</v>
      </c>
      <c r="E30" s="60">
        <v>-1.1984587488630987</v>
      </c>
    </row>
    <row r="31">
      <c r="A31" s="58" t="n">
        <v>2</v>
      </c>
      <c r="B31" s="59">
        <v>-9.165540038204213</v>
      </c>
      <c r="C31" s="59">
        <v>-44.689540038204214</v>
      </c>
      <c r="D31" s="39">
        <v>-1.4450079582378448</v>
      </c>
      <c r="E31" s="60">
        <v>-1.104710721611438</v>
      </c>
    </row>
    <row r="32">
      <c r="A32" s="58" t="n">
        <v>3</v>
      </c>
      <c r="B32" s="59">
        <v>75.49742894919899</v>
      </c>
      <c r="C32" s="59">
        <v>39.973428949199</v>
      </c>
      <c r="D32" s="39">
        <v>1.2925154946832762</v>
      </c>
      <c r="E32" s="60">
        <v>-0.906339456907009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-1.4450079582378448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-0.8469560296709888</v>
      </c>
      <c r="C37" s="39">
        <v>-0.6100796831986754</v>
      </c>
      <c r="D37" s="39">
        <v>-0.34152795475992237</v>
      </c>
      <c r="E37" s="39">
        <v>-0.03494207699953742</v>
      </c>
      <c r="F37" s="39">
        <v>0.3178537881939513</v>
      </c>
    </row>
    <row r="38">
      <c r="A38" s="62" t="n">
        <v>0.115</v>
      </c>
      <c r="B38" s="39">
        <v>-1.3481413350147307</v>
      </c>
      <c r="C38" s="39">
        <v>-1.1692175218999938</v>
      </c>
      <c r="D38" s="39">
        <v>-0.9686706261770834</v>
      </c>
      <c r="E38" s="39">
        <v>-0.7426651822232141</v>
      </c>
      <c r="F38" s="39">
        <v>-0.4864066288266312</v>
      </c>
    </row>
    <row r="39">
      <c r="A39" s="62" t="n">
        <v>0.125</v>
      </c>
      <c r="B39" s="39">
        <v>-1.7358271895633606</v>
      </c>
      <c r="C39" s="39">
        <v>-1.598051307243825</v>
      </c>
      <c r="D39" s="39">
        <v>-1.4450079582378448</v>
      </c>
      <c r="E39" s="39">
        <v>-1.2742699863919056</v>
      </c>
      <c r="F39" s="39">
        <v>-1.0828706768654717</v>
      </c>
    </row>
    <row r="40">
      <c r="A40" s="62" t="n">
        <v>0.135</v>
      </c>
      <c r="B40" s="39">
        <v>-2.039879466475612</v>
      </c>
      <c r="C40" s="39">
        <v>-1.9321546763992135</v>
      </c>
      <c r="D40" s="39">
        <v>-1.813348855618902</v>
      </c>
      <c r="E40" s="39">
        <v>-1.6818649556269438</v>
      </c>
      <c r="F40" s="39">
        <v>-1.5357863575131971</v>
      </c>
    </row>
    <row r="41">
      <c r="A41" s="62" t="n">
        <v>0.145</v>
      </c>
      <c r="B41" s="39">
        <v>-2.2808559725583466</v>
      </c>
      <c r="C41" s="39">
        <v>-2.195592273202832</v>
      </c>
      <c r="D41" s="39">
        <v>-2.102099687379236</v>
      </c>
      <c r="E41" s="39">
        <v>-1.999292811438712</v>
      </c>
      <c r="F41" s="39">
        <v>-1.8858887586931918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AVITA Medical Inc: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0.1089</v>
      </c>
      <c r="D5" s="63">
        <f>Assumptions!$E$12+(Assumptions!$E$11-Assumptions!$E$12)*(D4-1)/(Assumptions!$B$21-1)</f>
        <v>0.09957777777777778</v>
      </c>
      <c r="E5" s="63">
        <f>Assumptions!$E$12+(Assumptions!$E$11-Assumptions!$E$12)*(E4-1)/(Assumptions!$B$21-1)</f>
        <v>0.09025555555555555</v>
      </c>
      <c r="F5" s="63">
        <f>Assumptions!$E$12+(Assumptions!$E$11-Assumptions!$E$12)*(F4-1)/(Assumptions!$B$21-1)</f>
        <v>0.08093333333333333</v>
      </c>
      <c r="G5" s="63">
        <f>Assumptions!$E$12+(Assumptions!$E$11-Assumptions!$E$12)*(G4-1)/(Assumptions!$B$21-1)</f>
        <v>0.0716111111111111</v>
      </c>
      <c r="H5" s="63">
        <f>Assumptions!$E$12+(Assumptions!$E$11-Assumptions!$E$12)*(H4-1)/(Assumptions!$B$21-1)</f>
        <v>0.06228888888888889</v>
      </c>
      <c r="I5" s="63">
        <f>Assumptions!$E$12+(Assumptions!$E$11-Assumptions!$E$12)*(I4-1)/(Assumptions!$B$21-1)</f>
        <v>0.052966666666666655</v>
      </c>
      <c r="J5" s="63">
        <f>Assumptions!$E$12+(Assumptions!$E$11-Assumptions!$E$12)*(J4-1)/(Assumptions!$B$21-1)</f>
        <v>0.04364444444444443</v>
      </c>
      <c r="K5" s="63">
        <f>Assumptions!$E$12+(Assumptions!$E$11-Assumptions!$E$12)*(K4-1)/(Assumptions!$B$21-1)</f>
        <v>0.03432222222222221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-0.593967322999581</v>
      </c>
      <c r="C6" s="63">
        <f>Assumptions!$B$18+(Assumptions!$E$13-Assumptions!$B$18)*C4/Assumptions!$B$21</f>
        <v>-0.39904</v>
      </c>
      <c r="D6" s="63">
        <f>Assumptions!$B$18+(Assumptions!$E$13-Assumptions!$B$18)*D4/Assumptions!$B$21</f>
        <v>-0.33248</v>
      </c>
      <c r="E6" s="63">
        <f>Assumptions!$B$18+(Assumptions!$E$13-Assumptions!$B$18)*E4/Assumptions!$B$21</f>
        <v>-0.26592000000000005</v>
      </c>
      <c r="F6" s="63">
        <f>Assumptions!$B$18+(Assumptions!$E$13-Assumptions!$B$18)*F4/Assumptions!$B$21</f>
        <v>-0.19936000000000004</v>
      </c>
      <c r="G6" s="63">
        <f>Assumptions!$B$18+(Assumptions!$E$13-Assumptions!$B$18)*G4/Assumptions!$B$21</f>
        <v>-0.13280000000000003</v>
      </c>
      <c r="H6" s="63">
        <f>Assumptions!$B$18+(Assumptions!$E$13-Assumptions!$B$18)*H4/Assumptions!$B$21</f>
        <v>-0.06624000000000002</v>
      </c>
      <c r="I6" s="63">
        <f>Assumptions!$B$18+(Assumptions!$E$13-Assumptions!$B$18)*I4/Assumptions!$B$21</f>
        <v>0.00031999999999998696</v>
      </c>
      <c r="J6" s="63">
        <f>Assumptions!$B$18+(Assumptions!$E$13-Assumptions!$B$18)*J4/Assumptions!$B$21</f>
        <v>0.06687999999999994</v>
      </c>
      <c r="K6" s="63">
        <f>Assumptions!$B$18+(Assumptions!$E$13-Assumptions!$B$18)*K4/Assumptions!$B$21</f>
        <v>0.1334399999999999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Model'!J2</f>
        <v>71.61</v>
      </c>
      <c r="C7" s="55">
        <f>'Yearly Model'!K2</f>
        <v>79.408329</v>
      </c>
      <c r="D7" s="55">
        <f>'Yearly Model'!L2</f>
        <v>87.31563393886665</v>
      </c>
      <c r="E7" s="55">
        <f>'Yearly Model'!M2</f>
        <v>95.19635498870458</v>
      </c>
      <c r="F7" s="55">
        <f>'Yearly Model'!N2</f>
        <v>102.90091331912375</v>
      </c>
      <c r="G7" s="55">
        <f>'Yearly Model'!O2</f>
        <v>110.26976205625432</v>
      </c>
      <c r="H7" s="55">
        <f>'Yearly Model'!P2</f>
        <v>117.13834301278055</v>
      </c>
      <c r="I7" s="55">
        <f>'Yearly Model'!Q2</f>
        <v>123.34277058102415</v>
      </c>
      <c r="J7" s="55">
        <f>'Yearly Model'!R2</f>
        <v>128.72599727927152</v>
      </c>
      <c r="K7" s="55">
        <f>'Yearly Model'!S2</f>
        <v>133.14415956366784</v>
      </c>
      <c r="L7" s="55">
        <f>'Yearly Model'!T2</f>
        <v>136.47276355275952</v>
      </c>
    </row>
    <row r="8">
      <c r="A8" s="14" t="inlineStr">
        <is>
          <t>Operating income</t>
        </is>
      </c>
      <c r="B8" s="55">
        <f>'Yearly Model'!J8</f>
        <v>-42.53399999999999</v>
      </c>
      <c r="C8" s="55">
        <f>'Yearly Model'!K8</f>
        <v>-31.687099604159997</v>
      </c>
      <c r="D8" s="55">
        <f>'Yearly Model'!L8</f>
        <v>-29.03070197199439</v>
      </c>
      <c r="E8" s="55">
        <f>'Yearly Model'!M8</f>
        <v>-25.31461471859633</v>
      </c>
      <c r="F8" s="55">
        <f>'Yearly Model'!N8</f>
        <v>-20.514326079300517</v>
      </c>
      <c r="G8" s="55">
        <f>'Yearly Model'!O8</f>
        <v>-14.643824401070574</v>
      </c>
      <c r="H8" s="55">
        <f>'Yearly Model'!P8</f>
        <v>-7.75924384116658</v>
      </c>
      <c r="I8" s="55">
        <f>'Yearly Model'!Q8</f>
        <v>0.03946968658593164</v>
      </c>
      <c r="J8" s="55">
        <f>'Yearly Model'!R8</f>
        <v>8.609194698037669</v>
      </c>
      <c r="K8" s="55">
        <f>'Yearly Model'!S8</f>
        <v>17.766756652175815</v>
      </c>
      <c r="L8" s="55">
        <f>'Yearly Model'!T8</f>
        <v>27.294552710551898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0.006709846719608379</v>
      </c>
      <c r="J9" s="52">
        <f>MAX(0,J8)*Assumptions!$E$14</f>
        <v>1.4635630986664039</v>
      </c>
      <c r="K9" s="52">
        <f>MAX(0,K8)*Assumptions!$E$14</f>
        <v>3.0203486308698886</v>
      </c>
      <c r="L9" s="52">
        <f>MAX(0,L8)*Assumptions!$E$14</f>
        <v>4.640073960793823</v>
      </c>
    </row>
    <row r="10">
      <c r="A10" s="14" t="inlineStr">
        <is>
          <t>NOPAT</t>
        </is>
      </c>
      <c r="C10" s="52">
        <f>C8-C9</f>
        <v>-31.687099604159997</v>
      </c>
      <c r="D10" s="52">
        <f>D8-D9</f>
        <v>-29.03070197199439</v>
      </c>
      <c r="E10" s="52">
        <f>E8-E9</f>
        <v>-25.31461471859633</v>
      </c>
      <c r="F10" s="52">
        <f>F8-F9</f>
        <v>-20.514326079300517</v>
      </c>
      <c r="G10" s="52">
        <f>G8-G9</f>
        <v>-14.643824401070574</v>
      </c>
      <c r="H10" s="52">
        <f>H8-H9</f>
        <v>-7.75924384116658</v>
      </c>
      <c r="I10" s="52">
        <f>I8-I9</f>
        <v>0.03275983986632326</v>
      </c>
      <c r="J10" s="52">
        <f>J8-J9</f>
        <v>7.145631599371265</v>
      </c>
      <c r="K10" s="52">
        <f>K8-K9</f>
        <v>14.746408021305927</v>
      </c>
      <c r="L10" s="52">
        <f>L8-L9</f>
        <v>22.654478749758074</v>
      </c>
    </row>
    <row r="11">
      <c r="A11" s="14" t="inlineStr">
        <is>
          <t>Reinvestment</t>
        </is>
      </c>
      <c r="C11" s="52">
        <f>(C7-B7)*Assumptions!$E$15</f>
        <v>1.9495822499999989</v>
      </c>
      <c r="D11" s="52">
        <f>(D7-C7)*Assumptions!$E$15</f>
        <v>1.9768262347166647</v>
      </c>
      <c r="E11" s="52">
        <f>(E7-D7)*Assumptions!$E$15</f>
        <v>1.9701802624594826</v>
      </c>
      <c r="F11" s="52">
        <f>(F7-E7)*Assumptions!$E$15</f>
        <v>1.9261395826047902</v>
      </c>
      <c r="G11" s="52">
        <f>(G7-F7)*Assumptions!$E$15</f>
        <v>1.8422121842826442</v>
      </c>
      <c r="H11" s="52">
        <f>(H7-G7)*Assumptions!$E$15</f>
        <v>1.7171452391315576</v>
      </c>
      <c r="I11" s="52">
        <f>(I7-H7)*Assumptions!$E$15</f>
        <v>1.5511068920609006</v>
      </c>
      <c r="J11" s="52">
        <f>(J7-I7)*Assumptions!$E$15</f>
        <v>1.3458066745618424</v>
      </c>
      <c r="K11" s="52">
        <f>(K7-J7)*Assumptions!$E$15</f>
        <v>1.1045405710990792</v>
      </c>
      <c r="L11" s="52">
        <f>(L7-K7)*Assumptions!$E$15</f>
        <v>0.8321509972729189</v>
      </c>
    </row>
    <row r="12">
      <c r="A12" s="20" t="inlineStr">
        <is>
          <t>Free cash flow</t>
        </is>
      </c>
      <c r="C12" s="64">
        <f>C10-C11</f>
        <v>-33.636681854159995</v>
      </c>
      <c r="D12" s="64">
        <f>D10-D11</f>
        <v>-31.007528206711054</v>
      </c>
      <c r="E12" s="64">
        <f>E10-E11</f>
        <v>-27.284794981055814</v>
      </c>
      <c r="F12" s="64">
        <f>F10-F11</f>
        <v>-22.440465661905307</v>
      </c>
      <c r="G12" s="64">
        <f>G10-G11</f>
        <v>-16.48603658535322</v>
      </c>
      <c r="H12" s="64">
        <f>H10-H11</f>
        <v>-9.476389080298137</v>
      </c>
      <c r="I12" s="64">
        <f>I10-I11</f>
        <v>-1.5183470521945772</v>
      </c>
      <c r="J12" s="64">
        <f>J10-J11</f>
        <v>5.799824924809423</v>
      </c>
      <c r="K12" s="64">
        <f>K10-K11</f>
        <v>13.641867450206847</v>
      </c>
      <c r="L12" s="64">
        <f>L10-L11</f>
        <v>21.822327752485155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-16.460266095244354</v>
      </c>
      <c r="D16" s="64">
        <f>D12*D13*D15</f>
        <v>-27.548940410990294</v>
      </c>
      <c r="E16" s="64">
        <f>E12*E13*E15</f>
        <v>-21.54794828599815</v>
      </c>
      <c r="F16" s="64">
        <f>F12*F13*F15</f>
        <v>-15.753047119212493</v>
      </c>
      <c r="G16" s="64">
        <f>G12*G13*G15</f>
        <v>-10.287182491404483</v>
      </c>
      <c r="H16" s="64">
        <f>H12*H13*H15</f>
        <v>-5.256183832305918</v>
      </c>
      <c r="I16" s="64">
        <f>I12*I13*I15</f>
        <v>-0.7485937391881108</v>
      </c>
      <c r="J16" s="64">
        <f>J12*J13*J15</f>
        <v>2.541777327784974</v>
      </c>
      <c r="K16" s="64">
        <f>K12*K13*K15</f>
        <v>5.314273730383978</v>
      </c>
      <c r="L16" s="64">
        <f>L12*L13*L15</f>
        <v>7.5564645079505794</v>
      </c>
    </row>
    <row r="19">
      <c r="A19" s="14" t="inlineStr">
        <is>
          <t>PV of forecast free cash flow</t>
        </is>
      </c>
      <c r="B19" s="52">
        <f>SUM(C16:L16)</f>
        <v>-82.18964640822428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22.367885946297278</v>
      </c>
    </row>
    <row r="21">
      <c r="A21" s="14" t="inlineStr">
        <is>
          <t>Terminal value</t>
        </is>
      </c>
      <c r="B21" s="52">
        <f>B20/(Assumptions!$E$10-Assumptions!$E$11)</f>
        <v>223.67885946297278</v>
      </c>
    </row>
    <row r="22">
      <c r="A22" s="14" t="inlineStr">
        <is>
          <t>PV of terminal value</t>
        </is>
      </c>
      <c r="B22" s="52">
        <f>B21/(1+Assumptions!$E$10)^(L14+0.5)</f>
        <v>73.02410637002006</v>
      </c>
    </row>
    <row r="23">
      <c r="A23" s="20" t="inlineStr">
        <is>
          <t>Enterprise value</t>
        </is>
      </c>
      <c r="B23" s="66">
        <f>B19+B22</f>
        <v>-9.165540038204213</v>
      </c>
    </row>
    <row r="24">
      <c r="A24" s="14" t="inlineStr">
        <is>
          <t>Cash &amp; investments</t>
        </is>
      </c>
      <c r="B24" s="55">
        <f>Main!C7</f>
        <v>11.135</v>
      </c>
    </row>
    <row r="25">
      <c r="A25" s="14" t="inlineStr">
        <is>
          <t>Debt</t>
        </is>
      </c>
      <c r="B25" s="55">
        <f>Main!C8</f>
        <v>46.659</v>
      </c>
    </row>
    <row r="26">
      <c r="A26" s="20" t="inlineStr">
        <is>
          <t>Equity value</t>
        </is>
      </c>
      <c r="B26" s="66">
        <f>B23+B24-B25</f>
        <v>-44.689540038204214</v>
      </c>
    </row>
    <row r="27">
      <c r="A27" s="14" t="inlineStr">
        <is>
          <t>Shares (mm)</t>
        </is>
      </c>
      <c r="B27" s="55">
        <f>Main!C4</f>
        <v>30.926847</v>
      </c>
    </row>
    <row r="28">
      <c r="A28" s="20" t="inlineStr">
        <is>
          <t>NPV / share</t>
        </is>
      </c>
      <c r="B28" s="49">
        <f>B26/B27</f>
        <v>-1.4450079582378448</v>
      </c>
    </row>
    <row r="29">
      <c r="A29" s="14" t="inlineStr">
        <is>
          <t>Price</t>
        </is>
      </c>
      <c r="B29" s="50">
        <f>Main!C3</f>
        <v>13.8</v>
      </c>
    </row>
    <row r="30">
      <c r="A30" s="14" t="inlineStr">
        <is>
          <t>Upside</t>
        </is>
      </c>
      <c r="B30" s="63">
        <f>B28/B29-1</f>
        <v>-1.104710721611438</v>
      </c>
    </row>
    <row r="31">
      <c r="A31" s="14" t="inlineStr">
        <is>
          <t>Terminal value, % of EV</t>
        </is>
      </c>
      <c r="B31" s="63">
        <f>IFERROR(B22/B23,0)</f>
        <v>-7.967245363136021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2026-10-21T06:25:35Z</dcterms:modified>
  <cp:lastModifiedBy>Wang, Eric</cp:lastModifiedBy>
</cp:coreProperties>
</file>