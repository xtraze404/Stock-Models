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Arbutus Biopharma Corp</t>
        </is>
      </c>
      <c r="C2" s="10" t="n"/>
    </row>
    <row r="3">
      <c r="B3" t="inlineStr">
        <is>
          <t>Price</t>
        </is>
      </c>
      <c r="C3" s="11">
        <f>INDEX([1]Pharma!$F$1:$F$1000,MATCH("ABUS",[1]Pharma!$B$1:$B$1000,0))</f>
        <v>4.33</v>
      </c>
      <c r="F3" s="1" t="n"/>
    </row>
    <row r="4">
      <c r="B4" t="inlineStr">
        <is>
          <t>Shares</t>
        </is>
      </c>
      <c r="C4" s="21" t="n">
        <v>197.847835</v>
      </c>
      <c r="F4" s="1" t="n"/>
    </row>
    <row r="5">
      <c r="B5" t="inlineStr">
        <is>
          <t>Market Cap.</t>
        </is>
      </c>
      <c r="C5" s="13">
        <f>C3*C4</f>
        <v>856.68112555</v>
      </c>
      <c r="F5" s="1" t="n"/>
    </row>
    <row r="6"/>
    <row r="7">
      <c r="B7" t="inlineStr">
        <is>
          <t>Cash</t>
        </is>
      </c>
      <c r="C7" s="21">
        <f>19.171+73.454</f>
        <v>92.625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764.05612555</v>
      </c>
    </row>
    <row r="10"/>
    <row r="11">
      <c r="B11" s="14" t="inlineStr">
        <is>
          <t>Net Cash / Share</t>
        </is>
      </c>
      <c r="C11" s="11">
        <f>(C7-C8)/C4</f>
        <v>0.46816281815770183</v>
      </c>
    </row>
    <row r="12">
      <c r="B12" s="14" t="inlineStr">
        <is>
          <t>Upside</t>
        </is>
      </c>
      <c r="C12" s="15">
        <f>IFERROR(C11/C3-1,"")</f>
        <v>-0.8918792567765123</v>
      </c>
    </row>
    <row r="13">
      <c r="B13" s="14" t="inlineStr">
        <is>
          <t>Cash / Share</t>
        </is>
      </c>
      <c r="C13" s="11">
        <f>IFERROR((C7-C8)/C4,"")</f>
        <v>0.46816281815770183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-24.625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3.761421319796954</v>
      </c>
    </row>
    <row r="19">
      <c r="B19" s="14" t="inlineStr">
        <is>
          <t>Implied Pipeline Value</t>
        </is>
      </c>
      <c r="C19" s="13">
        <f>C9</f>
        <v>764.05612555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10.189</v>
      </c>
      <c r="C2" s="23" t="n">
        <v>15.08</v>
      </c>
      <c r="D2" s="23" t="n">
        <v>16.812</v>
      </c>
      <c r="E2" s="23" t="n">
        <v>14.105</v>
      </c>
      <c r="F2" s="23" t="n">
        <v>15.465</v>
      </c>
      <c r="G2" s="23" t="n">
        <v>14.953</v>
      </c>
      <c r="H2" s="23" t="n">
        <v>23.276</v>
      </c>
      <c r="I2" s="23" t="n">
        <v>1.491</v>
      </c>
      <c r="J2" s="23" t="n">
        <v>10.7</v>
      </c>
      <c r="K2" s="23" t="n">
        <v>5.945</v>
      </c>
      <c r="L2" s="23" t="n">
        <v>6.011</v>
      </c>
      <c r="M2" s="23" t="n">
        <v>6.914</v>
      </c>
      <c r="N2" s="23" t="n">
        <v>10.988</v>
      </c>
      <c r="O2" s="23" t="n">
        <v>39.019</v>
      </c>
      <c r="P2" s="23" t="n">
        <v>18.141</v>
      </c>
      <c r="Q2" s="23" t="n">
        <v>6.171</v>
      </c>
      <c r="R2" s="23" t="n">
        <v>14.083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10.189</v>
      </c>
      <c r="C4" s="23">
        <f>C2-C3</f>
        <v>15.08</v>
      </c>
      <c r="D4" s="23">
        <f>D2-D3</f>
        <v>16.812</v>
      </c>
      <c r="E4" s="23">
        <f>E2-E3</f>
        <v>14.105</v>
      </c>
      <c r="F4" s="23">
        <f>F2-F3</f>
        <v>15.465</v>
      </c>
      <c r="G4" s="23">
        <f>G2-G3</f>
        <v>14.953</v>
      </c>
      <c r="H4" s="23">
        <f>H2-H3</f>
        <v>23.276</v>
      </c>
      <c r="I4" s="23">
        <f>I2-I3</f>
        <v>1.491</v>
      </c>
      <c r="J4" s="23">
        <f>J2-J3</f>
        <v>10.7</v>
      </c>
      <c r="K4" s="23">
        <f>K2-K3</f>
        <v>5.945</v>
      </c>
      <c r="L4" s="23">
        <f>L2-L3</f>
        <v>6.011</v>
      </c>
      <c r="M4" s="23">
        <f>M2-M3</f>
        <v>6.914</v>
      </c>
      <c r="N4" s="23">
        <f>N2-N3</f>
        <v>10.988</v>
      </c>
      <c r="O4" s="23">
        <f>O2-O3</f>
        <v>39.019</v>
      </c>
      <c r="P4" s="23">
        <f>P2-P3</f>
        <v>18.141</v>
      </c>
      <c r="Q4" s="23">
        <f>Q2-Q3</f>
        <v>6.171</v>
      </c>
      <c r="R4" s="23">
        <f>R2-R3</f>
        <v>14.083</v>
      </c>
    </row>
    <row r="5">
      <c r="A5" s="2" t="inlineStr">
        <is>
          <t>Research &amp; Dev.</t>
        </is>
      </c>
      <c r="B5" s="23" t="n">
        <v>12.545</v>
      </c>
      <c r="C5" s="23" t="n">
        <v>15.63</v>
      </c>
      <c r="D5" s="23" t="n">
        <v>20.132</v>
      </c>
      <c r="E5" s="23" t="n">
        <v>18.043</v>
      </c>
      <c r="F5" s="23" t="n">
        <v>21.458</v>
      </c>
      <c r="G5" s="23" t="n">
        <v>38.713</v>
      </c>
      <c r="H5" s="23" t="n">
        <v>51.505</v>
      </c>
      <c r="I5" s="23" t="n">
        <v>61.253</v>
      </c>
      <c r="J5" s="23" t="n">
        <v>62.676</v>
      </c>
      <c r="K5" s="23" t="n">
        <v>57.934</v>
      </c>
      <c r="L5" s="23" t="n">
        <v>57.601</v>
      </c>
      <c r="M5" s="23" t="n">
        <v>49.338</v>
      </c>
      <c r="N5" s="23" t="n">
        <v>65.502</v>
      </c>
      <c r="O5" s="23" t="n">
        <v>84.408</v>
      </c>
      <c r="P5" s="23" t="n">
        <v>73.7</v>
      </c>
      <c r="Q5" s="23" t="n">
        <v>54.037</v>
      </c>
      <c r="R5" s="23" t="n">
        <v>25.241</v>
      </c>
    </row>
    <row r="6">
      <c r="A6" s="19" t="inlineStr">
        <is>
          <t>SG&amp;A &amp; Other</t>
        </is>
      </c>
      <c r="B6" s="23" t="n">
        <v>3.631</v>
      </c>
      <c r="C6" s="23" t="n">
        <v>8.288</v>
      </c>
      <c r="D6" s="23" t="n">
        <v>7.373</v>
      </c>
      <c r="E6" s="23" t="n">
        <v>9.007</v>
      </c>
      <c r="F6" s="23" t="n">
        <v>6.159</v>
      </c>
      <c r="G6" s="23" t="n">
        <v>9.673999999999999</v>
      </c>
      <c r="H6" s="23" t="n">
        <v>75.69</v>
      </c>
      <c r="I6" s="23" t="n">
        <v>431.877</v>
      </c>
      <c r="J6" s="23" t="n">
        <v>58.954</v>
      </c>
      <c r="K6" s="23" t="n">
        <v>37.791</v>
      </c>
      <c r="L6" s="23" t="n">
        <v>92.31100000000001</v>
      </c>
      <c r="M6" s="23" t="n">
        <v>15.382</v>
      </c>
      <c r="N6" s="23" t="n">
        <v>19.008</v>
      </c>
      <c r="O6" s="23" t="n">
        <v>20.067</v>
      </c>
      <c r="P6" s="23" t="n">
        <v>22.544</v>
      </c>
      <c r="Q6" s="23" t="n">
        <v>28.453</v>
      </c>
      <c r="R6" s="23" t="n">
        <v>27.002</v>
      </c>
    </row>
    <row r="7">
      <c r="A7" s="2" t="inlineStr">
        <is>
          <t>Operating Expense</t>
        </is>
      </c>
      <c r="B7" s="23">
        <f>SUM(B5:B6)</f>
        <v>16.176</v>
      </c>
      <c r="C7" s="23">
        <f>SUM(C5:C6)</f>
        <v>23.918</v>
      </c>
      <c r="D7" s="23">
        <f>SUM(D5:D6)</f>
        <v>27.505000000000003</v>
      </c>
      <c r="E7" s="23">
        <f>SUM(E5:E6)</f>
        <v>27.049999999999997</v>
      </c>
      <c r="F7" s="23">
        <f>SUM(F5:F6)</f>
        <v>27.616999999999997</v>
      </c>
      <c r="G7" s="23">
        <f>SUM(G5:G6)</f>
        <v>48.387</v>
      </c>
      <c r="H7" s="23">
        <f>SUM(H5:H6)</f>
        <v>127.195</v>
      </c>
      <c r="I7" s="23">
        <f>SUM(I5:I6)</f>
        <v>493.13</v>
      </c>
      <c r="J7" s="23">
        <f>SUM(J5:J6)</f>
        <v>121.63</v>
      </c>
      <c r="K7" s="23">
        <f>SUM(K5:K6)</f>
        <v>95.725</v>
      </c>
      <c r="L7" s="23">
        <f>SUM(L5:L6)</f>
        <v>149.912</v>
      </c>
      <c r="M7" s="23">
        <f>SUM(M5:M6)</f>
        <v>64.72</v>
      </c>
      <c r="N7" s="23">
        <f>SUM(N5:N6)</f>
        <v>84.50999999999999</v>
      </c>
      <c r="O7" s="23">
        <f>SUM(O5:O6)</f>
        <v>104.475</v>
      </c>
      <c r="P7" s="23">
        <f>SUM(P5:P6)</f>
        <v>96.244</v>
      </c>
      <c r="Q7" s="23">
        <f>SUM(Q5:Q6)</f>
        <v>82.49</v>
      </c>
      <c r="R7" s="23">
        <f>SUM(R5:R6)</f>
        <v>52.242999999999995</v>
      </c>
    </row>
    <row r="8">
      <c r="A8" s="2" t="inlineStr">
        <is>
          <t>Operating Income</t>
        </is>
      </c>
      <c r="B8" s="23">
        <f>B4-B7</f>
        <v>-5.986999999999998</v>
      </c>
      <c r="C8" s="23">
        <f>C4-C7</f>
        <v>-8.838</v>
      </c>
      <c r="D8" s="23">
        <f>D4-D7</f>
        <v>-10.693000000000001</v>
      </c>
      <c r="E8" s="23">
        <f>E4-E7</f>
        <v>-12.944999999999997</v>
      </c>
      <c r="F8" s="23">
        <f>F4-F7</f>
        <v>-12.151999999999997</v>
      </c>
      <c r="G8" s="23">
        <f>G4-G7</f>
        <v>-33.434</v>
      </c>
      <c r="H8" s="23">
        <f>H4-H7</f>
        <v>-103.919</v>
      </c>
      <c r="I8" s="23">
        <f>I4-I7</f>
        <v>-491.639</v>
      </c>
      <c r="J8" s="23">
        <f>J4-J7</f>
        <v>-110.92999999999999</v>
      </c>
      <c r="K8" s="23">
        <f>K4-K7</f>
        <v>-89.78</v>
      </c>
      <c r="L8" s="23">
        <f>L4-L7</f>
        <v>-143.901</v>
      </c>
      <c r="M8" s="23">
        <f>M4-M7</f>
        <v>-57.806</v>
      </c>
      <c r="N8" s="23">
        <f>N4-N7</f>
        <v>-73.52199999999999</v>
      </c>
      <c r="O8" s="23">
        <f>O4-O7</f>
        <v>-65.45599999999999</v>
      </c>
      <c r="P8" s="23">
        <f>P4-P7</f>
        <v>-78.10300000000001</v>
      </c>
      <c r="Q8" s="23">
        <f>Q4-Q7</f>
        <v>-76.31899999999999</v>
      </c>
      <c r="R8" s="23">
        <f>R4-R7</f>
        <v>-38.16</v>
      </c>
    </row>
    <row r="9">
      <c r="A9" s="19" t="inlineStr">
        <is>
          <t>Interest &amp; Other</t>
        </is>
      </c>
      <c r="B9" s="23" t="n">
        <v>-0.192</v>
      </c>
      <c r="C9" s="23" t="n">
        <v>0.07000000000000001</v>
      </c>
      <c r="D9" s="23" t="n">
        <v>0.61</v>
      </c>
      <c r="E9" s="23" t="n">
        <v>42.556</v>
      </c>
      <c r="F9" s="23" t="n">
        <v>-1.911</v>
      </c>
      <c r="G9" s="23" t="n">
        <v>-5.403</v>
      </c>
      <c r="H9" s="23" t="n">
        <v>25.016</v>
      </c>
      <c r="I9" s="23" t="n">
        <v>2.473</v>
      </c>
      <c r="J9" s="23" t="n">
        <v>2.197</v>
      </c>
      <c r="K9" s="23" t="n">
        <v>28.438</v>
      </c>
      <c r="L9" s="23" t="n">
        <v>-22.478</v>
      </c>
      <c r="M9" s="23" t="n">
        <v>-5.939</v>
      </c>
      <c r="N9" s="23" t="n">
        <v>-2.725</v>
      </c>
      <c r="O9" s="23" t="n">
        <v>0.444</v>
      </c>
      <c r="P9" s="23" t="n">
        <v>5.254</v>
      </c>
      <c r="Q9" s="23" t="n">
        <v>6.399</v>
      </c>
      <c r="R9" s="23" t="n">
        <v>4.659</v>
      </c>
    </row>
    <row r="10">
      <c r="A10" s="2" t="inlineStr">
        <is>
          <t>Pretax</t>
        </is>
      </c>
      <c r="B10" s="23">
        <f>B8+B9</f>
        <v>-6.1789999999999985</v>
      </c>
      <c r="C10" s="23">
        <f>C8+C9</f>
        <v>-8.767999999999999</v>
      </c>
      <c r="D10" s="23">
        <f>D8+D9</f>
        <v>-10.083000000000002</v>
      </c>
      <c r="E10" s="23">
        <f>E8+E9</f>
        <v>29.611</v>
      </c>
      <c r="F10" s="23">
        <f>F8+F9</f>
        <v>-14.062999999999997</v>
      </c>
      <c r="G10" s="23">
        <f>G8+G9</f>
        <v>-38.836999999999996</v>
      </c>
      <c r="H10" s="23">
        <f>H8+H9</f>
        <v>-78.90299999999999</v>
      </c>
      <c r="I10" s="23">
        <f>I8+I9</f>
        <v>-489.166</v>
      </c>
      <c r="J10" s="23">
        <f>J8+J9</f>
        <v>-108.73299999999999</v>
      </c>
      <c r="K10" s="23">
        <f>K8+K9</f>
        <v>-61.342</v>
      </c>
      <c r="L10" s="23">
        <f>L8+L9</f>
        <v>-166.37900000000002</v>
      </c>
      <c r="M10" s="23">
        <f>M8+M9</f>
        <v>-63.745</v>
      </c>
      <c r="N10" s="23">
        <f>N8+N9</f>
        <v>-76.24699999999999</v>
      </c>
      <c r="O10" s="23">
        <f>O8+O9</f>
        <v>-65.01199999999999</v>
      </c>
      <c r="P10" s="23">
        <f>P8+P9</f>
        <v>-72.849</v>
      </c>
      <c r="Q10" s="23">
        <f>Q8+Q9</f>
        <v>-69.91999999999999</v>
      </c>
      <c r="R10" s="23">
        <f>R8+R9</f>
        <v>-33.501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-16.185</v>
      </c>
      <c r="I11" s="23" t="n">
        <v>-105.002</v>
      </c>
      <c r="J11" s="23" t="n">
        <v>-24.32</v>
      </c>
      <c r="K11" s="23" t="n">
        <v>-4.282</v>
      </c>
      <c r="L11" s="23" t="n">
        <v>-12.656</v>
      </c>
      <c r="M11" s="23" t="n">
        <v>0</v>
      </c>
      <c r="N11" s="23" t="n">
        <v>0</v>
      </c>
      <c r="O11" s="23" t="n">
        <v>4.444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-6.178</v>
      </c>
      <c r="C12" s="23" t="n">
        <v>-8.766999999999999</v>
      </c>
      <c r="D12" s="23" t="n">
        <v>-10.083</v>
      </c>
      <c r="E12" s="23" t="n">
        <v>29.611</v>
      </c>
      <c r="F12" s="23" t="n">
        <v>-14.063</v>
      </c>
      <c r="G12" s="23" t="n">
        <v>-38.837</v>
      </c>
      <c r="H12" s="23" t="n">
        <v>-62.718</v>
      </c>
      <c r="I12" s="23" t="n">
        <v>-384.164</v>
      </c>
      <c r="J12" s="23" t="n">
        <v>-84.413</v>
      </c>
      <c r="K12" s="23" t="n">
        <v>-57.06</v>
      </c>
      <c r="L12" s="23" t="n">
        <v>-153.723</v>
      </c>
      <c r="M12" s="23" t="n">
        <v>-63.745</v>
      </c>
      <c r="N12" s="23" t="n">
        <v>-76.247</v>
      </c>
      <c r="O12" s="23" t="n">
        <v>-69.456</v>
      </c>
      <c r="P12" s="23" t="n">
        <v>-72.849</v>
      </c>
      <c r="Q12" s="23" t="n">
        <v>-69.92</v>
      </c>
      <c r="R12" s="23" t="n">
        <v>-33.501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-0.8484467240878737</v>
      </c>
      <c r="D13" s="11">
        <f>IFERROR(D12/D14,0)</f>
        <v>-0.8908030744765438</v>
      </c>
      <c r="E13" s="11">
        <f>IFERROR(E12/E14,0)</f>
        <v>2.06766287270442</v>
      </c>
      <c r="F13" s="11">
        <f>IFERROR(F12/F14,0)</f>
        <v>-0.9189701365745279</v>
      </c>
      <c r="G13" s="11">
        <f>IFERROR(G12/G14,0)</f>
        <v>-1.7977595704300329</v>
      </c>
      <c r="H13" s="11">
        <f>IFERROR(H12/H14,0)</f>
        <v>-1.379569750560908</v>
      </c>
      <c r="I13" s="11">
        <f>IFERROR(I12/I14,0)</f>
        <v>-7.238271093190639</v>
      </c>
      <c r="J13" s="11">
        <f>IFERROR(J12/J14,0)</f>
        <v>-1.5425506642545181</v>
      </c>
      <c r="K13" s="11">
        <f>IFERROR(K12/K14,0)</f>
        <v>-1.0317517720237235</v>
      </c>
      <c r="L13" s="11">
        <f>IFERROR(L12/L14,0)</f>
        <v>-2.692501707740003</v>
      </c>
      <c r="M13" s="11">
        <f>IFERROR(M12/M14,0)</f>
        <v>-0.8405749324190678</v>
      </c>
      <c r="N13" s="11">
        <f>IFERROR(N12/N14,0)</f>
        <v>-0.7176728600741703</v>
      </c>
      <c r="O13" s="11">
        <f>IFERROR(O12/O14,0)</f>
        <v>-0.46015940214258744</v>
      </c>
      <c r="P13" s="11">
        <f>IFERROR(P12/P14,0)</f>
        <v>-0.43895516992046274</v>
      </c>
      <c r="Q13" s="11">
        <f>IFERROR(Q12/Q14,0)</f>
        <v>-0.3767058709437581</v>
      </c>
      <c r="R13" s="11">
        <f>IFERROR(R12/R14,0)</f>
        <v>-0.17484864300626304</v>
      </c>
    </row>
    <row r="14">
      <c r="A14" s="2" t="inlineStr">
        <is>
          <t>Shares</t>
        </is>
      </c>
      <c r="B14" s="23" t="n"/>
      <c r="C14" s="23" t="n">
        <v>10.333</v>
      </c>
      <c r="D14" s="23" t="n">
        <v>11.319</v>
      </c>
      <c r="E14" s="23" t="n">
        <v>14.321</v>
      </c>
      <c r="F14" s="23" t="n">
        <v>15.303</v>
      </c>
      <c r="G14" s="23" t="n">
        <v>21.603</v>
      </c>
      <c r="H14" s="23" t="n">
        <v>45.462</v>
      </c>
      <c r="I14" s="23" t="n">
        <v>53.074</v>
      </c>
      <c r="J14" s="23" t="n">
        <v>54.723</v>
      </c>
      <c r="K14" s="23" t="n">
        <v>55.304</v>
      </c>
      <c r="L14" s="23" t="n">
        <v>57.093</v>
      </c>
      <c r="M14" s="23" t="n">
        <v>75.83499999999999</v>
      </c>
      <c r="N14" s="23" t="n">
        <v>106.242</v>
      </c>
      <c r="O14" s="23" t="n">
        <v>150.939</v>
      </c>
      <c r="P14" s="23" t="n">
        <v>165.96</v>
      </c>
      <c r="Q14" s="23" t="n">
        <v>185.609</v>
      </c>
      <c r="R14" s="23" t="n">
        <v>191.6</v>
      </c>
    </row>
    <row r="15"/>
    <row r="16" customFormat="1" s="4">
      <c r="A16" s="3" t="inlineStr">
        <is>
          <t>Revenue Change</t>
        </is>
      </c>
      <c r="C16" s="15">
        <f>IFERROR(C2/B2-1,"")</f>
        <v>0.4800274806163509</v>
      </c>
      <c r="D16" s="15">
        <f>IFERROR(D2/C2-1,"")</f>
        <v>0.11485411140583568</v>
      </c>
      <c r="E16" s="15">
        <f>IFERROR(E2/D2-1,"")</f>
        <v>-0.16101594099452776</v>
      </c>
      <c r="F16" s="15">
        <f>IFERROR(F2/E2-1,"")</f>
        <v>0.09641970932293509</v>
      </c>
      <c r="G16" s="15">
        <f>IFERROR(G2/F2-1,"")</f>
        <v>-0.03310701584222442</v>
      </c>
      <c r="H16" s="15">
        <f>IFERROR(H2/G2-1,"")</f>
        <v>0.5566107135691836</v>
      </c>
      <c r="I16" s="15">
        <f>IFERROR(I2/H2-1,"")</f>
        <v>-0.9359426018216188</v>
      </c>
      <c r="J16" s="15">
        <f>IFERROR(J2/I2-1,"")</f>
        <v>6.176391683433936</v>
      </c>
      <c r="K16" s="15">
        <f>IFERROR(K2/J2-1,"")</f>
        <v>-0.44439252336448587</v>
      </c>
      <c r="L16" s="15">
        <f>IFERROR(L2/K2-1,"")</f>
        <v>0.011101766190075635</v>
      </c>
      <c r="M16" s="15">
        <f>IFERROR(M2/L2-1,"")</f>
        <v>0.15022458825486606</v>
      </c>
      <c r="N16" s="15">
        <f>IFERROR(N2/M2-1,"")</f>
        <v>0.5892392247613538</v>
      </c>
      <c r="O16" s="15">
        <f>IFERROR(O2/N2-1,"")</f>
        <v>2.5510556971241356</v>
      </c>
      <c r="P16" s="15">
        <f>IFERROR(P2/O2-1,"")</f>
        <v>-0.5350726569107358</v>
      </c>
      <c r="Q16" s="15">
        <f>IFERROR(Q2/P2-1,"")</f>
        <v>-0.6598313213163551</v>
      </c>
      <c r="R16" s="15">
        <f>IFERROR(R2/Q2-1,"")</f>
        <v>1.2821260735699238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>-0.5875944646187062</v>
      </c>
      <c r="C18" s="15">
        <f>IFERROR(C8/C2,"")</f>
        <v>-0.5860742705570291</v>
      </c>
      <c r="D18" s="15">
        <f>IFERROR(D8/D2,"")</f>
        <v>-0.6360337853913871</v>
      </c>
      <c r="E18" s="15">
        <f>IFERROR(E8/E2,"")</f>
        <v>-0.9177596596951433</v>
      </c>
      <c r="F18" s="15">
        <f>IFERROR(F8/F2,"")</f>
        <v>-0.7857743291302941</v>
      </c>
      <c r="G18" s="15">
        <f>IFERROR(G8/G2,"")</f>
        <v>-2.235939276399385</v>
      </c>
      <c r="H18" s="15">
        <f>IFERROR(H8/H2,"")</f>
        <v>-4.4646416910122015</v>
      </c>
      <c r="I18" s="15">
        <f>IFERROR(I8/I2,"")</f>
        <v>-329.73775989268944</v>
      </c>
      <c r="J18" s="15">
        <f>IFERROR(J8/J2,"")</f>
        <v>-10.367289719626168</v>
      </c>
      <c r="K18" s="15">
        <f>IFERROR(K8/K2,"")</f>
        <v>-15.101766190075693</v>
      </c>
      <c r="L18" s="15">
        <f>IFERROR(L8/L2,"")</f>
        <v>-23.939610713691568</v>
      </c>
      <c r="M18" s="15">
        <f>IFERROR(M8/M2,"")</f>
        <v>-8.36071738501591</v>
      </c>
      <c r="N18" s="15">
        <f>IFERROR(N8/N2,"")</f>
        <v>-6.691117582817618</v>
      </c>
      <c r="O18" s="15">
        <f>IFERROR(O8/O2,"")</f>
        <v>-1.6775417104487556</v>
      </c>
      <c r="P18" s="15">
        <f>IFERROR(P8/P2,"")</f>
        <v>-4.305330466898187</v>
      </c>
      <c r="Q18" s="15">
        <f>IFERROR(Q8/Q2,"")</f>
        <v>-12.367363474315344</v>
      </c>
      <c r="R18" s="15">
        <f>IFERROR(R8/R2,"")</f>
        <v>-2.709649932542782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2026-10-21T06:24:07Z</dcterms:modified>
  <cp:lastModifiedBy>Wang, Eric</cp:lastModifiedBy>
</cp:coreProperties>
</file>