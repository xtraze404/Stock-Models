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Theriva Biologics Inc</t>
        </is>
      </c>
      <c r="C2" s="10" t="n"/>
    </row>
    <row r="3">
      <c r="B3" t="inlineStr">
        <is>
          <t>Price</t>
        </is>
      </c>
      <c r="C3" s="11">
        <f>INDEX([1]Pharma!$F$1:$F$1000,MATCH("TOVX",[1]Pharma!$B$1:$B$1000,0))</f>
        <v>0.2047</v>
      </c>
      <c r="F3" s="1" t="n"/>
    </row>
    <row r="4">
      <c r="B4" t="inlineStr">
        <is>
          <t>Shares</t>
        </is>
      </c>
      <c r="C4" s="21" t="n">
        <v>45.892668</v>
      </c>
      <c r="F4" s="1" t="n"/>
    </row>
    <row r="5">
      <c r="B5" t="inlineStr">
        <is>
          <t>Market Cap.</t>
        </is>
      </c>
      <c r="C5" s="13">
        <f>C3*C4</f>
        <v>9.3942291396</v>
      </c>
      <c r="F5" s="1" t="n"/>
    </row>
    <row r="6"/>
    <row r="7">
      <c r="B7" t="inlineStr">
        <is>
          <t>Cash</t>
        </is>
      </c>
      <c r="C7" s="21" t="n">
        <v>11.337</v>
      </c>
    </row>
    <row r="8">
      <c r="B8" t="inlineStr">
        <is>
          <t>Debt</t>
        </is>
      </c>
      <c r="C8" s="21">
        <f>0.034+1.62</f>
        <v>1.6540000000000001</v>
      </c>
    </row>
    <row r="9">
      <c r="B9" t="inlineStr">
        <is>
          <t>Enterprise V.</t>
        </is>
      </c>
      <c r="C9" s="13">
        <f>C5-C7+C8</f>
        <v>-0.28877086039999944</v>
      </c>
    </row>
    <row r="10"/>
    <row r="11">
      <c r="B11" s="14" t="inlineStr">
        <is>
          <t>rNPV / Share</t>
        </is>
      </c>
      <c r="C11" s="11">
        <f>NPV!B27</f>
        <v>7.540440126632645</v>
      </c>
    </row>
    <row r="12">
      <c r="B12" s="14" t="inlineStr">
        <is>
          <t>Upside</t>
        </is>
      </c>
      <c r="C12" s="15">
        <f>IFERROR(C11/C3-1,"")</f>
        <v>35.83654189854737</v>
      </c>
    </row>
    <row r="13">
      <c r="B13" s="14" t="inlineStr">
        <is>
          <t>Cash / Share</t>
        </is>
      </c>
      <c r="C13" s="11">
        <f>IFERROR((C7-C8)/C4,"")</f>
        <v>0.21099230927258358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-12.742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0.7599277978339349</v>
      </c>
    </row>
    <row r="19">
      <c r="B19" s="14" t="inlineStr">
        <is>
          <t>Implied Pipeline Value</t>
        </is>
      </c>
      <c r="C19" s="13">
        <f>C9</f>
        <v>-0.28877086039999944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2.614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2.614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1.58</v>
      </c>
      <c r="C5" s="23" t="n">
        <v>3.34</v>
      </c>
      <c r="D5" s="23" t="n">
        <v>12.287</v>
      </c>
      <c r="E5" s="23" t="n">
        <v>6.507</v>
      </c>
      <c r="F5" s="23" t="n">
        <v>14.489</v>
      </c>
      <c r="G5" s="23" t="n">
        <v>32.906</v>
      </c>
      <c r="H5" s="23" t="n">
        <v>29.109</v>
      </c>
      <c r="I5" s="23" t="n">
        <v>18.784</v>
      </c>
      <c r="J5" s="23" t="n">
        <v>11.844</v>
      </c>
      <c r="K5" s="23" t="n">
        <v>11.083</v>
      </c>
      <c r="L5" s="23" t="n">
        <v>5.131</v>
      </c>
      <c r="M5" s="23" t="n">
        <v>7.8</v>
      </c>
      <c r="N5" s="23" t="n">
        <v>11.723</v>
      </c>
      <c r="O5" s="23" t="n">
        <v>14.311</v>
      </c>
      <c r="P5" s="23" t="n">
        <v>12.031</v>
      </c>
      <c r="Q5" s="23" t="n">
        <v>8.603999999999999</v>
      </c>
    </row>
    <row r="6">
      <c r="A6" s="19" t="inlineStr">
        <is>
          <t>SG&amp;A &amp; Other</t>
        </is>
      </c>
      <c r="B6" s="23" t="n">
        <v>2.117</v>
      </c>
      <c r="C6" s="23" t="n">
        <v>2.588</v>
      </c>
      <c r="D6" s="23" t="n">
        <v>5.012</v>
      </c>
      <c r="E6" s="23" t="n">
        <v>5.832</v>
      </c>
      <c r="F6" s="23" t="n">
        <v>6.013</v>
      </c>
      <c r="G6" s="23" t="n">
        <v>8.074</v>
      </c>
      <c r="H6" s="23" t="n">
        <v>10.143</v>
      </c>
      <c r="I6" s="23" t="n">
        <v>7.467</v>
      </c>
      <c r="J6" s="23" t="n">
        <v>5.727</v>
      </c>
      <c r="K6" s="23" t="n">
        <v>4.58</v>
      </c>
      <c r="L6" s="23" t="n">
        <v>5.029</v>
      </c>
      <c r="M6" s="23" t="n">
        <v>6.474</v>
      </c>
      <c r="N6" s="23" t="n">
        <v>9.858000000000001</v>
      </c>
      <c r="O6" s="23" t="n">
        <v>7.12</v>
      </c>
      <c r="P6" s="23" t="n">
        <v>14.315</v>
      </c>
      <c r="Q6" s="23" t="n">
        <v>15.447</v>
      </c>
    </row>
    <row r="7">
      <c r="A7" s="2" t="inlineStr">
        <is>
          <t>Operating Expense</t>
        </is>
      </c>
      <c r="B7" s="23">
        <f>SUM(B5:B6)</f>
        <v>3.697</v>
      </c>
      <c r="C7" s="23">
        <f>SUM(C5:C6)</f>
        <v>5.928</v>
      </c>
      <c r="D7" s="23">
        <f>SUM(D5:D6)</f>
        <v>17.299</v>
      </c>
      <c r="E7" s="23">
        <f>SUM(E5:E6)</f>
        <v>12.338999999999999</v>
      </c>
      <c r="F7" s="23">
        <f>SUM(F5:F6)</f>
        <v>20.502000000000002</v>
      </c>
      <c r="G7" s="23">
        <f>SUM(G5:G6)</f>
        <v>40.98</v>
      </c>
      <c r="H7" s="23">
        <f>SUM(H5:H6)</f>
        <v>39.252</v>
      </c>
      <c r="I7" s="23">
        <f>SUM(I5:I6)</f>
        <v>26.250999999999998</v>
      </c>
      <c r="J7" s="23">
        <f>SUM(J5:J6)</f>
        <v>17.570999999999998</v>
      </c>
      <c r="K7" s="23">
        <f>SUM(K5:K6)</f>
        <v>15.663</v>
      </c>
      <c r="L7" s="23">
        <f>SUM(L5:L6)</f>
        <v>10.16</v>
      </c>
      <c r="M7" s="23">
        <f>SUM(M5:M6)</f>
        <v>14.274000000000001</v>
      </c>
      <c r="N7" s="23">
        <f>SUM(N5:N6)</f>
        <v>21.581000000000003</v>
      </c>
      <c r="O7" s="23">
        <f>SUM(O5:O6)</f>
        <v>21.431</v>
      </c>
      <c r="P7" s="23">
        <f>SUM(P5:P6)</f>
        <v>26.346</v>
      </c>
      <c r="Q7" s="23">
        <f>SUM(Q5:Q6)</f>
        <v>24.051</v>
      </c>
    </row>
    <row r="8">
      <c r="A8" s="2" t="inlineStr">
        <is>
          <t>Operating Income</t>
        </is>
      </c>
      <c r="B8" s="23">
        <f>B4-B7</f>
        <v>-1.0830000000000002</v>
      </c>
      <c r="C8" s="23">
        <f>C4-C7</f>
        <v>-5.928</v>
      </c>
      <c r="D8" s="23">
        <f>D4-D7</f>
        <v>-17.299</v>
      </c>
      <c r="E8" s="23">
        <f>E4-E7</f>
        <v>-12.338999999999999</v>
      </c>
      <c r="F8" s="23">
        <f>F4-F7</f>
        <v>-20.502000000000002</v>
      </c>
      <c r="G8" s="23">
        <f>G4-G7</f>
        <v>-40.98</v>
      </c>
      <c r="H8" s="23">
        <f>H4-H7</f>
        <v>-39.252</v>
      </c>
      <c r="I8" s="23">
        <f>I4-I7</f>
        <v>-26.250999999999998</v>
      </c>
      <c r="J8" s="23">
        <f>J4-J7</f>
        <v>-17.570999999999998</v>
      </c>
      <c r="K8" s="23">
        <f>K4-K7</f>
        <v>-15.663</v>
      </c>
      <c r="L8" s="23">
        <f>L4-L7</f>
        <v>-10.16</v>
      </c>
      <c r="M8" s="23">
        <f>M4-M7</f>
        <v>-14.274000000000001</v>
      </c>
      <c r="N8" s="23">
        <f>N4-N7</f>
        <v>-21.581000000000003</v>
      </c>
      <c r="O8" s="23">
        <f>O4-O7</f>
        <v>-21.431</v>
      </c>
      <c r="P8" s="23">
        <f>P4-P7</f>
        <v>-26.346</v>
      </c>
      <c r="Q8" s="23">
        <f>Q4-Q7</f>
        <v>-24.051</v>
      </c>
    </row>
    <row r="9">
      <c r="A9" s="19" t="inlineStr">
        <is>
          <t>Interest &amp; Other</t>
        </is>
      </c>
      <c r="B9" s="23" t="n">
        <v>-0.628</v>
      </c>
      <c r="C9" s="23" t="n">
        <v>-2.221</v>
      </c>
      <c r="D9" s="23" t="n">
        <v>0.231</v>
      </c>
      <c r="E9" s="23" t="n">
        <v>0.022</v>
      </c>
      <c r="F9" s="23" t="n">
        <v>0.718</v>
      </c>
      <c r="G9" s="23" t="n">
        <v>-2.757</v>
      </c>
      <c r="H9" s="23" t="n">
        <v>11.997</v>
      </c>
      <c r="I9" s="23" t="n">
        <v>11.077</v>
      </c>
      <c r="J9" s="23" t="n">
        <v>4.204</v>
      </c>
      <c r="K9" s="23" t="n">
        <v>0.36</v>
      </c>
      <c r="L9" s="23" t="n">
        <v>0.117</v>
      </c>
      <c r="M9" s="23" t="n">
        <v>0.007</v>
      </c>
      <c r="N9" s="23" t="n">
        <v>0.471</v>
      </c>
      <c r="O9" s="23" t="n">
        <v>1.442</v>
      </c>
      <c r="P9" s="23" t="n">
        <v>0.6929999999999999</v>
      </c>
      <c r="Q9" s="23" t="n">
        <v>0.312</v>
      </c>
    </row>
    <row r="10">
      <c r="A10" s="2" t="inlineStr">
        <is>
          <t>Pretax</t>
        </is>
      </c>
      <c r="B10" s="23">
        <f>B8+B9</f>
        <v>-1.7110000000000003</v>
      </c>
      <c r="C10" s="23">
        <f>C8+C9</f>
        <v>-8.149000000000001</v>
      </c>
      <c r="D10" s="23">
        <f>D8+D9</f>
        <v>-17.067999999999998</v>
      </c>
      <c r="E10" s="23">
        <f>E8+E9</f>
        <v>-12.316999999999998</v>
      </c>
      <c r="F10" s="23">
        <f>F8+F9</f>
        <v>-19.784000000000002</v>
      </c>
      <c r="G10" s="23">
        <f>G8+G9</f>
        <v>-43.736999999999995</v>
      </c>
      <c r="H10" s="23">
        <f>H8+H9</f>
        <v>-27.255000000000003</v>
      </c>
      <c r="I10" s="23">
        <f>I8+I9</f>
        <v>-15.173999999999998</v>
      </c>
      <c r="J10" s="23">
        <f>J8+J9</f>
        <v>-13.366999999999997</v>
      </c>
      <c r="K10" s="23">
        <f>K8+K9</f>
        <v>-15.303</v>
      </c>
      <c r="L10" s="23">
        <f>L8+L9</f>
        <v>-10.043</v>
      </c>
      <c r="M10" s="23">
        <f>M8+M9</f>
        <v>-14.267000000000001</v>
      </c>
      <c r="N10" s="23">
        <f>N8+N9</f>
        <v>-21.110000000000003</v>
      </c>
      <c r="O10" s="23">
        <f>O8+O9</f>
        <v>-19.989</v>
      </c>
      <c r="P10" s="23">
        <f>P8+P9</f>
        <v>-25.653</v>
      </c>
      <c r="Q10" s="23">
        <f>Q8+Q9</f>
        <v>-23.738999999999997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-1.425</v>
      </c>
      <c r="O11" s="23" t="n">
        <v>-1.64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-1.711</v>
      </c>
      <c r="C12" s="23" t="n">
        <v>-8.148999999999999</v>
      </c>
      <c r="D12" s="23" t="n">
        <v>-17.068</v>
      </c>
      <c r="E12" s="23" t="n">
        <v>-12.317</v>
      </c>
      <c r="F12" s="23" t="n">
        <v>-19.784</v>
      </c>
      <c r="G12" s="23" t="n">
        <v>-43.737</v>
      </c>
      <c r="H12" s="23" t="n">
        <v>-27.255</v>
      </c>
      <c r="I12" s="23" t="n">
        <v>-15.174</v>
      </c>
      <c r="J12" s="23" t="n">
        <v>-13.367</v>
      </c>
      <c r="K12" s="23" t="n">
        <v>-15.303</v>
      </c>
      <c r="L12" s="23" t="n">
        <v>-10.043</v>
      </c>
      <c r="M12" s="23" t="n">
        <v>-14.267</v>
      </c>
      <c r="N12" s="23" t="n">
        <v>-19.685</v>
      </c>
      <c r="O12" s="23" t="n">
        <v>-18.349</v>
      </c>
      <c r="P12" s="23" t="n">
        <v>-25.653</v>
      </c>
      <c r="Q12" s="23" t="n">
        <v>-23.739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-21.166233766233763</v>
      </c>
      <c r="D13" s="11">
        <f>IFERROR(D12/D14,0)</f>
        <v>-35.19175257731959</v>
      </c>
      <c r="E13" s="11">
        <f>IFERROR(E12/E14,0)</f>
        <v>-19.42744479495268</v>
      </c>
      <c r="F13" s="11">
        <f>IFERROR(F12/F14,0)</f>
        <v>-23.004651162790697</v>
      </c>
      <c r="G13" s="11">
        <f>IFERROR(G12/G14,0)</f>
        <v>-39.01605709188225</v>
      </c>
      <c r="H13" s="11">
        <f>IFERROR(H12/H14,0)</f>
        <v>-20.80534351145038</v>
      </c>
      <c r="I13" s="11">
        <f>IFERROR(I12/I14,0)</f>
        <v>-11.391891891891891</v>
      </c>
      <c r="J13" s="11">
        <f>IFERROR(J12/J14,0)</f>
        <v>-5.719726144629867</v>
      </c>
      <c r="K13" s="11">
        <f>IFERROR(K12/K14,0)</f>
        <v>-2.4826411421155097</v>
      </c>
      <c r="L13" s="11">
        <f>IFERROR(L12/L14,0)</f>
        <v>-1.4087529807827184</v>
      </c>
      <c r="M13" s="11">
        <f>IFERROR(M12/M14,0)</f>
        <v>-3.121881838074398</v>
      </c>
      <c r="N13" s="11">
        <f>IFERROR(N12/N14,0)</f>
        <v>-3.4246694502435626</v>
      </c>
      <c r="O13" s="11">
        <f>IFERROR(O12/O14,0)</f>
        <v>-3.164166235557855</v>
      </c>
      <c r="P13" s="11">
        <f>IFERROR(P12/P14,0)</f>
        <v>-2.114316327371631</v>
      </c>
      <c r="Q13" s="11">
        <f>IFERROR(Q12/Q14,0)</f>
        <v>-1.9552755127254757</v>
      </c>
    </row>
    <row r="14">
      <c r="A14" s="2" t="inlineStr">
        <is>
          <t>Shares</t>
        </is>
      </c>
      <c r="B14" s="23" t="n"/>
      <c r="C14" s="23" t="n">
        <v>0.385</v>
      </c>
      <c r="D14" s="23" t="n">
        <v>0.485</v>
      </c>
      <c r="E14" s="23" t="n">
        <v>0.634</v>
      </c>
      <c r="F14" s="23" t="n">
        <v>0.86</v>
      </c>
      <c r="G14" s="23" t="n">
        <v>1.121</v>
      </c>
      <c r="H14" s="23" t="n">
        <v>1.31</v>
      </c>
      <c r="I14" s="23" t="n">
        <v>1.332</v>
      </c>
      <c r="J14" s="23" t="n">
        <v>2.337</v>
      </c>
      <c r="K14" s="23" t="n">
        <v>6.164</v>
      </c>
      <c r="L14" s="23" t="n">
        <v>7.129</v>
      </c>
      <c r="M14" s="23" t="n">
        <v>4.57</v>
      </c>
      <c r="N14" s="23" t="n">
        <v>5.748</v>
      </c>
      <c r="O14" s="23" t="n">
        <v>5.799</v>
      </c>
      <c r="P14" s="23" t="n">
        <v>12.133</v>
      </c>
      <c r="Q14" s="23" t="n">
        <v>12.141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-0.41430757459831685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Theriva Biologics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0.2536636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11.924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285.6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336.36791530542996</v>
      </c>
      <c r="C29" s="42">
        <f>NPV!B25</f>
        <v>346.05091530542995</v>
      </c>
      <c r="D29" s="43">
        <f>NPV!B27</f>
        <v>7.540440126632645</v>
      </c>
      <c r="E29" s="44">
        <f>NPV!B29</f>
        <v>35.83654189854737</v>
      </c>
    </row>
    <row r="30">
      <c r="A30" s="45" t="n">
        <v>1</v>
      </c>
      <c r="B30" s="46">
        <f t="dataTable" ref="B30:E32" r1="B4"/>
        <v>120.18435194729936</v>
      </c>
      <c r="C30" s="46">
        <v>129.86735194729937</v>
      </c>
      <c r="D30" s="47">
        <v>2.8298061020836567</v>
      </c>
      <c r="E30" s="48">
        <v>12.824162687267497</v>
      </c>
    </row>
    <row r="31">
      <c r="A31" s="45" t="n">
        <v>2</v>
      </c>
      <c r="B31" s="46">
        <v>336.36791530542996</v>
      </c>
      <c r="C31" s="46">
        <v>346.05091530542995</v>
      </c>
      <c r="D31" s="47">
        <v>7.540440126632645</v>
      </c>
      <c r="E31" s="48">
        <v>35.83654189854737</v>
      </c>
    </row>
    <row r="32">
      <c r="A32" s="45" t="n">
        <v>3</v>
      </c>
      <c r="B32" s="46">
        <v>682.4303512481758</v>
      </c>
      <c r="C32" s="46">
        <v>692.1133512481758</v>
      </c>
      <c r="D32" s="47">
        <v>15.081131287642197</v>
      </c>
      <c r="E32" s="48">
        <v>72.6743101496932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7.540440126632645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2.1317985993145516</v>
      </c>
      <c r="C37" s="47">
        <v>3.3259319375209957</v>
      </c>
      <c r="D37" s="47">
        <v>4.495119300838141</v>
      </c>
      <c r="E37" s="47">
        <v>6.80459910618326</v>
      </c>
      <c r="F37" s="47">
        <v>9.096739630736476</v>
      </c>
    </row>
    <row r="38">
      <c r="A38" s="50" t="n">
        <v>0.8</v>
      </c>
      <c r="B38" s="47">
        <v>2.915203910427847</v>
      </c>
      <c r="C38" s="47">
        <v>4.479052605255427</v>
      </c>
      <c r="D38" s="47">
        <v>6.0215966323481345</v>
      </c>
      <c r="E38" s="47">
        <v>9.08105487371941</v>
      </c>
      <c r="F38" s="47">
        <v>12.126662992841533</v>
      </c>
    </row>
    <row r="39">
      <c r="A39" s="50" t="n">
        <v>1</v>
      </c>
      <c r="B39" s="47">
        <v>3.685677161985869</v>
      </c>
      <c r="C39" s="47">
        <v>5.622613514463804</v>
      </c>
      <c r="D39" s="47">
        <v>7.540440126632645</v>
      </c>
      <c r="E39" s="47">
        <v>11.350024888133861</v>
      </c>
      <c r="F39" s="47">
        <v>15.145362298211717</v>
      </c>
    </row>
    <row r="40">
      <c r="A40" s="50" t="n">
        <v>1.2</v>
      </c>
      <c r="B40" s="47">
        <v>4.44829803785076</v>
      </c>
      <c r="C40" s="47">
        <v>6.758345719831573</v>
      </c>
      <c r="D40" s="47">
        <v>9.051031405955055</v>
      </c>
      <c r="E40" s="47">
        <v>13.61578917684573</v>
      </c>
      <c r="F40" s="47">
        <v>18.160640195901756</v>
      </c>
    </row>
    <row r="41">
      <c r="A41" s="50" t="n">
        <v>1.4</v>
      </c>
      <c r="B41" s="47">
        <v>5.20826051970072</v>
      </c>
      <c r="C41" s="47">
        <v>7.894531958716365</v>
      </c>
      <c r="D41" s="47">
        <v>10.55949675476883</v>
      </c>
      <c r="E41" s="47">
        <v>15.874035592117737</v>
      </c>
      <c r="F41" s="47">
        <v>21.176361781016432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Theriva Biologics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Pancreatic cancer</t>
        </is>
      </c>
      <c r="C4" s="14" t="inlineStr">
        <is>
          <t>VCN-01 oncolytic adenovirus (zabilugene almadenorepvec), VCN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306.73160633988954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27.0</v>
      </c>
      <c r="S4" s="23">
        <f>IF(S$3&lt;$I4,0,$G4*Assumptions!$E$11*INDEX(Assumptions!$B$24:$G$24,MIN(6,S$3-$I4+1))*IF(S$3&gt;$J4,(1-Assumptions!$B$26)^(S$3-$J4),1)*IF($H4&gt;=1,1,MIN(0.97,$H4*Assumptions!$E$12)))</f>
        <v>67.5</v>
      </c>
      <c r="T4" s="23">
        <f>IF(T$3&lt;$I4,0,$G4*Assumptions!$E$11*INDEX(Assumptions!$B$24:$G$24,MIN(6,T$3-$I4+1))*IF(T$3&gt;$J4,(1-Assumptions!$B$26)^(T$3-$J4),1)*IF($H4&gt;=1,1,MIN(0.97,$H4*Assumptions!$E$12)))</f>
        <v>121.5</v>
      </c>
      <c r="U4" s="23">
        <f>IF(U$3&lt;$I4,0,$G4*Assumptions!$E$11*INDEX(Assumptions!$B$24:$G$24,MIN(6,U$3-$I4+1))*IF(U$3&gt;$J4,(1-Assumptions!$B$26)^(U$3-$J4),1)*IF($H4&gt;=1,1,MIN(0.97,$H4*Assumptions!$E$12)))</f>
        <v>175.5</v>
      </c>
      <c r="V4" s="23">
        <f>IF(V$3&lt;$I4,0,$G4*Assumptions!$E$11*INDEX(Assumptions!$B$24:$G$24,MIN(6,V$3-$I4+1))*IF(V$3&gt;$J4,(1-Assumptions!$B$26)^(V$3-$J4),1)*IF($H4&gt;=1,1,MIN(0.97,$H4*Assumptions!$E$12)))</f>
        <v>229.5</v>
      </c>
      <c r="W4" s="23">
        <f>IF(W$3&lt;$I4,0,$G4*Assumptions!$E$11*INDEX(Assumptions!$B$24:$G$24,MIN(6,W$3-$I4+1))*IF(W$3&gt;$J4,(1-Assumptions!$B$26)^(W$3-$J4),1)*IF($H4&gt;=1,1,MIN(0.97,$H4*Assumptions!$E$12)))</f>
        <v>270.0</v>
      </c>
      <c r="X4" s="23">
        <f>IF(X$3&lt;$I4,0,$G4*Assumptions!$E$11*INDEX(Assumptions!$B$24:$G$24,MIN(6,X$3-$I4+1))*IF(X$3&gt;$J4,(1-Assumptions!$B$26)^(X$3-$J4),1)*IF($H4&gt;=1,1,MIN(0.97,$H4*Assumptions!$E$12)))</f>
        <v>270.0</v>
      </c>
      <c r="Y4" s="23">
        <f>IF(Y$3&lt;$I4,0,$G4*Assumptions!$E$11*INDEX(Assumptions!$B$24:$G$24,MIN(6,Y$3-$I4+1))*IF(Y$3&gt;$J4,(1-Assumptions!$B$26)^(Y$3-$J4),1)*IF($H4&gt;=1,1,MIN(0.97,$H4*Assumptions!$E$12)))</f>
        <v>270.0</v>
      </c>
      <c r="Z4" s="23">
        <f>IF(Z$3&lt;$I4,0,$G4*Assumptions!$E$11*INDEX(Assumptions!$B$24:$G$24,MIN(6,Z$3-$I4+1))*IF(Z$3&gt;$J4,(1-Assumptions!$B$26)^(Z$3-$J4),1)*IF($H4&gt;=1,1,MIN(0.97,$H4*Assumptions!$E$12)))</f>
        <v>270.0</v>
      </c>
      <c r="AA4" s="23">
        <f>IF(AA$3&lt;$I4,0,$G4*Assumptions!$E$11*INDEX(Assumptions!$B$24:$G$24,MIN(6,AA$3-$I4+1))*IF(AA$3&gt;$J4,(1-Assumptions!$B$26)^(AA$3-$J4),1)*IF($H4&gt;=1,1,MIN(0.97,$H4*Assumptions!$E$12)))</f>
        <v>270.0</v>
      </c>
      <c r="AB4" s="23">
        <f>IF(AB$3&lt;$I4,0,$G4*Assumptions!$E$11*INDEX(Assumptions!$B$24:$G$24,MIN(6,AB$3-$I4+1))*IF(AB$3&gt;$J4,(1-Assumptions!$B$26)^(AB$3-$J4),1)*IF($H4&gt;=1,1,MIN(0.97,$H4*Assumptions!$E$12)))</f>
        <v>270.0</v>
      </c>
      <c r="AC4" s="23">
        <f>IF(AC$3&lt;$I4,0,$G4*Assumptions!$E$11*INDEX(Assumptions!$B$24:$G$24,MIN(6,AC$3-$I4+1))*IF(AC$3&gt;$J4,(1-Assumptions!$B$26)^(AC$3-$J4),1)*IF($H4&gt;=1,1,MIN(0.97,$H4*Assumptions!$E$12)))</f>
        <v>270.0</v>
      </c>
      <c r="AD4" s="23">
        <f>IF(AD$3&lt;$I4,0,$G4*Assumptions!$E$11*INDEX(Assumptions!$B$24:$G$24,MIN(6,AD$3-$I4+1))*IF(AD$3&gt;$J4,(1-Assumptions!$B$26)^(AD$3-$J4),1)*IF($H4&gt;=1,1,MIN(0.97,$H4*Assumptions!$E$12)))</f>
        <v>270.0</v>
      </c>
      <c r="AE4" s="23">
        <f>IF(AE$3&lt;$I4,0,$G4*Assumptions!$E$11*INDEX(Assumptions!$B$24:$G$24,MIN(6,AE$3-$I4+1))*IF(AE$3&gt;$J4,(1-Assumptions!$B$26)^(AE$3-$J4),1)*IF($H4&gt;=1,1,MIN(0.97,$H4*Assumptions!$E$12)))</f>
        <v>135.0</v>
      </c>
      <c r="AF4" s="23">
        <f>IF(AF$3&lt;$I4,0,$G4*Assumptions!$E$11*INDEX(Assumptions!$B$24:$G$24,MIN(6,AF$3-$I4+1))*IF(AF$3&gt;$J4,(1-Assumptions!$B$26)^(AF$3-$J4),1)*IF($H4&gt;=1,1,MIN(0.97,$H4*Assumptions!$E$12)))</f>
        <v>67.5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Musculoskeletal</t>
        </is>
      </c>
      <c r="C5" s="14" t="inlineStr"/>
      <c r="D5" s="14" t="inlineStr">
        <is>
          <t>Phase 1/2</t>
        </is>
      </c>
      <c r="E5" s="14" t="inlineStr">
        <is>
          <t>Other / area</t>
        </is>
      </c>
      <c r="F5" s="14" t="inlineStr">
        <is>
          <t>Owned</t>
        </is>
      </c>
      <c r="G5" s="40" t="n">
        <v>800</v>
      </c>
      <c r="H5" s="27" t="n">
        <v>0.1633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131.1576262842245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13.064</v>
      </c>
      <c r="T5" s="23">
        <f>IF(T$3&lt;$I5,0,$G5*Assumptions!$E$11*INDEX(Assumptions!$B$24:$G$24,MIN(6,T$3-$I5+1))*IF(T$3&gt;$J5,(1-Assumptions!$B$26)^(T$3-$J5),1)*IF($H5&gt;=1,1,MIN(0.97,$H5*Assumptions!$E$12)))</f>
        <v>32.66</v>
      </c>
      <c r="U5" s="23">
        <f>IF(U$3&lt;$I5,0,$G5*Assumptions!$E$11*INDEX(Assumptions!$B$24:$G$24,MIN(6,U$3-$I5+1))*IF(U$3&gt;$J5,(1-Assumptions!$B$26)^(U$3-$J5),1)*IF($H5&gt;=1,1,MIN(0.97,$H5*Assumptions!$E$12)))</f>
        <v>58.788</v>
      </c>
      <c r="V5" s="23">
        <f>IF(V$3&lt;$I5,0,$G5*Assumptions!$E$11*INDEX(Assumptions!$B$24:$G$24,MIN(6,V$3-$I5+1))*IF(V$3&gt;$J5,(1-Assumptions!$B$26)^(V$3-$J5),1)*IF($H5&gt;=1,1,MIN(0.97,$H5*Assumptions!$E$12)))</f>
        <v>84.916</v>
      </c>
      <c r="W5" s="23">
        <f>IF(W$3&lt;$I5,0,$G5*Assumptions!$E$11*INDEX(Assumptions!$B$24:$G$24,MIN(6,W$3-$I5+1))*IF(W$3&gt;$J5,(1-Assumptions!$B$26)^(W$3-$J5),1)*IF($H5&gt;=1,1,MIN(0.97,$H5*Assumptions!$E$12)))</f>
        <v>111.044</v>
      </c>
      <c r="X5" s="23">
        <f>IF(X$3&lt;$I5,0,$G5*Assumptions!$E$11*INDEX(Assumptions!$B$24:$G$24,MIN(6,X$3-$I5+1))*IF(X$3&gt;$J5,(1-Assumptions!$B$26)^(X$3-$J5),1)*IF($H5&gt;=1,1,MIN(0.97,$H5*Assumptions!$E$12)))</f>
        <v>130.64</v>
      </c>
      <c r="Y5" s="23">
        <f>IF(Y$3&lt;$I5,0,$G5*Assumptions!$E$11*INDEX(Assumptions!$B$24:$G$24,MIN(6,Y$3-$I5+1))*IF(Y$3&gt;$J5,(1-Assumptions!$B$26)^(Y$3-$J5),1)*IF($H5&gt;=1,1,MIN(0.97,$H5*Assumptions!$E$12)))</f>
        <v>130.64</v>
      </c>
      <c r="Z5" s="23">
        <f>IF(Z$3&lt;$I5,0,$G5*Assumptions!$E$11*INDEX(Assumptions!$B$24:$G$24,MIN(6,Z$3-$I5+1))*IF(Z$3&gt;$J5,(1-Assumptions!$B$26)^(Z$3-$J5),1)*IF($H5&gt;=1,1,MIN(0.97,$H5*Assumptions!$E$12)))</f>
        <v>130.64</v>
      </c>
      <c r="AA5" s="23">
        <f>IF(AA$3&lt;$I5,0,$G5*Assumptions!$E$11*INDEX(Assumptions!$B$24:$G$24,MIN(6,AA$3-$I5+1))*IF(AA$3&gt;$J5,(1-Assumptions!$B$26)^(AA$3-$J5),1)*IF($H5&gt;=1,1,MIN(0.97,$H5*Assumptions!$E$12)))</f>
        <v>130.64</v>
      </c>
      <c r="AB5" s="23">
        <f>IF(AB$3&lt;$I5,0,$G5*Assumptions!$E$11*INDEX(Assumptions!$B$24:$G$24,MIN(6,AB$3-$I5+1))*IF(AB$3&gt;$J5,(1-Assumptions!$B$26)^(AB$3-$J5),1)*IF($H5&gt;=1,1,MIN(0.97,$H5*Assumptions!$E$12)))</f>
        <v>130.64</v>
      </c>
      <c r="AC5" s="23">
        <f>IF(AC$3&lt;$I5,0,$G5*Assumptions!$E$11*INDEX(Assumptions!$B$24:$G$24,MIN(6,AC$3-$I5+1))*IF(AC$3&gt;$J5,(1-Assumptions!$B$26)^(AC$3-$J5),1)*IF($H5&gt;=1,1,MIN(0.97,$H5*Assumptions!$E$12)))</f>
        <v>130.64</v>
      </c>
      <c r="AD5" s="23">
        <f>IF(AD$3&lt;$I5,0,$G5*Assumptions!$E$11*INDEX(Assumptions!$B$24:$G$24,MIN(6,AD$3-$I5+1))*IF(AD$3&gt;$J5,(1-Assumptions!$B$26)^(AD$3-$J5),1)*IF($H5&gt;=1,1,MIN(0.97,$H5*Assumptions!$E$12)))</f>
        <v>130.64</v>
      </c>
      <c r="AE5" s="23">
        <f>IF(AE$3&lt;$I5,0,$G5*Assumptions!$E$11*INDEX(Assumptions!$B$24:$G$24,MIN(6,AE$3-$I5+1))*IF(AE$3&gt;$J5,(1-Assumptions!$B$26)^(AE$3-$J5),1)*IF($H5&gt;=1,1,MIN(0.97,$H5*Assumptions!$E$12)))</f>
        <v>130.64</v>
      </c>
      <c r="AF5" s="23">
        <f>IF(AF$3&lt;$I5,0,$G5*Assumptions!$E$11*INDEX(Assumptions!$B$24:$G$24,MIN(6,AF$3-$I5+1))*IF(AF$3&gt;$J5,(1-Assumptions!$B$26)^(AF$3-$J5),1)*IF($H5&gt;=1,1,MIN(0.97,$H5*Assumptions!$E$12)))</f>
        <v>65.32</v>
      </c>
      <c r="AG5" s="35">
        <f>IF(F5="Owned",1-IF(H5&gt;=1,1,MIN(0.97,H5*Assumptions!$E$12)),1)</f>
        <v>0.8367</v>
      </c>
    </row>
    <row r="6">
      <c r="B6" s="24" t="inlineStr">
        <is>
          <t>Risked revenue</t>
        </is>
      </c>
      <c r="L6" s="54">
        <f>SUM(L4:L5)</f>
        <v>437.889232624114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27.0</v>
      </c>
      <c r="S6" s="54">
        <f>SUM(S4:S5)</f>
        <v>80.564</v>
      </c>
      <c r="T6" s="54">
        <f>SUM(T4:T5)</f>
        <v>154.16</v>
      </c>
      <c r="U6" s="54">
        <f>SUM(U4:U5)</f>
        <v>234.288</v>
      </c>
      <c r="V6" s="54">
        <f>SUM(V4:V5)</f>
        <v>314.416</v>
      </c>
      <c r="W6" s="54">
        <f>SUM(W4:W5)</f>
        <v>381.044</v>
      </c>
      <c r="X6" s="54">
        <f>SUM(X4:X5)</f>
        <v>400.64</v>
      </c>
      <c r="Y6" s="54">
        <f>SUM(Y4:Y5)</f>
        <v>400.64</v>
      </c>
      <c r="Z6" s="54">
        <f>SUM(Z4:Z5)</f>
        <v>400.64</v>
      </c>
      <c r="AA6" s="54">
        <f>SUM(AA4:AA5)</f>
        <v>400.64</v>
      </c>
      <c r="AB6" s="54">
        <f>SUM(AB4:AB5)</f>
        <v>400.64</v>
      </c>
      <c r="AC6" s="54">
        <f>SUM(AC4:AC5)</f>
        <v>400.64</v>
      </c>
      <c r="AD6" s="54">
        <f>SUM(AD4:AD5)</f>
        <v>400.64</v>
      </c>
      <c r="AE6" s="54">
        <f>SUM(AE4:AE5)</f>
        <v>265.64</v>
      </c>
      <c r="AF6" s="54">
        <f>SUM(AF4:AF5)</f>
        <v>132.82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10.8</v>
      </c>
      <c r="S7" s="55">
        <f>SUMPRODUCT(S4:S5,$K$4:$K$5)</f>
        <v>32.2256</v>
      </c>
      <c r="T7" s="55">
        <f>SUMPRODUCT(T4:T5,$K$4:$K$5)</f>
        <v>61.664</v>
      </c>
      <c r="U7" s="55">
        <f>SUMPRODUCT(U4:U5,$K$4:$K$5)</f>
        <v>93.71520000000001</v>
      </c>
      <c r="V7" s="55">
        <f>SUMPRODUCT(V4:V5,$K$4:$K$5)</f>
        <v>125.7664</v>
      </c>
      <c r="W7" s="55">
        <f>SUMPRODUCT(W4:W5,$K$4:$K$5)</f>
        <v>152.4176</v>
      </c>
      <c r="X7" s="55">
        <f>SUMPRODUCT(X4:X5,$K$4:$K$5)</f>
        <v>160.256</v>
      </c>
      <c r="Y7" s="55">
        <f>SUMPRODUCT(Y4:Y5,$K$4:$K$5)</f>
        <v>160.256</v>
      </c>
      <c r="Z7" s="55">
        <f>SUMPRODUCT(Z4:Z5,$K$4:$K$5)</f>
        <v>160.256</v>
      </c>
      <c r="AA7" s="55">
        <f>SUMPRODUCT(AA4:AA5,$K$4:$K$5)</f>
        <v>160.256</v>
      </c>
      <c r="AB7" s="55">
        <f>SUMPRODUCT(AB4:AB5,$K$4:$K$5)</f>
        <v>160.256</v>
      </c>
      <c r="AC7" s="55">
        <f>SUMPRODUCT(AC4:AC5,$K$4:$K$5)</f>
        <v>160.256</v>
      </c>
      <c r="AD7" s="55">
        <f>SUMPRODUCT(AD4:AD5,$K$4:$K$5)</f>
        <v>160.256</v>
      </c>
      <c r="AE7" s="55">
        <f>SUMPRODUCT(AE4:AE5,$K$4:$K$5)</f>
        <v>106.256</v>
      </c>
      <c r="AF7" s="55">
        <f>SUMPRODUCT(AF4:AF5,$K$4:$K$5)</f>
        <v>53.128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Theriva Biologics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27.0</v>
      </c>
      <c r="I4" s="57">
        <f>Pipeline!S6</f>
        <v>80.564</v>
      </c>
      <c r="J4" s="57">
        <f>Pipeline!T6</f>
        <v>154.16</v>
      </c>
      <c r="K4" s="57">
        <f>Pipeline!U6</f>
        <v>234.288</v>
      </c>
      <c r="L4" s="57">
        <f>Pipeline!V6</f>
        <v>314.416</v>
      </c>
      <c r="M4" s="57">
        <f>Pipeline!W6</f>
        <v>381.044</v>
      </c>
      <c r="N4" s="57">
        <f>Pipeline!X6</f>
        <v>400.64</v>
      </c>
      <c r="O4" s="57">
        <f>Pipeline!Y6</f>
        <v>400.64</v>
      </c>
      <c r="P4" s="57">
        <f>Pipeline!Z6</f>
        <v>400.64</v>
      </c>
      <c r="Q4" s="57">
        <f>Pipeline!AA6</f>
        <v>400.64</v>
      </c>
      <c r="R4" s="57">
        <f>Pipeline!AB6</f>
        <v>400.64</v>
      </c>
      <c r="S4" s="57">
        <f>Pipeline!AC6</f>
        <v>400.64</v>
      </c>
      <c r="T4" s="57">
        <f>Pipeline!AD6</f>
        <v>400.64</v>
      </c>
      <c r="U4" s="57">
        <f>Pipeline!AE6</f>
        <v>265.64</v>
      </c>
      <c r="V4" s="57">
        <f>Pipeline!AF6</f>
        <v>132.82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10.8</v>
      </c>
      <c r="I5" s="57">
        <f>Pipeline!S7</f>
        <v>32.2256</v>
      </c>
      <c r="J5" s="57">
        <f>Pipeline!T7</f>
        <v>61.664</v>
      </c>
      <c r="K5" s="57">
        <f>Pipeline!U7</f>
        <v>93.71520000000001</v>
      </c>
      <c r="L5" s="57">
        <f>Pipeline!V7</f>
        <v>125.7664</v>
      </c>
      <c r="M5" s="57">
        <f>Pipeline!W7</f>
        <v>152.4176</v>
      </c>
      <c r="N5" s="57">
        <f>Pipeline!X7</f>
        <v>160.256</v>
      </c>
      <c r="O5" s="57">
        <f>Pipeline!Y7</f>
        <v>160.256</v>
      </c>
      <c r="P5" s="57">
        <f>Pipeline!Z7</f>
        <v>160.256</v>
      </c>
      <c r="Q5" s="57">
        <f>Pipeline!AA7</f>
        <v>160.256</v>
      </c>
      <c r="R5" s="57">
        <f>Pipeline!AB7</f>
        <v>160.256</v>
      </c>
      <c r="S5" s="57">
        <f>Pipeline!AC7</f>
        <v>160.256</v>
      </c>
      <c r="T5" s="57">
        <f>Pipeline!AD7</f>
        <v>160.256</v>
      </c>
      <c r="U5" s="57">
        <f>Pipeline!AE7</f>
        <v>106.256</v>
      </c>
      <c r="V5" s="57">
        <f>Pipeline!AF7</f>
        <v>53.128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-11.924</v>
      </c>
      <c r="D6" s="23">
        <f>-IF(D3-2026&lt;Assumptions!$B$19,Assumptions!$B$18,Assumptions!$B$18*Assumptions!$B$20*Assumptions!$B$16)</f>
        <v>-11.924</v>
      </c>
      <c r="E6" s="23">
        <f>-IF(E3-2026&lt;Assumptions!$B$19,Assumptions!$B$18,Assumptions!$B$18*Assumptions!$B$20*Assumptions!$B$16)</f>
        <v>-11.924</v>
      </c>
      <c r="F6" s="23">
        <f>-IF(F3-2026&lt;Assumptions!$B$19,Assumptions!$B$18,Assumptions!$B$18*Assumptions!$B$20*Assumptions!$B$16)</f>
        <v>-11.924</v>
      </c>
      <c r="G6" s="23">
        <f>-IF(G3-2026&lt;Assumptions!$B$19,Assumptions!$B$18,Assumptions!$B$18*Assumptions!$B$20*Assumptions!$B$16)</f>
        <v>-0.90740542992</v>
      </c>
      <c r="H6" s="23">
        <f>-IF(H3-2026&lt;Assumptions!$B$19,Assumptions!$B$18,Assumptions!$B$18*Assumptions!$B$20*Assumptions!$B$16)</f>
        <v>-0.90740542992</v>
      </c>
      <c r="I6" s="23">
        <f>-IF(I3-2026&lt;Assumptions!$B$19,Assumptions!$B$18,Assumptions!$B$18*Assumptions!$B$20*Assumptions!$B$16)</f>
        <v>-0.90740542992</v>
      </c>
      <c r="J6" s="23">
        <f>-IF(J3-2026&lt;Assumptions!$B$19,Assumptions!$B$18,Assumptions!$B$18*Assumptions!$B$20*Assumptions!$B$16)</f>
        <v>-0.90740542992</v>
      </c>
      <c r="K6" s="23">
        <f>-IF(K3-2026&lt;Assumptions!$B$19,Assumptions!$B$18,Assumptions!$B$18*Assumptions!$B$20*Assumptions!$B$16)</f>
        <v>-0.90740542992</v>
      </c>
      <c r="L6" s="23">
        <f>-IF(L3-2026&lt;Assumptions!$B$19,Assumptions!$B$18,Assumptions!$B$18*Assumptions!$B$20*Assumptions!$B$16)</f>
        <v>-0.90740542992</v>
      </c>
      <c r="M6" s="23">
        <f>-IF(M3-2026&lt;Assumptions!$B$19,Assumptions!$B$18,Assumptions!$B$18*Assumptions!$B$20*Assumptions!$B$16)</f>
        <v>-0.90740542992</v>
      </c>
      <c r="N6" s="23">
        <f>-IF(N3-2026&lt;Assumptions!$B$19,Assumptions!$B$18,Assumptions!$B$18*Assumptions!$B$20*Assumptions!$B$16)</f>
        <v>-0.90740542992</v>
      </c>
      <c r="O6" s="23">
        <f>-IF(O3-2026&lt;Assumptions!$B$19,Assumptions!$B$18,Assumptions!$B$18*Assumptions!$B$20*Assumptions!$B$16)</f>
        <v>-0.90740542992</v>
      </c>
      <c r="P6" s="23">
        <f>-IF(P3-2026&lt;Assumptions!$B$19,Assumptions!$B$18,Assumptions!$B$18*Assumptions!$B$20*Assumptions!$B$16)</f>
        <v>-0.90740542992</v>
      </c>
      <c r="Q6" s="23">
        <f>-IF(Q3-2026&lt;Assumptions!$B$19,Assumptions!$B$18,Assumptions!$B$18*Assumptions!$B$20*Assumptions!$B$16)</f>
        <v>-0.90740542992</v>
      </c>
      <c r="R6" s="23">
        <f>-IF(R3-2026&lt;Assumptions!$B$19,Assumptions!$B$18,Assumptions!$B$18*Assumptions!$B$20*Assumptions!$B$16)</f>
        <v>-0.90740542992</v>
      </c>
      <c r="S6" s="23">
        <f>-IF(S3-2026&lt;Assumptions!$B$19,Assumptions!$B$18,Assumptions!$B$18*Assumptions!$B$20*Assumptions!$B$16)</f>
        <v>-0.90740542992</v>
      </c>
      <c r="T6" s="23">
        <f>-IF(T3-2026&lt;Assumptions!$B$19,Assumptions!$B$18,Assumptions!$B$18*Assumptions!$B$20*Assumptions!$B$16)</f>
        <v>-0.90740542992</v>
      </c>
      <c r="U6" s="23">
        <f>-IF(U3-2026&lt;Assumptions!$B$19,Assumptions!$B$18,Assumptions!$B$18*Assumptions!$B$20*Assumptions!$B$16)</f>
        <v>-0.90740542992</v>
      </c>
      <c r="V6" s="23">
        <f>-IF(V3-2026&lt;Assumptions!$B$19,Assumptions!$B$18,Assumptions!$B$18*Assumptions!$B$20*Assumptions!$B$16)</f>
        <v>-0.90740542992</v>
      </c>
    </row>
    <row r="7">
      <c r="A7" s="14" t="inlineStr">
        <is>
          <t>Pre-tax cash flow</t>
        </is>
      </c>
      <c r="C7" s="23">
        <f>C5+C6</f>
        <v>-11.924</v>
      </c>
      <c r="D7" s="23">
        <f>D5+D6</f>
        <v>-11.924</v>
      </c>
      <c r="E7" s="23">
        <f>E5+E6</f>
        <v>-11.924</v>
      </c>
      <c r="F7" s="23">
        <f>F5+F6</f>
        <v>-11.924</v>
      </c>
      <c r="G7" s="23">
        <f>G5+G6</f>
        <v>-0.90740542992</v>
      </c>
      <c r="H7" s="23">
        <f>H5+H6</f>
        <v>9.89259457008</v>
      </c>
      <c r="I7" s="23">
        <f>I5+I6</f>
        <v>31.31819457008</v>
      </c>
      <c r="J7" s="23">
        <f>J5+J6</f>
        <v>60.756594570080004</v>
      </c>
      <c r="K7" s="23">
        <f>K5+K6</f>
        <v>92.80779457008</v>
      </c>
      <c r="L7" s="23">
        <f>L5+L6</f>
        <v>124.85899457008</v>
      </c>
      <c r="M7" s="23">
        <f>M5+M6</f>
        <v>151.51019457008</v>
      </c>
      <c r="N7" s="23">
        <f>N5+N6</f>
        <v>159.34859457008</v>
      </c>
      <c r="O7" s="23">
        <f>O5+O6</f>
        <v>159.34859457008</v>
      </c>
      <c r="P7" s="23">
        <f>P5+P6</f>
        <v>159.34859457008</v>
      </c>
      <c r="Q7" s="23">
        <f>Q5+Q6</f>
        <v>159.34859457008</v>
      </c>
      <c r="R7" s="23">
        <f>R5+R6</f>
        <v>159.34859457008</v>
      </c>
      <c r="S7" s="23">
        <f>S5+S6</f>
        <v>159.34859457008</v>
      </c>
      <c r="T7" s="23">
        <f>T5+T6</f>
        <v>159.34859457008</v>
      </c>
      <c r="U7" s="23">
        <f>U5+U6</f>
        <v>105.34859457008</v>
      </c>
      <c r="V7" s="23">
        <f>V5+V6</f>
        <v>52.22059457008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9.89259457008</v>
      </c>
      <c r="I8" s="23">
        <f>MIN(H17,MAX(0,I7))</f>
        <v>31.31819457008</v>
      </c>
      <c r="J8" s="23">
        <f>MIN(I17,MAX(0,J7))</f>
        <v>60.756594570080004</v>
      </c>
      <c r="K8" s="23">
        <f>MIN(J17,MAX(0,K7))</f>
        <v>92.80779457008</v>
      </c>
      <c r="L8" s="23">
        <f>MIN(K17,MAX(0,L7))</f>
        <v>124.85899457008</v>
      </c>
      <c r="M8" s="23">
        <f>MIN(L17,MAX(0,M7))</f>
        <v>14.569232579519934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136.94096199056006</v>
      </c>
      <c r="N9" s="23">
        <f>MAX(0,N7)-N8</f>
        <v>159.34859457008</v>
      </c>
      <c r="O9" s="23">
        <f>MAX(0,O7)-O8</f>
        <v>159.34859457008</v>
      </c>
      <c r="P9" s="23">
        <f>MAX(0,P7)-P8</f>
        <v>159.34859457008</v>
      </c>
      <c r="Q9" s="23">
        <f>MAX(0,Q7)-Q8</f>
        <v>159.34859457008</v>
      </c>
      <c r="R9" s="23">
        <f>MAX(0,R7)-R8</f>
        <v>159.34859457008</v>
      </c>
      <c r="S9" s="23">
        <f>MAX(0,S7)-S8</f>
        <v>159.34859457008</v>
      </c>
      <c r="T9" s="23">
        <f>MAX(0,T7)-T8</f>
        <v>159.34859457008</v>
      </c>
      <c r="U9" s="23">
        <f>MAX(0,U7)-U8</f>
        <v>105.34859457008</v>
      </c>
      <c r="V9" s="23">
        <f>MAX(0,V7)-V8</f>
        <v>52.22059457008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28.75760201801761</v>
      </c>
      <c r="N10" s="23">
        <f>N9*Assumptions!$E$15</f>
        <v>33.4632048597168</v>
      </c>
      <c r="O10" s="23">
        <f>O9*Assumptions!$E$15</f>
        <v>33.4632048597168</v>
      </c>
      <c r="P10" s="23">
        <f>P9*Assumptions!$E$15</f>
        <v>33.4632048597168</v>
      </c>
      <c r="Q10" s="23">
        <f>Q9*Assumptions!$E$15</f>
        <v>33.4632048597168</v>
      </c>
      <c r="R10" s="23">
        <f>R9*Assumptions!$E$15</f>
        <v>33.4632048597168</v>
      </c>
      <c r="S10" s="23">
        <f>S9*Assumptions!$E$15</f>
        <v>33.4632048597168</v>
      </c>
      <c r="T10" s="23">
        <f>T9*Assumptions!$E$15</f>
        <v>33.4632048597168</v>
      </c>
      <c r="U10" s="23">
        <f>U9*Assumptions!$E$15</f>
        <v>22.123204859716797</v>
      </c>
      <c r="V10" s="23">
        <f>V9*Assumptions!$E$15</f>
        <v>10.966324859716801</v>
      </c>
    </row>
    <row r="11">
      <c r="A11" s="24" t="inlineStr">
        <is>
          <t>Free cash flow</t>
        </is>
      </c>
      <c r="C11" s="55">
        <f>C7-C10</f>
        <v>-11.924</v>
      </c>
      <c r="D11" s="55">
        <f>D7-D10</f>
        <v>-11.924</v>
      </c>
      <c r="E11" s="55">
        <f>E7-E10</f>
        <v>-11.924</v>
      </c>
      <c r="F11" s="55">
        <f>F7-F10</f>
        <v>-11.924</v>
      </c>
      <c r="G11" s="55">
        <f>G7-G10</f>
        <v>-0.90740542992</v>
      </c>
      <c r="H11" s="55">
        <f>H7-H10</f>
        <v>9.89259457008</v>
      </c>
      <c r="I11" s="55">
        <f>I7-I10</f>
        <v>31.31819457008</v>
      </c>
      <c r="J11" s="55">
        <f>J7-J10</f>
        <v>60.756594570080004</v>
      </c>
      <c r="K11" s="55">
        <f>K7-K10</f>
        <v>92.80779457008</v>
      </c>
      <c r="L11" s="55">
        <f>L7-L10</f>
        <v>124.85899457008</v>
      </c>
      <c r="M11" s="55">
        <f>M7-M10</f>
        <v>122.75259255206238</v>
      </c>
      <c r="N11" s="55">
        <f>N7-N10</f>
        <v>125.8853897103632</v>
      </c>
      <c r="O11" s="55">
        <f>O7-O10</f>
        <v>125.8853897103632</v>
      </c>
      <c r="P11" s="55">
        <f>P7-P10</f>
        <v>125.8853897103632</v>
      </c>
      <c r="Q11" s="55">
        <f>Q7-Q10</f>
        <v>125.8853897103632</v>
      </c>
      <c r="R11" s="55">
        <f>R7-R10</f>
        <v>125.8853897103632</v>
      </c>
      <c r="S11" s="55">
        <f>S7-S10</f>
        <v>125.8853897103632</v>
      </c>
      <c r="T11" s="55">
        <f>T7-T10</f>
        <v>125.8853897103632</v>
      </c>
      <c r="U11" s="55">
        <f>U7-U10</f>
        <v>83.2253897103632</v>
      </c>
      <c r="V11" s="55">
        <f>V7-V10</f>
        <v>41.254269710363204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-5.84161945765082</v>
      </c>
      <c r="D16" s="55">
        <f>D11*D15</f>
        <v>-10.64148288293054</v>
      </c>
      <c r="E16" s="55">
        <f>E11*E15</f>
        <v>-9.50132400261655</v>
      </c>
      <c r="F16" s="55">
        <f>F11*F15</f>
        <v>-8.483325002336207</v>
      </c>
      <c r="G16" s="55">
        <f>G11*G15</f>
        <v>-0.5764046678739134</v>
      </c>
      <c r="H16" s="55">
        <f>H11*H15</f>
        <v>5.610716220155307</v>
      </c>
      <c r="I16" s="55">
        <f>I11*I15</f>
        <v>15.859401283123743</v>
      </c>
      <c r="J16" s="55">
        <f>J11*J15</f>
        <v>27.470430844429885</v>
      </c>
      <c r="K16" s="55">
        <f>K11*K15</f>
        <v>37.46609907418507</v>
      </c>
      <c r="L16" s="55">
        <f>L11*L15</f>
        <v>45.00448906389084</v>
      </c>
      <c r="M16" s="55">
        <f>M11*M15</f>
        <v>39.50468949919594</v>
      </c>
      <c r="N16" s="55">
        <f>N11*N15</f>
        <v>36.17223015126933</v>
      </c>
      <c r="O16" s="55">
        <f>O11*O15</f>
        <v>32.29663406363333</v>
      </c>
      <c r="P16" s="55">
        <f>P11*P15</f>
        <v>28.836280413958328</v>
      </c>
      <c r="Q16" s="55">
        <f>Q11*Q15</f>
        <v>25.74667894103422</v>
      </c>
      <c r="R16" s="55">
        <f>R11*R15</f>
        <v>22.988106197351982</v>
      </c>
      <c r="S16" s="55">
        <f>S11*S15</f>
        <v>20.525094819064265</v>
      </c>
      <c r="T16" s="55">
        <f>T11*T15</f>
        <v>18.325977517021666</v>
      </c>
      <c r="U16" s="55">
        <f>U11*U15</f>
        <v>10.817568040224552</v>
      </c>
      <c r="V16" s="55">
        <f>V11*V15</f>
        <v>4.787675190299478</v>
      </c>
    </row>
    <row r="17">
      <c r="A17" s="14" t="inlineStr">
        <is>
          <t>Tax-loss carryforward, end of year</t>
        </is>
      </c>
      <c r="C17" s="23">
        <f>Assumptions!$B$21-C8+MAX(0,-C7)</f>
        <v>297.524</v>
      </c>
      <c r="D17" s="23">
        <f>C17-D8+MAX(0,-D7)</f>
        <v>309.448</v>
      </c>
      <c r="E17" s="23">
        <f>D17-E8+MAX(0,-E7)</f>
        <v>321.37199999999996</v>
      </c>
      <c r="F17" s="23">
        <f>E17-F8+MAX(0,-F7)</f>
        <v>333.29599999999994</v>
      </c>
      <c r="G17" s="23">
        <f>F17-G8+MAX(0,-G7)</f>
        <v>334.20340542991994</v>
      </c>
      <c r="H17" s="23">
        <f>G17-H8+MAX(0,-H7)</f>
        <v>324.31081085983993</v>
      </c>
      <c r="I17" s="23">
        <f>H17-I8+MAX(0,-I7)</f>
        <v>292.99261628975995</v>
      </c>
      <c r="J17" s="23">
        <f>I17-J8+MAX(0,-J7)</f>
        <v>232.23602171967994</v>
      </c>
      <c r="K17" s="23">
        <f>J17-K8+MAX(0,-K7)</f>
        <v>139.42822714959993</v>
      </c>
      <c r="L17" s="23">
        <f>K17-L8+MAX(0,-L7)</f>
        <v>14.569232579519934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437.88923262411396</v>
      </c>
    </row>
    <row r="20">
      <c r="A20" s="14" t="inlineStr">
        <is>
          <t>PV of corporate burn</t>
        </is>
      </c>
      <c r="B20" s="23">
        <f>SUMPRODUCT(C6:V6,C15:V15)</f>
        <v>-38.969970097392334</v>
      </c>
    </row>
    <row r="21">
      <c r="A21" s="14" t="inlineStr">
        <is>
          <t>PV of taxes</t>
        </is>
      </c>
      <c r="B21" s="23">
        <f>-SUMPRODUCT(C10:V10,C15:V15)</f>
        <v>-62.55134722129179</v>
      </c>
    </row>
    <row r="22">
      <c r="A22" s="24" t="inlineStr">
        <is>
          <t>Pipeline rNPV (operations)</t>
        </is>
      </c>
      <c r="B22" s="54">
        <f>SUM(C16:V16)</f>
        <v>336.36791530542996</v>
      </c>
    </row>
    <row r="23">
      <c r="A23" s="14" t="inlineStr">
        <is>
          <t>Cash &amp; investments</t>
        </is>
      </c>
      <c r="B23" s="57">
        <f>Main!C7</f>
        <v>11.337</v>
      </c>
    </row>
    <row r="24">
      <c r="A24" s="14" t="inlineStr">
        <is>
          <t>Debt</t>
        </is>
      </c>
      <c r="B24" s="57">
        <f>Main!C8</f>
        <v>1.6540000000000001</v>
      </c>
    </row>
    <row r="25">
      <c r="A25" s="24" t="inlineStr">
        <is>
          <t>Equity value</t>
        </is>
      </c>
      <c r="B25" s="54">
        <f>B22+B23-B24</f>
        <v>346.05091530542995</v>
      </c>
    </row>
    <row r="26">
      <c r="A26" s="14" t="inlineStr">
        <is>
          <t>Shares (mm)</t>
        </is>
      </c>
      <c r="B26" s="57">
        <f>Main!C4</f>
        <v>45.892668</v>
      </c>
    </row>
    <row r="27">
      <c r="A27" s="24" t="inlineStr">
        <is>
          <t>rNPV / share</t>
        </is>
      </c>
      <c r="B27" s="60">
        <f>B25/B26</f>
        <v>7.540440126632645</v>
      </c>
    </row>
    <row r="28">
      <c r="A28" s="14" t="inlineStr">
        <is>
          <t>Price</t>
        </is>
      </c>
      <c r="B28" s="61">
        <f>Main!C3</f>
        <v>0.2047</v>
      </c>
    </row>
    <row r="29">
      <c r="A29" s="14" t="inlineStr">
        <is>
          <t>Upside</t>
        </is>
      </c>
      <c r="B29" s="62">
        <f>B27/B28-1</f>
        <v>35.83654189854737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2026-10-21T06:30:54Z</dcterms:modified>
  <cp:lastModifiedBy>Wang, Eric</cp:lastModifiedBy>
</cp:coreProperties>
</file>