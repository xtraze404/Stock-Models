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Ovid Therapeutics Inc.</t>
        </is>
      </c>
      <c r="C2" s="10" t="n"/>
    </row>
    <row r="3">
      <c r="B3" t="inlineStr">
        <is>
          <t>Price</t>
        </is>
      </c>
      <c r="C3" s="11">
        <f>INDEX([1]Pharma!$F$1:$F$1000,MATCH("OVID",[1]Pharma!$B$1:$B$1000,0))</f>
        <v>2.36</v>
      </c>
      <c r="F3" s="1" t="n"/>
    </row>
    <row r="4">
      <c r="B4" t="inlineStr">
        <is>
          <t>Shares</t>
        </is>
      </c>
      <c r="C4" s="21" t="n">
        <v>195.297857</v>
      </c>
      <c r="F4" s="1" t="n"/>
    </row>
    <row r="5">
      <c r="B5" t="inlineStr">
        <is>
          <t>Market Cap.</t>
        </is>
      </c>
      <c r="C5" s="13">
        <f>C3*C4</f>
        <v>460.90294251999995</v>
      </c>
      <c r="F5" s="1" t="n"/>
    </row>
    <row r="6"/>
    <row r="7">
      <c r="B7" t="inlineStr">
        <is>
          <t>Cash</t>
        </is>
      </c>
      <c r="C7" s="21" t="n">
        <v>169.769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291.13394251999995</v>
      </c>
    </row>
    <row r="10"/>
    <row r="11">
      <c r="B11" s="14" t="inlineStr">
        <is>
          <t>Net Cash / Share</t>
        </is>
      </c>
      <c r="C11" s="11">
        <f>(C7-C8)/C4</f>
        <v>0.8692824519830753</v>
      </c>
    </row>
    <row r="12">
      <c r="B12" s="14" t="inlineStr">
        <is>
          <t>Upside</t>
        </is>
      </c>
      <c r="C12" s="15">
        <f>IFERROR(C11/C3-1,"")</f>
        <v>-0.6316599779732732</v>
      </c>
    </row>
    <row r="13">
      <c r="B13" s="14" t="inlineStr">
        <is>
          <t>Cash / Share</t>
        </is>
      </c>
      <c r="C13" s="11">
        <f>IFERROR((C7-C8)/C4,"")</f>
        <v>0.8692824519830753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-54.773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3.0995015792452483</v>
      </c>
    </row>
    <row r="19">
      <c r="B19" s="14" t="inlineStr">
        <is>
          <t>Implied Pipeline Value</t>
        </is>
      </c>
      <c r="C19" s="13">
        <f>C9</f>
        <v>291.13394251999995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12.617</v>
      </c>
      <c r="H2" s="23" t="n">
        <v>208.383</v>
      </c>
      <c r="I2" s="23" t="n">
        <v>1.503</v>
      </c>
      <c r="J2" s="23" t="n">
        <v>0.392</v>
      </c>
      <c r="K2" s="23" t="n">
        <v>0.5659999999999999</v>
      </c>
      <c r="L2" s="23" t="n">
        <v>7.252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12.617</v>
      </c>
      <c r="H4" s="23">
        <f>H2-H3</f>
        <v>208.383</v>
      </c>
      <c r="I4" s="23">
        <f>I2-I3</f>
        <v>1.503</v>
      </c>
      <c r="J4" s="23">
        <f>J2-J3</f>
        <v>0.392</v>
      </c>
      <c r="K4" s="23">
        <f>K2-K3</f>
        <v>0.566</v>
      </c>
      <c r="L4" s="23">
        <f>L2-L3</f>
        <v>7.252</v>
      </c>
    </row>
    <row r="5">
      <c r="A5" s="2" t="inlineStr">
        <is>
          <t>Research &amp; Dev.</t>
        </is>
      </c>
      <c r="B5" s="23" t="n">
        <v>6.612</v>
      </c>
      <c r="C5" s="23" t="n">
        <v>9.586</v>
      </c>
      <c r="D5" s="23" t="n">
        <v>49.972</v>
      </c>
      <c r="E5" s="23" t="n">
        <v>33.79</v>
      </c>
      <c r="F5" s="23" t="n">
        <v>42.158</v>
      </c>
      <c r="G5" s="23" t="n">
        <v>63.417</v>
      </c>
      <c r="H5" s="23" t="n">
        <v>46.94</v>
      </c>
      <c r="I5" s="23" t="n">
        <v>24.618</v>
      </c>
      <c r="J5" s="23" t="n">
        <v>28.588</v>
      </c>
      <c r="K5" s="23" t="n">
        <v>36.767</v>
      </c>
      <c r="L5" s="23" t="n">
        <v>25.582</v>
      </c>
    </row>
    <row r="6">
      <c r="A6" s="19" t="inlineStr">
        <is>
          <t>SG&amp;A &amp; Other</t>
        </is>
      </c>
      <c r="B6" s="23" t="n">
        <v>6.578</v>
      </c>
      <c r="C6" s="23" t="n">
        <v>12.95</v>
      </c>
      <c r="D6" s="23" t="n">
        <v>15.035</v>
      </c>
      <c r="E6" s="23" t="n">
        <v>19.142</v>
      </c>
      <c r="F6" s="23" t="n">
        <v>19.252</v>
      </c>
      <c r="G6" s="23" t="n">
        <v>30.631</v>
      </c>
      <c r="H6" s="23" t="n">
        <v>37.234</v>
      </c>
      <c r="I6" s="23" t="n">
        <v>32.433</v>
      </c>
      <c r="J6" s="23" t="n">
        <v>31.085</v>
      </c>
      <c r="K6" s="23" t="n">
        <v>25.684</v>
      </c>
      <c r="L6" s="23" t="n">
        <v>24.109</v>
      </c>
    </row>
    <row r="7">
      <c r="A7" s="2" t="inlineStr">
        <is>
          <t>Operating Expense</t>
        </is>
      </c>
      <c r="B7" s="23">
        <f>SUM(B5:B6)</f>
        <v>13.190000000000001</v>
      </c>
      <c r="C7" s="23">
        <f>SUM(C5:C6)</f>
        <v>22.536</v>
      </c>
      <c r="D7" s="23">
        <f>SUM(D5:D6)</f>
        <v>65.007</v>
      </c>
      <c r="E7" s="23">
        <f>SUM(E5:E6)</f>
        <v>52.932</v>
      </c>
      <c r="F7" s="23">
        <f>SUM(F5:F6)</f>
        <v>61.41</v>
      </c>
      <c r="G7" s="23">
        <f>SUM(G5:G6)</f>
        <v>94.048</v>
      </c>
      <c r="H7" s="23">
        <f>SUM(H5:H6)</f>
        <v>84.174</v>
      </c>
      <c r="I7" s="23">
        <f>SUM(I5:I6)</f>
        <v>57.051</v>
      </c>
      <c r="J7" s="23">
        <f>SUM(J5:J6)</f>
        <v>59.673</v>
      </c>
      <c r="K7" s="23">
        <f>SUM(K5:K6)</f>
        <v>62.45100000000001</v>
      </c>
      <c r="L7" s="23">
        <f>SUM(L5:L6)</f>
        <v>49.691</v>
      </c>
    </row>
    <row r="8">
      <c r="A8" s="2" t="inlineStr">
        <is>
          <t>Operating Income</t>
        </is>
      </c>
      <c r="B8" s="23">
        <f>B4-B7</f>
        <v>-13.190000000000001</v>
      </c>
      <c r="C8" s="23">
        <f>C4-C7</f>
        <v>-22.536</v>
      </c>
      <c r="D8" s="23">
        <f>D4-D7</f>
        <v>-65.007</v>
      </c>
      <c r="E8" s="23">
        <f>E4-E7</f>
        <v>-52.932</v>
      </c>
      <c r="F8" s="23">
        <f>F4-F7</f>
        <v>-61.41</v>
      </c>
      <c r="G8" s="23">
        <f>G4-G7</f>
        <v>-81.431</v>
      </c>
      <c r="H8" s="23">
        <f>H4-H7</f>
        <v>124.209</v>
      </c>
      <c r="I8" s="23">
        <f>I4-I7</f>
        <v>-55.548</v>
      </c>
      <c r="J8" s="23">
        <f>J4-J7</f>
        <v>-59.281</v>
      </c>
      <c r="K8" s="23">
        <f>K4-K7</f>
        <v>-61.885000000000005</v>
      </c>
      <c r="L8" s="23">
        <f>L4-L7</f>
        <v>-42.439</v>
      </c>
    </row>
    <row r="9">
      <c r="A9" s="19" t="inlineStr">
        <is>
          <t>Interest &amp; Other</t>
        </is>
      </c>
      <c r="B9" s="23" t="n">
        <v>0.03</v>
      </c>
      <c r="C9" s="23" t="n">
        <v>0.121</v>
      </c>
      <c r="D9" s="23" t="n">
        <v>0.202</v>
      </c>
      <c r="E9" s="23" t="n">
        <v>0.952</v>
      </c>
      <c r="F9" s="23" t="n">
        <v>0.948</v>
      </c>
      <c r="G9" s="23" t="n">
        <v>0.395</v>
      </c>
      <c r="H9" s="23" t="n">
        <v>-0.046</v>
      </c>
      <c r="I9" s="23" t="n">
        <v>1.379</v>
      </c>
      <c r="J9" s="23" t="n">
        <v>6.981</v>
      </c>
      <c r="K9" s="23" t="n">
        <v>35.485</v>
      </c>
      <c r="L9" s="23" t="n">
        <v>25.039</v>
      </c>
    </row>
    <row r="10">
      <c r="A10" s="2" t="inlineStr">
        <is>
          <t>Pretax</t>
        </is>
      </c>
      <c r="B10" s="23">
        <f>B8+B9</f>
        <v>-13.160000000000002</v>
      </c>
      <c r="C10" s="23">
        <f>C8+C9</f>
        <v>-22.415000000000003</v>
      </c>
      <c r="D10" s="23">
        <f>D8+D9</f>
        <v>-64.805</v>
      </c>
      <c r="E10" s="23">
        <f>E8+E9</f>
        <v>-51.980000000000004</v>
      </c>
      <c r="F10" s="23">
        <f>F8+F9</f>
        <v>-60.461999999999996</v>
      </c>
      <c r="G10" s="23">
        <f>G8+G9</f>
        <v>-81.036</v>
      </c>
      <c r="H10" s="23">
        <f>H8+H9</f>
        <v>124.163</v>
      </c>
      <c r="I10" s="23">
        <f>I8+I9</f>
        <v>-54.169000000000004</v>
      </c>
      <c r="J10" s="23">
        <f>J8+J9</f>
        <v>-52.3</v>
      </c>
      <c r="K10" s="23">
        <f>K8+K9</f>
        <v>-26.400000000000006</v>
      </c>
      <c r="L10" s="23">
        <f>L8+L9</f>
        <v>-17.4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1.329</v>
      </c>
      <c r="I11" s="23" t="n">
        <v>0</v>
      </c>
      <c r="J11" s="23" t="n">
        <v>0</v>
      </c>
      <c r="K11" s="23" t="n">
        <v>0</v>
      </c>
      <c r="L11" s="23" t="n">
        <v>0</v>
      </c>
    </row>
    <row r="12">
      <c r="A12" s="2" t="inlineStr">
        <is>
          <t>Net Income</t>
        </is>
      </c>
      <c r="B12" s="23" t="n">
        <v>-13.16</v>
      </c>
      <c r="C12" s="23" t="n">
        <v>-22.414</v>
      </c>
      <c r="D12" s="23" t="n">
        <v>-64.806</v>
      </c>
      <c r="E12" s="23" t="n">
        <v>-51.98</v>
      </c>
      <c r="F12" s="23" t="n">
        <v>-60.461</v>
      </c>
      <c r="G12" s="23" t="n">
        <v>-81.036</v>
      </c>
      <c r="H12" s="23" t="n">
        <v>122.835</v>
      </c>
      <c r="I12" s="23" t="n">
        <v>-54.169</v>
      </c>
      <c r="J12" s="23" t="n">
        <v>-52.3</v>
      </c>
      <c r="K12" s="23" t="n">
        <v>-26.4</v>
      </c>
      <c r="L12" s="23" t="n">
        <v>-17.4</v>
      </c>
    </row>
    <row r="13">
      <c r="A13" s="2" t="inlineStr">
        <is>
          <t>Earnings per Share</t>
        </is>
      </c>
      <c r="B13" s="11">
        <f>IFERROR(B12/B14,0)</f>
        <v>-0.6784204557170842</v>
      </c>
      <c r="C13" s="11">
        <f>IFERROR(C12/C14,0)</f>
        <v>-1.1390964069726077</v>
      </c>
      <c r="D13" s="11">
        <f>IFERROR(D12/D14,0)</f>
        <v>-3.350186104218362</v>
      </c>
      <c r="E13" s="11">
        <f>IFERROR(E12/E14,0)</f>
        <v>-2.1103487475132963</v>
      </c>
      <c r="F13" s="11">
        <f>IFERROR(F12/F14,0)</f>
        <v>0</v>
      </c>
      <c r="G13" s="11">
        <f>IFERROR(G12/G14,0)</f>
        <v>-1.3863920206668834</v>
      </c>
      <c r="H13" s="11">
        <f>IFERROR(H12/H14,0)</f>
        <v>1.8045924663571722</v>
      </c>
      <c r="I13" s="11">
        <f>IFERROR(I12/I14,0)</f>
        <v>-0.7691728789492368</v>
      </c>
      <c r="J13" s="11">
        <f>IFERROR(J12/J14,0)</f>
        <v>-0.7409926184100536</v>
      </c>
      <c r="K13" s="11">
        <f>IFERROR(K12/K14,0)</f>
        <v>0</v>
      </c>
      <c r="L13" s="11">
        <f>IFERROR(L12/L14,0)</f>
        <v>0</v>
      </c>
    </row>
    <row r="14">
      <c r="A14" s="2" t="inlineStr">
        <is>
          <t>Shares</t>
        </is>
      </c>
      <c r="B14" s="23" t="n">
        <v>19.398</v>
      </c>
      <c r="C14" s="23" t="n">
        <v>19.677</v>
      </c>
      <c r="D14" s="23" t="n">
        <v>19.344</v>
      </c>
      <c r="E14" s="23" t="n">
        <v>24.631</v>
      </c>
      <c r="F14" s="23" t="n"/>
      <c r="G14" s="23" t="n">
        <v>58.451</v>
      </c>
      <c r="H14" s="23" t="n">
        <v>68.068</v>
      </c>
      <c r="I14" s="23" t="n">
        <v>70.425</v>
      </c>
      <c r="J14" s="23" t="n">
        <v>70.581</v>
      </c>
      <c r="K14" s="23" t="n"/>
      <c r="L14" s="23" t="n"/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15.51604977411429</v>
      </c>
      <c r="I16" s="15">
        <f>IFERROR(I2/H2-1,"")</f>
        <v>-0.9927873195030305</v>
      </c>
      <c r="J16" s="15">
        <f>IFERROR(J2/I2-1,"")</f>
        <v>-0.7391882900864937</v>
      </c>
      <c r="K16" s="15">
        <f>IFERROR(K2/J2-1,"")</f>
        <v>0.44387755102040805</v>
      </c>
      <c r="L16" s="15">
        <f>IFERROR(L2/K2-1,"")</f>
        <v>11.812720848056538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-6.454069905682808</v>
      </c>
      <c r="H18" s="15">
        <f>IFERROR(H8/H2,"")</f>
        <v>0.5960610990339903</v>
      </c>
      <c r="I18" s="15">
        <f>IFERROR(I8/I2,"")</f>
        <v>-36.95808383233533</v>
      </c>
      <c r="J18" s="15">
        <f>IFERROR(J8/J2,"")</f>
        <v>-151.22704081632654</v>
      </c>
      <c r="K18" s="15">
        <f>IFERROR(K8/K2,"")</f>
        <v>-109.3374558303887</v>
      </c>
      <c r="L18" s="15">
        <f>IFERROR(L8/L2,"")</f>
        <v>-5.8520408163265305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2026-10-21T06:25:28Z</dcterms:modified>
  <cp:lastModifiedBy>Wang, Eric</cp:lastModifiedBy>
</cp:coreProperties>
</file>