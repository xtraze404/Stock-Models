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YD Bio Ltd</t>
        </is>
      </c>
      <c r="C2" s="10" t="n"/>
    </row>
    <row r="3">
      <c r="B3" t="inlineStr">
        <is>
          <t>Price</t>
        </is>
      </c>
      <c r="C3" s="11">
        <f>INDEX([1]Pharma!$F$1:$F$1000,MATCH("YDES",[1]Pharma!$B$1:$B$1000,0))</f>
        <v>5.84</v>
      </c>
      <c r="F3" s="1" t="n"/>
    </row>
    <row r="4">
      <c r="B4" t="inlineStr">
        <is>
          <t>Shares</t>
        </is>
      </c>
      <c r="C4" s="21" t="n">
        <v>70.789261</v>
      </c>
      <c r="F4" s="1" t="n"/>
    </row>
    <row r="5">
      <c r="B5" t="inlineStr">
        <is>
          <t>Market Cap.</t>
        </is>
      </c>
      <c r="C5" s="13">
        <f>C3*C4</f>
        <v>413.40928424</v>
      </c>
      <c r="F5" s="1" t="n"/>
    </row>
    <row r="6"/>
    <row r="7">
      <c r="B7" t="inlineStr">
        <is>
          <t>Cash</t>
        </is>
      </c>
      <c r="C7" s="21" t="n">
        <v>6.007615</v>
      </c>
    </row>
    <row r="8">
      <c r="B8" t="inlineStr">
        <is>
          <t>Debt</t>
        </is>
      </c>
      <c r="C8" s="21" t="n">
        <v>0.006764</v>
      </c>
    </row>
    <row r="9">
      <c r="B9" t="inlineStr">
        <is>
          <t>Enterprise V.</t>
        </is>
      </c>
      <c r="C9" s="13">
        <f>C5-C7+C8</f>
        <v>407.40843323999997</v>
      </c>
    </row>
    <row r="10"/>
    <row r="11">
      <c r="B11" s="14" t="inlineStr">
        <is>
          <t>Net Cash / Share</t>
        </is>
      </c>
      <c r="C11" s="11">
        <f>(C7-C8)/C4</f>
        <v>0.08477064056368663</v>
      </c>
    </row>
    <row r="12">
      <c r="B12" s="14" t="inlineStr">
        <is>
          <t>Upside</t>
        </is>
      </c>
      <c r="C12" s="15">
        <f>IFERROR(C11/C3-1,"")</f>
        <v>-0.9854844793555331</v>
      </c>
    </row>
    <row r="13">
      <c r="B13" s="14" t="inlineStr">
        <is>
          <t>Cash / Share</t>
        </is>
      </c>
      <c r="C13" s="11">
        <f>IFERROR((C7-C8)/C4,"")</f>
        <v>0.08477064056368663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-6.597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0.909633318174928</v>
      </c>
    </row>
    <row r="19">
      <c r="B19" s="14" t="inlineStr">
        <is>
          <t>Implied Pipeline Value</t>
        </is>
      </c>
      <c r="C19" s="13">
        <f>C9</f>
        <v>407.40843323999997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0.35</v>
      </c>
      <c r="C2" s="23" t="n">
        <v>0.51</v>
      </c>
      <c r="D2" s="23" t="n">
        <v>0.597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0.197</v>
      </c>
      <c r="C3" s="23" t="n">
        <v>0.355</v>
      </c>
      <c r="D3" s="23" t="n">
        <v>0.429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0.15299999999999997</v>
      </c>
      <c r="C4" s="23">
        <f>C2-C3</f>
        <v>0.15500000000000003</v>
      </c>
      <c r="D4" s="23">
        <f>D2-D3</f>
        <v>0.16799999999999998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0.491</v>
      </c>
      <c r="D5" s="23" t="n">
        <v>1.602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0.163</v>
      </c>
      <c r="C6" s="23" t="n">
        <v>1.126</v>
      </c>
      <c r="D6" s="23" t="n">
        <v>3.837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0.163</v>
      </c>
      <c r="C7" s="23">
        <f>SUM(C5:C6)</f>
        <v>1.617</v>
      </c>
      <c r="D7" s="23">
        <f>SUM(D5:D6)</f>
        <v>5.439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-0.010000000000000037</v>
      </c>
      <c r="C8" s="23">
        <f>C4-C7</f>
        <v>-1.462</v>
      </c>
      <c r="D8" s="23">
        <f>D4-D7</f>
        <v>-5.271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0.027</v>
      </c>
      <c r="C9" s="23" t="n">
        <v>0.075</v>
      </c>
      <c r="D9" s="23" t="n">
        <v>-3.041</v>
      </c>
    </row>
    <row r="10">
      <c r="A10" s="2" t="inlineStr">
        <is>
          <t>Pretax</t>
        </is>
      </c>
      <c r="B10" s="23">
        <f>B8+B9</f>
        <v>0.016999999999999963</v>
      </c>
      <c r="C10" s="23">
        <f>C8+C9</f>
        <v>-1.387</v>
      </c>
      <c r="D10" s="23">
        <f>D8+D9</f>
        <v>-8.312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0.004</v>
      </c>
      <c r="C11" s="23" t="n">
        <v>0.025</v>
      </c>
      <c r="D11" s="23" t="n">
        <v>-0.002</v>
      </c>
    </row>
    <row r="12">
      <c r="A12" s="2" t="inlineStr">
        <is>
          <t>Net Income</t>
        </is>
      </c>
      <c r="B12" s="23" t="n">
        <v>0.014</v>
      </c>
      <c r="C12" s="23" t="n">
        <v>-1.412</v>
      </c>
      <c r="D12" s="23" t="n">
        <v>-8.311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0.00021628302178279004</v>
      </c>
      <c r="C13" s="11">
        <f>IFERROR(C12/C14,0)</f>
        <v>-0.021813687625521393</v>
      </c>
      <c r="D13" s="11">
        <f>IFERROR(D12/D14,0)</f>
        <v>-0.12456721473643191</v>
      </c>
    </row>
    <row r="14">
      <c r="A14" s="2" t="inlineStr">
        <is>
          <t>Shares</t>
        </is>
      </c>
      <c r="B14" s="23" t="n">
        <v>64.73</v>
      </c>
      <c r="C14" s="23" t="n">
        <v>64.73</v>
      </c>
      <c r="D14" s="23" t="n">
        <v>66.71899999999999</v>
      </c>
    </row>
    <row r="15"/>
    <row r="16" customFormat="1" s="4">
      <c r="A16" s="3" t="inlineStr">
        <is>
          <t>Revenue Change</t>
        </is>
      </c>
      <c r="C16" s="15">
        <f>IFERROR(C2/B2-1,"")</f>
        <v>0.4571428571428573</v>
      </c>
      <c r="D16" s="15">
        <f>IFERROR(D2/C2-1,"")</f>
        <v>0.17058823529411749</v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0.43714285714285706</v>
      </c>
      <c r="C17" s="15">
        <f>IFERROR(C4/C2,"")</f>
        <v>0.303921568627451</v>
      </c>
      <c r="D17" s="15">
        <f>IFERROR(D4/D2,"")</f>
        <v>0.2814070351758794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-0.028571428571428678</v>
      </c>
      <c r="C18" s="15">
        <f>IFERROR(C8/C2,"")</f>
        <v>-2.8666666666666667</v>
      </c>
      <c r="D18" s="15">
        <f>IFERROR(D8/D2,"")</f>
        <v>-8.829145728643216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2026-10-21T06:25:30Z</dcterms:modified>
  <cp:lastModifiedBy>Wang, Eric</cp:lastModifiedBy>
</cp:coreProperties>
</file>