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Cibus Inc</t>
        </is>
      </c>
      <c r="C2" s="10" t="n"/>
    </row>
    <row r="3">
      <c r="B3" t="inlineStr">
        <is>
          <t>Price</t>
        </is>
      </c>
      <c r="C3" s="11">
        <f>INDEX([1]Pharma!$F$1:$F$1000,MATCH("CBUS",[1]Pharma!$B$1:$B$1000,0))</f>
        <v>1.39</v>
      </c>
      <c r="F3" s="1" t="n"/>
    </row>
    <row r="4">
      <c r="B4" t="inlineStr">
        <is>
          <t>Shares</t>
        </is>
      </c>
      <c r="C4" s="21" t="n">
        <v>76.42896399999999</v>
      </c>
      <c r="F4" s="1" t="n"/>
    </row>
    <row r="5">
      <c r="B5" t="inlineStr">
        <is>
          <t>Market Cap.</t>
        </is>
      </c>
      <c r="C5" s="13">
        <f>C3*C4</f>
        <v>106.23625995999998</v>
      </c>
      <c r="F5" s="1" t="n"/>
    </row>
    <row r="6"/>
    <row r="7">
      <c r="B7" t="inlineStr">
        <is>
          <t>Cash</t>
        </is>
      </c>
      <c r="C7" s="21" t="n">
        <v>20.429</v>
      </c>
    </row>
    <row r="8">
      <c r="B8" t="inlineStr">
        <is>
          <t>Debt</t>
        </is>
      </c>
      <c r="C8" s="21">
        <f>0.812+0.053</f>
        <v>0.8650000000000001</v>
      </c>
    </row>
    <row r="9">
      <c r="B9" t="inlineStr">
        <is>
          <t>Enterprise V.</t>
        </is>
      </c>
      <c r="C9" s="13">
        <f>C5-C7+C8</f>
        <v>86.67225995999998</v>
      </c>
    </row>
    <row r="10"/>
    <row r="11">
      <c r="B11" s="14" t="inlineStr">
        <is>
          <t>Net Cash / Share</t>
        </is>
      </c>
      <c r="C11" s="11">
        <f>(C7-C8)/C4</f>
        <v>0.25597625528458035</v>
      </c>
    </row>
    <row r="12">
      <c r="B12" s="14" t="inlineStr">
        <is>
          <t>Upside</t>
        </is>
      </c>
      <c r="C12" s="15">
        <f>IFERROR(C11/C3-1,"")</f>
        <v>-0.8158444206585753</v>
      </c>
    </row>
    <row r="13">
      <c r="B13" s="14" t="inlineStr">
        <is>
          <t>Cash / Share</t>
        </is>
      </c>
      <c r="C13" s="11">
        <f>IFERROR((C7-C8)/C4,"")</f>
        <v>0.25597625528458035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-46.054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0.4248056629174447</v>
      </c>
    </row>
    <row r="19">
      <c r="B19" s="14" t="inlineStr">
        <is>
          <t>Implied Pipeline Value</t>
        </is>
      </c>
      <c r="C19" s="13">
        <f>C9</f>
        <v>86.67225995999998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1.272</v>
      </c>
      <c r="C2" s="23" t="n">
        <v>0.399</v>
      </c>
      <c r="D2" s="23" t="n">
        <v>0.508</v>
      </c>
      <c r="E2" s="23" t="n">
        <v>0.236</v>
      </c>
      <c r="F2" s="23" t="n">
        <v>7.296</v>
      </c>
      <c r="G2" s="23" t="n">
        <v>23.851</v>
      </c>
      <c r="H2" s="23" t="n">
        <v>25.987</v>
      </c>
      <c r="I2" s="23" t="n">
        <v>0.157</v>
      </c>
      <c r="J2" s="23" t="n">
        <v>1.817</v>
      </c>
      <c r="K2" s="23" t="n">
        <v>4.262</v>
      </c>
      <c r="L2" s="23" t="n">
        <v>3.639</v>
      </c>
    </row>
    <row r="3" customFormat="1" s="1">
      <c r="A3" s="5" t="inlineStr">
        <is>
          <t>Cost of Sales</t>
        </is>
      </c>
      <c r="B3" s="23" t="n">
        <v>0.751</v>
      </c>
      <c r="C3" s="23" t="n">
        <v>0.2</v>
      </c>
      <c r="D3" s="23" t="n">
        <v>0</v>
      </c>
      <c r="E3" s="23" t="n">
        <v>0</v>
      </c>
      <c r="F3" s="23" t="n">
        <v>9.279999999999999</v>
      </c>
      <c r="G3" s="23" t="n">
        <v>35.127</v>
      </c>
      <c r="H3" s="23" t="n">
        <v>28.557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0.521</v>
      </c>
      <c r="C4" s="23">
        <f>C2-C3</f>
        <v>0.199</v>
      </c>
      <c r="D4" s="23">
        <f>D2-D3</f>
        <v>0.508</v>
      </c>
      <c r="E4" s="23">
        <f>E2-E3</f>
        <v>0.236</v>
      </c>
      <c r="F4" s="23">
        <f>F2-F3</f>
        <v>-1.983999999999999</v>
      </c>
      <c r="G4" s="23">
        <f>G2-G3</f>
        <v>-11.276000000000003</v>
      </c>
      <c r="H4" s="23">
        <f>H2-H3</f>
        <v>-2.5700000000000003</v>
      </c>
      <c r="I4" s="23">
        <f>I2-I3</f>
        <v>0.157</v>
      </c>
      <c r="J4" s="23">
        <f>J2-J3</f>
        <v>1.817</v>
      </c>
      <c r="K4" s="23">
        <f>K2-K3</f>
        <v>4.262</v>
      </c>
      <c r="L4" s="23">
        <f>L2-L3</f>
        <v>3.639</v>
      </c>
    </row>
    <row r="5">
      <c r="A5" s="2" t="inlineStr">
        <is>
          <t>Research &amp; Dev.</t>
        </is>
      </c>
      <c r="B5" s="23" t="n">
        <v>2.766</v>
      </c>
      <c r="C5" s="23" t="n">
        <v>5.638</v>
      </c>
      <c r="D5" s="23" t="n">
        <v>11.508</v>
      </c>
      <c r="E5" s="23" t="n">
        <v>10.358</v>
      </c>
      <c r="F5" s="23" t="n">
        <v>12.213</v>
      </c>
      <c r="G5" s="23" t="n">
        <v>11.082</v>
      </c>
      <c r="H5" s="23" t="n">
        <v>11.335</v>
      </c>
      <c r="I5" s="23" t="n">
        <v>11.553</v>
      </c>
      <c r="J5" s="23" t="n">
        <v>42.367</v>
      </c>
      <c r="K5" s="23" t="n">
        <v>50.429</v>
      </c>
      <c r="L5" s="23" t="n">
        <v>44.198</v>
      </c>
    </row>
    <row r="6">
      <c r="A6" s="19" t="inlineStr">
        <is>
          <t>SG&amp;A &amp; Other</t>
        </is>
      </c>
      <c r="B6" s="23" t="n">
        <v>3.569</v>
      </c>
      <c r="C6" s="23" t="n">
        <v>6.67</v>
      </c>
      <c r="D6" s="23" t="n">
        <v>14.789</v>
      </c>
      <c r="E6" s="23" t="n">
        <v>17.993</v>
      </c>
      <c r="F6" s="23" t="n">
        <v>25.476</v>
      </c>
      <c r="G6" s="23" t="n">
        <v>21.474</v>
      </c>
      <c r="H6" s="23" t="n">
        <v>15.427</v>
      </c>
      <c r="I6" s="23" t="n">
        <v>10.974</v>
      </c>
      <c r="J6" s="23" t="n">
        <v>278.333</v>
      </c>
      <c r="K6" s="23" t="n">
        <v>212.229</v>
      </c>
      <c r="L6" s="23" t="n">
        <v>56.97</v>
      </c>
    </row>
    <row r="7">
      <c r="A7" s="2" t="inlineStr">
        <is>
          <t>Operating Expense</t>
        </is>
      </c>
      <c r="B7" s="23">
        <f>SUM(B5:B6)</f>
        <v>6.335</v>
      </c>
      <c r="C7" s="23">
        <f>SUM(C5:C6)</f>
        <v>12.308</v>
      </c>
      <c r="D7" s="23">
        <f>SUM(D5:D6)</f>
        <v>26.296999999999997</v>
      </c>
      <c r="E7" s="23">
        <f>SUM(E5:E6)</f>
        <v>28.351</v>
      </c>
      <c r="F7" s="23">
        <f>SUM(F5:F6)</f>
        <v>37.689</v>
      </c>
      <c r="G7" s="23">
        <f>SUM(G5:G6)</f>
        <v>32.556</v>
      </c>
      <c r="H7" s="23">
        <f>SUM(H5:H6)</f>
        <v>26.762</v>
      </c>
      <c r="I7" s="23">
        <f>SUM(I5:I6)</f>
        <v>22.527</v>
      </c>
      <c r="J7" s="23">
        <f>SUM(J5:J6)</f>
        <v>320.70000000000005</v>
      </c>
      <c r="K7" s="23">
        <f>SUM(K5:K6)</f>
        <v>262.658</v>
      </c>
      <c r="L7" s="23">
        <f>SUM(L5:L6)</f>
        <v>101.168</v>
      </c>
    </row>
    <row r="8">
      <c r="A8" s="2" t="inlineStr">
        <is>
          <t>Operating Income</t>
        </is>
      </c>
      <c r="B8" s="23">
        <f>B4-B7</f>
        <v>-5.814</v>
      </c>
      <c r="C8" s="23">
        <f>C4-C7</f>
        <v>-12.109</v>
      </c>
      <c r="D8" s="23">
        <f>D4-D7</f>
        <v>-25.788999999999998</v>
      </c>
      <c r="E8" s="23">
        <f>E4-E7</f>
        <v>-28.115</v>
      </c>
      <c r="F8" s="23">
        <f>F4-F7</f>
        <v>-39.673</v>
      </c>
      <c r="G8" s="23">
        <f>G4-G7</f>
        <v>-43.832</v>
      </c>
      <c r="H8" s="23">
        <f>H4-H7</f>
        <v>-29.332</v>
      </c>
      <c r="I8" s="23">
        <f>I4-I7</f>
        <v>-22.37</v>
      </c>
      <c r="J8" s="23">
        <f>J4-J7</f>
        <v>-318.88300000000004</v>
      </c>
      <c r="K8" s="23">
        <f>K4-K7</f>
        <v>-258.396</v>
      </c>
      <c r="L8" s="23">
        <f>L4-L7</f>
        <v>-97.52900000000001</v>
      </c>
    </row>
    <row r="9">
      <c r="A9" s="19" t="inlineStr">
        <is>
          <t>Interest &amp; Other</t>
        </is>
      </c>
      <c r="B9" s="23" t="n">
        <v>-0.075</v>
      </c>
      <c r="C9" s="23" t="n">
        <v>0.023</v>
      </c>
      <c r="D9" s="23" t="n">
        <v>-0.191</v>
      </c>
      <c r="E9" s="23" t="n">
        <v>0.218</v>
      </c>
      <c r="F9" s="23" t="n">
        <v>0.061</v>
      </c>
      <c r="G9" s="23" t="n">
        <v>-1.004</v>
      </c>
      <c r="H9" s="23" t="n">
        <v>0.133</v>
      </c>
      <c r="I9" s="23" t="n">
        <v>5.479</v>
      </c>
      <c r="J9" s="23" t="n">
        <v>51.252</v>
      </c>
      <c r="K9" s="23" t="n">
        <v>7.037</v>
      </c>
      <c r="L9" s="23" t="n">
        <v>-29.527</v>
      </c>
    </row>
    <row r="10">
      <c r="A10" s="2" t="inlineStr">
        <is>
          <t>Pretax</t>
        </is>
      </c>
      <c r="B10" s="23">
        <f>B8+B9</f>
        <v>-5.889</v>
      </c>
      <c r="C10" s="23">
        <f>C8+C9</f>
        <v>-12.086</v>
      </c>
      <c r="D10" s="23">
        <f>D8+D9</f>
        <v>-25.979999999999997</v>
      </c>
      <c r="E10" s="23">
        <f>E8+E9</f>
        <v>-27.897</v>
      </c>
      <c r="F10" s="23">
        <f>F8+F9</f>
        <v>-39.612</v>
      </c>
      <c r="G10" s="23">
        <f>G8+G9</f>
        <v>-44.836</v>
      </c>
      <c r="H10" s="23">
        <f>H8+H9</f>
        <v>-29.199</v>
      </c>
      <c r="I10" s="23">
        <f>I8+I9</f>
        <v>-16.891000000000002</v>
      </c>
      <c r="J10" s="23">
        <f>J8+J9</f>
        <v>-267.63100000000003</v>
      </c>
      <c r="K10" s="23">
        <f>K8+K9</f>
        <v>-251.359</v>
      </c>
      <c r="L10" s="23">
        <f>L8+L9</f>
        <v>-127.05600000000001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-0.004</v>
      </c>
      <c r="K11" s="23" t="n">
        <v>0.029</v>
      </c>
      <c r="L11" s="23" t="n">
        <v>0.029</v>
      </c>
    </row>
    <row r="12">
      <c r="A12" s="2" t="inlineStr">
        <is>
          <t>Net Income</t>
        </is>
      </c>
      <c r="B12" s="23" t="n">
        <v>-5.889</v>
      </c>
      <c r="C12" s="23" t="n">
        <v>-12.086</v>
      </c>
      <c r="D12" s="23" t="n">
        <v>-25.98</v>
      </c>
      <c r="E12" s="23" t="n">
        <v>-27.897</v>
      </c>
      <c r="F12" s="23" t="n">
        <v>-39.612</v>
      </c>
      <c r="G12" s="23" t="n">
        <v>-44.836</v>
      </c>
      <c r="H12" s="23" t="n">
        <v>-29.199</v>
      </c>
      <c r="I12" s="23" t="n">
        <v>-16.891</v>
      </c>
      <c r="J12" s="23" t="n">
        <v>-267.627</v>
      </c>
      <c r="K12" s="23" t="n">
        <v>-251.388</v>
      </c>
      <c r="L12" s="23" t="n">
        <v>-127.085</v>
      </c>
    </row>
    <row r="13">
      <c r="A13" s="2" t="inlineStr">
        <is>
          <t>Earnings per Share</t>
        </is>
      </c>
      <c r="B13" s="11">
        <f>IFERROR(B12/B14,0)</f>
        <v>-1.631753948462178</v>
      </c>
      <c r="C13" s="11">
        <f>IFERROR(C12/C14,0)</f>
        <v>-1.149187030522012</v>
      </c>
      <c r="D13" s="11">
        <f>IFERROR(D12/D14,0)</f>
        <v>-2.09111397295557</v>
      </c>
      <c r="E13" s="11">
        <f>IFERROR(E12/E14,0)</f>
        <v>-1.6944241982507289</v>
      </c>
      <c r="F13" s="11">
        <f>IFERROR(F12/F14,0)</f>
        <v>-2.2502982446173947</v>
      </c>
      <c r="G13" s="11">
        <f>IFERROR(G12/G14,0)</f>
        <v>-2.466090974093834</v>
      </c>
      <c r="H13" s="11">
        <f>IFERROR(H12/H14,0)</f>
        <v>-1.4520364016112188</v>
      </c>
      <c r="I13" s="11">
        <f>IFERROR(I12/I14,0)</f>
        <v>-0.8345768071545036</v>
      </c>
      <c r="J13" s="11">
        <f>IFERROR(J12/J14,0)</f>
        <v>-12.9733385040477</v>
      </c>
      <c r="K13" s="11">
        <f>IFERROR(K12/K14,0)</f>
        <v>-5.412595543115513</v>
      </c>
      <c r="L13" s="11">
        <f>IFERROR(L12/L14,0)</f>
        <v>-2.7773892519177394</v>
      </c>
    </row>
    <row r="14">
      <c r="A14" s="2" t="inlineStr">
        <is>
          <t>Shares</t>
        </is>
      </c>
      <c r="B14" s="23" t="n">
        <v>3.609</v>
      </c>
      <c r="C14" s="23" t="n">
        <v>10.517</v>
      </c>
      <c r="D14" s="23" t="n">
        <v>12.424</v>
      </c>
      <c r="E14" s="23" t="n">
        <v>16.464</v>
      </c>
      <c r="F14" s="23" t="n">
        <v>17.603</v>
      </c>
      <c r="G14" s="23" t="n">
        <v>18.181</v>
      </c>
      <c r="H14" s="23" t="n">
        <v>20.109</v>
      </c>
      <c r="I14" s="23" t="n">
        <v>20.239</v>
      </c>
      <c r="J14" s="23" t="n">
        <v>20.629</v>
      </c>
      <c r="K14" s="23" t="n">
        <v>46.445</v>
      </c>
      <c r="L14" s="23" t="n">
        <v>45.757</v>
      </c>
    </row>
    <row r="15"/>
    <row r="16" customFormat="1" s="4">
      <c r="A16" s="3" t="inlineStr">
        <is>
          <t>Revenue Change</t>
        </is>
      </c>
      <c r="C16" s="15">
        <f>IFERROR(C2/B2-1,"")</f>
        <v>-0.6863207547169812</v>
      </c>
      <c r="D16" s="15">
        <f>IFERROR(D2/C2-1,"")</f>
        <v>0.27318295739348364</v>
      </c>
      <c r="E16" s="15">
        <f>IFERROR(E2/D2-1,"")</f>
        <v>-0.5354330708661418</v>
      </c>
      <c r="F16" s="15">
        <f>IFERROR(F2/E2-1,"")</f>
        <v>29.91525423728814</v>
      </c>
      <c r="G16" s="15">
        <f>IFERROR(G2/F2-1,"")</f>
        <v>2.269051535087719</v>
      </c>
      <c r="H16" s="15">
        <f>IFERROR(H2/G2-1,"")</f>
        <v>0.08955599345939369</v>
      </c>
      <c r="I16" s="15">
        <f>IFERROR(I2/H2-1,"")</f>
        <v>-0.9939585177203987</v>
      </c>
      <c r="J16" s="15">
        <f>IFERROR(J2/I2-1,"")</f>
        <v>10.573248407643312</v>
      </c>
      <c r="K16" s="15">
        <f>IFERROR(K2/J2-1,"")</f>
        <v>1.3456246560264171</v>
      </c>
      <c r="L16" s="15">
        <f>IFERROR(L2/K2-1,"")</f>
        <v>-0.14617550445800087</v>
      </c>
    </row>
    <row r="17" customFormat="1" s="4">
      <c r="A17" s="3" t="inlineStr">
        <is>
          <t>Gross Margin</t>
        </is>
      </c>
      <c r="B17" s="15">
        <f>IFERROR(B4/B2,"")</f>
        <v>0.40959119496855345</v>
      </c>
      <c r="C17" s="15">
        <f>IFERROR(C4/C2,"")</f>
        <v>0.49874686716791977</v>
      </c>
      <c r="D17" s="15">
        <f>IFERROR(D4/D2,"")</f>
        <v>1.0</v>
      </c>
      <c r="E17" s="15">
        <f>IFERROR(E4/E2,"")</f>
        <v>1.0</v>
      </c>
      <c r="F17" s="15">
        <f>IFERROR(F4/F2,"")</f>
        <v>-0.27192982456140335</v>
      </c>
      <c r="G17" s="15">
        <f>IFERROR(G4/G2,"")</f>
        <v>-0.4727684373820806</v>
      </c>
      <c r="H17" s="15">
        <f>IFERROR(H4/H2,"")</f>
        <v>-0.09889560164697735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>-4.570754716981132</v>
      </c>
      <c r="C18" s="15">
        <f>IFERROR(C8/C2,"")</f>
        <v>-30.348370927318292</v>
      </c>
      <c r="D18" s="15">
        <f>IFERROR(D8/D2,"")</f>
        <v>-50.76574803149606</v>
      </c>
      <c r="E18" s="15">
        <f>IFERROR(E8/E2,"")</f>
        <v>-119.13135593220339</v>
      </c>
      <c r="F18" s="15">
        <f>IFERROR(F8/F2,"")</f>
        <v>-5.4376370614035086</v>
      </c>
      <c r="G18" s="15">
        <f>IFERROR(G8/G2,"")</f>
        <v>-1.837742652299694</v>
      </c>
      <c r="H18" s="15">
        <f>IFERROR(H8/H2,"")</f>
        <v>-1.1287182052564746</v>
      </c>
      <c r="I18" s="15">
        <f>IFERROR(I8/I2,"")</f>
        <v>-142.48407643312103</v>
      </c>
      <c r="J18" s="15">
        <f>IFERROR(J8/J2,"")</f>
        <v>-175.49972482113375</v>
      </c>
      <c r="K18" s="15">
        <f>IFERROR(K8/K2,"")</f>
        <v>-60.627874237447216</v>
      </c>
      <c r="L18" s="15">
        <f>IFERROR(L8/L2,"")</f>
        <v>-26.801044242923883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2026-10-21T01:05:56Z</dcterms:modified>
  <cp:lastModifiedBy>Wang, Eric</cp:lastModifiedBy>
</cp:coreProperties>
</file>