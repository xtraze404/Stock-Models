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Inhibikase Therapeutics, Inc.</t>
        </is>
      </c>
      <c r="C2" s="10" t="n"/>
    </row>
    <row r="3">
      <c r="B3" t="inlineStr">
        <is>
          <t>Price</t>
        </is>
      </c>
      <c r="C3" s="11">
        <f>INDEX([1]Pharma!$F$1:$F$1000,MATCH("IKT",[1]Pharma!$B$1:$B$1000,0))</f>
        <v>1.71</v>
      </c>
      <c r="F3" s="1" t="n"/>
    </row>
    <row r="4">
      <c r="B4" t="inlineStr">
        <is>
          <t>Shares</t>
        </is>
      </c>
      <c r="C4" s="21" t="n">
        <v>139.5359</v>
      </c>
      <c r="F4" s="1" t="n"/>
    </row>
    <row r="5">
      <c r="B5" t="inlineStr">
        <is>
          <t>Market Cap.</t>
        </is>
      </c>
      <c r="C5" s="13">
        <f>C3*C4</f>
        <v>238.60638899999998</v>
      </c>
      <c r="F5" s="1" t="n"/>
    </row>
    <row r="6"/>
    <row r="7">
      <c r="B7" t="inlineStr">
        <is>
          <t>Cash</t>
        </is>
      </c>
      <c r="C7" s="21">
        <f>31.206707+127.81214</f>
        <v>159.018847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79.58754199999998</v>
      </c>
    </row>
    <row r="10"/>
    <row r="11">
      <c r="B11" s="14" t="inlineStr">
        <is>
          <t>Net Cash / Share</t>
        </is>
      </c>
      <c r="C11" s="11">
        <f>(C7-C8)/C4</f>
        <v>1.139626769885026</v>
      </c>
    </row>
    <row r="12">
      <c r="B12" s="14" t="inlineStr">
        <is>
          <t>Upside</t>
        </is>
      </c>
      <c r="C12" s="15">
        <f>IFERROR(C11/C3-1,"")</f>
        <v>-0.33355159655846434</v>
      </c>
    </row>
    <row r="13">
      <c r="B13" s="14" t="inlineStr">
        <is>
          <t>Cash / Share</t>
        </is>
      </c>
      <c r="C13" s="11">
        <f>IFERROR((C7-C8)/C4,"")</f>
        <v>1.139626769885026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-42.612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3.7317855768328165</v>
      </c>
    </row>
    <row r="19">
      <c r="B19" s="14" t="inlineStr">
        <is>
          <t>Implied Pipeline Value</t>
        </is>
      </c>
      <c r="C19" s="13">
        <f>C9</f>
        <v>79.58754199999998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0.698</v>
      </c>
      <c r="C2" s="23" t="n">
        <v>3.101</v>
      </c>
      <c r="D2" s="23" t="n">
        <v>0.123</v>
      </c>
      <c r="E2" s="23" t="n">
        <v>0.261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0.698</v>
      </c>
      <c r="C4" s="23">
        <f>C2-C3</f>
        <v>3.101</v>
      </c>
      <c r="D4" s="23">
        <f>D2-D3</f>
        <v>0.123</v>
      </c>
      <c r="E4" s="23">
        <f>E2-E3</f>
        <v>0.261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0.894</v>
      </c>
      <c r="C5" s="23" t="n">
        <v>11.359</v>
      </c>
      <c r="D5" s="23" t="n">
        <v>12.035</v>
      </c>
      <c r="E5" s="23" t="n">
        <v>13.618</v>
      </c>
      <c r="F5" s="23" t="n">
        <v>17.211</v>
      </c>
      <c r="G5" s="23" t="n">
        <v>29.793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2.623</v>
      </c>
      <c r="C6" s="23" t="n">
        <v>6.508</v>
      </c>
      <c r="D6" s="23" t="n">
        <v>6.217</v>
      </c>
      <c r="E6" s="23" t="n">
        <v>6.732</v>
      </c>
      <c r="F6" s="23" t="n">
        <v>11.379</v>
      </c>
      <c r="G6" s="23" t="n">
        <v>22.181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3.5170000000000003</v>
      </c>
      <c r="C7" s="23">
        <f>SUM(C5:C6)</f>
        <v>17.867</v>
      </c>
      <c r="D7" s="23">
        <f>SUM(D5:D6)</f>
        <v>18.252</v>
      </c>
      <c r="E7" s="23">
        <f>SUM(E5:E6)</f>
        <v>20.35</v>
      </c>
      <c r="F7" s="23">
        <f>SUM(F5:F6)</f>
        <v>28.589999999999996</v>
      </c>
      <c r="G7" s="23">
        <f>SUM(G5:G6)</f>
        <v>51.974000000000004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-2.8190000000000004</v>
      </c>
      <c r="C8" s="23">
        <f>C4-C7</f>
        <v>-14.766000000000002</v>
      </c>
      <c r="D8" s="23">
        <f>D4-D7</f>
        <v>-18.128999999999998</v>
      </c>
      <c r="E8" s="23">
        <f>E4-E7</f>
        <v>-20.089000000000002</v>
      </c>
      <c r="F8" s="23">
        <f>F4-F7</f>
        <v>-28.589999999999996</v>
      </c>
      <c r="G8" s="23">
        <f>G4-G7</f>
        <v>-51.974000000000004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-0.029</v>
      </c>
      <c r="C9" s="23" t="n">
        <v>-0.02</v>
      </c>
      <c r="D9" s="23" t="n">
        <v>0.074</v>
      </c>
      <c r="E9" s="23" t="n">
        <v>1.061</v>
      </c>
      <c r="F9" s="23" t="n">
        <v>1.069</v>
      </c>
      <c r="G9" s="23" t="n">
        <v>3.714</v>
      </c>
    </row>
    <row r="10">
      <c r="A10" s="2" t="inlineStr">
        <is>
          <t>Pretax</t>
        </is>
      </c>
      <c r="B10" s="23">
        <f>B8+B9</f>
        <v>-2.8480000000000003</v>
      </c>
      <c r="C10" s="23">
        <f>C8+C9</f>
        <v>-14.786000000000001</v>
      </c>
      <c r="D10" s="23">
        <f>D8+D9</f>
        <v>-18.054999999999996</v>
      </c>
      <c r="E10" s="23">
        <f>E8+E9</f>
        <v>-19.028000000000002</v>
      </c>
      <c r="F10" s="23">
        <f>F8+F9</f>
        <v>-27.520999999999997</v>
      </c>
      <c r="G10" s="23">
        <f>G8+G9</f>
        <v>-48.260000000000005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-2.848</v>
      </c>
      <c r="C12" s="23" t="n">
        <v>-14.786</v>
      </c>
      <c r="D12" s="23" t="n">
        <v>-18.054</v>
      </c>
      <c r="E12" s="23" t="n">
        <v>-19.029</v>
      </c>
      <c r="F12" s="23" t="n">
        <v>-27.52</v>
      </c>
      <c r="G12" s="23" t="n">
        <v>-48.26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-0.08669710806697108</v>
      </c>
      <c r="C13" s="11">
        <f>IFERROR(C12/C14,0)</f>
        <v>-0.20300122190644862</v>
      </c>
      <c r="D13" s="11">
        <f>IFERROR(D12/D14,0)</f>
        <v>-1.0687899597442576</v>
      </c>
      <c r="E13" s="11">
        <f>IFERROR(E12/E14,0)</f>
        <v>-0.7891593746112056</v>
      </c>
      <c r="F13" s="11">
        <f>IFERROR(F12/F14,0)</f>
        <v>-1.1605937921727396</v>
      </c>
      <c r="G13" s="11">
        <f>IFERROR(G12/G14,0)</f>
        <v>-0.49089614484793</v>
      </c>
    </row>
    <row r="14">
      <c r="A14" s="2" t="inlineStr">
        <is>
          <t>Shares</t>
        </is>
      </c>
      <c r="B14" s="23" t="n">
        <v>32.85</v>
      </c>
      <c r="C14" s="23" t="n">
        <v>72.837</v>
      </c>
      <c r="D14" s="23" t="n">
        <v>16.892</v>
      </c>
      <c r="E14" s="23" t="n">
        <v>24.113</v>
      </c>
      <c r="F14" s="23" t="n">
        <v>23.712</v>
      </c>
      <c r="G14" s="23" t="n">
        <v>98.31</v>
      </c>
    </row>
    <row r="15"/>
    <row r="16" customFormat="1" s="4">
      <c r="A16" s="3" t="inlineStr">
        <is>
          <t>Revenue Change</t>
        </is>
      </c>
      <c r="C16" s="15">
        <f>IFERROR(C2/B2-1,"")</f>
        <v>3.4426934097421205</v>
      </c>
      <c r="D16" s="15">
        <f>IFERROR(D2/C2-1,"")</f>
        <v>-0.9603353756852628</v>
      </c>
      <c r="E16" s="15">
        <f>IFERROR(E2/D2-1,"")</f>
        <v>1.1219512195121952</v>
      </c>
      <c r="F16" s="15">
        <f>IFERROR(F2/E2-1,"")</f>
        <v>-1.0</v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-4.0386819484240695</v>
      </c>
      <c r="C18" s="15">
        <f>IFERROR(C8/C2,"")</f>
        <v>-4.761689777491132</v>
      </c>
      <c r="D18" s="15">
        <f>IFERROR(D8/D2,"")</f>
        <v>-147.390243902439</v>
      </c>
      <c r="E18" s="15">
        <f>IFERROR(E8/E2,"")</f>
        <v>-76.96934865900384</v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2026-10-21T01:05:31Z</dcterms:modified>
  <cp:lastModifiedBy>Wang, Eric</cp:lastModifiedBy>
</cp:coreProperties>
</file>