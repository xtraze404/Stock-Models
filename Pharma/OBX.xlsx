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Obsidian Therapeutics, Inc</t>
        </is>
      </c>
      <c r="C2" s="10" t="n"/>
    </row>
    <row r="3">
      <c r="B3" t="inlineStr">
        <is>
          <t>Price</t>
        </is>
      </c>
      <c r="C3" s="11">
        <f>INDEX([1]Pharma!$F$1:$F$1000,MATCH("OBX",[1]Pharma!$B$1:$B$1000,0))</f>
        <v>13.25</v>
      </c>
      <c r="F3" s="1" t="n"/>
    </row>
    <row r="4">
      <c r="B4" t="inlineStr">
        <is>
          <t>Shares</t>
        </is>
      </c>
      <c r="C4" s="21" t="n">
        <v>61.772876</v>
      </c>
      <c r="F4" s="1" t="n"/>
    </row>
    <row r="5">
      <c r="B5" t="inlineStr">
        <is>
          <t>Market Cap.</t>
        </is>
      </c>
      <c r="C5" s="13">
        <f>C3*C4</f>
        <v>818.490607</v>
      </c>
      <c r="F5" s="1" t="n"/>
    </row>
    <row r="6"/>
    <row r="7">
      <c r="B7" t="inlineStr">
        <is>
          <t>Cash</t>
        </is>
      </c>
      <c r="C7" s="21">
        <f>17.983+16.462</f>
        <v>34.445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784.0456069999999</v>
      </c>
    </row>
    <row r="10"/>
    <row r="11">
      <c r="B11" s="14" t="inlineStr">
        <is>
          <t>Net Cash / Share</t>
        </is>
      </c>
      <c r="C11" s="11">
        <f>(C7-C8)/C4</f>
        <v>0.5576071931635497</v>
      </c>
    </row>
    <row r="12">
      <c r="B12" s="14" t="inlineStr">
        <is>
          <t>Upside</t>
        </is>
      </c>
      <c r="C12" s="15">
        <f>IFERROR(C11/C3-1,"")</f>
        <v>-0.9579164382518076</v>
      </c>
    </row>
    <row r="13">
      <c r="B13" s="14" t="inlineStr">
        <is>
          <t>Cash / Share</t>
        </is>
      </c>
      <c r="C13" s="11">
        <f>IFERROR((C7-C8)/C4,"")</f>
        <v>0.5576071931635497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-91.813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0.375164737019812</v>
      </c>
    </row>
    <row r="19">
      <c r="B19" s="14" t="inlineStr">
        <is>
          <t>Implied Pipeline Value</t>
        </is>
      </c>
      <c r="C19" s="13">
        <f>C9</f>
        <v>784.0456069999999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2024</v>
      </c>
      <c r="C1" s="17" t="n">
        <v>2025</v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23" t="n">
        <v>73.187</v>
      </c>
      <c r="C5" s="23" t="n">
        <v>86.113</v>
      </c>
      <c r="D5" s="1" t="n"/>
      <c r="I5" s="1" t="n"/>
      <c r="J5" s="1" t="n"/>
      <c r="K5" s="1" t="n"/>
    </row>
    <row r="6">
      <c r="A6" s="19" t="inlineStr">
        <is>
          <t>SG&amp;A &amp; Other</t>
        </is>
      </c>
      <c r="B6" s="23" t="n">
        <v>18.068</v>
      </c>
      <c r="C6" s="23" t="n">
        <v>19.554</v>
      </c>
      <c r="D6" s="1" t="n"/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91.255</v>
      </c>
      <c r="C7" s="23">
        <f>SUM(C5:C6)</f>
        <v>105.667</v>
      </c>
      <c r="D7" s="1" t="n"/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-91.255</v>
      </c>
      <c r="C8" s="23">
        <f>C4-C7</f>
        <v>-105.667</v>
      </c>
      <c r="D8" s="1" t="n"/>
      <c r="I8" s="1" t="n"/>
      <c r="J8" s="1" t="n"/>
      <c r="K8" s="1" t="n"/>
    </row>
    <row r="9">
      <c r="A9" s="19" t="inlineStr">
        <is>
          <t>Interest &amp; Other</t>
        </is>
      </c>
      <c r="B9" s="23" t="n">
        <v>8.146000000000001</v>
      </c>
      <c r="C9" s="23" t="n">
        <v>5.06</v>
      </c>
    </row>
    <row r="10">
      <c r="A10" s="2" t="inlineStr">
        <is>
          <t>Pretax</t>
        </is>
      </c>
      <c r="B10" s="23">
        <f>B8+B9</f>
        <v>-83.109</v>
      </c>
      <c r="C10" s="23">
        <f>C8+C9</f>
        <v>-100.607</v>
      </c>
      <c r="D10" s="1" t="n"/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</row>
    <row r="12">
      <c r="A12" s="2" t="inlineStr">
        <is>
          <t>Net Income</t>
        </is>
      </c>
      <c r="B12" s="23" t="n">
        <v>-83.10899999999999</v>
      </c>
      <c r="C12" s="23" t="n">
        <v>-100.607</v>
      </c>
      <c r="D12" s="1" t="n"/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-6.468633250311331</v>
      </c>
      <c r="C13" s="11">
        <f>IFERROR(C12/C14,0)</f>
        <v>-7.219216417910448</v>
      </c>
    </row>
    <row r="14">
      <c r="A14" s="2" t="inlineStr">
        <is>
          <t>Shares</t>
        </is>
      </c>
      <c r="B14" s="23" t="n">
        <v>12.848</v>
      </c>
      <c r="C14" s="23" t="n">
        <v>13.936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2026-10-21T01:04:58Z</dcterms:modified>
  <cp:lastModifiedBy>Wang, Eric</cp:lastModifiedBy>
</cp:coreProperties>
</file>