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NervGen Pharma Corp</t>
        </is>
      </c>
      <c r="C2" s="10" t="n"/>
    </row>
    <row r="3">
      <c r="B3" t="inlineStr">
        <is>
          <t>Price</t>
        </is>
      </c>
      <c r="C3" s="11">
        <f>INDEX([1]Pharma!$F$1:$F$1000,MATCH("NGEN",[1]Pharma!$B$1:$B$1000,0))</f>
        <v>1.54</v>
      </c>
      <c r="F3" s="1" t="n"/>
    </row>
    <row r="4">
      <c r="B4" t="inlineStr">
        <is>
          <t>Shares</t>
        </is>
      </c>
      <c r="C4" s="21" t="n">
        <v>79.64925700000001</v>
      </c>
      <c r="F4" s="1" t="n"/>
    </row>
    <row r="5">
      <c r="B5" t="inlineStr">
        <is>
          <t>Market Cap.</t>
        </is>
      </c>
      <c r="C5" s="13">
        <f>C3*C4</f>
        <v>122.65985578000002</v>
      </c>
      <c r="F5" s="1" t="n"/>
    </row>
    <row r="6"/>
    <row r="7">
      <c r="B7" t="inlineStr">
        <is>
          <t>Cash</t>
        </is>
      </c>
      <c r="C7" s="21">
        <f>(22.07)/1.4161</f>
        <v>15.585057552432739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107.07479822756727</v>
      </c>
    </row>
    <row r="10"/>
    <row r="11">
      <c r="B11" s="14" t="inlineStr">
        <is>
          <t>Net Cash / Share</t>
        </is>
      </c>
      <c r="C11" s="11">
        <f>(C7-C8)/C4</f>
        <v>0.19567109775340072</v>
      </c>
    </row>
    <row r="12">
      <c r="B12" s="14" t="inlineStr">
        <is>
          <t>Upside</t>
        </is>
      </c>
      <c r="C12" s="15">
        <f>IFERROR(C11/C3-1,"")</f>
        <v>-0.8729408456146749</v>
      </c>
    </row>
    <row r="13">
      <c r="B13" s="14" t="inlineStr">
        <is>
          <t>Cash / Share</t>
        </is>
      </c>
      <c r="C13" s="11">
        <f>IFERROR((C7-C8)/C4,"")</f>
        <v>0.19567109775340072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-13.77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1.1318124584192257</v>
      </c>
    </row>
    <row r="19">
      <c r="B19" s="14" t="inlineStr">
        <is>
          <t>Implied Pipeline Value</t>
        </is>
      </c>
      <c r="C19" s="13">
        <f>C9</f>
        <v>107.07479822756727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11.165</v>
      </c>
      <c r="C5" s="23" t="n">
        <v>9.821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6.613</v>
      </c>
      <c r="C6" s="23" t="n">
        <v>7.889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17.778</v>
      </c>
      <c r="C7" s="23">
        <f>SUM(C5:C6)</f>
        <v>17.71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-17.778</v>
      </c>
      <c r="C8" s="23">
        <f>C4-C7</f>
        <v>-17.71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0.654</v>
      </c>
      <c r="C9" s="23" t="n">
        <v>-13.444</v>
      </c>
    </row>
    <row r="10">
      <c r="A10" s="2" t="inlineStr">
        <is>
          <t>Pretax</t>
        </is>
      </c>
      <c r="B10" s="23">
        <f>B8+B9</f>
        <v>-17.124</v>
      </c>
      <c r="C10" s="23">
        <f>C8+C9</f>
        <v>-31.154000000000003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-17.125</v>
      </c>
      <c r="C12" s="23" t="n">
        <v>-31.154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-0.2543744986779953</v>
      </c>
      <c r="C13" s="11">
        <f>IFERROR(C12/C14,0)</f>
        <v>-0.43071435484093956</v>
      </c>
    </row>
    <row r="14">
      <c r="A14" s="2" t="inlineStr">
        <is>
          <t>Shares</t>
        </is>
      </c>
      <c r="B14" s="23" t="n">
        <v>67.322</v>
      </c>
      <c r="C14" s="23" t="n">
        <v>72.331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2026-10-21T06:27:43Z</dcterms:modified>
  <cp:lastModifiedBy>Wang, Eric</cp:lastModifiedBy>
</cp:coreProperties>
</file>