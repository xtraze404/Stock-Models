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Wave Life Sciences Ltd.</t>
        </is>
      </c>
      <c r="C2" s="10" t="n"/>
    </row>
    <row r="3">
      <c r="B3" t="inlineStr">
        <is>
          <t>Price</t>
        </is>
      </c>
      <c r="C3" s="11">
        <f>INDEX([1]Pharma!$F$1:$F$1000,MATCH("WVE",[1]Pharma!$B$1:$B$1000,0))</f>
        <v>3.385</v>
      </c>
      <c r="F3" s="1" t="n"/>
    </row>
    <row r="4">
      <c r="B4" t="inlineStr">
        <is>
          <t>Shares</t>
        </is>
      </c>
      <c r="C4" s="51" t="n">
        <v>197.048175</v>
      </c>
      <c r="F4" s="1" t="n"/>
    </row>
    <row r="5">
      <c r="B5" t="inlineStr">
        <is>
          <t>Market Cap.</t>
        </is>
      </c>
      <c r="C5" s="13">
        <f>C3*C4</f>
        <v>667.0080723749999</v>
      </c>
      <c r="F5" s="1" t="n"/>
    </row>
    <row r="6"/>
    <row r="7">
      <c r="B7" t="inlineStr">
        <is>
          <t>Cash</t>
        </is>
      </c>
      <c r="C7" s="51" t="n">
        <v>490.6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176.40807237499985</v>
      </c>
    </row>
    <row r="10"/>
    <row r="11">
      <c r="B11" s="14" t="inlineStr">
        <is>
          <t>NPV / Share</t>
        </is>
      </c>
      <c r="C11" s="11">
        <f>NPV!B28</f>
        <v>2.119227494140123</v>
      </c>
    </row>
    <row r="12">
      <c r="B12" s="14" t="inlineStr">
        <is>
          <t>Upside</t>
        </is>
      </c>
      <c r="C12" s="15">
        <f>IFERROR(C11/C3-1,"")</f>
        <v>-0.3739357476690921</v>
      </c>
    </row>
    <row r="13">
      <c r="B13" s="14" t="inlineStr">
        <is>
          <t>Cash / Share</t>
        </is>
      </c>
      <c r="C13" s="11">
        <f>IFERROR((C7-C8)/C4,"")</f>
        <v>2.4897464795093893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2013</v>
      </c>
      <c r="C1" s="16" t="n">
        <v>2014</v>
      </c>
      <c r="D1" s="16" t="n">
        <v>2015</v>
      </c>
      <c r="E1" s="16" t="n">
        <v>2016</v>
      </c>
      <c r="F1" s="16" t="n">
        <v>2017</v>
      </c>
      <c r="G1" s="16" t="n">
        <v>2018</v>
      </c>
      <c r="H1" s="16" t="n">
        <v>2019</v>
      </c>
      <c r="I1" s="16" t="n">
        <v>2020</v>
      </c>
      <c r="J1" s="16" t="n">
        <v>2021</v>
      </c>
      <c r="K1" s="16" t="n">
        <v>2022</v>
      </c>
      <c r="L1" s="16" t="n">
        <v>2023</v>
      </c>
      <c r="M1" s="16" t="n">
        <v>2024</v>
      </c>
      <c r="N1" s="16" t="n">
        <v>2025</v>
      </c>
      <c r="O1" s="16" t="n">
        <v>2026</v>
      </c>
      <c r="P1" s="16" t="n">
        <v>2027</v>
      </c>
      <c r="Q1" s="16" t="n">
        <v>2028</v>
      </c>
      <c r="R1" s="16" t="n">
        <v>2029</v>
      </c>
      <c r="S1" s="16" t="n">
        <v>2030</v>
      </c>
      <c r="T1" s="16" t="n">
        <v>2031</v>
      </c>
      <c r="U1" s="16" t="n">
        <v>2032</v>
      </c>
      <c r="V1" s="16" t="n">
        <v>2033</v>
      </c>
      <c r="W1" s="16" t="n">
        <v>2034</v>
      </c>
      <c r="X1" s="16" t="n">
        <v>2035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0.152</v>
      </c>
      <c r="E2" s="52" t="n">
        <v>1.485</v>
      </c>
      <c r="F2" s="52" t="n">
        <v>3.893</v>
      </c>
      <c r="G2" s="52" t="n">
        <v>14.414</v>
      </c>
      <c r="H2" s="52" t="n">
        <v>15.983</v>
      </c>
      <c r="I2" s="52" t="n">
        <v>20.077</v>
      </c>
      <c r="J2" s="52" t="n">
        <v>40.964</v>
      </c>
      <c r="K2" s="52" t="n">
        <v>3.649</v>
      </c>
      <c r="L2" s="52" t="n">
        <v>113.305</v>
      </c>
      <c r="M2" s="52" t="n">
        <v>108.302</v>
      </c>
      <c r="N2" s="52" t="n">
        <v>42.727</v>
      </c>
      <c r="O2" s="52">
        <f>N2*(1+NPV!C5)</f>
        <v>40.8384666</v>
      </c>
      <c r="P2" s="52">
        <f>O2*(1+NPV!D5)</f>
        <v>39.347408808359994</v>
      </c>
      <c r="Q2" s="52">
        <f>P2*(1+NPV!E5)</f>
        <v>38.21332904781682</v>
      </c>
      <c r="R2" s="52">
        <f>Q2*(1+NPV!F5)</f>
        <v>37.405754027272955</v>
      </c>
      <c r="S2" s="52">
        <f>R2*(1+NPV!G5)</f>
        <v>36.90285444535073</v>
      </c>
      <c r="T2" s="52">
        <f>S2*(1+NPV!H5)</f>
        <v>36.69045801643193</v>
      </c>
      <c r="U2" s="52">
        <f>T2*(1+NPV!I5)</f>
        <v>36.76139290193037</v>
      </c>
      <c r="V2" s="52">
        <f>U2*(1+NPV!J5)</f>
        <v>37.115119193631166</v>
      </c>
      <c r="W2" s="52">
        <f>V2*(1+NPV!K5)</f>
        <v>37.75762314589424</v>
      </c>
      <c r="X2" s="52">
        <f>W2*(1+NPV!L5)</f>
        <v>38.70156372454159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0.152</v>
      </c>
      <c r="E4" s="52">
        <f>E2-E3</f>
        <v>1.485</v>
      </c>
      <c r="F4" s="52">
        <f>F2-F3</f>
        <v>3.893</v>
      </c>
      <c r="G4" s="52">
        <f>G2-G3</f>
        <v>14.414</v>
      </c>
      <c r="H4" s="52">
        <f>H2-H3</f>
        <v>15.983</v>
      </c>
      <c r="I4" s="52">
        <f>I2-I3</f>
        <v>20.077</v>
      </c>
      <c r="J4" s="52">
        <f>J2-J3</f>
        <v>40.964</v>
      </c>
      <c r="K4" s="52">
        <f>K2-K3</f>
        <v>3.649</v>
      </c>
      <c r="L4" s="52">
        <f>L2-L3</f>
        <v>113.305</v>
      </c>
      <c r="M4" s="52">
        <f>M2-M3</f>
        <v>108.302</v>
      </c>
      <c r="N4" s="52">
        <f>N2-N3</f>
        <v>42.727</v>
      </c>
      <c r="O4" s="52">
        <f>O2-O3</f>
        <v>40.8384666</v>
      </c>
      <c r="P4" s="52">
        <f>P2-P3</f>
        <v>39.347408808359994</v>
      </c>
      <c r="Q4" s="52">
        <f>Q2-Q3</f>
        <v>38.21332904781682</v>
      </c>
      <c r="R4" s="52">
        <f>R2-R3</f>
        <v>37.405754027272955</v>
      </c>
      <c r="S4" s="52">
        <f>S2-S3</f>
        <v>36.90285444535073</v>
      </c>
      <c r="T4" s="52">
        <f>T2-T3</f>
        <v>36.69045801643193</v>
      </c>
      <c r="U4" s="52">
        <f>U2-U3</f>
        <v>36.76139290193037</v>
      </c>
      <c r="V4" s="52">
        <f>V2-V3</f>
        <v>37.115119193631166</v>
      </c>
      <c r="W4" s="52">
        <f>W2-W3</f>
        <v>37.75762314589424</v>
      </c>
      <c r="X4" s="52">
        <f>X2-X3</f>
        <v>38.70156372454159</v>
      </c>
    </row>
    <row r="5">
      <c r="A5" s="2" t="inlineStr">
        <is>
          <t>Research &amp; Dev.</t>
        </is>
      </c>
      <c r="B5" s="52" t="n">
        <v>1.92</v>
      </c>
      <c r="C5" s="52" t="n">
        <v>2.395</v>
      </c>
      <c r="D5" s="52" t="n">
        <v>9.057</v>
      </c>
      <c r="E5" s="52" t="n">
        <v>40.818</v>
      </c>
      <c r="F5" s="52" t="n">
        <v>79.309</v>
      </c>
      <c r="G5" s="52" t="n">
        <v>134.428</v>
      </c>
      <c r="H5" s="52" t="n">
        <v>175.431</v>
      </c>
      <c r="I5" s="52" t="n">
        <v>130.944</v>
      </c>
      <c r="J5" s="52" t="n">
        <v>121.875</v>
      </c>
      <c r="K5" s="52" t="n">
        <v>115.856</v>
      </c>
      <c r="L5" s="52" t="n">
        <v>130.009</v>
      </c>
      <c r="M5" s="52" t="n">
        <v>159.682</v>
      </c>
      <c r="N5" s="52" t="n">
        <v>182.779</v>
      </c>
      <c r="O5" s="52">
        <f>O7*Assumptions!$B$20</f>
        <v>54.87021357474737</v>
      </c>
      <c r="P5" s="52">
        <f>P7*Assumptions!$B$20</f>
        <v>49.46936100262163</v>
      </c>
      <c r="Q5" s="52">
        <f>Q7*Assumptions!$B$20</f>
        <v>44.743986905662055</v>
      </c>
      <c r="R5" s="52">
        <f>R7*Assumptions!$B$20</f>
        <v>40.568570776529135</v>
      </c>
      <c r="S5" s="52">
        <f>S7*Assumptions!$B$20</f>
        <v>36.83674556481169</v>
      </c>
      <c r="T5" s="52">
        <f>T7*Assumptions!$B$20</f>
        <v>33.456665834811716</v>
      </c>
      <c r="U5" s="52">
        <f>U7*Assumptions!$B$20</f>
        <v>30.347160004340648</v>
      </c>
      <c r="V5" s="52">
        <f>V7*Assumptions!$B$20</f>
        <v>27.434435654746558</v>
      </c>
      <c r="W5" s="52">
        <f>W7*Assumptions!$B$20</f>
        <v>24.649147289161334</v>
      </c>
      <c r="X5" s="52">
        <f>X7*Assumptions!$B$20</f>
        <v>21.923661818678323</v>
      </c>
    </row>
    <row r="6">
      <c r="A6" s="18" t="inlineStr">
        <is>
          <t>SG&amp;A &amp; Other</t>
        </is>
      </c>
      <c r="B6" s="52" t="n">
        <v>1.654</v>
      </c>
      <c r="C6" s="52" t="n">
        <v>2.999</v>
      </c>
      <c r="D6" s="52" t="n">
        <v>10.393</v>
      </c>
      <c r="E6" s="52" t="n">
        <v>16.387</v>
      </c>
      <c r="F6" s="52" t="n">
        <v>26.975</v>
      </c>
      <c r="G6" s="52" t="n">
        <v>39.509</v>
      </c>
      <c r="H6" s="52" t="n">
        <v>48.869</v>
      </c>
      <c r="I6" s="52" t="n">
        <v>42.51</v>
      </c>
      <c r="J6" s="52" t="n">
        <v>46.105</v>
      </c>
      <c r="K6" s="52" t="n">
        <v>50.513</v>
      </c>
      <c r="L6" s="52" t="n">
        <v>51.292</v>
      </c>
      <c r="M6" s="52" t="n">
        <v>59.023</v>
      </c>
      <c r="N6" s="52" t="n">
        <v>75.331</v>
      </c>
      <c r="O6" s="52">
        <f>O7-O5</f>
        <v>22.619143260088634</v>
      </c>
      <c r="P6" s="52">
        <f>P7-P5</f>
        <v>20.392750284797707</v>
      </c>
      <c r="Q6" s="52">
        <f>Q7-Q5</f>
        <v>18.444809741226884</v>
      </c>
      <c r="R6" s="52">
        <f>R7-R5</f>
        <v>16.723578321803217</v>
      </c>
      <c r="S6" s="52">
        <f>S7-S5</f>
        <v>15.185208346799229</v>
      </c>
      <c r="T6" s="52">
        <f>T7-T5</f>
        <v>13.791838380428672</v>
      </c>
      <c r="U6" s="52">
        <f>U7-U5</f>
        <v>12.510007068587822</v>
      </c>
      <c r="V6" s="52">
        <f>V7-V5</f>
        <v>11.309294969101146</v>
      </c>
      <c r="W6" s="52">
        <f>W7-W5</f>
        <v>10.161115793964406</v>
      </c>
      <c r="X6" s="52">
        <f>X7-X5</f>
        <v>9.037589160954955</v>
      </c>
    </row>
    <row r="7">
      <c r="A7" s="2" t="inlineStr">
        <is>
          <t>Operating Expense</t>
        </is>
      </c>
      <c r="B7" s="52">
        <f>SUM(B5:B6)</f>
        <v>3.574</v>
      </c>
      <c r="C7" s="52">
        <f>SUM(C5:C6)</f>
        <v>5.394</v>
      </c>
      <c r="D7" s="52">
        <f>SUM(D5:D6)</f>
        <v>19.450000000000003</v>
      </c>
      <c r="E7" s="52">
        <f>SUM(E5:E6)</f>
        <v>57.205</v>
      </c>
      <c r="F7" s="52">
        <f>SUM(F5:F6)</f>
        <v>106.28399999999999</v>
      </c>
      <c r="G7" s="52">
        <f>SUM(G5:G6)</f>
        <v>173.937</v>
      </c>
      <c r="H7" s="52">
        <f>SUM(H5:H6)</f>
        <v>224.3</v>
      </c>
      <c r="I7" s="52">
        <f>SUM(I5:I6)</f>
        <v>173.45399999999998</v>
      </c>
      <c r="J7" s="52">
        <f>SUM(J5:J6)</f>
        <v>167.98</v>
      </c>
      <c r="K7" s="52">
        <f>SUM(K5:K6)</f>
        <v>166.369</v>
      </c>
      <c r="L7" s="52">
        <f>SUM(L5:L6)</f>
        <v>181.301</v>
      </c>
      <c r="M7" s="52">
        <f>SUM(M5:M6)</f>
        <v>218.70499999999998</v>
      </c>
      <c r="N7" s="52">
        <f>SUM(N5:N6)</f>
        <v>258.11</v>
      </c>
      <c r="O7" s="52">
        <f>O4-O2*NPV!C6</f>
        <v>77.489356834836</v>
      </c>
      <c r="P7" s="52">
        <f>P4-P2*NPV!D6</f>
        <v>69.86211128741934</v>
      </c>
      <c r="Q7" s="52">
        <f>Q4-Q2*NPV!E6</f>
        <v>63.18879664688894</v>
      </c>
      <c r="R7" s="52">
        <f>R4-R2*NPV!F6</f>
        <v>57.29214909833235</v>
      </c>
      <c r="S7" s="52">
        <f>S4-S2*NPV!G6</f>
        <v>52.02195391161092</v>
      </c>
      <c r="T7" s="52">
        <f>T4-T2*NPV!H6</f>
        <v>47.24850421524039</v>
      </c>
      <c r="U7" s="52">
        <f>U4-U2*NPV!I6</f>
        <v>42.85716707292847</v>
      </c>
      <c r="V7" s="52">
        <f>V4-V2*NPV!J6</f>
        <v>38.7437306238477</v>
      </c>
      <c r="W7" s="52">
        <f>W4-W2*NPV!K6</f>
        <v>34.81026308312574</v>
      </c>
      <c r="X7" s="52">
        <f>X4-X2*NPV!L6</f>
        <v>30.961250979633277</v>
      </c>
    </row>
    <row r="8">
      <c r="A8" s="2" t="inlineStr">
        <is>
          <t>Operating Income</t>
        </is>
      </c>
      <c r="B8" s="52">
        <f>B4-B7</f>
        <v>-3.574</v>
      </c>
      <c r="C8" s="52">
        <f>C4-C7</f>
        <v>-5.394</v>
      </c>
      <c r="D8" s="52">
        <f>D4-D7</f>
        <v>-19.298000000000002</v>
      </c>
      <c r="E8" s="52">
        <f>E4-E7</f>
        <v>-55.72</v>
      </c>
      <c r="F8" s="52">
        <f>F4-F7</f>
        <v>-102.39099999999999</v>
      </c>
      <c r="G8" s="52">
        <f>G4-G7</f>
        <v>-159.52300000000002</v>
      </c>
      <c r="H8" s="52">
        <f>H4-H7</f>
        <v>-208.317</v>
      </c>
      <c r="I8" s="52">
        <f>I4-I7</f>
        <v>-153.37699999999998</v>
      </c>
      <c r="J8" s="52">
        <f>J4-J7</f>
        <v>-127.01599999999999</v>
      </c>
      <c r="K8" s="52">
        <f>K4-K7</f>
        <v>-162.72</v>
      </c>
      <c r="L8" s="52">
        <f>L4-L7</f>
        <v>-67.99599999999998</v>
      </c>
      <c r="M8" s="52">
        <f>M4-M7</f>
        <v>-110.40299999999998</v>
      </c>
      <c r="N8" s="52">
        <f>N4-N7</f>
        <v>-215.383</v>
      </c>
      <c r="O8" s="52">
        <f>O4-O7</f>
        <v>-36.650890234836005</v>
      </c>
      <c r="P8" s="52">
        <f>P4-P7</f>
        <v>-30.514702479059345</v>
      </c>
      <c r="Q8" s="52">
        <f>Q4-Q7</f>
        <v>-24.975467599072118</v>
      </c>
      <c r="R8" s="52">
        <f>R4-R7</f>
        <v>-19.886395071059397</v>
      </c>
      <c r="S8" s="52">
        <f>S4-S7</f>
        <v>-15.119099466260195</v>
      </c>
      <c r="T8" s="52">
        <f>T4-T7</f>
        <v>-10.558046198808455</v>
      </c>
      <c r="U8" s="52">
        <f>U4-U7</f>
        <v>-6.095774170998098</v>
      </c>
      <c r="V8" s="52">
        <f>V4-V7</f>
        <v>-1.6286114302165373</v>
      </c>
      <c r="W8" s="52">
        <f>W4-W7</f>
        <v>2.947360062768503</v>
      </c>
      <c r="X8" s="52">
        <f>X4-X7</f>
        <v>7.740312744908316</v>
      </c>
    </row>
    <row r="9">
      <c r="A9" s="18" t="inlineStr">
        <is>
          <t>Interest &amp; Other</t>
        </is>
      </c>
      <c r="B9" s="52" t="n">
        <v>-0.074</v>
      </c>
      <c r="C9" s="52" t="n">
        <v>0.249</v>
      </c>
      <c r="D9" s="52" t="n">
        <v>0.142</v>
      </c>
      <c r="E9" s="52" t="n">
        <v>0.542</v>
      </c>
      <c r="F9" s="52" t="n">
        <v>1.253</v>
      </c>
      <c r="G9" s="52" t="n">
        <v>12.939</v>
      </c>
      <c r="H9" s="52" t="n">
        <v>14.679</v>
      </c>
      <c r="I9" s="52" t="n">
        <v>2.626</v>
      </c>
      <c r="J9" s="52" t="n">
        <v>4.612</v>
      </c>
      <c r="K9" s="52" t="n">
        <v>1.601</v>
      </c>
      <c r="L9" s="52" t="n">
        <v>9.819000000000001</v>
      </c>
      <c r="M9" s="52" t="n">
        <v>13.403</v>
      </c>
      <c r="N9" s="52" t="n">
        <v>10.983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</row>
    <row r="10">
      <c r="A10" s="2" t="inlineStr">
        <is>
          <t>Pretax</t>
        </is>
      </c>
      <c r="B10" s="52">
        <f>B8+B9</f>
        <v>-3.6479999999999997</v>
      </c>
      <c r="C10" s="52">
        <f>C8+C9</f>
        <v>-5.1450000000000005</v>
      </c>
      <c r="D10" s="52">
        <f>D8+D9</f>
        <v>-19.156000000000002</v>
      </c>
      <c r="E10" s="52">
        <f>E8+E9</f>
        <v>-55.178</v>
      </c>
      <c r="F10" s="52">
        <f>F8+F9</f>
        <v>-101.13799999999999</v>
      </c>
      <c r="G10" s="52">
        <f>G8+G9</f>
        <v>-146.58400000000003</v>
      </c>
      <c r="H10" s="52">
        <f>H8+H9</f>
        <v>-193.638</v>
      </c>
      <c r="I10" s="52">
        <f>I8+I9</f>
        <v>-150.75099999999998</v>
      </c>
      <c r="J10" s="52">
        <f>J8+J9</f>
        <v>-122.404</v>
      </c>
      <c r="K10" s="52">
        <f>K8+K9</f>
        <v>-161.119</v>
      </c>
      <c r="L10" s="52">
        <f>L8+L9</f>
        <v>-58.17699999999998</v>
      </c>
      <c r="M10" s="52">
        <f>M8+M9</f>
        <v>-96.99999999999997</v>
      </c>
      <c r="N10" s="52">
        <f>N8+N9</f>
        <v>-204.4</v>
      </c>
      <c r="O10" s="52">
        <f>O8+O9</f>
        <v>-36.650890234836005</v>
      </c>
      <c r="P10" s="52">
        <f>P8+P9</f>
        <v>-30.514702479059345</v>
      </c>
      <c r="Q10" s="52">
        <f>Q8+Q9</f>
        <v>-24.975467599072118</v>
      </c>
      <c r="R10" s="52">
        <f>R8+R9</f>
        <v>-19.886395071059397</v>
      </c>
      <c r="S10" s="52">
        <f>S8+S9</f>
        <v>-15.119099466260195</v>
      </c>
      <c r="T10" s="52">
        <f>T8+T9</f>
        <v>-10.558046198808455</v>
      </c>
      <c r="U10" s="52">
        <f>U8+U9</f>
        <v>-6.095774170998098</v>
      </c>
      <c r="V10" s="52">
        <f>V8+V9</f>
        <v>-1.6286114302165373</v>
      </c>
      <c r="W10" s="52">
        <f>W8+W9</f>
        <v>2.947360062768503</v>
      </c>
      <c r="X10" s="52">
        <f>X8+X9</f>
        <v>7.740312744908316</v>
      </c>
    </row>
    <row r="11">
      <c r="A11" s="2" t="inlineStr">
        <is>
          <t>Taxes</t>
        </is>
      </c>
      <c r="B11" s="52" t="n">
        <v>-0.33</v>
      </c>
      <c r="C11" s="52" t="n">
        <v>0.08400000000000001</v>
      </c>
      <c r="D11" s="52" t="n">
        <v>0.044</v>
      </c>
      <c r="E11" s="52" t="n">
        <v>0.482</v>
      </c>
      <c r="F11" s="52" t="n">
        <v>0.842</v>
      </c>
      <c r="G11" s="52" t="n">
        <v>0.06900000000000001</v>
      </c>
      <c r="H11" s="52" t="n">
        <v>0</v>
      </c>
      <c r="I11" s="52" t="n">
        <v>-0.841</v>
      </c>
      <c r="J11" s="52" t="n">
        <v>-0.204</v>
      </c>
      <c r="K11" s="52" t="n">
        <v>0.681</v>
      </c>
      <c r="L11" s="52" t="n">
        <v>-0.677</v>
      </c>
      <c r="M11" s="52" t="n">
        <v>0</v>
      </c>
      <c r="N11" s="52" t="n">
        <v>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0.5010512106706455</v>
      </c>
      <c r="X11" s="52">
        <f>MAX(0,X10)*Assumptions!$E$14</f>
        <v>1.3158531666344138</v>
      </c>
    </row>
    <row r="12">
      <c r="A12" s="2" t="inlineStr">
        <is>
          <t>Net Income</t>
        </is>
      </c>
      <c r="B12" s="52" t="n">
        <v>-3.318</v>
      </c>
      <c r="C12" s="52" t="n">
        <v>-5.229</v>
      </c>
      <c r="D12" s="52" t="n">
        <v>-19.2</v>
      </c>
      <c r="E12" s="52" t="n">
        <v>-55.66</v>
      </c>
      <c r="F12" s="52" t="n">
        <v>-101.98</v>
      </c>
      <c r="G12" s="52" t="n">
        <v>-146.653</v>
      </c>
      <c r="H12" s="52" t="n">
        <v>-193.638</v>
      </c>
      <c r="I12" s="52" t="n">
        <v>-149.91</v>
      </c>
      <c r="J12" s="52" t="n">
        <v>-122.2</v>
      </c>
      <c r="K12" s="52" t="n">
        <v>-161.8</v>
      </c>
      <c r="L12" s="52" t="n">
        <v>-57.5</v>
      </c>
      <c r="M12" s="52" t="n">
        <v>-97</v>
      </c>
      <c r="N12" s="52" t="n">
        <v>-204.4</v>
      </c>
      <c r="O12" s="52">
        <f>O10-O11</f>
        <v>-36.650890234836005</v>
      </c>
      <c r="P12" s="52">
        <f>P10-P11</f>
        <v>-30.514702479059345</v>
      </c>
      <c r="Q12" s="52">
        <f>Q10-Q11</f>
        <v>-24.975467599072118</v>
      </c>
      <c r="R12" s="52">
        <f>R10-R11</f>
        <v>-19.886395071059397</v>
      </c>
      <c r="S12" s="52">
        <f>S10-S11</f>
        <v>-15.119099466260195</v>
      </c>
      <c r="T12" s="52">
        <f>T10-T11</f>
        <v>-10.558046198808455</v>
      </c>
      <c r="U12" s="52">
        <f>U10-U11</f>
        <v>-6.095774170998098</v>
      </c>
      <c r="V12" s="52">
        <f>V10-V11</f>
        <v>-1.6286114302165373</v>
      </c>
      <c r="W12" s="52">
        <f>W10-W11</f>
        <v>2.4463088520978573</v>
      </c>
      <c r="X12" s="52">
        <f>X10-X11</f>
        <v>6.424459578273902</v>
      </c>
    </row>
    <row r="13">
      <c r="A13" s="2" t="inlineStr">
        <is>
          <t>Earnings per Share</t>
        </is>
      </c>
      <c r="B13" s="11">
        <f>IFERROR(B12/B14,0)</f>
        <v>-1.9036144578313252</v>
      </c>
      <c r="C13" s="11">
        <f>IFERROR(C12/C14,0)</f>
        <v>-1.3366564417177915</v>
      </c>
      <c r="D13" s="11">
        <f>IFERROR(D12/D14,0)</f>
        <v>-1.828397295495667</v>
      </c>
      <c r="E13" s="11">
        <f>IFERROR(E12/E14,0)</f>
        <v>-2.4411210034647604</v>
      </c>
      <c r="F13" s="11">
        <f>IFERROR(F12/F14,0)</f>
        <v>-3.846414966242975</v>
      </c>
      <c r="G13" s="11">
        <f>IFERROR(G12/G14,0)</f>
        <v>-5.062236796686227</v>
      </c>
      <c r="H13" s="11">
        <f>IFERROR(H12/H14,0)</f>
        <v>-5.7177700348432055</v>
      </c>
      <c r="I13" s="11">
        <f>IFERROR(I12/I14,0)</f>
        <v>-3.8215050474151115</v>
      </c>
      <c r="J13" s="11">
        <f>IFERROR(J12/J14,0)</f>
        <v>-2.3578898622313127</v>
      </c>
      <c r="K13" s="11">
        <f>IFERROR(K12/K14,0)</f>
        <v>-2.0518413310337835</v>
      </c>
      <c r="L13" s="11">
        <f>IFERROR(L12/L14,0)</f>
        <v>-0.5419568885076864</v>
      </c>
      <c r="M13" s="11">
        <f>IFERROR(M12/M14,0)</f>
        <v>-0.7014904864872684</v>
      </c>
      <c r="N13" s="11">
        <f>IFERROR(N12/N14,0)</f>
        <v>-1.2119774681292619</v>
      </c>
      <c r="O13" s="11">
        <f>IFERROR(O12/O14,0)</f>
        <v>-0.18599964315749692</v>
      </c>
      <c r="P13" s="11">
        <f>IFERROR(P12/P14,0)</f>
        <v>-0.1548590971677832</v>
      </c>
      <c r="Q13" s="11">
        <f>IFERROR(Q12/Q14,0)</f>
        <v>-0.12674802798387816</v>
      </c>
      <c r="R13" s="11">
        <f>IFERROR(R12/R14,0)</f>
        <v>-0.10092148821504893</v>
      </c>
      <c r="S13" s="11">
        <f>IFERROR(S12/S14,0)</f>
        <v>-0.07672793450769182</v>
      </c>
      <c r="T13" s="11">
        <f>IFERROR(T12/T14,0)</f>
        <v>-0.0535810402649426</v>
      </c>
      <c r="U13" s="11">
        <f>IFERROR(U12/U14,0)</f>
        <v>-0.030935451043878473</v>
      </c>
      <c r="V13" s="11">
        <f>IFERROR(V12/V14,0)</f>
        <v>-0.008265041938178506</v>
      </c>
      <c r="W13" s="11">
        <f>IFERROR(W12/W14,0)</f>
        <v>0.012414775483700154</v>
      </c>
      <c r="X13" s="11">
        <f>IFERROR(X12/X14,0)</f>
        <v>0.0326034969787155</v>
      </c>
    </row>
    <row r="14">
      <c r="A14" s="2" t="inlineStr">
        <is>
          <t>Shares</t>
        </is>
      </c>
      <c r="B14" s="52" t="n">
        <v>1.743</v>
      </c>
      <c r="C14" s="52" t="n">
        <v>3.912</v>
      </c>
      <c r="D14" s="52" t="n">
        <v>10.501</v>
      </c>
      <c r="E14" s="52" t="n">
        <v>22.801</v>
      </c>
      <c r="F14" s="52" t="n">
        <v>26.513</v>
      </c>
      <c r="G14" s="52" t="n">
        <v>28.97</v>
      </c>
      <c r="H14" s="52" t="n">
        <v>33.866</v>
      </c>
      <c r="I14" s="52" t="n">
        <v>39.228</v>
      </c>
      <c r="J14" s="52" t="n">
        <v>51.826</v>
      </c>
      <c r="K14" s="52" t="n">
        <v>78.85599999999999</v>
      </c>
      <c r="L14" s="52" t="n">
        <v>106.097</v>
      </c>
      <c r="M14" s="52" t="n">
        <v>138.277</v>
      </c>
      <c r="N14" s="52" t="n">
        <v>168.65</v>
      </c>
      <c r="O14" s="52">
        <f>Main!$C$4</f>
        <v>197.048175</v>
      </c>
      <c r="P14" s="52">
        <f>Main!$C$4</f>
        <v>197.048175</v>
      </c>
      <c r="Q14" s="52">
        <f>Main!$C$4</f>
        <v>197.048175</v>
      </c>
      <c r="R14" s="52">
        <f>Main!$C$4</f>
        <v>197.048175</v>
      </c>
      <c r="S14" s="52">
        <f>Main!$C$4</f>
        <v>197.048175</v>
      </c>
      <c r="T14" s="52">
        <f>Main!$C$4</f>
        <v>197.048175</v>
      </c>
      <c r="U14" s="52">
        <f>Main!$C$4</f>
        <v>197.048175</v>
      </c>
      <c r="V14" s="52">
        <f>Main!$C$4</f>
        <v>197.048175</v>
      </c>
      <c r="W14" s="52">
        <f>Main!$C$4</f>
        <v>197.048175</v>
      </c>
      <c r="X14" s="52">
        <f>Main!$C$4</f>
        <v>197.048175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8.769736842105264</v>
      </c>
      <c r="F16" s="15">
        <f>IFERROR(F2/E2-1,"")</f>
        <v>1.6215488215488212</v>
      </c>
      <c r="G16" s="15">
        <f>IFERROR(G2/F2-1,"")</f>
        <v>2.702543025944002</v>
      </c>
      <c r="H16" s="15">
        <f>IFERROR(H2/G2-1,"")</f>
        <v>0.10885250450950479</v>
      </c>
      <c r="I16" s="15">
        <f>IFERROR(I2/H2-1,"")</f>
        <v>0.2561471563536257</v>
      </c>
      <c r="J16" s="15">
        <f>IFERROR(J2/I2-1,"")</f>
        <v>1.0403446730089154</v>
      </c>
      <c r="K16" s="15">
        <f>IFERROR(K2/J2-1,"")</f>
        <v>-0.9109217849819353</v>
      </c>
      <c r="L16" s="15">
        <f>IFERROR(L2/K2-1,"")</f>
        <v>30.050972869279256</v>
      </c>
      <c r="M16" s="15">
        <f>IFERROR(M2/L2-1,"")</f>
        <v>-0.04415515643616785</v>
      </c>
      <c r="N16" s="15">
        <f>IFERROR(N2/M2-1,"")</f>
        <v>-0.6054828165684845</v>
      </c>
      <c r="O16" s="15">
        <f>IFERROR(O2/N2-1,"")</f>
        <v>-0.04420000000000002</v>
      </c>
      <c r="P16" s="15">
        <f>IFERROR(P2/O2-1,"")</f>
        <v>-0.03651111111111116</v>
      </c>
      <c r="Q16" s="15">
        <f>IFERROR(Q2/P2-1,"")</f>
        <v>-0.028822222222222194</v>
      </c>
      <c r="R16" s="15">
        <f>IFERROR(R2/Q2-1,"")</f>
        <v>-0.02113333333333345</v>
      </c>
      <c r="S16" s="15">
        <f>IFERROR(S2/R2-1,"")</f>
        <v>-0.013444444444444592</v>
      </c>
      <c r="T16" s="15">
        <f>IFERROR(T2/S2-1,"")</f>
        <v>-0.005755555555555514</v>
      </c>
      <c r="U16" s="15">
        <f>IFERROR(U2/T2-1,"")</f>
        <v>0.0019333333333333425</v>
      </c>
      <c r="V16" s="15">
        <f>IFERROR(V2/U2-1,"")</f>
        <v>0.009622222222222199</v>
      </c>
      <c r="W16" s="15">
        <f>IFERROR(W2/V2-1,"")</f>
        <v>0.017311111111111055</v>
      </c>
      <c r="X16" s="15">
        <f>IFERROR(X2/W2-1,"")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-126.9605263157895</v>
      </c>
      <c r="E18" s="15">
        <f>IFERROR(E8/E2,"")</f>
        <v>-37.521885521885515</v>
      </c>
      <c r="F18" s="15">
        <f>IFERROR(F8/F2,"")</f>
        <v>-26.30131004366812</v>
      </c>
      <c r="G18" s="15">
        <f>IFERROR(G8/G2,"")</f>
        <v>-11.06722630775635</v>
      </c>
      <c r="H18" s="15">
        <f>IFERROR(H8/H2,"")</f>
        <v>-13.033660764562347</v>
      </c>
      <c r="I18" s="15">
        <f>IFERROR(I8/I2,"")</f>
        <v>-7.63943816307217</v>
      </c>
      <c r="J18" s="15">
        <f>IFERROR(J8/J2,"")</f>
        <v>-3.1006737623278977</v>
      </c>
      <c r="K18" s="15">
        <f>IFERROR(K8/K2,"")</f>
        <v>-44.59303918881886</v>
      </c>
      <c r="L18" s="15">
        <f>IFERROR(L8/L2,"")</f>
        <v>-0.6001147345659943</v>
      </c>
      <c r="M18" s="15">
        <f>IFERROR(M8/M2,"")</f>
        <v>-1.019399457073738</v>
      </c>
      <c r="N18" s="15">
        <f>IFERROR(N8/N2,"")</f>
        <v>-5.040910899431274</v>
      </c>
      <c r="O18" s="15">
        <f>IFERROR(O8/O2,"")</f>
        <v>-0.8974600000000001</v>
      </c>
      <c r="P18" s="15">
        <f>IFERROR(P8/P2,"")</f>
        <v>-0.7755200000000001</v>
      </c>
      <c r="Q18" s="15">
        <f>IFERROR(Q8/Q2,"")</f>
        <v>-0.65358</v>
      </c>
      <c r="R18" s="15">
        <f>IFERROR(R8/R2,"")</f>
        <v>-0.5316400000000001</v>
      </c>
      <c r="S18" s="15">
        <f>IFERROR(S8/S2,"")</f>
        <v>-0.40970000000000006</v>
      </c>
      <c r="T18" s="15">
        <f>IFERROR(T8/T2,"")</f>
        <v>-0.28776000000000007</v>
      </c>
      <c r="U18" s="15">
        <f>IFERROR(U8/U2,"")</f>
        <v>-0.1658200000000001</v>
      </c>
      <c r="V18" s="15">
        <f>IFERROR(V8/V2,"")</f>
        <v>-0.043880000000000044</v>
      </c>
      <c r="W18" s="15">
        <f>IFERROR(W8/W2,"")</f>
        <v>0.07805999999999996</v>
      </c>
      <c r="X18" s="15">
        <f>IFERROR(X8/X2,"")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Wave Life Sciences Ltd.: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-0.09420000000000001</v>
      </c>
      <c r="C12" s="53" t="n">
        <v>-0.0442</v>
      </c>
      <c r="D12" s="53" t="n">
        <v>0.0058</v>
      </c>
      <c r="E12" s="54">
        <f>CHOOSE($B$4,B12,C12,D12)</f>
        <v>-0.0442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-1.0194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0.7081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Model'!N2</f>
        <v>42.727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-73.0100898698656</v>
      </c>
      <c r="C29" s="56">
        <f>NPV!B26</f>
        <v>417.5899101301344</v>
      </c>
      <c r="D29" s="35">
        <f>NPV!B28</f>
        <v>2.119227494140123</v>
      </c>
      <c r="E29" s="57">
        <f>NPV!B30</f>
        <v>-0.3739357476690921</v>
      </c>
    </row>
    <row r="30">
      <c r="A30" s="58" t="n">
        <v>1</v>
      </c>
      <c r="B30" s="59">
        <f t="dataTable" ref="B30:E32" r1="B4"/>
        <v>-73.93892268352737</v>
      </c>
      <c r="C30" s="59">
        <v>416.66107731647264</v>
      </c>
      <c r="D30" s="39">
        <v>2.11451375947264</v>
      </c>
      <c r="E30" s="60">
        <v>-0.3753282837599291</v>
      </c>
    </row>
    <row r="31">
      <c r="A31" s="58" t="n">
        <v>2</v>
      </c>
      <c r="B31" s="59">
        <v>-73.0100898698656</v>
      </c>
      <c r="C31" s="59">
        <v>417.5899101301344</v>
      </c>
      <c r="D31" s="39">
        <v>2.119227494140123</v>
      </c>
      <c r="E31" s="60">
        <v>-0.3739357476690921</v>
      </c>
    </row>
    <row r="32">
      <c r="A32" s="58" t="n">
        <v>3</v>
      </c>
      <c r="B32" s="59">
        <v>-59.89404508492552</v>
      </c>
      <c r="C32" s="59">
        <v>430.70595491507447</v>
      </c>
      <c r="D32" s="39">
        <v>2.185790124242838</v>
      </c>
      <c r="E32" s="60">
        <v>-0.3542717505929577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2.119227494140123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2.1333095520048864</v>
      </c>
      <c r="C37" s="39">
        <v>2.1427311904163417</v>
      </c>
      <c r="D37" s="39">
        <v>2.153577452671484</v>
      </c>
      <c r="E37" s="39">
        <v>2.166136008342927</v>
      </c>
      <c r="F37" s="39">
        <v>2.1807767505382167</v>
      </c>
    </row>
    <row r="38">
      <c r="A38" s="62" t="n">
        <v>0.115</v>
      </c>
      <c r="B38" s="39">
        <v>2.118494319137184</v>
      </c>
      <c r="C38" s="39">
        <v>2.1253629017517546</v>
      </c>
      <c r="D38" s="39">
        <v>2.1332036382377253</v>
      </c>
      <c r="E38" s="39">
        <v>2.1421903649572265</v>
      </c>
      <c r="F38" s="39">
        <v>2.152540403773105</v>
      </c>
    </row>
    <row r="39">
      <c r="A39" s="62" t="n">
        <v>0.125</v>
      </c>
      <c r="B39" s="39">
        <v>2.108410758752294</v>
      </c>
      <c r="C39" s="39">
        <v>2.1134762357692174</v>
      </c>
      <c r="D39" s="39">
        <v>2.119227494140123</v>
      </c>
      <c r="E39" s="39">
        <v>2.1257747367808846</v>
      </c>
      <c r="F39" s="39">
        <v>2.133252678145758</v>
      </c>
    </row>
    <row r="40">
      <c r="A40" s="62" t="n">
        <v>0.135</v>
      </c>
      <c r="B40" s="39">
        <v>2.1017499368904353</v>
      </c>
      <c r="C40" s="39">
        <v>2.1055072293820323</v>
      </c>
      <c r="D40" s="39">
        <v>2.1097615017111373</v>
      </c>
      <c r="E40" s="39">
        <v>2.1145853901707317</v>
      </c>
      <c r="F40" s="39">
        <v>2.1200660768833135</v>
      </c>
    </row>
    <row r="41">
      <c r="A41" s="62" t="n">
        <v>0.145</v>
      </c>
      <c r="B41" s="39">
        <v>2.0976151068902475</v>
      </c>
      <c r="C41" s="39">
        <v>2.1004023954523467</v>
      </c>
      <c r="D41" s="39">
        <v>2.103557943212264</v>
      </c>
      <c r="E41" s="39">
        <v>2.107131196060516</v>
      </c>
      <c r="F41" s="39">
        <v>2.111180605894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Wave Life Sciences Ltd.: free-cash-flow DCF ($mm)</t>
        </is>
      </c>
    </row>
    <row r="3">
      <c r="A3" s="20" t="inlineStr">
        <is>
          <t>Fiscal year</t>
        </is>
      </c>
      <c r="B3" s="43">
        <f>'Yearly Model'!N1</f>
        <v>2025</v>
      </c>
      <c r="C3" s="43">
        <f>'Yearly Model'!O1</f>
        <v>2026</v>
      </c>
      <c r="D3" s="43">
        <f>'Yearly Model'!P1</f>
        <v>2027</v>
      </c>
      <c r="E3" s="43">
        <f>'Yearly Model'!Q1</f>
        <v>2028</v>
      </c>
      <c r="F3" s="43">
        <f>'Yearly Model'!R1</f>
        <v>2029</v>
      </c>
      <c r="G3" s="43">
        <f>'Yearly Model'!S1</f>
        <v>2030</v>
      </c>
      <c r="H3" s="43">
        <f>'Yearly Model'!T1</f>
        <v>2031</v>
      </c>
      <c r="I3" s="43">
        <f>'Yearly Model'!U1</f>
        <v>2032</v>
      </c>
      <c r="J3" s="43">
        <f>'Yearly Model'!V1</f>
        <v>2033</v>
      </c>
      <c r="K3" s="43">
        <f>'Yearly Model'!W1</f>
        <v>2034</v>
      </c>
      <c r="L3" s="43">
        <f>'Yearly Model'!X1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-0.0442</v>
      </c>
      <c r="D5" s="63">
        <f>Assumptions!$E$12+(Assumptions!$E$11-Assumptions!$E$12)*(D4-1)/(Assumptions!$B$21-1)</f>
        <v>-0.03651111111111111</v>
      </c>
      <c r="E5" s="63">
        <f>Assumptions!$E$12+(Assumptions!$E$11-Assumptions!$E$12)*(E4-1)/(Assumptions!$B$21-1)</f>
        <v>-0.02882222222222222</v>
      </c>
      <c r="F5" s="63">
        <f>Assumptions!$E$12+(Assumptions!$E$11-Assumptions!$E$12)*(F4-1)/(Assumptions!$B$21-1)</f>
        <v>-0.021133333333333334</v>
      </c>
      <c r="G5" s="63">
        <f>Assumptions!$E$12+(Assumptions!$E$11-Assumptions!$E$12)*(G4-1)/(Assumptions!$B$21-1)</f>
        <v>-0.013444444444444443</v>
      </c>
      <c r="H5" s="63">
        <f>Assumptions!$E$12+(Assumptions!$E$11-Assumptions!$E$12)*(H4-1)/(Assumptions!$B$21-1)</f>
        <v>-0.0057555555555555485</v>
      </c>
      <c r="I5" s="63">
        <f>Assumptions!$E$12+(Assumptions!$E$11-Assumptions!$E$12)*(I4-1)/(Assumptions!$B$21-1)</f>
        <v>0.0019333333333333355</v>
      </c>
      <c r="J5" s="63">
        <f>Assumptions!$E$12+(Assumptions!$E$11-Assumptions!$E$12)*(J4-1)/(Assumptions!$B$21-1)</f>
        <v>0.009622222222222226</v>
      </c>
      <c r="K5" s="63">
        <f>Assumptions!$E$12+(Assumptions!$E$11-Assumptions!$E$12)*(K4-1)/(Assumptions!$B$21-1)</f>
        <v>0.017311111111111117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-5.040910899431274</v>
      </c>
      <c r="C6" s="63">
        <f>Assumptions!$B$18+(Assumptions!$E$13-Assumptions!$B$18)*C4/Assumptions!$B$21</f>
        <v>-0.89746</v>
      </c>
      <c r="D6" s="63">
        <f>Assumptions!$B$18+(Assumptions!$E$13-Assumptions!$B$18)*D4/Assumptions!$B$21</f>
        <v>-0.7755200000000001</v>
      </c>
      <c r="E6" s="63">
        <f>Assumptions!$B$18+(Assumptions!$E$13-Assumptions!$B$18)*E4/Assumptions!$B$21</f>
        <v>-0.65358</v>
      </c>
      <c r="F6" s="63">
        <f>Assumptions!$B$18+(Assumptions!$E$13-Assumptions!$B$18)*F4/Assumptions!$B$21</f>
        <v>-0.5316400000000001</v>
      </c>
      <c r="G6" s="63">
        <f>Assumptions!$B$18+(Assumptions!$E$13-Assumptions!$B$18)*G4/Assumptions!$B$21</f>
        <v>-0.40970000000000006</v>
      </c>
      <c r="H6" s="63">
        <f>Assumptions!$B$18+(Assumptions!$E$13-Assumptions!$B$18)*H4/Assumptions!$B$21</f>
        <v>-0.2877600000000001</v>
      </c>
      <c r="I6" s="63">
        <f>Assumptions!$B$18+(Assumptions!$E$13-Assumptions!$B$18)*I4/Assumptions!$B$21</f>
        <v>-0.16582000000000008</v>
      </c>
      <c r="J6" s="63">
        <f>Assumptions!$B$18+(Assumptions!$E$13-Assumptions!$B$18)*J4/Assumptions!$B$21</f>
        <v>-0.04388000000000003</v>
      </c>
      <c r="K6" s="63">
        <f>Assumptions!$B$18+(Assumptions!$E$13-Assumptions!$B$18)*K4/Assumptions!$B$21</f>
        <v>0.07806000000000002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Model'!N2</f>
        <v>42.727</v>
      </c>
      <c r="C7" s="55">
        <f>'Yearly Model'!O2</f>
        <v>40.8384666</v>
      </c>
      <c r="D7" s="55">
        <f>'Yearly Model'!P2</f>
        <v>39.347408808359994</v>
      </c>
      <c r="E7" s="55">
        <f>'Yearly Model'!Q2</f>
        <v>38.21332904781682</v>
      </c>
      <c r="F7" s="55">
        <f>'Yearly Model'!R2</f>
        <v>37.405754027272955</v>
      </c>
      <c r="G7" s="55">
        <f>'Yearly Model'!S2</f>
        <v>36.90285444535073</v>
      </c>
      <c r="H7" s="55">
        <f>'Yearly Model'!T2</f>
        <v>36.69045801643193</v>
      </c>
      <c r="I7" s="55">
        <f>'Yearly Model'!U2</f>
        <v>36.76139290193037</v>
      </c>
      <c r="J7" s="55">
        <f>'Yearly Model'!V2</f>
        <v>37.115119193631166</v>
      </c>
      <c r="K7" s="55">
        <f>'Yearly Model'!W2</f>
        <v>37.75762314589424</v>
      </c>
      <c r="L7" s="55">
        <f>'Yearly Model'!X2</f>
        <v>38.70156372454159</v>
      </c>
    </row>
    <row r="8">
      <c r="A8" s="14" t="inlineStr">
        <is>
          <t>Operating income</t>
        </is>
      </c>
      <c r="B8" s="55">
        <f>'Yearly Model'!N8</f>
        <v>-215.383</v>
      </c>
      <c r="C8" s="55">
        <f>'Yearly Model'!O8</f>
        <v>-36.650890234836005</v>
      </c>
      <c r="D8" s="55">
        <f>'Yearly Model'!P8</f>
        <v>-30.514702479059345</v>
      </c>
      <c r="E8" s="55">
        <f>'Yearly Model'!Q8</f>
        <v>-24.975467599072118</v>
      </c>
      <c r="F8" s="55">
        <f>'Yearly Model'!R8</f>
        <v>-19.886395071059397</v>
      </c>
      <c r="G8" s="55">
        <f>'Yearly Model'!S8</f>
        <v>-15.119099466260195</v>
      </c>
      <c r="H8" s="55">
        <f>'Yearly Model'!T8</f>
        <v>-10.558046198808455</v>
      </c>
      <c r="I8" s="55">
        <f>'Yearly Model'!U8</f>
        <v>-6.095774170998098</v>
      </c>
      <c r="J8" s="55">
        <f>'Yearly Model'!V8</f>
        <v>-1.6286114302165373</v>
      </c>
      <c r="K8" s="55">
        <f>'Yearly Model'!W8</f>
        <v>2.947360062768503</v>
      </c>
      <c r="L8" s="55">
        <f>'Yearly Model'!X8</f>
        <v>7.740312744908316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0.5010512106706455</v>
      </c>
      <c r="L9" s="52">
        <f>MAX(0,L8)*Assumptions!$E$14</f>
        <v>1.3158531666344138</v>
      </c>
    </row>
    <row r="10">
      <c r="A10" s="14" t="inlineStr">
        <is>
          <t>NOPAT</t>
        </is>
      </c>
      <c r="C10" s="52">
        <f>C8-C9</f>
        <v>-36.650890234836005</v>
      </c>
      <c r="D10" s="52">
        <f>D8-D9</f>
        <v>-30.514702479059345</v>
      </c>
      <c r="E10" s="52">
        <f>E8-E9</f>
        <v>-24.975467599072118</v>
      </c>
      <c r="F10" s="52">
        <f>F8-F9</f>
        <v>-19.886395071059397</v>
      </c>
      <c r="G10" s="52">
        <f>G8-G9</f>
        <v>-15.119099466260195</v>
      </c>
      <c r="H10" s="52">
        <f>H8-H9</f>
        <v>-10.558046198808455</v>
      </c>
      <c r="I10" s="52">
        <f>I8-I9</f>
        <v>-6.095774170998098</v>
      </c>
      <c r="J10" s="52">
        <f>J8-J9</f>
        <v>-1.6286114302165373</v>
      </c>
      <c r="K10" s="52">
        <f>K8-K9</f>
        <v>2.4463088520978573</v>
      </c>
      <c r="L10" s="52">
        <f>L8-L9</f>
        <v>6.424459578273902</v>
      </c>
    </row>
    <row r="11">
      <c r="A11" s="14" t="inlineStr">
        <is>
          <t>Reinvestment</t>
        </is>
      </c>
      <c r="C11" s="52">
        <f>(C7-B7)*Assumptions!$E$15</f>
        <v>-0.47213335</v>
      </c>
      <c r="D11" s="52">
        <f>(D7-C7)*Assumptions!$E$15</f>
        <v>-0.37276444791000074</v>
      </c>
      <c r="E11" s="52">
        <f>(E7-D7)*Assumptions!$E$15</f>
        <v>-0.2835199401357933</v>
      </c>
      <c r="F11" s="52">
        <f>(F7-E7)*Assumptions!$E$15</f>
        <v>-0.2018937551359663</v>
      </c>
      <c r="G11" s="52">
        <f>(G7-F7)*Assumptions!$E$15</f>
        <v>-0.1257248954805572</v>
      </c>
      <c r="H11" s="52">
        <f>(H7-G7)*Assumptions!$E$15</f>
        <v>-0.05309910722969846</v>
      </c>
      <c r="I11" s="52">
        <f>(I7-H7)*Assumptions!$E$15</f>
        <v>0.0177337213746096</v>
      </c>
      <c r="J11" s="52">
        <f>(J7-I7)*Assumptions!$E$15</f>
        <v>0.08843157292519876</v>
      </c>
      <c r="K11" s="52">
        <f>(K7-J7)*Assumptions!$E$15</f>
        <v>0.16062598806576922</v>
      </c>
      <c r="L11" s="52">
        <f>(L7-K7)*Assumptions!$E$15</f>
        <v>0.2359851446618375</v>
      </c>
    </row>
    <row r="12">
      <c r="A12" s="20" t="inlineStr">
        <is>
          <t>Free cash flow</t>
        </is>
      </c>
      <c r="C12" s="64">
        <f>C10-C11</f>
        <v>-36.178756884836005</v>
      </c>
      <c r="D12" s="64">
        <f>D10-D11</f>
        <v>-30.141938031149344</v>
      </c>
      <c r="E12" s="64">
        <f>E10-E11</f>
        <v>-24.691947658936325</v>
      </c>
      <c r="F12" s="64">
        <f>F10-F11</f>
        <v>-19.68450131592343</v>
      </c>
      <c r="G12" s="64">
        <f>G10-G11</f>
        <v>-14.993374570779638</v>
      </c>
      <c r="H12" s="64">
        <f>H10-H11</f>
        <v>-10.504947091578757</v>
      </c>
      <c r="I12" s="64">
        <f>I10-I11</f>
        <v>-6.1135078923727075</v>
      </c>
      <c r="J12" s="64">
        <f>J10-J11</f>
        <v>-1.717043003141736</v>
      </c>
      <c r="K12" s="64">
        <f>K10-K11</f>
        <v>2.285682864032088</v>
      </c>
      <c r="L12" s="64">
        <f>L10-L11</f>
        <v>6.188474433612065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-17.70424228827151</v>
      </c>
      <c r="D16" s="64">
        <f>D12*D13*D15</f>
        <v>-26.779898389713438</v>
      </c>
      <c r="E16" s="64">
        <f>E12*E13*E15</f>
        <v>-19.500267881974178</v>
      </c>
      <c r="F16" s="64">
        <f>F12*F13*F15</f>
        <v>-13.818379770717016</v>
      </c>
      <c r="G16" s="64">
        <f>G12*G13*G15</f>
        <v>-9.355770841162965</v>
      </c>
      <c r="H16" s="64">
        <f>H12*H13*H15</f>
        <v>-5.826684889583299</v>
      </c>
      <c r="I16" s="64">
        <f>I12*I13*I15</f>
        <v>-3.014155246056898</v>
      </c>
      <c r="J16" s="64">
        <f>J12*J13*J15</f>
        <v>-0.752495296461194</v>
      </c>
      <c r="K16" s="64">
        <f>K12*K13*K15</f>
        <v>0.8904018782362794</v>
      </c>
      <c r="L16" s="64">
        <f>L12*L13*L15</f>
        <v>2.1428963924631597</v>
      </c>
    </row>
    <row r="19">
      <c r="A19" s="14" t="inlineStr">
        <is>
          <t>PV of forecast free cash flow</t>
        </is>
      </c>
      <c r="B19" s="52">
        <f>SUM(C16:L16)</f>
        <v>-93.71859633324108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6.343186294452364</v>
      </c>
    </row>
    <row r="21">
      <c r="A21" s="14" t="inlineStr">
        <is>
          <t>Terminal value</t>
        </is>
      </c>
      <c r="B21" s="52">
        <f>B20/(Assumptions!$E$10-Assumptions!$E$11)</f>
        <v>63.43186294452364</v>
      </c>
    </row>
    <row r="22">
      <c r="A22" s="14" t="inlineStr">
        <is>
          <t>PV of terminal value</t>
        </is>
      </c>
      <c r="B22" s="52">
        <f>B21/(1+Assumptions!$E$10)^(L14+0.5)</f>
        <v>20.708506463375482</v>
      </c>
    </row>
    <row r="23">
      <c r="A23" s="20" t="inlineStr">
        <is>
          <t>Enterprise value</t>
        </is>
      </c>
      <c r="B23" s="66">
        <f>B19+B22</f>
        <v>-73.0100898698656</v>
      </c>
    </row>
    <row r="24">
      <c r="A24" s="14" t="inlineStr">
        <is>
          <t>Cash &amp; investments</t>
        </is>
      </c>
      <c r="B24" s="55">
        <f>Main!C7</f>
        <v>490.6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417.5899101301344</v>
      </c>
    </row>
    <row r="27">
      <c r="A27" s="14" t="inlineStr">
        <is>
          <t>Shares (mm)</t>
        </is>
      </c>
      <c r="B27" s="55">
        <f>Main!C4</f>
        <v>197.048175</v>
      </c>
    </row>
    <row r="28">
      <c r="A28" s="20" t="inlineStr">
        <is>
          <t>NPV / share</t>
        </is>
      </c>
      <c r="B28" s="49">
        <f>B26/B27</f>
        <v>2.119227494140123</v>
      </c>
    </row>
    <row r="29">
      <c r="A29" s="14" t="inlineStr">
        <is>
          <t>Price</t>
        </is>
      </c>
      <c r="B29" s="50">
        <f>Main!C3</f>
        <v>3.385</v>
      </c>
    </row>
    <row r="30">
      <c r="A30" s="14" t="inlineStr">
        <is>
          <t>Upside</t>
        </is>
      </c>
      <c r="B30" s="63">
        <f>B28/B29-1</f>
        <v>-0.3739357476690921</v>
      </c>
    </row>
    <row r="31">
      <c r="A31" s="14" t="inlineStr">
        <is>
          <t>Terminal value, % of EV</t>
        </is>
      </c>
      <c r="B31" s="63">
        <f>IFERROR(B22/B23,0)</f>
        <v>-0.2836389668919278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2026-10-21T06:24:53Z</dcterms:modified>
  <cp:lastModifiedBy>Wang, Eric</cp:lastModifiedBy>
</cp:coreProperties>
</file>