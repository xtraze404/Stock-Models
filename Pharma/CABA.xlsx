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Cabaletta Bio, Inc.</t>
        </is>
      </c>
      <c r="C2" s="10" t="n"/>
    </row>
    <row r="3">
      <c r="B3" t="inlineStr">
        <is>
          <t>Price</t>
        </is>
      </c>
      <c r="C3" s="11">
        <f>INDEX([1]Pharma!$F$1:$F$1000,MATCH("CABA",[1]Pharma!$B$1:$B$1000,0))</f>
        <v>1.61</v>
      </c>
      <c r="F3" s="1" t="n"/>
    </row>
    <row r="4">
      <c r="B4" t="inlineStr">
        <is>
          <t>Shares</t>
        </is>
      </c>
      <c r="C4" s="21" t="n">
        <v>169.545445</v>
      </c>
      <c r="F4" s="1" t="n"/>
    </row>
    <row r="5">
      <c r="B5" t="inlineStr">
        <is>
          <t>Market Cap.</t>
        </is>
      </c>
      <c r="C5" s="13">
        <f>C3*C4</f>
        <v>272.96816645</v>
      </c>
      <c r="F5" s="1" t="n"/>
    </row>
    <row r="6"/>
    <row r="7">
      <c r="B7" t="inlineStr">
        <is>
          <t>Cash</t>
        </is>
      </c>
      <c r="C7" s="21" t="n">
        <v>225.101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47.86716645000001</v>
      </c>
    </row>
    <row r="10"/>
    <row r="11">
      <c r="B11" s="14" t="inlineStr">
        <is>
          <t>Net Cash / Share</t>
        </is>
      </c>
      <c r="C11" s="11">
        <f>(C7-C8)/C4</f>
        <v>1.327673533193416</v>
      </c>
    </row>
    <row r="12">
      <c r="B12" s="14" t="inlineStr">
        <is>
          <t>Upside</t>
        </is>
      </c>
      <c r="C12" s="15">
        <f>IFERROR(C11/C3-1,"")</f>
        <v>-0.175358053917133</v>
      </c>
    </row>
    <row r="13">
      <c r="B13" s="14" t="inlineStr">
        <is>
          <t>Cash / Share</t>
        </is>
      </c>
      <c r="C13" s="11">
        <f>IFERROR((C7-C8)/C4,"")</f>
        <v>1.327673533193416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-153.927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1.462388015098066</v>
      </c>
    </row>
    <row r="19">
      <c r="B19" s="14" t="inlineStr">
        <is>
          <t>Implied Pipeline Value</t>
        </is>
      </c>
      <c r="C19" s="13">
        <f>C9</f>
        <v>47.86716645000001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1" t="n"/>
      <c r="K4" s="1" t="n"/>
    </row>
    <row r="5">
      <c r="A5" s="2" t="inlineStr">
        <is>
          <t>Research &amp; Dev.</t>
        </is>
      </c>
      <c r="B5" s="23" t="n">
        <v>4.467</v>
      </c>
      <c r="C5" s="23" t="n">
        <v>11.671</v>
      </c>
      <c r="D5" s="23" t="n">
        <v>21.376</v>
      </c>
      <c r="E5" s="23" t="n">
        <v>32.494</v>
      </c>
      <c r="F5" s="23" t="n">
        <v>39.3</v>
      </c>
      <c r="G5" s="23" t="n">
        <v>55.424</v>
      </c>
      <c r="H5" s="23" t="n">
        <v>97.203</v>
      </c>
      <c r="I5" s="23" t="n">
        <v>142.674</v>
      </c>
      <c r="J5" s="1" t="n"/>
      <c r="K5" s="1" t="n"/>
    </row>
    <row r="6">
      <c r="A6" s="19" t="inlineStr">
        <is>
          <t>SG&amp;A &amp; Other</t>
        </is>
      </c>
      <c r="B6" s="23" t="n">
        <v>1.726</v>
      </c>
      <c r="C6" s="23" t="n">
        <v>7.012</v>
      </c>
      <c r="D6" s="23" t="n">
        <v>12.457</v>
      </c>
      <c r="E6" s="23" t="n">
        <v>13.819</v>
      </c>
      <c r="F6" s="23" t="n">
        <v>14.839</v>
      </c>
      <c r="G6" s="23" t="n">
        <v>19.236</v>
      </c>
      <c r="H6" s="23" t="n">
        <v>27.938</v>
      </c>
      <c r="I6" s="23" t="n">
        <v>29.567</v>
      </c>
      <c r="J6" s="1" t="n"/>
      <c r="K6" s="1" t="n"/>
    </row>
    <row r="7">
      <c r="A7" s="2" t="inlineStr">
        <is>
          <t>Operating Expense</t>
        </is>
      </c>
      <c r="B7" s="23">
        <f>SUM(B5:B6)</f>
        <v>6.193</v>
      </c>
      <c r="C7" s="23">
        <f>SUM(C5:C6)</f>
        <v>18.683</v>
      </c>
      <c r="D7" s="23">
        <f>SUM(D5:D6)</f>
        <v>33.833</v>
      </c>
      <c r="E7" s="23">
        <f>SUM(E5:E6)</f>
        <v>46.313</v>
      </c>
      <c r="F7" s="23">
        <f>SUM(F5:F6)</f>
        <v>54.138999999999996</v>
      </c>
      <c r="G7" s="23">
        <f>SUM(G5:G6)</f>
        <v>74.66</v>
      </c>
      <c r="H7" s="23">
        <f>SUM(H5:H6)</f>
        <v>125.141</v>
      </c>
      <c r="I7" s="23">
        <f>SUM(I5:I6)</f>
        <v>172.241</v>
      </c>
      <c r="J7" s="1" t="n"/>
      <c r="K7" s="1" t="n"/>
    </row>
    <row r="8">
      <c r="A8" s="2" t="inlineStr">
        <is>
          <t>Operating Income</t>
        </is>
      </c>
      <c r="B8" s="23">
        <f>B4-B7</f>
        <v>-6.193</v>
      </c>
      <c r="C8" s="23">
        <f>C4-C7</f>
        <v>-18.683</v>
      </c>
      <c r="D8" s="23">
        <f>D4-D7</f>
        <v>-33.833</v>
      </c>
      <c r="E8" s="23">
        <f>E4-E7</f>
        <v>-46.313</v>
      </c>
      <c r="F8" s="23">
        <f>F4-F7</f>
        <v>-54.138999999999996</v>
      </c>
      <c r="G8" s="23">
        <f>G4-G7</f>
        <v>-74.66</v>
      </c>
      <c r="H8" s="23">
        <f>H4-H7</f>
        <v>-125.141</v>
      </c>
      <c r="I8" s="23">
        <f>I4-I7</f>
        <v>-172.241</v>
      </c>
      <c r="J8" s="1" t="n"/>
      <c r="K8" s="1" t="n"/>
    </row>
    <row r="9">
      <c r="A9" s="19" t="inlineStr">
        <is>
          <t>Interest &amp; Other</t>
        </is>
      </c>
      <c r="B9" s="23" t="n">
        <v>-6.009</v>
      </c>
      <c r="C9" s="23" t="n">
        <v>1.74</v>
      </c>
      <c r="D9" s="23" t="n">
        <v>0.494</v>
      </c>
      <c r="E9" s="23" t="n">
        <v>0.024</v>
      </c>
      <c r="F9" s="23" t="n">
        <v>1.164</v>
      </c>
      <c r="G9" s="23" t="n">
        <v>6.98</v>
      </c>
      <c r="H9" s="23" t="n">
        <v>9.281000000000001</v>
      </c>
      <c r="I9" s="23" t="n">
        <v>4.381</v>
      </c>
    </row>
    <row r="10">
      <c r="A10" s="2" t="inlineStr">
        <is>
          <t>Pretax</t>
        </is>
      </c>
      <c r="B10" s="23">
        <f>B8+B9</f>
        <v>-12.202</v>
      </c>
      <c r="C10" s="23">
        <f>C8+C9</f>
        <v>-16.943</v>
      </c>
      <c r="D10" s="23">
        <f>D8+D9</f>
        <v>-33.339</v>
      </c>
      <c r="E10" s="23">
        <f>E8+E9</f>
        <v>-46.289</v>
      </c>
      <c r="F10" s="23">
        <f>F8+F9</f>
        <v>-52.974999999999994</v>
      </c>
      <c r="G10" s="23">
        <f>G8+G9</f>
        <v>-67.67999999999999</v>
      </c>
      <c r="H10" s="23">
        <f>H8+H9</f>
        <v>-115.86</v>
      </c>
      <c r="I10" s="23">
        <f>I8+I9</f>
        <v>-167.86</v>
      </c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</row>
    <row r="12">
      <c r="A12" s="2" t="inlineStr">
        <is>
          <t>Net Income</t>
        </is>
      </c>
      <c r="B12" s="23" t="n">
        <v>-12.202</v>
      </c>
      <c r="C12" s="23" t="n">
        <v>-16.943</v>
      </c>
      <c r="D12" s="23" t="n">
        <v>-33.339</v>
      </c>
      <c r="E12" s="23" t="n">
        <v>-46.289</v>
      </c>
      <c r="F12" s="23" t="n">
        <v>-52.975</v>
      </c>
      <c r="G12" s="23" t="n">
        <v>-67.68000000000001</v>
      </c>
      <c r="H12" s="23" t="n">
        <v>-115.86</v>
      </c>
      <c r="I12" s="23" t="n">
        <v>-167.86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-44.591750841750844</v>
      </c>
      <c r="G13" s="11">
        <f>IFERROR(G12/G14,0)</f>
        <v>-57.94520547945206</v>
      </c>
      <c r="H13" s="11">
        <f>IFERROR(H12/H14,0)</f>
        <v>0</v>
      </c>
      <c r="I13" s="11">
        <f>IFERROR(I12/I14,0)</f>
        <v>0</v>
      </c>
    </row>
    <row r="14">
      <c r="A14" s="2" t="inlineStr">
        <is>
          <t>Shares</t>
        </is>
      </c>
      <c r="B14" s="23" t="n"/>
      <c r="C14" s="23" t="n"/>
      <c r="D14" s="23" t="n"/>
      <c r="E14" s="23" t="n"/>
      <c r="F14" s="23" t="n">
        <v>1.188</v>
      </c>
      <c r="G14" s="23" t="n">
        <v>1.168</v>
      </c>
      <c r="H14" s="23" t="n"/>
      <c r="I14" s="23" t="n"/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2026-10-21T01:05:30Z</dcterms:modified>
  <cp:lastModifiedBy>Wang, Eric</cp:lastModifiedBy>
</cp:coreProperties>
</file>