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Cabaletta Bio, Inc.</t>
        </is>
      </c>
      <c r="C2" s="10" t="n"/>
    </row>
    <row r="3">
      <c r="B3" t="inlineStr">
        <is>
          <t>Price</t>
        </is>
      </c>
      <c r="C3" s="11">
        <f>INDEX([1]Pharma!$F$1:$F$1000,MATCH("CABA",[1]Pharma!$B$1:$B$1000,0))</f>
        <v>1.61</v>
      </c>
      <c r="F3" s="1" t="n"/>
    </row>
    <row r="4">
      <c r="B4" t="inlineStr">
        <is>
          <t>Shares</t>
        </is>
      </c>
      <c r="C4" s="21" t="n">
        <v>169.545445</v>
      </c>
      <c r="F4" s="1" t="n"/>
    </row>
    <row r="5">
      <c r="B5" t="inlineStr">
        <is>
          <t>Market Cap.</t>
        </is>
      </c>
      <c r="C5" s="13">
        <f>C3*C4</f>
        <v>272.96816645</v>
      </c>
      <c r="F5" s="1" t="n"/>
    </row>
    <row r="6"/>
    <row r="7">
      <c r="B7" t="inlineStr">
        <is>
          <t>Cash</t>
        </is>
      </c>
      <c r="C7" s="21" t="n">
        <v>225.101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47.86716645000001</v>
      </c>
    </row>
    <row r="10"/>
    <row r="11">
      <c r="B11" s="14" t="inlineStr">
        <is>
          <t>rNPV / Share</t>
        </is>
      </c>
      <c r="C11" s="11">
        <f>NPV!B27</f>
        <v>3.148461455154284</v>
      </c>
    </row>
    <row r="12">
      <c r="B12" s="14" t="inlineStr">
        <is>
          <t>Upside</t>
        </is>
      </c>
      <c r="C12" s="15">
        <f>IFERROR(C11/C3-1,"")</f>
        <v>0.9555661212138411</v>
      </c>
    </row>
    <row r="13">
      <c r="B13" s="14" t="inlineStr">
        <is>
          <t>Cash / Share</t>
        </is>
      </c>
      <c r="C13" s="11">
        <f>IFERROR((C7-C8)/C4,"")</f>
        <v>1.327673533193416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-153.927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1.462388015098066</v>
      </c>
    </row>
    <row r="19">
      <c r="B19" s="14" t="inlineStr">
        <is>
          <t>Implied Pipeline Value</t>
        </is>
      </c>
      <c r="C19" s="13">
        <f>C9</f>
        <v>47.86716645000001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4.467</v>
      </c>
      <c r="C5" s="23" t="n">
        <v>11.671</v>
      </c>
      <c r="D5" s="23" t="n">
        <v>21.376</v>
      </c>
      <c r="E5" s="23" t="n">
        <v>32.494</v>
      </c>
      <c r="F5" s="23" t="n">
        <v>39.3</v>
      </c>
      <c r="G5" s="23" t="n">
        <v>55.424</v>
      </c>
      <c r="H5" s="23" t="n">
        <v>97.203</v>
      </c>
      <c r="I5" s="23" t="n">
        <v>142.674</v>
      </c>
      <c r="J5" s="1" t="n"/>
      <c r="K5" s="1" t="n"/>
    </row>
    <row r="6">
      <c r="A6" s="19" t="inlineStr">
        <is>
          <t>SG&amp;A &amp; Other</t>
        </is>
      </c>
      <c r="B6" s="23" t="n">
        <v>1.726</v>
      </c>
      <c r="C6" s="23" t="n">
        <v>7.012</v>
      </c>
      <c r="D6" s="23" t="n">
        <v>12.457</v>
      </c>
      <c r="E6" s="23" t="n">
        <v>13.819</v>
      </c>
      <c r="F6" s="23" t="n">
        <v>14.839</v>
      </c>
      <c r="G6" s="23" t="n">
        <v>19.236</v>
      </c>
      <c r="H6" s="23" t="n">
        <v>27.938</v>
      </c>
      <c r="I6" s="23" t="n">
        <v>29.567</v>
      </c>
      <c r="J6" s="1" t="n"/>
      <c r="K6" s="1" t="n"/>
    </row>
    <row r="7">
      <c r="A7" s="2" t="inlineStr">
        <is>
          <t>Operating Expense</t>
        </is>
      </c>
      <c r="B7" s="23">
        <f>SUM(B5:B6)</f>
        <v>6.193</v>
      </c>
      <c r="C7" s="23">
        <f>SUM(C5:C6)</f>
        <v>18.683</v>
      </c>
      <c r="D7" s="23">
        <f>SUM(D5:D6)</f>
        <v>33.833</v>
      </c>
      <c r="E7" s="23">
        <f>SUM(E5:E6)</f>
        <v>46.313</v>
      </c>
      <c r="F7" s="23">
        <f>SUM(F5:F6)</f>
        <v>54.138999999999996</v>
      </c>
      <c r="G7" s="23">
        <f>SUM(G5:G6)</f>
        <v>74.66</v>
      </c>
      <c r="H7" s="23">
        <f>SUM(H5:H6)</f>
        <v>125.141</v>
      </c>
      <c r="I7" s="23">
        <f>SUM(I5:I6)</f>
        <v>172.241</v>
      </c>
      <c r="J7" s="1" t="n"/>
      <c r="K7" s="1" t="n"/>
    </row>
    <row r="8">
      <c r="A8" s="2" t="inlineStr">
        <is>
          <t>Operating Income</t>
        </is>
      </c>
      <c r="B8" s="23">
        <f>B4-B7</f>
        <v>-6.193</v>
      </c>
      <c r="C8" s="23">
        <f>C4-C7</f>
        <v>-18.683</v>
      </c>
      <c r="D8" s="23">
        <f>D4-D7</f>
        <v>-33.833</v>
      </c>
      <c r="E8" s="23">
        <f>E4-E7</f>
        <v>-46.313</v>
      </c>
      <c r="F8" s="23">
        <f>F4-F7</f>
        <v>-54.138999999999996</v>
      </c>
      <c r="G8" s="23">
        <f>G4-G7</f>
        <v>-74.66</v>
      </c>
      <c r="H8" s="23">
        <f>H4-H7</f>
        <v>-125.141</v>
      </c>
      <c r="I8" s="23">
        <f>I4-I7</f>
        <v>-172.241</v>
      </c>
      <c r="J8" s="1" t="n"/>
      <c r="K8" s="1" t="n"/>
    </row>
    <row r="9">
      <c r="A9" s="19" t="inlineStr">
        <is>
          <t>Interest &amp; Other</t>
        </is>
      </c>
      <c r="B9" s="23" t="n">
        <v>-6.009</v>
      </c>
      <c r="C9" s="23" t="n">
        <v>1.74</v>
      </c>
      <c r="D9" s="23" t="n">
        <v>0.494</v>
      </c>
      <c r="E9" s="23" t="n">
        <v>0.024</v>
      </c>
      <c r="F9" s="23" t="n">
        <v>1.164</v>
      </c>
      <c r="G9" s="23" t="n">
        <v>6.98</v>
      </c>
      <c r="H9" s="23" t="n">
        <v>9.281000000000001</v>
      </c>
      <c r="I9" s="23" t="n">
        <v>4.381</v>
      </c>
    </row>
    <row r="10">
      <c r="A10" s="2" t="inlineStr">
        <is>
          <t>Pretax</t>
        </is>
      </c>
      <c r="B10" s="23">
        <f>B8+B9</f>
        <v>-12.202</v>
      </c>
      <c r="C10" s="23">
        <f>C8+C9</f>
        <v>-16.943</v>
      </c>
      <c r="D10" s="23">
        <f>D8+D9</f>
        <v>-33.339</v>
      </c>
      <c r="E10" s="23">
        <f>E8+E9</f>
        <v>-46.289</v>
      </c>
      <c r="F10" s="23">
        <f>F8+F9</f>
        <v>-52.974999999999994</v>
      </c>
      <c r="G10" s="23">
        <f>G8+G9</f>
        <v>-67.67999999999999</v>
      </c>
      <c r="H10" s="23">
        <f>H8+H9</f>
        <v>-115.86</v>
      </c>
      <c r="I10" s="23">
        <f>I8+I9</f>
        <v>-167.86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-12.202</v>
      </c>
      <c r="C12" s="23" t="n">
        <v>-16.943</v>
      </c>
      <c r="D12" s="23" t="n">
        <v>-33.339</v>
      </c>
      <c r="E12" s="23" t="n">
        <v>-46.289</v>
      </c>
      <c r="F12" s="23" t="n">
        <v>-52.975</v>
      </c>
      <c r="G12" s="23" t="n">
        <v>-67.68000000000001</v>
      </c>
      <c r="H12" s="23" t="n">
        <v>-115.86</v>
      </c>
      <c r="I12" s="23" t="n">
        <v>-167.86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-44.591750841750844</v>
      </c>
      <c r="G13" s="11">
        <f>IFERROR(G12/G14,0)</f>
        <v>-57.94520547945206</v>
      </c>
      <c r="H13" s="11">
        <f>IFERROR(H12/H14,0)</f>
        <v>0</v>
      </c>
      <c r="I13" s="11">
        <f>IFERROR(I12/I14,0)</f>
        <v>0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>
        <v>1.188</v>
      </c>
      <c r="G14" s="23" t="n">
        <v>1.168</v>
      </c>
      <c r="H14" s="23" t="n"/>
      <c r="I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Cabaletta Bio,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1-PRODUCT(Pipeline!AG4:AG7)</f>
        <v>0.637841309283008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185.516</v>
      </c>
    </row>
    <row r="19">
      <c r="A19" s="14" t="inlineStr">
        <is>
          <t>Years of full burn (until the first launch, max 4)</t>
        </is>
      </c>
      <c r="B19" s="39">
        <f>MIN(4,MAX(1,MIN(Pipeline!I4:I7)-2026))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513.1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308.70629847948067</v>
      </c>
      <c r="C29" s="42">
        <f>NPV!B25</f>
        <v>533.8072984794807</v>
      </c>
      <c r="D29" s="43">
        <f>NPV!B27</f>
        <v>3.148461455154284</v>
      </c>
      <c r="E29" s="44">
        <f>NPV!B29</f>
        <v>0.9555661212138411</v>
      </c>
    </row>
    <row r="30">
      <c r="A30" s="45" t="n">
        <v>1</v>
      </c>
      <c r="B30" s="46">
        <f t="dataTable" ref="B30:E32" r1="B4"/>
        <v>-216.2990481549426</v>
      </c>
      <c r="C30" s="46">
        <v>8.801951845057403</v>
      </c>
      <c r="D30" s="47">
        <v>0.0519150004003788</v>
      </c>
      <c r="E30" s="48">
        <v>-0.9677546581364107</v>
      </c>
    </row>
    <row r="31">
      <c r="A31" s="45" t="n">
        <v>2</v>
      </c>
      <c r="B31" s="46">
        <v>308.70629847948067</v>
      </c>
      <c r="C31" s="46">
        <v>533.8072984794807</v>
      </c>
      <c r="D31" s="47">
        <v>3.148461455154284</v>
      </c>
      <c r="E31" s="48">
        <v>0.9555661212138411</v>
      </c>
    </row>
    <row r="32">
      <c r="A32" s="45" t="n">
        <v>3</v>
      </c>
      <c r="B32" s="46">
        <v>1161.0786512141617</v>
      </c>
      <c r="C32" s="46">
        <v>1386.1796512141618</v>
      </c>
      <c r="D32" s="47">
        <v>8.175858992933499</v>
      </c>
      <c r="E32" s="48">
        <v>4.078173287536335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3.148461455154284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-0.5433536895413317</v>
      </c>
      <c r="C37" s="47">
        <v>0.3850540432643394</v>
      </c>
      <c r="D37" s="47">
        <v>1.2355230979089582</v>
      </c>
      <c r="E37" s="47">
        <v>2.886667014972639</v>
      </c>
      <c r="F37" s="47">
        <v>4.5095424388168475</v>
      </c>
    </row>
    <row r="38">
      <c r="A38" s="50" t="n">
        <v>0.8</v>
      </c>
      <c r="B38" s="47">
        <v>-0.06765923782292864</v>
      </c>
      <c r="C38" s="47">
        <v>1.0798203650112739</v>
      </c>
      <c r="D38" s="47">
        <v>2.187611607812879</v>
      </c>
      <c r="E38" s="47">
        <v>4.360137929749708</v>
      </c>
      <c r="F38" s="47">
        <v>6.505515948983182</v>
      </c>
    </row>
    <row r="39">
      <c r="A39" s="50" t="n">
        <v>1</v>
      </c>
      <c r="B39" s="47">
        <v>0.37734485275166046</v>
      </c>
      <c r="C39" s="47">
        <v>1.7814071907169593</v>
      </c>
      <c r="D39" s="47">
        <v>3.148461455154284</v>
      </c>
      <c r="E39" s="47">
        <v>5.841736117780513</v>
      </c>
      <c r="F39" s="47">
        <v>8.513066894009325</v>
      </c>
    </row>
    <row r="40">
      <c r="A40" s="50" t="n">
        <v>1.2</v>
      </c>
      <c r="B40" s="47">
        <v>0.831328458061543</v>
      </c>
      <c r="C40" s="47">
        <v>2.4924226761387813</v>
      </c>
      <c r="D40" s="47">
        <v>4.120544573737327</v>
      </c>
      <c r="E40" s="47">
        <v>7.34096835745104</v>
      </c>
      <c r="F40" s="47">
        <v>10.533804312243804</v>
      </c>
    </row>
    <row r="41">
      <c r="A41" s="50" t="n">
        <v>1.4</v>
      </c>
      <c r="B41" s="47">
        <v>1.2957394610860882</v>
      </c>
      <c r="C41" s="47">
        <v>3.215590500982455</v>
      </c>
      <c r="D41" s="47">
        <v>5.104663413109203</v>
      </c>
      <c r="E41" s="47">
        <v>8.846540824850944</v>
      </c>
      <c r="F41" s="47">
        <v>12.57129414952531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9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Cabaletta Bio,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Rare autoimmune</t>
        </is>
      </c>
      <c r="C4" s="14" t="inlineStr">
        <is>
          <t>CABA-201, CABA-201 following preconditioning with fludarabin</t>
        </is>
      </c>
      <c r="D4" s="14" t="inlineStr">
        <is>
          <t>Phase 2/3</t>
        </is>
      </c>
      <c r="E4" s="14" t="inlineStr">
        <is>
          <t>Autoimmune / rare</t>
        </is>
      </c>
      <c r="F4" s="14" t="inlineStr">
        <is>
          <t>Owned</t>
        </is>
      </c>
      <c r="G4" s="40" t="n">
        <v>800</v>
      </c>
      <c r="H4" s="27" t="n">
        <v>0.3776</v>
      </c>
      <c r="I4" s="26" t="n">
        <v>2030</v>
      </c>
      <c r="J4" s="39">
        <f>I4+Assumptions!$B$25</f>
        <v>2042.0</v>
      </c>
      <c r="K4" s="53">
        <f>Assumptions!$E$13</f>
        <v>0.4</v>
      </c>
      <c r="L4" s="23">
        <f>K4*SUMPRODUCT(M4:AF4,NPV!$C$15:$V$15)</f>
        <v>386.10983129213196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30.208</v>
      </c>
      <c r="R4" s="23">
        <f>IF(R$3&lt;$I4,0,$G4*Assumptions!$E$11*INDEX(Assumptions!$B$24:$G$24,MIN(6,R$3-$I4+1))*IF(R$3&gt;$J4,(1-Assumptions!$B$26)^(R$3-$J4),1)*IF($H4&gt;=1,1,MIN(0.97,$H4*Assumptions!$E$12)))</f>
        <v>75.52</v>
      </c>
      <c r="S4" s="23">
        <f>IF(S$3&lt;$I4,0,$G4*Assumptions!$E$11*INDEX(Assumptions!$B$24:$G$24,MIN(6,S$3-$I4+1))*IF(S$3&gt;$J4,(1-Assumptions!$B$26)^(S$3-$J4),1)*IF($H4&gt;=1,1,MIN(0.97,$H4*Assumptions!$E$12)))</f>
        <v>135.936</v>
      </c>
      <c r="T4" s="23">
        <f>IF(T$3&lt;$I4,0,$G4*Assumptions!$E$11*INDEX(Assumptions!$B$24:$G$24,MIN(6,T$3-$I4+1))*IF(T$3&gt;$J4,(1-Assumptions!$B$26)^(T$3-$J4),1)*IF($H4&gt;=1,1,MIN(0.97,$H4*Assumptions!$E$12)))</f>
        <v>196.352</v>
      </c>
      <c r="U4" s="23">
        <f>IF(U$3&lt;$I4,0,$G4*Assumptions!$E$11*INDEX(Assumptions!$B$24:$G$24,MIN(6,U$3-$I4+1))*IF(U$3&gt;$J4,(1-Assumptions!$B$26)^(U$3-$J4),1)*IF($H4&gt;=1,1,MIN(0.97,$H4*Assumptions!$E$12)))</f>
        <v>256.768</v>
      </c>
      <c r="V4" s="23">
        <f>IF(V$3&lt;$I4,0,$G4*Assumptions!$E$11*INDEX(Assumptions!$B$24:$G$24,MIN(6,V$3-$I4+1))*IF(V$3&gt;$J4,(1-Assumptions!$B$26)^(V$3-$J4),1)*IF($H4&gt;=1,1,MIN(0.97,$H4*Assumptions!$E$12)))</f>
        <v>302.08</v>
      </c>
      <c r="W4" s="23">
        <f>IF(W$3&lt;$I4,0,$G4*Assumptions!$E$11*INDEX(Assumptions!$B$24:$G$24,MIN(6,W$3-$I4+1))*IF(W$3&gt;$J4,(1-Assumptions!$B$26)^(W$3-$J4),1)*IF($H4&gt;=1,1,MIN(0.97,$H4*Assumptions!$E$12)))</f>
        <v>302.08</v>
      </c>
      <c r="X4" s="23">
        <f>IF(X$3&lt;$I4,0,$G4*Assumptions!$E$11*INDEX(Assumptions!$B$24:$G$24,MIN(6,X$3-$I4+1))*IF(X$3&gt;$J4,(1-Assumptions!$B$26)^(X$3-$J4),1)*IF($H4&gt;=1,1,MIN(0.97,$H4*Assumptions!$E$12)))</f>
        <v>302.08</v>
      </c>
      <c r="Y4" s="23">
        <f>IF(Y$3&lt;$I4,0,$G4*Assumptions!$E$11*INDEX(Assumptions!$B$24:$G$24,MIN(6,Y$3-$I4+1))*IF(Y$3&gt;$J4,(1-Assumptions!$B$26)^(Y$3-$J4),1)*IF($H4&gt;=1,1,MIN(0.97,$H4*Assumptions!$E$12)))</f>
        <v>302.08</v>
      </c>
      <c r="Z4" s="23">
        <f>IF(Z$3&lt;$I4,0,$G4*Assumptions!$E$11*INDEX(Assumptions!$B$24:$G$24,MIN(6,Z$3-$I4+1))*IF(Z$3&gt;$J4,(1-Assumptions!$B$26)^(Z$3-$J4),1)*IF($H4&gt;=1,1,MIN(0.97,$H4*Assumptions!$E$12)))</f>
        <v>302.08</v>
      </c>
      <c r="AA4" s="23">
        <f>IF(AA$3&lt;$I4,0,$G4*Assumptions!$E$11*INDEX(Assumptions!$B$24:$G$24,MIN(6,AA$3-$I4+1))*IF(AA$3&gt;$J4,(1-Assumptions!$B$26)^(AA$3-$J4),1)*IF($H4&gt;=1,1,MIN(0.97,$H4*Assumptions!$E$12)))</f>
        <v>302.08</v>
      </c>
      <c r="AB4" s="23">
        <f>IF(AB$3&lt;$I4,0,$G4*Assumptions!$E$11*INDEX(Assumptions!$B$24:$G$24,MIN(6,AB$3-$I4+1))*IF(AB$3&gt;$J4,(1-Assumptions!$B$26)^(AB$3-$J4),1)*IF($H4&gt;=1,1,MIN(0.97,$H4*Assumptions!$E$12)))</f>
        <v>302.08</v>
      </c>
      <c r="AC4" s="23">
        <f>IF(AC$3&lt;$I4,0,$G4*Assumptions!$E$11*INDEX(Assumptions!$B$24:$G$24,MIN(6,AC$3-$I4+1))*IF(AC$3&gt;$J4,(1-Assumptions!$B$26)^(AC$3-$J4),1)*IF($H4&gt;=1,1,MIN(0.97,$H4*Assumptions!$E$12)))</f>
        <v>302.08</v>
      </c>
      <c r="AD4" s="23">
        <f>IF(AD$3&lt;$I4,0,$G4*Assumptions!$E$11*INDEX(Assumptions!$B$24:$G$24,MIN(6,AD$3-$I4+1))*IF(AD$3&gt;$J4,(1-Assumptions!$B$26)^(AD$3-$J4),1)*IF($H4&gt;=1,1,MIN(0.97,$H4*Assumptions!$E$12)))</f>
        <v>151.04</v>
      </c>
      <c r="AE4" s="23">
        <f>IF(AE$3&lt;$I4,0,$G4*Assumptions!$E$11*INDEX(Assumptions!$B$24:$G$24,MIN(6,AE$3-$I4+1))*IF(AE$3&gt;$J4,(1-Assumptions!$B$26)^(AE$3-$J4),1)*IF($H4&gt;=1,1,MIN(0.97,$H4*Assumptions!$E$12)))</f>
        <v>75.52</v>
      </c>
      <c r="AF4" s="23">
        <f>IF(AF$3&lt;$I4,0,$G4*Assumptions!$E$11*INDEX(Assumptions!$B$24:$G$24,MIN(6,AF$3-$I4+1))*IF(AF$3&gt;$J4,(1-Assumptions!$B$26)^(AF$3-$J4),1)*IF($H4&gt;=1,1,MIN(0.97,$H4*Assumptions!$E$12)))</f>
        <v>37.76</v>
      </c>
      <c r="AG4" s="35">
        <f>IF(F4="Owned",1-IF(H4&gt;=1,1,MIN(0.97,H4*Assumptions!$E$12)),1)</f>
        <v>0.6224000000000001</v>
      </c>
    </row>
    <row r="5">
      <c r="A5" s="39" t="n">
        <v>2</v>
      </c>
      <c r="B5" s="14" t="inlineStr">
        <is>
          <t>Myasthenia gravis / neuromuscular</t>
        </is>
      </c>
      <c r="C5" s="14" t="inlineStr">
        <is>
          <t>CABA-201, MuSK-CAART</t>
        </is>
      </c>
      <c r="D5" s="14" t="inlineStr">
        <is>
          <t>Phase 1/2</t>
        </is>
      </c>
      <c r="E5" s="14" t="inlineStr">
        <is>
          <t>Neurology / rare</t>
        </is>
      </c>
      <c r="F5" s="14" t="inlineStr">
        <is>
          <t>Owned</t>
        </is>
      </c>
      <c r="G5" s="40" t="n">
        <v>1500</v>
      </c>
      <c r="H5" s="27" t="n">
        <v>0.207</v>
      </c>
      <c r="I5" s="26" t="n">
        <v>2032</v>
      </c>
      <c r="J5" s="39">
        <f>I5+Assumptions!$B$25</f>
        <v>2044.0</v>
      </c>
      <c r="K5" s="53">
        <f>Assumptions!$E$13</f>
        <v>0.4</v>
      </c>
      <c r="L5" s="23">
        <f>K5*SUMPRODUCT(M5:AF5,NPV!$C$15:$V$15)</f>
        <v>311.730273738914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31.049999999999997</v>
      </c>
      <c r="T5" s="23">
        <f>IF(T$3&lt;$I5,0,$G5*Assumptions!$E$11*INDEX(Assumptions!$B$24:$G$24,MIN(6,T$3-$I5+1))*IF(T$3&gt;$J5,(1-Assumptions!$B$26)^(T$3-$J5),1)*IF($H5&gt;=1,1,MIN(0.97,$H5*Assumptions!$E$12)))</f>
        <v>77.625</v>
      </c>
      <c r="U5" s="23">
        <f>IF(U$3&lt;$I5,0,$G5*Assumptions!$E$11*INDEX(Assumptions!$B$24:$G$24,MIN(6,U$3-$I5+1))*IF(U$3&gt;$J5,(1-Assumptions!$B$26)^(U$3-$J5),1)*IF($H5&gt;=1,1,MIN(0.97,$H5*Assumptions!$E$12)))</f>
        <v>139.725</v>
      </c>
      <c r="V5" s="23">
        <f>IF(V$3&lt;$I5,0,$G5*Assumptions!$E$11*INDEX(Assumptions!$B$24:$G$24,MIN(6,V$3-$I5+1))*IF(V$3&gt;$J5,(1-Assumptions!$B$26)^(V$3-$J5),1)*IF($H5&gt;=1,1,MIN(0.97,$H5*Assumptions!$E$12)))</f>
        <v>201.825</v>
      </c>
      <c r="W5" s="23">
        <f>IF(W$3&lt;$I5,0,$G5*Assumptions!$E$11*INDEX(Assumptions!$B$24:$G$24,MIN(6,W$3-$I5+1))*IF(W$3&gt;$J5,(1-Assumptions!$B$26)^(W$3-$J5),1)*IF($H5&gt;=1,1,MIN(0.97,$H5*Assumptions!$E$12)))</f>
        <v>263.925</v>
      </c>
      <c r="X5" s="23">
        <f>IF(X$3&lt;$I5,0,$G5*Assumptions!$E$11*INDEX(Assumptions!$B$24:$G$24,MIN(6,X$3-$I5+1))*IF(X$3&gt;$J5,(1-Assumptions!$B$26)^(X$3-$J5),1)*IF($H5&gt;=1,1,MIN(0.97,$H5*Assumptions!$E$12)))</f>
        <v>310.5</v>
      </c>
      <c r="Y5" s="23">
        <f>IF(Y$3&lt;$I5,0,$G5*Assumptions!$E$11*INDEX(Assumptions!$B$24:$G$24,MIN(6,Y$3-$I5+1))*IF(Y$3&gt;$J5,(1-Assumptions!$B$26)^(Y$3-$J5),1)*IF($H5&gt;=1,1,MIN(0.97,$H5*Assumptions!$E$12)))</f>
        <v>310.5</v>
      </c>
      <c r="Z5" s="23">
        <f>IF(Z$3&lt;$I5,0,$G5*Assumptions!$E$11*INDEX(Assumptions!$B$24:$G$24,MIN(6,Z$3-$I5+1))*IF(Z$3&gt;$J5,(1-Assumptions!$B$26)^(Z$3-$J5),1)*IF($H5&gt;=1,1,MIN(0.97,$H5*Assumptions!$E$12)))</f>
        <v>310.5</v>
      </c>
      <c r="AA5" s="23">
        <f>IF(AA$3&lt;$I5,0,$G5*Assumptions!$E$11*INDEX(Assumptions!$B$24:$G$24,MIN(6,AA$3-$I5+1))*IF(AA$3&gt;$J5,(1-Assumptions!$B$26)^(AA$3-$J5),1)*IF($H5&gt;=1,1,MIN(0.97,$H5*Assumptions!$E$12)))</f>
        <v>310.5</v>
      </c>
      <c r="AB5" s="23">
        <f>IF(AB$3&lt;$I5,0,$G5*Assumptions!$E$11*INDEX(Assumptions!$B$24:$G$24,MIN(6,AB$3-$I5+1))*IF(AB$3&gt;$J5,(1-Assumptions!$B$26)^(AB$3-$J5),1)*IF($H5&gt;=1,1,MIN(0.97,$H5*Assumptions!$E$12)))</f>
        <v>310.5</v>
      </c>
      <c r="AC5" s="23">
        <f>IF(AC$3&lt;$I5,0,$G5*Assumptions!$E$11*INDEX(Assumptions!$B$24:$G$24,MIN(6,AC$3-$I5+1))*IF(AC$3&gt;$J5,(1-Assumptions!$B$26)^(AC$3-$J5),1)*IF($H5&gt;=1,1,MIN(0.97,$H5*Assumptions!$E$12)))</f>
        <v>310.5</v>
      </c>
      <c r="AD5" s="23">
        <f>IF(AD$3&lt;$I5,0,$G5*Assumptions!$E$11*INDEX(Assumptions!$B$24:$G$24,MIN(6,AD$3-$I5+1))*IF(AD$3&gt;$J5,(1-Assumptions!$B$26)^(AD$3-$J5),1)*IF($H5&gt;=1,1,MIN(0.97,$H5*Assumptions!$E$12)))</f>
        <v>310.5</v>
      </c>
      <c r="AE5" s="23">
        <f>IF(AE$3&lt;$I5,0,$G5*Assumptions!$E$11*INDEX(Assumptions!$B$24:$G$24,MIN(6,AE$3-$I5+1))*IF(AE$3&gt;$J5,(1-Assumptions!$B$26)^(AE$3-$J5),1)*IF($H5&gt;=1,1,MIN(0.97,$H5*Assumptions!$E$12)))</f>
        <v>310.5</v>
      </c>
      <c r="AF5" s="23">
        <f>IF(AF$3&lt;$I5,0,$G5*Assumptions!$E$11*INDEX(Assumptions!$B$24:$G$24,MIN(6,AF$3-$I5+1))*IF(AF$3&gt;$J5,(1-Assumptions!$B$26)^(AF$3-$J5),1)*IF($H5&gt;=1,1,MIN(0.97,$H5*Assumptions!$E$12)))</f>
        <v>155.25</v>
      </c>
      <c r="AG5" s="35">
        <f>IF(F5="Owned",1-IF(H5&gt;=1,1,MIN(0.97,H5*Assumptions!$E$12)),1)</f>
        <v>0.793</v>
      </c>
    </row>
    <row r="6">
      <c r="A6" s="39" t="n">
        <v>3</v>
      </c>
      <c r="B6" s="14" t="inlineStr">
        <is>
          <t>Hidradenitis / alopecia / vitiligo</t>
        </is>
      </c>
      <c r="C6" s="14" t="inlineStr">
        <is>
          <t>DSG3-CAART, CABA-201</t>
        </is>
      </c>
      <c r="D6" s="14" t="inlineStr">
        <is>
          <t>Phase 1/2</t>
        </is>
      </c>
      <c r="E6" s="14" t="inlineStr">
        <is>
          <t>Autoimmune / area</t>
        </is>
      </c>
      <c r="F6" s="14" t="inlineStr">
        <is>
          <t>Owned</t>
        </is>
      </c>
      <c r="G6" s="40" t="n">
        <v>1500</v>
      </c>
      <c r="H6" s="27" t="n">
        <v>0.1434</v>
      </c>
      <c r="I6" s="26" t="n">
        <v>2032</v>
      </c>
      <c r="J6" s="39">
        <f>I6+Assumptions!$B$25</f>
        <v>2044.0</v>
      </c>
      <c r="K6" s="53">
        <f>Assumptions!$E$13</f>
        <v>0.4</v>
      </c>
      <c r="L6" s="23">
        <f>K6*SUMPRODUCT(M6:AF6,NPV!$C$15:$V$15)</f>
        <v>215.9522765901462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21.51</v>
      </c>
      <c r="T6" s="23">
        <f>IF(T$3&lt;$I6,0,$G6*Assumptions!$E$11*INDEX(Assumptions!$B$24:$G$24,MIN(6,T$3-$I6+1))*IF(T$3&gt;$J6,(1-Assumptions!$B$26)^(T$3-$J6),1)*IF($H6&gt;=1,1,MIN(0.97,$H6*Assumptions!$E$12)))</f>
        <v>53.775</v>
      </c>
      <c r="U6" s="23">
        <f>IF(U$3&lt;$I6,0,$G6*Assumptions!$E$11*INDEX(Assumptions!$B$24:$G$24,MIN(6,U$3-$I6+1))*IF(U$3&gt;$J6,(1-Assumptions!$B$26)^(U$3-$J6),1)*IF($H6&gt;=1,1,MIN(0.97,$H6*Assumptions!$E$12)))</f>
        <v>96.795</v>
      </c>
      <c r="V6" s="23">
        <f>IF(V$3&lt;$I6,0,$G6*Assumptions!$E$11*INDEX(Assumptions!$B$24:$G$24,MIN(6,V$3-$I6+1))*IF(V$3&gt;$J6,(1-Assumptions!$B$26)^(V$3-$J6),1)*IF($H6&gt;=1,1,MIN(0.97,$H6*Assumptions!$E$12)))</f>
        <v>139.815</v>
      </c>
      <c r="W6" s="23">
        <f>IF(W$3&lt;$I6,0,$G6*Assumptions!$E$11*INDEX(Assumptions!$B$24:$G$24,MIN(6,W$3-$I6+1))*IF(W$3&gt;$J6,(1-Assumptions!$B$26)^(W$3-$J6),1)*IF($H6&gt;=1,1,MIN(0.97,$H6*Assumptions!$E$12)))</f>
        <v>182.835</v>
      </c>
      <c r="X6" s="23">
        <f>IF(X$3&lt;$I6,0,$G6*Assumptions!$E$11*INDEX(Assumptions!$B$24:$G$24,MIN(6,X$3-$I6+1))*IF(X$3&gt;$J6,(1-Assumptions!$B$26)^(X$3-$J6),1)*IF($H6&gt;=1,1,MIN(0.97,$H6*Assumptions!$E$12)))</f>
        <v>215.1</v>
      </c>
      <c r="Y6" s="23">
        <f>IF(Y$3&lt;$I6,0,$G6*Assumptions!$E$11*INDEX(Assumptions!$B$24:$G$24,MIN(6,Y$3-$I6+1))*IF(Y$3&gt;$J6,(1-Assumptions!$B$26)^(Y$3-$J6),1)*IF($H6&gt;=1,1,MIN(0.97,$H6*Assumptions!$E$12)))</f>
        <v>215.1</v>
      </c>
      <c r="Z6" s="23">
        <f>IF(Z$3&lt;$I6,0,$G6*Assumptions!$E$11*INDEX(Assumptions!$B$24:$G$24,MIN(6,Z$3-$I6+1))*IF(Z$3&gt;$J6,(1-Assumptions!$B$26)^(Z$3-$J6),1)*IF($H6&gt;=1,1,MIN(0.97,$H6*Assumptions!$E$12)))</f>
        <v>215.1</v>
      </c>
      <c r="AA6" s="23">
        <f>IF(AA$3&lt;$I6,0,$G6*Assumptions!$E$11*INDEX(Assumptions!$B$24:$G$24,MIN(6,AA$3-$I6+1))*IF(AA$3&gt;$J6,(1-Assumptions!$B$26)^(AA$3-$J6),1)*IF($H6&gt;=1,1,MIN(0.97,$H6*Assumptions!$E$12)))</f>
        <v>215.1</v>
      </c>
      <c r="AB6" s="23">
        <f>IF(AB$3&lt;$I6,0,$G6*Assumptions!$E$11*INDEX(Assumptions!$B$24:$G$24,MIN(6,AB$3-$I6+1))*IF(AB$3&gt;$J6,(1-Assumptions!$B$26)^(AB$3-$J6),1)*IF($H6&gt;=1,1,MIN(0.97,$H6*Assumptions!$E$12)))</f>
        <v>215.1</v>
      </c>
      <c r="AC6" s="23">
        <f>IF(AC$3&lt;$I6,0,$G6*Assumptions!$E$11*INDEX(Assumptions!$B$24:$G$24,MIN(6,AC$3-$I6+1))*IF(AC$3&gt;$J6,(1-Assumptions!$B$26)^(AC$3-$J6),1)*IF($H6&gt;=1,1,MIN(0.97,$H6*Assumptions!$E$12)))</f>
        <v>215.1</v>
      </c>
      <c r="AD6" s="23">
        <f>IF(AD$3&lt;$I6,0,$G6*Assumptions!$E$11*INDEX(Assumptions!$B$24:$G$24,MIN(6,AD$3-$I6+1))*IF(AD$3&gt;$J6,(1-Assumptions!$B$26)^(AD$3-$J6),1)*IF($H6&gt;=1,1,MIN(0.97,$H6*Assumptions!$E$12)))</f>
        <v>215.1</v>
      </c>
      <c r="AE6" s="23">
        <f>IF(AE$3&lt;$I6,0,$G6*Assumptions!$E$11*INDEX(Assumptions!$B$24:$G$24,MIN(6,AE$3-$I6+1))*IF(AE$3&gt;$J6,(1-Assumptions!$B$26)^(AE$3-$J6),1)*IF($H6&gt;=1,1,MIN(0.97,$H6*Assumptions!$E$12)))</f>
        <v>215.1</v>
      </c>
      <c r="AF6" s="23">
        <f>IF(AF$3&lt;$I6,0,$G6*Assumptions!$E$11*INDEX(Assumptions!$B$24:$G$24,MIN(6,AF$3-$I6+1))*IF(AF$3&gt;$J6,(1-Assumptions!$B$26)^(AF$3-$J6),1)*IF($H6&gt;=1,1,MIN(0.97,$H6*Assumptions!$E$12)))</f>
        <v>107.55</v>
      </c>
      <c r="AG6" s="35">
        <f>IF(F6="Owned",1-IF(H6&gt;=1,1,MIN(0.97,H6*Assumptions!$E$12)),1)</f>
        <v>0.8566</v>
      </c>
    </row>
    <row r="7">
      <c r="A7" s="39" t="n">
        <v>4</v>
      </c>
      <c r="B7" s="14" t="inlineStr">
        <is>
          <t>Lupus / Sjogren's</t>
        </is>
      </c>
      <c r="C7" s="14" t="inlineStr">
        <is>
          <t>CABA-201</t>
        </is>
      </c>
      <c r="D7" s="14" t="inlineStr">
        <is>
          <t>Phase 1/2</t>
        </is>
      </c>
      <c r="E7" s="14" t="inlineStr">
        <is>
          <t>Autoimmune / area</t>
        </is>
      </c>
      <c r="F7" s="14" t="inlineStr">
        <is>
          <t>Owned</t>
        </is>
      </c>
      <c r="G7" s="40" t="n">
        <v>1500</v>
      </c>
      <c r="H7" s="27" t="n">
        <v>0.1434</v>
      </c>
      <c r="I7" s="26" t="n">
        <v>2032</v>
      </c>
      <c r="J7" s="39">
        <f>I7+Assumptions!$B$25</f>
        <v>2044.0</v>
      </c>
      <c r="K7" s="53">
        <f>Assumptions!$E$13</f>
        <v>0.4</v>
      </c>
      <c r="L7" s="23">
        <f>K7*SUMPRODUCT(M7:AF7,NPV!$C$15:$V$15)</f>
        <v>215.9522765901462</v>
      </c>
      <c r="M7" s="23">
        <f>IF(M$3&lt;$I7,0,$G7*Assumptions!$E$11*INDEX(Assumptions!$B$24:$G$24,MIN(6,M$3-$I7+1))*IF(M$3&gt;$J7,(1-Assumptions!$B$26)^(M$3-$J7),1)*IF($H7&gt;=1,1,MIN(0.97,$H7*Assumptions!$E$12)))</f>
        <v>0</v>
      </c>
      <c r="N7" s="23">
        <f>IF(N$3&lt;$I7,0,$G7*Assumptions!$E$11*INDEX(Assumptions!$B$24:$G$24,MIN(6,N$3-$I7+1))*IF(N$3&gt;$J7,(1-Assumptions!$B$26)^(N$3-$J7),1)*IF($H7&gt;=1,1,MIN(0.97,$H7*Assumptions!$E$12)))</f>
        <v>0</v>
      </c>
      <c r="O7" s="23">
        <f>IF(O$3&lt;$I7,0,$G7*Assumptions!$E$11*INDEX(Assumptions!$B$24:$G$24,MIN(6,O$3-$I7+1))*IF(O$3&gt;$J7,(1-Assumptions!$B$26)^(O$3-$J7),1)*IF($H7&gt;=1,1,MIN(0.97,$H7*Assumptions!$E$12)))</f>
        <v>0</v>
      </c>
      <c r="P7" s="23">
        <f>IF(P$3&lt;$I7,0,$G7*Assumptions!$E$11*INDEX(Assumptions!$B$24:$G$24,MIN(6,P$3-$I7+1))*IF(P$3&gt;$J7,(1-Assumptions!$B$26)^(P$3-$J7),1)*IF($H7&gt;=1,1,MIN(0.97,$H7*Assumptions!$E$12)))</f>
        <v>0</v>
      </c>
      <c r="Q7" s="23">
        <f>IF(Q$3&lt;$I7,0,$G7*Assumptions!$E$11*INDEX(Assumptions!$B$24:$G$24,MIN(6,Q$3-$I7+1))*IF(Q$3&gt;$J7,(1-Assumptions!$B$26)^(Q$3-$J7),1)*IF($H7&gt;=1,1,MIN(0.97,$H7*Assumptions!$E$12)))</f>
        <v>0</v>
      </c>
      <c r="R7" s="23">
        <f>IF(R$3&lt;$I7,0,$G7*Assumptions!$E$11*INDEX(Assumptions!$B$24:$G$24,MIN(6,R$3-$I7+1))*IF(R$3&gt;$J7,(1-Assumptions!$B$26)^(R$3-$J7),1)*IF($H7&gt;=1,1,MIN(0.97,$H7*Assumptions!$E$12)))</f>
        <v>0</v>
      </c>
      <c r="S7" s="23">
        <f>IF(S$3&lt;$I7,0,$G7*Assumptions!$E$11*INDEX(Assumptions!$B$24:$G$24,MIN(6,S$3-$I7+1))*IF(S$3&gt;$J7,(1-Assumptions!$B$26)^(S$3-$J7),1)*IF($H7&gt;=1,1,MIN(0.97,$H7*Assumptions!$E$12)))</f>
        <v>21.51</v>
      </c>
      <c r="T7" s="23">
        <f>IF(T$3&lt;$I7,0,$G7*Assumptions!$E$11*INDEX(Assumptions!$B$24:$G$24,MIN(6,T$3-$I7+1))*IF(T$3&gt;$J7,(1-Assumptions!$B$26)^(T$3-$J7),1)*IF($H7&gt;=1,1,MIN(0.97,$H7*Assumptions!$E$12)))</f>
        <v>53.775</v>
      </c>
      <c r="U7" s="23">
        <f>IF(U$3&lt;$I7,0,$G7*Assumptions!$E$11*INDEX(Assumptions!$B$24:$G$24,MIN(6,U$3-$I7+1))*IF(U$3&gt;$J7,(1-Assumptions!$B$26)^(U$3-$J7),1)*IF($H7&gt;=1,1,MIN(0.97,$H7*Assumptions!$E$12)))</f>
        <v>96.795</v>
      </c>
      <c r="V7" s="23">
        <f>IF(V$3&lt;$I7,0,$G7*Assumptions!$E$11*INDEX(Assumptions!$B$24:$G$24,MIN(6,V$3-$I7+1))*IF(V$3&gt;$J7,(1-Assumptions!$B$26)^(V$3-$J7),1)*IF($H7&gt;=1,1,MIN(0.97,$H7*Assumptions!$E$12)))</f>
        <v>139.815</v>
      </c>
      <c r="W7" s="23">
        <f>IF(W$3&lt;$I7,0,$G7*Assumptions!$E$11*INDEX(Assumptions!$B$24:$G$24,MIN(6,W$3-$I7+1))*IF(W$3&gt;$J7,(1-Assumptions!$B$26)^(W$3-$J7),1)*IF($H7&gt;=1,1,MIN(0.97,$H7*Assumptions!$E$12)))</f>
        <v>182.835</v>
      </c>
      <c r="X7" s="23">
        <f>IF(X$3&lt;$I7,0,$G7*Assumptions!$E$11*INDEX(Assumptions!$B$24:$G$24,MIN(6,X$3-$I7+1))*IF(X$3&gt;$J7,(1-Assumptions!$B$26)^(X$3-$J7),1)*IF($H7&gt;=1,1,MIN(0.97,$H7*Assumptions!$E$12)))</f>
        <v>215.1</v>
      </c>
      <c r="Y7" s="23">
        <f>IF(Y$3&lt;$I7,0,$G7*Assumptions!$E$11*INDEX(Assumptions!$B$24:$G$24,MIN(6,Y$3-$I7+1))*IF(Y$3&gt;$J7,(1-Assumptions!$B$26)^(Y$3-$J7),1)*IF($H7&gt;=1,1,MIN(0.97,$H7*Assumptions!$E$12)))</f>
        <v>215.1</v>
      </c>
      <c r="Z7" s="23">
        <f>IF(Z$3&lt;$I7,0,$G7*Assumptions!$E$11*INDEX(Assumptions!$B$24:$G$24,MIN(6,Z$3-$I7+1))*IF(Z$3&gt;$J7,(1-Assumptions!$B$26)^(Z$3-$J7),1)*IF($H7&gt;=1,1,MIN(0.97,$H7*Assumptions!$E$12)))</f>
        <v>215.1</v>
      </c>
      <c r="AA7" s="23">
        <f>IF(AA$3&lt;$I7,0,$G7*Assumptions!$E$11*INDEX(Assumptions!$B$24:$G$24,MIN(6,AA$3-$I7+1))*IF(AA$3&gt;$J7,(1-Assumptions!$B$26)^(AA$3-$J7),1)*IF($H7&gt;=1,1,MIN(0.97,$H7*Assumptions!$E$12)))</f>
        <v>215.1</v>
      </c>
      <c r="AB7" s="23">
        <f>IF(AB$3&lt;$I7,0,$G7*Assumptions!$E$11*INDEX(Assumptions!$B$24:$G$24,MIN(6,AB$3-$I7+1))*IF(AB$3&gt;$J7,(1-Assumptions!$B$26)^(AB$3-$J7),1)*IF($H7&gt;=1,1,MIN(0.97,$H7*Assumptions!$E$12)))</f>
        <v>215.1</v>
      </c>
      <c r="AC7" s="23">
        <f>IF(AC$3&lt;$I7,0,$G7*Assumptions!$E$11*INDEX(Assumptions!$B$24:$G$24,MIN(6,AC$3-$I7+1))*IF(AC$3&gt;$J7,(1-Assumptions!$B$26)^(AC$3-$J7),1)*IF($H7&gt;=1,1,MIN(0.97,$H7*Assumptions!$E$12)))</f>
        <v>215.1</v>
      </c>
      <c r="AD7" s="23">
        <f>IF(AD$3&lt;$I7,0,$G7*Assumptions!$E$11*INDEX(Assumptions!$B$24:$G$24,MIN(6,AD$3-$I7+1))*IF(AD$3&gt;$J7,(1-Assumptions!$B$26)^(AD$3-$J7),1)*IF($H7&gt;=1,1,MIN(0.97,$H7*Assumptions!$E$12)))</f>
        <v>215.1</v>
      </c>
      <c r="AE7" s="23">
        <f>IF(AE$3&lt;$I7,0,$G7*Assumptions!$E$11*INDEX(Assumptions!$B$24:$G$24,MIN(6,AE$3-$I7+1))*IF(AE$3&gt;$J7,(1-Assumptions!$B$26)^(AE$3-$J7),1)*IF($H7&gt;=1,1,MIN(0.97,$H7*Assumptions!$E$12)))</f>
        <v>215.1</v>
      </c>
      <c r="AF7" s="23">
        <f>IF(AF$3&lt;$I7,0,$G7*Assumptions!$E$11*INDEX(Assumptions!$B$24:$G$24,MIN(6,AF$3-$I7+1))*IF(AF$3&gt;$J7,(1-Assumptions!$B$26)^(AF$3-$J7),1)*IF($H7&gt;=1,1,MIN(0.97,$H7*Assumptions!$E$12)))</f>
        <v>107.55</v>
      </c>
      <c r="AG7" s="35">
        <f>IF(F7="Owned",1-IF(H7&gt;=1,1,MIN(0.97,H7*Assumptions!$E$12)),1)</f>
        <v>0.8566</v>
      </c>
    </row>
    <row r="8">
      <c r="B8" s="24" t="inlineStr">
        <is>
          <t>Risked revenue</t>
        </is>
      </c>
      <c r="L8" s="54">
        <f>SUM(L4:L7)</f>
        <v>1129.7446582113384</v>
      </c>
      <c r="M8" s="54">
        <f>SUM(M4:M7)</f>
        <v>0.0</v>
      </c>
      <c r="N8" s="54">
        <f>SUM(N4:N7)</f>
        <v>0.0</v>
      </c>
      <c r="O8" s="54">
        <f>SUM(O4:O7)</f>
        <v>0.0</v>
      </c>
      <c r="P8" s="54">
        <f>SUM(P4:P7)</f>
        <v>0.0</v>
      </c>
      <c r="Q8" s="54">
        <f>SUM(Q4:Q7)</f>
        <v>30.208</v>
      </c>
      <c r="R8" s="54">
        <f>SUM(R4:R7)</f>
        <v>75.52</v>
      </c>
      <c r="S8" s="54">
        <f>SUM(S4:S7)</f>
        <v>210.00599999999997</v>
      </c>
      <c r="T8" s="54">
        <f>SUM(T4:T7)</f>
        <v>381.52699999999993</v>
      </c>
      <c r="U8" s="54">
        <f>SUM(U4:U7)</f>
        <v>590.083</v>
      </c>
      <c r="V8" s="54">
        <f>SUM(V4:V7)</f>
        <v>783.5350000000001</v>
      </c>
      <c r="W8" s="54">
        <f>SUM(W4:W7)</f>
        <v>931.6750000000001</v>
      </c>
      <c r="X8" s="54">
        <f>SUM(X4:X7)</f>
        <v>1042.78</v>
      </c>
      <c r="Y8" s="54">
        <f>SUM(Y4:Y7)</f>
        <v>1042.78</v>
      </c>
      <c r="Z8" s="54">
        <f>SUM(Z4:Z7)</f>
        <v>1042.78</v>
      </c>
      <c r="AA8" s="54">
        <f>SUM(AA4:AA7)</f>
        <v>1042.78</v>
      </c>
      <c r="AB8" s="54">
        <f>SUM(AB4:AB7)</f>
        <v>1042.78</v>
      </c>
      <c r="AC8" s="54">
        <f>SUM(AC4:AC7)</f>
        <v>1042.78</v>
      </c>
      <c r="AD8" s="54">
        <f>SUM(AD4:AD7)</f>
        <v>891.74</v>
      </c>
      <c r="AE8" s="54">
        <f>SUM(AE4:AE7)</f>
        <v>816.22</v>
      </c>
      <c r="AF8" s="54">
        <f>SUM(AF4:AF7)</f>
        <v>408.11</v>
      </c>
    </row>
    <row r="9">
      <c r="B9" s="24" t="inlineStr">
        <is>
          <t>Risked contribution (revenue x share)</t>
        </is>
      </c>
      <c r="M9" s="55">
        <f>SUMPRODUCT(M4:M7,$K$4:$K$7)</f>
        <v>0.0</v>
      </c>
      <c r="N9" s="55">
        <f>SUMPRODUCT(N4:N7,$K$4:$K$7)</f>
        <v>0.0</v>
      </c>
      <c r="O9" s="55">
        <f>SUMPRODUCT(O4:O7,$K$4:$K$7)</f>
        <v>0.0</v>
      </c>
      <c r="P9" s="55">
        <f>SUMPRODUCT(P4:P7,$K$4:$K$7)</f>
        <v>0.0</v>
      </c>
      <c r="Q9" s="55">
        <f>SUMPRODUCT(Q4:Q7,$K$4:$K$7)</f>
        <v>12.0832</v>
      </c>
      <c r="R9" s="55">
        <f>SUMPRODUCT(R4:R7,$K$4:$K$7)</f>
        <v>30.208</v>
      </c>
      <c r="S9" s="55">
        <f>SUMPRODUCT(S4:S7,$K$4:$K$7)</f>
        <v>84.00240000000001</v>
      </c>
      <c r="T9" s="55">
        <f>SUMPRODUCT(T4:T7,$K$4:$K$7)</f>
        <v>152.61079999999998</v>
      </c>
      <c r="U9" s="55">
        <f>SUMPRODUCT(U4:U7,$K$4:$K$7)</f>
        <v>236.03320000000002</v>
      </c>
      <c r="V9" s="55">
        <f>SUMPRODUCT(V4:V7,$K$4:$K$7)</f>
        <v>313.414</v>
      </c>
      <c r="W9" s="55">
        <f>SUMPRODUCT(W4:W7,$K$4:$K$7)</f>
        <v>372.67</v>
      </c>
      <c r="X9" s="55">
        <f>SUMPRODUCT(X4:X7,$K$4:$K$7)</f>
        <v>417.112</v>
      </c>
      <c r="Y9" s="55">
        <f>SUMPRODUCT(Y4:Y7,$K$4:$K$7)</f>
        <v>417.112</v>
      </c>
      <c r="Z9" s="55">
        <f>SUMPRODUCT(Z4:Z7,$K$4:$K$7)</f>
        <v>417.112</v>
      </c>
      <c r="AA9" s="55">
        <f>SUMPRODUCT(AA4:AA7,$K$4:$K$7)</f>
        <v>417.112</v>
      </c>
      <c r="AB9" s="55">
        <f>SUMPRODUCT(AB4:AB7,$K$4:$K$7)</f>
        <v>417.112</v>
      </c>
      <c r="AC9" s="55">
        <f>SUMPRODUCT(AC4:AC7,$K$4:$K$7)</f>
        <v>417.112</v>
      </c>
      <c r="AD9" s="55">
        <f>SUMPRODUCT(AD4:AD7,$K$4:$K$7)</f>
        <v>356.696</v>
      </c>
      <c r="AE9" s="55">
        <f>SUMPRODUCT(AE4:AE7,$K$4:$K$7)</f>
        <v>326.48800000000006</v>
      </c>
      <c r="AF9" s="55">
        <f>SUMPRODUCT(AF4:AF7,$K$4:$K$7)</f>
        <v>163.24400000000003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Cabaletta Bio,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Pipeline!M8</f>
        <v>0.0</v>
      </c>
      <c r="D4" s="57">
        <f>Pipeline!N8</f>
        <v>0.0</v>
      </c>
      <c r="E4" s="57">
        <f>Pipeline!O8</f>
        <v>0.0</v>
      </c>
      <c r="F4" s="57">
        <f>Pipeline!P8</f>
        <v>0.0</v>
      </c>
      <c r="G4" s="57">
        <f>Pipeline!Q8</f>
        <v>30.208</v>
      </c>
      <c r="H4" s="57">
        <f>Pipeline!R8</f>
        <v>75.52</v>
      </c>
      <c r="I4" s="57">
        <f>Pipeline!S8</f>
        <v>210.00599999999997</v>
      </c>
      <c r="J4" s="57">
        <f>Pipeline!T8</f>
        <v>381.52699999999993</v>
      </c>
      <c r="K4" s="57">
        <f>Pipeline!U8</f>
        <v>590.083</v>
      </c>
      <c r="L4" s="57">
        <f>Pipeline!V8</f>
        <v>783.5350000000001</v>
      </c>
      <c r="M4" s="57">
        <f>Pipeline!W8</f>
        <v>931.6750000000001</v>
      </c>
      <c r="N4" s="57">
        <f>Pipeline!X8</f>
        <v>1042.78</v>
      </c>
      <c r="O4" s="57">
        <f>Pipeline!Y8</f>
        <v>1042.78</v>
      </c>
      <c r="P4" s="57">
        <f>Pipeline!Z8</f>
        <v>1042.78</v>
      </c>
      <c r="Q4" s="57">
        <f>Pipeline!AA8</f>
        <v>1042.78</v>
      </c>
      <c r="R4" s="57">
        <f>Pipeline!AB8</f>
        <v>1042.78</v>
      </c>
      <c r="S4" s="57">
        <f>Pipeline!AC8</f>
        <v>1042.78</v>
      </c>
      <c r="T4" s="57">
        <f>Pipeline!AD8</f>
        <v>891.74</v>
      </c>
      <c r="U4" s="57">
        <f>Pipeline!AE8</f>
        <v>816.22</v>
      </c>
      <c r="V4" s="57">
        <f>Pipeline!AF8</f>
        <v>408.11</v>
      </c>
    </row>
    <row r="5">
      <c r="A5" s="14" t="inlineStr">
        <is>
          <t>Risked contribution</t>
        </is>
      </c>
      <c r="C5" s="57">
        <f>Pipeline!M9</f>
        <v>0.0</v>
      </c>
      <c r="D5" s="57">
        <f>Pipeline!N9</f>
        <v>0.0</v>
      </c>
      <c r="E5" s="57">
        <f>Pipeline!O9</f>
        <v>0.0</v>
      </c>
      <c r="F5" s="57">
        <f>Pipeline!P9</f>
        <v>0.0</v>
      </c>
      <c r="G5" s="57">
        <f>Pipeline!Q9</f>
        <v>12.0832</v>
      </c>
      <c r="H5" s="57">
        <f>Pipeline!R9</f>
        <v>30.208</v>
      </c>
      <c r="I5" s="57">
        <f>Pipeline!S9</f>
        <v>84.00240000000001</v>
      </c>
      <c r="J5" s="57">
        <f>Pipeline!T9</f>
        <v>152.61079999999998</v>
      </c>
      <c r="K5" s="57">
        <f>Pipeline!U9</f>
        <v>236.03320000000002</v>
      </c>
      <c r="L5" s="57">
        <f>Pipeline!V9</f>
        <v>313.414</v>
      </c>
      <c r="M5" s="57">
        <f>Pipeline!W9</f>
        <v>372.67</v>
      </c>
      <c r="N5" s="57">
        <f>Pipeline!X9</f>
        <v>417.112</v>
      </c>
      <c r="O5" s="57">
        <f>Pipeline!Y9</f>
        <v>417.112</v>
      </c>
      <c r="P5" s="57">
        <f>Pipeline!Z9</f>
        <v>417.112</v>
      </c>
      <c r="Q5" s="57">
        <f>Pipeline!AA9</f>
        <v>417.112</v>
      </c>
      <c r="R5" s="57">
        <f>Pipeline!AB9</f>
        <v>417.112</v>
      </c>
      <c r="S5" s="57">
        <f>Pipeline!AC9</f>
        <v>417.112</v>
      </c>
      <c r="T5" s="57">
        <f>Pipeline!AD9</f>
        <v>356.696</v>
      </c>
      <c r="U5" s="57">
        <f>Pipeline!AE9</f>
        <v>326.48800000000006</v>
      </c>
      <c r="V5" s="57">
        <f>Pipeline!AF9</f>
        <v>163.24400000000003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-185.516</v>
      </c>
      <c r="D6" s="23">
        <f>-IF(D3-2026&lt;Assumptions!$B$19,Assumptions!$B$18,Assumptions!$B$18*Assumptions!$B$20*Assumptions!$B$16)</f>
        <v>-185.516</v>
      </c>
      <c r="E6" s="23">
        <f>-IF(E3-2026&lt;Assumptions!$B$19,Assumptions!$B$18,Assumptions!$B$18*Assumptions!$B$20*Assumptions!$B$16)</f>
        <v>-185.516</v>
      </c>
      <c r="F6" s="23">
        <f>-IF(F3-2026&lt;Assumptions!$B$19,Assumptions!$B$18,Assumptions!$B$18*Assumptions!$B$20*Assumptions!$B$16)</f>
        <v>-185.516</v>
      </c>
      <c r="G6" s="23">
        <f>-IF(G3-2026&lt;Assumptions!$B$19,Assumptions!$B$18,Assumptions!$B$18*Assumptions!$B$20*Assumptions!$B$16)</f>
        <v>-35.49893049988395</v>
      </c>
      <c r="H6" s="23">
        <f>-IF(H3-2026&lt;Assumptions!$B$19,Assumptions!$B$18,Assumptions!$B$18*Assumptions!$B$20*Assumptions!$B$16)</f>
        <v>-35.49893049988395</v>
      </c>
      <c r="I6" s="23">
        <f>-IF(I3-2026&lt;Assumptions!$B$19,Assumptions!$B$18,Assumptions!$B$18*Assumptions!$B$20*Assumptions!$B$16)</f>
        <v>-35.49893049988395</v>
      </c>
      <c r="J6" s="23">
        <f>-IF(J3-2026&lt;Assumptions!$B$19,Assumptions!$B$18,Assumptions!$B$18*Assumptions!$B$20*Assumptions!$B$16)</f>
        <v>-35.49893049988395</v>
      </c>
      <c r="K6" s="23">
        <f>-IF(K3-2026&lt;Assumptions!$B$19,Assumptions!$B$18,Assumptions!$B$18*Assumptions!$B$20*Assumptions!$B$16)</f>
        <v>-35.49893049988395</v>
      </c>
      <c r="L6" s="23">
        <f>-IF(L3-2026&lt;Assumptions!$B$19,Assumptions!$B$18,Assumptions!$B$18*Assumptions!$B$20*Assumptions!$B$16)</f>
        <v>-35.49893049988395</v>
      </c>
      <c r="M6" s="23">
        <f>-IF(M3-2026&lt;Assumptions!$B$19,Assumptions!$B$18,Assumptions!$B$18*Assumptions!$B$20*Assumptions!$B$16)</f>
        <v>-35.49893049988395</v>
      </c>
      <c r="N6" s="23">
        <f>-IF(N3-2026&lt;Assumptions!$B$19,Assumptions!$B$18,Assumptions!$B$18*Assumptions!$B$20*Assumptions!$B$16)</f>
        <v>-35.49893049988395</v>
      </c>
      <c r="O6" s="23">
        <f>-IF(O3-2026&lt;Assumptions!$B$19,Assumptions!$B$18,Assumptions!$B$18*Assumptions!$B$20*Assumptions!$B$16)</f>
        <v>-35.49893049988395</v>
      </c>
      <c r="P6" s="23">
        <f>-IF(P3-2026&lt;Assumptions!$B$19,Assumptions!$B$18,Assumptions!$B$18*Assumptions!$B$20*Assumptions!$B$16)</f>
        <v>-35.49893049988395</v>
      </c>
      <c r="Q6" s="23">
        <f>-IF(Q3-2026&lt;Assumptions!$B$19,Assumptions!$B$18,Assumptions!$B$18*Assumptions!$B$20*Assumptions!$B$16)</f>
        <v>-35.49893049988395</v>
      </c>
      <c r="R6" s="23">
        <f>-IF(R3-2026&lt;Assumptions!$B$19,Assumptions!$B$18,Assumptions!$B$18*Assumptions!$B$20*Assumptions!$B$16)</f>
        <v>-35.49893049988395</v>
      </c>
      <c r="S6" s="23">
        <f>-IF(S3-2026&lt;Assumptions!$B$19,Assumptions!$B$18,Assumptions!$B$18*Assumptions!$B$20*Assumptions!$B$16)</f>
        <v>-35.49893049988395</v>
      </c>
      <c r="T6" s="23">
        <f>-IF(T3-2026&lt;Assumptions!$B$19,Assumptions!$B$18,Assumptions!$B$18*Assumptions!$B$20*Assumptions!$B$16)</f>
        <v>-35.49893049988395</v>
      </c>
      <c r="U6" s="23">
        <f>-IF(U3-2026&lt;Assumptions!$B$19,Assumptions!$B$18,Assumptions!$B$18*Assumptions!$B$20*Assumptions!$B$16)</f>
        <v>-35.49893049988395</v>
      </c>
      <c r="V6" s="23">
        <f>-IF(V3-2026&lt;Assumptions!$B$19,Assumptions!$B$18,Assumptions!$B$18*Assumptions!$B$20*Assumptions!$B$16)</f>
        <v>-35.49893049988395</v>
      </c>
    </row>
    <row r="7">
      <c r="A7" s="14" t="inlineStr">
        <is>
          <t>Pre-tax cash flow</t>
        </is>
      </c>
      <c r="C7" s="23">
        <f>C5+C6</f>
        <v>-185.516</v>
      </c>
      <c r="D7" s="23">
        <f>D5+D6</f>
        <v>-185.516</v>
      </c>
      <c r="E7" s="23">
        <f>E5+E6</f>
        <v>-185.516</v>
      </c>
      <c r="F7" s="23">
        <f>F5+F6</f>
        <v>-185.516</v>
      </c>
      <c r="G7" s="23">
        <f>G5+G6</f>
        <v>-23.41573049988395</v>
      </c>
      <c r="H7" s="23">
        <f>H5+H6</f>
        <v>-5.290930499883949</v>
      </c>
      <c r="I7" s="23">
        <f>I5+I6</f>
        <v>48.50346950011606</v>
      </c>
      <c r="J7" s="23">
        <f>J5+J6</f>
        <v>117.11186950011603</v>
      </c>
      <c r="K7" s="23">
        <f>K5+K6</f>
        <v>200.53426950011607</v>
      </c>
      <c r="L7" s="23">
        <f>L5+L6</f>
        <v>277.91506950011603</v>
      </c>
      <c r="M7" s="23">
        <f>M5+M6</f>
        <v>337.17106950011606</v>
      </c>
      <c r="N7" s="23">
        <f>N5+N6</f>
        <v>381.61306950011607</v>
      </c>
      <c r="O7" s="23">
        <f>O5+O6</f>
        <v>381.61306950011607</v>
      </c>
      <c r="P7" s="23">
        <f>P5+P6</f>
        <v>381.61306950011607</v>
      </c>
      <c r="Q7" s="23">
        <f>Q5+Q6</f>
        <v>381.61306950011607</v>
      </c>
      <c r="R7" s="23">
        <f>R5+R6</f>
        <v>381.61306950011607</v>
      </c>
      <c r="S7" s="23">
        <f>S5+S6</f>
        <v>381.61306950011607</v>
      </c>
      <c r="T7" s="23">
        <f>T5+T6</f>
        <v>321.1970695001161</v>
      </c>
      <c r="U7" s="23">
        <f>U5+U6</f>
        <v>290.9890695001161</v>
      </c>
      <c r="V7" s="23">
        <f>V5+V6</f>
        <v>127.74506950011607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48.50346950011606</v>
      </c>
      <c r="J8" s="23">
        <f>MIN(I17,MAX(0,J7))</f>
        <v>117.11186950011603</v>
      </c>
      <c r="K8" s="23">
        <f>MIN(J17,MAX(0,K7))</f>
        <v>200.53426950011607</v>
      </c>
      <c r="L8" s="23">
        <f>MIN(K17,MAX(0,L7))</f>
        <v>277.91506950011603</v>
      </c>
      <c r="M8" s="23">
        <f>MIN(L17,MAX(0,M7))</f>
        <v>337.17106950011606</v>
      </c>
      <c r="N8" s="23">
        <f>MIN(M17,MAX(0,N7))</f>
        <v>302.63491349918746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78.9781560009286</v>
      </c>
      <c r="O9" s="23">
        <f>MAX(0,O7)-O8</f>
        <v>381.61306950011607</v>
      </c>
      <c r="P9" s="23">
        <f>MAX(0,P7)-P8</f>
        <v>381.61306950011607</v>
      </c>
      <c r="Q9" s="23">
        <f>MAX(0,Q7)-Q8</f>
        <v>381.61306950011607</v>
      </c>
      <c r="R9" s="23">
        <f>MAX(0,R7)-R8</f>
        <v>381.61306950011607</v>
      </c>
      <c r="S9" s="23">
        <f>MAX(0,S7)-S8</f>
        <v>381.61306950011607</v>
      </c>
      <c r="T9" s="23">
        <f>MAX(0,T7)-T8</f>
        <v>321.1970695001161</v>
      </c>
      <c r="U9" s="23">
        <f>MAX(0,U7)-U8</f>
        <v>290.9890695001161</v>
      </c>
      <c r="V9" s="23">
        <f>MAX(0,V7)-V8</f>
        <v>127.74506950011607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16.585412760195005</v>
      </c>
      <c r="O10" s="23">
        <f>O9*Assumptions!$E$15</f>
        <v>80.13874459502438</v>
      </c>
      <c r="P10" s="23">
        <f>P9*Assumptions!$E$15</f>
        <v>80.13874459502438</v>
      </c>
      <c r="Q10" s="23">
        <f>Q9*Assumptions!$E$15</f>
        <v>80.13874459502438</v>
      </c>
      <c r="R10" s="23">
        <f>R9*Assumptions!$E$15</f>
        <v>80.13874459502438</v>
      </c>
      <c r="S10" s="23">
        <f>S9*Assumptions!$E$15</f>
        <v>80.13874459502438</v>
      </c>
      <c r="T10" s="23">
        <f>T9*Assumptions!$E$15</f>
        <v>67.45138459502438</v>
      </c>
      <c r="U10" s="23">
        <f>U9*Assumptions!$E$15</f>
        <v>61.10770459502438</v>
      </c>
      <c r="V10" s="23">
        <f>V9*Assumptions!$E$15</f>
        <v>26.826464595024376</v>
      </c>
    </row>
    <row r="11">
      <c r="A11" s="24" t="inlineStr">
        <is>
          <t>Free cash flow</t>
        </is>
      </c>
      <c r="C11" s="55">
        <f>C7-C10</f>
        <v>-185.516</v>
      </c>
      <c r="D11" s="55">
        <f>D7-D10</f>
        <v>-185.516</v>
      </c>
      <c r="E11" s="55">
        <f>E7-E10</f>
        <v>-185.516</v>
      </c>
      <c r="F11" s="55">
        <f>F7-F10</f>
        <v>-185.516</v>
      </c>
      <c r="G11" s="55">
        <f>G7-G10</f>
        <v>-23.41573049988395</v>
      </c>
      <c r="H11" s="55">
        <f>H7-H10</f>
        <v>-5.290930499883949</v>
      </c>
      <c r="I11" s="55">
        <f>I7-I10</f>
        <v>48.50346950011606</v>
      </c>
      <c r="J11" s="55">
        <f>J7-J10</f>
        <v>117.11186950011603</v>
      </c>
      <c r="K11" s="55">
        <f>K7-K10</f>
        <v>200.53426950011607</v>
      </c>
      <c r="L11" s="55">
        <f>L7-L10</f>
        <v>277.91506950011603</v>
      </c>
      <c r="M11" s="55">
        <f>M7-M10</f>
        <v>337.17106950011606</v>
      </c>
      <c r="N11" s="55">
        <f>N7-N10</f>
        <v>365.02765673992104</v>
      </c>
      <c r="O11" s="55">
        <f>O7-O10</f>
        <v>301.4743249050917</v>
      </c>
      <c r="P11" s="55">
        <f>P7-P10</f>
        <v>301.4743249050917</v>
      </c>
      <c r="Q11" s="55">
        <f>Q7-Q10</f>
        <v>301.4743249050917</v>
      </c>
      <c r="R11" s="55">
        <f>R7-R10</f>
        <v>301.4743249050917</v>
      </c>
      <c r="S11" s="55">
        <f>S7-S10</f>
        <v>301.4743249050917</v>
      </c>
      <c r="T11" s="55">
        <f>T7-T10</f>
        <v>253.7456849050917</v>
      </c>
      <c r="U11" s="55">
        <f>U7-U10</f>
        <v>229.88136490509171</v>
      </c>
      <c r="V11" s="55">
        <f>V7-V10</f>
        <v>100.9186049050917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-90.88509521180389</v>
      </c>
      <c r="D16" s="55">
        <f>D11*D15</f>
        <v>-165.562339693873</v>
      </c>
      <c r="E16" s="55">
        <f>E11*E15</f>
        <v>-147.82351758381515</v>
      </c>
      <c r="F16" s="55">
        <f>F11*F15</f>
        <v>-131.98528355697783</v>
      </c>
      <c r="G16" s="55">
        <f>G11*G15</f>
        <v>-14.874207181017871</v>
      </c>
      <c r="H16" s="55">
        <f>H11*H15</f>
        <v>-3.0008214088948795</v>
      </c>
      <c r="I16" s="55">
        <f>I11*I15</f>
        <v>24.561951829783563</v>
      </c>
      <c r="J16" s="55">
        <f>J11*J15</f>
        <v>52.950853070838896</v>
      </c>
      <c r="K16" s="55">
        <f>K11*K15</f>
        <v>80.95480388974617</v>
      </c>
      <c r="L16" s="55">
        <f>L11*L15</f>
        <v>100.17240447173673</v>
      </c>
      <c r="M16" s="55">
        <f>M11*M15</f>
        <v>108.50963007616015</v>
      </c>
      <c r="N16" s="55">
        <f>N11*N15</f>
        <v>104.88798137380662</v>
      </c>
      <c r="O16" s="55">
        <f>O11*O15</f>
        <v>77.34500384391394</v>
      </c>
      <c r="P16" s="55">
        <f>P11*P15</f>
        <v>69.05803914635172</v>
      </c>
      <c r="Q16" s="55">
        <f>Q11*Q15</f>
        <v>61.65896352352833</v>
      </c>
      <c r="R16" s="55">
        <f>R11*R15</f>
        <v>55.052646003150286</v>
      </c>
      <c r="S16" s="55">
        <f>S11*S15</f>
        <v>49.15414821709847</v>
      </c>
      <c r="T16" s="55">
        <f>T11*T15</f>
        <v>36.939455224398955</v>
      </c>
      <c r="U16" s="55">
        <f>U11*U15</f>
        <v>29.87979166808116</v>
      </c>
      <c r="V16" s="55">
        <f>V11*V15</f>
        <v>11.711890777268321</v>
      </c>
    </row>
    <row r="17">
      <c r="A17" s="14" t="inlineStr">
        <is>
          <t>Tax-loss carryforward, end of year</t>
        </is>
      </c>
      <c r="C17" s="23">
        <f>Assumptions!$B$21-C8+MAX(0,-C7)</f>
        <v>698.616</v>
      </c>
      <c r="D17" s="23">
        <f>C17-D8+MAX(0,-D7)</f>
        <v>884.132</v>
      </c>
      <c r="E17" s="23">
        <f>D17-E8+MAX(0,-E7)</f>
        <v>1069.648</v>
      </c>
      <c r="F17" s="23">
        <f>E17-F8+MAX(0,-F7)</f>
        <v>1255.164</v>
      </c>
      <c r="G17" s="23">
        <f>F17-G8+MAX(0,-G7)</f>
        <v>1278.579730499884</v>
      </c>
      <c r="H17" s="23">
        <f>G17-H8+MAX(0,-H7)</f>
        <v>1283.8706609997678</v>
      </c>
      <c r="I17" s="23">
        <f>H17-I8+MAX(0,-I7)</f>
        <v>1235.3671914996517</v>
      </c>
      <c r="J17" s="23">
        <f>I17-J8+MAX(0,-J7)</f>
        <v>1118.2553219995357</v>
      </c>
      <c r="K17" s="23">
        <f>J17-K8+MAX(0,-K7)</f>
        <v>917.7210524994196</v>
      </c>
      <c r="L17" s="23">
        <f>K17-L8+MAX(0,-L7)</f>
        <v>639.8059829993035</v>
      </c>
      <c r="M17" s="23">
        <f>L17-M8+MAX(0,-M7)</f>
        <v>302.63491349918746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1129.7446582113382</v>
      </c>
    </row>
    <row r="20">
      <c r="A20" s="14" t="inlineStr">
        <is>
          <t>PV of corporate burn</t>
        </is>
      </c>
      <c r="B20" s="23">
        <f>SUMPRODUCT(C6:V6,C15:V15)</f>
        <v>-712.389136839867</v>
      </c>
    </row>
    <row r="21">
      <c r="A21" s="14" t="inlineStr">
        <is>
          <t>PV of taxes</t>
        </is>
      </c>
      <c r="B21" s="23">
        <f>-SUMPRODUCT(C10:V10,C15:V15)</f>
        <v>-108.64922289199053</v>
      </c>
    </row>
    <row r="22">
      <c r="A22" s="24" t="inlineStr">
        <is>
          <t>Pipeline rNPV (operations)</t>
        </is>
      </c>
      <c r="B22" s="54">
        <f>SUM(C16:V16)</f>
        <v>308.70629847948067</v>
      </c>
    </row>
    <row r="23">
      <c r="A23" s="14" t="inlineStr">
        <is>
          <t>Cash &amp; investments</t>
        </is>
      </c>
      <c r="B23" s="57">
        <f>Main!C7</f>
        <v>225.101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533.8072984794807</v>
      </c>
    </row>
    <row r="26">
      <c r="A26" s="14" t="inlineStr">
        <is>
          <t>Shares (mm)</t>
        </is>
      </c>
      <c r="B26" s="57">
        <f>Main!C4</f>
        <v>169.545445</v>
      </c>
    </row>
    <row r="27">
      <c r="A27" s="24" t="inlineStr">
        <is>
          <t>rNPV / share</t>
        </is>
      </c>
      <c r="B27" s="60">
        <f>B25/B26</f>
        <v>3.148461455154284</v>
      </c>
    </row>
    <row r="28">
      <c r="A28" s="14" t="inlineStr">
        <is>
          <t>Price</t>
        </is>
      </c>
      <c r="B28" s="61">
        <f>Main!C3</f>
        <v>1.61</v>
      </c>
    </row>
    <row r="29">
      <c r="A29" s="14" t="inlineStr">
        <is>
          <t>Upside</t>
        </is>
      </c>
      <c r="B29" s="62">
        <f>B27/B28-1</f>
        <v>0.9555661212138411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2026-10-21T06:26:26Z</dcterms:modified>
  <cp:lastModifiedBy>Wang, Eric</cp:lastModifiedBy>
</cp:coreProperties>
</file>