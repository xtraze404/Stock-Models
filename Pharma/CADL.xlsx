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Candel Therapeutics Inc</t>
        </is>
      </c>
      <c r="C2" s="10" t="n"/>
    </row>
    <row r="3">
      <c r="B3" t="inlineStr">
        <is>
          <t>Price</t>
        </is>
      </c>
      <c r="C3" s="11">
        <f>INDEX([1]Pharma!$F$1:$F$1000,MATCH("CADL",[1]Pharma!$B$1:$B$1000,0))</f>
        <v>8.64</v>
      </c>
      <c r="F3" s="1" t="n"/>
    </row>
    <row r="4">
      <c r="B4" t="inlineStr">
        <is>
          <t>Shares</t>
        </is>
      </c>
      <c r="C4" s="21" t="n">
        <v>76.518565</v>
      </c>
      <c r="F4" s="1" t="n"/>
    </row>
    <row r="5">
      <c r="B5" t="inlineStr">
        <is>
          <t>Market Cap.</t>
        </is>
      </c>
      <c r="C5" s="13">
        <f>C3*C4</f>
        <v>661.1204016</v>
      </c>
      <c r="F5" s="1" t="n"/>
    </row>
    <row r="6"/>
    <row r="7">
      <c r="B7" t="inlineStr">
        <is>
          <t>Cash</t>
        </is>
      </c>
      <c r="C7" s="21" t="n">
        <v>201.565</v>
      </c>
    </row>
    <row r="8">
      <c r="B8" t="inlineStr">
        <is>
          <t>Debt</t>
        </is>
      </c>
      <c r="C8" s="21">
        <f>46.744+1.087</f>
        <v>47.831</v>
      </c>
    </row>
    <row r="9">
      <c r="B9" t="inlineStr">
        <is>
          <t>Enterprise V.</t>
        </is>
      </c>
      <c r="C9" s="13">
        <f>C5-C7+C8</f>
        <v>507.38640160000006</v>
      </c>
    </row>
    <row r="10"/>
    <row r="11">
      <c r="B11" s="14" t="inlineStr">
        <is>
          <t>Net Cash / Share</t>
        </is>
      </c>
      <c r="C11" s="11">
        <f>(C7-C8)/C4</f>
        <v>2.009107201631395</v>
      </c>
    </row>
    <row r="12">
      <c r="B12" s="14" t="inlineStr">
        <is>
          <t>Upside</t>
        </is>
      </c>
      <c r="C12" s="15">
        <f>IFERROR(C11/C3-1,"")</f>
        <v>-0.7674644442556255</v>
      </c>
    </row>
    <row r="13">
      <c r="B13" s="14" t="inlineStr">
        <is>
          <t>Cash / Share</t>
        </is>
      </c>
      <c r="C13" s="11">
        <f>IFERROR((C7-C8)/C4,"")</f>
        <v>2.009107201631395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-56.023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2.744122949502882</v>
      </c>
    </row>
    <row r="19">
      <c r="B19" s="14" t="inlineStr">
        <is>
          <t>Implied Pipeline Value</t>
        </is>
      </c>
      <c r="C19" s="13">
        <f>C9</f>
        <v>507.38640160000006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0.125</v>
      </c>
      <c r="C2" s="23" t="n">
        <v>0.125</v>
      </c>
      <c r="D2" s="23" t="n">
        <v>0.125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0.125</v>
      </c>
      <c r="C4" s="23">
        <f>C2-C3</f>
        <v>0.125</v>
      </c>
      <c r="D4" s="23">
        <f>D2-D3</f>
        <v>0.125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8.754</v>
      </c>
      <c r="C5" s="23" t="n">
        <v>15.178</v>
      </c>
      <c r="D5" s="23" t="n">
        <v>20.787</v>
      </c>
      <c r="E5" s="23" t="n">
        <v>24.506</v>
      </c>
      <c r="F5" s="23" t="n">
        <v>19.314</v>
      </c>
      <c r="G5" s="23" t="n">
        <v>30.496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5.181</v>
      </c>
      <c r="C6" s="23" t="n">
        <v>10.673</v>
      </c>
      <c r="D6" s="23" t="n">
        <v>14.06</v>
      </c>
      <c r="E6" s="23" t="n">
        <v>13.885</v>
      </c>
      <c r="F6" s="23" t="n">
        <v>14.057</v>
      </c>
      <c r="G6" s="23" t="n">
        <v>17.77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13.934999999999999</v>
      </c>
      <c r="C7" s="23">
        <f>SUM(C5:C6)</f>
        <v>25.851</v>
      </c>
      <c r="D7" s="23">
        <f>SUM(D5:D6)</f>
        <v>34.847</v>
      </c>
      <c r="E7" s="23">
        <f>SUM(E5:E6)</f>
        <v>38.391</v>
      </c>
      <c r="F7" s="23">
        <f>SUM(F5:F6)</f>
        <v>33.371</v>
      </c>
      <c r="G7" s="23">
        <f>SUM(G5:G6)</f>
        <v>48.266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-13.809999999999999</v>
      </c>
      <c r="C8" s="23">
        <f>C4-C7</f>
        <v>-25.726</v>
      </c>
      <c r="D8" s="23">
        <f>D4-D7</f>
        <v>-34.722</v>
      </c>
      <c r="E8" s="23">
        <f>E4-E7</f>
        <v>-38.391</v>
      </c>
      <c r="F8" s="23">
        <f>F4-F7</f>
        <v>-33.371</v>
      </c>
      <c r="G8" s="23">
        <f>G4-G7</f>
        <v>-48.266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-3.87</v>
      </c>
      <c r="C9" s="23" t="n">
        <v>-10.398</v>
      </c>
      <c r="D9" s="23" t="n">
        <v>15.928</v>
      </c>
      <c r="E9" s="23" t="n">
        <v>0.452</v>
      </c>
      <c r="F9" s="23" t="n">
        <v>-21.806</v>
      </c>
      <c r="G9" s="23" t="n">
        <v>10.084</v>
      </c>
    </row>
    <row r="10">
      <c r="A10" s="2" t="inlineStr">
        <is>
          <t>Pretax</t>
        </is>
      </c>
      <c r="B10" s="23">
        <f>B8+B9</f>
        <v>-17.68</v>
      </c>
      <c r="C10" s="23">
        <f>C8+C9</f>
        <v>-36.123999999999995</v>
      </c>
      <c r="D10" s="23">
        <f>D8+D9</f>
        <v>-18.794</v>
      </c>
      <c r="E10" s="23">
        <f>E8+E9</f>
        <v>-37.939</v>
      </c>
      <c r="F10" s="23">
        <f>F8+F9</f>
        <v>-55.17700000000001</v>
      </c>
      <c r="G10" s="23">
        <f>G8+G9</f>
        <v>-38.182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-17.68</v>
      </c>
      <c r="C12" s="23" t="n">
        <v>-36.124</v>
      </c>
      <c r="D12" s="23" t="n">
        <v>-18.794</v>
      </c>
      <c r="E12" s="23" t="n">
        <v>-37.939</v>
      </c>
      <c r="F12" s="23" t="n">
        <v>-55.177</v>
      </c>
      <c r="G12" s="23" t="n">
        <v>-38.182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-1.5221696082651743</v>
      </c>
      <c r="C13" s="11">
        <f>IFERROR(C12/C14,0)</f>
        <v>-1.9140571186350872</v>
      </c>
      <c r="D13" s="11">
        <f>IFERROR(D12/D14,0)</f>
        <v>-0.6520487110987753</v>
      </c>
      <c r="E13" s="11">
        <f>IFERROR(E12/E14,0)</f>
        <v>-1.311180231553482</v>
      </c>
      <c r="F13" s="11">
        <f>IFERROR(F12/F14,0)</f>
        <v>-1.7419731649565904</v>
      </c>
      <c r="G13" s="11">
        <f>IFERROR(G12/G14,0)</f>
        <v>-0.7209728280367832</v>
      </c>
    </row>
    <row r="14">
      <c r="A14" s="2" t="inlineStr">
        <is>
          <t>Shares</t>
        </is>
      </c>
      <c r="B14" s="23" t="n">
        <v>11.615</v>
      </c>
      <c r="C14" s="23" t="n">
        <v>18.873</v>
      </c>
      <c r="D14" s="23" t="n">
        <v>28.823</v>
      </c>
      <c r="E14" s="23" t="n">
        <v>28.935</v>
      </c>
      <c r="F14" s="23" t="n">
        <v>31.675</v>
      </c>
      <c r="G14" s="23" t="n">
        <v>52.959</v>
      </c>
    </row>
    <row r="15"/>
    <row r="16" customFormat="1" s="4">
      <c r="A16" s="3" t="inlineStr">
        <is>
          <t>Revenue Change</t>
        </is>
      </c>
      <c r="C16" s="15">
        <f>IFERROR(C2/B2-1,"")</f>
        <v>0.0</v>
      </c>
      <c r="D16" s="15">
        <f>IFERROR(D2/C2-1,"")</f>
        <v>0.0</v>
      </c>
      <c r="E16" s="15">
        <f>IFERROR(E2/D2-1,"")</f>
        <v>-1.0</v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-110.47999999999999</v>
      </c>
      <c r="C18" s="15">
        <f>IFERROR(C8/C2,"")</f>
        <v>-205.808</v>
      </c>
      <c r="D18" s="15">
        <f>IFERROR(D8/D2,"")</f>
        <v>-277.776</v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2026-10-21T01:05:02Z</dcterms:modified>
  <cp:lastModifiedBy>Wang, Eric</cp:lastModifiedBy>
</cp:coreProperties>
</file>