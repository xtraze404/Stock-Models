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Recursion Pharmaceuticals, Inc.</t>
        </is>
      </c>
      <c r="C2" s="10" t="n"/>
    </row>
    <row r="3">
      <c r="B3" t="inlineStr">
        <is>
          <t>Price</t>
        </is>
      </c>
      <c r="C3" s="11">
        <f>INDEX([1]Pharma!$F$1:$F$1000,MATCH("RXRX",[1]Pharma!$B$1:$B$1000,0))</f>
        <v>3.66</v>
      </c>
      <c r="F3" s="1" t="n"/>
    </row>
    <row r="4">
      <c r="B4" t="inlineStr">
        <is>
          <t>Shares</t>
        </is>
      </c>
      <c r="C4" s="51" t="n">
        <v>535.34217</v>
      </c>
      <c r="F4" s="1" t="n"/>
    </row>
    <row r="5">
      <c r="B5" t="inlineStr">
        <is>
          <t>Market Cap.</t>
        </is>
      </c>
      <c r="C5" s="13">
        <f>C3*C4</f>
        <v>1959.3523422</v>
      </c>
      <c r="F5" s="1" t="n"/>
    </row>
    <row r="6"/>
    <row r="7">
      <c r="B7" t="inlineStr">
        <is>
          <t>Cash</t>
        </is>
      </c>
      <c r="C7" s="51" t="n">
        <v>545.683</v>
      </c>
    </row>
    <row r="8">
      <c r="B8" t="inlineStr">
        <is>
          <t>Debt</t>
        </is>
      </c>
      <c r="C8" s="51">
        <f>9.443+4.753</f>
        <v>14.196</v>
      </c>
    </row>
    <row r="9">
      <c r="B9" t="inlineStr">
        <is>
          <t>Enterprise V.</t>
        </is>
      </c>
      <c r="C9" s="13">
        <f>C5-C7+C8</f>
        <v>1427.8653422</v>
      </c>
    </row>
    <row r="10"/>
    <row r="11">
      <c r="B11" s="14" t="inlineStr">
        <is>
          <t>NPV / Share</t>
        </is>
      </c>
      <c r="C11" s="11">
        <f>NPV!B28</f>
        <v>0.5446031029996193</v>
      </c>
    </row>
    <row r="12">
      <c r="B12" s="14" t="inlineStr">
        <is>
          <t>Upside</t>
        </is>
      </c>
      <c r="C12" s="15">
        <f>IFERROR(C11/C3-1,"")</f>
        <v>-0.8512013379782462</v>
      </c>
    </row>
    <row r="13">
      <c r="B13" s="14" t="inlineStr">
        <is>
          <t>Cash / Share</t>
        </is>
      </c>
      <c r="C13" s="11">
        <f>IFERROR((C7-C8)/C4,"")</f>
        <v>0.9927986805149311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2.319</v>
      </c>
      <c r="C2" s="52" t="n">
        <v>3.962</v>
      </c>
      <c r="D2" s="52" t="n">
        <v>10.178</v>
      </c>
      <c r="E2" s="52" t="n">
        <v>39.843</v>
      </c>
      <c r="F2" s="52" t="n">
        <v>44.575</v>
      </c>
      <c r="G2" s="52" t="n">
        <v>58.839</v>
      </c>
      <c r="H2" s="52" t="n">
        <v>74.681</v>
      </c>
      <c r="I2" s="52">
        <f>H2*(1+NPV!C5)</f>
        <v>67.2129</v>
      </c>
      <c r="J2" s="52">
        <f>I2*(1+NPV!D5)</f>
        <v>61.4251225</v>
      </c>
      <c r="K2" s="52">
        <f>J2*(1+NPV!E5)</f>
        <v>56.98886365277778</v>
      </c>
      <c r="L2" s="52">
        <f>K2*(1+NPV!F5)</f>
        <v>53.66451327303241</v>
      </c>
      <c r="M2" s="52">
        <f>L2*(1+NPV!G5)</f>
        <v>51.279423794230965</v>
      </c>
      <c r="N2" s="52">
        <f>M2*(1+NPV!H5)</f>
        <v>49.71255251162946</v>
      </c>
      <c r="O2" s="52">
        <f>N2*(1+NPV!I5)</f>
        <v>48.88400996976897</v>
      </c>
      <c r="P2" s="52">
        <f>O2*(1+NPV!J5)</f>
        <v>48.74822105318628</v>
      </c>
      <c r="Q2" s="52">
        <f>P2*(1+NPV!K5)</f>
        <v>49.28986795377723</v>
      </c>
      <c r="R2" s="52">
        <f>Q2*(1+NPV!L5)</f>
        <v>50.52211465262166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48.275</v>
      </c>
      <c r="F3" s="52" t="n">
        <v>42.587</v>
      </c>
      <c r="G3" s="52" t="n">
        <v>45.238</v>
      </c>
      <c r="H3" s="52" t="n">
        <v>70.953</v>
      </c>
      <c r="I3" s="52">
        <f>I2*(1-Assumptions!$B$19)</f>
        <v>63.85897629</v>
      </c>
      <c r="J3" s="52">
        <f>J2*(1-Assumptions!$B$19)</f>
        <v>58.36000888725</v>
      </c>
      <c r="K3" s="52">
        <f>K2*(1-Assumptions!$B$19)</f>
        <v>54.14511935650417</v>
      </c>
      <c r="L3" s="52">
        <f>L2*(1-Assumptions!$B$19)</f>
        <v>50.98665406070809</v>
      </c>
      <c r="M3" s="52">
        <f>M2*(1-Assumptions!$B$19)</f>
        <v>48.72058054689884</v>
      </c>
      <c r="N3" s="52">
        <f>N2*(1-Assumptions!$B$19)</f>
        <v>47.231896141299146</v>
      </c>
      <c r="O3" s="52">
        <f>O2*(1-Assumptions!$B$19)</f>
        <v>46.444697872277494</v>
      </c>
      <c r="P3" s="52">
        <f>P2*(1-Assumptions!$B$19)</f>
        <v>46.31568482263228</v>
      </c>
      <c r="Q3" s="52">
        <f>Q2*(1-Assumptions!$B$19)</f>
        <v>46.83030354288375</v>
      </c>
      <c r="R3" s="52">
        <f>R2*(1-Assumptions!$B$19)</f>
        <v>48.001061131455835</v>
      </c>
    </row>
    <row r="4" customFormat="1" s="1">
      <c r="A4" s="5" t="inlineStr">
        <is>
          <t>Gross Margin</t>
        </is>
      </c>
      <c r="B4" s="52">
        <f>B2-B3</f>
        <v>2.319</v>
      </c>
      <c r="C4" s="52">
        <f>C2-C3</f>
        <v>3.962</v>
      </c>
      <c r="D4" s="52">
        <f>D2-D3</f>
        <v>10.178</v>
      </c>
      <c r="E4" s="52">
        <f>E2-E3</f>
        <v>-8.431999999999995</v>
      </c>
      <c r="F4" s="52">
        <f>F2-F3</f>
        <v>1.9879999999999995</v>
      </c>
      <c r="G4" s="52">
        <f>G2-G3</f>
        <v>13.600999999999999</v>
      </c>
      <c r="H4" s="52">
        <f>H2-H3</f>
        <v>3.7279999999999944</v>
      </c>
      <c r="I4" s="52">
        <f>I2-I3</f>
        <v>3.3539237100000037</v>
      </c>
      <c r="J4" s="52">
        <f>J2-J3</f>
        <v>3.065113612750004</v>
      </c>
      <c r="K4" s="52">
        <f>K2-K3</f>
        <v>2.843744296273613</v>
      </c>
      <c r="L4" s="52">
        <f>L2-L3</f>
        <v>2.6778592123243214</v>
      </c>
      <c r="M4" s="52">
        <f>M2-M3</f>
        <v>2.5588432473321276</v>
      </c>
      <c r="N4" s="52">
        <f>N2-N3</f>
        <v>2.4806563703303155</v>
      </c>
      <c r="O4" s="52">
        <f>O2-O3</f>
        <v>2.4393120974914737</v>
      </c>
      <c r="P4" s="52">
        <f>P2-P3</f>
        <v>2.4325362305539997</v>
      </c>
      <c r="Q4" s="52">
        <f>Q2-Q3</f>
        <v>2.459564410893485</v>
      </c>
      <c r="R4" s="52">
        <f>R2-R3</f>
        <v>2.5210535211658254</v>
      </c>
    </row>
    <row r="5">
      <c r="A5" s="2" t="inlineStr">
        <is>
          <t>Research &amp; Dev.</t>
        </is>
      </c>
      <c r="B5" s="52" t="n">
        <v>45.809</v>
      </c>
      <c r="C5" s="52" t="n">
        <v>63.319</v>
      </c>
      <c r="D5" s="52" t="n">
        <v>135.271</v>
      </c>
      <c r="E5" s="52" t="n">
        <v>155.696</v>
      </c>
      <c r="F5" s="52" t="n">
        <v>241.226</v>
      </c>
      <c r="G5" s="52" t="n">
        <v>314.421</v>
      </c>
      <c r="H5" s="52" t="n">
        <v>475.271</v>
      </c>
      <c r="I5" s="52">
        <f>I7*Assumptions!$B$20</f>
        <v>68.356970426511</v>
      </c>
      <c r="J5" s="52">
        <f>J7*Assumptions!$B$20</f>
        <v>55.52899194460852</v>
      </c>
      <c r="K5" s="52">
        <f>K7*Assumptions!$B$20</f>
        <v>45.07822477277678</v>
      </c>
      <c r="L5" s="52">
        <f>L7*Assumptions!$B$20</f>
        <v>36.38400818378944</v>
      </c>
      <c r="M5" s="52">
        <f>M7*Assumptions!$B$20</f>
        <v>28.971827830700857</v>
      </c>
      <c r="N5" s="52">
        <f>N7*Assumptions!$B$20</f>
        <v>22.468537120258382</v>
      </c>
      <c r="O5" s="52">
        <f>O7*Assumptions!$B$20</f>
        <v>16.569655092898834</v>
      </c>
      <c r="P5" s="52">
        <f>P7*Assumptions!$B$20</f>
        <v>11.014567437865232</v>
      </c>
      <c r="Q5" s="52">
        <f>Q7*Assumptions!$B$20</f>
        <v>5.566678898117832</v>
      </c>
      <c r="R5" s="52">
        <f>R7*Assumptions!$B$20</f>
        <v>-0.0036835673793210845</v>
      </c>
    </row>
    <row r="6">
      <c r="A6" s="18" t="inlineStr">
        <is>
          <t>SG&amp;A &amp; Other</t>
        </is>
      </c>
      <c r="B6" s="52" t="n">
        <v>18.951</v>
      </c>
      <c r="C6" s="52" t="n">
        <v>25.258</v>
      </c>
      <c r="D6" s="52" t="n">
        <v>57.682</v>
      </c>
      <c r="E6" s="52" t="n">
        <v>81.599</v>
      </c>
      <c r="F6" s="52" t="n">
        <v>110.822</v>
      </c>
      <c r="G6" s="52" t="n">
        <v>178.184</v>
      </c>
      <c r="H6" s="52" t="n">
        <v>176.589</v>
      </c>
      <c r="I6" s="52">
        <f>I7-I5</f>
        <v>25.398303783489013</v>
      </c>
      <c r="J6" s="52">
        <f>J7-J5</f>
        <v>20.63201744314148</v>
      </c>
      <c r="K6" s="52">
        <f>K7-K5</f>
        <v>16.748993404121833</v>
      </c>
      <c r="L6" s="52">
        <f>L7-L5</f>
        <v>13.518622708803406</v>
      </c>
      <c r="M6" s="52">
        <f>M7-M5</f>
        <v>10.764597667448722</v>
      </c>
      <c r="N6" s="52">
        <f>N7-N5</f>
        <v>8.348274181700724</v>
      </c>
      <c r="O6" s="52">
        <f>O7-O5</f>
        <v>6.156521142046763</v>
      </c>
      <c r="P6" s="52">
        <f>P7-P5</f>
        <v>4.092506266517201</v>
      </c>
      <c r="Q6" s="52">
        <f>Q7-Q5</f>
        <v>2.0683216479222617</v>
      </c>
      <c r="R6" s="52">
        <f>R7-R5</f>
        <v>-0.0013686440859389413</v>
      </c>
    </row>
    <row r="7">
      <c r="A7" s="2" t="inlineStr">
        <is>
          <t>Operating Expense</t>
        </is>
      </c>
      <c r="B7" s="52">
        <f>SUM(B5:B6)</f>
        <v>64.75999999999999</v>
      </c>
      <c r="C7" s="52">
        <f>SUM(C5:C6)</f>
        <v>88.577</v>
      </c>
      <c r="D7" s="52">
        <f>SUM(D5:D6)</f>
        <v>192.95299999999997</v>
      </c>
      <c r="E7" s="52">
        <f>SUM(E5:E6)</f>
        <v>237.29500000000002</v>
      </c>
      <c r="F7" s="52">
        <f>SUM(F5:F6)</f>
        <v>352.048</v>
      </c>
      <c r="G7" s="52">
        <f>SUM(G5:G6)</f>
        <v>492.605</v>
      </c>
      <c r="H7" s="52">
        <f>SUM(H5:H6)</f>
        <v>651.86</v>
      </c>
      <c r="I7" s="52">
        <f>I4-I2*NPV!C6</f>
        <v>93.75527421000001</v>
      </c>
      <c r="J7" s="52">
        <f>J4-J2*NPV!D6</f>
        <v>76.16100938775</v>
      </c>
      <c r="K7" s="52">
        <f>K4-K2*NPV!E6</f>
        <v>61.82721817689861</v>
      </c>
      <c r="L7" s="52">
        <f>L4-L2*NPV!F6</f>
        <v>49.902630892592846</v>
      </c>
      <c r="M7" s="52">
        <f>M4-M2*NPV!G6</f>
        <v>39.73642549814958</v>
      </c>
      <c r="N7" s="52">
        <f>N4-N2*NPV!H6</f>
        <v>30.816811301959106</v>
      </c>
      <c r="O7" s="52">
        <f>O4-O2*NPV!I6</f>
        <v>22.726176234945598</v>
      </c>
      <c r="P7" s="52">
        <f>P4-P2*NPV!J6</f>
        <v>15.107073704382433</v>
      </c>
      <c r="Q7" s="52">
        <f>Q4-Q2*NPV!K6</f>
        <v>7.635000546040094</v>
      </c>
      <c r="R7" s="52">
        <f>R4-R2*NPV!L6</f>
        <v>-0.005052211465260026</v>
      </c>
    </row>
    <row r="8">
      <c r="A8" s="2" t="inlineStr">
        <is>
          <t>Operating Income</t>
        </is>
      </c>
      <c r="B8" s="52">
        <f>B4-B7</f>
        <v>-62.44099999999999</v>
      </c>
      <c r="C8" s="52">
        <f>C4-C7</f>
        <v>-84.615</v>
      </c>
      <c r="D8" s="52">
        <f>D4-D7</f>
        <v>-182.77499999999998</v>
      </c>
      <c r="E8" s="52">
        <f>E4-E7</f>
        <v>-245.727</v>
      </c>
      <c r="F8" s="52">
        <f>F4-F7</f>
        <v>-350.06</v>
      </c>
      <c r="G8" s="52">
        <f>G4-G7</f>
        <v>-479.004</v>
      </c>
      <c r="H8" s="52">
        <f>H4-H7</f>
        <v>-648.1320000000001</v>
      </c>
      <c r="I8" s="52">
        <f>I4-I7</f>
        <v>-90.4013505</v>
      </c>
      <c r="J8" s="52">
        <f>J4-J7</f>
        <v>-73.095895775</v>
      </c>
      <c r="K8" s="52">
        <f>K4-K7</f>
        <v>-58.983473880625</v>
      </c>
      <c r="L8" s="52">
        <f>L4-L7</f>
        <v>-47.224771680268525</v>
      </c>
      <c r="M8" s="52">
        <f>M4-M7</f>
        <v>-37.17758225081745</v>
      </c>
      <c r="N8" s="52">
        <f>N4-N7</f>
        <v>-28.33615493162879</v>
      </c>
      <c r="O8" s="52">
        <f>O4-O7</f>
        <v>-20.286864137454124</v>
      </c>
      <c r="P8" s="52">
        <f>P4-P7</f>
        <v>-12.674537473828433</v>
      </c>
      <c r="Q8" s="52">
        <f>Q4-Q7</f>
        <v>-5.175436135146609</v>
      </c>
      <c r="R8" s="52">
        <f>R4-R7</f>
        <v>2.5261057326310854</v>
      </c>
    </row>
    <row r="9">
      <c r="A9" s="18" t="inlineStr">
        <is>
          <t>Interest &amp; Other</t>
        </is>
      </c>
      <c r="B9" s="52" t="n">
        <v>0.5620000000000001</v>
      </c>
      <c r="C9" s="52" t="n">
        <v>-2.391</v>
      </c>
      <c r="D9" s="52" t="n">
        <v>-3.704</v>
      </c>
      <c r="E9" s="52" t="n">
        <v>6.251</v>
      </c>
      <c r="F9" s="52" t="n">
        <v>17.932</v>
      </c>
      <c r="G9" s="52" t="n">
        <v>14.216</v>
      </c>
      <c r="H9" s="52" t="n">
        <v>3.237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-61.87899999999999</v>
      </c>
      <c r="C10" s="52">
        <f>C8+C9</f>
        <v>-87.006</v>
      </c>
      <c r="D10" s="52">
        <f>D8+D9</f>
        <v>-186.47899999999998</v>
      </c>
      <c r="E10" s="52">
        <f>E8+E9</f>
        <v>-239.476</v>
      </c>
      <c r="F10" s="52">
        <f>F8+F9</f>
        <v>-332.128</v>
      </c>
      <c r="G10" s="52">
        <f>G8+G9</f>
        <v>-464.788</v>
      </c>
      <c r="H10" s="52">
        <f>H8+H9</f>
        <v>-644.8950000000001</v>
      </c>
      <c r="I10" s="52">
        <f>I8+I9</f>
        <v>-90.4013505</v>
      </c>
      <c r="J10" s="52">
        <f>J8+J9</f>
        <v>-73.095895775</v>
      </c>
      <c r="K10" s="52">
        <f>K8+K9</f>
        <v>-58.983473880625</v>
      </c>
      <c r="L10" s="52">
        <f>L8+L9</f>
        <v>-47.224771680268525</v>
      </c>
      <c r="M10" s="52">
        <f>M8+M9</f>
        <v>-37.17758225081745</v>
      </c>
      <c r="N10" s="52">
        <f>N8+N9</f>
        <v>-28.33615493162879</v>
      </c>
      <c r="O10" s="52">
        <f>O8+O9</f>
        <v>-20.286864137454124</v>
      </c>
      <c r="P10" s="52">
        <f>P8+P9</f>
        <v>-12.674537473828433</v>
      </c>
      <c r="Q10" s="52">
        <f>Q8+Q9</f>
        <v>-5.175436135146609</v>
      </c>
      <c r="R10" s="52">
        <f>R8+R9</f>
        <v>2.5261057326310854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-4.062</v>
      </c>
      <c r="G11" s="52" t="n">
        <v>-1.127</v>
      </c>
      <c r="H11" s="52" t="n">
        <v>-0.136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0.42943797454728455</v>
      </c>
    </row>
    <row r="12">
      <c r="A12" s="2" t="inlineStr">
        <is>
          <t>Net Income</t>
        </is>
      </c>
      <c r="B12" s="52" t="n">
        <v>-61.879</v>
      </c>
      <c r="C12" s="52" t="n">
        <v>-87.006</v>
      </c>
      <c r="D12" s="52" t="n">
        <v>-186.479</v>
      </c>
      <c r="E12" s="52" t="n">
        <v>-239.476</v>
      </c>
      <c r="F12" s="52" t="n">
        <v>-328.066</v>
      </c>
      <c r="G12" s="52" t="n">
        <v>-463.661</v>
      </c>
      <c r="H12" s="52" t="n">
        <v>-644.759</v>
      </c>
      <c r="I12" s="52">
        <f>I10-I11</f>
        <v>-90.4013505</v>
      </c>
      <c r="J12" s="52">
        <f>J10-J11</f>
        <v>-73.095895775</v>
      </c>
      <c r="K12" s="52">
        <f>K10-K11</f>
        <v>-58.983473880625</v>
      </c>
      <c r="L12" s="52">
        <f>L10-L11</f>
        <v>-47.224771680268525</v>
      </c>
      <c r="M12" s="52">
        <f>M10-M11</f>
        <v>-37.17758225081745</v>
      </c>
      <c r="N12" s="52">
        <f>N10-N11</f>
        <v>-28.33615493162879</v>
      </c>
      <c r="O12" s="52">
        <f>O10-O11</f>
        <v>-20.286864137454124</v>
      </c>
      <c r="P12" s="52">
        <f>P10-P11</f>
        <v>-12.674537473828433</v>
      </c>
      <c r="Q12" s="52">
        <f>Q10-Q11</f>
        <v>-5.175436135146609</v>
      </c>
      <c r="R12" s="52">
        <f>R10-R11</f>
        <v>2.0966677580838007</v>
      </c>
    </row>
    <row r="13">
      <c r="A13" s="2" t="inlineStr">
        <is>
          <t>Earnings per Share</t>
        </is>
      </c>
      <c r="B13" s="11">
        <f>IFERROR(B12/B14,0)</f>
        <v>-2.8687528975428833</v>
      </c>
      <c r="C13" s="11">
        <f>IFERROR(C12/C14,0)</f>
        <v>-3.99458243423167</v>
      </c>
      <c r="D13" s="11">
        <f>IFERROR(D12/D14,0)</f>
        <v>-1.4876902702875197</v>
      </c>
      <c r="E13" s="11">
        <f>IFERROR(E12/E14,0)</f>
        <v>-1.3642479933005576</v>
      </c>
      <c r="F13" s="11">
        <f>IFERROR(F12/F14,0)</f>
        <v>-1.5783482636850865</v>
      </c>
      <c r="G13" s="11">
        <f>IFERROR(G12/G14,0)</f>
        <v>-1.69091598682747</v>
      </c>
      <c r="H13" s="11">
        <f>IFERROR(H12/H14,0)</f>
        <v>-1.4409761177885152</v>
      </c>
      <c r="I13" s="11">
        <f>IFERROR(I12/I14,0)</f>
        <v>-0.1688664849623186</v>
      </c>
      <c r="J13" s="11">
        <f>IFERROR(J12/J14,0)</f>
        <v>-0.1365405153399367</v>
      </c>
      <c r="K13" s="11">
        <f>IFERROR(K12/K14,0)</f>
        <v>-0.11017901668502035</v>
      </c>
      <c r="L13" s="11">
        <f>IFERROR(L12/L14,0)</f>
        <v>-0.0882141821188279</v>
      </c>
      <c r="M13" s="11">
        <f>IFERROR(M12/M14,0)</f>
        <v>-0.06944639210996109</v>
      </c>
      <c r="N13" s="11">
        <f>IFERROR(N12/N14,0)</f>
        <v>-0.05293092253806344</v>
      </c>
      <c r="O13" s="11">
        <f>IFERROR(O12/O14,0)</f>
        <v>-0.037895135624107706</v>
      </c>
      <c r="P13" s="11">
        <f>IFERROR(P12/P14,0)</f>
        <v>-0.02367558205591843</v>
      </c>
      <c r="Q13" s="11">
        <f>IFERROR(Q12/Q14,0)</f>
        <v>-0.009667529339500023</v>
      </c>
      <c r="R13" s="11">
        <f>IFERROR(R12/R14,0)</f>
        <v>0.003916500278847453</v>
      </c>
    </row>
    <row r="14">
      <c r="A14" s="2" t="inlineStr">
        <is>
          <t>Shares</t>
        </is>
      </c>
      <c r="B14" s="52" t="n">
        <v>21.57</v>
      </c>
      <c r="C14" s="52" t="n">
        <v>21.781</v>
      </c>
      <c r="D14" s="52" t="n">
        <v>125.348</v>
      </c>
      <c r="E14" s="52" t="n">
        <v>175.537</v>
      </c>
      <c r="F14" s="52" t="n">
        <v>207.854</v>
      </c>
      <c r="G14" s="52" t="n">
        <v>274.207</v>
      </c>
      <c r="H14" s="52" t="n">
        <v>447.446</v>
      </c>
      <c r="I14" s="52">
        <f>Main!$C$4</f>
        <v>535.34217</v>
      </c>
      <c r="J14" s="52">
        <f>Main!$C$4</f>
        <v>535.34217</v>
      </c>
      <c r="K14" s="52">
        <f>Main!$C$4</f>
        <v>535.34217</v>
      </c>
      <c r="L14" s="52">
        <f>Main!$C$4</f>
        <v>535.34217</v>
      </c>
      <c r="M14" s="52">
        <f>Main!$C$4</f>
        <v>535.34217</v>
      </c>
      <c r="N14" s="52">
        <f>Main!$C$4</f>
        <v>535.34217</v>
      </c>
      <c r="O14" s="52">
        <f>Main!$C$4</f>
        <v>535.34217</v>
      </c>
      <c r="P14" s="52">
        <f>Main!$C$4</f>
        <v>535.34217</v>
      </c>
      <c r="Q14" s="52">
        <f>Main!$C$4</f>
        <v>535.34217</v>
      </c>
      <c r="R14" s="52">
        <f>Main!$C$4</f>
        <v>535.34217</v>
      </c>
    </row>
    <row r="15"/>
    <row r="16" customFormat="1" s="4">
      <c r="A16" s="3" t="inlineStr">
        <is>
          <t>Revenue Change</t>
        </is>
      </c>
      <c r="C16" s="15">
        <f>IFERROR(C2/B2-1,"")</f>
        <v>0.7084950409659336</v>
      </c>
      <c r="D16" s="15">
        <f>IFERROR(D2/C2-1,"")</f>
        <v>1.568904593639576</v>
      </c>
      <c r="E16" s="15">
        <f>IFERROR(E2/D2-1,"")</f>
        <v>2.9146197681273334</v>
      </c>
      <c r="F16" s="15">
        <f>IFERROR(F2/E2-1,"")</f>
        <v>0.11876615716687988</v>
      </c>
      <c r="G16" s="15">
        <f>IFERROR(G2/F2-1,"")</f>
        <v>0.31999999999999984</v>
      </c>
      <c r="H16" s="15">
        <f>IFERROR(H2/G2-1,"")</f>
        <v>0.2692431890412821</v>
      </c>
      <c r="I16" s="15">
        <f>IFERROR(I2/H2-1,"")</f>
        <v>-0.09999999999999987</v>
      </c>
      <c r="J16" s="15">
        <f>IFERROR(J2/I2-1,"")</f>
        <v>-0.08611111111111114</v>
      </c>
      <c r="K16" s="15">
        <f>IFERROR(K2/J2-1,"")</f>
        <v>-0.07222222222222219</v>
      </c>
      <c r="L16" s="15">
        <f>IFERROR(L2/K2-1,"")</f>
        <v>-0.05833333333333335</v>
      </c>
      <c r="M16" s="15">
        <f>IFERROR(M2/L2-1,"")</f>
        <v>-0.04444444444444462</v>
      </c>
      <c r="N16" s="15">
        <f>IFERROR(N2/M2-1,"")</f>
        <v>-0.030555555555555558</v>
      </c>
      <c r="O16" s="15">
        <f>IFERROR(O2/N2-1,"")</f>
        <v>-0.01666666666666672</v>
      </c>
      <c r="P16" s="15">
        <f>IFERROR(P2/O2-1,"")</f>
        <v>-0.002777777777777768</v>
      </c>
      <c r="Q16" s="15">
        <f>IFERROR(Q2/P2-1,"")</f>
        <v>0.011111111111111072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-0.2116306503024369</v>
      </c>
      <c r="F17" s="15">
        <f>IFERROR(F4/F2,"")</f>
        <v>0.04459899046550756</v>
      </c>
      <c r="G17" s="15">
        <f>IFERROR(G4/G2,"")</f>
        <v>0.2311562059178436</v>
      </c>
      <c r="H17" s="15">
        <f>IFERROR(H4/H2,"")</f>
        <v>0.0499189887655494</v>
      </c>
      <c r="I17" s="15">
        <f>IFERROR(I4/I2,"")</f>
        <v>0.04990000000000005</v>
      </c>
      <c r="J17" s="15">
        <f>IFERROR(J4/J2,"")</f>
        <v>0.04990000000000006</v>
      </c>
      <c r="K17" s="15">
        <f>IFERROR(K4/K2,"")</f>
        <v>0.04990000000000003</v>
      </c>
      <c r="L17" s="15">
        <f>IFERROR(L4/L2,"")</f>
        <v>0.049900000000000076</v>
      </c>
      <c r="M17" s="15">
        <f>IFERROR(M4/M2,"")</f>
        <v>0.04990000000000005</v>
      </c>
      <c r="N17" s="15">
        <f>IFERROR(N4/N2,"")</f>
        <v>0.04990000000000011</v>
      </c>
      <c r="O17" s="15">
        <f>IFERROR(O4/O2,"")</f>
        <v>0.04990000000000005</v>
      </c>
      <c r="P17" s="15">
        <f>IFERROR(P4/P2,"")</f>
        <v>0.04990000000000009</v>
      </c>
      <c r="Q17" s="15">
        <f>IFERROR(Q4/Q2,"")</f>
        <v>0.04990000000000002</v>
      </c>
      <c r="R17" s="15">
        <f>IFERROR(R4/R2,"")</f>
        <v>0.04990000000000009</v>
      </c>
    </row>
    <row r="18">
      <c r="A18" s="14" t="inlineStr">
        <is>
          <t>Operating Margin</t>
        </is>
      </c>
      <c r="B18" s="15">
        <f>IFERROR(B8/B2,"")</f>
        <v>-26.925830099180676</v>
      </c>
      <c r="C18" s="15">
        <f>IFERROR(C8/C2,"")</f>
        <v>-21.356638061585056</v>
      </c>
      <c r="D18" s="15">
        <f>IFERROR(D8/D2,"")</f>
        <v>-17.957850265278047</v>
      </c>
      <c r="E18" s="15">
        <f>IFERROR(E8/E2,"")</f>
        <v>-6.167381974248927</v>
      </c>
      <c r="F18" s="15">
        <f>IFERROR(F8/F2,"")</f>
        <v>-7.853280987100392</v>
      </c>
      <c r="G18" s="15">
        <f>IFERROR(G8/G2,"")</f>
        <v>-8.140926936215775</v>
      </c>
      <c r="H18" s="15">
        <f>IFERROR(H8/H2,"")</f>
        <v>-8.678673290395148</v>
      </c>
      <c r="I18" s="15">
        <f>IFERROR(I8/I2,"")</f>
        <v>-1.345</v>
      </c>
      <c r="J18" s="15">
        <f>IFERROR(J8/J2,"")</f>
        <v>-1.19</v>
      </c>
      <c r="K18" s="15">
        <f>IFERROR(K8/K2,"")</f>
        <v>-1.035</v>
      </c>
      <c r="L18" s="15">
        <f>IFERROR(L8/L2,"")</f>
        <v>-0.88</v>
      </c>
      <c r="M18" s="15">
        <f>IFERROR(M8/M2,"")</f>
        <v>-0.7250000000000001</v>
      </c>
      <c r="N18" s="15">
        <f>IFERROR(N8/N2,"")</f>
        <v>-0.57</v>
      </c>
      <c r="O18" s="15">
        <f>IFERROR(O8/O2,"")</f>
        <v>-0.41500000000000004</v>
      </c>
      <c r="P18" s="15">
        <f>IFERROR(P8/P2,"")</f>
        <v>-0.26</v>
      </c>
      <c r="Q18" s="15">
        <f>IFERROR(Q8/Q2,"")</f>
        <v>-0.105</v>
      </c>
      <c r="R18" s="15">
        <f>IFERROR(R8/R2,"")</f>
        <v>0.050000000000000044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Recursion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</v>
      </c>
      <c r="C13" s="53" t="n">
        <v>0.05</v>
      </c>
      <c r="D13" s="53" t="n">
        <v>0.1</v>
      </c>
      <c r="E13" s="54">
        <f>CHOOSE($B$4,B13,C13,D13)</f>
        <v>0.05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0.0499</v>
      </c>
    </row>
    <row r="20">
      <c r="A20" s="14" t="inlineStr">
        <is>
          <t>R&amp;D share of operating expense (forecast)</t>
        </is>
      </c>
      <c r="B20" s="53" t="n">
        <v>0.7291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74.681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-239.9379930514502</v>
      </c>
      <c r="C29" s="56">
        <f>NPV!B26</f>
        <v>291.54900694854973</v>
      </c>
      <c r="D29" s="35">
        <f>NPV!B28</f>
        <v>0.5446031029996193</v>
      </c>
      <c r="E29" s="57">
        <f>NPV!B30</f>
        <v>-0.8512013379782462</v>
      </c>
    </row>
    <row r="30">
      <c r="A30" s="58" t="n">
        <v>1</v>
      </c>
      <c r="B30" s="59">
        <f t="dataTable" ref="B30:E32" r1="B4"/>
        <v>-213.28623263652486</v>
      </c>
      <c r="C30" s="59">
        <v>318.2007673634751</v>
      </c>
      <c r="D30" s="39">
        <v>0.5943876369079519</v>
      </c>
      <c r="E30" s="60">
        <v>-0.8375990063093027</v>
      </c>
    </row>
    <row r="31">
      <c r="A31" s="58" t="n">
        <v>2</v>
      </c>
      <c r="B31" s="59">
        <v>-239.9379930514502</v>
      </c>
      <c r="C31" s="59">
        <v>291.54900694854973</v>
      </c>
      <c r="D31" s="39">
        <v>0.5446031029996193</v>
      </c>
      <c r="E31" s="60">
        <v>-0.8512013379782462</v>
      </c>
    </row>
    <row r="32">
      <c r="A32" s="58" t="n">
        <v>3</v>
      </c>
      <c r="B32" s="59">
        <v>-256.4988887169176</v>
      </c>
      <c r="C32" s="59">
        <v>274.9881112830824</v>
      </c>
      <c r="D32" s="39">
        <v>0.513667943033672</v>
      </c>
      <c r="E32" s="60">
        <v>-0.8596535674771388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0.5446031029996193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0.5337463172990146</v>
      </c>
      <c r="C37" s="39">
        <v>0.5332024821001807</v>
      </c>
      <c r="D37" s="39">
        <v>0.5328373011951457</v>
      </c>
      <c r="E37" s="39">
        <v>0.5326984818355259</v>
      </c>
      <c r="F37" s="39">
        <v>0.5328511169329667</v>
      </c>
    </row>
    <row r="38">
      <c r="A38" s="62" t="n">
        <v>0.1</v>
      </c>
      <c r="B38" s="39">
        <v>0.5399600386142002</v>
      </c>
      <c r="C38" s="39">
        <v>0.5390849410063443</v>
      </c>
      <c r="D38" s="39">
        <v>0.5383097465651357</v>
      </c>
      <c r="E38" s="39">
        <v>0.5376583225773875</v>
      </c>
      <c r="F38" s="39">
        <v>0.5371619099677629</v>
      </c>
    </row>
    <row r="39">
      <c r="A39" s="62" t="n">
        <v>0.11</v>
      </c>
      <c r="B39" s="39">
        <v>0.5466816681313256</v>
      </c>
      <c r="C39" s="39">
        <v>0.5456140843436064</v>
      </c>
      <c r="D39" s="39">
        <v>0.5446031029996193</v>
      </c>
      <c r="E39" s="39">
        <v>0.5436613671832157</v>
      </c>
      <c r="F39" s="39">
        <v>0.5428049157843831</v>
      </c>
    </row>
    <row r="40">
      <c r="A40" s="62" t="n">
        <v>0.12</v>
      </c>
      <c r="B40" s="39">
        <v>0.5536577225234299</v>
      </c>
      <c r="C40" s="39">
        <v>0.5524798445512076</v>
      </c>
      <c r="D40" s="39">
        <v>0.5513335283021537</v>
      </c>
      <c r="E40" s="39">
        <v>0.5502257375005408</v>
      </c>
      <c r="F40" s="39">
        <v>0.5491650945681043</v>
      </c>
    </row>
    <row r="41">
      <c r="A41" s="62" t="n">
        <v>0.13</v>
      </c>
      <c r="B41" s="39">
        <v>0.5607307169906282</v>
      </c>
      <c r="C41" s="39">
        <v>0.5594932592411797</v>
      </c>
      <c r="D41" s="39">
        <v>0.5582723349027076</v>
      </c>
      <c r="E41" s="39">
        <v>0.5570718720986102</v>
      </c>
      <c r="F41" s="39">
        <v>0.5558966429064274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Recursion Pharmaceuticals,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-8.678673290395148</v>
      </c>
      <c r="C6" s="63">
        <f>Assumptions!$B$18+(Assumptions!$E$13-Assumptions!$B$18)*C4/Assumptions!$B$21</f>
        <v>-1.345</v>
      </c>
      <c r="D6" s="63">
        <f>Assumptions!$B$18+(Assumptions!$E$13-Assumptions!$B$18)*D4/Assumptions!$B$21</f>
        <v>-1.19</v>
      </c>
      <c r="E6" s="63">
        <f>Assumptions!$B$18+(Assumptions!$E$13-Assumptions!$B$18)*E4/Assumptions!$B$21</f>
        <v>-1.035</v>
      </c>
      <c r="F6" s="63">
        <f>Assumptions!$B$18+(Assumptions!$E$13-Assumptions!$B$18)*F4/Assumptions!$B$21</f>
        <v>-0.88</v>
      </c>
      <c r="G6" s="63">
        <f>Assumptions!$B$18+(Assumptions!$E$13-Assumptions!$B$18)*G4/Assumptions!$B$21</f>
        <v>-0.725</v>
      </c>
      <c r="H6" s="63">
        <f>Assumptions!$B$18+(Assumptions!$E$13-Assumptions!$B$18)*H4/Assumptions!$B$21</f>
        <v>-0.57</v>
      </c>
      <c r="I6" s="63">
        <f>Assumptions!$B$18+(Assumptions!$E$13-Assumptions!$B$18)*I4/Assumptions!$B$21</f>
        <v>-0.41500000000000004</v>
      </c>
      <c r="J6" s="63">
        <f>Assumptions!$B$18+(Assumptions!$E$13-Assumptions!$B$18)*J4/Assumptions!$B$21</f>
        <v>-0.26</v>
      </c>
      <c r="K6" s="63">
        <f>Assumptions!$B$18+(Assumptions!$E$13-Assumptions!$B$18)*K4/Assumptions!$B$21</f>
        <v>-0.10499999999999998</v>
      </c>
      <c r="L6" s="63">
        <f>Assumptions!$B$18+(Assumptions!$E$13-Assumptions!$B$18)*L4/Assumptions!$B$21</f>
        <v>0.050000000000000044</v>
      </c>
    </row>
    <row r="7">
      <c r="A7" s="14" t="inlineStr">
        <is>
          <t>Revenue</t>
        </is>
      </c>
      <c r="B7" s="55">
        <f>'Yearly Model'!H2</f>
        <v>74.681</v>
      </c>
      <c r="C7" s="55">
        <f>'Yearly Model'!I2</f>
        <v>67.2129</v>
      </c>
      <c r="D7" s="55">
        <f>'Yearly Model'!J2</f>
        <v>61.4251225</v>
      </c>
      <c r="E7" s="55">
        <f>'Yearly Model'!K2</f>
        <v>56.98886365277778</v>
      </c>
      <c r="F7" s="55">
        <f>'Yearly Model'!L2</f>
        <v>53.66451327303241</v>
      </c>
      <c r="G7" s="55">
        <f>'Yearly Model'!M2</f>
        <v>51.279423794230965</v>
      </c>
      <c r="H7" s="55">
        <f>'Yearly Model'!N2</f>
        <v>49.71255251162946</v>
      </c>
      <c r="I7" s="55">
        <f>'Yearly Model'!O2</f>
        <v>48.88400996976897</v>
      </c>
      <c r="J7" s="55">
        <f>'Yearly Model'!P2</f>
        <v>48.74822105318628</v>
      </c>
      <c r="K7" s="55">
        <f>'Yearly Model'!Q2</f>
        <v>49.28986795377723</v>
      </c>
      <c r="L7" s="55">
        <f>'Yearly Model'!R2</f>
        <v>50.52211465262166</v>
      </c>
    </row>
    <row r="8">
      <c r="A8" s="14" t="inlineStr">
        <is>
          <t>Operating income</t>
        </is>
      </c>
      <c r="B8" s="55">
        <f>'Yearly Model'!H8</f>
        <v>-648.1320000000001</v>
      </c>
      <c r="C8" s="55">
        <f>'Yearly Model'!I8</f>
        <v>-90.4013505</v>
      </c>
      <c r="D8" s="55">
        <f>'Yearly Model'!J8</f>
        <v>-73.095895775</v>
      </c>
      <c r="E8" s="55">
        <f>'Yearly Model'!K8</f>
        <v>-58.983473880625</v>
      </c>
      <c r="F8" s="55">
        <f>'Yearly Model'!L8</f>
        <v>-47.224771680268525</v>
      </c>
      <c r="G8" s="55">
        <f>'Yearly Model'!M8</f>
        <v>-37.17758225081745</v>
      </c>
      <c r="H8" s="55">
        <f>'Yearly Model'!N8</f>
        <v>-28.33615493162879</v>
      </c>
      <c r="I8" s="55">
        <f>'Yearly Model'!O8</f>
        <v>-20.286864137454124</v>
      </c>
      <c r="J8" s="55">
        <f>'Yearly Model'!P8</f>
        <v>-12.674537473828433</v>
      </c>
      <c r="K8" s="55">
        <f>'Yearly Model'!Q8</f>
        <v>-5.175436135146609</v>
      </c>
      <c r="L8" s="55">
        <f>'Yearly Model'!R8</f>
        <v>2.5261057326310854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0.0</v>
      </c>
      <c r="L9" s="52">
        <f>MAX(0,L8)*Assumptions!$E$14</f>
        <v>0.42943797454728455</v>
      </c>
    </row>
    <row r="10">
      <c r="A10" s="14" t="inlineStr">
        <is>
          <t>NOPAT</t>
        </is>
      </c>
      <c r="C10" s="52">
        <f>C8-C9</f>
        <v>-90.4013505</v>
      </c>
      <c r="D10" s="52">
        <f>D8-D9</f>
        <v>-73.095895775</v>
      </c>
      <c r="E10" s="52">
        <f>E8-E9</f>
        <v>-58.983473880625</v>
      </c>
      <c r="F10" s="52">
        <f>F8-F9</f>
        <v>-47.224771680268525</v>
      </c>
      <c r="G10" s="52">
        <f>G8-G9</f>
        <v>-37.17758225081745</v>
      </c>
      <c r="H10" s="52">
        <f>H8-H9</f>
        <v>-28.33615493162879</v>
      </c>
      <c r="I10" s="52">
        <f>I8-I9</f>
        <v>-20.286864137454124</v>
      </c>
      <c r="J10" s="52">
        <f>J8-J9</f>
        <v>-12.674537473828433</v>
      </c>
      <c r="K10" s="52">
        <f>K8-K9</f>
        <v>-5.175436135146609</v>
      </c>
      <c r="L10" s="52">
        <f>L8-L9</f>
        <v>2.0966677580838007</v>
      </c>
    </row>
    <row r="11">
      <c r="A11" s="14" t="inlineStr">
        <is>
          <t>Reinvestment</t>
        </is>
      </c>
      <c r="C11" s="52">
        <f>(C7-B7)*Assumptions!$E$15</f>
        <v>-1.8670249999999982</v>
      </c>
      <c r="D11" s="52">
        <f>(D7-C7)*Assumptions!$E$15</f>
        <v>-1.446944375000001</v>
      </c>
      <c r="E11" s="52">
        <f>(E7-D7)*Assumptions!$E$15</f>
        <v>-1.109064711805555</v>
      </c>
      <c r="F11" s="52">
        <f>(F7-E7)*Assumptions!$E$15</f>
        <v>-0.8310875949363421</v>
      </c>
      <c r="G11" s="52">
        <f>(G7-F7)*Assumptions!$E$15</f>
        <v>-0.5962723697003618</v>
      </c>
      <c r="H11" s="52">
        <f>(H7-G7)*Assumptions!$E$15</f>
        <v>-0.39171782065037597</v>
      </c>
      <c r="I11" s="52">
        <f>(I7-H7)*Assumptions!$E$15</f>
        <v>-0.20713563546512326</v>
      </c>
      <c r="J11" s="52">
        <f>(J7-I7)*Assumptions!$E$15</f>
        <v>-0.03394722914567261</v>
      </c>
      <c r="K11" s="52">
        <f>(K7-J7)*Assumptions!$E$15</f>
        <v>0.1354117251477387</v>
      </c>
      <c r="L11" s="52">
        <f>(L7-K7)*Assumptions!$E$15</f>
        <v>0.3080616747111069</v>
      </c>
    </row>
    <row r="12">
      <c r="A12" s="20" t="inlineStr">
        <is>
          <t>Free cash flow</t>
        </is>
      </c>
      <c r="C12" s="64">
        <f>C10-C11</f>
        <v>-88.53432550000001</v>
      </c>
      <c r="D12" s="64">
        <f>D10-D11</f>
        <v>-71.6489514</v>
      </c>
      <c r="E12" s="64">
        <f>E10-E11</f>
        <v>-57.87440916881944</v>
      </c>
      <c r="F12" s="64">
        <f>F10-F11</f>
        <v>-46.39368408533218</v>
      </c>
      <c r="G12" s="64">
        <f>G10-G11</f>
        <v>-36.58130988111709</v>
      </c>
      <c r="H12" s="64">
        <f>H10-H11</f>
        <v>-27.944437110978413</v>
      </c>
      <c r="I12" s="64">
        <f>I10-I11</f>
        <v>-20.079728501989003</v>
      </c>
      <c r="J12" s="64">
        <f>J10-J11</f>
        <v>-12.64059024468276</v>
      </c>
      <c r="K12" s="64">
        <f>K10-K11</f>
        <v>-5.310847860294348</v>
      </c>
      <c r="L12" s="64">
        <f>L10-L11</f>
        <v>1.7886060833726938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-43.47150977480894</v>
      </c>
      <c r="D16" s="64">
        <f>D12*D13*D15</f>
        <v>-64.52099196982384</v>
      </c>
      <c r="E16" s="64">
        <f>E12*E13*E15</f>
        <v>-46.95207482468433</v>
      </c>
      <c r="F16" s="64">
        <f>F12*F13*F15</f>
        <v>-33.90815035976053</v>
      </c>
      <c r="G16" s="64">
        <f>G12*G13*G15</f>
        <v>-24.086933466023897</v>
      </c>
      <c r="H16" s="64">
        <f>H12*H13*H15</f>
        <v>-16.57656908062719</v>
      </c>
      <c r="I16" s="64">
        <f>I12*I13*I15</f>
        <v>-10.730850378297632</v>
      </c>
      <c r="J16" s="64">
        <f>J12*J13*J15</f>
        <v>-6.085842066662067</v>
      </c>
      <c r="K16" s="64">
        <f>K12*K13*K15</f>
        <v>-2.303531767393146</v>
      </c>
      <c r="L16" s="64">
        <f>L12*L13*L15</f>
        <v>0.6989113129304667</v>
      </c>
    </row>
    <row r="19">
      <c r="A19" s="14" t="inlineStr">
        <is>
          <t>PV of forecast free cash flow</t>
        </is>
      </c>
      <c r="B19" s="52">
        <f>SUM(C16:L16)</f>
        <v>-247.93754237515108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1.83332123545701</v>
      </c>
    </row>
    <row r="21">
      <c r="A21" s="14" t="inlineStr">
        <is>
          <t>Terminal value</t>
        </is>
      </c>
      <c r="B21" s="52">
        <f>B20/(Assumptions!$E$10-Assumptions!$E$11)</f>
        <v>21.56848512302365</v>
      </c>
    </row>
    <row r="22">
      <c r="A22" s="14" t="inlineStr">
        <is>
          <t>PV of terminal value</t>
        </is>
      </c>
      <c r="B22" s="52">
        <f>B21/(1+Assumptions!$E$10)^(L14+0.5)</f>
        <v>7.99954932370088</v>
      </c>
    </row>
    <row r="23">
      <c r="A23" s="20" t="inlineStr">
        <is>
          <t>Enterprise value</t>
        </is>
      </c>
      <c r="B23" s="66">
        <f>B19+B22</f>
        <v>-239.9379930514502</v>
      </c>
    </row>
    <row r="24">
      <c r="A24" s="14" t="inlineStr">
        <is>
          <t>Cash &amp; investments</t>
        </is>
      </c>
      <c r="B24" s="55">
        <f>Main!C7</f>
        <v>545.683</v>
      </c>
    </row>
    <row r="25">
      <c r="A25" s="14" t="inlineStr">
        <is>
          <t>Debt</t>
        </is>
      </c>
      <c r="B25" s="55">
        <f>Main!C8</f>
        <v>14.196</v>
      </c>
    </row>
    <row r="26">
      <c r="A26" s="20" t="inlineStr">
        <is>
          <t>Equity value</t>
        </is>
      </c>
      <c r="B26" s="66">
        <f>B23+B24-B25</f>
        <v>291.54900694854973</v>
      </c>
    </row>
    <row r="27">
      <c r="A27" s="14" t="inlineStr">
        <is>
          <t>Shares (mm)</t>
        </is>
      </c>
      <c r="B27" s="55">
        <f>Main!C4</f>
        <v>535.34217</v>
      </c>
    </row>
    <row r="28">
      <c r="A28" s="20" t="inlineStr">
        <is>
          <t>NPV / share</t>
        </is>
      </c>
      <c r="B28" s="49">
        <f>B26/B27</f>
        <v>0.5446031029996193</v>
      </c>
    </row>
    <row r="29">
      <c r="A29" s="14" t="inlineStr">
        <is>
          <t>Price</t>
        </is>
      </c>
      <c r="B29" s="50">
        <f>Main!C3</f>
        <v>3.66</v>
      </c>
    </row>
    <row r="30">
      <c r="A30" s="14" t="inlineStr">
        <is>
          <t>Upside</t>
        </is>
      </c>
      <c r="B30" s="63">
        <f>B28/B29-1</f>
        <v>-0.8512013379782462</v>
      </c>
    </row>
    <row r="31">
      <c r="A31" s="14" t="inlineStr">
        <is>
          <t>Terminal value, % of EV</t>
        </is>
      </c>
      <c r="B31" s="63">
        <f>IFERROR(B22/B23,0)</f>
        <v>-0.0333400693319358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2026-10-21T01:04:31Z</dcterms:modified>
  <cp:lastModifiedBy>Wang, Eric</cp:lastModifiedBy>
</cp:coreProperties>
</file>