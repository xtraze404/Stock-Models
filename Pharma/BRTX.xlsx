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BioRestorative Therapies Inc</t>
        </is>
      </c>
      <c r="C2" s="10" t="n"/>
    </row>
    <row r="3">
      <c r="B3" t="inlineStr">
        <is>
          <t>Price</t>
        </is>
      </c>
      <c r="C3" s="11">
        <f>INDEX([1]Pharma!$F$1:$F$1000,MATCH("BRTX",[1]Pharma!$B$1:$B$1000,0))</f>
        <v>1.56</v>
      </c>
      <c r="F3" s="1" t="n"/>
    </row>
    <row r="4">
      <c r="B4" t="inlineStr">
        <is>
          <t>Shares</t>
        </is>
      </c>
      <c r="C4" s="21" t="n">
        <v>25.47817</v>
      </c>
      <c r="F4" s="1" t="n"/>
    </row>
    <row r="5">
      <c r="B5" t="inlineStr">
        <is>
          <t>Market Cap.</t>
        </is>
      </c>
      <c r="C5" s="13">
        <f>C3*C4</f>
        <v>39.7459452</v>
      </c>
      <c r="F5" s="1" t="n"/>
    </row>
    <row r="6"/>
    <row r="7">
      <c r="B7" t="inlineStr">
        <is>
          <t>Cash</t>
        </is>
      </c>
      <c r="C7" s="21">
        <f>3.112679+0.479351</f>
        <v>3.59203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36.1539152</v>
      </c>
    </row>
    <row r="10"/>
    <row r="11">
      <c r="B11" s="14" t="inlineStr">
        <is>
          <t>Net Cash / Share</t>
        </is>
      </c>
      <c r="C11" s="11">
        <f>(C7-C8)/C4</f>
        <v>0.1409846154570756</v>
      </c>
    </row>
    <row r="12">
      <c r="B12" s="14" t="inlineStr">
        <is>
          <t>Upside</t>
        </is>
      </c>
      <c r="C12" s="15">
        <f>IFERROR(C11/C3-1,"")</f>
        <v>-0.9096252465018746</v>
      </c>
    </row>
    <row r="13">
      <c r="B13" s="14" t="inlineStr">
        <is>
          <t>Cash / Share</t>
        </is>
      </c>
      <c r="C13" s="11">
        <f>IFERROR((C7-C8)/C4,"")</f>
        <v>0.1409846154570756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-11.818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0.3039456760873244</v>
      </c>
    </row>
    <row r="19">
      <c r="B19" s="14" t="inlineStr">
        <is>
          <t>Implied Pipeline Value</t>
        </is>
      </c>
      <c r="C19" s="13">
        <f>C9</f>
        <v>36.1539152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0.016</v>
      </c>
      <c r="F2" s="23" t="n">
        <v>0.002</v>
      </c>
      <c r="G2" s="23" t="n">
        <v>0.416</v>
      </c>
      <c r="H2" s="23" t="n">
        <v>0.629</v>
      </c>
      <c r="I2" s="23" t="n">
        <v>0.036</v>
      </c>
      <c r="J2" s="23" t="n">
        <v>0.081</v>
      </c>
      <c r="K2" s="23" t="n">
        <v>0.111</v>
      </c>
      <c r="L2" s="23" t="n">
        <v>0.13</v>
      </c>
      <c r="M2" s="23" t="n">
        <v>0.077</v>
      </c>
      <c r="N2" s="23" t="n">
        <v>0.046</v>
      </c>
      <c r="O2" s="23" t="n">
        <v>0.12</v>
      </c>
      <c r="P2" s="23" t="n">
        <v>0.146</v>
      </c>
      <c r="Q2" s="23" t="n">
        <v>0.401</v>
      </c>
      <c r="R2" s="23" t="n">
        <v>0.36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0.001</v>
      </c>
      <c r="F3" s="23" t="n">
        <v>0</v>
      </c>
      <c r="G3" s="23" t="n">
        <v>0.214</v>
      </c>
      <c r="H3" s="23" t="n">
        <v>0.262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0.028</v>
      </c>
      <c r="R3" s="23" t="n">
        <v>0.024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0.015</v>
      </c>
      <c r="F4" s="23">
        <f>F2-F3</f>
        <v>0.002</v>
      </c>
      <c r="G4" s="23">
        <f>G2-G3</f>
        <v>0.20199999999999999</v>
      </c>
      <c r="H4" s="23">
        <f>H2-H3</f>
        <v>0.367</v>
      </c>
      <c r="I4" s="23">
        <f>I2-I3</f>
        <v>0.036</v>
      </c>
      <c r="J4" s="23">
        <f>J2-J3</f>
        <v>0.081</v>
      </c>
      <c r="K4" s="23">
        <f>K2-K3</f>
        <v>0.111</v>
      </c>
      <c r="L4" s="23">
        <f>L2-L3</f>
        <v>0.13</v>
      </c>
      <c r="M4" s="23">
        <f>M2-M3</f>
        <v>0.077</v>
      </c>
      <c r="N4" s="23">
        <f>N2-N3</f>
        <v>0.046</v>
      </c>
      <c r="O4" s="23">
        <f>O2-O3</f>
        <v>0.12</v>
      </c>
      <c r="P4" s="23">
        <f>P2-P3</f>
        <v>0.146</v>
      </c>
      <c r="Q4" s="23">
        <f>Q2-Q3</f>
        <v>0.373</v>
      </c>
      <c r="R4" s="23">
        <f>R2-R3</f>
        <v>0.33599999999999997</v>
      </c>
    </row>
    <row r="5">
      <c r="A5" s="2" t="inlineStr">
        <is>
          <t>Research &amp; Dev.</t>
        </is>
      </c>
      <c r="B5" s="23" t="n">
        <v>0</v>
      </c>
      <c r="C5" s="23" t="n">
        <v>0.012</v>
      </c>
      <c r="D5" s="23" t="n">
        <v>0.012</v>
      </c>
      <c r="E5" s="23" t="n">
        <v>0.757</v>
      </c>
      <c r="F5" s="23" t="n">
        <v>1.594</v>
      </c>
      <c r="G5" s="23" t="n">
        <v>1.431</v>
      </c>
      <c r="H5" s="23" t="n">
        <v>2.105</v>
      </c>
      <c r="I5" s="23" t="n">
        <v>2.884</v>
      </c>
      <c r="J5" s="23" t="n">
        <v>2.152</v>
      </c>
      <c r="K5" s="23" t="n">
        <v>1.513</v>
      </c>
      <c r="L5" s="23" t="n">
        <v>1.722</v>
      </c>
      <c r="M5" s="23" t="n">
        <v>0.877</v>
      </c>
      <c r="N5" s="23" t="n">
        <v>0.729</v>
      </c>
      <c r="O5" s="23" t="n">
        <v>3.513</v>
      </c>
      <c r="P5" s="23" t="n">
        <v>4.035</v>
      </c>
      <c r="Q5" s="23" t="n">
        <v>6.707</v>
      </c>
      <c r="R5" s="23" t="n">
        <v>10.095</v>
      </c>
    </row>
    <row r="6">
      <c r="A6" s="19" t="inlineStr">
        <is>
          <t>SG&amp;A &amp; Other</t>
        </is>
      </c>
      <c r="B6" s="23" t="n">
        <v>1.197</v>
      </c>
      <c r="C6" s="23" t="n">
        <v>2.058</v>
      </c>
      <c r="D6" s="23" t="n">
        <v>3.54</v>
      </c>
      <c r="E6" s="23" t="n">
        <v>4.83</v>
      </c>
      <c r="F6" s="23" t="n">
        <v>3.16</v>
      </c>
      <c r="G6" s="23" t="n">
        <v>3.694</v>
      </c>
      <c r="H6" s="23" t="n">
        <v>5.433</v>
      </c>
      <c r="I6" s="23" t="n">
        <v>4.938</v>
      </c>
      <c r="J6" s="23" t="n">
        <v>6.303</v>
      </c>
      <c r="K6" s="23" t="n">
        <v>6.246</v>
      </c>
      <c r="L6" s="23" t="n">
        <v>6.84</v>
      </c>
      <c r="M6" s="23" t="n">
        <v>1.952</v>
      </c>
      <c r="N6" s="23" t="n">
        <v>25.625</v>
      </c>
      <c r="O6" s="23" t="n">
        <v>15.58</v>
      </c>
      <c r="P6" s="23" t="n">
        <v>11.332</v>
      </c>
      <c r="Q6" s="23" t="n">
        <v>5.221</v>
      </c>
      <c r="R6" s="23" t="n">
        <v>5.888</v>
      </c>
    </row>
    <row r="7">
      <c r="A7" s="2" t="inlineStr">
        <is>
          <t>Operating Expense</t>
        </is>
      </c>
      <c r="B7" s="23">
        <f>SUM(B5:B6)</f>
        <v>1.197</v>
      </c>
      <c r="C7" s="23">
        <f>SUM(C5:C6)</f>
        <v>2.07</v>
      </c>
      <c r="D7" s="23">
        <f>SUM(D5:D6)</f>
        <v>3.552</v>
      </c>
      <c r="E7" s="23">
        <f>SUM(E5:E6)</f>
        <v>5.587</v>
      </c>
      <c r="F7" s="23">
        <f>SUM(F5:F6)</f>
        <v>4.7540000000000004</v>
      </c>
      <c r="G7" s="23">
        <f>SUM(G5:G6)</f>
        <v>5.125</v>
      </c>
      <c r="H7" s="23">
        <f>SUM(H5:H6)</f>
        <v>7.538</v>
      </c>
      <c r="I7" s="23">
        <f>SUM(I5:I6)</f>
        <v>7.821999999999999</v>
      </c>
      <c r="J7" s="23">
        <f>SUM(J5:J6)</f>
        <v>8.455</v>
      </c>
      <c r="K7" s="23">
        <f>SUM(K5:K6)</f>
        <v>7.759</v>
      </c>
      <c r="L7" s="23">
        <f>SUM(L5:L6)</f>
        <v>8.562</v>
      </c>
      <c r="M7" s="23">
        <f>SUM(M5:M6)</f>
        <v>2.8289999999999997</v>
      </c>
      <c r="N7" s="23">
        <f>SUM(N5:N6)</f>
        <v>26.354</v>
      </c>
      <c r="O7" s="23">
        <f>SUM(O5:O6)</f>
        <v>19.093</v>
      </c>
      <c r="P7" s="23">
        <f>SUM(P5:P6)</f>
        <v>15.367</v>
      </c>
      <c r="Q7" s="23">
        <f>SUM(Q5:Q6)</f>
        <v>11.928</v>
      </c>
      <c r="R7" s="23">
        <f>SUM(R5:R6)</f>
        <v>15.983</v>
      </c>
    </row>
    <row r="8">
      <c r="A8" s="2" t="inlineStr">
        <is>
          <t>Operating Income</t>
        </is>
      </c>
      <c r="B8" s="23">
        <f>B4-B7</f>
        <v>-1.197</v>
      </c>
      <c r="C8" s="23">
        <f>C4-C7</f>
        <v>-2.07</v>
      </c>
      <c r="D8" s="23">
        <f>D4-D7</f>
        <v>-3.552</v>
      </c>
      <c r="E8" s="23">
        <f>E4-E7</f>
        <v>-5.572</v>
      </c>
      <c r="F8" s="23">
        <f>F4-F7</f>
        <v>-4.752000000000001</v>
      </c>
      <c r="G8" s="23">
        <f>G4-G7</f>
        <v>-4.923</v>
      </c>
      <c r="H8" s="23">
        <f>H4-H7</f>
        <v>-7.171</v>
      </c>
      <c r="I8" s="23">
        <f>I4-I7</f>
        <v>-7.786</v>
      </c>
      <c r="J8" s="23">
        <f>J4-J7</f>
        <v>-8.374</v>
      </c>
      <c r="K8" s="23">
        <f>K4-K7</f>
        <v>-7.648000000000001</v>
      </c>
      <c r="L8" s="23">
        <f>L4-L7</f>
        <v>-8.431999999999999</v>
      </c>
      <c r="M8" s="23">
        <f>M4-M7</f>
        <v>-2.752</v>
      </c>
      <c r="N8" s="23">
        <f>N4-N7</f>
        <v>-26.308</v>
      </c>
      <c r="O8" s="23">
        <f>O4-O7</f>
        <v>-18.973</v>
      </c>
      <c r="P8" s="23">
        <f>P4-P7</f>
        <v>-15.221</v>
      </c>
      <c r="Q8" s="23">
        <f>Q4-Q7</f>
        <v>-11.555000000000001</v>
      </c>
      <c r="R8" s="23">
        <f>R4-R7</f>
        <v>-15.647</v>
      </c>
    </row>
    <row r="9">
      <c r="A9" s="19" t="inlineStr">
        <is>
          <t>Interest &amp; Other</t>
        </is>
      </c>
      <c r="B9" s="23" t="n">
        <v>0</v>
      </c>
      <c r="C9" s="23" t="n">
        <v>-0.194</v>
      </c>
      <c r="D9" s="23" t="n">
        <v>-0.522</v>
      </c>
      <c r="E9" s="23" t="n">
        <v>-0.964</v>
      </c>
      <c r="F9" s="23" t="n">
        <v>-0.999</v>
      </c>
      <c r="G9" s="23" t="n">
        <v>-0.665</v>
      </c>
      <c r="H9" s="23" t="n">
        <v>-0.753</v>
      </c>
      <c r="I9" s="23" t="n">
        <v>-0.851</v>
      </c>
      <c r="J9" s="23" t="n">
        <v>-1.07</v>
      </c>
      <c r="K9" s="23" t="n">
        <v>-4.87</v>
      </c>
      <c r="L9" s="23" t="n">
        <v>-6.216</v>
      </c>
      <c r="M9" s="23" t="n">
        <v>-8.521000000000001</v>
      </c>
      <c r="N9" s="23" t="n">
        <v>-17.995</v>
      </c>
      <c r="O9" s="23" t="n">
        <v>5.752</v>
      </c>
      <c r="P9" s="23" t="n">
        <v>4.803</v>
      </c>
      <c r="Q9" s="23" t="n">
        <v>2.576</v>
      </c>
      <c r="R9" s="23" t="n">
        <v>1.405</v>
      </c>
    </row>
    <row r="10">
      <c r="A10" s="2" t="inlineStr">
        <is>
          <t>Pretax</t>
        </is>
      </c>
      <c r="B10" s="23">
        <f>B8+B9</f>
        <v>-1.197</v>
      </c>
      <c r="C10" s="23">
        <f>C8+C9</f>
        <v>-2.264</v>
      </c>
      <c r="D10" s="23">
        <f>D8+D9</f>
        <v>-4.074</v>
      </c>
      <c r="E10" s="23">
        <f>E8+E9</f>
        <v>-6.536</v>
      </c>
      <c r="F10" s="23">
        <f>F8+F9</f>
        <v>-5.751</v>
      </c>
      <c r="G10" s="23">
        <f>G8+G9</f>
        <v>-5.588</v>
      </c>
      <c r="H10" s="23">
        <f>H8+H9</f>
        <v>-7.924</v>
      </c>
      <c r="I10" s="23">
        <f>I8+I9</f>
        <v>-8.637</v>
      </c>
      <c r="J10" s="23">
        <f>J8+J9</f>
        <v>-9.444</v>
      </c>
      <c r="K10" s="23">
        <f>K8+K9</f>
        <v>-12.518</v>
      </c>
      <c r="L10" s="23">
        <f>L8+L9</f>
        <v>-14.648</v>
      </c>
      <c r="M10" s="23">
        <f>M8+M9</f>
        <v>-11.273</v>
      </c>
      <c r="N10" s="23">
        <f>N8+N9</f>
        <v>-44.303</v>
      </c>
      <c r="O10" s="23">
        <f>O8+O9</f>
        <v>-13.221</v>
      </c>
      <c r="P10" s="23">
        <f>P8+P9</f>
        <v>-10.418</v>
      </c>
      <c r="Q10" s="23">
        <f>Q8+Q9</f>
        <v>-8.979000000000001</v>
      </c>
      <c r="R10" s="23">
        <f>R8+R9</f>
        <v>-14.242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-1.197</v>
      </c>
      <c r="C12" s="23" t="n">
        <v>-2.264</v>
      </c>
      <c r="D12" s="23" t="n">
        <v>-4.074</v>
      </c>
      <c r="E12" s="23" t="n">
        <v>-6.537</v>
      </c>
      <c r="F12" s="23" t="n">
        <v>-5.751</v>
      </c>
      <c r="G12" s="23" t="n">
        <v>-5.588</v>
      </c>
      <c r="H12" s="23" t="n">
        <v>-7.923</v>
      </c>
      <c r="I12" s="23" t="n">
        <v>-8.635999999999999</v>
      </c>
      <c r="J12" s="23" t="n">
        <v>-9.445</v>
      </c>
      <c r="K12" s="23" t="n">
        <v>-12.518</v>
      </c>
      <c r="L12" s="23" t="n">
        <v>-14.648</v>
      </c>
      <c r="M12" s="23" t="n">
        <v>-11.273</v>
      </c>
      <c r="N12" s="23" t="n">
        <v>-44.303</v>
      </c>
      <c r="O12" s="23" t="n">
        <v>-13.222</v>
      </c>
      <c r="P12" s="23" t="n">
        <v>-10.418</v>
      </c>
      <c r="Q12" s="23" t="n">
        <v>-8.978999999999999</v>
      </c>
      <c r="R12" s="23" t="n">
        <v>-14.242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-24.106508875739642</v>
      </c>
      <c r="E13" s="11">
        <f>IFERROR(E12/E14,0)</f>
        <v>-38.910714285714285</v>
      </c>
      <c r="F13" s="11">
        <f>IFERROR(F12/F14,0)</f>
        <v>-28.19117647058824</v>
      </c>
      <c r="G13" s="11">
        <f>IFERROR(G12/G14,0)</f>
        <v>-27.258536585365857</v>
      </c>
      <c r="H13" s="11">
        <f>IFERROR(H12/H14,0)</f>
        <v>-19.957178841309823</v>
      </c>
      <c r="I13" s="11">
        <f>IFERROR(I12/I14,0)</f>
        <v>-13.084848484848482</v>
      </c>
      <c r="J13" s="11">
        <f>IFERROR(J12/J14,0)</f>
        <v>-10.843857634902411</v>
      </c>
      <c r="K13" s="11">
        <f>IFERROR(K12/K14,0)</f>
        <v>-10.210440456769984</v>
      </c>
      <c r="L13" s="11">
        <f>IFERROR(L12/L14,0)</f>
        <v>-4.091620111731843</v>
      </c>
      <c r="M13" s="11">
        <f>IFERROR(M12/M14,0)</f>
        <v>-3.173704954954955</v>
      </c>
      <c r="N13" s="11">
        <f>IFERROR(N12/N14,0)</f>
        <v>-12.434184675834969</v>
      </c>
      <c r="O13" s="11">
        <f>IFERROR(O12/O14,0)</f>
        <v>-3.654505251520177</v>
      </c>
      <c r="P13" s="11">
        <f>IFERROR(P12/P14,0)</f>
        <v>-2.469890943575154</v>
      </c>
      <c r="Q13" s="11">
        <f>IFERROR(Q12/Q14,0)</f>
        <v>-1.1564914992272024</v>
      </c>
      <c r="R13" s="11">
        <f>IFERROR(R12/R14,0)</f>
        <v>-1.58367619259424</v>
      </c>
    </row>
    <row r="14">
      <c r="A14" s="2" t="inlineStr">
        <is>
          <t>Shares</t>
        </is>
      </c>
      <c r="B14" s="23" t="n"/>
      <c r="C14" s="23" t="n"/>
      <c r="D14" s="23" t="n">
        <v>0.169</v>
      </c>
      <c r="E14" s="23" t="n">
        <v>0.168</v>
      </c>
      <c r="F14" s="23" t="n">
        <v>0.204</v>
      </c>
      <c r="G14" s="23" t="n">
        <v>0.205</v>
      </c>
      <c r="H14" s="23" t="n">
        <v>0.397</v>
      </c>
      <c r="I14" s="23" t="n">
        <v>0.66</v>
      </c>
      <c r="J14" s="23" t="n">
        <v>0.871</v>
      </c>
      <c r="K14" s="23" t="n">
        <v>1.226</v>
      </c>
      <c r="L14" s="23" t="n">
        <v>3.58</v>
      </c>
      <c r="M14" s="23" t="n">
        <v>3.552</v>
      </c>
      <c r="N14" s="23" t="n">
        <v>3.563</v>
      </c>
      <c r="O14" s="23" t="n">
        <v>3.618</v>
      </c>
      <c r="P14" s="23" t="n">
        <v>4.218</v>
      </c>
      <c r="Q14" s="23" t="n">
        <v>7.764</v>
      </c>
      <c r="R14" s="23" t="n">
        <v>8.993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-0.875</v>
      </c>
      <c r="G16" s="15">
        <f>IFERROR(G2/F2-1,"")</f>
        <v>207.0</v>
      </c>
      <c r="H16" s="15">
        <f>IFERROR(H2/G2-1,"")</f>
        <v>0.5120192307692308</v>
      </c>
      <c r="I16" s="15">
        <f>IFERROR(I2/H2-1,"")</f>
        <v>-0.9427662957074722</v>
      </c>
      <c r="J16" s="15">
        <f>IFERROR(J2/I2-1,"")</f>
        <v>1.2500000000000004</v>
      </c>
      <c r="K16" s="15">
        <f>IFERROR(K2/J2-1,"")</f>
        <v>0.37037037037037024</v>
      </c>
      <c r="L16" s="15">
        <f>IFERROR(L2/K2-1,"")</f>
        <v>0.1711711711711712</v>
      </c>
      <c r="M16" s="15">
        <f>IFERROR(M2/L2-1,"")</f>
        <v>-0.4076923076923077</v>
      </c>
      <c r="N16" s="15">
        <f>IFERROR(N2/M2-1,"")</f>
        <v>-0.4025974025974026</v>
      </c>
      <c r="O16" s="15">
        <f>IFERROR(O2/N2-1,"")</f>
        <v>1.608695652173913</v>
      </c>
      <c r="P16" s="15">
        <f>IFERROR(P2/O2-1,"")</f>
        <v>0.21666666666666656</v>
      </c>
      <c r="Q16" s="15">
        <f>IFERROR(Q2/P2-1,"")</f>
        <v>1.746575342465754</v>
      </c>
      <c r="R16" s="15">
        <f>IFERROR(R2/Q2-1,"")</f>
        <v>-0.10224438902743149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0.9375</v>
      </c>
      <c r="F17" s="15">
        <f>IFERROR(F4/F2,"")</f>
        <v>1.0</v>
      </c>
      <c r="G17" s="15">
        <f>IFERROR(G4/G2,"")</f>
        <v>0.4855769230769231</v>
      </c>
      <c r="H17" s="15">
        <f>IFERROR(H4/H2,"")</f>
        <v>0.5834658187599364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0.9301745635910224</v>
      </c>
      <c r="R17" s="15">
        <f>IFERROR(R4/R2,"")</f>
        <v>0.9333333333333332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-348.25</v>
      </c>
      <c r="F18" s="15">
        <f>IFERROR(F8/F2,"")</f>
        <v>-2376.0000000000005</v>
      </c>
      <c r="G18" s="15">
        <f>IFERROR(G8/G2,"")</f>
        <v>-11.834134615384617</v>
      </c>
      <c r="H18" s="15">
        <f>IFERROR(H8/H2,"")</f>
        <v>-11.400635930047695</v>
      </c>
      <c r="I18" s="15">
        <f>IFERROR(I8/I2,"")</f>
        <v>-216.27777777777777</v>
      </c>
      <c r="J18" s="15">
        <f>IFERROR(J8/J2,"")</f>
        <v>-103.38271604938272</v>
      </c>
      <c r="K18" s="15">
        <f>IFERROR(K8/K2,"")</f>
        <v>-68.90090090090091</v>
      </c>
      <c r="L18" s="15">
        <f>IFERROR(L8/L2,"")</f>
        <v>-64.86153846153844</v>
      </c>
      <c r="M18" s="15">
        <f>IFERROR(M8/M2,"")</f>
        <v>-35.74025974025974</v>
      </c>
      <c r="N18" s="15">
        <f>IFERROR(N8/N2,"")</f>
        <v>-571.9130434782609</v>
      </c>
      <c r="O18" s="15">
        <f>IFERROR(O8/O2,"")</f>
        <v>-158.10833333333332</v>
      </c>
      <c r="P18" s="15">
        <f>IFERROR(P8/P2,"")</f>
        <v>-104.25342465753425</v>
      </c>
      <c r="Q18" s="15">
        <f>IFERROR(Q8/Q2,"")</f>
        <v>-28.81546134663342</v>
      </c>
      <c r="R18" s="15">
        <f>IFERROR(R8/R2,"")</f>
        <v>-43.46388888888889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2026-10-21T06:29:43Z</dcterms:modified>
  <cp:lastModifiedBy>Wang, Eric</cp:lastModifiedBy>
</cp:coreProperties>
</file>