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Tvardi Therapeutics, Inc.</t>
        </is>
      </c>
      <c r="C2" s="10" t="n"/>
    </row>
    <row r="3">
      <c r="B3" t="inlineStr">
        <is>
          <t>Price</t>
        </is>
      </c>
      <c r="C3" s="11">
        <f>INDEX([1]Pharma!$F$1:$F$1000,MATCH("TVRD",[1]Pharma!$B$1:$B$1000,0))</f>
        <v>0.992</v>
      </c>
      <c r="F3" s="1" t="n"/>
    </row>
    <row r="4">
      <c r="B4" t="inlineStr">
        <is>
          <t>Shares</t>
        </is>
      </c>
      <c r="C4" s="21" t="n">
        <v>13.338943</v>
      </c>
      <c r="F4" s="1" t="n"/>
    </row>
    <row r="5">
      <c r="B5" t="inlineStr">
        <is>
          <t>Market Cap.</t>
        </is>
      </c>
      <c r="C5" s="13">
        <f>C3*C4</f>
        <v>13.232231456000001</v>
      </c>
      <c r="F5" s="1" t="n"/>
    </row>
    <row r="6"/>
    <row r="7">
      <c r="B7" t="inlineStr">
        <is>
          <t>Cash</t>
        </is>
      </c>
      <c r="C7" s="21" t="n">
        <v>15.765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-2.5327685439999996</v>
      </c>
    </row>
    <row r="10"/>
    <row r="11">
      <c r="B11" s="14" t="inlineStr">
        <is>
          <t>Net Cash / Share</t>
        </is>
      </c>
      <c r="C11" s="11">
        <f>(C7-C8)/C4</f>
        <v>1.1818777544817456</v>
      </c>
    </row>
    <row r="12">
      <c r="B12" s="14" t="inlineStr">
        <is>
          <t>Upside</t>
        </is>
      </c>
      <c r="C12" s="15">
        <f>IFERROR(C11/C3-1,"")</f>
        <v>0.19140902669530813</v>
      </c>
    </row>
    <row r="13">
      <c r="B13" s="14" t="inlineStr">
        <is>
          <t>Cash / Share</t>
        </is>
      </c>
      <c r="C13" s="11">
        <f>IFERROR((C7-C8)/C4,"")</f>
        <v>1.1818777544817456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-25.029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0.6298693515521995</v>
      </c>
    </row>
    <row r="19">
      <c r="B19" s="14" t="inlineStr">
        <is>
          <t>Implied Pipeline Value</t>
        </is>
      </c>
      <c r="C19" s="13">
        <f>C9</f>
        <v>-2.5327685439999996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1.19</v>
      </c>
      <c r="C2" s="23" t="n">
        <v>11.964</v>
      </c>
      <c r="D2" s="23" t="n">
        <v>3.177</v>
      </c>
      <c r="E2" s="23" t="n">
        <v>3.803</v>
      </c>
      <c r="F2" s="23" t="n">
        <v>0.08599999999999999</v>
      </c>
      <c r="G2" s="23" t="n">
        <v>0.911</v>
      </c>
      <c r="H2" s="23" t="n">
        <v>13.469</v>
      </c>
      <c r="I2" s="23" t="n">
        <v>19.886</v>
      </c>
      <c r="J2" s="23" t="n">
        <v>135.082</v>
      </c>
      <c r="K2" s="23" t="n">
        <v>23.028</v>
      </c>
      <c r="L2" s="23" t="n">
        <v>41.867</v>
      </c>
      <c r="M2" s="23" t="n">
        <v>20.968</v>
      </c>
      <c r="N2" s="23" t="n">
        <v>7.137</v>
      </c>
      <c r="O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1.19</v>
      </c>
      <c r="C4" s="23">
        <f>C2-C3</f>
        <v>11.964</v>
      </c>
      <c r="D4" s="23">
        <f>D2-D3</f>
        <v>3.177</v>
      </c>
      <c r="E4" s="23">
        <f>E2-E3</f>
        <v>3.803</v>
      </c>
      <c r="F4" s="23">
        <f>F2-F3</f>
        <v>0.086</v>
      </c>
      <c r="G4" s="23">
        <f>G2-G3</f>
        <v>0.911</v>
      </c>
      <c r="H4" s="23">
        <f>H2-H3</f>
        <v>13.469</v>
      </c>
      <c r="I4" s="23">
        <f>I2-I3</f>
        <v>19.886</v>
      </c>
      <c r="J4" s="23">
        <f>J2-J3</f>
        <v>135.082</v>
      </c>
      <c r="K4" s="23">
        <f>K2-K3</f>
        <v>23.028</v>
      </c>
      <c r="L4" s="23">
        <f>L2-L3</f>
        <v>41.867</v>
      </c>
      <c r="M4" s="23">
        <f>M2-M3</f>
        <v>20.968</v>
      </c>
      <c r="N4" s="23">
        <f>N2-N3</f>
        <v>7.137</v>
      </c>
      <c r="O4" s="23">
        <f>O2-O3</f>
        <v>0.0</v>
      </c>
    </row>
    <row r="5">
      <c r="A5" s="2" t="inlineStr">
        <is>
          <t>Research &amp; Dev.</t>
        </is>
      </c>
      <c r="B5" s="23" t="n">
        <v>4.597</v>
      </c>
      <c r="C5" s="23" t="n">
        <v>8.685</v>
      </c>
      <c r="D5" s="23" t="n">
        <v>15.068</v>
      </c>
      <c r="E5" s="23" t="n">
        <v>21.221</v>
      </c>
      <c r="F5" s="23" t="n">
        <v>49.253</v>
      </c>
      <c r="G5" s="23" t="n">
        <v>48.524</v>
      </c>
      <c r="H5" s="23" t="n">
        <v>75.53100000000001</v>
      </c>
      <c r="I5" s="23" t="n">
        <v>113.82</v>
      </c>
      <c r="J5" s="23" t="n">
        <v>107.851</v>
      </c>
      <c r="K5" s="23" t="n">
        <v>82.70099999999999</v>
      </c>
      <c r="L5" s="23" t="n">
        <v>91.879</v>
      </c>
      <c r="M5" s="23" t="n">
        <v>108.51</v>
      </c>
      <c r="N5" s="23" t="n">
        <v>23.65</v>
      </c>
      <c r="O5" s="23" t="n">
        <v>18.011</v>
      </c>
    </row>
    <row r="6">
      <c r="A6" s="19" t="inlineStr">
        <is>
          <t>SG&amp;A &amp; Other</t>
        </is>
      </c>
      <c r="B6" s="23" t="n">
        <v>2.829</v>
      </c>
      <c r="C6" s="23" t="n">
        <v>3.516</v>
      </c>
      <c r="D6" s="23" t="n">
        <v>6.181</v>
      </c>
      <c r="E6" s="23" t="n">
        <v>7.77</v>
      </c>
      <c r="F6" s="23" t="n">
        <v>9.233000000000001</v>
      </c>
      <c r="G6" s="23" t="n">
        <v>11.872</v>
      </c>
      <c r="H6" s="23" t="n">
        <v>15.32</v>
      </c>
      <c r="I6" s="23" t="n">
        <v>17.745</v>
      </c>
      <c r="J6" s="23" t="n">
        <v>21.846</v>
      </c>
      <c r="K6" s="23" t="n">
        <v>29.41</v>
      </c>
      <c r="L6" s="23" t="n">
        <v>37.523</v>
      </c>
      <c r="M6" s="23" t="n">
        <v>33.953</v>
      </c>
      <c r="N6" s="23" t="n">
        <v>11.594</v>
      </c>
      <c r="O6" s="23" t="n">
        <v>8.737</v>
      </c>
    </row>
    <row r="7">
      <c r="A7" s="2" t="inlineStr">
        <is>
          <t>Operating Expense</t>
        </is>
      </c>
      <c r="B7" s="23">
        <f>SUM(B5:B6)</f>
        <v>7.426</v>
      </c>
      <c r="C7" s="23">
        <f>SUM(C5:C6)</f>
        <v>12.201</v>
      </c>
      <c r="D7" s="23">
        <f>SUM(D5:D6)</f>
        <v>21.249</v>
      </c>
      <c r="E7" s="23">
        <f>SUM(E5:E6)</f>
        <v>28.991</v>
      </c>
      <c r="F7" s="23">
        <f>SUM(F5:F6)</f>
        <v>58.486000000000004</v>
      </c>
      <c r="G7" s="23">
        <f>SUM(G5:G6)</f>
        <v>60.396</v>
      </c>
      <c r="H7" s="23">
        <f>SUM(H5:H6)</f>
        <v>90.851</v>
      </c>
      <c r="I7" s="23">
        <f>SUM(I5:I6)</f>
        <v>131.565</v>
      </c>
      <c r="J7" s="23">
        <f>SUM(J5:J6)</f>
        <v>129.697</v>
      </c>
      <c r="K7" s="23">
        <f>SUM(K5:K6)</f>
        <v>112.11099999999999</v>
      </c>
      <c r="L7" s="23">
        <f>SUM(L5:L6)</f>
        <v>129.40200000000002</v>
      </c>
      <c r="M7" s="23">
        <f>SUM(M5:M6)</f>
        <v>142.46300000000002</v>
      </c>
      <c r="N7" s="23">
        <f>SUM(N5:N6)</f>
        <v>35.244</v>
      </c>
      <c r="O7" s="23">
        <f>SUM(O5:O6)</f>
        <v>26.747999999999998</v>
      </c>
    </row>
    <row r="8">
      <c r="A8" s="2" t="inlineStr">
        <is>
          <t>Operating Income</t>
        </is>
      </c>
      <c r="B8" s="23">
        <f>B4-B7</f>
        <v>-6.236000000000001</v>
      </c>
      <c r="C8" s="23">
        <f>C4-C7</f>
        <v>-0.2370000000000001</v>
      </c>
      <c r="D8" s="23">
        <f>D4-D7</f>
        <v>-18.072</v>
      </c>
      <c r="E8" s="23">
        <f>E4-E7</f>
        <v>-25.188</v>
      </c>
      <c r="F8" s="23">
        <f>F4-F7</f>
        <v>-58.400000000000006</v>
      </c>
      <c r="G8" s="23">
        <f>G4-G7</f>
        <v>-59.485</v>
      </c>
      <c r="H8" s="23">
        <f>H4-H7</f>
        <v>-77.382</v>
      </c>
      <c r="I8" s="23">
        <f>I4-I7</f>
        <v>-111.679</v>
      </c>
      <c r="J8" s="23">
        <f>J4-J7</f>
        <v>5.384999999999991</v>
      </c>
      <c r="K8" s="23">
        <f>K4-K7</f>
        <v>-89.083</v>
      </c>
      <c r="L8" s="23">
        <f>L4-L7</f>
        <v>-87.53500000000003</v>
      </c>
      <c r="M8" s="23">
        <f>M4-M7</f>
        <v>-121.49500000000002</v>
      </c>
      <c r="N8" s="23">
        <f>N4-N7</f>
        <v>-28.107</v>
      </c>
      <c r="O8" s="23">
        <f>O4-O7</f>
        <v>-26.747999999999998</v>
      </c>
    </row>
    <row r="9">
      <c r="A9" s="19" t="inlineStr">
        <is>
          <t>Interest &amp; Other</t>
        </is>
      </c>
      <c r="B9" s="23" t="n">
        <v>-0.066</v>
      </c>
      <c r="C9" s="23" t="n">
        <v>-3.756</v>
      </c>
      <c r="D9" s="23" t="n">
        <v>0.126</v>
      </c>
      <c r="E9" s="23" t="n">
        <v>0.101</v>
      </c>
      <c r="F9" s="23" t="n">
        <v>0.652</v>
      </c>
      <c r="G9" s="23" t="n">
        <v>1.156</v>
      </c>
      <c r="H9" s="23" t="n">
        <v>2.98</v>
      </c>
      <c r="I9" s="23" t="n">
        <v>4.49</v>
      </c>
      <c r="J9" s="23" t="n">
        <v>2.334</v>
      </c>
      <c r="K9" s="23" t="n">
        <v>0.642</v>
      </c>
      <c r="L9" s="23" t="n">
        <v>2.061</v>
      </c>
      <c r="M9" s="23" t="n">
        <v>109.645</v>
      </c>
      <c r="N9" s="23" t="n">
        <v>-1.293</v>
      </c>
      <c r="O9" s="23" t="n">
        <v>8.538</v>
      </c>
    </row>
    <row r="10">
      <c r="A10" s="2" t="inlineStr">
        <is>
          <t>Pretax</t>
        </is>
      </c>
      <c r="B10" s="23">
        <f>B8+B9</f>
        <v>-6.3020000000000005</v>
      </c>
      <c r="C10" s="23">
        <f>C8+C9</f>
        <v>-3.993</v>
      </c>
      <c r="D10" s="23">
        <f>D8+D9</f>
        <v>-17.945999999999998</v>
      </c>
      <c r="E10" s="23">
        <f>E8+E9</f>
        <v>-25.087</v>
      </c>
      <c r="F10" s="23">
        <f>F8+F9</f>
        <v>-57.748000000000005</v>
      </c>
      <c r="G10" s="23">
        <f>G8+G9</f>
        <v>-58.329</v>
      </c>
      <c r="H10" s="23">
        <f>H8+H9</f>
        <v>-74.402</v>
      </c>
      <c r="I10" s="23">
        <f>I8+I9</f>
        <v>-107.18900000000001</v>
      </c>
      <c r="J10" s="23">
        <f>J8+J9</f>
        <v>7.7189999999999905</v>
      </c>
      <c r="K10" s="23">
        <f>K8+K9</f>
        <v>-88.441</v>
      </c>
      <c r="L10" s="23">
        <f>L8+L9</f>
        <v>-85.47400000000002</v>
      </c>
      <c r="M10" s="23">
        <f>M8+M9</f>
        <v>-11.850000000000023</v>
      </c>
      <c r="N10" s="23">
        <f>N8+N9</f>
        <v>-29.4</v>
      </c>
      <c r="O10" s="23">
        <f>O8+O9</f>
        <v>-18.209999999999997</v>
      </c>
    </row>
    <row r="11">
      <c r="A11" s="2" t="inlineStr">
        <is>
          <t>Taxes</t>
        </is>
      </c>
      <c r="B11" s="23" t="n">
        <v>-0.031</v>
      </c>
      <c r="C11" s="23" t="n">
        <v>-0.03</v>
      </c>
      <c r="D11" s="23" t="n">
        <v>-0.201</v>
      </c>
      <c r="E11" s="23" t="n">
        <v>-0.397</v>
      </c>
      <c r="F11" s="23" t="n">
        <v>-0.468</v>
      </c>
      <c r="G11" s="23" t="n">
        <v>-0.204</v>
      </c>
      <c r="H11" s="23" t="n">
        <v>-0.389</v>
      </c>
      <c r="I11" s="23" t="n">
        <v>-0.8159999999999999</v>
      </c>
      <c r="J11" s="23" t="n">
        <v>-0.6909999999999999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</row>
    <row r="12">
      <c r="A12" s="2" t="inlineStr">
        <is>
          <t>Net Income</t>
        </is>
      </c>
      <c r="B12" s="23" t="n">
        <v>-6.271</v>
      </c>
      <c r="C12" s="23" t="n">
        <v>-3.963</v>
      </c>
      <c r="D12" s="23" t="n">
        <v>-17.745</v>
      </c>
      <c r="E12" s="23" t="n">
        <v>-24.69</v>
      </c>
      <c r="F12" s="23" t="n">
        <v>-57.28</v>
      </c>
      <c r="G12" s="23" t="n">
        <v>-58.125</v>
      </c>
      <c r="H12" s="23" t="n">
        <v>-74.01300000000001</v>
      </c>
      <c r="I12" s="23" t="n">
        <v>-106.373</v>
      </c>
      <c r="J12" s="23" t="n">
        <v>8.41</v>
      </c>
      <c r="K12" s="23" t="n">
        <v>-88.441</v>
      </c>
      <c r="L12" s="23" t="n">
        <v>-85.474</v>
      </c>
      <c r="M12" s="23" t="n">
        <v>-11.85</v>
      </c>
      <c r="N12" s="23" t="n">
        <v>-29.4</v>
      </c>
      <c r="O12" s="23" t="n">
        <v>-18.21</v>
      </c>
    </row>
    <row r="13">
      <c r="A13" s="2" t="inlineStr">
        <is>
          <t>Earnings per Share</t>
        </is>
      </c>
      <c r="B13" s="11">
        <f>IFERROR(B12/B14,0)</f>
        <v>-0.12668686868686868</v>
      </c>
      <c r="C13" s="11">
        <f>IFERROR(C12/C14,0)</f>
        <v>-0.06392244786038034</v>
      </c>
      <c r="D13" s="11">
        <f>IFERROR(D12/D14,0)</f>
        <v>-0.28212343794715256</v>
      </c>
      <c r="E13" s="11">
        <f>IFERROR(E12/E14,0)</f>
        <v>-0.3342765464859669</v>
      </c>
      <c r="F13" s="11">
        <f>IFERROR(F12/F14,0)</f>
        <v>-0.6999279054706307</v>
      </c>
      <c r="G13" s="11">
        <f>IFERROR(G12/G14,0)</f>
        <v>-0.6209338845623819</v>
      </c>
      <c r="H13" s="11">
        <f>IFERROR(H12/H14,0)</f>
        <v>-0.6873548914355765</v>
      </c>
      <c r="I13" s="11">
        <f>IFERROR(I12/I14,0)</f>
        <v>-0.8309871258046372</v>
      </c>
      <c r="J13" s="11">
        <f>IFERROR(J12/J14,0)</f>
        <v>0.05850638283070715</v>
      </c>
      <c r="K13" s="11">
        <f>IFERROR(K12/K14,0)</f>
        <v>-0.5812521359657193</v>
      </c>
      <c r="L13" s="11">
        <f>IFERROR(L12/L14,0)</f>
        <v>-6.3724744650712</v>
      </c>
      <c r="M13" s="11">
        <f>IFERROR(M12/M14,0)</f>
        <v>-0.8753785920070916</v>
      </c>
      <c r="N13" s="11">
        <f>IFERROR(N12/N14,0)</f>
        <v>-3.806810824809012</v>
      </c>
      <c r="O13" s="11">
        <f>IFERROR(O12/O14,0)</f>
        <v>-2.33971476294488</v>
      </c>
    </row>
    <row r="14">
      <c r="A14" s="2" t="inlineStr">
        <is>
          <t>Shares</t>
        </is>
      </c>
      <c r="B14" s="23" t="n">
        <v>49.5</v>
      </c>
      <c r="C14" s="23" t="n">
        <v>61.997</v>
      </c>
      <c r="D14" s="23" t="n">
        <v>62.898</v>
      </c>
      <c r="E14" s="23" t="n">
        <v>73.861</v>
      </c>
      <c r="F14" s="23" t="n">
        <v>81.837</v>
      </c>
      <c r="G14" s="23" t="n">
        <v>93.60899999999999</v>
      </c>
      <c r="H14" s="23" t="n">
        <v>107.678</v>
      </c>
      <c r="I14" s="23" t="n">
        <v>128.008</v>
      </c>
      <c r="J14" s="23" t="n">
        <v>143.745</v>
      </c>
      <c r="K14" s="23" t="n">
        <v>152.156</v>
      </c>
      <c r="L14" s="23" t="n">
        <v>13.413</v>
      </c>
      <c r="M14" s="23" t="n">
        <v>13.537</v>
      </c>
      <c r="N14" s="23" t="n">
        <v>7.723</v>
      </c>
      <c r="O14" s="23" t="n">
        <v>7.783</v>
      </c>
    </row>
    <row r="15"/>
    <row r="16" customFormat="1" s="4">
      <c r="A16" s="3" t="inlineStr">
        <is>
          <t>Revenue Change</t>
        </is>
      </c>
      <c r="C16" s="15">
        <f>IFERROR(C2/B2-1,"")</f>
        <v>9.053781512605044</v>
      </c>
      <c r="D16" s="15">
        <f>IFERROR(D2/C2-1,"")</f>
        <v>-0.7344533600802408</v>
      </c>
      <c r="E16" s="15">
        <f>IFERROR(E2/D2-1,"")</f>
        <v>0.1970412338684293</v>
      </c>
      <c r="F16" s="15">
        <f>IFERROR(F2/E2-1,"")</f>
        <v>-0.9773862739942151</v>
      </c>
      <c r="G16" s="15">
        <f>IFERROR(G2/F2-1,"")</f>
        <v>9.593023255813955</v>
      </c>
      <c r="H16" s="15">
        <f>IFERROR(H2/G2-1,"")</f>
        <v>13.784851811196486</v>
      </c>
      <c r="I16" s="15">
        <f>IFERROR(I2/H2-1,"")</f>
        <v>0.4764273516964883</v>
      </c>
      <c r="J16" s="15">
        <f>IFERROR(J2/I2-1,"")</f>
        <v>5.792819068691542</v>
      </c>
      <c r="K16" s="15">
        <f>IFERROR(K2/J2-1,"")</f>
        <v>-0.8295257695325802</v>
      </c>
      <c r="L16" s="15">
        <f>IFERROR(L2/K2-1,"")</f>
        <v>0.8180910196282787</v>
      </c>
      <c r="M16" s="15">
        <f>IFERROR(M2/L2-1,"")</f>
        <v>-0.49917596197482506</v>
      </c>
      <c r="N16" s="15">
        <f>IFERROR(N2/M2-1,"")</f>
        <v>-0.6596241892407478</v>
      </c>
      <c r="O16" s="15">
        <f>IFERROR(O2/N2-1,"")</f>
        <v>-1.0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>-5.240336134453782</v>
      </c>
      <c r="C18" s="15">
        <f>IFERROR(C8/C2,"")</f>
        <v>-0.01980942828485457</v>
      </c>
      <c r="D18" s="15">
        <f>IFERROR(D8/D2,"")</f>
        <v>-5.688385269121813</v>
      </c>
      <c r="E18" s="15">
        <f>IFERROR(E8/E2,"")</f>
        <v>-6.623192216671049</v>
      </c>
      <c r="F18" s="15">
        <f>IFERROR(F8/F2,"")</f>
        <v>-679.0697674418606</v>
      </c>
      <c r="G18" s="15">
        <f>IFERROR(G8/G2,"")</f>
        <v>-65.29637760702525</v>
      </c>
      <c r="H18" s="15">
        <f>IFERROR(H8/H2,"")</f>
        <v>-5.745192664637316</v>
      </c>
      <c r="I18" s="15">
        <f>IFERROR(I8/I2,"")</f>
        <v>-5.615960977572161</v>
      </c>
      <c r="J18" s="15">
        <f>IFERROR(J8/J2,"")</f>
        <v>0.03986467479012741</v>
      </c>
      <c r="K18" s="15">
        <f>IFERROR(K8/K2,"")</f>
        <v>-3.86846447802675</v>
      </c>
      <c r="L18" s="15">
        <f>IFERROR(L8/L2,"")</f>
        <v>-2.0907874937301463</v>
      </c>
      <c r="M18" s="15">
        <f>IFERROR(M8/M2,"")</f>
        <v>-5.794305608546357</v>
      </c>
      <c r="N18" s="15">
        <f>IFERROR(N8/N2,"")</f>
        <v>-3.938209331651955</v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2026-10-21T01:06:32Z</dcterms:modified>
  <cp:lastModifiedBy>Wang, Eric</cp:lastModifiedBy>
</cp:coreProperties>
</file>