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Coya Therapeutics Inc</t>
        </is>
      </c>
      <c r="C2" s="10" t="n"/>
    </row>
    <row r="3">
      <c r="B3" t="inlineStr">
        <is>
          <t>Price</t>
        </is>
      </c>
      <c r="C3" s="11">
        <f>INDEX([1]Pharma!$F$1:$F$1000,MATCH("COYA",[1]Pharma!$B$1:$B$1000,0))</f>
        <v>4.21</v>
      </c>
      <c r="F3" s="1" t="n"/>
    </row>
    <row r="4">
      <c r="B4" t="inlineStr">
        <is>
          <t>Shares</t>
        </is>
      </c>
      <c r="C4" s="21" t="n">
        <v>23.457849</v>
      </c>
      <c r="F4" s="1" t="n"/>
    </row>
    <row r="5">
      <c r="B5" t="inlineStr">
        <is>
          <t>Market Cap.</t>
        </is>
      </c>
      <c r="C5" s="13">
        <f>C3*C4</f>
        <v>98.75754429</v>
      </c>
      <c r="F5" s="1" t="n"/>
    </row>
    <row r="6"/>
    <row r="7">
      <c r="B7" t="inlineStr">
        <is>
          <t>Cash</t>
        </is>
      </c>
      <c r="C7" s="21" t="n">
        <v>43.181002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55.57654229</v>
      </c>
    </row>
    <row r="10"/>
    <row r="11">
      <c r="B11" s="14" t="inlineStr">
        <is>
          <t>Net Cash / Share</t>
        </is>
      </c>
      <c r="C11" s="11">
        <f>(C7-C8)/C4</f>
        <v>1.8407911995682127</v>
      </c>
    </row>
    <row r="12">
      <c r="B12" s="14" t="inlineStr">
        <is>
          <t>Upside</t>
        </is>
      </c>
      <c r="C12" s="15">
        <f>IFERROR(C11/C3-1,"")</f>
        <v>-0.5627574347818972</v>
      </c>
    </row>
    <row r="13">
      <c r="B13" s="14" t="inlineStr">
        <is>
          <t>Cash / Share</t>
        </is>
      </c>
      <c r="C13" s="11">
        <f>IFERROR((C7-C8)/C4,"")</f>
        <v>1.8407911995682127</v>
      </c>
    </row>
    <row r="14">
      <c r="B14" s="14" t="inlineStr">
        <is>
          <t>Scenario</t>
        </is>
      </c>
      <c r="C14" s="14" t="inlineStr">
        <is>
          <t>small 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-15.722</v>
      </c>
    </row>
    <row r="18">
      <c r="B18" s="14" t="inlineStr">
        <is>
          <t>Runway (years)</t>
        </is>
      </c>
      <c r="C18" s="22">
        <f>IF(AND(ISNUMBER(C17),C17&lt;0),IF(C7&gt;C8,(C7-C8)/-C17,"net debt"),"n/a")</f>
        <v>2.7465336471186874</v>
      </c>
    </row>
    <row r="19">
      <c r="B19" s="14" t="inlineStr">
        <is>
          <t>Implied Pipeline Value</t>
        </is>
      </c>
      <c r="C19" s="13">
        <f>C9</f>
        <v>55.57654229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2021</v>
      </c>
      <c r="C1" s="17" t="n">
        <v>2022</v>
      </c>
      <c r="D1" s="17" t="n">
        <v>2023</v>
      </c>
      <c r="E1" s="17" t="n">
        <v>2024</v>
      </c>
      <c r="F1" s="17" t="n">
        <v>2025</v>
      </c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6.002</v>
      </c>
      <c r="E2" s="23" t="n">
        <v>3.554</v>
      </c>
      <c r="F2" s="23" t="n">
        <v>7.946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6.002</v>
      </c>
      <c r="E4" s="23">
        <f>E2-E3</f>
        <v>3.554</v>
      </c>
      <c r="F4" s="23">
        <f>F2-F3</f>
        <v>7.946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2.542</v>
      </c>
      <c r="C5" s="23" t="n">
        <v>4.412</v>
      </c>
      <c r="D5" s="23" t="n">
        <v>5.502</v>
      </c>
      <c r="E5" s="23" t="n">
        <v>11.866</v>
      </c>
      <c r="F5" s="23" t="n">
        <v>16.735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2.328</v>
      </c>
      <c r="C6" s="23" t="n">
        <v>5.399</v>
      </c>
      <c r="D6" s="23" t="n">
        <v>8.404</v>
      </c>
      <c r="E6" s="23" t="n">
        <v>8.938000000000001</v>
      </c>
      <c r="F6" s="23" t="n">
        <v>13.766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4.869999999999999</v>
      </c>
      <c r="C7" s="23">
        <f>SUM(C5:C6)</f>
        <v>9.811</v>
      </c>
      <c r="D7" s="23">
        <f>SUM(D5:D6)</f>
        <v>13.905999999999999</v>
      </c>
      <c r="E7" s="23">
        <f>SUM(E5:E6)</f>
        <v>20.804000000000002</v>
      </c>
      <c r="F7" s="23">
        <f>SUM(F5:F6)</f>
        <v>30.500999999999998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-4.869999999999999</v>
      </c>
      <c r="C8" s="23">
        <f>C4-C7</f>
        <v>-9.811</v>
      </c>
      <c r="D8" s="23">
        <f>D4-D7</f>
        <v>-7.903999999999999</v>
      </c>
      <c r="E8" s="23">
        <f>E4-E7</f>
        <v>-17.250000000000004</v>
      </c>
      <c r="F8" s="23">
        <f>F4-F7</f>
        <v>-22.555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-0.021</v>
      </c>
      <c r="C9" s="23" t="n">
        <v>-2.433</v>
      </c>
      <c r="D9" s="23" t="n">
        <v>0.639</v>
      </c>
      <c r="E9" s="23" t="n">
        <v>1.649</v>
      </c>
      <c r="F9" s="23" t="n">
        <v>1.332</v>
      </c>
    </row>
    <row r="10">
      <c r="A10" s="2" t="inlineStr">
        <is>
          <t>Pretax</t>
        </is>
      </c>
      <c r="B10" s="23">
        <f>B8+B9</f>
        <v>-4.890999999999999</v>
      </c>
      <c r="C10" s="23">
        <f>C8+C9</f>
        <v>-12.244</v>
      </c>
      <c r="D10" s="23">
        <f>D8+D9</f>
        <v>-7.264999999999999</v>
      </c>
      <c r="E10" s="23">
        <f>E8+E9</f>
        <v>-15.601000000000003</v>
      </c>
      <c r="F10" s="23">
        <f>F8+F9</f>
        <v>-21.223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0.724</v>
      </c>
      <c r="E11" s="23" t="n">
        <v>-0.72</v>
      </c>
      <c r="F11" s="23" t="n">
        <v>0.003</v>
      </c>
    </row>
    <row r="12">
      <c r="A12" s="2" t="inlineStr">
        <is>
          <t>Net Income</t>
        </is>
      </c>
      <c r="B12" s="23" t="n">
        <v>-4.892</v>
      </c>
      <c r="C12" s="23" t="n">
        <v>-12.245</v>
      </c>
      <c r="D12" s="23" t="n">
        <v>-7.988</v>
      </c>
      <c r="E12" s="23" t="n">
        <v>-14.881</v>
      </c>
      <c r="F12" s="23" t="n">
        <v>-21.226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-0.47224635582585195</v>
      </c>
      <c r="C13" s="11">
        <f>IFERROR(C12/C14,0)</f>
        <v>-1.181835730141878</v>
      </c>
      <c r="D13" s="11">
        <f>IFERROR(D12/D14,0)</f>
        <v>-0.7859110586383314</v>
      </c>
      <c r="E13" s="11">
        <f>IFERROR(E12/E14,0)</f>
        <v>-0.9765076448585864</v>
      </c>
      <c r="F13" s="11">
        <f>IFERROR(F12/F14,0)</f>
        <v>-1.2687387925881648</v>
      </c>
    </row>
    <row r="14">
      <c r="A14" s="2" t="inlineStr">
        <is>
          <t>Shares</t>
        </is>
      </c>
      <c r="B14" s="23" t="n">
        <v>10.359</v>
      </c>
      <c r="C14" s="23" t="n">
        <v>10.361</v>
      </c>
      <c r="D14" s="23" t="n">
        <v>10.164</v>
      </c>
      <c r="E14" s="23" t="n">
        <v>15.239</v>
      </c>
      <c r="F14" s="23" t="n">
        <v>16.73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>-0.4078640453182273</v>
      </c>
      <c r="F16" s="15">
        <f>IFERROR(F2/E2-1,"")</f>
        <v>1.2357906584130558</v>
      </c>
      <c r="G16" s="4" t="n"/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>1.0</v>
      </c>
      <c r="E17" s="15">
        <f>IFERROR(E4/E2,"")</f>
        <v>1.0</v>
      </c>
      <c r="F17" s="15">
        <f>IFERROR(F4/F2,"")</f>
        <v>1.0</v>
      </c>
      <c r="G17" s="4" t="n"/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>-1.3168943685438186</v>
      </c>
      <c r="E18" s="15">
        <f>IFERROR(E8/E2,"")</f>
        <v>-4.853685987619585</v>
      </c>
      <c r="F18" s="15">
        <f>IFERROR(F8/F2,"")</f>
        <v>-2.8385351120060407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2026-10-21T01:05:56Z</dcterms:modified>
  <cp:lastModifiedBy>Wang, Eric</cp:lastModifiedBy>
</cp:coreProperties>
</file>