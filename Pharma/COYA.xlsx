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  <sheet name="Assumptions" sheetId="4" state="visible" r:id="rId4"/>
    <sheet name="Pipeline" sheetId="5" state="visible" r:id="rId5"/>
    <sheet name="NPV" sheetId="6" state="visible" r:id="rId6"/>
  </sheets>
  <externalReferences>
    <externalReference r:id="rId7"/>
  </externalReferences>
  <definedNames/>
  <calcPr calcId="191029" fullCalcOnLoad="1"/>
</workbook>
</file>

<file path=xl/styles.xml><?xml version="1.0" encoding="utf-8"?>
<styleSheet xmlns="http://schemas.openxmlformats.org/spreadsheetml/2006/main">
  <numFmts count="13">
    <numFmt numFmtId="164" formatCode="#,##0.0"/>
    <numFmt numFmtId="165" formatCode="0.0%"/>
    <numFmt numFmtId="166" formatCode="0.0"/>
    <numFmt numFmtId="167" formatCode="#,##0.0;(#,##0.0);&quot;-&quot;"/>
    <numFmt numFmtId="168" formatCode="0.0%;(0.0%);&quot;-&quot;"/>
    <numFmt numFmtId="169" formatCode="0%;(0%);&quot;-&quot;"/>
    <numFmt numFmtId="170" formatCode="#,##0;(#,##0);&quot;-&quot;"/>
    <numFmt numFmtId="171" formatCode="yyyy-mm-dd h:mm:ss"/>
    <numFmt numFmtId="172" formatCode="yyyy-mm-dd"/>
    <numFmt numFmtId="173" formatCode="$#,##0.00;($#,##0.00);&quot;-&quot;"/>
    <numFmt numFmtId="174" formatCode="[=1]&quot;Bear&quot;;[=2]&quot;Base&quot;;&quot;Bull&quot;"/>
    <numFmt numFmtId="175" formatCode="0.00x"/>
    <numFmt numFmtId="176" formatCode="0.000"/>
  </numFmts>
  <fonts count="9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  <font>
      <name val="Aptos Narrow"/>
      <i val="1"/>
      <color rgb="00000000"/>
      <sz val="12"/>
    </font>
    <font>
      <name val="Aptos Narrow"/>
      <color rgb="000000FF"/>
      <sz val="12"/>
    </font>
    <font>
      <name val="Aptos Narrow"/>
      <i val="1"/>
      <color rgb="00008000"/>
      <sz val="12"/>
    </font>
    <font>
      <name val="Aptos Narrow"/>
      <b val="1"/>
      <color rgb="000000FF"/>
      <sz val="12"/>
    </font>
    <font>
      <name val="Aptos Narrow"/>
      <color rgb="00008000"/>
      <sz val="12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top style="thin"/>
    </border>
  </borders>
  <cellStyleXfs count="1">
    <xf numFmtId="0" fontId="0" fillId="0" borderId="0"/>
  </cellStyleXfs>
  <cellXfs count="63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" fontId="5" fillId="0" borderId="0" pivotButton="0" quotePrefix="0" xfId="0"/>
    <xf numFmtId="168" fontId="5" fillId="0" borderId="0" pivotButton="0" quotePrefix="0" xfId="0"/>
    <xf numFmtId="2" fontId="5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right"/>
    </xf>
    <xf numFmtId="168" fontId="3" fillId="0" borderId="0" pivotButton="0" quotePrefix="0" xfId="0"/>
    <xf numFmtId="2" fontId="3" fillId="0" borderId="0" pivotButton="0" quotePrefix="0" xfId="0"/>
    <xf numFmtId="169" fontId="5" fillId="0" borderId="0" pivotButton="0" quotePrefix="0" xfId="0"/>
    <xf numFmtId="169" fontId="3" fillId="0" borderId="0" pivotButton="0" quotePrefix="0" xfId="0"/>
    <xf numFmtId="169" fontId="2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167" fontId="5" fillId="0" borderId="0" pivotButton="0" quotePrefix="0" xfId="0"/>
    <xf numFmtId="1" fontId="2" fillId="0" borderId="0" pivotButton="0" quotePrefix="0" xfId="0"/>
    <xf numFmtId="170" fontId="5" fillId="0" borderId="0" pivotButton="0" quotePrefix="0" xfId="0"/>
    <xf numFmtId="172" fontId="2" fillId="0" borderId="0" pivotButton="0" quotePrefix="0" xfId="0"/>
    <xf numFmtId="170" fontId="6" fillId="0" borderId="0" pivotButton="0" quotePrefix="0" xfId="0"/>
    <xf numFmtId="173" fontId="6" fillId="0" borderId="0" pivotButton="0" quotePrefix="0" xfId="0"/>
    <xf numFmtId="168" fontId="6" fillId="0" borderId="0" pivotButton="0" quotePrefix="0" xfId="0"/>
    <xf numFmtId="174" fontId="2" fillId="0" borderId="0" pivotButton="0" quotePrefix="0" xfId="0"/>
    <xf numFmtId="170" fontId="0" fillId="0" borderId="0" pivotButton="0" quotePrefix="0" xfId="0"/>
    <xf numFmtId="173" fontId="0" fillId="0" borderId="0" pivotButton="0" quotePrefix="0" xfId="0"/>
    <xf numFmtId="168" fontId="0" fillId="0" borderId="0" pivotButton="0" quotePrefix="0" xfId="0"/>
    <xf numFmtId="175" fontId="7" fillId="2" borderId="0" pivotButton="0" quotePrefix="0" xfId="0"/>
    <xf numFmtId="175" fontId="7" fillId="2" borderId="0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1" fontId="7" fillId="2" borderId="0" pivotButton="0" quotePrefix="0" xfId="0"/>
    <xf numFmtId="169" fontId="8" fillId="0" borderId="0" pivotButton="0" quotePrefix="0" xfId="0"/>
    <xf numFmtId="167" fontId="3" fillId="0" borderId="6" pivotButton="0" quotePrefix="0" xfId="0"/>
    <xf numFmtId="167" fontId="3" fillId="0" borderId="0" pivotButton="0" quotePrefix="0" xfId="0"/>
    <xf numFmtId="1" fontId="3" fillId="2" borderId="0" pivotButton="0" quotePrefix="0" xfId="0"/>
    <xf numFmtId="167" fontId="8" fillId="0" borderId="0" pivotButton="0" quotePrefix="0" xfId="0"/>
    <xf numFmtId="2" fontId="8" fillId="0" borderId="0" pivotButton="0" quotePrefix="0" xfId="0"/>
    <xf numFmtId="176" fontId="2" fillId="0" borderId="0" pivotButton="0" quotePrefix="0" xfId="0"/>
    <xf numFmtId="173" fontId="3" fillId="0" borderId="6" pivotButton="0" quotePrefix="0" xfId="0"/>
    <xf numFmtId="173" fontId="8" fillId="0" borderId="0" pivotButton="0" quotePrefix="0" xfId="0"/>
    <xf numFmtId="168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externalLink" Target="/xl/externalLinks/externalLink1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Coya Therapeutics Inc</t>
        </is>
      </c>
      <c r="C2" s="10" t="n"/>
    </row>
    <row r="3">
      <c r="B3" t="inlineStr">
        <is>
          <t>Price</t>
        </is>
      </c>
      <c r="C3" s="11">
        <f>INDEX([1]Pharma!$F$1:$F$1000,MATCH("COYA",[1]Pharma!$B$1:$B$1000,0))</f>
        <v>4.21</v>
      </c>
      <c r="F3" s="1" t="n"/>
    </row>
    <row r="4">
      <c r="B4" t="inlineStr">
        <is>
          <t>Shares</t>
        </is>
      </c>
      <c r="C4" s="21" t="n">
        <v>23.457849</v>
      </c>
      <c r="F4" s="1" t="n"/>
    </row>
    <row r="5">
      <c r="B5" t="inlineStr">
        <is>
          <t>Market Cap.</t>
        </is>
      </c>
      <c r="C5" s="13">
        <f>C3*C4</f>
        <v>98.75754429</v>
      </c>
      <c r="F5" s="1" t="n"/>
    </row>
    <row r="6"/>
    <row r="7">
      <c r="B7" t="inlineStr">
        <is>
          <t>Cash</t>
        </is>
      </c>
      <c r="C7" s="21" t="n">
        <v>43.181002</v>
      </c>
    </row>
    <row r="8">
      <c r="B8" t="inlineStr">
        <is>
          <t>Debt</t>
        </is>
      </c>
      <c r="C8" s="21" t="n">
        <v>0</v>
      </c>
    </row>
    <row r="9">
      <c r="B9" t="inlineStr">
        <is>
          <t>Enterprise V.</t>
        </is>
      </c>
      <c r="C9" s="13">
        <f>C5-C7+C8</f>
        <v>55.57654229</v>
      </c>
    </row>
    <row r="10"/>
    <row r="11">
      <c r="B11" s="14" t="inlineStr">
        <is>
          <t>rNPV / Share</t>
        </is>
      </c>
      <c r="C11" s="11">
        <f>NPV!B27</f>
        <v>12.244547289599598</v>
      </c>
    </row>
    <row r="12">
      <c r="B12" s="14" t="inlineStr">
        <is>
          <t>Upside</t>
        </is>
      </c>
      <c r="C12" s="15">
        <f>IFERROR(C11/C3-1,"")</f>
        <v>1.908443536721995</v>
      </c>
    </row>
    <row r="13">
      <c r="B13" s="14" t="inlineStr">
        <is>
          <t>Cash / Share</t>
        </is>
      </c>
      <c r="C13" s="11">
        <f>IFERROR((C7-C8)/C4,"")</f>
        <v>1.8407911995682127</v>
      </c>
    </row>
    <row r="14">
      <c r="B14" s="14" t="inlineStr">
        <is>
          <t>Scenario</t>
        </is>
      </c>
      <c r="C14" s="14" t="str">
        <f>Assumptions!C4</f>
        <v>Base</v>
      </c>
    </row>
    <row r="15">
      <c r="B15" s="14" t="inlineStr">
        <is>
          <t>Model</t>
        </is>
      </c>
      <c r="C15" s="14" t="inlineStr">
        <is>
          <t>Pipeline rNPV</t>
        </is>
      </c>
    </row>
    <row r="16"/>
    <row r="17">
      <c r="B17" s="14" t="inlineStr">
        <is>
          <t>TTM Operating Cash Flow</t>
        </is>
      </c>
      <c r="C17" s="21" t="n">
        <v>-15.722</v>
      </c>
    </row>
    <row r="18">
      <c r="B18" s="14" t="inlineStr">
        <is>
          <t>Runway (years)</t>
        </is>
      </c>
      <c r="C18" s="22">
        <f>IF(AND(ISNUMBER(C17),C17&lt;0),IF(C7&gt;C8,(C7-C8)/-C17,"net debt"),"n/a")</f>
        <v>2.7465336471186874</v>
      </c>
    </row>
    <row r="19">
      <c r="B19" s="14" t="inlineStr">
        <is>
          <t>Implied Pipeline Value</t>
        </is>
      </c>
      <c r="C19" s="13">
        <f>C9</f>
        <v>55.57654229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2021</v>
      </c>
      <c r="C1" s="17" t="n">
        <v>2022</v>
      </c>
      <c r="D1" s="17" t="n">
        <v>2023</v>
      </c>
      <c r="E1" s="17" t="n">
        <v>2024</v>
      </c>
      <c r="F1" s="17" t="n">
        <v>2025</v>
      </c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</v>
      </c>
      <c r="C2" s="23" t="n">
        <v>0</v>
      </c>
      <c r="D2" s="23" t="n">
        <v>6.002</v>
      </c>
      <c r="E2" s="23" t="n">
        <v>3.554</v>
      </c>
      <c r="F2" s="23" t="n">
        <v>7.946</v>
      </c>
      <c r="I2" s="1" t="n"/>
      <c r="J2" s="1" t="n"/>
      <c r="K2" s="1" t="n"/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</v>
      </c>
      <c r="F3" s="23" t="n">
        <v>0</v>
      </c>
      <c r="I3" s="1" t="n"/>
      <c r="J3" s="1" t="n"/>
      <c r="K3" s="1" t="n"/>
    </row>
    <row r="4" customFormat="1" s="1">
      <c r="A4" s="5" t="inlineStr">
        <is>
          <t>Gross Margin</t>
        </is>
      </c>
      <c r="B4" s="23">
        <f>B2-B3</f>
        <v>0.0</v>
      </c>
      <c r="C4" s="23">
        <f>C2-C3</f>
        <v>0.0</v>
      </c>
      <c r="D4" s="23">
        <f>D2-D3</f>
        <v>6.002</v>
      </c>
      <c r="E4" s="23">
        <f>E2-E3</f>
        <v>3.554</v>
      </c>
      <c r="F4" s="23">
        <f>F2-F3</f>
        <v>7.946</v>
      </c>
      <c r="I4" s="1" t="n"/>
      <c r="J4" s="1" t="n"/>
      <c r="K4" s="1" t="n"/>
    </row>
    <row r="5">
      <c r="A5" s="2" t="inlineStr">
        <is>
          <t>Research &amp; Dev.</t>
        </is>
      </c>
      <c r="B5" s="23" t="n">
        <v>2.542</v>
      </c>
      <c r="C5" s="23" t="n">
        <v>4.412</v>
      </c>
      <c r="D5" s="23" t="n">
        <v>5.502</v>
      </c>
      <c r="E5" s="23" t="n">
        <v>11.866</v>
      </c>
      <c r="F5" s="23" t="n">
        <v>16.735</v>
      </c>
      <c r="I5" s="1" t="n"/>
      <c r="J5" s="1" t="n"/>
      <c r="K5" s="1" t="n"/>
    </row>
    <row r="6">
      <c r="A6" s="19" t="inlineStr">
        <is>
          <t>SG&amp;A &amp; Other</t>
        </is>
      </c>
      <c r="B6" s="23" t="n">
        <v>2.328</v>
      </c>
      <c r="C6" s="23" t="n">
        <v>5.399</v>
      </c>
      <c r="D6" s="23" t="n">
        <v>8.404</v>
      </c>
      <c r="E6" s="23" t="n">
        <v>8.938000000000001</v>
      </c>
      <c r="F6" s="23" t="n">
        <v>13.766</v>
      </c>
      <c r="I6" s="1" t="n"/>
      <c r="J6" s="1" t="n"/>
      <c r="K6" s="1" t="n"/>
    </row>
    <row r="7">
      <c r="A7" s="2" t="inlineStr">
        <is>
          <t>Operating Expense</t>
        </is>
      </c>
      <c r="B7" s="23">
        <f>SUM(B5:B6)</f>
        <v>4.869999999999999</v>
      </c>
      <c r="C7" s="23">
        <f>SUM(C5:C6)</f>
        <v>9.811</v>
      </c>
      <c r="D7" s="23">
        <f>SUM(D5:D6)</f>
        <v>13.905999999999999</v>
      </c>
      <c r="E7" s="23">
        <f>SUM(E5:E6)</f>
        <v>20.804000000000002</v>
      </c>
      <c r="F7" s="23">
        <f>SUM(F5:F6)</f>
        <v>30.500999999999998</v>
      </c>
      <c r="I7" s="1" t="n"/>
      <c r="J7" s="1" t="n"/>
      <c r="K7" s="1" t="n"/>
    </row>
    <row r="8">
      <c r="A8" s="2" t="inlineStr">
        <is>
          <t>Operating Income</t>
        </is>
      </c>
      <c r="B8" s="23">
        <f>B4-B7</f>
        <v>-4.869999999999999</v>
      </c>
      <c r="C8" s="23">
        <f>C4-C7</f>
        <v>-9.811</v>
      </c>
      <c r="D8" s="23">
        <f>D4-D7</f>
        <v>-7.903999999999999</v>
      </c>
      <c r="E8" s="23">
        <f>E4-E7</f>
        <v>-17.250000000000004</v>
      </c>
      <c r="F8" s="23">
        <f>F4-F7</f>
        <v>-22.555</v>
      </c>
      <c r="I8" s="1" t="n"/>
      <c r="J8" s="1" t="n"/>
      <c r="K8" s="1" t="n"/>
    </row>
    <row r="9">
      <c r="A9" s="19" t="inlineStr">
        <is>
          <t>Interest &amp; Other</t>
        </is>
      </c>
      <c r="B9" s="23" t="n">
        <v>-0.021</v>
      </c>
      <c r="C9" s="23" t="n">
        <v>-2.433</v>
      </c>
      <c r="D9" s="23" t="n">
        <v>0.639</v>
      </c>
      <c r="E9" s="23" t="n">
        <v>1.649</v>
      </c>
      <c r="F9" s="23" t="n">
        <v>1.332</v>
      </c>
    </row>
    <row r="10">
      <c r="A10" s="2" t="inlineStr">
        <is>
          <t>Pretax</t>
        </is>
      </c>
      <c r="B10" s="23">
        <f>B8+B9</f>
        <v>-4.890999999999999</v>
      </c>
      <c r="C10" s="23">
        <f>C8+C9</f>
        <v>-12.244</v>
      </c>
      <c r="D10" s="23">
        <f>D8+D9</f>
        <v>-7.264999999999999</v>
      </c>
      <c r="E10" s="23">
        <f>E8+E9</f>
        <v>-15.601000000000003</v>
      </c>
      <c r="F10" s="23">
        <f>F8+F9</f>
        <v>-21.223</v>
      </c>
      <c r="I10" s="1" t="n"/>
      <c r="J10" s="1" t="n"/>
      <c r="K10" s="1" t="n"/>
    </row>
    <row r="11">
      <c r="A11" s="2" t="inlineStr">
        <is>
          <t>Taxes</t>
        </is>
      </c>
      <c r="B11" s="23" t="n">
        <v>0</v>
      </c>
      <c r="C11" s="23" t="n">
        <v>0</v>
      </c>
      <c r="D11" s="23" t="n">
        <v>0.724</v>
      </c>
      <c r="E11" s="23" t="n">
        <v>-0.72</v>
      </c>
      <c r="F11" s="23" t="n">
        <v>0.003</v>
      </c>
    </row>
    <row r="12">
      <c r="A12" s="2" t="inlineStr">
        <is>
          <t>Net Income</t>
        </is>
      </c>
      <c r="B12" s="23" t="n">
        <v>-4.892</v>
      </c>
      <c r="C12" s="23" t="n">
        <v>-12.245</v>
      </c>
      <c r="D12" s="23" t="n">
        <v>-7.988</v>
      </c>
      <c r="E12" s="23" t="n">
        <v>-14.881</v>
      </c>
      <c r="F12" s="23" t="n">
        <v>-21.226</v>
      </c>
      <c r="I12" s="1" t="n"/>
      <c r="J12" s="1" t="n"/>
      <c r="K12" s="1" t="n"/>
    </row>
    <row r="13">
      <c r="A13" s="2" t="inlineStr">
        <is>
          <t>Earnings per Share</t>
        </is>
      </c>
      <c r="B13" s="11">
        <f>IFERROR(B12/B14,0)</f>
        <v>-0.47224635582585195</v>
      </c>
      <c r="C13" s="11">
        <f>IFERROR(C12/C14,0)</f>
        <v>-1.181835730141878</v>
      </c>
      <c r="D13" s="11">
        <f>IFERROR(D12/D14,0)</f>
        <v>-0.7859110586383314</v>
      </c>
      <c r="E13" s="11">
        <f>IFERROR(E12/E14,0)</f>
        <v>-0.9765076448585864</v>
      </c>
      <c r="F13" s="11">
        <f>IFERROR(F12/F14,0)</f>
        <v>-1.2687387925881648</v>
      </c>
    </row>
    <row r="14">
      <c r="A14" s="2" t="inlineStr">
        <is>
          <t>Shares</t>
        </is>
      </c>
      <c r="B14" s="23" t="n">
        <v>10.359</v>
      </c>
      <c r="C14" s="23" t="n">
        <v>10.361</v>
      </c>
      <c r="D14" s="23" t="n">
        <v>10.164</v>
      </c>
      <c r="E14" s="23" t="n">
        <v>15.239</v>
      </c>
      <c r="F14" s="23" t="n">
        <v>16.73</v>
      </c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15">
        <f>IFERROR(D2/C2-1,"")</f>
        <v/>
      </c>
      <c r="E16" s="15">
        <f>IFERROR(E2/D2-1,"")</f>
        <v>-0.4078640453182273</v>
      </c>
      <c r="F16" s="15">
        <f>IFERROR(F2/E2-1,"")</f>
        <v>1.2357906584130558</v>
      </c>
      <c r="G16" s="4" t="n"/>
      <c r="H16" s="4" t="n"/>
      <c r="I16" s="4" t="n"/>
      <c r="J16" s="4" t="n"/>
      <c r="K16" s="4" t="n"/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/>
      </c>
      <c r="D17" s="15">
        <f>IFERROR(D4/D2,"")</f>
        <v>1.0</v>
      </c>
      <c r="E17" s="15">
        <f>IFERROR(E4/E2,"")</f>
        <v>1.0</v>
      </c>
      <c r="F17" s="15">
        <f>IFERROR(F4/F2,"")</f>
        <v>1.0</v>
      </c>
      <c r="G17" s="4" t="n"/>
      <c r="H17" s="4" t="n"/>
      <c r="I17" s="4" t="n"/>
      <c r="J17" s="4" t="n"/>
      <c r="K17" s="4" t="n"/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/>
      </c>
      <c r="D18" s="15">
        <f>IFERROR(D8/D2,"")</f>
        <v>-1.3168943685438186</v>
      </c>
      <c r="E18" s="15">
        <f>IFERROR(E8/E2,"")</f>
        <v>-4.853685987619585</v>
      </c>
      <c r="F18" s="15">
        <f>IFERROR(F8/F2,"")</f>
        <v>-2.8385351120060407</v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46" customWidth="1" style="9" min="1" max="1"/>
    <col width="13" customWidth="1" style="9" min="2" max="2"/>
    <col width="13" customWidth="1" style="9" min="3" max="3"/>
    <col width="13" customWidth="1" style="9" min="4" max="4"/>
    <col width="13" customWidth="1" style="9" min="5" max="5"/>
    <col width="13" customWidth="1" style="9" min="6" max="6"/>
    <col width="13" customWidth="1" style="9" min="7" max="7"/>
  </cols>
  <sheetData>
    <row r="1">
      <c r="A1" s="24" t="inlineStr">
        <is>
          <t>Coya Therapeutics Inc: pipeline rNPV assumptions</t>
        </is>
      </c>
    </row>
    <row r="2">
      <c r="A2" s="25" t="inlineStr">
        <is>
          <t>Blue = input, black = formula, green = link. $mm unless noted.</t>
        </is>
      </c>
    </row>
    <row r="4">
      <c r="A4" s="24" t="inlineStr">
        <is>
          <t>Scenario (1 Bear, 2 Base, 3 Bull)</t>
        </is>
      </c>
      <c r="B4" s="26" t="n">
        <v>2</v>
      </c>
      <c r="C4" s="24" t="str">
        <f>CHOOSE($B$4,"Bear","Base","Bull")</f>
        <v>Base</v>
      </c>
    </row>
    <row r="6">
      <c r="A6" s="14" t="inlineStr">
        <is>
          <t>Discount rate override (blank = scenario)</t>
        </is>
      </c>
      <c r="B6" s="27" t="n"/>
    </row>
    <row r="7">
      <c r="A7" s="14" t="inlineStr">
        <is>
          <t>Approval-odds multiplier override</t>
        </is>
      </c>
      <c r="B7" s="28" t="n"/>
    </row>
    <row r="8">
      <c r="A8" s="14" t="inlineStr">
        <is>
          <t>Peak-sales multiplier override</t>
        </is>
      </c>
      <c r="B8" s="28" t="n"/>
    </row>
    <row r="9">
      <c r="A9" s="29" t="inlineStr">
        <is>
          <t>Parameter</t>
        </is>
      </c>
      <c r="B9" s="30" t="inlineStr">
        <is>
          <t>Bear</t>
        </is>
      </c>
      <c r="C9" s="30" t="inlineStr">
        <is>
          <t>Base</t>
        </is>
      </c>
      <c r="D9" s="30" t="inlineStr">
        <is>
          <t>Bull</t>
        </is>
      </c>
      <c r="E9" s="30" t="inlineStr">
        <is>
          <t>Live</t>
        </is>
      </c>
    </row>
    <row r="10">
      <c r="A10" s="14" t="inlineStr">
        <is>
          <t>Discount rate</t>
        </is>
      </c>
      <c r="B10" s="27" t="n">
        <v>0.14</v>
      </c>
      <c r="C10" s="27" t="n">
        <v>0.12</v>
      </c>
      <c r="D10" s="27" t="n">
        <v>0.1</v>
      </c>
      <c r="E10" s="31">
        <f>IF(ISNUMBER($B$6),$B$6,CHOOSE($B$4,B10,C10,D10))</f>
        <v>0.12</v>
      </c>
    </row>
    <row r="11">
      <c r="A11" s="14" t="inlineStr">
        <is>
          <t>Peak-sales multiplier (× indication table)</t>
        </is>
      </c>
      <c r="B11" s="28" t="n">
        <v>0.6</v>
      </c>
      <c r="C11" s="28" t="n">
        <v>1</v>
      </c>
      <c r="D11" s="28" t="n">
        <v>1.4</v>
      </c>
      <c r="E11" s="32">
        <f>IF(ISNUMBER($B$8),$B$8,CHOOSE($B$4,B11,C11,D11))</f>
        <v>1</v>
      </c>
    </row>
    <row r="12">
      <c r="A12" s="14" t="inlineStr">
        <is>
          <t>Approval-odds multiplier (× BIO rates)</t>
        </is>
      </c>
      <c r="B12" s="28" t="n">
        <v>0.8</v>
      </c>
      <c r="C12" s="28" t="n">
        <v>1</v>
      </c>
      <c r="D12" s="28" t="n">
        <v>1.15</v>
      </c>
      <c r="E12" s="32">
        <f>IF(ISNUMBER($B$7),$B$7,CHOOSE($B$4,B12,C12,D12))</f>
        <v>1</v>
      </c>
    </row>
    <row r="13">
      <c r="A13" s="14" t="inlineStr">
        <is>
          <t>Net margin on owned product sales at peak</t>
        </is>
      </c>
      <c r="B13" s="33" t="n">
        <v>0.4</v>
      </c>
      <c r="C13" s="33" t="n">
        <v>0.4</v>
      </c>
      <c r="D13" s="33" t="n">
        <v>0.4</v>
      </c>
      <c r="E13" s="34">
        <f>CHOOSE($B$4,B13,C13,D13)</f>
        <v>0.4</v>
      </c>
    </row>
    <row r="14">
      <c r="A14" s="14" t="inlineStr">
        <is>
          <t>Royalty / economics on partnered sales</t>
        </is>
      </c>
      <c r="B14" s="33" t="n">
        <v>0.12</v>
      </c>
      <c r="C14" s="33" t="n">
        <v>0.12</v>
      </c>
      <c r="D14" s="33" t="n">
        <v>0.12</v>
      </c>
      <c r="E14" s="34">
        <f>CHOOSE($B$4,B14,C14,D14)</f>
        <v>0.12</v>
      </c>
    </row>
    <row r="15">
      <c r="A15" s="14" t="inlineStr">
        <is>
          <t>Tax rate</t>
        </is>
      </c>
      <c r="B15" s="33" t="n">
        <v>0.21</v>
      </c>
      <c r="C15" s="33" t="n">
        <v>0.21</v>
      </c>
      <c r="D15" s="33" t="n">
        <v>0.21</v>
      </c>
      <c r="E15" s="34">
        <f>CHOOSE($B$4,B15,C15,D15)</f>
        <v>0.21</v>
      </c>
    </row>
    <row r="16">
      <c r="A16" s="14" t="inlineStr">
        <is>
          <t>Probability at least one owned program is approved</t>
        </is>
      </c>
      <c r="B16" s="35">
        <f>1-PRODUCT(Pipeline!AG4:AG4)</f>
        <v>0.37759999999999994</v>
      </c>
    </row>
    <row r="17">
      <c r="A17" s="36" t="inlineStr">
        <is>
          <t>Company costs and timing</t>
        </is>
      </c>
      <c r="B17" s="37" t="n"/>
      <c r="C17" s="37" t="n"/>
      <c r="D17" s="37" t="n"/>
      <c r="E17" s="37" t="n"/>
      <c r="F17" s="37" t="n"/>
      <c r="G17" s="37" t="n"/>
    </row>
    <row r="18">
      <c r="A18" s="14" t="inlineStr">
        <is>
          <t>Net operating burn, TTM (operating loss)</t>
        </is>
      </c>
      <c r="B18" s="38" t="n">
        <v>23.151</v>
      </c>
    </row>
    <row r="19">
      <c r="A19" s="14" t="inlineStr">
        <is>
          <t>Years of full burn (until the first launch, max 4)</t>
        </is>
      </c>
      <c r="B19" s="39">
        <f>MIN(4,MAX(1,MIN(Pipeline!I4:I4)-2026))</f>
        <v>4</v>
      </c>
    </row>
    <row r="20">
      <c r="A20" s="14" t="inlineStr">
        <is>
          <t>Burn after that, % of TTM (platform R&amp;D and G&amp;A), if a product is approved</t>
        </is>
      </c>
      <c r="B20" s="33" t="n">
        <v>0.3</v>
      </c>
    </row>
    <row r="21">
      <c r="A21" s="14" t="inlineStr">
        <is>
          <t>Tax-loss carryforward at start</t>
        </is>
      </c>
      <c r="B21" s="40" t="n">
        <v>61.2</v>
      </c>
    </row>
    <row r="22">
      <c r="A22" s="14" t="inlineStr">
        <is>
          <t>First year, fraction after the balance sheet date</t>
        </is>
      </c>
      <c r="B22" s="28" t="n">
        <v>0.5041</v>
      </c>
    </row>
    <row r="23">
      <c r="A23" s="14" t="inlineStr">
        <is>
          <t>Balance sheet date</t>
        </is>
      </c>
      <c r="B23" s="41" t="n">
        <v>46203</v>
      </c>
    </row>
    <row r="24">
      <c r="A24" s="14" t="inlineStr">
        <is>
          <t>Launch ramp, share of peak in years 1-6</t>
        </is>
      </c>
      <c r="B24" s="33" t="n">
        <v>0.1</v>
      </c>
      <c r="C24" s="33" t="n">
        <v>0.25</v>
      </c>
      <c r="D24" s="33" t="n">
        <v>0.45</v>
      </c>
      <c r="E24" s="33" t="n">
        <v>0.65</v>
      </c>
      <c r="F24" s="33" t="n">
        <v>0.85</v>
      </c>
      <c r="G24" s="33" t="n">
        <v>1</v>
      </c>
    </row>
    <row r="25">
      <c r="A25" s="14" t="inlineStr">
        <is>
          <t>Patent / exclusivity life after launch (years)</t>
        </is>
      </c>
      <c r="B25" s="26" t="n">
        <v>12</v>
      </c>
    </row>
    <row r="26">
      <c r="A26" s="14" t="inlineStr">
        <is>
          <t>Sales erosion per year after exclusivity</t>
        </is>
      </c>
      <c r="B26" s="33" t="n">
        <v>0.5</v>
      </c>
    </row>
    <row r="27">
      <c r="A27" s="36" t="inlineStr">
        <is>
          <t>Scenario summary</t>
        </is>
      </c>
    </row>
    <row r="28">
      <c r="A28" s="29" t="inlineStr">
        <is>
          <t>Scenario</t>
        </is>
      </c>
      <c r="B28" s="30" t="inlineStr">
        <is>
          <t>Pipeline rNPV (ops)</t>
        </is>
      </c>
      <c r="C28" s="30" t="inlineStr">
        <is>
          <t>Equity value</t>
        </is>
      </c>
      <c r="D28" s="30" t="inlineStr">
        <is>
          <t>rNPV / share</t>
        </is>
      </c>
      <c r="E28" s="30" t="inlineStr">
        <is>
          <t>Upside</t>
        </is>
      </c>
    </row>
    <row r="29">
      <c r="A29" s="25" t="inlineStr">
        <is>
          <t>Live</t>
        </is>
      </c>
      <c r="B29" s="42">
        <f>NPV!B22</f>
        <v>244.04973939278665</v>
      </c>
      <c r="C29" s="42">
        <f>NPV!B25</f>
        <v>287.2307413927866</v>
      </c>
      <c r="D29" s="43">
        <f>NPV!B27</f>
        <v>12.244547289599598</v>
      </c>
      <c r="E29" s="44">
        <f>NPV!B29</f>
        <v>1.908443536721995</v>
      </c>
    </row>
    <row r="30">
      <c r="A30" s="45" t="n">
        <v>1</v>
      </c>
      <c r="B30" s="46">
        <f t="dataTable" ref="B30:E32" r1="B4"/>
        <v>62.62956219224472</v>
      </c>
      <c r="C30" s="46">
        <v>105.81056419224473</v>
      </c>
      <c r="D30" s="47">
        <v>4.510667802160579</v>
      </c>
      <c r="E30" s="48">
        <v>0.07141753020441288</v>
      </c>
    </row>
    <row r="31">
      <c r="A31" s="45" t="n">
        <v>2</v>
      </c>
      <c r="B31" s="46">
        <v>244.04973939278665</v>
      </c>
      <c r="C31" s="46">
        <v>287.2307413927866</v>
      </c>
      <c r="D31" s="47">
        <v>12.244547289599598</v>
      </c>
      <c r="E31" s="48">
        <v>1.908443536721995</v>
      </c>
    </row>
    <row r="32">
      <c r="A32" s="45" t="n">
        <v>3</v>
      </c>
      <c r="B32" s="46">
        <v>529.2632735926015</v>
      </c>
      <c r="C32" s="46">
        <v>572.4442755926016</v>
      </c>
      <c r="D32" s="47">
        <v>24.403101733351665</v>
      </c>
      <c r="E32" s="48">
        <v>4.796461219323436</v>
      </c>
    </row>
    <row r="35">
      <c r="A35" s="36" t="inlineStr">
        <is>
          <t>rNPV / share: approval-odds multiplier (rows) x peak-sales multiplier (columns)</t>
        </is>
      </c>
    </row>
    <row r="36">
      <c r="A36" s="43">
        <f>NPV!B27</f>
        <v>12.244547289599598</v>
      </c>
      <c r="B36" s="49" t="n">
        <v>0.5</v>
      </c>
      <c r="C36" s="49" t="n">
        <v>0.75</v>
      </c>
      <c r="D36" s="49" t="n">
        <v>1</v>
      </c>
      <c r="E36" s="49" t="n">
        <v>1.5</v>
      </c>
      <c r="F36" s="49" t="n">
        <v>2</v>
      </c>
    </row>
    <row r="37">
      <c r="A37" s="50" t="n">
        <v>0.6</v>
      </c>
      <c r="B37" s="47">
        <f t="dataTable" ref="B37:F41" dt2D="1" r1="B8" r2="B7"/>
        <v>3.171991647131483</v>
      </c>
      <c r="C37" s="47">
        <v>5.179449113744312</v>
      </c>
      <c r="D37" s="47">
        <v>7.167098576294202</v>
      </c>
      <c r="E37" s="47">
        <v>11.114045468749131</v>
      </c>
      <c r="F37" s="47">
        <v>15.039243646102834</v>
      </c>
    </row>
    <row r="38">
      <c r="A38" s="50" t="n">
        <v>0.8</v>
      </c>
      <c r="B38" s="47">
        <v>4.422637782894901</v>
      </c>
      <c r="C38" s="47">
        <v>7.076891193758084</v>
      </c>
      <c r="D38" s="47">
        <v>9.708189122061372</v>
      </c>
      <c r="E38" s="47">
        <v>14.949946133599491</v>
      </c>
      <c r="F38" s="47">
        <v>20.182148796592585</v>
      </c>
    </row>
    <row r="39">
      <c r="A39" s="50" t="n">
        <v>1</v>
      </c>
      <c r="B39" s="47">
        <v>5.6602084393039735</v>
      </c>
      <c r="C39" s="47">
        <v>8.960157257449431</v>
      </c>
      <c r="D39" s="47">
        <v>12.244547289599598</v>
      </c>
      <c r="E39" s="47">
        <v>18.784800618340967</v>
      </c>
      <c r="F39" s="47">
        <v>25.30967631968372</v>
      </c>
    </row>
    <row r="40">
      <c r="A40" s="50" t="n">
        <v>1.2</v>
      </c>
      <c r="B40" s="47">
        <v>6.8953956778735295</v>
      </c>
      <c r="C40" s="47">
        <v>10.843423321140778</v>
      </c>
      <c r="D40" s="47">
        <v>14.771351108592798</v>
      </c>
      <c r="E40" s="47">
        <v>22.61443221529676</v>
      </c>
      <c r="F40" s="47">
        <v>30.43456486343019</v>
      </c>
    </row>
    <row r="41">
      <c r="A41" s="50" t="n">
        <v>1.4</v>
      </c>
      <c r="B41" s="47">
        <v>8.121918010301373</v>
      </c>
      <c r="C41" s="47">
        <v>12.719977597467048</v>
      </c>
      <c r="D41" s="47">
        <v>17.298154927586005</v>
      </c>
      <c r="E41" s="47">
        <v>26.43596531768766</v>
      </c>
      <c r="F41" s="47">
        <v>35.55945340717666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selection activeCell="A1" sqref="A1"/>
    </sheetView>
  </sheetViews>
  <sheetFormatPr baseColWidth="8" defaultRowHeight="15"/>
  <cols>
    <col width="4" customWidth="1" style="9" min="1" max="1"/>
    <col width="34" customWidth="1" style="9" min="2" max="2"/>
    <col width="28" customWidth="1" style="9" min="3" max="3"/>
    <col width="15" customWidth="1" style="9" min="4" max="4"/>
    <col width="18" customWidth="1" style="9" min="5" max="5"/>
    <col width="12" customWidth="1" style="9" min="6" max="6"/>
    <col width="10" customWidth="1" style="9" min="7" max="7"/>
    <col width="9" customWidth="1" style="9" min="8" max="8"/>
    <col width="8" customWidth="1" style="9" min="9" max="9"/>
    <col width="8" customWidth="1" style="9" min="10" max="10"/>
    <col width="10" customWidth="1" style="9" min="11" max="11"/>
    <col width="11" customWidth="1" style="9" min="12" max="12"/>
    <col width="9" customWidth="1" style="9" min="13" max="13"/>
    <col width="9" customWidth="1" style="9" min="14" max="14"/>
    <col width="9" customWidth="1" style="9" min="15" max="15"/>
    <col width="9" customWidth="1" style="9" min="16" max="16"/>
    <col width="9" customWidth="1" style="9" min="17" max="17"/>
    <col width="9" customWidth="1" style="9" min="18" max="18"/>
    <col width="9" customWidth="1" style="9" min="19" max="19"/>
    <col width="9" customWidth="1" style="9" min="20" max="20"/>
    <col width="9" customWidth="1" style="9" min="21" max="21"/>
    <col width="9" customWidth="1" style="9" min="22" max="22"/>
    <col width="9" customWidth="1" style="9" min="23" max="23"/>
    <col width="9" customWidth="1" style="9" min="24" max="24"/>
    <col width="9" customWidth="1" style="9" min="25" max="25"/>
    <col width="9" customWidth="1" style="9" min="26" max="26"/>
    <col width="9" customWidth="1" style="9" min="27" max="27"/>
    <col width="9" customWidth="1" style="9" min="28" max="28"/>
    <col width="9" customWidth="1" style="9" min="29" max="29"/>
    <col width="9" customWidth="1" style="9" min="30" max="30"/>
    <col width="9" customWidth="1" style="9" min="31" max="31"/>
    <col width="9" customWidth="1" style="9" min="32" max="32"/>
    <col width="13" customWidth="1" style="9" min="33" max="33"/>
  </cols>
  <sheetData>
    <row r="1">
      <c r="A1" s="24" t="inlineStr">
        <is>
          <t>Coya Therapeutics Inc: pipeline (risked revenue, $mm)</t>
        </is>
      </c>
    </row>
    <row r="2">
      <c r="A2" s="25" t="inlineStr">
        <is>
          <t>Programs from ClinicalTrials.gov (company as lead sponsor, or partner of an industry sponsor), one row per indication; approval odds from BIO 2011-2020 phase-transition rates.</t>
        </is>
      </c>
    </row>
    <row r="3">
      <c r="A3" s="29" t="inlineStr">
        <is>
          <t>No.</t>
        </is>
      </c>
      <c r="B3" s="51" t="inlineStr">
        <is>
          <t>Program (indication)</t>
        </is>
      </c>
      <c r="C3" s="51" t="inlineStr">
        <is>
          <t>Drug(s)</t>
        </is>
      </c>
      <c r="D3" s="51" t="inlineStr">
        <is>
          <t>Stage</t>
        </is>
      </c>
      <c r="E3" s="51" t="inlineStr">
        <is>
          <t>Area / rate class</t>
        </is>
      </c>
      <c r="F3" s="51" t="inlineStr">
        <is>
          <t>Economics</t>
        </is>
      </c>
      <c r="G3" s="51" t="inlineStr">
        <is>
          <t>Peak</t>
        </is>
      </c>
      <c r="H3" s="51" t="inlineStr">
        <is>
          <t>PoS</t>
        </is>
      </c>
      <c r="I3" s="51" t="inlineStr">
        <is>
          <t>Launch</t>
        </is>
      </c>
      <c r="J3" s="51" t="inlineStr">
        <is>
          <t>LOE</t>
        </is>
      </c>
      <c r="K3" s="51" t="inlineStr">
        <is>
          <t>Share</t>
        </is>
      </c>
      <c r="L3" s="51" t="inlineStr">
        <is>
          <t>Risked PV</t>
        </is>
      </c>
      <c r="M3" s="52" t="n">
        <v>2026</v>
      </c>
      <c r="N3" s="52" t="n">
        <v>2027</v>
      </c>
      <c r="O3" s="52" t="n">
        <v>2028</v>
      </c>
      <c r="P3" s="52" t="n">
        <v>2029</v>
      </c>
      <c r="Q3" s="52" t="n">
        <v>2030</v>
      </c>
      <c r="R3" s="52" t="n">
        <v>2031</v>
      </c>
      <c r="S3" s="52" t="n">
        <v>2032</v>
      </c>
      <c r="T3" s="52" t="n">
        <v>2033</v>
      </c>
      <c r="U3" s="52" t="n">
        <v>2034</v>
      </c>
      <c r="V3" s="52" t="n">
        <v>2035</v>
      </c>
      <c r="W3" s="52" t="n">
        <v>2036</v>
      </c>
      <c r="X3" s="52" t="n">
        <v>2037</v>
      </c>
      <c r="Y3" s="52" t="n">
        <v>2038</v>
      </c>
      <c r="Z3" s="52" t="n">
        <v>2039</v>
      </c>
      <c r="AA3" s="52" t="n">
        <v>2040</v>
      </c>
      <c r="AB3" s="52" t="n">
        <v>2041</v>
      </c>
      <c r="AC3" s="52" t="n">
        <v>2042</v>
      </c>
      <c r="AD3" s="52" t="n">
        <v>2043</v>
      </c>
      <c r="AE3" s="52" t="n">
        <v>2044</v>
      </c>
      <c r="AF3" s="52" t="n">
        <v>2045</v>
      </c>
      <c r="AG3" s="29" t="inlineStr">
        <is>
          <t>1 - PoS (owned)</t>
        </is>
      </c>
    </row>
    <row r="4">
      <c r="A4" s="39" t="n">
        <v>1</v>
      </c>
      <c r="B4" s="14" t="inlineStr">
        <is>
          <t>ALS</t>
        </is>
      </c>
      <c r="C4" s="14" t="inlineStr">
        <is>
          <t>COYA 302</t>
        </is>
      </c>
      <c r="D4" s="14" t="inlineStr">
        <is>
          <t>Phase 2/3</t>
        </is>
      </c>
      <c r="E4" s="14" t="inlineStr">
        <is>
          <t>Neurology / rare</t>
        </is>
      </c>
      <c r="F4" s="14" t="inlineStr">
        <is>
          <t>Owned</t>
        </is>
      </c>
      <c r="G4" s="40" t="n">
        <v>800</v>
      </c>
      <c r="H4" s="27" t="n">
        <v>0.3776</v>
      </c>
      <c r="I4" s="26" t="n">
        <v>2030</v>
      </c>
      <c r="J4" s="39">
        <f>I4+Assumptions!$B$25</f>
        <v>2042.0</v>
      </c>
      <c r="K4" s="53">
        <f>Assumptions!$E$13</f>
        <v>0.4</v>
      </c>
      <c r="L4" s="23">
        <f>K4*SUMPRODUCT(M4:AF4,NPV!$C$15:$V$15)</f>
        <v>386.10983129213196</v>
      </c>
      <c r="M4" s="23">
        <f>IF(M$3&lt;$I4,0,$G4*Assumptions!$E$11*INDEX(Assumptions!$B$24:$G$24,MIN(6,M$3-$I4+1))*IF(M$3&gt;$J4,(1-Assumptions!$B$26)^(M$3-$J4),1)*IF($H4&gt;=1,1,MIN(0.97,$H4*Assumptions!$E$12)))</f>
        <v>0</v>
      </c>
      <c r="N4" s="23">
        <f>IF(N$3&lt;$I4,0,$G4*Assumptions!$E$11*INDEX(Assumptions!$B$24:$G$24,MIN(6,N$3-$I4+1))*IF(N$3&gt;$J4,(1-Assumptions!$B$26)^(N$3-$J4),1)*IF($H4&gt;=1,1,MIN(0.97,$H4*Assumptions!$E$12)))</f>
        <v>0</v>
      </c>
      <c r="O4" s="23">
        <f>IF(O$3&lt;$I4,0,$G4*Assumptions!$E$11*INDEX(Assumptions!$B$24:$G$24,MIN(6,O$3-$I4+1))*IF(O$3&gt;$J4,(1-Assumptions!$B$26)^(O$3-$J4),1)*IF($H4&gt;=1,1,MIN(0.97,$H4*Assumptions!$E$12)))</f>
        <v>0</v>
      </c>
      <c r="P4" s="23">
        <f>IF(P$3&lt;$I4,0,$G4*Assumptions!$E$11*INDEX(Assumptions!$B$24:$G$24,MIN(6,P$3-$I4+1))*IF(P$3&gt;$J4,(1-Assumptions!$B$26)^(P$3-$J4),1)*IF($H4&gt;=1,1,MIN(0.97,$H4*Assumptions!$E$12)))</f>
        <v>0</v>
      </c>
      <c r="Q4" s="23">
        <f>IF(Q$3&lt;$I4,0,$G4*Assumptions!$E$11*INDEX(Assumptions!$B$24:$G$24,MIN(6,Q$3-$I4+1))*IF(Q$3&gt;$J4,(1-Assumptions!$B$26)^(Q$3-$J4),1)*IF($H4&gt;=1,1,MIN(0.97,$H4*Assumptions!$E$12)))</f>
        <v>30.208</v>
      </c>
      <c r="R4" s="23">
        <f>IF(R$3&lt;$I4,0,$G4*Assumptions!$E$11*INDEX(Assumptions!$B$24:$G$24,MIN(6,R$3-$I4+1))*IF(R$3&gt;$J4,(1-Assumptions!$B$26)^(R$3-$J4),1)*IF($H4&gt;=1,1,MIN(0.97,$H4*Assumptions!$E$12)))</f>
        <v>75.52</v>
      </c>
      <c r="S4" s="23">
        <f>IF(S$3&lt;$I4,0,$G4*Assumptions!$E$11*INDEX(Assumptions!$B$24:$G$24,MIN(6,S$3-$I4+1))*IF(S$3&gt;$J4,(1-Assumptions!$B$26)^(S$3-$J4),1)*IF($H4&gt;=1,1,MIN(0.97,$H4*Assumptions!$E$12)))</f>
        <v>135.936</v>
      </c>
      <c r="T4" s="23">
        <f>IF(T$3&lt;$I4,0,$G4*Assumptions!$E$11*INDEX(Assumptions!$B$24:$G$24,MIN(6,T$3-$I4+1))*IF(T$3&gt;$J4,(1-Assumptions!$B$26)^(T$3-$J4),1)*IF($H4&gt;=1,1,MIN(0.97,$H4*Assumptions!$E$12)))</f>
        <v>196.352</v>
      </c>
      <c r="U4" s="23">
        <f>IF(U$3&lt;$I4,0,$G4*Assumptions!$E$11*INDEX(Assumptions!$B$24:$G$24,MIN(6,U$3-$I4+1))*IF(U$3&gt;$J4,(1-Assumptions!$B$26)^(U$3-$J4),1)*IF($H4&gt;=1,1,MIN(0.97,$H4*Assumptions!$E$12)))</f>
        <v>256.768</v>
      </c>
      <c r="V4" s="23">
        <f>IF(V$3&lt;$I4,0,$G4*Assumptions!$E$11*INDEX(Assumptions!$B$24:$G$24,MIN(6,V$3-$I4+1))*IF(V$3&gt;$J4,(1-Assumptions!$B$26)^(V$3-$J4),1)*IF($H4&gt;=1,1,MIN(0.97,$H4*Assumptions!$E$12)))</f>
        <v>302.08</v>
      </c>
      <c r="W4" s="23">
        <f>IF(W$3&lt;$I4,0,$G4*Assumptions!$E$11*INDEX(Assumptions!$B$24:$G$24,MIN(6,W$3-$I4+1))*IF(W$3&gt;$J4,(1-Assumptions!$B$26)^(W$3-$J4),1)*IF($H4&gt;=1,1,MIN(0.97,$H4*Assumptions!$E$12)))</f>
        <v>302.08</v>
      </c>
      <c r="X4" s="23">
        <f>IF(X$3&lt;$I4,0,$G4*Assumptions!$E$11*INDEX(Assumptions!$B$24:$G$24,MIN(6,X$3-$I4+1))*IF(X$3&gt;$J4,(1-Assumptions!$B$26)^(X$3-$J4),1)*IF($H4&gt;=1,1,MIN(0.97,$H4*Assumptions!$E$12)))</f>
        <v>302.08</v>
      </c>
      <c r="Y4" s="23">
        <f>IF(Y$3&lt;$I4,0,$G4*Assumptions!$E$11*INDEX(Assumptions!$B$24:$G$24,MIN(6,Y$3-$I4+1))*IF(Y$3&gt;$J4,(1-Assumptions!$B$26)^(Y$3-$J4),1)*IF($H4&gt;=1,1,MIN(0.97,$H4*Assumptions!$E$12)))</f>
        <v>302.08</v>
      </c>
      <c r="Z4" s="23">
        <f>IF(Z$3&lt;$I4,0,$G4*Assumptions!$E$11*INDEX(Assumptions!$B$24:$G$24,MIN(6,Z$3-$I4+1))*IF(Z$3&gt;$J4,(1-Assumptions!$B$26)^(Z$3-$J4),1)*IF($H4&gt;=1,1,MIN(0.97,$H4*Assumptions!$E$12)))</f>
        <v>302.08</v>
      </c>
      <c r="AA4" s="23">
        <f>IF(AA$3&lt;$I4,0,$G4*Assumptions!$E$11*INDEX(Assumptions!$B$24:$G$24,MIN(6,AA$3-$I4+1))*IF(AA$3&gt;$J4,(1-Assumptions!$B$26)^(AA$3-$J4),1)*IF($H4&gt;=1,1,MIN(0.97,$H4*Assumptions!$E$12)))</f>
        <v>302.08</v>
      </c>
      <c r="AB4" s="23">
        <f>IF(AB$3&lt;$I4,0,$G4*Assumptions!$E$11*INDEX(Assumptions!$B$24:$G$24,MIN(6,AB$3-$I4+1))*IF(AB$3&gt;$J4,(1-Assumptions!$B$26)^(AB$3-$J4),1)*IF($H4&gt;=1,1,MIN(0.97,$H4*Assumptions!$E$12)))</f>
        <v>302.08</v>
      </c>
      <c r="AC4" s="23">
        <f>IF(AC$3&lt;$I4,0,$G4*Assumptions!$E$11*INDEX(Assumptions!$B$24:$G$24,MIN(6,AC$3-$I4+1))*IF(AC$3&gt;$J4,(1-Assumptions!$B$26)^(AC$3-$J4),1)*IF($H4&gt;=1,1,MIN(0.97,$H4*Assumptions!$E$12)))</f>
        <v>302.08</v>
      </c>
      <c r="AD4" s="23">
        <f>IF(AD$3&lt;$I4,0,$G4*Assumptions!$E$11*INDEX(Assumptions!$B$24:$G$24,MIN(6,AD$3-$I4+1))*IF(AD$3&gt;$J4,(1-Assumptions!$B$26)^(AD$3-$J4),1)*IF($H4&gt;=1,1,MIN(0.97,$H4*Assumptions!$E$12)))</f>
        <v>151.04</v>
      </c>
      <c r="AE4" s="23">
        <f>IF(AE$3&lt;$I4,0,$G4*Assumptions!$E$11*INDEX(Assumptions!$B$24:$G$24,MIN(6,AE$3-$I4+1))*IF(AE$3&gt;$J4,(1-Assumptions!$B$26)^(AE$3-$J4),1)*IF($H4&gt;=1,1,MIN(0.97,$H4*Assumptions!$E$12)))</f>
        <v>75.52</v>
      </c>
      <c r="AF4" s="23">
        <f>IF(AF$3&lt;$I4,0,$G4*Assumptions!$E$11*INDEX(Assumptions!$B$24:$G$24,MIN(6,AF$3-$I4+1))*IF(AF$3&gt;$J4,(1-Assumptions!$B$26)^(AF$3-$J4),1)*IF($H4&gt;=1,1,MIN(0.97,$H4*Assumptions!$E$12)))</f>
        <v>37.76</v>
      </c>
      <c r="AG4" s="35">
        <f>IF(F4="Owned",1-IF(H4&gt;=1,1,MIN(0.97,H4*Assumptions!$E$12)),1)</f>
        <v>0.6224000000000001</v>
      </c>
    </row>
    <row r="5">
      <c r="B5" s="24" t="inlineStr">
        <is>
          <t>Risked revenue</t>
        </is>
      </c>
      <c r="L5" s="54">
        <f>SUM(L4:L4)</f>
        <v>386.10983129213196</v>
      </c>
      <c r="M5" s="54">
        <f>SUM(M4:M4)</f>
        <v>0.0</v>
      </c>
      <c r="N5" s="54">
        <f>SUM(N4:N4)</f>
        <v>0.0</v>
      </c>
      <c r="O5" s="54">
        <f>SUM(O4:O4)</f>
        <v>0.0</v>
      </c>
      <c r="P5" s="54">
        <f>SUM(P4:P4)</f>
        <v>0.0</v>
      </c>
      <c r="Q5" s="54">
        <f>SUM(Q4:Q4)</f>
        <v>30.208</v>
      </c>
      <c r="R5" s="54">
        <f>SUM(R4:R4)</f>
        <v>75.52</v>
      </c>
      <c r="S5" s="54">
        <f>SUM(S4:S4)</f>
        <v>135.936</v>
      </c>
      <c r="T5" s="54">
        <f>SUM(T4:T4)</f>
        <v>196.352</v>
      </c>
      <c r="U5" s="54">
        <f>SUM(U4:U4)</f>
        <v>256.768</v>
      </c>
      <c r="V5" s="54">
        <f>SUM(V4:V4)</f>
        <v>302.08</v>
      </c>
      <c r="W5" s="54">
        <f>SUM(W4:W4)</f>
        <v>302.08</v>
      </c>
      <c r="X5" s="54">
        <f>SUM(X4:X4)</f>
        <v>302.08</v>
      </c>
      <c r="Y5" s="54">
        <f>SUM(Y4:Y4)</f>
        <v>302.08</v>
      </c>
      <c r="Z5" s="54">
        <f>SUM(Z4:Z4)</f>
        <v>302.08</v>
      </c>
      <c r="AA5" s="54">
        <f>SUM(AA4:AA4)</f>
        <v>302.08</v>
      </c>
      <c r="AB5" s="54">
        <f>SUM(AB4:AB4)</f>
        <v>302.08</v>
      </c>
      <c r="AC5" s="54">
        <f>SUM(AC4:AC4)</f>
        <v>302.08</v>
      </c>
      <c r="AD5" s="54">
        <f>SUM(AD4:AD4)</f>
        <v>151.04</v>
      </c>
      <c r="AE5" s="54">
        <f>SUM(AE4:AE4)</f>
        <v>75.52</v>
      </c>
      <c r="AF5" s="54">
        <f>SUM(AF4:AF4)</f>
        <v>37.76</v>
      </c>
    </row>
    <row r="6">
      <c r="B6" s="24" t="inlineStr">
        <is>
          <t>Risked contribution (revenue x share)</t>
        </is>
      </c>
      <c r="M6" s="55">
        <f>SUMPRODUCT(M4:M4,$K$4:$K$4)</f>
        <v>0.0</v>
      </c>
      <c r="N6" s="55">
        <f>SUMPRODUCT(N4:N4,$K$4:$K$4)</f>
        <v>0.0</v>
      </c>
      <c r="O6" s="55">
        <f>SUMPRODUCT(O4:O4,$K$4:$K$4)</f>
        <v>0.0</v>
      </c>
      <c r="P6" s="55">
        <f>SUMPRODUCT(P4:P4,$K$4:$K$4)</f>
        <v>0.0</v>
      </c>
      <c r="Q6" s="55">
        <f>SUMPRODUCT(Q4:Q4,$K$4:$K$4)</f>
        <v>12.0832</v>
      </c>
      <c r="R6" s="55">
        <f>SUMPRODUCT(R4:R4,$K$4:$K$4)</f>
        <v>30.208</v>
      </c>
      <c r="S6" s="55">
        <f>SUMPRODUCT(S4:S4,$K$4:$K$4)</f>
        <v>54.37440000000001</v>
      </c>
      <c r="T6" s="55">
        <f>SUMPRODUCT(T4:T4,$K$4:$K$4)</f>
        <v>78.5408</v>
      </c>
      <c r="U6" s="55">
        <f>SUMPRODUCT(U4:U4,$K$4:$K$4)</f>
        <v>102.7072</v>
      </c>
      <c r="V6" s="55">
        <f>SUMPRODUCT(V4:V4,$K$4:$K$4)</f>
        <v>120.832</v>
      </c>
      <c r="W6" s="55">
        <f>SUMPRODUCT(W4:W4,$K$4:$K$4)</f>
        <v>120.832</v>
      </c>
      <c r="X6" s="55">
        <f>SUMPRODUCT(X4:X4,$K$4:$K$4)</f>
        <v>120.832</v>
      </c>
      <c r="Y6" s="55">
        <f>SUMPRODUCT(Y4:Y4,$K$4:$K$4)</f>
        <v>120.832</v>
      </c>
      <c r="Z6" s="55">
        <f>SUMPRODUCT(Z4:Z4,$K$4:$K$4)</f>
        <v>120.832</v>
      </c>
      <c r="AA6" s="55">
        <f>SUMPRODUCT(AA4:AA4,$K$4:$K$4)</f>
        <v>120.832</v>
      </c>
      <c r="AB6" s="55">
        <f>SUMPRODUCT(AB4:AB4,$K$4:$K$4)</f>
        <v>120.832</v>
      </c>
      <c r="AC6" s="55">
        <f>SUMPRODUCT(AC4:AC4,$K$4:$K$4)</f>
        <v>120.832</v>
      </c>
      <c r="AD6" s="55">
        <f>SUMPRODUCT(AD4:AD4,$K$4:$K$4)</f>
        <v>60.416</v>
      </c>
      <c r="AE6" s="55">
        <f>SUMPRODUCT(AE4:AE4,$K$4:$K$4)</f>
        <v>30.208</v>
      </c>
      <c r="AF6" s="55">
        <f>SUMPRODUCT(AF4:AF4,$K$4:$K$4)</f>
        <v>15.104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cols>
    <col width="40" customWidth="1" style="9" min="1" max="1"/>
    <col width="13" customWidth="1" style="9" min="2" max="2"/>
    <col width="9" customWidth="1" style="9" min="3" max="3"/>
    <col width="9" customWidth="1" style="9" min="4" max="4"/>
    <col width="9" customWidth="1" style="9" min="5" max="5"/>
    <col width="9" customWidth="1" style="9" min="6" max="6"/>
    <col width="9" customWidth="1" style="9" min="7" max="7"/>
    <col width="9" customWidth="1" style="9" min="8" max="8"/>
    <col width="9" customWidth="1" style="9" min="9" max="9"/>
    <col width="9" customWidth="1" style="9" min="10" max="10"/>
    <col width="9" customWidth="1" style="9" min="11" max="11"/>
    <col width="9" customWidth="1" style="9" min="12" max="12"/>
    <col width="9" customWidth="1" style="9" min="13" max="13"/>
    <col width="9" customWidth="1" style="9" min="14" max="14"/>
    <col width="9" customWidth="1" style="9" min="15" max="15"/>
    <col width="9" customWidth="1" style="9" min="16" max="16"/>
    <col width="9" customWidth="1" style="9" min="17" max="17"/>
    <col width="9" customWidth="1" style="9" min="18" max="18"/>
    <col width="9" customWidth="1" style="9" min="19" max="19"/>
    <col width="9" customWidth="1" style="9" min="20" max="20"/>
    <col width="9" customWidth="1" style="9" min="21" max="21"/>
    <col width="9" customWidth="1" style="9" min="22" max="22"/>
  </cols>
  <sheetData>
    <row r="1">
      <c r="A1" s="24" t="inlineStr">
        <is>
          <t>Coya Therapeutics Inc: risk-adjusted NPV ($mm)</t>
        </is>
      </c>
    </row>
    <row r="3">
      <c r="A3" s="24" t="inlineStr">
        <is>
          <t>Year</t>
        </is>
      </c>
      <c r="C3" s="56" t="n">
        <v>2026</v>
      </c>
      <c r="D3" s="56" t="n">
        <v>2027</v>
      </c>
      <c r="E3" s="56" t="n">
        <v>2028</v>
      </c>
      <c r="F3" s="56" t="n">
        <v>2029</v>
      </c>
      <c r="G3" s="56" t="n">
        <v>2030</v>
      </c>
      <c r="H3" s="56" t="n">
        <v>2031</v>
      </c>
      <c r="I3" s="56" t="n">
        <v>2032</v>
      </c>
      <c r="J3" s="56" t="n">
        <v>2033</v>
      </c>
      <c r="K3" s="56" t="n">
        <v>2034</v>
      </c>
      <c r="L3" s="56" t="n">
        <v>2035</v>
      </c>
      <c r="M3" s="56" t="n">
        <v>2036</v>
      </c>
      <c r="N3" s="56" t="n">
        <v>2037</v>
      </c>
      <c r="O3" s="56" t="n">
        <v>2038</v>
      </c>
      <c r="P3" s="56" t="n">
        <v>2039</v>
      </c>
      <c r="Q3" s="56" t="n">
        <v>2040</v>
      </c>
      <c r="R3" s="56" t="n">
        <v>2041</v>
      </c>
      <c r="S3" s="56" t="n">
        <v>2042</v>
      </c>
      <c r="T3" s="56" t="n">
        <v>2043</v>
      </c>
      <c r="U3" s="56" t="n">
        <v>2044</v>
      </c>
      <c r="V3" s="56" t="n">
        <v>2045</v>
      </c>
    </row>
    <row r="4">
      <c r="A4" s="14" t="inlineStr">
        <is>
          <t>Risked pipeline revenue</t>
        </is>
      </c>
      <c r="C4" s="57">
        <f>Pipeline!M5</f>
        <v>0.0</v>
      </c>
      <c r="D4" s="57">
        <f>Pipeline!N5</f>
        <v>0.0</v>
      </c>
      <c r="E4" s="57">
        <f>Pipeline!O5</f>
        <v>0.0</v>
      </c>
      <c r="F4" s="57">
        <f>Pipeline!P5</f>
        <v>0.0</v>
      </c>
      <c r="G4" s="57">
        <f>Pipeline!Q5</f>
        <v>30.208</v>
      </c>
      <c r="H4" s="57">
        <f>Pipeline!R5</f>
        <v>75.52</v>
      </c>
      <c r="I4" s="57">
        <f>Pipeline!S5</f>
        <v>135.936</v>
      </c>
      <c r="J4" s="57">
        <f>Pipeline!T5</f>
        <v>196.352</v>
      </c>
      <c r="K4" s="57">
        <f>Pipeline!U5</f>
        <v>256.768</v>
      </c>
      <c r="L4" s="57">
        <f>Pipeline!V5</f>
        <v>302.08</v>
      </c>
      <c r="M4" s="57">
        <f>Pipeline!W5</f>
        <v>302.08</v>
      </c>
      <c r="N4" s="57">
        <f>Pipeline!X5</f>
        <v>302.08</v>
      </c>
      <c r="O4" s="57">
        <f>Pipeline!Y5</f>
        <v>302.08</v>
      </c>
      <c r="P4" s="57">
        <f>Pipeline!Z5</f>
        <v>302.08</v>
      </c>
      <c r="Q4" s="57">
        <f>Pipeline!AA5</f>
        <v>302.08</v>
      </c>
      <c r="R4" s="57">
        <f>Pipeline!AB5</f>
        <v>302.08</v>
      </c>
      <c r="S4" s="57">
        <f>Pipeline!AC5</f>
        <v>302.08</v>
      </c>
      <c r="T4" s="57">
        <f>Pipeline!AD5</f>
        <v>151.04</v>
      </c>
      <c r="U4" s="57">
        <f>Pipeline!AE5</f>
        <v>75.52</v>
      </c>
      <c r="V4" s="57">
        <f>Pipeline!AF5</f>
        <v>37.76</v>
      </c>
    </row>
    <row r="5">
      <c r="A5" s="14" t="inlineStr">
        <is>
          <t>Risked contribution</t>
        </is>
      </c>
      <c r="C5" s="57">
        <f>Pipeline!M6</f>
        <v>0.0</v>
      </c>
      <c r="D5" s="57">
        <f>Pipeline!N6</f>
        <v>0.0</v>
      </c>
      <c r="E5" s="57">
        <f>Pipeline!O6</f>
        <v>0.0</v>
      </c>
      <c r="F5" s="57">
        <f>Pipeline!P6</f>
        <v>0.0</v>
      </c>
      <c r="G5" s="57">
        <f>Pipeline!Q6</f>
        <v>12.0832</v>
      </c>
      <c r="H5" s="57">
        <f>Pipeline!R6</f>
        <v>30.208</v>
      </c>
      <c r="I5" s="57">
        <f>Pipeline!S6</f>
        <v>54.37440000000001</v>
      </c>
      <c r="J5" s="57">
        <f>Pipeline!T6</f>
        <v>78.5408</v>
      </c>
      <c r="K5" s="57">
        <f>Pipeline!U6</f>
        <v>102.7072</v>
      </c>
      <c r="L5" s="57">
        <f>Pipeline!V6</f>
        <v>120.832</v>
      </c>
      <c r="M5" s="57">
        <f>Pipeline!W6</f>
        <v>120.832</v>
      </c>
      <c r="N5" s="57">
        <f>Pipeline!X6</f>
        <v>120.832</v>
      </c>
      <c r="O5" s="57">
        <f>Pipeline!Y6</f>
        <v>120.832</v>
      </c>
      <c r="P5" s="57">
        <f>Pipeline!Z6</f>
        <v>120.832</v>
      </c>
      <c r="Q5" s="57">
        <f>Pipeline!AA6</f>
        <v>120.832</v>
      </c>
      <c r="R5" s="57">
        <f>Pipeline!AB6</f>
        <v>120.832</v>
      </c>
      <c r="S5" s="57">
        <f>Pipeline!AC6</f>
        <v>120.832</v>
      </c>
      <c r="T5" s="57">
        <f>Pipeline!AD6</f>
        <v>60.416</v>
      </c>
      <c r="U5" s="57">
        <f>Pipeline!AE6</f>
        <v>30.208</v>
      </c>
      <c r="V5" s="57">
        <f>Pipeline!AF6</f>
        <v>15.104</v>
      </c>
    </row>
    <row r="6">
      <c r="A6" s="14" t="inlineStr">
        <is>
          <t>Corporate burn</t>
        </is>
      </c>
      <c r="C6" s="23">
        <f>-IF(C3-2026&lt;Assumptions!$B$19,Assumptions!$B$18,Assumptions!$B$18*Assumptions!$B$20*Assumptions!$B$16)</f>
        <v>-23.151</v>
      </c>
      <c r="D6" s="23">
        <f>-IF(D3-2026&lt;Assumptions!$B$19,Assumptions!$B$18,Assumptions!$B$18*Assumptions!$B$20*Assumptions!$B$16)</f>
        <v>-23.151</v>
      </c>
      <c r="E6" s="23">
        <f>-IF(E3-2026&lt;Assumptions!$B$19,Assumptions!$B$18,Assumptions!$B$18*Assumptions!$B$20*Assumptions!$B$16)</f>
        <v>-23.151</v>
      </c>
      <c r="F6" s="23">
        <f>-IF(F3-2026&lt;Assumptions!$B$19,Assumptions!$B$18,Assumptions!$B$18*Assumptions!$B$20*Assumptions!$B$16)</f>
        <v>-23.151</v>
      </c>
      <c r="G6" s="23">
        <f>-IF(G3-2026&lt;Assumptions!$B$19,Assumptions!$B$18,Assumptions!$B$18*Assumptions!$B$20*Assumptions!$B$16)</f>
        <v>-2.6225452799999993</v>
      </c>
      <c r="H6" s="23">
        <f>-IF(H3-2026&lt;Assumptions!$B$19,Assumptions!$B$18,Assumptions!$B$18*Assumptions!$B$20*Assumptions!$B$16)</f>
        <v>-2.6225452799999993</v>
      </c>
      <c r="I6" s="23">
        <f>-IF(I3-2026&lt;Assumptions!$B$19,Assumptions!$B$18,Assumptions!$B$18*Assumptions!$B$20*Assumptions!$B$16)</f>
        <v>-2.6225452799999993</v>
      </c>
      <c r="J6" s="23">
        <f>-IF(J3-2026&lt;Assumptions!$B$19,Assumptions!$B$18,Assumptions!$B$18*Assumptions!$B$20*Assumptions!$B$16)</f>
        <v>-2.6225452799999993</v>
      </c>
      <c r="K6" s="23">
        <f>-IF(K3-2026&lt;Assumptions!$B$19,Assumptions!$B$18,Assumptions!$B$18*Assumptions!$B$20*Assumptions!$B$16)</f>
        <v>-2.6225452799999993</v>
      </c>
      <c r="L6" s="23">
        <f>-IF(L3-2026&lt;Assumptions!$B$19,Assumptions!$B$18,Assumptions!$B$18*Assumptions!$B$20*Assumptions!$B$16)</f>
        <v>-2.6225452799999993</v>
      </c>
      <c r="M6" s="23">
        <f>-IF(M3-2026&lt;Assumptions!$B$19,Assumptions!$B$18,Assumptions!$B$18*Assumptions!$B$20*Assumptions!$B$16)</f>
        <v>-2.6225452799999993</v>
      </c>
      <c r="N6" s="23">
        <f>-IF(N3-2026&lt;Assumptions!$B$19,Assumptions!$B$18,Assumptions!$B$18*Assumptions!$B$20*Assumptions!$B$16)</f>
        <v>-2.6225452799999993</v>
      </c>
      <c r="O6" s="23">
        <f>-IF(O3-2026&lt;Assumptions!$B$19,Assumptions!$B$18,Assumptions!$B$18*Assumptions!$B$20*Assumptions!$B$16)</f>
        <v>-2.6225452799999993</v>
      </c>
      <c r="P6" s="23">
        <f>-IF(P3-2026&lt;Assumptions!$B$19,Assumptions!$B$18,Assumptions!$B$18*Assumptions!$B$20*Assumptions!$B$16)</f>
        <v>-2.6225452799999993</v>
      </c>
      <c r="Q6" s="23">
        <f>-IF(Q3-2026&lt;Assumptions!$B$19,Assumptions!$B$18,Assumptions!$B$18*Assumptions!$B$20*Assumptions!$B$16)</f>
        <v>-2.6225452799999993</v>
      </c>
      <c r="R6" s="23">
        <f>-IF(R3-2026&lt;Assumptions!$B$19,Assumptions!$B$18,Assumptions!$B$18*Assumptions!$B$20*Assumptions!$B$16)</f>
        <v>-2.6225452799999993</v>
      </c>
      <c r="S6" s="23">
        <f>-IF(S3-2026&lt;Assumptions!$B$19,Assumptions!$B$18,Assumptions!$B$18*Assumptions!$B$20*Assumptions!$B$16)</f>
        <v>-2.6225452799999993</v>
      </c>
      <c r="T6" s="23">
        <f>-IF(T3-2026&lt;Assumptions!$B$19,Assumptions!$B$18,Assumptions!$B$18*Assumptions!$B$20*Assumptions!$B$16)</f>
        <v>-2.6225452799999993</v>
      </c>
      <c r="U6" s="23">
        <f>-IF(U3-2026&lt;Assumptions!$B$19,Assumptions!$B$18,Assumptions!$B$18*Assumptions!$B$20*Assumptions!$B$16)</f>
        <v>-2.6225452799999993</v>
      </c>
      <c r="V6" s="23">
        <f>-IF(V3-2026&lt;Assumptions!$B$19,Assumptions!$B$18,Assumptions!$B$18*Assumptions!$B$20*Assumptions!$B$16)</f>
        <v>-2.6225452799999993</v>
      </c>
    </row>
    <row r="7">
      <c r="A7" s="14" t="inlineStr">
        <is>
          <t>Pre-tax cash flow</t>
        </is>
      </c>
      <c r="C7" s="23">
        <f>C5+C6</f>
        <v>-23.151</v>
      </c>
      <c r="D7" s="23">
        <f>D5+D6</f>
        <v>-23.151</v>
      </c>
      <c r="E7" s="23">
        <f>E5+E6</f>
        <v>-23.151</v>
      </c>
      <c r="F7" s="23">
        <f>F5+F6</f>
        <v>-23.151</v>
      </c>
      <c r="G7" s="23">
        <f>G5+G6</f>
        <v>9.46065472</v>
      </c>
      <c r="H7" s="23">
        <f>H5+H6</f>
        <v>27.585454719999998</v>
      </c>
      <c r="I7" s="23">
        <f>I5+I6</f>
        <v>51.75185472000001</v>
      </c>
      <c r="J7" s="23">
        <f>J5+J6</f>
        <v>75.91825472000001</v>
      </c>
      <c r="K7" s="23">
        <f>K5+K6</f>
        <v>100.08465472</v>
      </c>
      <c r="L7" s="23">
        <f>L5+L6</f>
        <v>118.20945472</v>
      </c>
      <c r="M7" s="23">
        <f>M5+M6</f>
        <v>118.20945472</v>
      </c>
      <c r="N7" s="23">
        <f>N5+N6</f>
        <v>118.20945472</v>
      </c>
      <c r="O7" s="23">
        <f>O5+O6</f>
        <v>118.20945472</v>
      </c>
      <c r="P7" s="23">
        <f>P5+P6</f>
        <v>118.20945472</v>
      </c>
      <c r="Q7" s="23">
        <f>Q5+Q6</f>
        <v>118.20945472</v>
      </c>
      <c r="R7" s="23">
        <f>R5+R6</f>
        <v>118.20945472</v>
      </c>
      <c r="S7" s="23">
        <f>S5+S6</f>
        <v>118.20945472</v>
      </c>
      <c r="T7" s="23">
        <f>T5+T6</f>
        <v>57.79345472</v>
      </c>
      <c r="U7" s="23">
        <f>U5+U6</f>
        <v>27.585454719999998</v>
      </c>
      <c r="V7" s="23">
        <f>V5+V6</f>
        <v>12.48145472</v>
      </c>
    </row>
    <row r="8">
      <c r="A8" s="14" t="inlineStr">
        <is>
          <t>Tax-loss carryforward used</t>
        </is>
      </c>
      <c r="C8" s="23">
        <f>MIN(Assumptions!$B$21,MAX(0,C7))</f>
        <v>0</v>
      </c>
      <c r="D8" s="23">
        <f>MIN(C17,MAX(0,D7))</f>
        <v>0</v>
      </c>
      <c r="E8" s="23">
        <f>MIN(D17,MAX(0,E7))</f>
        <v>0</v>
      </c>
      <c r="F8" s="23">
        <f>MIN(E17,MAX(0,F7))</f>
        <v>0</v>
      </c>
      <c r="G8" s="23">
        <f>MIN(F17,MAX(0,G7))</f>
        <v>9.46065472</v>
      </c>
      <c r="H8" s="23">
        <f>MIN(G17,MAX(0,H7))</f>
        <v>27.585454719999998</v>
      </c>
      <c r="I8" s="23">
        <f>MIN(H17,MAX(0,I7))</f>
        <v>51.75185472000001</v>
      </c>
      <c r="J8" s="23">
        <f>MIN(I17,MAX(0,J7))</f>
        <v>65.00603583999998</v>
      </c>
      <c r="K8" s="23">
        <f>MIN(J17,MAX(0,K7))</f>
        <v>0.0</v>
      </c>
      <c r="L8" s="23">
        <f>MIN(K17,MAX(0,L7))</f>
        <v>0.0</v>
      </c>
      <c r="M8" s="23">
        <f>MIN(L17,MAX(0,M7))</f>
        <v>0.0</v>
      </c>
      <c r="N8" s="23">
        <f>MIN(M17,MAX(0,N7))</f>
        <v>0.0</v>
      </c>
      <c r="O8" s="23">
        <f>MIN(N17,MAX(0,O7))</f>
        <v>0.0</v>
      </c>
      <c r="P8" s="23">
        <f>MIN(O17,MAX(0,P7))</f>
        <v>0.0</v>
      </c>
      <c r="Q8" s="23">
        <f>MIN(P17,MAX(0,Q7))</f>
        <v>0.0</v>
      </c>
      <c r="R8" s="23">
        <f>MIN(Q17,MAX(0,R7))</f>
        <v>0.0</v>
      </c>
      <c r="S8" s="23">
        <f>MIN(R17,MAX(0,S7))</f>
        <v>0.0</v>
      </c>
      <c r="T8" s="23">
        <f>MIN(S17,MAX(0,T7))</f>
        <v>0.0</v>
      </c>
      <c r="U8" s="23">
        <f>MIN(T17,MAX(0,U7))</f>
        <v>0.0</v>
      </c>
      <c r="V8" s="23">
        <f>MIN(U17,MAX(0,V7))</f>
        <v>0.0</v>
      </c>
    </row>
    <row r="9">
      <c r="A9" s="14" t="inlineStr">
        <is>
          <t>Taxable income</t>
        </is>
      </c>
      <c r="C9" s="23">
        <f>MAX(0,C7)-C8</f>
        <v>0.0</v>
      </c>
      <c r="D9" s="23">
        <f>MAX(0,D7)-D8</f>
        <v>0.0</v>
      </c>
      <c r="E9" s="23">
        <f>MAX(0,E7)-E8</f>
        <v>0.0</v>
      </c>
      <c r="F9" s="23">
        <f>MAX(0,F7)-F8</f>
        <v>0.0</v>
      </c>
      <c r="G9" s="23">
        <f>MAX(0,G7)-G8</f>
        <v>0.0</v>
      </c>
      <c r="H9" s="23">
        <f>MAX(0,H7)-H8</f>
        <v>0.0</v>
      </c>
      <c r="I9" s="23">
        <f>MAX(0,I7)-I8</f>
        <v>0.0</v>
      </c>
      <c r="J9" s="23">
        <f>MAX(0,J7)-J8</f>
        <v>10.912218880000026</v>
      </c>
      <c r="K9" s="23">
        <f>MAX(0,K7)-K8</f>
        <v>100.08465472</v>
      </c>
      <c r="L9" s="23">
        <f>MAX(0,L7)-L8</f>
        <v>118.20945472</v>
      </c>
      <c r="M9" s="23">
        <f>MAX(0,M7)-M8</f>
        <v>118.20945472</v>
      </c>
      <c r="N9" s="23">
        <f>MAX(0,N7)-N8</f>
        <v>118.20945472</v>
      </c>
      <c r="O9" s="23">
        <f>MAX(0,O7)-O8</f>
        <v>118.20945472</v>
      </c>
      <c r="P9" s="23">
        <f>MAX(0,P7)-P8</f>
        <v>118.20945472</v>
      </c>
      <c r="Q9" s="23">
        <f>MAX(0,Q7)-Q8</f>
        <v>118.20945472</v>
      </c>
      <c r="R9" s="23">
        <f>MAX(0,R7)-R8</f>
        <v>118.20945472</v>
      </c>
      <c r="S9" s="23">
        <f>MAX(0,S7)-S8</f>
        <v>118.20945472</v>
      </c>
      <c r="T9" s="23">
        <f>MAX(0,T7)-T8</f>
        <v>57.79345472</v>
      </c>
      <c r="U9" s="23">
        <f>MAX(0,U7)-U8</f>
        <v>27.585454719999998</v>
      </c>
      <c r="V9" s="23">
        <f>MAX(0,V7)-V8</f>
        <v>12.48145472</v>
      </c>
    </row>
    <row r="10">
      <c r="A10" s="14" t="inlineStr">
        <is>
          <t>Tax</t>
        </is>
      </c>
      <c r="C10" s="23">
        <f>C9*Assumptions!$E$15</f>
        <v>0.0</v>
      </c>
      <c r="D10" s="23">
        <f>D9*Assumptions!$E$15</f>
        <v>0.0</v>
      </c>
      <c r="E10" s="23">
        <f>E9*Assumptions!$E$15</f>
        <v>0.0</v>
      </c>
      <c r="F10" s="23">
        <f>F9*Assumptions!$E$15</f>
        <v>0.0</v>
      </c>
      <c r="G10" s="23">
        <f>G9*Assumptions!$E$15</f>
        <v>0.0</v>
      </c>
      <c r="H10" s="23">
        <f>H9*Assumptions!$E$15</f>
        <v>0.0</v>
      </c>
      <c r="I10" s="23">
        <f>I9*Assumptions!$E$15</f>
        <v>0.0</v>
      </c>
      <c r="J10" s="23">
        <f>J9*Assumptions!$E$15</f>
        <v>2.2915659648000055</v>
      </c>
      <c r="K10" s="23">
        <f>K9*Assumptions!$E$15</f>
        <v>21.0177774912</v>
      </c>
      <c r="L10" s="23">
        <f>L9*Assumptions!$E$15</f>
        <v>24.8239854912</v>
      </c>
      <c r="M10" s="23">
        <f>M9*Assumptions!$E$15</f>
        <v>24.8239854912</v>
      </c>
      <c r="N10" s="23">
        <f>N9*Assumptions!$E$15</f>
        <v>24.8239854912</v>
      </c>
      <c r="O10" s="23">
        <f>O9*Assumptions!$E$15</f>
        <v>24.8239854912</v>
      </c>
      <c r="P10" s="23">
        <f>P9*Assumptions!$E$15</f>
        <v>24.8239854912</v>
      </c>
      <c r="Q10" s="23">
        <f>Q9*Assumptions!$E$15</f>
        <v>24.8239854912</v>
      </c>
      <c r="R10" s="23">
        <f>R9*Assumptions!$E$15</f>
        <v>24.8239854912</v>
      </c>
      <c r="S10" s="23">
        <f>S9*Assumptions!$E$15</f>
        <v>24.8239854912</v>
      </c>
      <c r="T10" s="23">
        <f>T9*Assumptions!$E$15</f>
        <v>12.1366254912</v>
      </c>
      <c r="U10" s="23">
        <f>U9*Assumptions!$E$15</f>
        <v>5.792945491199999</v>
      </c>
      <c r="V10" s="23">
        <f>V9*Assumptions!$E$15</f>
        <v>2.6211054912</v>
      </c>
    </row>
    <row r="11">
      <c r="A11" s="24" t="inlineStr">
        <is>
          <t>Free cash flow</t>
        </is>
      </c>
      <c r="C11" s="55">
        <f>C7-C10</f>
        <v>-23.151</v>
      </c>
      <c r="D11" s="55">
        <f>D7-D10</f>
        <v>-23.151</v>
      </c>
      <c r="E11" s="55">
        <f>E7-E10</f>
        <v>-23.151</v>
      </c>
      <c r="F11" s="55">
        <f>F7-F10</f>
        <v>-23.151</v>
      </c>
      <c r="G11" s="55">
        <f>G7-G10</f>
        <v>9.46065472</v>
      </c>
      <c r="H11" s="55">
        <f>H7-H10</f>
        <v>27.585454719999998</v>
      </c>
      <c r="I11" s="55">
        <f>I7-I10</f>
        <v>51.75185472000001</v>
      </c>
      <c r="J11" s="55">
        <f>J7-J10</f>
        <v>73.62668875520001</v>
      </c>
      <c r="K11" s="55">
        <f>K7-K10</f>
        <v>79.0668772288</v>
      </c>
      <c r="L11" s="55">
        <f>L7-L10</f>
        <v>93.38546922879999</v>
      </c>
      <c r="M11" s="55">
        <f>M7-M10</f>
        <v>93.38546922879999</v>
      </c>
      <c r="N11" s="55">
        <f>N7-N10</f>
        <v>93.38546922879999</v>
      </c>
      <c r="O11" s="55">
        <f>O7-O10</f>
        <v>93.38546922879999</v>
      </c>
      <c r="P11" s="55">
        <f>P7-P10</f>
        <v>93.38546922879999</v>
      </c>
      <c r="Q11" s="55">
        <f>Q7-Q10</f>
        <v>93.38546922879999</v>
      </c>
      <c r="R11" s="55">
        <f>R7-R10</f>
        <v>93.38546922879999</v>
      </c>
      <c r="S11" s="55">
        <f>S7-S10</f>
        <v>93.38546922879999</v>
      </c>
      <c r="T11" s="55">
        <f>T7-T10</f>
        <v>45.6568292288</v>
      </c>
      <c r="U11" s="55">
        <f>U7-U10</f>
        <v>21.7925092288</v>
      </c>
      <c r="V11" s="55">
        <f>V7-V10</f>
        <v>9.8603492288</v>
      </c>
    </row>
    <row r="12">
      <c r="A12" s="14" t="inlineStr">
        <is>
          <t>Year fraction</t>
        </is>
      </c>
      <c r="C12" s="58">
        <f>Assumptions!$B$22</f>
        <v>0.5041</v>
      </c>
      <c r="D12" s="11" t="n">
        <v>1</v>
      </c>
      <c r="E12" s="11" t="n">
        <v>1</v>
      </c>
      <c r="F12" s="11" t="n">
        <v>1</v>
      </c>
      <c r="G12" s="11" t="n">
        <v>1</v>
      </c>
      <c r="H12" s="11" t="n">
        <v>1</v>
      </c>
      <c r="I12" s="11" t="n">
        <v>1</v>
      </c>
      <c r="J12" s="11" t="n">
        <v>1</v>
      </c>
      <c r="K12" s="11" t="n">
        <v>1</v>
      </c>
      <c r="L12" s="11" t="n">
        <v>1</v>
      </c>
      <c r="M12" s="11" t="n">
        <v>1</v>
      </c>
      <c r="N12" s="11" t="n">
        <v>1</v>
      </c>
      <c r="O12" s="11" t="n">
        <v>1</v>
      </c>
      <c r="P12" s="11" t="n">
        <v>1</v>
      </c>
      <c r="Q12" s="11" t="n">
        <v>1</v>
      </c>
      <c r="R12" s="11" t="n">
        <v>1</v>
      </c>
      <c r="S12" s="11" t="n">
        <v>1</v>
      </c>
      <c r="T12" s="11" t="n">
        <v>1</v>
      </c>
      <c r="U12" s="11" t="n">
        <v>1</v>
      </c>
      <c r="V12" s="11" t="n">
        <v>1</v>
      </c>
    </row>
    <row r="13">
      <c r="A13" s="14" t="inlineStr">
        <is>
          <t>Discount time (mid-year)</t>
        </is>
      </c>
      <c r="C13" s="11">
        <f>C12/2</f>
        <v>0.25205</v>
      </c>
      <c r="D13" s="11">
        <f>C13+C12/2+D12/2</f>
        <v>1.0041</v>
      </c>
      <c r="E13" s="11">
        <f>D13+D12/2+E12/2</f>
        <v>2.0041</v>
      </c>
      <c r="F13" s="11">
        <f>E13+E12/2+F12/2</f>
        <v>3.0041</v>
      </c>
      <c r="G13" s="11">
        <f>F13+F12/2+G12/2</f>
        <v>4.0041</v>
      </c>
      <c r="H13" s="11">
        <f>G13+G12/2+H12/2</f>
        <v>5.0041</v>
      </c>
      <c r="I13" s="11">
        <f>H13+H12/2+I12/2</f>
        <v>6.0041</v>
      </c>
      <c r="J13" s="11">
        <f>I13+I12/2+J12/2</f>
        <v>7.0041</v>
      </c>
      <c r="K13" s="11">
        <f>J13+J12/2+K12/2</f>
        <v>8.004100000000001</v>
      </c>
      <c r="L13" s="11">
        <f>K13+K12/2+L12/2</f>
        <v>9.004100000000001</v>
      </c>
      <c r="M13" s="11">
        <f>L13+L12/2+M12/2</f>
        <v>10.004100000000001</v>
      </c>
      <c r="N13" s="11">
        <f>M13+M12/2+N12/2</f>
        <v>11.004100000000001</v>
      </c>
      <c r="O13" s="11">
        <f>N13+N12/2+O12/2</f>
        <v>12.004100000000001</v>
      </c>
      <c r="P13" s="11">
        <f>O13+O12/2+P12/2</f>
        <v>13.004100000000001</v>
      </c>
      <c r="Q13" s="11">
        <f>P13+P12/2+Q12/2</f>
        <v>14.004100000000001</v>
      </c>
      <c r="R13" s="11">
        <f>Q13+Q12/2+R12/2</f>
        <v>15.004100000000001</v>
      </c>
      <c r="S13" s="11">
        <f>R13+R12/2+S12/2</f>
        <v>16.0041</v>
      </c>
      <c r="T13" s="11">
        <f>S13+S12/2+T12/2</f>
        <v>17.0041</v>
      </c>
      <c r="U13" s="11">
        <f>T13+T12/2+U12/2</f>
        <v>18.0041</v>
      </c>
      <c r="V13" s="11">
        <f>U13+U12/2+V12/2</f>
        <v>19.0041</v>
      </c>
    </row>
    <row r="14">
      <c r="A14" s="14" t="inlineStr">
        <is>
          <t>Discount factor</t>
        </is>
      </c>
      <c r="C14" s="59">
        <f>1/(1+Assumptions!$E$10)^C13</f>
        <v>0.9718396132010737</v>
      </c>
      <c r="D14" s="59">
        <f>1/(1+Assumptions!$E$10)^D13</f>
        <v>0.8924423752877004</v>
      </c>
      <c r="E14" s="59">
        <f>1/(1+Assumptions!$E$10)^E13</f>
        <v>0.796823549364018</v>
      </c>
      <c r="F14" s="59">
        <f>1/(1+Assumptions!$E$10)^F13</f>
        <v>0.7114495976464447</v>
      </c>
      <c r="G14" s="59">
        <f>1/(1+Assumptions!$E$10)^G13</f>
        <v>0.6352228550414684</v>
      </c>
      <c r="H14" s="59">
        <f>1/(1+Assumptions!$E$10)^H13</f>
        <v>0.5671632634298824</v>
      </c>
      <c r="I14" s="59">
        <f>1/(1+Assumptions!$E$10)^I13</f>
        <v>0.5063957709195378</v>
      </c>
      <c r="J14" s="59">
        <f>1/(1+Assumptions!$E$10)^J13</f>
        <v>0.45213908117815876</v>
      </c>
      <c r="K14" s="59">
        <f>1/(1+Assumptions!$E$10)^K13</f>
        <v>0.4036956081947845</v>
      </c>
      <c r="L14" s="59">
        <f>1/(1+Assumptions!$E$10)^L13</f>
        <v>0.36044250731677185</v>
      </c>
      <c r="M14" s="59">
        <f>1/(1+Assumptions!$E$10)^M13</f>
        <v>0.3218236672471177</v>
      </c>
      <c r="N14" s="59">
        <f>1/(1+Assumptions!$E$10)^N13</f>
        <v>0.2873425600420693</v>
      </c>
      <c r="O14" s="59">
        <f>1/(1+Assumptions!$E$10)^O13</f>
        <v>0.256555857180419</v>
      </c>
      <c r="P14" s="59">
        <f>1/(1+Assumptions!$E$10)^P13</f>
        <v>0.22906772962537408</v>
      </c>
      <c r="Q14" s="59">
        <f>1/(1+Assumptions!$E$10)^Q13</f>
        <v>0.204524758594084</v>
      </c>
      <c r="R14" s="59">
        <f>1/(1+Assumptions!$E$10)^R13</f>
        <v>0.1826113916018607</v>
      </c>
      <c r="S14" s="59">
        <f>1/(1+Assumptions!$E$10)^S13</f>
        <v>0.16304588535880418</v>
      </c>
      <c r="T14" s="59">
        <f>1/(1+Assumptions!$E$10)^T13</f>
        <v>0.14557668335607515</v>
      </c>
      <c r="U14" s="59">
        <f>1/(1+Assumptions!$E$10)^U13</f>
        <v>0.12997918156792423</v>
      </c>
      <c r="V14" s="59">
        <f>1/(1+Assumptions!$E$10)^V13</f>
        <v>0.11605284068564661</v>
      </c>
    </row>
    <row r="15">
      <c r="A15" s="14" t="inlineStr">
        <is>
          <t>PV factor</t>
        </is>
      </c>
      <c r="C15" s="59">
        <f>C12*C14</f>
        <v>0.48990434901466123</v>
      </c>
      <c r="D15" s="59">
        <f>D12*D14</f>
        <v>0.8924423752877004</v>
      </c>
      <c r="E15" s="59">
        <f>E12*E14</f>
        <v>0.796823549364018</v>
      </c>
      <c r="F15" s="59">
        <f>F12*F14</f>
        <v>0.7114495976464447</v>
      </c>
      <c r="G15" s="59">
        <f>G12*G14</f>
        <v>0.6352228550414684</v>
      </c>
      <c r="H15" s="59">
        <f>H12*H14</f>
        <v>0.5671632634298824</v>
      </c>
      <c r="I15" s="59">
        <f>I12*I14</f>
        <v>0.5063957709195378</v>
      </c>
      <c r="J15" s="59">
        <f>J12*J14</f>
        <v>0.45213908117815876</v>
      </c>
      <c r="K15" s="59">
        <f>K12*K14</f>
        <v>0.4036956081947845</v>
      </c>
      <c r="L15" s="59">
        <f>L12*L14</f>
        <v>0.36044250731677185</v>
      </c>
      <c r="M15" s="59">
        <f>M12*M14</f>
        <v>0.3218236672471177</v>
      </c>
      <c r="N15" s="59">
        <f>N12*N14</f>
        <v>0.2873425600420693</v>
      </c>
      <c r="O15" s="59">
        <f>O12*O14</f>
        <v>0.256555857180419</v>
      </c>
      <c r="P15" s="59">
        <f>P12*P14</f>
        <v>0.22906772962537408</v>
      </c>
      <c r="Q15" s="59">
        <f>Q12*Q14</f>
        <v>0.204524758594084</v>
      </c>
      <c r="R15" s="59">
        <f>R12*R14</f>
        <v>0.1826113916018607</v>
      </c>
      <c r="S15" s="59">
        <f>S12*S14</f>
        <v>0.16304588535880418</v>
      </c>
      <c r="T15" s="59">
        <f>T12*T14</f>
        <v>0.14557668335607515</v>
      </c>
      <c r="U15" s="59">
        <f>U12*U14</f>
        <v>0.12997918156792423</v>
      </c>
      <c r="V15" s="59">
        <f>V12*V14</f>
        <v>0.11605284068564661</v>
      </c>
    </row>
    <row r="16">
      <c r="A16" s="24" t="inlineStr">
        <is>
          <t>PV of free cash flow</t>
        </is>
      </c>
      <c r="C16" s="55">
        <f>C11*C15</f>
        <v>-11.341775584038421</v>
      </c>
      <c r="D16" s="55">
        <f>D11*D15</f>
        <v>-20.660933430285553</v>
      </c>
      <c r="E16" s="55">
        <f>E11*E15</f>
        <v>-18.447261991326382</v>
      </c>
      <c r="F16" s="55">
        <f>F11*F15</f>
        <v>-16.47076963511284</v>
      </c>
      <c r="G16" s="55">
        <f>G11*G15</f>
        <v>6.009624101799944</v>
      </c>
      <c r="H16" s="55">
        <f>H11*H15</f>
        <v>15.645456522192452</v>
      </c>
      <c r="I16" s="55">
        <f>I11*I15</f>
        <v>26.206920367450326</v>
      </c>
      <c r="J16" s="55">
        <f>J11*J15</f>
        <v>33.28950340396641</v>
      </c>
      <c r="K16" s="55">
        <f>K11*K15</f>
        <v>31.918951090942773</v>
      </c>
      <c r="L16" s="55">
        <f>L11*L15</f>
        <v>33.66009267578191</v>
      </c>
      <c r="M16" s="55">
        <f>M11*M15</f>
        <v>30.053654174805278</v>
      </c>
      <c r="N16" s="55">
        <f>N11*N15</f>
        <v>26.833619798933277</v>
      </c>
      <c r="O16" s="55">
        <f>O11*O15</f>
        <v>23.958589106190423</v>
      </c>
      <c r="P16" s="55">
        <f>P11*P15</f>
        <v>21.39159741624145</v>
      </c>
      <c r="Q16" s="55">
        <f>Q11*Q15</f>
        <v>19.09964055021558</v>
      </c>
      <c r="R16" s="55">
        <f>R11*R15</f>
        <v>17.05325049126391</v>
      </c>
      <c r="S16" s="55">
        <f>S11*S15</f>
        <v>15.226116510057059</v>
      </c>
      <c r="T16" s="55">
        <f>T11*T15</f>
        <v>6.6465697716834145</v>
      </c>
      <c r="U16" s="55">
        <f>U11*U15</f>
        <v>2.83257251387086</v>
      </c>
      <c r="V16" s="55">
        <f>V11*V15</f>
        <v>1.144321538154765</v>
      </c>
    </row>
    <row r="17">
      <c r="A17" s="14" t="inlineStr">
        <is>
          <t>Tax-loss carryforward, end of year</t>
        </is>
      </c>
      <c r="C17" s="23">
        <f>Assumptions!$B$21-C8+MAX(0,-C7)</f>
        <v>84.351</v>
      </c>
      <c r="D17" s="23">
        <f>C17-D8+MAX(0,-D7)</f>
        <v>107.502</v>
      </c>
      <c r="E17" s="23">
        <f>D17-E8+MAX(0,-E7)</f>
        <v>130.653</v>
      </c>
      <c r="F17" s="23">
        <f>E17-F8+MAX(0,-F7)</f>
        <v>153.804</v>
      </c>
      <c r="G17" s="23">
        <f>F17-G8+MAX(0,-G7)</f>
        <v>144.34334528</v>
      </c>
      <c r="H17" s="23">
        <f>G17-H8+MAX(0,-H7)</f>
        <v>116.75789055999999</v>
      </c>
      <c r="I17" s="23">
        <f>H17-I8+MAX(0,-I7)</f>
        <v>65.00603583999998</v>
      </c>
      <c r="J17" s="23">
        <f>I17-J8+MAX(0,-J7)</f>
        <v>0.0</v>
      </c>
      <c r="K17" s="23">
        <f>J17-K8+MAX(0,-K7)</f>
        <v>0.0</v>
      </c>
      <c r="L17" s="23">
        <f>K17-L8+MAX(0,-L7)</f>
        <v>0.0</v>
      </c>
      <c r="M17" s="23">
        <f>L17-M8+MAX(0,-M7)</f>
        <v>0.0</v>
      </c>
      <c r="N17" s="23">
        <f>M17-N8+MAX(0,-N7)</f>
        <v>0.0</v>
      </c>
      <c r="O17" s="23">
        <f>N17-O8+MAX(0,-O7)</f>
        <v>0.0</v>
      </c>
      <c r="P17" s="23">
        <f>O17-P8+MAX(0,-P7)</f>
        <v>0.0</v>
      </c>
      <c r="Q17" s="23">
        <f>P17-Q8+MAX(0,-Q7)</f>
        <v>0.0</v>
      </c>
      <c r="R17" s="23">
        <f>Q17-R8+MAX(0,-R7)</f>
        <v>0.0</v>
      </c>
      <c r="S17" s="23">
        <f>R17-S8+MAX(0,-S7)</f>
        <v>0.0</v>
      </c>
      <c r="T17" s="23">
        <f>S17-T8+MAX(0,-T7)</f>
        <v>0.0</v>
      </c>
      <c r="U17" s="23">
        <f>T17-U8+MAX(0,-U7)</f>
        <v>0.0</v>
      </c>
      <c r="V17" s="23">
        <f>U17-V8+MAX(0,-V7)</f>
        <v>0.0</v>
      </c>
    </row>
    <row r="19">
      <c r="A19" s="14" t="inlineStr">
        <is>
          <t>PV of risked pipeline contribution</t>
        </is>
      </c>
      <c r="B19" s="23">
        <f>SUMPRODUCT(C5:V5,C15:V15)</f>
        <v>386.10983129213196</v>
      </c>
    </row>
    <row r="20">
      <c r="A20" s="14" t="inlineStr">
        <is>
          <t>PV of corporate burn</t>
        </is>
      </c>
      <c r="B20" s="23">
        <f>SUMPRODUCT(C6:V6,C15:V15)</f>
        <v>-79.93286526322024</v>
      </c>
    </row>
    <row r="21">
      <c r="A21" s="14" t="inlineStr">
        <is>
          <t>PV of taxes</t>
        </is>
      </c>
      <c r="B21" s="23">
        <f>-SUMPRODUCT(C10:V10,C15:V15)</f>
        <v>-62.12722663612502</v>
      </c>
    </row>
    <row r="22">
      <c r="A22" s="24" t="inlineStr">
        <is>
          <t>Pipeline rNPV (operations)</t>
        </is>
      </c>
      <c r="B22" s="54">
        <f>SUM(C16:V16)</f>
        <v>244.04973939278665</v>
      </c>
    </row>
    <row r="23">
      <c r="A23" s="14" t="inlineStr">
        <is>
          <t>Cash &amp; investments</t>
        </is>
      </c>
      <c r="B23" s="57">
        <f>Main!C7</f>
        <v>43.181002</v>
      </c>
    </row>
    <row r="24">
      <c r="A24" s="14" t="inlineStr">
        <is>
          <t>Debt</t>
        </is>
      </c>
      <c r="B24" s="57">
        <f>Main!C8</f>
        <v>0</v>
      </c>
    </row>
    <row r="25">
      <c r="A25" s="24" t="inlineStr">
        <is>
          <t>Equity value</t>
        </is>
      </c>
      <c r="B25" s="54">
        <f>B22+B23-B24</f>
        <v>287.2307413927866</v>
      </c>
    </row>
    <row r="26">
      <c r="A26" s="14" t="inlineStr">
        <is>
          <t>Shares (mm)</t>
        </is>
      </c>
      <c r="B26" s="57">
        <f>Main!C4</f>
        <v>23.457849</v>
      </c>
    </row>
    <row r="27">
      <c r="A27" s="24" t="inlineStr">
        <is>
          <t>rNPV / share</t>
        </is>
      </c>
      <c r="B27" s="60">
        <f>B25/B26</f>
        <v>12.244547289599598</v>
      </c>
    </row>
    <row r="28">
      <c r="A28" s="14" t="inlineStr">
        <is>
          <t>Price</t>
        </is>
      </c>
      <c r="B28" s="61">
        <f>Main!C3</f>
        <v>4.21</v>
      </c>
    </row>
    <row r="29">
      <c r="A29" s="14" t="inlineStr">
        <is>
          <t>Upside</t>
        </is>
      </c>
      <c r="B29" s="62">
        <f>B27/B28-1</f>
        <v>1.908443536721995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2026-10-21T06:28:11Z</dcterms:modified>
  <cp:lastModifiedBy>Wang, Eric</cp:lastModifiedBy>
</cp:coreProperties>
</file>