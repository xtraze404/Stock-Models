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CRISPR Therapeutics AG</t>
        </is>
      </c>
      <c r="C2" s="10" t="n"/>
    </row>
    <row r="3">
      <c r="B3" t="inlineStr">
        <is>
          <t>Price</t>
        </is>
      </c>
      <c r="C3" s="11">
        <f>INDEX([1]Pharma!$F$1:$F$1000,MATCH("CRSP",[1]Pharma!$B$1:$B$1000,0))</f>
        <v>49.88</v>
      </c>
      <c r="F3" s="1" t="n"/>
    </row>
    <row r="4">
      <c r="B4" t="inlineStr">
        <is>
          <t>Shares</t>
        </is>
      </c>
      <c r="C4" s="21" t="n">
        <v>96.69265300000001</v>
      </c>
      <c r="F4" s="1" t="n"/>
    </row>
    <row r="5">
      <c r="B5" t="inlineStr">
        <is>
          <t>Market Cap.</t>
        </is>
      </c>
      <c r="C5" s="13">
        <f>C3*C4</f>
        <v>4823.029531640001</v>
      </c>
      <c r="F5" s="1" t="n"/>
    </row>
    <row r="6"/>
    <row r="7">
      <c r="B7" t="inlineStr">
        <is>
          <t>Cash</t>
        </is>
      </c>
      <c r="C7" s="21">
        <f>291.337+2073.015</f>
        <v>2364.352</v>
      </c>
    </row>
    <row r="8">
      <c r="B8" t="inlineStr">
        <is>
          <t>Debt</t>
        </is>
      </c>
      <c r="C8" s="21" t="n">
        <v>586.198</v>
      </c>
    </row>
    <row r="9">
      <c r="B9" t="inlineStr">
        <is>
          <t>Enterprise V.</t>
        </is>
      </c>
      <c r="C9" s="13">
        <f>C5-C7+C8</f>
        <v>3044.8755316400006</v>
      </c>
    </row>
    <row r="10"/>
    <row r="11">
      <c r="B11" s="14" t="inlineStr">
        <is>
          <t>rNPV / Share</t>
        </is>
      </c>
      <c r="C11" s="11">
        <f>NPV!B27</f>
        <v>29.73820942814595</v>
      </c>
    </row>
    <row r="12">
      <c r="B12" s="14" t="inlineStr">
        <is>
          <t>Upside</t>
        </is>
      </c>
      <c r="C12" s="15">
        <f>IFERROR(C11/C3-1,"")</f>
        <v>-0.40380494330100347</v>
      </c>
    </row>
    <row r="13">
      <c r="B13" s="14" t="inlineStr">
        <is>
          <t>Cash / Share</t>
        </is>
      </c>
      <c r="C13" s="11">
        <f>IFERROR((C7-C8)/C4,"")</f>
        <v>18.389752942242673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-369.582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4.8112570417390454</v>
      </c>
    </row>
    <row r="19">
      <c r="B19" s="14" t="inlineStr">
        <is>
          <t>Implied Pipeline Value</t>
        </is>
      </c>
      <c r="C19" s="13">
        <f>C9</f>
        <v>3044.8755316400006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0.247</v>
      </c>
      <c r="D2" s="23" t="n">
        <v>5.164</v>
      </c>
      <c r="E2" s="23" t="n">
        <v>40.997</v>
      </c>
      <c r="F2" s="23" t="n">
        <v>3.124</v>
      </c>
      <c r="G2" s="23" t="n">
        <v>289.59</v>
      </c>
      <c r="H2" s="23" t="n">
        <v>0.719</v>
      </c>
      <c r="I2" s="23" t="n">
        <v>914.963</v>
      </c>
      <c r="J2" s="23" t="n">
        <v>1.198</v>
      </c>
      <c r="K2" s="23" t="n">
        <v>371.206</v>
      </c>
      <c r="L2" s="23" t="n">
        <v>37.314</v>
      </c>
      <c r="M2" s="23" t="n">
        <v>3.51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0.247</v>
      </c>
      <c r="D4" s="23">
        <f>D2-D3</f>
        <v>5.164</v>
      </c>
      <c r="E4" s="23">
        <f>E2-E3</f>
        <v>40.997</v>
      </c>
      <c r="F4" s="23">
        <f>F2-F3</f>
        <v>3.124</v>
      </c>
      <c r="G4" s="23">
        <f>G2-G3</f>
        <v>289.59</v>
      </c>
      <c r="H4" s="23">
        <f>H2-H3</f>
        <v>0.719</v>
      </c>
      <c r="I4" s="23">
        <f>I2-I3</f>
        <v>914.963</v>
      </c>
      <c r="J4" s="23">
        <f>J2-J3</f>
        <v>1.198</v>
      </c>
      <c r="K4" s="23">
        <f>K2-K3</f>
        <v>371.206</v>
      </c>
      <c r="L4" s="23">
        <f>L2-L3</f>
        <v>37.314</v>
      </c>
      <c r="M4" s="23">
        <f>M2-M3</f>
        <v>3.51</v>
      </c>
    </row>
    <row r="5">
      <c r="A5" s="2" t="inlineStr">
        <is>
          <t>Research &amp; Dev.</t>
        </is>
      </c>
      <c r="B5" s="23" t="n">
        <v>1.513</v>
      </c>
      <c r="C5" s="23" t="n">
        <v>12.573</v>
      </c>
      <c r="D5" s="23" t="n">
        <v>42.238</v>
      </c>
      <c r="E5" s="23" t="n">
        <v>69.8</v>
      </c>
      <c r="F5" s="23" t="n">
        <v>113.773</v>
      </c>
      <c r="G5" s="23" t="n">
        <v>179.362</v>
      </c>
      <c r="H5" s="23" t="n">
        <v>221.382</v>
      </c>
      <c r="I5" s="23" t="n">
        <v>340.567</v>
      </c>
      <c r="J5" s="23" t="n">
        <v>461.645</v>
      </c>
      <c r="K5" s="23" t="n">
        <v>387.332</v>
      </c>
      <c r="L5" s="23" t="n">
        <v>310.236</v>
      </c>
      <c r="M5" s="23" t="n">
        <v>284.806</v>
      </c>
    </row>
    <row r="6">
      <c r="A6" s="19" t="inlineStr">
        <is>
          <t>SG&amp;A &amp; Other</t>
        </is>
      </c>
      <c r="B6" s="23" t="n">
        <v>5.114</v>
      </c>
      <c r="C6" s="23" t="n">
        <v>13.403</v>
      </c>
      <c r="D6" s="23" t="n">
        <v>31.056</v>
      </c>
      <c r="E6" s="23" t="n">
        <v>35.845</v>
      </c>
      <c r="F6" s="23" t="n">
        <v>48.294</v>
      </c>
      <c r="G6" s="23" t="n">
        <v>63.488</v>
      </c>
      <c r="H6" s="23" t="n">
        <v>133.772</v>
      </c>
      <c r="I6" s="23" t="n">
        <v>200.868</v>
      </c>
      <c r="J6" s="23" t="n">
        <v>212.714</v>
      </c>
      <c r="K6" s="23" t="n">
        <v>206.412</v>
      </c>
      <c r="L6" s="23" t="n">
        <v>193.644</v>
      </c>
      <c r="M6" s="23" t="n">
        <v>383.275</v>
      </c>
    </row>
    <row r="7">
      <c r="A7" s="2" t="inlineStr">
        <is>
          <t>Operating Expense</t>
        </is>
      </c>
      <c r="B7" s="23">
        <f>SUM(B5:B6)</f>
        <v>6.627</v>
      </c>
      <c r="C7" s="23">
        <f>SUM(C5:C6)</f>
        <v>25.976</v>
      </c>
      <c r="D7" s="23">
        <f>SUM(D5:D6)</f>
        <v>73.294</v>
      </c>
      <c r="E7" s="23">
        <f>SUM(E5:E6)</f>
        <v>105.645</v>
      </c>
      <c r="F7" s="23">
        <f>SUM(F5:F6)</f>
        <v>162.067</v>
      </c>
      <c r="G7" s="23">
        <f>SUM(G5:G6)</f>
        <v>242.85</v>
      </c>
      <c r="H7" s="23">
        <f>SUM(H5:H6)</f>
        <v>355.154</v>
      </c>
      <c r="I7" s="23">
        <f>SUM(I5:I6)</f>
        <v>541.435</v>
      </c>
      <c r="J7" s="23">
        <f>SUM(J5:J6)</f>
        <v>674.3589999999999</v>
      </c>
      <c r="K7" s="23">
        <f>SUM(K5:K6)</f>
        <v>593.744</v>
      </c>
      <c r="L7" s="23">
        <f>SUM(L5:L6)</f>
        <v>503.88</v>
      </c>
      <c r="M7" s="23">
        <f>SUM(M5:M6)</f>
        <v>668.0809999999999</v>
      </c>
    </row>
    <row r="8">
      <c r="A8" s="2" t="inlineStr">
        <is>
          <t>Operating Income</t>
        </is>
      </c>
      <c r="B8" s="23">
        <f>B4-B7</f>
        <v>-6.627</v>
      </c>
      <c r="C8" s="23">
        <f>C4-C7</f>
        <v>-25.729</v>
      </c>
      <c r="D8" s="23">
        <f>D4-D7</f>
        <v>-68.13</v>
      </c>
      <c r="E8" s="23">
        <f>E4-E7</f>
        <v>-64.648</v>
      </c>
      <c r="F8" s="23">
        <f>F4-F7</f>
        <v>-158.943</v>
      </c>
      <c r="G8" s="23">
        <f>G4-G7</f>
        <v>46.73999999999998</v>
      </c>
      <c r="H8" s="23">
        <f>H4-H7</f>
        <v>-354.435</v>
      </c>
      <c r="I8" s="23">
        <f>I4-I7</f>
        <v>373.528</v>
      </c>
      <c r="J8" s="23">
        <f>J4-J7</f>
        <v>-673.161</v>
      </c>
      <c r="K8" s="23">
        <f>K4-K7</f>
        <v>-222.538</v>
      </c>
      <c r="L8" s="23">
        <f>L4-L7</f>
        <v>-466.566</v>
      </c>
      <c r="M8" s="23">
        <f>M4-M7</f>
        <v>-664.5709999999999</v>
      </c>
    </row>
    <row r="9">
      <c r="A9" s="19" t="inlineStr">
        <is>
          <t>Interest &amp; Other</t>
        </is>
      </c>
      <c r="B9" s="23" t="n">
        <v>-0.445</v>
      </c>
      <c r="C9" s="23" t="n">
        <v>0.233</v>
      </c>
      <c r="D9" s="23" t="n">
        <v>45.437</v>
      </c>
      <c r="E9" s="23" t="n">
        <v>-1.96</v>
      </c>
      <c r="F9" s="23" t="n">
        <v>-5.485</v>
      </c>
      <c r="G9" s="23" t="n">
        <v>20.566</v>
      </c>
      <c r="H9" s="23" t="n">
        <v>6.379</v>
      </c>
      <c r="I9" s="23" t="n">
        <v>6.003</v>
      </c>
      <c r="J9" s="23" t="n">
        <v>22.661</v>
      </c>
      <c r="K9" s="23" t="n">
        <v>71.816</v>
      </c>
      <c r="L9" s="23" t="n">
        <v>103.901</v>
      </c>
      <c r="M9" s="23" t="n">
        <v>86.60599999999999</v>
      </c>
    </row>
    <row r="10">
      <c r="A10" s="2" t="inlineStr">
        <is>
          <t>Pretax</t>
        </is>
      </c>
      <c r="B10" s="23">
        <f>B8+B9</f>
        <v>-7.072</v>
      </c>
      <c r="C10" s="23">
        <f>C8+C9</f>
        <v>-25.496</v>
      </c>
      <c r="D10" s="23">
        <f>D8+D9</f>
        <v>-22.692999999999998</v>
      </c>
      <c r="E10" s="23">
        <f>E8+E9</f>
        <v>-66.60799999999999</v>
      </c>
      <c r="F10" s="23">
        <f>F8+F9</f>
        <v>-164.42800000000003</v>
      </c>
      <c r="G10" s="23">
        <f>G8+G9</f>
        <v>67.30599999999998</v>
      </c>
      <c r="H10" s="23">
        <f>H8+H9</f>
        <v>-348.056</v>
      </c>
      <c r="I10" s="23">
        <f>I8+I9</f>
        <v>379.531</v>
      </c>
      <c r="J10" s="23">
        <f>J8+J9</f>
        <v>-650.5</v>
      </c>
      <c r="K10" s="23">
        <f>K8+K9</f>
        <v>-150.722</v>
      </c>
      <c r="L10" s="23">
        <f>L8+L9</f>
        <v>-362.66499999999996</v>
      </c>
      <c r="M10" s="23">
        <f>M8+M9</f>
        <v>-577.9649999999999</v>
      </c>
    </row>
    <row r="11">
      <c r="A11" s="2" t="inlineStr">
        <is>
          <t>Taxes</t>
        </is>
      </c>
      <c r="B11" s="23" t="n">
        <v>-0.063</v>
      </c>
      <c r="C11" s="23" t="n">
        <v>0.007</v>
      </c>
      <c r="D11" s="23" t="n">
        <v>0.484</v>
      </c>
      <c r="E11" s="23" t="n">
        <v>1.749</v>
      </c>
      <c r="F11" s="23" t="n">
        <v>0.553</v>
      </c>
      <c r="G11" s="23" t="n">
        <v>0.448</v>
      </c>
      <c r="H11" s="23" t="n">
        <v>0.8090000000000001</v>
      </c>
      <c r="I11" s="23" t="n">
        <v>1.87</v>
      </c>
      <c r="J11" s="23" t="n">
        <v>-0.325</v>
      </c>
      <c r="K11" s="23" t="n">
        <v>2.888</v>
      </c>
      <c r="L11" s="23" t="n">
        <v>3.587</v>
      </c>
      <c r="M11" s="23" t="n">
        <v>3.634</v>
      </c>
    </row>
    <row r="12">
      <c r="A12" s="2" t="inlineStr">
        <is>
          <t>Net Income</t>
        </is>
      </c>
      <c r="B12" s="23" t="n">
        <v>-7.009</v>
      </c>
      <c r="C12" s="23" t="n">
        <v>-25.503</v>
      </c>
      <c r="D12" s="23" t="n">
        <v>-23.177</v>
      </c>
      <c r="E12" s="23" t="n">
        <v>-68.357</v>
      </c>
      <c r="F12" s="23" t="n">
        <v>-164.981</v>
      </c>
      <c r="G12" s="23" t="n">
        <v>66.858</v>
      </c>
      <c r="H12" s="23" t="n">
        <v>-348.865</v>
      </c>
      <c r="I12" s="23" t="n">
        <v>377.661</v>
      </c>
      <c r="J12" s="23" t="n">
        <v>-650.175</v>
      </c>
      <c r="K12" s="23" t="n">
        <v>-153.61</v>
      </c>
      <c r="L12" s="23" t="n">
        <v>-366.252</v>
      </c>
      <c r="M12" s="23" t="n">
        <v>-581.599</v>
      </c>
    </row>
    <row r="13">
      <c r="A13" s="2" t="inlineStr">
        <is>
          <t>Earnings per Share</t>
        </is>
      </c>
      <c r="B13" s="11">
        <f>IFERROR(B12/B14,0)</f>
        <v>-1.9688202247191011</v>
      </c>
      <c r="C13" s="11">
        <f>IFERROR(C12/C14,0)</f>
        <v>-5.063132817153067</v>
      </c>
      <c r="D13" s="11">
        <f>IFERROR(D12/D14,0)</f>
        <v>-1.890919474585951</v>
      </c>
      <c r="E13" s="11">
        <f>IFERROR(E12/E14,0)</f>
        <v>-1.7064932471228498</v>
      </c>
      <c r="F13" s="11">
        <f>IFERROR(F12/F14,0)</f>
        <v>-3.439683929613877</v>
      </c>
      <c r="G13" s="11">
        <f>IFERROR(G12/G14,0)</f>
        <v>1.1743277185463616</v>
      </c>
      <c r="H13" s="11">
        <f>IFERROR(H12/H14,0)</f>
        <v>-5.289840788476118</v>
      </c>
      <c r="I13" s="11">
        <f>IFERROR(I12/I14,0)</f>
        <v>4.697685121838966</v>
      </c>
      <c r="J13" s="11">
        <f>IFERROR(J12/J14,0)</f>
        <v>-8.362702097830141</v>
      </c>
      <c r="K13" s="11">
        <f>IFERROR(K12/K14,0)</f>
        <v>-1.9390060716224233</v>
      </c>
      <c r="L13" s="11">
        <f>IFERROR(L12/L14,0)</f>
        <v>-4.3415877381192285</v>
      </c>
      <c r="M13" s="11">
        <f>IFERROR(M12/M14,0)</f>
        <v>-6.467600778426467</v>
      </c>
    </row>
    <row r="14">
      <c r="A14" s="2" t="inlineStr">
        <is>
          <t>Shares</t>
        </is>
      </c>
      <c r="B14" s="23" t="n">
        <v>3.56</v>
      </c>
      <c r="C14" s="23" t="n">
        <v>5.037</v>
      </c>
      <c r="D14" s="23" t="n">
        <v>12.257</v>
      </c>
      <c r="E14" s="23" t="n">
        <v>40.057</v>
      </c>
      <c r="F14" s="23" t="n">
        <v>47.964</v>
      </c>
      <c r="G14" s="23" t="n">
        <v>56.933</v>
      </c>
      <c r="H14" s="23" t="n">
        <v>65.95</v>
      </c>
      <c r="I14" s="23" t="n">
        <v>80.393</v>
      </c>
      <c r="J14" s="23" t="n">
        <v>77.747</v>
      </c>
      <c r="K14" s="23" t="n">
        <v>79.221</v>
      </c>
      <c r="L14" s="23" t="n">
        <v>84.35899999999999</v>
      </c>
      <c r="M14" s="23" t="n">
        <v>89.925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19.906882591093115</v>
      </c>
      <c r="E16" s="15">
        <f>IFERROR(E2/D2-1,"")</f>
        <v>6.939000774593339</v>
      </c>
      <c r="F16" s="15">
        <f>IFERROR(F2/E2-1,"")</f>
        <v>-0.9237993023879796</v>
      </c>
      <c r="G16" s="15">
        <f>IFERROR(G2/F2-1,"")</f>
        <v>91.69846350832265</v>
      </c>
      <c r="H16" s="15">
        <f>IFERROR(H2/G2-1,"")</f>
        <v>-0.9975171794606167</v>
      </c>
      <c r="I16" s="15">
        <f>IFERROR(I2/H2-1,"")</f>
        <v>1271.549374130737</v>
      </c>
      <c r="J16" s="15">
        <f>IFERROR(J2/I2-1,"")</f>
        <v>-0.9986906574364209</v>
      </c>
      <c r="K16" s="15">
        <f>IFERROR(K2/J2-1,"")</f>
        <v>308.8547579298832</v>
      </c>
      <c r="L16" s="15">
        <f>IFERROR(L2/K2-1,"")</f>
        <v>-0.8994789954903746</v>
      </c>
      <c r="M16" s="15">
        <f>IFERROR(M2/L2-1,"")</f>
        <v>-0.9059334298118669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-104.16599190283401</v>
      </c>
      <c r="D18" s="15">
        <f>IFERROR(D8/D2,"")</f>
        <v>-13.193261037955073</v>
      </c>
      <c r="E18" s="15">
        <f>IFERROR(E8/E2,"")</f>
        <v>-1.5768958704295435</v>
      </c>
      <c r="F18" s="15">
        <f>IFERROR(F8/F2,"")</f>
        <v>-50.878040973111396</v>
      </c>
      <c r="G18" s="15">
        <f>IFERROR(G8/G2,"")</f>
        <v>0.1614006008494768</v>
      </c>
      <c r="H18" s="15">
        <f>IFERROR(H8/H2,"")</f>
        <v>-492.9554937413074</v>
      </c>
      <c r="I18" s="15">
        <f>IFERROR(I8/I2,"")</f>
        <v>0.408243830624845</v>
      </c>
      <c r="J18" s="15">
        <f>IFERROR(J8/J2,"")</f>
        <v>-561.9040066777962</v>
      </c>
      <c r="K18" s="15">
        <f>IFERROR(K8/K2,"")</f>
        <v>-0.599500008081766</v>
      </c>
      <c r="L18" s="15">
        <f>IFERROR(L8/L2,"")</f>
        <v>-12.503778742563112</v>
      </c>
      <c r="M18" s="15">
        <f>IFERROR(M8/M2,"")</f>
        <v>-189.33646723646723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CRISPR Therapeutics AG: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1-PRODUCT(Pipeline!AG4:AG11)</f>
        <v>0.5911679582711487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534.34</v>
      </c>
    </row>
    <row r="19">
      <c r="A19" s="14" t="inlineStr">
        <is>
          <t>Years of full burn (until the first launch, max 4)</t>
        </is>
      </c>
      <c r="B19" s="39">
        <f>MIN(4,MAX(1,MIN(Pipeline!I4:I11)-2026))</f>
        <v>1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2389.5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1097.312365077045</v>
      </c>
      <c r="C29" s="42">
        <f>NPV!B25</f>
        <v>2875.466365077045</v>
      </c>
      <c r="D29" s="43">
        <f>NPV!B27</f>
        <v>29.73820942814595</v>
      </c>
      <c r="E29" s="44">
        <f>NPV!B29</f>
        <v>-0.40380494330100347</v>
      </c>
    </row>
    <row r="30">
      <c r="A30" s="45" t="n">
        <v>1</v>
      </c>
      <c r="B30" s="46">
        <f t="dataTable" ref="B30:E32" r1="B4"/>
        <v>184.73515573055968</v>
      </c>
      <c r="C30" s="46">
        <v>1962.8891557305597</v>
      </c>
      <c r="D30" s="47">
        <v>20.300292678188896</v>
      </c>
      <c r="E30" s="48">
        <v>-0.5930173881678249</v>
      </c>
    </row>
    <row r="31">
      <c r="A31" s="45" t="n">
        <v>2</v>
      </c>
      <c r="B31" s="46">
        <v>1097.312365077045</v>
      </c>
      <c r="C31" s="46">
        <v>2875.466365077045</v>
      </c>
      <c r="D31" s="47">
        <v>29.73820942814595</v>
      </c>
      <c r="E31" s="48">
        <v>-0.40380494330100347</v>
      </c>
    </row>
    <row r="32">
      <c r="A32" s="45" t="n">
        <v>3</v>
      </c>
      <c r="B32" s="46">
        <v>2417.662091062884</v>
      </c>
      <c r="C32" s="46">
        <v>4195.816091062883</v>
      </c>
      <c r="D32" s="47">
        <v>43.39332887125232</v>
      </c>
      <c r="E32" s="48">
        <v>-0.130045531851397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29.73820942814595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19.267851834026747</v>
      </c>
      <c r="C37" s="47">
        <v>23.53126285835427</v>
      </c>
      <c r="D37" s="47">
        <v>27.53668979513195</v>
      </c>
      <c r="E37" s="47">
        <v>34.93082136718364</v>
      </c>
      <c r="F37" s="47">
        <v>42.093671537839576</v>
      </c>
    </row>
    <row r="38">
      <c r="A38" s="50" t="n">
        <v>0.8</v>
      </c>
      <c r="B38" s="47">
        <v>19.3156158477421</v>
      </c>
      <c r="C38" s="47">
        <v>24.190461762666708</v>
      </c>
      <c r="D38" s="47">
        <v>28.569402351094887</v>
      </c>
      <c r="E38" s="47">
        <v>36.93624542006412</v>
      </c>
      <c r="F38" s="47">
        <v>45.09301791220129</v>
      </c>
    </row>
    <row r="39">
      <c r="A39" s="50" t="n">
        <v>1</v>
      </c>
      <c r="B39" s="47">
        <v>19.536700967365586</v>
      </c>
      <c r="C39" s="47">
        <v>24.886539022998992</v>
      </c>
      <c r="D39" s="47">
        <v>29.73820942814595</v>
      </c>
      <c r="E39" s="47">
        <v>39.0852228565369</v>
      </c>
      <c r="F39" s="47">
        <v>48.239579759949805</v>
      </c>
    </row>
    <row r="40">
      <c r="A40" s="50" t="n">
        <v>1.2</v>
      </c>
      <c r="B40" s="47">
        <v>19.911078449314044</v>
      </c>
      <c r="C40" s="47">
        <v>25.702189273047363</v>
      </c>
      <c r="D40" s="47">
        <v>31.032396160387222</v>
      </c>
      <c r="E40" s="47">
        <v>41.35970379299607</v>
      </c>
      <c r="F40" s="47">
        <v>51.51634506773287</v>
      </c>
    </row>
    <row r="41">
      <c r="A41" s="50" t="n">
        <v>1.4</v>
      </c>
      <c r="B41" s="47">
        <v>20.42053628906736</v>
      </c>
      <c r="C41" s="47">
        <v>26.622319790017404</v>
      </c>
      <c r="D41" s="47">
        <v>32.43141129127754</v>
      </c>
      <c r="E41" s="47">
        <v>43.750258450215085</v>
      </c>
      <c r="F41" s="47">
        <v>54.90784492394447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3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CRISPR Therapeutics AG: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Sickle cell / thalassemia</t>
        </is>
      </c>
      <c r="C4" s="14" t="inlineStr">
        <is>
          <t>Casgevy (exa-cel)</t>
        </is>
      </c>
      <c r="D4" s="14" t="inlineStr">
        <is>
          <t>Approved</t>
        </is>
      </c>
      <c r="E4" s="14" t="inlineStr">
        <is>
          <t>Hematology / rare</t>
        </is>
      </c>
      <c r="F4" s="14" t="inlineStr">
        <is>
          <t>Partnered</t>
        </is>
      </c>
      <c r="G4" s="40" t="n">
        <v>1000</v>
      </c>
      <c r="H4" s="27" t="n">
        <v>1</v>
      </c>
      <c r="I4" s="26" t="n">
        <v>2024</v>
      </c>
      <c r="J4" s="39">
        <f>I4+Assumptions!$B$25</f>
        <v>2036.0</v>
      </c>
      <c r="K4" s="33" t="n">
        <v>0.16</v>
      </c>
      <c r="L4" s="23">
        <f>K4*SUMPRODUCT(M4:AF4,NPV!$C$15:$V$15)</f>
        <v>911.2846863241758</v>
      </c>
      <c r="M4" s="23">
        <f>IF(M$3&lt;$I4,0,$G4*Assumptions!$E$11*INDEX(Assumptions!$B$24:$G$24,MIN(6,M$3-$I4+1))*IF(M$3&gt;$J4,(1-Assumptions!$B$26)^(M$3-$J4),1)*IF($H4&gt;=1,1,MIN(0.97,$H4*Assumptions!$E$12)))</f>
        <v>450.0</v>
      </c>
      <c r="N4" s="23">
        <f>IF(N$3&lt;$I4,0,$G4*Assumptions!$E$11*INDEX(Assumptions!$B$24:$G$24,MIN(6,N$3-$I4+1))*IF(N$3&gt;$J4,(1-Assumptions!$B$26)^(N$3-$J4),1)*IF($H4&gt;=1,1,MIN(0.97,$H4*Assumptions!$E$12)))</f>
        <v>650.0</v>
      </c>
      <c r="O4" s="23">
        <f>IF(O$3&lt;$I4,0,$G4*Assumptions!$E$11*INDEX(Assumptions!$B$24:$G$24,MIN(6,O$3-$I4+1))*IF(O$3&gt;$J4,(1-Assumptions!$B$26)^(O$3-$J4),1)*IF($H4&gt;=1,1,MIN(0.97,$H4*Assumptions!$E$12)))</f>
        <v>850.0</v>
      </c>
      <c r="P4" s="23">
        <f>IF(P$3&lt;$I4,0,$G4*Assumptions!$E$11*INDEX(Assumptions!$B$24:$G$24,MIN(6,P$3-$I4+1))*IF(P$3&gt;$J4,(1-Assumptions!$B$26)^(P$3-$J4),1)*IF($H4&gt;=1,1,MIN(0.97,$H4*Assumptions!$E$12)))</f>
        <v>1000.0</v>
      </c>
      <c r="Q4" s="23">
        <f>IF(Q$3&lt;$I4,0,$G4*Assumptions!$E$11*INDEX(Assumptions!$B$24:$G$24,MIN(6,Q$3-$I4+1))*IF(Q$3&gt;$J4,(1-Assumptions!$B$26)^(Q$3-$J4),1)*IF($H4&gt;=1,1,MIN(0.97,$H4*Assumptions!$E$12)))</f>
        <v>1000.0</v>
      </c>
      <c r="R4" s="23">
        <f>IF(R$3&lt;$I4,0,$G4*Assumptions!$E$11*INDEX(Assumptions!$B$24:$G$24,MIN(6,R$3-$I4+1))*IF(R$3&gt;$J4,(1-Assumptions!$B$26)^(R$3-$J4),1)*IF($H4&gt;=1,1,MIN(0.97,$H4*Assumptions!$E$12)))</f>
        <v>1000.0</v>
      </c>
      <c r="S4" s="23">
        <f>IF(S$3&lt;$I4,0,$G4*Assumptions!$E$11*INDEX(Assumptions!$B$24:$G$24,MIN(6,S$3-$I4+1))*IF(S$3&gt;$J4,(1-Assumptions!$B$26)^(S$3-$J4),1)*IF($H4&gt;=1,1,MIN(0.97,$H4*Assumptions!$E$12)))</f>
        <v>1000.0</v>
      </c>
      <c r="T4" s="23">
        <f>IF(T$3&lt;$I4,0,$G4*Assumptions!$E$11*INDEX(Assumptions!$B$24:$G$24,MIN(6,T$3-$I4+1))*IF(T$3&gt;$J4,(1-Assumptions!$B$26)^(T$3-$J4),1)*IF($H4&gt;=1,1,MIN(0.97,$H4*Assumptions!$E$12)))</f>
        <v>1000.0</v>
      </c>
      <c r="U4" s="23">
        <f>IF(U$3&lt;$I4,0,$G4*Assumptions!$E$11*INDEX(Assumptions!$B$24:$G$24,MIN(6,U$3-$I4+1))*IF(U$3&gt;$J4,(1-Assumptions!$B$26)^(U$3-$J4),1)*IF($H4&gt;=1,1,MIN(0.97,$H4*Assumptions!$E$12)))</f>
        <v>1000.0</v>
      </c>
      <c r="V4" s="23">
        <f>IF(V$3&lt;$I4,0,$G4*Assumptions!$E$11*INDEX(Assumptions!$B$24:$G$24,MIN(6,V$3-$I4+1))*IF(V$3&gt;$J4,(1-Assumptions!$B$26)^(V$3-$J4),1)*IF($H4&gt;=1,1,MIN(0.97,$H4*Assumptions!$E$12)))</f>
        <v>1000.0</v>
      </c>
      <c r="W4" s="23">
        <f>IF(W$3&lt;$I4,0,$G4*Assumptions!$E$11*INDEX(Assumptions!$B$24:$G$24,MIN(6,W$3-$I4+1))*IF(W$3&gt;$J4,(1-Assumptions!$B$26)^(W$3-$J4),1)*IF($H4&gt;=1,1,MIN(0.97,$H4*Assumptions!$E$12)))</f>
        <v>1000.0</v>
      </c>
      <c r="X4" s="23">
        <f>IF(X$3&lt;$I4,0,$G4*Assumptions!$E$11*INDEX(Assumptions!$B$24:$G$24,MIN(6,X$3-$I4+1))*IF(X$3&gt;$J4,(1-Assumptions!$B$26)^(X$3-$J4),1)*IF($H4&gt;=1,1,MIN(0.97,$H4*Assumptions!$E$12)))</f>
        <v>500.0</v>
      </c>
      <c r="Y4" s="23">
        <f>IF(Y$3&lt;$I4,0,$G4*Assumptions!$E$11*INDEX(Assumptions!$B$24:$G$24,MIN(6,Y$3-$I4+1))*IF(Y$3&gt;$J4,(1-Assumptions!$B$26)^(Y$3-$J4),1)*IF($H4&gt;=1,1,MIN(0.97,$H4*Assumptions!$E$12)))</f>
        <v>250.0</v>
      </c>
      <c r="Z4" s="23">
        <f>IF(Z$3&lt;$I4,0,$G4*Assumptions!$E$11*INDEX(Assumptions!$B$24:$G$24,MIN(6,Z$3-$I4+1))*IF(Z$3&gt;$J4,(1-Assumptions!$B$26)^(Z$3-$J4),1)*IF($H4&gt;=1,1,MIN(0.97,$H4*Assumptions!$E$12)))</f>
        <v>125.0</v>
      </c>
      <c r="AA4" s="23">
        <f>IF(AA$3&lt;$I4,0,$G4*Assumptions!$E$11*INDEX(Assumptions!$B$24:$G$24,MIN(6,AA$3-$I4+1))*IF(AA$3&gt;$J4,(1-Assumptions!$B$26)^(AA$3-$J4),1)*IF($H4&gt;=1,1,MIN(0.97,$H4*Assumptions!$E$12)))</f>
        <v>62.5</v>
      </c>
      <c r="AB4" s="23">
        <f>IF(AB$3&lt;$I4,0,$G4*Assumptions!$E$11*INDEX(Assumptions!$B$24:$G$24,MIN(6,AB$3-$I4+1))*IF(AB$3&gt;$J4,(1-Assumptions!$B$26)^(AB$3-$J4),1)*IF($H4&gt;=1,1,MIN(0.97,$H4*Assumptions!$E$12)))</f>
        <v>31.25</v>
      </c>
      <c r="AC4" s="23">
        <f>IF(AC$3&lt;$I4,0,$G4*Assumptions!$E$11*INDEX(Assumptions!$B$24:$G$24,MIN(6,AC$3-$I4+1))*IF(AC$3&gt;$J4,(1-Assumptions!$B$26)^(AC$3-$J4),1)*IF($H4&gt;=1,1,MIN(0.97,$H4*Assumptions!$E$12)))</f>
        <v>15.625</v>
      </c>
      <c r="AD4" s="23">
        <f>IF(AD$3&lt;$I4,0,$G4*Assumptions!$E$11*INDEX(Assumptions!$B$24:$G$24,MIN(6,AD$3-$I4+1))*IF(AD$3&gt;$J4,(1-Assumptions!$B$26)^(AD$3-$J4),1)*IF($H4&gt;=1,1,MIN(0.97,$H4*Assumptions!$E$12)))</f>
        <v>7.8125</v>
      </c>
      <c r="AE4" s="23">
        <f>IF(AE$3&lt;$I4,0,$G4*Assumptions!$E$11*INDEX(Assumptions!$B$24:$G$24,MIN(6,AE$3-$I4+1))*IF(AE$3&gt;$J4,(1-Assumptions!$B$26)^(AE$3-$J4),1)*IF($H4&gt;=1,1,MIN(0.97,$H4*Assumptions!$E$12)))</f>
        <v>3.90625</v>
      </c>
      <c r="AF4" s="23">
        <f>IF(AF$3&lt;$I4,0,$G4*Assumptions!$E$11*INDEX(Assumptions!$B$24:$G$24,MIN(6,AF$3-$I4+1))*IF(AF$3&gt;$J4,(1-Assumptions!$B$26)^(AF$3-$J4),1)*IF($H4&gt;=1,1,MIN(0.97,$H4*Assumptions!$E$12)))</f>
        <v>1.953125</v>
      </c>
      <c r="AG4" s="35">
        <f>IF(F4="Owned",1-IF(H4&gt;=1,1,MIN(0.97,H4*Assumptions!$E$12)),1)</f>
        <v>1</v>
      </c>
    </row>
    <row r="5">
      <c r="A5" s="39" t="n">
        <v>2</v>
      </c>
      <c r="B5" s="14" t="inlineStr">
        <is>
          <t>Cystic fibrosis / bronchiectasis</t>
        </is>
      </c>
      <c r="C5" s="14" t="inlineStr">
        <is>
          <t>CTX460</t>
        </is>
      </c>
      <c r="D5" s="14" t="inlineStr">
        <is>
          <t>Phase 1/2</t>
        </is>
      </c>
      <c r="E5" s="14" t="inlineStr">
        <is>
          <t>Respiratory / rare</t>
        </is>
      </c>
      <c r="F5" s="14" t="inlineStr">
        <is>
          <t>Owned</t>
        </is>
      </c>
      <c r="G5" s="40" t="n">
        <v>1500</v>
      </c>
      <c r="H5" s="27" t="n">
        <v>0.207</v>
      </c>
      <c r="I5" s="26" t="n">
        <v>2032</v>
      </c>
      <c r="J5" s="39">
        <f>I5+Assumptions!$B$25</f>
        <v>2044.0</v>
      </c>
      <c r="K5" s="53">
        <f>Assumptions!$E$13</f>
        <v>0.4</v>
      </c>
      <c r="L5" s="23">
        <f>K5*SUMPRODUCT(M5:AF5,NPV!$C$15:$V$15)</f>
        <v>311.730273738914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31.049999999999997</v>
      </c>
      <c r="T5" s="23">
        <f>IF(T$3&lt;$I5,0,$G5*Assumptions!$E$11*INDEX(Assumptions!$B$24:$G$24,MIN(6,T$3-$I5+1))*IF(T$3&gt;$J5,(1-Assumptions!$B$26)^(T$3-$J5),1)*IF($H5&gt;=1,1,MIN(0.97,$H5*Assumptions!$E$12)))</f>
        <v>77.625</v>
      </c>
      <c r="U5" s="23">
        <f>IF(U$3&lt;$I5,0,$G5*Assumptions!$E$11*INDEX(Assumptions!$B$24:$G$24,MIN(6,U$3-$I5+1))*IF(U$3&gt;$J5,(1-Assumptions!$B$26)^(U$3-$J5),1)*IF($H5&gt;=1,1,MIN(0.97,$H5*Assumptions!$E$12)))</f>
        <v>139.725</v>
      </c>
      <c r="V5" s="23">
        <f>IF(V$3&lt;$I5,0,$G5*Assumptions!$E$11*INDEX(Assumptions!$B$24:$G$24,MIN(6,V$3-$I5+1))*IF(V$3&gt;$J5,(1-Assumptions!$B$26)^(V$3-$J5),1)*IF($H5&gt;=1,1,MIN(0.97,$H5*Assumptions!$E$12)))</f>
        <v>201.825</v>
      </c>
      <c r="W5" s="23">
        <f>IF(W$3&lt;$I5,0,$G5*Assumptions!$E$11*INDEX(Assumptions!$B$24:$G$24,MIN(6,W$3-$I5+1))*IF(W$3&gt;$J5,(1-Assumptions!$B$26)^(W$3-$J5),1)*IF($H5&gt;=1,1,MIN(0.97,$H5*Assumptions!$E$12)))</f>
        <v>263.925</v>
      </c>
      <c r="X5" s="23">
        <f>IF(X$3&lt;$I5,0,$G5*Assumptions!$E$11*INDEX(Assumptions!$B$24:$G$24,MIN(6,X$3-$I5+1))*IF(X$3&gt;$J5,(1-Assumptions!$B$26)^(X$3-$J5),1)*IF($H5&gt;=1,1,MIN(0.97,$H5*Assumptions!$E$12)))</f>
        <v>310.5</v>
      </c>
      <c r="Y5" s="23">
        <f>IF(Y$3&lt;$I5,0,$G5*Assumptions!$E$11*INDEX(Assumptions!$B$24:$G$24,MIN(6,Y$3-$I5+1))*IF(Y$3&gt;$J5,(1-Assumptions!$B$26)^(Y$3-$J5),1)*IF($H5&gt;=1,1,MIN(0.97,$H5*Assumptions!$E$12)))</f>
        <v>310.5</v>
      </c>
      <c r="Z5" s="23">
        <f>IF(Z$3&lt;$I5,0,$G5*Assumptions!$E$11*INDEX(Assumptions!$B$24:$G$24,MIN(6,Z$3-$I5+1))*IF(Z$3&gt;$J5,(1-Assumptions!$B$26)^(Z$3-$J5),1)*IF($H5&gt;=1,1,MIN(0.97,$H5*Assumptions!$E$12)))</f>
        <v>310.5</v>
      </c>
      <c r="AA5" s="23">
        <f>IF(AA$3&lt;$I5,0,$G5*Assumptions!$E$11*INDEX(Assumptions!$B$24:$G$24,MIN(6,AA$3-$I5+1))*IF(AA$3&gt;$J5,(1-Assumptions!$B$26)^(AA$3-$J5),1)*IF($H5&gt;=1,1,MIN(0.97,$H5*Assumptions!$E$12)))</f>
        <v>310.5</v>
      </c>
      <c r="AB5" s="23">
        <f>IF(AB$3&lt;$I5,0,$G5*Assumptions!$E$11*INDEX(Assumptions!$B$24:$G$24,MIN(6,AB$3-$I5+1))*IF(AB$3&gt;$J5,(1-Assumptions!$B$26)^(AB$3-$J5),1)*IF($H5&gt;=1,1,MIN(0.97,$H5*Assumptions!$E$12)))</f>
        <v>310.5</v>
      </c>
      <c r="AC5" s="23">
        <f>IF(AC$3&lt;$I5,0,$G5*Assumptions!$E$11*INDEX(Assumptions!$B$24:$G$24,MIN(6,AC$3-$I5+1))*IF(AC$3&gt;$J5,(1-Assumptions!$B$26)^(AC$3-$J5),1)*IF($H5&gt;=1,1,MIN(0.97,$H5*Assumptions!$E$12)))</f>
        <v>310.5</v>
      </c>
      <c r="AD5" s="23">
        <f>IF(AD$3&lt;$I5,0,$G5*Assumptions!$E$11*INDEX(Assumptions!$B$24:$G$24,MIN(6,AD$3-$I5+1))*IF(AD$3&gt;$J5,(1-Assumptions!$B$26)^(AD$3-$J5),1)*IF($H5&gt;=1,1,MIN(0.97,$H5*Assumptions!$E$12)))</f>
        <v>310.5</v>
      </c>
      <c r="AE5" s="23">
        <f>IF(AE$3&lt;$I5,0,$G5*Assumptions!$E$11*INDEX(Assumptions!$B$24:$G$24,MIN(6,AE$3-$I5+1))*IF(AE$3&gt;$J5,(1-Assumptions!$B$26)^(AE$3-$J5),1)*IF($H5&gt;=1,1,MIN(0.97,$H5*Assumptions!$E$12)))</f>
        <v>310.5</v>
      </c>
      <c r="AF5" s="23">
        <f>IF(AF$3&lt;$I5,0,$G5*Assumptions!$E$11*INDEX(Assumptions!$B$24:$G$24,MIN(6,AF$3-$I5+1))*IF(AF$3&gt;$J5,(1-Assumptions!$B$26)^(AF$3-$J5),1)*IF($H5&gt;=1,1,MIN(0.97,$H5*Assumptions!$E$12)))</f>
        <v>155.25</v>
      </c>
      <c r="AG5" s="35">
        <f>IF(F5="Owned",1-IF(H5&gt;=1,1,MIN(0.97,H5*Assumptions!$E$12)),1)</f>
        <v>0.793</v>
      </c>
    </row>
    <row r="6">
      <c r="A6" s="39" t="n">
        <v>3</v>
      </c>
      <c r="B6" s="14" t="inlineStr">
        <is>
          <t>Hypertension</t>
        </is>
      </c>
      <c r="C6" s="14" t="inlineStr">
        <is>
          <t>CTX340</t>
        </is>
      </c>
      <c r="D6" s="14" t="inlineStr">
        <is>
          <t>Phase 1/2</t>
        </is>
      </c>
      <c r="E6" s="14" t="inlineStr">
        <is>
          <t>Cardiovascular / chronic</t>
        </is>
      </c>
      <c r="F6" s="14" t="inlineStr">
        <is>
          <t>Owned</t>
        </is>
      </c>
      <c r="G6" s="40" t="n">
        <v>2000</v>
      </c>
      <c r="H6" s="27" t="n">
        <v>0.0863</v>
      </c>
      <c r="I6" s="26" t="n">
        <v>2032</v>
      </c>
      <c r="J6" s="39">
        <f>I6+Assumptions!$B$25</f>
        <v>2044.0</v>
      </c>
      <c r="K6" s="53">
        <f>Assumptions!$E$13</f>
        <v>0.4</v>
      </c>
      <c r="L6" s="23">
        <f>K6*SUMPRODUCT(M6:AF6,NPV!$C$15:$V$15)</f>
        <v>173.28388163393413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17.26</v>
      </c>
      <c r="T6" s="23">
        <f>IF(T$3&lt;$I6,0,$G6*Assumptions!$E$11*INDEX(Assumptions!$B$24:$G$24,MIN(6,T$3-$I6+1))*IF(T$3&gt;$J6,(1-Assumptions!$B$26)^(T$3-$J6),1)*IF($H6&gt;=1,1,MIN(0.97,$H6*Assumptions!$E$12)))</f>
        <v>43.15</v>
      </c>
      <c r="U6" s="23">
        <f>IF(U$3&lt;$I6,0,$G6*Assumptions!$E$11*INDEX(Assumptions!$B$24:$G$24,MIN(6,U$3-$I6+1))*IF(U$3&gt;$J6,(1-Assumptions!$B$26)^(U$3-$J6),1)*IF($H6&gt;=1,1,MIN(0.97,$H6*Assumptions!$E$12)))</f>
        <v>77.67</v>
      </c>
      <c r="V6" s="23">
        <f>IF(V$3&lt;$I6,0,$G6*Assumptions!$E$11*INDEX(Assumptions!$B$24:$G$24,MIN(6,V$3-$I6+1))*IF(V$3&gt;$J6,(1-Assumptions!$B$26)^(V$3-$J6),1)*IF($H6&gt;=1,1,MIN(0.97,$H6*Assumptions!$E$12)))</f>
        <v>112.19</v>
      </c>
      <c r="W6" s="23">
        <f>IF(W$3&lt;$I6,0,$G6*Assumptions!$E$11*INDEX(Assumptions!$B$24:$G$24,MIN(6,W$3-$I6+1))*IF(W$3&gt;$J6,(1-Assumptions!$B$26)^(W$3-$J6),1)*IF($H6&gt;=1,1,MIN(0.97,$H6*Assumptions!$E$12)))</f>
        <v>146.71</v>
      </c>
      <c r="X6" s="23">
        <f>IF(X$3&lt;$I6,0,$G6*Assumptions!$E$11*INDEX(Assumptions!$B$24:$G$24,MIN(6,X$3-$I6+1))*IF(X$3&gt;$J6,(1-Assumptions!$B$26)^(X$3-$J6),1)*IF($H6&gt;=1,1,MIN(0.97,$H6*Assumptions!$E$12)))</f>
        <v>172.6</v>
      </c>
      <c r="Y6" s="23">
        <f>IF(Y$3&lt;$I6,0,$G6*Assumptions!$E$11*INDEX(Assumptions!$B$24:$G$24,MIN(6,Y$3-$I6+1))*IF(Y$3&gt;$J6,(1-Assumptions!$B$26)^(Y$3-$J6),1)*IF($H6&gt;=1,1,MIN(0.97,$H6*Assumptions!$E$12)))</f>
        <v>172.6</v>
      </c>
      <c r="Z6" s="23">
        <f>IF(Z$3&lt;$I6,0,$G6*Assumptions!$E$11*INDEX(Assumptions!$B$24:$G$24,MIN(6,Z$3-$I6+1))*IF(Z$3&gt;$J6,(1-Assumptions!$B$26)^(Z$3-$J6),1)*IF($H6&gt;=1,1,MIN(0.97,$H6*Assumptions!$E$12)))</f>
        <v>172.6</v>
      </c>
      <c r="AA6" s="23">
        <f>IF(AA$3&lt;$I6,0,$G6*Assumptions!$E$11*INDEX(Assumptions!$B$24:$G$24,MIN(6,AA$3-$I6+1))*IF(AA$3&gt;$J6,(1-Assumptions!$B$26)^(AA$3-$J6),1)*IF($H6&gt;=1,1,MIN(0.97,$H6*Assumptions!$E$12)))</f>
        <v>172.6</v>
      </c>
      <c r="AB6" s="23">
        <f>IF(AB$3&lt;$I6,0,$G6*Assumptions!$E$11*INDEX(Assumptions!$B$24:$G$24,MIN(6,AB$3-$I6+1))*IF(AB$3&gt;$J6,(1-Assumptions!$B$26)^(AB$3-$J6),1)*IF($H6&gt;=1,1,MIN(0.97,$H6*Assumptions!$E$12)))</f>
        <v>172.6</v>
      </c>
      <c r="AC6" s="23">
        <f>IF(AC$3&lt;$I6,0,$G6*Assumptions!$E$11*INDEX(Assumptions!$B$24:$G$24,MIN(6,AC$3-$I6+1))*IF(AC$3&gt;$J6,(1-Assumptions!$B$26)^(AC$3-$J6),1)*IF($H6&gt;=1,1,MIN(0.97,$H6*Assumptions!$E$12)))</f>
        <v>172.6</v>
      </c>
      <c r="AD6" s="23">
        <f>IF(AD$3&lt;$I6,0,$G6*Assumptions!$E$11*INDEX(Assumptions!$B$24:$G$24,MIN(6,AD$3-$I6+1))*IF(AD$3&gt;$J6,(1-Assumptions!$B$26)^(AD$3-$J6),1)*IF($H6&gt;=1,1,MIN(0.97,$H6*Assumptions!$E$12)))</f>
        <v>172.6</v>
      </c>
      <c r="AE6" s="23">
        <f>IF(AE$3&lt;$I6,0,$G6*Assumptions!$E$11*INDEX(Assumptions!$B$24:$G$24,MIN(6,AE$3-$I6+1))*IF(AE$3&gt;$J6,(1-Assumptions!$B$26)^(AE$3-$J6),1)*IF($H6&gt;=1,1,MIN(0.97,$H6*Assumptions!$E$12)))</f>
        <v>172.6</v>
      </c>
      <c r="AF6" s="23">
        <f>IF(AF$3&lt;$I6,0,$G6*Assumptions!$E$11*INDEX(Assumptions!$B$24:$G$24,MIN(6,AF$3-$I6+1))*IF(AF$3&gt;$J6,(1-Assumptions!$B$26)^(AF$3-$J6),1)*IF($H6&gt;=1,1,MIN(0.97,$H6*Assumptions!$E$12)))</f>
        <v>86.3</v>
      </c>
      <c r="AG6" s="35">
        <f>IF(F6="Owned",1-IF(H6&gt;=1,1,MIN(0.97,H6*Assumptions!$E$12)),1)</f>
        <v>0.9137</v>
      </c>
    </row>
    <row r="7">
      <c r="A7" s="39" t="n">
        <v>4</v>
      </c>
      <c r="B7" s="14" t="inlineStr">
        <is>
          <t>Multiple sclerosis</t>
        </is>
      </c>
      <c r="C7" s="14" t="inlineStr">
        <is>
          <t>CTX112</t>
        </is>
      </c>
      <c r="D7" s="14" t="inlineStr">
        <is>
          <t>Phase 1/2</t>
        </is>
      </c>
      <c r="E7" s="14" t="inlineStr">
        <is>
          <t>Neurology / area</t>
        </is>
      </c>
      <c r="F7" s="14" t="inlineStr">
        <is>
          <t>Owned</t>
        </is>
      </c>
      <c r="G7" s="40" t="n">
        <v>2000</v>
      </c>
      <c r="H7" s="27" t="n">
        <v>0.0852</v>
      </c>
      <c r="I7" s="26" t="n">
        <v>2032</v>
      </c>
      <c r="J7" s="39">
        <f>I7+Assumptions!$B$25</f>
        <v>2044.0</v>
      </c>
      <c r="K7" s="53">
        <f>Assumptions!$E$13</f>
        <v>0.4</v>
      </c>
      <c r="L7" s="23">
        <f>K7*SUMPRODUCT(M7:AF7,NPV!$C$15:$V$15)</f>
        <v>171.07516471855376</v>
      </c>
      <c r="M7" s="23">
        <f>IF(M$3&lt;$I7,0,$G7*Assumptions!$E$11*INDEX(Assumptions!$B$24:$G$24,MIN(6,M$3-$I7+1))*IF(M$3&gt;$J7,(1-Assumptions!$B$26)^(M$3-$J7),1)*IF($H7&gt;=1,1,MIN(0.97,$H7*Assumptions!$E$12)))</f>
        <v>0</v>
      </c>
      <c r="N7" s="23">
        <f>IF(N$3&lt;$I7,0,$G7*Assumptions!$E$11*INDEX(Assumptions!$B$24:$G$24,MIN(6,N$3-$I7+1))*IF(N$3&gt;$J7,(1-Assumptions!$B$26)^(N$3-$J7),1)*IF($H7&gt;=1,1,MIN(0.97,$H7*Assumptions!$E$12)))</f>
        <v>0</v>
      </c>
      <c r="O7" s="23">
        <f>IF(O$3&lt;$I7,0,$G7*Assumptions!$E$11*INDEX(Assumptions!$B$24:$G$24,MIN(6,O$3-$I7+1))*IF(O$3&gt;$J7,(1-Assumptions!$B$26)^(O$3-$J7),1)*IF($H7&gt;=1,1,MIN(0.97,$H7*Assumptions!$E$12)))</f>
        <v>0</v>
      </c>
      <c r="P7" s="23">
        <f>IF(P$3&lt;$I7,0,$G7*Assumptions!$E$11*INDEX(Assumptions!$B$24:$G$24,MIN(6,P$3-$I7+1))*IF(P$3&gt;$J7,(1-Assumptions!$B$26)^(P$3-$J7),1)*IF($H7&gt;=1,1,MIN(0.97,$H7*Assumptions!$E$12)))</f>
        <v>0</v>
      </c>
      <c r="Q7" s="23">
        <f>IF(Q$3&lt;$I7,0,$G7*Assumptions!$E$11*INDEX(Assumptions!$B$24:$G$24,MIN(6,Q$3-$I7+1))*IF(Q$3&gt;$J7,(1-Assumptions!$B$26)^(Q$3-$J7),1)*IF($H7&gt;=1,1,MIN(0.97,$H7*Assumptions!$E$12)))</f>
        <v>0</v>
      </c>
      <c r="R7" s="23">
        <f>IF(R$3&lt;$I7,0,$G7*Assumptions!$E$11*INDEX(Assumptions!$B$24:$G$24,MIN(6,R$3-$I7+1))*IF(R$3&gt;$J7,(1-Assumptions!$B$26)^(R$3-$J7),1)*IF($H7&gt;=1,1,MIN(0.97,$H7*Assumptions!$E$12)))</f>
        <v>0</v>
      </c>
      <c r="S7" s="23">
        <f>IF(S$3&lt;$I7,0,$G7*Assumptions!$E$11*INDEX(Assumptions!$B$24:$G$24,MIN(6,S$3-$I7+1))*IF(S$3&gt;$J7,(1-Assumptions!$B$26)^(S$3-$J7),1)*IF($H7&gt;=1,1,MIN(0.97,$H7*Assumptions!$E$12)))</f>
        <v>17.04</v>
      </c>
      <c r="T7" s="23">
        <f>IF(T$3&lt;$I7,0,$G7*Assumptions!$E$11*INDEX(Assumptions!$B$24:$G$24,MIN(6,T$3-$I7+1))*IF(T$3&gt;$J7,(1-Assumptions!$B$26)^(T$3-$J7),1)*IF($H7&gt;=1,1,MIN(0.97,$H7*Assumptions!$E$12)))</f>
        <v>42.6</v>
      </c>
      <c r="U7" s="23">
        <f>IF(U$3&lt;$I7,0,$G7*Assumptions!$E$11*INDEX(Assumptions!$B$24:$G$24,MIN(6,U$3-$I7+1))*IF(U$3&gt;$J7,(1-Assumptions!$B$26)^(U$3-$J7),1)*IF($H7&gt;=1,1,MIN(0.97,$H7*Assumptions!$E$12)))</f>
        <v>76.67999999999999</v>
      </c>
      <c r="V7" s="23">
        <f>IF(V$3&lt;$I7,0,$G7*Assumptions!$E$11*INDEX(Assumptions!$B$24:$G$24,MIN(6,V$3-$I7+1))*IF(V$3&gt;$J7,(1-Assumptions!$B$26)^(V$3-$J7),1)*IF($H7&gt;=1,1,MIN(0.97,$H7*Assumptions!$E$12)))</f>
        <v>110.75999999999999</v>
      </c>
      <c r="W7" s="23">
        <f>IF(W$3&lt;$I7,0,$G7*Assumptions!$E$11*INDEX(Assumptions!$B$24:$G$24,MIN(6,W$3-$I7+1))*IF(W$3&gt;$J7,(1-Assumptions!$B$26)^(W$3-$J7),1)*IF($H7&gt;=1,1,MIN(0.97,$H7*Assumptions!$E$12)))</f>
        <v>144.84</v>
      </c>
      <c r="X7" s="23">
        <f>IF(X$3&lt;$I7,0,$G7*Assumptions!$E$11*INDEX(Assumptions!$B$24:$G$24,MIN(6,X$3-$I7+1))*IF(X$3&gt;$J7,(1-Assumptions!$B$26)^(X$3-$J7),1)*IF($H7&gt;=1,1,MIN(0.97,$H7*Assumptions!$E$12)))</f>
        <v>170.4</v>
      </c>
      <c r="Y7" s="23">
        <f>IF(Y$3&lt;$I7,0,$G7*Assumptions!$E$11*INDEX(Assumptions!$B$24:$G$24,MIN(6,Y$3-$I7+1))*IF(Y$3&gt;$J7,(1-Assumptions!$B$26)^(Y$3-$J7),1)*IF($H7&gt;=1,1,MIN(0.97,$H7*Assumptions!$E$12)))</f>
        <v>170.4</v>
      </c>
      <c r="Z7" s="23">
        <f>IF(Z$3&lt;$I7,0,$G7*Assumptions!$E$11*INDEX(Assumptions!$B$24:$G$24,MIN(6,Z$3-$I7+1))*IF(Z$3&gt;$J7,(1-Assumptions!$B$26)^(Z$3-$J7),1)*IF($H7&gt;=1,1,MIN(0.97,$H7*Assumptions!$E$12)))</f>
        <v>170.4</v>
      </c>
      <c r="AA7" s="23">
        <f>IF(AA$3&lt;$I7,0,$G7*Assumptions!$E$11*INDEX(Assumptions!$B$24:$G$24,MIN(6,AA$3-$I7+1))*IF(AA$3&gt;$J7,(1-Assumptions!$B$26)^(AA$3-$J7),1)*IF($H7&gt;=1,1,MIN(0.97,$H7*Assumptions!$E$12)))</f>
        <v>170.4</v>
      </c>
      <c r="AB7" s="23">
        <f>IF(AB$3&lt;$I7,0,$G7*Assumptions!$E$11*INDEX(Assumptions!$B$24:$G$24,MIN(6,AB$3-$I7+1))*IF(AB$3&gt;$J7,(1-Assumptions!$B$26)^(AB$3-$J7),1)*IF($H7&gt;=1,1,MIN(0.97,$H7*Assumptions!$E$12)))</f>
        <v>170.4</v>
      </c>
      <c r="AC7" s="23">
        <f>IF(AC$3&lt;$I7,0,$G7*Assumptions!$E$11*INDEX(Assumptions!$B$24:$G$24,MIN(6,AC$3-$I7+1))*IF(AC$3&gt;$J7,(1-Assumptions!$B$26)^(AC$3-$J7),1)*IF($H7&gt;=1,1,MIN(0.97,$H7*Assumptions!$E$12)))</f>
        <v>170.4</v>
      </c>
      <c r="AD7" s="23">
        <f>IF(AD$3&lt;$I7,0,$G7*Assumptions!$E$11*INDEX(Assumptions!$B$24:$G$24,MIN(6,AD$3-$I7+1))*IF(AD$3&gt;$J7,(1-Assumptions!$B$26)^(AD$3-$J7),1)*IF($H7&gt;=1,1,MIN(0.97,$H7*Assumptions!$E$12)))</f>
        <v>170.4</v>
      </c>
      <c r="AE7" s="23">
        <f>IF(AE$3&lt;$I7,0,$G7*Assumptions!$E$11*INDEX(Assumptions!$B$24:$G$24,MIN(6,AE$3-$I7+1))*IF(AE$3&gt;$J7,(1-Assumptions!$B$26)^(AE$3-$J7),1)*IF($H7&gt;=1,1,MIN(0.97,$H7*Assumptions!$E$12)))</f>
        <v>170.4</v>
      </c>
      <c r="AF7" s="23">
        <f>IF(AF$3&lt;$I7,0,$G7*Assumptions!$E$11*INDEX(Assumptions!$B$24:$G$24,MIN(6,AF$3-$I7+1))*IF(AF$3&gt;$J7,(1-Assumptions!$B$26)^(AF$3-$J7),1)*IF($H7&gt;=1,1,MIN(0.97,$H7*Assumptions!$E$12)))</f>
        <v>85.2</v>
      </c>
      <c r="AG7" s="35">
        <f>IF(F7="Owned",1-IF(H7&gt;=1,1,MIN(0.97,H7*Assumptions!$E$12)),1)</f>
        <v>0.9148000000000001</v>
      </c>
    </row>
    <row r="8">
      <c r="A8" s="39" t="n">
        <v>5</v>
      </c>
      <c r="B8" s="14" t="inlineStr">
        <is>
          <t>Rare autoimmune</t>
        </is>
      </c>
      <c r="C8" s="14" t="inlineStr">
        <is>
          <t>CTX112</t>
        </is>
      </c>
      <c r="D8" s="14" t="inlineStr">
        <is>
          <t>Phase 1/2</t>
        </is>
      </c>
      <c r="E8" s="14" t="inlineStr">
        <is>
          <t>Autoimmune / rare</t>
        </is>
      </c>
      <c r="F8" s="14" t="inlineStr">
        <is>
          <t>Owned</t>
        </is>
      </c>
      <c r="G8" s="40" t="n">
        <v>800</v>
      </c>
      <c r="H8" s="27" t="n">
        <v>0.207</v>
      </c>
      <c r="I8" s="26" t="n">
        <v>2032</v>
      </c>
      <c r="J8" s="39">
        <f>I8+Assumptions!$B$25</f>
        <v>2044.0</v>
      </c>
      <c r="K8" s="53">
        <f>Assumptions!$E$13</f>
        <v>0.4</v>
      </c>
      <c r="L8" s="23">
        <f>K8*SUMPRODUCT(M8:AF8,NPV!$C$15:$V$15)</f>
        <v>166.25614599408743</v>
      </c>
      <c r="M8" s="23">
        <f>IF(M$3&lt;$I8,0,$G8*Assumptions!$E$11*INDEX(Assumptions!$B$24:$G$24,MIN(6,M$3-$I8+1))*IF(M$3&gt;$J8,(1-Assumptions!$B$26)^(M$3-$J8),1)*IF($H8&gt;=1,1,MIN(0.97,$H8*Assumptions!$E$12)))</f>
        <v>0</v>
      </c>
      <c r="N8" s="23">
        <f>IF(N$3&lt;$I8,0,$G8*Assumptions!$E$11*INDEX(Assumptions!$B$24:$G$24,MIN(6,N$3-$I8+1))*IF(N$3&gt;$J8,(1-Assumptions!$B$26)^(N$3-$J8),1)*IF($H8&gt;=1,1,MIN(0.97,$H8*Assumptions!$E$12)))</f>
        <v>0</v>
      </c>
      <c r="O8" s="23">
        <f>IF(O$3&lt;$I8,0,$G8*Assumptions!$E$11*INDEX(Assumptions!$B$24:$G$24,MIN(6,O$3-$I8+1))*IF(O$3&gt;$J8,(1-Assumptions!$B$26)^(O$3-$J8),1)*IF($H8&gt;=1,1,MIN(0.97,$H8*Assumptions!$E$12)))</f>
        <v>0</v>
      </c>
      <c r="P8" s="23">
        <f>IF(P$3&lt;$I8,0,$G8*Assumptions!$E$11*INDEX(Assumptions!$B$24:$G$24,MIN(6,P$3-$I8+1))*IF(P$3&gt;$J8,(1-Assumptions!$B$26)^(P$3-$J8),1)*IF($H8&gt;=1,1,MIN(0.97,$H8*Assumptions!$E$12)))</f>
        <v>0</v>
      </c>
      <c r="Q8" s="23">
        <f>IF(Q$3&lt;$I8,0,$G8*Assumptions!$E$11*INDEX(Assumptions!$B$24:$G$24,MIN(6,Q$3-$I8+1))*IF(Q$3&gt;$J8,(1-Assumptions!$B$26)^(Q$3-$J8),1)*IF($H8&gt;=1,1,MIN(0.97,$H8*Assumptions!$E$12)))</f>
        <v>0</v>
      </c>
      <c r="R8" s="23">
        <f>IF(R$3&lt;$I8,0,$G8*Assumptions!$E$11*INDEX(Assumptions!$B$24:$G$24,MIN(6,R$3-$I8+1))*IF(R$3&gt;$J8,(1-Assumptions!$B$26)^(R$3-$J8),1)*IF($H8&gt;=1,1,MIN(0.97,$H8*Assumptions!$E$12)))</f>
        <v>0</v>
      </c>
      <c r="S8" s="23">
        <f>IF(S$3&lt;$I8,0,$G8*Assumptions!$E$11*INDEX(Assumptions!$B$24:$G$24,MIN(6,S$3-$I8+1))*IF(S$3&gt;$J8,(1-Assumptions!$B$26)^(S$3-$J8),1)*IF($H8&gt;=1,1,MIN(0.97,$H8*Assumptions!$E$12)))</f>
        <v>16.56</v>
      </c>
      <c r="T8" s="23">
        <f>IF(T$3&lt;$I8,0,$G8*Assumptions!$E$11*INDEX(Assumptions!$B$24:$G$24,MIN(6,T$3-$I8+1))*IF(T$3&gt;$J8,(1-Assumptions!$B$26)^(T$3-$J8),1)*IF($H8&gt;=1,1,MIN(0.97,$H8*Assumptions!$E$12)))</f>
        <v>41.4</v>
      </c>
      <c r="U8" s="23">
        <f>IF(U$3&lt;$I8,0,$G8*Assumptions!$E$11*INDEX(Assumptions!$B$24:$G$24,MIN(6,U$3-$I8+1))*IF(U$3&gt;$J8,(1-Assumptions!$B$26)^(U$3-$J8),1)*IF($H8&gt;=1,1,MIN(0.97,$H8*Assumptions!$E$12)))</f>
        <v>74.52</v>
      </c>
      <c r="V8" s="23">
        <f>IF(V$3&lt;$I8,0,$G8*Assumptions!$E$11*INDEX(Assumptions!$B$24:$G$24,MIN(6,V$3-$I8+1))*IF(V$3&gt;$J8,(1-Assumptions!$B$26)^(V$3-$J8),1)*IF($H8&gt;=1,1,MIN(0.97,$H8*Assumptions!$E$12)))</f>
        <v>107.64</v>
      </c>
      <c r="W8" s="23">
        <f>IF(W$3&lt;$I8,0,$G8*Assumptions!$E$11*INDEX(Assumptions!$B$24:$G$24,MIN(6,W$3-$I8+1))*IF(W$3&gt;$J8,(1-Assumptions!$B$26)^(W$3-$J8),1)*IF($H8&gt;=1,1,MIN(0.97,$H8*Assumptions!$E$12)))</f>
        <v>140.76</v>
      </c>
      <c r="X8" s="23">
        <f>IF(X$3&lt;$I8,0,$G8*Assumptions!$E$11*INDEX(Assumptions!$B$24:$G$24,MIN(6,X$3-$I8+1))*IF(X$3&gt;$J8,(1-Assumptions!$B$26)^(X$3-$J8),1)*IF($H8&gt;=1,1,MIN(0.97,$H8*Assumptions!$E$12)))</f>
        <v>165.6</v>
      </c>
      <c r="Y8" s="23">
        <f>IF(Y$3&lt;$I8,0,$G8*Assumptions!$E$11*INDEX(Assumptions!$B$24:$G$24,MIN(6,Y$3-$I8+1))*IF(Y$3&gt;$J8,(1-Assumptions!$B$26)^(Y$3-$J8),1)*IF($H8&gt;=1,1,MIN(0.97,$H8*Assumptions!$E$12)))</f>
        <v>165.6</v>
      </c>
      <c r="Z8" s="23">
        <f>IF(Z$3&lt;$I8,0,$G8*Assumptions!$E$11*INDEX(Assumptions!$B$24:$G$24,MIN(6,Z$3-$I8+1))*IF(Z$3&gt;$J8,(1-Assumptions!$B$26)^(Z$3-$J8),1)*IF($H8&gt;=1,1,MIN(0.97,$H8*Assumptions!$E$12)))</f>
        <v>165.6</v>
      </c>
      <c r="AA8" s="23">
        <f>IF(AA$3&lt;$I8,0,$G8*Assumptions!$E$11*INDEX(Assumptions!$B$24:$G$24,MIN(6,AA$3-$I8+1))*IF(AA$3&gt;$J8,(1-Assumptions!$B$26)^(AA$3-$J8),1)*IF($H8&gt;=1,1,MIN(0.97,$H8*Assumptions!$E$12)))</f>
        <v>165.6</v>
      </c>
      <c r="AB8" s="23">
        <f>IF(AB$3&lt;$I8,0,$G8*Assumptions!$E$11*INDEX(Assumptions!$B$24:$G$24,MIN(6,AB$3-$I8+1))*IF(AB$3&gt;$J8,(1-Assumptions!$B$26)^(AB$3-$J8),1)*IF($H8&gt;=1,1,MIN(0.97,$H8*Assumptions!$E$12)))</f>
        <v>165.6</v>
      </c>
      <c r="AC8" s="23">
        <f>IF(AC$3&lt;$I8,0,$G8*Assumptions!$E$11*INDEX(Assumptions!$B$24:$G$24,MIN(6,AC$3-$I8+1))*IF(AC$3&gt;$J8,(1-Assumptions!$B$26)^(AC$3-$J8),1)*IF($H8&gt;=1,1,MIN(0.97,$H8*Assumptions!$E$12)))</f>
        <v>165.6</v>
      </c>
      <c r="AD8" s="23">
        <f>IF(AD$3&lt;$I8,0,$G8*Assumptions!$E$11*INDEX(Assumptions!$B$24:$G$24,MIN(6,AD$3-$I8+1))*IF(AD$3&gt;$J8,(1-Assumptions!$B$26)^(AD$3-$J8),1)*IF($H8&gt;=1,1,MIN(0.97,$H8*Assumptions!$E$12)))</f>
        <v>165.6</v>
      </c>
      <c r="AE8" s="23">
        <f>IF(AE$3&lt;$I8,0,$G8*Assumptions!$E$11*INDEX(Assumptions!$B$24:$G$24,MIN(6,AE$3-$I8+1))*IF(AE$3&gt;$J8,(1-Assumptions!$B$26)^(AE$3-$J8),1)*IF($H8&gt;=1,1,MIN(0.97,$H8*Assumptions!$E$12)))</f>
        <v>165.6</v>
      </c>
      <c r="AF8" s="23">
        <f>IF(AF$3&lt;$I8,0,$G8*Assumptions!$E$11*INDEX(Assumptions!$B$24:$G$24,MIN(6,AF$3-$I8+1))*IF(AF$3&gt;$J8,(1-Assumptions!$B$26)^(AF$3-$J8),1)*IF($H8&gt;=1,1,MIN(0.97,$H8*Assumptions!$E$12)))</f>
        <v>82.8</v>
      </c>
      <c r="AG8" s="35">
        <f>IF(F8="Owned",1-IF(H8&gt;=1,1,MIN(0.97,H8*Assumptions!$E$12)),1)</f>
        <v>0.793</v>
      </c>
    </row>
    <row r="9">
      <c r="A9" s="39" t="n">
        <v>6</v>
      </c>
      <c r="B9" s="14" t="inlineStr">
        <is>
          <t>Lipids / cardiometabolic</t>
        </is>
      </c>
      <c r="C9" s="14" t="inlineStr">
        <is>
          <t>CTX310</t>
        </is>
      </c>
      <c r="D9" s="14" t="inlineStr">
        <is>
          <t>Phase 1</t>
        </is>
      </c>
      <c r="E9" s="14" t="inlineStr">
        <is>
          <t>Cardiovascular / chronic</t>
        </is>
      </c>
      <c r="F9" s="14" t="inlineStr">
        <is>
          <t>Owned</t>
        </is>
      </c>
      <c r="G9" s="40" t="n">
        <v>3000</v>
      </c>
      <c r="H9" s="27" t="n">
        <v>0.0585</v>
      </c>
      <c r="I9" s="26" t="n">
        <v>2033</v>
      </c>
      <c r="J9" s="39">
        <f>I9+Assumptions!$B$25</f>
        <v>2045.0</v>
      </c>
      <c r="K9" s="53">
        <f>Assumptions!$E$13</f>
        <v>0.4</v>
      </c>
      <c r="L9" s="23">
        <f>K9*SUMPRODUCT(M9:AF9,NPV!$C$15:$V$15)</f>
        <v>153.68028339752942</v>
      </c>
      <c r="M9" s="23">
        <f>IF(M$3&lt;$I9,0,$G9*Assumptions!$E$11*INDEX(Assumptions!$B$24:$G$24,MIN(6,M$3-$I9+1))*IF(M$3&gt;$J9,(1-Assumptions!$B$26)^(M$3-$J9),1)*IF($H9&gt;=1,1,MIN(0.97,$H9*Assumptions!$E$12)))</f>
        <v>0</v>
      </c>
      <c r="N9" s="23">
        <f>IF(N$3&lt;$I9,0,$G9*Assumptions!$E$11*INDEX(Assumptions!$B$24:$G$24,MIN(6,N$3-$I9+1))*IF(N$3&gt;$J9,(1-Assumptions!$B$26)^(N$3-$J9),1)*IF($H9&gt;=1,1,MIN(0.97,$H9*Assumptions!$E$12)))</f>
        <v>0</v>
      </c>
      <c r="O9" s="23">
        <f>IF(O$3&lt;$I9,0,$G9*Assumptions!$E$11*INDEX(Assumptions!$B$24:$G$24,MIN(6,O$3-$I9+1))*IF(O$3&gt;$J9,(1-Assumptions!$B$26)^(O$3-$J9),1)*IF($H9&gt;=1,1,MIN(0.97,$H9*Assumptions!$E$12)))</f>
        <v>0</v>
      </c>
      <c r="P9" s="23">
        <f>IF(P$3&lt;$I9,0,$G9*Assumptions!$E$11*INDEX(Assumptions!$B$24:$G$24,MIN(6,P$3-$I9+1))*IF(P$3&gt;$J9,(1-Assumptions!$B$26)^(P$3-$J9),1)*IF($H9&gt;=1,1,MIN(0.97,$H9*Assumptions!$E$12)))</f>
        <v>0</v>
      </c>
      <c r="Q9" s="23">
        <f>IF(Q$3&lt;$I9,0,$G9*Assumptions!$E$11*INDEX(Assumptions!$B$24:$G$24,MIN(6,Q$3-$I9+1))*IF(Q$3&gt;$J9,(1-Assumptions!$B$26)^(Q$3-$J9),1)*IF($H9&gt;=1,1,MIN(0.97,$H9*Assumptions!$E$12)))</f>
        <v>0</v>
      </c>
      <c r="R9" s="23">
        <f>IF(R$3&lt;$I9,0,$G9*Assumptions!$E$11*INDEX(Assumptions!$B$24:$G$24,MIN(6,R$3-$I9+1))*IF(R$3&gt;$J9,(1-Assumptions!$B$26)^(R$3-$J9),1)*IF($H9&gt;=1,1,MIN(0.97,$H9*Assumptions!$E$12)))</f>
        <v>0</v>
      </c>
      <c r="S9" s="23">
        <f>IF(S$3&lt;$I9,0,$G9*Assumptions!$E$11*INDEX(Assumptions!$B$24:$G$24,MIN(6,S$3-$I9+1))*IF(S$3&gt;$J9,(1-Assumptions!$B$26)^(S$3-$J9),1)*IF($H9&gt;=1,1,MIN(0.97,$H9*Assumptions!$E$12)))</f>
        <v>0</v>
      </c>
      <c r="T9" s="23">
        <f>IF(T$3&lt;$I9,0,$G9*Assumptions!$E$11*INDEX(Assumptions!$B$24:$G$24,MIN(6,T$3-$I9+1))*IF(T$3&gt;$J9,(1-Assumptions!$B$26)^(T$3-$J9),1)*IF($H9&gt;=1,1,MIN(0.97,$H9*Assumptions!$E$12)))</f>
        <v>17.55</v>
      </c>
      <c r="U9" s="23">
        <f>IF(U$3&lt;$I9,0,$G9*Assumptions!$E$11*INDEX(Assumptions!$B$24:$G$24,MIN(6,U$3-$I9+1))*IF(U$3&gt;$J9,(1-Assumptions!$B$26)^(U$3-$J9),1)*IF($H9&gt;=1,1,MIN(0.97,$H9*Assumptions!$E$12)))</f>
        <v>43.875</v>
      </c>
      <c r="V9" s="23">
        <f>IF(V$3&lt;$I9,0,$G9*Assumptions!$E$11*INDEX(Assumptions!$B$24:$G$24,MIN(6,V$3-$I9+1))*IF(V$3&gt;$J9,(1-Assumptions!$B$26)^(V$3-$J9),1)*IF($H9&gt;=1,1,MIN(0.97,$H9*Assumptions!$E$12)))</f>
        <v>78.97500000000001</v>
      </c>
      <c r="W9" s="23">
        <f>IF(W$3&lt;$I9,0,$G9*Assumptions!$E$11*INDEX(Assumptions!$B$24:$G$24,MIN(6,W$3-$I9+1))*IF(W$3&gt;$J9,(1-Assumptions!$B$26)^(W$3-$J9),1)*IF($H9&gt;=1,1,MIN(0.97,$H9*Assumptions!$E$12)))</f>
        <v>114.075</v>
      </c>
      <c r="X9" s="23">
        <f>IF(X$3&lt;$I9,0,$G9*Assumptions!$E$11*INDEX(Assumptions!$B$24:$G$24,MIN(6,X$3-$I9+1))*IF(X$3&gt;$J9,(1-Assumptions!$B$26)^(X$3-$J9),1)*IF($H9&gt;=1,1,MIN(0.97,$H9*Assumptions!$E$12)))</f>
        <v>149.175</v>
      </c>
      <c r="Y9" s="23">
        <f>IF(Y$3&lt;$I9,0,$G9*Assumptions!$E$11*INDEX(Assumptions!$B$24:$G$24,MIN(6,Y$3-$I9+1))*IF(Y$3&gt;$J9,(1-Assumptions!$B$26)^(Y$3-$J9),1)*IF($H9&gt;=1,1,MIN(0.97,$H9*Assumptions!$E$12)))</f>
        <v>175.5</v>
      </c>
      <c r="Z9" s="23">
        <f>IF(Z$3&lt;$I9,0,$G9*Assumptions!$E$11*INDEX(Assumptions!$B$24:$G$24,MIN(6,Z$3-$I9+1))*IF(Z$3&gt;$J9,(1-Assumptions!$B$26)^(Z$3-$J9),1)*IF($H9&gt;=1,1,MIN(0.97,$H9*Assumptions!$E$12)))</f>
        <v>175.5</v>
      </c>
      <c r="AA9" s="23">
        <f>IF(AA$3&lt;$I9,0,$G9*Assumptions!$E$11*INDEX(Assumptions!$B$24:$G$24,MIN(6,AA$3-$I9+1))*IF(AA$3&gt;$J9,(1-Assumptions!$B$26)^(AA$3-$J9),1)*IF($H9&gt;=1,1,MIN(0.97,$H9*Assumptions!$E$12)))</f>
        <v>175.5</v>
      </c>
      <c r="AB9" s="23">
        <f>IF(AB$3&lt;$I9,0,$G9*Assumptions!$E$11*INDEX(Assumptions!$B$24:$G$24,MIN(6,AB$3-$I9+1))*IF(AB$3&gt;$J9,(1-Assumptions!$B$26)^(AB$3-$J9),1)*IF($H9&gt;=1,1,MIN(0.97,$H9*Assumptions!$E$12)))</f>
        <v>175.5</v>
      </c>
      <c r="AC9" s="23">
        <f>IF(AC$3&lt;$I9,0,$G9*Assumptions!$E$11*INDEX(Assumptions!$B$24:$G$24,MIN(6,AC$3-$I9+1))*IF(AC$3&gt;$J9,(1-Assumptions!$B$26)^(AC$3-$J9),1)*IF($H9&gt;=1,1,MIN(0.97,$H9*Assumptions!$E$12)))</f>
        <v>175.5</v>
      </c>
      <c r="AD9" s="23">
        <f>IF(AD$3&lt;$I9,0,$G9*Assumptions!$E$11*INDEX(Assumptions!$B$24:$G$24,MIN(6,AD$3-$I9+1))*IF(AD$3&gt;$J9,(1-Assumptions!$B$26)^(AD$3-$J9),1)*IF($H9&gt;=1,1,MIN(0.97,$H9*Assumptions!$E$12)))</f>
        <v>175.5</v>
      </c>
      <c r="AE9" s="23">
        <f>IF(AE$3&lt;$I9,0,$G9*Assumptions!$E$11*INDEX(Assumptions!$B$24:$G$24,MIN(6,AE$3-$I9+1))*IF(AE$3&gt;$J9,(1-Assumptions!$B$26)^(AE$3-$J9),1)*IF($H9&gt;=1,1,MIN(0.97,$H9*Assumptions!$E$12)))</f>
        <v>175.5</v>
      </c>
      <c r="AF9" s="23">
        <f>IF(AF$3&lt;$I9,0,$G9*Assumptions!$E$11*INDEX(Assumptions!$B$24:$G$24,MIN(6,AF$3-$I9+1))*IF(AF$3&gt;$J9,(1-Assumptions!$B$26)^(AF$3-$J9),1)*IF($H9&gt;=1,1,MIN(0.97,$H9*Assumptions!$E$12)))</f>
        <v>175.5</v>
      </c>
      <c r="AG9" s="35">
        <f>IF(F9="Owned",1-IF(H9&gt;=1,1,MIN(0.97,H9*Assumptions!$E$12)),1)</f>
        <v>0.9415</v>
      </c>
    </row>
    <row r="10">
      <c r="A10" s="39" t="n">
        <v>7</v>
      </c>
      <c r="B10" s="14" t="inlineStr">
        <is>
          <t>Lupus / Sjogren's</t>
        </is>
      </c>
      <c r="C10" s="14" t="inlineStr">
        <is>
          <t>CTX112</t>
        </is>
      </c>
      <c r="D10" s="14" t="inlineStr">
        <is>
          <t>Phase 1</t>
        </is>
      </c>
      <c r="E10" s="14" t="inlineStr">
        <is>
          <t>Autoimmune / area</t>
        </is>
      </c>
      <c r="F10" s="14" t="inlineStr">
        <is>
          <t>Owned</t>
        </is>
      </c>
      <c r="G10" s="40" t="n">
        <v>1500</v>
      </c>
      <c r="H10" s="27" t="n">
        <v>0.1065</v>
      </c>
      <c r="I10" s="26" t="n">
        <v>2033</v>
      </c>
      <c r="J10" s="39">
        <f>I10+Assumptions!$B$25</f>
        <v>2045.0</v>
      </c>
      <c r="K10" s="53">
        <f>Assumptions!$E$13</f>
        <v>0.4</v>
      </c>
      <c r="L10" s="23">
        <f>K10*SUMPRODUCT(M10:AF10,NPV!$C$15:$V$15)</f>
        <v>139.88846309262294</v>
      </c>
      <c r="M10" s="23">
        <f>IF(M$3&lt;$I10,0,$G10*Assumptions!$E$11*INDEX(Assumptions!$B$24:$G$24,MIN(6,M$3-$I10+1))*IF(M$3&gt;$J10,(1-Assumptions!$B$26)^(M$3-$J10),1)*IF($H10&gt;=1,1,MIN(0.97,$H10*Assumptions!$E$12)))</f>
        <v>0</v>
      </c>
      <c r="N10" s="23">
        <f>IF(N$3&lt;$I10,0,$G10*Assumptions!$E$11*INDEX(Assumptions!$B$24:$G$24,MIN(6,N$3-$I10+1))*IF(N$3&gt;$J10,(1-Assumptions!$B$26)^(N$3-$J10),1)*IF($H10&gt;=1,1,MIN(0.97,$H10*Assumptions!$E$12)))</f>
        <v>0</v>
      </c>
      <c r="O10" s="23">
        <f>IF(O$3&lt;$I10,0,$G10*Assumptions!$E$11*INDEX(Assumptions!$B$24:$G$24,MIN(6,O$3-$I10+1))*IF(O$3&gt;$J10,(1-Assumptions!$B$26)^(O$3-$J10),1)*IF($H10&gt;=1,1,MIN(0.97,$H10*Assumptions!$E$12)))</f>
        <v>0</v>
      </c>
      <c r="P10" s="23">
        <f>IF(P$3&lt;$I10,0,$G10*Assumptions!$E$11*INDEX(Assumptions!$B$24:$G$24,MIN(6,P$3-$I10+1))*IF(P$3&gt;$J10,(1-Assumptions!$B$26)^(P$3-$J10),1)*IF($H10&gt;=1,1,MIN(0.97,$H10*Assumptions!$E$12)))</f>
        <v>0</v>
      </c>
      <c r="Q10" s="23">
        <f>IF(Q$3&lt;$I10,0,$G10*Assumptions!$E$11*INDEX(Assumptions!$B$24:$G$24,MIN(6,Q$3-$I10+1))*IF(Q$3&gt;$J10,(1-Assumptions!$B$26)^(Q$3-$J10),1)*IF($H10&gt;=1,1,MIN(0.97,$H10*Assumptions!$E$12)))</f>
        <v>0</v>
      </c>
      <c r="R10" s="23">
        <f>IF(R$3&lt;$I10,0,$G10*Assumptions!$E$11*INDEX(Assumptions!$B$24:$G$24,MIN(6,R$3-$I10+1))*IF(R$3&gt;$J10,(1-Assumptions!$B$26)^(R$3-$J10),1)*IF($H10&gt;=1,1,MIN(0.97,$H10*Assumptions!$E$12)))</f>
        <v>0</v>
      </c>
      <c r="S10" s="23">
        <f>IF(S$3&lt;$I10,0,$G10*Assumptions!$E$11*INDEX(Assumptions!$B$24:$G$24,MIN(6,S$3-$I10+1))*IF(S$3&gt;$J10,(1-Assumptions!$B$26)^(S$3-$J10),1)*IF($H10&gt;=1,1,MIN(0.97,$H10*Assumptions!$E$12)))</f>
        <v>0</v>
      </c>
      <c r="T10" s="23">
        <f>IF(T$3&lt;$I10,0,$G10*Assumptions!$E$11*INDEX(Assumptions!$B$24:$G$24,MIN(6,T$3-$I10+1))*IF(T$3&gt;$J10,(1-Assumptions!$B$26)^(T$3-$J10),1)*IF($H10&gt;=1,1,MIN(0.97,$H10*Assumptions!$E$12)))</f>
        <v>15.975</v>
      </c>
      <c r="U10" s="23">
        <f>IF(U$3&lt;$I10,0,$G10*Assumptions!$E$11*INDEX(Assumptions!$B$24:$G$24,MIN(6,U$3-$I10+1))*IF(U$3&gt;$J10,(1-Assumptions!$B$26)^(U$3-$J10),1)*IF($H10&gt;=1,1,MIN(0.97,$H10*Assumptions!$E$12)))</f>
        <v>39.9375</v>
      </c>
      <c r="V10" s="23">
        <f>IF(V$3&lt;$I10,0,$G10*Assumptions!$E$11*INDEX(Assumptions!$B$24:$G$24,MIN(6,V$3-$I10+1))*IF(V$3&gt;$J10,(1-Assumptions!$B$26)^(V$3-$J10),1)*IF($H10&gt;=1,1,MIN(0.97,$H10*Assumptions!$E$12)))</f>
        <v>71.8875</v>
      </c>
      <c r="W10" s="23">
        <f>IF(W$3&lt;$I10,0,$G10*Assumptions!$E$11*INDEX(Assumptions!$B$24:$G$24,MIN(6,W$3-$I10+1))*IF(W$3&gt;$J10,(1-Assumptions!$B$26)^(W$3-$J10),1)*IF($H10&gt;=1,1,MIN(0.97,$H10*Assumptions!$E$12)))</f>
        <v>103.83749999999999</v>
      </c>
      <c r="X10" s="23">
        <f>IF(X$3&lt;$I10,0,$G10*Assumptions!$E$11*INDEX(Assumptions!$B$24:$G$24,MIN(6,X$3-$I10+1))*IF(X$3&gt;$J10,(1-Assumptions!$B$26)^(X$3-$J10),1)*IF($H10&gt;=1,1,MIN(0.97,$H10*Assumptions!$E$12)))</f>
        <v>135.7875</v>
      </c>
      <c r="Y10" s="23">
        <f>IF(Y$3&lt;$I10,0,$G10*Assumptions!$E$11*INDEX(Assumptions!$B$24:$G$24,MIN(6,Y$3-$I10+1))*IF(Y$3&gt;$J10,(1-Assumptions!$B$26)^(Y$3-$J10),1)*IF($H10&gt;=1,1,MIN(0.97,$H10*Assumptions!$E$12)))</f>
        <v>159.75</v>
      </c>
      <c r="Z10" s="23">
        <f>IF(Z$3&lt;$I10,0,$G10*Assumptions!$E$11*INDEX(Assumptions!$B$24:$G$24,MIN(6,Z$3-$I10+1))*IF(Z$3&gt;$J10,(1-Assumptions!$B$26)^(Z$3-$J10),1)*IF($H10&gt;=1,1,MIN(0.97,$H10*Assumptions!$E$12)))</f>
        <v>159.75</v>
      </c>
      <c r="AA10" s="23">
        <f>IF(AA$3&lt;$I10,0,$G10*Assumptions!$E$11*INDEX(Assumptions!$B$24:$G$24,MIN(6,AA$3-$I10+1))*IF(AA$3&gt;$J10,(1-Assumptions!$B$26)^(AA$3-$J10),1)*IF($H10&gt;=1,1,MIN(0.97,$H10*Assumptions!$E$12)))</f>
        <v>159.75</v>
      </c>
      <c r="AB10" s="23">
        <f>IF(AB$3&lt;$I10,0,$G10*Assumptions!$E$11*INDEX(Assumptions!$B$24:$G$24,MIN(6,AB$3-$I10+1))*IF(AB$3&gt;$J10,(1-Assumptions!$B$26)^(AB$3-$J10),1)*IF($H10&gt;=1,1,MIN(0.97,$H10*Assumptions!$E$12)))</f>
        <v>159.75</v>
      </c>
      <c r="AC10" s="23">
        <f>IF(AC$3&lt;$I10,0,$G10*Assumptions!$E$11*INDEX(Assumptions!$B$24:$G$24,MIN(6,AC$3-$I10+1))*IF(AC$3&gt;$J10,(1-Assumptions!$B$26)^(AC$3-$J10),1)*IF($H10&gt;=1,1,MIN(0.97,$H10*Assumptions!$E$12)))</f>
        <v>159.75</v>
      </c>
      <c r="AD10" s="23">
        <f>IF(AD$3&lt;$I10,0,$G10*Assumptions!$E$11*INDEX(Assumptions!$B$24:$G$24,MIN(6,AD$3-$I10+1))*IF(AD$3&gt;$J10,(1-Assumptions!$B$26)^(AD$3-$J10),1)*IF($H10&gt;=1,1,MIN(0.97,$H10*Assumptions!$E$12)))</f>
        <v>159.75</v>
      </c>
      <c r="AE10" s="23">
        <f>IF(AE$3&lt;$I10,0,$G10*Assumptions!$E$11*INDEX(Assumptions!$B$24:$G$24,MIN(6,AE$3-$I10+1))*IF(AE$3&gt;$J10,(1-Assumptions!$B$26)^(AE$3-$J10),1)*IF($H10&gt;=1,1,MIN(0.97,$H10*Assumptions!$E$12)))</f>
        <v>159.75</v>
      </c>
      <c r="AF10" s="23">
        <f>IF(AF$3&lt;$I10,0,$G10*Assumptions!$E$11*INDEX(Assumptions!$B$24:$G$24,MIN(6,AF$3-$I10+1))*IF(AF$3&gt;$J10,(1-Assumptions!$B$26)^(AF$3-$J10),1)*IF($H10&gt;=1,1,MIN(0.97,$H10*Assumptions!$E$12)))</f>
        <v>159.75</v>
      </c>
      <c r="AG10" s="35">
        <f>IF(F10="Owned",1-IF(H10&gt;=1,1,MIN(0.97,H10*Assumptions!$E$12)),1)</f>
        <v>0.8935</v>
      </c>
    </row>
    <row r="11">
      <c r="A11" s="39" t="n">
        <v>8</v>
      </c>
      <c r="B11" s="14" t="inlineStr">
        <is>
          <t>Lymphoma</t>
        </is>
      </c>
      <c r="C11" s="14" t="inlineStr">
        <is>
          <t>CTX131, CTX112</t>
        </is>
      </c>
      <c r="D11" s="14" t="inlineStr">
        <is>
          <t>Phase 1/2</t>
        </is>
      </c>
      <c r="E11" s="14" t="inlineStr">
        <is>
          <t>Oncology / area</t>
        </is>
      </c>
      <c r="F11" s="14" t="inlineStr">
        <is>
          <t>Owned</t>
        </is>
      </c>
      <c r="G11" s="40" t="n">
        <v>1500</v>
      </c>
      <c r="H11" s="27" t="n">
        <v>0.07539999999999999</v>
      </c>
      <c r="I11" s="26" t="n">
        <v>2032</v>
      </c>
      <c r="J11" s="39">
        <f>I11+Assumptions!$B$25</f>
        <v>2044.0</v>
      </c>
      <c r="K11" s="53">
        <f>Assumptions!$E$13</f>
        <v>0.4</v>
      </c>
      <c r="L11" s="23">
        <f>K11*SUMPRODUCT(M11:AF11,NPV!$C$15:$V$15)</f>
        <v>113.54812869523724</v>
      </c>
      <c r="M11" s="23">
        <f>IF(M$3&lt;$I11,0,$G11*Assumptions!$E$11*INDEX(Assumptions!$B$24:$G$24,MIN(6,M$3-$I11+1))*IF(M$3&gt;$J11,(1-Assumptions!$B$26)^(M$3-$J11),1)*IF($H11&gt;=1,1,MIN(0.97,$H11*Assumptions!$E$12)))</f>
        <v>0</v>
      </c>
      <c r="N11" s="23">
        <f>IF(N$3&lt;$I11,0,$G11*Assumptions!$E$11*INDEX(Assumptions!$B$24:$G$24,MIN(6,N$3-$I11+1))*IF(N$3&gt;$J11,(1-Assumptions!$B$26)^(N$3-$J11),1)*IF($H11&gt;=1,1,MIN(0.97,$H11*Assumptions!$E$12)))</f>
        <v>0</v>
      </c>
      <c r="O11" s="23">
        <f>IF(O$3&lt;$I11,0,$G11*Assumptions!$E$11*INDEX(Assumptions!$B$24:$G$24,MIN(6,O$3-$I11+1))*IF(O$3&gt;$J11,(1-Assumptions!$B$26)^(O$3-$J11),1)*IF($H11&gt;=1,1,MIN(0.97,$H11*Assumptions!$E$12)))</f>
        <v>0</v>
      </c>
      <c r="P11" s="23">
        <f>IF(P$3&lt;$I11,0,$G11*Assumptions!$E$11*INDEX(Assumptions!$B$24:$G$24,MIN(6,P$3-$I11+1))*IF(P$3&gt;$J11,(1-Assumptions!$B$26)^(P$3-$J11),1)*IF($H11&gt;=1,1,MIN(0.97,$H11*Assumptions!$E$12)))</f>
        <v>0</v>
      </c>
      <c r="Q11" s="23">
        <f>IF(Q$3&lt;$I11,0,$G11*Assumptions!$E$11*INDEX(Assumptions!$B$24:$G$24,MIN(6,Q$3-$I11+1))*IF(Q$3&gt;$J11,(1-Assumptions!$B$26)^(Q$3-$J11),1)*IF($H11&gt;=1,1,MIN(0.97,$H11*Assumptions!$E$12)))</f>
        <v>0</v>
      </c>
      <c r="R11" s="23">
        <f>IF(R$3&lt;$I11,0,$G11*Assumptions!$E$11*INDEX(Assumptions!$B$24:$G$24,MIN(6,R$3-$I11+1))*IF(R$3&gt;$J11,(1-Assumptions!$B$26)^(R$3-$J11),1)*IF($H11&gt;=1,1,MIN(0.97,$H11*Assumptions!$E$12)))</f>
        <v>0</v>
      </c>
      <c r="S11" s="23">
        <f>IF(S$3&lt;$I11,0,$G11*Assumptions!$E$11*INDEX(Assumptions!$B$24:$G$24,MIN(6,S$3-$I11+1))*IF(S$3&gt;$J11,(1-Assumptions!$B$26)^(S$3-$J11),1)*IF($H11&gt;=1,1,MIN(0.97,$H11*Assumptions!$E$12)))</f>
        <v>11.309999999999999</v>
      </c>
      <c r="T11" s="23">
        <f>IF(T$3&lt;$I11,0,$G11*Assumptions!$E$11*INDEX(Assumptions!$B$24:$G$24,MIN(6,T$3-$I11+1))*IF(T$3&gt;$J11,(1-Assumptions!$B$26)^(T$3-$J11),1)*IF($H11&gt;=1,1,MIN(0.97,$H11*Assumptions!$E$12)))</f>
        <v>28.275</v>
      </c>
      <c r="U11" s="23">
        <f>IF(U$3&lt;$I11,0,$G11*Assumptions!$E$11*INDEX(Assumptions!$B$24:$G$24,MIN(6,U$3-$I11+1))*IF(U$3&gt;$J11,(1-Assumptions!$B$26)^(U$3-$J11),1)*IF($H11&gt;=1,1,MIN(0.97,$H11*Assumptions!$E$12)))</f>
        <v>50.894999999999996</v>
      </c>
      <c r="V11" s="23">
        <f>IF(V$3&lt;$I11,0,$G11*Assumptions!$E$11*INDEX(Assumptions!$B$24:$G$24,MIN(6,V$3-$I11+1))*IF(V$3&gt;$J11,(1-Assumptions!$B$26)^(V$3-$J11),1)*IF($H11&gt;=1,1,MIN(0.97,$H11*Assumptions!$E$12)))</f>
        <v>73.515</v>
      </c>
      <c r="W11" s="23">
        <f>IF(W$3&lt;$I11,0,$G11*Assumptions!$E$11*INDEX(Assumptions!$B$24:$G$24,MIN(6,W$3-$I11+1))*IF(W$3&gt;$J11,(1-Assumptions!$B$26)^(W$3-$J11),1)*IF($H11&gt;=1,1,MIN(0.97,$H11*Assumptions!$E$12)))</f>
        <v>96.13499999999999</v>
      </c>
      <c r="X11" s="23">
        <f>IF(X$3&lt;$I11,0,$G11*Assumptions!$E$11*INDEX(Assumptions!$B$24:$G$24,MIN(6,X$3-$I11+1))*IF(X$3&gt;$J11,(1-Assumptions!$B$26)^(X$3-$J11),1)*IF($H11&gt;=1,1,MIN(0.97,$H11*Assumptions!$E$12)))</f>
        <v>113.1</v>
      </c>
      <c r="Y11" s="23">
        <f>IF(Y$3&lt;$I11,0,$G11*Assumptions!$E$11*INDEX(Assumptions!$B$24:$G$24,MIN(6,Y$3-$I11+1))*IF(Y$3&gt;$J11,(1-Assumptions!$B$26)^(Y$3-$J11),1)*IF($H11&gt;=1,1,MIN(0.97,$H11*Assumptions!$E$12)))</f>
        <v>113.1</v>
      </c>
      <c r="Z11" s="23">
        <f>IF(Z$3&lt;$I11,0,$G11*Assumptions!$E$11*INDEX(Assumptions!$B$24:$G$24,MIN(6,Z$3-$I11+1))*IF(Z$3&gt;$J11,(1-Assumptions!$B$26)^(Z$3-$J11),1)*IF($H11&gt;=1,1,MIN(0.97,$H11*Assumptions!$E$12)))</f>
        <v>113.1</v>
      </c>
      <c r="AA11" s="23">
        <f>IF(AA$3&lt;$I11,0,$G11*Assumptions!$E$11*INDEX(Assumptions!$B$24:$G$24,MIN(6,AA$3-$I11+1))*IF(AA$3&gt;$J11,(1-Assumptions!$B$26)^(AA$3-$J11),1)*IF($H11&gt;=1,1,MIN(0.97,$H11*Assumptions!$E$12)))</f>
        <v>113.1</v>
      </c>
      <c r="AB11" s="23">
        <f>IF(AB$3&lt;$I11,0,$G11*Assumptions!$E$11*INDEX(Assumptions!$B$24:$G$24,MIN(6,AB$3-$I11+1))*IF(AB$3&gt;$J11,(1-Assumptions!$B$26)^(AB$3-$J11),1)*IF($H11&gt;=1,1,MIN(0.97,$H11*Assumptions!$E$12)))</f>
        <v>113.1</v>
      </c>
      <c r="AC11" s="23">
        <f>IF(AC$3&lt;$I11,0,$G11*Assumptions!$E$11*INDEX(Assumptions!$B$24:$G$24,MIN(6,AC$3-$I11+1))*IF(AC$3&gt;$J11,(1-Assumptions!$B$26)^(AC$3-$J11),1)*IF($H11&gt;=1,1,MIN(0.97,$H11*Assumptions!$E$12)))</f>
        <v>113.1</v>
      </c>
      <c r="AD11" s="23">
        <f>IF(AD$3&lt;$I11,0,$G11*Assumptions!$E$11*INDEX(Assumptions!$B$24:$G$24,MIN(6,AD$3-$I11+1))*IF(AD$3&gt;$J11,(1-Assumptions!$B$26)^(AD$3-$J11),1)*IF($H11&gt;=1,1,MIN(0.97,$H11*Assumptions!$E$12)))</f>
        <v>113.1</v>
      </c>
      <c r="AE11" s="23">
        <f>IF(AE$3&lt;$I11,0,$G11*Assumptions!$E$11*INDEX(Assumptions!$B$24:$G$24,MIN(6,AE$3-$I11+1))*IF(AE$3&gt;$J11,(1-Assumptions!$B$26)^(AE$3-$J11),1)*IF($H11&gt;=1,1,MIN(0.97,$H11*Assumptions!$E$12)))</f>
        <v>113.1</v>
      </c>
      <c r="AF11" s="23">
        <f>IF(AF$3&lt;$I11,0,$G11*Assumptions!$E$11*INDEX(Assumptions!$B$24:$G$24,MIN(6,AF$3-$I11+1))*IF(AF$3&gt;$J11,(1-Assumptions!$B$26)^(AF$3-$J11),1)*IF($H11&gt;=1,1,MIN(0.97,$H11*Assumptions!$E$12)))</f>
        <v>56.55</v>
      </c>
      <c r="AG11" s="35">
        <f>IF(F11="Owned",1-IF(H11&gt;=1,1,MIN(0.97,H11*Assumptions!$E$12)),1)</f>
        <v>0.9246</v>
      </c>
    </row>
    <row r="12">
      <c r="B12" s="24" t="inlineStr">
        <is>
          <t>Risked revenue</t>
        </is>
      </c>
      <c r="L12" s="54">
        <f>SUM(L4:L11)</f>
        <v>2140.7470275950545</v>
      </c>
      <c r="M12" s="54">
        <f>SUM(M4:M11)</f>
        <v>450.0</v>
      </c>
      <c r="N12" s="54">
        <f>SUM(N4:N11)</f>
        <v>650.0</v>
      </c>
      <c r="O12" s="54">
        <f>SUM(O4:O11)</f>
        <v>850.0</v>
      </c>
      <c r="P12" s="54">
        <f>SUM(P4:P11)</f>
        <v>1000.0</v>
      </c>
      <c r="Q12" s="54">
        <f>SUM(Q4:Q11)</f>
        <v>1000.0</v>
      </c>
      <c r="R12" s="54">
        <f>SUM(R4:R11)</f>
        <v>1000.0</v>
      </c>
      <c r="S12" s="54">
        <f>SUM(S4:S11)</f>
        <v>1093.2199999999998</v>
      </c>
      <c r="T12" s="54">
        <f>SUM(T4:T11)</f>
        <v>1266.575</v>
      </c>
      <c r="U12" s="54">
        <f>SUM(U4:U11)</f>
        <v>1503.3024999999998</v>
      </c>
      <c r="V12" s="54">
        <f>SUM(V4:V11)</f>
        <v>1756.7925</v>
      </c>
      <c r="W12" s="54">
        <f>SUM(W4:W11)</f>
        <v>2010.2824999999998</v>
      </c>
      <c r="X12" s="54">
        <f>SUM(X4:X11)</f>
        <v>1717.1625</v>
      </c>
      <c r="Y12" s="54">
        <f>SUM(Y4:Y11)</f>
        <v>1517.45</v>
      </c>
      <c r="Z12" s="54">
        <f>SUM(Z4:Z11)</f>
        <v>1392.45</v>
      </c>
      <c r="AA12" s="54">
        <f>SUM(AA4:AA11)</f>
        <v>1329.95</v>
      </c>
      <c r="AB12" s="54">
        <f>SUM(AB4:AB11)</f>
        <v>1298.7</v>
      </c>
      <c r="AC12" s="54">
        <f>SUM(AC4:AC11)</f>
        <v>1283.075</v>
      </c>
      <c r="AD12" s="54">
        <f>SUM(AD4:AD11)</f>
        <v>1275.2625</v>
      </c>
      <c r="AE12" s="54">
        <f>SUM(AE4:AE11)</f>
        <v>1271.35625</v>
      </c>
      <c r="AF12" s="54">
        <f>SUM(AF4:AF11)</f>
        <v>803.303125</v>
      </c>
    </row>
    <row r="13">
      <c r="B13" s="24" t="inlineStr">
        <is>
          <t>Risked contribution (revenue x share)</t>
        </is>
      </c>
      <c r="M13" s="55">
        <f>SUMPRODUCT(M4:M11,$K$4:$K$11)</f>
        <v>72.0</v>
      </c>
      <c r="N13" s="55">
        <f>SUMPRODUCT(N4:N11,$K$4:$K$11)</f>
        <v>104.0</v>
      </c>
      <c r="O13" s="55">
        <f>SUMPRODUCT(O4:O11,$K$4:$K$11)</f>
        <v>136.0</v>
      </c>
      <c r="P13" s="55">
        <f>SUMPRODUCT(P4:P11,$K$4:$K$11)</f>
        <v>160.0</v>
      </c>
      <c r="Q13" s="55">
        <f>SUMPRODUCT(Q4:Q11,$K$4:$K$11)</f>
        <v>160.0</v>
      </c>
      <c r="R13" s="55">
        <f>SUMPRODUCT(R4:R11,$K$4:$K$11)</f>
        <v>160.0</v>
      </c>
      <c r="S13" s="55">
        <f>SUMPRODUCT(S4:S11,$K$4:$K$11)</f>
        <v>197.28799999999998</v>
      </c>
      <c r="T13" s="55">
        <f>SUMPRODUCT(T4:T11,$K$4:$K$11)</f>
        <v>266.63</v>
      </c>
      <c r="U13" s="55">
        <f>SUMPRODUCT(U4:U11,$K$4:$K$11)</f>
        <v>361.321</v>
      </c>
      <c r="V13" s="55">
        <f>SUMPRODUCT(V4:V11,$K$4:$K$11)</f>
        <v>462.71700000000004</v>
      </c>
      <c r="W13" s="55">
        <f>SUMPRODUCT(W4:W11,$K$4:$K$11)</f>
        <v>564.113</v>
      </c>
      <c r="X13" s="55">
        <f>SUMPRODUCT(X4:X11,$K$4:$K$11)</f>
        <v>566.865</v>
      </c>
      <c r="Y13" s="55">
        <f>SUMPRODUCT(Y4:Y11,$K$4:$K$11)</f>
        <v>546.98</v>
      </c>
      <c r="Z13" s="55">
        <f>SUMPRODUCT(Z4:Z11,$K$4:$K$11)</f>
        <v>526.98</v>
      </c>
      <c r="AA13" s="55">
        <f>SUMPRODUCT(AA4:AA11,$K$4:$K$11)</f>
        <v>516.98</v>
      </c>
      <c r="AB13" s="55">
        <f>SUMPRODUCT(AB4:AB11,$K$4:$K$11)</f>
        <v>511.98</v>
      </c>
      <c r="AC13" s="55">
        <f>SUMPRODUCT(AC4:AC11,$K$4:$K$11)</f>
        <v>509.48</v>
      </c>
      <c r="AD13" s="55">
        <f>SUMPRODUCT(AD4:AD11,$K$4:$K$11)</f>
        <v>508.23</v>
      </c>
      <c r="AE13" s="55">
        <f>SUMPRODUCT(AE4:AE11,$K$4:$K$11)</f>
        <v>507.605</v>
      </c>
      <c r="AF13" s="55">
        <f>SUMPRODUCT(AF4:AF11,$K$4:$K$11)</f>
        <v>320.8525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CRISPR Therapeutics AG: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Pipeline!M12</f>
        <v>450.0</v>
      </c>
      <c r="D4" s="57">
        <f>Pipeline!N12</f>
        <v>650.0</v>
      </c>
      <c r="E4" s="57">
        <f>Pipeline!O12</f>
        <v>850.0</v>
      </c>
      <c r="F4" s="57">
        <f>Pipeline!P12</f>
        <v>1000.0</v>
      </c>
      <c r="G4" s="57">
        <f>Pipeline!Q12</f>
        <v>1000.0</v>
      </c>
      <c r="H4" s="57">
        <f>Pipeline!R12</f>
        <v>1000.0</v>
      </c>
      <c r="I4" s="57">
        <f>Pipeline!S12</f>
        <v>1093.2199999999998</v>
      </c>
      <c r="J4" s="57">
        <f>Pipeline!T12</f>
        <v>1266.575</v>
      </c>
      <c r="K4" s="57">
        <f>Pipeline!U12</f>
        <v>1503.3024999999998</v>
      </c>
      <c r="L4" s="57">
        <f>Pipeline!V12</f>
        <v>1756.7925</v>
      </c>
      <c r="M4" s="57">
        <f>Pipeline!W12</f>
        <v>2010.2824999999998</v>
      </c>
      <c r="N4" s="57">
        <f>Pipeline!X12</f>
        <v>1717.1625</v>
      </c>
      <c r="O4" s="57">
        <f>Pipeline!Y12</f>
        <v>1517.45</v>
      </c>
      <c r="P4" s="57">
        <f>Pipeline!Z12</f>
        <v>1392.45</v>
      </c>
      <c r="Q4" s="57">
        <f>Pipeline!AA12</f>
        <v>1329.95</v>
      </c>
      <c r="R4" s="57">
        <f>Pipeline!AB12</f>
        <v>1298.7</v>
      </c>
      <c r="S4" s="57">
        <f>Pipeline!AC12</f>
        <v>1283.075</v>
      </c>
      <c r="T4" s="57">
        <f>Pipeline!AD12</f>
        <v>1275.2625</v>
      </c>
      <c r="U4" s="57">
        <f>Pipeline!AE12</f>
        <v>1271.35625</v>
      </c>
      <c r="V4" s="57">
        <f>Pipeline!AF12</f>
        <v>803.303125</v>
      </c>
    </row>
    <row r="5">
      <c r="A5" s="14" t="inlineStr">
        <is>
          <t>Risked contribution</t>
        </is>
      </c>
      <c r="C5" s="57">
        <f>Pipeline!M13</f>
        <v>72.0</v>
      </c>
      <c r="D5" s="57">
        <f>Pipeline!N13</f>
        <v>104.0</v>
      </c>
      <c r="E5" s="57">
        <f>Pipeline!O13</f>
        <v>136.0</v>
      </c>
      <c r="F5" s="57">
        <f>Pipeline!P13</f>
        <v>160.0</v>
      </c>
      <c r="G5" s="57">
        <f>Pipeline!Q13</f>
        <v>160.0</v>
      </c>
      <c r="H5" s="57">
        <f>Pipeline!R13</f>
        <v>160.0</v>
      </c>
      <c r="I5" s="57">
        <f>Pipeline!S13</f>
        <v>197.28799999999998</v>
      </c>
      <c r="J5" s="57">
        <f>Pipeline!T13</f>
        <v>266.63</v>
      </c>
      <c r="K5" s="57">
        <f>Pipeline!U13</f>
        <v>361.321</v>
      </c>
      <c r="L5" s="57">
        <f>Pipeline!V13</f>
        <v>462.71700000000004</v>
      </c>
      <c r="M5" s="57">
        <f>Pipeline!W13</f>
        <v>564.113</v>
      </c>
      <c r="N5" s="57">
        <f>Pipeline!X13</f>
        <v>566.865</v>
      </c>
      <c r="O5" s="57">
        <f>Pipeline!Y13</f>
        <v>546.98</v>
      </c>
      <c r="P5" s="57">
        <f>Pipeline!Z13</f>
        <v>526.98</v>
      </c>
      <c r="Q5" s="57">
        <f>Pipeline!AA13</f>
        <v>516.98</v>
      </c>
      <c r="R5" s="57">
        <f>Pipeline!AB13</f>
        <v>511.98</v>
      </c>
      <c r="S5" s="57">
        <f>Pipeline!AC13</f>
        <v>509.48</v>
      </c>
      <c r="T5" s="57">
        <f>Pipeline!AD13</f>
        <v>508.23</v>
      </c>
      <c r="U5" s="57">
        <f>Pipeline!AE13</f>
        <v>507.605</v>
      </c>
      <c r="V5" s="57">
        <f>Pipeline!AF13</f>
        <v>320.8525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-534.34</v>
      </c>
      <c r="D6" s="23">
        <f>-IF(D3-2026&lt;Assumptions!$B$19,Assumptions!$B$18,Assumptions!$B$18*Assumptions!$B$20*Assumptions!$B$16)</f>
        <v>-94.76540604678166</v>
      </c>
      <c r="E6" s="23">
        <f>-IF(E3-2026&lt;Assumptions!$B$19,Assumptions!$B$18,Assumptions!$B$18*Assumptions!$B$20*Assumptions!$B$16)</f>
        <v>-94.76540604678166</v>
      </c>
      <c r="F6" s="23">
        <f>-IF(F3-2026&lt;Assumptions!$B$19,Assumptions!$B$18,Assumptions!$B$18*Assumptions!$B$20*Assumptions!$B$16)</f>
        <v>-94.76540604678166</v>
      </c>
      <c r="G6" s="23">
        <f>-IF(G3-2026&lt;Assumptions!$B$19,Assumptions!$B$18,Assumptions!$B$18*Assumptions!$B$20*Assumptions!$B$16)</f>
        <v>-94.76540604678166</v>
      </c>
      <c r="H6" s="23">
        <f>-IF(H3-2026&lt;Assumptions!$B$19,Assumptions!$B$18,Assumptions!$B$18*Assumptions!$B$20*Assumptions!$B$16)</f>
        <v>-94.76540604678166</v>
      </c>
      <c r="I6" s="23">
        <f>-IF(I3-2026&lt;Assumptions!$B$19,Assumptions!$B$18,Assumptions!$B$18*Assumptions!$B$20*Assumptions!$B$16)</f>
        <v>-94.76540604678166</v>
      </c>
      <c r="J6" s="23">
        <f>-IF(J3-2026&lt;Assumptions!$B$19,Assumptions!$B$18,Assumptions!$B$18*Assumptions!$B$20*Assumptions!$B$16)</f>
        <v>-94.76540604678166</v>
      </c>
      <c r="K6" s="23">
        <f>-IF(K3-2026&lt;Assumptions!$B$19,Assumptions!$B$18,Assumptions!$B$18*Assumptions!$B$20*Assumptions!$B$16)</f>
        <v>-94.76540604678166</v>
      </c>
      <c r="L6" s="23">
        <f>-IF(L3-2026&lt;Assumptions!$B$19,Assumptions!$B$18,Assumptions!$B$18*Assumptions!$B$20*Assumptions!$B$16)</f>
        <v>-94.76540604678166</v>
      </c>
      <c r="M6" s="23">
        <f>-IF(M3-2026&lt;Assumptions!$B$19,Assumptions!$B$18,Assumptions!$B$18*Assumptions!$B$20*Assumptions!$B$16)</f>
        <v>-94.76540604678166</v>
      </c>
      <c r="N6" s="23">
        <f>-IF(N3-2026&lt;Assumptions!$B$19,Assumptions!$B$18,Assumptions!$B$18*Assumptions!$B$20*Assumptions!$B$16)</f>
        <v>-94.76540604678166</v>
      </c>
      <c r="O6" s="23">
        <f>-IF(O3-2026&lt;Assumptions!$B$19,Assumptions!$B$18,Assumptions!$B$18*Assumptions!$B$20*Assumptions!$B$16)</f>
        <v>-94.76540604678166</v>
      </c>
      <c r="P6" s="23">
        <f>-IF(P3-2026&lt;Assumptions!$B$19,Assumptions!$B$18,Assumptions!$B$18*Assumptions!$B$20*Assumptions!$B$16)</f>
        <v>-94.76540604678166</v>
      </c>
      <c r="Q6" s="23">
        <f>-IF(Q3-2026&lt;Assumptions!$B$19,Assumptions!$B$18,Assumptions!$B$18*Assumptions!$B$20*Assumptions!$B$16)</f>
        <v>-94.76540604678166</v>
      </c>
      <c r="R6" s="23">
        <f>-IF(R3-2026&lt;Assumptions!$B$19,Assumptions!$B$18,Assumptions!$B$18*Assumptions!$B$20*Assumptions!$B$16)</f>
        <v>-94.76540604678166</v>
      </c>
      <c r="S6" s="23">
        <f>-IF(S3-2026&lt;Assumptions!$B$19,Assumptions!$B$18,Assumptions!$B$18*Assumptions!$B$20*Assumptions!$B$16)</f>
        <v>-94.76540604678166</v>
      </c>
      <c r="T6" s="23">
        <f>-IF(T3-2026&lt;Assumptions!$B$19,Assumptions!$B$18,Assumptions!$B$18*Assumptions!$B$20*Assumptions!$B$16)</f>
        <v>-94.76540604678166</v>
      </c>
      <c r="U6" s="23">
        <f>-IF(U3-2026&lt;Assumptions!$B$19,Assumptions!$B$18,Assumptions!$B$18*Assumptions!$B$20*Assumptions!$B$16)</f>
        <v>-94.76540604678166</v>
      </c>
      <c r="V6" s="23">
        <f>-IF(V3-2026&lt;Assumptions!$B$19,Assumptions!$B$18,Assumptions!$B$18*Assumptions!$B$20*Assumptions!$B$16)</f>
        <v>-94.76540604678166</v>
      </c>
    </row>
    <row r="7">
      <c r="A7" s="14" t="inlineStr">
        <is>
          <t>Pre-tax cash flow</t>
        </is>
      </c>
      <c r="C7" s="23">
        <f>C5+C6</f>
        <v>-462.34000000000003</v>
      </c>
      <c r="D7" s="23">
        <f>D5+D6</f>
        <v>9.234593953218337</v>
      </c>
      <c r="E7" s="23">
        <f>E5+E6</f>
        <v>41.23459395321834</v>
      </c>
      <c r="F7" s="23">
        <f>F5+F6</f>
        <v>65.23459395321834</v>
      </c>
      <c r="G7" s="23">
        <f>G5+G6</f>
        <v>65.23459395321834</v>
      </c>
      <c r="H7" s="23">
        <f>H5+H6</f>
        <v>65.23459395321834</v>
      </c>
      <c r="I7" s="23">
        <f>I5+I6</f>
        <v>102.52259395321832</v>
      </c>
      <c r="J7" s="23">
        <f>J5+J6</f>
        <v>171.86459395321833</v>
      </c>
      <c r="K7" s="23">
        <f>K5+K6</f>
        <v>266.55559395321836</v>
      </c>
      <c r="L7" s="23">
        <f>L5+L6</f>
        <v>367.9515939532184</v>
      </c>
      <c r="M7" s="23">
        <f>M5+M6</f>
        <v>469.3475939532184</v>
      </c>
      <c r="N7" s="23">
        <f>N5+N6</f>
        <v>472.09959395321835</v>
      </c>
      <c r="O7" s="23">
        <f>O5+O6</f>
        <v>452.21459395321835</v>
      </c>
      <c r="P7" s="23">
        <f>P5+P6</f>
        <v>432.21459395321835</v>
      </c>
      <c r="Q7" s="23">
        <f>Q5+Q6</f>
        <v>422.21459395321835</v>
      </c>
      <c r="R7" s="23">
        <f>R5+R6</f>
        <v>417.21459395321835</v>
      </c>
      <c r="S7" s="23">
        <f>S5+S6</f>
        <v>414.71459395321835</v>
      </c>
      <c r="T7" s="23">
        <f>T5+T6</f>
        <v>413.46459395321835</v>
      </c>
      <c r="U7" s="23">
        <f>U5+U6</f>
        <v>412.83959395321835</v>
      </c>
      <c r="V7" s="23">
        <f>V5+V6</f>
        <v>226.08709395321836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9.234593953218337</v>
      </c>
      <c r="E8" s="23">
        <f>MIN(D17,MAX(0,E7))</f>
        <v>41.23459395321834</v>
      </c>
      <c r="F8" s="23">
        <f>MIN(E17,MAX(0,F7))</f>
        <v>65.23459395321834</v>
      </c>
      <c r="G8" s="23">
        <f>MIN(F17,MAX(0,G7))</f>
        <v>65.23459395321834</v>
      </c>
      <c r="H8" s="23">
        <f>MIN(G17,MAX(0,H7))</f>
        <v>65.23459395321834</v>
      </c>
      <c r="I8" s="23">
        <f>MIN(H17,MAX(0,I7))</f>
        <v>102.52259395321832</v>
      </c>
      <c r="J8" s="23">
        <f>MIN(I17,MAX(0,J7))</f>
        <v>171.86459395321833</v>
      </c>
      <c r="K8" s="23">
        <f>MIN(J17,MAX(0,K7))</f>
        <v>266.55559395321836</v>
      </c>
      <c r="L8" s="23">
        <f>MIN(K17,MAX(0,L7))</f>
        <v>367.9515939532184</v>
      </c>
      <c r="M8" s="23">
        <f>MIN(L17,MAX(0,M7))</f>
        <v>469.3475939532184</v>
      </c>
      <c r="N8" s="23">
        <f>MIN(M17,MAX(0,N7))</f>
        <v>472.09959395321835</v>
      </c>
      <c r="O8" s="23">
        <f>MIN(N17,MAX(0,O7))</f>
        <v>452.21459395321835</v>
      </c>
      <c r="P8" s="23">
        <f>MIN(O17,MAX(0,P7))</f>
        <v>303.1108725613799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129.10372139183846</v>
      </c>
      <c r="Q9" s="23">
        <f>MAX(0,Q7)-Q8</f>
        <v>422.21459395321835</v>
      </c>
      <c r="R9" s="23">
        <f>MAX(0,R7)-R8</f>
        <v>417.21459395321835</v>
      </c>
      <c r="S9" s="23">
        <f>MAX(0,S7)-S8</f>
        <v>414.71459395321835</v>
      </c>
      <c r="T9" s="23">
        <f>MAX(0,T7)-T8</f>
        <v>413.46459395321835</v>
      </c>
      <c r="U9" s="23">
        <f>MAX(0,U7)-U8</f>
        <v>412.83959395321835</v>
      </c>
      <c r="V9" s="23">
        <f>MAX(0,V7)-V8</f>
        <v>226.08709395321836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27.111781492286077</v>
      </c>
      <c r="Q10" s="23">
        <f>Q9*Assumptions!$E$15</f>
        <v>88.66506473017586</v>
      </c>
      <c r="R10" s="23">
        <f>R9*Assumptions!$E$15</f>
        <v>87.61506473017585</v>
      </c>
      <c r="S10" s="23">
        <f>S9*Assumptions!$E$15</f>
        <v>87.09006473017585</v>
      </c>
      <c r="T10" s="23">
        <f>T9*Assumptions!$E$15</f>
        <v>86.82756473017585</v>
      </c>
      <c r="U10" s="23">
        <f>U9*Assumptions!$E$15</f>
        <v>86.69631473017586</v>
      </c>
      <c r="V10" s="23">
        <f>V9*Assumptions!$E$15</f>
        <v>47.47828973017585</v>
      </c>
    </row>
    <row r="11">
      <c r="A11" s="24" t="inlineStr">
        <is>
          <t>Free cash flow</t>
        </is>
      </c>
      <c r="C11" s="55">
        <f>C7-C10</f>
        <v>-462.34000000000003</v>
      </c>
      <c r="D11" s="55">
        <f>D7-D10</f>
        <v>9.234593953218337</v>
      </c>
      <c r="E11" s="55">
        <f>E7-E10</f>
        <v>41.23459395321834</v>
      </c>
      <c r="F11" s="55">
        <f>F7-F10</f>
        <v>65.23459395321834</v>
      </c>
      <c r="G11" s="55">
        <f>G7-G10</f>
        <v>65.23459395321834</v>
      </c>
      <c r="H11" s="55">
        <f>H7-H10</f>
        <v>65.23459395321834</v>
      </c>
      <c r="I11" s="55">
        <f>I7-I10</f>
        <v>102.52259395321832</v>
      </c>
      <c r="J11" s="55">
        <f>J7-J10</f>
        <v>171.86459395321833</v>
      </c>
      <c r="K11" s="55">
        <f>K7-K10</f>
        <v>266.55559395321836</v>
      </c>
      <c r="L11" s="55">
        <f>L7-L10</f>
        <v>367.9515939532184</v>
      </c>
      <c r="M11" s="55">
        <f>M7-M10</f>
        <v>469.3475939532184</v>
      </c>
      <c r="N11" s="55">
        <f>N7-N10</f>
        <v>472.09959395321835</v>
      </c>
      <c r="O11" s="55">
        <f>O7-O10</f>
        <v>452.21459395321835</v>
      </c>
      <c r="P11" s="55">
        <f>P7-P10</f>
        <v>405.1028124609323</v>
      </c>
      <c r="Q11" s="55">
        <f>Q7-Q10</f>
        <v>333.5495292230425</v>
      </c>
      <c r="R11" s="55">
        <f>R7-R10</f>
        <v>329.5995292230425</v>
      </c>
      <c r="S11" s="55">
        <f>S7-S10</f>
        <v>327.6245292230425</v>
      </c>
      <c r="T11" s="55">
        <f>T7-T10</f>
        <v>326.63702922304253</v>
      </c>
      <c r="U11" s="55">
        <f>U7-U10</f>
        <v>326.1432792230425</v>
      </c>
      <c r="V11" s="55">
        <f>V7-V10</f>
        <v>178.6088042230425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-226.5023767234385</v>
      </c>
      <c r="D16" s="55">
        <f>D11*D15</f>
        <v>8.241342962427607</v>
      </c>
      <c r="E16" s="55">
        <f>E11*E15</f>
        <v>32.85669551038751</v>
      </c>
      <c r="F16" s="55">
        <f>F11*F15</f>
        <v>46.41112562064638</v>
      </c>
      <c r="G16" s="55">
        <f>G11*G15</f>
        <v>41.43850501843426</v>
      </c>
      <c r="H16" s="55">
        <f>H11*H15</f>
        <v>36.99866519503059</v>
      </c>
      <c r="I16" s="55">
        <f>I11*I15</f>
        <v>51.91700800161073</v>
      </c>
      <c r="J16" s="55">
        <f>J11*J15</f>
        <v>77.70669959706548</v>
      </c>
      <c r="K16" s="55">
        <f>K11*K15</f>
        <v>107.60732261866652</v>
      </c>
      <c r="L16" s="55">
        <f>L11*L15</f>
        <v>132.62539509570078</v>
      </c>
      <c r="M16" s="55">
        <f>M11*M15</f>
        <v>151.04716389963588</v>
      </c>
      <c r="N16" s="55">
        <f>N11*N15</f>
        <v>135.6543059213392</v>
      </c>
      <c r="O16" s="55">
        <f>O11*O15</f>
        <v>116.01830278116306</v>
      </c>
      <c r="P16" s="55">
        <f>P11*P15</f>
        <v>92.79598151527946</v>
      </c>
      <c r="Q16" s="55">
        <f>Q11*Q15</f>
        <v>68.21913694351313</v>
      </c>
      <c r="R16" s="55">
        <f>R11*R15</f>
        <v>60.18862870273795</v>
      </c>
      <c r="S16" s="55">
        <f>S11*S15</f>
        <v>53.41783143243238</v>
      </c>
      <c r="T16" s="55">
        <f>T11*T15</f>
        <v>47.55073537557193</v>
      </c>
      <c r="U16" s="55">
        <f>U11*U15</f>
        <v>42.39183650729005</v>
      </c>
      <c r="V16" s="55">
        <f>V11*V15</f>
        <v>20.7280591015506</v>
      </c>
    </row>
    <row r="17">
      <c r="A17" s="14" t="inlineStr">
        <is>
          <t>Tax-loss carryforward, end of year</t>
        </is>
      </c>
      <c r="C17" s="23">
        <f>Assumptions!$B$21-C8+MAX(0,-C7)</f>
        <v>2851.84</v>
      </c>
      <c r="D17" s="23">
        <f>C17-D8+MAX(0,-D7)</f>
        <v>2842.605406046782</v>
      </c>
      <c r="E17" s="23">
        <f>D17-E8+MAX(0,-E7)</f>
        <v>2801.3708120935635</v>
      </c>
      <c r="F17" s="23">
        <f>E17-F8+MAX(0,-F7)</f>
        <v>2736.136218140345</v>
      </c>
      <c r="G17" s="23">
        <f>F17-G8+MAX(0,-G7)</f>
        <v>2670.901624187127</v>
      </c>
      <c r="H17" s="23">
        <f>G17-H8+MAX(0,-H7)</f>
        <v>2605.6670302339085</v>
      </c>
      <c r="I17" s="23">
        <f>H17-I8+MAX(0,-I7)</f>
        <v>2503.14443628069</v>
      </c>
      <c r="J17" s="23">
        <f>I17-J8+MAX(0,-J7)</f>
        <v>2331.2798423274717</v>
      </c>
      <c r="K17" s="23">
        <f>J17-K8+MAX(0,-K7)</f>
        <v>2064.7242483742534</v>
      </c>
      <c r="L17" s="23">
        <f>K17-L8+MAX(0,-L7)</f>
        <v>1696.772654421035</v>
      </c>
      <c r="M17" s="23">
        <f>L17-M8+MAX(0,-M7)</f>
        <v>1227.4250604678166</v>
      </c>
      <c r="N17" s="23">
        <f>M17-N8+MAX(0,-N7)</f>
        <v>755.3254665145982</v>
      </c>
      <c r="O17" s="23">
        <f>N17-O8+MAX(0,-O7)</f>
        <v>303.1108725613799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2140.7470275950545</v>
      </c>
    </row>
    <row r="20">
      <c r="A20" s="14" t="inlineStr">
        <is>
          <t>PV of corporate burn</t>
        </is>
      </c>
      <c r="B20" s="23">
        <f>SUMPRODUCT(C6:V6,C15:V15)</f>
        <v>-959.4720663952822</v>
      </c>
    </row>
    <row r="21">
      <c r="A21" s="14" t="inlineStr">
        <is>
          <t>PV of taxes</t>
        </is>
      </c>
      <c r="B21" s="23">
        <f>-SUMPRODUCT(C10:V10,C15:V15)</f>
        <v>-83.9625961227273</v>
      </c>
    </row>
    <row r="22">
      <c r="A22" s="24" t="inlineStr">
        <is>
          <t>Pipeline rNPV (operations)</t>
        </is>
      </c>
      <c r="B22" s="54">
        <f>SUM(C16:V16)</f>
        <v>1097.312365077045</v>
      </c>
    </row>
    <row r="23">
      <c r="A23" s="14" t="inlineStr">
        <is>
          <t>Cash &amp; investments</t>
        </is>
      </c>
      <c r="B23" s="57">
        <f>Main!C7</f>
        <v>2364.352</v>
      </c>
    </row>
    <row r="24">
      <c r="A24" s="14" t="inlineStr">
        <is>
          <t>Debt</t>
        </is>
      </c>
      <c r="B24" s="57">
        <f>Main!C8</f>
        <v>586.198</v>
      </c>
    </row>
    <row r="25">
      <c r="A25" s="24" t="inlineStr">
        <is>
          <t>Equity value</t>
        </is>
      </c>
      <c r="B25" s="54">
        <f>B22+B23-B24</f>
        <v>2875.466365077045</v>
      </c>
    </row>
    <row r="26">
      <c r="A26" s="14" t="inlineStr">
        <is>
          <t>Shares (mm)</t>
        </is>
      </c>
      <c r="B26" s="57">
        <f>Main!C4</f>
        <v>96.692653</v>
      </c>
    </row>
    <row r="27">
      <c r="A27" s="24" t="inlineStr">
        <is>
          <t>rNPV / share</t>
        </is>
      </c>
      <c r="B27" s="60">
        <f>B25/B26</f>
        <v>29.73820942814595</v>
      </c>
    </row>
    <row r="28">
      <c r="A28" s="14" t="inlineStr">
        <is>
          <t>Price</t>
        </is>
      </c>
      <c r="B28" s="61">
        <f>Main!C3</f>
        <v>49.88</v>
      </c>
    </row>
    <row r="29">
      <c r="A29" s="14" t="inlineStr">
        <is>
          <t>Upside</t>
        </is>
      </c>
      <c r="B29" s="62">
        <f>B27/B28-1</f>
        <v>-0.40380494330100347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2026-10-21T06:21:45Z</dcterms:modified>
  <cp:lastModifiedBy>Wang, Eric</cp:lastModifiedBy>
</cp:coreProperties>
</file>