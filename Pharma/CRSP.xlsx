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CRISPR Therapeutics AG</t>
        </is>
      </c>
      <c r="C2" s="10" t="n"/>
    </row>
    <row r="3">
      <c r="B3" t="inlineStr">
        <is>
          <t>Price</t>
        </is>
      </c>
      <c r="C3" s="11">
        <f>INDEX([1]Pharma!$F$1:$F$1000,MATCH("CRSP",[1]Pharma!$B$1:$B$1000,0))</f>
        <v>49.88</v>
      </c>
      <c r="F3" s="1" t="n"/>
    </row>
    <row r="4">
      <c r="B4" t="inlineStr">
        <is>
          <t>Shares</t>
        </is>
      </c>
      <c r="C4" s="21" t="n">
        <v>96.69265300000001</v>
      </c>
      <c r="F4" s="1" t="n"/>
    </row>
    <row r="5">
      <c r="B5" t="inlineStr">
        <is>
          <t>Market Cap.</t>
        </is>
      </c>
      <c r="C5" s="13">
        <f>C3*C4</f>
        <v>4823.029531640001</v>
      </c>
      <c r="F5" s="1" t="n"/>
    </row>
    <row r="6"/>
    <row r="7">
      <c r="B7" t="inlineStr">
        <is>
          <t>Cash</t>
        </is>
      </c>
      <c r="C7" s="21">
        <f>291.337+2073.015</f>
        <v>2364.352</v>
      </c>
    </row>
    <row r="8">
      <c r="B8" t="inlineStr">
        <is>
          <t>Debt</t>
        </is>
      </c>
      <c r="C8" s="21" t="n">
        <v>586.198</v>
      </c>
    </row>
    <row r="9">
      <c r="B9" t="inlineStr">
        <is>
          <t>Enterprise V.</t>
        </is>
      </c>
      <c r="C9" s="13">
        <f>C5-C7+C8</f>
        <v>3044.8755316400006</v>
      </c>
    </row>
    <row r="10"/>
    <row r="11">
      <c r="B11" s="14" t="inlineStr">
        <is>
          <t>Net Cash / Share</t>
        </is>
      </c>
      <c r="C11" s="11">
        <f>(C7-C8)/C4</f>
        <v>18.389752942242673</v>
      </c>
    </row>
    <row r="12">
      <c r="B12" s="14" t="inlineStr">
        <is>
          <t>Upside</t>
        </is>
      </c>
      <c r="C12" s="15">
        <f>IFERROR(C11/C3-1,"")</f>
        <v>-0.6313201094177492</v>
      </c>
    </row>
    <row r="13">
      <c r="B13" s="14" t="inlineStr">
        <is>
          <t>Cash / Share</t>
        </is>
      </c>
      <c r="C13" s="11">
        <f>IFERROR((C7-C8)/C4,"")</f>
        <v>18.389752942242673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-369.582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4.8112570417390454</v>
      </c>
    </row>
    <row r="19">
      <c r="B19" s="14" t="inlineStr">
        <is>
          <t>Implied Pipeline Value</t>
        </is>
      </c>
      <c r="C19" s="13">
        <f>C9</f>
        <v>3044.8755316400006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0.247</v>
      </c>
      <c r="D2" s="23" t="n">
        <v>5.164</v>
      </c>
      <c r="E2" s="23" t="n">
        <v>40.997</v>
      </c>
      <c r="F2" s="23" t="n">
        <v>3.124</v>
      </c>
      <c r="G2" s="23" t="n">
        <v>289.59</v>
      </c>
      <c r="H2" s="23" t="n">
        <v>0.719</v>
      </c>
      <c r="I2" s="23" t="n">
        <v>914.963</v>
      </c>
      <c r="J2" s="23" t="n">
        <v>1.198</v>
      </c>
      <c r="K2" s="23" t="n">
        <v>371.206</v>
      </c>
      <c r="L2" s="23" t="n">
        <v>37.314</v>
      </c>
      <c r="M2" s="23" t="n">
        <v>3.51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0.247</v>
      </c>
      <c r="D4" s="23">
        <f>D2-D3</f>
        <v>5.164</v>
      </c>
      <c r="E4" s="23">
        <f>E2-E3</f>
        <v>40.997</v>
      </c>
      <c r="F4" s="23">
        <f>F2-F3</f>
        <v>3.124</v>
      </c>
      <c r="G4" s="23">
        <f>G2-G3</f>
        <v>289.59</v>
      </c>
      <c r="H4" s="23">
        <f>H2-H3</f>
        <v>0.719</v>
      </c>
      <c r="I4" s="23">
        <f>I2-I3</f>
        <v>914.963</v>
      </c>
      <c r="J4" s="23">
        <f>J2-J3</f>
        <v>1.198</v>
      </c>
      <c r="K4" s="23">
        <f>K2-K3</f>
        <v>371.206</v>
      </c>
      <c r="L4" s="23">
        <f>L2-L3</f>
        <v>37.314</v>
      </c>
      <c r="M4" s="23">
        <f>M2-M3</f>
        <v>3.51</v>
      </c>
    </row>
    <row r="5">
      <c r="A5" s="2" t="inlineStr">
        <is>
          <t>Research &amp; Dev.</t>
        </is>
      </c>
      <c r="B5" s="23" t="n">
        <v>1.513</v>
      </c>
      <c r="C5" s="23" t="n">
        <v>12.573</v>
      </c>
      <c r="D5" s="23" t="n">
        <v>42.238</v>
      </c>
      <c r="E5" s="23" t="n">
        <v>69.8</v>
      </c>
      <c r="F5" s="23" t="n">
        <v>113.773</v>
      </c>
      <c r="G5" s="23" t="n">
        <v>179.362</v>
      </c>
      <c r="H5" s="23" t="n">
        <v>221.382</v>
      </c>
      <c r="I5" s="23" t="n">
        <v>340.567</v>
      </c>
      <c r="J5" s="23" t="n">
        <v>461.645</v>
      </c>
      <c r="K5" s="23" t="n">
        <v>387.332</v>
      </c>
      <c r="L5" s="23" t="n">
        <v>310.236</v>
      </c>
      <c r="M5" s="23" t="n">
        <v>284.806</v>
      </c>
    </row>
    <row r="6">
      <c r="A6" s="19" t="inlineStr">
        <is>
          <t>SG&amp;A &amp; Other</t>
        </is>
      </c>
      <c r="B6" s="23" t="n">
        <v>5.114</v>
      </c>
      <c r="C6" s="23" t="n">
        <v>13.403</v>
      </c>
      <c r="D6" s="23" t="n">
        <v>31.056</v>
      </c>
      <c r="E6" s="23" t="n">
        <v>35.845</v>
      </c>
      <c r="F6" s="23" t="n">
        <v>48.294</v>
      </c>
      <c r="G6" s="23" t="n">
        <v>63.488</v>
      </c>
      <c r="H6" s="23" t="n">
        <v>133.772</v>
      </c>
      <c r="I6" s="23" t="n">
        <v>200.868</v>
      </c>
      <c r="J6" s="23" t="n">
        <v>212.714</v>
      </c>
      <c r="K6" s="23" t="n">
        <v>206.412</v>
      </c>
      <c r="L6" s="23" t="n">
        <v>193.644</v>
      </c>
      <c r="M6" s="23" t="n">
        <v>383.275</v>
      </c>
    </row>
    <row r="7">
      <c r="A7" s="2" t="inlineStr">
        <is>
          <t>Operating Expense</t>
        </is>
      </c>
      <c r="B7" s="23">
        <f>SUM(B5:B6)</f>
        <v>6.627</v>
      </c>
      <c r="C7" s="23">
        <f>SUM(C5:C6)</f>
        <v>25.976</v>
      </c>
      <c r="D7" s="23">
        <f>SUM(D5:D6)</f>
        <v>73.294</v>
      </c>
      <c r="E7" s="23">
        <f>SUM(E5:E6)</f>
        <v>105.645</v>
      </c>
      <c r="F7" s="23">
        <f>SUM(F5:F6)</f>
        <v>162.067</v>
      </c>
      <c r="G7" s="23">
        <f>SUM(G5:G6)</f>
        <v>242.85</v>
      </c>
      <c r="H7" s="23">
        <f>SUM(H5:H6)</f>
        <v>355.154</v>
      </c>
      <c r="I7" s="23">
        <f>SUM(I5:I6)</f>
        <v>541.435</v>
      </c>
      <c r="J7" s="23">
        <f>SUM(J5:J6)</f>
        <v>674.3589999999999</v>
      </c>
      <c r="K7" s="23">
        <f>SUM(K5:K6)</f>
        <v>593.744</v>
      </c>
      <c r="L7" s="23">
        <f>SUM(L5:L6)</f>
        <v>503.88</v>
      </c>
      <c r="M7" s="23">
        <f>SUM(M5:M6)</f>
        <v>668.0809999999999</v>
      </c>
    </row>
    <row r="8">
      <c r="A8" s="2" t="inlineStr">
        <is>
          <t>Operating Income</t>
        </is>
      </c>
      <c r="B8" s="23">
        <f>B4-B7</f>
        <v>-6.627</v>
      </c>
      <c r="C8" s="23">
        <f>C4-C7</f>
        <v>-25.729</v>
      </c>
      <c r="D8" s="23">
        <f>D4-D7</f>
        <v>-68.13</v>
      </c>
      <c r="E8" s="23">
        <f>E4-E7</f>
        <v>-64.648</v>
      </c>
      <c r="F8" s="23">
        <f>F4-F7</f>
        <v>-158.943</v>
      </c>
      <c r="G8" s="23">
        <f>G4-G7</f>
        <v>46.73999999999998</v>
      </c>
      <c r="H8" s="23">
        <f>H4-H7</f>
        <v>-354.435</v>
      </c>
      <c r="I8" s="23">
        <f>I4-I7</f>
        <v>373.528</v>
      </c>
      <c r="J8" s="23">
        <f>J4-J7</f>
        <v>-673.161</v>
      </c>
      <c r="K8" s="23">
        <f>K4-K7</f>
        <v>-222.538</v>
      </c>
      <c r="L8" s="23">
        <f>L4-L7</f>
        <v>-466.566</v>
      </c>
      <c r="M8" s="23">
        <f>M4-M7</f>
        <v>-664.5709999999999</v>
      </c>
    </row>
    <row r="9">
      <c r="A9" s="19" t="inlineStr">
        <is>
          <t>Interest &amp; Other</t>
        </is>
      </c>
      <c r="B9" s="23" t="n">
        <v>-0.445</v>
      </c>
      <c r="C9" s="23" t="n">
        <v>0.233</v>
      </c>
      <c r="D9" s="23" t="n">
        <v>45.437</v>
      </c>
      <c r="E9" s="23" t="n">
        <v>-1.96</v>
      </c>
      <c r="F9" s="23" t="n">
        <v>-5.485</v>
      </c>
      <c r="G9" s="23" t="n">
        <v>20.566</v>
      </c>
      <c r="H9" s="23" t="n">
        <v>6.379</v>
      </c>
      <c r="I9" s="23" t="n">
        <v>6.003</v>
      </c>
      <c r="J9" s="23" t="n">
        <v>22.661</v>
      </c>
      <c r="K9" s="23" t="n">
        <v>71.816</v>
      </c>
      <c r="L9" s="23" t="n">
        <v>103.901</v>
      </c>
      <c r="M9" s="23" t="n">
        <v>86.60599999999999</v>
      </c>
    </row>
    <row r="10">
      <c r="A10" s="2" t="inlineStr">
        <is>
          <t>Pretax</t>
        </is>
      </c>
      <c r="B10" s="23">
        <f>B8+B9</f>
        <v>-7.072</v>
      </c>
      <c r="C10" s="23">
        <f>C8+C9</f>
        <v>-25.496</v>
      </c>
      <c r="D10" s="23">
        <f>D8+D9</f>
        <v>-22.692999999999998</v>
      </c>
      <c r="E10" s="23">
        <f>E8+E9</f>
        <v>-66.60799999999999</v>
      </c>
      <c r="F10" s="23">
        <f>F8+F9</f>
        <v>-164.42800000000003</v>
      </c>
      <c r="G10" s="23">
        <f>G8+G9</f>
        <v>67.30599999999998</v>
      </c>
      <c r="H10" s="23">
        <f>H8+H9</f>
        <v>-348.056</v>
      </c>
      <c r="I10" s="23">
        <f>I8+I9</f>
        <v>379.531</v>
      </c>
      <c r="J10" s="23">
        <f>J8+J9</f>
        <v>-650.5</v>
      </c>
      <c r="K10" s="23">
        <f>K8+K9</f>
        <v>-150.722</v>
      </c>
      <c r="L10" s="23">
        <f>L8+L9</f>
        <v>-362.66499999999996</v>
      </c>
      <c r="M10" s="23">
        <f>M8+M9</f>
        <v>-577.9649999999999</v>
      </c>
    </row>
    <row r="11">
      <c r="A11" s="2" t="inlineStr">
        <is>
          <t>Taxes</t>
        </is>
      </c>
      <c r="B11" s="23" t="n">
        <v>-0.063</v>
      </c>
      <c r="C11" s="23" t="n">
        <v>0.007</v>
      </c>
      <c r="D11" s="23" t="n">
        <v>0.484</v>
      </c>
      <c r="E11" s="23" t="n">
        <v>1.749</v>
      </c>
      <c r="F11" s="23" t="n">
        <v>0.553</v>
      </c>
      <c r="G11" s="23" t="n">
        <v>0.448</v>
      </c>
      <c r="H11" s="23" t="n">
        <v>0.8090000000000001</v>
      </c>
      <c r="I11" s="23" t="n">
        <v>1.87</v>
      </c>
      <c r="J11" s="23" t="n">
        <v>-0.325</v>
      </c>
      <c r="K11" s="23" t="n">
        <v>2.888</v>
      </c>
      <c r="L11" s="23" t="n">
        <v>3.587</v>
      </c>
      <c r="M11" s="23" t="n">
        <v>3.634</v>
      </c>
    </row>
    <row r="12">
      <c r="A12" s="2" t="inlineStr">
        <is>
          <t>Net Income</t>
        </is>
      </c>
      <c r="B12" s="23" t="n">
        <v>-7.009</v>
      </c>
      <c r="C12" s="23" t="n">
        <v>-25.503</v>
      </c>
      <c r="D12" s="23" t="n">
        <v>-23.177</v>
      </c>
      <c r="E12" s="23" t="n">
        <v>-68.357</v>
      </c>
      <c r="F12" s="23" t="n">
        <v>-164.981</v>
      </c>
      <c r="G12" s="23" t="n">
        <v>66.858</v>
      </c>
      <c r="H12" s="23" t="n">
        <v>-348.865</v>
      </c>
      <c r="I12" s="23" t="n">
        <v>377.661</v>
      </c>
      <c r="J12" s="23" t="n">
        <v>-650.175</v>
      </c>
      <c r="K12" s="23" t="n">
        <v>-153.61</v>
      </c>
      <c r="L12" s="23" t="n">
        <v>-366.252</v>
      </c>
      <c r="M12" s="23" t="n">
        <v>-581.599</v>
      </c>
    </row>
    <row r="13">
      <c r="A13" s="2" t="inlineStr">
        <is>
          <t>Earnings per Share</t>
        </is>
      </c>
      <c r="B13" s="11">
        <f>IFERROR(B12/B14,0)</f>
        <v>-1.9688202247191011</v>
      </c>
      <c r="C13" s="11">
        <f>IFERROR(C12/C14,0)</f>
        <v>-5.063132817153067</v>
      </c>
      <c r="D13" s="11">
        <f>IFERROR(D12/D14,0)</f>
        <v>-1.890919474585951</v>
      </c>
      <c r="E13" s="11">
        <f>IFERROR(E12/E14,0)</f>
        <v>-1.7064932471228498</v>
      </c>
      <c r="F13" s="11">
        <f>IFERROR(F12/F14,0)</f>
        <v>-3.439683929613877</v>
      </c>
      <c r="G13" s="11">
        <f>IFERROR(G12/G14,0)</f>
        <v>1.1743277185463616</v>
      </c>
      <c r="H13" s="11">
        <f>IFERROR(H12/H14,0)</f>
        <v>-5.289840788476118</v>
      </c>
      <c r="I13" s="11">
        <f>IFERROR(I12/I14,0)</f>
        <v>4.697685121838966</v>
      </c>
      <c r="J13" s="11">
        <f>IFERROR(J12/J14,0)</f>
        <v>-8.362702097830141</v>
      </c>
      <c r="K13" s="11">
        <f>IFERROR(K12/K14,0)</f>
        <v>-1.9390060716224233</v>
      </c>
      <c r="L13" s="11">
        <f>IFERROR(L12/L14,0)</f>
        <v>-4.3415877381192285</v>
      </c>
      <c r="M13" s="11">
        <f>IFERROR(M12/M14,0)</f>
        <v>-6.467600778426467</v>
      </c>
    </row>
    <row r="14">
      <c r="A14" s="2" t="inlineStr">
        <is>
          <t>Shares</t>
        </is>
      </c>
      <c r="B14" s="23" t="n">
        <v>3.56</v>
      </c>
      <c r="C14" s="23" t="n">
        <v>5.037</v>
      </c>
      <c r="D14" s="23" t="n">
        <v>12.257</v>
      </c>
      <c r="E14" s="23" t="n">
        <v>40.057</v>
      </c>
      <c r="F14" s="23" t="n">
        <v>47.964</v>
      </c>
      <c r="G14" s="23" t="n">
        <v>56.933</v>
      </c>
      <c r="H14" s="23" t="n">
        <v>65.95</v>
      </c>
      <c r="I14" s="23" t="n">
        <v>80.393</v>
      </c>
      <c r="J14" s="23" t="n">
        <v>77.747</v>
      </c>
      <c r="K14" s="23" t="n">
        <v>79.221</v>
      </c>
      <c r="L14" s="23" t="n">
        <v>84.35899999999999</v>
      </c>
      <c r="M14" s="23" t="n">
        <v>89.925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19.906882591093115</v>
      </c>
      <c r="E16" s="15">
        <f>IFERROR(E2/D2-1,"")</f>
        <v>6.939000774593339</v>
      </c>
      <c r="F16" s="15">
        <f>IFERROR(F2/E2-1,"")</f>
        <v>-0.9237993023879796</v>
      </c>
      <c r="G16" s="15">
        <f>IFERROR(G2/F2-1,"")</f>
        <v>91.69846350832265</v>
      </c>
      <c r="H16" s="15">
        <f>IFERROR(H2/G2-1,"")</f>
        <v>-0.9975171794606167</v>
      </c>
      <c r="I16" s="15">
        <f>IFERROR(I2/H2-1,"")</f>
        <v>1271.549374130737</v>
      </c>
      <c r="J16" s="15">
        <f>IFERROR(J2/I2-1,"")</f>
        <v>-0.9986906574364209</v>
      </c>
      <c r="K16" s="15">
        <f>IFERROR(K2/J2-1,"")</f>
        <v>308.8547579298832</v>
      </c>
      <c r="L16" s="15">
        <f>IFERROR(L2/K2-1,"")</f>
        <v>-0.8994789954903746</v>
      </c>
      <c r="M16" s="15">
        <f>IFERROR(M2/L2-1,"")</f>
        <v>-0.9059334298118669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-104.16599190283401</v>
      </c>
      <c r="D18" s="15">
        <f>IFERROR(D8/D2,"")</f>
        <v>-13.193261037955073</v>
      </c>
      <c r="E18" s="15">
        <f>IFERROR(E8/E2,"")</f>
        <v>-1.5768958704295435</v>
      </c>
      <c r="F18" s="15">
        <f>IFERROR(F8/F2,"")</f>
        <v>-50.878040973111396</v>
      </c>
      <c r="G18" s="15">
        <f>IFERROR(G8/G2,"")</f>
        <v>0.1614006008494768</v>
      </c>
      <c r="H18" s="15">
        <f>IFERROR(H8/H2,"")</f>
        <v>-492.9554937413074</v>
      </c>
      <c r="I18" s="15">
        <f>IFERROR(I8/I2,"")</f>
        <v>0.408243830624845</v>
      </c>
      <c r="J18" s="15">
        <f>IFERROR(J8/J2,"")</f>
        <v>-561.9040066777962</v>
      </c>
      <c r="K18" s="15">
        <f>IFERROR(K8/K2,"")</f>
        <v>-0.599500008081766</v>
      </c>
      <c r="L18" s="15">
        <f>IFERROR(L8/L2,"")</f>
        <v>-12.503778742563112</v>
      </c>
      <c r="M18" s="15">
        <f>IFERROR(M8/M2,"")</f>
        <v>-189.33646723646723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2026-10-21T01:04:06Z</dcterms:modified>
  <cp:lastModifiedBy>Wang, Eric</cp:lastModifiedBy>
</cp:coreProperties>
</file>