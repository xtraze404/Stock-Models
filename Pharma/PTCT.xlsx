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PTC Therapeutics, Inc.</t>
        </is>
      </c>
      <c r="C2" s="10" t="n"/>
    </row>
    <row r="3">
      <c r="B3" t="inlineStr">
        <is>
          <t>Price</t>
        </is>
      </c>
      <c r="C3" s="11">
        <f>INDEX([1]Pharma!$F$1:$F$1000,MATCH("PTCT",[1]Pharma!$B$1:$B$1000,0))</f>
        <v>62.92</v>
      </c>
      <c r="F3" s="1" t="n"/>
    </row>
    <row r="4">
      <c r="B4" t="inlineStr">
        <is>
          <t>Shares</t>
        </is>
      </c>
      <c r="C4" s="51" t="n">
        <v>83.460802</v>
      </c>
      <c r="F4" s="1" t="n"/>
    </row>
    <row r="5">
      <c r="B5" t="inlineStr">
        <is>
          <t>Market Cap.</t>
        </is>
      </c>
      <c r="C5" s="13">
        <f>C3*C4</f>
        <v>5251.35366184</v>
      </c>
      <c r="F5" s="1" t="n"/>
    </row>
    <row r="6"/>
    <row r="7">
      <c r="B7" t="inlineStr">
        <is>
          <t>Cash</t>
        </is>
      </c>
      <c r="C7" s="51">
        <f>1049.887+1179.195</f>
        <v>2229.082</v>
      </c>
    </row>
    <row r="8">
      <c r="B8" t="inlineStr">
        <is>
          <t>Debt</t>
        </is>
      </c>
      <c r="C8" s="51">
        <f>55.451+535.519</f>
        <v>590.97</v>
      </c>
    </row>
    <row r="9">
      <c r="B9" t="inlineStr">
        <is>
          <t>Enterprise V.</t>
        </is>
      </c>
      <c r="C9" s="13">
        <f>C5-C7+C8</f>
        <v>3613.2416618400002</v>
      </c>
    </row>
    <row r="10"/>
    <row r="11">
      <c r="B11" s="14" t="inlineStr">
        <is>
          <t>NPV / Share</t>
        </is>
      </c>
      <c r="C11" s="11">
        <f>NPV!B28</f>
        <v>47.505232158878805</v>
      </c>
    </row>
    <row r="12">
      <c r="B12" s="14" t="inlineStr">
        <is>
          <t>Upside</t>
        </is>
      </c>
      <c r="C12" s="15">
        <f>IFERROR(C11/C3-1,"")</f>
        <v>-0.2449899529739542</v>
      </c>
    </row>
    <row r="13">
      <c r="B13" s="14" t="inlineStr">
        <is>
          <t>Cash / Share</t>
        </is>
      </c>
      <c r="C13" s="11">
        <f>IFERROR((C7-C8)/C4,"")</f>
        <v>19.627321577858787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2011</v>
      </c>
      <c r="C1" s="16" t="n">
        <v>2012</v>
      </c>
      <c r="D1" s="16" t="n">
        <v>2013</v>
      </c>
      <c r="E1" s="16" t="n">
        <v>2014</v>
      </c>
      <c r="F1" s="16" t="n">
        <v>2015</v>
      </c>
      <c r="G1" s="16" t="n">
        <v>2016</v>
      </c>
      <c r="H1" s="16" t="n">
        <v>2017</v>
      </c>
      <c r="I1" s="16" t="n">
        <v>2018</v>
      </c>
      <c r="J1" s="16" t="n">
        <v>2019</v>
      </c>
      <c r="K1" s="16" t="n">
        <v>2020</v>
      </c>
      <c r="L1" s="16" t="n">
        <v>2021</v>
      </c>
      <c r="M1" s="16" t="n">
        <v>2022</v>
      </c>
      <c r="N1" s="16" t="n">
        <v>2023</v>
      </c>
      <c r="O1" s="16" t="n">
        <v>2024</v>
      </c>
      <c r="P1" s="16" t="n">
        <v>2025</v>
      </c>
      <c r="Q1" s="16" t="n">
        <v>2026</v>
      </c>
      <c r="R1" s="16" t="n">
        <v>2027</v>
      </c>
      <c r="S1" s="16" t="n">
        <v>2028</v>
      </c>
      <c r="T1" s="16" t="n">
        <v>2029</v>
      </c>
      <c r="U1" s="16" t="n">
        <v>2030</v>
      </c>
      <c r="V1" s="16" t="n">
        <v>2031</v>
      </c>
      <c r="W1" s="16" t="n">
        <v>2032</v>
      </c>
      <c r="X1" s="16" t="n">
        <v>2033</v>
      </c>
      <c r="Y1" s="16" t="n">
        <v>2034</v>
      </c>
      <c r="Z1" s="16" t="n">
        <v>2035</v>
      </c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105.412</v>
      </c>
      <c r="C2" s="52" t="n">
        <v>33.946</v>
      </c>
      <c r="D2" s="52" t="n">
        <v>34.696</v>
      </c>
      <c r="E2" s="52" t="n">
        <v>25.245</v>
      </c>
      <c r="F2" s="52" t="n">
        <v>36.766</v>
      </c>
      <c r="G2" s="52" t="n">
        <v>82.705</v>
      </c>
      <c r="H2" s="52" t="n">
        <v>194.392</v>
      </c>
      <c r="I2" s="52" t="n">
        <v>264.734</v>
      </c>
      <c r="J2" s="52" t="n">
        <v>306.98</v>
      </c>
      <c r="K2" s="52" t="n">
        <v>380.766</v>
      </c>
      <c r="L2" s="52" t="n">
        <v>538.593</v>
      </c>
      <c r="M2" s="52" t="n">
        <v>698.801</v>
      </c>
      <c r="N2" s="52" t="n">
        <v>937.822</v>
      </c>
      <c r="O2" s="52" t="n">
        <v>806.78</v>
      </c>
      <c r="P2" s="52" t="n">
        <v>1730.655</v>
      </c>
      <c r="Q2" s="52">
        <f>P2*(1+NPV!C5)</f>
        <v>1557.5895</v>
      </c>
      <c r="R2" s="52">
        <f>Q2*(1+NPV!D5)</f>
        <v>1423.4637375</v>
      </c>
      <c r="S2" s="52">
        <f>R2*(1+NPV!E5)</f>
        <v>1320.658023125</v>
      </c>
      <c r="T2" s="52">
        <f>S2*(1+NPV!F5)</f>
        <v>1243.6196384427083</v>
      </c>
      <c r="U2" s="52">
        <f>T2*(1+NPV!G5)</f>
        <v>1188.347654511921</v>
      </c>
      <c r="V2" s="52">
        <f>U2*(1+NPV!H5)</f>
        <v>1152.0370317351678</v>
      </c>
      <c r="W2" s="52">
        <f>V2*(1+NPV!I5)</f>
        <v>1132.8364145395817</v>
      </c>
      <c r="X2" s="52">
        <f>W2*(1+NPV!J5)</f>
        <v>1129.6896467214162</v>
      </c>
      <c r="Y2" s="52">
        <f>X2*(1+NPV!K5)</f>
        <v>1142.2417539072096</v>
      </c>
      <c r="Z2" s="52">
        <f>Y2*(1+NPV!L5)</f>
        <v>1170.7977977548896</v>
      </c>
    </row>
    <row r="3" customFormat="1" s="1">
      <c r="A3" s="5" t="inlineStr">
        <is>
          <t>Cost of Sales</t>
        </is>
      </c>
      <c r="B3" s="52" t="n">
        <v>0</v>
      </c>
      <c r="C3" s="52" t="n">
        <v>0</v>
      </c>
      <c r="D3" s="52" t="n">
        <v>0</v>
      </c>
      <c r="E3" s="52" t="n">
        <v>0</v>
      </c>
      <c r="F3" s="52" t="n">
        <v>0</v>
      </c>
      <c r="G3" s="52" t="n">
        <v>0</v>
      </c>
      <c r="H3" s="52" t="n">
        <v>4.577</v>
      </c>
      <c r="I3" s="52" t="n">
        <v>12.67</v>
      </c>
      <c r="J3" s="52" t="n">
        <v>12.135</v>
      </c>
      <c r="K3" s="52" t="n">
        <v>0</v>
      </c>
      <c r="L3" s="52" t="n">
        <v>0</v>
      </c>
      <c r="M3" s="52" t="n">
        <v>0</v>
      </c>
      <c r="N3" s="52" t="n">
        <v>0</v>
      </c>
      <c r="O3" s="52" t="n">
        <v>0</v>
      </c>
      <c r="P3" s="52" t="n">
        <v>0</v>
      </c>
      <c r="Q3" s="52">
        <f>Q2*(1-Assumptions!$B$19)</f>
        <v>61.52478524999997</v>
      </c>
      <c r="R3" s="52">
        <f>R2*(1-Assumptions!$B$19)</f>
        <v>56.22681763124997</v>
      </c>
      <c r="S3" s="52">
        <f>S2*(1-Assumptions!$B$19)</f>
        <v>52.16599191343747</v>
      </c>
      <c r="T3" s="52">
        <f>T2*(1-Assumptions!$B$19)</f>
        <v>49.12297571848695</v>
      </c>
      <c r="U3" s="52">
        <f>U2*(1-Assumptions!$B$19)</f>
        <v>46.939732353220855</v>
      </c>
      <c r="V3" s="52">
        <f>V2*(1-Assumptions!$B$19)</f>
        <v>45.505462753539106</v>
      </c>
      <c r="W3" s="52">
        <f>W2*(1-Assumptions!$B$19)</f>
        <v>44.747038374313455</v>
      </c>
      <c r="X3" s="52">
        <f>X2*(1-Assumptions!$B$19)</f>
        <v>44.62274104549592</v>
      </c>
      <c r="Y3" s="52">
        <f>Y2*(1-Assumptions!$B$19)</f>
        <v>45.11854927933476</v>
      </c>
      <c r="Z3" s="52">
        <f>Z2*(1-Assumptions!$B$19)</f>
        <v>46.246513011318115</v>
      </c>
    </row>
    <row r="4" customFormat="1" s="1">
      <c r="A4" s="5" t="inlineStr">
        <is>
          <t>Gross Margin</t>
        </is>
      </c>
      <c r="B4" s="52">
        <f>B2-B3</f>
        <v>105.412</v>
      </c>
      <c r="C4" s="52">
        <f>C2-C3</f>
        <v>33.946</v>
      </c>
      <c r="D4" s="52">
        <f>D2-D3</f>
        <v>34.696</v>
      </c>
      <c r="E4" s="52">
        <f>E2-E3</f>
        <v>25.245</v>
      </c>
      <c r="F4" s="52">
        <f>F2-F3</f>
        <v>36.766</v>
      </c>
      <c r="G4" s="52">
        <f>G2-G3</f>
        <v>82.705</v>
      </c>
      <c r="H4" s="52">
        <f>H2-H3</f>
        <v>189.815</v>
      </c>
      <c r="I4" s="52">
        <f>I2-I3</f>
        <v>252.064</v>
      </c>
      <c r="J4" s="52">
        <f>J2-J3</f>
        <v>294.845</v>
      </c>
      <c r="K4" s="52">
        <f>K2-K3</f>
        <v>380.766</v>
      </c>
      <c r="L4" s="52">
        <f>L2-L3</f>
        <v>538.593</v>
      </c>
      <c r="M4" s="52">
        <f>M2-M3</f>
        <v>698.801</v>
      </c>
      <c r="N4" s="52">
        <f>N2-N3</f>
        <v>937.822</v>
      </c>
      <c r="O4" s="52">
        <f>O2-O3</f>
        <v>806.78</v>
      </c>
      <c r="P4" s="52">
        <f>P2-P3</f>
        <v>1730.655</v>
      </c>
      <c r="Q4" s="52">
        <f>Q2-Q3</f>
        <v>1496.0647147500001</v>
      </c>
      <c r="R4" s="52">
        <f>R2-R3</f>
        <v>1367.23691986875</v>
      </c>
      <c r="S4" s="52">
        <f>S2-S3</f>
        <v>1268.4920312115626</v>
      </c>
      <c r="T4" s="52">
        <f>T2-T3</f>
        <v>1194.4966627242213</v>
      </c>
      <c r="U4" s="52">
        <f>U2-U3</f>
        <v>1141.4079221587</v>
      </c>
      <c r="V4" s="52">
        <f>V2-V3</f>
        <v>1106.5315689816287</v>
      </c>
      <c r="W4" s="52">
        <f>W2-W3</f>
        <v>1088.0893761652683</v>
      </c>
      <c r="X4" s="52">
        <f>X2-X3</f>
        <v>1085.0669056759202</v>
      </c>
      <c r="Y4" s="52">
        <f>Y2-Y3</f>
        <v>1097.1232046278749</v>
      </c>
      <c r="Z4" s="52">
        <f>Z2-Z3</f>
        <v>1124.5512847435716</v>
      </c>
    </row>
    <row r="5">
      <c r="A5" s="2" t="inlineStr">
        <is>
          <t>Research &amp; Dev.</t>
        </is>
      </c>
      <c r="B5" s="52" t="n">
        <v>58.677</v>
      </c>
      <c r="C5" s="52" t="n">
        <v>46.139</v>
      </c>
      <c r="D5" s="52" t="n">
        <v>54.875</v>
      </c>
      <c r="E5" s="52" t="n">
        <v>79.83799999999999</v>
      </c>
      <c r="F5" s="52" t="n">
        <v>121.816</v>
      </c>
      <c r="G5" s="52" t="n">
        <v>117.633</v>
      </c>
      <c r="H5" s="52" t="n">
        <v>117.456</v>
      </c>
      <c r="I5" s="52" t="n">
        <v>171.984</v>
      </c>
      <c r="J5" s="52" t="n">
        <v>257.452</v>
      </c>
      <c r="K5" s="52" t="n">
        <v>477.643</v>
      </c>
      <c r="L5" s="52" t="n">
        <v>540.684</v>
      </c>
      <c r="M5" s="52" t="n">
        <v>651.496</v>
      </c>
      <c r="N5" s="52" t="n">
        <v>666.563</v>
      </c>
      <c r="O5" s="52" t="n">
        <v>534.48</v>
      </c>
      <c r="P5" s="52" t="n">
        <v>455.249</v>
      </c>
      <c r="Q5" s="52">
        <f>Q7*Assumptions!$B$20</f>
        <v>680.1619447140525</v>
      </c>
      <c r="R5" s="52">
        <f>R7*Assumptions!$B$20</f>
        <v>615.9276205121577</v>
      </c>
      <c r="S5" s="52">
        <f>S7*Assumptions!$B$20</f>
        <v>566.1882617586058</v>
      </c>
      <c r="T5" s="52">
        <f>T7*Assumptions!$B$20</f>
        <v>528.2114982247755</v>
      </c>
      <c r="U5" s="52">
        <f>U7*Assumptions!$B$20</f>
        <v>500.00627736937366</v>
      </c>
      <c r="V5" s="52">
        <f>V7*Assumptions!$B$20</f>
        <v>480.14365545140885</v>
      </c>
      <c r="W5" s="52">
        <f>W7*Assumptions!$B$20</f>
        <v>467.63301973440156</v>
      </c>
      <c r="X5" s="52">
        <f>X7*Assumptions!$B$20</f>
        <v>461.83832055748746</v>
      </c>
      <c r="Y5" s="52">
        <f>Y7*Assumptions!$B$20</f>
        <v>462.42418645751275</v>
      </c>
      <c r="Z5" s="52">
        <f>Z7*Assumptions!$B$20</f>
        <v>469.3254783490161</v>
      </c>
    </row>
    <row r="6">
      <c r="A6" s="18" t="inlineStr">
        <is>
          <t>SG&amp;A &amp; Other</t>
        </is>
      </c>
      <c r="B6" s="52" t="n">
        <v>16.153</v>
      </c>
      <c r="C6" s="52" t="n">
        <v>14.615</v>
      </c>
      <c r="D6" s="52" t="n">
        <v>25.219</v>
      </c>
      <c r="E6" s="52" t="n">
        <v>44.82</v>
      </c>
      <c r="F6" s="52" t="n">
        <v>82.08</v>
      </c>
      <c r="G6" s="52" t="n">
        <v>97.13</v>
      </c>
      <c r="H6" s="52" t="n">
        <v>136.651</v>
      </c>
      <c r="I6" s="52" t="n">
        <v>195.765</v>
      </c>
      <c r="J6" s="52" t="n">
        <v>278.551</v>
      </c>
      <c r="K6" s="52" t="n">
        <v>334.891</v>
      </c>
      <c r="L6" s="52" t="n">
        <v>372.352</v>
      </c>
      <c r="M6" s="52" t="n">
        <v>494.714</v>
      </c>
      <c r="N6" s="52" t="n">
        <v>710.761</v>
      </c>
      <c r="O6" s="52" t="n">
        <v>574.87</v>
      </c>
      <c r="P6" s="52" t="n">
        <v>408.471</v>
      </c>
      <c r="Q6" s="52">
        <f>Q7-Q5</f>
        <v>610.2230765609476</v>
      </c>
      <c r="R6" s="52">
        <f>R7-R5</f>
        <v>552.5937616015923</v>
      </c>
      <c r="S6" s="52">
        <f>S7-S5</f>
        <v>507.96894135011314</v>
      </c>
      <c r="T6" s="52">
        <f>T7-T5</f>
        <v>473.89720643235887</v>
      </c>
      <c r="U6" s="52">
        <f>U7-U5</f>
        <v>448.5922378447672</v>
      </c>
      <c r="V6" s="52">
        <f>V7-V5</f>
        <v>430.77202554158833</v>
      </c>
      <c r="W6" s="52">
        <f>W7-W5</f>
        <v>419.5478183122719</v>
      </c>
      <c r="X6" s="52">
        <f>X7-X5</f>
        <v>414.34896943964293</v>
      </c>
      <c r="Y6" s="52">
        <f>Y7-Y5</f>
        <v>414.87459263091966</v>
      </c>
      <c r="Z6" s="52">
        <f>Z7-Z5</f>
        <v>421.0662468435775</v>
      </c>
    </row>
    <row r="7">
      <c r="A7" s="2" t="inlineStr">
        <is>
          <t>Operating Expense</t>
        </is>
      </c>
      <c r="B7" s="52">
        <f>SUM(B5:B6)</f>
        <v>74.83</v>
      </c>
      <c r="C7" s="52">
        <f>SUM(C5:C6)</f>
        <v>60.754000000000005</v>
      </c>
      <c r="D7" s="52">
        <f>SUM(D5:D6)</f>
        <v>80.094</v>
      </c>
      <c r="E7" s="52">
        <f>SUM(E5:E6)</f>
        <v>124.65799999999999</v>
      </c>
      <c r="F7" s="52">
        <f>SUM(F5:F6)</f>
        <v>203.89600000000002</v>
      </c>
      <c r="G7" s="52">
        <f>SUM(G5:G6)</f>
        <v>214.76299999999998</v>
      </c>
      <c r="H7" s="52">
        <f>SUM(H5:H6)</f>
        <v>254.10700000000003</v>
      </c>
      <c r="I7" s="52">
        <f>SUM(I5:I6)</f>
        <v>367.749</v>
      </c>
      <c r="J7" s="52">
        <f>SUM(J5:J6)</f>
        <v>536.0029999999999</v>
      </c>
      <c r="K7" s="52">
        <f>SUM(K5:K6)</f>
        <v>812.534</v>
      </c>
      <c r="L7" s="52">
        <f>SUM(L5:L6)</f>
        <v>913.036</v>
      </c>
      <c r="M7" s="52">
        <f>SUM(M5:M6)</f>
        <v>1146.21</v>
      </c>
      <c r="N7" s="52">
        <f>SUM(N5:N6)</f>
        <v>1377.324</v>
      </c>
      <c r="O7" s="52">
        <f>SUM(O5:O6)</f>
        <v>1109.35</v>
      </c>
      <c r="P7" s="52">
        <f>SUM(P5:P6)</f>
        <v>863.72</v>
      </c>
      <c r="Q7" s="52">
        <f>Q4-Q2*NPV!C6</f>
        <v>1290.385021275</v>
      </c>
      <c r="R7" s="52">
        <f>R4-R2*NPV!D6</f>
        <v>1168.52138211375</v>
      </c>
      <c r="S7" s="52">
        <f>S4-S2*NPV!E6</f>
        <v>1074.157203108719</v>
      </c>
      <c r="T7" s="52">
        <f>T4-T2*NPV!F6</f>
        <v>1002.1087046571344</v>
      </c>
      <c r="U7" s="52">
        <f>U4-U2*NPV!G6</f>
        <v>948.5985152141409</v>
      </c>
      <c r="V7" s="52">
        <f>V4-V2*NPV!H6</f>
        <v>910.9156809929972</v>
      </c>
      <c r="W7" s="52">
        <f>W4-W2*NPV!I6</f>
        <v>887.1808380466734</v>
      </c>
      <c r="X7" s="52">
        <f>X4-X2*NPV!J6</f>
        <v>876.1872899971304</v>
      </c>
      <c r="Y7" s="52">
        <f>Y4-Y2*NPV!K6</f>
        <v>877.2987790884324</v>
      </c>
      <c r="Z7" s="52">
        <f>Z4-Z2*NPV!L6</f>
        <v>890.3917251925936</v>
      </c>
    </row>
    <row r="8">
      <c r="A8" s="2" t="inlineStr">
        <is>
          <t>Operating Income</t>
        </is>
      </c>
      <c r="B8" s="52">
        <f>B4-B7</f>
        <v>30.582000000000008</v>
      </c>
      <c r="C8" s="52">
        <f>C4-C7</f>
        <v>-26.808000000000007</v>
      </c>
      <c r="D8" s="52">
        <f>D4-D7</f>
        <v>-45.397999999999996</v>
      </c>
      <c r="E8" s="52">
        <f>E4-E7</f>
        <v>-99.41299999999998</v>
      </c>
      <c r="F8" s="52">
        <f>F4-F7</f>
        <v>-167.13000000000002</v>
      </c>
      <c r="G8" s="52">
        <f>G4-G7</f>
        <v>-132.058</v>
      </c>
      <c r="H8" s="52">
        <f>H4-H7</f>
        <v>-64.29200000000003</v>
      </c>
      <c r="I8" s="52">
        <f>I4-I7</f>
        <v>-115.68500000000003</v>
      </c>
      <c r="J8" s="52">
        <f>J4-J7</f>
        <v>-241.1579999999999</v>
      </c>
      <c r="K8" s="52">
        <f>K4-K7</f>
        <v>-431.768</v>
      </c>
      <c r="L8" s="52">
        <f>L4-L7</f>
        <v>-374.443</v>
      </c>
      <c r="M8" s="52">
        <f>M4-M7</f>
        <v>-447.409</v>
      </c>
      <c r="N8" s="52">
        <f>N4-N7</f>
        <v>-439.50200000000007</v>
      </c>
      <c r="O8" s="52">
        <f>O4-O7</f>
        <v>-302.56999999999994</v>
      </c>
      <c r="P8" s="52">
        <f>P4-P7</f>
        <v>866.935</v>
      </c>
      <c r="Q8" s="52">
        <f>Q4-Q7</f>
        <v>205.67969347500002</v>
      </c>
      <c r="R8" s="52">
        <f>R4-R7</f>
        <v>198.715537755</v>
      </c>
      <c r="S8" s="52">
        <f>S4-S7</f>
        <v>194.33482810284363</v>
      </c>
      <c r="T8" s="52">
        <f>T4-T7</f>
        <v>192.38795806708697</v>
      </c>
      <c r="U8" s="52">
        <f>U4-U7</f>
        <v>192.8094069445592</v>
      </c>
      <c r="V8" s="52">
        <f>V4-V7</f>
        <v>195.61588798863147</v>
      </c>
      <c r="W8" s="52">
        <f>W4-W7</f>
        <v>200.90853811859483</v>
      </c>
      <c r="X8" s="52">
        <f>X4-X7</f>
        <v>208.87961567878983</v>
      </c>
      <c r="Y8" s="52">
        <f>Y4-Y7</f>
        <v>219.82442553944247</v>
      </c>
      <c r="Z8" s="52">
        <f>Z4-Z7</f>
        <v>234.15955955097797</v>
      </c>
    </row>
    <row r="9">
      <c r="A9" s="18" t="inlineStr">
        <is>
          <t>Interest &amp; Other</t>
        </is>
      </c>
      <c r="B9" s="52" t="n">
        <v>-1.983</v>
      </c>
      <c r="C9" s="52" t="n">
        <v>0.573</v>
      </c>
      <c r="D9" s="52" t="n">
        <v>-6.176</v>
      </c>
      <c r="E9" s="52" t="n">
        <v>0.967</v>
      </c>
      <c r="F9" s="52" t="n">
        <v>-2.832</v>
      </c>
      <c r="G9" s="52" t="n">
        <v>-9.483000000000001</v>
      </c>
      <c r="H9" s="52" t="n">
        <v>-13.373</v>
      </c>
      <c r="I9" s="52" t="n">
        <v>-12.425</v>
      </c>
      <c r="J9" s="52" t="n">
        <v>1.232</v>
      </c>
      <c r="K9" s="52" t="n">
        <v>28.836</v>
      </c>
      <c r="L9" s="52" t="n">
        <v>-143.896</v>
      </c>
      <c r="M9" s="52" t="n">
        <v>-140.061</v>
      </c>
      <c r="N9" s="52" t="n">
        <v>-256.604</v>
      </c>
      <c r="O9" s="52" t="n">
        <v>-60.554</v>
      </c>
      <c r="P9" s="52" t="n">
        <v>-169.96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0</v>
      </c>
      <c r="W9" s="52" t="n">
        <v>0</v>
      </c>
      <c r="X9" s="52" t="n">
        <v>0</v>
      </c>
      <c r="Y9" s="52" t="n">
        <v>0</v>
      </c>
      <c r="Z9" s="52" t="n">
        <v>0</v>
      </c>
    </row>
    <row r="10">
      <c r="A10" s="2" t="inlineStr">
        <is>
          <t>Pretax</t>
        </is>
      </c>
      <c r="B10" s="52">
        <f>B8+B9</f>
        <v>28.599000000000007</v>
      </c>
      <c r="C10" s="52">
        <f>C8+C9</f>
        <v>-26.235000000000007</v>
      </c>
      <c r="D10" s="52">
        <f>D8+D9</f>
        <v>-51.574</v>
      </c>
      <c r="E10" s="52">
        <f>E8+E9</f>
        <v>-98.44599999999998</v>
      </c>
      <c r="F10" s="52">
        <f>F8+F9</f>
        <v>-169.96200000000002</v>
      </c>
      <c r="G10" s="52">
        <f>G8+G9</f>
        <v>-141.541</v>
      </c>
      <c r="H10" s="52">
        <f>H8+H9</f>
        <v>-77.66500000000003</v>
      </c>
      <c r="I10" s="52">
        <f>I8+I9</f>
        <v>-128.11000000000004</v>
      </c>
      <c r="J10" s="52">
        <f>J8+J9</f>
        <v>-239.9259999999999</v>
      </c>
      <c r="K10" s="52">
        <f>K8+K9</f>
        <v>-402.93199999999996</v>
      </c>
      <c r="L10" s="52">
        <f>L8+L9</f>
        <v>-518.3389999999999</v>
      </c>
      <c r="M10" s="52">
        <f>M8+M9</f>
        <v>-587.47</v>
      </c>
      <c r="N10" s="52">
        <f>N8+N9</f>
        <v>-696.106</v>
      </c>
      <c r="O10" s="52">
        <f>O8+O9</f>
        <v>-363.1239999999999</v>
      </c>
      <c r="P10" s="52">
        <f>P8+P9</f>
        <v>696.9749999999999</v>
      </c>
      <c r="Q10" s="52">
        <f>Q8+Q9</f>
        <v>205.67969347500002</v>
      </c>
      <c r="R10" s="52">
        <f>R8+R9</f>
        <v>198.715537755</v>
      </c>
      <c r="S10" s="52">
        <f>S8+S9</f>
        <v>194.33482810284363</v>
      </c>
      <c r="T10" s="52">
        <f>T8+T9</f>
        <v>192.38795806708697</v>
      </c>
      <c r="U10" s="52">
        <f>U8+U9</f>
        <v>192.8094069445592</v>
      </c>
      <c r="V10" s="52">
        <f>V8+V9</f>
        <v>195.61588798863147</v>
      </c>
      <c r="W10" s="52">
        <f>W8+W9</f>
        <v>200.90853811859483</v>
      </c>
      <c r="X10" s="52">
        <f>X8+X9</f>
        <v>208.87961567878983</v>
      </c>
      <c r="Y10" s="52">
        <f>Y8+Y9</f>
        <v>219.82442553944247</v>
      </c>
      <c r="Z10" s="52">
        <f>Z8+Z9</f>
        <v>234.15955955097797</v>
      </c>
    </row>
    <row r="11">
      <c r="A11" s="2" t="inlineStr">
        <is>
          <t>Taxes</t>
        </is>
      </c>
      <c r="B11" s="52" t="n">
        <v>-2.306</v>
      </c>
      <c r="C11" s="52" t="n">
        <v>0</v>
      </c>
      <c r="D11" s="52" t="n">
        <v>0</v>
      </c>
      <c r="E11" s="52" t="n">
        <v>-4.693</v>
      </c>
      <c r="F11" s="52" t="n">
        <v>0.485</v>
      </c>
      <c r="G11" s="52" t="n">
        <v>0.569</v>
      </c>
      <c r="H11" s="52" t="n">
        <v>1.335</v>
      </c>
      <c r="I11" s="52" t="n">
        <v>-0.029</v>
      </c>
      <c r="J11" s="52" t="n">
        <v>11.65</v>
      </c>
      <c r="K11" s="52" t="n">
        <v>35.228</v>
      </c>
      <c r="L11" s="52" t="n">
        <v>5.561</v>
      </c>
      <c r="M11" s="52" t="n">
        <v>-28.47</v>
      </c>
      <c r="N11" s="52" t="n">
        <v>-69.506</v>
      </c>
      <c r="O11" s="52" t="n">
        <v>0.176</v>
      </c>
      <c r="P11" s="52" t="n">
        <v>13.975</v>
      </c>
      <c r="Q11" s="52">
        <f>MAX(0,Q10)*Assumptions!$E$14</f>
        <v>34.96554789075001</v>
      </c>
      <c r="R11" s="52">
        <f>MAX(0,R10)*Assumptions!$E$14</f>
        <v>33.781641418350006</v>
      </c>
      <c r="S11" s="52">
        <f>MAX(0,S10)*Assumptions!$E$14</f>
        <v>33.03692077748342</v>
      </c>
      <c r="T11" s="52">
        <f>MAX(0,T10)*Assumptions!$E$14</f>
        <v>32.70595287140479</v>
      </c>
      <c r="U11" s="52">
        <f>MAX(0,U10)*Assumptions!$E$14</f>
        <v>32.777599180575066</v>
      </c>
      <c r="V11" s="52">
        <f>MAX(0,V10)*Assumptions!$E$14</f>
        <v>33.25470095806735</v>
      </c>
      <c r="W11" s="52">
        <f>MAX(0,W10)*Assumptions!$E$14</f>
        <v>34.15445148016112</v>
      </c>
      <c r="X11" s="52">
        <f>MAX(0,X10)*Assumptions!$E$14</f>
        <v>35.50953466539428</v>
      </c>
      <c r="Y11" s="52">
        <f>MAX(0,Y10)*Assumptions!$E$14</f>
        <v>37.37015234170522</v>
      </c>
      <c r="Z11" s="52">
        <f>MAX(0,Z10)*Assumptions!$E$14</f>
        <v>39.80712512366626</v>
      </c>
    </row>
    <row r="12">
      <c r="A12" s="2" t="inlineStr">
        <is>
          <t>Net Income</t>
        </is>
      </c>
      <c r="B12" s="52" t="n">
        <v>30.905</v>
      </c>
      <c r="C12" s="52" t="n">
        <v>-26.235</v>
      </c>
      <c r="D12" s="52" t="n">
        <v>-51.574</v>
      </c>
      <c r="E12" s="52" t="n">
        <v>-93.753</v>
      </c>
      <c r="F12" s="52" t="n">
        <v>-170.447</v>
      </c>
      <c r="G12" s="52" t="n">
        <v>-142.11</v>
      </c>
      <c r="H12" s="52" t="n">
        <v>-79</v>
      </c>
      <c r="I12" s="52" t="n">
        <v>-128.081</v>
      </c>
      <c r="J12" s="52" t="n">
        <v>-251.576</v>
      </c>
      <c r="K12" s="52" t="n">
        <v>-438.16</v>
      </c>
      <c r="L12" s="52" t="n">
        <v>-523.9</v>
      </c>
      <c r="M12" s="52" t="n">
        <v>-559</v>
      </c>
      <c r="N12" s="52" t="n">
        <v>-626.6</v>
      </c>
      <c r="O12" s="52" t="n">
        <v>-363.3</v>
      </c>
      <c r="P12" s="52" t="n">
        <v>683</v>
      </c>
      <c r="Q12" s="52">
        <f>Q10-Q11</f>
        <v>170.71414558425002</v>
      </c>
      <c r="R12" s="52">
        <f>R10-R11</f>
        <v>164.93389633665</v>
      </c>
      <c r="S12" s="52">
        <f>S10-S11</f>
        <v>161.2979073253602</v>
      </c>
      <c r="T12" s="52">
        <f>T10-T11</f>
        <v>159.68200519568217</v>
      </c>
      <c r="U12" s="52">
        <f>U10-U11</f>
        <v>160.03180776398415</v>
      </c>
      <c r="V12" s="52">
        <f>V10-V11</f>
        <v>162.3611870305641</v>
      </c>
      <c r="W12" s="52">
        <f>W10-W11</f>
        <v>166.7540866384337</v>
      </c>
      <c r="X12" s="52">
        <f>X10-X11</f>
        <v>173.37008101339555</v>
      </c>
      <c r="Y12" s="52">
        <f>Y10-Y11</f>
        <v>182.45427319773725</v>
      </c>
      <c r="Z12" s="52">
        <f>Z10-Z11</f>
        <v>194.35243442731172</v>
      </c>
    </row>
    <row r="13">
      <c r="A13" s="2" t="inlineStr">
        <is>
          <t>Earnings per Share</t>
        </is>
      </c>
      <c r="B13" s="11">
        <f>IFERROR(B12/B14,0)</f>
        <v>2.410310403993137</v>
      </c>
      <c r="C13" s="11">
        <f>IFERROR(C12/C14,0)</f>
        <v>-2.0440202571094663</v>
      </c>
      <c r="D13" s="11">
        <f>IFERROR(D12/D14,0)</f>
        <v>-4.0201106867253875</v>
      </c>
      <c r="E13" s="11">
        <f>IFERROR(E12/E14,0)</f>
        <v>-2.9701568192618404</v>
      </c>
      <c r="F13" s="11">
        <f>IFERROR(F12/F14,0)</f>
        <v>-5.06890501397728</v>
      </c>
      <c r="G13" s="11">
        <f>IFERROR(G12/G14,0)</f>
        <v>-4.174181230724042</v>
      </c>
      <c r="H13" s="11">
        <f>IFERROR(H12/H14,0)</f>
        <v>-2.016180486435444</v>
      </c>
      <c r="I13" s="11">
        <f>IFERROR(I12/I14,0)</f>
        <v>-2.7499355891446235</v>
      </c>
      <c r="J13" s="11">
        <f>IFERROR(J12/J14,0)</f>
        <v>-4.273924196863904</v>
      </c>
      <c r="K13" s="11">
        <f>IFERROR(K12/K14,0)</f>
        <v>-6.635972617677349</v>
      </c>
      <c r="L13" s="11">
        <f>IFERROR(L12/L14,0)</f>
        <v>-7.434791246842449</v>
      </c>
      <c r="M13" s="11">
        <f>IFERROR(M12/M14,0)</f>
        <v>-7.7932217094898855</v>
      </c>
      <c r="N13" s="11">
        <f>IFERROR(N12/N14,0)</f>
        <v>-8.372751810577515</v>
      </c>
      <c r="O13" s="11">
        <f>IFERROR(O12/O14,0)</f>
        <v>-4.727698614093305</v>
      </c>
      <c r="P13" s="11">
        <f>IFERROR(P12/P14,0)</f>
        <v>7.734030868181766</v>
      </c>
      <c r="Q13" s="11">
        <f>IFERROR(Q12/Q14,0)</f>
        <v>2.0454409913800013</v>
      </c>
      <c r="R13" s="11">
        <f>IFERROR(R12/R14,0)</f>
        <v>1.9761839376603403</v>
      </c>
      <c r="S13" s="11">
        <f>IFERROR(S12/S14,0)</f>
        <v>1.9326187079457995</v>
      </c>
      <c r="T13" s="11">
        <f>IFERROR(T12/T14,0)</f>
        <v>1.91325749776143</v>
      </c>
      <c r="U13" s="11">
        <f>IFERROR(U12/U14,0)</f>
        <v>1.9174487175906139</v>
      </c>
      <c r="V13" s="11">
        <f>IFERROR(V12/V14,0)</f>
        <v>1.9453585771984807</v>
      </c>
      <c r="W13" s="11">
        <f>IFERROR(W12/W14,0)</f>
        <v>1.9979928618279237</v>
      </c>
      <c r="X13" s="11">
        <f>IFERROR(X12/X14,0)</f>
        <v>2.077263539995644</v>
      </c>
      <c r="Y13" s="11">
        <f>IFERROR(Y12/Y14,0)</f>
        <v>2.1861073560943884</v>
      </c>
      <c r="Z13" s="11">
        <f>IFERROR(Z12/Z14,0)</f>
        <v>2.328667227848011</v>
      </c>
    </row>
    <row r="14">
      <c r="A14" s="2" t="inlineStr">
        <is>
          <t>Shares</t>
        </is>
      </c>
      <c r="B14" s="52" t="n">
        <v>12.822</v>
      </c>
      <c r="C14" s="52" t="n">
        <v>12.835</v>
      </c>
      <c r="D14" s="52" t="n">
        <v>12.829</v>
      </c>
      <c r="E14" s="52" t="n">
        <v>31.565</v>
      </c>
      <c r="F14" s="52" t="n">
        <v>33.626</v>
      </c>
      <c r="G14" s="52" t="n">
        <v>34.045</v>
      </c>
      <c r="H14" s="52" t="n">
        <v>39.183</v>
      </c>
      <c r="I14" s="52" t="n">
        <v>46.576</v>
      </c>
      <c r="J14" s="52" t="n">
        <v>58.863</v>
      </c>
      <c r="K14" s="52" t="n">
        <v>66.02800000000001</v>
      </c>
      <c r="L14" s="52" t="n">
        <v>70.46599999999999</v>
      </c>
      <c r="M14" s="52" t="n">
        <v>71.729</v>
      </c>
      <c r="N14" s="52" t="n">
        <v>74.83799999999999</v>
      </c>
      <c r="O14" s="52" t="n">
        <v>76.845</v>
      </c>
      <c r="P14" s="52" t="n">
        <v>88.31100000000001</v>
      </c>
      <c r="Q14" s="52">
        <f>Main!$C$4</f>
        <v>83.460802</v>
      </c>
      <c r="R14" s="52">
        <f>Main!$C$4</f>
        <v>83.460802</v>
      </c>
      <c r="S14" s="52">
        <f>Main!$C$4</f>
        <v>83.460802</v>
      </c>
      <c r="T14" s="52">
        <f>Main!$C$4</f>
        <v>83.460802</v>
      </c>
      <c r="U14" s="52">
        <f>Main!$C$4</f>
        <v>83.460802</v>
      </c>
      <c r="V14" s="52">
        <f>Main!$C$4</f>
        <v>83.460802</v>
      </c>
      <c r="W14" s="52">
        <f>Main!$C$4</f>
        <v>83.460802</v>
      </c>
      <c r="X14" s="52">
        <f>Main!$C$4</f>
        <v>83.460802</v>
      </c>
      <c r="Y14" s="52">
        <f>Main!$C$4</f>
        <v>83.460802</v>
      </c>
      <c r="Z14" s="52">
        <f>Main!$C$4</f>
        <v>83.460802</v>
      </c>
    </row>
    <row r="15"/>
    <row r="16" customFormat="1" s="4">
      <c r="A16" s="3" t="inlineStr">
        <is>
          <t>Revenue Change</t>
        </is>
      </c>
      <c r="C16" s="15">
        <f>IFERROR(C2/B2-1,"")</f>
        <v>-0.6779683527492126</v>
      </c>
      <c r="D16" s="15">
        <f>IFERROR(D2/C2-1,"")</f>
        <v>0.022093913863194592</v>
      </c>
      <c r="E16" s="15">
        <f>IFERROR(E2/D2-1,"")</f>
        <v>-0.2723945123357159</v>
      </c>
      <c r="F16" s="15">
        <f>IFERROR(F2/E2-1,"")</f>
        <v>0.45636759754406797</v>
      </c>
      <c r="G16" s="15">
        <f>IFERROR(G2/F2-1,"")</f>
        <v>1.2494968177120165</v>
      </c>
      <c r="H16" s="15">
        <f>IFERROR(H2/G2-1,"")</f>
        <v>1.3504262136509282</v>
      </c>
      <c r="I16" s="15">
        <f>IFERROR(I2/H2-1,"")</f>
        <v>0.361856454998148</v>
      </c>
      <c r="J16" s="15">
        <f>IFERROR(J2/I2-1,"")</f>
        <v>0.1595790491587783</v>
      </c>
      <c r="K16" s="15">
        <f>IFERROR(K2/J2-1,"")</f>
        <v>0.24036093556583493</v>
      </c>
      <c r="L16" s="15">
        <f>IFERROR(L2/K2-1,"")</f>
        <v>0.41449866847355055</v>
      </c>
      <c r="M16" s="15">
        <f>IFERROR(M2/L2-1,"")</f>
        <v>0.29745652097223707</v>
      </c>
      <c r="N16" s="15">
        <f>IFERROR(N2/M2-1,"")</f>
        <v>0.3420444446988484</v>
      </c>
      <c r="O16" s="15">
        <f>IFERROR(O2/N2-1,"")</f>
        <v>-0.13973014068767853</v>
      </c>
      <c r="P16" s="15">
        <f>IFERROR(P2/O2-1,"")</f>
        <v>1.1451386995215547</v>
      </c>
      <c r="Q16" s="15">
        <f>IFERROR(Q2/P2-1,"")</f>
        <v>-0.09999999999999998</v>
      </c>
      <c r="R16" s="15">
        <f>IFERROR(R2/Q2-1,"")</f>
        <v>-0.08611111111111114</v>
      </c>
      <c r="S16" s="15">
        <f>IFERROR(S2/R2-1,"")</f>
        <v>-0.07222222222222219</v>
      </c>
      <c r="T16" s="15">
        <f>IFERROR(T2/S2-1,"")</f>
        <v>-0.05833333333333335</v>
      </c>
      <c r="U16" s="15">
        <f>IFERROR(U2/T2-1,"")</f>
        <v>-0.04444444444444462</v>
      </c>
      <c r="V16" s="15">
        <f>IFERROR(V2/U2-1,"")</f>
        <v>-0.03055555555555567</v>
      </c>
      <c r="W16" s="15">
        <f>IFERROR(W2/V2-1,"")</f>
        <v>-0.016666666666666607</v>
      </c>
      <c r="X16" s="15">
        <f>IFERROR(X2/W2-1,"")</f>
        <v>-0.002777777777777768</v>
      </c>
      <c r="Y16" s="15">
        <f>IFERROR(Y2/X2-1,"")</f>
        <v>0.011111111111111072</v>
      </c>
      <c r="Z16" s="15">
        <f>IFERROR(Z2/Y2-1,"")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>0.9764547923782871</v>
      </c>
      <c r="I17" s="15">
        <f>IFERROR(I4/I2,"")</f>
        <v>0.952140639283205</v>
      </c>
      <c r="J17" s="15">
        <f>IFERROR(J4/J2,"")</f>
        <v>0.9604697374421787</v>
      </c>
      <c r="K17" s="15">
        <f>IFERROR(K4/K2,"")</f>
        <v>1.0</v>
      </c>
      <c r="L17" s="15">
        <f>IFERROR(L4/L2,"")</f>
        <v>1.0</v>
      </c>
      <c r="M17" s="15">
        <f>IFERROR(M4/M2,"")</f>
        <v>1.0</v>
      </c>
      <c r="N17" s="15">
        <f>IFERROR(N4/N2,"")</f>
        <v>1.0</v>
      </c>
      <c r="O17" s="15">
        <f>IFERROR(O4/O2,"")</f>
        <v>1.0</v>
      </c>
      <c r="P17" s="15">
        <f>IFERROR(P4/P2,"")</f>
        <v>1.0</v>
      </c>
      <c r="Q17" s="15">
        <f>IFERROR(Q4/Q2,"")</f>
        <v>0.9605</v>
      </c>
      <c r="R17" s="15">
        <f>IFERROR(R4/R2,"")</f>
        <v>0.9605</v>
      </c>
      <c r="S17" s="15">
        <f>IFERROR(S4/S2,"")</f>
        <v>0.9605</v>
      </c>
      <c r="T17" s="15">
        <f>IFERROR(T4/T2,"")</f>
        <v>0.9605</v>
      </c>
      <c r="U17" s="15">
        <f>IFERROR(U4/U2,"")</f>
        <v>0.9604999999999999</v>
      </c>
      <c r="V17" s="15">
        <f>IFERROR(V4/V2,"")</f>
        <v>0.9604999999999999</v>
      </c>
      <c r="W17" s="15">
        <f>IFERROR(W4/W2,"")</f>
        <v>0.9605</v>
      </c>
      <c r="X17" s="15">
        <f>IFERROR(X4/X2,"")</f>
        <v>0.9604999999999999</v>
      </c>
      <c r="Y17" s="15">
        <f>IFERROR(Y4/Y2,"")</f>
        <v>0.9605</v>
      </c>
      <c r="Z17" s="15">
        <f>IFERROR(Z4/Z2,"")</f>
        <v>0.9605000000000001</v>
      </c>
    </row>
    <row r="18">
      <c r="A18" s="14" t="inlineStr">
        <is>
          <t>Operating Margin</t>
        </is>
      </c>
      <c r="B18" s="15">
        <f>IFERROR(B8/B2,"")</f>
        <v>0.2901187720563124</v>
      </c>
      <c r="C18" s="15">
        <f>IFERROR(C8/C2,"")</f>
        <v>-0.7897248571260239</v>
      </c>
      <c r="D18" s="15">
        <f>IFERROR(D8/D2,"")</f>
        <v>-1.3084505418492045</v>
      </c>
      <c r="E18" s="15">
        <f>IFERROR(E8/E2,"")</f>
        <v>-3.9379283026341843</v>
      </c>
      <c r="F18" s="15">
        <f>IFERROR(F8/F2,"")</f>
        <v>-4.545775988685199</v>
      </c>
      <c r="G18" s="15">
        <f>IFERROR(G8/G2,"")</f>
        <v>-1.5967353848014025</v>
      </c>
      <c r="H18" s="15">
        <f>IFERROR(H8/H2,"")</f>
        <v>-0.3307337750524715</v>
      </c>
      <c r="I18" s="15">
        <f>IFERROR(I8/I2,"")</f>
        <v>-0.4369858046189762</v>
      </c>
      <c r="J18" s="15">
        <f>IFERROR(J8/J2,"")</f>
        <v>-0.7855821226138507</v>
      </c>
      <c r="K18" s="15">
        <f>IFERROR(K8/K2,"")</f>
        <v>-1.13394578297432</v>
      </c>
      <c r="L18" s="15">
        <f>IFERROR(L8/L2,"")</f>
        <v>-0.695224408783627</v>
      </c>
      <c r="M18" s="15">
        <f>IFERROR(M8/M2,"")</f>
        <v>-0.6402523751397036</v>
      </c>
      <c r="N18" s="15">
        <f>IFERROR(N8/N2,"")</f>
        <v>-0.468641170712566</v>
      </c>
      <c r="O18" s="15">
        <f>IFERROR(O8/O2,"")</f>
        <v>-0.37503408612013184</v>
      </c>
      <c r="P18" s="15">
        <f>IFERROR(P8/P2,"")</f>
        <v>0.5009288390811572</v>
      </c>
      <c r="Q18" s="15">
        <f>IFERROR(Q8/Q2,"")</f>
        <v>0.13205</v>
      </c>
      <c r="R18" s="15">
        <f>IFERROR(R8/R2,"")</f>
        <v>0.1396</v>
      </c>
      <c r="S18" s="15">
        <f>IFERROR(S8/S2,"")</f>
        <v>0.14714999999999992</v>
      </c>
      <c r="T18" s="15">
        <f>IFERROR(T8/T2,"")</f>
        <v>0.1547</v>
      </c>
      <c r="U18" s="15">
        <f>IFERROR(U8/U2,"")</f>
        <v>0.16225</v>
      </c>
      <c r="V18" s="15">
        <f>IFERROR(V8/V2,"")</f>
        <v>0.16979999999999998</v>
      </c>
      <c r="W18" s="15">
        <f>IFERROR(W8/W2,"")</f>
        <v>0.17735</v>
      </c>
      <c r="X18" s="15">
        <f>IFERROR(X8/X2,"")</f>
        <v>0.18489999999999998</v>
      </c>
      <c r="Y18" s="15">
        <f>IFERROR(Y8/Y2,"")</f>
        <v>0.19244999999999998</v>
      </c>
      <c r="Z18" s="15">
        <f>IFERROR(Z8/Z2,"")</f>
        <v>0.20000000000000004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A</t>
        </is>
      </c>
      <c r="M19" s="19" t="inlineStr">
        <is>
          <t>A</t>
        </is>
      </c>
      <c r="N19" s="19" t="inlineStr">
        <is>
          <t>A</t>
        </is>
      </c>
      <c r="O19" s="19" t="inlineStr">
        <is>
          <t>A</t>
        </is>
      </c>
      <c r="P19" s="19" t="inlineStr">
        <is>
          <t>A</t>
        </is>
      </c>
      <c r="Q19" s="19" t="inlineStr">
        <is>
          <t>E</t>
        </is>
      </c>
      <c r="R19" s="19" t="inlineStr">
        <is>
          <t>E</t>
        </is>
      </c>
      <c r="S19" s="19" t="inlineStr">
        <is>
          <t>E</t>
        </is>
      </c>
      <c r="T19" s="19" t="inlineStr">
        <is>
          <t>E</t>
        </is>
      </c>
      <c r="U19" s="19" t="inlineStr">
        <is>
          <t>E</t>
        </is>
      </c>
      <c r="V19" s="19" t="inlineStr">
        <is>
          <t>E</t>
        </is>
      </c>
      <c r="W19" s="19" t="inlineStr">
        <is>
          <t>E</t>
        </is>
      </c>
      <c r="X19" s="19" t="inlineStr">
        <is>
          <t>E</t>
        </is>
      </c>
      <c r="Y19" s="19" t="inlineStr">
        <is>
          <t>E</t>
        </is>
      </c>
      <c r="Z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PTC Therapeutics, Inc.: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0.105</v>
      </c>
      <c r="C10" s="53" t="n">
        <v>0.095</v>
      </c>
      <c r="D10" s="53" t="n">
        <v>0.08500000000000001</v>
      </c>
      <c r="E10" s="54">
        <f>IF(ISNUMBER($B$6),$B$6,CHOOSE($B$4,B10,C10,D10))</f>
        <v>0.095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-0.15</v>
      </c>
      <c r="C12" s="53" t="n">
        <v>-0.1</v>
      </c>
      <c r="D12" s="53" t="n">
        <v>-0.05</v>
      </c>
      <c r="E12" s="54">
        <f>CHOOSE($B$4,B12,C12,D12)</f>
        <v>-0.1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0.1245</v>
      </c>
    </row>
    <row r="19">
      <c r="A19" s="14" t="inlineStr">
        <is>
          <t>Gross margin (forecast)</t>
        </is>
      </c>
      <c r="B19" s="53" t="n">
        <v>0.9605</v>
      </c>
    </row>
    <row r="20">
      <c r="A20" s="14" t="inlineStr">
        <is>
          <t>R&amp;D share of operating expense (forecast)</t>
        </is>
      </c>
      <c r="B20" s="53" t="n">
        <v>0.5271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Model'!P2</f>
        <v>1730.655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2326.7127751762164</v>
      </c>
      <c r="C29" s="56">
        <f>NPV!B26</f>
        <v>3964.8247751762165</v>
      </c>
      <c r="D29" s="35">
        <f>NPV!B28</f>
        <v>47.505232158878805</v>
      </c>
      <c r="E29" s="57">
        <f>NPV!B30</f>
        <v>-0.2449899529739542</v>
      </c>
    </row>
    <row r="30">
      <c r="A30" s="58" t="n">
        <v>1</v>
      </c>
      <c r="B30" s="59">
        <f t="dataTable" ref="B30:E32" r1="B4"/>
        <v>1354.532920801189</v>
      </c>
      <c r="C30" s="59">
        <v>2992.644920801189</v>
      </c>
      <c r="D30" s="39">
        <v>35.85689148782909</v>
      </c>
      <c r="E30" s="60">
        <v>-0.4301193342684506</v>
      </c>
    </row>
    <row r="31">
      <c r="A31" s="58" t="n">
        <v>2</v>
      </c>
      <c r="B31" s="59">
        <v>2326.7127751762164</v>
      </c>
      <c r="C31" s="59">
        <v>3964.8247751762165</v>
      </c>
      <c r="D31" s="39">
        <v>47.505232158878805</v>
      </c>
      <c r="E31" s="60">
        <v>-0.2449899529739542</v>
      </c>
    </row>
    <row r="32">
      <c r="A32" s="58" t="n">
        <v>3</v>
      </c>
      <c r="B32" s="59">
        <v>4297.361167198139</v>
      </c>
      <c r="C32" s="59">
        <v>5935.473167198138</v>
      </c>
      <c r="D32" s="39">
        <v>71.11689589561023</v>
      </c>
      <c r="E32" s="60">
        <v>0.13027488708852863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47.505232158878805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0.075</v>
      </c>
      <c r="B37" s="39">
        <f t="dataTable" ref="B37:F41" dt2D="1" r1="B7" r2="B6"/>
        <v>53.006199527748684</v>
      </c>
      <c r="C37" s="39">
        <v>55.209022784103006</v>
      </c>
      <c r="D37" s="39">
        <v>57.849845051873274</v>
      </c>
      <c r="E37" s="39">
        <v>61.074646677022876</v>
      </c>
      <c r="F37" s="39">
        <v>65.1023980893216</v>
      </c>
    </row>
    <row r="38">
      <c r="A38" s="62" t="n">
        <v>0.08500000000000001</v>
      </c>
      <c r="B38" s="39">
        <v>48.4970950132501</v>
      </c>
      <c r="C38" s="39">
        <v>50.02874154926974</v>
      </c>
      <c r="D38" s="39">
        <v>51.813618195221316</v>
      </c>
      <c r="E38" s="39">
        <v>53.92077250591971</v>
      </c>
      <c r="F38" s="39">
        <v>56.446870988079176</v>
      </c>
    </row>
    <row r="39">
      <c r="A39" s="62" t="n">
        <v>0.095</v>
      </c>
      <c r="B39" s="39">
        <v>45.11884714333112</v>
      </c>
      <c r="C39" s="39">
        <v>46.23327487189455</v>
      </c>
      <c r="D39" s="39">
        <v>47.505232158878805</v>
      </c>
      <c r="E39" s="39">
        <v>48.971059631679495</v>
      </c>
      <c r="F39" s="39">
        <v>50.67921140314188</v>
      </c>
    </row>
    <row r="40">
      <c r="A40" s="62" t="n">
        <v>0.105</v>
      </c>
      <c r="B40" s="39">
        <v>42.49359568336527</v>
      </c>
      <c r="C40" s="39">
        <v>43.33290958137216</v>
      </c>
      <c r="D40" s="39">
        <v>44.275738488032346</v>
      </c>
      <c r="E40" s="39">
        <v>45.342775148279614</v>
      </c>
      <c r="F40" s="39">
        <v>46.56062447232602</v>
      </c>
    </row>
    <row r="41">
      <c r="A41" s="62" t="n">
        <v>0.115</v>
      </c>
      <c r="B41" s="39">
        <v>40.39475112590299</v>
      </c>
      <c r="C41" s="39">
        <v>41.04426196682599</v>
      </c>
      <c r="D41" s="39">
        <v>41.76475341168193</v>
      </c>
      <c r="E41" s="39">
        <v>42.56874278651216</v>
      </c>
      <c r="F41" s="39">
        <v>43.47187670850691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PTC Therapeutics, Inc.: free-cash-flow DCF ($mm)</t>
        </is>
      </c>
    </row>
    <row r="3">
      <c r="A3" s="20" t="inlineStr">
        <is>
          <t>Fiscal year</t>
        </is>
      </c>
      <c r="B3" s="43">
        <f>'Yearly Model'!P1</f>
        <v>2025</v>
      </c>
      <c r="C3" s="43">
        <f>'Yearly Model'!Q1</f>
        <v>2026</v>
      </c>
      <c r="D3" s="43">
        <f>'Yearly Model'!R1</f>
        <v>2027</v>
      </c>
      <c r="E3" s="43">
        <f>'Yearly Model'!S1</f>
        <v>2028</v>
      </c>
      <c r="F3" s="43">
        <f>'Yearly Model'!T1</f>
        <v>2029</v>
      </c>
      <c r="G3" s="43">
        <f>'Yearly Model'!U1</f>
        <v>2030</v>
      </c>
      <c r="H3" s="43">
        <f>'Yearly Model'!V1</f>
        <v>2031</v>
      </c>
      <c r="I3" s="43">
        <f>'Yearly Model'!W1</f>
        <v>2032</v>
      </c>
      <c r="J3" s="43">
        <f>'Yearly Model'!X1</f>
        <v>2033</v>
      </c>
      <c r="K3" s="43">
        <f>'Yearly Model'!Y1</f>
        <v>2034</v>
      </c>
      <c r="L3" s="43">
        <f>'Yearly Model'!Z1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-0.1</v>
      </c>
      <c r="D5" s="63">
        <f>Assumptions!$E$12+(Assumptions!$E$11-Assumptions!$E$12)*(D4-1)/(Assumptions!$B$21-1)</f>
        <v>-0.08611111111111111</v>
      </c>
      <c r="E5" s="63">
        <f>Assumptions!$E$12+(Assumptions!$E$11-Assumptions!$E$12)*(E4-1)/(Assumptions!$B$21-1)</f>
        <v>-0.07222222222222223</v>
      </c>
      <c r="F5" s="63">
        <f>Assumptions!$E$12+(Assumptions!$E$11-Assumptions!$E$12)*(F4-1)/(Assumptions!$B$21-1)</f>
        <v>-0.05833333333333334</v>
      </c>
      <c r="G5" s="63">
        <f>Assumptions!$E$12+(Assumptions!$E$11-Assumptions!$E$12)*(G4-1)/(Assumptions!$B$21-1)</f>
        <v>-0.04444444444444445</v>
      </c>
      <c r="H5" s="63">
        <f>Assumptions!$E$12+(Assumptions!$E$11-Assumptions!$E$12)*(H4-1)/(Assumptions!$B$21-1)</f>
        <v>-0.030555555555555558</v>
      </c>
      <c r="I5" s="63">
        <f>Assumptions!$E$12+(Assumptions!$E$11-Assumptions!$E$12)*(I4-1)/(Assumptions!$B$21-1)</f>
        <v>-0.016666666666666677</v>
      </c>
      <c r="J5" s="63">
        <f>Assumptions!$E$12+(Assumptions!$E$11-Assumptions!$E$12)*(J4-1)/(Assumptions!$B$21-1)</f>
        <v>-0.002777777777777782</v>
      </c>
      <c r="K5" s="63">
        <f>Assumptions!$E$12+(Assumptions!$E$11-Assumptions!$E$12)*(K4-1)/(Assumptions!$B$21-1)</f>
        <v>0.0111111111111111</v>
      </c>
      <c r="L5" s="63">
        <f>Assumptions!$E$12+(Assumptions!$E$11-Assumptions!$E$12)*(L4-1)/(Assumptions!$B$21-1)</f>
        <v>0.024999999999999994</v>
      </c>
    </row>
    <row r="6">
      <c r="A6" s="14" t="inlineStr">
        <is>
          <t>Operating margin</t>
        </is>
      </c>
      <c r="B6" s="63">
        <f>IFERROR(B8/B7,0)</f>
        <v>0.5009288390811572</v>
      </c>
      <c r="C6" s="63">
        <f>Assumptions!$B$18+(Assumptions!$E$13-Assumptions!$B$18)*C4/Assumptions!$B$21</f>
        <v>0.13205</v>
      </c>
      <c r="D6" s="63">
        <f>Assumptions!$B$18+(Assumptions!$E$13-Assumptions!$B$18)*D4/Assumptions!$B$21</f>
        <v>0.1396</v>
      </c>
      <c r="E6" s="63">
        <f>Assumptions!$B$18+(Assumptions!$E$13-Assumptions!$B$18)*E4/Assumptions!$B$21</f>
        <v>0.14715</v>
      </c>
      <c r="F6" s="63">
        <f>Assumptions!$B$18+(Assumptions!$E$13-Assumptions!$B$18)*F4/Assumptions!$B$21</f>
        <v>0.1547</v>
      </c>
      <c r="G6" s="63">
        <f>Assumptions!$B$18+(Assumptions!$E$13-Assumptions!$B$18)*G4/Assumptions!$B$21</f>
        <v>0.16225</v>
      </c>
      <c r="H6" s="63">
        <f>Assumptions!$B$18+(Assumptions!$E$13-Assumptions!$B$18)*H4/Assumptions!$B$21</f>
        <v>0.1698</v>
      </c>
      <c r="I6" s="63">
        <f>Assumptions!$B$18+(Assumptions!$E$13-Assumptions!$B$18)*I4/Assumptions!$B$21</f>
        <v>0.17735</v>
      </c>
      <c r="J6" s="63">
        <f>Assumptions!$B$18+(Assumptions!$E$13-Assumptions!$B$18)*J4/Assumptions!$B$21</f>
        <v>0.1849</v>
      </c>
      <c r="K6" s="63">
        <f>Assumptions!$B$18+(Assumptions!$E$13-Assumptions!$B$18)*K4/Assumptions!$B$21</f>
        <v>0.19245</v>
      </c>
      <c r="L6" s="63">
        <f>Assumptions!$B$18+(Assumptions!$E$13-Assumptions!$B$18)*L4/Assumptions!$B$21</f>
        <v>0.2</v>
      </c>
    </row>
    <row r="7">
      <c r="A7" s="14" t="inlineStr">
        <is>
          <t>Revenue</t>
        </is>
      </c>
      <c r="B7" s="55">
        <f>'Yearly Model'!P2</f>
        <v>1730.655</v>
      </c>
      <c r="C7" s="55">
        <f>'Yearly Model'!Q2</f>
        <v>1557.5895</v>
      </c>
      <c r="D7" s="55">
        <f>'Yearly Model'!R2</f>
        <v>1423.4637375</v>
      </c>
      <c r="E7" s="55">
        <f>'Yearly Model'!S2</f>
        <v>1320.658023125</v>
      </c>
      <c r="F7" s="55">
        <f>'Yearly Model'!T2</f>
        <v>1243.6196384427083</v>
      </c>
      <c r="G7" s="55">
        <f>'Yearly Model'!U2</f>
        <v>1188.347654511921</v>
      </c>
      <c r="H7" s="55">
        <f>'Yearly Model'!V2</f>
        <v>1152.0370317351678</v>
      </c>
      <c r="I7" s="55">
        <f>'Yearly Model'!W2</f>
        <v>1132.8364145395817</v>
      </c>
      <c r="J7" s="55">
        <f>'Yearly Model'!X2</f>
        <v>1129.6896467214162</v>
      </c>
      <c r="K7" s="55">
        <f>'Yearly Model'!Y2</f>
        <v>1142.2417539072096</v>
      </c>
      <c r="L7" s="55">
        <f>'Yearly Model'!Z2</f>
        <v>1170.7977977548896</v>
      </c>
    </row>
    <row r="8">
      <c r="A8" s="14" t="inlineStr">
        <is>
          <t>Operating income</t>
        </is>
      </c>
      <c r="B8" s="55">
        <f>'Yearly Model'!P8</f>
        <v>866.935</v>
      </c>
      <c r="C8" s="55">
        <f>'Yearly Model'!Q8</f>
        <v>205.67969347500002</v>
      </c>
      <c r="D8" s="55">
        <f>'Yearly Model'!R8</f>
        <v>198.715537755</v>
      </c>
      <c r="E8" s="55">
        <f>'Yearly Model'!S8</f>
        <v>194.33482810284363</v>
      </c>
      <c r="F8" s="55">
        <f>'Yearly Model'!T8</f>
        <v>192.38795806708697</v>
      </c>
      <c r="G8" s="55">
        <f>'Yearly Model'!U8</f>
        <v>192.8094069445592</v>
      </c>
      <c r="H8" s="55">
        <f>'Yearly Model'!V8</f>
        <v>195.61588798863147</v>
      </c>
      <c r="I8" s="55">
        <f>'Yearly Model'!W8</f>
        <v>200.90853811859483</v>
      </c>
      <c r="J8" s="55">
        <f>'Yearly Model'!X8</f>
        <v>208.87961567878983</v>
      </c>
      <c r="K8" s="55">
        <f>'Yearly Model'!Y8</f>
        <v>219.82442553944247</v>
      </c>
      <c r="L8" s="55">
        <f>'Yearly Model'!Z8</f>
        <v>234.15955955097797</v>
      </c>
    </row>
    <row r="9">
      <c r="A9" s="14" t="inlineStr">
        <is>
          <t>Tax on operating income</t>
        </is>
      </c>
      <c r="C9" s="52">
        <f>MAX(0,C8)*Assumptions!$E$14</f>
        <v>34.96554789075001</v>
      </c>
      <c r="D9" s="52">
        <f>MAX(0,D8)*Assumptions!$E$14</f>
        <v>33.781641418350006</v>
      </c>
      <c r="E9" s="52">
        <f>MAX(0,E8)*Assumptions!$E$14</f>
        <v>33.03692077748342</v>
      </c>
      <c r="F9" s="52">
        <f>MAX(0,F8)*Assumptions!$E$14</f>
        <v>32.70595287140479</v>
      </c>
      <c r="G9" s="52">
        <f>MAX(0,G8)*Assumptions!$E$14</f>
        <v>32.777599180575066</v>
      </c>
      <c r="H9" s="52">
        <f>MAX(0,H8)*Assumptions!$E$14</f>
        <v>33.25470095806735</v>
      </c>
      <c r="I9" s="52">
        <f>MAX(0,I8)*Assumptions!$E$14</f>
        <v>34.15445148016112</v>
      </c>
      <c r="J9" s="52">
        <f>MAX(0,J8)*Assumptions!$E$14</f>
        <v>35.50953466539428</v>
      </c>
      <c r="K9" s="52">
        <f>MAX(0,K8)*Assumptions!$E$14</f>
        <v>37.37015234170522</v>
      </c>
      <c r="L9" s="52">
        <f>MAX(0,L8)*Assumptions!$E$14</f>
        <v>39.80712512366626</v>
      </c>
    </row>
    <row r="10">
      <c r="A10" s="14" t="inlineStr">
        <is>
          <t>NOPAT</t>
        </is>
      </c>
      <c r="C10" s="52">
        <f>C8-C9</f>
        <v>170.71414558425002</v>
      </c>
      <c r="D10" s="52">
        <f>D8-D9</f>
        <v>164.93389633665</v>
      </c>
      <c r="E10" s="52">
        <f>E8-E9</f>
        <v>161.2979073253602</v>
      </c>
      <c r="F10" s="52">
        <f>F8-F9</f>
        <v>159.68200519568217</v>
      </c>
      <c r="G10" s="52">
        <f>G8-G9</f>
        <v>160.03180776398415</v>
      </c>
      <c r="H10" s="52">
        <f>H8-H9</f>
        <v>162.3611870305641</v>
      </c>
      <c r="I10" s="52">
        <f>I8-I9</f>
        <v>166.7540866384337</v>
      </c>
      <c r="J10" s="52">
        <f>J8-J9</f>
        <v>173.37008101339555</v>
      </c>
      <c r="K10" s="52">
        <f>K8-K9</f>
        <v>182.45427319773725</v>
      </c>
      <c r="L10" s="52">
        <f>L8-L9</f>
        <v>194.35243442731172</v>
      </c>
    </row>
    <row r="11">
      <c r="A11" s="14" t="inlineStr">
        <is>
          <t>Reinvestment</t>
        </is>
      </c>
      <c r="C11" s="52">
        <f>(C7-B7)*Assumptions!$E$15</f>
        <v>-43.26637499999998</v>
      </c>
      <c r="D11" s="52">
        <f>(D7-C7)*Assumptions!$E$15</f>
        <v>-33.531440625000016</v>
      </c>
      <c r="E11" s="52">
        <f>(E7-D7)*Assumptions!$E$15</f>
        <v>-25.701428593749995</v>
      </c>
      <c r="F11" s="52">
        <f>(F7-E7)*Assumptions!$E$15</f>
        <v>-19.259596170572934</v>
      </c>
      <c r="G11" s="52">
        <f>(G7-F7)*Assumptions!$E$15</f>
        <v>-13.8179959826968</v>
      </c>
      <c r="H11" s="52">
        <f>(H7-G7)*Assumptions!$E$15</f>
        <v>-9.077655694188309</v>
      </c>
      <c r="I11" s="52">
        <f>(I7-H7)*Assumptions!$E$15</f>
        <v>-4.80015429889653</v>
      </c>
      <c r="J11" s="52">
        <f>(J7-I7)*Assumptions!$E$15</f>
        <v>-0.786691954541368</v>
      </c>
      <c r="K11" s="52">
        <f>(K7-J7)*Assumptions!$E$15</f>
        <v>3.1380267964483437</v>
      </c>
      <c r="L11" s="52">
        <f>(L7-K7)*Assumptions!$E$15</f>
        <v>7.1390109619200075</v>
      </c>
    </row>
    <row r="12">
      <c r="A12" s="20" t="inlineStr">
        <is>
          <t>Free cash flow</t>
        </is>
      </c>
      <c r="C12" s="64">
        <f>C10-C11</f>
        <v>213.98052058425</v>
      </c>
      <c r="D12" s="64">
        <f>D10-D11</f>
        <v>198.46533696165002</v>
      </c>
      <c r="E12" s="64">
        <f>E10-E11</f>
        <v>186.9993359191102</v>
      </c>
      <c r="F12" s="64">
        <f>F10-F11</f>
        <v>178.9416013662551</v>
      </c>
      <c r="G12" s="64">
        <f>G10-G11</f>
        <v>173.84980374668095</v>
      </c>
      <c r="H12" s="64">
        <f>H10-H11</f>
        <v>171.43884272475242</v>
      </c>
      <c r="I12" s="64">
        <f>I10-I11</f>
        <v>171.55424093733023</v>
      </c>
      <c r="J12" s="64">
        <f>J10-J11</f>
        <v>174.15677296793692</v>
      </c>
      <c r="K12" s="64">
        <f>K10-K11</f>
        <v>179.3162464012889</v>
      </c>
      <c r="L12" s="64">
        <f>L10-L11</f>
        <v>187.2134234653917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0.9773850037537266</v>
      </c>
      <c r="D15" s="65">
        <f>1/(1+Assumptions!$E$10)^D14</f>
        <v>0.9129022614872813</v>
      </c>
      <c r="E15" s="65">
        <f>1/(1+Assumptions!$E$10)^E14</f>
        <v>0.8337006954221746</v>
      </c>
      <c r="F15" s="65">
        <f>1/(1+Assumptions!$E$10)^F14</f>
        <v>0.7613704981024426</v>
      </c>
      <c r="G15" s="65">
        <f>1/(1+Assumptions!$E$10)^G14</f>
        <v>0.6953155233812262</v>
      </c>
      <c r="H15" s="65">
        <f>1/(1+Assumptions!$E$10)^H14</f>
        <v>0.6349913455536312</v>
      </c>
      <c r="I15" s="65">
        <f>1/(1+Assumptions!$E$10)^I14</f>
        <v>0.5799007721950971</v>
      </c>
      <c r="J15" s="65">
        <f>1/(1+Assumptions!$E$10)^J14</f>
        <v>0.5295897462968923</v>
      </c>
      <c r="K15" s="65">
        <f>1/(1+Assumptions!$E$10)^K14</f>
        <v>0.48364360392410255</v>
      </c>
      <c r="L15" s="65">
        <f>1/(1+Assumptions!$E$10)^L14</f>
        <v>0.44168365655169184</v>
      </c>
    </row>
    <row r="16">
      <c r="A16" s="20" t="inlineStr">
        <is>
          <t>PV of free cash flow</t>
        </is>
      </c>
      <c r="C16" s="64">
        <f>C12*C13*C15</f>
        <v>105.42815550008007</v>
      </c>
      <c r="D16" s="64">
        <f>D12*D13*D15</f>
        <v>181.1794549391256</v>
      </c>
      <c r="E16" s="64">
        <f>E12*E13*E15</f>
        <v>155.901476399247</v>
      </c>
      <c r="F16" s="64">
        <f>F12*F13*F15</f>
        <v>136.24085616347438</v>
      </c>
      <c r="G16" s="64">
        <f>G12*G13*G15</f>
        <v>120.88046728184692</v>
      </c>
      <c r="H16" s="64">
        <f>H12*H13*H15</f>
        <v>108.8621814219479</v>
      </c>
      <c r="I16" s="64">
        <f>I12*I13*I15</f>
        <v>99.48443679290153</v>
      </c>
      <c r="J16" s="64">
        <f>J12*J13*J15</f>
        <v>92.23164121197517</v>
      </c>
      <c r="K16" s="64">
        <f>K12*K13*K15</f>
        <v>86.72515565166175</v>
      </c>
      <c r="L16" s="64">
        <f>L12*L13*L15</f>
        <v>82.68910943175452</v>
      </c>
    </row>
    <row r="19">
      <c r="A19" s="14" t="inlineStr">
        <is>
          <t>PV of forecast free cash flow</t>
        </is>
      </c>
      <c r="B19" s="52">
        <f>SUM(C16:L16)</f>
        <v>1169.6229347940148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191.89375905202644</v>
      </c>
    </row>
    <row r="21">
      <c r="A21" s="14" t="inlineStr">
        <is>
          <t>Terminal value</t>
        </is>
      </c>
      <c r="B21" s="52">
        <f>B20/(Assumptions!$E$10-Assumptions!$E$11)</f>
        <v>2741.3394150289487</v>
      </c>
    </row>
    <row r="22">
      <c r="A22" s="14" t="inlineStr">
        <is>
          <t>PV of terminal value</t>
        </is>
      </c>
      <c r="B22" s="52">
        <f>B21/(1+Assumptions!$E$10)^(L14+0.5)</f>
        <v>1157.0898403822018</v>
      </c>
    </row>
    <row r="23">
      <c r="A23" s="20" t="inlineStr">
        <is>
          <t>Enterprise value</t>
        </is>
      </c>
      <c r="B23" s="66">
        <f>B19+B22</f>
        <v>2326.7127751762164</v>
      </c>
    </row>
    <row r="24">
      <c r="A24" s="14" t="inlineStr">
        <is>
          <t>Cash &amp; investments</t>
        </is>
      </c>
      <c r="B24" s="55">
        <f>Main!C7</f>
        <v>2229.082</v>
      </c>
    </row>
    <row r="25">
      <c r="A25" s="14" t="inlineStr">
        <is>
          <t>Debt</t>
        </is>
      </c>
      <c r="B25" s="55">
        <f>Main!C8</f>
        <v>590.97</v>
      </c>
    </row>
    <row r="26">
      <c r="A26" s="20" t="inlineStr">
        <is>
          <t>Equity value</t>
        </is>
      </c>
      <c r="B26" s="66">
        <f>B23+B24-B25</f>
        <v>3964.8247751762165</v>
      </c>
    </row>
    <row r="27">
      <c r="A27" s="14" t="inlineStr">
        <is>
          <t>Shares (mm)</t>
        </is>
      </c>
      <c r="B27" s="55">
        <f>Main!C4</f>
        <v>83.460802</v>
      </c>
    </row>
    <row r="28">
      <c r="A28" s="20" t="inlineStr">
        <is>
          <t>NPV / share</t>
        </is>
      </c>
      <c r="B28" s="49">
        <f>B26/B27</f>
        <v>47.505232158878805</v>
      </c>
    </row>
    <row r="29">
      <c r="A29" s="14" t="inlineStr">
        <is>
          <t>Price</t>
        </is>
      </c>
      <c r="B29" s="50">
        <f>Main!C3</f>
        <v>62.92</v>
      </c>
    </row>
    <row r="30">
      <c r="A30" s="14" t="inlineStr">
        <is>
          <t>Upside</t>
        </is>
      </c>
      <c r="B30" s="63">
        <f>B28/B29-1</f>
        <v>-0.2449899529739542</v>
      </c>
    </row>
    <row r="31">
      <c r="A31" s="14" t="inlineStr">
        <is>
          <t>Terminal value, % of EV</t>
        </is>
      </c>
      <c r="B31" s="63">
        <f>IFERROR(B22/B23,0)</f>
        <v>0.4973066949763785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2026-10-21T06:21:42Z</dcterms:modified>
  <cp:lastModifiedBy>Wang, Eric</cp:lastModifiedBy>
</cp:coreProperties>
</file>