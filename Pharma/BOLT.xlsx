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Bolt Biotherapeutics, Inc.</t>
        </is>
      </c>
      <c r="C2" s="10" t="n"/>
    </row>
    <row r="3">
      <c r="B3" t="inlineStr">
        <is>
          <t>Price</t>
        </is>
      </c>
      <c r="C3" s="11">
        <f>INDEX([1]Pharma!$F$1:$F$1000,MATCH("BOLT",[1]Pharma!$B$1:$B$1000,0))</f>
        <v>4.31</v>
      </c>
      <c r="F3" s="1" t="n"/>
    </row>
    <row r="4">
      <c r="B4" t="inlineStr">
        <is>
          <t>Shares</t>
        </is>
      </c>
      <c r="C4" s="21" t="n">
        <v>1.926345</v>
      </c>
      <c r="F4" s="1" t="n"/>
    </row>
    <row r="5">
      <c r="B5" t="inlineStr">
        <is>
          <t>Market Cap.</t>
        </is>
      </c>
      <c r="C5" s="13">
        <f>C3*C4</f>
        <v>8.30254695</v>
      </c>
      <c r="F5" s="1" t="n"/>
    </row>
    <row r="6"/>
    <row r="7">
      <c r="B7" t="inlineStr">
        <is>
          <t>Cash</t>
        </is>
      </c>
      <c r="C7" s="21" t="n">
        <v>18.1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-9.797453050000001</v>
      </c>
    </row>
    <row r="10"/>
    <row r="11">
      <c r="B11" s="14" t="inlineStr">
        <is>
          <t>Net Cash / Share</t>
        </is>
      </c>
      <c r="C11" s="11">
        <f>(C7-C8)/C4</f>
        <v>9.396032382569063</v>
      </c>
    </row>
    <row r="12">
      <c r="B12" s="14" t="inlineStr">
        <is>
          <t>Upside</t>
        </is>
      </c>
      <c r="C12" s="15">
        <f>IFERROR(C11/C3-1,"")</f>
        <v>1.1800539170693884</v>
      </c>
    </row>
    <row r="13">
      <c r="B13" s="14" t="inlineStr">
        <is>
          <t>Cash / Share</t>
        </is>
      </c>
      <c r="C13" s="11">
        <f>IFERROR((C7-C8)/C4,"")</f>
        <v>9.396032382569063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-31.451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0.5754983943276843</v>
      </c>
    </row>
    <row r="19">
      <c r="B19" s="14" t="inlineStr">
        <is>
          <t>Implied Pipeline Value</t>
        </is>
      </c>
      <c r="C19" s="13">
        <f>C9</f>
        <v>-9.797453050000001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0.231</v>
      </c>
      <c r="C2" s="23" t="n">
        <v>1.26</v>
      </c>
      <c r="D2" s="23" t="n">
        <v>5.729</v>
      </c>
      <c r="E2" s="23" t="n">
        <v>7.876</v>
      </c>
      <c r="F2" s="23" t="n">
        <v>7.69</v>
      </c>
      <c r="G2" s="23" t="n">
        <v>7.695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0.231</v>
      </c>
      <c r="C4" s="23">
        <f>C2-C3</f>
        <v>1.26</v>
      </c>
      <c r="D4" s="23">
        <f>D2-D3</f>
        <v>5.729</v>
      </c>
      <c r="E4" s="23">
        <f>E2-E3</f>
        <v>7.876</v>
      </c>
      <c r="F4" s="23">
        <f>F2-F3</f>
        <v>7.69</v>
      </c>
      <c r="G4" s="23">
        <f>G2-G3</f>
        <v>7.695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40.357</v>
      </c>
      <c r="C5" s="23" t="n">
        <v>75.655</v>
      </c>
      <c r="D5" s="23" t="n">
        <v>73.123</v>
      </c>
      <c r="E5" s="23" t="n">
        <v>61.542</v>
      </c>
      <c r="F5" s="23" t="n">
        <v>57.469</v>
      </c>
      <c r="G5" s="23" t="n">
        <v>28.533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9.055999999999999</v>
      </c>
      <c r="C6" s="23" t="n">
        <v>18.393</v>
      </c>
      <c r="D6" s="23" t="n">
        <v>22.927</v>
      </c>
      <c r="E6" s="23" t="n">
        <v>22.53</v>
      </c>
      <c r="F6" s="23" t="n">
        <v>23.269</v>
      </c>
      <c r="G6" s="23" t="n">
        <v>15.275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49.413</v>
      </c>
      <c r="C7" s="23">
        <f>SUM(C5:C6)</f>
        <v>94.048</v>
      </c>
      <c r="D7" s="23">
        <f>SUM(D5:D6)</f>
        <v>96.05000000000001</v>
      </c>
      <c r="E7" s="23">
        <f>SUM(E5:E6)</f>
        <v>84.072</v>
      </c>
      <c r="F7" s="23">
        <f>SUM(F5:F6)</f>
        <v>80.738</v>
      </c>
      <c r="G7" s="23">
        <f>SUM(G5:G6)</f>
        <v>43.808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-49.181999999999995</v>
      </c>
      <c r="C8" s="23">
        <f>C4-C7</f>
        <v>-92.788</v>
      </c>
      <c r="D8" s="23">
        <f>D4-D7</f>
        <v>-90.32100000000001</v>
      </c>
      <c r="E8" s="23">
        <f>E4-E7</f>
        <v>-76.196</v>
      </c>
      <c r="F8" s="23">
        <f>F4-F7</f>
        <v>-73.048</v>
      </c>
      <c r="G8" s="23">
        <f>G4-G7</f>
        <v>-36.113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-11.546</v>
      </c>
      <c r="C9" s="23" t="n">
        <v>-5.803</v>
      </c>
      <c r="D9" s="23" t="n">
        <v>2.223</v>
      </c>
      <c r="E9" s="23" t="n">
        <v>6.999</v>
      </c>
      <c r="F9" s="23" t="n">
        <v>9.93</v>
      </c>
      <c r="G9" s="23" t="n">
        <v>2.737</v>
      </c>
    </row>
    <row r="10">
      <c r="A10" s="2" t="inlineStr">
        <is>
          <t>Pretax</t>
        </is>
      </c>
      <c r="B10" s="23">
        <f>B8+B9</f>
        <v>-60.727999999999994</v>
      </c>
      <c r="C10" s="23">
        <f>C8+C9</f>
        <v>-98.591</v>
      </c>
      <c r="D10" s="23">
        <f>D8+D9</f>
        <v>-88.09800000000001</v>
      </c>
      <c r="E10" s="23">
        <f>E8+E9</f>
        <v>-69.197</v>
      </c>
      <c r="F10" s="23">
        <f>F8+F9</f>
        <v>-63.118</v>
      </c>
      <c r="G10" s="23">
        <f>G8+G9</f>
        <v>-33.376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-60.728</v>
      </c>
      <c r="C12" s="23" t="n">
        <v>-98.59099999999999</v>
      </c>
      <c r="D12" s="23" t="n">
        <v>-88.098</v>
      </c>
      <c r="E12" s="23" t="n">
        <v>-69.197</v>
      </c>
      <c r="F12" s="23" t="n">
        <v>-63.118</v>
      </c>
      <c r="G12" s="23" t="n">
        <v>-33.376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-36.10463733650416</v>
      </c>
      <c r="C13" s="11">
        <f>IFERROR(C12/C14,0)</f>
        <v>-59.392168674698794</v>
      </c>
      <c r="D13" s="11">
        <f>IFERROR(D12/D14,0)</f>
        <v>-47.16167023554603</v>
      </c>
      <c r="E13" s="11">
        <f>IFERROR(E12/E14,0)</f>
        <v>-36.59280803807509</v>
      </c>
      <c r="F13" s="11">
        <f>IFERROR(F12/F14,0)</f>
        <v>-33.06338397066527</v>
      </c>
      <c r="G13" s="11">
        <f>IFERROR(G12/G14,0)</f>
        <v>-17.848128342245985</v>
      </c>
    </row>
    <row r="14">
      <c r="A14" s="2" t="inlineStr">
        <is>
          <t>Shares</t>
        </is>
      </c>
      <c r="B14" s="23" t="n">
        <v>1.682</v>
      </c>
      <c r="C14" s="23" t="n">
        <v>1.66</v>
      </c>
      <c r="D14" s="23" t="n">
        <v>1.868</v>
      </c>
      <c r="E14" s="23" t="n">
        <v>1.891</v>
      </c>
      <c r="F14" s="23" t="n">
        <v>1.909</v>
      </c>
      <c r="G14" s="23" t="n">
        <v>1.87</v>
      </c>
    </row>
    <row r="15"/>
    <row r="16" customFormat="1" s="4">
      <c r="A16" s="3" t="inlineStr">
        <is>
          <t>Revenue Change</t>
        </is>
      </c>
      <c r="C16" s="15">
        <f>IFERROR(C2/B2-1,"")</f>
        <v>4.454545454545454</v>
      </c>
      <c r="D16" s="15">
        <f>IFERROR(D2/C2-1,"")</f>
        <v>3.5468253968253967</v>
      </c>
      <c r="E16" s="15">
        <f>IFERROR(E2/D2-1,"")</f>
        <v>0.3747599930179788</v>
      </c>
      <c r="F16" s="15">
        <f>IFERROR(F2/E2-1,"")</f>
        <v>-0.023616048755713548</v>
      </c>
      <c r="G16" s="15">
        <f>IFERROR(G2/F2-1,"")</f>
        <v>0.0006501950585175997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-212.90909090909088</v>
      </c>
      <c r="C18" s="15">
        <f>IFERROR(C8/C2,"")</f>
        <v>-73.64126984126983</v>
      </c>
      <c r="D18" s="15">
        <f>IFERROR(D8/D2,"")</f>
        <v>-15.765578635014839</v>
      </c>
      <c r="E18" s="15">
        <f>IFERROR(E8/E2,"")</f>
        <v>-9.674454037582528</v>
      </c>
      <c r="F18" s="15">
        <f>IFERROR(F8/F2,"")</f>
        <v>-9.499089726918076</v>
      </c>
      <c r="G18" s="15">
        <f>IFERROR(G8/G2,"")</f>
        <v>-4.69304743339831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2026-10-21T01:06:40Z</dcterms:modified>
  <cp:lastModifiedBy>Wang, Eric</cp:lastModifiedBy>
</cp:coreProperties>
</file>