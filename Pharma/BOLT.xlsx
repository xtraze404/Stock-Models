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Bolt Biotherapeutics, Inc.</t>
        </is>
      </c>
      <c r="C2" s="10" t="n"/>
    </row>
    <row r="3">
      <c r="B3" t="inlineStr">
        <is>
          <t>Price</t>
        </is>
      </c>
      <c r="C3" s="11">
        <f>INDEX([1]Pharma!$F$1:$F$1000,MATCH("BOLT",[1]Pharma!$B$1:$B$1000,0))</f>
        <v>4.31</v>
      </c>
      <c r="F3" s="1" t="n"/>
    </row>
    <row r="4">
      <c r="B4" t="inlineStr">
        <is>
          <t>Shares</t>
        </is>
      </c>
      <c r="C4" s="21" t="n">
        <v>1.926345</v>
      </c>
      <c r="F4" s="1" t="n"/>
    </row>
    <row r="5">
      <c r="B5" t="inlineStr">
        <is>
          <t>Market Cap.</t>
        </is>
      </c>
      <c r="C5" s="13">
        <f>C3*C4</f>
        <v>8.30254695</v>
      </c>
      <c r="F5" s="1" t="n"/>
    </row>
    <row r="6"/>
    <row r="7">
      <c r="B7" t="inlineStr">
        <is>
          <t>Cash</t>
        </is>
      </c>
      <c r="C7" s="21" t="n">
        <v>18.1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-9.797453050000001</v>
      </c>
    </row>
    <row r="10"/>
    <row r="11">
      <c r="B11" s="14" t="inlineStr">
        <is>
          <t>rNPV / Share</t>
        </is>
      </c>
      <c r="C11" s="11">
        <f>NPV!B27</f>
        <v>8.597505617172311</v>
      </c>
    </row>
    <row r="12">
      <c r="B12" s="14" t="inlineStr">
        <is>
          <t>Upside</t>
        </is>
      </c>
      <c r="C12" s="15">
        <f>IFERROR(C11/C3-1,"")</f>
        <v>0.9947808856548288</v>
      </c>
    </row>
    <row r="13">
      <c r="B13" s="14" t="inlineStr">
        <is>
          <t>Cash / Share</t>
        </is>
      </c>
      <c r="C13" s="11">
        <f>IFERROR((C7-C8)/C4,"")</f>
        <v>9.396032382569063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-31.451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0.5754983943276843</v>
      </c>
    </row>
    <row r="19">
      <c r="B19" s="14" t="inlineStr">
        <is>
          <t>Implied Pipeline Value</t>
        </is>
      </c>
      <c r="C19" s="13">
        <f>C9</f>
        <v>-9.797453050000001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0.231</v>
      </c>
      <c r="C2" s="23" t="n">
        <v>1.26</v>
      </c>
      <c r="D2" s="23" t="n">
        <v>5.729</v>
      </c>
      <c r="E2" s="23" t="n">
        <v>7.876</v>
      </c>
      <c r="F2" s="23" t="n">
        <v>7.69</v>
      </c>
      <c r="G2" s="23" t="n">
        <v>7.695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0.231</v>
      </c>
      <c r="C4" s="23">
        <f>C2-C3</f>
        <v>1.26</v>
      </c>
      <c r="D4" s="23">
        <f>D2-D3</f>
        <v>5.729</v>
      </c>
      <c r="E4" s="23">
        <f>E2-E3</f>
        <v>7.876</v>
      </c>
      <c r="F4" s="23">
        <f>F2-F3</f>
        <v>7.69</v>
      </c>
      <c r="G4" s="23">
        <f>G2-G3</f>
        <v>7.695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40.357</v>
      </c>
      <c r="C5" s="23" t="n">
        <v>75.655</v>
      </c>
      <c r="D5" s="23" t="n">
        <v>73.123</v>
      </c>
      <c r="E5" s="23" t="n">
        <v>61.542</v>
      </c>
      <c r="F5" s="23" t="n">
        <v>57.469</v>
      </c>
      <c r="G5" s="23" t="n">
        <v>28.533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9.055999999999999</v>
      </c>
      <c r="C6" s="23" t="n">
        <v>18.393</v>
      </c>
      <c r="D6" s="23" t="n">
        <v>22.927</v>
      </c>
      <c r="E6" s="23" t="n">
        <v>22.53</v>
      </c>
      <c r="F6" s="23" t="n">
        <v>23.269</v>
      </c>
      <c r="G6" s="23" t="n">
        <v>15.275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49.413</v>
      </c>
      <c r="C7" s="23">
        <f>SUM(C5:C6)</f>
        <v>94.048</v>
      </c>
      <c r="D7" s="23">
        <f>SUM(D5:D6)</f>
        <v>96.05000000000001</v>
      </c>
      <c r="E7" s="23">
        <f>SUM(E5:E6)</f>
        <v>84.072</v>
      </c>
      <c r="F7" s="23">
        <f>SUM(F5:F6)</f>
        <v>80.738</v>
      </c>
      <c r="G7" s="23">
        <f>SUM(G5:G6)</f>
        <v>43.808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-49.181999999999995</v>
      </c>
      <c r="C8" s="23">
        <f>C4-C7</f>
        <v>-92.788</v>
      </c>
      <c r="D8" s="23">
        <f>D4-D7</f>
        <v>-90.32100000000001</v>
      </c>
      <c r="E8" s="23">
        <f>E4-E7</f>
        <v>-76.196</v>
      </c>
      <c r="F8" s="23">
        <f>F4-F7</f>
        <v>-73.048</v>
      </c>
      <c r="G8" s="23">
        <f>G4-G7</f>
        <v>-36.113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-11.546</v>
      </c>
      <c r="C9" s="23" t="n">
        <v>-5.803</v>
      </c>
      <c r="D9" s="23" t="n">
        <v>2.223</v>
      </c>
      <c r="E9" s="23" t="n">
        <v>6.999</v>
      </c>
      <c r="F9" s="23" t="n">
        <v>9.93</v>
      </c>
      <c r="G9" s="23" t="n">
        <v>2.737</v>
      </c>
    </row>
    <row r="10">
      <c r="A10" s="2" t="inlineStr">
        <is>
          <t>Pretax</t>
        </is>
      </c>
      <c r="B10" s="23">
        <f>B8+B9</f>
        <v>-60.727999999999994</v>
      </c>
      <c r="C10" s="23">
        <f>C8+C9</f>
        <v>-98.591</v>
      </c>
      <c r="D10" s="23">
        <f>D8+D9</f>
        <v>-88.09800000000001</v>
      </c>
      <c r="E10" s="23">
        <f>E8+E9</f>
        <v>-69.197</v>
      </c>
      <c r="F10" s="23">
        <f>F8+F9</f>
        <v>-63.118</v>
      </c>
      <c r="G10" s="23">
        <f>G8+G9</f>
        <v>-33.376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-60.728</v>
      </c>
      <c r="C12" s="23" t="n">
        <v>-98.59099999999999</v>
      </c>
      <c r="D12" s="23" t="n">
        <v>-88.098</v>
      </c>
      <c r="E12" s="23" t="n">
        <v>-69.197</v>
      </c>
      <c r="F12" s="23" t="n">
        <v>-63.118</v>
      </c>
      <c r="G12" s="23" t="n">
        <v>-33.376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-36.10463733650416</v>
      </c>
      <c r="C13" s="11">
        <f>IFERROR(C12/C14,0)</f>
        <v>-59.392168674698794</v>
      </c>
      <c r="D13" s="11">
        <f>IFERROR(D12/D14,0)</f>
        <v>-47.16167023554603</v>
      </c>
      <c r="E13" s="11">
        <f>IFERROR(E12/E14,0)</f>
        <v>-36.59280803807509</v>
      </c>
      <c r="F13" s="11">
        <f>IFERROR(F12/F14,0)</f>
        <v>-33.06338397066527</v>
      </c>
      <c r="G13" s="11">
        <f>IFERROR(G12/G14,0)</f>
        <v>-17.848128342245985</v>
      </c>
    </row>
    <row r="14">
      <c r="A14" s="2" t="inlineStr">
        <is>
          <t>Shares</t>
        </is>
      </c>
      <c r="B14" s="23" t="n">
        <v>1.682</v>
      </c>
      <c r="C14" s="23" t="n">
        <v>1.66</v>
      </c>
      <c r="D14" s="23" t="n">
        <v>1.868</v>
      </c>
      <c r="E14" s="23" t="n">
        <v>1.891</v>
      </c>
      <c r="F14" s="23" t="n">
        <v>1.909</v>
      </c>
      <c r="G14" s="23" t="n">
        <v>1.87</v>
      </c>
    </row>
    <row r="15"/>
    <row r="16" customFormat="1" s="4">
      <c r="A16" s="3" t="inlineStr">
        <is>
          <t>Revenue Change</t>
        </is>
      </c>
      <c r="C16" s="15">
        <f>IFERROR(C2/B2-1,"")</f>
        <v>4.454545454545454</v>
      </c>
      <c r="D16" s="15">
        <f>IFERROR(D2/C2-1,"")</f>
        <v>3.5468253968253967</v>
      </c>
      <c r="E16" s="15">
        <f>IFERROR(E2/D2-1,"")</f>
        <v>0.3747599930179788</v>
      </c>
      <c r="F16" s="15">
        <f>IFERROR(F2/E2-1,"")</f>
        <v>-0.023616048755713548</v>
      </c>
      <c r="G16" s="15">
        <f>IFERROR(G2/F2-1,"")</f>
        <v>0.0006501950585175997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-212.90909090909088</v>
      </c>
      <c r="C18" s="15">
        <f>IFERROR(C8/C2,"")</f>
        <v>-73.64126984126983</v>
      </c>
      <c r="D18" s="15">
        <f>IFERROR(D8/D2,"")</f>
        <v>-15.765578635014839</v>
      </c>
      <c r="E18" s="15">
        <f>IFERROR(E8/E2,"")</f>
        <v>-9.674454037582528</v>
      </c>
      <c r="F18" s="15">
        <f>IFERROR(F8/F2,"")</f>
        <v>-9.499089726918076</v>
      </c>
      <c r="G18" s="15">
        <f>IFERROR(G8/G2,"")</f>
        <v>-4.69304743339831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Bolt Biotherapeutics,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0.07540000000000002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30.763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413.1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-1.538238041888206</v>
      </c>
      <c r="C29" s="42">
        <f>NPV!B25</f>
        <v>16.561761958111795</v>
      </c>
      <c r="D29" s="43">
        <f>NPV!B27</f>
        <v>8.597505617172311</v>
      </c>
      <c r="E29" s="44">
        <f>NPV!B29</f>
        <v>0.9947808856548288</v>
      </c>
    </row>
    <row r="30">
      <c r="A30" s="45" t="n">
        <v>1</v>
      </c>
      <c r="B30" s="46">
        <f t="dataTable" ref="B30:E32" r1="B4"/>
        <v>-53.57614557370491</v>
      </c>
      <c r="C30" s="46">
        <v>-35.47614557370491</v>
      </c>
      <c r="D30" s="47">
        <v>-18.416299039738423</v>
      </c>
      <c r="E30" s="48">
        <v>-5.2729232110762005</v>
      </c>
    </row>
    <row r="31">
      <c r="A31" s="45" t="n">
        <v>2</v>
      </c>
      <c r="B31" s="46">
        <v>-1.538238041888206</v>
      </c>
      <c r="C31" s="46">
        <v>16.561761958111795</v>
      </c>
      <c r="D31" s="47">
        <v>8.597505617172311</v>
      </c>
      <c r="E31" s="48">
        <v>0.9947808856548288</v>
      </c>
    </row>
    <row r="32">
      <c r="A32" s="45" t="n">
        <v>3</v>
      </c>
      <c r="B32" s="46">
        <v>83.44669795164671</v>
      </c>
      <c r="C32" s="46">
        <v>101.5466979516467</v>
      </c>
      <c r="D32" s="47">
        <v>52.71469957439955</v>
      </c>
      <c r="E32" s="48">
        <v>11.230788764361847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8.597505617172311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-23.694690905558684</v>
      </c>
      <c r="C37" s="47">
        <v>-16.621308181577003</v>
      </c>
      <c r="D37" s="47">
        <v>-9.547925457595335</v>
      </c>
      <c r="E37" s="47">
        <v>4.598839990367998</v>
      </c>
      <c r="F37" s="47">
        <v>18.74560543833134</v>
      </c>
    </row>
    <row r="38">
      <c r="A38" s="50" t="n">
        <v>0.8</v>
      </c>
      <c r="B38" s="47">
        <v>-19.337563850829298</v>
      </c>
      <c r="C38" s="47">
        <v>-9.906386885520403</v>
      </c>
      <c r="D38" s="47">
        <v>-0.4752099202115119</v>
      </c>
      <c r="E38" s="47">
        <v>18.387144010406274</v>
      </c>
      <c r="F38" s="47">
        <v>36.15423755977638</v>
      </c>
    </row>
    <row r="39">
      <c r="A39" s="50" t="n">
        <v>1</v>
      </c>
      <c r="B39" s="47">
        <v>-14.98043679609993</v>
      </c>
      <c r="C39" s="47">
        <v>-3.1914655894638004</v>
      </c>
      <c r="D39" s="47">
        <v>8.597505617172311</v>
      </c>
      <c r="E39" s="47">
        <v>31.662635399117473</v>
      </c>
      <c r="F39" s="47">
        <v>52.16276336727866</v>
      </c>
    </row>
    <row r="40">
      <c r="A40" s="50" t="n">
        <v>1.2</v>
      </c>
      <c r="B40" s="47">
        <v>-10.623309741370544</v>
      </c>
      <c r="C40" s="47">
        <v>3.523455706592788</v>
      </c>
      <c r="D40" s="47">
        <v>17.670221154556135</v>
      </c>
      <c r="E40" s="47">
        <v>43.73031945957086</v>
      </c>
      <c r="F40" s="47">
        <v>67.85056031389128</v>
      </c>
    </row>
    <row r="41">
      <c r="A41" s="50" t="n">
        <v>1.4</v>
      </c>
      <c r="B41" s="47">
        <v>-6.266182686641167</v>
      </c>
      <c r="C41" s="47">
        <v>10.238377002649399</v>
      </c>
      <c r="D41" s="47">
        <v>26.742936691939956</v>
      </c>
      <c r="E41" s="47">
        <v>55.55719272241772</v>
      </c>
      <c r="F41" s="47">
        <v>83.29430580525919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Bolt Biotherapeutics,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Gastric / esophageal cancer</t>
        </is>
      </c>
      <c r="C4" s="14" t="inlineStr">
        <is>
          <t>BDC-4182</t>
        </is>
      </c>
      <c r="D4" s="14" t="inlineStr">
        <is>
          <t>Phase 1/2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1200</v>
      </c>
      <c r="H4" s="27" t="n">
        <v>0.07539999999999999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90.83850295618979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9.048</v>
      </c>
      <c r="T4" s="23">
        <f>IF(T$3&lt;$I4,0,$G4*Assumptions!$E$11*INDEX(Assumptions!$B$24:$G$24,MIN(6,T$3-$I4+1))*IF(T$3&gt;$J4,(1-Assumptions!$B$26)^(T$3-$J4),1)*IF($H4&gt;=1,1,MIN(0.97,$H4*Assumptions!$E$12)))</f>
        <v>22.619999999999997</v>
      </c>
      <c r="U4" s="23">
        <f>IF(U$3&lt;$I4,0,$G4*Assumptions!$E$11*INDEX(Assumptions!$B$24:$G$24,MIN(6,U$3-$I4+1))*IF(U$3&gt;$J4,(1-Assumptions!$B$26)^(U$3-$J4),1)*IF($H4&gt;=1,1,MIN(0.97,$H4*Assumptions!$E$12)))</f>
        <v>40.715999999999994</v>
      </c>
      <c r="V4" s="23">
        <f>IF(V$3&lt;$I4,0,$G4*Assumptions!$E$11*INDEX(Assumptions!$B$24:$G$24,MIN(6,V$3-$I4+1))*IF(V$3&gt;$J4,(1-Assumptions!$B$26)^(V$3-$J4),1)*IF($H4&gt;=1,1,MIN(0.97,$H4*Assumptions!$E$12)))</f>
        <v>58.812</v>
      </c>
      <c r="W4" s="23">
        <f>IF(W$3&lt;$I4,0,$G4*Assumptions!$E$11*INDEX(Assumptions!$B$24:$G$24,MIN(6,W$3-$I4+1))*IF(W$3&gt;$J4,(1-Assumptions!$B$26)^(W$3-$J4),1)*IF($H4&gt;=1,1,MIN(0.97,$H4*Assumptions!$E$12)))</f>
        <v>76.908</v>
      </c>
      <c r="X4" s="23">
        <f>IF(X$3&lt;$I4,0,$G4*Assumptions!$E$11*INDEX(Assumptions!$B$24:$G$24,MIN(6,X$3-$I4+1))*IF(X$3&gt;$J4,(1-Assumptions!$B$26)^(X$3-$J4),1)*IF($H4&gt;=1,1,MIN(0.97,$H4*Assumptions!$E$12)))</f>
        <v>90.47999999999999</v>
      </c>
      <c r="Y4" s="23">
        <f>IF(Y$3&lt;$I4,0,$G4*Assumptions!$E$11*INDEX(Assumptions!$B$24:$G$24,MIN(6,Y$3-$I4+1))*IF(Y$3&gt;$J4,(1-Assumptions!$B$26)^(Y$3-$J4),1)*IF($H4&gt;=1,1,MIN(0.97,$H4*Assumptions!$E$12)))</f>
        <v>90.47999999999999</v>
      </c>
      <c r="Z4" s="23">
        <f>IF(Z$3&lt;$I4,0,$G4*Assumptions!$E$11*INDEX(Assumptions!$B$24:$G$24,MIN(6,Z$3-$I4+1))*IF(Z$3&gt;$J4,(1-Assumptions!$B$26)^(Z$3-$J4),1)*IF($H4&gt;=1,1,MIN(0.97,$H4*Assumptions!$E$12)))</f>
        <v>90.47999999999999</v>
      </c>
      <c r="AA4" s="23">
        <f>IF(AA$3&lt;$I4,0,$G4*Assumptions!$E$11*INDEX(Assumptions!$B$24:$G$24,MIN(6,AA$3-$I4+1))*IF(AA$3&gt;$J4,(1-Assumptions!$B$26)^(AA$3-$J4),1)*IF($H4&gt;=1,1,MIN(0.97,$H4*Assumptions!$E$12)))</f>
        <v>90.47999999999999</v>
      </c>
      <c r="AB4" s="23">
        <f>IF(AB$3&lt;$I4,0,$G4*Assumptions!$E$11*INDEX(Assumptions!$B$24:$G$24,MIN(6,AB$3-$I4+1))*IF(AB$3&gt;$J4,(1-Assumptions!$B$26)^(AB$3-$J4),1)*IF($H4&gt;=1,1,MIN(0.97,$H4*Assumptions!$E$12)))</f>
        <v>90.47999999999999</v>
      </c>
      <c r="AC4" s="23">
        <f>IF(AC$3&lt;$I4,0,$G4*Assumptions!$E$11*INDEX(Assumptions!$B$24:$G$24,MIN(6,AC$3-$I4+1))*IF(AC$3&gt;$J4,(1-Assumptions!$B$26)^(AC$3-$J4),1)*IF($H4&gt;=1,1,MIN(0.97,$H4*Assumptions!$E$12)))</f>
        <v>90.47999999999999</v>
      </c>
      <c r="AD4" s="23">
        <f>IF(AD$3&lt;$I4,0,$G4*Assumptions!$E$11*INDEX(Assumptions!$B$24:$G$24,MIN(6,AD$3-$I4+1))*IF(AD$3&gt;$J4,(1-Assumptions!$B$26)^(AD$3-$J4),1)*IF($H4&gt;=1,1,MIN(0.97,$H4*Assumptions!$E$12)))</f>
        <v>90.47999999999999</v>
      </c>
      <c r="AE4" s="23">
        <f>IF(AE$3&lt;$I4,0,$G4*Assumptions!$E$11*INDEX(Assumptions!$B$24:$G$24,MIN(6,AE$3-$I4+1))*IF(AE$3&gt;$J4,(1-Assumptions!$B$26)^(AE$3-$J4),1)*IF($H4&gt;=1,1,MIN(0.97,$H4*Assumptions!$E$12)))</f>
        <v>90.47999999999999</v>
      </c>
      <c r="AF4" s="23">
        <f>IF(AF$3&lt;$I4,0,$G4*Assumptions!$E$11*INDEX(Assumptions!$B$24:$G$24,MIN(6,AF$3-$I4+1))*IF(AF$3&gt;$J4,(1-Assumptions!$B$26)^(AF$3-$J4),1)*IF($H4&gt;=1,1,MIN(0.97,$H4*Assumptions!$E$12)))</f>
        <v>45.239999999999995</v>
      </c>
      <c r="AG4" s="35">
        <f>IF(F4="Owned",1-IF(H4&gt;=1,1,MIN(0.97,H4*Assumptions!$E$12)),1)</f>
        <v>0.9246</v>
      </c>
    </row>
    <row r="5">
      <c r="B5" s="24" t="inlineStr">
        <is>
          <t>Risked revenue</t>
        </is>
      </c>
      <c r="L5" s="54">
        <f>SUM(L4:L4)</f>
        <v>90.83850295618979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9.048</v>
      </c>
      <c r="T5" s="54">
        <f>SUM(T4:T4)</f>
        <v>22.619999999999997</v>
      </c>
      <c r="U5" s="54">
        <f>SUM(U4:U4)</f>
        <v>40.715999999999994</v>
      </c>
      <c r="V5" s="54">
        <f>SUM(V4:V4)</f>
        <v>58.812</v>
      </c>
      <c r="W5" s="54">
        <f>SUM(W4:W4)</f>
        <v>76.908</v>
      </c>
      <c r="X5" s="54">
        <f>SUM(X4:X4)</f>
        <v>90.47999999999999</v>
      </c>
      <c r="Y5" s="54">
        <f>SUM(Y4:Y4)</f>
        <v>90.47999999999999</v>
      </c>
      <c r="Z5" s="54">
        <f>SUM(Z4:Z4)</f>
        <v>90.47999999999999</v>
      </c>
      <c r="AA5" s="54">
        <f>SUM(AA4:AA4)</f>
        <v>90.47999999999999</v>
      </c>
      <c r="AB5" s="54">
        <f>SUM(AB4:AB4)</f>
        <v>90.47999999999999</v>
      </c>
      <c r="AC5" s="54">
        <f>SUM(AC4:AC4)</f>
        <v>90.47999999999999</v>
      </c>
      <c r="AD5" s="54">
        <f>SUM(AD4:AD4)</f>
        <v>90.47999999999999</v>
      </c>
      <c r="AE5" s="54">
        <f>SUM(AE4:AE4)</f>
        <v>90.47999999999999</v>
      </c>
      <c r="AF5" s="54">
        <f>SUM(AF4:AF4)</f>
        <v>45.239999999999995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3.6192</v>
      </c>
      <c r="T6" s="55">
        <f>SUMPRODUCT(T4:T4,$K$4:$K$4)</f>
        <v>9.048</v>
      </c>
      <c r="U6" s="55">
        <f>SUMPRODUCT(U4:U4,$K$4:$K$4)</f>
        <v>16.286399999999997</v>
      </c>
      <c r="V6" s="55">
        <f>SUMPRODUCT(V4:V4,$K$4:$K$4)</f>
        <v>23.5248</v>
      </c>
      <c r="W6" s="55">
        <f>SUMPRODUCT(W4:W4,$K$4:$K$4)</f>
        <v>30.7632</v>
      </c>
      <c r="X6" s="55">
        <f>SUMPRODUCT(X4:X4,$K$4:$K$4)</f>
        <v>36.192</v>
      </c>
      <c r="Y6" s="55">
        <f>SUMPRODUCT(Y4:Y4,$K$4:$K$4)</f>
        <v>36.192</v>
      </c>
      <c r="Z6" s="55">
        <f>SUMPRODUCT(Z4:Z4,$K$4:$K$4)</f>
        <v>36.192</v>
      </c>
      <c r="AA6" s="55">
        <f>SUMPRODUCT(AA4:AA4,$K$4:$K$4)</f>
        <v>36.192</v>
      </c>
      <c r="AB6" s="55">
        <f>SUMPRODUCT(AB4:AB4,$K$4:$K$4)</f>
        <v>36.192</v>
      </c>
      <c r="AC6" s="55">
        <f>SUMPRODUCT(AC4:AC4,$K$4:$K$4)</f>
        <v>36.192</v>
      </c>
      <c r="AD6" s="55">
        <f>SUMPRODUCT(AD4:AD4,$K$4:$K$4)</f>
        <v>36.192</v>
      </c>
      <c r="AE6" s="55">
        <f>SUMPRODUCT(AE4:AE4,$K$4:$K$4)</f>
        <v>36.192</v>
      </c>
      <c r="AF6" s="55">
        <f>SUMPRODUCT(AF4:AF4,$K$4:$K$4)</f>
        <v>18.096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Bolt Biotherapeutics,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9.048</v>
      </c>
      <c r="J4" s="57">
        <f>Pipeline!T5</f>
        <v>22.619999999999997</v>
      </c>
      <c r="K4" s="57">
        <f>Pipeline!U5</f>
        <v>40.715999999999994</v>
      </c>
      <c r="L4" s="57">
        <f>Pipeline!V5</f>
        <v>58.812</v>
      </c>
      <c r="M4" s="57">
        <f>Pipeline!W5</f>
        <v>76.908</v>
      </c>
      <c r="N4" s="57">
        <f>Pipeline!X5</f>
        <v>90.47999999999999</v>
      </c>
      <c r="O4" s="57">
        <f>Pipeline!Y5</f>
        <v>90.47999999999999</v>
      </c>
      <c r="P4" s="57">
        <f>Pipeline!Z5</f>
        <v>90.47999999999999</v>
      </c>
      <c r="Q4" s="57">
        <f>Pipeline!AA5</f>
        <v>90.47999999999999</v>
      </c>
      <c r="R4" s="57">
        <f>Pipeline!AB5</f>
        <v>90.47999999999999</v>
      </c>
      <c r="S4" s="57">
        <f>Pipeline!AC5</f>
        <v>90.47999999999999</v>
      </c>
      <c r="T4" s="57">
        <f>Pipeline!AD5</f>
        <v>90.47999999999999</v>
      </c>
      <c r="U4" s="57">
        <f>Pipeline!AE5</f>
        <v>90.47999999999999</v>
      </c>
      <c r="V4" s="57">
        <f>Pipeline!AF5</f>
        <v>45.239999999999995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3.6192</v>
      </c>
      <c r="J5" s="57">
        <f>Pipeline!T6</f>
        <v>9.048</v>
      </c>
      <c r="K5" s="57">
        <f>Pipeline!U6</f>
        <v>16.286399999999997</v>
      </c>
      <c r="L5" s="57">
        <f>Pipeline!V6</f>
        <v>23.5248</v>
      </c>
      <c r="M5" s="57">
        <f>Pipeline!W6</f>
        <v>30.7632</v>
      </c>
      <c r="N5" s="57">
        <f>Pipeline!X6</f>
        <v>36.192</v>
      </c>
      <c r="O5" s="57">
        <f>Pipeline!Y6</f>
        <v>36.192</v>
      </c>
      <c r="P5" s="57">
        <f>Pipeline!Z6</f>
        <v>36.192</v>
      </c>
      <c r="Q5" s="57">
        <f>Pipeline!AA6</f>
        <v>36.192</v>
      </c>
      <c r="R5" s="57">
        <f>Pipeline!AB6</f>
        <v>36.192</v>
      </c>
      <c r="S5" s="57">
        <f>Pipeline!AC6</f>
        <v>36.192</v>
      </c>
      <c r="T5" s="57">
        <f>Pipeline!AD6</f>
        <v>36.192</v>
      </c>
      <c r="U5" s="57">
        <f>Pipeline!AE6</f>
        <v>36.192</v>
      </c>
      <c r="V5" s="57">
        <f>Pipeline!AF6</f>
        <v>18.096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-30.763</v>
      </c>
      <c r="D6" s="23">
        <f>-IF(D3-2026&lt;Assumptions!$B$19,Assumptions!$B$18,Assumptions!$B$18*Assumptions!$B$20*Assumptions!$B$16)</f>
        <v>-30.763</v>
      </c>
      <c r="E6" s="23">
        <f>-IF(E3-2026&lt;Assumptions!$B$19,Assumptions!$B$18,Assumptions!$B$18*Assumptions!$B$20*Assumptions!$B$16)</f>
        <v>-30.763</v>
      </c>
      <c r="F6" s="23">
        <f>-IF(F3-2026&lt;Assumptions!$B$19,Assumptions!$B$18,Assumptions!$B$18*Assumptions!$B$20*Assumptions!$B$16)</f>
        <v>-30.763</v>
      </c>
      <c r="G6" s="23">
        <f>-IF(G3-2026&lt;Assumptions!$B$19,Assumptions!$B$18,Assumptions!$B$18*Assumptions!$B$20*Assumptions!$B$16)</f>
        <v>-0.6958590600000002</v>
      </c>
      <c r="H6" s="23">
        <f>-IF(H3-2026&lt;Assumptions!$B$19,Assumptions!$B$18,Assumptions!$B$18*Assumptions!$B$20*Assumptions!$B$16)</f>
        <v>-0.6958590600000002</v>
      </c>
      <c r="I6" s="23">
        <f>-IF(I3-2026&lt;Assumptions!$B$19,Assumptions!$B$18,Assumptions!$B$18*Assumptions!$B$20*Assumptions!$B$16)</f>
        <v>-0.6958590600000002</v>
      </c>
      <c r="J6" s="23">
        <f>-IF(J3-2026&lt;Assumptions!$B$19,Assumptions!$B$18,Assumptions!$B$18*Assumptions!$B$20*Assumptions!$B$16)</f>
        <v>-0.6958590600000002</v>
      </c>
      <c r="K6" s="23">
        <f>-IF(K3-2026&lt;Assumptions!$B$19,Assumptions!$B$18,Assumptions!$B$18*Assumptions!$B$20*Assumptions!$B$16)</f>
        <v>-0.6958590600000002</v>
      </c>
      <c r="L6" s="23">
        <f>-IF(L3-2026&lt;Assumptions!$B$19,Assumptions!$B$18,Assumptions!$B$18*Assumptions!$B$20*Assumptions!$B$16)</f>
        <v>-0.6958590600000002</v>
      </c>
      <c r="M6" s="23">
        <f>-IF(M3-2026&lt;Assumptions!$B$19,Assumptions!$B$18,Assumptions!$B$18*Assumptions!$B$20*Assumptions!$B$16)</f>
        <v>-0.6958590600000002</v>
      </c>
      <c r="N6" s="23">
        <f>-IF(N3-2026&lt;Assumptions!$B$19,Assumptions!$B$18,Assumptions!$B$18*Assumptions!$B$20*Assumptions!$B$16)</f>
        <v>-0.6958590600000002</v>
      </c>
      <c r="O6" s="23">
        <f>-IF(O3-2026&lt;Assumptions!$B$19,Assumptions!$B$18,Assumptions!$B$18*Assumptions!$B$20*Assumptions!$B$16)</f>
        <v>-0.6958590600000002</v>
      </c>
      <c r="P6" s="23">
        <f>-IF(P3-2026&lt;Assumptions!$B$19,Assumptions!$B$18,Assumptions!$B$18*Assumptions!$B$20*Assumptions!$B$16)</f>
        <v>-0.6958590600000002</v>
      </c>
      <c r="Q6" s="23">
        <f>-IF(Q3-2026&lt;Assumptions!$B$19,Assumptions!$B$18,Assumptions!$B$18*Assumptions!$B$20*Assumptions!$B$16)</f>
        <v>-0.6958590600000002</v>
      </c>
      <c r="R6" s="23">
        <f>-IF(R3-2026&lt;Assumptions!$B$19,Assumptions!$B$18,Assumptions!$B$18*Assumptions!$B$20*Assumptions!$B$16)</f>
        <v>-0.6958590600000002</v>
      </c>
      <c r="S6" s="23">
        <f>-IF(S3-2026&lt;Assumptions!$B$19,Assumptions!$B$18,Assumptions!$B$18*Assumptions!$B$20*Assumptions!$B$16)</f>
        <v>-0.6958590600000002</v>
      </c>
      <c r="T6" s="23">
        <f>-IF(T3-2026&lt;Assumptions!$B$19,Assumptions!$B$18,Assumptions!$B$18*Assumptions!$B$20*Assumptions!$B$16)</f>
        <v>-0.6958590600000002</v>
      </c>
      <c r="U6" s="23">
        <f>-IF(U3-2026&lt;Assumptions!$B$19,Assumptions!$B$18,Assumptions!$B$18*Assumptions!$B$20*Assumptions!$B$16)</f>
        <v>-0.6958590600000002</v>
      </c>
      <c r="V6" s="23">
        <f>-IF(V3-2026&lt;Assumptions!$B$19,Assumptions!$B$18,Assumptions!$B$18*Assumptions!$B$20*Assumptions!$B$16)</f>
        <v>-0.6958590600000002</v>
      </c>
    </row>
    <row r="7">
      <c r="A7" s="14" t="inlineStr">
        <is>
          <t>Pre-tax cash flow</t>
        </is>
      </c>
      <c r="C7" s="23">
        <f>C5+C6</f>
        <v>-30.763</v>
      </c>
      <c r="D7" s="23">
        <f>D5+D6</f>
        <v>-30.763</v>
      </c>
      <c r="E7" s="23">
        <f>E5+E6</f>
        <v>-30.763</v>
      </c>
      <c r="F7" s="23">
        <f>F5+F6</f>
        <v>-30.763</v>
      </c>
      <c r="G7" s="23">
        <f>G5+G6</f>
        <v>-0.6958590600000002</v>
      </c>
      <c r="H7" s="23">
        <f>H5+H6</f>
        <v>-0.6958590600000002</v>
      </c>
      <c r="I7" s="23">
        <f>I5+I6</f>
        <v>2.92334094</v>
      </c>
      <c r="J7" s="23">
        <f>J5+J6</f>
        <v>8.35214094</v>
      </c>
      <c r="K7" s="23">
        <f>K5+K6</f>
        <v>15.590540939999997</v>
      </c>
      <c r="L7" s="23">
        <f>L5+L6</f>
        <v>22.82894094</v>
      </c>
      <c r="M7" s="23">
        <f>M5+M6</f>
        <v>30.06734094</v>
      </c>
      <c r="N7" s="23">
        <f>N5+N6</f>
        <v>35.49614094</v>
      </c>
      <c r="O7" s="23">
        <f>O5+O6</f>
        <v>35.49614094</v>
      </c>
      <c r="P7" s="23">
        <f>P5+P6</f>
        <v>35.49614094</v>
      </c>
      <c r="Q7" s="23">
        <f>Q5+Q6</f>
        <v>35.49614094</v>
      </c>
      <c r="R7" s="23">
        <f>R5+R6</f>
        <v>35.49614094</v>
      </c>
      <c r="S7" s="23">
        <f>S5+S6</f>
        <v>35.49614094</v>
      </c>
      <c r="T7" s="23">
        <f>T5+T6</f>
        <v>35.49614094</v>
      </c>
      <c r="U7" s="23">
        <f>U5+U6</f>
        <v>35.49614094</v>
      </c>
      <c r="V7" s="23">
        <f>V5+V6</f>
        <v>17.40014094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2.92334094</v>
      </c>
      <c r="J8" s="23">
        <f>MIN(I17,MAX(0,J7))</f>
        <v>8.35214094</v>
      </c>
      <c r="K8" s="23">
        <f>MIN(J17,MAX(0,K7))</f>
        <v>15.590540939999997</v>
      </c>
      <c r="L8" s="23">
        <f>MIN(K17,MAX(0,L7))</f>
        <v>22.82894094</v>
      </c>
      <c r="M8" s="23">
        <f>MIN(L17,MAX(0,M7))</f>
        <v>30.06734094</v>
      </c>
      <c r="N8" s="23">
        <f>MIN(M17,MAX(0,N7))</f>
        <v>35.49614094</v>
      </c>
      <c r="O8" s="23">
        <f>MIN(N17,MAX(0,O7))</f>
        <v>35.49614094</v>
      </c>
      <c r="P8" s="23">
        <f>MIN(O17,MAX(0,P7))</f>
        <v>35.49614094</v>
      </c>
      <c r="Q8" s="23">
        <f>MIN(P17,MAX(0,Q7))</f>
        <v>35.49614094</v>
      </c>
      <c r="R8" s="23">
        <f>MIN(Q17,MAX(0,R7))</f>
        <v>35.49614094</v>
      </c>
      <c r="S8" s="23">
        <f>MIN(R17,MAX(0,S7))</f>
        <v>35.49614094</v>
      </c>
      <c r="T8" s="23">
        <f>MIN(S17,MAX(0,T7))</f>
        <v>35.49614094</v>
      </c>
      <c r="U8" s="23">
        <f>MIN(T17,MAX(0,U7))</f>
        <v>35.49614094</v>
      </c>
      <c r="V8" s="23">
        <f>MIN(U17,MAX(0,V7))</f>
        <v>17.40014094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-30.763</v>
      </c>
      <c r="D11" s="55">
        <f>D7-D10</f>
        <v>-30.763</v>
      </c>
      <c r="E11" s="55">
        <f>E7-E10</f>
        <v>-30.763</v>
      </c>
      <c r="F11" s="55">
        <f>F7-F10</f>
        <v>-30.763</v>
      </c>
      <c r="G11" s="55">
        <f>G7-G10</f>
        <v>-0.6958590600000002</v>
      </c>
      <c r="H11" s="55">
        <f>H7-H10</f>
        <v>-0.6958590600000002</v>
      </c>
      <c r="I11" s="55">
        <f>I7-I10</f>
        <v>2.92334094</v>
      </c>
      <c r="J11" s="55">
        <f>J7-J10</f>
        <v>8.35214094</v>
      </c>
      <c r="K11" s="55">
        <f>K7-K10</f>
        <v>15.590540939999997</v>
      </c>
      <c r="L11" s="55">
        <f>L7-L10</f>
        <v>22.82894094</v>
      </c>
      <c r="M11" s="55">
        <f>M7-M10</f>
        <v>30.06734094</v>
      </c>
      <c r="N11" s="55">
        <f>N7-N10</f>
        <v>35.49614094</v>
      </c>
      <c r="O11" s="55">
        <f>O7-O10</f>
        <v>35.49614094</v>
      </c>
      <c r="P11" s="55">
        <f>P7-P10</f>
        <v>35.49614094</v>
      </c>
      <c r="Q11" s="55">
        <f>Q7-Q10</f>
        <v>35.49614094</v>
      </c>
      <c r="R11" s="55">
        <f>R7-R10</f>
        <v>35.49614094</v>
      </c>
      <c r="S11" s="55">
        <f>S7-S10</f>
        <v>35.49614094</v>
      </c>
      <c r="T11" s="55">
        <f>T7-T10</f>
        <v>35.49614094</v>
      </c>
      <c r="U11" s="55">
        <f>U7-U10</f>
        <v>35.49614094</v>
      </c>
      <c r="V11" s="55">
        <f>V7-V10</f>
        <v>17.40014094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-15.070927488738024</v>
      </c>
      <c r="D16" s="55">
        <f>D11*D15</f>
        <v>-27.45420479097553</v>
      </c>
      <c r="E16" s="55">
        <f>E11*E15</f>
        <v>-24.512682849085287</v>
      </c>
      <c r="F16" s="55">
        <f>F11*F15</f>
        <v>-21.886323972397577</v>
      </c>
      <c r="G16" s="55">
        <f>G11*G15</f>
        <v>-0.4420255787996726</v>
      </c>
      <c r="H16" s="55">
        <f>H11*H15</f>
        <v>-0.3946656953568505</v>
      </c>
      <c r="I16" s="55">
        <f>I11*I15</f>
        <v>1.4803674889719463</v>
      </c>
      <c r="J16" s="55">
        <f>J11*J15</f>
        <v>3.776329330482083</v>
      </c>
      <c r="K16" s="55">
        <f>K11*K15</f>
        <v>6.293832906858986</v>
      </c>
      <c r="L16" s="55">
        <f>L11*L15</f>
        <v>8.228520711800103</v>
      </c>
      <c r="M16" s="55">
        <f>M11*M15</f>
        <v>9.6763819256802</v>
      </c>
      <c r="N16" s="55">
        <f>N11*N15</f>
        <v>10.199552009313704</v>
      </c>
      <c r="O16" s="55">
        <f>O11*O15</f>
        <v>9.106742865458664</v>
      </c>
      <c r="P16" s="55">
        <f>P11*P15</f>
        <v>8.131020415588091</v>
      </c>
      <c r="Q16" s="55">
        <f>Q11*Q15</f>
        <v>7.259839656775082</v>
      </c>
      <c r="R16" s="55">
        <f>R11*R15</f>
        <v>6.48199969354918</v>
      </c>
      <c r="S16" s="55">
        <f>S11*S15</f>
        <v>5.787499726383195</v>
      </c>
      <c r="T16" s="55">
        <f>T11*T15</f>
        <v>5.167410469984995</v>
      </c>
      <c r="U16" s="55">
        <f>U11*U15</f>
        <v>4.6137593482008885</v>
      </c>
      <c r="V16" s="55">
        <f>V11*V15</f>
        <v>2.0193357844176174</v>
      </c>
    </row>
    <row r="17">
      <c r="A17" s="14" t="inlineStr">
        <is>
          <t>Tax-loss carryforward, end of year</t>
        </is>
      </c>
      <c r="C17" s="23">
        <f>Assumptions!$B$21-C8+MAX(0,-C7)</f>
        <v>443.863</v>
      </c>
      <c r="D17" s="23">
        <f>C17-D8+MAX(0,-D7)</f>
        <v>474.626</v>
      </c>
      <c r="E17" s="23">
        <f>D17-E8+MAX(0,-E7)</f>
        <v>505.38899999999995</v>
      </c>
      <c r="F17" s="23">
        <f>E17-F8+MAX(0,-F7)</f>
        <v>536.1519999999999</v>
      </c>
      <c r="G17" s="23">
        <f>F17-G8+MAX(0,-G7)</f>
        <v>536.8478590599999</v>
      </c>
      <c r="H17" s="23">
        <f>G17-H8+MAX(0,-H7)</f>
        <v>537.5437181199999</v>
      </c>
      <c r="I17" s="23">
        <f>H17-I8+MAX(0,-I7)</f>
        <v>534.6203771799999</v>
      </c>
      <c r="J17" s="23">
        <f>I17-J8+MAX(0,-J7)</f>
        <v>526.2682362399999</v>
      </c>
      <c r="K17" s="23">
        <f>J17-K8+MAX(0,-K7)</f>
        <v>510.67769529999987</v>
      </c>
      <c r="L17" s="23">
        <f>K17-L8+MAX(0,-L7)</f>
        <v>487.8487543599999</v>
      </c>
      <c r="M17" s="23">
        <f>L17-M8+MAX(0,-M7)</f>
        <v>457.78141341999986</v>
      </c>
      <c r="N17" s="23">
        <f>M17-N8+MAX(0,-N7)</f>
        <v>422.2852724799999</v>
      </c>
      <c r="O17" s="23">
        <f>N17-O8+MAX(0,-O7)</f>
        <v>386.7891315399999</v>
      </c>
      <c r="P17" s="23">
        <f>O17-P8+MAX(0,-P7)</f>
        <v>351.29299059999994</v>
      </c>
      <c r="Q17" s="23">
        <f>P17-Q8+MAX(0,-Q7)</f>
        <v>315.79684965999996</v>
      </c>
      <c r="R17" s="23">
        <f>Q17-R8+MAX(0,-R7)</f>
        <v>280.30070872</v>
      </c>
      <c r="S17" s="23">
        <f>R17-S8+MAX(0,-S7)</f>
        <v>244.80456777999999</v>
      </c>
      <c r="T17" s="23">
        <f>S17-T8+MAX(0,-T7)</f>
        <v>209.30842683999998</v>
      </c>
      <c r="U17" s="23">
        <f>T17-U8+MAX(0,-U7)</f>
        <v>173.81228589999998</v>
      </c>
      <c r="V17" s="23">
        <f>U17-V8+MAX(0,-V7)</f>
        <v>156.41214495999998</v>
      </c>
    </row>
    <row r="19">
      <c r="A19" s="14" t="inlineStr">
        <is>
          <t>PV of risked pipeline contribution</t>
        </is>
      </c>
      <c r="B19" s="23">
        <f>SUMPRODUCT(C5:V5,C15:V15)</f>
        <v>90.83850295618979</v>
      </c>
    </row>
    <row r="20">
      <c r="A20" s="14" t="inlineStr">
        <is>
          <t>PV of corporate burn</t>
        </is>
      </c>
      <c r="B20" s="23">
        <f>SUMPRODUCT(C6:V6,C15:V15)</f>
        <v>-92.37674099807798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-1.538238041888206</v>
      </c>
    </row>
    <row r="23">
      <c r="A23" s="14" t="inlineStr">
        <is>
          <t>Cash &amp; investments</t>
        </is>
      </c>
      <c r="B23" s="57">
        <f>Main!C7</f>
        <v>18.1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16.561761958111795</v>
      </c>
    </row>
    <row r="26">
      <c r="A26" s="14" t="inlineStr">
        <is>
          <t>Shares (mm)</t>
        </is>
      </c>
      <c r="B26" s="57">
        <f>Main!C4</f>
        <v>1.926345</v>
      </c>
    </row>
    <row r="27">
      <c r="A27" s="24" t="inlineStr">
        <is>
          <t>rNPV / share</t>
        </is>
      </c>
      <c r="B27" s="60">
        <f>B25/B26</f>
        <v>8.597505617172311</v>
      </c>
    </row>
    <row r="28">
      <c r="A28" s="14" t="inlineStr">
        <is>
          <t>Price</t>
        </is>
      </c>
      <c r="B28" s="61">
        <f>Main!C3</f>
        <v>4.31</v>
      </c>
    </row>
    <row r="29">
      <c r="A29" s="14" t="inlineStr">
        <is>
          <t>Upside</t>
        </is>
      </c>
      <c r="B29" s="62">
        <f>B27/B28-1</f>
        <v>0.9947808856548288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2026-10-21T06:31:06Z</dcterms:modified>
  <cp:lastModifiedBy>Wang, Eric</cp:lastModifiedBy>
</cp:coreProperties>
</file>