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Cypherpunk Technologies Inc</t>
        </is>
      </c>
      <c r="C2" s="10" t="n"/>
    </row>
    <row r="3">
      <c r="B3" t="inlineStr">
        <is>
          <t>Price</t>
        </is>
      </c>
      <c r="C3" s="11">
        <f>INDEX([1]Pharma!$F$1:$F$1000,MATCH("CYPH",[1]Pharma!$B$1:$B$1000,0))</f>
        <v>2.81</v>
      </c>
      <c r="F3" s="1" t="n"/>
    </row>
    <row r="4">
      <c r="B4" t="inlineStr">
        <is>
          <t>Shares</t>
        </is>
      </c>
      <c r="C4" s="21" t="n">
        <v>107.764382</v>
      </c>
      <c r="F4" s="1" t="n"/>
    </row>
    <row r="5">
      <c r="B5" t="inlineStr">
        <is>
          <t>Market Cap.</t>
        </is>
      </c>
      <c r="C5" s="13">
        <f>C3*C4</f>
        <v>302.81791342</v>
      </c>
      <c r="F5" s="1" t="n"/>
    </row>
    <row r="6"/>
    <row r="7">
      <c r="B7" t="inlineStr">
        <is>
          <t>Cash</t>
        </is>
      </c>
      <c r="C7" s="21" t="n">
        <v>7.624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295.19391342</v>
      </c>
    </row>
    <row r="10"/>
    <row r="11">
      <c r="B11" s="14" t="inlineStr">
        <is>
          <t>Net Cash / Share</t>
        </is>
      </c>
      <c r="C11" s="11">
        <f>(C7-C8)/C4</f>
        <v>0.07074693751781548</v>
      </c>
    </row>
    <row r="12">
      <c r="B12" s="14" t="inlineStr">
        <is>
          <t>Upside</t>
        </is>
      </c>
      <c r="C12" s="15">
        <f>IFERROR(C11/C3-1,"")</f>
        <v>-0.9748231539082507</v>
      </c>
    </row>
    <row r="13">
      <c r="B13" s="14" t="inlineStr">
        <is>
          <t>Cash / Share</t>
        </is>
      </c>
      <c r="C13" s="11">
        <f>IFERROR((C7-C8)/C4,"")</f>
        <v>0.07074693751781548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-21.058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0.36204767784215025</v>
      </c>
    </row>
    <row r="19">
      <c r="B19" s="14" t="inlineStr">
        <is>
          <t>Implied Pipeline Value</t>
        </is>
      </c>
      <c r="C19" s="13">
        <f>C9</f>
        <v>295.19391342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1.5</v>
      </c>
      <c r="G2" s="23" t="n">
        <v>1.5</v>
      </c>
      <c r="H2" s="23" t="n">
        <v>0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1.5</v>
      </c>
      <c r="G4" s="23">
        <f>G2-G3</f>
        <v>1.5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23.292</v>
      </c>
      <c r="C5" s="23" t="n">
        <v>22.503</v>
      </c>
      <c r="D5" s="23" t="n">
        <v>21.83</v>
      </c>
      <c r="E5" s="23" t="n">
        <v>24.366</v>
      </c>
      <c r="F5" s="23" t="n">
        <v>20.423</v>
      </c>
      <c r="G5" s="23" t="n">
        <v>32.16</v>
      </c>
      <c r="H5" s="23" t="n">
        <v>44.965</v>
      </c>
      <c r="I5" s="23" t="n">
        <v>73.23399999999999</v>
      </c>
      <c r="J5" s="23" t="n">
        <v>57.211</v>
      </c>
      <c r="K5" s="23" t="n">
        <v>25.67</v>
      </c>
    </row>
    <row r="6">
      <c r="A6" s="19" t="inlineStr">
        <is>
          <t>SG&amp;A &amp; Other</t>
        </is>
      </c>
      <c r="B6" s="23" t="n">
        <v>4.012</v>
      </c>
      <c r="C6" s="23" t="n">
        <v>9.849</v>
      </c>
      <c r="D6" s="23" t="n">
        <v>8.920999999999999</v>
      </c>
      <c r="E6" s="23" t="n">
        <v>9.085000000000001</v>
      </c>
      <c r="F6" s="23" t="n">
        <v>9.616</v>
      </c>
      <c r="G6" s="23" t="n">
        <v>10.766</v>
      </c>
      <c r="H6" s="23" t="n">
        <v>11.798</v>
      </c>
      <c r="I6" s="23" t="n">
        <v>13.807</v>
      </c>
      <c r="J6" s="23" t="n">
        <v>12.846</v>
      </c>
      <c r="K6" s="23" t="n">
        <v>15.397</v>
      </c>
    </row>
    <row r="7">
      <c r="A7" s="2" t="inlineStr">
        <is>
          <t>Operating Expense</t>
        </is>
      </c>
      <c r="B7" s="23">
        <f>SUM(B5:B6)</f>
        <v>27.304000000000002</v>
      </c>
      <c r="C7" s="23">
        <f>SUM(C5:C6)</f>
        <v>32.352000000000004</v>
      </c>
      <c r="D7" s="23">
        <f>SUM(D5:D6)</f>
        <v>30.750999999999998</v>
      </c>
      <c r="E7" s="23">
        <f>SUM(E5:E6)</f>
        <v>33.451</v>
      </c>
      <c r="F7" s="23">
        <f>SUM(F5:F6)</f>
        <v>30.038999999999998</v>
      </c>
      <c r="G7" s="23">
        <f>SUM(G5:G6)</f>
        <v>42.925999999999995</v>
      </c>
      <c r="H7" s="23">
        <f>SUM(H5:H6)</f>
        <v>56.763000000000005</v>
      </c>
      <c r="I7" s="23">
        <f>SUM(I5:I6)</f>
        <v>87.041</v>
      </c>
      <c r="J7" s="23">
        <f>SUM(J5:J6)</f>
        <v>70.057</v>
      </c>
      <c r="K7" s="23">
        <f>SUM(K5:K6)</f>
        <v>41.067</v>
      </c>
    </row>
    <row r="8">
      <c r="A8" s="2" t="inlineStr">
        <is>
          <t>Operating Income</t>
        </is>
      </c>
      <c r="B8" s="23">
        <f>B4-B7</f>
        <v>-27.304000000000002</v>
      </c>
      <c r="C8" s="23">
        <f>C4-C7</f>
        <v>-32.352000000000004</v>
      </c>
      <c r="D8" s="23">
        <f>D4-D7</f>
        <v>-30.750999999999998</v>
      </c>
      <c r="E8" s="23">
        <f>E4-E7</f>
        <v>-33.451</v>
      </c>
      <c r="F8" s="23">
        <f>F4-F7</f>
        <v>-28.538999999999998</v>
      </c>
      <c r="G8" s="23">
        <f>G4-G7</f>
        <v>-41.425999999999995</v>
      </c>
      <c r="H8" s="23">
        <f>H4-H7</f>
        <v>-56.763000000000005</v>
      </c>
      <c r="I8" s="23">
        <f>I4-I7</f>
        <v>-87.041</v>
      </c>
      <c r="J8" s="23">
        <f>J4-J7</f>
        <v>-70.057</v>
      </c>
      <c r="K8" s="23">
        <f>K4-K7</f>
        <v>-41.067</v>
      </c>
    </row>
    <row r="9">
      <c r="A9" s="19" t="inlineStr">
        <is>
          <t>Interest &amp; Other</t>
        </is>
      </c>
      <c r="B9" s="23" t="n">
        <v>1.672</v>
      </c>
      <c r="C9" s="23" t="n">
        <v>2.468</v>
      </c>
      <c r="D9" s="23" t="n">
        <v>7.633</v>
      </c>
      <c r="E9" s="23" t="n">
        <v>0.548</v>
      </c>
      <c r="F9" s="23" t="n">
        <v>1.023</v>
      </c>
      <c r="G9" s="23" t="n">
        <v>0.8149999999999999</v>
      </c>
      <c r="H9" s="23" t="n">
        <v>2.314</v>
      </c>
      <c r="I9" s="23" t="n">
        <v>6.041</v>
      </c>
      <c r="J9" s="23" t="n">
        <v>2.642</v>
      </c>
      <c r="K9" s="23" t="n">
        <v>51.322</v>
      </c>
    </row>
    <row r="10">
      <c r="A10" s="2" t="inlineStr">
        <is>
          <t>Pretax</t>
        </is>
      </c>
      <c r="B10" s="23">
        <f>B8+B9</f>
        <v>-25.632</v>
      </c>
      <c r="C10" s="23">
        <f>C8+C9</f>
        <v>-29.884000000000004</v>
      </c>
      <c r="D10" s="23">
        <f>D8+D9</f>
        <v>-23.118</v>
      </c>
      <c r="E10" s="23">
        <f>E8+E9</f>
        <v>-32.903</v>
      </c>
      <c r="F10" s="23">
        <f>F8+F9</f>
        <v>-27.516</v>
      </c>
      <c r="G10" s="23">
        <f>G8+G9</f>
        <v>-40.611</v>
      </c>
      <c r="H10" s="23">
        <f>H8+H9</f>
        <v>-54.449000000000005</v>
      </c>
      <c r="I10" s="23">
        <f>I8+I9</f>
        <v>-81.0</v>
      </c>
      <c r="J10" s="23">
        <f>J8+J9</f>
        <v>-67.415</v>
      </c>
      <c r="K10" s="23">
        <f>K8+K9</f>
        <v>10.255000000000003</v>
      </c>
    </row>
    <row r="11">
      <c r="A11" s="2" t="inlineStr">
        <is>
          <t>Taxes</t>
        </is>
      </c>
      <c r="B11" s="23" t="n">
        <v>0</v>
      </c>
      <c r="C11" s="23" t="n">
        <v>-0.157</v>
      </c>
      <c r="D11" s="23" t="n">
        <v>0.02</v>
      </c>
      <c r="E11" s="23" t="n">
        <v>-0.003</v>
      </c>
      <c r="F11" s="23" t="n">
        <v>-0.002</v>
      </c>
      <c r="G11" s="23" t="n">
        <v>-0.024</v>
      </c>
      <c r="H11" s="23" t="n">
        <v>0.147</v>
      </c>
      <c r="I11" s="23" t="n">
        <v>0</v>
      </c>
      <c r="J11" s="23" t="n">
        <v>0.585</v>
      </c>
      <c r="K11" s="23" t="n">
        <v>5.255</v>
      </c>
    </row>
    <row r="12">
      <c r="A12" s="2" t="inlineStr">
        <is>
          <t>Net Income</t>
        </is>
      </c>
      <c r="B12" s="23" t="n">
        <v>-25.632</v>
      </c>
      <c r="C12" s="23" t="n">
        <v>-29.727</v>
      </c>
      <c r="D12" s="23" t="n">
        <v>-23.138</v>
      </c>
      <c r="E12" s="23" t="n">
        <v>-32.9</v>
      </c>
      <c r="F12" s="23" t="n">
        <v>-27.514</v>
      </c>
      <c r="G12" s="23" t="n">
        <v>-40.587</v>
      </c>
      <c r="H12" s="23" t="n">
        <v>-54.596</v>
      </c>
      <c r="I12" s="23" t="n">
        <v>-81</v>
      </c>
      <c r="J12" s="23" t="n">
        <v>-68</v>
      </c>
      <c r="K12" s="23" t="n">
        <v>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-3.235063663075416</v>
      </c>
      <c r="D13" s="11">
        <f>IFERROR(D12/D14,0)</f>
        <v>-1.6053562755845419</v>
      </c>
      <c r="E13" s="11">
        <f>IFERROR(E12/E14,0)</f>
        <v>-1.456848071558252</v>
      </c>
      <c r="F13" s="11">
        <f>IFERROR(F12/F14,0)</f>
        <v>-0.4637607874865156</v>
      </c>
      <c r="G13" s="11">
        <f>IFERROR(G12/G14,0)</f>
        <v>-0.4729041654529566</v>
      </c>
      <c r="H13" s="11">
        <f>IFERROR(H12/H14,0)</f>
        <v>-4.821264570823031</v>
      </c>
      <c r="I13" s="11">
        <f>IFERROR(I12/I14,0)</f>
        <v>-3.961848862802641</v>
      </c>
      <c r="J13" s="11">
        <f>IFERROR(J12/J14,0)</f>
        <v>-1.810870549386168</v>
      </c>
      <c r="K13" s="11">
        <f>IFERROR(K12/K14,0)</f>
        <v>0.07074937740547883</v>
      </c>
    </row>
    <row r="14">
      <c r="A14" s="2" t="inlineStr">
        <is>
          <t>Shares</t>
        </is>
      </c>
      <c r="B14" s="23" t="n"/>
      <c r="C14" s="23" t="n">
        <v>9.189</v>
      </c>
      <c r="D14" s="23" t="n">
        <v>14.413</v>
      </c>
      <c r="E14" s="23" t="n">
        <v>22.583</v>
      </c>
      <c r="F14" s="23" t="n">
        <v>59.328</v>
      </c>
      <c r="G14" s="23" t="n">
        <v>85.825</v>
      </c>
      <c r="H14" s="23" t="n">
        <v>11.324</v>
      </c>
      <c r="I14" s="23" t="n">
        <v>20.445</v>
      </c>
      <c r="J14" s="23" t="n">
        <v>37.551</v>
      </c>
      <c r="K14" s="23" t="n">
        <v>70.672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0.0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-19.026</v>
      </c>
      <c r="G18" s="15">
        <f>IFERROR(G8/G2,"")</f>
        <v>-27.61733333333333</v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2026-10-21T06:26:05Z</dcterms:modified>
  <cp:lastModifiedBy>Wang, Eric</cp:lastModifiedBy>
</cp:coreProperties>
</file>