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Gyre Therapeutics, Inc.</t>
        </is>
      </c>
      <c r="C2" s="10" t="n"/>
    </row>
    <row r="3">
      <c r="B3" t="inlineStr">
        <is>
          <t>Price</t>
        </is>
      </c>
      <c r="C3" s="11">
        <f>INDEX([1]Pharma!$F$1:$F$1000,MATCH("GYRE",[1]Pharma!$B$1:$B$1000,0))</f>
        <v>6.17</v>
      </c>
      <c r="F3" s="1" t="n"/>
    </row>
    <row r="4">
      <c r="B4" t="inlineStr">
        <is>
          <t>Shares</t>
        </is>
      </c>
      <c r="C4" s="51" t="n">
        <v>111.509849</v>
      </c>
      <c r="F4" s="1" t="n"/>
    </row>
    <row r="5">
      <c r="B5" t="inlineStr">
        <is>
          <t>Market Cap.</t>
        </is>
      </c>
      <c r="C5" s="13">
        <f>C3*C4</f>
        <v>688.01576833</v>
      </c>
      <c r="F5" s="1" t="n"/>
    </row>
    <row r="6"/>
    <row r="7">
      <c r="B7" t="inlineStr">
        <is>
          <t>Cash</t>
        </is>
      </c>
      <c r="C7" s="51">
        <f>43.287+14.058</f>
        <v>57.345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630.67076833</v>
      </c>
    </row>
    <row r="10"/>
    <row r="11">
      <c r="B11" s="14" t="inlineStr">
        <is>
          <t>NPV / Share</t>
        </is>
      </c>
      <c r="C11" s="11">
        <f>NPV!B28</f>
        <v>1.4784761628533534</v>
      </c>
    </row>
    <row r="12">
      <c r="B12" s="14" t="inlineStr">
        <is>
          <t>Upside</t>
        </is>
      </c>
      <c r="C12" s="15">
        <f>IFERROR(C11/C3-1,"")</f>
        <v>-0.7603766348697969</v>
      </c>
    </row>
    <row r="13">
      <c r="B13" s="14" t="inlineStr">
        <is>
          <t>Cash / Share</t>
        </is>
      </c>
      <c r="C13" s="11">
        <f>IFERROR((C7-C8)/C4,"")</f>
        <v>0.5142595072476512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2009</v>
      </c>
      <c r="C1" s="16" t="n">
        <v>2010</v>
      </c>
      <c r="D1" s="16" t="n">
        <v>2011</v>
      </c>
      <c r="E1" s="16" t="n">
        <v>2012</v>
      </c>
      <c r="F1" s="16" t="n">
        <v>2013</v>
      </c>
      <c r="G1" s="16" t="n">
        <v>2014</v>
      </c>
      <c r="H1" s="16" t="n">
        <v>2015</v>
      </c>
      <c r="I1" s="16" t="n">
        <v>2016</v>
      </c>
      <c r="J1" s="16" t="n">
        <v>2017</v>
      </c>
      <c r="K1" s="16" t="n">
        <v>2018</v>
      </c>
      <c r="L1" s="16" t="n">
        <v>2019</v>
      </c>
      <c r="M1" s="16" t="n">
        <v>2020</v>
      </c>
      <c r="N1" s="16" t="n">
        <v>2021</v>
      </c>
      <c r="O1" s="16" t="n">
        <v>2022</v>
      </c>
      <c r="P1" s="16" t="n">
        <v>2023</v>
      </c>
      <c r="Q1" s="16" t="n">
        <v>2024</v>
      </c>
      <c r="R1" s="16" t="n">
        <v>2025</v>
      </c>
      <c r="S1" s="16" t="n">
        <v>2026</v>
      </c>
      <c r="T1" s="16" t="n">
        <v>2027</v>
      </c>
      <c r="U1" s="16" t="n">
        <v>2028</v>
      </c>
      <c r="V1" s="16" t="n">
        <v>2029</v>
      </c>
      <c r="W1" s="16" t="n">
        <v>2030</v>
      </c>
      <c r="X1" s="16" t="n">
        <v>2031</v>
      </c>
      <c r="Y1" s="16" t="n">
        <v>2032</v>
      </c>
      <c r="Z1" s="16" t="n">
        <v>2033</v>
      </c>
      <c r="AA1" s="16" t="n">
        <v>2034</v>
      </c>
      <c r="AB1" s="16" t="n">
        <v>2035</v>
      </c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25.062</v>
      </c>
      <c r="C2" s="52" t="n">
        <v>85.71299999999999</v>
      </c>
      <c r="D2" s="52" t="n">
        <v>97.637</v>
      </c>
      <c r="E2" s="52" t="n">
        <v>57.86</v>
      </c>
      <c r="F2" s="52" t="n">
        <v>3.629</v>
      </c>
      <c r="G2" s="52" t="n">
        <v>0.275</v>
      </c>
      <c r="H2" s="52" t="n">
        <v>0</v>
      </c>
      <c r="I2" s="52" t="n">
        <v>0</v>
      </c>
      <c r="J2" s="52" t="n">
        <v>1.018</v>
      </c>
      <c r="K2" s="52" t="n">
        <v>0.006</v>
      </c>
      <c r="L2" s="52" t="n">
        <v>0</v>
      </c>
      <c r="M2" s="52" t="n">
        <v>20.948</v>
      </c>
      <c r="N2" s="52" t="n">
        <v>7.338</v>
      </c>
      <c r="O2" s="52" t="n">
        <v>102.29</v>
      </c>
      <c r="P2" s="52" t="n">
        <v>113.45</v>
      </c>
      <c r="Q2" s="52" t="n">
        <v>105.757</v>
      </c>
      <c r="R2" s="52" t="n">
        <v>116.588</v>
      </c>
      <c r="S2" s="52">
        <f>R2*(1+NPV!C5)</f>
        <v>104.9292</v>
      </c>
      <c r="T2" s="52">
        <f>S2*(1+NPV!D5)</f>
        <v>95.89362999999999</v>
      </c>
      <c r="U2" s="52">
        <f>T2*(1+NPV!E5)</f>
        <v>88.96797894444444</v>
      </c>
      <c r="V2" s="52">
        <f>U2*(1+NPV!F5)</f>
        <v>83.77818017268518</v>
      </c>
      <c r="W2" s="52">
        <f>V2*(1+NPV!G5)</f>
        <v>80.05470549834361</v>
      </c>
      <c r="X2" s="52">
        <f>W2*(1+NPV!H5)</f>
        <v>77.60858949700533</v>
      </c>
      <c r="Y2" s="52">
        <f>X2*(1+NPV!I5)</f>
        <v>76.31511300538857</v>
      </c>
      <c r="Z2" s="52">
        <f>Y2*(1+NPV!J5)</f>
        <v>76.1031265803736</v>
      </c>
      <c r="AA2" s="52">
        <f>Z2*(1+NPV!K5)</f>
        <v>76.94871687571109</v>
      </c>
      <c r="AB2" s="52">
        <f>AA2*(1+NPV!L5)</f>
        <v>78.87243479760386</v>
      </c>
    </row>
    <row r="3" customFormat="1" s="1">
      <c r="A3" s="5" t="inlineStr">
        <is>
          <t>Cost of Sales</t>
        </is>
      </c>
      <c r="B3" s="52" t="n">
        <v>0.6909999999999999</v>
      </c>
      <c r="C3" s="52" t="n">
        <v>0</v>
      </c>
      <c r="D3" s="52" t="n">
        <v>0</v>
      </c>
      <c r="E3" s="52" t="n">
        <v>0</v>
      </c>
      <c r="F3" s="52" t="n">
        <v>0</v>
      </c>
      <c r="G3" s="52" t="n">
        <v>0</v>
      </c>
      <c r="H3" s="52" t="n">
        <v>0</v>
      </c>
      <c r="I3" s="52" t="n">
        <v>0</v>
      </c>
      <c r="J3" s="52" t="n">
        <v>0</v>
      </c>
      <c r="K3" s="52" t="n">
        <v>0</v>
      </c>
      <c r="L3" s="52" t="n">
        <v>0</v>
      </c>
      <c r="M3" s="52" t="n">
        <v>0</v>
      </c>
      <c r="N3" s="52" t="n">
        <v>0</v>
      </c>
      <c r="O3" s="52" t="n">
        <v>4.793</v>
      </c>
      <c r="P3" s="52" t="n">
        <v>4.636</v>
      </c>
      <c r="Q3" s="52" t="n">
        <v>3.884</v>
      </c>
      <c r="R3" s="52" t="n">
        <v>5.416</v>
      </c>
      <c r="S3" s="52">
        <f>S2*(1-Assumptions!$B$19)</f>
        <v>4.879207799999998</v>
      </c>
      <c r="T3" s="52">
        <f>T2*(1-Assumptions!$B$19)</f>
        <v>4.459053794999998</v>
      </c>
      <c r="U3" s="52">
        <f>U2*(1-Assumptions!$B$19)</f>
        <v>4.137011020916665</v>
      </c>
      <c r="V3" s="52">
        <f>V2*(1-Assumptions!$B$19)</f>
        <v>3.8956853780298597</v>
      </c>
      <c r="W3" s="52">
        <f>W2*(1-Assumptions!$B$19)</f>
        <v>3.7225438056729767</v>
      </c>
      <c r="X3" s="52">
        <f>X2*(1-Assumptions!$B$19)</f>
        <v>3.6087994116107467</v>
      </c>
      <c r="Y3" s="52">
        <f>Y2*(1-Assumptions!$B$19)</f>
        <v>3.5486527547505675</v>
      </c>
      <c r="Z3" s="52">
        <f>Z2*(1-Assumptions!$B$19)</f>
        <v>3.5387953859873713</v>
      </c>
      <c r="AA3" s="52">
        <f>AA2*(1-Assumptions!$B$19)</f>
        <v>3.5781153347205645</v>
      </c>
      <c r="AB3" s="52">
        <f>AB2*(1-Assumptions!$B$19)</f>
        <v>3.6675682180885785</v>
      </c>
    </row>
    <row r="4" customFormat="1" s="1">
      <c r="A4" s="5" t="inlineStr">
        <is>
          <t>Gross Margin</t>
        </is>
      </c>
      <c r="B4" s="52">
        <f>B2-B3</f>
        <v>24.371000000000002</v>
      </c>
      <c r="C4" s="52">
        <f>C2-C3</f>
        <v>85.713</v>
      </c>
      <c r="D4" s="52">
        <f>D2-D3</f>
        <v>97.637</v>
      </c>
      <c r="E4" s="52">
        <f>E2-E3</f>
        <v>57.86</v>
      </c>
      <c r="F4" s="52">
        <f>F2-F3</f>
        <v>3.629</v>
      </c>
      <c r="G4" s="52">
        <f>G2-G3</f>
        <v>0.275</v>
      </c>
      <c r="H4" s="52">
        <f>H2-H3</f>
        <v>0.0</v>
      </c>
      <c r="I4" s="52">
        <f>I2-I3</f>
        <v>0.0</v>
      </c>
      <c r="J4" s="52">
        <f>J2-J3</f>
        <v>1.018</v>
      </c>
      <c r="K4" s="52">
        <f>K2-K3</f>
        <v>0.006</v>
      </c>
      <c r="L4" s="52">
        <f>L2-L3</f>
        <v>0.0</v>
      </c>
      <c r="M4" s="52">
        <f>M2-M3</f>
        <v>20.948</v>
      </c>
      <c r="N4" s="52">
        <f>N2-N3</f>
        <v>7.338</v>
      </c>
      <c r="O4" s="52">
        <f>O2-O3</f>
        <v>97.497</v>
      </c>
      <c r="P4" s="52">
        <f>P2-P3</f>
        <v>108.81400000000001</v>
      </c>
      <c r="Q4" s="52">
        <f>Q2-Q3</f>
        <v>101.873</v>
      </c>
      <c r="R4" s="52">
        <f>R2-R3</f>
        <v>111.172</v>
      </c>
      <c r="S4" s="52">
        <f>S2-S3</f>
        <v>100.04999219999999</v>
      </c>
      <c r="T4" s="52">
        <f>T2-T3</f>
        <v>91.43457620499998</v>
      </c>
      <c r="U4" s="52">
        <f>U2-U3</f>
        <v>84.83096792352778</v>
      </c>
      <c r="V4" s="52">
        <f>V2-V3</f>
        <v>79.88249479465533</v>
      </c>
      <c r="W4" s="52">
        <f>W2-W3</f>
        <v>76.33216169267064</v>
      </c>
      <c r="X4" s="52">
        <f>X2-X3</f>
        <v>73.99979008539458</v>
      </c>
      <c r="Y4" s="52">
        <f>Y2-Y3</f>
        <v>72.766460250638</v>
      </c>
      <c r="Z4" s="52">
        <f>Z2-Z3</f>
        <v>72.56433119438623</v>
      </c>
      <c r="AA4" s="52">
        <f>AA2-AA3</f>
        <v>73.37060154099052</v>
      </c>
      <c r="AB4" s="52">
        <f>AB2-AB3</f>
        <v>75.20486657951528</v>
      </c>
    </row>
    <row r="5">
      <c r="A5" s="2" t="inlineStr">
        <is>
          <t>Research &amp; Dev.</t>
        </is>
      </c>
      <c r="B5" s="52" t="n">
        <v>40.179</v>
      </c>
      <c r="C5" s="52" t="n">
        <v>64.54600000000001</v>
      </c>
      <c r="D5" s="52" t="n">
        <v>95.215</v>
      </c>
      <c r="E5" s="52" t="n">
        <v>49.087</v>
      </c>
      <c r="F5" s="52" t="n">
        <v>6.557</v>
      </c>
      <c r="G5" s="52" t="n">
        <v>5.267</v>
      </c>
      <c r="H5" s="52" t="n">
        <v>5.958</v>
      </c>
      <c r="I5" s="52" t="n">
        <v>11.555</v>
      </c>
      <c r="J5" s="52" t="n">
        <v>12.847</v>
      </c>
      <c r="K5" s="52" t="n">
        <v>21.474</v>
      </c>
      <c r="L5" s="52" t="n">
        <v>43.859</v>
      </c>
      <c r="M5" s="52" t="n">
        <v>52.975</v>
      </c>
      <c r="N5" s="52" t="n">
        <v>68.889</v>
      </c>
      <c r="O5" s="52" t="n">
        <v>16.686</v>
      </c>
      <c r="P5" s="52" t="n">
        <v>13.78</v>
      </c>
      <c r="Q5" s="52" t="n">
        <v>12.024</v>
      </c>
      <c r="R5" s="52" t="n">
        <v>13.698</v>
      </c>
      <c r="S5" s="52">
        <f>S7*Assumptions!$B$20</f>
        <v>12.180432316787998</v>
      </c>
      <c r="T5" s="52">
        <f>T7*Assumptions!$B$20</f>
        <v>10.997827540841397</v>
      </c>
      <c r="U5" s="52">
        <f>U7*Assumptions!$B$20</f>
        <v>10.079464363109366</v>
      </c>
      <c r="V5" s="52">
        <f>V7*Assumptions!$B$20</f>
        <v>9.374657720744024</v>
      </c>
      <c r="W5" s="52">
        <f>W7*Assumptions!$B$20</f>
        <v>8.846361173653689</v>
      </c>
      <c r="X5" s="52">
        <f>X7*Assumptions!$B$20</f>
        <v>8.467821978349184</v>
      </c>
      <c r="Y5" s="52">
        <f>Y7*Assumptions!$B$20</f>
        <v>8.220261792294918</v>
      </c>
      <c r="Z5" s="52">
        <f>Z7*Assumptions!$B$20</f>
        <v>8.091293550400511</v>
      </c>
      <c r="AA5" s="52">
        <f>AA7*Assumptions!$B$20</f>
        <v>8.073883362029592</v>
      </c>
      <c r="AB5" s="52">
        <f>AB7*Assumptions!$B$20</f>
        <v>8.165734159787245</v>
      </c>
    </row>
    <row r="6">
      <c r="A6" s="18" t="inlineStr">
        <is>
          <t>SG&amp;A &amp; Other</t>
        </is>
      </c>
      <c r="B6" s="52" t="n">
        <v>24.517</v>
      </c>
      <c r="C6" s="52" t="n">
        <v>8.052</v>
      </c>
      <c r="D6" s="52" t="n">
        <v>12.167</v>
      </c>
      <c r="E6" s="52" t="n">
        <v>16.911</v>
      </c>
      <c r="F6" s="52" t="n">
        <v>7.192</v>
      </c>
      <c r="G6" s="52" t="n">
        <v>2.517</v>
      </c>
      <c r="H6" s="52" t="n">
        <v>7.844</v>
      </c>
      <c r="I6" s="52" t="n">
        <v>8.863</v>
      </c>
      <c r="J6" s="52" t="n">
        <v>9.993</v>
      </c>
      <c r="K6" s="52" t="n">
        <v>12.354</v>
      </c>
      <c r="L6" s="52" t="n">
        <v>13.418</v>
      </c>
      <c r="M6" s="52" t="n">
        <v>25.343</v>
      </c>
      <c r="N6" s="52" t="n">
        <v>26.343</v>
      </c>
      <c r="O6" s="52" t="n">
        <v>71.608</v>
      </c>
      <c r="P6" s="52" t="n">
        <v>162.264</v>
      </c>
      <c r="Q6" s="52" t="n">
        <v>73.68600000000001</v>
      </c>
      <c r="R6" s="52" t="n">
        <v>85.98699999999999</v>
      </c>
      <c r="S6" s="52">
        <f>S7-S5</f>
        <v>76.469002303212</v>
      </c>
      <c r="T6" s="52">
        <f>T7-T5</f>
        <v>69.04458542015858</v>
      </c>
      <c r="U6" s="52">
        <f>U7-U5</f>
        <v>63.27908267553231</v>
      </c>
      <c r="V6" s="52">
        <f>V7-V5</f>
        <v>58.854292211890794</v>
      </c>
      <c r="W6" s="52">
        <f>W7-W5</f>
        <v>55.53763572338917</v>
      </c>
      <c r="X6" s="52">
        <f>X7-X5</f>
        <v>53.161158941222745</v>
      </c>
      <c r="Y6" s="52">
        <f>Y7-Y5</f>
        <v>51.606971048279455</v>
      </c>
      <c r="Z6" s="52">
        <f>Z7-Z5</f>
        <v>50.797305797492584</v>
      </c>
      <c r="AA6" s="52">
        <f>AA7-AA5</f>
        <v>50.68800428010718</v>
      </c>
      <c r="AB6" s="52">
        <f>AB7-AB5</f>
        <v>51.26464546020726</v>
      </c>
    </row>
    <row r="7">
      <c r="A7" s="2" t="inlineStr">
        <is>
          <t>Operating Expense</t>
        </is>
      </c>
      <c r="B7" s="52">
        <f>SUM(B5:B6)</f>
        <v>64.696</v>
      </c>
      <c r="C7" s="52">
        <f>SUM(C5:C6)</f>
        <v>72.59800000000001</v>
      </c>
      <c r="D7" s="52">
        <f>SUM(D5:D6)</f>
        <v>107.382</v>
      </c>
      <c r="E7" s="52">
        <f>SUM(E5:E6)</f>
        <v>65.998</v>
      </c>
      <c r="F7" s="52">
        <f>SUM(F5:F6)</f>
        <v>13.749</v>
      </c>
      <c r="G7" s="52">
        <f>SUM(G5:G6)</f>
        <v>7.784000000000001</v>
      </c>
      <c r="H7" s="52">
        <f>SUM(H5:H6)</f>
        <v>13.802</v>
      </c>
      <c r="I7" s="52">
        <f>SUM(I5:I6)</f>
        <v>20.418</v>
      </c>
      <c r="J7" s="52">
        <f>SUM(J5:J6)</f>
        <v>22.84</v>
      </c>
      <c r="K7" s="52">
        <f>SUM(K5:K6)</f>
        <v>33.828</v>
      </c>
      <c r="L7" s="52">
        <f>SUM(L5:L6)</f>
        <v>57.277</v>
      </c>
      <c r="M7" s="52">
        <f>SUM(M5:M6)</f>
        <v>78.318</v>
      </c>
      <c r="N7" s="52">
        <f>SUM(N5:N6)</f>
        <v>95.232</v>
      </c>
      <c r="O7" s="52">
        <f>SUM(O5:O6)</f>
        <v>88.29400000000001</v>
      </c>
      <c r="P7" s="52">
        <f>SUM(P5:P6)</f>
        <v>176.044</v>
      </c>
      <c r="Q7" s="52">
        <f>SUM(Q5:Q6)</f>
        <v>85.71000000000001</v>
      </c>
      <c r="R7" s="52">
        <f>SUM(R5:R6)</f>
        <v>99.685</v>
      </c>
      <c r="S7" s="52">
        <f>S4-S2*NPV!C6</f>
        <v>88.64943462</v>
      </c>
      <c r="T7" s="52">
        <f>T4-T2*NPV!D6</f>
        <v>80.04241296099998</v>
      </c>
      <c r="U7" s="52">
        <f>U4-U2*NPV!E6</f>
        <v>73.35854703864167</v>
      </c>
      <c r="V7" s="52">
        <f>V4-V2*NPV!F6</f>
        <v>68.22894993263482</v>
      </c>
      <c r="W7" s="52">
        <f>W4-W2*NPV!G6</f>
        <v>64.38399689704286</v>
      </c>
      <c r="X7" s="52">
        <f>X4-X2*NPV!H6</f>
        <v>61.62898091957193</v>
      </c>
      <c r="Y7" s="52">
        <f>Y4-Y2*NPV!I6</f>
        <v>59.827232840574375</v>
      </c>
      <c r="Z7" s="52">
        <f>Z4-Z2*NPV!J6</f>
        <v>58.88859934789309</v>
      </c>
      <c r="AA7" s="52">
        <f>AA4-AA2*NPV!K6</f>
        <v>58.76188764213677</v>
      </c>
      <c r="AB7" s="52">
        <f>AB4-AB2*NPV!L6</f>
        <v>59.43037961999451</v>
      </c>
    </row>
    <row r="8">
      <c r="A8" s="2" t="inlineStr">
        <is>
          <t>Operating Income</t>
        </is>
      </c>
      <c r="B8" s="52">
        <f>B4-B7</f>
        <v>-40.324999999999996</v>
      </c>
      <c r="C8" s="52">
        <f>C4-C7</f>
        <v>13.11499999999998</v>
      </c>
      <c r="D8" s="52">
        <f>D4-D7</f>
        <v>-9.745000000000005</v>
      </c>
      <c r="E8" s="52">
        <f>E4-E7</f>
        <v>-8.138000000000005</v>
      </c>
      <c r="F8" s="52">
        <f>F4-F7</f>
        <v>-10.120000000000001</v>
      </c>
      <c r="G8" s="52">
        <f>G4-G7</f>
        <v>-7.509</v>
      </c>
      <c r="H8" s="52">
        <f>H4-H7</f>
        <v>-13.802</v>
      </c>
      <c r="I8" s="52">
        <f>I4-I7</f>
        <v>-20.418</v>
      </c>
      <c r="J8" s="52">
        <f>J4-J7</f>
        <v>-21.822</v>
      </c>
      <c r="K8" s="52">
        <f>K4-K7</f>
        <v>-33.822</v>
      </c>
      <c r="L8" s="52">
        <f>L4-L7</f>
        <v>-57.277</v>
      </c>
      <c r="M8" s="52">
        <f>M4-M7</f>
        <v>-57.37</v>
      </c>
      <c r="N8" s="52">
        <f>N4-N7</f>
        <v>-87.894</v>
      </c>
      <c r="O8" s="52">
        <f>O4-O7</f>
        <v>9.202999999999989</v>
      </c>
      <c r="P8" s="52">
        <f>P4-P7</f>
        <v>-67.23</v>
      </c>
      <c r="Q8" s="52">
        <f>Q4-Q7</f>
        <v>16.162999999999997</v>
      </c>
      <c r="R8" s="52">
        <f>R4-R7</f>
        <v>11.486999999999995</v>
      </c>
      <c r="S8" s="52">
        <f>S4-S7</f>
        <v>11.400557579999997</v>
      </c>
      <c r="T8" s="52">
        <f>T4-T7</f>
        <v>11.392163244000002</v>
      </c>
      <c r="U8" s="52">
        <f>U4-U7</f>
        <v>11.472420884886105</v>
      </c>
      <c r="V8" s="52">
        <f>V4-V7</f>
        <v>11.65354486202051</v>
      </c>
      <c r="W8" s="52">
        <f>W4-W7</f>
        <v>11.948164795627775</v>
      </c>
      <c r="X8" s="52">
        <f>X4-X7</f>
        <v>12.37080916582265</v>
      </c>
      <c r="Y8" s="52">
        <f>Y4-Y7</f>
        <v>12.93922741006363</v>
      </c>
      <c r="Z8" s="52">
        <f>Z4-Z7</f>
        <v>13.675731846493136</v>
      </c>
      <c r="AA8" s="52">
        <f>AA4-AA7</f>
        <v>14.60871389885375</v>
      </c>
      <c r="AB8" s="52">
        <f>AB4-AB7</f>
        <v>15.774486959520772</v>
      </c>
    </row>
    <row r="9">
      <c r="A9" s="18" t="inlineStr">
        <is>
          <t>Interest &amp; Other</t>
        </is>
      </c>
      <c r="B9" s="52" t="n">
        <v>0.833</v>
      </c>
      <c r="C9" s="52" t="n">
        <v>1.31</v>
      </c>
      <c r="D9" s="52" t="n">
        <v>1.216</v>
      </c>
      <c r="E9" s="52" t="n">
        <v>1.039</v>
      </c>
      <c r="F9" s="52" t="n">
        <v>0.161</v>
      </c>
      <c r="G9" s="52" t="n">
        <v>4.38</v>
      </c>
      <c r="H9" s="52" t="n">
        <v>-0.96</v>
      </c>
      <c r="I9" s="52" t="n">
        <v>3.473</v>
      </c>
      <c r="J9" s="52" t="n">
        <v>0.261</v>
      </c>
      <c r="K9" s="52" t="n">
        <v>3.767</v>
      </c>
      <c r="L9" s="52" t="n">
        <v>2.099</v>
      </c>
      <c r="M9" s="52" t="n">
        <v>1.129</v>
      </c>
      <c r="N9" s="52" t="n">
        <v>-0.039</v>
      </c>
      <c r="O9" s="52" t="n">
        <v>0.209</v>
      </c>
      <c r="P9" s="52" t="n">
        <v>-9.734999999999999</v>
      </c>
      <c r="Q9" s="52" t="n">
        <v>7.055</v>
      </c>
      <c r="R9" s="52" t="n">
        <v>2.949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  <c r="Y9" s="52" t="n">
        <v>0</v>
      </c>
      <c r="Z9" s="52" t="n">
        <v>0</v>
      </c>
      <c r="AA9" s="52" t="n">
        <v>0</v>
      </c>
      <c r="AB9" s="52" t="n">
        <v>0</v>
      </c>
    </row>
    <row r="10">
      <c r="A10" s="2" t="inlineStr">
        <is>
          <t>Pretax</t>
        </is>
      </c>
      <c r="B10" s="52">
        <f>B8+B9</f>
        <v>-39.492</v>
      </c>
      <c r="C10" s="52">
        <f>C8+C9</f>
        <v>14.424999999999981</v>
      </c>
      <c r="D10" s="52">
        <f>D8+D9</f>
        <v>-8.529000000000005</v>
      </c>
      <c r="E10" s="52">
        <f>E8+E9</f>
        <v>-7.0990000000000055</v>
      </c>
      <c r="F10" s="52">
        <f>F8+F9</f>
        <v>-9.959000000000001</v>
      </c>
      <c r="G10" s="52">
        <f>G8+G9</f>
        <v>-3.1290000000000004</v>
      </c>
      <c r="H10" s="52">
        <f>H8+H9</f>
        <v>-14.762</v>
      </c>
      <c r="I10" s="52">
        <f>I8+I9</f>
        <v>-16.945</v>
      </c>
      <c r="J10" s="52">
        <f>J8+J9</f>
        <v>-21.561</v>
      </c>
      <c r="K10" s="52">
        <f>K8+K9</f>
        <v>-30.055000000000003</v>
      </c>
      <c r="L10" s="52">
        <f>L8+L9</f>
        <v>-55.178</v>
      </c>
      <c r="M10" s="52">
        <f>M8+M9</f>
        <v>-56.241</v>
      </c>
      <c r="N10" s="52">
        <f>N8+N9</f>
        <v>-87.933</v>
      </c>
      <c r="O10" s="52">
        <f>O8+O9</f>
        <v>9.411999999999988</v>
      </c>
      <c r="P10" s="52">
        <f>P8+P9</f>
        <v>-76.965</v>
      </c>
      <c r="Q10" s="52">
        <f>Q8+Q9</f>
        <v>23.217999999999996</v>
      </c>
      <c r="R10" s="52">
        <f>R8+R9</f>
        <v>14.435999999999995</v>
      </c>
      <c r="S10" s="52">
        <f>S8+S9</f>
        <v>11.400557579999997</v>
      </c>
      <c r="T10" s="52">
        <f>T8+T9</f>
        <v>11.392163244000002</v>
      </c>
      <c r="U10" s="52">
        <f>U8+U9</f>
        <v>11.472420884886105</v>
      </c>
      <c r="V10" s="52">
        <f>V8+V9</f>
        <v>11.65354486202051</v>
      </c>
      <c r="W10" s="52">
        <f>W8+W9</f>
        <v>11.948164795627775</v>
      </c>
      <c r="X10" s="52">
        <f>X8+X9</f>
        <v>12.37080916582265</v>
      </c>
      <c r="Y10" s="52">
        <f>Y8+Y9</f>
        <v>12.93922741006363</v>
      </c>
      <c r="Z10" s="52">
        <f>Z8+Z9</f>
        <v>13.675731846493136</v>
      </c>
      <c r="AA10" s="52">
        <f>AA8+AA9</f>
        <v>14.60871389885375</v>
      </c>
      <c r="AB10" s="52">
        <f>AB8+AB9</f>
        <v>15.774486959520772</v>
      </c>
    </row>
    <row r="11">
      <c r="A11" s="2" t="inlineStr">
        <is>
          <t>Taxes</t>
        </is>
      </c>
      <c r="B11" s="52" t="n">
        <v>-0.08799999999999999</v>
      </c>
      <c r="C11" s="52" t="n">
        <v>3.526</v>
      </c>
      <c r="D11" s="52" t="n">
        <v>0</v>
      </c>
      <c r="E11" s="52" t="n">
        <v>-0.101</v>
      </c>
      <c r="F11" s="52" t="n">
        <v>0.007</v>
      </c>
      <c r="G11" s="52" t="n">
        <v>3.484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5.098</v>
      </c>
      <c r="P11" s="52" t="n">
        <v>8.515000000000001</v>
      </c>
      <c r="Q11" s="52" t="n">
        <v>5.32</v>
      </c>
      <c r="R11" s="52" t="n">
        <v>4.556</v>
      </c>
      <c r="S11" s="52">
        <f>MAX(0,S10)*Assumptions!$E$14</f>
        <v>1.9380947885999997</v>
      </c>
      <c r="T11" s="52">
        <f>MAX(0,T10)*Assumptions!$E$14</f>
        <v>1.9366677514800006</v>
      </c>
      <c r="U11" s="52">
        <f>MAX(0,U10)*Assumptions!$E$14</f>
        <v>1.950311550430638</v>
      </c>
      <c r="V11" s="52">
        <f>MAX(0,V10)*Assumptions!$E$14</f>
        <v>1.9811026265434868</v>
      </c>
      <c r="W11" s="52">
        <f>MAX(0,W10)*Assumptions!$E$14</f>
        <v>2.031188015256722</v>
      </c>
      <c r="X11" s="52">
        <f>MAX(0,X10)*Assumptions!$E$14</f>
        <v>2.1030375581898504</v>
      </c>
      <c r="Y11" s="52">
        <f>MAX(0,Y10)*Assumptions!$E$14</f>
        <v>2.199668659710817</v>
      </c>
      <c r="Z11" s="52">
        <f>MAX(0,Z10)*Assumptions!$E$14</f>
        <v>2.3248744139038333</v>
      </c>
      <c r="AA11" s="52">
        <f>MAX(0,AA10)*Assumptions!$E$14</f>
        <v>2.4834813628051378</v>
      </c>
      <c r="AB11" s="52">
        <f>MAX(0,AB10)*Assumptions!$E$14</f>
        <v>2.6816627831185316</v>
      </c>
    </row>
    <row r="12">
      <c r="A12" s="2" t="inlineStr">
        <is>
          <t>Net Income</t>
        </is>
      </c>
      <c r="B12" s="52" t="n">
        <v>-39.404</v>
      </c>
      <c r="C12" s="52" t="n">
        <v>10.899</v>
      </c>
      <c r="D12" s="52" t="n">
        <v>-8.529</v>
      </c>
      <c r="E12" s="52" t="n">
        <v>-6.998</v>
      </c>
      <c r="F12" s="52" t="n">
        <v>-9.965999999999999</v>
      </c>
      <c r="G12" s="52" t="n">
        <v>-6.613</v>
      </c>
      <c r="H12" s="52" t="n">
        <v>-14.762</v>
      </c>
      <c r="I12" s="52" t="n">
        <v>-16.945</v>
      </c>
      <c r="J12" s="52" t="n">
        <v>-21.561</v>
      </c>
      <c r="K12" s="52" t="n">
        <v>-30.055</v>
      </c>
      <c r="L12" s="52" t="n">
        <v>-55.178</v>
      </c>
      <c r="M12" s="52" t="n">
        <v>-56.241</v>
      </c>
      <c r="N12" s="52" t="n">
        <v>-87.93300000000001</v>
      </c>
      <c r="O12" s="52" t="n">
        <v>4.314</v>
      </c>
      <c r="P12" s="52" t="n">
        <v>-85.48</v>
      </c>
      <c r="Q12" s="52" t="n">
        <v>17.898</v>
      </c>
      <c r="R12" s="52" t="n">
        <v>9.880000000000001</v>
      </c>
      <c r="S12" s="52">
        <f>S10-S11</f>
        <v>9.462462791399998</v>
      </c>
      <c r="T12" s="52">
        <f>T10-T11</f>
        <v>9.455495492520003</v>
      </c>
      <c r="U12" s="52">
        <f>U10-U11</f>
        <v>9.522109334455468</v>
      </c>
      <c r="V12" s="52">
        <f>V10-V11</f>
        <v>9.672442235477023</v>
      </c>
      <c r="W12" s="52">
        <f>W10-W11</f>
        <v>9.916976780371053</v>
      </c>
      <c r="X12" s="52">
        <f>X10-X11</f>
        <v>10.267771607632799</v>
      </c>
      <c r="Y12" s="52">
        <f>Y10-Y11</f>
        <v>10.739558750352813</v>
      </c>
      <c r="Z12" s="52">
        <f>Z10-Z11</f>
        <v>11.350857432589303</v>
      </c>
      <c r="AA12" s="52">
        <f>AA10-AA11</f>
        <v>12.125232536048612</v>
      </c>
      <c r="AB12" s="52">
        <f>AB10-AB11</f>
        <v>13.09282417640224</v>
      </c>
    </row>
    <row r="13">
      <c r="A13" s="2" t="inlineStr">
        <is>
          <t>Earnings per Share</t>
        </is>
      </c>
      <c r="B13" s="11">
        <f>IFERROR(B12/B14,0)</f>
        <v>-141.23297491039426</v>
      </c>
      <c r="C13" s="11">
        <f>IFERROR(C12/C14,0)</f>
        <v>33.228658536585364</v>
      </c>
      <c r="D13" s="11">
        <f>IFERROR(D12/D14,0)</f>
        <v>-24.79360465116279</v>
      </c>
      <c r="E13" s="11">
        <f>IFERROR(E12/E14,0)</f>
        <v>-19.225274725274726</v>
      </c>
      <c r="F13" s="11">
        <f>IFERROR(F12/F14,0)</f>
        <v>-27.304109589041094</v>
      </c>
      <c r="G13" s="11">
        <f>IFERROR(G12/G14,0)</f>
        <v>-17.970108695652176</v>
      </c>
      <c r="H13" s="11">
        <f>IFERROR(H12/H14,0)</f>
        <v>-50.0406779661017</v>
      </c>
      <c r="I13" s="11">
        <f>IFERROR(I12/I14,0)</f>
        <v>-21.752246469833118</v>
      </c>
      <c r="J13" s="11">
        <f>IFERROR(J12/J14,0)</f>
        <v>-6.297021028037383</v>
      </c>
      <c r="K13" s="11">
        <f>IFERROR(K12/K14,0)</f>
        <v>-2.6801319778847867</v>
      </c>
      <c r="L13" s="11">
        <f>IFERROR(L12/L14,0)</f>
        <v>-4.596634455181606</v>
      </c>
      <c r="M13" s="11">
        <f>IFERROR(M12/M14,0)</f>
        <v>-2.932426091037072</v>
      </c>
      <c r="N13" s="11">
        <f>IFERROR(N12/N14,0)</f>
        <v>-2.8697823178094715</v>
      </c>
      <c r="O13" s="11">
        <f>IFERROR(O12/O14,0)</f>
        <v>0.05699865232671828</v>
      </c>
      <c r="P13" s="11">
        <f>IFERROR(P12/P14,0)</f>
        <v>-1.2984566776035973</v>
      </c>
      <c r="Q13" s="11">
        <f>IFERROR(Q12/Q14,0)</f>
        <v>0.17496627368174086</v>
      </c>
      <c r="R13" s="11">
        <f>IFERROR(R12/R14,0)</f>
        <v>0.09575499127737934</v>
      </c>
      <c r="S13" s="11">
        <f>IFERROR(S12/S14,0)</f>
        <v>0.08485764151110992</v>
      </c>
      <c r="T13" s="11">
        <f>IFERROR(T12/T14,0)</f>
        <v>0.0847951600447419</v>
      </c>
      <c r="U13" s="11">
        <f>IFERROR(U12/U14,0)</f>
        <v>0.08539254083695753</v>
      </c>
      <c r="V13" s="11">
        <f>IFERROR(V12/V14,0)</f>
        <v>0.08674069889088472</v>
      </c>
      <c r="W13" s="11">
        <f>IFERROR(W12/W14,0)</f>
        <v>0.08893364011613945</v>
      </c>
      <c r="X13" s="11">
        <f>IFERROR(X12/X14,0)</f>
        <v>0.09207950418471823</v>
      </c>
      <c r="Y13" s="11">
        <f>IFERROR(Y12/Y14,0)</f>
        <v>0.09631040528404637</v>
      </c>
      <c r="Z13" s="11">
        <f>IFERROR(Z12/Z14,0)</f>
        <v>0.10179242043982413</v>
      </c>
      <c r="AA13" s="11">
        <f>IFERROR(AA12/AA14,0)</f>
        <v>0.1087368752158261</v>
      </c>
      <c r="AB13" s="11">
        <f>IFERROR(AB12/AB14,0)</f>
        <v>0.11741406067550356</v>
      </c>
    </row>
    <row r="14">
      <c r="A14" s="2" t="inlineStr">
        <is>
          <t>Shares</t>
        </is>
      </c>
      <c r="B14" s="52" t="n">
        <v>0.279</v>
      </c>
      <c r="C14" s="52" t="n">
        <v>0.328</v>
      </c>
      <c r="D14" s="52" t="n">
        <v>0.344</v>
      </c>
      <c r="E14" s="52" t="n">
        <v>0.364</v>
      </c>
      <c r="F14" s="52" t="n">
        <v>0.365</v>
      </c>
      <c r="G14" s="52" t="n">
        <v>0.368</v>
      </c>
      <c r="H14" s="52" t="n">
        <v>0.295</v>
      </c>
      <c r="I14" s="52" t="n">
        <v>0.779</v>
      </c>
      <c r="J14" s="52" t="n">
        <v>3.424</v>
      </c>
      <c r="K14" s="52" t="n">
        <v>11.214</v>
      </c>
      <c r="L14" s="52" t="n">
        <v>12.004</v>
      </c>
      <c r="M14" s="52" t="n">
        <v>19.179</v>
      </c>
      <c r="N14" s="52" t="n">
        <v>30.641</v>
      </c>
      <c r="O14" s="52" t="n">
        <v>75.68600000000001</v>
      </c>
      <c r="P14" s="52" t="n">
        <v>65.83199999999999</v>
      </c>
      <c r="Q14" s="52" t="n">
        <v>102.294</v>
      </c>
      <c r="R14" s="52" t="n">
        <v>103.18</v>
      </c>
      <c r="S14" s="52">
        <f>Main!$C$4</f>
        <v>111.509849</v>
      </c>
      <c r="T14" s="52">
        <f>Main!$C$4</f>
        <v>111.509849</v>
      </c>
      <c r="U14" s="52">
        <f>Main!$C$4</f>
        <v>111.509849</v>
      </c>
      <c r="V14" s="52">
        <f>Main!$C$4</f>
        <v>111.509849</v>
      </c>
      <c r="W14" s="52">
        <f>Main!$C$4</f>
        <v>111.509849</v>
      </c>
      <c r="X14" s="52">
        <f>Main!$C$4</f>
        <v>111.509849</v>
      </c>
      <c r="Y14" s="52">
        <f>Main!$C$4</f>
        <v>111.509849</v>
      </c>
      <c r="Z14" s="52">
        <f>Main!$C$4</f>
        <v>111.509849</v>
      </c>
      <c r="AA14" s="52">
        <f>Main!$C$4</f>
        <v>111.509849</v>
      </c>
      <c r="AB14" s="52">
        <f>Main!$C$4</f>
        <v>111.509849</v>
      </c>
    </row>
    <row r="15"/>
    <row r="16" customFormat="1" s="4">
      <c r="A16" s="3" t="inlineStr">
        <is>
          <t>Revenue Change</t>
        </is>
      </c>
      <c r="C16" s="15">
        <f>IFERROR(C2/B2-1,"")</f>
        <v>2.4200383050035907</v>
      </c>
      <c r="D16" s="15">
        <f>IFERROR(D2/C2-1,"")</f>
        <v>0.1391154200646343</v>
      </c>
      <c r="E16" s="15">
        <f>IFERROR(E2/D2-1,"")</f>
        <v>-0.40739678605446705</v>
      </c>
      <c r="F16" s="15">
        <f>IFERROR(F2/E2-1,"")</f>
        <v>-0.9372796405115796</v>
      </c>
      <c r="G16" s="15">
        <f>IFERROR(G2/F2-1,"")</f>
        <v>-0.9242215486359878</v>
      </c>
      <c r="H16" s="15">
        <f>IFERROR(H2/G2-1,"")</f>
        <v>-1.0</v>
      </c>
      <c r="I16" s="15">
        <f>IFERROR(I2/H2-1,"")</f>
        <v/>
      </c>
      <c r="J16" s="15">
        <f>IFERROR(J2/I2-1,"")</f>
        <v/>
      </c>
      <c r="K16" s="15">
        <f>IFERROR(K2/J2-1,"")</f>
        <v>-0.9941060903732809</v>
      </c>
      <c r="L16" s="15">
        <f>IFERROR(L2/K2-1,"")</f>
        <v>-1.0</v>
      </c>
      <c r="M16" s="15">
        <f>IFERROR(M2/L2-1,"")</f>
        <v/>
      </c>
      <c r="N16" s="15">
        <f>IFERROR(N2/M2-1,"")</f>
        <v>-0.6497040290242505</v>
      </c>
      <c r="O16" s="15">
        <f>IFERROR(O2/N2-1,"")</f>
        <v>12.939765603706732</v>
      </c>
      <c r="P16" s="15">
        <f>IFERROR(P2/O2-1,"")</f>
        <v>0.10910157395639852</v>
      </c>
      <c r="Q16" s="15">
        <f>IFERROR(Q2/P2-1,"")</f>
        <v>-0.06780960775672096</v>
      </c>
      <c r="R16" s="15">
        <f>IFERROR(R2/Q2-1,"")</f>
        <v>0.1024140246035723</v>
      </c>
      <c r="S16" s="15">
        <f>IFERROR(S2/R2-1,"")</f>
        <v>-0.09999999999999998</v>
      </c>
      <c r="T16" s="15">
        <f>IFERROR(T2/S2-1,"")</f>
        <v>-0.08611111111111114</v>
      </c>
      <c r="U16" s="15">
        <f>IFERROR(U2/T2-1,"")</f>
        <v>-0.07222222222222219</v>
      </c>
      <c r="V16" s="15">
        <f>IFERROR(V2/U2-1,"")</f>
        <v>-0.05833333333333335</v>
      </c>
      <c r="W16" s="15">
        <f>IFERROR(W2/V2-1,"")</f>
        <v>-0.04444444444444462</v>
      </c>
      <c r="X16" s="15">
        <f>IFERROR(X2/W2-1,"")</f>
        <v>-0.03055555555555567</v>
      </c>
      <c r="Y16" s="15">
        <f>IFERROR(Y2/X2-1,"")</f>
        <v>-0.01666666666666672</v>
      </c>
      <c r="Z16" s="15">
        <f>IFERROR(Z2/Y2-1,"")</f>
        <v>-0.002777777777777768</v>
      </c>
      <c r="AA16" s="15">
        <f>IFERROR(AA2/Z2-1,"")</f>
        <v>0.011111111111111072</v>
      </c>
      <c r="AB16" s="15">
        <f>IFERROR(AB2/AA2-1,"")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0.9724283776234938</v>
      </c>
      <c r="C17" s="15">
        <f>IFERROR(C4/C2,"")</f>
        <v>1.0</v>
      </c>
      <c r="D17" s="15">
        <f>IFERROR(D4/D2,"")</f>
        <v>1.0</v>
      </c>
      <c r="E17" s="15">
        <f>IFERROR(E4/E2,"")</f>
        <v>1.0</v>
      </c>
      <c r="F17" s="15">
        <f>IFERROR(F4/F2,"")</f>
        <v>1.0</v>
      </c>
      <c r="G17" s="15">
        <f>IFERROR(G4/G2,"")</f>
        <v>1.0</v>
      </c>
      <c r="H17" s="15">
        <f>IFERROR(H4/H2,"")</f>
        <v/>
      </c>
      <c r="I17" s="15">
        <f>IFERROR(I4/I2,"")</f>
        <v/>
      </c>
      <c r="J17" s="15">
        <f>IFERROR(J4/J2,"")</f>
        <v>1.0</v>
      </c>
      <c r="K17" s="15">
        <f>IFERROR(K4/K2,"")</f>
        <v>1.0</v>
      </c>
      <c r="L17" s="15">
        <f>IFERROR(L4/L2,"")</f>
        <v/>
      </c>
      <c r="M17" s="15">
        <f>IFERROR(M4/M2,"")</f>
        <v>1.0</v>
      </c>
      <c r="N17" s="15">
        <f>IFERROR(N4/N2,"")</f>
        <v>1.0</v>
      </c>
      <c r="O17" s="15">
        <f>IFERROR(O4/O2,"")</f>
        <v>0.9531430247336005</v>
      </c>
      <c r="P17" s="15">
        <f>IFERROR(P4/P2,"")</f>
        <v>0.9591361833406787</v>
      </c>
      <c r="Q17" s="15">
        <f>IFERROR(Q4/Q2,"")</f>
        <v>0.9632742986279867</v>
      </c>
      <c r="R17" s="15">
        <f>IFERROR(R4/R2,"")</f>
        <v>0.9535458194668405</v>
      </c>
      <c r="S17" s="15">
        <f>IFERROR(S4/S2,"")</f>
        <v>0.9535</v>
      </c>
      <c r="T17" s="15">
        <f>IFERROR(T4/T2,"")</f>
        <v>0.9535</v>
      </c>
      <c r="U17" s="15">
        <f>IFERROR(U4/U2,"")</f>
        <v>0.9535000000000001</v>
      </c>
      <c r="V17" s="15">
        <f>IFERROR(V4/V2,"")</f>
        <v>0.9535000000000001</v>
      </c>
      <c r="W17" s="15">
        <f>IFERROR(W4/W2,"")</f>
        <v>0.9535000000000001</v>
      </c>
      <c r="X17" s="15">
        <f>IFERROR(X4/X2,"")</f>
        <v>0.9535</v>
      </c>
      <c r="Y17" s="15">
        <f>IFERROR(Y4/Y2,"")</f>
        <v>0.9535000000000001</v>
      </c>
      <c r="Z17" s="15">
        <f>IFERROR(Z4/Z2,"")</f>
        <v>0.9535</v>
      </c>
      <c r="AA17" s="15">
        <f>IFERROR(AA4/AA2,"")</f>
        <v>0.9535</v>
      </c>
      <c r="AB17" s="15">
        <f>IFERROR(AB4/AB2,"")</f>
        <v>0.9535</v>
      </c>
    </row>
    <row r="18">
      <c r="A18" s="14" t="inlineStr">
        <is>
          <t>Operating Margin</t>
        </is>
      </c>
      <c r="B18" s="15">
        <f>IFERROR(B8/B2,"")</f>
        <v>-1.6090096560529883</v>
      </c>
      <c r="C18" s="15">
        <f>IFERROR(C8/C2,"")</f>
        <v>0.1530106284927605</v>
      </c>
      <c r="D18" s="15">
        <f>IFERROR(D8/D2,"")</f>
        <v>-0.0998084742464435</v>
      </c>
      <c r="E18" s="15">
        <f>IFERROR(E8/E2,"")</f>
        <v>-0.14064984445212592</v>
      </c>
      <c r="F18" s="15">
        <f>IFERROR(F8/F2,"")</f>
        <v>-2.7886470101956466</v>
      </c>
      <c r="G18" s="15">
        <f>IFERROR(G8/G2,"")</f>
        <v>-27.305454545454545</v>
      </c>
      <c r="H18" s="15">
        <f>IFERROR(H8/H2,"")</f>
        <v/>
      </c>
      <c r="I18" s="15">
        <f>IFERROR(I8/I2,"")</f>
        <v/>
      </c>
      <c r="J18" s="15">
        <f>IFERROR(J8/J2,"")</f>
        <v>-21.43614931237721</v>
      </c>
      <c r="K18" s="15">
        <f>IFERROR(K8/K2,"")</f>
        <v>-5637.0</v>
      </c>
      <c r="L18" s="15">
        <f>IFERROR(L8/L2,"")</f>
        <v/>
      </c>
      <c r="M18" s="15">
        <f>IFERROR(M8/M2,"")</f>
        <v>-2.7386862707657054</v>
      </c>
      <c r="N18" s="15">
        <f>IFERROR(N8/N2,"")</f>
        <v>-11.977923139820115</v>
      </c>
      <c r="O18" s="15">
        <f>IFERROR(O8/O2,"")</f>
        <v>0.08996969400723422</v>
      </c>
      <c r="P18" s="15">
        <f>IFERROR(P8/P2,"")</f>
        <v>-0.5925958572058175</v>
      </c>
      <c r="Q18" s="15">
        <f>IFERROR(Q8/Q2,"")</f>
        <v>0.1528314910596934</v>
      </c>
      <c r="R18" s="15">
        <f>IFERROR(R8/R2,"")</f>
        <v>0.0985264349675781</v>
      </c>
      <c r="S18" s="15">
        <f>IFERROR(S8/S2,"")</f>
        <v>0.10864999999999998</v>
      </c>
      <c r="T18" s="15">
        <f>IFERROR(T8/T2,"")</f>
        <v>0.11880000000000004</v>
      </c>
      <c r="U18" s="15">
        <f>IFERROR(U8/U2,"")</f>
        <v>0.12894999999999995</v>
      </c>
      <c r="V18" s="15">
        <f>IFERROR(V8/V2,"")</f>
        <v>0.13910000000000003</v>
      </c>
      <c r="W18" s="15">
        <f>IFERROR(W8/W2,"")</f>
        <v>0.1492499999999999</v>
      </c>
      <c r="X18" s="15">
        <f>IFERROR(X8/X2,"")</f>
        <v>0.15940000000000001</v>
      </c>
      <c r="Y18" s="15">
        <f>IFERROR(Y8/Y2,"")</f>
        <v>0.16954999999999998</v>
      </c>
      <c r="Z18" s="15">
        <f>IFERROR(Z8/Z2,"")</f>
        <v>0.1797</v>
      </c>
      <c r="AA18" s="15">
        <f>IFERROR(AA8/AA2,"")</f>
        <v>0.18985000000000002</v>
      </c>
      <c r="AB18" s="15">
        <f>IFERROR(AB8/AB2,"")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A</t>
        </is>
      </c>
      <c r="P19" s="19" t="inlineStr">
        <is>
          <t>A</t>
        </is>
      </c>
      <c r="Q19" s="19" t="inlineStr">
        <is>
          <t>A</t>
        </is>
      </c>
      <c r="R19" s="19" t="inlineStr">
        <is>
          <t>A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  <c r="Y19" s="19" t="inlineStr">
        <is>
          <t>E</t>
        </is>
      </c>
      <c r="Z19" s="19" t="inlineStr">
        <is>
          <t>E</t>
        </is>
      </c>
      <c r="AA19" s="19" t="inlineStr">
        <is>
          <t>E</t>
        </is>
      </c>
      <c r="AB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Gyre Therapeutics,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-0.15</v>
      </c>
      <c r="C12" s="53" t="n">
        <v>-0.1</v>
      </c>
      <c r="D12" s="53" t="n">
        <v>-0.05</v>
      </c>
      <c r="E12" s="54">
        <f>CHOOSE($B$4,B12,C12,D12)</f>
        <v>-0.1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0.0985</v>
      </c>
    </row>
    <row r="19">
      <c r="A19" s="14" t="inlineStr">
        <is>
          <t>Gross margin (forecast)</t>
        </is>
      </c>
      <c r="B19" s="53" t="n">
        <v>0.9535</v>
      </c>
    </row>
    <row r="20">
      <c r="A20" s="14" t="inlineStr">
        <is>
          <t>R&amp;D share of operating expense (forecast)</t>
        </is>
      </c>
      <c r="B20" s="53" t="n">
        <v>0.1374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Model'!R2</f>
        <v>116.588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107.51965366987685</v>
      </c>
      <c r="C29" s="56">
        <f>NPV!B26</f>
        <v>164.86465366987684</v>
      </c>
      <c r="D29" s="35">
        <f>NPV!B28</f>
        <v>1.4784761628533534</v>
      </c>
      <c r="E29" s="57">
        <f>NPV!B30</f>
        <v>-0.7603766348697969</v>
      </c>
    </row>
    <row r="30">
      <c r="A30" s="58" t="n">
        <v>1</v>
      </c>
      <c r="B30" s="59">
        <f t="dataTable" ref="B30:E32" r1="B4"/>
        <v>67.60404765596277</v>
      </c>
      <c r="C30" s="59">
        <v>124.94904765596277</v>
      </c>
      <c r="D30" s="39">
        <v>1.1205202838716315</v>
      </c>
      <c r="E30" s="60">
        <v>-0.8183921744130257</v>
      </c>
    </row>
    <row r="31">
      <c r="A31" s="58" t="n">
        <v>2</v>
      </c>
      <c r="B31" s="59">
        <v>107.51965366987685</v>
      </c>
      <c r="C31" s="59">
        <v>164.86465366987684</v>
      </c>
      <c r="D31" s="39">
        <v>1.4784761628533534</v>
      </c>
      <c r="E31" s="60">
        <v>-0.7603766348697969</v>
      </c>
    </row>
    <row r="32">
      <c r="A32" s="58" t="n">
        <v>3</v>
      </c>
      <c r="B32" s="59">
        <v>179.7700626258016</v>
      </c>
      <c r="C32" s="59">
        <v>237.11506262580158</v>
      </c>
      <c r="D32" s="39">
        <v>2.1264046606842917</v>
      </c>
      <c r="E32" s="60">
        <v>-0.6553639123688344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1.4784761628533534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1.614670319128469</v>
      </c>
      <c r="C37" s="39">
        <v>1.656810219630349</v>
      </c>
      <c r="D37" s="39">
        <v>1.7041682302665178</v>
      </c>
      <c r="E37" s="39">
        <v>1.7577876927612628</v>
      </c>
      <c r="F37" s="39">
        <v>1.8190100468841974</v>
      </c>
    </row>
    <row r="38">
      <c r="A38" s="62" t="n">
        <v>0.115</v>
      </c>
      <c r="B38" s="39">
        <v>1.509948458216815</v>
      </c>
      <c r="C38" s="39">
        <v>1.5425256951584918</v>
      </c>
      <c r="D38" s="39">
        <v>1.5786806860185412</v>
      </c>
      <c r="E38" s="39">
        <v>1.6190445591664693</v>
      </c>
      <c r="F38" s="39">
        <v>1.6644062253308092</v>
      </c>
    </row>
    <row r="39">
      <c r="A39" s="62" t="n">
        <v>0.125</v>
      </c>
      <c r="B39" s="39">
        <v>1.424456074224953</v>
      </c>
      <c r="C39" s="39">
        <v>1.450197084361511</v>
      </c>
      <c r="D39" s="39">
        <v>1.4784761628533534</v>
      </c>
      <c r="E39" s="39">
        <v>1.5096938496444319</v>
      </c>
      <c r="F39" s="39">
        <v>1.5443396937238916</v>
      </c>
    </row>
    <row r="40">
      <c r="A40" s="62" t="n">
        <v>0.135</v>
      </c>
      <c r="B40" s="39">
        <v>1.3533561806146766</v>
      </c>
      <c r="C40" s="39">
        <v>1.3740660003624134</v>
      </c>
      <c r="D40" s="39">
        <v>1.3966272869240075</v>
      </c>
      <c r="E40" s="39">
        <v>1.421304354272725</v>
      </c>
      <c r="F40" s="39">
        <v>1.4484143792773267</v>
      </c>
    </row>
    <row r="41">
      <c r="A41" s="62" t="n">
        <v>0.145</v>
      </c>
      <c r="B41" s="39">
        <v>1.2933038261667742</v>
      </c>
      <c r="C41" s="39">
        <v>1.3102206530099558</v>
      </c>
      <c r="D41" s="39">
        <v>1.3285199191138644</v>
      </c>
      <c r="E41" s="39">
        <v>1.348381783331384</v>
      </c>
      <c r="F41" s="39">
        <v>1.3700191607238472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Gyre Therapeutics, Inc.: free-cash-flow DCF ($mm)</t>
        </is>
      </c>
    </row>
    <row r="3">
      <c r="A3" s="20" t="inlineStr">
        <is>
          <t>Fiscal year</t>
        </is>
      </c>
      <c r="B3" s="43">
        <f>'Yearly Model'!R1</f>
        <v>2025</v>
      </c>
      <c r="C3" s="43">
        <f>'Yearly Model'!S1</f>
        <v>2026</v>
      </c>
      <c r="D3" s="43">
        <f>'Yearly Model'!T1</f>
        <v>2027</v>
      </c>
      <c r="E3" s="43">
        <f>'Yearly Model'!U1</f>
        <v>2028</v>
      </c>
      <c r="F3" s="43">
        <f>'Yearly Model'!V1</f>
        <v>2029</v>
      </c>
      <c r="G3" s="43">
        <f>'Yearly Model'!W1</f>
        <v>2030</v>
      </c>
      <c r="H3" s="43">
        <f>'Yearly Model'!X1</f>
        <v>2031</v>
      </c>
      <c r="I3" s="43">
        <f>'Yearly Model'!Y1</f>
        <v>2032</v>
      </c>
      <c r="J3" s="43">
        <f>'Yearly Model'!Z1</f>
        <v>2033</v>
      </c>
      <c r="K3" s="43">
        <f>'Yearly Model'!AA1</f>
        <v>2034</v>
      </c>
      <c r="L3" s="43">
        <f>'Yearly Model'!AB1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-0.1</v>
      </c>
      <c r="D5" s="63">
        <f>Assumptions!$E$12+(Assumptions!$E$11-Assumptions!$E$12)*(D4-1)/(Assumptions!$B$21-1)</f>
        <v>-0.08611111111111111</v>
      </c>
      <c r="E5" s="63">
        <f>Assumptions!$E$12+(Assumptions!$E$11-Assumptions!$E$12)*(E4-1)/(Assumptions!$B$21-1)</f>
        <v>-0.07222222222222223</v>
      </c>
      <c r="F5" s="63">
        <f>Assumptions!$E$12+(Assumptions!$E$11-Assumptions!$E$12)*(F4-1)/(Assumptions!$B$21-1)</f>
        <v>-0.05833333333333334</v>
      </c>
      <c r="G5" s="63">
        <f>Assumptions!$E$12+(Assumptions!$E$11-Assumptions!$E$12)*(G4-1)/(Assumptions!$B$21-1)</f>
        <v>-0.04444444444444445</v>
      </c>
      <c r="H5" s="63">
        <f>Assumptions!$E$12+(Assumptions!$E$11-Assumptions!$E$12)*(H4-1)/(Assumptions!$B$21-1)</f>
        <v>-0.030555555555555558</v>
      </c>
      <c r="I5" s="63">
        <f>Assumptions!$E$12+(Assumptions!$E$11-Assumptions!$E$12)*(I4-1)/(Assumptions!$B$21-1)</f>
        <v>-0.016666666666666677</v>
      </c>
      <c r="J5" s="63">
        <f>Assumptions!$E$12+(Assumptions!$E$11-Assumptions!$E$12)*(J4-1)/(Assumptions!$B$21-1)</f>
        <v>-0.002777777777777782</v>
      </c>
      <c r="K5" s="63">
        <f>Assumptions!$E$12+(Assumptions!$E$11-Assumptions!$E$12)*(K4-1)/(Assumptions!$B$21-1)</f>
        <v>0.0111111111111111</v>
      </c>
      <c r="L5" s="63">
        <f>Assumptions!$E$12+(Assumptions!$E$11-Assumptions!$E$12)*(L4-1)/(Assumptions!$B$21-1)</f>
        <v>0.024999999999999994</v>
      </c>
    </row>
    <row r="6">
      <c r="A6" s="14" t="inlineStr">
        <is>
          <t>Operating margin</t>
        </is>
      </c>
      <c r="B6" s="63">
        <f>IFERROR(B8/B7,0)</f>
        <v>0.0985264349675781</v>
      </c>
      <c r="C6" s="63">
        <f>Assumptions!$B$18+(Assumptions!$E$13-Assumptions!$B$18)*C4/Assumptions!$B$21</f>
        <v>0.10865000000000001</v>
      </c>
      <c r="D6" s="63">
        <f>Assumptions!$B$18+(Assumptions!$E$13-Assumptions!$B$18)*D4/Assumptions!$B$21</f>
        <v>0.1188</v>
      </c>
      <c r="E6" s="63">
        <f>Assumptions!$B$18+(Assumptions!$E$13-Assumptions!$B$18)*E4/Assumptions!$B$21</f>
        <v>0.12895</v>
      </c>
      <c r="F6" s="63">
        <f>Assumptions!$B$18+(Assumptions!$E$13-Assumptions!$B$18)*F4/Assumptions!$B$21</f>
        <v>0.1391</v>
      </c>
      <c r="G6" s="63">
        <f>Assumptions!$B$18+(Assumptions!$E$13-Assumptions!$B$18)*G4/Assumptions!$B$21</f>
        <v>0.14925</v>
      </c>
      <c r="H6" s="63">
        <f>Assumptions!$B$18+(Assumptions!$E$13-Assumptions!$B$18)*H4/Assumptions!$B$21</f>
        <v>0.1594</v>
      </c>
      <c r="I6" s="63">
        <f>Assumptions!$B$18+(Assumptions!$E$13-Assumptions!$B$18)*I4/Assumptions!$B$21</f>
        <v>0.16955</v>
      </c>
      <c r="J6" s="63">
        <f>Assumptions!$B$18+(Assumptions!$E$13-Assumptions!$B$18)*J4/Assumptions!$B$21</f>
        <v>0.17970000000000003</v>
      </c>
      <c r="K6" s="63">
        <f>Assumptions!$B$18+(Assumptions!$E$13-Assumptions!$B$18)*K4/Assumptions!$B$21</f>
        <v>0.18985000000000002</v>
      </c>
      <c r="L6" s="63">
        <f>Assumptions!$B$18+(Assumptions!$E$13-Assumptions!$B$18)*L4/Assumptions!$B$21</f>
        <v>0.2</v>
      </c>
    </row>
    <row r="7">
      <c r="A7" s="14" t="inlineStr">
        <is>
          <t>Revenue</t>
        </is>
      </c>
      <c r="B7" s="55">
        <f>'Yearly Model'!R2</f>
        <v>116.588</v>
      </c>
      <c r="C7" s="55">
        <f>'Yearly Model'!S2</f>
        <v>104.9292</v>
      </c>
      <c r="D7" s="55">
        <f>'Yearly Model'!T2</f>
        <v>95.89362999999999</v>
      </c>
      <c r="E7" s="55">
        <f>'Yearly Model'!U2</f>
        <v>88.96797894444444</v>
      </c>
      <c r="F7" s="55">
        <f>'Yearly Model'!V2</f>
        <v>83.77818017268518</v>
      </c>
      <c r="G7" s="55">
        <f>'Yearly Model'!W2</f>
        <v>80.05470549834361</v>
      </c>
      <c r="H7" s="55">
        <f>'Yearly Model'!X2</f>
        <v>77.60858949700533</v>
      </c>
      <c r="I7" s="55">
        <f>'Yearly Model'!Y2</f>
        <v>76.31511300538857</v>
      </c>
      <c r="J7" s="55">
        <f>'Yearly Model'!Z2</f>
        <v>76.1031265803736</v>
      </c>
      <c r="K7" s="55">
        <f>'Yearly Model'!AA2</f>
        <v>76.94871687571109</v>
      </c>
      <c r="L7" s="55">
        <f>'Yearly Model'!AB2</f>
        <v>78.87243479760386</v>
      </c>
    </row>
    <row r="8">
      <c r="A8" s="14" t="inlineStr">
        <is>
          <t>Operating income</t>
        </is>
      </c>
      <c r="B8" s="55">
        <f>'Yearly Model'!R8</f>
        <v>11.486999999999995</v>
      </c>
      <c r="C8" s="55">
        <f>'Yearly Model'!S8</f>
        <v>11.400557579999997</v>
      </c>
      <c r="D8" s="55">
        <f>'Yearly Model'!T8</f>
        <v>11.392163244000002</v>
      </c>
      <c r="E8" s="55">
        <f>'Yearly Model'!U8</f>
        <v>11.472420884886105</v>
      </c>
      <c r="F8" s="55">
        <f>'Yearly Model'!V8</f>
        <v>11.65354486202051</v>
      </c>
      <c r="G8" s="55">
        <f>'Yearly Model'!W8</f>
        <v>11.948164795627775</v>
      </c>
      <c r="H8" s="55">
        <f>'Yearly Model'!X8</f>
        <v>12.37080916582265</v>
      </c>
      <c r="I8" s="55">
        <f>'Yearly Model'!Y8</f>
        <v>12.93922741006363</v>
      </c>
      <c r="J8" s="55">
        <f>'Yearly Model'!Z8</f>
        <v>13.675731846493136</v>
      </c>
      <c r="K8" s="55">
        <f>'Yearly Model'!AA8</f>
        <v>14.60871389885375</v>
      </c>
      <c r="L8" s="55">
        <f>'Yearly Model'!AB8</f>
        <v>15.774486959520772</v>
      </c>
    </row>
    <row r="9">
      <c r="A9" s="14" t="inlineStr">
        <is>
          <t>Tax on operating income</t>
        </is>
      </c>
      <c r="C9" s="52">
        <f>MAX(0,C8)*Assumptions!$E$14</f>
        <v>1.9380947885999997</v>
      </c>
      <c r="D9" s="52">
        <f>MAX(0,D8)*Assumptions!$E$14</f>
        <v>1.9366677514800006</v>
      </c>
      <c r="E9" s="52">
        <f>MAX(0,E8)*Assumptions!$E$14</f>
        <v>1.950311550430638</v>
      </c>
      <c r="F9" s="52">
        <f>MAX(0,F8)*Assumptions!$E$14</f>
        <v>1.9811026265434868</v>
      </c>
      <c r="G9" s="52">
        <f>MAX(0,G8)*Assumptions!$E$14</f>
        <v>2.031188015256722</v>
      </c>
      <c r="H9" s="52">
        <f>MAX(0,H8)*Assumptions!$E$14</f>
        <v>2.1030375581898504</v>
      </c>
      <c r="I9" s="52">
        <f>MAX(0,I8)*Assumptions!$E$14</f>
        <v>2.199668659710817</v>
      </c>
      <c r="J9" s="52">
        <f>MAX(0,J8)*Assumptions!$E$14</f>
        <v>2.3248744139038333</v>
      </c>
      <c r="K9" s="52">
        <f>MAX(0,K8)*Assumptions!$E$14</f>
        <v>2.4834813628051378</v>
      </c>
      <c r="L9" s="52">
        <f>MAX(0,L8)*Assumptions!$E$14</f>
        <v>2.6816627831185316</v>
      </c>
    </row>
    <row r="10">
      <c r="A10" s="14" t="inlineStr">
        <is>
          <t>NOPAT</t>
        </is>
      </c>
      <c r="C10" s="52">
        <f>C8-C9</f>
        <v>9.462462791399998</v>
      </c>
      <c r="D10" s="52">
        <f>D8-D9</f>
        <v>9.455495492520003</v>
      </c>
      <c r="E10" s="52">
        <f>E8-E9</f>
        <v>9.522109334455468</v>
      </c>
      <c r="F10" s="52">
        <f>F8-F9</f>
        <v>9.672442235477023</v>
      </c>
      <c r="G10" s="52">
        <f>G8-G9</f>
        <v>9.916976780371053</v>
      </c>
      <c r="H10" s="52">
        <f>H8-H9</f>
        <v>10.267771607632799</v>
      </c>
      <c r="I10" s="52">
        <f>I8-I9</f>
        <v>10.739558750352813</v>
      </c>
      <c r="J10" s="52">
        <f>J8-J9</f>
        <v>11.350857432589303</v>
      </c>
      <c r="K10" s="52">
        <f>K8-K9</f>
        <v>12.125232536048612</v>
      </c>
      <c r="L10" s="52">
        <f>L8-L9</f>
        <v>13.09282417640224</v>
      </c>
    </row>
    <row r="11">
      <c r="A11" s="14" t="inlineStr">
        <is>
          <t>Reinvestment</t>
        </is>
      </c>
      <c r="C11" s="52">
        <f>(C7-B7)*Assumptions!$E$15</f>
        <v>-2.9147</v>
      </c>
      <c r="D11" s="52">
        <f>(D7-C7)*Assumptions!$E$15</f>
        <v>-2.2588925000000017</v>
      </c>
      <c r="E11" s="52">
        <f>(E7-D7)*Assumptions!$E$15</f>
        <v>-1.731412763888887</v>
      </c>
      <c r="F11" s="52">
        <f>(F7-E7)*Assumptions!$E$15</f>
        <v>-1.2974496929398143</v>
      </c>
      <c r="G11" s="52">
        <f>(G7-F7)*Assumptions!$E$15</f>
        <v>-0.9308686685853935</v>
      </c>
      <c r="H11" s="52">
        <f>(H7-G7)*Assumptions!$E$15</f>
        <v>-0.6115290003345706</v>
      </c>
      <c r="I11" s="52">
        <f>(I7-H7)*Assumptions!$E$15</f>
        <v>-0.3233691229041895</v>
      </c>
      <c r="J11" s="52">
        <f>(J7-I7)*Assumptions!$E$15</f>
        <v>-0.052996606253742584</v>
      </c>
      <c r="K11" s="52">
        <f>(K7-J7)*Assumptions!$E$15</f>
        <v>0.21139757383437185</v>
      </c>
      <c r="L11" s="52">
        <f>(L7-K7)*Assumptions!$E$15</f>
        <v>0.4809294804731934</v>
      </c>
    </row>
    <row r="12">
      <c r="A12" s="20" t="inlineStr">
        <is>
          <t>Free cash flow</t>
        </is>
      </c>
      <c r="C12" s="64">
        <f>C10-C11</f>
        <v>12.377162791399998</v>
      </c>
      <c r="D12" s="64">
        <f>D10-D11</f>
        <v>11.714387992520004</v>
      </c>
      <c r="E12" s="64">
        <f>E10-E11</f>
        <v>11.253522098344355</v>
      </c>
      <c r="F12" s="64">
        <f>F10-F11</f>
        <v>10.969891928416837</v>
      </c>
      <c r="G12" s="64">
        <f>G10-G11</f>
        <v>10.847845448956447</v>
      </c>
      <c r="H12" s="64">
        <f>H10-H11</f>
        <v>10.87930060796737</v>
      </c>
      <c r="I12" s="64">
        <f>I10-I11</f>
        <v>11.062927873257003</v>
      </c>
      <c r="J12" s="64">
        <f>J10-J11</f>
        <v>11.403854038843045</v>
      </c>
      <c r="K12" s="64">
        <f>K10-K11</f>
        <v>11.91383496221424</v>
      </c>
      <c r="L12" s="64">
        <f>L10-L11</f>
        <v>12.611894695929047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6.0568219521155</v>
      </c>
      <c r="D16" s="64">
        <f>D12*D13*D15</f>
        <v>10.407762095893434</v>
      </c>
      <c r="E16" s="64">
        <f>E12*E13*E15</f>
        <v>8.88737893683371</v>
      </c>
      <c r="F16" s="64">
        <f>F12*F13*F15</f>
        <v>7.700786028445849</v>
      </c>
      <c r="G16" s="64">
        <f>G12*G13*G15</f>
        <v>6.768986905628394</v>
      </c>
      <c r="H16" s="64">
        <f>H12*H13*H15</f>
        <v>6.034324200689634</v>
      </c>
      <c r="I16" s="64">
        <f>I12*I13*I15</f>
        <v>5.454377858500651</v>
      </c>
      <c r="J16" s="64">
        <f>J12*J13*J15</f>
        <v>4.997747004622353</v>
      </c>
      <c r="K16" s="64">
        <f>K12*K13*K15</f>
        <v>4.6411080007133</v>
      </c>
      <c r="L16" s="64">
        <f>L12*L13*L15</f>
        <v>4.367147983878345</v>
      </c>
    </row>
    <row r="19">
      <c r="A19" s="14" t="inlineStr">
        <is>
          <t>PV of forecast free cash flow</t>
        </is>
      </c>
      <c r="B19" s="52">
        <f>SUM(C16:L16)</f>
        <v>65.31644096732117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12.927192063327272</v>
      </c>
    </row>
    <row r="21">
      <c r="A21" s="14" t="inlineStr">
        <is>
          <t>Terminal value</t>
        </is>
      </c>
      <c r="B21" s="52">
        <f>B20/(Assumptions!$E$10-Assumptions!$E$11)</f>
        <v>129.2719206332727</v>
      </c>
    </row>
    <row r="22">
      <c r="A22" s="14" t="inlineStr">
        <is>
          <t>PV of terminal value</t>
        </is>
      </c>
      <c r="B22" s="52">
        <f>B21/(1+Assumptions!$E$10)^(L14+0.5)</f>
        <v>42.203212702555675</v>
      </c>
    </row>
    <row r="23">
      <c r="A23" s="20" t="inlineStr">
        <is>
          <t>Enterprise value</t>
        </is>
      </c>
      <c r="B23" s="66">
        <f>B19+B22</f>
        <v>107.51965366987685</v>
      </c>
    </row>
    <row r="24">
      <c r="A24" s="14" t="inlineStr">
        <is>
          <t>Cash &amp; investments</t>
        </is>
      </c>
      <c r="B24" s="55">
        <f>Main!C7</f>
        <v>57.345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164.86465366987684</v>
      </c>
    </row>
    <row r="27">
      <c r="A27" s="14" t="inlineStr">
        <is>
          <t>Shares (mm)</t>
        </is>
      </c>
      <c r="B27" s="55">
        <f>Main!C4</f>
        <v>111.509849</v>
      </c>
    </row>
    <row r="28">
      <c r="A28" s="20" t="inlineStr">
        <is>
          <t>NPV / share</t>
        </is>
      </c>
      <c r="B28" s="49">
        <f>B26/B27</f>
        <v>1.4784761628533534</v>
      </c>
    </row>
    <row r="29">
      <c r="A29" s="14" t="inlineStr">
        <is>
          <t>Price</t>
        </is>
      </c>
      <c r="B29" s="50">
        <f>Main!C3</f>
        <v>6.17</v>
      </c>
    </row>
    <row r="30">
      <c r="A30" s="14" t="inlineStr">
        <is>
          <t>Upside</t>
        </is>
      </c>
      <c r="B30" s="63">
        <f>B28/B29-1</f>
        <v>-0.7603766348697969</v>
      </c>
    </row>
    <row r="31">
      <c r="A31" s="14" t="inlineStr">
        <is>
          <t>Terminal value, % of EV</t>
        </is>
      </c>
      <c r="B31" s="63">
        <f>IFERROR(B22/B23,0)</f>
        <v>0.39251626341854096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2026-10-21T06:24:32Z</dcterms:modified>
  <cp:lastModifiedBy>Wang, Eric</cp:lastModifiedBy>
</cp:coreProperties>
</file>