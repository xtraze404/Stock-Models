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Aurora Cannabis Inc.</t>
        </is>
      </c>
      <c r="C2" s="10" t="n"/>
    </row>
    <row r="3">
      <c r="B3" t="inlineStr">
        <is>
          <t>Price</t>
        </is>
      </c>
      <c r="C3" s="11">
        <f>INDEX([1]Pharma!$F$1:$F$1000,MATCH("ACB",[1]Pharma!$B$1:$B$1000,0))</f>
        <v>3.97</v>
      </c>
      <c r="F3" s="1" t="n"/>
    </row>
    <row r="4">
      <c r="B4" t="inlineStr">
        <is>
          <t>Shares</t>
        </is>
      </c>
      <c r="C4" s="51" t="n">
        <v>56.234231</v>
      </c>
      <c r="F4" s="1" t="n"/>
    </row>
    <row r="5">
      <c r="B5" t="inlineStr">
        <is>
          <t>Market Cap.</t>
        </is>
      </c>
      <c r="C5" s="13">
        <f>C3*C4</f>
        <v>223.24989707</v>
      </c>
      <c r="F5" s="1" t="n"/>
    </row>
    <row r="6"/>
    <row r="7">
      <c r="B7" t="inlineStr">
        <is>
          <t>Cash</t>
        </is>
      </c>
      <c r="C7" s="51">
        <f>(137.921+0.554)/1.4161</f>
        <v>97.78617329284656</v>
      </c>
    </row>
    <row r="8">
      <c r="B8" t="inlineStr">
        <is>
          <t>Debt</t>
        </is>
      </c>
      <c r="C8" s="51">
        <f>(2.299+40.194)/1.4161</f>
        <v>30.007061648188692</v>
      </c>
    </row>
    <row r="9">
      <c r="B9" t="inlineStr">
        <is>
          <t>Enterprise V.</t>
        </is>
      </c>
      <c r="C9" s="13">
        <f>C5-C7+C8</f>
        <v>155.47078542534214</v>
      </c>
    </row>
    <row r="10"/>
    <row r="11">
      <c r="B11" s="14" t="inlineStr">
        <is>
          <t>NPV / Share</t>
        </is>
      </c>
      <c r="C11" s="11">
        <f>NPV!B28</f>
        <v>9.908607066338881</v>
      </c>
    </row>
    <row r="12">
      <c r="B12" s="14" t="inlineStr">
        <is>
          <t>Upside</t>
        </is>
      </c>
      <c r="C12" s="15">
        <f>IFERROR(C11/C3-1,"")</f>
        <v>1.4958707975664685</v>
      </c>
    </row>
    <row r="13">
      <c r="B13" s="14" t="inlineStr">
        <is>
          <t>Cash / Share</t>
        </is>
      </c>
      <c r="C13" s="11">
        <f>IFERROR((C7-C8)/C4,"")</f>
        <v>1.2052998758826783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38.977</v>
      </c>
      <c r="C2" s="52" t="n">
        <v>191.445</v>
      </c>
      <c r="D2" s="52" t="n">
        <v>221.028</v>
      </c>
      <c r="E2" s="52" t="n">
        <v>203.794</v>
      </c>
      <c r="F2" s="52" t="n">
        <v>177.676</v>
      </c>
      <c r="G2" s="52" t="n">
        <v>190.408</v>
      </c>
      <c r="H2" s="52" t="n">
        <v>242.421</v>
      </c>
      <c r="I2" s="52">
        <f>H2*(1+NPV!C5)</f>
        <v>284.21438040000004</v>
      </c>
      <c r="J2" s="52">
        <f>I2*(1+NPV!D5)</f>
        <v>328.55813961752006</v>
      </c>
      <c r="K2" s="52">
        <f>J2*(1+NPV!E5)</f>
        <v>374.4394584921089</v>
      </c>
      <c r="L2" s="52">
        <f>K2*(1+NPV!F5)</f>
        <v>420.5953624089028</v>
      </c>
      <c r="M2" s="52">
        <f>L2*(1+NPV!G5)</f>
        <v>465.55233336860994</v>
      </c>
      <c r="N2" s="52">
        <f>M2*(1+NPV!H5)</f>
        <v>507.6899923421733</v>
      </c>
      <c r="O2" s="52">
        <f>N2*(1+NPV!I5)</f>
        <v>545.3267437744731</v>
      </c>
      <c r="P2" s="52">
        <f>O2*(1+NPV!J5)</f>
        <v>576.8223928204699</v>
      </c>
      <c r="Q2" s="52">
        <f>P2*(1+NPV!K5)</f>
        <v>600.6900216078413</v>
      </c>
      <c r="R2" s="52">
        <f>Q2*(1+NPV!L5)</f>
        <v>615.7072721480373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</row>
    <row r="4" customFormat="1" s="1">
      <c r="A4" s="5" t="inlineStr">
        <is>
          <t>Gross Margin</t>
        </is>
      </c>
      <c r="B4" s="52">
        <f>B2-B3</f>
        <v>38.977</v>
      </c>
      <c r="C4" s="52">
        <f>C2-C3</f>
        <v>191.445</v>
      </c>
      <c r="D4" s="52">
        <f>D2-D3</f>
        <v>221.028</v>
      </c>
      <c r="E4" s="52">
        <f>E2-E3</f>
        <v>203.794</v>
      </c>
      <c r="F4" s="52">
        <f>F2-F3</f>
        <v>177.676</v>
      </c>
      <c r="G4" s="52">
        <f>G2-G3</f>
        <v>190.408</v>
      </c>
      <c r="H4" s="52">
        <f>H2-H3</f>
        <v>242.421</v>
      </c>
      <c r="I4" s="52">
        <f>I2-I3</f>
        <v>284.21438040000004</v>
      </c>
      <c r="J4" s="52">
        <f>J2-J3</f>
        <v>328.55813961752006</v>
      </c>
      <c r="K4" s="52">
        <f>K2-K3</f>
        <v>374.4394584921089</v>
      </c>
      <c r="L4" s="52">
        <f>L2-L3</f>
        <v>420.5953624089028</v>
      </c>
      <c r="M4" s="52">
        <f>M2-M3</f>
        <v>465.55233336860994</v>
      </c>
      <c r="N4" s="52">
        <f>N2-N3</f>
        <v>507.6899923421733</v>
      </c>
      <c r="O4" s="52">
        <f>O2-O3</f>
        <v>545.3267437744731</v>
      </c>
      <c r="P4" s="52">
        <f>P2-P3</f>
        <v>576.8223928204699</v>
      </c>
      <c r="Q4" s="52">
        <f>Q2-Q3</f>
        <v>600.6900216078413</v>
      </c>
      <c r="R4" s="52">
        <f>R2-R3</f>
        <v>615.7072721480373</v>
      </c>
    </row>
    <row r="5">
      <c r="A5" s="2" t="inlineStr">
        <is>
          <t>Research &amp; Dev.</t>
        </is>
      </c>
      <c r="B5" s="52" t="n">
        <v>1.186</v>
      </c>
      <c r="C5" s="52" t="n">
        <v>10.436</v>
      </c>
      <c r="D5" s="52" t="n">
        <v>18.379</v>
      </c>
      <c r="E5" s="52" t="n">
        <v>8.083</v>
      </c>
      <c r="F5" s="52" t="n">
        <v>7.336</v>
      </c>
      <c r="G5" s="52" t="n">
        <v>2.522</v>
      </c>
      <c r="H5" s="52" t="n">
        <v>2.596</v>
      </c>
      <c r="I5" s="52">
        <f>I7*Assumptions!$B$20</f>
        <v>2.9958287511999746</v>
      </c>
      <c r="J5" s="52">
        <f>J7*Assumptions!$B$20</f>
        <v>3.396775984482237</v>
      </c>
      <c r="K5" s="52">
        <f>K7*Assumptions!$B$20</f>
        <v>3.7953662795267027</v>
      </c>
      <c r="L5" s="52">
        <f>L7*Assumptions!$B$20</f>
        <v>4.178120305386257</v>
      </c>
      <c r="M5" s="52">
        <f>M7*Assumptions!$B$20</f>
        <v>4.530531843223295</v>
      </c>
      <c r="N5" s="52">
        <f>N7*Assumptions!$B$20</f>
        <v>4.837887598066915</v>
      </c>
      <c r="O5" s="52">
        <f>O7*Assumptions!$B$20</f>
        <v>5.086214550431058</v>
      </c>
      <c r="P5" s="52">
        <f>P7*Assumptions!$B$20</f>
        <v>5.263278220108802</v>
      </c>
      <c r="Q5" s="52">
        <f>Q7*Assumptions!$B$20</f>
        <v>5.359538982551729</v>
      </c>
      <c r="R5" s="52">
        <f>R7*Assumptions!$B$20</f>
        <v>5.3689674131308855</v>
      </c>
    </row>
    <row r="6">
      <c r="A6" s="18" t="inlineStr">
        <is>
          <t>SG&amp;A &amp; Other</t>
        </is>
      </c>
      <c r="B6" s="52" t="n">
        <v>105.423</v>
      </c>
      <c r="C6" s="52" t="n">
        <v>405.766</v>
      </c>
      <c r="D6" s="52" t="n">
        <v>531.568</v>
      </c>
      <c r="E6" s="52" t="n">
        <v>395.426</v>
      </c>
      <c r="F6" s="52" t="n">
        <v>333.781</v>
      </c>
      <c r="G6" s="52" t="n">
        <v>219.734</v>
      </c>
      <c r="H6" s="52" t="n">
        <v>236.331</v>
      </c>
      <c r="I6" s="52">
        <f>I7-I5</f>
        <v>271.85084567081606</v>
      </c>
      <c r="J6" s="52">
        <f>J7-J5</f>
        <v>308.2340482799432</v>
      </c>
      <c r="K6" s="52">
        <f>K7-K5</f>
        <v>344.4033749614552</v>
      </c>
      <c r="L6" s="52">
        <f>L7-L5</f>
        <v>379.13566917959145</v>
      </c>
      <c r="M6" s="52">
        <f>M7-M5</f>
        <v>411.11459138827166</v>
      </c>
      <c r="N6" s="52">
        <f>N7-N5</f>
        <v>439.0050113071547</v>
      </c>
      <c r="O6" s="52">
        <f>O7-O5</f>
        <v>461.5389735625101</v>
      </c>
      <c r="P6" s="52">
        <f>P7-P5</f>
        <v>477.6062832577629</v>
      </c>
      <c r="Q6" s="52">
        <f>Q7-Q5</f>
        <v>486.34128510476285</v>
      </c>
      <c r="R6" s="52">
        <f>R7-R5</f>
        <v>487.196850305299</v>
      </c>
    </row>
    <row r="7">
      <c r="A7" s="2" t="inlineStr">
        <is>
          <t>Operating Expense</t>
        </is>
      </c>
      <c r="B7" s="52">
        <f>SUM(B5:B6)</f>
        <v>106.60900000000001</v>
      </c>
      <c r="C7" s="52">
        <f>SUM(C5:C6)</f>
        <v>416.202</v>
      </c>
      <c r="D7" s="52">
        <f>SUM(D5:D6)</f>
        <v>549.947</v>
      </c>
      <c r="E7" s="52">
        <f>SUM(E5:E6)</f>
        <v>403.509</v>
      </c>
      <c r="F7" s="52">
        <f>SUM(F5:F6)</f>
        <v>341.117</v>
      </c>
      <c r="G7" s="52">
        <f>SUM(G5:G6)</f>
        <v>222.256</v>
      </c>
      <c r="H7" s="52">
        <f>SUM(H5:H6)</f>
        <v>238.927</v>
      </c>
      <c r="I7" s="52">
        <f>I4-I2*NPV!C6</f>
        <v>274.846674422016</v>
      </c>
      <c r="J7" s="52">
        <f>J4-J2*NPV!D6</f>
        <v>311.6308242644254</v>
      </c>
      <c r="K7" s="52">
        <f>K4-K2*NPV!E6</f>
        <v>348.1987412409819</v>
      </c>
      <c r="L7" s="52">
        <f>L4-L2*NPV!F6</f>
        <v>383.3137894849777</v>
      </c>
      <c r="M7" s="52">
        <f>M4-M2*NPV!G6</f>
        <v>415.64512323149495</v>
      </c>
      <c r="N7" s="52">
        <f>N4-N2*NPV!H6</f>
        <v>443.8428989052216</v>
      </c>
      <c r="O7" s="52">
        <f>O4-O2*NPV!I6</f>
        <v>466.62518811294115</v>
      </c>
      <c r="P7" s="52">
        <f>P4-P2*NPV!J6</f>
        <v>482.86956147787174</v>
      </c>
      <c r="Q7" s="52">
        <f>Q4-Q2*NPV!K6</f>
        <v>491.7008240873146</v>
      </c>
      <c r="R7" s="52">
        <f>R4-R2*NPV!L6</f>
        <v>492.56581771842986</v>
      </c>
    </row>
    <row r="8">
      <c r="A8" s="2" t="inlineStr">
        <is>
          <t>Operating Income</t>
        </is>
      </c>
      <c r="B8" s="52">
        <f>B4-B7</f>
        <v>-67.632</v>
      </c>
      <c r="C8" s="52">
        <f>C4-C7</f>
        <v>-224.757</v>
      </c>
      <c r="D8" s="52">
        <f>D4-D7</f>
        <v>-328.919</v>
      </c>
      <c r="E8" s="52">
        <f>E4-E7</f>
        <v>-199.715</v>
      </c>
      <c r="F8" s="52">
        <f>F4-F7</f>
        <v>-163.44100000000003</v>
      </c>
      <c r="G8" s="52">
        <f>G4-G7</f>
        <v>-31.848000000000013</v>
      </c>
      <c r="H8" s="52">
        <f>H4-H7</f>
        <v>3.4939999999999998</v>
      </c>
      <c r="I8" s="52">
        <f>I4-I7</f>
        <v>9.36770597798403</v>
      </c>
      <c r="J8" s="52">
        <f>J4-J7</f>
        <v>16.927315353094627</v>
      </c>
      <c r="K8" s="52">
        <f>K4-K7</f>
        <v>26.240717251126966</v>
      </c>
      <c r="L8" s="52">
        <f>L4-L7</f>
        <v>37.281572923925125</v>
      </c>
      <c r="M8" s="52">
        <f>M4-M7</f>
        <v>49.90721013711499</v>
      </c>
      <c r="N8" s="52">
        <f>N4-N7</f>
        <v>63.847093436951695</v>
      </c>
      <c r="O8" s="52">
        <f>O4-O7</f>
        <v>78.70155566153198</v>
      </c>
      <c r="P8" s="52">
        <f>P4-P7</f>
        <v>93.95283134259813</v>
      </c>
      <c r="Q8" s="52">
        <f>Q4-Q7</f>
        <v>108.98919752052677</v>
      </c>
      <c r="R8" s="52">
        <f>R4-R7</f>
        <v>123.14145442960745</v>
      </c>
    </row>
    <row r="9">
      <c r="A9" s="18" t="inlineStr">
        <is>
          <t>Interest &amp; Other</t>
        </is>
      </c>
      <c r="B9" s="52" t="n">
        <v>124.149</v>
      </c>
      <c r="C9" s="52" t="n">
        <v>-3.63</v>
      </c>
      <c r="D9" s="52" t="n">
        <v>-2047.276</v>
      </c>
      <c r="E9" s="52" t="n">
        <v>-293.423</v>
      </c>
      <c r="F9" s="52" t="n">
        <v>-1050.996</v>
      </c>
      <c r="G9" s="52" t="n">
        <v>-17.498</v>
      </c>
      <c r="H9" s="52" t="n">
        <v>0.891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56.516999999999996</v>
      </c>
      <c r="C10" s="52">
        <f>C8+C9</f>
        <v>-228.387</v>
      </c>
      <c r="D10" s="52">
        <f>D8+D9</f>
        <v>-2376.195</v>
      </c>
      <c r="E10" s="52">
        <f>E8+E9</f>
        <v>-493.13800000000003</v>
      </c>
      <c r="F10" s="52">
        <f>F8+F9</f>
        <v>-1214.4370000000001</v>
      </c>
      <c r="G10" s="52">
        <f>G8+G9</f>
        <v>-49.34600000000002</v>
      </c>
      <c r="H10" s="52">
        <f>H8+H9</f>
        <v>4.385</v>
      </c>
      <c r="I10" s="52">
        <f>I8+I9</f>
        <v>9.36770597798403</v>
      </c>
      <c r="J10" s="52">
        <f>J8+J9</f>
        <v>16.927315353094627</v>
      </c>
      <c r="K10" s="52">
        <f>K8+K9</f>
        <v>26.240717251126966</v>
      </c>
      <c r="L10" s="52">
        <f>L8+L9</f>
        <v>37.281572923925125</v>
      </c>
      <c r="M10" s="52">
        <f>M8+M9</f>
        <v>49.90721013711499</v>
      </c>
      <c r="N10" s="52">
        <f>N8+N9</f>
        <v>63.847093436951695</v>
      </c>
      <c r="O10" s="52">
        <f>O8+O9</f>
        <v>78.70155566153198</v>
      </c>
      <c r="P10" s="52">
        <f>P8+P9</f>
        <v>93.95283134259813</v>
      </c>
      <c r="Q10" s="52">
        <f>Q8+Q9</f>
        <v>108.98919752052677</v>
      </c>
      <c r="R10" s="52">
        <f>R8+R9</f>
        <v>123.14145442960745</v>
      </c>
    </row>
    <row r="11">
      <c r="A11" s="2" t="inlineStr">
        <is>
          <t>Taxes</t>
        </is>
      </c>
      <c r="B11" s="52" t="n">
        <v>5.72</v>
      </c>
      <c r="C11" s="52" t="n">
        <v>-21.121</v>
      </c>
      <c r="D11" s="52" t="n">
        <v>-58.071</v>
      </c>
      <c r="E11" s="52" t="n">
        <v>-4.464</v>
      </c>
      <c r="F11" s="52" t="n">
        <v>-1.512</v>
      </c>
      <c r="G11" s="52" t="n">
        <v>-0.391</v>
      </c>
      <c r="H11" s="52" t="n">
        <v>3.262</v>
      </c>
      <c r="I11" s="52">
        <f>MAX(0,I10)*Assumptions!$E$14</f>
        <v>1.5925100162572854</v>
      </c>
      <c r="J11" s="52">
        <f>MAX(0,J10)*Assumptions!$E$14</f>
        <v>2.877643610026087</v>
      </c>
      <c r="K11" s="52">
        <f>MAX(0,K10)*Assumptions!$E$14</f>
        <v>4.460921932691584</v>
      </c>
      <c r="L11" s="52">
        <f>MAX(0,L10)*Assumptions!$E$14</f>
        <v>6.337867397067272</v>
      </c>
      <c r="M11" s="52">
        <f>MAX(0,M10)*Assumptions!$E$14</f>
        <v>8.484225723309548</v>
      </c>
      <c r="N11" s="52">
        <f>MAX(0,N10)*Assumptions!$E$14</f>
        <v>10.854005884281788</v>
      </c>
      <c r="O11" s="52">
        <f>MAX(0,O10)*Assumptions!$E$14</f>
        <v>13.379264462460439</v>
      </c>
      <c r="P11" s="52">
        <f>MAX(0,P10)*Assumptions!$E$14</f>
        <v>15.971981328241684</v>
      </c>
      <c r="Q11" s="52">
        <f>MAX(0,Q10)*Assumptions!$E$14</f>
        <v>18.528163578489554</v>
      </c>
      <c r="R11" s="52">
        <f>MAX(0,R10)*Assumptions!$E$14</f>
        <v>20.934047253033267</v>
      </c>
    </row>
    <row r="12">
      <c r="A12" s="2" t="inlineStr">
        <is>
          <t>Net Income</t>
        </is>
      </c>
      <c r="B12" s="52" t="n">
        <v>50.799</v>
      </c>
      <c r="C12" s="52" t="n">
        <v>-207.266</v>
      </c>
      <c r="D12" s="52" t="n">
        <v>-2318.123</v>
      </c>
      <c r="E12" s="52" t="n">
        <v>-488.675</v>
      </c>
      <c r="F12" s="52" t="n">
        <v>-1212.926</v>
      </c>
      <c r="G12" s="52" t="n">
        <v>-48.956</v>
      </c>
      <c r="H12" s="52" t="n">
        <v>1.124</v>
      </c>
      <c r="I12" s="52">
        <f>I10-I11</f>
        <v>7.775195961726745</v>
      </c>
      <c r="J12" s="52">
        <f>J10-J11</f>
        <v>14.04967174306854</v>
      </c>
      <c r="K12" s="52">
        <f>K10-K11</f>
        <v>21.779795318435383</v>
      </c>
      <c r="L12" s="52">
        <f>L10-L11</f>
        <v>30.943705526857855</v>
      </c>
      <c r="M12" s="52">
        <f>M10-M11</f>
        <v>41.42298441380544</v>
      </c>
      <c r="N12" s="52">
        <f>N10-N11</f>
        <v>52.993087552669905</v>
      </c>
      <c r="O12" s="52">
        <f>O10-O11</f>
        <v>65.32229119907154</v>
      </c>
      <c r="P12" s="52">
        <f>P10-P11</f>
        <v>77.98085001435645</v>
      </c>
      <c r="Q12" s="52">
        <f>Q10-Q11</f>
        <v>90.46103394203722</v>
      </c>
      <c r="R12" s="52">
        <f>R10-R11</f>
        <v>102.20740717657418</v>
      </c>
    </row>
    <row r="13">
      <c r="A13" s="2" t="inlineStr">
        <is>
          <t>Earnings per Share</t>
        </is>
      </c>
      <c r="B13" s="11">
        <f>IFERROR(B12/B14,0)</f>
        <v>0.538884233082627</v>
      </c>
      <c r="C13" s="11">
        <f>IFERROR(C12/C14,0)</f>
        <v>-1.0202608909672655</v>
      </c>
      <c r="D13" s="11">
        <f>IFERROR(D12/D14,0)</f>
        <v>-119.79344736706115</v>
      </c>
      <c r="E13" s="11">
        <f>IFERROR(E12/E14,0)</f>
        <v>-14.447581598864712</v>
      </c>
      <c r="F13" s="11">
        <f>IFERROR(F12/F14,0)</f>
        <v>-28.21873764046251</v>
      </c>
      <c r="G13" s="11">
        <f>IFERROR(G12/G14,0)</f>
        <v>-1.132637716030817</v>
      </c>
      <c r="H13" s="11">
        <f>IFERROR(H12/H14,0)</f>
        <v>0.020207104846828708</v>
      </c>
      <c r="I13" s="11">
        <f>IFERROR(I12/I14,0)</f>
        <v>0.13826446673960466</v>
      </c>
      <c r="J13" s="11">
        <f>IFERROR(J12/J14,0)</f>
        <v>0.24984198224509443</v>
      </c>
      <c r="K13" s="11">
        <f>IFERROR(K12/K14,0)</f>
        <v>0.3873049374221083</v>
      </c>
      <c r="L13" s="11">
        <f>IFERROR(L12/L14,0)</f>
        <v>0.5502645804271398</v>
      </c>
      <c r="M13" s="11">
        <f>IFERROR(M12/M14,0)</f>
        <v>0.736615112844798</v>
      </c>
      <c r="N13" s="11">
        <f>IFERROR(N12/N14,0)</f>
        <v>0.9423635143631626</v>
      </c>
      <c r="O13" s="11">
        <f>IFERROR(O12/O14,0)</f>
        <v>1.1616108202683797</v>
      </c>
      <c r="P13" s="11">
        <f>IFERROR(P12/P14,0)</f>
        <v>1.386714971070849</v>
      </c>
      <c r="Q13" s="11">
        <f>IFERROR(Q12/Q14,0)</f>
        <v>1.6086471235293893</v>
      </c>
      <c r="R13" s="11">
        <f>IFERROR(R12/R14,0)</f>
        <v>1.817530094375687</v>
      </c>
    </row>
    <row r="14">
      <c r="A14" s="2" t="inlineStr">
        <is>
          <t>Shares</t>
        </is>
      </c>
      <c r="B14" s="52" t="n">
        <v>94.267</v>
      </c>
      <c r="C14" s="52" t="n">
        <v>203.15</v>
      </c>
      <c r="D14" s="52" t="n">
        <v>19.351</v>
      </c>
      <c r="E14" s="52" t="n">
        <v>33.824</v>
      </c>
      <c r="F14" s="52" t="n">
        <v>42.983</v>
      </c>
      <c r="G14" s="52" t="n">
        <v>43.223</v>
      </c>
      <c r="H14" s="52" t="n">
        <v>55.624</v>
      </c>
      <c r="I14" s="52">
        <f>Main!$C$4</f>
        <v>56.234231</v>
      </c>
      <c r="J14" s="52">
        <f>Main!$C$4</f>
        <v>56.234231</v>
      </c>
      <c r="K14" s="52">
        <f>Main!$C$4</f>
        <v>56.234231</v>
      </c>
      <c r="L14" s="52">
        <f>Main!$C$4</f>
        <v>56.234231</v>
      </c>
      <c r="M14" s="52">
        <f>Main!$C$4</f>
        <v>56.234231</v>
      </c>
      <c r="N14" s="52">
        <f>Main!$C$4</f>
        <v>56.234231</v>
      </c>
      <c r="O14" s="52">
        <f>Main!$C$4</f>
        <v>56.234231</v>
      </c>
      <c r="P14" s="52">
        <f>Main!$C$4</f>
        <v>56.234231</v>
      </c>
      <c r="Q14" s="52">
        <f>Main!$C$4</f>
        <v>56.234231</v>
      </c>
      <c r="R14" s="52">
        <f>Main!$C$4</f>
        <v>56.234231</v>
      </c>
    </row>
    <row r="15"/>
    <row r="16" customFormat="1" s="4">
      <c r="A16" s="3" t="inlineStr">
        <is>
          <t>Revenue Change</t>
        </is>
      </c>
      <c r="C16" s="15">
        <f>IFERROR(C2/B2-1,"")</f>
        <v>3.9117428226903046</v>
      </c>
      <c r="D16" s="15">
        <f>IFERROR(D2/C2-1,"")</f>
        <v>0.1545247982449267</v>
      </c>
      <c r="E16" s="15">
        <f>IFERROR(E2/D2-1,"")</f>
        <v>-0.07797202164431649</v>
      </c>
      <c r="F16" s="15">
        <f>IFERROR(F2/E2-1,"")</f>
        <v>-0.12815882705084558</v>
      </c>
      <c r="G16" s="15">
        <f>IFERROR(G2/F2-1,"")</f>
        <v>0.07165852450527921</v>
      </c>
      <c r="H16" s="15">
        <f>IFERROR(H2/G2-1,"")</f>
        <v>0.2731660434435528</v>
      </c>
      <c r="I16" s="15">
        <f>IFERROR(I2/H2-1,"")</f>
        <v>0.1724000000000001</v>
      </c>
      <c r="J16" s="15">
        <f>IFERROR(J2/I2-1,"")</f>
        <v>0.15602222222222228</v>
      </c>
      <c r="K16" s="15">
        <f>IFERROR(K2/J2-1,"")</f>
        <v>0.13964444444444446</v>
      </c>
      <c r="L16" s="15">
        <f>IFERROR(L2/K2-1,"")</f>
        <v>0.12326666666666664</v>
      </c>
      <c r="M16" s="15">
        <f>IFERROR(M2/L2-1,"")</f>
        <v>0.10688888888888881</v>
      </c>
      <c r="N16" s="15">
        <f>IFERROR(N2/M2-1,"")</f>
        <v>0.09051111111111121</v>
      </c>
      <c r="O16" s="15">
        <f>IFERROR(O2/N2-1,"")</f>
        <v>0.07413333333333338</v>
      </c>
      <c r="P16" s="15">
        <f>IFERROR(P2/O2-1,"")</f>
        <v>0.05775555555555556</v>
      </c>
      <c r="Q16" s="15">
        <f>IFERROR(Q2/P2-1,"")</f>
        <v>0.041377777777777736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-1.7351771557585245</v>
      </c>
      <c r="C18" s="15">
        <f>IFERROR(C8/C2,"")</f>
        <v>-1.174002977356421</v>
      </c>
      <c r="D18" s="15">
        <f>IFERROR(D8/D2,"")</f>
        <v>-1.4881327252655772</v>
      </c>
      <c r="E18" s="15">
        <f>IFERROR(E8/E2,"")</f>
        <v>-0.9799846904226817</v>
      </c>
      <c r="F18" s="15">
        <f>IFERROR(F8/F2,"")</f>
        <v>-0.9198822575924719</v>
      </c>
      <c r="G18" s="15">
        <f>IFERROR(G8/G2,"")</f>
        <v>-0.16726187975295165</v>
      </c>
      <c r="H18" s="15">
        <f>IFERROR(H8/H2,"")</f>
        <v>0.01441294277310959</v>
      </c>
      <c r="I18" s="15">
        <f>IFERROR(I8/I2,"")</f>
        <v>0.0329600000000001</v>
      </c>
      <c r="J18" s="15">
        <f>IFERROR(J8/J2,"")</f>
        <v>0.05151999999999998</v>
      </c>
      <c r="K18" s="15">
        <f>IFERROR(K8/K2,"")</f>
        <v>0.07007999999999993</v>
      </c>
      <c r="L18" s="15">
        <f>IFERROR(L8/L2,"")</f>
        <v>0.08863999999999995</v>
      </c>
      <c r="M18" s="15">
        <f>IFERROR(M8/M2,"")</f>
        <v>0.1072</v>
      </c>
      <c r="N18" s="15">
        <f>IFERROR(N8/N2,"")</f>
        <v>0.12575999999999996</v>
      </c>
      <c r="O18" s="15">
        <f>IFERROR(O8/O2,"")</f>
        <v>0.14432000000000003</v>
      </c>
      <c r="P18" s="15">
        <f>IFERROR(P8/P2,"")</f>
        <v>0.16288</v>
      </c>
      <c r="Q18" s="15">
        <f>IFERROR(Q8/Q2,"")</f>
        <v>0.18144000000000007</v>
      </c>
      <c r="R18" s="15">
        <f>IFERROR(R8/R2,"")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Aurora Cannabis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0.1224</v>
      </c>
      <c r="C12" s="53" t="n">
        <v>0.1724</v>
      </c>
      <c r="D12" s="53" t="n">
        <v>0.2224</v>
      </c>
      <c r="E12" s="54">
        <f>CHOOSE($B$4,B12,C12,D12)</f>
        <v>0.1724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0.0144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0.0109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45747</v>
      </c>
    </row>
    <row r="24">
      <c r="A24" s="14" t="inlineStr">
        <is>
          <t>Reporting currency per USD (CAD)</t>
        </is>
      </c>
      <c r="B24" s="32" t="n">
        <v>1.4161</v>
      </c>
    </row>
    <row r="25">
      <c r="A25" s="14" t="inlineStr">
        <is>
          <t>Base revenue, FY2025</t>
        </is>
      </c>
      <c r="B25" s="55">
        <f>'Yearly Model'!H2</f>
        <v>242.421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489.42378701207514</v>
      </c>
      <c r="C29" s="56">
        <f>NPV!B26</f>
        <v>557.2028986567329</v>
      </c>
      <c r="D29" s="35">
        <f>NPV!B28</f>
        <v>9.908607066338881</v>
      </c>
      <c r="E29" s="57">
        <f>NPV!B30</f>
        <v>1.4958707975664685</v>
      </c>
    </row>
    <row r="30">
      <c r="A30" s="58" t="n">
        <v>1</v>
      </c>
      <c r="B30" s="59">
        <f t="dataTable" ref="B30:E32" r1="B4"/>
        <v>248.66918030917284</v>
      </c>
      <c r="C30" s="59">
        <v>316.4482919538307</v>
      </c>
      <c r="D30" s="39">
        <v>5.627324964287867</v>
      </c>
      <c r="E30" s="60">
        <v>0.4174622076291856</v>
      </c>
    </row>
    <row r="31">
      <c r="A31" s="58" t="n">
        <v>2</v>
      </c>
      <c r="B31" s="59">
        <v>489.42378701207514</v>
      </c>
      <c r="C31" s="59">
        <v>557.2028986567329</v>
      </c>
      <c r="D31" s="39">
        <v>9.908607066338881</v>
      </c>
      <c r="E31" s="60">
        <v>1.4958707975664685</v>
      </c>
    </row>
    <row r="32">
      <c r="A32" s="58" t="n">
        <v>3</v>
      </c>
      <c r="B32" s="59">
        <v>929.8734684641829</v>
      </c>
      <c r="C32" s="59">
        <v>997.6525801088408</v>
      </c>
      <c r="D32" s="39">
        <v>17.741019346540735</v>
      </c>
      <c r="E32" s="60">
        <v>3.468770616257112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9.908607066338881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11.803495314839955</v>
      </c>
      <c r="C37" s="39">
        <v>12.397104949057155</v>
      </c>
      <c r="D37" s="39">
        <v>13.065304215911961</v>
      </c>
      <c r="E37" s="39">
        <v>13.82301760464006</v>
      </c>
      <c r="F37" s="39">
        <v>14.689433850121791</v>
      </c>
    </row>
    <row r="38">
      <c r="A38" s="62" t="n">
        <v>0.115</v>
      </c>
      <c r="B38" s="39">
        <v>10.339210746198306</v>
      </c>
      <c r="C38" s="39">
        <v>10.79281151629126</v>
      </c>
      <c r="D38" s="39">
        <v>11.297132708502144</v>
      </c>
      <c r="E38" s="39">
        <v>11.861130316640395</v>
      </c>
      <c r="F38" s="39">
        <v>12.495999418713756</v>
      </c>
    </row>
    <row r="39">
      <c r="A39" s="62" t="n">
        <v>0.125</v>
      </c>
      <c r="B39" s="39">
        <v>9.164584065951837</v>
      </c>
      <c r="C39" s="39">
        <v>9.518752988029004</v>
      </c>
      <c r="D39" s="39">
        <v>9.908607066338881</v>
      </c>
      <c r="E39" s="39">
        <v>10.339785198422257</v>
      </c>
      <c r="F39" s="39">
        <v>10.819179440795494</v>
      </c>
    </row>
    <row r="40">
      <c r="A40" s="62" t="n">
        <v>0.135</v>
      </c>
      <c r="B40" s="39">
        <v>8.205440233897518</v>
      </c>
      <c r="C40" s="39">
        <v>8.486929329021917</v>
      </c>
      <c r="D40" s="39">
        <v>8.794235923630199</v>
      </c>
      <c r="E40" s="39">
        <v>9.131051909274841</v>
      </c>
      <c r="F40" s="39">
        <v>9.501807614794838</v>
      </c>
    </row>
    <row r="41">
      <c r="A41" s="62" t="n">
        <v>0.145</v>
      </c>
      <c r="B41" s="39">
        <v>7.410585130682654</v>
      </c>
      <c r="C41" s="39">
        <v>7.637666423096485</v>
      </c>
      <c r="D41" s="39">
        <v>7.883866390202705</v>
      </c>
      <c r="E41" s="39">
        <v>8.151681879669907</v>
      </c>
      <c r="F41" s="39">
        <v>8.444063761263722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Aurora Cannabis Inc.: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0.1724</v>
      </c>
      <c r="D5" s="63">
        <f>Assumptions!$E$12+(Assumptions!$E$11-Assumptions!$E$12)*(D4-1)/(Assumptions!$B$21-1)</f>
        <v>0.15602222222222223</v>
      </c>
      <c r="E5" s="63">
        <f>Assumptions!$E$12+(Assumptions!$E$11-Assumptions!$E$12)*(E4-1)/(Assumptions!$B$21-1)</f>
        <v>0.13964444444444443</v>
      </c>
      <c r="F5" s="63">
        <f>Assumptions!$E$12+(Assumptions!$E$11-Assumptions!$E$12)*(F4-1)/(Assumptions!$B$21-1)</f>
        <v>0.12326666666666666</v>
      </c>
      <c r="G5" s="63">
        <f>Assumptions!$E$12+(Assumptions!$E$11-Assumptions!$E$12)*(G4-1)/(Assumptions!$B$21-1)</f>
        <v>0.10688888888888888</v>
      </c>
      <c r="H5" s="63">
        <f>Assumptions!$E$12+(Assumptions!$E$11-Assumptions!$E$12)*(H4-1)/(Assumptions!$B$21-1)</f>
        <v>0.09051111111111111</v>
      </c>
      <c r="I5" s="63">
        <f>Assumptions!$E$12+(Assumptions!$E$11-Assumptions!$E$12)*(I4-1)/(Assumptions!$B$21-1)</f>
        <v>0.07413333333333333</v>
      </c>
      <c r="J5" s="63">
        <f>Assumptions!$E$12+(Assumptions!$E$11-Assumptions!$E$12)*(J4-1)/(Assumptions!$B$21-1)</f>
        <v>0.057755555555555546</v>
      </c>
      <c r="K5" s="63">
        <f>Assumptions!$E$12+(Assumptions!$E$11-Assumptions!$E$12)*(K4-1)/(Assumptions!$B$21-1)</f>
        <v>0.04137777777777776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0.01441294277310959</v>
      </c>
      <c r="C6" s="63">
        <f>Assumptions!$B$18+(Assumptions!$E$13-Assumptions!$B$18)*C4/Assumptions!$B$21</f>
        <v>0.03296</v>
      </c>
      <c r="D6" s="63">
        <f>Assumptions!$B$18+(Assumptions!$E$13-Assumptions!$B$18)*D4/Assumptions!$B$21</f>
        <v>0.051519999999999996</v>
      </c>
      <c r="E6" s="63">
        <f>Assumptions!$B$18+(Assumptions!$E$13-Assumptions!$B$18)*E4/Assumptions!$B$21</f>
        <v>0.07008</v>
      </c>
      <c r="F6" s="63">
        <f>Assumptions!$B$18+(Assumptions!$E$13-Assumptions!$B$18)*F4/Assumptions!$B$21</f>
        <v>0.08864</v>
      </c>
      <c r="G6" s="63">
        <f>Assumptions!$B$18+(Assumptions!$E$13-Assumptions!$B$18)*G4/Assumptions!$B$21</f>
        <v>0.1072</v>
      </c>
      <c r="H6" s="63">
        <f>Assumptions!$B$18+(Assumptions!$E$13-Assumptions!$B$18)*H4/Assumptions!$B$21</f>
        <v>0.12576</v>
      </c>
      <c r="I6" s="63">
        <f>Assumptions!$B$18+(Assumptions!$E$13-Assumptions!$B$18)*I4/Assumptions!$B$21</f>
        <v>0.14432</v>
      </c>
      <c r="J6" s="63">
        <f>Assumptions!$B$18+(Assumptions!$E$13-Assumptions!$B$18)*J4/Assumptions!$B$21</f>
        <v>0.16288</v>
      </c>
      <c r="K6" s="63">
        <f>Assumptions!$B$18+(Assumptions!$E$13-Assumptions!$B$18)*K4/Assumptions!$B$21</f>
        <v>0.18144000000000002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Model'!H2</f>
        <v>242.421</v>
      </c>
      <c r="C7" s="55">
        <f>'Yearly Model'!I2</f>
        <v>284.21438040000004</v>
      </c>
      <c r="D7" s="55">
        <f>'Yearly Model'!J2</f>
        <v>328.55813961752006</v>
      </c>
      <c r="E7" s="55">
        <f>'Yearly Model'!K2</f>
        <v>374.4394584921089</v>
      </c>
      <c r="F7" s="55">
        <f>'Yearly Model'!L2</f>
        <v>420.5953624089028</v>
      </c>
      <c r="G7" s="55">
        <f>'Yearly Model'!M2</f>
        <v>465.55233336860994</v>
      </c>
      <c r="H7" s="55">
        <f>'Yearly Model'!N2</f>
        <v>507.6899923421733</v>
      </c>
      <c r="I7" s="55">
        <f>'Yearly Model'!O2</f>
        <v>545.3267437744731</v>
      </c>
      <c r="J7" s="55">
        <f>'Yearly Model'!P2</f>
        <v>576.8223928204699</v>
      </c>
      <c r="K7" s="55">
        <f>'Yearly Model'!Q2</f>
        <v>600.6900216078413</v>
      </c>
      <c r="L7" s="55">
        <f>'Yearly Model'!R2</f>
        <v>615.7072721480373</v>
      </c>
    </row>
    <row r="8">
      <c r="A8" s="14" t="inlineStr">
        <is>
          <t>Operating income</t>
        </is>
      </c>
      <c r="B8" s="55">
        <f>'Yearly Model'!H8</f>
        <v>3.4939999999999998</v>
      </c>
      <c r="C8" s="55">
        <f>'Yearly Model'!I8</f>
        <v>9.36770597798403</v>
      </c>
      <c r="D8" s="55">
        <f>'Yearly Model'!J8</f>
        <v>16.927315353094627</v>
      </c>
      <c r="E8" s="55">
        <f>'Yearly Model'!K8</f>
        <v>26.240717251126966</v>
      </c>
      <c r="F8" s="55">
        <f>'Yearly Model'!L8</f>
        <v>37.281572923925125</v>
      </c>
      <c r="G8" s="55">
        <f>'Yearly Model'!M8</f>
        <v>49.90721013711499</v>
      </c>
      <c r="H8" s="55">
        <f>'Yearly Model'!N8</f>
        <v>63.847093436951695</v>
      </c>
      <c r="I8" s="55">
        <f>'Yearly Model'!O8</f>
        <v>78.70155566153198</v>
      </c>
      <c r="J8" s="55">
        <f>'Yearly Model'!P8</f>
        <v>93.95283134259813</v>
      </c>
      <c r="K8" s="55">
        <f>'Yearly Model'!Q8</f>
        <v>108.98919752052677</v>
      </c>
      <c r="L8" s="55">
        <f>'Yearly Model'!R8</f>
        <v>123.14145442960745</v>
      </c>
    </row>
    <row r="9">
      <c r="A9" s="14" t="inlineStr">
        <is>
          <t>Tax on operating income</t>
        </is>
      </c>
      <c r="C9" s="52">
        <f>MAX(0,C8)*Assumptions!$E$14</f>
        <v>1.5925100162572854</v>
      </c>
      <c r="D9" s="52">
        <f>MAX(0,D8)*Assumptions!$E$14</f>
        <v>2.877643610026087</v>
      </c>
      <c r="E9" s="52">
        <f>MAX(0,E8)*Assumptions!$E$14</f>
        <v>4.460921932691584</v>
      </c>
      <c r="F9" s="52">
        <f>MAX(0,F8)*Assumptions!$E$14</f>
        <v>6.337867397067272</v>
      </c>
      <c r="G9" s="52">
        <f>MAX(0,G8)*Assumptions!$E$14</f>
        <v>8.484225723309548</v>
      </c>
      <c r="H9" s="52">
        <f>MAX(0,H8)*Assumptions!$E$14</f>
        <v>10.854005884281788</v>
      </c>
      <c r="I9" s="52">
        <f>MAX(0,I8)*Assumptions!$E$14</f>
        <v>13.379264462460439</v>
      </c>
      <c r="J9" s="52">
        <f>MAX(0,J8)*Assumptions!$E$14</f>
        <v>15.971981328241684</v>
      </c>
      <c r="K9" s="52">
        <f>MAX(0,K8)*Assumptions!$E$14</f>
        <v>18.528163578489554</v>
      </c>
      <c r="L9" s="52">
        <f>MAX(0,L8)*Assumptions!$E$14</f>
        <v>20.934047253033267</v>
      </c>
    </row>
    <row r="10">
      <c r="A10" s="14" t="inlineStr">
        <is>
          <t>NOPAT</t>
        </is>
      </c>
      <c r="C10" s="52">
        <f>C8-C9</f>
        <v>7.775195961726745</v>
      </c>
      <c r="D10" s="52">
        <f>D8-D9</f>
        <v>14.04967174306854</v>
      </c>
      <c r="E10" s="52">
        <f>E8-E9</f>
        <v>21.779795318435383</v>
      </c>
      <c r="F10" s="52">
        <f>F8-F9</f>
        <v>30.943705526857855</v>
      </c>
      <c r="G10" s="52">
        <f>G8-G9</f>
        <v>41.42298441380544</v>
      </c>
      <c r="H10" s="52">
        <f>H8-H9</f>
        <v>52.993087552669905</v>
      </c>
      <c r="I10" s="52">
        <f>I8-I9</f>
        <v>65.32229119907154</v>
      </c>
      <c r="J10" s="52">
        <f>J8-J9</f>
        <v>77.98085001435645</v>
      </c>
      <c r="K10" s="52">
        <f>K8-K9</f>
        <v>90.46103394203722</v>
      </c>
      <c r="L10" s="52">
        <f>L8-L9</f>
        <v>102.20740717657418</v>
      </c>
    </row>
    <row r="11">
      <c r="A11" s="14" t="inlineStr">
        <is>
          <t>Reinvestment</t>
        </is>
      </c>
      <c r="C11" s="52">
        <f>(C7-B7)*Assumptions!$E$15</f>
        <v>10.448345100000012</v>
      </c>
      <c r="D11" s="52">
        <f>(D7-C7)*Assumptions!$E$15</f>
        <v>11.085939804380004</v>
      </c>
      <c r="E11" s="52">
        <f>(E7-D7)*Assumptions!$E$15</f>
        <v>11.470329718647207</v>
      </c>
      <c r="F11" s="52">
        <f>(F7-E7)*Assumptions!$E$15</f>
        <v>11.538975979198483</v>
      </c>
      <c r="G11" s="52">
        <f>(G7-F7)*Assumptions!$E$15</f>
        <v>11.23924273992678</v>
      </c>
      <c r="H11" s="52">
        <f>(H7-G7)*Assumptions!$E$15</f>
        <v>10.53441474339084</v>
      </c>
      <c r="I11" s="52">
        <f>(I7-H7)*Assumptions!$E$15</f>
        <v>9.409187858074958</v>
      </c>
      <c r="J11" s="52">
        <f>(J7-I7)*Assumptions!$E$15</f>
        <v>7.873912261499186</v>
      </c>
      <c r="K11" s="52">
        <f>(K7-J7)*Assumptions!$E$15</f>
        <v>5.966907196842868</v>
      </c>
      <c r="L11" s="52">
        <f>(L7-K7)*Assumptions!$E$15</f>
        <v>3.75431263504899</v>
      </c>
    </row>
    <row r="12">
      <c r="A12" s="20" t="inlineStr">
        <is>
          <t>Free cash flow</t>
        </is>
      </c>
      <c r="C12" s="64">
        <f>C10-C11</f>
        <v>-2.673149138273266</v>
      </c>
      <c r="D12" s="64">
        <f>D10-D11</f>
        <v>2.963731938688536</v>
      </c>
      <c r="E12" s="64">
        <f>E10-E11</f>
        <v>10.309465599788176</v>
      </c>
      <c r="F12" s="64">
        <f>F10-F11</f>
        <v>19.40472954765937</v>
      </c>
      <c r="G12" s="64">
        <f>G10-G11</f>
        <v>30.183741673878657</v>
      </c>
      <c r="H12" s="64">
        <f>H10-H11</f>
        <v>42.458672809279065</v>
      </c>
      <c r="I12" s="64">
        <f>I10-I11</f>
        <v>55.913103340996585</v>
      </c>
      <c r="J12" s="64">
        <f>J10-J11</f>
        <v>70.10693775285726</v>
      </c>
      <c r="K12" s="64">
        <f>K10-K11</f>
        <v>84.49412674519435</v>
      </c>
      <c r="L12" s="64">
        <f>L10-L11</f>
        <v>98.45309454152519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-2.520269177061337</v>
      </c>
      <c r="D16" s="64">
        <f>D12*D13*D15</f>
        <v>2.483762905440968</v>
      </c>
      <c r="E16" s="64">
        <f>E12*E13*E15</f>
        <v>7.679887313666799</v>
      </c>
      <c r="F16" s="64">
        <f>F12*F13*F15</f>
        <v>12.849131258021664</v>
      </c>
      <c r="G16" s="64">
        <f>G12*G13*G15</f>
        <v>17.765879998978185</v>
      </c>
      <c r="H16" s="64">
        <f>H12*H13*H15</f>
        <v>22.214039574183456</v>
      </c>
      <c r="I16" s="64">
        <f>I12*I13*I15</f>
        <v>26.002924897221508</v>
      </c>
      <c r="J16" s="64">
        <f>J12*J13*J15</f>
        <v>28.981247737526022</v>
      </c>
      <c r="K16" s="64">
        <f>K12*K13*K15</f>
        <v>31.04774630247521</v>
      </c>
      <c r="L16" s="64">
        <f>L12*L13*L15</f>
        <v>32.15736151420578</v>
      </c>
    </row>
    <row r="19">
      <c r="A19" s="14" t="inlineStr">
        <is>
          <t>PV of forecast free cash flow</t>
        </is>
      </c>
      <c r="B19" s="52">
        <f>SUM(C16:L16)</f>
        <v>178.66171232465825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100.91442190506329</v>
      </c>
    </row>
    <row r="21">
      <c r="A21" s="14" t="inlineStr">
        <is>
          <t>Terminal value</t>
        </is>
      </c>
      <c r="B21" s="52">
        <f>B20/(Assumptions!$E$10-Assumptions!$E$11)</f>
        <v>1009.1442190506328</v>
      </c>
    </row>
    <row r="22">
      <c r="A22" s="14" t="inlineStr">
        <is>
          <t>PV of terminal value</t>
        </is>
      </c>
      <c r="B22" s="52">
        <f>B21/(1+Assumptions!$E$10)^(L14+0.5)</f>
        <v>310.7620746874169</v>
      </c>
    </row>
    <row r="23">
      <c r="A23" s="20" t="inlineStr">
        <is>
          <t>Enterprise value</t>
        </is>
      </c>
      <c r="B23" s="66">
        <f>B19+B22</f>
        <v>489.42378701207514</v>
      </c>
    </row>
    <row r="24">
      <c r="A24" s="14" t="inlineStr">
        <is>
          <t>Cash &amp; investments</t>
        </is>
      </c>
      <c r="B24" s="55">
        <f>Main!C7</f>
        <v>97.78617329284656</v>
      </c>
    </row>
    <row r="25">
      <c r="A25" s="14" t="inlineStr">
        <is>
          <t>Debt</t>
        </is>
      </c>
      <c r="B25" s="55">
        <f>Main!C8</f>
        <v>30.007061648188692</v>
      </c>
    </row>
    <row r="26">
      <c r="A26" s="20" t="inlineStr">
        <is>
          <t>Equity value</t>
        </is>
      </c>
      <c r="B26" s="66">
        <f>B23+B24-B25</f>
        <v>557.2028986567329</v>
      </c>
    </row>
    <row r="27">
      <c r="A27" s="14" t="inlineStr">
        <is>
          <t>Shares (mm)</t>
        </is>
      </c>
      <c r="B27" s="55">
        <f>Main!C4</f>
        <v>56.234231</v>
      </c>
    </row>
    <row r="28">
      <c r="A28" s="20" t="inlineStr">
        <is>
          <t>NPV / share</t>
        </is>
      </c>
      <c r="B28" s="49">
        <f>B26/B27</f>
        <v>9.908607066338881</v>
      </c>
    </row>
    <row r="29">
      <c r="A29" s="14" t="inlineStr">
        <is>
          <t>Price</t>
        </is>
      </c>
      <c r="B29" s="50">
        <f>Main!C3</f>
        <v>3.97</v>
      </c>
    </row>
    <row r="30">
      <c r="A30" s="14" t="inlineStr">
        <is>
          <t>Upside</t>
        </is>
      </c>
      <c r="B30" s="63">
        <f>B28/B29-1</f>
        <v>1.4958707975664685</v>
      </c>
    </row>
    <row r="31">
      <c r="A31" s="14" t="inlineStr">
        <is>
          <t>Terminal value, % of EV</t>
        </is>
      </c>
      <c r="B31" s="63">
        <f>IFERROR(B22/B23,0)</f>
        <v>0.6349549877512384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2026-10-21T06:26:38Z</dcterms:modified>
  <cp:lastModifiedBy>Wang, Eric</cp:lastModifiedBy>
</cp:coreProperties>
</file>