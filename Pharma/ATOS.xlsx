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Atossa Therapeutics Inc</t>
        </is>
      </c>
      <c r="C2" s="10" t="n"/>
    </row>
    <row r="3">
      <c r="B3" t="inlineStr">
        <is>
          <t>Price</t>
        </is>
      </c>
      <c r="C3" s="11">
        <f>INDEX([1]Pharma!$F$1:$F$1000,MATCH("ATOS",[1]Pharma!$B$1:$B$1000,0))</f>
        <v>2.54</v>
      </c>
      <c r="F3" s="1" t="n"/>
    </row>
    <row r="4">
      <c r="B4" t="inlineStr">
        <is>
          <t>Shares</t>
        </is>
      </c>
      <c r="C4" s="21" t="n">
        <v>9.979298</v>
      </c>
      <c r="F4" s="1" t="n"/>
    </row>
    <row r="5">
      <c r="B5" t="inlineStr">
        <is>
          <t>Market Cap.</t>
        </is>
      </c>
      <c r="C5" s="13">
        <f>C3*C4</f>
        <v>25.34741692</v>
      </c>
      <c r="F5" s="1" t="n"/>
    </row>
    <row r="6"/>
    <row r="7">
      <c r="B7" t="inlineStr">
        <is>
          <t>Cash</t>
        </is>
      </c>
      <c r="C7" s="21" t="n">
        <v>26.094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-0.7465830800000006</v>
      </c>
    </row>
    <row r="10"/>
    <row r="11">
      <c r="B11" s="14" t="inlineStr">
        <is>
          <t>Net Cash / Share</t>
        </is>
      </c>
      <c r="C11" s="11">
        <f>(C7-C8)/C4</f>
        <v>2.614813186258192</v>
      </c>
    </row>
    <row r="12">
      <c r="B12" s="14" t="inlineStr">
        <is>
          <t>Upside</t>
        </is>
      </c>
      <c r="C12" s="15">
        <f>IFERROR(C11/C3-1,"")</f>
        <v>0.029454010337870873</v>
      </c>
    </row>
    <row r="13">
      <c r="B13" s="14" t="inlineStr">
        <is>
          <t>Cash / Share</t>
        </is>
      </c>
      <c r="C13" s="11">
        <f>IFERROR((C7-C8)/C4,"")</f>
        <v>2.614813186258192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-35.769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0.7295143839637676</v>
      </c>
    </row>
    <row r="19">
      <c r="B19" s="14" t="inlineStr">
        <is>
          <t>Implied Pipeline Value</t>
        </is>
      </c>
      <c r="C19" s="13">
        <f>C9</f>
        <v>-0.7465830800000006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0.002</v>
      </c>
      <c r="D2" s="23" t="n">
        <v>0.482</v>
      </c>
      <c r="E2" s="23" t="n">
        <v>0.633</v>
      </c>
      <c r="F2" s="23" t="n">
        <v>0.04</v>
      </c>
      <c r="G2" s="23" t="n">
        <v>0.002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0.005</v>
      </c>
      <c r="D3" s="23" t="n">
        <v>0.036</v>
      </c>
      <c r="E3" s="23" t="n">
        <v>0.346</v>
      </c>
      <c r="F3" s="23" t="n">
        <v>0</v>
      </c>
      <c r="G3" s="23" t="n">
        <v>0.132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-0.003</v>
      </c>
      <c r="D4" s="23">
        <f>D2-D3</f>
        <v>0.446</v>
      </c>
      <c r="E4" s="23">
        <f>E2-E3</f>
        <v>0.28700000000000003</v>
      </c>
      <c r="F4" s="23">
        <f>F2-F3</f>
        <v>0.04</v>
      </c>
      <c r="G4" s="23">
        <f>G2-G3</f>
        <v>-0.13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1.974</v>
      </c>
      <c r="E5" s="23" t="n">
        <v>1.105</v>
      </c>
      <c r="F5" s="23" t="n">
        <v>1.11</v>
      </c>
      <c r="G5" s="23" t="n">
        <v>2.36</v>
      </c>
      <c r="H5" s="23" t="n">
        <v>0.77</v>
      </c>
      <c r="I5" s="23" t="n">
        <v>2.328</v>
      </c>
      <c r="J5" s="23" t="n">
        <v>4.21</v>
      </c>
      <c r="K5" s="23" t="n">
        <v>6.645</v>
      </c>
      <c r="L5" s="23" t="n">
        <v>6.608</v>
      </c>
      <c r="M5" s="23" t="n">
        <v>9.210000000000001</v>
      </c>
      <c r="N5" s="23" t="n">
        <v>15.083</v>
      </c>
      <c r="O5" s="23" t="n">
        <v>17.334</v>
      </c>
      <c r="P5" s="23" t="n">
        <v>14.117</v>
      </c>
      <c r="Q5" s="23" t="n">
        <v>21.185</v>
      </c>
    </row>
    <row r="6">
      <c r="A6" s="19" t="inlineStr">
        <is>
          <t>SG&amp;A &amp; Other</t>
        </is>
      </c>
      <c r="B6" s="23" t="n">
        <v>1.087</v>
      </c>
      <c r="C6" s="23" t="n">
        <v>3.426</v>
      </c>
      <c r="D6" s="23" t="n">
        <v>3.541</v>
      </c>
      <c r="E6" s="23" t="n">
        <v>9.967000000000001</v>
      </c>
      <c r="F6" s="23" t="n">
        <v>11.101</v>
      </c>
      <c r="G6" s="23" t="n">
        <v>10.268</v>
      </c>
      <c r="H6" s="23" t="n">
        <v>7.198</v>
      </c>
      <c r="I6" s="23" t="n">
        <v>5.321</v>
      </c>
      <c r="J6" s="23" t="n">
        <v>7.224</v>
      </c>
      <c r="K6" s="23" t="n">
        <v>10.62</v>
      </c>
      <c r="L6" s="23" t="n">
        <v>7.999</v>
      </c>
      <c r="M6" s="23" t="n">
        <v>11.311</v>
      </c>
      <c r="N6" s="23" t="n">
        <v>12.608</v>
      </c>
      <c r="O6" s="23" t="n">
        <v>14.043</v>
      </c>
      <c r="P6" s="23" t="n">
        <v>13.504</v>
      </c>
      <c r="Q6" s="23" t="n">
        <v>15.956</v>
      </c>
    </row>
    <row r="7">
      <c r="A7" s="2" t="inlineStr">
        <is>
          <t>Operating Expense</t>
        </is>
      </c>
      <c r="B7" s="23">
        <f>SUM(B5:B6)</f>
        <v>1.087</v>
      </c>
      <c r="C7" s="23">
        <f>SUM(C5:C6)</f>
        <v>3.426</v>
      </c>
      <c r="D7" s="23">
        <f>SUM(D5:D6)</f>
        <v>5.515</v>
      </c>
      <c r="E7" s="23">
        <f>SUM(E5:E6)</f>
        <v>11.072000000000001</v>
      </c>
      <c r="F7" s="23">
        <f>SUM(F5:F6)</f>
        <v>12.211</v>
      </c>
      <c r="G7" s="23">
        <f>SUM(G5:G6)</f>
        <v>12.628</v>
      </c>
      <c r="H7" s="23">
        <f>SUM(H5:H6)</f>
        <v>7.968</v>
      </c>
      <c r="I7" s="23">
        <f>SUM(I5:I6)</f>
        <v>7.648999999999999</v>
      </c>
      <c r="J7" s="23">
        <f>SUM(J5:J6)</f>
        <v>11.434000000000001</v>
      </c>
      <c r="K7" s="23">
        <f>SUM(K5:K6)</f>
        <v>17.265</v>
      </c>
      <c r="L7" s="23">
        <f>SUM(L5:L6)</f>
        <v>14.607</v>
      </c>
      <c r="M7" s="23">
        <f>SUM(M5:M6)</f>
        <v>20.521</v>
      </c>
      <c r="N7" s="23">
        <f>SUM(N5:N6)</f>
        <v>27.691000000000003</v>
      </c>
      <c r="O7" s="23">
        <f>SUM(O5:O6)</f>
        <v>31.377</v>
      </c>
      <c r="P7" s="23">
        <f>SUM(P5:P6)</f>
        <v>27.621000000000002</v>
      </c>
      <c r="Q7" s="23">
        <f>SUM(Q5:Q6)</f>
        <v>37.141</v>
      </c>
    </row>
    <row r="8">
      <c r="A8" s="2" t="inlineStr">
        <is>
          <t>Operating Income</t>
        </is>
      </c>
      <c r="B8" s="23">
        <f>B4-B7</f>
        <v>-1.087</v>
      </c>
      <c r="C8" s="23">
        <f>C4-C7</f>
        <v>-3.4290000000000003</v>
      </c>
      <c r="D8" s="23">
        <f>D4-D7</f>
        <v>-5.069</v>
      </c>
      <c r="E8" s="23">
        <f>E4-E7</f>
        <v>-10.785</v>
      </c>
      <c r="F8" s="23">
        <f>F4-F7</f>
        <v>-12.171000000000001</v>
      </c>
      <c r="G8" s="23">
        <f>G4-G7</f>
        <v>-12.758000000000001</v>
      </c>
      <c r="H8" s="23">
        <f>H4-H7</f>
        <v>-7.968</v>
      </c>
      <c r="I8" s="23">
        <f>I4-I7</f>
        <v>-7.648999999999999</v>
      </c>
      <c r="J8" s="23">
        <f>J4-J7</f>
        <v>-11.434000000000001</v>
      </c>
      <c r="K8" s="23">
        <f>K4-K7</f>
        <v>-17.265</v>
      </c>
      <c r="L8" s="23">
        <f>L4-L7</f>
        <v>-14.607</v>
      </c>
      <c r="M8" s="23">
        <f>M4-M7</f>
        <v>-20.521</v>
      </c>
      <c r="N8" s="23">
        <f>N4-N7</f>
        <v>-27.691000000000003</v>
      </c>
      <c r="O8" s="23">
        <f>O4-O7</f>
        <v>-31.377</v>
      </c>
      <c r="P8" s="23">
        <f>P4-P7</f>
        <v>-27.621000000000002</v>
      </c>
      <c r="Q8" s="23">
        <f>Q4-Q7</f>
        <v>-37.141</v>
      </c>
    </row>
    <row r="9">
      <c r="A9" s="19" t="inlineStr">
        <is>
          <t>Interest &amp; Other</t>
        </is>
      </c>
      <c r="B9" s="23" t="n">
        <v>0</v>
      </c>
      <c r="C9" s="23" t="n">
        <v>-0.013</v>
      </c>
      <c r="D9" s="23" t="n">
        <v>-0.011</v>
      </c>
      <c r="E9" s="23" t="n">
        <v>-0</v>
      </c>
      <c r="F9" s="23" t="n">
        <v>-2.487</v>
      </c>
      <c r="G9" s="23" t="n">
        <v>-3.002</v>
      </c>
      <c r="H9" s="23" t="n">
        <v>1.6</v>
      </c>
      <c r="I9" s="23" t="n">
        <v>-0.473</v>
      </c>
      <c r="J9" s="23" t="n">
        <v>0.029</v>
      </c>
      <c r="K9" s="23" t="n">
        <v>0.026</v>
      </c>
      <c r="L9" s="23" t="n">
        <v>-3.221</v>
      </c>
      <c r="M9" s="23" t="n">
        <v>-0.08500000000000001</v>
      </c>
      <c r="N9" s="23" t="n">
        <v>0.731</v>
      </c>
      <c r="O9" s="23" t="n">
        <v>1.283</v>
      </c>
      <c r="P9" s="23" t="n">
        <v>2.117</v>
      </c>
      <c r="Q9" s="23" t="n">
        <v>2.371</v>
      </c>
    </row>
    <row r="10">
      <c r="A10" s="2" t="inlineStr">
        <is>
          <t>Pretax</t>
        </is>
      </c>
      <c r="B10" s="23">
        <f>B8+B9</f>
        <v>-1.087</v>
      </c>
      <c r="C10" s="23">
        <f>C8+C9</f>
        <v>-3.442</v>
      </c>
      <c r="D10" s="23">
        <f>D8+D9</f>
        <v>-5.08</v>
      </c>
      <c r="E10" s="23">
        <f>E8+E9</f>
        <v>-10.785</v>
      </c>
      <c r="F10" s="23">
        <f>F8+F9</f>
        <v>-14.658000000000001</v>
      </c>
      <c r="G10" s="23">
        <f>G8+G9</f>
        <v>-15.760000000000002</v>
      </c>
      <c r="H10" s="23">
        <f>H8+H9</f>
        <v>-6.368</v>
      </c>
      <c r="I10" s="23">
        <f>I8+I9</f>
        <v>-8.122</v>
      </c>
      <c r="J10" s="23">
        <f>J8+J9</f>
        <v>-11.405000000000001</v>
      </c>
      <c r="K10" s="23">
        <f>K8+K9</f>
        <v>-17.239</v>
      </c>
      <c r="L10" s="23">
        <f>L8+L9</f>
        <v>-17.828</v>
      </c>
      <c r="M10" s="23">
        <f>M8+M9</f>
        <v>-20.606</v>
      </c>
      <c r="N10" s="23">
        <f>N8+N9</f>
        <v>-26.96</v>
      </c>
      <c r="O10" s="23">
        <f>O8+O9</f>
        <v>-30.093999999999998</v>
      </c>
      <c r="P10" s="23">
        <f>P8+P9</f>
        <v>-25.504</v>
      </c>
      <c r="Q10" s="23">
        <f>Q8+Q9</f>
        <v>-34.769999999999996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-1.087</v>
      </c>
      <c r="C12" s="23" t="n">
        <v>-3.442</v>
      </c>
      <c r="D12" s="23" t="n">
        <v>-5.08</v>
      </c>
      <c r="E12" s="23" t="n">
        <v>-10.785</v>
      </c>
      <c r="F12" s="23" t="n">
        <v>-14.658</v>
      </c>
      <c r="G12" s="23" t="n">
        <v>-15.76</v>
      </c>
      <c r="H12" s="23" t="n">
        <v>-6.369</v>
      </c>
      <c r="I12" s="23" t="n">
        <v>-8.122999999999999</v>
      </c>
      <c r="J12" s="23" t="n">
        <v>-11.405</v>
      </c>
      <c r="K12" s="23" t="n">
        <v>-17.24</v>
      </c>
      <c r="L12" s="23" t="n">
        <v>-17.828</v>
      </c>
      <c r="M12" s="23" t="n">
        <v>-20.606</v>
      </c>
      <c r="N12" s="23" t="n">
        <v>-26.96</v>
      </c>
      <c r="O12" s="23" t="n">
        <v>-30.094</v>
      </c>
      <c r="P12" s="23" t="n">
        <v>-25.504</v>
      </c>
      <c r="Q12" s="23" t="n">
        <v>-34.77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-1.521662245800177</v>
      </c>
      <c r="D13" s="11">
        <f>IFERROR(D12/D14,0)</f>
        <v>-1.6440129449838188</v>
      </c>
      <c r="E13" s="11">
        <f>IFERROR(E12/E14,0)</f>
        <v>-2.8071317022384177</v>
      </c>
      <c r="F13" s="11">
        <f>IFERROR(F12/F14,0)</f>
        <v>-2.457746478873239</v>
      </c>
      <c r="G13" s="11">
        <f>IFERROR(G12/G14,0)</f>
        <v>-33.53191489361702</v>
      </c>
      <c r="H13" s="11">
        <f>IFERROR(H12/H14,0)</f>
        <v>-8.712722298221614</v>
      </c>
      <c r="I13" s="11">
        <f>IFERROR(I12/I14,0)</f>
        <v>-11.188705234159778</v>
      </c>
      <c r="J13" s="11">
        <f>IFERROR(J12/J14,0)</f>
        <v>-3.68497576736672</v>
      </c>
      <c r="K13" s="11">
        <f>IFERROR(K12/K14,0)</f>
        <v>-2.725691699604743</v>
      </c>
      <c r="L13" s="11">
        <f>IFERROR(L12/L14,0)</f>
        <v>-2.11784271798527</v>
      </c>
      <c r="M13" s="11">
        <f>IFERROR(M12/M14,0)</f>
        <v>-2.440312648034107</v>
      </c>
      <c r="N13" s="11">
        <f>IFERROR(N12/N14,0)</f>
        <v>-3.193556029376925</v>
      </c>
      <c r="O13" s="11">
        <f>IFERROR(O12/O14,0)</f>
        <v>-3.5804878048780493</v>
      </c>
      <c r="P13" s="11">
        <f>IFERROR(P12/P14,0)</f>
        <v>-3.039447026576094</v>
      </c>
      <c r="Q13" s="11">
        <f>IFERROR(Q12/Q14,0)</f>
        <v>-4.037858553013588</v>
      </c>
    </row>
    <row r="14">
      <c r="A14" s="2" t="inlineStr">
        <is>
          <t>Shares</t>
        </is>
      </c>
      <c r="B14" s="23" t="n"/>
      <c r="C14" s="23" t="n">
        <v>2.262</v>
      </c>
      <c r="D14" s="23" t="n">
        <v>3.09</v>
      </c>
      <c r="E14" s="23" t="n">
        <v>3.842</v>
      </c>
      <c r="F14" s="23" t="n">
        <v>5.964</v>
      </c>
      <c r="G14" s="23" t="n">
        <v>0.47</v>
      </c>
      <c r="H14" s="23" t="n">
        <v>0.731</v>
      </c>
      <c r="I14" s="23" t="n">
        <v>0.726</v>
      </c>
      <c r="J14" s="23" t="n">
        <v>3.095</v>
      </c>
      <c r="K14" s="23" t="n">
        <v>6.325</v>
      </c>
      <c r="L14" s="23" t="n">
        <v>8.417999999999999</v>
      </c>
      <c r="M14" s="23" t="n">
        <v>8.444000000000001</v>
      </c>
      <c r="N14" s="23" t="n">
        <v>8.442</v>
      </c>
      <c r="O14" s="23" t="n">
        <v>8.404999999999999</v>
      </c>
      <c r="P14" s="23" t="n">
        <v>8.391</v>
      </c>
      <c r="Q14" s="23" t="n">
        <v>8.611000000000001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240.0</v>
      </c>
      <c r="E16" s="15">
        <f>IFERROR(E2/D2-1,"")</f>
        <v>0.3132780082987552</v>
      </c>
      <c r="F16" s="15">
        <f>IFERROR(F2/E2-1,"")</f>
        <v>-0.9368088467614534</v>
      </c>
      <c r="G16" s="15">
        <f>IFERROR(G2/F2-1,"")</f>
        <v>-0.95</v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-1.5</v>
      </c>
      <c r="D17" s="15">
        <f>IFERROR(D4/D2,"")</f>
        <v>0.9253112033195021</v>
      </c>
      <c r="E17" s="15">
        <f>IFERROR(E4/E2,"")</f>
        <v>0.4533965244865719</v>
      </c>
      <c r="F17" s="15">
        <f>IFERROR(F4/F2,"")</f>
        <v>1.0</v>
      </c>
      <c r="G17" s="15">
        <f>IFERROR(G4/G2,"")</f>
        <v>-65.0</v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-1714.5</v>
      </c>
      <c r="D18" s="15">
        <f>IFERROR(D8/D2,"")</f>
        <v>-10.516597510373444</v>
      </c>
      <c r="E18" s="15">
        <f>IFERROR(E8/E2,"")</f>
        <v>-17.03791469194313</v>
      </c>
      <c r="F18" s="15">
        <f>IFERROR(F8/F2,"")</f>
        <v>-304.27500000000003</v>
      </c>
      <c r="G18" s="15">
        <f>IFERROR(G8/G2,"")</f>
        <v>-6379.0</v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2026-10-21T01:06:22Z</dcterms:modified>
  <cp:lastModifiedBy>Wang, Eric</cp:lastModifiedBy>
</cp:coreProperties>
</file>