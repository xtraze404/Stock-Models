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ic/Documents/Stock Models/Pharma/"/>
    </mc:Choice>
  </mc:AlternateContent>
  <xr:revisionPtr revIDLastSave="0" documentId="13_ncr:1_{3F1CDD68-E929-9148-AC27-E3A75B9B4B59}" xr6:coauthVersionLast="47" xr6:coauthVersionMax="47" xr10:uidLastSave="{00000000-0000-0000-0000-000000000000}"/>
  <bookViews>
    <workbookView xWindow="660" yWindow="660" windowWidth="28040" windowHeight="17160" activeTab="3" xr2:uid="{00000000-000D-0000-FFFF-FFFF00000000}"/>
  </bookViews>
  <sheets>
    <sheet name="Main" sheetId="1" r:id="rId1"/>
    <sheet name="Yearly Model" sheetId="2" r:id="rId2"/>
    <sheet name="Quarterly Model" sheetId="3" r:id="rId3"/>
    <sheet name="Assumptions" sheetId="4" r:id="rId4"/>
    <sheet name="Pipeline" sheetId="5" r:id="rId5"/>
    <sheet name="NPV" sheetId="6" r:id="rId6"/>
    <sheet name="Options" sheetId="7" r:id="rId7"/>
  </sheets>
  <externalReferences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6" l="1"/>
  <c r="E35" i="7"/>
  <c r="C35" i="7"/>
  <c r="F35" i="7" s="1"/>
  <c r="G35" i="7" s="1"/>
  <c r="E34" i="7"/>
  <c r="C34" i="7"/>
  <c r="F34" i="7" s="1"/>
  <c r="G34" i="7" s="1"/>
  <c r="E33" i="7"/>
  <c r="C33" i="7"/>
  <c r="F33" i="7" s="1"/>
  <c r="G33" i="7" s="1"/>
  <c r="E32" i="7"/>
  <c r="C32" i="7"/>
  <c r="E31" i="7"/>
  <c r="C31" i="7"/>
  <c r="H27" i="7"/>
  <c r="D27" i="7"/>
  <c r="D35" i="7" s="1"/>
  <c r="H26" i="7"/>
  <c r="D26" i="7"/>
  <c r="D34" i="7" s="1"/>
  <c r="H25" i="7"/>
  <c r="D25" i="7"/>
  <c r="D33" i="7" s="1"/>
  <c r="H24" i="7"/>
  <c r="D31" i="7" s="1"/>
  <c r="D24" i="7"/>
  <c r="H23" i="7"/>
  <c r="D23" i="7"/>
  <c r="H22" i="7"/>
  <c r="D32" i="7" s="1"/>
  <c r="D22" i="7"/>
  <c r="C18" i="7"/>
  <c r="D17" i="7"/>
  <c r="B17" i="7" s="1"/>
  <c r="D16" i="7"/>
  <c r="B16" i="7" s="1"/>
  <c r="D15" i="7"/>
  <c r="B15" i="7"/>
  <c r="B9" i="7"/>
  <c r="B6" i="7"/>
  <c r="B7" i="7" s="1"/>
  <c r="B5" i="7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C33" i="5"/>
  <c r="C34" i="5" s="1"/>
  <c r="E24" i="5"/>
  <c r="D24" i="5"/>
  <c r="D23" i="5"/>
  <c r="F22" i="5"/>
  <c r="E22" i="5"/>
  <c r="D22" i="5"/>
  <c r="E21" i="5"/>
  <c r="D21" i="5"/>
  <c r="D20" i="5"/>
  <c r="C19" i="5"/>
  <c r="C25" i="5" s="1"/>
  <c r="C15" i="5"/>
  <c r="D15" i="5" s="1"/>
  <c r="E15" i="5" s="1"/>
  <c r="F15" i="5" s="1"/>
  <c r="G15" i="5" s="1"/>
  <c r="H15" i="5" s="1"/>
  <c r="I15" i="5" s="1"/>
  <c r="J15" i="5" s="1"/>
  <c r="K15" i="5" s="1"/>
  <c r="L15" i="5" s="1"/>
  <c r="M15" i="5" s="1"/>
  <c r="N15" i="5" s="1"/>
  <c r="O15" i="5" s="1"/>
  <c r="P15" i="5" s="1"/>
  <c r="Q15" i="5" s="1"/>
  <c r="C14" i="5"/>
  <c r="D14" i="5" s="1"/>
  <c r="E14" i="5" s="1"/>
  <c r="F14" i="5" s="1"/>
  <c r="G14" i="5" s="1"/>
  <c r="H14" i="5" s="1"/>
  <c r="I14" i="5" s="1"/>
  <c r="J14" i="5" s="1"/>
  <c r="K14" i="5" s="1"/>
  <c r="L14" i="5" s="1"/>
  <c r="M14" i="5" s="1"/>
  <c r="N14" i="5" s="1"/>
  <c r="O14" i="5" s="1"/>
  <c r="P14" i="5" s="1"/>
  <c r="Q14" i="5" s="1"/>
  <c r="C13" i="5"/>
  <c r="D13" i="5" s="1"/>
  <c r="E13" i="5" s="1"/>
  <c r="F13" i="5" s="1"/>
  <c r="G13" i="5" s="1"/>
  <c r="H13" i="5" s="1"/>
  <c r="I13" i="5" s="1"/>
  <c r="J13" i="5" s="1"/>
  <c r="K13" i="5" s="1"/>
  <c r="L13" i="5" s="1"/>
  <c r="M13" i="5" s="1"/>
  <c r="N13" i="5" s="1"/>
  <c r="O13" i="5" s="1"/>
  <c r="P13" i="5" s="1"/>
  <c r="Q13" i="5" s="1"/>
  <c r="C12" i="5"/>
  <c r="D12" i="5" s="1"/>
  <c r="E12" i="5" s="1"/>
  <c r="F12" i="5" s="1"/>
  <c r="G12" i="5" s="1"/>
  <c r="H12" i="5" s="1"/>
  <c r="I12" i="5" s="1"/>
  <c r="J12" i="5" s="1"/>
  <c r="K12" i="5" s="1"/>
  <c r="L12" i="5" s="1"/>
  <c r="M12" i="5" s="1"/>
  <c r="N12" i="5" s="1"/>
  <c r="O12" i="5" s="1"/>
  <c r="P12" i="5" s="1"/>
  <c r="Q12" i="5" s="1"/>
  <c r="C11" i="5"/>
  <c r="D11" i="5" s="1"/>
  <c r="E11" i="5" s="1"/>
  <c r="F11" i="5" s="1"/>
  <c r="G11" i="5" s="1"/>
  <c r="H11" i="5" s="1"/>
  <c r="I11" i="5" s="1"/>
  <c r="J11" i="5" s="1"/>
  <c r="K11" i="5" s="1"/>
  <c r="L11" i="5" s="1"/>
  <c r="M11" i="5" s="1"/>
  <c r="N11" i="5" s="1"/>
  <c r="O11" i="5" s="1"/>
  <c r="P11" i="5" s="1"/>
  <c r="Q11" i="5" s="1"/>
  <c r="C10" i="5"/>
  <c r="D10" i="5" s="1"/>
  <c r="E10" i="5" s="1"/>
  <c r="F10" i="5" s="1"/>
  <c r="G10" i="5" s="1"/>
  <c r="H10" i="5" s="1"/>
  <c r="I10" i="5" s="1"/>
  <c r="J10" i="5" s="1"/>
  <c r="K10" i="5" s="1"/>
  <c r="L10" i="5" s="1"/>
  <c r="M10" i="5" s="1"/>
  <c r="N10" i="5" s="1"/>
  <c r="O10" i="5" s="1"/>
  <c r="P10" i="5" s="1"/>
  <c r="Q10" i="5" s="1"/>
  <c r="C8" i="5"/>
  <c r="D8" i="5" s="1"/>
  <c r="E8" i="5" s="1"/>
  <c r="F8" i="5" s="1"/>
  <c r="G8" i="5" s="1"/>
  <c r="H8" i="5" s="1"/>
  <c r="I8" i="5" s="1"/>
  <c r="J8" i="5" s="1"/>
  <c r="K8" i="5" s="1"/>
  <c r="L8" i="5" s="1"/>
  <c r="M8" i="5" s="1"/>
  <c r="N8" i="5" s="1"/>
  <c r="O8" i="5" s="1"/>
  <c r="P8" i="5" s="1"/>
  <c r="Q8" i="5" s="1"/>
  <c r="C7" i="5"/>
  <c r="D7" i="5" s="1"/>
  <c r="E7" i="5" s="1"/>
  <c r="F7" i="5" s="1"/>
  <c r="G7" i="5" s="1"/>
  <c r="H7" i="5" s="1"/>
  <c r="I7" i="5" s="1"/>
  <c r="J7" i="5" s="1"/>
  <c r="K7" i="5" s="1"/>
  <c r="L7" i="5" s="1"/>
  <c r="M7" i="5" s="1"/>
  <c r="N7" i="5" s="1"/>
  <c r="O7" i="5" s="1"/>
  <c r="P7" i="5" s="1"/>
  <c r="Q7" i="5" s="1"/>
  <c r="C6" i="5"/>
  <c r="C5" i="5"/>
  <c r="B62" i="4"/>
  <c r="B61" i="4"/>
  <c r="D85" i="4" s="1"/>
  <c r="B60" i="4"/>
  <c r="C85" i="4" s="1"/>
  <c r="B59" i="4"/>
  <c r="D84" i="4" s="1"/>
  <c r="B58" i="4"/>
  <c r="C84" i="4" s="1"/>
  <c r="B57" i="4"/>
  <c r="D83" i="4" s="1"/>
  <c r="B56" i="4"/>
  <c r="C83" i="4" s="1"/>
  <c r="B55" i="4"/>
  <c r="D82" i="4" s="1"/>
  <c r="B54" i="4"/>
  <c r="C82" i="4" s="1"/>
  <c r="B53" i="4"/>
  <c r="D81" i="4" s="1"/>
  <c r="B52" i="4"/>
  <c r="C81" i="4" s="1"/>
  <c r="B51" i="4"/>
  <c r="C80" i="4" s="1"/>
  <c r="B48" i="4"/>
  <c r="B47" i="4"/>
  <c r="B46" i="4"/>
  <c r="B45" i="4"/>
  <c r="B44" i="4"/>
  <c r="C67" i="4" s="1"/>
  <c r="B43" i="4"/>
  <c r="B67" i="4" s="1"/>
  <c r="B42" i="4"/>
  <c r="C66" i="4" s="1"/>
  <c r="B41" i="4"/>
  <c r="B66" i="4" s="1"/>
  <c r="B38" i="4"/>
  <c r="B37" i="4"/>
  <c r="B36" i="4"/>
  <c r="B35" i="4"/>
  <c r="B32" i="4"/>
  <c r="B31" i="4"/>
  <c r="B30" i="4"/>
  <c r="B29" i="4"/>
  <c r="B28" i="4"/>
  <c r="B27" i="4"/>
  <c r="B26" i="4"/>
  <c r="B25" i="4"/>
  <c r="B24" i="4"/>
  <c r="B23" i="4"/>
  <c r="B22" i="4"/>
  <c r="B21" i="4"/>
  <c r="B18" i="4"/>
  <c r="B17" i="4"/>
  <c r="C34" i="6" s="1"/>
  <c r="B16" i="4"/>
  <c r="B15" i="4"/>
  <c r="B6" i="6" s="1"/>
  <c r="B14" i="4"/>
  <c r="B13" i="4"/>
  <c r="B4" i="6" s="1"/>
  <c r="C25" i="6" s="1"/>
  <c r="C4" i="4"/>
  <c r="E35" i="3"/>
  <c r="E34" i="3"/>
  <c r="E33" i="3"/>
  <c r="E32" i="3"/>
  <c r="E31" i="3"/>
  <c r="E30" i="3"/>
  <c r="G29" i="3"/>
  <c r="C9" i="5" s="1"/>
  <c r="D9" i="5" s="1"/>
  <c r="E9" i="5" s="1"/>
  <c r="F9" i="5" s="1"/>
  <c r="G9" i="5" s="1"/>
  <c r="H9" i="5" s="1"/>
  <c r="I9" i="5" s="1"/>
  <c r="J9" i="5" s="1"/>
  <c r="K9" i="5" s="1"/>
  <c r="L9" i="5" s="1"/>
  <c r="M9" i="5" s="1"/>
  <c r="N9" i="5" s="1"/>
  <c r="O9" i="5" s="1"/>
  <c r="P9" i="5" s="1"/>
  <c r="Q9" i="5" s="1"/>
  <c r="E29" i="3"/>
  <c r="E28" i="3"/>
  <c r="E27" i="3"/>
  <c r="E25" i="3"/>
  <c r="E24" i="3"/>
  <c r="E21" i="3"/>
  <c r="E20" i="3"/>
  <c r="E14" i="3"/>
  <c r="E11" i="3"/>
  <c r="E9" i="3"/>
  <c r="I6" i="3"/>
  <c r="H6" i="3"/>
  <c r="G6" i="3"/>
  <c r="F6" i="3"/>
  <c r="L6" i="2" s="1"/>
  <c r="E6" i="3"/>
  <c r="D6" i="3"/>
  <c r="C6" i="3"/>
  <c r="B6" i="3"/>
  <c r="I5" i="3"/>
  <c r="I7" i="3" s="1"/>
  <c r="H5" i="3"/>
  <c r="H7" i="3" s="1"/>
  <c r="G5" i="3"/>
  <c r="G7" i="3" s="1"/>
  <c r="F5" i="3"/>
  <c r="E5" i="3"/>
  <c r="E7" i="3" s="1"/>
  <c r="D5" i="3"/>
  <c r="D7" i="3" s="1"/>
  <c r="C5" i="3"/>
  <c r="C7" i="3" s="1"/>
  <c r="B5" i="3"/>
  <c r="B7" i="3" s="1"/>
  <c r="E3" i="3"/>
  <c r="I2" i="3"/>
  <c r="H2" i="3"/>
  <c r="G2" i="3"/>
  <c r="F2" i="3"/>
  <c r="E2" i="3"/>
  <c r="E4" i="3" s="1"/>
  <c r="D2" i="3"/>
  <c r="D4" i="3" s="1"/>
  <c r="C2" i="3"/>
  <c r="C4" i="3" s="1"/>
  <c r="B2" i="3"/>
  <c r="B4" i="3" s="1"/>
  <c r="L21" i="2"/>
  <c r="L20" i="2"/>
  <c r="K16" i="2"/>
  <c r="J16" i="2"/>
  <c r="I16" i="2"/>
  <c r="H16" i="2"/>
  <c r="G16" i="2"/>
  <c r="F16" i="2"/>
  <c r="E16" i="2"/>
  <c r="D16" i="2"/>
  <c r="C16" i="2"/>
  <c r="L14" i="2"/>
  <c r="M14" i="2" s="1"/>
  <c r="N14" i="2" s="1"/>
  <c r="O14" i="2" s="1"/>
  <c r="P14" i="2" s="1"/>
  <c r="Q14" i="2" s="1"/>
  <c r="R14" i="2" s="1"/>
  <c r="S14" i="2" s="1"/>
  <c r="T14" i="2" s="1"/>
  <c r="U14" i="2" s="1"/>
  <c r="V14" i="2" s="1"/>
  <c r="W14" i="2" s="1"/>
  <c r="X14" i="2" s="1"/>
  <c r="Y14" i="2" s="1"/>
  <c r="Z14" i="2" s="1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6" i="2"/>
  <c r="J6" i="2"/>
  <c r="I6" i="2"/>
  <c r="H6" i="2"/>
  <c r="G6" i="2"/>
  <c r="F6" i="2"/>
  <c r="E6" i="2"/>
  <c r="D6" i="2"/>
  <c r="C6" i="2"/>
  <c r="B6" i="2"/>
  <c r="K5" i="2"/>
  <c r="K7" i="2" s="1"/>
  <c r="J5" i="2"/>
  <c r="J7" i="2" s="1"/>
  <c r="I5" i="2"/>
  <c r="I7" i="2" s="1"/>
  <c r="H5" i="2"/>
  <c r="H7" i="2" s="1"/>
  <c r="G5" i="2"/>
  <c r="G7" i="2" s="1"/>
  <c r="F5" i="2"/>
  <c r="F7" i="2" s="1"/>
  <c r="E5" i="2"/>
  <c r="E7" i="2" s="1"/>
  <c r="D5" i="2"/>
  <c r="D7" i="2" s="1"/>
  <c r="C5" i="2"/>
  <c r="C7" i="2" s="1"/>
  <c r="B5" i="2"/>
  <c r="B7" i="2" s="1"/>
  <c r="K4" i="2"/>
  <c r="J4" i="2"/>
  <c r="I4" i="2"/>
  <c r="H4" i="2"/>
  <c r="G4" i="2"/>
  <c r="F4" i="2"/>
  <c r="E4" i="2"/>
  <c r="D4" i="2"/>
  <c r="C4" i="2"/>
  <c r="B4" i="2"/>
  <c r="C8" i="1"/>
  <c r="C7" i="1"/>
  <c r="C4" i="1"/>
  <c r="C3" i="1"/>
  <c r="Q28" i="5" l="1"/>
  <c r="P28" i="5"/>
  <c r="O28" i="5"/>
  <c r="N28" i="5"/>
  <c r="M28" i="5"/>
  <c r="L24" i="2"/>
  <c r="C14" i="6"/>
  <c r="L23" i="2"/>
  <c r="C13" i="6"/>
  <c r="H95" i="4"/>
  <c r="B5" i="6"/>
  <c r="F32" i="7"/>
  <c r="G32" i="7" s="1"/>
  <c r="H32" i="7"/>
  <c r="F31" i="7"/>
  <c r="G31" i="7" s="1"/>
  <c r="H31" i="7" s="1"/>
  <c r="D40" i="7"/>
  <c r="D47" i="7"/>
  <c r="D48" i="7"/>
  <c r="D49" i="7"/>
  <c r="D50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E40" i="7"/>
  <c r="E47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B40" i="7"/>
  <c r="C40" i="7"/>
  <c r="B47" i="7"/>
  <c r="C47" i="7"/>
  <c r="B57" i="7"/>
  <c r="C57" i="7"/>
  <c r="B58" i="7"/>
  <c r="C58" i="7"/>
  <c r="B59" i="7"/>
  <c r="C59" i="7"/>
  <c r="B60" i="7"/>
  <c r="C60" i="7"/>
  <c r="B61" i="7"/>
  <c r="C61" i="7"/>
  <c r="B62" i="7"/>
  <c r="C62" i="7"/>
  <c r="B63" i="7"/>
  <c r="C63" i="7"/>
  <c r="B64" i="7"/>
  <c r="C64" i="7"/>
  <c r="B65" i="7"/>
  <c r="C65" i="7"/>
  <c r="B66" i="7"/>
  <c r="C66" i="7"/>
  <c r="B67" i="7"/>
  <c r="C67" i="7"/>
  <c r="B68" i="7"/>
  <c r="C68" i="7"/>
  <c r="B69" i="7"/>
  <c r="C69" i="7"/>
  <c r="B70" i="7"/>
  <c r="C70" i="7"/>
  <c r="B71" i="7"/>
  <c r="C71" i="7"/>
  <c r="B72" i="7"/>
  <c r="C72" i="7"/>
  <c r="B73" i="7"/>
  <c r="C73" i="7"/>
  <c r="B74" i="7"/>
  <c r="C74" i="7"/>
  <c r="B75" i="7"/>
  <c r="C75" i="7"/>
  <c r="B76" i="7"/>
  <c r="C76" i="7"/>
  <c r="B77" i="7"/>
  <c r="C77" i="7"/>
  <c r="B78" i="7"/>
  <c r="C78" i="7"/>
  <c r="B79" i="7"/>
  <c r="C79" i="7"/>
  <c r="B80" i="7"/>
  <c r="C80" i="7"/>
  <c r="B81" i="7"/>
  <c r="C81" i="7"/>
  <c r="B82" i="7"/>
  <c r="C82" i="7"/>
  <c r="B83" i="7"/>
  <c r="C83" i="7"/>
  <c r="B84" i="7"/>
  <c r="C84" i="7"/>
  <c r="B85" i="7"/>
  <c r="C85" i="7"/>
  <c r="B50" i="7"/>
  <c r="C50" i="7"/>
  <c r="E50" i="7"/>
  <c r="B49" i="7"/>
  <c r="C49" i="7"/>
  <c r="E49" i="7"/>
  <c r="C48" i="7"/>
  <c r="C51" i="7" s="1"/>
  <c r="B48" i="7"/>
  <c r="B51" i="7" s="1"/>
  <c r="B18" i="7"/>
  <c r="E48" i="7"/>
  <c r="E51" i="7" s="1"/>
  <c r="I33" i="7"/>
  <c r="I31" i="7"/>
  <c r="I32" i="7"/>
  <c r="H33" i="7"/>
  <c r="H34" i="7"/>
  <c r="I34" i="7"/>
  <c r="I35" i="7"/>
  <c r="H35" i="7"/>
  <c r="G28" i="5"/>
  <c r="E28" i="5"/>
  <c r="F28" i="5"/>
  <c r="H28" i="5"/>
  <c r="I28" i="5"/>
  <c r="J28" i="5"/>
  <c r="K28" i="5"/>
  <c r="L28" i="5"/>
  <c r="D28" i="5"/>
  <c r="F24" i="5"/>
  <c r="G24" i="5"/>
  <c r="H24" i="5"/>
  <c r="I24" i="5"/>
  <c r="J24" i="5"/>
  <c r="K24" i="5"/>
  <c r="L24" i="5"/>
  <c r="M24" i="5"/>
  <c r="N24" i="5"/>
  <c r="O24" i="5"/>
  <c r="P24" i="5"/>
  <c r="Q24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G22" i="5"/>
  <c r="H22" i="5"/>
  <c r="I22" i="5"/>
  <c r="J22" i="5"/>
  <c r="K22" i="5"/>
  <c r="L22" i="5"/>
  <c r="M22" i="5"/>
  <c r="N22" i="5"/>
  <c r="O22" i="5"/>
  <c r="P22" i="5"/>
  <c r="Q22" i="5"/>
  <c r="F21" i="5"/>
  <c r="G21" i="5"/>
  <c r="H21" i="5"/>
  <c r="I21" i="5"/>
  <c r="J21" i="5"/>
  <c r="K21" i="5"/>
  <c r="L21" i="5"/>
  <c r="M21" i="5"/>
  <c r="N21" i="5"/>
  <c r="O21" i="5"/>
  <c r="P21" i="5"/>
  <c r="Q21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D19" i="5"/>
  <c r="D25" i="5" s="1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F66" i="4"/>
  <c r="F67" i="4"/>
  <c r="E66" i="4"/>
  <c r="E67" i="4"/>
  <c r="D66" i="4"/>
  <c r="D67" i="4"/>
  <c r="O20" i="2"/>
  <c r="M20" i="2"/>
  <c r="N20" i="2"/>
  <c r="P20" i="2"/>
  <c r="Q20" i="2"/>
  <c r="R20" i="2"/>
  <c r="S20" i="2"/>
  <c r="T20" i="2"/>
  <c r="U20" i="2"/>
  <c r="V20" i="2"/>
  <c r="W20" i="2"/>
  <c r="Y20" i="2"/>
  <c r="Z20" i="2"/>
  <c r="X20" i="2"/>
  <c r="C14" i="1"/>
  <c r="F7" i="3"/>
  <c r="L5" i="2"/>
  <c r="L7" i="2" s="1"/>
  <c r="I3" i="3"/>
  <c r="I16" i="3"/>
  <c r="I4" i="3"/>
  <c r="H16" i="3"/>
  <c r="H3" i="3"/>
  <c r="C9" i="6"/>
  <c r="G16" i="3"/>
  <c r="G4" i="3"/>
  <c r="F16" i="3"/>
  <c r="F4" i="3"/>
  <c r="L2" i="2"/>
  <c r="E8" i="3"/>
  <c r="E10" i="3" s="1"/>
  <c r="E12" i="3" s="1"/>
  <c r="E13" i="3" s="1"/>
  <c r="E17" i="3"/>
  <c r="D8" i="3"/>
  <c r="D10" i="3" s="1"/>
  <c r="D12" i="3" s="1"/>
  <c r="D13" i="3" s="1"/>
  <c r="D17" i="3"/>
  <c r="C8" i="3"/>
  <c r="C10" i="3" s="1"/>
  <c r="C12" i="3" s="1"/>
  <c r="C13" i="3" s="1"/>
  <c r="C17" i="3"/>
  <c r="B8" i="3"/>
  <c r="B10" i="3" s="1"/>
  <c r="B12" i="3" s="1"/>
  <c r="B13" i="3" s="1"/>
  <c r="B17" i="3"/>
  <c r="K17" i="2"/>
  <c r="K8" i="2"/>
  <c r="J17" i="2"/>
  <c r="J8" i="2"/>
  <c r="I17" i="2"/>
  <c r="I8" i="2"/>
  <c r="H17" i="2"/>
  <c r="H8" i="2"/>
  <c r="G8" i="2"/>
  <c r="G17" i="2"/>
  <c r="F17" i="2"/>
  <c r="F8" i="2"/>
  <c r="E17" i="2"/>
  <c r="E8" i="2"/>
  <c r="D8" i="2"/>
  <c r="D17" i="2"/>
  <c r="C8" i="2"/>
  <c r="C17" i="2"/>
  <c r="B8" i="2"/>
  <c r="B17" i="2"/>
  <c r="C32" i="6"/>
  <c r="C13" i="1"/>
  <c r="C33" i="6"/>
  <c r="C36" i="6"/>
  <c r="C5" i="1"/>
  <c r="C9" i="1" s="1"/>
  <c r="C3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C16" i="5"/>
  <c r="C30" i="5" s="1"/>
  <c r="C35" i="5" s="1"/>
  <c r="L3" i="2" l="1"/>
  <c r="H4" i="3"/>
  <c r="C19" i="6"/>
  <c r="K19" i="6"/>
  <c r="P19" i="6"/>
  <c r="H19" i="6"/>
  <c r="F19" i="6"/>
  <c r="O19" i="6"/>
  <c r="I19" i="6"/>
  <c r="N19" i="6"/>
  <c r="L19" i="6"/>
  <c r="J19" i="6"/>
  <c r="M19" i="6"/>
  <c r="Q19" i="6"/>
  <c r="G19" i="6"/>
  <c r="E19" i="6"/>
  <c r="D19" i="6"/>
  <c r="D51" i="7"/>
  <c r="D41" i="7"/>
  <c r="D42" i="7"/>
  <c r="D43" i="7"/>
  <c r="D44" i="7"/>
  <c r="D46" i="7" s="1"/>
  <c r="E41" i="7"/>
  <c r="E42" i="7"/>
  <c r="E43" i="7"/>
  <c r="E52" i="7" s="1"/>
  <c r="E44" i="7"/>
  <c r="E46" i="7" s="1"/>
  <c r="B41" i="7"/>
  <c r="B42" i="7"/>
  <c r="B43" i="7"/>
  <c r="B52" i="7" s="1"/>
  <c r="B44" i="7"/>
  <c r="B46" i="7" s="1"/>
  <c r="C41" i="7"/>
  <c r="C42" i="7"/>
  <c r="C43" i="7"/>
  <c r="C52" i="7" s="1"/>
  <c r="C44" i="7"/>
  <c r="C46" i="7" s="1"/>
  <c r="D5" i="5"/>
  <c r="E5" i="5" s="1"/>
  <c r="F5" i="5" s="1"/>
  <c r="G5" i="5" s="1"/>
  <c r="H5" i="5" s="1"/>
  <c r="I5" i="5" s="1"/>
  <c r="J5" i="5" s="1"/>
  <c r="K5" i="5" s="1"/>
  <c r="L5" i="5" s="1"/>
  <c r="M5" i="5" s="1"/>
  <c r="N5" i="5" s="1"/>
  <c r="O5" i="5" s="1"/>
  <c r="P5" i="5" s="1"/>
  <c r="Q5" i="5" s="1"/>
  <c r="D6" i="5"/>
  <c r="E6" i="5" s="1"/>
  <c r="F6" i="5" s="1"/>
  <c r="G6" i="5" s="1"/>
  <c r="H6" i="5" s="1"/>
  <c r="I6" i="5" s="1"/>
  <c r="J6" i="5" s="1"/>
  <c r="K6" i="5" s="1"/>
  <c r="L6" i="5" s="1"/>
  <c r="M6" i="5" s="1"/>
  <c r="N6" i="5" s="1"/>
  <c r="O6" i="5" s="1"/>
  <c r="P6" i="5" s="1"/>
  <c r="Q6" i="5" s="1"/>
  <c r="I8" i="3"/>
  <c r="I10" i="3" s="1"/>
  <c r="I17" i="3"/>
  <c r="G8" i="3"/>
  <c r="G10" i="3" s="1"/>
  <c r="G12" i="3" s="1"/>
  <c r="G13" i="3" s="1"/>
  <c r="G17" i="3"/>
  <c r="F8" i="3"/>
  <c r="F10" i="3" s="1"/>
  <c r="F12" i="3" s="1"/>
  <c r="F13" i="3" s="1"/>
  <c r="F17" i="3"/>
  <c r="L4" i="2"/>
  <c r="L16" i="2"/>
  <c r="C15" i="6"/>
  <c r="K10" i="2"/>
  <c r="K12" i="2" s="1"/>
  <c r="K13" i="2" s="1"/>
  <c r="K22" i="2"/>
  <c r="J10" i="2"/>
  <c r="J12" i="2" s="1"/>
  <c r="J13" i="2" s="1"/>
  <c r="J22" i="2"/>
  <c r="I10" i="2"/>
  <c r="I12" i="2" s="1"/>
  <c r="I13" i="2" s="1"/>
  <c r="I22" i="2"/>
  <c r="H10" i="2"/>
  <c r="H12" i="2" s="1"/>
  <c r="H13" i="2" s="1"/>
  <c r="H22" i="2"/>
  <c r="G10" i="2"/>
  <c r="G12" i="2" s="1"/>
  <c r="G13" i="2" s="1"/>
  <c r="G22" i="2"/>
  <c r="F10" i="2"/>
  <c r="F12" i="2" s="1"/>
  <c r="F13" i="2" s="1"/>
  <c r="F22" i="2"/>
  <c r="E10" i="2"/>
  <c r="E12" i="2" s="1"/>
  <c r="E13" i="2" s="1"/>
  <c r="E22" i="2"/>
  <c r="D10" i="2"/>
  <c r="D12" i="2" s="1"/>
  <c r="D13" i="2" s="1"/>
  <c r="D22" i="2"/>
  <c r="C10" i="2"/>
  <c r="C12" i="2" s="1"/>
  <c r="C13" i="2" s="1"/>
  <c r="C22" i="2"/>
  <c r="B10" i="2"/>
  <c r="B12" i="2" s="1"/>
  <c r="B13" i="2" s="1"/>
  <c r="B22" i="2"/>
  <c r="C42" i="6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D52" i="7" l="1"/>
  <c r="H8" i="3"/>
  <c r="H17" i="3"/>
  <c r="D27" i="5"/>
  <c r="D16" i="5"/>
  <c r="D30" i="5" s="1"/>
  <c r="M2" i="2" s="1"/>
  <c r="D33" i="5"/>
  <c r="D34" i="5" s="1"/>
  <c r="E27" i="5"/>
  <c r="E16" i="5"/>
  <c r="E30" i="5" s="1"/>
  <c r="N2" i="2" s="1"/>
  <c r="E33" i="5"/>
  <c r="E34" i="5" s="1"/>
  <c r="F27" i="5"/>
  <c r="F16" i="5"/>
  <c r="F33" i="5"/>
  <c r="F34" i="5" s="1"/>
  <c r="G27" i="5"/>
  <c r="G16" i="5"/>
  <c r="G33" i="5"/>
  <c r="G34" i="5" s="1"/>
  <c r="H27" i="5"/>
  <c r="H16" i="5"/>
  <c r="H33" i="5"/>
  <c r="H34" i="5" s="1"/>
  <c r="I27" i="5"/>
  <c r="I16" i="5"/>
  <c r="I30" i="5" s="1"/>
  <c r="R2" i="2" s="1"/>
  <c r="I33" i="5"/>
  <c r="I34" i="5" s="1"/>
  <c r="J27" i="5"/>
  <c r="J16" i="5"/>
  <c r="J30" i="5" s="1"/>
  <c r="S2" i="2" s="1"/>
  <c r="J33" i="5"/>
  <c r="J34" i="5" s="1"/>
  <c r="K27" i="5"/>
  <c r="K16" i="5"/>
  <c r="K33" i="5"/>
  <c r="K34" i="5" s="1"/>
  <c r="L27" i="5"/>
  <c r="L16" i="5"/>
  <c r="L30" i="5" s="1"/>
  <c r="U2" i="2" s="1"/>
  <c r="L33" i="5"/>
  <c r="L34" i="5" s="1"/>
  <c r="M27" i="5"/>
  <c r="M16" i="5"/>
  <c r="M30" i="5" s="1"/>
  <c r="V2" i="2" s="1"/>
  <c r="M33" i="5"/>
  <c r="M34" i="5" s="1"/>
  <c r="N27" i="5"/>
  <c r="N16" i="5"/>
  <c r="N33" i="5"/>
  <c r="N34" i="5" s="1"/>
  <c r="O27" i="5"/>
  <c r="O16" i="5"/>
  <c r="O30" i="5" s="1"/>
  <c r="X2" i="2" s="1"/>
  <c r="O33" i="5"/>
  <c r="O34" i="5" s="1"/>
  <c r="O35" i="5" s="1"/>
  <c r="P27" i="5"/>
  <c r="P16" i="5"/>
  <c r="P33" i="5"/>
  <c r="P34" i="5" s="1"/>
  <c r="Q27" i="5"/>
  <c r="Q16" i="5"/>
  <c r="Q30" i="5" s="1"/>
  <c r="Z2" i="2" s="1"/>
  <c r="Q33" i="5"/>
  <c r="Q34" i="5" s="1"/>
  <c r="I11" i="3"/>
  <c r="I12" i="3"/>
  <c r="I13" i="3" s="1"/>
  <c r="L8" i="2"/>
  <c r="L17" i="2"/>
  <c r="Q35" i="5" l="1"/>
  <c r="J35" i="5"/>
  <c r="L35" i="5"/>
  <c r="D35" i="5"/>
  <c r="F30" i="5"/>
  <c r="K30" i="5"/>
  <c r="H10" i="3"/>
  <c r="C10" i="6"/>
  <c r="G30" i="5"/>
  <c r="P30" i="5"/>
  <c r="H30" i="5"/>
  <c r="N30" i="5"/>
  <c r="E35" i="5"/>
  <c r="M3" i="2"/>
  <c r="M4" i="2" s="1"/>
  <c r="M5" i="2"/>
  <c r="M6" i="2"/>
  <c r="M16" i="2"/>
  <c r="M23" i="2"/>
  <c r="D13" i="6" s="1"/>
  <c r="M24" i="2"/>
  <c r="D14" i="6" s="1"/>
  <c r="D15" i="6"/>
  <c r="D9" i="6"/>
  <c r="N3" i="2"/>
  <c r="N4" i="2"/>
  <c r="N5" i="2"/>
  <c r="N6" i="2"/>
  <c r="N16" i="2"/>
  <c r="N23" i="2"/>
  <c r="E13" i="6" s="1"/>
  <c r="N24" i="2"/>
  <c r="E14" i="6" s="1"/>
  <c r="E9" i="6"/>
  <c r="E15" i="6"/>
  <c r="R3" i="2"/>
  <c r="R4" i="2" s="1"/>
  <c r="R5" i="2"/>
  <c r="R6" i="2"/>
  <c r="R23" i="2"/>
  <c r="I13" i="6" s="1"/>
  <c r="I9" i="6"/>
  <c r="R24" i="2"/>
  <c r="I14" i="6" s="1"/>
  <c r="S3" i="2"/>
  <c r="S4" i="2" s="1"/>
  <c r="S5" i="2"/>
  <c r="S6" i="2"/>
  <c r="S16" i="2"/>
  <c r="S23" i="2"/>
  <c r="J13" i="6" s="1"/>
  <c r="S24" i="2"/>
  <c r="J14" i="6" s="1"/>
  <c r="J9" i="6"/>
  <c r="J15" i="6"/>
  <c r="U3" i="2"/>
  <c r="U4" i="2"/>
  <c r="U5" i="2"/>
  <c r="U6" i="2"/>
  <c r="U23" i="2"/>
  <c r="L13" i="6" s="1"/>
  <c r="L9" i="6"/>
  <c r="U24" i="2"/>
  <c r="L14" i="6" s="1"/>
  <c r="V3" i="2"/>
  <c r="V4" i="2"/>
  <c r="V5" i="2"/>
  <c r="V6" i="2"/>
  <c r="V16" i="2"/>
  <c r="V23" i="2"/>
  <c r="M13" i="6" s="1"/>
  <c r="V24" i="2"/>
  <c r="M14" i="6" s="1"/>
  <c r="M9" i="6"/>
  <c r="M15" i="6"/>
  <c r="X3" i="2"/>
  <c r="X4" i="2"/>
  <c r="X5" i="2"/>
  <c r="X6" i="2"/>
  <c r="X23" i="2"/>
  <c r="O13" i="6" s="1"/>
  <c r="X24" i="2"/>
  <c r="O14" i="6" s="1"/>
  <c r="O9" i="6"/>
  <c r="Z3" i="2"/>
  <c r="Z4" i="2"/>
  <c r="Z5" i="2"/>
  <c r="Z6" i="2"/>
  <c r="Z23" i="2"/>
  <c r="Q13" i="6" s="1"/>
  <c r="Q9" i="6"/>
  <c r="Z24" i="2"/>
  <c r="Q14" i="6" s="1"/>
  <c r="L10" i="2"/>
  <c r="L22" i="2"/>
  <c r="I35" i="5"/>
  <c r="M35" i="5"/>
  <c r="W2" i="2" l="1"/>
  <c r="N35" i="5"/>
  <c r="T2" i="2"/>
  <c r="K35" i="5"/>
  <c r="F35" i="5"/>
  <c r="O2" i="2"/>
  <c r="N7" i="2"/>
  <c r="N8" i="2" s="1"/>
  <c r="H11" i="3"/>
  <c r="L11" i="2" s="1"/>
  <c r="L12" i="2" s="1"/>
  <c r="L13" i="2" s="1"/>
  <c r="H12" i="3"/>
  <c r="H13" i="3" s="1"/>
  <c r="C11" i="6"/>
  <c r="C12" i="6"/>
  <c r="C16" i="6" s="1"/>
  <c r="C20" i="6" s="1"/>
  <c r="G35" i="5"/>
  <c r="P2" i="2"/>
  <c r="P35" i="5"/>
  <c r="Y2" i="2"/>
  <c r="H35" i="5"/>
  <c r="Q2" i="2"/>
  <c r="W3" i="2"/>
  <c r="W4" i="2" s="1"/>
  <c r="W5" i="2"/>
  <c r="V7" i="2"/>
  <c r="V8" i="2" s="1"/>
  <c r="M17" i="2"/>
  <c r="N17" i="2"/>
  <c r="R17" i="2"/>
  <c r="S17" i="2"/>
  <c r="U17" i="2"/>
  <c r="V17" i="2"/>
  <c r="X17" i="2"/>
  <c r="Z17" i="2"/>
  <c r="R7" i="2"/>
  <c r="R8" i="2" s="1"/>
  <c r="M7" i="2"/>
  <c r="M8" i="2" s="1"/>
  <c r="S7" i="2"/>
  <c r="S8" i="2" s="1"/>
  <c r="U7" i="2"/>
  <c r="U8" i="2" s="1"/>
  <c r="X7" i="2"/>
  <c r="X8" i="2" s="1"/>
  <c r="Z7" i="2"/>
  <c r="Z8" i="2" s="1"/>
  <c r="W6" i="2" l="1"/>
  <c r="W7" i="2" s="1"/>
  <c r="W8" i="2" s="1"/>
  <c r="W24" i="2"/>
  <c r="N14" i="6" s="1"/>
  <c r="N15" i="6"/>
  <c r="X16" i="2"/>
  <c r="O15" i="6"/>
  <c r="W16" i="2"/>
  <c r="W23" i="2"/>
  <c r="N13" i="6" s="1"/>
  <c r="N9" i="6"/>
  <c r="U16" i="2"/>
  <c r="K15" i="6"/>
  <c r="K9" i="6"/>
  <c r="T16" i="2"/>
  <c r="T3" i="2"/>
  <c r="T4" i="2" s="1"/>
  <c r="T5" i="2"/>
  <c r="T24" i="2"/>
  <c r="K14" i="6" s="1"/>
  <c r="T23" i="2"/>
  <c r="K13" i="6" s="1"/>
  <c r="T6" i="2"/>
  <c r="L15" i="6"/>
  <c r="F15" i="6"/>
  <c r="O24" i="2"/>
  <c r="F14" i="6" s="1"/>
  <c r="O23" i="2"/>
  <c r="F13" i="6" s="1"/>
  <c r="O5" i="2"/>
  <c r="O3" i="2"/>
  <c r="O4" i="2" s="1"/>
  <c r="O17" i="2" s="1"/>
  <c r="F9" i="6"/>
  <c r="O16" i="2"/>
  <c r="O6" i="2"/>
  <c r="P16" i="2"/>
  <c r="G15" i="6"/>
  <c r="P24" i="2"/>
  <c r="G14" i="6" s="1"/>
  <c r="P23" i="2"/>
  <c r="G13" i="6" s="1"/>
  <c r="P6" i="2"/>
  <c r="G9" i="6"/>
  <c r="P5" i="2"/>
  <c r="P7" i="2" s="1"/>
  <c r="P3" i="2"/>
  <c r="P4" i="2" s="1"/>
  <c r="P17" i="2" s="1"/>
  <c r="Q15" i="6"/>
  <c r="Z16" i="2"/>
  <c r="Y24" i="2"/>
  <c r="P14" i="6" s="1"/>
  <c r="P15" i="6"/>
  <c r="P9" i="6"/>
  <c r="Y23" i="2"/>
  <c r="P13" i="6" s="1"/>
  <c r="Y16" i="2"/>
  <c r="Y6" i="2"/>
  <c r="Y5" i="2"/>
  <c r="Y7" i="2" s="1"/>
  <c r="Y3" i="2"/>
  <c r="Y4" i="2" s="1"/>
  <c r="Y17" i="2" s="1"/>
  <c r="I15" i="6"/>
  <c r="Q3" i="2"/>
  <c r="Q4" i="2" s="1"/>
  <c r="R16" i="2"/>
  <c r="H15" i="6"/>
  <c r="H9" i="6"/>
  <c r="Q24" i="2"/>
  <c r="H14" i="6" s="1"/>
  <c r="Q23" i="2"/>
  <c r="H13" i="6" s="1"/>
  <c r="Q16" i="2"/>
  <c r="Q6" i="2"/>
  <c r="Q5" i="2"/>
  <c r="W17" i="2"/>
  <c r="M10" i="2"/>
  <c r="M22" i="2"/>
  <c r="D10" i="6"/>
  <c r="N10" i="2"/>
  <c r="N22" i="2"/>
  <c r="E10" i="6"/>
  <c r="R10" i="2"/>
  <c r="R22" i="2"/>
  <c r="I10" i="6"/>
  <c r="S10" i="2"/>
  <c r="S22" i="2"/>
  <c r="J10" i="6"/>
  <c r="U10" i="2"/>
  <c r="U22" i="2"/>
  <c r="L10" i="6"/>
  <c r="V10" i="2"/>
  <c r="V22" i="2"/>
  <c r="M10" i="6"/>
  <c r="X10" i="2"/>
  <c r="X22" i="2"/>
  <c r="O10" i="6"/>
  <c r="Z10" i="2"/>
  <c r="Z22" i="2"/>
  <c r="Q10" i="6"/>
  <c r="W10" i="2" l="1"/>
  <c r="W11" i="2" s="1"/>
  <c r="W12" i="2" s="1"/>
  <c r="W13" i="2" s="1"/>
  <c r="N10" i="6"/>
  <c r="N11" i="6" s="1"/>
  <c r="N12" i="6" s="1"/>
  <c r="N16" i="6" s="1"/>
  <c r="N20" i="6" s="1"/>
  <c r="W22" i="2"/>
  <c r="T7" i="2"/>
  <c r="T8" i="2"/>
  <c r="T17" i="2"/>
  <c r="P8" i="2"/>
  <c r="Q7" i="2"/>
  <c r="Q8" i="2" s="1"/>
  <c r="O7" i="2"/>
  <c r="O8" i="2" s="1"/>
  <c r="Q17" i="2"/>
  <c r="Y8" i="2"/>
  <c r="M11" i="2"/>
  <c r="M12" i="2"/>
  <c r="M13" i="2" s="1"/>
  <c r="C41" i="6" s="1"/>
  <c r="D11" i="6"/>
  <c r="D12" i="6" s="1"/>
  <c r="D16" i="6" s="1"/>
  <c r="D20" i="6" s="1"/>
  <c r="N11" i="2"/>
  <c r="N12" i="2"/>
  <c r="N13" i="2" s="1"/>
  <c r="E11" i="6"/>
  <c r="E12" i="6"/>
  <c r="E16" i="6" s="1"/>
  <c r="E20" i="6" s="1"/>
  <c r="R11" i="2"/>
  <c r="R12" i="2" s="1"/>
  <c r="R13" i="2" s="1"/>
  <c r="I11" i="6"/>
  <c r="I12" i="6" s="1"/>
  <c r="I16" i="6" s="1"/>
  <c r="I20" i="6" s="1"/>
  <c r="S11" i="2"/>
  <c r="S12" i="2"/>
  <c r="S13" i="2" s="1"/>
  <c r="J11" i="6"/>
  <c r="J12" i="6" s="1"/>
  <c r="J16" i="6" s="1"/>
  <c r="J20" i="6" s="1"/>
  <c r="U11" i="2"/>
  <c r="U12" i="2"/>
  <c r="U13" i="2" s="1"/>
  <c r="L11" i="6"/>
  <c r="L12" i="6" s="1"/>
  <c r="L16" i="6" s="1"/>
  <c r="L20" i="6" s="1"/>
  <c r="V11" i="2"/>
  <c r="V12" i="2" s="1"/>
  <c r="V13" i="2" s="1"/>
  <c r="M11" i="6"/>
  <c r="M12" i="6"/>
  <c r="M16" i="6" s="1"/>
  <c r="M20" i="6" s="1"/>
  <c r="X11" i="2"/>
  <c r="X12" i="2"/>
  <c r="X13" i="2" s="1"/>
  <c r="O11" i="6"/>
  <c r="O12" i="6"/>
  <c r="O16" i="6" s="1"/>
  <c r="O20" i="6" s="1"/>
  <c r="Z11" i="2"/>
  <c r="Z12" i="2"/>
  <c r="Z13" i="2" s="1"/>
  <c r="Q11" i="6"/>
  <c r="Q12" i="6" s="1"/>
  <c r="Q16" i="6" s="1"/>
  <c r="Q20" i="6" s="1"/>
  <c r="C23" i="6"/>
  <c r="C24" i="6" s="1"/>
  <c r="C26" i="6" s="1"/>
  <c r="C30" i="6" s="1"/>
  <c r="T22" i="2" l="1"/>
  <c r="K10" i="6"/>
  <c r="T10" i="2"/>
  <c r="T11" i="2" s="1"/>
  <c r="T12" i="2" s="1"/>
  <c r="T13" i="2" s="1"/>
  <c r="P10" i="2"/>
  <c r="P11" i="2" s="1"/>
  <c r="P12" i="2" s="1"/>
  <c r="P13" i="2" s="1"/>
  <c r="P22" i="2"/>
  <c r="G10" i="6"/>
  <c r="G11" i="6" s="1"/>
  <c r="G12" i="6" s="1"/>
  <c r="G16" i="6" s="1"/>
  <c r="G20" i="6" s="1"/>
  <c r="F10" i="6"/>
  <c r="O22" i="2"/>
  <c r="O10" i="2"/>
  <c r="H10" i="6"/>
  <c r="H11" i="6" s="1"/>
  <c r="H12" i="6" s="1"/>
  <c r="H16" i="6" s="1"/>
  <c r="H20" i="6" s="1"/>
  <c r="Q22" i="2"/>
  <c r="Q10" i="2"/>
  <c r="P10" i="6"/>
  <c r="Y22" i="2"/>
  <c r="Y10" i="2"/>
  <c r="K11" i="6" l="1"/>
  <c r="K12" i="6" s="1"/>
  <c r="K16" i="6" s="1"/>
  <c r="K20" i="6" s="1"/>
  <c r="F11" i="6"/>
  <c r="F12" i="6" s="1"/>
  <c r="F16" i="6" s="1"/>
  <c r="F20" i="6" s="1"/>
  <c r="O11" i="2"/>
  <c r="O12" i="2" s="1"/>
  <c r="O13" i="2" s="1"/>
  <c r="Q11" i="2"/>
  <c r="Q12" i="2"/>
  <c r="Q13" i="2" s="1"/>
  <c r="P11" i="6"/>
  <c r="P12" i="6" s="1"/>
  <c r="P16" i="6" s="1"/>
  <c r="P20" i="6" s="1"/>
  <c r="Y11" i="2"/>
  <c r="Y12" i="2" s="1"/>
  <c r="Y13" i="2" s="1"/>
  <c r="C29" i="6" l="1"/>
  <c r="C31" i="6" s="1"/>
  <c r="C95" i="4" l="1"/>
  <c r="C35" i="6"/>
  <c r="C40" i="6"/>
  <c r="G95" i="4" s="1"/>
  <c r="C37" i="6" l="1"/>
  <c r="B114" i="4" s="1"/>
  <c r="D95" i="4"/>
  <c r="E95" i="4" l="1"/>
  <c r="C39" i="6"/>
  <c r="F95" i="4" s="1"/>
  <c r="C11" i="1"/>
  <c r="B102" i="4"/>
  <c r="C12" i="1" l="1"/>
</calcChain>
</file>

<file path=xl/sharedStrings.xml><?xml version="1.0" encoding="utf-8"?>
<sst xmlns="http://schemas.openxmlformats.org/spreadsheetml/2006/main" count="369" uniqueCount="262">
  <si>
    <t>Eli Lilly and Company</t>
  </si>
  <si>
    <t>Price</t>
  </si>
  <si>
    <t>Shares</t>
  </si>
  <si>
    <t>Market Cap.</t>
  </si>
  <si>
    <t>Cash</t>
  </si>
  <si>
    <t>Debt</t>
  </si>
  <si>
    <t>Enterprise V.</t>
  </si>
  <si>
    <t>rNPV / Share</t>
  </si>
  <si>
    <t>Upside</t>
  </si>
  <si>
    <t>Cash / Share</t>
  </si>
  <si>
    <t>Scenario</t>
  </si>
  <si>
    <t>Revenue</t>
  </si>
  <si>
    <t>Cost of Sales</t>
  </si>
  <si>
    <t>Gross Margin</t>
  </si>
  <si>
    <t>Research &amp; Dev.</t>
  </si>
  <si>
    <t>General &amp; Admin</t>
  </si>
  <si>
    <t>Operating Expense</t>
  </si>
  <si>
    <t>Operating Income</t>
  </si>
  <si>
    <t>Interest</t>
  </si>
  <si>
    <t>Pretax</t>
  </si>
  <si>
    <t>Taxes</t>
  </si>
  <si>
    <t>Net Income</t>
  </si>
  <si>
    <t>Earnings per Share</t>
  </si>
  <si>
    <t>Revenue Change</t>
  </si>
  <si>
    <t>Actual / Estimate</t>
  </si>
  <si>
    <t>A</t>
  </si>
  <si>
    <t>A+E</t>
  </si>
  <si>
    <t>E</t>
  </si>
  <si>
    <t>Acquired IPR&amp;D</t>
  </si>
  <si>
    <t>Special Charges</t>
  </si>
  <si>
    <t>Operating Margin</t>
  </si>
  <si>
    <t>Depreciation &amp; Amort.</t>
  </si>
  <si>
    <t>Capital Expenditure</t>
  </si>
  <si>
    <t>Q1 2025</t>
  </si>
  <si>
    <t>Q2 2025</t>
  </si>
  <si>
    <t>Q3 2025</t>
  </si>
  <si>
    <t>Q4 2025</t>
  </si>
  <si>
    <t>Q1 2026</t>
  </si>
  <si>
    <t>Q2 2026</t>
  </si>
  <si>
    <t>Q3 2026</t>
  </si>
  <si>
    <t>Q4 2026</t>
  </si>
  <si>
    <t>Revenue by Product</t>
  </si>
  <si>
    <t>Mounjaro</t>
  </si>
  <si>
    <t>Zepbound</t>
  </si>
  <si>
    <t>Foundayo</t>
  </si>
  <si>
    <t>Jardiance</t>
  </si>
  <si>
    <t>Trulicity</t>
  </si>
  <si>
    <t>Other cardiometabolic</t>
  </si>
  <si>
    <t>Verzenio</t>
  </si>
  <si>
    <t>Other oncology</t>
  </si>
  <si>
    <t>Taltz</t>
  </si>
  <si>
    <t>Other immunology</t>
  </si>
  <si>
    <t>Neuroscience</t>
  </si>
  <si>
    <t>Other</t>
  </si>
  <si>
    <t>LLY — DCF / rNPV assumptions ($mm unless noted)</t>
  </si>
  <si>
    <t>Scenario (1 = Bear, 2 = Base, 3 = Bull)</t>
  </si>
  <si>
    <t>Overrides (blank = scenario value)</t>
  </si>
  <si>
    <t>WACC override</t>
  </si>
  <si>
    <t>Terminal growth override</t>
  </si>
  <si>
    <t>Obesity franchise sales multiplier override</t>
  </si>
  <si>
    <t>Parameter</t>
  </si>
  <si>
    <t>Active</t>
  </si>
  <si>
    <t>Bear</t>
  </si>
  <si>
    <t>Base</t>
  </si>
  <si>
    <t>Bull</t>
  </si>
  <si>
    <t>Valuation</t>
  </si>
  <si>
    <t>Valuation date</t>
  </si>
  <si>
    <t>WACC</t>
  </si>
  <si>
    <t>Terminal growth (after 2040)</t>
  </si>
  <si>
    <t>Tax rate (2027+)</t>
  </si>
  <si>
    <t>Acquisitions closed/agreed after 6/30/26 (upfront cash)</t>
  </si>
  <si>
    <t>Dilutive securities (mm shares)</t>
  </si>
  <si>
    <t>Operating model (2027+)</t>
  </si>
  <si>
    <t>Cost of sales, % of revenue</t>
  </si>
  <si>
    <t>R&amp;D excl. acquired IPR&amp;D, % of revenue</t>
  </si>
  <si>
    <t>Marketing, selling &amp; admin, % of revenue</t>
  </si>
  <si>
    <t>Acquired IPR&amp;D / BD spend, 2027 ($mm)</t>
  </si>
  <si>
    <t>BD spend growth</t>
  </si>
  <si>
    <t>Net interest &amp; other income ($mm/yr)</t>
  </si>
  <si>
    <t>Diluted share count change per year</t>
  </si>
  <si>
    <t>D&amp;A, % of revenue</t>
  </si>
  <si>
    <t>Capex, % of revenue (2027)</t>
  </si>
  <si>
    <t>Capex % step-down per year</t>
  </si>
  <si>
    <t>Capex, long-run % of revenue</t>
  </si>
  <si>
    <t>Working capital, % of revenue change</t>
  </si>
  <si>
    <t>2H 2026 estimates</t>
  </si>
  <si>
    <t>Cost of sales, % of revenue (2H 2026)</t>
  </si>
  <si>
    <t>Tax rate (2H 2026)</t>
  </si>
  <si>
    <t>D&amp;A, 2H 2026 ($mm)</t>
  </si>
  <si>
    <t>Capex, full-year 2026 ($mm)</t>
  </si>
  <si>
    <t>Tirzepatide (Mounjaro + Zepbound)</t>
  </si>
  <si>
    <t>Mounjaro revenue growth, 2027</t>
  </si>
  <si>
    <t>Mounjaro growth step-down per year</t>
  </si>
  <si>
    <t>Zepbound revenue growth, 2027</t>
  </si>
  <si>
    <t>Zepbound growth step-down per year</t>
  </si>
  <si>
    <t>Tirzepatide growth floor (mature years)</t>
  </si>
  <si>
    <t>Tirzepatide loss of exclusivity (year)</t>
  </si>
  <si>
    <t>Tirzepatide post-LOE erosion per year</t>
  </si>
  <si>
    <t>Obesity franchise sales multiplier (active)</t>
  </si>
  <si>
    <t>Launches &amp; late-stage pipeline</t>
  </si>
  <si>
    <t>Foundayo (orforglipron) peak sales</t>
  </si>
  <si>
    <t>Retatrutide peak sales</t>
  </si>
  <si>
    <t>Retatrutide probability of approval</t>
  </si>
  <si>
    <t>Eloralintide peak sales</t>
  </si>
  <si>
    <t>Eloralintide probability of approval</t>
  </si>
  <si>
    <t>Lepodisiran peak sales</t>
  </si>
  <si>
    <t>Lepodisiran probability of approval</t>
  </si>
  <si>
    <t>Olomorasib peak sales</t>
  </si>
  <si>
    <t>Olomorasib probability of approval</t>
  </si>
  <si>
    <t>ORX750 (orexin agonist) peak sales</t>
  </si>
  <si>
    <t>ORX750 probability of approval</t>
  </si>
  <si>
    <t>New launches from early pipeline &amp; BD, 2040 sales</t>
  </si>
  <si>
    <t>Marketed products: growth path</t>
  </si>
  <si>
    <t>Product</t>
  </si>
  <si>
    <t>2027 growth</t>
  </si>
  <si>
    <t>Step-down/yr</t>
  </si>
  <si>
    <t>Growth floor</t>
  </si>
  <si>
    <t>LOE year</t>
  </si>
  <si>
    <t>Post-LOE erosion</t>
  </si>
  <si>
    <t>Launch products: timing</t>
  </si>
  <si>
    <t>Launch year</t>
  </si>
  <si>
    <t>Peak sales</t>
  </si>
  <si>
    <t>PoS</t>
  </si>
  <si>
    <t>Retatrutide</t>
  </si>
  <si>
    <t>Eloralintide</t>
  </si>
  <si>
    <t>Lepodisiran</t>
  </si>
  <si>
    <t>Olomorasib</t>
  </si>
  <si>
    <t>ORX750</t>
  </si>
  <si>
    <t>Year since launch</t>
  </si>
  <si>
    <t>Sales ramp, % of peak</t>
  </si>
  <si>
    <t>Sensitivity tables (Excel data tables)</t>
  </si>
  <si>
    <t>Scenario summary</t>
  </si>
  <si>
    <t>Case</t>
  </si>
  <si>
    <t>EV ($bn)</t>
  </si>
  <si>
    <t>Equity ($bn)</t>
  </si>
  <si>
    <t>Value / share</t>
  </si>
  <si>
    <t>TV % of EV</t>
  </si>
  <si>
    <t>Live (active scenario)</t>
  </si>
  <si>
    <t>Value per share: WACC × terminal growth</t>
  </si>
  <si>
    <t>Terminal growth →</t>
  </si>
  <si>
    <t>WACC ↓</t>
  </si>
  <si>
    <t>Value per share: obesity franchise sales multiplier × WACC</t>
  </si>
  <si>
    <t>WACC →</t>
  </si>
  <si>
    <t>Sales multiplier ↓</t>
  </si>
  <si>
    <t>LLY — revenue build by product ($mm)</t>
  </si>
  <si>
    <t>Year</t>
  </si>
  <si>
    <t>Marketed products</t>
  </si>
  <si>
    <t>Marketed products total</t>
  </si>
  <si>
    <t>Launches &amp; late-stage pipeline (risk-adjusted)</t>
  </si>
  <si>
    <t>Launches &amp; pipeline total</t>
  </si>
  <si>
    <t>Obesity franchise adjustment (multiplier)</t>
  </si>
  <si>
    <t>New launches (early pipeline &amp; BD, unidentified)</t>
  </si>
  <si>
    <t>Total revenue</t>
  </si>
  <si>
    <t>Memo</t>
  </si>
  <si>
    <t>Incretin franchise (tirzepatide + Foundayo + retatrutide)</t>
  </si>
  <si>
    <t>Incretin franchise, % of revenue</t>
  </si>
  <si>
    <t>LLY — DCF with risk-adjusted pipeline ($mm except per share)</t>
  </si>
  <si>
    <t>Terminal growth</t>
  </si>
  <si>
    <t>Period</t>
  </si>
  <si>
    <t>2H 2026</t>
  </si>
  <si>
    <t>Operating income (EBIT)</t>
  </si>
  <si>
    <t>Taxes on EBIT</t>
  </si>
  <si>
    <t>NOPAT</t>
  </si>
  <si>
    <t>Depreciation &amp; amortization</t>
  </si>
  <si>
    <t>Capital expenditure</t>
  </si>
  <si>
    <t>Increase in working capital</t>
  </si>
  <si>
    <t>Unlevered free cash flow</t>
  </si>
  <si>
    <t>Cash-flow date (mid-period)</t>
  </si>
  <si>
    <t>Years from valuation date</t>
  </si>
  <si>
    <t>Discount factor</t>
  </si>
  <si>
    <t>PV of free cash flow</t>
  </si>
  <si>
    <t>Terminal value</t>
  </si>
  <si>
    <t>Terminal free cash flow (2041)</t>
  </si>
  <si>
    <t>Terminal value at end-2040</t>
  </si>
  <si>
    <t>Years from valuation date to end-2040</t>
  </si>
  <si>
    <t>PV of terminal value</t>
  </si>
  <si>
    <t>Valuation summary</t>
  </si>
  <si>
    <t>PV of free cash flows, 2H 2026–2040</t>
  </si>
  <si>
    <t>Enterprise value</t>
  </si>
  <si>
    <t>Less: debt (6/30/2026)</t>
  </si>
  <si>
    <t>Plus: cash &amp; short-term investments (6/30/2026)</t>
  </si>
  <si>
    <t>Less: acquisitions after 6/30/2026</t>
  </si>
  <si>
    <t>Equity value</t>
  </si>
  <si>
    <t>Diluted shares (mm)</t>
  </si>
  <si>
    <t>Value per share</t>
  </si>
  <si>
    <t>Current price (Main)</t>
  </si>
  <si>
    <t>Upside / (downside)</t>
  </si>
  <si>
    <t>Terminal value, % of enterprise value</t>
  </si>
  <si>
    <t>Price / 2027E EPS</t>
  </si>
  <si>
    <t>Market-implied enterprise value</t>
  </si>
  <si>
    <t>LLY — options strategy analysis (per contract = 100 shares)</t>
  </si>
  <si>
    <t>Inputs</t>
  </si>
  <si>
    <t>Spot price (close 10/16/2026)</t>
  </si>
  <si>
    <t>Pricing date</t>
  </si>
  <si>
    <t>Expiry</t>
  </si>
  <si>
    <t>Years to expiry (T)</t>
  </si>
  <si>
    <t>Risk-free rate (put-call parity)</t>
  </si>
  <si>
    <t>Dividend yield</t>
  </si>
  <si>
    <t>Contract multiplier</t>
  </si>
  <si>
    <t>Model link</t>
  </si>
  <si>
    <t>Share of gap to model value closed by expiry</t>
  </si>
  <si>
    <t>Scenario price at expiry</t>
  </si>
  <si>
    <t>$/share</t>
  </si>
  <si>
    <t>Weight</t>
  </si>
  <si>
    <t>Model value</t>
  </si>
  <si>
    <t>Model-weighted price at expiry</t>
  </si>
  <si>
    <t>Market snapshot — Jan 15, 2027 expiry (Cboe delayed, 10/16/2026 close)</t>
  </si>
  <si>
    <t>Strike</t>
  </si>
  <si>
    <t>Call bid</t>
  </si>
  <si>
    <t>Call ask</t>
  </si>
  <si>
    <t>Call mid</t>
  </si>
  <si>
    <t>Call IV</t>
  </si>
  <si>
    <t>Put bid</t>
  </si>
  <si>
    <t>Put ask</t>
  </si>
  <si>
    <t>Put mid</t>
  </si>
  <si>
    <t>Put IV</t>
  </si>
  <si>
    <t>Call OI</t>
  </si>
  <si>
    <t>Put OI</t>
  </si>
  <si>
    <t>Legs (premium = market mid; Black-Scholes value at the strike's IV for comparison)</t>
  </si>
  <si>
    <t>Leg</t>
  </si>
  <si>
    <t>Type</t>
  </si>
  <si>
    <t>Mid</t>
  </si>
  <si>
    <t>IV</t>
  </si>
  <si>
    <t>d1</t>
  </si>
  <si>
    <t>d2</t>
  </si>
  <si>
    <t>BS value</t>
  </si>
  <si>
    <t>Delta</t>
  </si>
  <si>
    <t>Jan-27 $1,260 put</t>
  </si>
  <si>
    <t>P</t>
  </si>
  <si>
    <t>Jan-27 $1,100 put</t>
  </si>
  <si>
    <t>Jan-27 $1,300 call</t>
  </si>
  <si>
    <t>C</t>
  </si>
  <si>
    <t>Jan-27 $1,400 call</t>
  </si>
  <si>
    <t>Jan-27 $1,500 call</t>
  </si>
  <si>
    <t>Strategies (+ = credit received, − = debit paid; per share unless noted)</t>
  </si>
  <si>
    <t>Metric</t>
  </si>
  <si>
    <t>Long put</t>
  </si>
  <si>
    <t>Bear put spread</t>
  </si>
  <si>
    <t>Bear call spread</t>
  </si>
  <si>
    <t>Bull call spread</t>
  </si>
  <si>
    <t>Structure</t>
  </si>
  <si>
    <t>Buy $1,260 put</t>
  </si>
  <si>
    <t>Buy $1,260 / sell $1,100 put</t>
  </si>
  <si>
    <t>Sell $1,400 / buy $1,500 call</t>
  </si>
  <si>
    <t>Buy $1,300 / sell $1,400 call</t>
  </si>
  <si>
    <t>Net premium</t>
  </si>
  <si>
    <t>Net premium / contract</t>
  </si>
  <si>
    <t>Max profit / contract</t>
  </si>
  <si>
    <t>Max loss / contract</t>
  </si>
  <si>
    <t>Breakeven at expiry</t>
  </si>
  <si>
    <t>Profits if price at expiry is</t>
  </si>
  <si>
    <t>below</t>
  </si>
  <si>
    <t>above</t>
  </si>
  <si>
    <t>Prob. of profit (market-implied)</t>
  </si>
  <si>
    <t>P/L at current price</t>
  </si>
  <si>
    <t>P/L at bear price</t>
  </si>
  <si>
    <t>P/L at base price</t>
  </si>
  <si>
    <t>P/L at bull price</t>
  </si>
  <si>
    <t>Model-weighted expected P/L</t>
  </si>
  <si>
    <t>Expected P/L ÷ max loss</t>
  </si>
  <si>
    <t>Payoff at expiry per contract ($)</t>
  </si>
  <si>
    <t>Price at expiry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</si>
</sst>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.0%;\(0.0%\);&quot;-&quot;"/>
    <numFmt numFmtId="165" formatCode="0.00\x"/>
    <numFmt numFmtId="166" formatCode="yyyy\-mm\-dd"/>
    <numFmt numFmtId="167" formatCode="#,##0;\(#,##0\);&quot;-&quot;"/>
    <numFmt numFmtId="168" formatCode="0.0"/>
    <numFmt numFmtId="169" formatCode="#,##0.0;\(#,##0.0\);&quot;-&quot;"/>
    <numFmt numFmtId="170" formatCode="0.000"/>
    <numFmt numFmtId="171" formatCode="\$#,##0.00;\(\$#,##0.00\);&quot;-&quot;"/>
    <numFmt numFmtId="172" formatCode="0.0\x"/>
    <numFmt numFmtId="173" formatCode="\$#,##0;\(\$#,##0\);&quot;-&quot;"/>
    <numFmt numFmtId="174" formatCode="0.0%"/>
  </numFmts>
  <fonts count="1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rgb="FF000000"/>
      <name val="Aptos Narrow"/>
    </font>
    <font>
      <b/>
      <sz val="12"/>
      <color rgb="FF000000"/>
      <name val="Aptos Narrow"/>
    </font>
    <font>
      <sz val="12"/>
      <color rgb="FF0000FF"/>
      <name val="Aptos Narrow"/>
    </font>
    <font>
      <i/>
      <sz val="12"/>
      <color rgb="FF000000"/>
      <name val="Aptos Narrow"/>
    </font>
    <font>
      <sz val="12"/>
      <color rgb="FF000000"/>
      <name val="Aptos Narrow"/>
    </font>
    <font>
      <b/>
      <sz val="12"/>
      <color rgb="FF0000FF"/>
      <name val="Aptos Narrow"/>
    </font>
    <font>
      <b/>
      <sz val="12"/>
      <color rgb="FF008000"/>
      <name val="Aptos Narrow"/>
    </font>
    <font>
      <sz val="12"/>
      <color rgb="FF008000"/>
      <name val="Aptos Narrow"/>
    </font>
    <font>
      <b/>
      <sz val="13"/>
      <color rgb="FF000000"/>
      <name val="Aptos Narrow"/>
    </font>
    <font>
      <i/>
      <sz val="12"/>
      <color rgb="FF008000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F2F2F2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3" fontId="0" fillId="0" borderId="0" xfId="0" applyNumberFormat="1"/>
    <xf numFmtId="0" fontId="0" fillId="0" borderId="2" xfId="0" applyBorder="1"/>
    <xf numFmtId="10" fontId="0" fillId="0" borderId="2" xfId="0" applyNumberFormat="1" applyBorder="1"/>
    <xf numFmtId="10" fontId="0" fillId="0" borderId="0" xfId="0" applyNumberFormat="1"/>
    <xf numFmtId="3" fontId="0" fillId="0" borderId="2" xfId="0" applyNumberFormat="1" applyBorder="1"/>
    <xf numFmtId="0" fontId="1" fillId="0" borderId="1" xfId="0" applyFont="1" applyBorder="1"/>
    <xf numFmtId="0" fontId="1" fillId="0" borderId="3" xfId="0" applyFont="1" applyBorder="1"/>
    <xf numFmtId="2" fontId="6" fillId="0" borderId="0" xfId="0" applyNumberFormat="1" applyFont="1"/>
    <xf numFmtId="3" fontId="6" fillId="0" borderId="0" xfId="0" applyNumberFormat="1" applyFont="1"/>
    <xf numFmtId="0" fontId="6" fillId="0" borderId="0" xfId="0" applyFont="1"/>
    <xf numFmtId="174" fontId="6" fillId="0" borderId="0" xfId="0" applyNumberFormat="1" applyFont="1"/>
    <xf numFmtId="167" fontId="6" fillId="0" borderId="0" xfId="0" applyNumberFormat="1" applyFont="1"/>
    <xf numFmtId="169" fontId="6" fillId="0" borderId="0" xfId="0" applyNumberFormat="1" applyFont="1"/>
    <xf numFmtId="10" fontId="6" fillId="0" borderId="0" xfId="0" applyNumberFormat="1" applyFont="1"/>
    <xf numFmtId="0" fontId="6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/>
    <xf numFmtId="0" fontId="2" fillId="0" borderId="0" xfId="0" applyFont="1"/>
    <xf numFmtId="0" fontId="4" fillId="2" borderId="0" xfId="0" applyFont="1" applyFill="1" applyAlignment="1">
      <alignment horizontal="center"/>
    </xf>
    <xf numFmtId="0" fontId="5" fillId="0" borderId="0" xfId="0" applyFont="1"/>
    <xf numFmtId="164" fontId="4" fillId="2" borderId="0" xfId="0" applyNumberFormat="1" applyFont="1" applyFill="1"/>
    <xf numFmtId="165" fontId="4" fillId="2" borderId="0" xfId="0" applyNumberFormat="1" applyFont="1" applyFill="1"/>
    <xf numFmtId="0" fontId="3" fillId="3" borderId="0" xfId="0" applyFont="1" applyFill="1"/>
    <xf numFmtId="0" fontId="3" fillId="4" borderId="0" xfId="0" applyFont="1" applyFill="1"/>
    <xf numFmtId="0" fontId="0" fillId="4" borderId="0" xfId="0" applyFill="1"/>
    <xf numFmtId="166" fontId="7" fillId="0" borderId="0" xfId="0" applyNumberFormat="1" applyFont="1"/>
    <xf numFmtId="164" fontId="3" fillId="0" borderId="0" xfId="0" applyNumberFormat="1" applyFont="1"/>
    <xf numFmtId="164" fontId="4" fillId="0" borderId="0" xfId="0" applyNumberFormat="1" applyFont="1"/>
    <xf numFmtId="167" fontId="3" fillId="0" borderId="0" xfId="0" applyNumberFormat="1" applyFont="1"/>
    <xf numFmtId="167" fontId="4" fillId="0" borderId="0" xfId="0" applyNumberFormat="1" applyFont="1"/>
    <xf numFmtId="168" fontId="3" fillId="0" borderId="0" xfId="0" applyNumberFormat="1" applyFont="1"/>
    <xf numFmtId="168" fontId="4" fillId="0" borderId="0" xfId="0" applyNumberFormat="1" applyFont="1"/>
    <xf numFmtId="1" fontId="3" fillId="0" borderId="0" xfId="0" applyNumberFormat="1" applyFont="1"/>
    <xf numFmtId="1" fontId="4" fillId="0" borderId="0" xfId="0" applyNumberFormat="1" applyFont="1"/>
    <xf numFmtId="165" fontId="3" fillId="0" borderId="0" xfId="0" applyNumberFormat="1" applyFont="1"/>
    <xf numFmtId="167" fontId="4" fillId="2" borderId="0" xfId="0" applyNumberFormat="1" applyFont="1" applyFill="1"/>
    <xf numFmtId="0" fontId="3" fillId="3" borderId="0" xfId="0" applyFont="1" applyFill="1" applyAlignment="1">
      <alignment horizontal="center"/>
    </xf>
    <xf numFmtId="164" fontId="6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7" fontId="6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10" fillId="0" borderId="0" xfId="0" applyFont="1"/>
    <xf numFmtId="3" fontId="5" fillId="0" borderId="0" xfId="0" applyNumberFormat="1" applyFont="1"/>
    <xf numFmtId="173" fontId="11" fillId="0" borderId="0" xfId="0" applyNumberFormat="1" applyFont="1"/>
    <xf numFmtId="164" fontId="11" fillId="0" borderId="0" xfId="0" applyNumberFormat="1" applyFont="1"/>
    <xf numFmtId="0" fontId="6" fillId="0" borderId="0" xfId="0" applyFont="1" applyAlignment="1">
      <alignment horizontal="center"/>
    </xf>
    <xf numFmtId="173" fontId="6" fillId="0" borderId="0" xfId="0" applyNumberFormat="1" applyFont="1"/>
    <xf numFmtId="164" fontId="6" fillId="0" borderId="0" xfId="0" applyNumberFormat="1" applyFont="1"/>
    <xf numFmtId="3" fontId="3" fillId="0" borderId="0" xfId="0" applyNumberFormat="1" applyFont="1"/>
    <xf numFmtId="173" fontId="3" fillId="0" borderId="0" xfId="0" applyNumberFormat="1" applyFont="1"/>
    <xf numFmtId="164" fontId="3" fillId="0" borderId="0" xfId="0" applyNumberFormat="1" applyFont="1" applyAlignment="1">
      <alignment horizontal="center"/>
    </xf>
    <xf numFmtId="167" fontId="3" fillId="0" borderId="5" xfId="0" applyNumberFormat="1" applyFont="1" applyBorder="1"/>
    <xf numFmtId="0" fontId="3" fillId="0" borderId="5" xfId="0" applyFont="1" applyBorder="1"/>
    <xf numFmtId="0" fontId="8" fillId="0" borderId="0" xfId="0" applyFont="1"/>
    <xf numFmtId="166" fontId="9" fillId="0" borderId="0" xfId="0" applyNumberFormat="1" applyFont="1"/>
    <xf numFmtId="164" fontId="9" fillId="0" borderId="0" xfId="0" applyNumberFormat="1" applyFont="1"/>
    <xf numFmtId="0" fontId="6" fillId="3" borderId="0" xfId="0" applyFont="1" applyFill="1"/>
    <xf numFmtId="0" fontId="3" fillId="3" borderId="0" xfId="0" applyFont="1" applyFill="1" applyAlignment="1">
      <alignment horizontal="right"/>
    </xf>
    <xf numFmtId="167" fontId="9" fillId="0" borderId="0" xfId="0" applyNumberFormat="1" applyFont="1"/>
    <xf numFmtId="166" fontId="6" fillId="0" borderId="0" xfId="0" applyNumberFormat="1" applyFont="1" applyAlignment="1">
      <alignment horizontal="right"/>
    </xf>
    <xf numFmtId="170" fontId="6" fillId="0" borderId="0" xfId="0" applyNumberFormat="1" applyFont="1"/>
    <xf numFmtId="171" fontId="3" fillId="2" borderId="0" xfId="0" applyNumberFormat="1" applyFont="1" applyFill="1"/>
    <xf numFmtId="171" fontId="9" fillId="0" borderId="0" xfId="0" applyNumberFormat="1" applyFont="1"/>
    <xf numFmtId="172" fontId="6" fillId="0" borderId="0" xfId="0" applyNumberFormat="1" applyFont="1"/>
    <xf numFmtId="171" fontId="4" fillId="0" borderId="0" xfId="0" applyNumberFormat="1" applyFont="1"/>
    <xf numFmtId="166" fontId="4" fillId="0" borderId="0" xfId="0" applyNumberFormat="1" applyFont="1"/>
    <xf numFmtId="171" fontId="6" fillId="0" borderId="0" xfId="0" applyNumberFormat="1" applyFont="1"/>
    <xf numFmtId="173" fontId="9" fillId="0" borderId="0" xfId="0" applyNumberFormat="1" applyFont="1"/>
    <xf numFmtId="171" fontId="3" fillId="0" borderId="0" xfId="0" applyNumberFormat="1" applyFont="1"/>
    <xf numFmtId="3" fontId="4" fillId="0" borderId="0" xfId="0" applyNumberFormat="1" applyFont="1"/>
    <xf numFmtId="0" fontId="4" fillId="0" borderId="0" xfId="0" applyFont="1" applyAlignment="1">
      <alignment horizontal="center"/>
    </xf>
    <xf numFmtId="1" fontId="6" fillId="0" borderId="0" xfId="0" applyNumberFormat="1" applyFont="1"/>
    <xf numFmtId="0" fontId="5" fillId="0" borderId="0" xfId="0" applyFont="1" applyAlignment="1">
      <alignment vertical="top" wrapText="1"/>
    </xf>
    <xf numFmtId="173" fontId="6" fillId="0" borderId="0" xfId="0" applyNumberFormat="1" applyFont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P/L at expiry per contract (Jan 15, 2027)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Options!$B$56</c:f>
              <c:strCache>
                <c:ptCount val="1"/>
                <c:pt idx="0">
                  <c:v>Long put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Options!$A$57:$A$85</c:f>
              <c:numCache>
                <c:formatCode>\$#,##0;\(\$#,##0\);"-"</c:formatCode>
                <c:ptCount val="29"/>
                <c:pt idx="0">
                  <c:v>900</c:v>
                </c:pt>
                <c:pt idx="1">
                  <c:v>925</c:v>
                </c:pt>
                <c:pt idx="2">
                  <c:v>950</c:v>
                </c:pt>
                <c:pt idx="3">
                  <c:v>975</c:v>
                </c:pt>
                <c:pt idx="4">
                  <c:v>1000</c:v>
                </c:pt>
                <c:pt idx="5">
                  <c:v>1025</c:v>
                </c:pt>
                <c:pt idx="6">
                  <c:v>1050</c:v>
                </c:pt>
                <c:pt idx="7">
                  <c:v>1075</c:v>
                </c:pt>
                <c:pt idx="8">
                  <c:v>1100</c:v>
                </c:pt>
                <c:pt idx="9">
                  <c:v>1125</c:v>
                </c:pt>
                <c:pt idx="10">
                  <c:v>1150</c:v>
                </c:pt>
                <c:pt idx="11">
                  <c:v>1175</c:v>
                </c:pt>
                <c:pt idx="12">
                  <c:v>1200</c:v>
                </c:pt>
                <c:pt idx="13">
                  <c:v>1225</c:v>
                </c:pt>
                <c:pt idx="14">
                  <c:v>1250</c:v>
                </c:pt>
                <c:pt idx="15">
                  <c:v>1275</c:v>
                </c:pt>
                <c:pt idx="16">
                  <c:v>1300</c:v>
                </c:pt>
                <c:pt idx="17">
                  <c:v>1325</c:v>
                </c:pt>
                <c:pt idx="18">
                  <c:v>1350</c:v>
                </c:pt>
                <c:pt idx="19">
                  <c:v>1375</c:v>
                </c:pt>
                <c:pt idx="20">
                  <c:v>1400</c:v>
                </c:pt>
                <c:pt idx="21">
                  <c:v>1425</c:v>
                </c:pt>
                <c:pt idx="22">
                  <c:v>1450</c:v>
                </c:pt>
                <c:pt idx="23">
                  <c:v>1475</c:v>
                </c:pt>
                <c:pt idx="24">
                  <c:v>1500</c:v>
                </c:pt>
                <c:pt idx="25">
                  <c:v>1525</c:v>
                </c:pt>
                <c:pt idx="26">
                  <c:v>1550</c:v>
                </c:pt>
                <c:pt idx="27">
                  <c:v>1575</c:v>
                </c:pt>
                <c:pt idx="28">
                  <c:v>1600</c:v>
                </c:pt>
              </c:numCache>
            </c:numRef>
          </c:xVal>
          <c:yVal>
            <c:numRef>
              <c:f>Options!$B$57:$B$85</c:f>
              <c:numCache>
                <c:formatCode>#,##0;\(#,##0\);"-"</c:formatCode>
                <c:ptCount val="29"/>
                <c:pt idx="0">
                  <c:v>27639.999999999996</c:v>
                </c:pt>
                <c:pt idx="1">
                  <c:v>25140</c:v>
                </c:pt>
                <c:pt idx="2">
                  <c:v>22640</c:v>
                </c:pt>
                <c:pt idx="3">
                  <c:v>20140</c:v>
                </c:pt>
                <c:pt idx="4">
                  <c:v>17640</c:v>
                </c:pt>
                <c:pt idx="5">
                  <c:v>15140</c:v>
                </c:pt>
                <c:pt idx="6">
                  <c:v>12640</c:v>
                </c:pt>
                <c:pt idx="7">
                  <c:v>10140</c:v>
                </c:pt>
                <c:pt idx="8">
                  <c:v>7640.0000000000009</c:v>
                </c:pt>
                <c:pt idx="9">
                  <c:v>5140.0000000000009</c:v>
                </c:pt>
                <c:pt idx="10">
                  <c:v>2640.0000000000005</c:v>
                </c:pt>
                <c:pt idx="11">
                  <c:v>140.00000000000057</c:v>
                </c:pt>
                <c:pt idx="12">
                  <c:v>-2359.9999999999995</c:v>
                </c:pt>
                <c:pt idx="13">
                  <c:v>-4859.9999999999991</c:v>
                </c:pt>
                <c:pt idx="14">
                  <c:v>-7359.9999999999991</c:v>
                </c:pt>
                <c:pt idx="15">
                  <c:v>-8360</c:v>
                </c:pt>
                <c:pt idx="16">
                  <c:v>-8360</c:v>
                </c:pt>
                <c:pt idx="17">
                  <c:v>-8360</c:v>
                </c:pt>
                <c:pt idx="18">
                  <c:v>-8360</c:v>
                </c:pt>
                <c:pt idx="19">
                  <c:v>-8360</c:v>
                </c:pt>
                <c:pt idx="20">
                  <c:v>-8360</c:v>
                </c:pt>
                <c:pt idx="21">
                  <c:v>-8360</c:v>
                </c:pt>
                <c:pt idx="22">
                  <c:v>-8360</c:v>
                </c:pt>
                <c:pt idx="23">
                  <c:v>-8360</c:v>
                </c:pt>
                <c:pt idx="24">
                  <c:v>-8360</c:v>
                </c:pt>
                <c:pt idx="25">
                  <c:v>-8360</c:v>
                </c:pt>
                <c:pt idx="26">
                  <c:v>-8360</c:v>
                </c:pt>
                <c:pt idx="27">
                  <c:v>-8360</c:v>
                </c:pt>
                <c:pt idx="28">
                  <c:v>-8360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58-2D43-9868-46F2D70DAAF3}"/>
            </c:ext>
          </c:extLst>
        </c:ser>
        <c:ser>
          <c:idx val="1"/>
          <c:order val="1"/>
          <c:tx>
            <c:strRef>
              <c:f>Options!$C$56</c:f>
              <c:strCache>
                <c:ptCount val="1"/>
                <c:pt idx="0">
                  <c:v>Bear put spread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Options!$A$57:$A$85</c:f>
              <c:numCache>
                <c:formatCode>\$#,##0;\(\$#,##0\);"-"</c:formatCode>
                <c:ptCount val="29"/>
                <c:pt idx="0">
                  <c:v>900</c:v>
                </c:pt>
                <c:pt idx="1">
                  <c:v>925</c:v>
                </c:pt>
                <c:pt idx="2">
                  <c:v>950</c:v>
                </c:pt>
                <c:pt idx="3">
                  <c:v>975</c:v>
                </c:pt>
                <c:pt idx="4">
                  <c:v>1000</c:v>
                </c:pt>
                <c:pt idx="5">
                  <c:v>1025</c:v>
                </c:pt>
                <c:pt idx="6">
                  <c:v>1050</c:v>
                </c:pt>
                <c:pt idx="7">
                  <c:v>1075</c:v>
                </c:pt>
                <c:pt idx="8">
                  <c:v>1100</c:v>
                </c:pt>
                <c:pt idx="9">
                  <c:v>1125</c:v>
                </c:pt>
                <c:pt idx="10">
                  <c:v>1150</c:v>
                </c:pt>
                <c:pt idx="11">
                  <c:v>1175</c:v>
                </c:pt>
                <c:pt idx="12">
                  <c:v>1200</c:v>
                </c:pt>
                <c:pt idx="13">
                  <c:v>1225</c:v>
                </c:pt>
                <c:pt idx="14">
                  <c:v>1250</c:v>
                </c:pt>
                <c:pt idx="15">
                  <c:v>1275</c:v>
                </c:pt>
                <c:pt idx="16">
                  <c:v>1300</c:v>
                </c:pt>
                <c:pt idx="17">
                  <c:v>1325</c:v>
                </c:pt>
                <c:pt idx="18">
                  <c:v>1350</c:v>
                </c:pt>
                <c:pt idx="19">
                  <c:v>1375</c:v>
                </c:pt>
                <c:pt idx="20">
                  <c:v>1400</c:v>
                </c:pt>
                <c:pt idx="21">
                  <c:v>1425</c:v>
                </c:pt>
                <c:pt idx="22">
                  <c:v>1450</c:v>
                </c:pt>
                <c:pt idx="23">
                  <c:v>1475</c:v>
                </c:pt>
                <c:pt idx="24">
                  <c:v>1500</c:v>
                </c:pt>
                <c:pt idx="25">
                  <c:v>1525</c:v>
                </c:pt>
                <c:pt idx="26">
                  <c:v>1550</c:v>
                </c:pt>
                <c:pt idx="27">
                  <c:v>1575</c:v>
                </c:pt>
                <c:pt idx="28">
                  <c:v>1600</c:v>
                </c:pt>
              </c:numCache>
            </c:numRef>
          </c:xVal>
          <c:yVal>
            <c:numRef>
              <c:f>Options!$C$57:$C$85</c:f>
              <c:numCache>
                <c:formatCode>#,##0;\(#,##0\);"-"</c:formatCode>
                <c:ptCount val="29"/>
                <c:pt idx="0">
                  <c:v>10307.5</c:v>
                </c:pt>
                <c:pt idx="1">
                  <c:v>10307.5</c:v>
                </c:pt>
                <c:pt idx="2">
                  <c:v>10307.5</c:v>
                </c:pt>
                <c:pt idx="3">
                  <c:v>10307.5</c:v>
                </c:pt>
                <c:pt idx="4">
                  <c:v>10307.5</c:v>
                </c:pt>
                <c:pt idx="5">
                  <c:v>10307.5</c:v>
                </c:pt>
                <c:pt idx="6">
                  <c:v>10307.5</c:v>
                </c:pt>
                <c:pt idx="7">
                  <c:v>10307.5</c:v>
                </c:pt>
                <c:pt idx="8">
                  <c:v>10307.5</c:v>
                </c:pt>
                <c:pt idx="9">
                  <c:v>7807.5</c:v>
                </c:pt>
                <c:pt idx="10">
                  <c:v>5307.5</c:v>
                </c:pt>
                <c:pt idx="11">
                  <c:v>2807.5000000000005</c:v>
                </c:pt>
                <c:pt idx="12">
                  <c:v>307.50000000000063</c:v>
                </c:pt>
                <c:pt idx="13">
                  <c:v>-2192.4999999999995</c:v>
                </c:pt>
                <c:pt idx="14">
                  <c:v>-4692.5</c:v>
                </c:pt>
                <c:pt idx="15">
                  <c:v>-5692.5</c:v>
                </c:pt>
                <c:pt idx="16">
                  <c:v>-5692.5</c:v>
                </c:pt>
                <c:pt idx="17">
                  <c:v>-5692.5</c:v>
                </c:pt>
                <c:pt idx="18">
                  <c:v>-5692.5</c:v>
                </c:pt>
                <c:pt idx="19">
                  <c:v>-5692.5</c:v>
                </c:pt>
                <c:pt idx="20">
                  <c:v>-5692.5</c:v>
                </c:pt>
                <c:pt idx="21">
                  <c:v>-5692.5</c:v>
                </c:pt>
                <c:pt idx="22">
                  <c:v>-5692.5</c:v>
                </c:pt>
                <c:pt idx="23">
                  <c:v>-5692.5</c:v>
                </c:pt>
                <c:pt idx="24">
                  <c:v>-5692.5</c:v>
                </c:pt>
                <c:pt idx="25">
                  <c:v>-5692.5</c:v>
                </c:pt>
                <c:pt idx="26">
                  <c:v>-5692.5</c:v>
                </c:pt>
                <c:pt idx="27">
                  <c:v>-5692.5</c:v>
                </c:pt>
                <c:pt idx="28">
                  <c:v>-5692.5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458-2D43-9868-46F2D70DAAF3}"/>
            </c:ext>
          </c:extLst>
        </c:ser>
        <c:ser>
          <c:idx val="2"/>
          <c:order val="2"/>
          <c:tx>
            <c:strRef>
              <c:f>Options!$D$56</c:f>
              <c:strCache>
                <c:ptCount val="1"/>
                <c:pt idx="0">
                  <c:v>Bear call spread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Options!$A$57:$A$85</c:f>
              <c:numCache>
                <c:formatCode>\$#,##0;\(\$#,##0\);"-"</c:formatCode>
                <c:ptCount val="29"/>
                <c:pt idx="0">
                  <c:v>900</c:v>
                </c:pt>
                <c:pt idx="1">
                  <c:v>925</c:v>
                </c:pt>
                <c:pt idx="2">
                  <c:v>950</c:v>
                </c:pt>
                <c:pt idx="3">
                  <c:v>975</c:v>
                </c:pt>
                <c:pt idx="4">
                  <c:v>1000</c:v>
                </c:pt>
                <c:pt idx="5">
                  <c:v>1025</c:v>
                </c:pt>
                <c:pt idx="6">
                  <c:v>1050</c:v>
                </c:pt>
                <c:pt idx="7">
                  <c:v>1075</c:v>
                </c:pt>
                <c:pt idx="8">
                  <c:v>1100</c:v>
                </c:pt>
                <c:pt idx="9">
                  <c:v>1125</c:v>
                </c:pt>
                <c:pt idx="10">
                  <c:v>1150</c:v>
                </c:pt>
                <c:pt idx="11">
                  <c:v>1175</c:v>
                </c:pt>
                <c:pt idx="12">
                  <c:v>1200</c:v>
                </c:pt>
                <c:pt idx="13">
                  <c:v>1225</c:v>
                </c:pt>
                <c:pt idx="14">
                  <c:v>1250</c:v>
                </c:pt>
                <c:pt idx="15">
                  <c:v>1275</c:v>
                </c:pt>
                <c:pt idx="16">
                  <c:v>1300</c:v>
                </c:pt>
                <c:pt idx="17">
                  <c:v>1325</c:v>
                </c:pt>
                <c:pt idx="18">
                  <c:v>1350</c:v>
                </c:pt>
                <c:pt idx="19">
                  <c:v>1375</c:v>
                </c:pt>
                <c:pt idx="20">
                  <c:v>1400</c:v>
                </c:pt>
                <c:pt idx="21">
                  <c:v>1425</c:v>
                </c:pt>
                <c:pt idx="22">
                  <c:v>1450</c:v>
                </c:pt>
                <c:pt idx="23">
                  <c:v>1475</c:v>
                </c:pt>
                <c:pt idx="24">
                  <c:v>1500</c:v>
                </c:pt>
                <c:pt idx="25">
                  <c:v>1525</c:v>
                </c:pt>
                <c:pt idx="26">
                  <c:v>1550</c:v>
                </c:pt>
                <c:pt idx="27">
                  <c:v>1575</c:v>
                </c:pt>
                <c:pt idx="28">
                  <c:v>1600</c:v>
                </c:pt>
              </c:numCache>
            </c:numRef>
          </c:xVal>
          <c:yVal>
            <c:numRef>
              <c:f>Options!$D$57:$D$85</c:f>
              <c:numCache>
                <c:formatCode>#,##0;\(#,##0\);"-"</c:formatCode>
                <c:ptCount val="29"/>
                <c:pt idx="0">
                  <c:v>1987.5</c:v>
                </c:pt>
                <c:pt idx="1">
                  <c:v>1987.5</c:v>
                </c:pt>
                <c:pt idx="2">
                  <c:v>1987.5</c:v>
                </c:pt>
                <c:pt idx="3">
                  <c:v>1987.5</c:v>
                </c:pt>
                <c:pt idx="4">
                  <c:v>1987.5</c:v>
                </c:pt>
                <c:pt idx="5">
                  <c:v>1987.5</c:v>
                </c:pt>
                <c:pt idx="6">
                  <c:v>1987.5</c:v>
                </c:pt>
                <c:pt idx="7">
                  <c:v>1987.5</c:v>
                </c:pt>
                <c:pt idx="8">
                  <c:v>1987.5</c:v>
                </c:pt>
                <c:pt idx="9">
                  <c:v>1987.5</c:v>
                </c:pt>
                <c:pt idx="10">
                  <c:v>1987.5</c:v>
                </c:pt>
                <c:pt idx="11">
                  <c:v>1987.5</c:v>
                </c:pt>
                <c:pt idx="12">
                  <c:v>1987.5</c:v>
                </c:pt>
                <c:pt idx="13">
                  <c:v>1987.5</c:v>
                </c:pt>
                <c:pt idx="14">
                  <c:v>1987.5</c:v>
                </c:pt>
                <c:pt idx="15">
                  <c:v>1987.5</c:v>
                </c:pt>
                <c:pt idx="16">
                  <c:v>1987.5</c:v>
                </c:pt>
                <c:pt idx="17">
                  <c:v>1987.5</c:v>
                </c:pt>
                <c:pt idx="18">
                  <c:v>1987.5</c:v>
                </c:pt>
                <c:pt idx="19">
                  <c:v>1987.5</c:v>
                </c:pt>
                <c:pt idx="20">
                  <c:v>1987.5</c:v>
                </c:pt>
                <c:pt idx="21">
                  <c:v>-512.5</c:v>
                </c:pt>
                <c:pt idx="22">
                  <c:v>-3012.5</c:v>
                </c:pt>
                <c:pt idx="23">
                  <c:v>-5512.5</c:v>
                </c:pt>
                <c:pt idx="24">
                  <c:v>-8012.5</c:v>
                </c:pt>
                <c:pt idx="25">
                  <c:v>-8012.5</c:v>
                </c:pt>
                <c:pt idx="26">
                  <c:v>-8012.5</c:v>
                </c:pt>
                <c:pt idx="27">
                  <c:v>-8012.5</c:v>
                </c:pt>
                <c:pt idx="28">
                  <c:v>-8012.5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458-2D43-9868-46F2D70DAAF3}"/>
            </c:ext>
          </c:extLst>
        </c:ser>
        <c:ser>
          <c:idx val="3"/>
          <c:order val="3"/>
          <c:tx>
            <c:strRef>
              <c:f>Options!$E$56</c:f>
              <c:strCache>
                <c:ptCount val="1"/>
                <c:pt idx="0">
                  <c:v>Bull call spread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Options!$A$57:$A$85</c:f>
              <c:numCache>
                <c:formatCode>\$#,##0;\(\$#,##0\);"-"</c:formatCode>
                <c:ptCount val="29"/>
                <c:pt idx="0">
                  <c:v>900</c:v>
                </c:pt>
                <c:pt idx="1">
                  <c:v>925</c:v>
                </c:pt>
                <c:pt idx="2">
                  <c:v>950</c:v>
                </c:pt>
                <c:pt idx="3">
                  <c:v>975</c:v>
                </c:pt>
                <c:pt idx="4">
                  <c:v>1000</c:v>
                </c:pt>
                <c:pt idx="5">
                  <c:v>1025</c:v>
                </c:pt>
                <c:pt idx="6">
                  <c:v>1050</c:v>
                </c:pt>
                <c:pt idx="7">
                  <c:v>1075</c:v>
                </c:pt>
                <c:pt idx="8">
                  <c:v>1100</c:v>
                </c:pt>
                <c:pt idx="9">
                  <c:v>1125</c:v>
                </c:pt>
                <c:pt idx="10">
                  <c:v>1150</c:v>
                </c:pt>
                <c:pt idx="11">
                  <c:v>1175</c:v>
                </c:pt>
                <c:pt idx="12">
                  <c:v>1200</c:v>
                </c:pt>
                <c:pt idx="13">
                  <c:v>1225</c:v>
                </c:pt>
                <c:pt idx="14">
                  <c:v>1250</c:v>
                </c:pt>
                <c:pt idx="15">
                  <c:v>1275</c:v>
                </c:pt>
                <c:pt idx="16">
                  <c:v>1300</c:v>
                </c:pt>
                <c:pt idx="17">
                  <c:v>1325</c:v>
                </c:pt>
                <c:pt idx="18">
                  <c:v>1350</c:v>
                </c:pt>
                <c:pt idx="19">
                  <c:v>1375</c:v>
                </c:pt>
                <c:pt idx="20">
                  <c:v>1400</c:v>
                </c:pt>
                <c:pt idx="21">
                  <c:v>1425</c:v>
                </c:pt>
                <c:pt idx="22">
                  <c:v>1450</c:v>
                </c:pt>
                <c:pt idx="23">
                  <c:v>1475</c:v>
                </c:pt>
                <c:pt idx="24">
                  <c:v>1500</c:v>
                </c:pt>
                <c:pt idx="25">
                  <c:v>1525</c:v>
                </c:pt>
                <c:pt idx="26">
                  <c:v>1550</c:v>
                </c:pt>
                <c:pt idx="27">
                  <c:v>1575</c:v>
                </c:pt>
                <c:pt idx="28">
                  <c:v>1600</c:v>
                </c:pt>
              </c:numCache>
            </c:numRef>
          </c:xVal>
          <c:yVal>
            <c:numRef>
              <c:f>Options!$E$57:$E$85</c:f>
              <c:numCache>
                <c:formatCode>#,##0;\(#,##0\);"-"</c:formatCode>
                <c:ptCount val="29"/>
                <c:pt idx="0">
                  <c:v>-3440.0000000000005</c:v>
                </c:pt>
                <c:pt idx="1">
                  <c:v>-3440.0000000000005</c:v>
                </c:pt>
                <c:pt idx="2">
                  <c:v>-3440.0000000000005</c:v>
                </c:pt>
                <c:pt idx="3">
                  <c:v>-3440.0000000000005</c:v>
                </c:pt>
                <c:pt idx="4">
                  <c:v>-3440.0000000000005</c:v>
                </c:pt>
                <c:pt idx="5">
                  <c:v>-3440.0000000000005</c:v>
                </c:pt>
                <c:pt idx="6">
                  <c:v>-3440.0000000000005</c:v>
                </c:pt>
                <c:pt idx="7">
                  <c:v>-3440.0000000000005</c:v>
                </c:pt>
                <c:pt idx="8">
                  <c:v>-3440.0000000000005</c:v>
                </c:pt>
                <c:pt idx="9">
                  <c:v>-3440.0000000000005</c:v>
                </c:pt>
                <c:pt idx="10">
                  <c:v>-3440.0000000000005</c:v>
                </c:pt>
                <c:pt idx="11">
                  <c:v>-3440.0000000000005</c:v>
                </c:pt>
                <c:pt idx="12">
                  <c:v>-3440.0000000000005</c:v>
                </c:pt>
                <c:pt idx="13">
                  <c:v>-3440.0000000000005</c:v>
                </c:pt>
                <c:pt idx="14">
                  <c:v>-3440.0000000000005</c:v>
                </c:pt>
                <c:pt idx="15">
                  <c:v>-3440.0000000000005</c:v>
                </c:pt>
                <c:pt idx="16">
                  <c:v>-3440.0000000000005</c:v>
                </c:pt>
                <c:pt idx="17">
                  <c:v>-940.00000000000057</c:v>
                </c:pt>
                <c:pt idx="18">
                  <c:v>1559.9999999999995</c:v>
                </c:pt>
                <c:pt idx="19">
                  <c:v>4059.9999999999995</c:v>
                </c:pt>
                <c:pt idx="20">
                  <c:v>6559.9999999999991</c:v>
                </c:pt>
                <c:pt idx="21">
                  <c:v>6559.9999999999991</c:v>
                </c:pt>
                <c:pt idx="22">
                  <c:v>6559.9999999999991</c:v>
                </c:pt>
                <c:pt idx="23">
                  <c:v>6559.9999999999991</c:v>
                </c:pt>
                <c:pt idx="24">
                  <c:v>6559.9999999999991</c:v>
                </c:pt>
                <c:pt idx="25">
                  <c:v>6559.9999999999991</c:v>
                </c:pt>
                <c:pt idx="26">
                  <c:v>6559.9999999999991</c:v>
                </c:pt>
                <c:pt idx="27">
                  <c:v>6559.9999999999991</c:v>
                </c:pt>
                <c:pt idx="28">
                  <c:v>6559.9999999999991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458-2D43-9868-46F2D70DAA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LLY price at expiry ($)</a:t>
                </a:r>
              </a:p>
            </c:rich>
          </c:tx>
          <c:overlay val="1"/>
        </c:title>
        <c:numFmt formatCode="\$#,##0;\(\$#,##0\);&quot;-&quot;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P/L ($)</a:t>
                </a:r>
              </a:p>
            </c:rich>
          </c:tx>
          <c:overlay val="1"/>
        </c:title>
        <c:numFmt formatCode="#,##0;\(#,##0\);&quot;-&quot;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54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../Screener.xlsx" TargetMode="External"/><Relationship Id="rId1" Type="http://schemas.openxmlformats.org/officeDocument/2006/relationships/externalLinkPath" Target="/Users/eric/Documents/Stock%20Models/Screener.xlsx" TargetMode="External"/><Relationship Id="rId1" Type="http://schemas.openxmlformats.org/officeDocument/2006/relationships/externalLinkPath" Target="/Users/eric/Documents/Stock%20Models/Screen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ositions"/>
      <sheetName val="Pharma"/>
      <sheetName val="Energy"/>
    </sheetNames>
    <sheetDataSet>
      <sheetData sheetId="0"/>
      <sheetData sheetId="1">
        <row r="1">
          <cell r="F1" t="str">
            <v>Close 2026-10-16</v>
          </cell>
        </row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SNY</v>
          </cell>
          <cell r="F15">
            <v>50.645</v>
          </cell>
        </row>
        <row r="16">
          <cell r="B16" t="str">
            <v>MRNA</v>
          </cell>
          <cell r="F16">
            <v>41.4</v>
          </cell>
        </row>
        <row r="17">
          <cell r="B17" t="str">
            <v>REGN</v>
          </cell>
          <cell r="F17">
            <v>242.08</v>
          </cell>
        </row>
        <row r="18">
          <cell r="B18" t="str">
            <v>NTRA</v>
          </cell>
          <cell r="F18">
            <v>807.48</v>
          </cell>
        </row>
        <row r="19">
          <cell r="B19" t="str">
            <v>ARGX</v>
          </cell>
          <cell r="F19">
            <v>20.08</v>
          </cell>
        </row>
        <row r="20">
          <cell r="B20" t="str">
            <v>TEVA</v>
          </cell>
          <cell r="F20">
            <v>405.92</v>
          </cell>
        </row>
        <row r="21">
          <cell r="B21" t="str">
            <v>HLN</v>
          </cell>
          <cell r="F21">
            <v>869.72</v>
          </cell>
        </row>
        <row r="22">
          <cell r="B22" t="str">
            <v>RVMD</v>
          </cell>
          <cell r="F22">
            <v>40.855</v>
          </cell>
        </row>
        <row r="23">
          <cell r="B23" t="str">
            <v>ONC</v>
          </cell>
          <cell r="F23">
            <v>10.17</v>
          </cell>
        </row>
        <row r="24">
          <cell r="B24" t="str">
            <v>BIIB</v>
          </cell>
          <cell r="F24">
            <v>384.5</v>
          </cell>
        </row>
        <row r="25">
          <cell r="B25" t="str">
            <v>RPRX</v>
          </cell>
          <cell r="F25">
            <v>196.55</v>
          </cell>
        </row>
        <row r="26">
          <cell r="B26" t="str">
            <v>ALNY</v>
          </cell>
          <cell r="F26">
            <v>62.25</v>
          </cell>
        </row>
        <row r="27">
          <cell r="B27" t="str">
            <v>ZTS</v>
          </cell>
          <cell r="F27">
            <v>243.1</v>
          </cell>
        </row>
        <row r="28">
          <cell r="B28" t="str">
            <v>ROIV</v>
          </cell>
          <cell r="F28">
            <v>80.04</v>
          </cell>
        </row>
        <row r="29">
          <cell r="B29" t="str">
            <v>BNTX</v>
          </cell>
          <cell r="F29">
            <v>230.71</v>
          </cell>
        </row>
        <row r="30">
          <cell r="B30" t="str">
            <v>GMAB</v>
          </cell>
          <cell r="F30">
            <v>34.92</v>
          </cell>
        </row>
        <row r="31">
          <cell r="B31" t="str">
            <v>UTHR</v>
          </cell>
          <cell r="F31">
            <v>39.07</v>
          </cell>
        </row>
        <row r="32">
          <cell r="B32" t="str">
            <v>INCY</v>
          </cell>
          <cell r="F32">
            <v>553.88</v>
          </cell>
        </row>
        <row r="33">
          <cell r="B33" t="str">
            <v>INSM</v>
          </cell>
          <cell r="F33">
            <v>116.615</v>
          </cell>
        </row>
        <row r="34">
          <cell r="B34" t="str">
            <v>VTRS</v>
          </cell>
          <cell r="F34">
            <v>91.17</v>
          </cell>
        </row>
        <row r="35">
          <cell r="B35" t="str">
            <v>EXEL</v>
          </cell>
          <cell r="F35">
            <v>18.65</v>
          </cell>
        </row>
        <row r="36">
          <cell r="B36" t="str">
            <v>NBIX</v>
          </cell>
          <cell r="F36">
            <v>95.67</v>
          </cell>
        </row>
        <row r="37">
          <cell r="B37" t="str">
            <v>JAZZ</v>
          </cell>
          <cell r="F37">
            <v>64.39</v>
          </cell>
        </row>
        <row r="38">
          <cell r="B38" t="str">
            <v>SMMT</v>
          </cell>
          <cell r="F38">
            <v>234.33</v>
          </cell>
        </row>
        <row r="39">
          <cell r="B39" t="str">
            <v>CORT</v>
          </cell>
          <cell r="F39">
            <v>124.37</v>
          </cell>
        </row>
        <row r="40">
          <cell r="B40" t="str">
            <v>BBIO</v>
          </cell>
          <cell r="F40">
            <v>142.0</v>
          </cell>
        </row>
        <row r="41">
          <cell r="B41" t="str">
            <v>HALO</v>
          </cell>
          <cell r="F41">
            <v>213.76</v>
          </cell>
        </row>
        <row r="42">
          <cell r="B42" t="str">
            <v>KNSA</v>
          </cell>
          <cell r="F42">
            <v>16.09</v>
          </cell>
        </row>
        <row r="43">
          <cell r="B43" t="str">
            <v>ELAN</v>
          </cell>
          <cell r="F43">
            <v>67.55</v>
          </cell>
        </row>
        <row r="44">
          <cell r="B44" t="str">
            <v>IBRX</v>
          </cell>
          <cell r="F44">
            <v>83.17</v>
          </cell>
        </row>
        <row r="45">
          <cell r="B45" t="str">
            <v>MDGL</v>
          </cell>
          <cell r="F45">
            <v>116.45</v>
          </cell>
        </row>
        <row r="46">
          <cell r="B46" t="str">
            <v>PCVX</v>
          </cell>
          <cell r="F46">
            <v>22.7</v>
          </cell>
        </row>
        <row r="47">
          <cell r="B47" t="str">
            <v>BMRN</v>
          </cell>
          <cell r="F47">
            <v>13.26</v>
          </cell>
        </row>
        <row r="48">
          <cell r="B48" t="str">
            <v>RDY</v>
          </cell>
          <cell r="F48">
            <v>56.44</v>
          </cell>
        </row>
        <row r="49">
          <cell r="B49" t="str">
            <v>TWST</v>
          </cell>
          <cell r="F49">
            <v>467.54</v>
          </cell>
        </row>
        <row r="50">
          <cell r="B50" t="str">
            <v>KRYS</v>
          </cell>
          <cell r="F50">
            <v>8.77</v>
          </cell>
        </row>
        <row r="51">
          <cell r="B51" t="str">
            <v>KYMR</v>
          </cell>
          <cell r="F51">
            <v>66.23</v>
          </cell>
        </row>
        <row r="52">
          <cell r="B52" t="str">
            <v>PTGX</v>
          </cell>
          <cell r="F52">
            <v>325.42</v>
          </cell>
        </row>
        <row r="53">
          <cell r="B53" t="str">
            <v>ARWR</v>
          </cell>
          <cell r="F53">
            <v>113.46</v>
          </cell>
        </row>
        <row r="54">
          <cell r="B54" t="str">
            <v>AXSM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TGTX</v>
          </cell>
          <cell r="F56">
            <v>159.58</v>
          </cell>
        </row>
        <row r="57">
          <cell r="B57" t="str">
            <v>CAI</v>
          </cell>
          <cell r="F57">
            <v>137.99</v>
          </cell>
        </row>
        <row r="58">
          <cell r="B58" t="str">
            <v>SYRE</v>
          </cell>
          <cell r="F58">
            <v>142.7</v>
          </cell>
        </row>
        <row r="59">
          <cell r="B59" t="str">
            <v>IONS</v>
          </cell>
          <cell r="F59">
            <v>54.53</v>
          </cell>
        </row>
        <row r="60">
          <cell r="B60" t="str">
            <v>PRAX</v>
          </cell>
          <cell r="F60">
            <v>58.92</v>
          </cell>
        </row>
        <row r="61">
          <cell r="B61" t="str">
            <v>ABVX</v>
          </cell>
          <cell r="F61">
            <v>45.4</v>
          </cell>
        </row>
        <row r="62">
          <cell r="B62" t="str">
            <v>ALKS</v>
          </cell>
          <cell r="F62">
            <v>264.49</v>
          </cell>
        </row>
        <row r="63">
          <cell r="B63" t="str">
            <v>IOVA</v>
          </cell>
          <cell r="F63">
            <v>91.4</v>
          </cell>
        </row>
        <row r="64">
          <cell r="B64" t="str">
            <v>AMRX</v>
          </cell>
          <cell r="F64">
            <v>92.59</v>
          </cell>
        </row>
        <row r="65">
          <cell r="B65" t="str">
            <v>IMVT</v>
          </cell>
          <cell r="F65">
            <v>44.11</v>
          </cell>
        </row>
        <row r="66">
          <cell r="B66" t="str">
            <v>GRAL</v>
          </cell>
          <cell r="F66">
            <v>14.86</v>
          </cell>
        </row>
        <row r="67">
          <cell r="B67" t="str">
            <v>KOD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BLTE</v>
          </cell>
          <cell r="F69">
            <v>306.4</v>
          </cell>
        </row>
        <row r="70">
          <cell r="B70" t="str">
            <v>LGND</v>
          </cell>
          <cell r="F70">
            <v>154.45</v>
          </cell>
        </row>
        <row r="71">
          <cell r="B71" t="str">
            <v>BLRX</v>
          </cell>
          <cell r="F71">
            <v>31.24</v>
          </cell>
        </row>
        <row r="72">
          <cell r="B72" t="str">
            <v>CGON</v>
          </cell>
          <cell r="F72">
            <v>28.59</v>
          </cell>
        </row>
        <row r="73">
          <cell r="B73" t="str">
            <v>ERAS</v>
          </cell>
          <cell r="F73">
            <v>92.97</v>
          </cell>
        </row>
        <row r="74">
          <cell r="B74" t="str">
            <v>MIRM</v>
          </cell>
          <cell r="F74">
            <v>61.93</v>
          </cell>
        </row>
        <row r="75">
          <cell r="B75" t="str">
            <v>MANE</v>
          </cell>
          <cell r="F75">
            <v>124.67</v>
          </cell>
        </row>
        <row r="76">
          <cell r="B76" t="str">
            <v>ORKA</v>
          </cell>
          <cell r="F76">
            <v>2.2145</v>
          </cell>
        </row>
        <row r="77">
          <cell r="B77" t="str">
            <v>PTCT</v>
          </cell>
          <cell r="F77">
            <v>85.07</v>
          </cell>
        </row>
        <row r="78">
          <cell r="B78" t="str">
            <v>COGT</v>
          </cell>
          <cell r="F78">
            <v>62.92</v>
          </cell>
        </row>
        <row r="79">
          <cell r="B79" t="str">
            <v>CRSP</v>
          </cell>
          <cell r="F79">
            <v>41.36</v>
          </cell>
        </row>
        <row r="80">
          <cell r="B80" t="str">
            <v>SRRK</v>
          </cell>
          <cell r="F80">
            <v>79.09</v>
          </cell>
        </row>
        <row r="81">
          <cell r="B81" t="str">
            <v>DFTX</v>
          </cell>
          <cell r="F81">
            <v>49.88</v>
          </cell>
        </row>
        <row r="82">
          <cell r="B82" t="str">
            <v>TVTX</v>
          </cell>
          <cell r="F82">
            <v>10.45</v>
          </cell>
        </row>
        <row r="83">
          <cell r="B83" t="str">
            <v>DNTH</v>
          </cell>
          <cell r="F83">
            <v>14.62</v>
          </cell>
        </row>
        <row r="84">
          <cell r="B84" t="str">
            <v>GOSS</v>
          </cell>
          <cell r="F84">
            <v>52.3</v>
          </cell>
        </row>
        <row r="85">
          <cell r="B85" t="str">
            <v>EWTX</v>
          </cell>
          <cell r="F85">
            <v>127.23</v>
          </cell>
        </row>
        <row r="86">
          <cell r="B86" t="str">
            <v>INDV</v>
          </cell>
          <cell r="F86">
            <v>35.09</v>
          </cell>
        </row>
        <row r="87">
          <cell r="B87" t="str">
            <v>TNGX</v>
          </cell>
          <cell r="F87">
            <v>9.58</v>
          </cell>
        </row>
        <row r="88">
          <cell r="B88" t="str">
            <v>RLAY</v>
          </cell>
          <cell r="F88">
            <v>39.75</v>
          </cell>
        </row>
        <row r="89">
          <cell r="B89" t="str">
            <v>RGC</v>
          </cell>
          <cell r="F89">
            <v>78.75</v>
          </cell>
        </row>
        <row r="90">
          <cell r="B90" t="str">
            <v>VCYT</v>
          </cell>
          <cell r="F90">
            <v>34.77</v>
          </cell>
        </row>
        <row r="91">
          <cell r="B91" t="str">
            <v>OGN</v>
          </cell>
          <cell r="F91">
            <v>25.255</v>
          </cell>
        </row>
        <row r="92">
          <cell r="B92" t="str">
            <v>XENE</v>
          </cell>
          <cell r="F92">
            <v>32.82</v>
          </cell>
        </row>
        <row r="93">
          <cell r="B93" t="str">
            <v>IDYA</v>
          </cell>
          <cell r="F93">
            <v>11.16</v>
          </cell>
        </row>
        <row r="94">
          <cell r="B94" t="str">
            <v>LEGN</v>
          </cell>
          <cell r="F94">
            <v>13.755</v>
          </cell>
        </row>
        <row r="95">
          <cell r="B95" t="str">
            <v>ACAD</v>
          </cell>
          <cell r="F95">
            <v>18.45</v>
          </cell>
        </row>
        <row r="96">
          <cell r="B96" t="str">
            <v>PBLS</v>
          </cell>
          <cell r="F96">
            <v>44.79</v>
          </cell>
        </row>
        <row r="97">
          <cell r="B97" t="str">
            <v>ARQT</v>
          </cell>
          <cell r="F97">
            <v>19.01</v>
          </cell>
        </row>
        <row r="98">
          <cell r="B98" t="str">
            <v>VKTX</v>
          </cell>
          <cell r="F98">
            <v>69.2</v>
          </cell>
        </row>
        <row r="99">
          <cell r="B99" t="str">
            <v>CELC</v>
          </cell>
          <cell r="F99">
            <v>20.44</v>
          </cell>
        </row>
        <row r="100">
          <cell r="B100" t="str">
            <v>CDNA</v>
          </cell>
          <cell r="F100">
            <v>36.27</v>
          </cell>
        </row>
        <row r="101">
          <cell r="B101" t="str">
            <v>TARS</v>
          </cell>
          <cell r="F101">
            <v>35.36</v>
          </cell>
        </row>
        <row r="102">
          <cell r="B102" t="str">
            <v>AMLX</v>
          </cell>
          <cell r="F102">
            <v>36.35</v>
          </cell>
        </row>
        <row r="103">
          <cell r="B103" t="str">
            <v>DNLI</v>
          </cell>
          <cell r="F103">
            <v>71.225</v>
          </cell>
        </row>
        <row r="104">
          <cell r="B104" t="str">
            <v>RCUS</v>
          </cell>
          <cell r="F104">
            <v>26.71</v>
          </cell>
        </row>
        <row r="105">
          <cell r="B105" t="str">
            <v>DYN</v>
          </cell>
          <cell r="F105">
            <v>28.77</v>
          </cell>
        </row>
        <row r="106">
          <cell r="B106" t="str">
            <v>ELVN</v>
          </cell>
          <cell r="F106">
            <v>23.75</v>
          </cell>
        </row>
        <row r="107">
          <cell r="B107" t="str">
            <v>ZLAB</v>
          </cell>
          <cell r="F107">
            <v>18.93</v>
          </cell>
        </row>
        <row r="108">
          <cell r="B108" t="str">
            <v>PGEN</v>
          </cell>
          <cell r="F108">
            <v>27.08</v>
          </cell>
        </row>
        <row r="109">
          <cell r="B109" t="str">
            <v>BEAM</v>
          </cell>
          <cell r="F109">
            <v>60.0</v>
          </cell>
        </row>
        <row r="110">
          <cell r="B110" t="str">
            <v>NAMS</v>
          </cell>
          <cell r="F110">
            <v>41.25</v>
          </cell>
        </row>
        <row r="111">
          <cell r="B111" t="str">
            <v>MBX</v>
          </cell>
          <cell r="F111">
            <v>16.27</v>
          </cell>
        </row>
        <row r="112">
          <cell r="B112" t="str">
            <v>SUPN</v>
          </cell>
          <cell r="F112">
            <v>25.08</v>
          </cell>
        </row>
        <row r="113">
          <cell r="B113" t="str">
            <v>HCM</v>
          </cell>
          <cell r="F113">
            <v>26.1</v>
          </cell>
        </row>
        <row r="114">
          <cell r="B114" t="str">
            <v>LQDA</v>
          </cell>
          <cell r="F114">
            <v>14.74</v>
          </cell>
        </row>
        <row r="115">
          <cell r="B115" t="str">
            <v>IRON</v>
          </cell>
          <cell r="F115">
            <v>24.93</v>
          </cell>
        </row>
        <row r="116">
          <cell r="B116" t="str">
            <v>SLS</v>
          </cell>
          <cell r="F116">
            <v>11.23</v>
          </cell>
        </row>
        <row r="117">
          <cell r="B117" t="str">
            <v>CLDX</v>
          </cell>
          <cell r="F117">
            <v>53.5</v>
          </cell>
        </row>
        <row r="118">
          <cell r="B118" t="str">
            <v>HRMY</v>
          </cell>
          <cell r="F118">
            <v>21.5</v>
          </cell>
        </row>
        <row r="119">
          <cell r="B119" t="str">
            <v>RXRX</v>
          </cell>
          <cell r="F119">
            <v>49.35</v>
          </cell>
        </row>
        <row r="120">
          <cell r="B120" t="str">
            <v>ADMA</v>
          </cell>
          <cell r="F120">
            <v>6.415</v>
          </cell>
        </row>
        <row r="121">
          <cell r="B121" t="str">
            <v>NRIX</v>
          </cell>
          <cell r="F121">
            <v>16.17</v>
          </cell>
        </row>
        <row r="122">
          <cell r="B122" t="str">
            <v>PBH</v>
          </cell>
          <cell r="F122">
            <v>6.83</v>
          </cell>
        </row>
        <row r="123">
          <cell r="B123" t="str">
            <v>BHC</v>
          </cell>
          <cell r="F123">
            <v>38.7</v>
          </cell>
        </row>
        <row r="124">
          <cell r="B124" t="str">
            <v>IMNM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PURR</v>
          </cell>
          <cell r="F126">
            <v>79.48</v>
          </cell>
        </row>
        <row r="127">
          <cell r="B127" t="str">
            <v>BCRX</v>
          </cell>
          <cell r="F127">
            <v>30.29</v>
          </cell>
        </row>
        <row r="128">
          <cell r="B128" t="str">
            <v>BGM</v>
          </cell>
          <cell r="F128">
            <v>22.43</v>
          </cell>
        </row>
        <row r="129">
          <cell r="B129" t="str">
            <v>VERA</v>
          </cell>
          <cell r="F129">
            <v>40.58</v>
          </cell>
        </row>
        <row r="130">
          <cell r="B130" t="str">
            <v>VRDN</v>
          </cell>
          <cell r="F130">
            <v>11.98</v>
          </cell>
        </row>
        <row r="131">
          <cell r="B131" t="str">
            <v>NVAX</v>
          </cell>
          <cell r="F131">
            <v>30.06</v>
          </cell>
        </row>
        <row r="132">
          <cell r="B132" t="str">
            <v>PRGO</v>
          </cell>
          <cell r="F132">
            <v>7.94</v>
          </cell>
        </row>
        <row r="133">
          <cell r="B133" t="str">
            <v>MLYS</v>
          </cell>
          <cell r="F133">
            <v>30.75</v>
          </cell>
        </row>
        <row r="134">
          <cell r="B134" t="str">
            <v>VCEL</v>
          </cell>
          <cell r="F134">
            <v>10.78</v>
          </cell>
        </row>
        <row r="135">
          <cell r="B135" t="str">
            <v>TRLV</v>
          </cell>
          <cell r="F135">
            <v>11.13</v>
          </cell>
        </row>
        <row r="136">
          <cell r="B136" t="str">
            <v>PHVS</v>
          </cell>
          <cell r="F136">
            <v>17.92</v>
          </cell>
        </row>
        <row r="137">
          <cell r="B137" t="str">
            <v>PVLA</v>
          </cell>
          <cell r="F137">
            <v>36.64</v>
          </cell>
        </row>
        <row r="138">
          <cell r="B138" t="str">
            <v>VIR</v>
          </cell>
          <cell r="F138">
            <v>8.97</v>
          </cell>
        </row>
        <row r="139">
          <cell r="B139" t="str">
            <v>LKFT</v>
          </cell>
          <cell r="F139">
            <v>11.43</v>
          </cell>
        </row>
        <row r="140">
          <cell r="B140" t="str">
            <v>XERS</v>
          </cell>
          <cell r="F140">
            <v>3.66</v>
          </cell>
        </row>
        <row r="141">
          <cell r="B141" t="str">
            <v>AGIO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TRVI</v>
          </cell>
          <cell r="F143">
            <v>21.58</v>
          </cell>
        </row>
        <row r="144">
          <cell r="B144" t="str">
            <v>MESO</v>
          </cell>
          <cell r="F144">
            <v>9.15</v>
          </cell>
        </row>
        <row r="145">
          <cell r="B145" t="str">
            <v>GENB</v>
          </cell>
          <cell r="F145">
            <v>26.91</v>
          </cell>
        </row>
        <row r="146">
          <cell r="B146" t="str">
            <v>NTLA</v>
          </cell>
          <cell r="F146">
            <v>39.35</v>
          </cell>
        </row>
        <row r="147">
          <cell r="B147" t="str">
            <v>XNCR</v>
          </cell>
          <cell r="F147">
            <v>123.92</v>
          </cell>
        </row>
        <row r="148">
          <cell r="B148" t="str">
            <v>ZYME</v>
          </cell>
          <cell r="F148">
            <v>12.41</v>
          </cell>
        </row>
        <row r="149">
          <cell r="B149" t="str">
            <v>BHVN</v>
          </cell>
          <cell r="F149">
            <v>24.94</v>
          </cell>
        </row>
        <row r="150">
          <cell r="B150" t="str">
            <v>GPCR</v>
          </cell>
          <cell r="F150">
            <v>12.83</v>
          </cell>
        </row>
        <row r="151">
          <cell r="B151" t="str">
            <v>ALVO</v>
          </cell>
          <cell r="F151">
            <v>35.01</v>
          </cell>
        </row>
        <row r="152">
          <cell r="B152" t="str">
            <v>BRVE</v>
          </cell>
          <cell r="F152">
            <v>10.74</v>
          </cell>
        </row>
        <row r="153">
          <cell r="B153" t="str">
            <v>URGN</v>
          </cell>
          <cell r="F153">
            <v>20.27</v>
          </cell>
        </row>
        <row r="154">
          <cell r="B154" t="str">
            <v>SEPN</v>
          </cell>
          <cell r="F154">
            <v>72.67</v>
          </cell>
        </row>
        <row r="155">
          <cell r="B155" t="str">
            <v>ZBIO</v>
          </cell>
          <cell r="F155">
            <v>11.82</v>
          </cell>
        </row>
        <row r="156">
          <cell r="B156" t="str">
            <v>NUVB</v>
          </cell>
          <cell r="F156">
            <v>28.18</v>
          </cell>
        </row>
        <row r="157">
          <cell r="B157" t="str">
            <v>ABSI</v>
          </cell>
          <cell r="F157">
            <v>11.84</v>
          </cell>
        </row>
        <row r="158">
          <cell r="B158" t="str">
            <v>ANIP</v>
          </cell>
          <cell r="F158">
            <v>38.8</v>
          </cell>
        </row>
        <row r="159">
          <cell r="B159" t="str">
            <v>CMPS</v>
          </cell>
          <cell r="F159">
            <v>5.03</v>
          </cell>
        </row>
        <row r="160">
          <cell r="B160" t="str">
            <v>OCUL</v>
          </cell>
          <cell r="F160">
            <v>26.61</v>
          </cell>
        </row>
        <row r="161">
          <cell r="B161" t="str">
            <v>STOK</v>
          </cell>
          <cell r="F161">
            <v>4.765</v>
          </cell>
        </row>
        <row r="162">
          <cell r="B162" t="str">
            <v>ETON</v>
          </cell>
          <cell r="F162">
            <v>12.9</v>
          </cell>
        </row>
        <row r="163">
          <cell r="B163" t="str">
            <v>PAHC</v>
          </cell>
          <cell r="F163">
            <v>32.45</v>
          </cell>
        </row>
        <row r="164">
          <cell r="B164" t="str">
            <v>INVA</v>
          </cell>
          <cell r="F164">
            <v>32.6</v>
          </cell>
        </row>
        <row r="165">
          <cell r="B165" t="str">
            <v>RARE</v>
          </cell>
          <cell r="F165">
            <v>6.65</v>
          </cell>
        </row>
        <row r="166">
          <cell r="B166" t="str">
            <v>SNDX</v>
          </cell>
          <cell r="F166">
            <v>22.88</v>
          </cell>
        </row>
        <row r="167">
          <cell r="B167" t="str">
            <v>IMCR</v>
          </cell>
          <cell r="F167">
            <v>21.28</v>
          </cell>
        </row>
        <row r="168">
          <cell r="B168" t="str">
            <v>MAZE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COAG</v>
          </cell>
          <cell r="F170">
            <v>36.38</v>
          </cell>
        </row>
        <row r="171">
          <cell r="B171" t="str">
            <v>RAPP</v>
          </cell>
          <cell r="F171">
            <v>50.19</v>
          </cell>
        </row>
        <row r="172">
          <cell r="B172" t="str">
            <v>TSHA</v>
          </cell>
          <cell r="F172">
            <v>15.89</v>
          </cell>
        </row>
        <row r="173">
          <cell r="B173" t="str">
            <v>PCRX</v>
          </cell>
          <cell r="F173">
            <v>16.02</v>
          </cell>
        </row>
        <row r="174">
          <cell r="B174" t="str">
            <v>OMER</v>
          </cell>
          <cell r="F174">
            <v>9.07</v>
          </cell>
        </row>
        <row r="175">
          <cell r="B175" t="str">
            <v>QURE</v>
          </cell>
          <cell r="F175">
            <v>34.17</v>
          </cell>
        </row>
        <row r="176">
          <cell r="B176" t="str">
            <v>NKTR</v>
          </cell>
          <cell r="F176">
            <v>45.43</v>
          </cell>
        </row>
        <row r="177">
          <cell r="B177" t="str">
            <v>INBX</v>
          </cell>
          <cell r="F177">
            <v>22.715</v>
          </cell>
        </row>
        <row r="178">
          <cell r="B178" t="str">
            <v>ANAB</v>
          </cell>
          <cell r="F178">
            <v>29.37</v>
          </cell>
        </row>
        <row r="179">
          <cell r="B179" t="str">
            <v>KARD</v>
          </cell>
          <cell r="F179">
            <v>95.3</v>
          </cell>
        </row>
        <row r="180">
          <cell r="B180" t="str">
            <v>GHRS</v>
          </cell>
          <cell r="F180">
            <v>13.78</v>
          </cell>
        </row>
        <row r="181">
          <cell r="B181" t="str">
            <v>DMRA</v>
          </cell>
          <cell r="F181">
            <v>41.25</v>
          </cell>
        </row>
        <row r="182">
          <cell r="B182" t="str">
            <v>REPL</v>
          </cell>
          <cell r="F182">
            <v>39.22</v>
          </cell>
        </row>
        <row r="183">
          <cell r="B183" t="str">
            <v>ORIC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TYRA</v>
          </cell>
          <cell r="F186">
            <v>4.11</v>
          </cell>
        </row>
        <row r="187">
          <cell r="B187" t="str">
            <v>VOR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NBTX</v>
          </cell>
          <cell r="F189">
            <v>13.25</v>
          </cell>
        </row>
        <row r="190">
          <cell r="B190" t="str">
            <v>AVLN</v>
          </cell>
          <cell r="F190">
            <v>19.03</v>
          </cell>
        </row>
        <row r="191">
          <cell r="B191" t="str">
            <v>TRAX</v>
          </cell>
          <cell r="F191">
            <v>20.67</v>
          </cell>
        </row>
        <row r="192">
          <cell r="B192" t="str">
            <v>AMPH</v>
          </cell>
          <cell r="F192">
            <v>4.76</v>
          </cell>
        </row>
        <row r="193">
          <cell r="B193" t="str">
            <v>JANX</v>
          </cell>
          <cell r="F193">
            <v>19.165</v>
          </cell>
        </row>
        <row r="194">
          <cell r="B194" t="str">
            <v>HROW</v>
          </cell>
          <cell r="F194">
            <v>20.47</v>
          </cell>
        </row>
        <row r="195">
          <cell r="B195" t="str">
            <v>LTGO</v>
          </cell>
          <cell r="F195">
            <v>25.94</v>
          </cell>
        </row>
        <row r="196">
          <cell r="B196" t="str">
            <v>MNKD</v>
          </cell>
          <cell r="F196">
            <v>24.63</v>
          </cell>
        </row>
        <row r="197">
          <cell r="B197" t="str">
            <v>MGTX</v>
          </cell>
          <cell r="F197">
            <v>24.14</v>
          </cell>
        </row>
        <row r="198">
          <cell r="B198" t="str">
            <v>SVRA</v>
          </cell>
          <cell r="F198">
            <v>11.42</v>
          </cell>
        </row>
        <row r="199">
          <cell r="B199" t="str">
            <v>CGEM</v>
          </cell>
          <cell r="F199">
            <v>28.07</v>
          </cell>
        </row>
        <row r="200">
          <cell r="B200" t="str">
            <v>IMTX</v>
          </cell>
          <cell r="F200">
            <v>16.74</v>
          </cell>
        </row>
        <row r="201">
          <cell r="B201" t="str">
            <v>SPTX</v>
          </cell>
          <cell r="F201">
            <v>3.1</v>
          </cell>
        </row>
        <row r="202">
          <cell r="B202" t="str">
            <v>AKTS</v>
          </cell>
          <cell r="F202">
            <v>19.28</v>
          </cell>
        </row>
        <row r="203">
          <cell r="B203" t="str">
            <v>ANRO</v>
          </cell>
          <cell r="F203">
            <v>6.2</v>
          </cell>
        </row>
        <row r="204">
          <cell r="B204" t="str">
            <v>KURA</v>
          </cell>
          <cell r="F204">
            <v>15.25</v>
          </cell>
        </row>
        <row r="205">
          <cell r="B205" t="str">
            <v>ALMS</v>
          </cell>
          <cell r="F205">
            <v>7.51</v>
          </cell>
        </row>
        <row r="206">
          <cell r="B206" t="str">
            <v>MLTX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JBIO</v>
          </cell>
          <cell r="F208">
            <v>24.415</v>
          </cell>
        </row>
        <row r="209">
          <cell r="B209" t="str">
            <v>ODTX</v>
          </cell>
          <cell r="F209">
            <v>14.86</v>
          </cell>
        </row>
        <row r="210">
          <cell r="B210" t="str">
            <v>CRVS</v>
          </cell>
          <cell r="F210">
            <v>18.99</v>
          </cell>
        </row>
        <row r="211">
          <cell r="B211" t="str">
            <v>GLUE</v>
          </cell>
          <cell r="F211">
            <v>4.33</v>
          </cell>
        </row>
        <row r="212">
          <cell r="B212" t="str">
            <v>SANA</v>
          </cell>
          <cell r="F212">
            <v>14.83</v>
          </cell>
        </row>
        <row r="213">
          <cell r="B213" t="str">
            <v>ABUS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ANNX</v>
          </cell>
          <cell r="F216">
            <v>3.21</v>
          </cell>
        </row>
        <row r="217">
          <cell r="B217" t="str">
            <v>GRML</v>
          </cell>
          <cell r="F217">
            <v>10.32</v>
          </cell>
        </row>
        <row r="218">
          <cell r="B218" t="str">
            <v>ARDX</v>
          </cell>
          <cell r="F218">
            <v>9.98</v>
          </cell>
        </row>
        <row r="219">
          <cell r="B219" t="str">
            <v>OBX</v>
          </cell>
          <cell r="F219">
            <v>16.08</v>
          </cell>
        </row>
        <row r="220">
          <cell r="B220" t="str">
            <v>GERN</v>
          </cell>
          <cell r="F220">
            <v>10.23</v>
          </cell>
        </row>
        <row r="221">
          <cell r="B221" t="str">
            <v>GYRE</v>
          </cell>
          <cell r="F221">
            <v>6.7</v>
          </cell>
        </row>
        <row r="222">
          <cell r="B222" t="str">
            <v>APMD</v>
          </cell>
          <cell r="F222">
            <v>9.34</v>
          </cell>
        </row>
        <row r="223">
          <cell r="B223" t="str">
            <v>ACHV</v>
          </cell>
          <cell r="F223">
            <v>18.51</v>
          </cell>
        </row>
        <row r="224">
          <cell r="B224" t="str">
            <v>CADL</v>
          </cell>
          <cell r="F224">
            <v>23.33</v>
          </cell>
        </row>
        <row r="225">
          <cell r="B225" t="str">
            <v>VSTM</v>
          </cell>
          <cell r="F225">
            <v>13.25</v>
          </cell>
        </row>
        <row r="226">
          <cell r="B226" t="str">
            <v>LXRX</v>
          </cell>
          <cell r="F226">
            <v>1.24</v>
          </cell>
        </row>
        <row r="227">
          <cell r="B227" t="str">
            <v>ATTO</v>
          </cell>
          <cell r="F227">
            <v>2.36</v>
          </cell>
        </row>
        <row r="228">
          <cell r="B228" t="str">
            <v>SLDB</v>
          </cell>
          <cell r="F228">
            <v>13.1</v>
          </cell>
        </row>
        <row r="229">
          <cell r="B229" t="str">
            <v>FDMT</v>
          </cell>
          <cell r="F229">
            <v>3.83</v>
          </cell>
        </row>
        <row r="230">
          <cell r="B230" t="str">
            <v>AVTX</v>
          </cell>
          <cell r="F230">
            <v>6.17</v>
          </cell>
        </row>
        <row r="231">
          <cell r="B231" t="str">
            <v>DSGN</v>
          </cell>
          <cell r="F231">
            <v>1.55</v>
          </cell>
        </row>
        <row r="232">
          <cell r="B232" t="str">
            <v>PRME</v>
          </cell>
          <cell r="F232">
            <v>14.04</v>
          </cell>
        </row>
        <row r="233">
          <cell r="B233" t="str">
            <v>COLL</v>
          </cell>
          <cell r="F233">
            <v>9.75</v>
          </cell>
        </row>
        <row r="234">
          <cell r="B234" t="str">
            <v>NVCT</v>
          </cell>
          <cell r="F234">
            <v>6.51</v>
          </cell>
        </row>
        <row r="235">
          <cell r="B235" t="str">
            <v>PHAR</v>
          </cell>
          <cell r="F235">
            <v>4.23</v>
          </cell>
        </row>
        <row r="236">
          <cell r="B236" t="str">
            <v>OLMA</v>
          </cell>
          <cell r="F236">
            <v>11.1</v>
          </cell>
        </row>
        <row r="237">
          <cell r="B237" t="str">
            <v>WVE</v>
          </cell>
          <cell r="F237">
            <v>12.36</v>
          </cell>
        </row>
        <row r="238">
          <cell r="B238" t="str">
            <v>MDXG</v>
          </cell>
          <cell r="F238">
            <v>6.56</v>
          </cell>
        </row>
        <row r="239">
          <cell r="B239" t="str">
            <v>AURA</v>
          </cell>
          <cell r="F239">
            <v>3.92</v>
          </cell>
        </row>
        <row r="240">
          <cell r="B240" t="str">
            <v>IMMX</v>
          </cell>
          <cell r="F240">
            <v>8.64</v>
          </cell>
        </row>
        <row r="241">
          <cell r="B241" t="str">
            <v>ZVRA</v>
          </cell>
          <cell r="F241">
            <v>10.8</v>
          </cell>
        </row>
        <row r="242">
          <cell r="B242" t="str">
            <v>FTH</v>
          </cell>
          <cell r="F242">
            <v>3.63</v>
          </cell>
        </row>
        <row r="243">
          <cell r="B243" t="str">
            <v>NNNN</v>
          </cell>
          <cell r="F243">
            <v>8.91</v>
          </cell>
        </row>
        <row r="244">
          <cell r="B244" t="str">
            <v>CLYM</v>
          </cell>
          <cell r="F244">
            <v>20.59</v>
          </cell>
        </row>
        <row r="245">
          <cell r="B245" t="str">
            <v>IRWD</v>
          </cell>
          <cell r="F245">
            <v>3.385</v>
          </cell>
        </row>
        <row r="246">
          <cell r="B246" t="str">
            <v>IVA</v>
          </cell>
          <cell r="F246">
            <v>10.47</v>
          </cell>
        </row>
        <row r="247">
          <cell r="B247" t="str">
            <v>AQST</v>
          </cell>
          <cell r="F247">
            <v>6.4</v>
          </cell>
        </row>
        <row r="248">
          <cell r="B248" t="str">
            <v>STTK</v>
          </cell>
          <cell r="F248">
            <v>7.25</v>
          </cell>
        </row>
        <row r="249">
          <cell r="B249" t="str">
            <v>PHAT</v>
          </cell>
          <cell r="F249">
            <v>3.26</v>
          </cell>
        </row>
        <row r="250">
          <cell r="B250" t="str">
            <v>DBVT</v>
          </cell>
          <cell r="F250">
            <v>7.57</v>
          </cell>
        </row>
        <row r="251">
          <cell r="B251" t="str">
            <v>CRMD</v>
          </cell>
          <cell r="F251">
            <v>7.31</v>
          </cell>
        </row>
        <row r="252">
          <cell r="B252" t="str">
            <v>ACRS</v>
          </cell>
          <cell r="F252">
            <v>5.84</v>
          </cell>
        </row>
        <row r="253">
          <cell r="B253" t="str">
            <v>CTMX</v>
          </cell>
          <cell r="F253">
            <v>9.48</v>
          </cell>
        </row>
        <row r="254">
          <cell r="B254" t="str">
            <v>BLSM</v>
          </cell>
          <cell r="F254">
            <v>5.69</v>
          </cell>
        </row>
        <row r="255">
          <cell r="B255" t="str">
            <v>SGMT</v>
          </cell>
          <cell r="F255">
            <v>4.05</v>
          </cell>
        </row>
        <row r="256">
          <cell r="B256" t="str">
            <v>CBIO</v>
          </cell>
          <cell r="F256">
            <v>9.74</v>
          </cell>
        </row>
        <row r="257">
          <cell r="B257" t="str">
            <v>RGNX</v>
          </cell>
          <cell r="F257">
            <v>10.76</v>
          </cell>
        </row>
        <row r="258">
          <cell r="B258" t="str">
            <v>PBYI</v>
          </cell>
          <cell r="F258">
            <v>2.51</v>
          </cell>
        </row>
        <row r="259">
          <cell r="B259" t="str">
            <v>IMMP</v>
          </cell>
          <cell r="F259">
            <v>20.79</v>
          </cell>
        </row>
        <row r="260">
          <cell r="B260" t="str">
            <v>MNPR</v>
          </cell>
          <cell r="F260">
            <v>3.48</v>
          </cell>
        </row>
        <row r="261">
          <cell r="B261" t="str">
            <v>NGNE</v>
          </cell>
          <cell r="F261">
            <v>14.4</v>
          </cell>
        </row>
        <row r="262">
          <cell r="B262" t="str">
            <v>PROK</v>
          </cell>
          <cell r="F262">
            <v>7.37</v>
          </cell>
        </row>
        <row r="263">
          <cell r="B263" t="str">
            <v>TLRY</v>
          </cell>
          <cell r="F263">
            <v>3.26</v>
          </cell>
        </row>
        <row r="264">
          <cell r="B264" t="str">
            <v>EOLS</v>
          </cell>
          <cell r="F264">
            <v>25.4</v>
          </cell>
        </row>
        <row r="265">
          <cell r="B265" t="str">
            <v>ALT</v>
          </cell>
          <cell r="F265">
            <v>74.23</v>
          </cell>
        </row>
        <row r="266">
          <cell r="B266" t="str">
            <v>ALLO</v>
          </cell>
          <cell r="F266">
            <v>3.02</v>
          </cell>
        </row>
        <row r="267">
          <cell r="B267" t="str">
            <v>VALN</v>
          </cell>
          <cell r="F267">
            <v>7.4</v>
          </cell>
        </row>
        <row r="268">
          <cell r="B268" t="str">
            <v>OCS</v>
          </cell>
          <cell r="F268">
            <v>7.66</v>
          </cell>
        </row>
        <row r="269">
          <cell r="B269" t="str">
            <v>ARVN</v>
          </cell>
          <cell r="F269">
            <v>1.33</v>
          </cell>
        </row>
        <row r="270">
          <cell r="B270" t="str">
            <v>AUTL</v>
          </cell>
          <cell r="F270">
            <v>3.73</v>
          </cell>
        </row>
        <row r="271">
          <cell r="B271" t="str">
            <v>OVID</v>
          </cell>
          <cell r="F271">
            <v>3.03</v>
          </cell>
        </row>
        <row r="272">
          <cell r="B272" t="str">
            <v>ASMB</v>
          </cell>
          <cell r="F272">
            <v>7.85</v>
          </cell>
        </row>
        <row r="273">
          <cell r="B273" t="str">
            <v>YDES</v>
          </cell>
          <cell r="F273">
            <v>19.61</v>
          </cell>
        </row>
        <row r="274">
          <cell r="B274" t="str">
            <v>RZLT</v>
          </cell>
          <cell r="F274">
            <v>13.07</v>
          </cell>
        </row>
        <row r="275">
          <cell r="B275" t="str">
            <v>KMDA</v>
          </cell>
          <cell r="F275">
            <v>7.49</v>
          </cell>
        </row>
        <row r="276">
          <cell r="B276" t="str">
            <v>SLN</v>
          </cell>
          <cell r="F276">
            <v>8.5</v>
          </cell>
        </row>
        <row r="277">
          <cell r="B277" t="str">
            <v>ENTX</v>
          </cell>
          <cell r="F277">
            <v>2.3</v>
          </cell>
        </row>
        <row r="278">
          <cell r="B278" t="str">
            <v>IBO</v>
          </cell>
          <cell r="F278">
            <v>1.66</v>
          </cell>
        </row>
        <row r="279">
          <cell r="B279" t="str">
            <v>TECX</v>
          </cell>
          <cell r="F279">
            <v>2.36</v>
          </cell>
        </row>
        <row r="280">
          <cell r="B280" t="str">
            <v>CAPR</v>
          </cell>
          <cell r="F280">
            <v>5.84</v>
          </cell>
        </row>
        <row r="281">
          <cell r="B281" t="str">
            <v>PRTA</v>
          </cell>
          <cell r="F281">
            <v>21.19</v>
          </cell>
        </row>
        <row r="282">
          <cell r="B282" t="str">
            <v>DMAC</v>
          </cell>
          <cell r="F282">
            <v>8.18</v>
          </cell>
        </row>
        <row r="283">
          <cell r="B283" t="str">
            <v>EDIT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AVIR</v>
          </cell>
          <cell r="F285">
            <v>21.825</v>
          </cell>
        </row>
        <row r="286">
          <cell r="B286" t="str">
            <v>MYGN</v>
          </cell>
          <cell r="F286">
            <v>13.8</v>
          </cell>
        </row>
        <row r="287">
          <cell r="B287" t="str">
            <v>RCEL</v>
          </cell>
          <cell r="F287">
            <v>1.44</v>
          </cell>
        </row>
        <row r="288">
          <cell r="B288" t="str">
            <v>EIKN</v>
          </cell>
          <cell r="F288">
            <v>19.81</v>
          </cell>
        </row>
        <row r="289">
          <cell r="B289" t="str">
            <v>MPLT</v>
          </cell>
          <cell r="F289">
            <v>6.755</v>
          </cell>
        </row>
        <row r="290">
          <cell r="B290" t="str">
            <v>SCTX</v>
          </cell>
          <cell r="F290">
            <v>5.54</v>
          </cell>
        </row>
        <row r="291">
          <cell r="B291" t="str">
            <v>GALT</v>
          </cell>
          <cell r="F291">
            <v>2.58</v>
          </cell>
        </row>
        <row r="292">
          <cell r="B292" t="str">
            <v>KYTX</v>
          </cell>
          <cell r="F292">
            <v>4.0</v>
          </cell>
        </row>
        <row r="293">
          <cell r="B293" t="str">
            <v>ARCT</v>
          </cell>
          <cell r="F293">
            <v>6.04</v>
          </cell>
        </row>
        <row r="294">
          <cell r="B294" t="str">
            <v>CCCC</v>
          </cell>
          <cell r="F294">
            <v>3.43</v>
          </cell>
        </row>
        <row r="295">
          <cell r="B295" t="str">
            <v>EPRX</v>
          </cell>
          <cell r="F295">
            <v>8.24</v>
          </cell>
        </row>
        <row r="296">
          <cell r="B296" t="str">
            <v>IRD</v>
          </cell>
          <cell r="F296">
            <v>4.465</v>
          </cell>
        </row>
        <row r="297">
          <cell r="B297" t="str">
            <v>ZURA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ENTA</v>
          </cell>
          <cell r="F299">
            <v>3.7</v>
          </cell>
        </row>
        <row r="300">
          <cell r="B300" t="str">
            <v>EBS</v>
          </cell>
          <cell r="F300">
            <v>10.47</v>
          </cell>
        </row>
        <row r="301">
          <cell r="B301" t="str">
            <v>RLMD</v>
          </cell>
          <cell r="F301">
            <v>7.59</v>
          </cell>
        </row>
        <row r="302">
          <cell r="B302" t="str">
            <v>TTRX</v>
          </cell>
          <cell r="F302">
            <v>3.36</v>
          </cell>
        </row>
        <row r="303">
          <cell r="B303" t="str">
            <v>CGC</v>
          </cell>
          <cell r="F303">
            <v>3.16</v>
          </cell>
        </row>
        <row r="304">
          <cell r="B304" t="str">
            <v>SRZN</v>
          </cell>
          <cell r="F304">
            <v>1.28</v>
          </cell>
        </row>
        <row r="305">
          <cell r="B305" t="str">
            <v>AGEN</v>
          </cell>
          <cell r="F305">
            <v>6.29</v>
          </cell>
        </row>
        <row r="306">
          <cell r="B306" t="str">
            <v>ARTV</v>
          </cell>
          <cell r="F306">
            <v>11.67</v>
          </cell>
        </row>
        <row r="307">
          <cell r="B307" t="str">
            <v>INDP</v>
          </cell>
          <cell r="F307">
            <v>4.01</v>
          </cell>
        </row>
        <row r="308">
          <cell r="B308" t="str">
            <v>CABA</v>
          </cell>
          <cell r="F308">
            <v>7.31</v>
          </cell>
        </row>
        <row r="309">
          <cell r="B309" t="str">
            <v>OCGN</v>
          </cell>
          <cell r="F309">
            <v>0.72</v>
          </cell>
        </row>
        <row r="310">
          <cell r="B310" t="str">
            <v>SNDL</v>
          </cell>
          <cell r="F310">
            <v>6.56</v>
          </cell>
        </row>
        <row r="311">
          <cell r="B311" t="str">
            <v>CYPH</v>
          </cell>
          <cell r="F311">
            <v>9.04</v>
          </cell>
        </row>
        <row r="312">
          <cell r="B312" t="str">
            <v>PRLD</v>
          </cell>
          <cell r="F312">
            <v>10.98</v>
          </cell>
        </row>
        <row r="313">
          <cell r="B313" t="str">
            <v>BNTC</v>
          </cell>
          <cell r="F313">
            <v>3.2</v>
          </cell>
        </row>
        <row r="314">
          <cell r="B314" t="str">
            <v>CTNM</v>
          </cell>
          <cell r="F314">
            <v>3.72</v>
          </cell>
        </row>
        <row r="315">
          <cell r="B315" t="str">
            <v>CATX</v>
          </cell>
          <cell r="F315">
            <v>2.81</v>
          </cell>
        </row>
        <row r="316">
          <cell r="B316" t="str">
            <v>GTBP</v>
          </cell>
          <cell r="F316">
            <v>25.14</v>
          </cell>
        </row>
        <row r="317">
          <cell r="B317" t="str">
            <v>EYPT</v>
          </cell>
          <cell r="F317">
            <v>6.42</v>
          </cell>
        </row>
        <row r="318">
          <cell r="B318" t="str">
            <v>BIOA</v>
          </cell>
          <cell r="F318">
            <v>1.43</v>
          </cell>
        </row>
        <row r="319">
          <cell r="B319" t="str">
            <v>XFOR</v>
          </cell>
          <cell r="F319">
            <v>20.44</v>
          </cell>
        </row>
        <row r="320">
          <cell r="B320" t="str">
            <v>FULC</v>
          </cell>
          <cell r="F320">
            <v>2.3</v>
          </cell>
        </row>
        <row r="321">
          <cell r="B321" t="str">
            <v>ABEO</v>
          </cell>
          <cell r="F321">
            <v>0.8125</v>
          </cell>
        </row>
        <row r="322">
          <cell r="B322" t="str">
            <v>RCKT</v>
          </cell>
          <cell r="F322">
            <v>3.02</v>
          </cell>
        </row>
        <row r="323">
          <cell r="B323" t="str">
            <v>LRMR</v>
          </cell>
          <cell r="F323">
            <v>3.53</v>
          </cell>
        </row>
        <row r="324">
          <cell r="B324" t="str">
            <v>VNDA</v>
          </cell>
          <cell r="F324">
            <v>2.34</v>
          </cell>
        </row>
        <row r="325">
          <cell r="B325" t="str">
            <v>IKT</v>
          </cell>
          <cell r="F325">
            <v>0.4052</v>
          </cell>
        </row>
        <row r="326">
          <cell r="B326" t="str">
            <v>BCYC</v>
          </cell>
          <cell r="F326">
            <v>4.43</v>
          </cell>
        </row>
        <row r="327">
          <cell r="B327" t="str">
            <v>SABS</v>
          </cell>
          <cell r="F327">
            <v>4.6</v>
          </cell>
        </row>
        <row r="328">
          <cell r="B328" t="str">
            <v>PALI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BBOT</v>
          </cell>
          <cell r="F330">
            <v>4.17</v>
          </cell>
        </row>
        <row r="331">
          <cell r="B331" t="str">
            <v>LXEO</v>
          </cell>
          <cell r="F331">
            <v>2.49</v>
          </cell>
        </row>
        <row r="332">
          <cell r="B332" t="str">
            <v>ANIK</v>
          </cell>
          <cell r="F332">
            <v>3.6</v>
          </cell>
        </row>
        <row r="333">
          <cell r="B333" t="str">
            <v>FATE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UPB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HELP</v>
          </cell>
          <cell r="F337">
            <v>1.71</v>
          </cell>
        </row>
        <row r="338">
          <cell r="B338" t="str">
            <v>ACIU</v>
          </cell>
          <cell r="F338">
            <v>2.88</v>
          </cell>
        </row>
        <row r="339">
          <cell r="B339" t="str">
            <v>AMRN</v>
          </cell>
          <cell r="F339">
            <v>10.94</v>
          </cell>
        </row>
        <row r="340">
          <cell r="B340" t="str">
            <v>LIMN</v>
          </cell>
          <cell r="F340">
            <v>3.15</v>
          </cell>
        </row>
        <row r="341">
          <cell r="B341" t="str">
            <v>ACB</v>
          </cell>
          <cell r="F341">
            <v>3.02</v>
          </cell>
        </row>
        <row r="342">
          <cell r="B342" t="str">
            <v>LCTX</v>
          </cell>
          <cell r="F342">
            <v>2.72</v>
          </cell>
        </row>
        <row r="343">
          <cell r="B343" t="str">
            <v>TLSI</v>
          </cell>
          <cell r="F343">
            <v>3.97</v>
          </cell>
        </row>
        <row r="344">
          <cell r="B344" t="str">
            <v>QTTB</v>
          </cell>
          <cell r="F344">
            <v>2.65</v>
          </cell>
        </row>
        <row r="345">
          <cell r="B345" t="str">
            <v>GLSI</v>
          </cell>
          <cell r="F345">
            <v>8.62</v>
          </cell>
        </row>
        <row r="346">
          <cell r="B346" t="str">
            <v>MGNX</v>
          </cell>
          <cell r="F346">
            <v>3.66</v>
          </cell>
        </row>
        <row r="347">
          <cell r="B347" t="str">
            <v>KROS</v>
          </cell>
          <cell r="F347">
            <v>5.28</v>
          </cell>
        </row>
        <row r="348">
          <cell r="B348" t="str">
            <v>STRO</v>
          </cell>
          <cell r="F348">
            <v>11.4</v>
          </cell>
        </row>
        <row r="349">
          <cell r="B349" t="str">
            <v>CAMP</v>
          </cell>
          <cell r="F349">
            <v>2.06</v>
          </cell>
        </row>
        <row r="350">
          <cell r="B350" t="str">
            <v>SIGA</v>
          </cell>
          <cell r="F350">
            <v>16.24</v>
          </cell>
        </row>
        <row r="351">
          <cell r="B351" t="str">
            <v>ALEC</v>
          </cell>
          <cell r="F351">
            <v>2.635</v>
          </cell>
        </row>
        <row r="352">
          <cell r="B352" t="str">
            <v>HITI</v>
          </cell>
          <cell r="F352">
            <v>3.49</v>
          </cell>
        </row>
        <row r="353">
          <cell r="B353" t="str">
            <v>EVMN</v>
          </cell>
          <cell r="F353">
            <v>2.44</v>
          </cell>
        </row>
        <row r="354">
          <cell r="B354" t="str">
            <v>PLX</v>
          </cell>
          <cell r="F354">
            <v>1.97</v>
          </cell>
        </row>
        <row r="355">
          <cell r="B355" t="str">
            <v>AKBA</v>
          </cell>
          <cell r="F355">
            <v>2.72</v>
          </cell>
        </row>
        <row r="356">
          <cell r="B356" t="str">
            <v>SION</v>
          </cell>
          <cell r="F356">
            <v>3.19</v>
          </cell>
        </row>
        <row r="357">
          <cell r="B357" t="str">
            <v>ADCT</v>
          </cell>
          <cell r="F357">
            <v>9.7</v>
          </cell>
        </row>
        <row r="358">
          <cell r="B358" t="str">
            <v>TRDA</v>
          </cell>
          <cell r="F358">
            <v>6.395</v>
          </cell>
        </row>
        <row r="359">
          <cell r="B359" t="str">
            <v>RNAC</v>
          </cell>
          <cell r="F359">
            <v>3.16</v>
          </cell>
        </row>
        <row r="360">
          <cell r="B360" t="str">
            <v>LYEL</v>
          </cell>
          <cell r="F360">
            <v>2.14</v>
          </cell>
        </row>
        <row r="361">
          <cell r="B361" t="str">
            <v>IVVD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ELDN</v>
          </cell>
          <cell r="F363">
            <v>4.99</v>
          </cell>
        </row>
        <row r="364">
          <cell r="B364" t="str">
            <v>CGEN</v>
          </cell>
          <cell r="F364">
            <v>0.6181</v>
          </cell>
        </row>
        <row r="365">
          <cell r="B365" t="str">
            <v>CUE</v>
          </cell>
          <cell r="F365">
            <v>2.255</v>
          </cell>
        </row>
        <row r="366">
          <cell r="B366" t="str">
            <v>WHWK</v>
          </cell>
          <cell r="F366">
            <v>0.6366</v>
          </cell>
        </row>
        <row r="367">
          <cell r="B367" t="str">
            <v>SLGL</v>
          </cell>
          <cell r="F367">
            <v>11.54</v>
          </cell>
        </row>
        <row r="368">
          <cell r="B368" t="str">
            <v>ACOG</v>
          </cell>
          <cell r="F368">
            <v>2.875</v>
          </cell>
        </row>
        <row r="369">
          <cell r="B369" t="str">
            <v>ZNTL</v>
          </cell>
          <cell r="F369">
            <v>1.53</v>
          </cell>
        </row>
        <row r="370">
          <cell r="B370" t="str">
            <v>DTIL</v>
          </cell>
          <cell r="F370">
            <v>65.81</v>
          </cell>
        </row>
        <row r="371">
          <cell r="B371" t="str">
            <v>PEPG</v>
          </cell>
          <cell r="F371">
            <v>8.58</v>
          </cell>
        </row>
        <row r="372">
          <cell r="B372" t="str">
            <v>ORMP</v>
          </cell>
          <cell r="F372">
            <v>4.15</v>
          </cell>
        </row>
        <row r="373">
          <cell r="B373" t="str">
            <v>CMPX</v>
          </cell>
          <cell r="F373">
            <v>4.15</v>
          </cell>
        </row>
        <row r="374">
          <cell r="B374" t="str">
            <v>DERM</v>
          </cell>
          <cell r="F374">
            <v>3.19</v>
          </cell>
        </row>
        <row r="375">
          <cell r="B375" t="str">
            <v>ALXO</v>
          </cell>
          <cell r="F375">
            <v>8.46</v>
          </cell>
        </row>
        <row r="376">
          <cell r="B376" t="str">
            <v>PRQR</v>
          </cell>
          <cell r="F376">
            <v>6.56</v>
          </cell>
        </row>
        <row r="377">
          <cell r="B377" t="str">
            <v>PYXS</v>
          </cell>
          <cell r="F377">
            <v>0.8333</v>
          </cell>
        </row>
        <row r="378">
          <cell r="B378" t="str">
            <v>CNTN</v>
          </cell>
          <cell r="F378">
            <v>1.0</v>
          </cell>
        </row>
        <row r="379">
          <cell r="B379" t="str">
            <v>CURX</v>
          </cell>
          <cell r="F379">
            <v>1.38</v>
          </cell>
        </row>
        <row r="380">
          <cell r="B380" t="str">
            <v>ANTX</v>
          </cell>
          <cell r="F380">
            <v>2.39</v>
          </cell>
        </row>
        <row r="381">
          <cell r="B381" t="str">
            <v>ORGO</v>
          </cell>
          <cell r="F381">
            <v>12.1</v>
          </cell>
        </row>
        <row r="382">
          <cell r="B382" t="str">
            <v>CHRS</v>
          </cell>
          <cell r="F382">
            <v>31.03</v>
          </cell>
        </row>
        <row r="383">
          <cell r="B383" t="str">
            <v>TARA</v>
          </cell>
          <cell r="F383">
            <v>2.82</v>
          </cell>
        </row>
        <row r="384">
          <cell r="B384" t="str">
            <v>NKTX</v>
          </cell>
          <cell r="F384">
            <v>1.86</v>
          </cell>
        </row>
        <row r="385">
          <cell r="B385" t="str">
            <v>NBP</v>
          </cell>
          <cell r="F385">
            <v>1.84</v>
          </cell>
        </row>
        <row r="386">
          <cell r="B386" t="str">
            <v>MDWD</v>
          </cell>
          <cell r="F386">
            <v>1.73</v>
          </cell>
        </row>
        <row r="387">
          <cell r="B387" t="str">
            <v>MENS</v>
          </cell>
          <cell r="F387">
            <v>1.14</v>
          </cell>
        </row>
        <row r="388">
          <cell r="B388" t="str">
            <v>KRSA</v>
          </cell>
          <cell r="F388">
            <v>1.425</v>
          </cell>
        </row>
        <row r="389">
          <cell r="B389" t="str">
            <v>MOLN</v>
          </cell>
          <cell r="F389">
            <v>4.92</v>
          </cell>
        </row>
        <row r="390">
          <cell r="B390" t="str">
            <v>ABOS</v>
          </cell>
          <cell r="F390">
            <v>3.7</v>
          </cell>
        </row>
        <row r="391">
          <cell r="B391" t="str">
            <v>NERV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VYGR</v>
          </cell>
          <cell r="F393">
            <v>2.56</v>
          </cell>
        </row>
        <row r="394">
          <cell r="B394" t="str">
            <v>KRRO</v>
          </cell>
          <cell r="F394">
            <v>7.98</v>
          </cell>
        </row>
        <row r="395">
          <cell r="B395" t="str">
            <v>OTLK</v>
          </cell>
          <cell r="F395">
            <v>1.74</v>
          </cell>
        </row>
        <row r="396">
          <cell r="B396" t="str">
            <v>RNA</v>
          </cell>
          <cell r="F396">
            <v>1.02</v>
          </cell>
        </row>
        <row r="397">
          <cell r="B397" t="str">
            <v>FRNM</v>
          </cell>
          <cell r="F397">
            <v>3.56</v>
          </cell>
        </row>
        <row r="398">
          <cell r="B398" t="str">
            <v>AVXL</v>
          </cell>
          <cell r="F398">
            <v>1.54</v>
          </cell>
        </row>
        <row r="399">
          <cell r="B399" t="str">
            <v>NGEN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TNYA</v>
          </cell>
          <cell r="F401">
            <v>9.44</v>
          </cell>
        </row>
        <row r="402">
          <cell r="B402" t="str">
            <v>SPRB</v>
          </cell>
          <cell r="F402">
            <v>2.015</v>
          </cell>
        </row>
        <row r="403">
          <cell r="B403" t="str">
            <v>CLLS</v>
          </cell>
          <cell r="F403">
            <v>1.36</v>
          </cell>
        </row>
        <row r="404">
          <cell r="B404" t="str">
            <v>TNXP</v>
          </cell>
          <cell r="F404">
            <v>17.04</v>
          </cell>
        </row>
        <row r="405">
          <cell r="B405" t="str">
            <v>HURA</v>
          </cell>
          <cell r="F405">
            <v>0.406</v>
          </cell>
        </row>
        <row r="406">
          <cell r="B406" t="str">
            <v>NRXP</v>
          </cell>
          <cell r="F406">
            <v>0.52</v>
          </cell>
        </row>
        <row r="407">
          <cell r="B407" t="str">
            <v>CRDL</v>
          </cell>
          <cell r="F407">
            <v>2.19</v>
          </cell>
        </row>
        <row r="408">
          <cell r="B408" t="str">
            <v>VTVT</v>
          </cell>
          <cell r="F408">
            <v>41.23</v>
          </cell>
        </row>
        <row r="409">
          <cell r="B409" t="str">
            <v>NRSN</v>
          </cell>
          <cell r="F409">
            <v>2.62</v>
          </cell>
        </row>
        <row r="410">
          <cell r="B410" t="str">
            <v>INO</v>
          </cell>
          <cell r="F410">
            <v>2.53</v>
          </cell>
        </row>
        <row r="411">
          <cell r="B411" t="str">
            <v>FHTX</v>
          </cell>
          <cell r="F411">
            <v>1.76</v>
          </cell>
        </row>
        <row r="412">
          <cell r="B412" t="str">
            <v>CBUS</v>
          </cell>
          <cell r="F412">
            <v>1.67</v>
          </cell>
        </row>
        <row r="413">
          <cell r="B413" t="str">
            <v>COYA</v>
          </cell>
          <cell r="F413">
            <v>1.15</v>
          </cell>
        </row>
        <row r="414">
          <cell r="B414" t="str">
            <v>ENGN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MSLE</v>
          </cell>
          <cell r="F416">
            <v>5.15</v>
          </cell>
        </row>
        <row r="417">
          <cell r="B417" t="str">
            <v>IFRX</v>
          </cell>
          <cell r="F417">
            <v>7.96</v>
          </cell>
        </row>
        <row r="418">
          <cell r="B418" t="str">
            <v>LENZ</v>
          </cell>
          <cell r="F418">
            <v>7.0</v>
          </cell>
        </row>
        <row r="419">
          <cell r="B419" t="str">
            <v>UNCY</v>
          </cell>
          <cell r="F419">
            <v>27.845</v>
          </cell>
        </row>
        <row r="420">
          <cell r="B420" t="str">
            <v>QUCY</v>
          </cell>
          <cell r="F420">
            <v>14.06</v>
          </cell>
        </row>
        <row r="421">
          <cell r="B421" t="str">
            <v>HUMA</v>
          </cell>
          <cell r="F421">
            <v>0.99</v>
          </cell>
        </row>
        <row r="422">
          <cell r="B422" t="str">
            <v>IMUX</v>
          </cell>
          <cell r="F422">
            <v>1.54</v>
          </cell>
        </row>
        <row r="423">
          <cell r="B423" t="str">
            <v>RANI</v>
          </cell>
          <cell r="F423">
            <v>5.78</v>
          </cell>
        </row>
        <row r="424">
          <cell r="B424" t="str">
            <v>IMDX</v>
          </cell>
          <cell r="F424">
            <v>3.19</v>
          </cell>
        </row>
        <row r="425">
          <cell r="B425" t="str">
            <v>CNXU</v>
          </cell>
          <cell r="F425">
            <v>1.01</v>
          </cell>
        </row>
        <row r="426">
          <cell r="B426" t="str">
            <v>CPIX</v>
          </cell>
          <cell r="F426">
            <v>4.21</v>
          </cell>
        </row>
        <row r="427">
          <cell r="B427" t="str">
            <v>BDTX</v>
          </cell>
          <cell r="F427">
            <v>1.39</v>
          </cell>
        </row>
        <row r="428">
          <cell r="B428" t="str">
            <v>AARD</v>
          </cell>
          <cell r="F428">
            <v>3.03</v>
          </cell>
        </row>
        <row r="429">
          <cell r="B429" t="str">
            <v>CRBP</v>
          </cell>
          <cell r="F429">
            <v>2.39</v>
          </cell>
        </row>
        <row r="430">
          <cell r="B430" t="str">
            <v>BMEA</v>
          </cell>
          <cell r="F430">
            <v>2.07</v>
          </cell>
        </row>
        <row r="431">
          <cell r="B431" t="str">
            <v>ANIX</v>
          </cell>
          <cell r="F431">
            <v>10.45</v>
          </cell>
        </row>
        <row r="432">
          <cell r="B432" t="str">
            <v>PLYX</v>
          </cell>
          <cell r="F432">
            <v>2.5</v>
          </cell>
        </row>
        <row r="433">
          <cell r="B433" t="str">
            <v>OKUR</v>
          </cell>
          <cell r="F433">
            <v>9.16</v>
          </cell>
        </row>
        <row r="434">
          <cell r="B434" t="str">
            <v>MIST</v>
          </cell>
          <cell r="F434">
            <v>7.41</v>
          </cell>
        </row>
        <row r="435">
          <cell r="B435" t="str">
            <v>ATRA</v>
          </cell>
          <cell r="F435">
            <v>1.91</v>
          </cell>
        </row>
        <row r="436">
          <cell r="B436" t="str">
            <v>ALP</v>
          </cell>
          <cell r="F436">
            <v>3.8</v>
          </cell>
        </row>
        <row r="437">
          <cell r="B437" t="str">
            <v>PYPD</v>
          </cell>
          <cell r="F437">
            <v>2.68</v>
          </cell>
        </row>
        <row r="438">
          <cell r="B438" t="str">
            <v>RLYB</v>
          </cell>
          <cell r="F438">
            <v>1.07</v>
          </cell>
        </row>
        <row r="439">
          <cell r="B439" t="str">
            <v>EQ</v>
          </cell>
          <cell r="F439">
            <v>0.41</v>
          </cell>
        </row>
        <row r="440">
          <cell r="B440" t="str">
            <v>NMRA</v>
          </cell>
          <cell r="F440">
            <v>0.6528</v>
          </cell>
        </row>
        <row r="441">
          <cell r="B441" t="str">
            <v>ICCC</v>
          </cell>
          <cell r="F441">
            <v>16.38</v>
          </cell>
        </row>
        <row r="442">
          <cell r="B442" t="str">
            <v>PMN</v>
          </cell>
          <cell r="F442">
            <v>0.465</v>
          </cell>
        </row>
        <row r="443">
          <cell r="B443" t="str">
            <v>CRDF</v>
          </cell>
          <cell r="F443">
            <v>0.7185</v>
          </cell>
        </row>
        <row r="444">
          <cell r="B444" t="str">
            <v>CGTX</v>
          </cell>
          <cell r="F444">
            <v>4.42</v>
          </cell>
        </row>
        <row r="445">
          <cell r="B445" t="str">
            <v>RFL</v>
          </cell>
          <cell r="F445">
            <v>2.99</v>
          </cell>
        </row>
        <row r="446">
          <cell r="B446" t="str">
            <v>LEXX</v>
          </cell>
          <cell r="F446">
            <v>2.36</v>
          </cell>
        </row>
        <row r="447">
          <cell r="B447" t="str">
            <v>ZYBT</v>
          </cell>
          <cell r="F447">
            <v>3.9</v>
          </cell>
        </row>
        <row r="448">
          <cell r="B448" t="str">
            <v>ACRV</v>
          </cell>
          <cell r="F448">
            <v>3.38</v>
          </cell>
        </row>
        <row r="449">
          <cell r="B449" t="str">
            <v>PMVP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LGVN</v>
          </cell>
          <cell r="F451">
            <v>1.38</v>
          </cell>
        </row>
        <row r="452">
          <cell r="B452" t="str">
            <v>PTHS</v>
          </cell>
          <cell r="F452">
            <v>1.37</v>
          </cell>
        </row>
        <row r="453">
          <cell r="B453" t="str">
            <v>CTOR</v>
          </cell>
          <cell r="F453">
            <v>8.09</v>
          </cell>
        </row>
        <row r="454">
          <cell r="B454" t="str">
            <v>SDEV</v>
          </cell>
          <cell r="F454">
            <v>1.01</v>
          </cell>
        </row>
        <row r="455">
          <cell r="B455" t="str">
            <v>PDSB</v>
          </cell>
          <cell r="F455">
            <v>1.31</v>
          </cell>
        </row>
        <row r="456">
          <cell r="B456" t="str">
            <v>HRTX</v>
          </cell>
          <cell r="F456">
            <v>0.671</v>
          </cell>
        </row>
        <row r="457">
          <cell r="B457" t="str">
            <v>TELO</v>
          </cell>
          <cell r="F457">
            <v>2.65</v>
          </cell>
        </row>
        <row r="458">
          <cell r="B458" t="str">
            <v>MNOV</v>
          </cell>
          <cell r="F458">
            <v>1.795</v>
          </cell>
        </row>
        <row r="459">
          <cell r="B459" t="str">
            <v>OSTX</v>
          </cell>
          <cell r="F459">
            <v>0.9315</v>
          </cell>
        </row>
        <row r="460">
          <cell r="B460" t="str">
            <v>OKYO</v>
          </cell>
          <cell r="F460">
            <v>2.77</v>
          </cell>
        </row>
        <row r="461">
          <cell r="B461" t="str">
            <v>MAIA</v>
          </cell>
          <cell r="F461">
            <v>1.36</v>
          </cell>
        </row>
        <row r="462">
          <cell r="B462" t="str">
            <v>NMAD</v>
          </cell>
          <cell r="F462">
            <v>0.7338</v>
          </cell>
        </row>
        <row r="463">
          <cell r="B463" t="str">
            <v>NTHI</v>
          </cell>
          <cell r="F463">
            <v>0.3545</v>
          </cell>
        </row>
        <row r="464">
          <cell r="B464" t="str">
            <v>GANX</v>
          </cell>
          <cell r="F464">
            <v>1.12</v>
          </cell>
        </row>
        <row r="465">
          <cell r="B465" t="str">
            <v>FBIO</v>
          </cell>
          <cell r="F465">
            <v>1.49</v>
          </cell>
        </row>
        <row r="466">
          <cell r="B466" t="str">
            <v>CING</v>
          </cell>
          <cell r="F466">
            <v>1.22</v>
          </cell>
        </row>
        <row r="467">
          <cell r="B467" t="str">
            <v>ONCY</v>
          </cell>
          <cell r="F467">
            <v>1.27</v>
          </cell>
        </row>
        <row r="468">
          <cell r="B468" t="str">
            <v>VRCA</v>
          </cell>
          <cell r="F468">
            <v>1.39</v>
          </cell>
        </row>
        <row r="469">
          <cell r="B469" t="str">
            <v>TENX</v>
          </cell>
          <cell r="F469">
            <v>2.02</v>
          </cell>
        </row>
        <row r="470">
          <cell r="B470" t="str">
            <v>SPRO</v>
          </cell>
          <cell r="F470">
            <v>0.4986</v>
          </cell>
        </row>
        <row r="471">
          <cell r="B471" t="str">
            <v>XBIT</v>
          </cell>
          <cell r="F471">
            <v>4.53</v>
          </cell>
        </row>
        <row r="472">
          <cell r="B472" t="str">
            <v>RNTX</v>
          </cell>
          <cell r="F472">
            <v>0.9605</v>
          </cell>
        </row>
        <row r="473">
          <cell r="B473" t="str">
            <v>PLRX</v>
          </cell>
          <cell r="F473">
            <v>3.72</v>
          </cell>
        </row>
        <row r="474">
          <cell r="B474" t="str">
            <v>ENLV</v>
          </cell>
          <cell r="F474">
            <v>1.94</v>
          </cell>
        </row>
        <row r="475">
          <cell r="B475" t="str">
            <v>SKYE</v>
          </cell>
          <cell r="F475">
            <v>3.47</v>
          </cell>
        </row>
        <row r="476">
          <cell r="B476" t="str">
            <v>XLO</v>
          </cell>
          <cell r="F476">
            <v>0.7356</v>
          </cell>
        </row>
        <row r="477">
          <cell r="B477" t="str">
            <v>RNXT</v>
          </cell>
          <cell r="F477">
            <v>1.19</v>
          </cell>
        </row>
        <row r="478">
          <cell r="B478" t="str">
            <v>BOLD</v>
          </cell>
          <cell r="F478">
            <v>0.8752</v>
          </cell>
        </row>
        <row r="479">
          <cell r="B479" t="str">
            <v>ATHE</v>
          </cell>
          <cell r="F479">
            <v>0.33</v>
          </cell>
        </row>
        <row r="480">
          <cell r="B480" t="str">
            <v>KLRS</v>
          </cell>
          <cell r="F480">
            <v>8.54</v>
          </cell>
        </row>
        <row r="481">
          <cell r="B481" t="str">
            <v>TLPH</v>
          </cell>
          <cell r="F481">
            <v>0.9124</v>
          </cell>
        </row>
        <row r="482">
          <cell r="B482" t="str">
            <v>IBIO</v>
          </cell>
          <cell r="F482">
            <v>1.07</v>
          </cell>
        </row>
        <row r="483">
          <cell r="B483" t="str">
            <v>MREO</v>
          </cell>
          <cell r="F483">
            <v>1.62</v>
          </cell>
        </row>
        <row r="484">
          <cell r="B484" t="str">
            <v>ALDX</v>
          </cell>
          <cell r="F484">
            <v>0.5951</v>
          </cell>
        </row>
        <row r="485">
          <cell r="B485" t="str">
            <v>CNTB</v>
          </cell>
          <cell r="F485">
            <v>1.2</v>
          </cell>
        </row>
        <row r="486">
          <cell r="B486" t="str">
            <v>INKT</v>
          </cell>
          <cell r="F486">
            <v>20.21</v>
          </cell>
        </row>
        <row r="487">
          <cell r="B487" t="str">
            <v>LONA</v>
          </cell>
          <cell r="F487">
            <v>2.43</v>
          </cell>
        </row>
        <row r="488">
          <cell r="B488" t="str">
            <v>HYPD</v>
          </cell>
          <cell r="F488">
            <v>2.07</v>
          </cell>
        </row>
        <row r="489">
          <cell r="B489" t="str">
            <v>YARW</v>
          </cell>
          <cell r="F489">
            <v>1.63</v>
          </cell>
        </row>
        <row r="490">
          <cell r="B490" t="str">
            <v>ACET</v>
          </cell>
          <cell r="F490">
            <v>9.86</v>
          </cell>
        </row>
        <row r="491">
          <cell r="B491" t="str">
            <v>INMB</v>
          </cell>
          <cell r="F491">
            <v>0.519</v>
          </cell>
        </row>
        <row r="492">
          <cell r="B492" t="str">
            <v>ANVS</v>
          </cell>
          <cell r="F492">
            <v>5.27</v>
          </cell>
        </row>
        <row r="493">
          <cell r="B493" t="str">
            <v>SER</v>
          </cell>
          <cell r="F493">
            <v>2.37</v>
          </cell>
        </row>
        <row r="494">
          <cell r="B494" t="str">
            <v>CELU</v>
          </cell>
          <cell r="F494">
            <v>0.821</v>
          </cell>
        </row>
        <row r="495">
          <cell r="B495" t="str">
            <v>ELTX</v>
          </cell>
          <cell r="F495">
            <v>2.975</v>
          </cell>
        </row>
        <row r="496">
          <cell r="B496" t="str">
            <v>CLNN</v>
          </cell>
          <cell r="F496">
            <v>0.2237</v>
          </cell>
        </row>
        <row r="497">
          <cell r="B497" t="str">
            <v>CRBU</v>
          </cell>
          <cell r="F497">
            <v>0.2951</v>
          </cell>
        </row>
        <row r="498">
          <cell r="B498" t="str">
            <v>EXOZ</v>
          </cell>
          <cell r="F498">
            <v>1.05</v>
          </cell>
        </row>
        <row r="499">
          <cell r="B499" t="str">
            <v>CRVO</v>
          </cell>
          <cell r="F499">
            <v>3.88</v>
          </cell>
        </row>
        <row r="500">
          <cell r="B500" t="str">
            <v>BRTX</v>
          </cell>
          <cell r="F500">
            <v>1.57</v>
          </cell>
        </row>
        <row r="501">
          <cell r="B501" t="str">
            <v>IMA</v>
          </cell>
          <cell r="F501">
            <v>22.0481</v>
          </cell>
        </row>
        <row r="502">
          <cell r="B502" t="str">
            <v>HOWL</v>
          </cell>
          <cell r="F502">
            <v>6.43</v>
          </cell>
        </row>
        <row r="503">
          <cell r="B503" t="str">
            <v>DWTX</v>
          </cell>
          <cell r="F503">
            <v>1.6</v>
          </cell>
        </row>
        <row r="504">
          <cell r="B504" t="str">
            <v>VBIO</v>
          </cell>
          <cell r="F504">
            <v>4.13</v>
          </cell>
        </row>
        <row r="505">
          <cell r="B505" t="str">
            <v>TIL</v>
          </cell>
          <cell r="F505">
            <v>1.66</v>
          </cell>
        </row>
        <row r="506">
          <cell r="B506" t="str">
            <v>CLGN</v>
          </cell>
          <cell r="F506">
            <v>0.8935</v>
          </cell>
        </row>
        <row r="507">
          <cell r="B507" t="str">
            <v>LNAI</v>
          </cell>
          <cell r="F507">
            <v>1.5</v>
          </cell>
        </row>
        <row r="508">
          <cell r="B508" t="str">
            <v>TVGN</v>
          </cell>
          <cell r="F508">
            <v>4.52</v>
          </cell>
        </row>
        <row r="509">
          <cell r="B509" t="str">
            <v>BSEM</v>
          </cell>
          <cell r="F509">
            <v>0.9932</v>
          </cell>
        </row>
        <row r="510">
          <cell r="B510" t="str">
            <v>GRCE</v>
          </cell>
          <cell r="F510">
            <v>0.6651</v>
          </cell>
        </row>
        <row r="511">
          <cell r="B511" t="str">
            <v>CALC</v>
          </cell>
          <cell r="F511">
            <v>1.15</v>
          </cell>
        </row>
        <row r="512">
          <cell r="B512" t="str">
            <v>MTNB</v>
          </cell>
          <cell r="F512">
            <v>1.26</v>
          </cell>
        </row>
        <row r="513">
          <cell r="B513" t="str">
            <v>VERU</v>
          </cell>
          <cell r="F513">
            <v>5.94</v>
          </cell>
        </row>
        <row r="514">
          <cell r="B514" t="str">
            <v>BTMD</v>
          </cell>
          <cell r="F514">
            <v>3.73</v>
          </cell>
        </row>
        <row r="515">
          <cell r="B515" t="str">
            <v>SCYX</v>
          </cell>
          <cell r="F515">
            <v>1.98</v>
          </cell>
        </row>
        <row r="516">
          <cell r="B516" t="str">
            <v>FLNA</v>
          </cell>
          <cell r="F516">
            <v>2.38</v>
          </cell>
        </row>
        <row r="517">
          <cell r="B517" t="str">
            <v>IXHL</v>
          </cell>
          <cell r="F517">
            <v>1.07</v>
          </cell>
        </row>
        <row r="518">
          <cell r="B518" t="str">
            <v>LITS</v>
          </cell>
          <cell r="F518">
            <v>1.56</v>
          </cell>
        </row>
        <row r="519">
          <cell r="B519" t="str">
            <v>BIAF</v>
          </cell>
          <cell r="F519">
            <v>4.12</v>
          </cell>
        </row>
        <row r="520">
          <cell r="B520" t="str">
            <v>MGX</v>
          </cell>
          <cell r="F520">
            <v>1.64</v>
          </cell>
        </row>
        <row r="521">
          <cell r="B521" t="str">
            <v>CPHI</v>
          </cell>
          <cell r="F521">
            <v>3.8</v>
          </cell>
        </row>
        <row r="522">
          <cell r="B522" t="str">
            <v>ELUT</v>
          </cell>
          <cell r="F522">
            <v>1.7</v>
          </cell>
        </row>
        <row r="523">
          <cell r="B523" t="str">
            <v>FFR</v>
          </cell>
          <cell r="F523">
            <v>1.065</v>
          </cell>
        </row>
        <row r="524">
          <cell r="B524" t="str">
            <v>GRDX</v>
          </cell>
          <cell r="F524">
            <v>2.78</v>
          </cell>
        </row>
        <row r="525">
          <cell r="B525" t="str">
            <v>ATNM</v>
          </cell>
          <cell r="F525">
            <v>1.5</v>
          </cell>
        </row>
        <row r="526">
          <cell r="B526" t="str">
            <v>CVM</v>
          </cell>
          <cell r="F526">
            <v>0.8105</v>
          </cell>
        </row>
        <row r="527">
          <cell r="B527" t="str">
            <v>BCTX</v>
          </cell>
          <cell r="F527">
            <v>1.19</v>
          </cell>
        </row>
        <row r="528">
          <cell r="B528" t="str">
            <v>EDSA</v>
          </cell>
          <cell r="F528">
            <v>0.6885</v>
          </cell>
        </row>
        <row r="529">
          <cell r="B529" t="str">
            <v>ALGS</v>
          </cell>
          <cell r="F529">
            <v>2.29</v>
          </cell>
        </row>
        <row r="530">
          <cell r="B530" t="str">
            <v>NNVC</v>
          </cell>
          <cell r="F530">
            <v>1.395</v>
          </cell>
        </row>
        <row r="531">
          <cell r="B531" t="str">
            <v>NXTC</v>
          </cell>
          <cell r="F531">
            <v>40.27</v>
          </cell>
        </row>
        <row r="532">
          <cell r="B532" t="str">
            <v>QNCX</v>
          </cell>
          <cell r="F532">
            <v>3.66</v>
          </cell>
        </row>
        <row r="533">
          <cell r="B533" t="str">
            <v>NSRX</v>
          </cell>
          <cell r="F533">
            <v>1.56</v>
          </cell>
        </row>
        <row r="534">
          <cell r="B534" t="str">
            <v>RNAZ</v>
          </cell>
          <cell r="F534">
            <v>5.03</v>
          </cell>
        </row>
        <row r="535">
          <cell r="B535" t="str">
            <v>MIRA</v>
          </cell>
          <cell r="F535">
            <v>4.63</v>
          </cell>
        </row>
        <row r="536">
          <cell r="B536" t="str">
            <v>MDXH</v>
          </cell>
          <cell r="F536">
            <v>0.8313</v>
          </cell>
        </row>
        <row r="537">
          <cell r="B537" t="str">
            <v>IGC</v>
          </cell>
          <cell r="F537">
            <v>3.46</v>
          </cell>
        </row>
        <row r="538">
          <cell r="B538" t="str">
            <v>CNTX</v>
          </cell>
          <cell r="F538">
            <v>0.7243</v>
          </cell>
        </row>
        <row r="539">
          <cell r="B539" t="str">
            <v>MCRB</v>
          </cell>
          <cell r="F539">
            <v>2.54</v>
          </cell>
        </row>
        <row r="540">
          <cell r="B540" t="str">
            <v>ABVC</v>
          </cell>
          <cell r="F540">
            <v>1.66</v>
          </cell>
        </row>
        <row r="541">
          <cell r="B541" t="str">
            <v>EVAX</v>
          </cell>
          <cell r="F541">
            <v>5.44</v>
          </cell>
        </row>
        <row r="542">
          <cell r="B542" t="str">
            <v>SHPH</v>
          </cell>
          <cell r="F542">
            <v>3.24</v>
          </cell>
        </row>
        <row r="543">
          <cell r="B543" t="str">
            <v>BYSI</v>
          </cell>
          <cell r="F543">
            <v>0.6501</v>
          </cell>
        </row>
        <row r="544">
          <cell r="B544" t="str">
            <v>SCLX</v>
          </cell>
          <cell r="F544">
            <v>4.91</v>
          </cell>
        </row>
        <row r="545">
          <cell r="B545" t="str">
            <v>JAGX</v>
          </cell>
          <cell r="F545">
            <v>0.245</v>
          </cell>
        </row>
        <row r="546">
          <cell r="B546" t="str">
            <v>KYNB</v>
          </cell>
          <cell r="F546">
            <v>1.19</v>
          </cell>
        </row>
        <row r="547">
          <cell r="B547" t="str">
            <v>ATOS</v>
          </cell>
          <cell r="F547">
            <v>2.31</v>
          </cell>
        </row>
        <row r="548">
          <cell r="B548" t="str">
            <v>ATYR</v>
          </cell>
          <cell r="F548">
            <v>2.82</v>
          </cell>
        </row>
        <row r="549">
          <cell r="B549" t="str">
            <v>TXMD</v>
          </cell>
          <cell r="F549">
            <v>0.515</v>
          </cell>
        </row>
        <row r="550">
          <cell r="B550" t="str">
            <v>AYTU</v>
          </cell>
          <cell r="F550">
            <v>0.93</v>
          </cell>
        </row>
        <row r="551">
          <cell r="B551" t="str">
            <v>COCP</v>
          </cell>
          <cell r="F551">
            <v>2.53</v>
          </cell>
        </row>
        <row r="552">
          <cell r="B552" t="str">
            <v>KAPA</v>
          </cell>
          <cell r="F552">
            <v>1.08</v>
          </cell>
        </row>
        <row r="553">
          <cell r="B553" t="str">
            <v>JSPR</v>
          </cell>
          <cell r="F553">
            <v>4.05</v>
          </cell>
        </row>
        <row r="554">
          <cell r="B554" t="str">
            <v>GNTA</v>
          </cell>
          <cell r="F554">
            <v>0.5227</v>
          </cell>
        </row>
        <row r="555">
          <cell r="B555" t="str">
            <v>NEUP</v>
          </cell>
          <cell r="F555">
            <v>0.2438</v>
          </cell>
        </row>
        <row r="556">
          <cell r="B556" t="str">
            <v>ESLA</v>
          </cell>
          <cell r="F556">
            <v>1.88</v>
          </cell>
        </row>
        <row r="557">
          <cell r="B557" t="str">
            <v>AKTX</v>
          </cell>
          <cell r="F557">
            <v>5.28</v>
          </cell>
        </row>
        <row r="558">
          <cell r="B558" t="str">
            <v>MRKR</v>
          </cell>
          <cell r="F558">
            <v>2.01</v>
          </cell>
        </row>
        <row r="559">
          <cell r="B559" t="str">
            <v>DYAI</v>
          </cell>
          <cell r="F559">
            <v>0.9429</v>
          </cell>
        </row>
        <row r="560">
          <cell r="B560" t="str">
            <v>RKTO</v>
          </cell>
          <cell r="F560">
            <v>0.4</v>
          </cell>
        </row>
        <row r="561">
          <cell r="B561" t="str">
            <v>TCRX</v>
          </cell>
          <cell r="F561">
            <v>2.63</v>
          </cell>
        </row>
        <row r="562">
          <cell r="B562" t="str">
            <v>ALLR</v>
          </cell>
          <cell r="F562">
            <v>1.94</v>
          </cell>
        </row>
        <row r="563">
          <cell r="B563" t="str">
            <v>BCDA</v>
          </cell>
          <cell r="F563">
            <v>3.39</v>
          </cell>
        </row>
        <row r="564">
          <cell r="B564" t="str">
            <v>KTTA</v>
          </cell>
          <cell r="F564">
            <v>1.16</v>
          </cell>
        </row>
        <row r="565">
          <cell r="B565" t="str">
            <v>PTN</v>
          </cell>
          <cell r="F565">
            <v>0.1733</v>
          </cell>
        </row>
        <row r="566">
          <cell r="B566" t="str">
            <v>ARTL</v>
          </cell>
          <cell r="F566">
            <v>9.29</v>
          </cell>
        </row>
        <row r="567">
          <cell r="B567" t="str">
            <v>HIND</v>
          </cell>
          <cell r="F567">
            <v>0.4999</v>
          </cell>
        </row>
        <row r="568">
          <cell r="B568" t="str">
            <v>ACTU</v>
          </cell>
          <cell r="F568">
            <v>0.5837</v>
          </cell>
        </row>
        <row r="569">
          <cell r="B569" t="str">
            <v>CNSY</v>
          </cell>
          <cell r="F569">
            <v>0.615</v>
          </cell>
        </row>
        <row r="570">
          <cell r="B570" t="str">
            <v>NCEL</v>
          </cell>
          <cell r="F570">
            <v>0.224</v>
          </cell>
        </row>
        <row r="571">
          <cell r="B571" t="str">
            <v>KZIA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BFRI</v>
          </cell>
          <cell r="F573">
            <v>0.6161</v>
          </cell>
        </row>
        <row r="574">
          <cell r="B574" t="str">
            <v>LPCN</v>
          </cell>
          <cell r="F574">
            <v>0.8758</v>
          </cell>
        </row>
        <row r="575">
          <cell r="B575" t="str">
            <v>AEON</v>
          </cell>
          <cell r="F575">
            <v>0.41</v>
          </cell>
        </row>
        <row r="576">
          <cell r="B576" t="str">
            <v>TVRD</v>
          </cell>
          <cell r="F576">
            <v>1.04</v>
          </cell>
        </row>
        <row r="577">
          <cell r="B577" t="str">
            <v>KPTI</v>
          </cell>
          <cell r="F577">
            <v>1.62</v>
          </cell>
        </row>
        <row r="578">
          <cell r="B578" t="str">
            <v>CTXR</v>
          </cell>
          <cell r="F578">
            <v>2.61</v>
          </cell>
        </row>
        <row r="579">
          <cell r="B579" t="str">
            <v>CLRB</v>
          </cell>
          <cell r="F579">
            <v>0.992</v>
          </cell>
        </row>
        <row r="580">
          <cell r="B580" t="str">
            <v>INAB</v>
          </cell>
          <cell r="F580">
            <v>0.5311</v>
          </cell>
        </row>
        <row r="581">
          <cell r="B581" t="str">
            <v>TPST</v>
          </cell>
          <cell r="F581">
            <v>1.84</v>
          </cell>
        </row>
        <row r="582">
          <cell r="B582" t="str">
            <v>PASG</v>
          </cell>
          <cell r="F582">
            <v>1.68</v>
          </cell>
        </row>
        <row r="583">
          <cell r="B583" t="str">
            <v>INTS</v>
          </cell>
          <cell r="F583">
            <v>0.4175</v>
          </cell>
        </row>
        <row r="584">
          <cell r="B584" t="str">
            <v>DARE</v>
          </cell>
          <cell r="F584">
            <v>2.62</v>
          </cell>
        </row>
        <row r="585">
          <cell r="B585" t="str">
            <v>PLUR</v>
          </cell>
          <cell r="F585">
            <v>0.804</v>
          </cell>
        </row>
        <row r="586">
          <cell r="B586" t="str">
            <v>ASBP</v>
          </cell>
          <cell r="F586">
            <v>0.2315</v>
          </cell>
        </row>
        <row r="587">
          <cell r="B587" t="str">
            <v>QNTM</v>
          </cell>
          <cell r="F587">
            <v>8.72</v>
          </cell>
        </row>
        <row r="588">
          <cell r="B588" t="str">
            <v>PBM</v>
          </cell>
          <cell r="F588">
            <v>7.88</v>
          </cell>
        </row>
        <row r="589">
          <cell r="B589" t="str">
            <v>PHIO</v>
          </cell>
          <cell r="F589">
            <v>0.4986</v>
          </cell>
        </row>
        <row r="590">
          <cell r="B590" t="str">
            <v>KPRX</v>
          </cell>
          <cell r="F590">
            <v>5.52</v>
          </cell>
        </row>
        <row r="591">
          <cell r="B591" t="str">
            <v>GDTC</v>
          </cell>
          <cell r="F591">
            <v>3.6</v>
          </cell>
        </row>
        <row r="592">
          <cell r="B592" t="str">
            <v>BIVI</v>
          </cell>
          <cell r="F592">
            <v>0.689</v>
          </cell>
        </row>
        <row r="593">
          <cell r="B593" t="str">
            <v>VTGN</v>
          </cell>
          <cell r="F593">
            <v>0.9</v>
          </cell>
        </row>
        <row r="594">
          <cell r="B594" t="str">
            <v>LTRN</v>
          </cell>
          <cell r="F594">
            <v>1.14</v>
          </cell>
        </row>
        <row r="595">
          <cell r="B595" t="str">
            <v>ENSC</v>
          </cell>
          <cell r="F595">
            <v>3.28</v>
          </cell>
        </row>
        <row r="596">
          <cell r="B596" t="str">
            <v>ADIL</v>
          </cell>
          <cell r="F596">
            <v>1.23</v>
          </cell>
        </row>
        <row r="597">
          <cell r="B597" t="str">
            <v>TOVX</v>
          </cell>
          <cell r="F597">
            <v>2.33</v>
          </cell>
        </row>
        <row r="598">
          <cell r="B598" t="str">
            <v>CMMB</v>
          </cell>
          <cell r="F598">
            <v>0.1944</v>
          </cell>
        </row>
        <row r="599">
          <cell r="B599" t="str">
            <v>SNTI</v>
          </cell>
          <cell r="F599">
            <v>2.43</v>
          </cell>
        </row>
        <row r="600">
          <cell r="B600" t="str">
            <v>LSTA</v>
          </cell>
          <cell r="F600">
            <v>0.8715</v>
          </cell>
        </row>
        <row r="601">
          <cell r="B601" t="str">
            <v>IMCC</v>
          </cell>
          <cell r="F601">
            <v>0.8921</v>
          </cell>
        </row>
        <row r="602">
          <cell r="B602" t="str">
            <v>MTVA</v>
          </cell>
          <cell r="F602">
            <v>0.5762</v>
          </cell>
        </row>
        <row r="603">
          <cell r="B603" t="str">
            <v>IMRN</v>
          </cell>
          <cell r="F603">
            <v>4.24</v>
          </cell>
        </row>
        <row r="604">
          <cell r="B604" t="str">
            <v>MBRX</v>
          </cell>
          <cell r="F604">
            <v>0.2047</v>
          </cell>
        </row>
        <row r="605">
          <cell r="B605" t="str">
            <v>RGNT</v>
          </cell>
          <cell r="F605">
            <v>1.04</v>
          </cell>
        </row>
        <row r="606">
          <cell r="B606" t="str">
            <v>BOLT</v>
          </cell>
          <cell r="F606">
            <v>1.18</v>
          </cell>
        </row>
        <row r="607">
          <cell r="B607" t="str">
            <v>SNGX</v>
          </cell>
          <cell r="F607">
            <v>3.82</v>
          </cell>
        </row>
        <row r="608">
          <cell r="B608" t="str">
            <v>AZTR</v>
          </cell>
          <cell r="F608">
            <v>1.29</v>
          </cell>
        </row>
        <row r="609">
          <cell r="B609" t="str">
            <v>CNSP</v>
          </cell>
          <cell r="F609">
            <v>0.1978</v>
          </cell>
        </row>
        <row r="610">
          <cell r="B610" t="str">
            <v>HLSQ</v>
          </cell>
          <cell r="F610">
            <v>0.3586</v>
          </cell>
        </row>
        <row r="611">
          <cell r="B611" t="str">
            <v>APRE</v>
          </cell>
          <cell r="F611">
            <v>0.6564</v>
          </cell>
        </row>
        <row r="612">
          <cell r="B612" t="str">
            <v>APUS</v>
          </cell>
          <cell r="F612">
            <v>1.37</v>
          </cell>
        </row>
        <row r="613">
          <cell r="B613" t="str">
            <v>FBLG</v>
          </cell>
          <cell r="F613">
            <v>1.4</v>
          </cell>
        </row>
        <row r="614">
          <cell r="B614" t="str">
            <v>INM</v>
          </cell>
          <cell r="F614">
            <v>4.31</v>
          </cell>
        </row>
        <row r="615">
          <cell r="B615" t="str">
            <v>XCUR</v>
          </cell>
          <cell r="F615">
            <v>1.47</v>
          </cell>
        </row>
        <row r="616">
          <cell r="B616" t="str">
            <v>TRAW</v>
          </cell>
          <cell r="F616">
            <v>0.9564</v>
          </cell>
        </row>
        <row r="617">
          <cell r="B617" t="str">
            <v>ACXP</v>
          </cell>
          <cell r="F617">
            <v>0.3546</v>
          </cell>
        </row>
        <row r="618">
          <cell r="B618" t="str">
            <v>ENVB</v>
          </cell>
          <cell r="F618">
            <v>0.5612</v>
          </cell>
        </row>
        <row r="619">
          <cell r="B619" t="str">
            <v>ALZN</v>
          </cell>
          <cell r="F619">
            <v>1.34</v>
          </cell>
        </row>
        <row r="620">
          <cell r="B620" t="str">
            <v>IMNN</v>
          </cell>
          <cell r="F620">
            <v>0.9987</v>
          </cell>
        </row>
        <row r="621">
          <cell r="B621" t="str">
            <v>SNOA</v>
          </cell>
          <cell r="F621">
            <v>4.99</v>
          </cell>
        </row>
        <row r="622">
          <cell r="B622" t="str">
            <v>MDCX</v>
          </cell>
          <cell r="F622">
            <v>0.2277</v>
          </cell>
        </row>
        <row r="623">
          <cell r="B623" t="str">
            <v>KALA</v>
          </cell>
          <cell r="F623">
            <v>2.97</v>
          </cell>
        </row>
        <row r="624">
          <cell r="B624" t="str">
            <v>BGMS</v>
          </cell>
          <cell r="F624">
            <v>0.9199</v>
          </cell>
        </row>
        <row r="625">
          <cell r="B625" t="str">
            <v>GELS</v>
          </cell>
          <cell r="F625">
            <v>1.3</v>
          </cell>
        </row>
        <row r="626">
          <cell r="B626" t="str">
            <v>CDIO</v>
          </cell>
          <cell r="F626">
            <v>0.3767</v>
          </cell>
        </row>
        <row r="627">
          <cell r="B627" t="str">
            <v>CELZ</v>
          </cell>
          <cell r="F627">
            <v>1.44</v>
          </cell>
        </row>
        <row r="628">
          <cell r="B628" t="str">
            <v>AIM</v>
          </cell>
          <cell r="F628">
            <v>0.94</v>
          </cell>
        </row>
        <row r="629">
          <cell r="B629" t="str">
            <v>AQB</v>
          </cell>
          <cell r="F629">
            <v>3.41</v>
          </cell>
        </row>
        <row r="630">
          <cell r="B630" t="str">
            <v>PULM</v>
          </cell>
          <cell r="F630">
            <v>0.2323</v>
          </cell>
        </row>
        <row r="631">
          <cell r="B631" t="str">
            <v>QCLS</v>
          </cell>
          <cell r="F631">
            <v>1.14</v>
          </cell>
        </row>
        <row r="632">
          <cell r="B632" t="str">
            <v>XBIO</v>
          </cell>
          <cell r="F632">
            <v>1.005</v>
          </cell>
        </row>
        <row r="633">
          <cell r="B633" t="str">
            <v>NCNA</v>
          </cell>
          <cell r="F633">
            <v>1.15</v>
          </cell>
        </row>
        <row r="634">
          <cell r="B634" t="str">
            <v>YCBD</v>
          </cell>
          <cell r="F634">
            <v>6.19</v>
          </cell>
        </row>
        <row r="635">
          <cell r="B635" t="str">
            <v>PMCB</v>
          </cell>
          <cell r="F635">
            <v>1.15</v>
          </cell>
        </row>
        <row r="636">
          <cell r="B636" t="str">
            <v>PCSA</v>
          </cell>
          <cell r="F636">
            <v>1.43</v>
          </cell>
        </row>
        <row r="637">
          <cell r="B637" t="str">
            <v>DRMA</v>
          </cell>
          <cell r="F637">
            <v>0.1679</v>
          </cell>
        </row>
        <row r="638">
          <cell r="B638" t="str">
            <v>SCNI</v>
          </cell>
          <cell r="F638">
            <v>1.72</v>
          </cell>
        </row>
        <row r="639">
          <cell r="B639" t="str">
            <v>ERNA</v>
          </cell>
          <cell r="F639">
            <v>0.7547</v>
          </cell>
        </row>
        <row r="640">
          <cell r="B640" t="str">
            <v>GRI</v>
          </cell>
          <cell r="F640">
            <v>0.448</v>
          </cell>
        </row>
        <row r="641">
          <cell r="B641" t="str">
            <v>SNES</v>
          </cell>
          <cell r="F641">
            <v>1.79</v>
          </cell>
        </row>
        <row r="642">
          <cell r="B642" t="str">
            <v>EOCN</v>
          </cell>
          <cell r="F642">
            <v>2.0</v>
          </cell>
        </row>
        <row r="643">
          <cell r="B643" t="str">
            <v>AKAN</v>
          </cell>
          <cell r="F643">
            <v>0.5</v>
          </cell>
        </row>
        <row r="644">
          <cell r="B644" t="str">
            <v>SXTP</v>
          </cell>
          <cell r="F644">
            <v>0.0715</v>
          </cell>
        </row>
        <row r="645">
          <cell r="B645" t="str">
            <v>EVGN</v>
          </cell>
          <cell r="F645">
            <v>1.0056</v>
          </cell>
        </row>
        <row r="646">
          <cell r="B646" t="str">
            <v>CVKD</v>
          </cell>
          <cell r="F646">
            <v>0.3873</v>
          </cell>
        </row>
        <row r="647">
          <cell r="B647" t="str">
            <v>APVO</v>
          </cell>
          <cell r="F647">
            <v>1.04</v>
          </cell>
        </row>
        <row r="648">
          <cell r="B648" t="str">
            <v>PPCB</v>
          </cell>
          <cell r="F648">
            <v>0.3422</v>
          </cell>
        </row>
        <row r="649">
          <cell r="B649" t="str">
            <v>MBIO</v>
          </cell>
          <cell r="F649">
            <v>0.1897</v>
          </cell>
        </row>
        <row r="650">
          <cell r="B650" t="str">
            <v>REVB</v>
          </cell>
          <cell r="F650">
            <v>2.24</v>
          </cell>
        </row>
        <row r="651">
          <cell r="B651" t="str">
            <v>HCWB</v>
          </cell>
          <cell r="F651">
            <v>0.6893</v>
          </cell>
        </row>
        <row r="652">
          <cell r="B652" t="str">
            <v>RDHL</v>
          </cell>
          <cell r="F652">
            <v>0.8699</v>
          </cell>
        </row>
        <row r="653">
          <cell r="B653" t="str">
            <v>VIVS</v>
          </cell>
          <cell r="F653">
            <v>0.3716</v>
          </cell>
        </row>
        <row r="654">
          <cell r="B654" t="str">
            <v>CLDI</v>
          </cell>
          <cell r="F654">
            <v>1.615</v>
          </cell>
        </row>
        <row r="655">
          <cell r="B655" t="str">
            <v>CANF</v>
          </cell>
          <cell r="F655">
            <v>0.9222</v>
          </cell>
        </row>
        <row r="656">
          <cell r="B656" t="str">
            <v>ONCO</v>
          </cell>
          <cell r="F656">
            <v>1.46</v>
          </cell>
        </row>
        <row r="657">
          <cell r="B657" t="str">
            <v>UPC</v>
          </cell>
          <cell r="F657">
            <v>3.07</v>
          </cell>
        </row>
        <row r="658">
          <cell r="B658" t="str">
            <v>SILO</v>
          </cell>
          <cell r="F658">
            <v>0.3795</v>
          </cell>
        </row>
        <row r="659">
          <cell r="B659" t="str">
            <v>GNPX</v>
          </cell>
          <cell r="F659">
            <v>0.6813</v>
          </cell>
        </row>
        <row r="660">
          <cell r="B660" t="str">
            <v>JUNS</v>
          </cell>
          <cell r="F660">
            <v>0.5073</v>
          </cell>
        </row>
        <row r="661">
          <cell r="B661" t="str">
            <v>GOVX</v>
          </cell>
          <cell r="F661">
            <v>1.89</v>
          </cell>
        </row>
        <row r="662">
          <cell r="B662" t="str">
            <v>OGEN</v>
          </cell>
          <cell r="F662">
            <v>1.08</v>
          </cell>
        </row>
        <row r="663">
          <cell r="B663" t="str">
            <v>TCRT</v>
          </cell>
          <cell r="F663">
            <v>3.54</v>
          </cell>
        </row>
        <row r="664">
          <cell r="B664" t="str">
            <v>LABT</v>
          </cell>
          <cell r="F664">
            <v>0.1713</v>
          </cell>
        </row>
        <row r="665">
          <cell r="B665" t="str">
            <v>SPRC</v>
          </cell>
          <cell r="F665">
            <v>1.23</v>
          </cell>
        </row>
        <row r="666">
          <cell r="B666" t="str">
            <v>CRIS</v>
          </cell>
          <cell r="F666">
            <v>0.77</v>
          </cell>
        </row>
        <row r="667">
          <cell r="B667" t="str">
            <v>SBFM</v>
          </cell>
          <cell r="F667">
            <v>2.8</v>
          </cell>
        </row>
        <row r="668">
          <cell r="B668" t="str">
            <v>BBLG</v>
          </cell>
          <cell r="F668">
            <v>0.321</v>
          </cell>
        </row>
        <row r="669">
          <cell r="B669" t="str">
            <v>PPBT</v>
          </cell>
          <cell r="F669">
            <v>0.434</v>
          </cell>
        </row>
        <row r="670">
          <cell r="B670" t="str">
            <v>SLXN</v>
          </cell>
          <cell r="F670">
            <v>3.75</v>
          </cell>
        </row>
        <row r="671">
          <cell r="B671" t="str">
            <v>CMND</v>
          </cell>
          <cell r="F671">
            <v>0.4064</v>
          </cell>
        </row>
        <row r="672">
          <cell r="B672" t="str">
            <v>BDRX</v>
          </cell>
          <cell r="F672">
            <v>1.2</v>
          </cell>
        </row>
        <row r="673">
          <cell r="B673" t="str">
            <v>DCOY</v>
          </cell>
          <cell r="F673">
            <v>0.2271</v>
          </cell>
        </row>
        <row r="674">
          <cell r="B674" t="str">
            <v>PRFX</v>
          </cell>
          <cell r="F674">
            <v>2.13</v>
          </cell>
        </row>
        <row r="675">
          <cell r="B675" t="str">
            <v>SXTC</v>
          </cell>
          <cell r="F675">
            <v>0.5775</v>
          </cell>
        </row>
        <row r="676">
          <cell r="B676" t="str">
            <v>AAPG</v>
          </cell>
          <cell r="F676">
            <v>0.43</v>
          </cell>
        </row>
        <row r="677">
          <cell r="B677" t="str">
            <v>ADAG</v>
          </cell>
          <cell r="F677">
            <v>1.085</v>
          </cell>
        </row>
        <row r="678">
          <cell r="B678" t="str">
            <v>ADRX</v>
          </cell>
          <cell r="F678">
            <v>0.3855</v>
          </cell>
        </row>
        <row r="679">
          <cell r="B679" t="str">
            <v>ADXN</v>
          </cell>
          <cell r="F679">
            <v>6.12</v>
          </cell>
        </row>
        <row r="680">
          <cell r="B680" t="str">
            <v>AGMB</v>
          </cell>
          <cell r="F680">
            <v>0.2418</v>
          </cell>
        </row>
        <row r="681">
          <cell r="B681" t="str">
            <v>ALPS</v>
          </cell>
          <cell r="F681">
            <v>0.3996</v>
          </cell>
        </row>
        <row r="682">
          <cell r="B682" t="str">
            <v>ANL</v>
          </cell>
          <cell r="F682">
            <v>0.153</v>
          </cell>
        </row>
        <row r="683">
          <cell r="B683" t="str">
            <v>APLM</v>
          </cell>
          <cell r="F683">
            <v>1.135</v>
          </cell>
        </row>
        <row r="684">
          <cell r="B684" t="str">
            <v>ASND</v>
          </cell>
          <cell r="F684">
            <v>0.7246</v>
          </cell>
        </row>
        <row r="685">
          <cell r="B685" t="str">
            <v>BNR</v>
          </cell>
          <cell r="F685">
            <v>1.33</v>
          </cell>
        </row>
        <row r="686">
          <cell r="B686" t="str">
            <v>CUVL</v>
          </cell>
          <cell r="F686">
            <v>0.0653</v>
          </cell>
        </row>
        <row r="687">
          <cell r="B687" t="str">
            <v>DRUG</v>
          </cell>
          <cell r="F687">
            <v>17.68</v>
          </cell>
        </row>
        <row r="688">
          <cell r="B688" t="str">
            <v>ETRA</v>
          </cell>
          <cell r="F688">
            <v>3.05</v>
          </cell>
        </row>
        <row r="689">
          <cell r="B689" t="str">
            <v>GRFS</v>
          </cell>
          <cell r="F689">
            <v>8.73</v>
          </cell>
        </row>
        <row r="690">
          <cell r="B690" t="str">
            <v>GSK</v>
          </cell>
          <cell r="F690">
            <v>10.64</v>
          </cell>
        </row>
        <row r="691">
          <cell r="B691" t="str">
            <v>INCR</v>
          </cell>
          <cell r="F691">
            <v>12.66</v>
          </cell>
        </row>
        <row r="692">
          <cell r="B692" t="str">
            <v>NIKI</v>
          </cell>
          <cell r="F692">
            <v>5.19</v>
          </cell>
        </row>
        <row r="693">
          <cell r="B693" t="str">
            <v>OGI</v>
          </cell>
          <cell r="F693">
            <v>55.2</v>
          </cell>
        </row>
        <row r="694">
          <cell r="B694" t="str">
            <v>OPTH</v>
          </cell>
          <cell r="F694">
            <v>8.81</v>
          </cell>
        </row>
        <row r="695">
          <cell r="B695" t="str">
            <v>QNRX</v>
          </cell>
          <cell r="F695">
            <v>7.64</v>
          </cell>
        </row>
        <row r="696">
          <cell r="B696" t="str">
            <v>RADX</v>
          </cell>
          <cell r="F696">
            <v>2.03</v>
          </cell>
        </row>
        <row r="697">
          <cell r="B697" t="str">
            <v>SERA</v>
          </cell>
          <cell r="F697">
            <v>0.937</v>
          </cell>
        </row>
        <row r="698">
          <cell r="B698" t="str">
            <v>SLBT</v>
          </cell>
          <cell r="F698">
            <v>3.36</v>
          </cell>
        </row>
        <row r="699">
          <cell r="B699" t="str">
            <v>TAK</v>
          </cell>
          <cell r="F699">
            <v>4.04</v>
          </cell>
        </row>
        <row r="700">
          <cell r="B700" t="str">
            <v>TLSA</v>
          </cell>
          <cell r="F700">
            <v>0.99</v>
          </cell>
        </row>
        <row r="701">
          <cell r="B701" t="str">
            <v>TLX</v>
          </cell>
          <cell r="F701">
            <v>2.03</v>
          </cell>
        </row>
        <row r="702">
          <cell r="B702" t="str">
            <v>VCRE</v>
          </cell>
          <cell r="F702">
            <v>1.5</v>
          </cell>
        </row>
        <row r="703">
          <cell r="B703" t="str">
            <v>VRXA</v>
          </cell>
          <cell r="F703">
            <v>9.0</v>
          </cell>
        </row>
        <row r="704">
          <cell r="B704" t="str">
            <v>XRTX</v>
          </cell>
          <cell r="F704">
            <v>1.01</v>
          </cell>
        </row>
        <row r="705">
          <cell r="B705" t="str">
            <v>XTLB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4"/>
  <sheetViews>
    <sheetView showGridLines="0" zoomScale="150" workbookViewId="0">
      <selection activeCell="G8" sqref="G8"/>
    </sheetView>
  </sheetViews>
  <sheetFormatPr baseColWidth="10" defaultRowHeight="16" x14ac:dyDescent="0.2"/>
  <cols>
    <col min="1" max="1" width="3.33203125" customWidth="1"/>
    <col min="2" max="2" width="12.6640625" customWidth="1"/>
    <col min="5" max="5" width="11" customWidth="1"/>
  </cols>
  <sheetData>
    <row r="2" spans="2:6" x14ac:dyDescent="0.2">
      <c r="B2" s="77" t="s">
        <v>0</v>
      </c>
      <c r="C2" s="78"/>
    </row>
    <row r="3" spans="2:6" x14ac:dyDescent="0.2">
      <c r="B3" t="s">
        <v>1</v>
      </c>
      <c r="C3" s="8">
        <f>INDEX([1]Pharma!$F$1:$F$1000,MATCH("LLY",[1]Pharma!$B$1:$B$1000,0))</f>
        <v>1286.835</v>
      </c>
      <c r="F3" s="1"/>
    </row>
    <row r="4" spans="2:6" x14ac:dyDescent="0.2">
      <c r="B4" t="s">
        <v>2</v>
      </c>
      <c r="C4" s="9">
        <f>941.357065-50</f>
        <v>891.357065</v>
      </c>
      <c r="F4" s="1"/>
    </row>
    <row r="5" spans="2:6" x14ac:dyDescent="0.2">
      <c r="B5" t="s">
        <v>3</v>
      </c>
      <c r="C5" s="1">
        <f>C3*C4</f>
        <v>1147029.4687392751</v>
      </c>
      <c r="F5" s="1"/>
    </row>
    <row r="7" spans="2:6" x14ac:dyDescent="0.2">
      <c r="B7" t="s">
        <v>4</v>
      </c>
      <c r="C7" s="9">
        <f>8950+60</f>
        <v>9010.0</v>
      </c>
    </row>
    <row r="8" spans="2:6" x14ac:dyDescent="0.2">
      <c r="B8" t="s">
        <v>5</v>
      </c>
      <c r="C8" s="1">
        <f>7050+47858</f>
        <v>54908.0</v>
      </c>
    </row>
    <row r="9" spans="2:6" x14ac:dyDescent="0.2">
      <c r="B9" t="s">
        <v>6</v>
      </c>
      <c r="C9" s="1">
        <f>C5-C7+C8</f>
        <v>1192927.4687392751</v>
      </c>
    </row>
    <row r="11" spans="2:6" x14ac:dyDescent="0.2">
      <c r="B11" s="10" t="s">
        <v>7</v>
      </c>
      <c r="C11" s="8">
        <f>NPV!C37</f>
        <v>734.2143280203924</v>
      </c>
    </row>
    <row r="12" spans="2:6" x14ac:dyDescent="0.2">
      <c r="B12" s="10" t="s">
        <v>8</v>
      </c>
      <c r="C12" s="11">
        <f>C11/C3-1</f>
        <v>-0.42944174814922476</v>
      </c>
    </row>
    <row r="13" spans="2:6" x14ac:dyDescent="0.2">
      <c r="B13" s="10" t="s">
        <v>9</v>
      </c>
      <c r="C13" s="8">
        <f>(C7-C8)/C4</f>
        <v>-51.492271506256586</v>
      </c>
    </row>
    <row r="14" spans="2:6" x14ac:dyDescent="0.2">
      <c r="B14" s="10" t="s">
        <v>10</v>
      </c>
      <c r="C14" s="10" t="str">
        <f>Assumptions!$C$4</f>
        <v>Base</v>
      </c>
    </row>
  </sheetData>
  <mergeCells count="1">
    <mergeCell ref="B2:C2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4"/>
  <sheetViews>
    <sheetView zoomScale="138" workbookViewId="0">
      <selection activeCell="B18" sqref="B18"/>
    </sheetView>
  </sheetViews>
  <sheetFormatPr baseColWidth="10" defaultRowHeight="16" x14ac:dyDescent="0.2"/>
  <cols>
    <col min="1" max="1" width="18.5" style="2" customWidth="1"/>
  </cols>
  <sheetData>
    <row r="1" spans="1:26" s="6" customFormat="1" x14ac:dyDescent="0.2">
      <c r="A1" s="7"/>
      <c r="B1" s="6">
        <v>2016</v>
      </c>
      <c r="C1" s="6">
        <v>2017</v>
      </c>
      <c r="D1" s="6">
        <v>2018</v>
      </c>
      <c r="E1" s="6">
        <v>2019</v>
      </c>
      <c r="F1" s="6">
        <v>2020</v>
      </c>
      <c r="G1" s="6">
        <v>2021</v>
      </c>
      <c r="H1" s="6">
        <v>2022</v>
      </c>
      <c r="I1" s="6">
        <v>2023</v>
      </c>
      <c r="J1" s="6">
        <v>2024</v>
      </c>
      <c r="K1" s="6">
        <v>2025</v>
      </c>
      <c r="L1" s="6">
        <v>2026</v>
      </c>
      <c r="M1" s="6">
        <v>2027</v>
      </c>
      <c r="N1" s="6">
        <v>2028</v>
      </c>
      <c r="O1" s="6">
        <v>2029</v>
      </c>
      <c r="P1" s="6">
        <v>2030</v>
      </c>
      <c r="Q1" s="6">
        <v>2031</v>
      </c>
      <c r="R1" s="6">
        <v>2032</v>
      </c>
      <c r="S1" s="6">
        <v>2033</v>
      </c>
      <c r="T1" s="6">
        <v>2034</v>
      </c>
      <c r="U1" s="6">
        <v>2035</v>
      </c>
      <c r="V1" s="6">
        <v>2036</v>
      </c>
      <c r="W1" s="6">
        <v>2037</v>
      </c>
      <c r="X1" s="6">
        <v>2038</v>
      </c>
      <c r="Y1" s="6">
        <v>2039</v>
      </c>
      <c r="Z1" s="6">
        <v>2040</v>
      </c>
    </row>
    <row r="2" spans="1:26" s="1" customFormat="1" x14ac:dyDescent="0.2">
      <c r="A2" s="5" t="s">
        <v>11</v>
      </c>
      <c r="B2" s="12">
        <v>18312.8</v>
      </c>
      <c r="C2" s="12">
        <v>19973.8</v>
      </c>
      <c r="D2" s="12">
        <v>21493.3</v>
      </c>
      <c r="E2" s="12">
        <v>22319.5</v>
      </c>
      <c r="F2" s="12">
        <v>24539.8</v>
      </c>
      <c r="G2" s="12">
        <v>28318.400000000001</v>
      </c>
      <c r="H2" s="12">
        <v>28541.4</v>
      </c>
      <c r="I2" s="12">
        <v>34124</v>
      </c>
      <c r="J2" s="12">
        <v>45043</v>
      </c>
      <c r="K2" s="12">
        <v>65179</v>
      </c>
      <c r="L2" s="12">
        <f>SUM('Quarterly Model'!F2:I2)</f>
        <v>87654.0</v>
      </c>
      <c r="M2" s="12">
        <f>Pipeline!D30</f>
        <v>99646.55</v>
      </c>
      <c r="N2" s="12">
        <f>Pipeline!E30</f>
        <v>112516.4725</v>
      </c>
      <c r="O2" s="12">
        <f>Pipeline!F30</f>
        <v>124914.10359500002</v>
      </c>
      <c r="P2" s="12">
        <f>Pipeline!G30</f>
        <v>133158.00799575</v>
      </c>
      <c r="Q2" s="12">
        <f>Pipeline!H30</f>
        <v>141782.9901377565</v>
      </c>
      <c r="R2" s="12">
        <f>Pipeline!I30</f>
        <v>147294.05588649347</v>
      </c>
      <c r="S2" s="12">
        <f>Pipeline!J30</f>
        <v>151304.0865490714</v>
      </c>
      <c r="T2" s="12">
        <f>Pipeline!K30</f>
        <v>154744.62671170023</v>
      </c>
      <c r="U2" s="12">
        <f>Pipeline!L30</f>
        <v>156749.50443552475</v>
      </c>
      <c r="V2" s="12">
        <f>Pipeline!M30</f>
        <v>158496.53898942412</v>
      </c>
      <c r="W2" s="12">
        <f>Pipeline!N30</f>
        <v>138169.39503491568</v>
      </c>
      <c r="X2" s="12">
        <f>Pipeline!O30</f>
        <v>124803.88392272525</v>
      </c>
      <c r="Y2" s="12">
        <f>Pipeline!P30</f>
        <v>116305.19144800995</v>
      </c>
      <c r="Z2" s="12">
        <f>Pipeline!Q30</f>
        <v>111210.79123326743</v>
      </c>
    </row>
    <row r="3" spans="1:26" s="1" customFormat="1" x14ac:dyDescent="0.2">
      <c r="A3" s="5" t="s">
        <v>12</v>
      </c>
      <c r="B3" s="12">
        <v>4160.5</v>
      </c>
      <c r="C3" s="12">
        <v>4447.7</v>
      </c>
      <c r="D3" s="12">
        <v>4681.7</v>
      </c>
      <c r="E3" s="12">
        <v>4721.2</v>
      </c>
      <c r="F3" s="12">
        <v>5483.3</v>
      </c>
      <c r="G3" s="12">
        <v>7312.8</v>
      </c>
      <c r="H3" s="12">
        <v>6629.8</v>
      </c>
      <c r="I3" s="12">
        <v>7082</v>
      </c>
      <c r="J3" s="12">
        <v>8418</v>
      </c>
      <c r="K3" s="12">
        <v>11052</v>
      </c>
      <c r="L3" s="12">
        <f>SUM('Quarterly Model'!F3:I3)</f>
        <v>13801.400000000001</v>
      </c>
      <c r="M3" s="12">
        <f>M2*Assumptions!$B$21</f>
        <v>15943.448</v>
      </c>
      <c r="N3" s="12">
        <f>N2*Assumptions!$B$21</f>
        <v>18002.6356</v>
      </c>
      <c r="O3" s="12">
        <f>O2*Assumptions!$B$21</f>
        <v>19986.256575200005</v>
      </c>
      <c r="P3" s="12">
        <f>P2*Assumptions!$B$21</f>
        <v>21305.28127932</v>
      </c>
      <c r="Q3" s="12">
        <f>Q2*Assumptions!$B$21</f>
        <v>22685.278422041043</v>
      </c>
      <c r="R3" s="12">
        <f>R2*Assumptions!$B$21</f>
        <v>23567.048941838955</v>
      </c>
      <c r="S3" s="12">
        <f>S2*Assumptions!$B$21</f>
        <v>24208.653847851423</v>
      </c>
      <c r="T3" s="12">
        <f>T2*Assumptions!$B$21</f>
        <v>24759.140273872035</v>
      </c>
      <c r="U3" s="12">
        <f>U2*Assumptions!$B$21</f>
        <v>25079.92070968396</v>
      </c>
      <c r="V3" s="12">
        <f>V2*Assumptions!$B$21</f>
        <v>25359.44623830786</v>
      </c>
      <c r="W3" s="12">
        <f>W2*Assumptions!$B$21</f>
        <v>22107.10320558651</v>
      </c>
      <c r="X3" s="12">
        <f>X2*Assumptions!$B$21</f>
        <v>19968.62142763604</v>
      </c>
      <c r="Y3" s="12">
        <f>Y2*Assumptions!$B$21</f>
        <v>18608.830631681594</v>
      </c>
      <c r="Z3" s="12">
        <f>Z2*Assumptions!$B$21</f>
        <v>17793.726597322788</v>
      </c>
    </row>
    <row r="4" spans="1:26" s="1" customFormat="1" x14ac:dyDescent="0.2">
      <c r="A4" s="5" t="s">
        <v>13</v>
      </c>
      <c r="B4" s="12">
        <f t="shared" ref="B4:Z4" si="0">B2-B3</f>
        <v>14152.3</v>
      </c>
      <c r="C4" s="12">
        <f t="shared" si="0"/>
        <v>15526.099999999999</v>
      </c>
      <c r="D4" s="12">
        <f t="shared" si="0"/>
        <v>16811.6</v>
      </c>
      <c r="E4" s="12">
        <f t="shared" si="0"/>
        <v>17598.3</v>
      </c>
      <c r="F4" s="12">
        <f t="shared" si="0"/>
        <v>19056.5</v>
      </c>
      <c r="G4" s="12">
        <f t="shared" si="0"/>
        <v>21005.600000000002</v>
      </c>
      <c r="H4" s="12">
        <f t="shared" si="0"/>
        <v>21911.600000000002</v>
      </c>
      <c r="I4" s="12">
        <f t="shared" si="0"/>
        <v>27042.0</v>
      </c>
      <c r="J4" s="12">
        <f t="shared" si="0"/>
        <v>36625.0</v>
      </c>
      <c r="K4" s="12">
        <f t="shared" si="0"/>
        <v>54127.0</v>
      </c>
      <c r="L4" s="12">
        <f t="shared" si="0"/>
        <v>73852.6</v>
      </c>
      <c r="M4" s="12">
        <f t="shared" si="0"/>
        <v>83703.102</v>
      </c>
      <c r="N4" s="12">
        <f t="shared" si="0"/>
        <v>94513.8369</v>
      </c>
      <c r="O4" s="12">
        <f t="shared" si="0"/>
        <v>104927.84701980001</v>
      </c>
      <c r="P4" s="12">
        <f t="shared" si="0"/>
        <v>111852.72671643</v>
      </c>
      <c r="Q4" s="12">
        <f t="shared" si="0"/>
        <v>119097.71171571547</v>
      </c>
      <c r="R4" s="12">
        <f t="shared" si="0"/>
        <v>123727.00694465451</v>
      </c>
      <c r="S4" s="12">
        <f t="shared" si="0"/>
        <v>127095.43270121996</v>
      </c>
      <c r="T4" s="12">
        <f t="shared" si="0"/>
        <v>129985.48643782819</v>
      </c>
      <c r="U4" s="12">
        <f t="shared" si="0"/>
        <v>131669.58372584078</v>
      </c>
      <c r="V4" s="12">
        <f t="shared" si="0"/>
        <v>133137.09275111626</v>
      </c>
      <c r="W4" s="12">
        <f t="shared" si="0"/>
        <v>116062.29182932917</v>
      </c>
      <c r="X4" s="12">
        <f t="shared" si="0"/>
        <v>104835.2624950892</v>
      </c>
      <c r="Y4" s="12">
        <f t="shared" si="0"/>
        <v>97696.36081632835</v>
      </c>
      <c r="Z4" s="12">
        <f t="shared" si="0"/>
        <v>93417.06463594464</v>
      </c>
    </row>
    <row r="5" spans="1:26" x14ac:dyDescent="0.2">
      <c r="A5" s="2" t="s">
        <v>14</v>
      </c>
      <c r="B5" s="12">
        <f>5040+30</f>
        <v>5070.0</v>
      </c>
      <c r="C5" s="12">
        <f>5096.2+1112.6</f>
        <v>6208.799999999999</v>
      </c>
      <c r="D5" s="12">
        <f>5051.2+1983.9</f>
        <v>7035.1</v>
      </c>
      <c r="E5" s="12">
        <f>5595+239.6</f>
        <v>5834.6</v>
      </c>
      <c r="F5" s="12">
        <f>5976.3+769.8</f>
        <v>6746.1</v>
      </c>
      <c r="G5" s="12">
        <f>6930.7+970.1</f>
        <v>7900.8</v>
      </c>
      <c r="H5" s="12">
        <f>7190.8+908.5</f>
        <v>8099.3</v>
      </c>
      <c r="I5" s="12">
        <f>9313+3800</f>
        <v>13113.0</v>
      </c>
      <c r="J5" s="12">
        <f>10991+3280</f>
        <v>14271.0</v>
      </c>
      <c r="K5" s="12">
        <f>13337+2910</f>
        <v>16247.0</v>
      </c>
      <c r="L5" s="12">
        <f>SUM('Quarterly Model'!F5:I5)</f>
        <v>19689.0</v>
      </c>
      <c r="M5" s="12">
        <f>M2*Assumptions!$B$22+M20</f>
        <v>19939.913500000002</v>
      </c>
      <c r="N5" s="12">
        <f>N2*Assumptions!$B$22+N20</f>
        <v>22187.800325</v>
      </c>
      <c r="O5" s="12">
        <f>O2*Assumptions!$B$22+O20</f>
        <v>24356.597611150006</v>
      </c>
      <c r="P5" s="12">
        <f>P2*Assumptions!$B$22+P20</f>
        <v>25820.4853592775</v>
      </c>
      <c r="Q5" s="12">
        <f>Q2*Assumptions!$B$22+Q20</f>
        <v>27350.40480341861</v>
      </c>
      <c r="R5" s="12">
        <f>R2*Assumptions!$B$22+R20</f>
        <v>28352.23191030389</v>
      </c>
      <c r="S5" s="12">
        <f>S2*Assumptions!$B$22+S20</f>
        <v>29100.181971134138</v>
      </c>
      <c r="T5" s="12">
        <f>T2*Assumptions!$B$22+T20</f>
        <v>29752.64354393688</v>
      </c>
      <c r="U5" s="12">
        <f>U2*Assumptions!$B$22+U20</f>
        <v>30162.393897046004</v>
      </c>
      <c r="V5" s="12">
        <f>V2*Assumptions!$B$22+V20</f>
        <v>30529.689334069037</v>
      </c>
      <c r="W5" s="12">
        <f>W2*Assumptions!$B$22+W20</f>
        <v>27145.780415919937</v>
      </c>
      <c r="X5" s="12">
        <f>X2*Assumptions!$B$22+X20</f>
        <v>24946.783192047253</v>
      </c>
      <c r="Y5" s="12">
        <f>Y2*Assumptions!$B$22+Y20</f>
        <v>23576.60792984933</v>
      </c>
      <c r="Z5" s="12">
        <f>Z2*Assumptions!$B$22+Z20</f>
        <v>22786.654401016855</v>
      </c>
    </row>
    <row r="6" spans="1:26" x14ac:dyDescent="0.2">
      <c r="A6" s="2" t="s">
        <v>15</v>
      </c>
      <c r="B6" s="12">
        <f>5841.9+72.9</f>
        <v>5914.799999999999</v>
      </c>
      <c r="C6" s="12">
        <f>5982.4+1331.6</f>
        <v>7314.0</v>
      </c>
      <c r="D6" s="12">
        <f>5975.1+266.9</f>
        <v>6242.0</v>
      </c>
      <c r="E6" s="12">
        <f>6213.8+575.6</f>
        <v>6789.400000000001</v>
      </c>
      <c r="F6" s="12">
        <f>6121.2+131.2</f>
        <v>6252.4</v>
      </c>
      <c r="G6" s="12">
        <f>6431.6+316.1</f>
        <v>6747.700000000001</v>
      </c>
      <c r="H6" s="12">
        <f>6440.4+244.6</f>
        <v>6685.0</v>
      </c>
      <c r="I6" s="12">
        <f>7404+68</f>
        <v>7472.0</v>
      </c>
      <c r="J6" s="12">
        <f>8594+861</f>
        <v>9455.0</v>
      </c>
      <c r="K6" s="12">
        <f>11094+484</f>
        <v>11578.0</v>
      </c>
      <c r="L6" s="12">
        <f>SUM('Quarterly Model'!F6:I6)</f>
        <v>14546.0</v>
      </c>
      <c r="M6" s="12">
        <f>M2*Assumptions!$B$23+M21</f>
        <v>14448.749749999999</v>
      </c>
      <c r="N6" s="12">
        <f>N2*Assumptions!$B$23+N21</f>
        <v>16314.8885125</v>
      </c>
      <c r="O6" s="12">
        <f>O2*Assumptions!$B$23+O21</f>
        <v>18112.545021275</v>
      </c>
      <c r="P6" s="12">
        <f>P2*Assumptions!$B$23+P21</f>
        <v>19307.911159383748</v>
      </c>
      <c r="Q6" s="12">
        <f>Q2*Assumptions!$B$23+Q21</f>
        <v>20558.533569974694</v>
      </c>
      <c r="R6" s="12">
        <f>R2*Assumptions!$B$23+R21</f>
        <v>21357.63810354155</v>
      </c>
      <c r="S6" s="12">
        <f>S2*Assumptions!$B$23+S21</f>
        <v>21939.09254961535</v>
      </c>
      <c r="T6" s="12">
        <f>T2*Assumptions!$B$23+T21</f>
        <v>22437.970873196533</v>
      </c>
      <c r="U6" s="12">
        <f>U2*Assumptions!$B$23+U21</f>
        <v>22728.678143151086</v>
      </c>
      <c r="V6" s="12">
        <f>V2*Assumptions!$B$23+V21</f>
        <v>22981.998153466495</v>
      </c>
      <c r="W6" s="12">
        <f>W2*Assumptions!$B$23+W21</f>
        <v>20034.56228006277</v>
      </c>
      <c r="X6" s="12">
        <f>X2*Assumptions!$B$23+X21</f>
        <v>18096.56316879516</v>
      </c>
      <c r="Y6" s="12">
        <f>Y2*Assumptions!$B$23+Y21</f>
        <v>16864.25275996144</v>
      </c>
      <c r="Z6" s="12">
        <f>Z2*Assumptions!$B$23+Z21</f>
        <v>16125.564728823776</v>
      </c>
    </row>
    <row r="7" spans="1:26" x14ac:dyDescent="0.2">
      <c r="A7" s="2" t="s">
        <v>16</v>
      </c>
      <c r="B7" s="12">
        <f t="shared" ref="B7:Z7" si="1">SUM(B5:B6)</f>
        <v>10984.8</v>
      </c>
      <c r="C7" s="12">
        <f t="shared" si="1"/>
        <v>13522.8</v>
      </c>
      <c r="D7" s="12">
        <f t="shared" si="1"/>
        <v>13277.1</v>
      </c>
      <c r="E7" s="12">
        <f t="shared" si="1"/>
        <v>12624.0</v>
      </c>
      <c r="F7" s="12">
        <f t="shared" si="1"/>
        <v>12998.5</v>
      </c>
      <c r="G7" s="12">
        <f t="shared" si="1"/>
        <v>14648.5</v>
      </c>
      <c r="H7" s="12">
        <f t="shared" si="1"/>
        <v>14784.3</v>
      </c>
      <c r="I7" s="12">
        <f t="shared" si="1"/>
        <v>20585.0</v>
      </c>
      <c r="J7" s="12">
        <f t="shared" si="1"/>
        <v>23726.0</v>
      </c>
      <c r="K7" s="12">
        <f t="shared" si="1"/>
        <v>27825.0</v>
      </c>
      <c r="L7" s="12">
        <f t="shared" si="1"/>
        <v>34235.0</v>
      </c>
      <c r="M7" s="12">
        <f t="shared" si="1"/>
        <v>34388.66325</v>
      </c>
      <c r="N7" s="12">
        <f t="shared" si="1"/>
        <v>38502.6888375</v>
      </c>
      <c r="O7" s="12">
        <f t="shared" si="1"/>
        <v>42469.142632425006</v>
      </c>
      <c r="P7" s="12">
        <f t="shared" si="1"/>
        <v>45128.39651866125</v>
      </c>
      <c r="Q7" s="12">
        <f t="shared" si="1"/>
        <v>47908.93837339331</v>
      </c>
      <c r="R7" s="12">
        <f t="shared" si="1"/>
        <v>49709.870013845444</v>
      </c>
      <c r="S7" s="12">
        <f t="shared" si="1"/>
        <v>51039.27452074949</v>
      </c>
      <c r="T7" s="12">
        <f t="shared" si="1"/>
        <v>52190.614417133416</v>
      </c>
      <c r="U7" s="12">
        <f t="shared" si="1"/>
        <v>52891.07204019709</v>
      </c>
      <c r="V7" s="12">
        <f t="shared" si="1"/>
        <v>53511.68748753553</v>
      </c>
      <c r="W7" s="12">
        <f t="shared" si="1"/>
        <v>47180.342695982705</v>
      </c>
      <c r="X7" s="12">
        <f t="shared" si="1"/>
        <v>43043.34636084241</v>
      </c>
      <c r="Y7" s="12">
        <f t="shared" si="1"/>
        <v>40440.86068981077</v>
      </c>
      <c r="Z7" s="12">
        <f t="shared" si="1"/>
        <v>38912.21912984063</v>
      </c>
    </row>
    <row r="8" spans="1:26" x14ac:dyDescent="0.2">
      <c r="A8" s="2" t="s">
        <v>17</v>
      </c>
      <c r="B8" s="12">
        <f t="shared" ref="B8:Z8" si="2">B4-B7</f>
        <v>3167.5</v>
      </c>
      <c r="C8" s="12">
        <f t="shared" si="2"/>
        <v>2003.2999999999993</v>
      </c>
      <c r="D8" s="12">
        <f t="shared" si="2"/>
        <v>3534.499999999998</v>
      </c>
      <c r="E8" s="12">
        <f t="shared" si="2"/>
        <v>4974.299999999999</v>
      </c>
      <c r="F8" s="12">
        <f t="shared" si="2"/>
        <v>6058.0</v>
      </c>
      <c r="G8" s="12">
        <f t="shared" si="2"/>
        <v>6357.100000000002</v>
      </c>
      <c r="H8" s="12">
        <f t="shared" si="2"/>
        <v>7127.300000000003</v>
      </c>
      <c r="I8" s="12">
        <f t="shared" si="2"/>
        <v>6457.0</v>
      </c>
      <c r="J8" s="12">
        <f t="shared" si="2"/>
        <v>12899.0</v>
      </c>
      <c r="K8" s="12">
        <f t="shared" si="2"/>
        <v>26302.0</v>
      </c>
      <c r="L8" s="12">
        <f t="shared" si="2"/>
        <v>39617.600000000006</v>
      </c>
      <c r="M8" s="12">
        <f t="shared" si="2"/>
        <v>49314.43875</v>
      </c>
      <c r="N8" s="12">
        <f t="shared" si="2"/>
        <v>56011.1480625</v>
      </c>
      <c r="O8" s="12">
        <f t="shared" si="2"/>
        <v>62458.70438737501</v>
      </c>
      <c r="P8" s="12">
        <f t="shared" si="2"/>
        <v>66724.33019776875</v>
      </c>
      <c r="Q8" s="12">
        <f t="shared" si="2"/>
        <v>71188.77334232217</v>
      </c>
      <c r="R8" s="12">
        <f t="shared" si="2"/>
        <v>74017.13693080907</v>
      </c>
      <c r="S8" s="12">
        <f t="shared" si="2"/>
        <v>76056.15818047048</v>
      </c>
      <c r="T8" s="12">
        <f t="shared" si="2"/>
        <v>77794.87202069478</v>
      </c>
      <c r="U8" s="12">
        <f t="shared" si="2"/>
        <v>78778.5116856437</v>
      </c>
      <c r="V8" s="12">
        <f t="shared" si="2"/>
        <v>79625.40526358073</v>
      </c>
      <c r="W8" s="12">
        <f t="shared" si="2"/>
        <v>68881.94913334647</v>
      </c>
      <c r="X8" s="12">
        <f t="shared" si="2"/>
        <v>61791.91613424679</v>
      </c>
      <c r="Y8" s="12">
        <f t="shared" si="2"/>
        <v>57255.50012651758</v>
      </c>
      <c r="Z8" s="12">
        <f t="shared" si="2"/>
        <v>54504.84550610401</v>
      </c>
    </row>
    <row r="9" spans="1:26" x14ac:dyDescent="0.2">
      <c r="A9" s="2" t="s">
        <v>18</v>
      </c>
      <c r="B9" s="12">
        <v>108.8</v>
      </c>
      <c r="C9" s="12">
        <v>301.5</v>
      </c>
      <c r="D9" s="12">
        <v>145.6</v>
      </c>
      <c r="E9" s="12">
        <v>291.60000000000002</v>
      </c>
      <c r="F9" s="12">
        <v>1171.9000000000001</v>
      </c>
      <c r="G9" s="12">
        <v>-201.6</v>
      </c>
      <c r="H9" s="12">
        <v>-320.89999999999998</v>
      </c>
      <c r="I9" s="12">
        <v>97</v>
      </c>
      <c r="J9" s="12">
        <v>-219</v>
      </c>
      <c r="K9" s="12">
        <v>-571</v>
      </c>
      <c r="L9" s="12">
        <f>SUM('Quarterly Model'!F9:I9)</f>
        <v>-296.0</v>
      </c>
      <c r="M9" s="12">
        <f>Assumptions!$B$26</f>
        <v>-1000</v>
      </c>
      <c r="N9" s="12">
        <f>Assumptions!$B$26</f>
        <v>-1000</v>
      </c>
      <c r="O9" s="12">
        <f>Assumptions!$B$26</f>
        <v>-1000</v>
      </c>
      <c r="P9" s="12">
        <f>Assumptions!$B$26</f>
        <v>-1000</v>
      </c>
      <c r="Q9" s="12">
        <f>Assumptions!$B$26</f>
        <v>-1000</v>
      </c>
      <c r="R9" s="12">
        <f>Assumptions!$B$26</f>
        <v>-1000</v>
      </c>
      <c r="S9" s="12">
        <f>Assumptions!$B$26</f>
        <v>-1000</v>
      </c>
      <c r="T9" s="12">
        <f>Assumptions!$B$26</f>
        <v>-1000</v>
      </c>
      <c r="U9" s="12">
        <f>Assumptions!$B$26</f>
        <v>-1000</v>
      </c>
      <c r="V9" s="12">
        <f>Assumptions!$B$26</f>
        <v>-1000</v>
      </c>
      <c r="W9" s="12">
        <f>Assumptions!$B$26</f>
        <v>-1000</v>
      </c>
      <c r="X9" s="12">
        <f>Assumptions!$B$26</f>
        <v>-1000</v>
      </c>
      <c r="Y9" s="12">
        <f>Assumptions!$B$26</f>
        <v>-1000</v>
      </c>
      <c r="Z9" s="12">
        <f>Assumptions!$B$26</f>
        <v>-1000</v>
      </c>
    </row>
    <row r="10" spans="1:26" x14ac:dyDescent="0.2">
      <c r="A10" s="2" t="s">
        <v>19</v>
      </c>
      <c r="B10" s="12">
        <f t="shared" ref="B10:Z10" si="3">B8+B9</f>
        <v>3276.3</v>
      </c>
      <c r="C10" s="12">
        <f t="shared" si="3"/>
        <v>2304.7999999999993</v>
      </c>
      <c r="D10" s="12">
        <f t="shared" si="3"/>
        <v>3680.099999999998</v>
      </c>
      <c r="E10" s="12">
        <f t="shared" si="3"/>
        <v>5265.9</v>
      </c>
      <c r="F10" s="12">
        <f t="shared" si="3"/>
        <v>7229.9</v>
      </c>
      <c r="G10" s="12">
        <f t="shared" si="3"/>
        <v>6155.500000000002</v>
      </c>
      <c r="H10" s="12">
        <f t="shared" si="3"/>
        <v>6806.400000000003</v>
      </c>
      <c r="I10" s="12">
        <f t="shared" si="3"/>
        <v>6554.0</v>
      </c>
      <c r="J10" s="12">
        <f t="shared" si="3"/>
        <v>12680.0</v>
      </c>
      <c r="K10" s="12">
        <f t="shared" si="3"/>
        <v>25731.0</v>
      </c>
      <c r="L10" s="12">
        <f t="shared" si="3"/>
        <v>39321.600000000006</v>
      </c>
      <c r="M10" s="12">
        <f t="shared" si="3"/>
        <v>48314.43875</v>
      </c>
      <c r="N10" s="12">
        <f t="shared" si="3"/>
        <v>55011.1480625</v>
      </c>
      <c r="O10" s="12">
        <f t="shared" si="3"/>
        <v>61458.70438737501</v>
      </c>
      <c r="P10" s="12">
        <f t="shared" si="3"/>
        <v>65724.33019776875</v>
      </c>
      <c r="Q10" s="12">
        <f t="shared" si="3"/>
        <v>70188.77334232217</v>
      </c>
      <c r="R10" s="12">
        <f t="shared" si="3"/>
        <v>73017.13693080907</v>
      </c>
      <c r="S10" s="12">
        <f t="shared" si="3"/>
        <v>75056.15818047048</v>
      </c>
      <c r="T10" s="12">
        <f t="shared" si="3"/>
        <v>76794.87202069478</v>
      </c>
      <c r="U10" s="12">
        <f t="shared" si="3"/>
        <v>77778.5116856437</v>
      </c>
      <c r="V10" s="12">
        <f t="shared" si="3"/>
        <v>78625.40526358073</v>
      </c>
      <c r="W10" s="12">
        <f t="shared" si="3"/>
        <v>67881.94913334647</v>
      </c>
      <c r="X10" s="12">
        <f t="shared" si="3"/>
        <v>60791.91613424679</v>
      </c>
      <c r="Y10" s="12">
        <f t="shared" si="3"/>
        <v>56255.50012651758</v>
      </c>
      <c r="Z10" s="12">
        <f t="shared" si="3"/>
        <v>53504.84550610401</v>
      </c>
    </row>
    <row r="11" spans="1:26" x14ac:dyDescent="0.2">
      <c r="A11" s="2" t="s">
        <v>20</v>
      </c>
      <c r="B11" s="12">
        <v>551.4</v>
      </c>
      <c r="C11" s="12">
        <v>2391.1999999999998</v>
      </c>
      <c r="D11" s="12">
        <v>529.5</v>
      </c>
      <c r="E11" s="12">
        <v>628</v>
      </c>
      <c r="F11" s="12">
        <v>1036.2</v>
      </c>
      <c r="G11" s="12">
        <v>573.79999999999995</v>
      </c>
      <c r="H11" s="12">
        <v>561.6</v>
      </c>
      <c r="I11" s="12">
        <v>1314</v>
      </c>
      <c r="J11" s="12">
        <v>2090</v>
      </c>
      <c r="K11" s="12">
        <v>5091</v>
      </c>
      <c r="L11" s="12">
        <f>SUM('Quarterly Model'!F11:I11)</f>
        <v>7532.366</v>
      </c>
      <c r="M11" s="12">
        <f>M10*Assumptions!$B$16</f>
        <v>9179.7433625</v>
      </c>
      <c r="N11" s="12">
        <f>N10*Assumptions!$B$16</f>
        <v>10452.118131874999</v>
      </c>
      <c r="O11" s="12">
        <f>O10*Assumptions!$B$16</f>
        <v>11677.15383360125</v>
      </c>
      <c r="P11" s="12">
        <f>P10*Assumptions!$B$16</f>
        <v>12487.622737576063</v>
      </c>
      <c r="Q11" s="12">
        <f>Q10*Assumptions!$B$16</f>
        <v>13335.866935041211</v>
      </c>
      <c r="R11" s="12">
        <f>R10*Assumptions!$B$16</f>
        <v>13873.256016853722</v>
      </c>
      <c r="S11" s="12">
        <f>S10*Assumptions!$B$16</f>
        <v>14260.67005428939</v>
      </c>
      <c r="T11" s="12">
        <f>T10*Assumptions!$B$16</f>
        <v>14591.025683932008</v>
      </c>
      <c r="U11" s="12">
        <f>U10*Assumptions!$B$16</f>
        <v>14777.917220272302</v>
      </c>
      <c r="V11" s="12">
        <f>V10*Assumptions!$B$16</f>
        <v>14938.827000080339</v>
      </c>
      <c r="W11" s="12">
        <f>W10*Assumptions!$B$16</f>
        <v>12897.57033533583</v>
      </c>
      <c r="X11" s="12">
        <f>X10*Assumptions!$B$16</f>
        <v>11550.46406550689</v>
      </c>
      <c r="Y11" s="12">
        <f>Y10*Assumptions!$B$16</f>
        <v>10688.54502403834</v>
      </c>
      <c r="Z11" s="12">
        <f>Z10*Assumptions!$B$16</f>
        <v>10165.920646159762</v>
      </c>
    </row>
    <row r="12" spans="1:26" x14ac:dyDescent="0.2">
      <c r="A12" s="2" t="s">
        <v>21</v>
      </c>
      <c r="B12" s="12">
        <f t="shared" ref="B12:Z12" si="4">B10-B11</f>
        <v>2724.9</v>
      </c>
      <c r="C12" s="12">
        <f t="shared" si="4"/>
        <v>-86.40000000000055</v>
      </c>
      <c r="D12" s="12">
        <f t="shared" si="4"/>
        <v>3150.599999999998</v>
      </c>
      <c r="E12" s="12">
        <f t="shared" si="4"/>
        <v>4637.9</v>
      </c>
      <c r="F12" s="12">
        <f t="shared" si="4"/>
        <v>6193.7</v>
      </c>
      <c r="G12" s="12">
        <f t="shared" si="4"/>
        <v>5581.700000000002</v>
      </c>
      <c r="H12" s="12">
        <f t="shared" si="4"/>
        <v>6244.800000000003</v>
      </c>
      <c r="I12" s="12">
        <f t="shared" si="4"/>
        <v>5240.0</v>
      </c>
      <c r="J12" s="12">
        <f t="shared" si="4"/>
        <v>10590.0</v>
      </c>
      <c r="K12" s="12">
        <f t="shared" si="4"/>
        <v>20640.0</v>
      </c>
      <c r="L12" s="12">
        <f t="shared" si="4"/>
        <v>31789.234000000004</v>
      </c>
      <c r="M12" s="12">
        <f t="shared" si="4"/>
        <v>39134.6953875</v>
      </c>
      <c r="N12" s="12">
        <f t="shared" si="4"/>
        <v>44559.029930624994</v>
      </c>
      <c r="O12" s="12">
        <f t="shared" si="4"/>
        <v>49781.550553773755</v>
      </c>
      <c r="P12" s="12">
        <f t="shared" si="4"/>
        <v>53236.70746019269</v>
      </c>
      <c r="Q12" s="12">
        <f t="shared" si="4"/>
        <v>56852.906407280956</v>
      </c>
      <c r="R12" s="12">
        <f t="shared" si="4"/>
        <v>59143.88091395534</v>
      </c>
      <c r="S12" s="12">
        <f t="shared" si="4"/>
        <v>60795.48812618109</v>
      </c>
      <c r="T12" s="12">
        <f t="shared" si="4"/>
        <v>62203.84633676277</v>
      </c>
      <c r="U12" s="12">
        <f t="shared" si="4"/>
        <v>63000.594465371396</v>
      </c>
      <c r="V12" s="12">
        <f t="shared" si="4"/>
        <v>63686.57826350039</v>
      </c>
      <c r="W12" s="12">
        <f t="shared" si="4"/>
        <v>54984.37879801064</v>
      </c>
      <c r="X12" s="12">
        <f t="shared" si="4"/>
        <v>49241.452068739905</v>
      </c>
      <c r="Y12" s="12">
        <f t="shared" si="4"/>
        <v>45566.955102479245</v>
      </c>
      <c r="Z12" s="12">
        <f t="shared" si="4"/>
        <v>43338.92485994424</v>
      </c>
    </row>
    <row r="13" spans="1:26" x14ac:dyDescent="0.2">
      <c r="A13" s="2" t="s">
        <v>22</v>
      </c>
      <c r="B13" s="8">
        <f t="shared" ref="B13:Z13" si="5">B12/B14</f>
        <v>2.566229999152407</v>
      </c>
      <c r="C13" s="8">
        <f t="shared" si="5"/>
        <v>-0.08212771620311453</v>
      </c>
      <c r="D13" s="8">
        <f t="shared" si="5"/>
        <v>3.0479746921164375</v>
      </c>
      <c r="E13" s="8">
        <f t="shared" si="5"/>
        <v>4.95671597127223</v>
      </c>
      <c r="F13" s="8">
        <f t="shared" si="5"/>
        <v>6.787616438356165</v>
      </c>
      <c r="G13" s="8">
        <f t="shared" si="5"/>
        <v>6.122433309933312</v>
      </c>
      <c r="H13" s="8">
        <f t="shared" si="5"/>
        <v>6.903230085560791</v>
      </c>
      <c r="I13" s="8">
        <f t="shared" si="5"/>
        <v>5.800952064651833</v>
      </c>
      <c r="J13" s="8">
        <f t="shared" si="5"/>
        <v>11.713306050215683</v>
      </c>
      <c r="K13" s="8">
        <f t="shared" si="5"/>
        <v>22.951184254420106</v>
      </c>
      <c r="L13" s="8">
        <f t="shared" si="5"/>
        <v>35.59724979703816</v>
      </c>
      <c r="M13" s="8">
        <f t="shared" si="5"/>
        <v>44.04283435317176</v>
      </c>
      <c r="N13" s="8">
        <f t="shared" si="5"/>
        <v>50.399467626078064</v>
      </c>
      <c r="O13" s="8">
        <f t="shared" si="5"/>
        <v>56.589461371845694</v>
      </c>
      <c r="P13" s="8">
        <f t="shared" si="5"/>
        <v>60.82123686567568</v>
      </c>
      <c r="Q13" s="8">
        <f t="shared" si="5"/>
        <v>65.27902371010863</v>
      </c>
      <c r="R13" s="8">
        <f t="shared" si="5"/>
        <v>68.25079543193897</v>
      </c>
      <c r="S13" s="8">
        <f t="shared" si="5"/>
        <v>70.50926174852702</v>
      </c>
      <c r="T13" s="8">
        <f t="shared" si="5"/>
        <v>72.5051702861778</v>
      </c>
      <c r="U13" s="8">
        <f t="shared" si="5"/>
        <v>73.80287900061593</v>
      </c>
      <c r="V13" s="8">
        <f t="shared" si="5"/>
        <v>74.98139074058041</v>
      </c>
      <c r="W13" s="8">
        <f t="shared" si="5"/>
        <v>65.06116230902877</v>
      </c>
      <c r="X13" s="8">
        <f t="shared" si="5"/>
        <v>58.558543379382506</v>
      </c>
      <c r="Y13" s="8">
        <f t="shared" si="5"/>
        <v>54.46109163184831</v>
      </c>
      <c r="Z13" s="8">
        <f t="shared" si="5"/>
        <v>52.058468294087284</v>
      </c>
    </row>
    <row r="14" spans="1:26" x14ac:dyDescent="0.2">
      <c r="A14" s="2" t="s">
        <v>2</v>
      </c>
      <c r="B14" s="13">
        <v>1061.83</v>
      </c>
      <c r="C14" s="13">
        <v>1052.02</v>
      </c>
      <c r="D14" s="13">
        <v>1033.67</v>
      </c>
      <c r="E14" s="13">
        <v>935.68</v>
      </c>
      <c r="F14" s="13">
        <v>912.5</v>
      </c>
      <c r="G14" s="13">
        <v>911.68</v>
      </c>
      <c r="H14" s="13">
        <v>904.62</v>
      </c>
      <c r="I14" s="13">
        <v>903.3</v>
      </c>
      <c r="J14" s="13">
        <v>904.1</v>
      </c>
      <c r="K14" s="13">
        <v>899.3</v>
      </c>
      <c r="L14" s="13">
        <f>AVERAGE('Quarterly Model'!F14:I14)</f>
        <v>893.025</v>
      </c>
      <c r="M14" s="13">
        <f>L14*(1+Assumptions!$B$27)</f>
        <v>888.5598749999999</v>
      </c>
      <c r="N14" s="13">
        <f>M14*(1+Assumptions!$B$27)</f>
        <v>884.1170756249999</v>
      </c>
      <c r="O14" s="13">
        <f>N14*(1+Assumptions!$B$27)</f>
        <v>879.6964902468749</v>
      </c>
      <c r="P14" s="13">
        <f>O14*(1+Assumptions!$B$27)</f>
        <v>875.2980077956405</v>
      </c>
      <c r="Q14" s="13">
        <f>P14*(1+Assumptions!$B$27)</f>
        <v>870.9215177566623</v>
      </c>
      <c r="R14" s="13">
        <f>Q14*(1+Assumptions!$B$27)</f>
        <v>866.566910167879</v>
      </c>
      <c r="S14" s="13">
        <f>R14*(1+Assumptions!$B$27)</f>
        <v>862.2340756170396</v>
      </c>
      <c r="T14" s="13">
        <f>S14*(1+Assumptions!$B$27)</f>
        <v>857.9229052389544</v>
      </c>
      <c r="U14" s="13">
        <f>T14*(1+Assumptions!$B$27)</f>
        <v>853.6332907127596</v>
      </c>
      <c r="V14" s="13">
        <f>U14*(1+Assumptions!$B$27)</f>
        <v>849.3651242591958</v>
      </c>
      <c r="W14" s="13">
        <f>V14*(1+Assumptions!$B$27)</f>
        <v>845.1182986378998</v>
      </c>
      <c r="X14" s="13">
        <f>W14*(1+Assumptions!$B$27)</f>
        <v>840.8927071447102</v>
      </c>
      <c r="Y14" s="13">
        <f>X14*(1+Assumptions!$B$27)</f>
        <v>836.6882436089867</v>
      </c>
      <c r="Z14" s="13">
        <f>Y14*(1+Assumptions!$B$27)</f>
        <v>832.5048023909418</v>
      </c>
    </row>
    <row r="16" spans="1:26" s="4" customFormat="1" x14ac:dyDescent="0.2">
      <c r="A16" s="3" t="s">
        <v>23</v>
      </c>
      <c r="C16" s="14">
        <f t="shared" ref="C16:Z16" si="6">C2/B2-1</f>
        <v>0.09070158577606913</v>
      </c>
      <c r="D16" s="14">
        <f t="shared" si="6"/>
        <v>0.07607465780172018</v>
      </c>
      <c r="E16" s="14">
        <f t="shared" si="6"/>
        <v>0.038439885917937344</v>
      </c>
      <c r="F16" s="14">
        <f t="shared" si="6"/>
        <v>0.09947803490221552</v>
      </c>
      <c r="G16" s="14">
        <f t="shared" si="6"/>
        <v>0.15397843503207054</v>
      </c>
      <c r="H16" s="14">
        <f t="shared" si="6"/>
        <v>0.007874738685801352</v>
      </c>
      <c r="I16" s="14">
        <f t="shared" si="6"/>
        <v>0.19559657199716907</v>
      </c>
      <c r="J16" s="14">
        <f t="shared" si="6"/>
        <v>0.3199800726761224</v>
      </c>
      <c r="K16" s="14">
        <f t="shared" si="6"/>
        <v>0.44703949559309986</v>
      </c>
      <c r="L16" s="14">
        <f t="shared" si="6"/>
        <v>0.3448196505009282</v>
      </c>
      <c r="M16" s="14">
        <f t="shared" si="6"/>
        <v>0.13681691651265204</v>
      </c>
      <c r="N16" s="14">
        <f t="shared" si="6"/>
        <v>0.12915572591324032</v>
      </c>
      <c r="O16" s="14">
        <f t="shared" si="6"/>
        <v>0.11018503175168437</v>
      </c>
      <c r="P16" s="14">
        <f t="shared" si="6"/>
        <v>0.06599658616194848</v>
      </c>
      <c r="Q16" s="14">
        <f t="shared" si="6"/>
        <v>0.06477253806832106</v>
      </c>
      <c r="R16" s="14">
        <f t="shared" si="6"/>
        <v>0.038869724382187165</v>
      </c>
      <c r="S16" s="14">
        <f t="shared" si="6"/>
        <v>0.02722466048234895</v>
      </c>
      <c r="T16" s="14">
        <f t="shared" si="6"/>
        <v>0.02273924149109474</v>
      </c>
      <c r="U16" s="14">
        <f t="shared" si="6"/>
        <v>0.01295604097168268</v>
      </c>
      <c r="V16" s="14">
        <f t="shared" si="6"/>
        <v>0.01114539124184577</v>
      </c>
      <c r="W16" s="14">
        <f t="shared" si="6"/>
        <v>-0.12824976547825306</v>
      </c>
      <c r="X16" s="14">
        <f t="shared" si="6"/>
        <v>-0.09673279027394555</v>
      </c>
      <c r="Y16" s="14">
        <f t="shared" si="6"/>
        <v>-0.0680963781542041</v>
      </c>
      <c r="Z16" s="14">
        <f t="shared" si="6"/>
        <v>-0.04380200188243355</v>
      </c>
    </row>
    <row r="17" spans="1:26" s="4" customFormat="1" x14ac:dyDescent="0.2">
      <c r="A17" s="3" t="s">
        <v>13</v>
      </c>
      <c r="B17" s="14">
        <f t="shared" ref="B17:Z17" si="7">B4/B2</f>
        <v>0.7728091826482023</v>
      </c>
      <c r="C17" s="14">
        <f t="shared" si="7"/>
        <v>0.7773232935145039</v>
      </c>
      <c r="D17" s="14">
        <f t="shared" si="7"/>
        <v>0.7821786324110304</v>
      </c>
      <c r="E17" s="14">
        <f t="shared" si="7"/>
        <v>0.7884719639776876</v>
      </c>
      <c r="F17" s="14">
        <f t="shared" si="7"/>
        <v>0.7765548211476866</v>
      </c>
      <c r="G17" s="14">
        <f t="shared" si="7"/>
        <v>0.7417650714729647</v>
      </c>
      <c r="H17" s="14">
        <f t="shared" si="7"/>
        <v>0.7677128662223998</v>
      </c>
      <c r="I17" s="14">
        <f t="shared" si="7"/>
        <v>0.7924627827921698</v>
      </c>
      <c r="J17" s="14">
        <f t="shared" si="7"/>
        <v>0.8131119152809537</v>
      </c>
      <c r="K17" s="14">
        <f t="shared" si="7"/>
        <v>0.8304361834333144</v>
      </c>
      <c r="L17" s="14">
        <f t="shared" si="7"/>
        <v>0.8425468318616379</v>
      </c>
      <c r="M17" s="14">
        <f t="shared" si="7"/>
        <v>0.84</v>
      </c>
      <c r="N17" s="14">
        <f t="shared" si="7"/>
        <v>0.84</v>
      </c>
      <c r="O17" s="14">
        <f t="shared" si="7"/>
        <v>0.84</v>
      </c>
      <c r="P17" s="14">
        <f t="shared" si="7"/>
        <v>0.84</v>
      </c>
      <c r="Q17" s="14">
        <f t="shared" si="7"/>
        <v>0.84</v>
      </c>
      <c r="R17" s="14">
        <f t="shared" si="7"/>
        <v>0.84</v>
      </c>
      <c r="S17" s="14">
        <f t="shared" si="7"/>
        <v>0.84</v>
      </c>
      <c r="T17" s="14">
        <f t="shared" si="7"/>
        <v>0.84</v>
      </c>
      <c r="U17" s="14">
        <f t="shared" si="7"/>
        <v>0.84</v>
      </c>
      <c r="V17" s="14">
        <f t="shared" si="7"/>
        <v>0.84</v>
      </c>
      <c r="W17" s="14">
        <f t="shared" si="7"/>
        <v>0.84</v>
      </c>
      <c r="X17" s="14">
        <f t="shared" si="7"/>
        <v>0.84</v>
      </c>
      <c r="Y17" s="14">
        <f t="shared" si="7"/>
        <v>0.84</v>
      </c>
      <c r="Z17" s="14">
        <f t="shared" si="7"/>
        <v>0.84</v>
      </c>
    </row>
    <row r="19" spans="1:26" x14ac:dyDescent="0.2">
      <c r="A19" s="10" t="s">
        <v>24</v>
      </c>
      <c r="B19" s="15" t="s">
        <v>25</v>
      </c>
      <c r="C19" s="15" t="s">
        <v>25</v>
      </c>
      <c r="D19" s="15" t="s">
        <v>25</v>
      </c>
      <c r="E19" s="15" t="s">
        <v>25</v>
      </c>
      <c r="F19" s="15" t="s">
        <v>25</v>
      </c>
      <c r="G19" s="15" t="s">
        <v>25</v>
      </c>
      <c r="H19" s="15" t="s">
        <v>25</v>
      </c>
      <c r="I19" s="15" t="s">
        <v>25</v>
      </c>
      <c r="J19" s="15" t="s">
        <v>25</v>
      </c>
      <c r="K19" s="15" t="s">
        <v>25</v>
      </c>
      <c r="L19" s="15" t="s">
        <v>26</v>
      </c>
      <c r="M19" s="15" t="s">
        <v>27</v>
      </c>
      <c r="N19" s="15" t="s">
        <v>27</v>
      </c>
      <c r="O19" s="15" t="s">
        <v>27</v>
      </c>
      <c r="P19" s="15" t="s">
        <v>27</v>
      </c>
      <c r="Q19" s="15" t="s">
        <v>27</v>
      </c>
      <c r="R19" s="15" t="s">
        <v>27</v>
      </c>
      <c r="S19" s="15" t="s">
        <v>27</v>
      </c>
      <c r="T19" s="15" t="s">
        <v>27</v>
      </c>
      <c r="U19" s="15" t="s">
        <v>27</v>
      </c>
      <c r="V19" s="15" t="s">
        <v>27</v>
      </c>
      <c r="W19" s="15" t="s">
        <v>27</v>
      </c>
      <c r="X19" s="15" t="s">
        <v>27</v>
      </c>
      <c r="Y19" s="15" t="s">
        <v>27</v>
      </c>
      <c r="Z19" s="15" t="s">
        <v>27</v>
      </c>
    </row>
    <row r="20" spans="1:26" x14ac:dyDescent="0.2">
      <c r="A20" s="10" t="s">
        <v>28</v>
      </c>
      <c r="B20" s="12">
        <v>30</v>
      </c>
      <c r="C20" s="12">
        <v>1112.5999999999999</v>
      </c>
      <c r="D20" s="12">
        <v>1983.9</v>
      </c>
      <c r="E20" s="12">
        <v>239.6</v>
      </c>
      <c r="F20" s="12">
        <v>769.8</v>
      </c>
      <c r="G20" s="12">
        <v>970.1</v>
      </c>
      <c r="H20" s="12">
        <v>908.5</v>
      </c>
      <c r="I20" s="12">
        <v>3800</v>
      </c>
      <c r="J20" s="12">
        <v>3280</v>
      </c>
      <c r="K20" s="12">
        <v>2910</v>
      </c>
      <c r="L20" s="12">
        <f>SUM('Quarterly Model'!F20:I20)</f>
        <v>4360.0</v>
      </c>
      <c r="M20" s="12">
        <f>Assumptions!$B$24*(1+Assumptions!$B$25)^(M1-2027)</f>
        <v>3000.0</v>
      </c>
      <c r="N20" s="12">
        <f>Assumptions!$B$24*(1+Assumptions!$B$25)^(N1-2027)</f>
        <v>3060.0</v>
      </c>
      <c r="O20" s="12">
        <f>Assumptions!$B$24*(1+Assumptions!$B$25)^(O1-2027)</f>
        <v>3121.2</v>
      </c>
      <c r="P20" s="12">
        <f>Assumptions!$B$24*(1+Assumptions!$B$25)^(P1-2027)</f>
        <v>3183.6240000000003</v>
      </c>
      <c r="Q20" s="12">
        <f>Assumptions!$B$24*(1+Assumptions!$B$25)^(Q1-2027)</f>
        <v>3247.29648</v>
      </c>
      <c r="R20" s="12">
        <f>Assumptions!$B$24*(1+Assumptions!$B$25)^(R1-2027)</f>
        <v>3312.2424096</v>
      </c>
      <c r="S20" s="12">
        <f>Assumptions!$B$24*(1+Assumptions!$B$25)^(S1-2027)</f>
        <v>3378.487257792</v>
      </c>
      <c r="T20" s="12">
        <f>Assumptions!$B$24*(1+Assumptions!$B$25)^(T1-2027)</f>
        <v>3446.05700294784</v>
      </c>
      <c r="U20" s="12">
        <f>Assumptions!$B$24*(1+Assumptions!$B$25)^(U1-2027)</f>
        <v>3514.9781430067974</v>
      </c>
      <c r="V20" s="12">
        <f>Assumptions!$B$24*(1+Assumptions!$B$25)^(V1-2027)</f>
        <v>3585.277705866933</v>
      </c>
      <c r="W20" s="12">
        <f>Assumptions!$B$24*(1+Assumptions!$B$25)^(W1-2027)</f>
        <v>3656.983259984272</v>
      </c>
      <c r="X20" s="12">
        <f>Assumptions!$B$24*(1+Assumptions!$B$25)^(X1-2027)</f>
        <v>3730.1229251839572</v>
      </c>
      <c r="Y20" s="12">
        <f>Assumptions!$B$24*(1+Assumptions!$B$25)^(Y1-2027)</f>
        <v>3804.7253836876366</v>
      </c>
      <c r="Z20" s="12">
        <f>Assumptions!$B$24*(1+Assumptions!$B$25)^(Z1-2027)</f>
        <v>3880.8198913613896</v>
      </c>
    </row>
    <row r="21" spans="1:26" x14ac:dyDescent="0.2">
      <c r="A21" s="10" t="s">
        <v>29</v>
      </c>
      <c r="B21" s="12">
        <v>72.900000000000006</v>
      </c>
      <c r="C21" s="12">
        <v>1331.6</v>
      </c>
      <c r="D21" s="12">
        <v>266.89999999999998</v>
      </c>
      <c r="E21" s="12">
        <v>575.6</v>
      </c>
      <c r="F21" s="12">
        <v>131.19999999999999</v>
      </c>
      <c r="G21" s="12">
        <v>316.10000000000002</v>
      </c>
      <c r="H21" s="12">
        <v>244.6</v>
      </c>
      <c r="I21" s="12">
        <v>68</v>
      </c>
      <c r="J21" s="12">
        <v>861</v>
      </c>
      <c r="K21" s="12">
        <v>484</v>
      </c>
      <c r="L21" s="12">
        <f>SUM('Quarterly Model'!F21:I21)</f>
        <v>1182.0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</row>
    <row r="22" spans="1:26" x14ac:dyDescent="0.2">
      <c r="A22" s="10" t="s">
        <v>30</v>
      </c>
      <c r="B22" s="14">
        <f t="shared" ref="B22:Z22" si="8">B8/B2</f>
        <v>0.17296644969638722</v>
      </c>
      <c r="C22" s="14">
        <f t="shared" si="8"/>
        <v>0.10029638826863188</v>
      </c>
      <c r="D22" s="14">
        <f t="shared" si="8"/>
        <v>0.16444659498541397</v>
      </c>
      <c r="E22" s="14">
        <f t="shared" si="8"/>
        <v>0.2228678957861959</v>
      </c>
      <c r="F22" s="14">
        <f t="shared" si="8"/>
        <v>0.2468642776224745</v>
      </c>
      <c r="G22" s="14">
        <f t="shared" si="8"/>
        <v>0.224486552912594</v>
      </c>
      <c r="H22" s="14">
        <f t="shared" si="8"/>
        <v>0.24971795356920132</v>
      </c>
      <c r="I22" s="14">
        <f t="shared" si="8"/>
        <v>0.1892216621732505</v>
      </c>
      <c r="J22" s="14">
        <f t="shared" si="8"/>
        <v>0.286370801234376</v>
      </c>
      <c r="K22" s="14">
        <f t="shared" si="8"/>
        <v>0.40353488086653677</v>
      </c>
      <c r="L22" s="14">
        <f t="shared" si="8"/>
        <v>0.4519770917470966</v>
      </c>
      <c r="M22" s="14">
        <f t="shared" si="8"/>
        <v>0.49489358888993146</v>
      </c>
      <c r="N22" s="14">
        <f t="shared" si="8"/>
        <v>0.4978039821013763</v>
      </c>
      <c r="O22" s="14">
        <f t="shared" si="8"/>
        <v>0.5000132298101451</v>
      </c>
      <c r="P22" s="14">
        <f t="shared" si="8"/>
        <v>0.5010913816005598</v>
      </c>
      <c r="Q22" s="14">
        <f t="shared" si="8"/>
        <v>0.5020967132457502</v>
      </c>
      <c r="R22" s="14">
        <f t="shared" si="8"/>
        <v>0.502512721815791</v>
      </c>
      <c r="S22" s="14">
        <f t="shared" si="8"/>
        <v>0.5026708789904608</v>
      </c>
      <c r="T22" s="14">
        <f t="shared" si="8"/>
        <v>0.5027306839263112</v>
      </c>
      <c r="U22" s="14">
        <f t="shared" si="8"/>
        <v>0.5025758261203779</v>
      </c>
      <c r="V22" s="14">
        <f t="shared" si="8"/>
        <v>0.5023794574397226</v>
      </c>
      <c r="W22" s="14">
        <f t="shared" si="8"/>
        <v>0.4985326100323437</v>
      </c>
      <c r="X22" s="14">
        <f t="shared" si="8"/>
        <v>0.49511212465556326</v>
      </c>
      <c r="Y22" s="14">
        <f t="shared" si="8"/>
        <v>0.49228671062470664</v>
      </c>
      <c r="Z22" s="14">
        <f t="shared" si="8"/>
        <v>0.49010392698113914</v>
      </c>
    </row>
    <row r="23" spans="1:26" x14ac:dyDescent="0.2">
      <c r="A23" s="10" t="s">
        <v>31</v>
      </c>
      <c r="B23" s="12">
        <v>1496.6</v>
      </c>
      <c r="C23" s="12">
        <v>1567.3</v>
      </c>
      <c r="D23" s="12">
        <v>1609</v>
      </c>
      <c r="E23" s="12">
        <v>1232.5999999999999</v>
      </c>
      <c r="F23" s="12">
        <v>1323.9</v>
      </c>
      <c r="G23" s="12">
        <v>1547.6</v>
      </c>
      <c r="H23" s="12">
        <v>1522.5</v>
      </c>
      <c r="I23" s="12">
        <v>1527</v>
      </c>
      <c r="J23" s="12">
        <v>1767</v>
      </c>
      <c r="K23" s="12">
        <v>1997</v>
      </c>
      <c r="L23" s="12">
        <f>1043+Assumptions!$B$37</f>
        <v>2143.0</v>
      </c>
      <c r="M23" s="12">
        <f>M2*Assumptions!$B$28</f>
        <v>2989.3965</v>
      </c>
      <c r="N23" s="12">
        <f>N2*Assumptions!$B$28</f>
        <v>3375.494175</v>
      </c>
      <c r="O23" s="12">
        <f>O2*Assumptions!$B$28</f>
        <v>3747.4231078500006</v>
      </c>
      <c r="P23" s="12">
        <f>P2*Assumptions!$B$28</f>
        <v>3994.7402398725</v>
      </c>
      <c r="Q23" s="12">
        <f>Q2*Assumptions!$B$28</f>
        <v>4253.489704132695</v>
      </c>
      <c r="R23" s="12">
        <f>R2*Assumptions!$B$28</f>
        <v>4418.821676594804</v>
      </c>
      <c r="S23" s="12">
        <f>S2*Assumptions!$B$28</f>
        <v>4539.122596472142</v>
      </c>
      <c r="T23" s="12">
        <f>T2*Assumptions!$B$28</f>
        <v>4642.338801351007</v>
      </c>
      <c r="U23" s="12">
        <f>U2*Assumptions!$B$28</f>
        <v>4702.485133065742</v>
      </c>
      <c r="V23" s="12">
        <f>V2*Assumptions!$B$28</f>
        <v>4754.896169682724</v>
      </c>
      <c r="W23" s="12">
        <f>W2*Assumptions!$B$28</f>
        <v>4145.08185104747</v>
      </c>
      <c r="X23" s="12">
        <f>X2*Assumptions!$B$28</f>
        <v>3744.116517681757</v>
      </c>
      <c r="Y23" s="12">
        <f>Y2*Assumptions!$B$28</f>
        <v>3489.1557434402985</v>
      </c>
      <c r="Z23" s="12">
        <f>Z2*Assumptions!$B$28</f>
        <v>3336.323736998023</v>
      </c>
    </row>
    <row r="24" spans="1:26" x14ac:dyDescent="0.2">
      <c r="A24" s="10" t="s">
        <v>32</v>
      </c>
      <c r="I24" s="12">
        <v>3448</v>
      </c>
      <c r="J24" s="12">
        <v>5058</v>
      </c>
      <c r="K24" s="12">
        <v>7841</v>
      </c>
      <c r="L24" s="12">
        <f>Assumptions!$B$38</f>
        <v>11000</v>
      </c>
      <c r="M24" s="12">
        <f>M2*MAX(Assumptions!$B$31,Assumptions!$B$29-Assumptions!$B$30*(M1-2027))</f>
        <v>11957.586</v>
      </c>
      <c r="N24" s="12">
        <f>N2*MAX(Assumptions!$B$31,Assumptions!$B$29-Assumptions!$B$30*(N1-2027))</f>
        <v>11251.64725</v>
      </c>
      <c r="O24" s="12">
        <f>O2*MAX(Assumptions!$B$31,Assumptions!$B$29-Assumptions!$B$30*(O1-2027))</f>
        <v>9993.1282876</v>
      </c>
      <c r="P24" s="12">
        <f>P2*MAX(Assumptions!$B$31,Assumptions!$B$29-Assumptions!$B$30*(P1-2027))</f>
        <v>7989.480479745</v>
      </c>
      <c r="Q24" s="12">
        <f>Q2*MAX(Assumptions!$B$31,Assumptions!$B$29-Assumptions!$B$30*(Q1-2027))</f>
        <v>7089.149506887826</v>
      </c>
      <c r="R24" s="12">
        <f>R2*MAX(Assumptions!$B$31,Assumptions!$B$29-Assumptions!$B$30*(R1-2027))</f>
        <v>7364.702794324674</v>
      </c>
      <c r="S24" s="12">
        <f>S2*MAX(Assumptions!$B$31,Assumptions!$B$29-Assumptions!$B$30*(S1-2027))</f>
        <v>7565.20432745357</v>
      </c>
      <c r="T24" s="12">
        <f>T2*MAX(Assumptions!$B$31,Assumptions!$B$29-Assumptions!$B$30*(T1-2027))</f>
        <v>7737.231335585012</v>
      </c>
      <c r="U24" s="12">
        <f>U2*MAX(Assumptions!$B$31,Assumptions!$B$29-Assumptions!$B$30*(U1-2027))</f>
        <v>7837.475221776238</v>
      </c>
      <c r="V24" s="12">
        <f>V2*MAX(Assumptions!$B$31,Assumptions!$B$29-Assumptions!$B$30*(V1-2027))</f>
        <v>7924.826949471207</v>
      </c>
      <c r="W24" s="12">
        <f>W2*MAX(Assumptions!$B$31,Assumptions!$B$29-Assumptions!$B$30*(W1-2027))</f>
        <v>6908.469751745784</v>
      </c>
      <c r="X24" s="12">
        <f>X2*MAX(Assumptions!$B$31,Assumptions!$B$29-Assumptions!$B$30*(X1-2027))</f>
        <v>6240.194196136263</v>
      </c>
      <c r="Y24" s="12">
        <f>Y2*MAX(Assumptions!$B$31,Assumptions!$B$29-Assumptions!$B$30*(Y1-2027))</f>
        <v>5815.259572400498</v>
      </c>
      <c r="Z24" s="12">
        <f>Z2*MAX(Assumptions!$B$31,Assumptions!$B$29-Assumptions!$B$30*(Z1-2027))</f>
        <v>5560.539561663372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5"/>
  <sheetViews>
    <sheetView workbookViewId="0"/>
  </sheetViews>
  <sheetFormatPr baseColWidth="10" defaultRowHeight="16" x14ac:dyDescent="0.2"/>
  <cols>
    <col min="1" max="1" width="24" customWidth="1"/>
    <col min="2" max="9" width="10" customWidth="1"/>
  </cols>
  <sheetData>
    <row r="1" spans="1:9" x14ac:dyDescent="0.2">
      <c r="B1" s="16" t="s">
        <v>33</v>
      </c>
      <c r="C1" s="16" t="s">
        <v>34</v>
      </c>
      <c r="D1" s="16" t="s">
        <v>35</v>
      </c>
      <c r="E1" s="16" t="s">
        <v>36</v>
      </c>
      <c r="F1" s="16" t="s">
        <v>37</v>
      </c>
      <c r="G1" s="16" t="s">
        <v>38</v>
      </c>
      <c r="H1" s="16" t="s">
        <v>39</v>
      </c>
      <c r="I1" s="16" t="s">
        <v>40</v>
      </c>
    </row>
    <row r="2" spans="1:9" x14ac:dyDescent="0.2">
      <c r="A2" s="10" t="s">
        <v>11</v>
      </c>
      <c r="B2" s="12">
        <f t="shared" ref="B2:I2" si="0">SUM(B24:B35)</f>
        <v>12728.0</v>
      </c>
      <c r="C2" s="12">
        <f t="shared" si="0"/>
        <v>15557.0</v>
      </c>
      <c r="D2" s="12">
        <f t="shared" si="0"/>
        <v>17600.800000000003</v>
      </c>
      <c r="E2" s="12">
        <f t="shared" si="0"/>
        <v>19292.199999999997</v>
      </c>
      <c r="F2" s="12">
        <f t="shared" si="0"/>
        <v>19800.0</v>
      </c>
      <c r="G2" s="12">
        <f t="shared" si="0"/>
        <v>22974.0</v>
      </c>
      <c r="H2" s="12">
        <f t="shared" si="0"/>
        <v>22170.0</v>
      </c>
      <c r="I2" s="12">
        <f t="shared" si="0"/>
        <v>22710.0</v>
      </c>
    </row>
    <row r="3" spans="1:9" x14ac:dyDescent="0.2">
      <c r="A3" s="10" t="s">
        <v>12</v>
      </c>
      <c r="B3" s="12">
        <v>2225</v>
      </c>
      <c r="C3" s="12">
        <v>2448</v>
      </c>
      <c r="D3" s="12">
        <v>3008.3</v>
      </c>
      <c r="E3" s="12">
        <f>11052-2225-2448-3008.3</f>
        <v>3370.7</v>
      </c>
      <c r="F3" s="12">
        <v>3577</v>
      </c>
      <c r="G3" s="12">
        <v>3268</v>
      </c>
      <c r="H3" s="12">
        <f>H2*Assumptions!$B$35</f>
        <v>3436.35</v>
      </c>
      <c r="I3" s="12">
        <f>I2*Assumptions!$B$35</f>
        <v>3520.05</v>
      </c>
    </row>
    <row r="4" spans="1:9" x14ac:dyDescent="0.2">
      <c r="A4" s="10" t="s">
        <v>13</v>
      </c>
      <c r="B4" s="12">
        <f t="shared" ref="B4:I4" si="1">B2-B3</f>
        <v>10503.0</v>
      </c>
      <c r="C4" s="12">
        <f t="shared" si="1"/>
        <v>13109.0</v>
      </c>
      <c r="D4" s="12">
        <f t="shared" si="1"/>
        <v>14592.500000000004</v>
      </c>
      <c r="E4" s="12">
        <f t="shared" si="1"/>
        <v>15921.499999999996</v>
      </c>
      <c r="F4" s="12">
        <f t="shared" si="1"/>
        <v>16223.0</v>
      </c>
      <c r="G4" s="12">
        <f t="shared" si="1"/>
        <v>19706.0</v>
      </c>
      <c r="H4" s="12">
        <f t="shared" si="1"/>
        <v>18733.65</v>
      </c>
      <c r="I4" s="12">
        <f t="shared" si="1"/>
        <v>19189.95</v>
      </c>
    </row>
    <row r="5" spans="1:9" x14ac:dyDescent="0.2">
      <c r="A5" s="10" t="s">
        <v>14</v>
      </c>
      <c r="B5" s="12">
        <f>2734+1572</f>
        <v>4306.0</v>
      </c>
      <c r="C5" s="12">
        <f>3336+154</f>
        <v>3490.0</v>
      </c>
      <c r="D5" s="12">
        <f>3465.7+655.7</f>
        <v>4121.4</v>
      </c>
      <c r="E5" s="12">
        <f>(13337-2734-3336-3465.7)+(2910-1572-154-655.7)</f>
        <v>4329.6</v>
      </c>
      <c r="F5" s="12">
        <f>3510+584</f>
        <v>4094.0</v>
      </c>
      <c r="G5" s="12">
        <f>3819+2776</f>
        <v>6595.0</v>
      </c>
      <c r="H5" s="12">
        <f>3900+H20</f>
        <v>4500.0</v>
      </c>
      <c r="I5" s="12">
        <f>4100+I20</f>
        <v>4500.0</v>
      </c>
    </row>
    <row r="6" spans="1:9" x14ac:dyDescent="0.2">
      <c r="A6" s="10" t="s">
        <v>15</v>
      </c>
      <c r="B6" s="12">
        <f>2468+35</f>
        <v>2503.0</v>
      </c>
      <c r="C6" s="12">
        <f>2753+0</f>
        <v>2753.0</v>
      </c>
      <c r="D6" s="12">
        <f>2740.7+364.9</f>
        <v>3105.6</v>
      </c>
      <c r="E6" s="12">
        <f>(11094-2468-2753-2740.7)+(484-35-0-364.9)</f>
        <v>3216.4</v>
      </c>
      <c r="F6" s="12">
        <f>2934+279</f>
        <v>3213.0</v>
      </c>
      <c r="G6" s="12">
        <f>3430+703</f>
        <v>4133.0</v>
      </c>
      <c r="H6" s="12">
        <f>3400+H21</f>
        <v>3500.0</v>
      </c>
      <c r="I6" s="12">
        <f>3600+I21</f>
        <v>3700.0</v>
      </c>
    </row>
    <row r="7" spans="1:9" x14ac:dyDescent="0.2">
      <c r="A7" s="10" t="s">
        <v>16</v>
      </c>
      <c r="B7" s="12">
        <f t="shared" ref="B7:I7" si="2">SUM(B5:B6)</f>
        <v>6809.0</v>
      </c>
      <c r="C7" s="12">
        <f t="shared" si="2"/>
        <v>6243.0</v>
      </c>
      <c r="D7" s="12">
        <f t="shared" si="2"/>
        <v>7227.0</v>
      </c>
      <c r="E7" s="12">
        <f t="shared" si="2"/>
        <v>7546.0</v>
      </c>
      <c r="F7" s="12">
        <f t="shared" si="2"/>
        <v>7307.0</v>
      </c>
      <c r="G7" s="12">
        <f t="shared" si="2"/>
        <v>10728.0</v>
      </c>
      <c r="H7" s="12">
        <f t="shared" si="2"/>
        <v>8000.0</v>
      </c>
      <c r="I7" s="12">
        <f t="shared" si="2"/>
        <v>8200.0</v>
      </c>
    </row>
    <row r="8" spans="1:9" x14ac:dyDescent="0.2">
      <c r="A8" s="10" t="s">
        <v>17</v>
      </c>
      <c r="B8" s="12">
        <f t="shared" ref="B8:I8" si="3">B4-B7</f>
        <v>3694.0</v>
      </c>
      <c r="C8" s="12">
        <f t="shared" si="3"/>
        <v>6866.0</v>
      </c>
      <c r="D8" s="12">
        <f t="shared" si="3"/>
        <v>7365.500000000004</v>
      </c>
      <c r="E8" s="12">
        <f t="shared" si="3"/>
        <v>8375.499999999996</v>
      </c>
      <c r="F8" s="12">
        <f t="shared" si="3"/>
        <v>8916.0</v>
      </c>
      <c r="G8" s="12">
        <f t="shared" si="3"/>
        <v>8978.0</v>
      </c>
      <c r="H8" s="12">
        <f t="shared" si="3"/>
        <v>10733.650000000001</v>
      </c>
      <c r="I8" s="12">
        <f t="shared" si="3"/>
        <v>10989.95</v>
      </c>
    </row>
    <row r="9" spans="1:9" x14ac:dyDescent="0.2">
      <c r="A9" s="10" t="s">
        <v>18</v>
      </c>
      <c r="B9" s="12">
        <v>-239</v>
      </c>
      <c r="C9" s="12">
        <v>-90</v>
      </c>
      <c r="D9" s="12">
        <v>-133.1</v>
      </c>
      <c r="E9" s="12">
        <f>-571+239+90+133.1</f>
        <v>-108.9</v>
      </c>
      <c r="F9" s="12">
        <v>-65</v>
      </c>
      <c r="G9" s="12">
        <v>269</v>
      </c>
      <c r="H9" s="12">
        <v>-250</v>
      </c>
      <c r="I9" s="12">
        <v>-250</v>
      </c>
    </row>
    <row r="10" spans="1:9" x14ac:dyDescent="0.2">
      <c r="A10" s="10" t="s">
        <v>19</v>
      </c>
      <c r="B10" s="12">
        <f t="shared" ref="B10:I10" si="4">B8+B9</f>
        <v>3455.0</v>
      </c>
      <c r="C10" s="12">
        <f t="shared" si="4"/>
        <v>6776.0</v>
      </c>
      <c r="D10" s="12">
        <f t="shared" si="4"/>
        <v>7232.400000000003</v>
      </c>
      <c r="E10" s="12">
        <f t="shared" si="4"/>
        <v>8266.599999999997</v>
      </c>
      <c r="F10" s="12">
        <f t="shared" si="4"/>
        <v>8851.0</v>
      </c>
      <c r="G10" s="12">
        <f t="shared" si="4"/>
        <v>9247.0</v>
      </c>
      <c r="H10" s="12">
        <f t="shared" si="4"/>
        <v>10483.650000000001</v>
      </c>
      <c r="I10" s="12">
        <f t="shared" si="4"/>
        <v>10739.95</v>
      </c>
    </row>
    <row r="11" spans="1:9" x14ac:dyDescent="0.2">
      <c r="A11" s="10" t="s">
        <v>20</v>
      </c>
      <c r="B11" s="12">
        <v>697</v>
      </c>
      <c r="C11" s="12">
        <v>1116</v>
      </c>
      <c r="D11" s="12">
        <v>1649.9</v>
      </c>
      <c r="E11" s="12">
        <f>5091-697-1116-1649.9</f>
        <v>1628.1</v>
      </c>
      <c r="F11" s="12">
        <v>1454</v>
      </c>
      <c r="G11" s="12">
        <v>2152</v>
      </c>
      <c r="H11" s="12">
        <f>H10*Assumptions!$B$36</f>
        <v>1939.4752500000002</v>
      </c>
      <c r="I11" s="12">
        <f>I10*Assumptions!$B$36</f>
        <v>1986.89075</v>
      </c>
    </row>
    <row r="12" spans="1:9" x14ac:dyDescent="0.2">
      <c r="A12" s="10" t="s">
        <v>21</v>
      </c>
      <c r="B12" s="12">
        <f t="shared" ref="B12:I12" si="5">B10-B11</f>
        <v>2758.0</v>
      </c>
      <c r="C12" s="12">
        <f t="shared" si="5"/>
        <v>5660.0</v>
      </c>
      <c r="D12" s="12">
        <f t="shared" si="5"/>
        <v>5582.500000000004</v>
      </c>
      <c r="E12" s="12">
        <f t="shared" si="5"/>
        <v>6638.499999999996</v>
      </c>
      <c r="F12" s="12">
        <f t="shared" si="5"/>
        <v>7397.0</v>
      </c>
      <c r="G12" s="12">
        <f t="shared" si="5"/>
        <v>7095.0</v>
      </c>
      <c r="H12" s="12">
        <f t="shared" si="5"/>
        <v>8544.174750000002</v>
      </c>
      <c r="I12" s="12">
        <f t="shared" si="5"/>
        <v>8753.05925</v>
      </c>
    </row>
    <row r="13" spans="1:9" x14ac:dyDescent="0.2">
      <c r="A13" s="10" t="s">
        <v>22</v>
      </c>
      <c r="B13" s="8">
        <f t="shared" ref="B13:I13" si="6">B12/B14</f>
        <v>3.0624028425494116</v>
      </c>
      <c r="C13" s="8">
        <f t="shared" si="6"/>
        <v>6.29028673038453</v>
      </c>
      <c r="D13" s="8">
        <f t="shared" si="6"/>
        <v>6.211059190031157</v>
      </c>
      <c r="E13" s="8">
        <f t="shared" si="6"/>
        <v>7.392538975501109</v>
      </c>
      <c r="F13" s="8">
        <f t="shared" si="6"/>
        <v>8.256501841723408</v>
      </c>
      <c r="G13" s="8">
        <f t="shared" si="6"/>
        <v>7.938905673044646</v>
      </c>
      <c r="H13" s="8">
        <f t="shared" si="6"/>
        <v>9.578671244394622</v>
      </c>
      <c r="I13" s="8">
        <f t="shared" si="6"/>
        <v>9.829375912408759</v>
      </c>
    </row>
    <row r="14" spans="1:9" x14ac:dyDescent="0.2">
      <c r="A14" s="10" t="s">
        <v>2</v>
      </c>
      <c r="B14" s="13">
        <v>900.6</v>
      </c>
      <c r="C14" s="13">
        <v>899.8</v>
      </c>
      <c r="D14" s="13">
        <v>898.8</v>
      </c>
      <c r="E14" s="13">
        <f>899.3*4-900.6-899.8-898.8</f>
        <v>898.0</v>
      </c>
      <c r="F14" s="13">
        <v>895.9</v>
      </c>
      <c r="G14" s="13">
        <v>893.7</v>
      </c>
      <c r="H14" s="13">
        <v>892</v>
      </c>
      <c r="I14" s="13">
        <v>890.5</v>
      </c>
    </row>
    <row r="16" spans="1:9" x14ac:dyDescent="0.2">
      <c r="A16" s="10" t="s">
        <v>23</v>
      </c>
      <c r="F16" s="14">
        <f>F2/B2-1</f>
        <v>0.5556253928346953</v>
      </c>
      <c r="G16" s="14">
        <f>G2/C2-1</f>
        <v>0.4767628720190269</v>
      </c>
      <c r="H16" s="14">
        <f>H2/D2-1</f>
        <v>0.25960183628016886</v>
      </c>
      <c r="I16" s="14">
        <f>I2/E2-1</f>
        <v>0.17715968111464764</v>
      </c>
    </row>
    <row r="17" spans="1:9" x14ac:dyDescent="0.2">
      <c r="A17" s="10" t="s">
        <v>13</v>
      </c>
      <c r="B17" s="14">
        <f t="shared" ref="B17:I17" si="7">B4/B2</f>
        <v>0.825188560653677</v>
      </c>
      <c r="C17" s="14">
        <f t="shared" si="7"/>
        <v>0.8426431831329948</v>
      </c>
      <c r="D17" s="14">
        <f t="shared" si="7"/>
        <v>0.8290816326530613</v>
      </c>
      <c r="E17" s="14">
        <f t="shared" si="7"/>
        <v>0.8252817200733975</v>
      </c>
      <c r="F17" s="14">
        <f t="shared" si="7"/>
        <v>0.8193434343434344</v>
      </c>
      <c r="G17" s="14">
        <f t="shared" si="7"/>
        <v>0.8577522416644903</v>
      </c>
      <c r="H17" s="14">
        <f t="shared" si="7"/>
        <v>0.8450000000000001</v>
      </c>
      <c r="I17" s="14">
        <f t="shared" si="7"/>
        <v>0.8450000000000001</v>
      </c>
    </row>
    <row r="19" spans="1:9" x14ac:dyDescent="0.2">
      <c r="A19" s="10" t="s">
        <v>24</v>
      </c>
      <c r="B19" s="15" t="s">
        <v>25</v>
      </c>
      <c r="C19" s="15" t="s">
        <v>25</v>
      </c>
      <c r="D19" s="15" t="s">
        <v>25</v>
      </c>
      <c r="E19" s="15" t="s">
        <v>25</v>
      </c>
      <c r="F19" s="15" t="s">
        <v>25</v>
      </c>
      <c r="G19" s="15" t="s">
        <v>25</v>
      </c>
      <c r="H19" s="15" t="s">
        <v>27</v>
      </c>
      <c r="I19" s="15" t="s">
        <v>27</v>
      </c>
    </row>
    <row r="20" spans="1:9" x14ac:dyDescent="0.2">
      <c r="A20" s="10" t="s">
        <v>28</v>
      </c>
      <c r="B20" s="12">
        <v>1572</v>
      </c>
      <c r="C20" s="12">
        <v>154</v>
      </c>
      <c r="D20" s="12">
        <v>655.7</v>
      </c>
      <c r="E20" s="12">
        <f>2910-1572-154-655.7</f>
        <v>528.3</v>
      </c>
      <c r="F20" s="12">
        <v>584</v>
      </c>
      <c r="G20" s="12">
        <v>2776</v>
      </c>
      <c r="H20" s="12">
        <v>600</v>
      </c>
      <c r="I20" s="12">
        <v>400</v>
      </c>
    </row>
    <row r="21" spans="1:9" x14ac:dyDescent="0.2">
      <c r="A21" s="10" t="s">
        <v>29</v>
      </c>
      <c r="B21" s="12">
        <v>35</v>
      </c>
      <c r="C21" s="12">
        <v>0</v>
      </c>
      <c r="D21" s="12">
        <v>364.9</v>
      </c>
      <c r="E21" s="12">
        <f>484-35-0-364.9</f>
        <v>84.10000000000002</v>
      </c>
      <c r="F21" s="12">
        <v>279</v>
      </c>
      <c r="G21" s="12">
        <v>703</v>
      </c>
      <c r="H21" s="12">
        <v>100</v>
      </c>
      <c r="I21" s="12">
        <v>100</v>
      </c>
    </row>
    <row r="23" spans="1:9" x14ac:dyDescent="0.2">
      <c r="A23" s="17" t="s">
        <v>41</v>
      </c>
    </row>
    <row r="24" spans="1:9" x14ac:dyDescent="0.2">
      <c r="A24" s="10" t="s">
        <v>42</v>
      </c>
      <c r="B24" s="12">
        <v>3842</v>
      </c>
      <c r="C24" s="12">
        <v>5199</v>
      </c>
      <c r="D24" s="12">
        <v>6515.1</v>
      </c>
      <c r="E24" s="12">
        <f>22966-3842-5199-6515.1</f>
        <v>7409.9</v>
      </c>
      <c r="F24" s="12">
        <v>8662</v>
      </c>
      <c r="G24" s="12">
        <v>9943</v>
      </c>
      <c r="H24" s="12">
        <v>9900</v>
      </c>
      <c r="I24" s="12">
        <v>10150</v>
      </c>
    </row>
    <row r="25" spans="1:9" x14ac:dyDescent="0.2">
      <c r="A25" s="10" t="s">
        <v>43</v>
      </c>
      <c r="B25" s="12">
        <v>2312</v>
      </c>
      <c r="C25" s="12">
        <v>3381</v>
      </c>
      <c r="D25" s="12">
        <v>3588.1</v>
      </c>
      <c r="E25" s="12">
        <f>13542-2312-3381-3588.1</f>
        <v>4260.9</v>
      </c>
      <c r="F25" s="12">
        <v>4160</v>
      </c>
      <c r="G25" s="12">
        <v>4928</v>
      </c>
      <c r="H25" s="12">
        <v>4850</v>
      </c>
      <c r="I25" s="12">
        <v>4950</v>
      </c>
    </row>
    <row r="26" spans="1:9" x14ac:dyDescent="0.2">
      <c r="A26" s="10" t="s">
        <v>44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2">
        <v>98</v>
      </c>
      <c r="H26" s="12">
        <v>280</v>
      </c>
      <c r="I26" s="12">
        <v>480</v>
      </c>
    </row>
    <row r="27" spans="1:9" x14ac:dyDescent="0.2">
      <c r="A27" s="10" t="s">
        <v>45</v>
      </c>
      <c r="B27" s="12">
        <v>1014</v>
      </c>
      <c r="C27" s="12">
        <v>690</v>
      </c>
      <c r="D27" s="12">
        <v>959</v>
      </c>
      <c r="E27" s="12">
        <f>3431-1014-690-959</f>
        <v>768.0</v>
      </c>
      <c r="F27" s="12">
        <v>1114</v>
      </c>
      <c r="G27" s="12">
        <v>1232</v>
      </c>
      <c r="H27" s="12">
        <v>800</v>
      </c>
      <c r="I27" s="12">
        <v>700</v>
      </c>
    </row>
    <row r="28" spans="1:9" x14ac:dyDescent="0.2">
      <c r="A28" s="10" t="s">
        <v>46</v>
      </c>
      <c r="B28" s="12">
        <v>1095</v>
      </c>
      <c r="C28" s="12">
        <v>1092</v>
      </c>
      <c r="D28" s="12">
        <v>1051.8</v>
      </c>
      <c r="E28" s="12">
        <f>4276-1095-1092-1051.8</f>
        <v>1037.2</v>
      </c>
      <c r="F28" s="12">
        <v>919</v>
      </c>
      <c r="G28" s="12">
        <v>1219</v>
      </c>
      <c r="H28" s="12">
        <v>880</v>
      </c>
      <c r="I28" s="12">
        <v>820</v>
      </c>
    </row>
    <row r="29" spans="1:9" x14ac:dyDescent="0.2">
      <c r="A29" s="10" t="s">
        <v>47</v>
      </c>
      <c r="B29" s="12">
        <v>945</v>
      </c>
      <c r="C29" s="12">
        <v>980</v>
      </c>
      <c r="D29" s="12">
        <v>1063.9000000000001</v>
      </c>
      <c r="E29" s="12">
        <f>4006-945-980-1063.9</f>
        <v>1017.0999999999999</v>
      </c>
      <c r="F29" s="12">
        <v>905</v>
      </c>
      <c r="G29" s="12">
        <f>1031-98</f>
        <v>933.0</v>
      </c>
      <c r="H29" s="12">
        <v>880</v>
      </c>
      <c r="I29" s="12">
        <v>880</v>
      </c>
    </row>
    <row r="30" spans="1:9" x14ac:dyDescent="0.2">
      <c r="A30" s="10" t="s">
        <v>48</v>
      </c>
      <c r="B30" s="12">
        <v>1159</v>
      </c>
      <c r="C30" s="12">
        <v>1489</v>
      </c>
      <c r="D30" s="12">
        <v>1470.2</v>
      </c>
      <c r="E30" s="12">
        <f>5723-1159-1489-1470.2</f>
        <v>1604.8</v>
      </c>
      <c r="F30" s="12">
        <v>1302</v>
      </c>
      <c r="G30" s="12">
        <v>1474</v>
      </c>
      <c r="H30" s="12">
        <v>1430</v>
      </c>
      <c r="I30" s="12">
        <v>1450</v>
      </c>
    </row>
    <row r="31" spans="1:9" x14ac:dyDescent="0.2">
      <c r="A31" s="10" t="s">
        <v>49</v>
      </c>
      <c r="B31" s="12">
        <v>789</v>
      </c>
      <c r="C31" s="12">
        <v>924</v>
      </c>
      <c r="D31" s="12">
        <v>937.4</v>
      </c>
      <c r="E31" s="12">
        <f>3653-789-924-937.4</f>
        <v>1002.6</v>
      </c>
      <c r="F31" s="12">
        <v>966</v>
      </c>
      <c r="G31" s="12">
        <v>1096</v>
      </c>
      <c r="H31" s="12">
        <v>1100</v>
      </c>
      <c r="I31" s="12">
        <v>1150</v>
      </c>
    </row>
    <row r="32" spans="1:9" x14ac:dyDescent="0.2">
      <c r="A32" s="10" t="s">
        <v>50</v>
      </c>
      <c r="B32" s="12">
        <v>762</v>
      </c>
      <c r="C32" s="12">
        <v>848</v>
      </c>
      <c r="D32" s="12">
        <v>901.5</v>
      </c>
      <c r="E32" s="12">
        <f>3563-762-848-901.5</f>
        <v>1051.5</v>
      </c>
      <c r="F32" s="12">
        <v>732</v>
      </c>
      <c r="G32" s="12">
        <v>856</v>
      </c>
      <c r="H32" s="12">
        <v>840</v>
      </c>
      <c r="I32" s="12">
        <v>870</v>
      </c>
    </row>
    <row r="33" spans="1:9" x14ac:dyDescent="0.2">
      <c r="A33" s="10" t="s">
        <v>51</v>
      </c>
      <c r="B33" s="12">
        <v>326</v>
      </c>
      <c r="C33" s="12">
        <v>408</v>
      </c>
      <c r="D33" s="12">
        <v>460.9</v>
      </c>
      <c r="E33" s="12">
        <f>1684-326-408-460.9</f>
        <v>489.1</v>
      </c>
      <c r="F33" s="12">
        <v>471</v>
      </c>
      <c r="G33" s="12">
        <v>561</v>
      </c>
      <c r="H33" s="12">
        <v>570</v>
      </c>
      <c r="I33" s="12">
        <v>600</v>
      </c>
    </row>
    <row r="34" spans="1:9" x14ac:dyDescent="0.2">
      <c r="A34" s="10" t="s">
        <v>52</v>
      </c>
      <c r="B34" s="12">
        <v>272</v>
      </c>
      <c r="C34" s="12">
        <v>344</v>
      </c>
      <c r="D34" s="12">
        <v>315.7</v>
      </c>
      <c r="E34" s="12">
        <f>1391-272-344-315.7</f>
        <v>459.3</v>
      </c>
      <c r="F34" s="12">
        <v>382</v>
      </c>
      <c r="G34" s="12">
        <v>429</v>
      </c>
      <c r="H34" s="12">
        <v>440</v>
      </c>
      <c r="I34" s="12">
        <v>460</v>
      </c>
    </row>
    <row r="35" spans="1:9" x14ac:dyDescent="0.2">
      <c r="A35" s="10" t="s">
        <v>53</v>
      </c>
      <c r="B35" s="12">
        <v>212</v>
      </c>
      <c r="C35" s="12">
        <v>202</v>
      </c>
      <c r="D35" s="12">
        <v>337.2</v>
      </c>
      <c r="E35" s="12">
        <f>943-212-202-337.2</f>
        <v>191.8</v>
      </c>
      <c r="F35" s="12">
        <v>187</v>
      </c>
      <c r="G35" s="12">
        <v>205</v>
      </c>
      <c r="H35" s="12">
        <v>200</v>
      </c>
      <c r="I35" s="12">
        <v>200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1"/>
  <sheetViews>
    <sheetView tabSelected="1" workbookViewId="0">
      <pane xSplit="1" ySplit="10" topLeftCell="B63" activePane="bottomRight" state="frozen"/>
      <selection pane="topRight"/>
      <selection pane="bottomLeft"/>
      <selection pane="bottomRight" activeCell="H71" sqref="H71"/>
    </sheetView>
  </sheetViews>
  <sheetFormatPr baseColWidth="10" defaultColWidth="8.83203125" defaultRowHeight="16" x14ac:dyDescent="0.2"/>
  <cols>
    <col min="1" max="1" width="50" customWidth="1"/>
    <col min="2" max="10" width="12" customWidth="1"/>
  </cols>
  <sheetData>
    <row r="1" spans="1:5" ht="19" x14ac:dyDescent="0.25">
      <c r="A1" s="18" t="s">
        <v>54</v>
      </c>
    </row>
    <row r="4" spans="1:5" x14ac:dyDescent="0.2">
      <c r="A4" s="17" t="s">
        <v>55</v>
      </c>
      <c r="B4" s="19">
        <v>2</v>
      </c>
      <c r="C4" s="17" t="str">
        <f>CHOOSE($B$4,"Bear","Base","Bull")</f>
        <v>Base</v>
      </c>
    </row>
    <row r="5" spans="1:5" x14ac:dyDescent="0.2">
      <c r="A5" s="20" t="s">
        <v>56</v>
      </c>
    </row>
    <row r="6" spans="1:5" x14ac:dyDescent="0.2">
      <c r="A6" s="10" t="s">
        <v>57</v>
      </c>
      <c r="B6" s="21"/>
    </row>
    <row r="7" spans="1:5" x14ac:dyDescent="0.2">
      <c r="A7" s="10" t="s">
        <v>58</v>
      </c>
      <c r="B7" s="21"/>
    </row>
    <row r="8" spans="1:5" x14ac:dyDescent="0.2">
      <c r="A8" s="10" t="s">
        <v>59</v>
      </c>
      <c r="B8" s="22"/>
    </row>
    <row r="10" spans="1:5" x14ac:dyDescent="0.2">
      <c r="A10" s="23" t="s">
        <v>60</v>
      </c>
      <c r="B10" s="23" t="s">
        <v>61</v>
      </c>
      <c r="C10" s="23" t="s">
        <v>62</v>
      </c>
      <c r="D10" s="23" t="s">
        <v>63</v>
      </c>
      <c r="E10" s="23" t="s">
        <v>64</v>
      </c>
    </row>
    <row r="12" spans="1:5" x14ac:dyDescent="0.2">
      <c r="A12" s="24" t="s">
        <v>65</v>
      </c>
      <c r="B12" s="25"/>
      <c r="C12" s="25"/>
      <c r="D12" s="25"/>
      <c r="E12" s="25"/>
    </row>
    <row r="13" spans="1:5" x14ac:dyDescent="0.2">
      <c r="A13" s="10" t="s">
        <v>66</v>
      </c>
      <c r="B13" s="26">
        <f>DATE(2026,10,16)</f>
        <v>46311</v>
      </c>
    </row>
    <row r="14" spans="1:5" x14ac:dyDescent="0.2">
      <c r="A14" s="10" t="s">
        <v>67</v>
      </c>
      <c r="B14" s="27">
        <f>IF(ISNUMBER($B$6),$B$6,CHOOSE($B$4,C14,D14,E14))</f>
        <v>0.075</v>
      </c>
      <c r="C14" s="21">
        <v>8.5000000000000006E-2</v>
      </c>
      <c r="D14" s="21">
        <v>7.4999999999999997E-2</v>
      </c>
      <c r="E14" s="21">
        <v>6.7500000000000004E-2</v>
      </c>
    </row>
    <row r="15" spans="1:5" x14ac:dyDescent="0.2">
      <c r="A15" s="10" t="s">
        <v>68</v>
      </c>
      <c r="B15" s="27">
        <f>IF(ISNUMBER($B$7),$B$7,CHOOSE($B$4,C15,D15,E15))</f>
        <v>0.02</v>
      </c>
      <c r="C15" s="21">
        <v>1.4999999999999999E-2</v>
      </c>
      <c r="D15" s="21">
        <v>0.02</v>
      </c>
      <c r="E15" s="21">
        <v>2.5000000000000001E-2</v>
      </c>
    </row>
    <row r="16" spans="1:5" x14ac:dyDescent="0.2">
      <c r="A16" s="10" t="s">
        <v>69</v>
      </c>
      <c r="B16" s="27">
        <f>CHOOSE($B$4,C16,D16,E16)</f>
        <v>0.19</v>
      </c>
      <c r="C16" s="28">
        <v>0.21</v>
      </c>
      <c r="D16" s="28">
        <v>0.19</v>
      </c>
      <c r="E16" s="28">
        <v>0.17</v>
      </c>
    </row>
    <row r="17" spans="1:5" x14ac:dyDescent="0.2">
      <c r="A17" s="10" t="s">
        <v>70</v>
      </c>
      <c r="B17" s="29">
        <f>CHOOSE($B$4,C17,D17,E17)</f>
        <v>5000</v>
      </c>
      <c r="C17" s="30">
        <v>5000</v>
      </c>
      <c r="D17" s="30">
        <v>5000</v>
      </c>
      <c r="E17" s="30">
        <v>5000</v>
      </c>
    </row>
    <row r="18" spans="1:5" x14ac:dyDescent="0.2">
      <c r="A18" s="10" t="s">
        <v>71</v>
      </c>
      <c r="B18" s="31">
        <f>CHOOSE($B$4,C18,D18,E18)</f>
        <v>2.6</v>
      </c>
      <c r="C18" s="32">
        <v>2.6</v>
      </c>
      <c r="D18" s="32">
        <v>2.6</v>
      </c>
      <c r="E18" s="32">
        <v>2.6</v>
      </c>
    </row>
    <row r="20" spans="1:5" x14ac:dyDescent="0.2">
      <c r="A20" s="24" t="s">
        <v>72</v>
      </c>
      <c r="B20" s="25"/>
      <c r="C20" s="25"/>
      <c r="D20" s="25"/>
      <c r="E20" s="25"/>
    </row>
    <row r="21" spans="1:5" x14ac:dyDescent="0.2">
      <c r="A21" s="10" t="s">
        <v>73</v>
      </c>
      <c r="B21" s="27">
        <f t="shared" ref="B21:B32" si="0">CHOOSE($B$4,C21,D21,E21)</f>
        <v>0.16</v>
      </c>
      <c r="C21" s="21">
        <v>0.18</v>
      </c>
      <c r="D21" s="21">
        <v>0.16</v>
      </c>
      <c r="E21" s="21">
        <v>0.14499999999999999</v>
      </c>
    </row>
    <row r="22" spans="1:5" x14ac:dyDescent="0.2">
      <c r="A22" s="10" t="s">
        <v>74</v>
      </c>
      <c r="B22" s="27">
        <f t="shared" si="0"/>
        <v>0.17</v>
      </c>
      <c r="C22" s="28">
        <v>0.18</v>
      </c>
      <c r="D22" s="28">
        <v>0.17</v>
      </c>
      <c r="E22" s="28">
        <v>0.16</v>
      </c>
    </row>
    <row r="23" spans="1:5" x14ac:dyDescent="0.2">
      <c r="A23" s="10" t="s">
        <v>75</v>
      </c>
      <c r="B23" s="27">
        <f t="shared" si="0"/>
        <v>0.145</v>
      </c>
      <c r="C23" s="28">
        <v>0.155</v>
      </c>
      <c r="D23" s="28">
        <v>0.14499999999999999</v>
      </c>
      <c r="E23" s="28">
        <v>0.13500000000000001</v>
      </c>
    </row>
    <row r="24" spans="1:5" x14ac:dyDescent="0.2">
      <c r="A24" s="10" t="s">
        <v>76</v>
      </c>
      <c r="B24" s="29">
        <f t="shared" si="0"/>
        <v>3000</v>
      </c>
      <c r="C24" s="30">
        <v>3000</v>
      </c>
      <c r="D24" s="30">
        <v>3000</v>
      </c>
      <c r="E24" s="30">
        <v>3000</v>
      </c>
    </row>
    <row r="25" spans="1:5" x14ac:dyDescent="0.2">
      <c r="A25" s="10" t="s">
        <v>77</v>
      </c>
      <c r="B25" s="27">
        <f t="shared" si="0"/>
        <v>0.02</v>
      </c>
      <c r="C25" s="28">
        <v>0.02</v>
      </c>
      <c r="D25" s="28">
        <v>0.02</v>
      </c>
      <c r="E25" s="28">
        <v>0.02</v>
      </c>
    </row>
    <row r="26" spans="1:5" x14ac:dyDescent="0.2">
      <c r="A26" s="10" t="s">
        <v>78</v>
      </c>
      <c r="B26" s="29">
        <f t="shared" si="0"/>
        <v>-1000</v>
      </c>
      <c r="C26" s="30">
        <v>-1000</v>
      </c>
      <c r="D26" s="30">
        <v>-1000</v>
      </c>
      <c r="E26" s="30">
        <v>-1000</v>
      </c>
    </row>
    <row r="27" spans="1:5" x14ac:dyDescent="0.2">
      <c r="A27" s="10" t="s">
        <v>79</v>
      </c>
      <c r="B27" s="27">
        <f t="shared" si="0"/>
        <v>-0.005</v>
      </c>
      <c r="C27" s="28">
        <v>-5.0000000000000001E-3</v>
      </c>
      <c r="D27" s="28">
        <v>-5.0000000000000001E-3</v>
      </c>
      <c r="E27" s="28">
        <v>-5.0000000000000001E-3</v>
      </c>
    </row>
    <row r="28" spans="1:5" x14ac:dyDescent="0.2">
      <c r="A28" s="10" t="s">
        <v>80</v>
      </c>
      <c r="B28" s="27">
        <f t="shared" si="0"/>
        <v>0.03</v>
      </c>
      <c r="C28" s="28">
        <v>0.03</v>
      </c>
      <c r="D28" s="28">
        <v>0.03</v>
      </c>
      <c r="E28" s="28">
        <v>0.03</v>
      </c>
    </row>
    <row r="29" spans="1:5" x14ac:dyDescent="0.2">
      <c r="A29" s="10" t="s">
        <v>81</v>
      </c>
      <c r="B29" s="27">
        <f t="shared" si="0"/>
        <v>0.12</v>
      </c>
      <c r="C29" s="28">
        <v>0.12</v>
      </c>
      <c r="D29" s="28">
        <v>0.12</v>
      </c>
      <c r="E29" s="28">
        <v>0.12</v>
      </c>
    </row>
    <row r="30" spans="1:5" x14ac:dyDescent="0.2">
      <c r="A30" s="10" t="s">
        <v>82</v>
      </c>
      <c r="B30" s="27">
        <f t="shared" si="0"/>
        <v>0.02</v>
      </c>
      <c r="C30" s="28">
        <v>0.02</v>
      </c>
      <c r="D30" s="28">
        <v>0.02</v>
      </c>
      <c r="E30" s="28">
        <v>0.02</v>
      </c>
    </row>
    <row r="31" spans="1:5" x14ac:dyDescent="0.2">
      <c r="A31" s="10" t="s">
        <v>83</v>
      </c>
      <c r="B31" s="27">
        <f t="shared" si="0"/>
        <v>0.05</v>
      </c>
      <c r="C31" s="28">
        <v>0.06</v>
      </c>
      <c r="D31" s="28">
        <v>0.05</v>
      </c>
      <c r="E31" s="28">
        <v>4.4999999999999998E-2</v>
      </c>
    </row>
    <row r="32" spans="1:5" x14ac:dyDescent="0.2">
      <c r="A32" s="10" t="s">
        <v>84</v>
      </c>
      <c r="B32" s="27">
        <f t="shared" si="0"/>
        <v>0.15</v>
      </c>
      <c r="C32" s="28">
        <v>0.15</v>
      </c>
      <c r="D32" s="28">
        <v>0.15</v>
      </c>
      <c r="E32" s="28">
        <v>0.15</v>
      </c>
    </row>
    <row r="34" spans="1:5" x14ac:dyDescent="0.2">
      <c r="A34" s="24" t="s">
        <v>85</v>
      </c>
      <c r="B34" s="25"/>
      <c r="C34" s="25"/>
      <c r="D34" s="25"/>
      <c r="E34" s="25"/>
    </row>
    <row r="35" spans="1:5" x14ac:dyDescent="0.2">
      <c r="A35" s="10" t="s">
        <v>86</v>
      </c>
      <c r="B35" s="27">
        <f>CHOOSE($B$4,C35,D35,E35)</f>
        <v>0.155</v>
      </c>
      <c r="C35" s="28">
        <v>0.155</v>
      </c>
      <c r="D35" s="28">
        <v>0.155</v>
      </c>
      <c r="E35" s="28">
        <v>0.155</v>
      </c>
    </row>
    <row r="36" spans="1:5" x14ac:dyDescent="0.2">
      <c r="A36" s="10" t="s">
        <v>87</v>
      </c>
      <c r="B36" s="27">
        <f>CHOOSE($B$4,C36,D36,E36)</f>
        <v>0.185</v>
      </c>
      <c r="C36" s="28">
        <v>0.185</v>
      </c>
      <c r="D36" s="28">
        <v>0.185</v>
      </c>
      <c r="E36" s="28">
        <v>0.185</v>
      </c>
    </row>
    <row r="37" spans="1:5" x14ac:dyDescent="0.2">
      <c r="A37" s="10" t="s">
        <v>88</v>
      </c>
      <c r="B37" s="29">
        <f>CHOOSE($B$4,C37,D37,E37)</f>
        <v>1100</v>
      </c>
      <c r="C37" s="30">
        <v>1100</v>
      </c>
      <c r="D37" s="30">
        <v>1100</v>
      </c>
      <c r="E37" s="30">
        <v>1100</v>
      </c>
    </row>
    <row r="38" spans="1:5" x14ac:dyDescent="0.2">
      <c r="A38" s="10" t="s">
        <v>89</v>
      </c>
      <c r="B38" s="29">
        <f>CHOOSE($B$4,C38,D38,E38)</f>
        <v>11000</v>
      </c>
      <c r="C38" s="30">
        <v>11000</v>
      </c>
      <c r="D38" s="30">
        <v>11000</v>
      </c>
      <c r="E38" s="30">
        <v>11000</v>
      </c>
    </row>
    <row r="40" spans="1:5" x14ac:dyDescent="0.2">
      <c r="A40" s="24" t="s">
        <v>90</v>
      </c>
      <c r="B40" s="25"/>
      <c r="C40" s="25"/>
      <c r="D40" s="25"/>
      <c r="E40" s="25"/>
    </row>
    <row r="41" spans="1:5" x14ac:dyDescent="0.2">
      <c r="A41" s="10" t="s">
        <v>91</v>
      </c>
      <c r="B41" s="27">
        <f t="shared" ref="B41:B47" si="1">CHOOSE($B$4,C41,D41,E41)</f>
        <v>0.14</v>
      </c>
      <c r="C41" s="21">
        <v>0.09</v>
      </c>
      <c r="D41" s="21">
        <v>0.14000000000000001</v>
      </c>
      <c r="E41" s="21">
        <v>0.18</v>
      </c>
    </row>
    <row r="42" spans="1:5" x14ac:dyDescent="0.2">
      <c r="A42" s="10" t="s">
        <v>92</v>
      </c>
      <c r="B42" s="27">
        <f t="shared" si="1"/>
        <v>0.04</v>
      </c>
      <c r="C42" s="28">
        <v>0.04</v>
      </c>
      <c r="D42" s="28">
        <v>0.04</v>
      </c>
      <c r="E42" s="28">
        <v>0.04</v>
      </c>
    </row>
    <row r="43" spans="1:5" x14ac:dyDescent="0.2">
      <c r="A43" s="10" t="s">
        <v>93</v>
      </c>
      <c r="B43" s="27">
        <f t="shared" si="1"/>
        <v>0.2</v>
      </c>
      <c r="C43" s="21">
        <v>0.12</v>
      </c>
      <c r="D43" s="21">
        <v>0.2</v>
      </c>
      <c r="E43" s="21">
        <v>0.27</v>
      </c>
    </row>
    <row r="44" spans="1:5" x14ac:dyDescent="0.2">
      <c r="A44" s="10" t="s">
        <v>94</v>
      </c>
      <c r="B44" s="27">
        <f t="shared" si="1"/>
        <v>0.06</v>
      </c>
      <c r="C44" s="28">
        <v>0.06</v>
      </c>
      <c r="D44" s="28">
        <v>0.06</v>
      </c>
      <c r="E44" s="28">
        <v>0.06</v>
      </c>
    </row>
    <row r="45" spans="1:5" x14ac:dyDescent="0.2">
      <c r="A45" s="10" t="s">
        <v>95</v>
      </c>
      <c r="B45" s="27">
        <f t="shared" si="1"/>
        <v>-0.01</v>
      </c>
      <c r="C45" s="28">
        <v>-0.03</v>
      </c>
      <c r="D45" s="28">
        <v>-0.01</v>
      </c>
      <c r="E45" s="28">
        <v>0.01</v>
      </c>
    </row>
    <row r="46" spans="1:5" x14ac:dyDescent="0.2">
      <c r="A46" s="10" t="s">
        <v>96</v>
      </c>
      <c r="B46" s="33">
        <f t="shared" si="1"/>
        <v>2036</v>
      </c>
      <c r="C46" s="34">
        <v>2036</v>
      </c>
      <c r="D46" s="34">
        <v>2036</v>
      </c>
      <c r="E46" s="34">
        <v>2036</v>
      </c>
    </row>
    <row r="47" spans="1:5" x14ac:dyDescent="0.2">
      <c r="A47" s="10" t="s">
        <v>97</v>
      </c>
      <c r="B47" s="27">
        <f t="shared" si="1"/>
        <v>0.3</v>
      </c>
      <c r="C47" s="21">
        <v>0.4</v>
      </c>
      <c r="D47" s="21">
        <v>0.3</v>
      </c>
      <c r="E47" s="21">
        <v>0.2</v>
      </c>
    </row>
    <row r="48" spans="1:5" x14ac:dyDescent="0.2">
      <c r="A48" s="17" t="s">
        <v>98</v>
      </c>
      <c r="B48" s="35">
        <f>IF(ISNUMBER($B$8),$B$8,1)</f>
        <v>1</v>
      </c>
    </row>
    <row r="50" spans="1:6" x14ac:dyDescent="0.2">
      <c r="A50" s="24" t="s">
        <v>99</v>
      </c>
      <c r="B50" s="25"/>
      <c r="C50" s="25"/>
      <c r="D50" s="25"/>
      <c r="E50" s="25"/>
    </row>
    <row r="51" spans="1:6" x14ac:dyDescent="0.2">
      <c r="A51" s="10" t="s">
        <v>100</v>
      </c>
      <c r="B51" s="29">
        <f t="shared" ref="B51:B62" si="2">CHOOSE($B$4,C51,D51,E51)</f>
        <v>18000</v>
      </c>
      <c r="C51" s="36">
        <v>10000</v>
      </c>
      <c r="D51" s="36">
        <v>18000</v>
      </c>
      <c r="E51" s="36">
        <v>28000</v>
      </c>
    </row>
    <row r="52" spans="1:6" x14ac:dyDescent="0.2">
      <c r="A52" s="10" t="s">
        <v>101</v>
      </c>
      <c r="B52" s="29">
        <f t="shared" si="2"/>
        <v>22000</v>
      </c>
      <c r="C52" s="36">
        <v>12000</v>
      </c>
      <c r="D52" s="36">
        <v>22000</v>
      </c>
      <c r="E52" s="36">
        <v>32000</v>
      </c>
    </row>
    <row r="53" spans="1:6" x14ac:dyDescent="0.2">
      <c r="A53" s="10" t="s">
        <v>102</v>
      </c>
      <c r="B53" s="27">
        <f t="shared" si="2"/>
        <v>0.9</v>
      </c>
      <c r="C53" s="28">
        <v>0.85</v>
      </c>
      <c r="D53" s="28">
        <v>0.9</v>
      </c>
      <c r="E53" s="28">
        <v>0.95</v>
      </c>
    </row>
    <row r="54" spans="1:6" x14ac:dyDescent="0.2">
      <c r="A54" s="10" t="s">
        <v>103</v>
      </c>
      <c r="B54" s="29">
        <f t="shared" si="2"/>
        <v>8000</v>
      </c>
      <c r="C54" s="30">
        <v>5000</v>
      </c>
      <c r="D54" s="30">
        <v>8000</v>
      </c>
      <c r="E54" s="30">
        <v>12000</v>
      </c>
    </row>
    <row r="55" spans="1:6" x14ac:dyDescent="0.2">
      <c r="A55" s="10" t="s">
        <v>104</v>
      </c>
      <c r="B55" s="27">
        <f t="shared" si="2"/>
        <v>0.55</v>
      </c>
      <c r="C55" s="28">
        <v>0.45</v>
      </c>
      <c r="D55" s="28">
        <v>0.55000000000000004</v>
      </c>
      <c r="E55" s="28">
        <v>0.65</v>
      </c>
    </row>
    <row r="56" spans="1:6" x14ac:dyDescent="0.2">
      <c r="A56" s="10" t="s">
        <v>105</v>
      </c>
      <c r="B56" s="29">
        <f t="shared" si="2"/>
        <v>5000</v>
      </c>
      <c r="C56" s="30">
        <v>3000</v>
      </c>
      <c r="D56" s="30">
        <v>5000</v>
      </c>
      <c r="E56" s="30">
        <v>8000</v>
      </c>
    </row>
    <row r="57" spans="1:6" x14ac:dyDescent="0.2">
      <c r="A57" s="10" t="s">
        <v>106</v>
      </c>
      <c r="B57" s="27">
        <f t="shared" si="2"/>
        <v>0.5</v>
      </c>
      <c r="C57" s="28">
        <v>0.4</v>
      </c>
      <c r="D57" s="28">
        <v>0.5</v>
      </c>
      <c r="E57" s="28">
        <v>0.6</v>
      </c>
    </row>
    <row r="58" spans="1:6" x14ac:dyDescent="0.2">
      <c r="A58" s="10" t="s">
        <v>107</v>
      </c>
      <c r="B58" s="29">
        <f t="shared" si="2"/>
        <v>3000</v>
      </c>
      <c r="C58" s="30">
        <v>1500</v>
      </c>
      <c r="D58" s="30">
        <v>3000</v>
      </c>
      <c r="E58" s="30">
        <v>4500</v>
      </c>
    </row>
    <row r="59" spans="1:6" x14ac:dyDescent="0.2">
      <c r="A59" s="10" t="s">
        <v>108</v>
      </c>
      <c r="B59" s="27">
        <f t="shared" si="2"/>
        <v>0.55</v>
      </c>
      <c r="C59" s="28">
        <v>0.45</v>
      </c>
      <c r="D59" s="28">
        <v>0.55000000000000004</v>
      </c>
      <c r="E59" s="28">
        <v>0.65</v>
      </c>
    </row>
    <row r="60" spans="1:6" x14ac:dyDescent="0.2">
      <c r="A60" s="10" t="s">
        <v>109</v>
      </c>
      <c r="B60" s="29">
        <f t="shared" si="2"/>
        <v>4000</v>
      </c>
      <c r="C60" s="30">
        <v>2000</v>
      </c>
      <c r="D60" s="30">
        <v>4000</v>
      </c>
      <c r="E60" s="30">
        <v>6000</v>
      </c>
    </row>
    <row r="61" spans="1:6" x14ac:dyDescent="0.2">
      <c r="A61" s="10" t="s">
        <v>110</v>
      </c>
      <c r="B61" s="27">
        <f t="shared" si="2"/>
        <v>0.5</v>
      </c>
      <c r="C61" s="28">
        <v>0.4</v>
      </c>
      <c r="D61" s="28">
        <v>0.5</v>
      </c>
      <c r="E61" s="28">
        <v>0.6</v>
      </c>
    </row>
    <row r="62" spans="1:6" x14ac:dyDescent="0.2">
      <c r="A62" s="10" t="s">
        <v>111</v>
      </c>
      <c r="B62" s="29">
        <f t="shared" si="2"/>
        <v>25000</v>
      </c>
      <c r="C62" s="36">
        <v>12000</v>
      </c>
      <c r="D62" s="36">
        <v>25000</v>
      </c>
      <c r="E62" s="36">
        <v>40000</v>
      </c>
    </row>
    <row r="64" spans="1:6" x14ac:dyDescent="0.2">
      <c r="A64" s="24" t="s">
        <v>112</v>
      </c>
      <c r="B64" s="25"/>
      <c r="C64" s="25"/>
      <c r="D64" s="25"/>
      <c r="E64" s="25"/>
      <c r="F64" s="25"/>
    </row>
    <row r="65" spans="1:6" x14ac:dyDescent="0.2">
      <c r="A65" s="23" t="s">
        <v>113</v>
      </c>
      <c r="B65" s="37" t="s">
        <v>114</v>
      </c>
      <c r="C65" s="37" t="s">
        <v>115</v>
      </c>
      <c r="D65" s="37" t="s">
        <v>116</v>
      </c>
      <c r="E65" s="37" t="s">
        <v>117</v>
      </c>
      <c r="F65" s="37" t="s">
        <v>118</v>
      </c>
    </row>
    <row r="66" spans="1:6" x14ac:dyDescent="0.2">
      <c r="A66" s="10" t="s">
        <v>42</v>
      </c>
      <c r="B66" s="38">
        <f>$B$41</f>
        <v>0.14</v>
      </c>
      <c r="C66" s="38">
        <f>$B$42</f>
        <v>0.04</v>
      </c>
      <c r="D66" s="38">
        <f>$B$45</f>
        <v>-0.01</v>
      </c>
      <c r="E66" s="39">
        <f>$B$46</f>
        <v>2036</v>
      </c>
      <c r="F66" s="38">
        <f>$B$47</f>
        <v>0.3</v>
      </c>
    </row>
    <row r="67" spans="1:6" x14ac:dyDescent="0.2">
      <c r="A67" s="10" t="s">
        <v>43</v>
      </c>
      <c r="B67" s="38">
        <f>$B$43</f>
        <v>0.2</v>
      </c>
      <c r="C67" s="38">
        <f>$B$44</f>
        <v>0.06</v>
      </c>
      <c r="D67" s="38">
        <f>$B$45</f>
        <v>-0.01</v>
      </c>
      <c r="E67" s="39">
        <f>$B$46</f>
        <v>2036</v>
      </c>
      <c r="F67" s="38">
        <f>$B$47</f>
        <v>0.3</v>
      </c>
    </row>
    <row r="68" spans="1:6" x14ac:dyDescent="0.2">
      <c r="A68" s="10" t="s">
        <v>45</v>
      </c>
      <c r="B68" s="40">
        <v>-0.3</v>
      </c>
      <c r="C68" s="40">
        <v>0</v>
      </c>
      <c r="D68" s="40">
        <v>-0.1</v>
      </c>
      <c r="E68" s="41">
        <v>2029</v>
      </c>
      <c r="F68" s="40">
        <v>0.5</v>
      </c>
    </row>
    <row r="69" spans="1:6" x14ac:dyDescent="0.2">
      <c r="A69" s="10" t="s">
        <v>46</v>
      </c>
      <c r="B69" s="40">
        <v>-0.2</v>
      </c>
      <c r="C69" s="40">
        <v>0</v>
      </c>
      <c r="D69" s="40">
        <v>-0.1</v>
      </c>
      <c r="E69" s="41">
        <v>2027</v>
      </c>
      <c r="F69" s="40">
        <v>0.4</v>
      </c>
    </row>
    <row r="70" spans="1:6" x14ac:dyDescent="0.2">
      <c r="A70" s="10" t="s">
        <v>47</v>
      </c>
      <c r="B70" s="40">
        <v>-0.02</v>
      </c>
      <c r="C70" s="40">
        <v>0</v>
      </c>
      <c r="D70" s="40">
        <v>-0.02</v>
      </c>
      <c r="E70" s="41">
        <v>2099</v>
      </c>
      <c r="F70" s="40">
        <v>0</v>
      </c>
    </row>
    <row r="71" spans="1:6" x14ac:dyDescent="0.2">
      <c r="A71" s="10" t="s">
        <v>48</v>
      </c>
      <c r="B71" s="40">
        <v>0</v>
      </c>
      <c r="C71" s="40">
        <v>0</v>
      </c>
      <c r="D71" s="40">
        <v>0</v>
      </c>
      <c r="E71" s="41">
        <v>2031</v>
      </c>
      <c r="F71" s="40">
        <v>0.4</v>
      </c>
    </row>
    <row r="72" spans="1:6" x14ac:dyDescent="0.2">
      <c r="A72" s="10" t="s">
        <v>49</v>
      </c>
      <c r="B72" s="40">
        <v>0.12</v>
      </c>
      <c r="C72" s="40">
        <v>0.02</v>
      </c>
      <c r="D72" s="40">
        <v>0.02</v>
      </c>
      <c r="E72" s="41">
        <v>2099</v>
      </c>
      <c r="F72" s="40">
        <v>0</v>
      </c>
    </row>
    <row r="73" spans="1:6" x14ac:dyDescent="0.2">
      <c r="A73" s="10" t="s">
        <v>50</v>
      </c>
      <c r="B73" s="40">
        <v>0</v>
      </c>
      <c r="C73" s="40">
        <v>0</v>
      </c>
      <c r="D73" s="40">
        <v>-0.02</v>
      </c>
      <c r="E73" s="41">
        <v>2029</v>
      </c>
      <c r="F73" s="40">
        <v>0.35</v>
      </c>
    </row>
    <row r="74" spans="1:6" x14ac:dyDescent="0.2">
      <c r="A74" s="10" t="s">
        <v>51</v>
      </c>
      <c r="B74" s="40">
        <v>0.18</v>
      </c>
      <c r="C74" s="40">
        <v>0.03</v>
      </c>
      <c r="D74" s="40">
        <v>0.03</v>
      </c>
      <c r="E74" s="41">
        <v>2099</v>
      </c>
      <c r="F74" s="40">
        <v>0</v>
      </c>
    </row>
    <row r="75" spans="1:6" x14ac:dyDescent="0.2">
      <c r="A75" s="10" t="s">
        <v>52</v>
      </c>
      <c r="B75" s="40">
        <v>0.15</v>
      </c>
      <c r="C75" s="40">
        <v>0.02</v>
      </c>
      <c r="D75" s="40">
        <v>0.02</v>
      </c>
      <c r="E75" s="41">
        <v>2099</v>
      </c>
      <c r="F75" s="40">
        <v>0</v>
      </c>
    </row>
    <row r="76" spans="1:6" x14ac:dyDescent="0.2">
      <c r="A76" s="10" t="s">
        <v>53</v>
      </c>
      <c r="B76" s="40">
        <v>-0.02</v>
      </c>
      <c r="C76" s="40">
        <v>0</v>
      </c>
      <c r="D76" s="40">
        <v>-0.02</v>
      </c>
      <c r="E76" s="41">
        <v>2099</v>
      </c>
      <c r="F76" s="40">
        <v>0</v>
      </c>
    </row>
    <row r="78" spans="1:6" x14ac:dyDescent="0.2">
      <c r="A78" s="24" t="s">
        <v>119</v>
      </c>
      <c r="B78" s="25"/>
      <c r="C78" s="25"/>
      <c r="D78" s="25"/>
      <c r="E78" s="25"/>
      <c r="F78" s="25"/>
    </row>
    <row r="79" spans="1:6" x14ac:dyDescent="0.2">
      <c r="A79" s="23" t="s">
        <v>113</v>
      </c>
      <c r="B79" s="37" t="s">
        <v>120</v>
      </c>
      <c r="C79" s="37" t="s">
        <v>121</v>
      </c>
      <c r="D79" s="37" t="s">
        <v>122</v>
      </c>
      <c r="E79" s="37" t="s">
        <v>117</v>
      </c>
      <c r="F79" s="37" t="s">
        <v>118</v>
      </c>
    </row>
    <row r="80" spans="1:6" x14ac:dyDescent="0.2">
      <c r="A80" s="10" t="s">
        <v>44</v>
      </c>
      <c r="B80" s="41">
        <v>2026</v>
      </c>
      <c r="C80" s="42">
        <f>$B$51</f>
        <v>18000</v>
      </c>
      <c r="D80" s="40">
        <v>1</v>
      </c>
      <c r="E80" s="41">
        <v>2041</v>
      </c>
      <c r="F80" s="40">
        <v>0.5</v>
      </c>
    </row>
    <row r="81" spans="1:8" x14ac:dyDescent="0.2">
      <c r="A81" s="10" t="s">
        <v>123</v>
      </c>
      <c r="B81" s="41">
        <v>2028</v>
      </c>
      <c r="C81" s="42">
        <f>$B$52</f>
        <v>22000</v>
      </c>
      <c r="D81" s="38">
        <f>$B$53</f>
        <v>0.9</v>
      </c>
      <c r="E81" s="41">
        <v>2041</v>
      </c>
      <c r="F81" s="40">
        <v>0.4</v>
      </c>
    </row>
    <row r="82" spans="1:8" x14ac:dyDescent="0.2">
      <c r="A82" s="10" t="s">
        <v>124</v>
      </c>
      <c r="B82" s="41">
        <v>2029</v>
      </c>
      <c r="C82" s="42">
        <f>$B$54</f>
        <v>8000</v>
      </c>
      <c r="D82" s="38">
        <f>$B$55</f>
        <v>0.55</v>
      </c>
      <c r="E82" s="41">
        <v>2043</v>
      </c>
      <c r="F82" s="40">
        <v>0.4</v>
      </c>
    </row>
    <row r="83" spans="1:8" x14ac:dyDescent="0.2">
      <c r="A83" s="10" t="s">
        <v>125</v>
      </c>
      <c r="B83" s="41">
        <v>2030</v>
      </c>
      <c r="C83" s="42">
        <f>$B$56</f>
        <v>5000</v>
      </c>
      <c r="D83" s="38">
        <f>$B$57</f>
        <v>0.5</v>
      </c>
      <c r="E83" s="41">
        <v>2043</v>
      </c>
      <c r="F83" s="40">
        <v>0.4</v>
      </c>
    </row>
    <row r="84" spans="1:8" x14ac:dyDescent="0.2">
      <c r="A84" s="10" t="s">
        <v>126</v>
      </c>
      <c r="B84" s="41">
        <v>2028</v>
      </c>
      <c r="C84" s="42">
        <f>$B$58</f>
        <v>3000</v>
      </c>
      <c r="D84" s="38">
        <f>$B$59</f>
        <v>0.55</v>
      </c>
      <c r="E84" s="41">
        <v>2041</v>
      </c>
      <c r="F84" s="40">
        <v>0.4</v>
      </c>
    </row>
    <row r="85" spans="1:8" x14ac:dyDescent="0.2">
      <c r="A85" s="10" t="s">
        <v>127</v>
      </c>
      <c r="B85" s="41">
        <v>2029</v>
      </c>
      <c r="C85" s="42">
        <f>$B$60</f>
        <v>4000</v>
      </c>
      <c r="D85" s="38">
        <f>$B$61</f>
        <v>0.5</v>
      </c>
      <c r="E85" s="41">
        <v>2043</v>
      </c>
      <c r="F85" s="40">
        <v>0.4</v>
      </c>
    </row>
    <row r="87" spans="1:8" x14ac:dyDescent="0.2">
      <c r="A87" s="17" t="s">
        <v>128</v>
      </c>
      <c r="B87" s="43">
        <v>1</v>
      </c>
      <c r="C87" s="43">
        <v>2</v>
      </c>
      <c r="D87" s="43">
        <v>3</v>
      </c>
      <c r="E87" s="43">
        <v>4</v>
      </c>
      <c r="F87" s="43">
        <v>5</v>
      </c>
      <c r="G87" s="43">
        <v>6</v>
      </c>
      <c r="H87" s="43">
        <v>7</v>
      </c>
    </row>
    <row r="88" spans="1:8" x14ac:dyDescent="0.2">
      <c r="A88" s="10" t="s">
        <v>129</v>
      </c>
      <c r="B88" s="40">
        <v>0.1</v>
      </c>
      <c r="C88" s="40">
        <v>0.25</v>
      </c>
      <c r="D88" s="40">
        <v>0.45</v>
      </c>
      <c r="E88" s="40">
        <v>0.65</v>
      </c>
      <c r="F88" s="40">
        <v>0.82</v>
      </c>
      <c r="G88" s="40">
        <v>0.93</v>
      </c>
      <c r="H88" s="40">
        <v>1</v>
      </c>
    </row>
    <row r="91" spans="1:8" ht="18" x14ac:dyDescent="0.25">
      <c r="A91" s="44" t="s">
        <v>130</v>
      </c>
    </row>
    <row r="93" spans="1:8" x14ac:dyDescent="0.2">
      <c r="A93" s="24" t="s">
        <v>131</v>
      </c>
    </row>
    <row r="94" spans="1:8" x14ac:dyDescent="0.2">
      <c r="A94" s="10" t="s">
        <v>10</v>
      </c>
      <c r="B94" s="43" t="s">
        <v>132</v>
      </c>
      <c r="C94" s="43" t="s">
        <v>133</v>
      </c>
      <c r="D94" s="43" t="s">
        <v>134</v>
      </c>
      <c r="E94" s="43" t="s">
        <v>135</v>
      </c>
      <c r="F94" s="43" t="s">
        <v>8</v>
      </c>
      <c r="G94" s="43" t="s">
        <v>136</v>
      </c>
      <c r="H94" s="43" t="s">
        <v>67</v>
      </c>
    </row>
    <row r="95" spans="1:8" x14ac:dyDescent="0.2">
      <c r="A95" s="20" t="s">
        <v>137</v>
      </c>
      <c r="C95" s="45">
        <f>NPV!C31/1000</f>
        <v>707.2540857580573</v>
      </c>
      <c r="D95" s="45">
        <f>NPV!C35/1000</f>
        <v>656.3560857580574</v>
      </c>
      <c r="E95" s="46">
        <f>NPV!C37</f>
        <v>734.2143280203924</v>
      </c>
      <c r="F95" s="47">
        <f>NPV!C39</f>
        <v>-0.42944174814922476</v>
      </c>
      <c r="G95" s="47">
        <f>NPV!C40</f>
        <v>0.3902701331387636</v>
      </c>
      <c r="H95" s="47">
        <f>Assumptions!$B$14</f>
        <v>0.075</v>
      </c>
    </row>
    <row r="96" spans="1:8" x14ac:dyDescent="0.2">
      <c r="A96" s="17" t="s">
        <v>62</v>
      </c>
      <c r="B96" s="48">
        <v>1</v>
      </c>
      <c r="C96" s="9">
        <f t="dataTable" ref="C96:H98" dt2D="0" dtr="0" r1="B4" ca="1"/>
        <v>351.4580481511088</v>
      </c>
      <c r="D96" s="9">
        <v>300.5600481511088</v>
      </c>
      <c r="E96" s="49">
        <v>336.2130687463259</v>
      </c>
      <c r="F96" s="50">
        <v>-0.738728688024241</v>
      </c>
      <c r="G96" s="50">
        <v>0.24978090301607134</v>
      </c>
      <c r="H96" s="50">
        <v>0.085</v>
      </c>
    </row>
    <row r="97" spans="1:8" x14ac:dyDescent="0.2">
      <c r="A97" s="17" t="s">
        <v>63</v>
      </c>
      <c r="B97" s="48">
        <v>2</v>
      </c>
      <c r="C97" s="51">
        <v>707.2540857580573</v>
      </c>
      <c r="D97" s="51">
        <v>656.3560857580574</v>
      </c>
      <c r="E97" s="52">
        <v>734.2143280203924</v>
      </c>
      <c r="F97" s="27">
        <v>-0.42944174814922476</v>
      </c>
      <c r="G97" s="27">
        <v>0.3902701331387636</v>
      </c>
      <c r="H97" s="27">
        <v>0.075</v>
      </c>
    </row>
    <row r="98" spans="1:8" x14ac:dyDescent="0.2">
      <c r="A98" s="17" t="s">
        <v>64</v>
      </c>
      <c r="B98" s="48">
        <v>3</v>
      </c>
      <c r="C98" s="9">
        <v>1401.2587189480635</v>
      </c>
      <c r="D98" s="9">
        <v>1350.3607189480635</v>
      </c>
      <c r="E98" s="49">
        <v>1510.5431477831246</v>
      </c>
      <c r="F98" s="50">
        <v>0.17384369230175167</v>
      </c>
      <c r="G98" s="50">
        <v>0.5238975824603881</v>
      </c>
      <c r="H98" s="50">
        <v>0.0675</v>
      </c>
    </row>
    <row r="100" spans="1:8" x14ac:dyDescent="0.2">
      <c r="A100" s="24" t="s">
        <v>138</v>
      </c>
    </row>
    <row r="101" spans="1:8" x14ac:dyDescent="0.2">
      <c r="C101" s="20" t="s">
        <v>139</v>
      </c>
    </row>
    <row r="102" spans="1:8" x14ac:dyDescent="0.2">
      <c r="A102" s="20" t="s">
        <v>140</v>
      </c>
      <c r="B102" s="46">
        <f>NPV!C37</f>
        <v>734.2143280203924</v>
      </c>
      <c r="C102" s="53">
        <v>0.01</v>
      </c>
      <c r="D102" s="53">
        <v>1.4999999999999999E-2</v>
      </c>
      <c r="E102" s="53">
        <v>0.02</v>
      </c>
      <c r="F102" s="53">
        <v>2.5000000000000001E-2</v>
      </c>
      <c r="G102" s="53">
        <v>0.03</v>
      </c>
    </row>
    <row r="103" spans="1:8" x14ac:dyDescent="0.2">
      <c r="B103" s="27">
        <v>0.06</v>
      </c>
      <c r="C103" s="49">
        <f t="dataTable" ref="C103:G110" dt2D="1" dtr="0" r1="B7" r2="B6" ca="1"/>
        <v>883.6236407484676</v>
      </c>
      <c r="D103" s="49">
        <v>930.7806293161809</v>
      </c>
      <c r="E103" s="49">
        <v>989.7166732649291</v>
      </c>
      <c r="F103" s="49">
        <v>1065.4799391865831</v>
      </c>
      <c r="G103" s="49">
        <v>1166.4840380675967</v>
      </c>
    </row>
    <row r="104" spans="1:8" x14ac:dyDescent="0.2">
      <c r="B104" s="27">
        <v>6.5000000000000002E-2</v>
      </c>
      <c r="C104" s="49">
        <v>805.9040187977033</v>
      </c>
      <c r="D104" s="49">
        <v>842.094581267321</v>
      </c>
      <c r="E104" s="49">
        <v>886.3190175807514</v>
      </c>
      <c r="F104" s="49">
        <v>941.5900304294232</v>
      </c>
      <c r="G104" s="49">
        <v>1012.6418668998691</v>
      </c>
    </row>
    <row r="105" spans="1:8" x14ac:dyDescent="0.2">
      <c r="B105" s="27">
        <v>7.0000000000000007E-2</v>
      </c>
      <c r="C105" s="49">
        <v>740.7153575655482</v>
      </c>
      <c r="D105" s="49">
        <v>769.0127243248585</v>
      </c>
      <c r="E105" s="49">
        <v>802.9624294300975</v>
      </c>
      <c r="F105" s="49">
        <v>844.4485856632413</v>
      </c>
      <c r="G105" s="49">
        <v>896.2973621972544</v>
      </c>
    </row>
    <row r="106" spans="1:8" x14ac:dyDescent="0.2">
      <c r="B106" s="27">
        <v>7.4999999999999997E-2</v>
      </c>
      <c r="C106" s="49">
        <v>685.1886825815291</v>
      </c>
      <c r="D106" s="49">
        <v>707.6615524349958</v>
      </c>
      <c r="E106" s="49">
        <v>734.2143280203924</v>
      </c>
      <c r="F106" s="49">
        <v>766.0709810572979</v>
      </c>
      <c r="G106" s="49">
        <v>804.9994706962151</v>
      </c>
    </row>
    <row r="107" spans="1:8" x14ac:dyDescent="0.2">
      <c r="B107" s="27">
        <v>0.08</v>
      </c>
      <c r="C107" s="49">
        <v>637.2735521680447</v>
      </c>
      <c r="D107" s="49">
        <v>655.3579869534051</v>
      </c>
      <c r="E107" s="49">
        <v>676.4512845685774</v>
      </c>
      <c r="F107" s="49">
        <v>701.3740439671468</v>
      </c>
      <c r="G107" s="49">
        <v>731.2751036841325</v>
      </c>
    </row>
    <row r="108" spans="1:8" x14ac:dyDescent="0.2">
      <c r="B108" s="27">
        <v>8.5000000000000006E-2</v>
      </c>
      <c r="C108" s="49">
        <v>595.465270464393</v>
      </c>
      <c r="D108" s="49">
        <v>610.1842948484347</v>
      </c>
      <c r="E108" s="49">
        <v>627.1632811149036</v>
      </c>
      <c r="F108" s="49">
        <v>646.9672197344064</v>
      </c>
      <c r="G108" s="49">
        <v>670.3665522577705</v>
      </c>
    </row>
    <row r="109" spans="1:8" x14ac:dyDescent="0.2">
      <c r="B109" s="27">
        <v>0.09</v>
      </c>
      <c r="C109" s="49">
        <v>558.6343932115543</v>
      </c>
      <c r="D109" s="49">
        <v>570.733036484226</v>
      </c>
      <c r="E109" s="49">
        <v>584.5561400954708</v>
      </c>
      <c r="F109" s="49">
        <v>600.5016564311129</v>
      </c>
      <c r="G109" s="49">
        <v>619.1001886722518</v>
      </c>
    </row>
    <row r="110" spans="1:8" x14ac:dyDescent="0.2">
      <c r="B110" s="27">
        <v>9.5000000000000001E-2</v>
      </c>
      <c r="C110" s="49">
        <v>525.9164057838825</v>
      </c>
      <c r="D110" s="49">
        <v>535.9476551240675</v>
      </c>
      <c r="E110" s="49">
        <v>547.3129784541429</v>
      </c>
      <c r="F110" s="49">
        <v>560.2982487719422</v>
      </c>
      <c r="G110" s="49">
        <v>575.2772999977095</v>
      </c>
    </row>
    <row r="112" spans="1:8" x14ac:dyDescent="0.2">
      <c r="A112" s="24" t="s">
        <v>141</v>
      </c>
    </row>
    <row r="113" spans="1:7" x14ac:dyDescent="0.2">
      <c r="C113" s="20" t="s">
        <v>142</v>
      </c>
    </row>
    <row r="114" spans="1:7" x14ac:dyDescent="0.2">
      <c r="A114" s="20" t="s">
        <v>143</v>
      </c>
      <c r="B114" s="46">
        <f>NPV!C37</f>
        <v>734.2143280203924</v>
      </c>
      <c r="C114" s="53">
        <v>6.5000000000000002E-2</v>
      </c>
      <c r="D114" s="53">
        <v>7.0000000000000007E-2</v>
      </c>
      <c r="E114" s="53">
        <v>7.4999999999999997E-2</v>
      </c>
      <c r="F114" s="53">
        <v>0.08</v>
      </c>
      <c r="G114" s="53">
        <v>8.5000000000000006E-2</v>
      </c>
    </row>
    <row r="115" spans="1:7" x14ac:dyDescent="0.2">
      <c r="B115" s="35">
        <v>0.7</v>
      </c>
      <c r="C115" s="49">
        <f t="dataTable" ref="C115:G121" dt2D="1" dtr="0" r1="B6" r2="B8"/>
        <v>704.6229859644915</v>
      </c>
      <c r="D115" s="49">
        <v>635.710439909903</v>
      </c>
      <c r="E115" s="49">
        <v>578.9948899467472</v>
      </c>
      <c r="F115" s="49">
        <v>531.4441372192049</v>
      </c>
      <c r="G115" s="49">
        <v>490.9581325917057</v>
      </c>
    </row>
    <row r="116" spans="1:7" x14ac:dyDescent="0.2">
      <c r="B116" s="35">
        <v>0.8</v>
      </c>
      <c r="C116" s="49">
        <v>765.188329836578</v>
      </c>
      <c r="D116" s="49">
        <v>691.4611030833014</v>
      </c>
      <c r="E116" s="49">
        <v>630.7347026379624</v>
      </c>
      <c r="F116" s="49">
        <v>579.7798530023293</v>
      </c>
      <c r="G116" s="49">
        <v>536.3598487661052</v>
      </c>
    </row>
    <row r="117" spans="1:7" x14ac:dyDescent="0.2">
      <c r="B117" s="35">
        <v>0.9</v>
      </c>
      <c r="C117" s="49">
        <v>825.7536737086648</v>
      </c>
      <c r="D117" s="49">
        <v>747.2117662566993</v>
      </c>
      <c r="E117" s="49">
        <v>682.4745153291775</v>
      </c>
      <c r="F117" s="49">
        <v>628.1155687854533</v>
      </c>
      <c r="G117" s="49">
        <v>581.7615649405045</v>
      </c>
    </row>
    <row r="118" spans="1:7" x14ac:dyDescent="0.2">
      <c r="B118" s="35">
        <v>1</v>
      </c>
      <c r="C118" s="49">
        <v>886.3190175807514</v>
      </c>
      <c r="D118" s="49">
        <v>802.9624294300975</v>
      </c>
      <c r="E118" s="49">
        <v>734.2143280203924</v>
      </c>
      <c r="F118" s="49">
        <v>676.4512845685774</v>
      </c>
      <c r="G118" s="49">
        <v>627.1632811149036</v>
      </c>
    </row>
    <row r="119" spans="1:7" x14ac:dyDescent="0.2">
      <c r="B119" s="35">
        <v>1.1000000000000001</v>
      </c>
      <c r="C119" s="49">
        <v>946.884361452838</v>
      </c>
      <c r="D119" s="49">
        <v>858.7130926034955</v>
      </c>
      <c r="E119" s="49">
        <v>785.9541407116076</v>
      </c>
      <c r="F119" s="49">
        <v>724.7870003517016</v>
      </c>
      <c r="G119" s="49">
        <v>672.564997289303</v>
      </c>
    </row>
    <row r="120" spans="1:7" x14ac:dyDescent="0.2">
      <c r="B120" s="35">
        <v>1.2</v>
      </c>
      <c r="C120" s="49">
        <v>1007.4497053249245</v>
      </c>
      <c r="D120" s="49">
        <v>914.4637557768935</v>
      </c>
      <c r="E120" s="49">
        <v>837.6939534028224</v>
      </c>
      <c r="F120" s="49">
        <v>773.1227161348256</v>
      </c>
      <c r="G120" s="49">
        <v>717.9667134637024</v>
      </c>
    </row>
    <row r="121" spans="1:7" x14ac:dyDescent="0.2">
      <c r="B121" s="35">
        <v>1.3</v>
      </c>
      <c r="C121" s="49">
        <v>1068.0150491970112</v>
      </c>
      <c r="D121" s="49">
        <v>970.2144189502917</v>
      </c>
      <c r="E121" s="49">
        <v>889.4337660940374</v>
      </c>
      <c r="F121" s="49">
        <v>821.4584319179498</v>
      </c>
      <c r="G121" s="49">
        <v>763.3684296381017</v>
      </c>
    </row>
  </sheetData>
  <pageMargins left="0.75" right="0.75" top="1" bottom="1" header="0.5" footer="0.5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35"/>
  <sheetViews>
    <sheetView zoomScale="141" workbookViewId="0">
      <pane xSplit="2" ySplit="2" topLeftCell="H3" activePane="bottomRight" state="frozen"/>
      <selection pane="topRight"/>
      <selection pane="bottomLeft"/>
      <selection pane="bottomRight" activeCell="S11" sqref="S11"/>
    </sheetView>
  </sheetViews>
  <sheetFormatPr baseColWidth="10" defaultColWidth="8.83203125" defaultRowHeight="16" x14ac:dyDescent="0.2"/>
  <cols>
    <col min="1" max="1" width="46" customWidth="1"/>
    <col min="2" max="2" width="2" customWidth="1"/>
    <col min="3" max="17" width="9" customWidth="1"/>
  </cols>
  <sheetData>
    <row r="1" spans="1:17" ht="19" x14ac:dyDescent="0.25">
      <c r="A1" s="18" t="s">
        <v>144</v>
      </c>
    </row>
    <row r="2" spans="1:17" x14ac:dyDescent="0.2">
      <c r="A2" s="17" t="s">
        <v>145</v>
      </c>
      <c r="C2" s="17">
        <v>2026</v>
      </c>
      <c r="D2" s="17">
        <v>2027</v>
      </c>
      <c r="E2" s="17">
        <v>2028</v>
      </c>
      <c r="F2" s="17">
        <v>2029</v>
      </c>
      <c r="G2" s="17">
        <v>2030</v>
      </c>
      <c r="H2" s="17">
        <v>2031</v>
      </c>
      <c r="I2" s="17">
        <v>2032</v>
      </c>
      <c r="J2" s="17">
        <v>2033</v>
      </c>
      <c r="K2" s="17">
        <v>2034</v>
      </c>
      <c r="L2" s="17">
        <v>2035</v>
      </c>
      <c r="M2" s="17">
        <v>2036</v>
      </c>
      <c r="N2" s="17">
        <v>2037</v>
      </c>
      <c r="O2" s="17">
        <v>2038</v>
      </c>
      <c r="P2" s="17">
        <v>2039</v>
      </c>
      <c r="Q2" s="17">
        <v>2040</v>
      </c>
    </row>
    <row r="4" spans="1:17" x14ac:dyDescent="0.2">
      <c r="A4" s="24" t="s">
        <v>146</v>
      </c>
    </row>
    <row r="5" spans="1:17" x14ac:dyDescent="0.2">
      <c r="A5" s="10" t="s">
        <v>42</v>
      </c>
      <c r="C5" s="12">
        <f>SUM('Quarterly Model'!F24:I24)</f>
        <v>38655.0</v>
      </c>
      <c r="D5" s="12">
        <f>IF(D$2&gt;Assumptions!$E$66,C5*(1-Assumptions!$F$66),C5*(1+IF(D$2=2027,Assumptions!$B$66,MAX(Assumptions!$D$66,Assumptions!$B$66-Assumptions!$C$66*(D$2-2027)))))</f>
        <v>44066.700000000004</v>
      </c>
      <c r="E5" s="12">
        <f>IF(E$2&gt;Assumptions!$E$66,D5*(1-Assumptions!$F$66),D5*(1+IF(E$2=2027,Assumptions!$B$66,MAX(Assumptions!$D$66,Assumptions!$B$66-Assumptions!$C$66*(E$2-2027)))))</f>
        <v>48473.37000000001</v>
      </c>
      <c r="F5" s="12">
        <f>IF(F$2&gt;Assumptions!$E$66,E5*(1-Assumptions!$F$66),E5*(1+IF(F$2=2027,Assumptions!$B$66,MAX(Assumptions!$D$66,Assumptions!$B$66-Assumptions!$C$66*(F$2-2027)))))</f>
        <v>51381.772200000014</v>
      </c>
      <c r="G5" s="12">
        <f>IF(G$2&gt;Assumptions!$E$66,F5*(1-Assumptions!$F$66),F5*(1+IF(G$2=2027,Assumptions!$B$66,MAX(Assumptions!$D$66,Assumptions!$B$66-Assumptions!$C$66*(G$2-2027)))))</f>
        <v>52409.40764400001</v>
      </c>
      <c r="H5" s="12">
        <f>IF(H$2&gt;Assumptions!$E$66,G5*(1-Assumptions!$F$66),G5*(1+IF(H$2=2027,Assumptions!$B$66,MAX(Assumptions!$D$66,Assumptions!$B$66-Assumptions!$C$66*(H$2-2027)))))</f>
        <v>51885.31356756001</v>
      </c>
      <c r="I5" s="12">
        <f>IF(I$2&gt;Assumptions!$E$66,H5*(1-Assumptions!$F$66),H5*(1+IF(I$2=2027,Assumptions!$B$66,MAX(Assumptions!$D$66,Assumptions!$B$66-Assumptions!$C$66*(I$2-2027)))))</f>
        <v>51366.460431884414</v>
      </c>
      <c r="J5" s="12">
        <f>IF(J$2&gt;Assumptions!$E$66,I5*(1-Assumptions!$F$66),I5*(1+IF(J$2=2027,Assumptions!$B$66,MAX(Assumptions!$D$66,Assumptions!$B$66-Assumptions!$C$66*(J$2-2027)))))</f>
        <v>50852.79582756557</v>
      </c>
      <c r="K5" s="12">
        <f>IF(K$2&gt;Assumptions!$E$66,J5*(1-Assumptions!$F$66),J5*(1+IF(K$2=2027,Assumptions!$B$66,MAX(Assumptions!$D$66,Assumptions!$B$66-Assumptions!$C$66*(K$2-2027)))))</f>
        <v>50344.26786928991</v>
      </c>
      <c r="L5" s="12">
        <f>IF(L$2&gt;Assumptions!$E$66,K5*(1-Assumptions!$F$66),K5*(1+IF(L$2=2027,Assumptions!$B$66,MAX(Assumptions!$D$66,Assumptions!$B$66-Assumptions!$C$66*(L$2-2027)))))</f>
        <v>49840.82519059702</v>
      </c>
      <c r="M5" s="12">
        <f>IF(M$2&gt;Assumptions!$E$66,L5*(1-Assumptions!$F$66),L5*(1+IF(M$2=2027,Assumptions!$B$66,MAX(Assumptions!$D$66,Assumptions!$B$66-Assumptions!$C$66*(M$2-2027)))))</f>
        <v>49342.41693869104</v>
      </c>
      <c r="N5" s="12">
        <f>IF(N$2&gt;Assumptions!$E$66,M5*(1-Assumptions!$F$66),M5*(1+IF(N$2=2027,Assumptions!$B$66,MAX(Assumptions!$D$66,Assumptions!$B$66-Assumptions!$C$66*(N$2-2027)))))</f>
        <v>34539.69185708373</v>
      </c>
      <c r="O5" s="12">
        <f>IF(O$2&gt;Assumptions!$E$66,N5*(1-Assumptions!$F$66),N5*(1+IF(O$2=2027,Assumptions!$B$66,MAX(Assumptions!$D$66,Assumptions!$B$66-Assumptions!$C$66*(O$2-2027)))))</f>
        <v>24177.78429995861</v>
      </c>
      <c r="P5" s="12">
        <f>IF(P$2&gt;Assumptions!$E$66,O5*(1-Assumptions!$F$66),O5*(1+IF(P$2=2027,Assumptions!$B$66,MAX(Assumptions!$D$66,Assumptions!$B$66-Assumptions!$C$66*(P$2-2027)))))</f>
        <v>16924.449009971027</v>
      </c>
      <c r="Q5" s="12">
        <f>IF(Q$2&gt;Assumptions!$E$66,P5*(1-Assumptions!$F$66),P5*(1+IF(Q$2=2027,Assumptions!$B$66,MAX(Assumptions!$D$66,Assumptions!$B$66-Assumptions!$C$66*(Q$2-2027)))))</f>
        <v>11847.114306979718</v>
      </c>
    </row>
    <row r="6" spans="1:17" x14ac:dyDescent="0.2">
      <c r="A6" s="10" t="s">
        <v>43</v>
      </c>
      <c r="C6" s="12">
        <f>SUM('Quarterly Model'!F25:I25)</f>
        <v>18888.0</v>
      </c>
      <c r="D6" s="12">
        <f>IF(D$2&gt;Assumptions!$E$67,C6*(1-Assumptions!$F$67),C6*(1+IF(D$2=2027,Assumptions!$B$67,MAX(Assumptions!$D$67,Assumptions!$B$67-Assumptions!$C$67*(D$2-2027)))))</f>
        <v>22665.6</v>
      </c>
      <c r="E6" s="12">
        <f>IF(E$2&gt;Assumptions!$E$67,D6*(1-Assumptions!$F$67),D6*(1+IF(E$2=2027,Assumptions!$B$67,MAX(Assumptions!$D$67,Assumptions!$B$67-Assumptions!$C$67*(E$2-2027)))))</f>
        <v>25838.784</v>
      </c>
      <c r="F6" s="12">
        <f>IF(F$2&gt;Assumptions!$E$67,E6*(1-Assumptions!$F$67),E6*(1+IF(F$2=2027,Assumptions!$B$67,MAX(Assumptions!$D$67,Assumptions!$B$67-Assumptions!$C$67*(F$2-2027)))))</f>
        <v>27905.886720000002</v>
      </c>
      <c r="G6" s="12">
        <f>IF(G$2&gt;Assumptions!$E$67,F6*(1-Assumptions!$F$67),F6*(1+IF(G$2=2027,Assumptions!$B$67,MAX(Assumptions!$D$67,Assumptions!$B$67-Assumptions!$C$67*(G$2-2027)))))</f>
        <v>28464.0044544</v>
      </c>
      <c r="H6" s="12">
        <f>IF(H$2&gt;Assumptions!$E$67,G6*(1-Assumptions!$F$67),G6*(1+IF(H$2=2027,Assumptions!$B$67,MAX(Assumptions!$D$67,Assumptions!$B$67-Assumptions!$C$67*(H$2-2027)))))</f>
        <v>28179.364409856</v>
      </c>
      <c r="I6" s="12">
        <f>IF(I$2&gt;Assumptions!$E$67,H6*(1-Assumptions!$F$67),H6*(1+IF(I$2=2027,Assumptions!$B$67,MAX(Assumptions!$D$67,Assumptions!$B$67-Assumptions!$C$67*(I$2-2027)))))</f>
        <v>27897.57076575744</v>
      </c>
      <c r="J6" s="12">
        <f>IF(J$2&gt;Assumptions!$E$67,I6*(1-Assumptions!$F$67),I6*(1+IF(J$2=2027,Assumptions!$B$67,MAX(Assumptions!$D$67,Assumptions!$B$67-Assumptions!$C$67*(J$2-2027)))))</f>
        <v>27618.595058099865</v>
      </c>
      <c r="K6" s="12">
        <f>IF(K$2&gt;Assumptions!$E$67,J6*(1-Assumptions!$F$67),J6*(1+IF(K$2=2027,Assumptions!$B$67,MAX(Assumptions!$D$67,Assumptions!$B$67-Assumptions!$C$67*(K$2-2027)))))</f>
        <v>27342.409107518866</v>
      </c>
      <c r="L6" s="12">
        <f>IF(L$2&gt;Assumptions!$E$67,K6*(1-Assumptions!$F$67),K6*(1+IF(L$2=2027,Assumptions!$B$67,MAX(Assumptions!$D$67,Assumptions!$B$67-Assumptions!$C$67*(L$2-2027)))))</f>
        <v>27068.985016443676</v>
      </c>
      <c r="M6" s="12">
        <f>IF(M$2&gt;Assumptions!$E$67,L6*(1-Assumptions!$F$67),L6*(1+IF(M$2=2027,Assumptions!$B$67,MAX(Assumptions!$D$67,Assumptions!$B$67-Assumptions!$C$67*(M$2-2027)))))</f>
        <v>26798.29516627924</v>
      </c>
      <c r="N6" s="12">
        <f>IF(N$2&gt;Assumptions!$E$67,M6*(1-Assumptions!$F$67),M6*(1+IF(N$2=2027,Assumptions!$B$67,MAX(Assumptions!$D$67,Assumptions!$B$67-Assumptions!$C$67*(N$2-2027)))))</f>
        <v>18758.806616395468</v>
      </c>
      <c r="O6" s="12">
        <f>IF(O$2&gt;Assumptions!$E$67,N6*(1-Assumptions!$F$67),N6*(1+IF(O$2=2027,Assumptions!$B$67,MAX(Assumptions!$D$67,Assumptions!$B$67-Assumptions!$C$67*(O$2-2027)))))</f>
        <v>13131.164631476828</v>
      </c>
      <c r="P6" s="12">
        <f>IF(P$2&gt;Assumptions!$E$67,O6*(1-Assumptions!$F$67),O6*(1+IF(P$2=2027,Assumptions!$B$67,MAX(Assumptions!$D$67,Assumptions!$B$67-Assumptions!$C$67*(P$2-2027)))))</f>
        <v>9191.81524203378</v>
      </c>
      <c r="Q6" s="12">
        <f>IF(Q$2&gt;Assumptions!$E$67,P6*(1-Assumptions!$F$67),P6*(1+IF(Q$2=2027,Assumptions!$B$67,MAX(Assumptions!$D$67,Assumptions!$B$67-Assumptions!$C$67*(Q$2-2027)))))</f>
        <v>6434.270669423645</v>
      </c>
    </row>
    <row r="7" spans="1:17" x14ac:dyDescent="0.2">
      <c r="A7" s="10" t="s">
        <v>45</v>
      </c>
      <c r="C7" s="12">
        <f>SUM('Quarterly Model'!F27:I27)</f>
        <v>3846.0</v>
      </c>
      <c r="D7" s="12">
        <f>IF(D$2&gt;Assumptions!$E$68,C7*(1-Assumptions!$F$68),C7*(1+IF(D$2=2027,Assumptions!$B$68,MAX(Assumptions!$D$68,Assumptions!$B$68-Assumptions!$C$68*(D$2-2027)))))</f>
        <v>2692.2</v>
      </c>
      <c r="E7" s="12">
        <f>IF(E$2&gt;Assumptions!$E$68,D7*(1-Assumptions!$F$68),D7*(1+IF(E$2=2027,Assumptions!$B$68,MAX(Assumptions!$D$68,Assumptions!$B$68-Assumptions!$C$68*(E$2-2027)))))</f>
        <v>2422.98</v>
      </c>
      <c r="F7" s="12">
        <f>IF(F$2&gt;Assumptions!$E$68,E7*(1-Assumptions!$F$68),E7*(1+IF(F$2=2027,Assumptions!$B$68,MAX(Assumptions!$D$68,Assumptions!$B$68-Assumptions!$C$68*(F$2-2027)))))</f>
        <v>2180.6820000000002</v>
      </c>
      <c r="G7" s="12">
        <f>IF(G$2&gt;Assumptions!$E$68,F7*(1-Assumptions!$F$68),F7*(1+IF(G$2=2027,Assumptions!$B$68,MAX(Assumptions!$D$68,Assumptions!$B$68-Assumptions!$C$68*(G$2-2027)))))</f>
        <v>1090.3410000000001</v>
      </c>
      <c r="H7" s="12">
        <f>IF(H$2&gt;Assumptions!$E$68,G7*(1-Assumptions!$F$68),G7*(1+IF(H$2=2027,Assumptions!$B$68,MAX(Assumptions!$D$68,Assumptions!$B$68-Assumptions!$C$68*(H$2-2027)))))</f>
        <v>545.1705000000001</v>
      </c>
      <c r="I7" s="12">
        <f>IF(I$2&gt;Assumptions!$E$68,H7*(1-Assumptions!$F$68),H7*(1+IF(I$2=2027,Assumptions!$B$68,MAX(Assumptions!$D$68,Assumptions!$B$68-Assumptions!$C$68*(I$2-2027)))))</f>
        <v>272.58525000000003</v>
      </c>
      <c r="J7" s="12">
        <f>IF(J$2&gt;Assumptions!$E$68,I7*(1-Assumptions!$F$68),I7*(1+IF(J$2=2027,Assumptions!$B$68,MAX(Assumptions!$D$68,Assumptions!$B$68-Assumptions!$C$68*(J$2-2027)))))</f>
        <v>136.29262500000002</v>
      </c>
      <c r="K7" s="12">
        <f>IF(K$2&gt;Assumptions!$E$68,J7*(1-Assumptions!$F$68),J7*(1+IF(K$2=2027,Assumptions!$B$68,MAX(Assumptions!$D$68,Assumptions!$B$68-Assumptions!$C$68*(K$2-2027)))))</f>
        <v>68.14631250000001</v>
      </c>
      <c r="L7" s="12">
        <f>IF(L$2&gt;Assumptions!$E$68,K7*(1-Assumptions!$F$68),K7*(1+IF(L$2=2027,Assumptions!$B$68,MAX(Assumptions!$D$68,Assumptions!$B$68-Assumptions!$C$68*(L$2-2027)))))</f>
        <v>34.073156250000004</v>
      </c>
      <c r="M7" s="12">
        <f>IF(M$2&gt;Assumptions!$E$68,L7*(1-Assumptions!$F$68),L7*(1+IF(M$2=2027,Assumptions!$B$68,MAX(Assumptions!$D$68,Assumptions!$B$68-Assumptions!$C$68*(M$2-2027)))))</f>
        <v>17.036578125000002</v>
      </c>
      <c r="N7" s="12">
        <f>IF(N$2&gt;Assumptions!$E$68,M7*(1-Assumptions!$F$68),M7*(1+IF(N$2=2027,Assumptions!$B$68,MAX(Assumptions!$D$68,Assumptions!$B$68-Assumptions!$C$68*(N$2-2027)))))</f>
        <v>8.518289062500001</v>
      </c>
      <c r="O7" s="12">
        <f>IF(O$2&gt;Assumptions!$E$68,N7*(1-Assumptions!$F$68),N7*(1+IF(O$2=2027,Assumptions!$B$68,MAX(Assumptions!$D$68,Assumptions!$B$68-Assumptions!$C$68*(O$2-2027)))))</f>
        <v>4.2591445312500005</v>
      </c>
      <c r="P7" s="12">
        <f>IF(P$2&gt;Assumptions!$E$68,O7*(1-Assumptions!$F$68),O7*(1+IF(P$2=2027,Assumptions!$B$68,MAX(Assumptions!$D$68,Assumptions!$B$68-Assumptions!$C$68*(P$2-2027)))))</f>
        <v>2.1295722656250002</v>
      </c>
      <c r="Q7" s="12">
        <f>IF(Q$2&gt;Assumptions!$E$68,P7*(1-Assumptions!$F$68),P7*(1+IF(Q$2=2027,Assumptions!$B$68,MAX(Assumptions!$D$68,Assumptions!$B$68-Assumptions!$C$68*(Q$2-2027)))))</f>
        <v>1.0647861328125001</v>
      </c>
    </row>
    <row r="8" spans="1:17" x14ac:dyDescent="0.2">
      <c r="A8" s="10" t="s">
        <v>46</v>
      </c>
      <c r="C8" s="12">
        <f>SUM('Quarterly Model'!F28:I28)</f>
        <v>3838.0</v>
      </c>
      <c r="D8" s="12">
        <f>IF(D$2&gt;Assumptions!$E$69,C8*(1-Assumptions!$F$69),C8*(1+IF(D$2=2027,Assumptions!$B$69,MAX(Assumptions!$D$69,Assumptions!$B$69-Assumptions!$C$69*(D$2-2027)))))</f>
        <v>3070.4</v>
      </c>
      <c r="E8" s="12">
        <f>IF(E$2&gt;Assumptions!$E$69,D8*(1-Assumptions!$F$69),D8*(1+IF(E$2=2027,Assumptions!$B$69,MAX(Assumptions!$D$69,Assumptions!$B$69-Assumptions!$C$69*(E$2-2027)))))</f>
        <v>1842.24</v>
      </c>
      <c r="F8" s="12">
        <f>IF(F$2&gt;Assumptions!$E$69,E8*(1-Assumptions!$F$69),E8*(1+IF(F$2=2027,Assumptions!$B$69,MAX(Assumptions!$D$69,Assumptions!$B$69-Assumptions!$C$69*(F$2-2027)))))</f>
        <v>1105.344</v>
      </c>
      <c r="G8" s="12">
        <f>IF(G$2&gt;Assumptions!$E$69,F8*(1-Assumptions!$F$69),F8*(1+IF(G$2=2027,Assumptions!$B$69,MAX(Assumptions!$D$69,Assumptions!$B$69-Assumptions!$C$69*(G$2-2027)))))</f>
        <v>663.2064</v>
      </c>
      <c r="H8" s="12">
        <f>IF(H$2&gt;Assumptions!$E$69,G8*(1-Assumptions!$F$69),G8*(1+IF(H$2=2027,Assumptions!$B$69,MAX(Assumptions!$D$69,Assumptions!$B$69-Assumptions!$C$69*(H$2-2027)))))</f>
        <v>397.92384</v>
      </c>
      <c r="I8" s="12">
        <f>IF(I$2&gt;Assumptions!$E$69,H8*(1-Assumptions!$F$69),H8*(1+IF(I$2=2027,Assumptions!$B$69,MAX(Assumptions!$D$69,Assumptions!$B$69-Assumptions!$C$69*(I$2-2027)))))</f>
        <v>238.754304</v>
      </c>
      <c r="J8" s="12">
        <f>IF(J$2&gt;Assumptions!$E$69,I8*(1-Assumptions!$F$69),I8*(1+IF(J$2=2027,Assumptions!$B$69,MAX(Assumptions!$D$69,Assumptions!$B$69-Assumptions!$C$69*(J$2-2027)))))</f>
        <v>143.2525824</v>
      </c>
      <c r="K8" s="12">
        <f>IF(K$2&gt;Assumptions!$E$69,J8*(1-Assumptions!$F$69),J8*(1+IF(K$2=2027,Assumptions!$B$69,MAX(Assumptions!$D$69,Assumptions!$B$69-Assumptions!$C$69*(K$2-2027)))))</f>
        <v>85.95154944</v>
      </c>
      <c r="L8" s="12">
        <f>IF(L$2&gt;Assumptions!$E$69,K8*(1-Assumptions!$F$69),K8*(1+IF(L$2=2027,Assumptions!$B$69,MAX(Assumptions!$D$69,Assumptions!$B$69-Assumptions!$C$69*(L$2-2027)))))</f>
        <v>51.570929664</v>
      </c>
      <c r="M8" s="12">
        <f>IF(M$2&gt;Assumptions!$E$69,L8*(1-Assumptions!$F$69),L8*(1+IF(M$2=2027,Assumptions!$B$69,MAX(Assumptions!$D$69,Assumptions!$B$69-Assumptions!$C$69*(M$2-2027)))))</f>
        <v>30.942557798399996</v>
      </c>
      <c r="N8" s="12">
        <f>IF(N$2&gt;Assumptions!$E$69,M8*(1-Assumptions!$F$69),M8*(1+IF(N$2=2027,Assumptions!$B$69,MAX(Assumptions!$D$69,Assumptions!$B$69-Assumptions!$C$69*(N$2-2027)))))</f>
        <v>18.565534679039995</v>
      </c>
      <c r="O8" s="12">
        <f>IF(O$2&gt;Assumptions!$E$69,N8*(1-Assumptions!$F$69),N8*(1+IF(O$2=2027,Assumptions!$B$69,MAX(Assumptions!$D$69,Assumptions!$B$69-Assumptions!$C$69*(O$2-2027)))))</f>
        <v>11.139320807423998</v>
      </c>
      <c r="P8" s="12">
        <f>IF(P$2&gt;Assumptions!$E$69,O8*(1-Assumptions!$F$69),O8*(1+IF(P$2=2027,Assumptions!$B$69,MAX(Assumptions!$D$69,Assumptions!$B$69-Assumptions!$C$69*(P$2-2027)))))</f>
        <v>6.683592484454398</v>
      </c>
      <c r="Q8" s="12">
        <f>IF(Q$2&gt;Assumptions!$E$69,P8*(1-Assumptions!$F$69),P8*(1+IF(Q$2=2027,Assumptions!$B$69,MAX(Assumptions!$D$69,Assumptions!$B$69-Assumptions!$C$69*(Q$2-2027)))))</f>
        <v>4.010155490672639</v>
      </c>
    </row>
    <row r="9" spans="1:17" x14ac:dyDescent="0.2">
      <c r="A9" s="10" t="s">
        <v>47</v>
      </c>
      <c r="C9" s="12">
        <f>SUM('Quarterly Model'!F29:I29)</f>
        <v>3598.0</v>
      </c>
      <c r="D9" s="12">
        <f>IF(D$2&gt;Assumptions!$E$70,C9*(1-Assumptions!$F$70),C9*(1+IF(D$2=2027,Assumptions!$B$70,MAX(Assumptions!$D$70,Assumptions!$B$70-Assumptions!$C$70*(D$2-2027)))))</f>
        <v>3526.04</v>
      </c>
      <c r="E9" s="12">
        <f>IF(E$2&gt;Assumptions!$E$70,D9*(1-Assumptions!$F$70),D9*(1+IF(E$2=2027,Assumptions!$B$70,MAX(Assumptions!$D$70,Assumptions!$B$70-Assumptions!$C$70*(E$2-2027)))))</f>
        <v>3455.5191999999997</v>
      </c>
      <c r="F9" s="12">
        <f>IF(F$2&gt;Assumptions!$E$70,E9*(1-Assumptions!$F$70),E9*(1+IF(F$2=2027,Assumptions!$B$70,MAX(Assumptions!$D$70,Assumptions!$B$70-Assumptions!$C$70*(F$2-2027)))))</f>
        <v>3386.4088159999997</v>
      </c>
      <c r="G9" s="12">
        <f>IF(G$2&gt;Assumptions!$E$70,F9*(1-Assumptions!$F$70),F9*(1+IF(G$2=2027,Assumptions!$B$70,MAX(Assumptions!$D$70,Assumptions!$B$70-Assumptions!$C$70*(G$2-2027)))))</f>
        <v>3318.68063968</v>
      </c>
      <c r="H9" s="12">
        <f>IF(H$2&gt;Assumptions!$E$70,G9*(1-Assumptions!$F$70),G9*(1+IF(H$2=2027,Assumptions!$B$70,MAX(Assumptions!$D$70,Assumptions!$B$70-Assumptions!$C$70*(H$2-2027)))))</f>
        <v>3252.3070268864</v>
      </c>
      <c r="I9" s="12">
        <f>IF(I$2&gt;Assumptions!$E$70,H9*(1-Assumptions!$F$70),H9*(1+IF(I$2=2027,Assumptions!$B$70,MAX(Assumptions!$D$70,Assumptions!$B$70-Assumptions!$C$70*(I$2-2027)))))</f>
        <v>3187.2608863486716</v>
      </c>
      <c r="J9" s="12">
        <f>IF(J$2&gt;Assumptions!$E$70,I9*(1-Assumptions!$F$70),I9*(1+IF(J$2=2027,Assumptions!$B$70,MAX(Assumptions!$D$70,Assumptions!$B$70-Assumptions!$C$70*(J$2-2027)))))</f>
        <v>3123.5156686216983</v>
      </c>
      <c r="K9" s="12">
        <f>IF(K$2&gt;Assumptions!$E$70,J9*(1-Assumptions!$F$70),J9*(1+IF(K$2=2027,Assumptions!$B$70,MAX(Assumptions!$D$70,Assumptions!$B$70-Assumptions!$C$70*(K$2-2027)))))</f>
        <v>3061.045355249264</v>
      </c>
      <c r="L9" s="12">
        <f>IF(L$2&gt;Assumptions!$E$70,K9*(1-Assumptions!$F$70),K9*(1+IF(L$2=2027,Assumptions!$B$70,MAX(Assumptions!$D$70,Assumptions!$B$70-Assumptions!$C$70*(L$2-2027)))))</f>
        <v>2999.824448144279</v>
      </c>
      <c r="M9" s="12">
        <f>IF(M$2&gt;Assumptions!$E$70,L9*(1-Assumptions!$F$70),L9*(1+IF(M$2=2027,Assumptions!$B$70,MAX(Assumptions!$D$70,Assumptions!$B$70-Assumptions!$C$70*(M$2-2027)))))</f>
        <v>2939.8279591813935</v>
      </c>
      <c r="N9" s="12">
        <f>IF(N$2&gt;Assumptions!$E$70,M9*(1-Assumptions!$F$70),M9*(1+IF(N$2=2027,Assumptions!$B$70,MAX(Assumptions!$D$70,Assumptions!$B$70-Assumptions!$C$70*(N$2-2027)))))</f>
        <v>2881.0313999977657</v>
      </c>
      <c r="O9" s="12">
        <f>IF(O$2&gt;Assumptions!$E$70,N9*(1-Assumptions!$F$70),N9*(1+IF(O$2=2027,Assumptions!$B$70,MAX(Assumptions!$D$70,Assumptions!$B$70-Assumptions!$C$70*(O$2-2027)))))</f>
        <v>2823.41077199781</v>
      </c>
      <c r="P9" s="12">
        <f>IF(P$2&gt;Assumptions!$E$70,O9*(1-Assumptions!$F$70),O9*(1+IF(P$2=2027,Assumptions!$B$70,MAX(Assumptions!$D$70,Assumptions!$B$70-Assumptions!$C$70*(P$2-2027)))))</f>
        <v>2766.942556557854</v>
      </c>
      <c r="Q9" s="12">
        <f>IF(Q$2&gt;Assumptions!$E$70,P9*(1-Assumptions!$F$70),P9*(1+IF(Q$2=2027,Assumptions!$B$70,MAX(Assumptions!$D$70,Assumptions!$B$70-Assumptions!$C$70*(Q$2-2027)))))</f>
        <v>2711.6037054266967</v>
      </c>
    </row>
    <row r="10" spans="1:17" x14ac:dyDescent="0.2">
      <c r="A10" s="10" t="s">
        <v>48</v>
      </c>
      <c r="C10" s="12">
        <f>SUM('Quarterly Model'!F30:I30)</f>
        <v>5656.0</v>
      </c>
      <c r="D10" s="12">
        <f>IF(D$2&gt;Assumptions!$E$71,C10*(1-Assumptions!$F$71),C10*(1+IF(D$2=2027,Assumptions!$B$71,MAX(Assumptions!$D$71,Assumptions!$B$71-Assumptions!$C$71*(D$2-2027)))))</f>
        <v>5656.0</v>
      </c>
      <c r="E10" s="12">
        <f>IF(E$2&gt;Assumptions!$E$71,D10*(1-Assumptions!$F$71),D10*(1+IF(E$2=2027,Assumptions!$B$71,MAX(Assumptions!$D$71,Assumptions!$B$71-Assumptions!$C$71*(E$2-2027)))))</f>
        <v>5656.0</v>
      </c>
      <c r="F10" s="12">
        <f>IF(F$2&gt;Assumptions!$E$71,E10*(1-Assumptions!$F$71),E10*(1+IF(F$2=2027,Assumptions!$B$71,MAX(Assumptions!$D$71,Assumptions!$B$71-Assumptions!$C$71*(F$2-2027)))))</f>
        <v>5656.0</v>
      </c>
      <c r="G10" s="12">
        <f>IF(G$2&gt;Assumptions!$E$71,F10*(1-Assumptions!$F$71),F10*(1+IF(G$2=2027,Assumptions!$B$71,MAX(Assumptions!$D$71,Assumptions!$B$71-Assumptions!$C$71*(G$2-2027)))))</f>
        <v>5656.0</v>
      </c>
      <c r="H10" s="12">
        <f>IF(H$2&gt;Assumptions!$E$71,G10*(1-Assumptions!$F$71),G10*(1+IF(H$2=2027,Assumptions!$B$71,MAX(Assumptions!$D$71,Assumptions!$B$71-Assumptions!$C$71*(H$2-2027)))))</f>
        <v>5656.0</v>
      </c>
      <c r="I10" s="12">
        <f>IF(I$2&gt;Assumptions!$E$71,H10*(1-Assumptions!$F$71),H10*(1+IF(I$2=2027,Assumptions!$B$71,MAX(Assumptions!$D$71,Assumptions!$B$71-Assumptions!$C$71*(I$2-2027)))))</f>
        <v>3393.6</v>
      </c>
      <c r="J10" s="12">
        <f>IF(J$2&gt;Assumptions!$E$71,I10*(1-Assumptions!$F$71),I10*(1+IF(J$2=2027,Assumptions!$B$71,MAX(Assumptions!$D$71,Assumptions!$B$71-Assumptions!$C$71*(J$2-2027)))))</f>
        <v>2036.1599999999999</v>
      </c>
      <c r="K10" s="12">
        <f>IF(K$2&gt;Assumptions!$E$71,J10*(1-Assumptions!$F$71),J10*(1+IF(K$2=2027,Assumptions!$B$71,MAX(Assumptions!$D$71,Assumptions!$B$71-Assumptions!$C$71*(K$2-2027)))))</f>
        <v>1221.696</v>
      </c>
      <c r="L10" s="12">
        <f>IF(L$2&gt;Assumptions!$E$71,K10*(1-Assumptions!$F$71),K10*(1+IF(L$2=2027,Assumptions!$B$71,MAX(Assumptions!$D$71,Assumptions!$B$71-Assumptions!$C$71*(L$2-2027)))))</f>
        <v>733.0175999999999</v>
      </c>
      <c r="M10" s="12">
        <f>IF(M$2&gt;Assumptions!$E$71,L10*(1-Assumptions!$F$71),L10*(1+IF(M$2=2027,Assumptions!$B$71,MAX(Assumptions!$D$71,Assumptions!$B$71-Assumptions!$C$71*(M$2-2027)))))</f>
        <v>439.81055999999995</v>
      </c>
      <c r="N10" s="12">
        <f>IF(N$2&gt;Assumptions!$E$71,M10*(1-Assumptions!$F$71),M10*(1+IF(N$2=2027,Assumptions!$B$71,MAX(Assumptions!$D$71,Assumptions!$B$71-Assumptions!$C$71*(N$2-2027)))))</f>
        <v>263.886336</v>
      </c>
      <c r="O10" s="12">
        <f>IF(O$2&gt;Assumptions!$E$71,N10*(1-Assumptions!$F$71),N10*(1+IF(O$2=2027,Assumptions!$B$71,MAX(Assumptions!$D$71,Assumptions!$B$71-Assumptions!$C$71*(O$2-2027)))))</f>
        <v>158.33180159999998</v>
      </c>
      <c r="P10" s="12">
        <f>IF(P$2&gt;Assumptions!$E$71,O10*(1-Assumptions!$F$71),O10*(1+IF(P$2=2027,Assumptions!$B$71,MAX(Assumptions!$D$71,Assumptions!$B$71-Assumptions!$C$71*(P$2-2027)))))</f>
        <v>94.99908095999999</v>
      </c>
      <c r="Q10" s="12">
        <f>IF(Q$2&gt;Assumptions!$E$71,P10*(1-Assumptions!$F$71),P10*(1+IF(Q$2=2027,Assumptions!$B$71,MAX(Assumptions!$D$71,Assumptions!$B$71-Assumptions!$C$71*(Q$2-2027)))))</f>
        <v>56.99944857599999</v>
      </c>
    </row>
    <row r="11" spans="1:17" x14ac:dyDescent="0.2">
      <c r="A11" s="10" t="s">
        <v>49</v>
      </c>
      <c r="C11" s="12">
        <f>SUM('Quarterly Model'!F31:I31)</f>
        <v>4312.0</v>
      </c>
      <c r="D11" s="12">
        <f>IF(D$2&gt;Assumptions!$E$72,C11*(1-Assumptions!$F$72),C11*(1+IF(D$2=2027,Assumptions!$B$72,MAX(Assumptions!$D$72,Assumptions!$B$72-Assumptions!$C$72*(D$2-2027)))))</f>
        <v>4829.4400000000005</v>
      </c>
      <c r="E11" s="12">
        <f>IF(E$2&gt;Assumptions!$E$72,D11*(1-Assumptions!$F$72),D11*(1+IF(E$2=2027,Assumptions!$B$72,MAX(Assumptions!$D$72,Assumptions!$B$72-Assumptions!$C$72*(E$2-2027)))))</f>
        <v>5312.384000000001</v>
      </c>
      <c r="F11" s="12">
        <f>IF(F$2&gt;Assumptions!$E$72,E11*(1-Assumptions!$F$72),E11*(1+IF(F$2=2027,Assumptions!$B$72,MAX(Assumptions!$D$72,Assumptions!$B$72-Assumptions!$C$72*(F$2-2027)))))</f>
        <v>5737.374720000002</v>
      </c>
      <c r="G11" s="12">
        <f>IF(G$2&gt;Assumptions!$E$72,F11*(1-Assumptions!$F$72),F11*(1+IF(G$2=2027,Assumptions!$B$72,MAX(Assumptions!$D$72,Assumptions!$B$72-Assumptions!$C$72*(G$2-2027)))))</f>
        <v>6081.617203200002</v>
      </c>
      <c r="H11" s="12">
        <f>IF(H$2&gt;Assumptions!$E$72,G11*(1-Assumptions!$F$72),G11*(1+IF(H$2=2027,Assumptions!$B$72,MAX(Assumptions!$D$72,Assumptions!$B$72-Assumptions!$C$72*(H$2-2027)))))</f>
        <v>6324.881891328003</v>
      </c>
      <c r="I11" s="12">
        <f>IF(I$2&gt;Assumptions!$E$72,H11*(1-Assumptions!$F$72),H11*(1+IF(I$2=2027,Assumptions!$B$72,MAX(Assumptions!$D$72,Assumptions!$B$72-Assumptions!$C$72*(I$2-2027)))))</f>
        <v>6451.379529154563</v>
      </c>
      <c r="J11" s="12">
        <f>IF(J$2&gt;Assumptions!$E$72,I11*(1-Assumptions!$F$72),I11*(1+IF(J$2=2027,Assumptions!$B$72,MAX(Assumptions!$D$72,Assumptions!$B$72-Assumptions!$C$72*(J$2-2027)))))</f>
        <v>6580.407119737654</v>
      </c>
      <c r="K11" s="12">
        <f>IF(K$2&gt;Assumptions!$E$72,J11*(1-Assumptions!$F$72),J11*(1+IF(K$2=2027,Assumptions!$B$72,MAX(Assumptions!$D$72,Assumptions!$B$72-Assumptions!$C$72*(K$2-2027)))))</f>
        <v>6712.015262132408</v>
      </c>
      <c r="L11" s="12">
        <f>IF(L$2&gt;Assumptions!$E$72,K11*(1-Assumptions!$F$72),K11*(1+IF(L$2=2027,Assumptions!$B$72,MAX(Assumptions!$D$72,Assumptions!$B$72-Assumptions!$C$72*(L$2-2027)))))</f>
        <v>6846.255567375056</v>
      </c>
      <c r="M11" s="12">
        <f>IF(M$2&gt;Assumptions!$E$72,L11*(1-Assumptions!$F$72),L11*(1+IF(M$2=2027,Assumptions!$B$72,MAX(Assumptions!$D$72,Assumptions!$B$72-Assumptions!$C$72*(M$2-2027)))))</f>
        <v>6983.180678722557</v>
      </c>
      <c r="N11" s="12">
        <f>IF(N$2&gt;Assumptions!$E$72,M11*(1-Assumptions!$F$72),M11*(1+IF(N$2=2027,Assumptions!$B$72,MAX(Assumptions!$D$72,Assumptions!$B$72-Assumptions!$C$72*(N$2-2027)))))</f>
        <v>7122.844292297008</v>
      </c>
      <c r="O11" s="12">
        <f>IF(O$2&gt;Assumptions!$E$72,N11*(1-Assumptions!$F$72),N11*(1+IF(O$2=2027,Assumptions!$B$72,MAX(Assumptions!$D$72,Assumptions!$B$72-Assumptions!$C$72*(O$2-2027)))))</f>
        <v>7265.301178142949</v>
      </c>
      <c r="P11" s="12">
        <f>IF(P$2&gt;Assumptions!$E$72,O11*(1-Assumptions!$F$72),O11*(1+IF(P$2=2027,Assumptions!$B$72,MAX(Assumptions!$D$72,Assumptions!$B$72-Assumptions!$C$72*(P$2-2027)))))</f>
        <v>7410.607201705808</v>
      </c>
      <c r="Q11" s="12">
        <f>IF(Q$2&gt;Assumptions!$E$72,P11*(1-Assumptions!$F$72),P11*(1+IF(Q$2=2027,Assumptions!$B$72,MAX(Assumptions!$D$72,Assumptions!$B$72-Assumptions!$C$72*(Q$2-2027)))))</f>
        <v>7558.819345739924</v>
      </c>
    </row>
    <row r="12" spans="1:17" x14ac:dyDescent="0.2">
      <c r="A12" s="10" t="s">
        <v>50</v>
      </c>
      <c r="C12" s="12">
        <f>SUM('Quarterly Model'!F32:I32)</f>
        <v>3298.0</v>
      </c>
      <c r="D12" s="12">
        <f>IF(D$2&gt;Assumptions!$E$73,C12*(1-Assumptions!$F$73),C12*(1+IF(D$2=2027,Assumptions!$B$73,MAX(Assumptions!$D$73,Assumptions!$B$73-Assumptions!$C$73*(D$2-2027)))))</f>
        <v>3298.0</v>
      </c>
      <c r="E12" s="12">
        <f>IF(E$2&gt;Assumptions!$E$73,D12*(1-Assumptions!$F$73),D12*(1+IF(E$2=2027,Assumptions!$B$73,MAX(Assumptions!$D$73,Assumptions!$B$73-Assumptions!$C$73*(E$2-2027)))))</f>
        <v>3298.0</v>
      </c>
      <c r="F12" s="12">
        <f>IF(F$2&gt;Assumptions!$E$73,E12*(1-Assumptions!$F$73),E12*(1+IF(F$2=2027,Assumptions!$B$73,MAX(Assumptions!$D$73,Assumptions!$B$73-Assumptions!$C$73*(F$2-2027)))))</f>
        <v>3298.0</v>
      </c>
      <c r="G12" s="12">
        <f>IF(G$2&gt;Assumptions!$E$73,F12*(1-Assumptions!$F$73),F12*(1+IF(G$2=2027,Assumptions!$B$73,MAX(Assumptions!$D$73,Assumptions!$B$73-Assumptions!$C$73*(G$2-2027)))))</f>
        <v>2143.7000000000003</v>
      </c>
      <c r="H12" s="12">
        <f>IF(H$2&gt;Assumptions!$E$73,G12*(1-Assumptions!$F$73),G12*(1+IF(H$2=2027,Assumptions!$B$73,MAX(Assumptions!$D$73,Assumptions!$B$73-Assumptions!$C$73*(H$2-2027)))))</f>
        <v>1393.4050000000002</v>
      </c>
      <c r="I12" s="12">
        <f>IF(I$2&gt;Assumptions!$E$73,H12*(1-Assumptions!$F$73),H12*(1+IF(I$2=2027,Assumptions!$B$73,MAX(Assumptions!$D$73,Assumptions!$B$73-Assumptions!$C$73*(I$2-2027)))))</f>
        <v>905.7132500000001</v>
      </c>
      <c r="J12" s="12">
        <f>IF(J$2&gt;Assumptions!$E$73,I12*(1-Assumptions!$F$73),I12*(1+IF(J$2=2027,Assumptions!$B$73,MAX(Assumptions!$D$73,Assumptions!$B$73-Assumptions!$C$73*(J$2-2027)))))</f>
        <v>588.7136125000001</v>
      </c>
      <c r="K12" s="12">
        <f>IF(K$2&gt;Assumptions!$E$73,J12*(1-Assumptions!$F$73),J12*(1+IF(K$2=2027,Assumptions!$B$73,MAX(Assumptions!$D$73,Assumptions!$B$73-Assumptions!$C$73*(K$2-2027)))))</f>
        <v>382.6638481250001</v>
      </c>
      <c r="L12" s="12">
        <f>IF(L$2&gt;Assumptions!$E$73,K12*(1-Assumptions!$F$73),K12*(1+IF(L$2=2027,Assumptions!$B$73,MAX(Assumptions!$D$73,Assumptions!$B$73-Assumptions!$C$73*(L$2-2027)))))</f>
        <v>248.73150128125005</v>
      </c>
      <c r="M12" s="12">
        <f>IF(M$2&gt;Assumptions!$E$73,L12*(1-Assumptions!$F$73),L12*(1+IF(M$2=2027,Assumptions!$B$73,MAX(Assumptions!$D$73,Assumptions!$B$73-Assumptions!$C$73*(M$2-2027)))))</f>
        <v>161.67547583281254</v>
      </c>
      <c r="N12" s="12">
        <f>IF(N$2&gt;Assumptions!$E$73,M12*(1-Assumptions!$F$73),M12*(1+IF(N$2=2027,Assumptions!$B$73,MAX(Assumptions!$D$73,Assumptions!$B$73-Assumptions!$C$73*(N$2-2027)))))</f>
        <v>105.08905929132816</v>
      </c>
      <c r="O12" s="12">
        <f>IF(O$2&gt;Assumptions!$E$73,N12*(1-Assumptions!$F$73),N12*(1+IF(O$2=2027,Assumptions!$B$73,MAX(Assumptions!$D$73,Assumptions!$B$73-Assumptions!$C$73*(O$2-2027)))))</f>
        <v>68.3078885393633</v>
      </c>
      <c r="P12" s="12">
        <f>IF(P$2&gt;Assumptions!$E$73,O12*(1-Assumptions!$F$73),O12*(1+IF(P$2=2027,Assumptions!$B$73,MAX(Assumptions!$D$73,Assumptions!$B$73-Assumptions!$C$73*(P$2-2027)))))</f>
        <v>44.40012755058615</v>
      </c>
      <c r="Q12" s="12">
        <f>IF(Q$2&gt;Assumptions!$E$73,P12*(1-Assumptions!$F$73),P12*(1+IF(Q$2=2027,Assumptions!$B$73,MAX(Assumptions!$D$73,Assumptions!$B$73-Assumptions!$C$73*(Q$2-2027)))))</f>
        <v>28.860082907880997</v>
      </c>
    </row>
    <row r="13" spans="1:17" x14ac:dyDescent="0.2">
      <c r="A13" s="10" t="s">
        <v>51</v>
      </c>
      <c r="C13" s="12">
        <f>SUM('Quarterly Model'!F33:I33)</f>
        <v>2202.0</v>
      </c>
      <c r="D13" s="12">
        <f>IF(D$2&gt;Assumptions!$E$74,C13*(1-Assumptions!$F$74),C13*(1+IF(D$2=2027,Assumptions!$B$74,MAX(Assumptions!$D$74,Assumptions!$B$74-Assumptions!$C$74*(D$2-2027)))))</f>
        <v>2598.3599999999997</v>
      </c>
      <c r="E13" s="12">
        <f>IF(E$2&gt;Assumptions!$E$74,D13*(1-Assumptions!$F$74),D13*(1+IF(E$2=2027,Assumptions!$B$74,MAX(Assumptions!$D$74,Assumptions!$B$74-Assumptions!$C$74*(E$2-2027)))))</f>
        <v>2988.1139999999996</v>
      </c>
      <c r="F13" s="12">
        <f>IF(F$2&gt;Assumptions!$E$74,E13*(1-Assumptions!$F$74),E13*(1+IF(F$2=2027,Assumptions!$B$74,MAX(Assumptions!$D$74,Assumptions!$B$74-Assumptions!$C$74*(F$2-2027)))))</f>
        <v>3346.68768</v>
      </c>
      <c r="G13" s="12">
        <f>IF(G$2&gt;Assumptions!$E$74,F13*(1-Assumptions!$F$74),F13*(1+IF(G$2=2027,Assumptions!$B$74,MAX(Assumptions!$D$74,Assumptions!$B$74-Assumptions!$C$74*(G$2-2027)))))</f>
        <v>3647.8895712000003</v>
      </c>
      <c r="H13" s="12">
        <f>IF(H$2&gt;Assumptions!$E$74,G13*(1-Assumptions!$F$74),G13*(1+IF(H$2=2027,Assumptions!$B$74,MAX(Assumptions!$D$74,Assumptions!$B$74-Assumptions!$C$74*(H$2-2027)))))</f>
        <v>3866.7629454720004</v>
      </c>
      <c r="I13" s="12">
        <f>IF(I$2&gt;Assumptions!$E$74,H13*(1-Assumptions!$F$74),H13*(1+IF(I$2=2027,Assumptions!$B$74,MAX(Assumptions!$D$74,Assumptions!$B$74-Assumptions!$C$74*(I$2-2027)))))</f>
        <v>3982.7658338361607</v>
      </c>
      <c r="J13" s="12">
        <f>IF(J$2&gt;Assumptions!$E$74,I13*(1-Assumptions!$F$74),I13*(1+IF(J$2=2027,Assumptions!$B$74,MAX(Assumptions!$D$74,Assumptions!$B$74-Assumptions!$C$74*(J$2-2027)))))</f>
        <v>4102.2488088512455</v>
      </c>
      <c r="K13" s="12">
        <f>IF(K$2&gt;Assumptions!$E$74,J13*(1-Assumptions!$F$74),J13*(1+IF(K$2=2027,Assumptions!$B$74,MAX(Assumptions!$D$74,Assumptions!$B$74-Assumptions!$C$74*(K$2-2027)))))</f>
        <v>4225.316273116783</v>
      </c>
      <c r="L13" s="12">
        <f>IF(L$2&gt;Assumptions!$E$74,K13*(1-Assumptions!$F$74),K13*(1+IF(L$2=2027,Assumptions!$B$74,MAX(Assumptions!$D$74,Assumptions!$B$74-Assumptions!$C$74*(L$2-2027)))))</f>
        <v>4352.075761310287</v>
      </c>
      <c r="M13" s="12">
        <f>IF(M$2&gt;Assumptions!$E$74,L13*(1-Assumptions!$F$74),L13*(1+IF(M$2=2027,Assumptions!$B$74,MAX(Assumptions!$D$74,Assumptions!$B$74-Assumptions!$C$74*(M$2-2027)))))</f>
        <v>4482.638034149596</v>
      </c>
      <c r="N13" s="12">
        <f>IF(N$2&gt;Assumptions!$E$74,M13*(1-Assumptions!$F$74),M13*(1+IF(N$2=2027,Assumptions!$B$74,MAX(Assumptions!$D$74,Assumptions!$B$74-Assumptions!$C$74*(N$2-2027)))))</f>
        <v>4617.117175174084</v>
      </c>
      <c r="O13" s="12">
        <f>IF(O$2&gt;Assumptions!$E$74,N13*(1-Assumptions!$F$74),N13*(1+IF(O$2=2027,Assumptions!$B$74,MAX(Assumptions!$D$74,Assumptions!$B$74-Assumptions!$C$74*(O$2-2027)))))</f>
        <v>4755.630690429307</v>
      </c>
      <c r="P13" s="12">
        <f>IF(P$2&gt;Assumptions!$E$74,O13*(1-Assumptions!$F$74),O13*(1+IF(P$2=2027,Assumptions!$B$74,MAX(Assumptions!$D$74,Assumptions!$B$74-Assumptions!$C$74*(P$2-2027)))))</f>
        <v>4898.299611142186</v>
      </c>
      <c r="Q13" s="12">
        <f>IF(Q$2&gt;Assumptions!$E$74,P13*(1-Assumptions!$F$74),P13*(1+IF(Q$2=2027,Assumptions!$B$74,MAX(Assumptions!$D$74,Assumptions!$B$74-Assumptions!$C$74*(Q$2-2027)))))</f>
        <v>5045.248599476452</v>
      </c>
    </row>
    <row r="14" spans="1:17" x14ac:dyDescent="0.2">
      <c r="A14" s="10" t="s">
        <v>52</v>
      </c>
      <c r="C14" s="12">
        <f>SUM('Quarterly Model'!F34:I34)</f>
        <v>1711.0</v>
      </c>
      <c r="D14" s="12">
        <f>IF(D$2&gt;Assumptions!$E$75,C14*(1-Assumptions!$F$75),C14*(1+IF(D$2=2027,Assumptions!$B$75,MAX(Assumptions!$D$75,Assumptions!$B$75-Assumptions!$C$75*(D$2-2027)))))</f>
        <v>1967.6499999999999</v>
      </c>
      <c r="E14" s="12">
        <f>IF(E$2&gt;Assumptions!$E$75,D14*(1-Assumptions!$F$75),D14*(1+IF(E$2=2027,Assumptions!$B$75,MAX(Assumptions!$D$75,Assumptions!$B$75-Assumptions!$C$75*(E$2-2027)))))</f>
        <v>2223.4444999999996</v>
      </c>
      <c r="F14" s="12">
        <f>IF(F$2&gt;Assumptions!$E$75,E14*(1-Assumptions!$F$75),E14*(1+IF(F$2=2027,Assumptions!$B$75,MAX(Assumptions!$D$75,Assumptions!$B$75-Assumptions!$C$75*(F$2-2027)))))</f>
        <v>2468.0233949999993</v>
      </c>
      <c r="G14" s="12">
        <f>IF(G$2&gt;Assumptions!$E$75,F14*(1-Assumptions!$F$75),F14*(1+IF(G$2=2027,Assumptions!$B$75,MAX(Assumptions!$D$75,Assumptions!$B$75-Assumptions!$C$75*(G$2-2027)))))</f>
        <v>2690.1455005499993</v>
      </c>
      <c r="H14" s="12">
        <f>IF(H$2&gt;Assumptions!$E$75,G14*(1-Assumptions!$F$75),G14*(1+IF(H$2=2027,Assumptions!$B$75,MAX(Assumptions!$D$75,Assumptions!$B$75-Assumptions!$C$75*(H$2-2027)))))</f>
        <v>2878.4556855884994</v>
      </c>
      <c r="I14" s="12">
        <f>IF(I$2&gt;Assumptions!$E$75,H14*(1-Assumptions!$F$75),H14*(1+IF(I$2=2027,Assumptions!$B$75,MAX(Assumptions!$D$75,Assumptions!$B$75-Assumptions!$C$75*(I$2-2027)))))</f>
        <v>3022.3784698679247</v>
      </c>
      <c r="J14" s="12">
        <f>IF(J$2&gt;Assumptions!$E$75,I14*(1-Assumptions!$F$75),I14*(1+IF(J$2=2027,Assumptions!$B$75,MAX(Assumptions!$D$75,Assumptions!$B$75-Assumptions!$C$75*(J$2-2027)))))</f>
        <v>3113.0498239639624</v>
      </c>
      <c r="K14" s="12">
        <f>IF(K$2&gt;Assumptions!$E$75,J14*(1-Assumptions!$F$75),J14*(1+IF(K$2=2027,Assumptions!$B$75,MAX(Assumptions!$D$75,Assumptions!$B$75-Assumptions!$C$75*(K$2-2027)))))</f>
        <v>3175.3108204432415</v>
      </c>
      <c r="L14" s="12">
        <f>IF(L$2&gt;Assumptions!$E$75,K14*(1-Assumptions!$F$75),K14*(1+IF(L$2=2027,Assumptions!$B$75,MAX(Assumptions!$D$75,Assumptions!$B$75-Assumptions!$C$75*(L$2-2027)))))</f>
        <v>3238.8170368521064</v>
      </c>
      <c r="M14" s="12">
        <f>IF(M$2&gt;Assumptions!$E$75,L14*(1-Assumptions!$F$75),L14*(1+IF(M$2=2027,Assumptions!$B$75,MAX(Assumptions!$D$75,Assumptions!$B$75-Assumptions!$C$75*(M$2-2027)))))</f>
        <v>3303.5933775891485</v>
      </c>
      <c r="N14" s="12">
        <f>IF(N$2&gt;Assumptions!$E$75,M14*(1-Assumptions!$F$75),M14*(1+IF(N$2=2027,Assumptions!$B$75,MAX(Assumptions!$D$75,Assumptions!$B$75-Assumptions!$C$75*(N$2-2027)))))</f>
        <v>3369.6652451409313</v>
      </c>
      <c r="O14" s="12">
        <f>IF(O$2&gt;Assumptions!$E$75,N14*(1-Assumptions!$F$75),N14*(1+IF(O$2=2027,Assumptions!$B$75,MAX(Assumptions!$D$75,Assumptions!$B$75-Assumptions!$C$75*(O$2-2027)))))</f>
        <v>3437.05855004375</v>
      </c>
      <c r="P14" s="12">
        <f>IF(P$2&gt;Assumptions!$E$75,O14*(1-Assumptions!$F$75),O14*(1+IF(P$2=2027,Assumptions!$B$75,MAX(Assumptions!$D$75,Assumptions!$B$75-Assumptions!$C$75*(P$2-2027)))))</f>
        <v>3505.799721044625</v>
      </c>
      <c r="Q14" s="12">
        <f>IF(Q$2&gt;Assumptions!$E$75,P14*(1-Assumptions!$F$75),P14*(1+IF(Q$2=2027,Assumptions!$B$75,MAX(Assumptions!$D$75,Assumptions!$B$75-Assumptions!$C$75*(Q$2-2027)))))</f>
        <v>3575.9157154655177</v>
      </c>
    </row>
    <row r="15" spans="1:17" x14ac:dyDescent="0.2">
      <c r="A15" s="10" t="s">
        <v>53</v>
      </c>
      <c r="C15" s="12">
        <f>SUM('Quarterly Model'!F35:I35)</f>
        <v>792.0</v>
      </c>
      <c r="D15" s="12">
        <f>IF(D$2&gt;Assumptions!$E$76,C15*(1-Assumptions!$F$76),C15*(1+IF(D$2=2027,Assumptions!$B$76,MAX(Assumptions!$D$76,Assumptions!$B$76-Assumptions!$C$76*(D$2-2027)))))</f>
        <v>776.16</v>
      </c>
      <c r="E15" s="12">
        <f>IF(E$2&gt;Assumptions!$E$76,D15*(1-Assumptions!$F$76),D15*(1+IF(E$2=2027,Assumptions!$B$76,MAX(Assumptions!$D$76,Assumptions!$B$76-Assumptions!$C$76*(E$2-2027)))))</f>
        <v>760.6368</v>
      </c>
      <c r="F15" s="12">
        <f>IF(F$2&gt;Assumptions!$E$76,E15*(1-Assumptions!$F$76),E15*(1+IF(F$2=2027,Assumptions!$B$76,MAX(Assumptions!$D$76,Assumptions!$B$76-Assumptions!$C$76*(F$2-2027)))))</f>
        <v>745.4240639999999</v>
      </c>
      <c r="G15" s="12">
        <f>IF(G$2&gt;Assumptions!$E$76,F15*(1-Assumptions!$F$76),F15*(1+IF(G$2=2027,Assumptions!$B$76,MAX(Assumptions!$D$76,Assumptions!$B$76-Assumptions!$C$76*(G$2-2027)))))</f>
        <v>730.5155827199999</v>
      </c>
      <c r="H15" s="12">
        <f>IF(H$2&gt;Assumptions!$E$76,G15*(1-Assumptions!$F$76),G15*(1+IF(H$2=2027,Assumptions!$B$76,MAX(Assumptions!$D$76,Assumptions!$B$76-Assumptions!$C$76*(H$2-2027)))))</f>
        <v>715.9052710655999</v>
      </c>
      <c r="I15" s="12">
        <f>IF(I$2&gt;Assumptions!$E$76,H15*(1-Assumptions!$F$76),H15*(1+IF(I$2=2027,Assumptions!$B$76,MAX(Assumptions!$D$76,Assumptions!$B$76-Assumptions!$C$76*(I$2-2027)))))</f>
        <v>701.5871656442879</v>
      </c>
      <c r="J15" s="12">
        <f>IF(J$2&gt;Assumptions!$E$76,I15*(1-Assumptions!$F$76),I15*(1+IF(J$2=2027,Assumptions!$B$76,MAX(Assumptions!$D$76,Assumptions!$B$76-Assumptions!$C$76*(J$2-2027)))))</f>
        <v>687.5554223314022</v>
      </c>
      <c r="K15" s="12">
        <f>IF(K$2&gt;Assumptions!$E$76,J15*(1-Assumptions!$F$76),J15*(1+IF(K$2=2027,Assumptions!$B$76,MAX(Assumptions!$D$76,Assumptions!$B$76-Assumptions!$C$76*(K$2-2027)))))</f>
        <v>673.804313884774</v>
      </c>
      <c r="L15" s="12">
        <f>IF(L$2&gt;Assumptions!$E$76,K15*(1-Assumptions!$F$76),K15*(1+IF(L$2=2027,Assumptions!$B$76,MAX(Assumptions!$D$76,Assumptions!$B$76-Assumptions!$C$76*(L$2-2027)))))</f>
        <v>660.3282276070786</v>
      </c>
      <c r="M15" s="12">
        <f>IF(M$2&gt;Assumptions!$E$76,L15*(1-Assumptions!$F$76),L15*(1+IF(M$2=2027,Assumptions!$B$76,MAX(Assumptions!$D$76,Assumptions!$B$76-Assumptions!$C$76*(M$2-2027)))))</f>
        <v>647.121663054937</v>
      </c>
      <c r="N15" s="12">
        <f>IF(N$2&gt;Assumptions!$E$76,M15*(1-Assumptions!$F$76),M15*(1+IF(N$2=2027,Assumptions!$B$76,MAX(Assumptions!$D$76,Assumptions!$B$76-Assumptions!$C$76*(N$2-2027)))))</f>
        <v>634.1792297938383</v>
      </c>
      <c r="O15" s="12">
        <f>IF(O$2&gt;Assumptions!$E$76,N15*(1-Assumptions!$F$76),N15*(1+IF(O$2=2027,Assumptions!$B$76,MAX(Assumptions!$D$76,Assumptions!$B$76-Assumptions!$C$76*(O$2-2027)))))</f>
        <v>621.4956451979615</v>
      </c>
      <c r="P15" s="12">
        <f>IF(P$2&gt;Assumptions!$E$76,O15*(1-Assumptions!$F$76),O15*(1+IF(P$2=2027,Assumptions!$B$76,MAX(Assumptions!$D$76,Assumptions!$B$76-Assumptions!$C$76*(P$2-2027)))))</f>
        <v>609.0657322940023</v>
      </c>
      <c r="Q15" s="12">
        <f>IF(Q$2&gt;Assumptions!$E$76,P15*(1-Assumptions!$F$76),P15*(1+IF(Q$2=2027,Assumptions!$B$76,MAX(Assumptions!$D$76,Assumptions!$B$76-Assumptions!$C$76*(Q$2-2027)))))</f>
        <v>596.8844176481222</v>
      </c>
    </row>
    <row r="16" spans="1:17" x14ac:dyDescent="0.2">
      <c r="A16" s="17" t="s">
        <v>147</v>
      </c>
      <c r="C16" s="54">
        <f t="shared" ref="C16:Q16" si="0">SUM(C5:C15)</f>
        <v>86796.0</v>
      </c>
      <c r="D16" s="54">
        <f t="shared" si="0"/>
        <v>95146.55</v>
      </c>
      <c r="E16" s="54">
        <f t="shared" si="0"/>
        <v>102271.4725</v>
      </c>
      <c r="F16" s="54">
        <f t="shared" si="0"/>
        <v>107211.60359500002</v>
      </c>
      <c r="G16" s="54">
        <f t="shared" si="0"/>
        <v>106895.50799575001</v>
      </c>
      <c r="H16" s="54">
        <f t="shared" si="0"/>
        <v>105095.49013775651</v>
      </c>
      <c r="I16" s="54">
        <f t="shared" si="0"/>
        <v>101420.05588649349</v>
      </c>
      <c r="J16" s="54">
        <f t="shared" si="0"/>
        <v>98982.58654907139</v>
      </c>
      <c r="K16" s="54">
        <f t="shared" si="0"/>
        <v>97292.62671170024</v>
      </c>
      <c r="L16" s="54">
        <f t="shared" si="0"/>
        <v>96074.50443552475</v>
      </c>
      <c r="M16" s="54">
        <f t="shared" si="0"/>
        <v>95146.53898942411</v>
      </c>
      <c r="N16" s="54">
        <f t="shared" si="0"/>
        <v>72319.39503491568</v>
      </c>
      <c r="O16" s="54">
        <f t="shared" si="0"/>
        <v>56453.883922725254</v>
      </c>
      <c r="P16" s="54">
        <f t="shared" si="0"/>
        <v>45455.19144800995</v>
      </c>
      <c r="Q16" s="54">
        <f t="shared" si="0"/>
        <v>37860.79123326744</v>
      </c>
    </row>
    <row r="18" spans="1:17" x14ac:dyDescent="0.2">
      <c r="A18" s="24" t="s">
        <v>148</v>
      </c>
    </row>
    <row r="19" spans="1:17" x14ac:dyDescent="0.2">
      <c r="A19" s="10" t="s">
        <v>44</v>
      </c>
      <c r="C19" s="12">
        <f>SUM('Quarterly Model'!F26:I26)</f>
        <v>858.0</v>
      </c>
      <c r="D19" s="12">
        <f>IF(D$2&gt;Assumptions!$E$80,C19*(1-Assumptions!$F$80),IF((D$2-Assumptions!$B$80+1)&gt;=1,Assumptions!$D$80*Assumptions!$C$80*INDEX(Assumptions!$B$88:$H$88,MIN((D$2-Assumptions!$B$80+1),7)),0))</f>
        <v>4500.0</v>
      </c>
      <c r="E19" s="12">
        <f>IF(E$2&gt;Assumptions!$E$80,D19*(1-Assumptions!$F$80),IF((E$2-Assumptions!$B$80+1)&gt;=1,Assumptions!$D$80*Assumptions!$C$80*INDEX(Assumptions!$B$88:$H$88,MIN((E$2-Assumptions!$B$80+1),7)),0))</f>
        <v>8100.0</v>
      </c>
      <c r="F19" s="12">
        <f>IF(F$2&gt;Assumptions!$E$80,E19*(1-Assumptions!$F$80),IF((F$2-Assumptions!$B$80+1)&gt;=1,Assumptions!$D$80*Assumptions!$C$80*INDEX(Assumptions!$B$88:$H$88,MIN((F$2-Assumptions!$B$80+1),7)),0))</f>
        <v>11700.0</v>
      </c>
      <c r="G19" s="12">
        <f>IF(G$2&gt;Assumptions!$E$80,F19*(1-Assumptions!$F$80),IF((G$2-Assumptions!$B$80+1)&gt;=1,Assumptions!$D$80*Assumptions!$C$80*INDEX(Assumptions!$B$88:$H$88,MIN((G$2-Assumptions!$B$80+1),7)),0))</f>
        <v>14760.0</v>
      </c>
      <c r="H19" s="12">
        <f>IF(H$2&gt;Assumptions!$E$80,G19*(1-Assumptions!$F$80),IF((H$2-Assumptions!$B$80+1)&gt;=1,Assumptions!$D$80*Assumptions!$C$80*INDEX(Assumptions!$B$88:$H$88,MIN((H$2-Assumptions!$B$80+1),7)),0))</f>
        <v>16740.0</v>
      </c>
      <c r="I19" s="12">
        <f>IF(I$2&gt;Assumptions!$E$80,H19*(1-Assumptions!$F$80),IF((I$2-Assumptions!$B$80+1)&gt;=1,Assumptions!$D$80*Assumptions!$C$80*INDEX(Assumptions!$B$88:$H$88,MIN((I$2-Assumptions!$B$80+1),7)),0))</f>
        <v>18000.0</v>
      </c>
      <c r="J19" s="12">
        <f>IF(J$2&gt;Assumptions!$E$80,I19*(1-Assumptions!$F$80),IF((J$2-Assumptions!$B$80+1)&gt;=1,Assumptions!$D$80*Assumptions!$C$80*INDEX(Assumptions!$B$88:$H$88,MIN((J$2-Assumptions!$B$80+1),7)),0))</f>
        <v>18000.0</v>
      </c>
      <c r="K19" s="12">
        <f>IF(K$2&gt;Assumptions!$E$80,J19*(1-Assumptions!$F$80),IF((K$2-Assumptions!$B$80+1)&gt;=1,Assumptions!$D$80*Assumptions!$C$80*INDEX(Assumptions!$B$88:$H$88,MIN((K$2-Assumptions!$B$80+1),7)),0))</f>
        <v>18000.0</v>
      </c>
      <c r="L19" s="12">
        <f>IF(L$2&gt;Assumptions!$E$80,K19*(1-Assumptions!$F$80),IF((L$2-Assumptions!$B$80+1)&gt;=1,Assumptions!$D$80*Assumptions!$C$80*INDEX(Assumptions!$B$88:$H$88,MIN((L$2-Assumptions!$B$80+1),7)),0))</f>
        <v>18000.0</v>
      </c>
      <c r="M19" s="12">
        <f>IF(M$2&gt;Assumptions!$E$80,L19*(1-Assumptions!$F$80),IF((M$2-Assumptions!$B$80+1)&gt;=1,Assumptions!$D$80*Assumptions!$C$80*INDEX(Assumptions!$B$88:$H$88,MIN((M$2-Assumptions!$B$80+1),7)),0))</f>
        <v>18000.0</v>
      </c>
      <c r="N19" s="12">
        <f>IF(N$2&gt;Assumptions!$E$80,M19*(1-Assumptions!$F$80),IF((N$2-Assumptions!$B$80+1)&gt;=1,Assumptions!$D$80*Assumptions!$C$80*INDEX(Assumptions!$B$88:$H$88,MIN((N$2-Assumptions!$B$80+1),7)),0))</f>
        <v>18000.0</v>
      </c>
      <c r="O19" s="12">
        <f>IF(O$2&gt;Assumptions!$E$80,N19*(1-Assumptions!$F$80),IF((O$2-Assumptions!$B$80+1)&gt;=1,Assumptions!$D$80*Assumptions!$C$80*INDEX(Assumptions!$B$88:$H$88,MIN((O$2-Assumptions!$B$80+1),7)),0))</f>
        <v>18000.0</v>
      </c>
      <c r="P19" s="12">
        <f>IF(P$2&gt;Assumptions!$E$80,O19*(1-Assumptions!$F$80),IF((P$2-Assumptions!$B$80+1)&gt;=1,Assumptions!$D$80*Assumptions!$C$80*INDEX(Assumptions!$B$88:$H$88,MIN((P$2-Assumptions!$B$80+1),7)),0))</f>
        <v>18000.0</v>
      </c>
      <c r="Q19" s="12">
        <f>IF(Q$2&gt;Assumptions!$E$80,P19*(1-Assumptions!$F$80),IF((Q$2-Assumptions!$B$80+1)&gt;=1,Assumptions!$D$80*Assumptions!$C$80*INDEX(Assumptions!$B$88:$H$88,MIN((Q$2-Assumptions!$B$80+1),7)),0))</f>
        <v>18000.0</v>
      </c>
    </row>
    <row r="20" spans="1:17" x14ac:dyDescent="0.2">
      <c r="A20" s="10" t="s">
        <v>123</v>
      </c>
      <c r="C20" s="12">
        <v>0</v>
      </c>
      <c r="D20" s="12">
        <f>IF(D$2&gt;Assumptions!$E$81,C20*(1-Assumptions!$F$81),IF((D$2-Assumptions!$B$81+1)&gt;=1,Assumptions!$D$81*Assumptions!$C$81*INDEX(Assumptions!$B$88:$H$88,MIN((D$2-Assumptions!$B$81+1),7)),0))</f>
        <v>0</v>
      </c>
      <c r="E20" s="12">
        <f>IF(E$2&gt;Assumptions!$E$81,D20*(1-Assumptions!$F$81),IF((E$2-Assumptions!$B$81+1)&gt;=1,Assumptions!$D$81*Assumptions!$C$81*INDEX(Assumptions!$B$88:$H$88,MIN((E$2-Assumptions!$B$81+1),7)),0))</f>
        <v>1980.0</v>
      </c>
      <c r="F20" s="12">
        <f>IF(F$2&gt;Assumptions!$E$81,E20*(1-Assumptions!$F$81),IF((F$2-Assumptions!$B$81+1)&gt;=1,Assumptions!$D$81*Assumptions!$C$81*INDEX(Assumptions!$B$88:$H$88,MIN((F$2-Assumptions!$B$81+1),7)),0))</f>
        <v>4950.0</v>
      </c>
      <c r="G20" s="12">
        <f>IF(G$2&gt;Assumptions!$E$81,F20*(1-Assumptions!$F$81),IF((G$2-Assumptions!$B$81+1)&gt;=1,Assumptions!$D$81*Assumptions!$C$81*INDEX(Assumptions!$B$88:$H$88,MIN((G$2-Assumptions!$B$81+1),7)),0))</f>
        <v>8910.0</v>
      </c>
      <c r="H20" s="12">
        <f>IF(H$2&gt;Assumptions!$E$81,G20*(1-Assumptions!$F$81),IF((H$2-Assumptions!$B$81+1)&gt;=1,Assumptions!$D$81*Assumptions!$C$81*INDEX(Assumptions!$B$88:$H$88,MIN((H$2-Assumptions!$B$81+1),7)),0))</f>
        <v>12870.0</v>
      </c>
      <c r="I20" s="12">
        <f>IF(I$2&gt;Assumptions!$E$81,H20*(1-Assumptions!$F$81),IF((I$2-Assumptions!$B$81+1)&gt;=1,Assumptions!$D$81*Assumptions!$C$81*INDEX(Assumptions!$B$88:$H$88,MIN((I$2-Assumptions!$B$81+1),7)),0))</f>
        <v>16235.999999999998</v>
      </c>
      <c r="J20" s="12">
        <f>IF(J$2&gt;Assumptions!$E$81,I20*(1-Assumptions!$F$81),IF((J$2-Assumptions!$B$81+1)&gt;=1,Assumptions!$D$81*Assumptions!$C$81*INDEX(Assumptions!$B$88:$H$88,MIN((J$2-Assumptions!$B$81+1),7)),0))</f>
        <v>18414.0</v>
      </c>
      <c r="K20" s="12">
        <f>IF(K$2&gt;Assumptions!$E$81,J20*(1-Assumptions!$F$81),IF((K$2-Assumptions!$B$81+1)&gt;=1,Assumptions!$D$81*Assumptions!$C$81*INDEX(Assumptions!$B$88:$H$88,MIN((K$2-Assumptions!$B$81+1),7)),0))</f>
        <v>19800.0</v>
      </c>
      <c r="L20" s="12">
        <f>IF(L$2&gt;Assumptions!$E$81,K20*(1-Assumptions!$F$81),IF((L$2-Assumptions!$B$81+1)&gt;=1,Assumptions!$D$81*Assumptions!$C$81*INDEX(Assumptions!$B$88:$H$88,MIN((L$2-Assumptions!$B$81+1),7)),0))</f>
        <v>19800.0</v>
      </c>
      <c r="M20" s="12">
        <f>IF(M$2&gt;Assumptions!$E$81,L20*(1-Assumptions!$F$81),IF((M$2-Assumptions!$B$81+1)&gt;=1,Assumptions!$D$81*Assumptions!$C$81*INDEX(Assumptions!$B$88:$H$88,MIN((M$2-Assumptions!$B$81+1),7)),0))</f>
        <v>19800.0</v>
      </c>
      <c r="N20" s="12">
        <f>IF(N$2&gt;Assumptions!$E$81,M20*(1-Assumptions!$F$81),IF((N$2-Assumptions!$B$81+1)&gt;=1,Assumptions!$D$81*Assumptions!$C$81*INDEX(Assumptions!$B$88:$H$88,MIN((N$2-Assumptions!$B$81+1),7)),0))</f>
        <v>19800.0</v>
      </c>
      <c r="O20" s="12">
        <f>IF(O$2&gt;Assumptions!$E$81,N20*(1-Assumptions!$F$81),IF((O$2-Assumptions!$B$81+1)&gt;=1,Assumptions!$D$81*Assumptions!$C$81*INDEX(Assumptions!$B$88:$H$88,MIN((O$2-Assumptions!$B$81+1),7)),0))</f>
        <v>19800.0</v>
      </c>
      <c r="P20" s="12">
        <f>IF(P$2&gt;Assumptions!$E$81,O20*(1-Assumptions!$F$81),IF((P$2-Assumptions!$B$81+1)&gt;=1,Assumptions!$D$81*Assumptions!$C$81*INDEX(Assumptions!$B$88:$H$88,MIN((P$2-Assumptions!$B$81+1),7)),0))</f>
        <v>19800.0</v>
      </c>
      <c r="Q20" s="12">
        <f>IF(Q$2&gt;Assumptions!$E$81,P20*(1-Assumptions!$F$81),IF((Q$2-Assumptions!$B$81+1)&gt;=1,Assumptions!$D$81*Assumptions!$C$81*INDEX(Assumptions!$B$88:$H$88,MIN((Q$2-Assumptions!$B$81+1),7)),0))</f>
        <v>19800.0</v>
      </c>
    </row>
    <row r="21" spans="1:17" x14ac:dyDescent="0.2">
      <c r="A21" s="10" t="s">
        <v>124</v>
      </c>
      <c r="C21" s="12">
        <v>0</v>
      </c>
      <c r="D21" s="12">
        <f>IF(D$2&gt;Assumptions!$E$82,C21*(1-Assumptions!$F$82),IF((D$2-Assumptions!$B$82+1)&gt;=1,Assumptions!$D$82*Assumptions!$C$82*INDEX(Assumptions!$B$88:$H$88,MIN((D$2-Assumptions!$B$82+1),7)),0))</f>
        <v>0</v>
      </c>
      <c r="E21" s="12">
        <f>IF(E$2&gt;Assumptions!$E$82,D21*(1-Assumptions!$F$82),IF((E$2-Assumptions!$B$82+1)&gt;=1,Assumptions!$D$82*Assumptions!$C$82*INDEX(Assumptions!$B$88:$H$88,MIN((E$2-Assumptions!$B$82+1),7)),0))</f>
        <v>0</v>
      </c>
      <c r="F21" s="12">
        <f>IF(F$2&gt;Assumptions!$E$82,E21*(1-Assumptions!$F$82),IF((F$2-Assumptions!$B$82+1)&gt;=1,Assumptions!$D$82*Assumptions!$C$82*INDEX(Assumptions!$B$88:$H$88,MIN((F$2-Assumptions!$B$82+1),7)),0))</f>
        <v>440.0</v>
      </c>
      <c r="G21" s="12">
        <f>IF(G$2&gt;Assumptions!$E$82,F21*(1-Assumptions!$F$82),IF((G$2-Assumptions!$B$82+1)&gt;=1,Assumptions!$D$82*Assumptions!$C$82*INDEX(Assumptions!$B$88:$H$88,MIN((G$2-Assumptions!$B$82+1),7)),0))</f>
        <v>1100.0</v>
      </c>
      <c r="H21" s="12">
        <f>IF(H$2&gt;Assumptions!$E$82,G21*(1-Assumptions!$F$82),IF((H$2-Assumptions!$B$82+1)&gt;=1,Assumptions!$D$82*Assumptions!$C$82*INDEX(Assumptions!$B$88:$H$88,MIN((H$2-Assumptions!$B$82+1),7)),0))</f>
        <v>1980.0</v>
      </c>
      <c r="I21" s="12">
        <f>IF(I$2&gt;Assumptions!$E$82,H21*(1-Assumptions!$F$82),IF((I$2-Assumptions!$B$82+1)&gt;=1,Assumptions!$D$82*Assumptions!$C$82*INDEX(Assumptions!$B$88:$H$88,MIN((I$2-Assumptions!$B$82+1),7)),0))</f>
        <v>2860.0</v>
      </c>
      <c r="J21" s="12">
        <f>IF(J$2&gt;Assumptions!$E$82,I21*(1-Assumptions!$F$82),IF((J$2-Assumptions!$B$82+1)&gt;=1,Assumptions!$D$82*Assumptions!$C$82*INDEX(Assumptions!$B$88:$H$88,MIN((J$2-Assumptions!$B$82+1),7)),0))</f>
        <v>3608.0</v>
      </c>
      <c r="K21" s="12">
        <f>IF(K$2&gt;Assumptions!$E$82,J21*(1-Assumptions!$F$82),IF((K$2-Assumptions!$B$82+1)&gt;=1,Assumptions!$D$82*Assumptions!$C$82*INDEX(Assumptions!$B$88:$H$88,MIN((K$2-Assumptions!$B$82+1),7)),0))</f>
        <v>4092.0</v>
      </c>
      <c r="L21" s="12">
        <f>IF(L$2&gt;Assumptions!$E$82,K21*(1-Assumptions!$F$82),IF((L$2-Assumptions!$B$82+1)&gt;=1,Assumptions!$D$82*Assumptions!$C$82*INDEX(Assumptions!$B$88:$H$88,MIN((L$2-Assumptions!$B$82+1),7)),0))</f>
        <v>4400.0</v>
      </c>
      <c r="M21" s="12">
        <f>IF(M$2&gt;Assumptions!$E$82,L21*(1-Assumptions!$F$82),IF((M$2-Assumptions!$B$82+1)&gt;=1,Assumptions!$D$82*Assumptions!$C$82*INDEX(Assumptions!$B$88:$H$88,MIN((M$2-Assumptions!$B$82+1),7)),0))</f>
        <v>4400.0</v>
      </c>
      <c r="N21" s="12">
        <f>IF(N$2&gt;Assumptions!$E$82,M21*(1-Assumptions!$F$82),IF((N$2-Assumptions!$B$82+1)&gt;=1,Assumptions!$D$82*Assumptions!$C$82*INDEX(Assumptions!$B$88:$H$88,MIN((N$2-Assumptions!$B$82+1),7)),0))</f>
        <v>4400.0</v>
      </c>
      <c r="O21" s="12">
        <f>IF(O$2&gt;Assumptions!$E$82,N21*(1-Assumptions!$F$82),IF((O$2-Assumptions!$B$82+1)&gt;=1,Assumptions!$D$82*Assumptions!$C$82*INDEX(Assumptions!$B$88:$H$88,MIN((O$2-Assumptions!$B$82+1),7)),0))</f>
        <v>4400.0</v>
      </c>
      <c r="P21" s="12">
        <f>IF(P$2&gt;Assumptions!$E$82,O21*(1-Assumptions!$F$82),IF((P$2-Assumptions!$B$82+1)&gt;=1,Assumptions!$D$82*Assumptions!$C$82*INDEX(Assumptions!$B$88:$H$88,MIN((P$2-Assumptions!$B$82+1),7)),0))</f>
        <v>4400.0</v>
      </c>
      <c r="Q21" s="12">
        <f>IF(Q$2&gt;Assumptions!$E$82,P21*(1-Assumptions!$F$82),IF((Q$2-Assumptions!$B$82+1)&gt;=1,Assumptions!$D$82*Assumptions!$C$82*INDEX(Assumptions!$B$88:$H$88,MIN((Q$2-Assumptions!$B$82+1),7)),0))</f>
        <v>4400.0</v>
      </c>
    </row>
    <row r="22" spans="1:17" x14ac:dyDescent="0.2">
      <c r="A22" s="10" t="s">
        <v>125</v>
      </c>
      <c r="C22" s="12">
        <v>0</v>
      </c>
      <c r="D22" s="12">
        <f>IF(D$2&gt;Assumptions!$E$83,C22*(1-Assumptions!$F$83),IF((D$2-Assumptions!$B$83+1)&gt;=1,Assumptions!$D$83*Assumptions!$C$83*INDEX(Assumptions!$B$88:$H$88,MIN((D$2-Assumptions!$B$83+1),7)),0))</f>
        <v>0</v>
      </c>
      <c r="E22" s="12">
        <f>IF(E$2&gt;Assumptions!$E$83,D22*(1-Assumptions!$F$83),IF((E$2-Assumptions!$B$83+1)&gt;=1,Assumptions!$D$83*Assumptions!$C$83*INDEX(Assumptions!$B$88:$H$88,MIN((E$2-Assumptions!$B$83+1),7)),0))</f>
        <v>0</v>
      </c>
      <c r="F22" s="12">
        <f>IF(F$2&gt;Assumptions!$E$83,E22*(1-Assumptions!$F$83),IF((F$2-Assumptions!$B$83+1)&gt;=1,Assumptions!$D$83*Assumptions!$C$83*INDEX(Assumptions!$B$88:$H$88,MIN((F$2-Assumptions!$B$83+1),7)),0))</f>
        <v>0</v>
      </c>
      <c r="G22" s="12">
        <f>IF(G$2&gt;Assumptions!$E$83,F22*(1-Assumptions!$F$83),IF((G$2-Assumptions!$B$83+1)&gt;=1,Assumptions!$D$83*Assumptions!$C$83*INDEX(Assumptions!$B$88:$H$88,MIN((G$2-Assumptions!$B$83+1),7)),0))</f>
        <v>250.0</v>
      </c>
      <c r="H22" s="12">
        <f>IF(H$2&gt;Assumptions!$E$83,G22*(1-Assumptions!$F$83),IF((H$2-Assumptions!$B$83+1)&gt;=1,Assumptions!$D$83*Assumptions!$C$83*INDEX(Assumptions!$B$88:$H$88,MIN((H$2-Assumptions!$B$83+1),7)),0))</f>
        <v>625.0</v>
      </c>
      <c r="I22" s="12">
        <f>IF(I$2&gt;Assumptions!$E$83,H22*(1-Assumptions!$F$83),IF((I$2-Assumptions!$B$83+1)&gt;=1,Assumptions!$D$83*Assumptions!$C$83*INDEX(Assumptions!$B$88:$H$88,MIN((I$2-Assumptions!$B$83+1),7)),0))</f>
        <v>1125.0</v>
      </c>
      <c r="J22" s="12">
        <f>IF(J$2&gt;Assumptions!$E$83,I22*(1-Assumptions!$F$83),IF((J$2-Assumptions!$B$83+1)&gt;=1,Assumptions!$D$83*Assumptions!$C$83*INDEX(Assumptions!$B$88:$H$88,MIN((J$2-Assumptions!$B$83+1),7)),0))</f>
        <v>1625.0</v>
      </c>
      <c r="K22" s="12">
        <f>IF(K$2&gt;Assumptions!$E$83,J22*(1-Assumptions!$F$83),IF((K$2-Assumptions!$B$83+1)&gt;=1,Assumptions!$D$83*Assumptions!$C$83*INDEX(Assumptions!$B$88:$H$88,MIN((K$2-Assumptions!$B$83+1),7)),0))</f>
        <v>2050.0</v>
      </c>
      <c r="L22" s="12">
        <f>IF(L$2&gt;Assumptions!$E$83,K22*(1-Assumptions!$F$83),IF((L$2-Assumptions!$B$83+1)&gt;=1,Assumptions!$D$83*Assumptions!$C$83*INDEX(Assumptions!$B$88:$H$88,MIN((L$2-Assumptions!$B$83+1),7)),0))</f>
        <v>2325.0</v>
      </c>
      <c r="M22" s="12">
        <f>IF(M$2&gt;Assumptions!$E$83,L22*(1-Assumptions!$F$83),IF((M$2-Assumptions!$B$83+1)&gt;=1,Assumptions!$D$83*Assumptions!$C$83*INDEX(Assumptions!$B$88:$H$88,MIN((M$2-Assumptions!$B$83+1),7)),0))</f>
        <v>2500.0</v>
      </c>
      <c r="N22" s="12">
        <f>IF(N$2&gt;Assumptions!$E$83,M22*(1-Assumptions!$F$83),IF((N$2-Assumptions!$B$83+1)&gt;=1,Assumptions!$D$83*Assumptions!$C$83*INDEX(Assumptions!$B$88:$H$88,MIN((N$2-Assumptions!$B$83+1),7)),0))</f>
        <v>2500.0</v>
      </c>
      <c r="O22" s="12">
        <f>IF(O$2&gt;Assumptions!$E$83,N22*(1-Assumptions!$F$83),IF((O$2-Assumptions!$B$83+1)&gt;=1,Assumptions!$D$83*Assumptions!$C$83*INDEX(Assumptions!$B$88:$H$88,MIN((O$2-Assumptions!$B$83+1),7)),0))</f>
        <v>2500.0</v>
      </c>
      <c r="P22" s="12">
        <f>IF(P$2&gt;Assumptions!$E$83,O22*(1-Assumptions!$F$83),IF((P$2-Assumptions!$B$83+1)&gt;=1,Assumptions!$D$83*Assumptions!$C$83*INDEX(Assumptions!$B$88:$H$88,MIN((P$2-Assumptions!$B$83+1),7)),0))</f>
        <v>2500.0</v>
      </c>
      <c r="Q22" s="12">
        <f>IF(Q$2&gt;Assumptions!$E$83,P22*(1-Assumptions!$F$83),IF((Q$2-Assumptions!$B$83+1)&gt;=1,Assumptions!$D$83*Assumptions!$C$83*INDEX(Assumptions!$B$88:$H$88,MIN((Q$2-Assumptions!$B$83+1),7)),0))</f>
        <v>2500.0</v>
      </c>
    </row>
    <row r="23" spans="1:17" x14ac:dyDescent="0.2">
      <c r="A23" s="10" t="s">
        <v>126</v>
      </c>
      <c r="C23" s="12">
        <v>0</v>
      </c>
      <c r="D23" s="12">
        <f>IF(D$2&gt;Assumptions!$E$84,C23*(1-Assumptions!$F$84),IF((D$2-Assumptions!$B$84+1)&gt;=1,Assumptions!$D$84*Assumptions!$C$84*INDEX(Assumptions!$B$88:$H$88,MIN((D$2-Assumptions!$B$84+1),7)),0))</f>
        <v>0</v>
      </c>
      <c r="E23" s="12">
        <f>IF(E$2&gt;Assumptions!$E$84,D23*(1-Assumptions!$F$84),IF((E$2-Assumptions!$B$84+1)&gt;=1,Assumptions!$D$84*Assumptions!$C$84*INDEX(Assumptions!$B$88:$H$88,MIN((E$2-Assumptions!$B$84+1),7)),0))</f>
        <v>165.00000000000003</v>
      </c>
      <c r="F23" s="12">
        <f>IF(F$2&gt;Assumptions!$E$84,E23*(1-Assumptions!$F$84),IF((F$2-Assumptions!$B$84+1)&gt;=1,Assumptions!$D$84*Assumptions!$C$84*INDEX(Assumptions!$B$88:$H$88,MIN((F$2-Assumptions!$B$84+1),7)),0))</f>
        <v>412.50000000000006</v>
      </c>
      <c r="G23" s="12">
        <f>IF(G$2&gt;Assumptions!$E$84,F23*(1-Assumptions!$F$84),IF((G$2-Assumptions!$B$84+1)&gt;=1,Assumptions!$D$84*Assumptions!$C$84*INDEX(Assumptions!$B$88:$H$88,MIN((G$2-Assumptions!$B$84+1),7)),0))</f>
        <v>742.5000000000001</v>
      </c>
      <c r="H23" s="12">
        <f>IF(H$2&gt;Assumptions!$E$84,G23*(1-Assumptions!$F$84),IF((H$2-Assumptions!$B$84+1)&gt;=1,Assumptions!$D$84*Assumptions!$C$84*INDEX(Assumptions!$B$88:$H$88,MIN((H$2-Assumptions!$B$84+1),7)),0))</f>
        <v>1072.5000000000002</v>
      </c>
      <c r="I23" s="12">
        <f>IF(I$2&gt;Assumptions!$E$84,H23*(1-Assumptions!$F$84),IF((I$2-Assumptions!$B$84+1)&gt;=1,Assumptions!$D$84*Assumptions!$C$84*INDEX(Assumptions!$B$88:$H$88,MIN((I$2-Assumptions!$B$84+1),7)),0))</f>
        <v>1353.0</v>
      </c>
      <c r="J23" s="12">
        <f>IF(J$2&gt;Assumptions!$E$84,I23*(1-Assumptions!$F$84),IF((J$2-Assumptions!$B$84+1)&gt;=1,Assumptions!$D$84*Assumptions!$C$84*INDEX(Assumptions!$B$88:$H$88,MIN((J$2-Assumptions!$B$84+1),7)),0))</f>
        <v>1534.5000000000002</v>
      </c>
      <c r="K23" s="12">
        <f>IF(K$2&gt;Assumptions!$E$84,J23*(1-Assumptions!$F$84),IF((K$2-Assumptions!$B$84+1)&gt;=1,Assumptions!$D$84*Assumptions!$C$84*INDEX(Assumptions!$B$88:$H$88,MIN((K$2-Assumptions!$B$84+1),7)),0))</f>
        <v>1650.0000000000002</v>
      </c>
      <c r="L23" s="12">
        <f>IF(L$2&gt;Assumptions!$E$84,K23*(1-Assumptions!$F$84),IF((L$2-Assumptions!$B$84+1)&gt;=1,Assumptions!$D$84*Assumptions!$C$84*INDEX(Assumptions!$B$88:$H$88,MIN((L$2-Assumptions!$B$84+1),7)),0))</f>
        <v>1650.0000000000002</v>
      </c>
      <c r="M23" s="12">
        <f>IF(M$2&gt;Assumptions!$E$84,L23*(1-Assumptions!$F$84),IF((M$2-Assumptions!$B$84+1)&gt;=1,Assumptions!$D$84*Assumptions!$C$84*INDEX(Assumptions!$B$88:$H$88,MIN((M$2-Assumptions!$B$84+1),7)),0))</f>
        <v>1650.0000000000002</v>
      </c>
      <c r="N23" s="12">
        <f>IF(N$2&gt;Assumptions!$E$84,M23*(1-Assumptions!$F$84),IF((N$2-Assumptions!$B$84+1)&gt;=1,Assumptions!$D$84*Assumptions!$C$84*INDEX(Assumptions!$B$88:$H$88,MIN((N$2-Assumptions!$B$84+1),7)),0))</f>
        <v>1650.0000000000002</v>
      </c>
      <c r="O23" s="12">
        <f>IF(O$2&gt;Assumptions!$E$84,N23*(1-Assumptions!$F$84),IF((O$2-Assumptions!$B$84+1)&gt;=1,Assumptions!$D$84*Assumptions!$C$84*INDEX(Assumptions!$B$88:$H$88,MIN((O$2-Assumptions!$B$84+1),7)),0))</f>
        <v>1650.0000000000002</v>
      </c>
      <c r="P23" s="12">
        <f>IF(P$2&gt;Assumptions!$E$84,O23*(1-Assumptions!$F$84),IF((P$2-Assumptions!$B$84+1)&gt;=1,Assumptions!$D$84*Assumptions!$C$84*INDEX(Assumptions!$B$88:$H$88,MIN((P$2-Assumptions!$B$84+1),7)),0))</f>
        <v>1650.0000000000002</v>
      </c>
      <c r="Q23" s="12">
        <f>IF(Q$2&gt;Assumptions!$E$84,P23*(1-Assumptions!$F$84),IF((Q$2-Assumptions!$B$84+1)&gt;=1,Assumptions!$D$84*Assumptions!$C$84*INDEX(Assumptions!$B$88:$H$88,MIN((Q$2-Assumptions!$B$84+1),7)),0))</f>
        <v>1650.0000000000002</v>
      </c>
    </row>
    <row r="24" spans="1:17" x14ac:dyDescent="0.2">
      <c r="A24" s="10" t="s">
        <v>127</v>
      </c>
      <c r="C24" s="12">
        <v>0</v>
      </c>
      <c r="D24" s="12">
        <f>IF(D$2&gt;Assumptions!$E$85,C24*(1-Assumptions!$F$85),IF((D$2-Assumptions!$B$85+1)&gt;=1,Assumptions!$D$85*Assumptions!$C$85*INDEX(Assumptions!$B$88:$H$88,MIN((D$2-Assumptions!$B$85+1),7)),0))</f>
        <v>0</v>
      </c>
      <c r="E24" s="12">
        <f>IF(E$2&gt;Assumptions!$E$85,D24*(1-Assumptions!$F$85),IF((E$2-Assumptions!$B$85+1)&gt;=1,Assumptions!$D$85*Assumptions!$C$85*INDEX(Assumptions!$B$88:$H$88,MIN((E$2-Assumptions!$B$85+1),7)),0))</f>
        <v>0</v>
      </c>
      <c r="F24" s="12">
        <f>IF(F$2&gt;Assumptions!$E$85,E24*(1-Assumptions!$F$85),IF((F$2-Assumptions!$B$85+1)&gt;=1,Assumptions!$D$85*Assumptions!$C$85*INDEX(Assumptions!$B$88:$H$88,MIN((F$2-Assumptions!$B$85+1),7)),0))</f>
        <v>200.0</v>
      </c>
      <c r="G24" s="12">
        <f>IF(G$2&gt;Assumptions!$E$85,F24*(1-Assumptions!$F$85),IF((G$2-Assumptions!$B$85+1)&gt;=1,Assumptions!$D$85*Assumptions!$C$85*INDEX(Assumptions!$B$88:$H$88,MIN((G$2-Assumptions!$B$85+1),7)),0))</f>
        <v>500.0</v>
      </c>
      <c r="H24" s="12">
        <f>IF(H$2&gt;Assumptions!$E$85,G24*(1-Assumptions!$F$85),IF((H$2-Assumptions!$B$85+1)&gt;=1,Assumptions!$D$85*Assumptions!$C$85*INDEX(Assumptions!$B$88:$H$88,MIN((H$2-Assumptions!$B$85+1),7)),0))</f>
        <v>900.0</v>
      </c>
      <c r="I24" s="12">
        <f>IF(I$2&gt;Assumptions!$E$85,H24*(1-Assumptions!$F$85),IF((I$2-Assumptions!$B$85+1)&gt;=1,Assumptions!$D$85*Assumptions!$C$85*INDEX(Assumptions!$B$88:$H$88,MIN((I$2-Assumptions!$B$85+1),7)),0))</f>
        <v>1300.0</v>
      </c>
      <c r="J24" s="12">
        <f>IF(J$2&gt;Assumptions!$E$85,I24*(1-Assumptions!$F$85),IF((J$2-Assumptions!$B$85+1)&gt;=1,Assumptions!$D$85*Assumptions!$C$85*INDEX(Assumptions!$B$88:$H$88,MIN((J$2-Assumptions!$B$85+1),7)),0))</f>
        <v>1640.0</v>
      </c>
      <c r="K24" s="12">
        <f>IF(K$2&gt;Assumptions!$E$85,J24*(1-Assumptions!$F$85),IF((K$2-Assumptions!$B$85+1)&gt;=1,Assumptions!$D$85*Assumptions!$C$85*INDEX(Assumptions!$B$88:$H$88,MIN((K$2-Assumptions!$B$85+1),7)),0))</f>
        <v>1860.0</v>
      </c>
      <c r="L24" s="12">
        <f>IF(L$2&gt;Assumptions!$E$85,K24*(1-Assumptions!$F$85),IF((L$2-Assumptions!$B$85+1)&gt;=1,Assumptions!$D$85*Assumptions!$C$85*INDEX(Assumptions!$B$88:$H$88,MIN((L$2-Assumptions!$B$85+1),7)),0))</f>
        <v>2000.0</v>
      </c>
      <c r="M24" s="12">
        <f>IF(M$2&gt;Assumptions!$E$85,L24*(1-Assumptions!$F$85),IF((M$2-Assumptions!$B$85+1)&gt;=1,Assumptions!$D$85*Assumptions!$C$85*INDEX(Assumptions!$B$88:$H$88,MIN((M$2-Assumptions!$B$85+1),7)),0))</f>
        <v>2000.0</v>
      </c>
      <c r="N24" s="12">
        <f>IF(N$2&gt;Assumptions!$E$85,M24*(1-Assumptions!$F$85),IF((N$2-Assumptions!$B$85+1)&gt;=1,Assumptions!$D$85*Assumptions!$C$85*INDEX(Assumptions!$B$88:$H$88,MIN((N$2-Assumptions!$B$85+1),7)),0))</f>
        <v>2000.0</v>
      </c>
      <c r="O24" s="12">
        <f>IF(O$2&gt;Assumptions!$E$85,N24*(1-Assumptions!$F$85),IF((O$2-Assumptions!$B$85+1)&gt;=1,Assumptions!$D$85*Assumptions!$C$85*INDEX(Assumptions!$B$88:$H$88,MIN((O$2-Assumptions!$B$85+1),7)),0))</f>
        <v>2000.0</v>
      </c>
      <c r="P24" s="12">
        <f>IF(P$2&gt;Assumptions!$E$85,O24*(1-Assumptions!$F$85),IF((P$2-Assumptions!$B$85+1)&gt;=1,Assumptions!$D$85*Assumptions!$C$85*INDEX(Assumptions!$B$88:$H$88,MIN((P$2-Assumptions!$B$85+1),7)),0))</f>
        <v>2000.0</v>
      </c>
      <c r="Q24" s="12">
        <f>IF(Q$2&gt;Assumptions!$E$85,P24*(1-Assumptions!$F$85),IF((Q$2-Assumptions!$B$85+1)&gt;=1,Assumptions!$D$85*Assumptions!$C$85*INDEX(Assumptions!$B$88:$H$88,MIN((Q$2-Assumptions!$B$85+1),7)),0))</f>
        <v>2000.0</v>
      </c>
    </row>
    <row r="25" spans="1:17" x14ac:dyDescent="0.2">
      <c r="A25" s="17" t="s">
        <v>149</v>
      </c>
      <c r="C25" s="54">
        <f t="shared" ref="C25:Q25" si="1">SUM(C19:C24)</f>
        <v>858.0</v>
      </c>
      <c r="D25" s="54">
        <f t="shared" si="1"/>
        <v>4500.0</v>
      </c>
      <c r="E25" s="54">
        <f t="shared" si="1"/>
        <v>10245.0</v>
      </c>
      <c r="F25" s="54">
        <f t="shared" si="1"/>
        <v>17702.5</v>
      </c>
      <c r="G25" s="54">
        <f t="shared" si="1"/>
        <v>26262.5</v>
      </c>
      <c r="H25" s="54">
        <f t="shared" si="1"/>
        <v>34187.5</v>
      </c>
      <c r="I25" s="54">
        <f t="shared" si="1"/>
        <v>40874.0</v>
      </c>
      <c r="J25" s="54">
        <f t="shared" si="1"/>
        <v>44821.5</v>
      </c>
      <c r="K25" s="54">
        <f t="shared" si="1"/>
        <v>47452.0</v>
      </c>
      <c r="L25" s="54">
        <f t="shared" si="1"/>
        <v>48175.0</v>
      </c>
      <c r="M25" s="54">
        <f t="shared" si="1"/>
        <v>48350.0</v>
      </c>
      <c r="N25" s="54">
        <f t="shared" si="1"/>
        <v>48350.0</v>
      </c>
      <c r="O25" s="54">
        <f t="shared" si="1"/>
        <v>48350.0</v>
      </c>
      <c r="P25" s="54">
        <f t="shared" si="1"/>
        <v>48350.0</v>
      </c>
      <c r="Q25" s="54">
        <f t="shared" si="1"/>
        <v>48350.0</v>
      </c>
    </row>
    <row r="27" spans="1:17" x14ac:dyDescent="0.2">
      <c r="A27" s="10" t="s">
        <v>150</v>
      </c>
      <c r="C27" s="12">
        <v>0</v>
      </c>
      <c r="D27" s="12">
        <f>(Assumptions!$B$48-1)*(D5+D6+D19+D20)</f>
        <v>0.0</v>
      </c>
      <c r="E27" s="12">
        <f>(Assumptions!$B$48-1)*(E5+E6+E19+E20)</f>
        <v>0.0</v>
      </c>
      <c r="F27" s="12">
        <f>(Assumptions!$B$48-1)*(F5+F6+F19+F20)</f>
        <v>0.0</v>
      </c>
      <c r="G27" s="12">
        <f>(Assumptions!$B$48-1)*(G5+G6+G19+G20)</f>
        <v>0.0</v>
      </c>
      <c r="H27" s="12">
        <f>(Assumptions!$B$48-1)*(H5+H6+H19+H20)</f>
        <v>0.0</v>
      </c>
      <c r="I27" s="12">
        <f>(Assumptions!$B$48-1)*(I5+I6+I19+I20)</f>
        <v>0.0</v>
      </c>
      <c r="J27" s="12">
        <f>(Assumptions!$B$48-1)*(J5+J6+J19+J20)</f>
        <v>0.0</v>
      </c>
      <c r="K27" s="12">
        <f>(Assumptions!$B$48-1)*(K5+K6+K19+K20)</f>
        <v>0.0</v>
      </c>
      <c r="L27" s="12">
        <f>(Assumptions!$B$48-1)*(L5+L6+L19+L20)</f>
        <v>0.0</v>
      </c>
      <c r="M27" s="12">
        <f>(Assumptions!$B$48-1)*(M5+M6+M19+M20)</f>
        <v>0.0</v>
      </c>
      <c r="N27" s="12">
        <f>(Assumptions!$B$48-1)*(N5+N6+N19+N20)</f>
        <v>0.0</v>
      </c>
      <c r="O27" s="12">
        <f>(Assumptions!$B$48-1)*(O5+O6+O19+O20)</f>
        <v>0.0</v>
      </c>
      <c r="P27" s="12">
        <f>(Assumptions!$B$48-1)*(P5+P6+P19+P20)</f>
        <v>0.0</v>
      </c>
      <c r="Q27" s="12">
        <f>(Assumptions!$B$48-1)*(Q5+Q6+Q19+Q20)</f>
        <v>0.0</v>
      </c>
    </row>
    <row r="28" spans="1:17" x14ac:dyDescent="0.2">
      <c r="A28" s="10" t="s">
        <v>151</v>
      </c>
      <c r="C28" s="12">
        <v>0</v>
      </c>
      <c r="D28" s="12">
        <f>Assumptions!$B$62*MAX(0,(D$2-2030)/10)</f>
        <v>0.0</v>
      </c>
      <c r="E28" s="12">
        <f>Assumptions!$B$62*MAX(0,(E$2-2030)/10)</f>
        <v>0.0</v>
      </c>
      <c r="F28" s="12">
        <f>Assumptions!$B$62*MAX(0,(F$2-2030)/10)</f>
        <v>0.0</v>
      </c>
      <c r="G28" s="12">
        <f>Assumptions!$B$62*MAX(0,(G$2-2030)/10)</f>
        <v>0.0</v>
      </c>
      <c r="H28" s="12">
        <f>Assumptions!$B$62*MAX(0,(H$2-2030)/10)</f>
        <v>2500.0</v>
      </c>
      <c r="I28" s="12">
        <f>Assumptions!$B$62*MAX(0,(I$2-2030)/10)</f>
        <v>5000.0</v>
      </c>
      <c r="J28" s="12">
        <f>Assumptions!$B$62*MAX(0,(J$2-2030)/10)</f>
        <v>7500.0</v>
      </c>
      <c r="K28" s="12">
        <f>Assumptions!$B$62*MAX(0,(K$2-2030)/10)</f>
        <v>10000.0</v>
      </c>
      <c r="L28" s="12">
        <f>Assumptions!$B$62*MAX(0,(L$2-2030)/10)</f>
        <v>12500.0</v>
      </c>
      <c r="M28" s="12">
        <f>Assumptions!$B$62*MAX(0,(M$2-2030)/10)</f>
        <v>15000.0</v>
      </c>
      <c r="N28" s="12">
        <f>Assumptions!$B$62*MAX(0,(N$2-2030)/10)</f>
        <v>17500.0</v>
      </c>
      <c r="O28" s="12">
        <f>Assumptions!$B$62*MAX(0,(O$2-2030)/10)</f>
        <v>20000.0</v>
      </c>
      <c r="P28" s="12">
        <f>Assumptions!$B$62*MAX(0,(P$2-2030)/10)</f>
        <v>22500.0</v>
      </c>
      <c r="Q28" s="12">
        <f>Assumptions!$B$62*MAX(0,(Q$2-2030)/10)</f>
        <v>25000.0</v>
      </c>
    </row>
    <row r="30" spans="1:17" x14ac:dyDescent="0.2">
      <c r="A30" s="55" t="s">
        <v>152</v>
      </c>
      <c r="C30" s="54">
        <f t="shared" ref="C30:Q30" si="2">C16+C25+C27+C28</f>
        <v>87654.0</v>
      </c>
      <c r="D30" s="54">
        <f t="shared" si="2"/>
        <v>99646.55</v>
      </c>
      <c r="E30" s="54">
        <f t="shared" si="2"/>
        <v>112516.4725</v>
      </c>
      <c r="F30" s="54">
        <f t="shared" si="2"/>
        <v>124914.10359500002</v>
      </c>
      <c r="G30" s="54">
        <f t="shared" si="2"/>
        <v>133158.00799575</v>
      </c>
      <c r="H30" s="54">
        <f t="shared" si="2"/>
        <v>141782.9901377565</v>
      </c>
      <c r="I30" s="54">
        <f t="shared" si="2"/>
        <v>147294.05588649347</v>
      </c>
      <c r="J30" s="54">
        <f t="shared" si="2"/>
        <v>151304.0865490714</v>
      </c>
      <c r="K30" s="54">
        <f t="shared" si="2"/>
        <v>154744.62671170023</v>
      </c>
      <c r="L30" s="54">
        <f t="shared" si="2"/>
        <v>156749.50443552475</v>
      </c>
      <c r="M30" s="54">
        <f t="shared" si="2"/>
        <v>158496.53898942412</v>
      </c>
      <c r="N30" s="54">
        <f t="shared" si="2"/>
        <v>138169.39503491568</v>
      </c>
      <c r="O30" s="54">
        <f t="shared" si="2"/>
        <v>124803.88392272525</v>
      </c>
      <c r="P30" s="54">
        <f t="shared" si="2"/>
        <v>116305.19144800995</v>
      </c>
      <c r="Q30" s="54">
        <f t="shared" si="2"/>
        <v>111210.79123326743</v>
      </c>
    </row>
    <row r="32" spans="1:17" x14ac:dyDescent="0.2">
      <c r="A32" s="24" t="s">
        <v>153</v>
      </c>
    </row>
    <row r="33" spans="1:17" x14ac:dyDescent="0.2">
      <c r="A33" s="10" t="s">
        <v>90</v>
      </c>
      <c r="C33" s="12">
        <f>C5+C6</f>
        <v>57543.0</v>
      </c>
      <c r="D33" s="12">
        <f>(D5+D6)*Assumptions!$B$48</f>
        <v>66732.3</v>
      </c>
      <c r="E33" s="12">
        <f>(E5+E6)*Assumptions!$B$48</f>
        <v>74312.15400000001</v>
      </c>
      <c r="F33" s="12">
        <f>(F5+F6)*Assumptions!$B$48</f>
        <v>79287.65892000002</v>
      </c>
      <c r="G33" s="12">
        <f>(G5+G6)*Assumptions!$B$48</f>
        <v>80873.41209840002</v>
      </c>
      <c r="H33" s="12">
        <f>(H5+H6)*Assumptions!$B$48</f>
        <v>80064.67797741601</v>
      </c>
      <c r="I33" s="12">
        <f>(I5+I6)*Assumptions!$B$48</f>
        <v>79264.03119764186</v>
      </c>
      <c r="J33" s="12">
        <f>(J5+J6)*Assumptions!$B$48</f>
        <v>78471.39088566543</v>
      </c>
      <c r="K33" s="12">
        <f>(K5+K6)*Assumptions!$B$48</f>
        <v>77686.67697680878</v>
      </c>
      <c r="L33" s="12">
        <f>(L5+L6)*Assumptions!$B$48</f>
        <v>76909.81020704069</v>
      </c>
      <c r="M33" s="12">
        <f>(M5+M6)*Assumptions!$B$48</f>
        <v>76140.71210497028</v>
      </c>
      <c r="N33" s="12">
        <f>(N5+N6)*Assumptions!$B$48</f>
        <v>53298.498473479194</v>
      </c>
      <c r="O33" s="12">
        <f>(O5+O6)*Assumptions!$B$48</f>
        <v>37308.948931435436</v>
      </c>
      <c r="P33" s="12">
        <f>(P5+P6)*Assumptions!$B$48</f>
        <v>26116.264252004807</v>
      </c>
      <c r="Q33" s="12">
        <f>(Q5+Q6)*Assumptions!$B$48</f>
        <v>18281.384976403362</v>
      </c>
    </row>
    <row r="34" spans="1:17" x14ac:dyDescent="0.2">
      <c r="A34" s="10" t="s">
        <v>154</v>
      </c>
      <c r="C34" s="12">
        <f>C33+C19+C20</f>
        <v>58401.0</v>
      </c>
      <c r="D34" s="12">
        <f>D33+(D19+D20)*Assumptions!$B$48</f>
        <v>71232.3</v>
      </c>
      <c r="E34" s="12">
        <f>E33+(E19+E20)*Assumptions!$B$48</f>
        <v>84392.15400000001</v>
      </c>
      <c r="F34" s="12">
        <f>F33+(F19+F20)*Assumptions!$B$48</f>
        <v>95937.65892000002</v>
      </c>
      <c r="G34" s="12">
        <f>G33+(G19+G20)*Assumptions!$B$48</f>
        <v>104543.41209840002</v>
      </c>
      <c r="H34" s="12">
        <f>H33+(H19+H20)*Assumptions!$B$48</f>
        <v>109674.67797741601</v>
      </c>
      <c r="I34" s="12">
        <f>I33+(I19+I20)*Assumptions!$B$48</f>
        <v>113500.03119764186</v>
      </c>
      <c r="J34" s="12">
        <f>J33+(J19+J20)*Assumptions!$B$48</f>
        <v>114885.39088566543</v>
      </c>
      <c r="K34" s="12">
        <f>K33+(K19+K20)*Assumptions!$B$48</f>
        <v>115486.67697680878</v>
      </c>
      <c r="L34" s="12">
        <f>L33+(L19+L20)*Assumptions!$B$48</f>
        <v>114709.81020704069</v>
      </c>
      <c r="M34" s="12">
        <f>M33+(M19+M20)*Assumptions!$B$48</f>
        <v>113940.71210497028</v>
      </c>
      <c r="N34" s="12">
        <f>N33+(N19+N20)*Assumptions!$B$48</f>
        <v>91098.4984734792</v>
      </c>
      <c r="O34" s="12">
        <f>O33+(O19+O20)*Assumptions!$B$48</f>
        <v>75108.94893143544</v>
      </c>
      <c r="P34" s="12">
        <f>P33+(P19+P20)*Assumptions!$B$48</f>
        <v>63916.26425200481</v>
      </c>
      <c r="Q34" s="12">
        <f>Q33+(Q19+Q20)*Assumptions!$B$48</f>
        <v>56081.384976403366</v>
      </c>
    </row>
    <row r="35" spans="1:17" x14ac:dyDescent="0.2">
      <c r="A35" s="10" t="s">
        <v>155</v>
      </c>
      <c r="C35" s="50">
        <f t="shared" ref="C35:Q35" si="3">C34/C30</f>
        <v>0.6662673694298036</v>
      </c>
      <c r="D35" s="50">
        <f t="shared" si="3"/>
        <v>0.7148496360385783</v>
      </c>
      <c r="E35" s="50">
        <f t="shared" si="3"/>
        <v>0.7500426570873878</v>
      </c>
      <c r="F35" s="50">
        <f t="shared" si="3"/>
        <v>0.7680290388269667</v>
      </c>
      <c r="G35" s="50">
        <f t="shared" si="3"/>
        <v>0.7851079606247694</v>
      </c>
      <c r="H35" s="50">
        <f t="shared" si="3"/>
        <v>0.7735390392800714</v>
      </c>
      <c r="I35" s="50">
        <f t="shared" si="3"/>
        <v>0.7705676275565819</v>
      </c>
      <c r="J35" s="50">
        <f t="shared" si="3"/>
        <v>0.7593013084177701</v>
      </c>
      <c r="K35" s="50">
        <f t="shared" si="3"/>
        <v>0.7463049246418638</v>
      </c>
      <c r="L35" s="50">
        <f t="shared" si="3"/>
        <v>0.7318033356476983</v>
      </c>
      <c r="M35" s="50">
        <f t="shared" si="3"/>
        <v>0.7188845436717903</v>
      </c>
      <c r="N35" s="50">
        <f t="shared" si="3"/>
        <v>0.6593247256417272</v>
      </c>
      <c r="O35" s="50">
        <f t="shared" si="3"/>
        <v>0.601815797479032</v>
      </c>
      <c r="P35" s="50">
        <f t="shared" si="3"/>
        <v>0.5495564166675765</v>
      </c>
      <c r="Q35" s="50">
        <f t="shared" si="3"/>
        <v>0.5042800645017556</v>
      </c>
    </row>
  </sheetData>
  <pageMargins left="0.75" right="0.75" top="1" bottom="1" header="0.5" footer="0.5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42"/>
  <sheetViews>
    <sheetView zoomScale="115" workbookViewId="0">
      <pane xSplit="2" ySplit="8" topLeftCell="C19" activePane="bottomRight" state="frozen"/>
      <selection pane="topRight"/>
      <selection pane="bottomLeft"/>
      <selection pane="bottomRight" activeCell="D29" sqref="D29"/>
    </sheetView>
  </sheetViews>
  <sheetFormatPr baseColWidth="10" defaultColWidth="8.83203125" defaultRowHeight="16" x14ac:dyDescent="0.2"/>
  <cols>
    <col min="1" max="1" width="50" customWidth="1"/>
    <col min="2" max="2" width="12" customWidth="1"/>
    <col min="3" max="17" width="9" customWidth="1"/>
  </cols>
  <sheetData>
    <row r="1" spans="1:17" ht="19" x14ac:dyDescent="0.25">
      <c r="A1" s="18" t="s">
        <v>156</v>
      </c>
    </row>
    <row r="3" spans="1:17" x14ac:dyDescent="0.2">
      <c r="A3" s="10" t="s">
        <v>10</v>
      </c>
      <c r="B3" s="56" t="str">
        <f>Assumptions!$C$4</f>
        <v>Base</v>
      </c>
    </row>
    <row r="4" spans="1:17" x14ac:dyDescent="0.2">
      <c r="A4" s="10" t="s">
        <v>66</v>
      </c>
      <c r="B4" s="57">
        <f>Assumptions!$B$13</f>
        <v>46311</v>
      </c>
    </row>
    <row r="5" spans="1:17" x14ac:dyDescent="0.2">
      <c r="A5" s="10" t="s">
        <v>67</v>
      </c>
      <c r="B5" s="58">
        <f>Assumptions!$B$14</f>
        <v>0.075</v>
      </c>
    </row>
    <row r="6" spans="1:17" x14ac:dyDescent="0.2">
      <c r="A6" s="10" t="s">
        <v>157</v>
      </c>
      <c r="B6" s="58">
        <f>Assumptions!$B$15</f>
        <v>0.02</v>
      </c>
    </row>
    <row r="8" spans="1:17" x14ac:dyDescent="0.2">
      <c r="A8" s="23" t="s">
        <v>158</v>
      </c>
      <c r="B8" s="59"/>
      <c r="C8" s="60" t="s">
        <v>159</v>
      </c>
      <c r="D8" s="23">
        <v>2027</v>
      </c>
      <c r="E8" s="23">
        <v>2028</v>
      </c>
      <c r="F8" s="23">
        <v>2029</v>
      </c>
      <c r="G8" s="23">
        <v>2030</v>
      </c>
      <c r="H8" s="23">
        <v>2031</v>
      </c>
      <c r="I8" s="23">
        <v>2032</v>
      </c>
      <c r="J8" s="23">
        <v>2033</v>
      </c>
      <c r="K8" s="23">
        <v>2034</v>
      </c>
      <c r="L8" s="23">
        <v>2035</v>
      </c>
      <c r="M8" s="23">
        <v>2036</v>
      </c>
      <c r="N8" s="23">
        <v>2037</v>
      </c>
      <c r="O8" s="23">
        <v>2038</v>
      </c>
      <c r="P8" s="23">
        <v>2039</v>
      </c>
      <c r="Q8" s="23">
        <v>2040</v>
      </c>
    </row>
    <row r="9" spans="1:17" x14ac:dyDescent="0.2">
      <c r="A9" s="10" t="s">
        <v>11</v>
      </c>
      <c r="C9" s="12">
        <f>SUM('Quarterly Model'!H2:I2)</f>
        <v>44880.0</v>
      </c>
      <c r="D9" s="61">
        <f>'Yearly Model'!M2</f>
        <v>99646.55</v>
      </c>
      <c r="E9" s="61">
        <f>'Yearly Model'!N2</f>
        <v>112516.4725</v>
      </c>
      <c r="F9" s="61">
        <f>'Yearly Model'!O2</f>
        <v>124914.10359500002</v>
      </c>
      <c r="G9" s="61">
        <f>'Yearly Model'!P2</f>
        <v>133158.00799575</v>
      </c>
      <c r="H9" s="61">
        <f>'Yearly Model'!Q2</f>
        <v>141782.9901377565</v>
      </c>
      <c r="I9" s="61">
        <f>'Yearly Model'!R2</f>
        <v>147294.05588649347</v>
      </c>
      <c r="J9" s="61">
        <f>'Yearly Model'!S2</f>
        <v>151304.0865490714</v>
      </c>
      <c r="K9" s="61">
        <f>'Yearly Model'!T2</f>
        <v>154744.62671170023</v>
      </c>
      <c r="L9" s="61">
        <f>'Yearly Model'!U2</f>
        <v>156749.50443552475</v>
      </c>
      <c r="M9" s="61">
        <f>'Yearly Model'!V2</f>
        <v>158496.53898942412</v>
      </c>
      <c r="N9" s="61">
        <f>'Yearly Model'!W2</f>
        <v>138169.39503491568</v>
      </c>
      <c r="O9" s="61">
        <f>'Yearly Model'!X2</f>
        <v>124803.88392272525</v>
      </c>
      <c r="P9" s="61">
        <f>'Yearly Model'!Y2</f>
        <v>116305.19144800995</v>
      </c>
      <c r="Q9" s="61">
        <f>'Yearly Model'!Z2</f>
        <v>111210.79123326743</v>
      </c>
    </row>
    <row r="10" spans="1:17" x14ac:dyDescent="0.2">
      <c r="A10" s="10" t="s">
        <v>160</v>
      </c>
      <c r="C10" s="12">
        <f>SUM('Quarterly Model'!H8:I8)</f>
        <v>21723.600000000002</v>
      </c>
      <c r="D10" s="61">
        <f>'Yearly Model'!M8</f>
        <v>49314.43875</v>
      </c>
      <c r="E10" s="61">
        <f>'Yearly Model'!N8</f>
        <v>56011.1480625</v>
      </c>
      <c r="F10" s="61">
        <f>'Yearly Model'!O8</f>
        <v>62458.70438737501</v>
      </c>
      <c r="G10" s="61">
        <f>'Yearly Model'!P8</f>
        <v>66724.33019776875</v>
      </c>
      <c r="H10" s="61">
        <f>'Yearly Model'!Q8</f>
        <v>71188.77334232217</v>
      </c>
      <c r="I10" s="61">
        <f>'Yearly Model'!R8</f>
        <v>74017.13693080907</v>
      </c>
      <c r="J10" s="61">
        <f>'Yearly Model'!S8</f>
        <v>76056.15818047048</v>
      </c>
      <c r="K10" s="61">
        <f>'Yearly Model'!T8</f>
        <v>77794.87202069478</v>
      </c>
      <c r="L10" s="61">
        <f>'Yearly Model'!U8</f>
        <v>78778.5116856437</v>
      </c>
      <c r="M10" s="61">
        <f>'Yearly Model'!V8</f>
        <v>79625.40526358073</v>
      </c>
      <c r="N10" s="61">
        <f>'Yearly Model'!W8</f>
        <v>68881.94913334647</v>
      </c>
      <c r="O10" s="61">
        <f>'Yearly Model'!X8</f>
        <v>61791.91613424679</v>
      </c>
      <c r="P10" s="61">
        <f>'Yearly Model'!Y8</f>
        <v>57255.50012651758</v>
      </c>
      <c r="Q10" s="61">
        <f>'Yearly Model'!Z8</f>
        <v>54504.84550610401</v>
      </c>
    </row>
    <row r="11" spans="1:17" x14ac:dyDescent="0.2">
      <c r="A11" s="10" t="s">
        <v>161</v>
      </c>
      <c r="C11" s="12">
        <f>C10*Assumptions!$B$36</f>
        <v>4018.8660000000004</v>
      </c>
      <c r="D11" s="12">
        <f>D10*Assumptions!$B$16</f>
        <v>9369.743362500001</v>
      </c>
      <c r="E11" s="12">
        <f>E10*Assumptions!$B$16</f>
        <v>10642.118131874999</v>
      </c>
      <c r="F11" s="12">
        <f>F10*Assumptions!$B$16</f>
        <v>11867.15383360125</v>
      </c>
      <c r="G11" s="12">
        <f>G10*Assumptions!$B$16</f>
        <v>12677.622737576063</v>
      </c>
      <c r="H11" s="12">
        <f>H10*Assumptions!$B$16</f>
        <v>13525.866935041211</v>
      </c>
      <c r="I11" s="12">
        <f>I10*Assumptions!$B$16</f>
        <v>14063.256016853722</v>
      </c>
      <c r="J11" s="12">
        <f>J10*Assumptions!$B$16</f>
        <v>14450.67005428939</v>
      </c>
      <c r="K11" s="12">
        <f>K10*Assumptions!$B$16</f>
        <v>14781.025683932008</v>
      </c>
      <c r="L11" s="12">
        <f>L10*Assumptions!$B$16</f>
        <v>14967.917220272302</v>
      </c>
      <c r="M11" s="12">
        <f>M10*Assumptions!$B$16</f>
        <v>15128.827000080339</v>
      </c>
      <c r="N11" s="12">
        <f>N10*Assumptions!$B$16</f>
        <v>13087.57033533583</v>
      </c>
      <c r="O11" s="12">
        <f>O10*Assumptions!$B$16</f>
        <v>11740.46406550689</v>
      </c>
      <c r="P11" s="12">
        <f>P10*Assumptions!$B$16</f>
        <v>10878.54502403834</v>
      </c>
      <c r="Q11" s="12">
        <f>Q10*Assumptions!$B$16</f>
        <v>10355.920646159762</v>
      </c>
    </row>
    <row r="12" spans="1:17" x14ac:dyDescent="0.2">
      <c r="A12" s="10" t="s">
        <v>162</v>
      </c>
      <c r="C12" s="12">
        <f t="shared" ref="C12:Q12" si="0">C10-C11</f>
        <v>17704.734</v>
      </c>
      <c r="D12" s="12">
        <f t="shared" si="0"/>
        <v>39944.6953875</v>
      </c>
      <c r="E12" s="12">
        <f t="shared" si="0"/>
        <v>45369.029930624994</v>
      </c>
      <c r="F12" s="12">
        <f t="shared" si="0"/>
        <v>50591.550553773755</v>
      </c>
      <c r="G12" s="12">
        <f t="shared" si="0"/>
        <v>54046.70746019269</v>
      </c>
      <c r="H12" s="12">
        <f t="shared" si="0"/>
        <v>57662.906407280956</v>
      </c>
      <c r="I12" s="12">
        <f t="shared" si="0"/>
        <v>59953.88091395534</v>
      </c>
      <c r="J12" s="12">
        <f t="shared" si="0"/>
        <v>61605.48812618109</v>
      </c>
      <c r="K12" s="12">
        <f t="shared" si="0"/>
        <v>63013.84633676277</v>
      </c>
      <c r="L12" s="12">
        <f t="shared" si="0"/>
        <v>63810.594465371396</v>
      </c>
      <c r="M12" s="12">
        <f t="shared" si="0"/>
        <v>64496.57826350039</v>
      </c>
      <c r="N12" s="12">
        <f t="shared" si="0"/>
        <v>55794.37879801064</v>
      </c>
      <c r="O12" s="12">
        <f t="shared" si="0"/>
        <v>50051.452068739905</v>
      </c>
      <c r="P12" s="12">
        <f t="shared" si="0"/>
        <v>46376.955102479245</v>
      </c>
      <c r="Q12" s="12">
        <f t="shared" si="0"/>
        <v>44148.92485994424</v>
      </c>
    </row>
    <row r="13" spans="1:17" x14ac:dyDescent="0.2">
      <c r="A13" s="10" t="s">
        <v>163</v>
      </c>
      <c r="C13" s="61">
        <f>Assumptions!$B$37</f>
        <v>1100</v>
      </c>
      <c r="D13" s="61">
        <f>'Yearly Model'!M23</f>
        <v>2989.3965</v>
      </c>
      <c r="E13" s="61">
        <f>'Yearly Model'!N23</f>
        <v>3375.494175</v>
      </c>
      <c r="F13" s="61">
        <f>'Yearly Model'!O23</f>
        <v>3747.4231078500006</v>
      </c>
      <c r="G13" s="61">
        <f>'Yearly Model'!P23</f>
        <v>3994.7402398725</v>
      </c>
      <c r="H13" s="61">
        <f>'Yearly Model'!Q23</f>
        <v>4253.489704132695</v>
      </c>
      <c r="I13" s="61">
        <f>'Yearly Model'!R23</f>
        <v>4418.821676594804</v>
      </c>
      <c r="J13" s="61">
        <f>'Yearly Model'!S23</f>
        <v>4539.122596472142</v>
      </c>
      <c r="K13" s="61">
        <f>'Yearly Model'!T23</f>
        <v>4642.338801351007</v>
      </c>
      <c r="L13" s="61">
        <f>'Yearly Model'!U23</f>
        <v>4702.485133065742</v>
      </c>
      <c r="M13" s="61">
        <f>'Yearly Model'!V23</f>
        <v>4754.896169682724</v>
      </c>
      <c r="N13" s="61">
        <f>'Yearly Model'!W23</f>
        <v>4145.08185104747</v>
      </c>
      <c r="O13" s="61">
        <f>'Yearly Model'!X23</f>
        <v>3744.116517681757</v>
      </c>
      <c r="P13" s="61">
        <f>'Yearly Model'!Y23</f>
        <v>3489.1557434402985</v>
      </c>
      <c r="Q13" s="61">
        <f>'Yearly Model'!Z23</f>
        <v>3336.323736998023</v>
      </c>
    </row>
    <row r="14" spans="1:17" x14ac:dyDescent="0.2">
      <c r="A14" s="10" t="s">
        <v>164</v>
      </c>
      <c r="C14" s="12">
        <f>Assumptions!$B$38-5259</f>
        <v>5741.0</v>
      </c>
      <c r="D14" s="61">
        <f>'Yearly Model'!M24</f>
        <v>11957.586</v>
      </c>
      <c r="E14" s="61">
        <f>'Yearly Model'!N24</f>
        <v>11251.64725</v>
      </c>
      <c r="F14" s="61">
        <f>'Yearly Model'!O24</f>
        <v>9993.1282876</v>
      </c>
      <c r="G14" s="61">
        <f>'Yearly Model'!P24</f>
        <v>7989.480479745</v>
      </c>
      <c r="H14" s="61">
        <f>'Yearly Model'!Q24</f>
        <v>7089.149506887826</v>
      </c>
      <c r="I14" s="61">
        <f>'Yearly Model'!R24</f>
        <v>7364.702794324674</v>
      </c>
      <c r="J14" s="61">
        <f>'Yearly Model'!S24</f>
        <v>7565.20432745357</v>
      </c>
      <c r="K14" s="61">
        <f>'Yearly Model'!T24</f>
        <v>7737.231335585012</v>
      </c>
      <c r="L14" s="61">
        <f>'Yearly Model'!U24</f>
        <v>7837.475221776238</v>
      </c>
      <c r="M14" s="61">
        <f>'Yearly Model'!V24</f>
        <v>7924.826949471207</v>
      </c>
      <c r="N14" s="61">
        <f>'Yearly Model'!W24</f>
        <v>6908.469751745784</v>
      </c>
      <c r="O14" s="61">
        <f>'Yearly Model'!X24</f>
        <v>6240.194196136263</v>
      </c>
      <c r="P14" s="61">
        <f>'Yearly Model'!Y24</f>
        <v>5815.259572400498</v>
      </c>
      <c r="Q14" s="61">
        <f>'Yearly Model'!Z24</f>
        <v>5560.539561663372</v>
      </c>
    </row>
    <row r="15" spans="1:17" x14ac:dyDescent="0.2">
      <c r="A15" s="10" t="s">
        <v>165</v>
      </c>
      <c r="C15" s="12">
        <f>Assumptions!$B$32*('Yearly Model'!L2-'Yearly Model'!K2)/2</f>
        <v>1685.625</v>
      </c>
      <c r="D15" s="12">
        <f>Assumptions!$B$32*('Yearly Model'!M2-'Yearly Model'!L2)</f>
        <v>1798.8825000000004</v>
      </c>
      <c r="E15" s="12">
        <f>Assumptions!$B$32*('Yearly Model'!N2-'Yearly Model'!M2)</f>
        <v>1930.488375</v>
      </c>
      <c r="F15" s="12">
        <f>Assumptions!$B$32*('Yearly Model'!O2-'Yearly Model'!N2)</f>
        <v>1859.6446642500027</v>
      </c>
      <c r="G15" s="12">
        <f>Assumptions!$B$32*('Yearly Model'!P2-'Yearly Model'!O2)</f>
        <v>1236.5856601124963</v>
      </c>
      <c r="H15" s="12">
        <f>Assumptions!$B$32*('Yearly Model'!Q2-'Yearly Model'!P2)</f>
        <v>1293.7473213009769</v>
      </c>
      <c r="I15" s="12">
        <f>Assumptions!$B$32*('Yearly Model'!R2-'Yearly Model'!Q2)</f>
        <v>826.6598623105441</v>
      </c>
      <c r="J15" s="12">
        <f>Assumptions!$B$32*('Yearly Model'!S2-'Yearly Model'!R2)</f>
        <v>601.5045993866879</v>
      </c>
      <c r="K15" s="12">
        <f>Assumptions!$B$32*('Yearly Model'!T2-'Yearly Model'!S2)</f>
        <v>516.0810243943255</v>
      </c>
      <c r="L15" s="12">
        <f>Assumptions!$B$32*('Yearly Model'!U2-'Yearly Model'!T2)</f>
        <v>300.73165857367854</v>
      </c>
      <c r="M15" s="12">
        <f>Assumptions!$B$32*('Yearly Model'!V2-'Yearly Model'!U2)</f>
        <v>262.0551830849057</v>
      </c>
      <c r="N15" s="12">
        <f>Assumptions!$B$32*('Yearly Model'!W2-'Yearly Model'!V2)</f>
        <v>-3049.0715931762666</v>
      </c>
      <c r="O15" s="12">
        <f>Assumptions!$B$32*('Yearly Model'!X2-'Yearly Model'!W2)</f>
        <v>-2004.826666828565</v>
      </c>
      <c r="P15" s="12">
        <f>Assumptions!$B$32*('Yearly Model'!Y2-'Yearly Model'!X2)</f>
        <v>-1274.8038712072942</v>
      </c>
      <c r="Q15" s="12">
        <f>Assumptions!$B$32*('Yearly Model'!Z2-'Yearly Model'!Y2)</f>
        <v>-764.1600322113779</v>
      </c>
    </row>
    <row r="16" spans="1:17" x14ac:dyDescent="0.2">
      <c r="A16" s="17" t="s">
        <v>166</v>
      </c>
      <c r="C16" s="29">
        <f t="shared" ref="C16:Q16" si="1">C12+C13-C14-C15</f>
        <v>11378.109</v>
      </c>
      <c r="D16" s="29">
        <f t="shared" si="1"/>
        <v>29177.623387500007</v>
      </c>
      <c r="E16" s="29">
        <f t="shared" si="1"/>
        <v>35562.38848062499</v>
      </c>
      <c r="F16" s="29">
        <f t="shared" si="1"/>
        <v>42486.20070977376</v>
      </c>
      <c r="G16" s="29">
        <f t="shared" si="1"/>
        <v>48815.381560207694</v>
      </c>
      <c r="H16" s="29">
        <f t="shared" si="1"/>
        <v>53533.49928322484</v>
      </c>
      <c r="I16" s="29">
        <f t="shared" si="1"/>
        <v>56181.339933914925</v>
      </c>
      <c r="J16" s="29">
        <f t="shared" si="1"/>
        <v>57977.90179581298</v>
      </c>
      <c r="K16" s="29">
        <f t="shared" si="1"/>
        <v>59402.87277813444</v>
      </c>
      <c r="L16" s="29">
        <f t="shared" si="1"/>
        <v>60374.87271808722</v>
      </c>
      <c r="M16" s="29">
        <f t="shared" si="1"/>
        <v>61064.592300627</v>
      </c>
      <c r="N16" s="29">
        <f t="shared" si="1"/>
        <v>56080.0624904886</v>
      </c>
      <c r="O16" s="29">
        <f t="shared" si="1"/>
        <v>49560.20105711397</v>
      </c>
      <c r="P16" s="29">
        <f t="shared" si="1"/>
        <v>45325.65514472634</v>
      </c>
      <c r="Q16" s="29">
        <f t="shared" si="1"/>
        <v>42688.869067490275</v>
      </c>
    </row>
    <row r="17" spans="1:17" x14ac:dyDescent="0.2">
      <c r="A17" s="10" t="s">
        <v>167</v>
      </c>
      <c r="C17" s="62">
        <f>DATE(2026,10,1)</f>
        <v>46296</v>
      </c>
      <c r="D17" s="62">
        <f t="shared" ref="D17:Q17" si="2">DATE(D8,7,1)</f>
        <v>46569</v>
      </c>
      <c r="E17" s="62">
        <f t="shared" si="2"/>
        <v>46935</v>
      </c>
      <c r="F17" s="62">
        <f t="shared" si="2"/>
        <v>47300</v>
      </c>
      <c r="G17" s="62">
        <f t="shared" si="2"/>
        <v>47665</v>
      </c>
      <c r="H17" s="62">
        <f t="shared" si="2"/>
        <v>48030</v>
      </c>
      <c r="I17" s="62">
        <f t="shared" si="2"/>
        <v>48396</v>
      </c>
      <c r="J17" s="62">
        <f t="shared" si="2"/>
        <v>48761</v>
      </c>
      <c r="K17" s="62">
        <f t="shared" si="2"/>
        <v>49126</v>
      </c>
      <c r="L17" s="62">
        <f t="shared" si="2"/>
        <v>49491</v>
      </c>
      <c r="M17" s="62">
        <f t="shared" si="2"/>
        <v>49857</v>
      </c>
      <c r="N17" s="62">
        <f t="shared" si="2"/>
        <v>50222</v>
      </c>
      <c r="O17" s="62">
        <f t="shared" si="2"/>
        <v>50587</v>
      </c>
      <c r="P17" s="62">
        <f t="shared" si="2"/>
        <v>50952</v>
      </c>
      <c r="Q17" s="62">
        <f t="shared" si="2"/>
        <v>51318</v>
      </c>
    </row>
    <row r="18" spans="1:17" x14ac:dyDescent="0.2">
      <c r="A18" s="10" t="s">
        <v>168</v>
      </c>
      <c r="C18" s="8">
        <f t="shared" ref="C18:Q18" si="3">MAX(0,(C17-$B$4)/365.25)</f>
        <v>0</v>
      </c>
      <c r="D18" s="8">
        <f t="shared" si="3"/>
        <v>0.7063655030800822</v>
      </c>
      <c r="E18" s="8">
        <f t="shared" si="3"/>
        <v>1.7084188911704312</v>
      </c>
      <c r="F18" s="8">
        <f t="shared" si="3"/>
        <v>2.707734428473648</v>
      </c>
      <c r="G18" s="8">
        <f t="shared" si="3"/>
        <v>3.707049965776865</v>
      </c>
      <c r="H18" s="8">
        <f t="shared" si="3"/>
        <v>4.706365503080082</v>
      </c>
      <c r="I18" s="8">
        <f t="shared" si="3"/>
        <v>5.708418891170431</v>
      </c>
      <c r="J18" s="8">
        <f t="shared" si="3"/>
        <v>6.707734428473648</v>
      </c>
      <c r="K18" s="8">
        <f t="shared" si="3"/>
        <v>7.707049965776865</v>
      </c>
      <c r="L18" s="8">
        <f t="shared" si="3"/>
        <v>8.706365503080082</v>
      </c>
      <c r="M18" s="8">
        <f t="shared" si="3"/>
        <v>9.708418891170432</v>
      </c>
      <c r="N18" s="8">
        <f t="shared" si="3"/>
        <v>10.707734428473648</v>
      </c>
      <c r="O18" s="8">
        <f t="shared" si="3"/>
        <v>11.707049965776864</v>
      </c>
      <c r="P18" s="8">
        <f t="shared" si="3"/>
        <v>12.706365503080082</v>
      </c>
      <c r="Q18" s="8">
        <f t="shared" si="3"/>
        <v>13.708418891170432</v>
      </c>
    </row>
    <row r="19" spans="1:17" x14ac:dyDescent="0.2">
      <c r="A19" s="10" t="s">
        <v>169</v>
      </c>
      <c r="C19" s="63">
        <f t="shared" ref="C19:Q19" si="4">1/(1+$B$5)^C18</f>
        <v>1.0</v>
      </c>
      <c r="D19" s="63">
        <f t="shared" si="4"/>
        <v>0.9501980708389666</v>
      </c>
      <c r="E19" s="63">
        <f t="shared" si="4"/>
        <v>0.8837739298938418</v>
      </c>
      <c r="F19" s="63">
        <f t="shared" si="4"/>
        <v>0.8221559799895901</v>
      </c>
      <c r="G19" s="63">
        <f t="shared" si="4"/>
        <v>0.764834119415399</v>
      </c>
      <c r="H19" s="63">
        <f t="shared" si="4"/>
        <v>0.7115088188367076</v>
      </c>
      <c r="I19" s="63">
        <f t="shared" si="4"/>
        <v>0.6617703869070577</v>
      </c>
      <c r="J19" s="63">
        <f t="shared" si="4"/>
        <v>0.6156308333750198</v>
      </c>
      <c r="K19" s="63">
        <f t="shared" si="4"/>
        <v>0.572708193809298</v>
      </c>
      <c r="L19" s="63">
        <f t="shared" si="4"/>
        <v>0.5327781804854893</v>
      </c>
      <c r="M19" s="63">
        <f t="shared" si="4"/>
        <v>0.4955340163063214</v>
      </c>
      <c r="N19" s="63">
        <f t="shared" si="4"/>
        <v>0.46098469417788607</v>
      </c>
      <c r="O19" s="63">
        <f t="shared" si="4"/>
        <v>0.4288441989316732</v>
      </c>
      <c r="P19" s="63">
        <f t="shared" si="4"/>
        <v>0.39894458380082753</v>
      </c>
      <c r="Q19" s="63">
        <f t="shared" si="4"/>
        <v>0.37105613393238823</v>
      </c>
    </row>
    <row r="20" spans="1:17" x14ac:dyDescent="0.2">
      <c r="A20" s="17" t="s">
        <v>170</v>
      </c>
      <c r="C20" s="29">
        <f t="shared" ref="C20:Q20" si="5">C16*C19</f>
        <v>11378.109</v>
      </c>
      <c r="D20" s="29">
        <f t="shared" si="5"/>
        <v>27724.52145446842</v>
      </c>
      <c r="E20" s="29">
        <f t="shared" si="5"/>
        <v>31429.11182393344</v>
      </c>
      <c r="F20" s="29">
        <f t="shared" si="5"/>
        <v>34930.28398057846</v>
      </c>
      <c r="G20" s="29">
        <f t="shared" si="5"/>
        <v>37335.66936952816</v>
      </c>
      <c r="H20" s="29">
        <f t="shared" si="5"/>
        <v>38089.556843203034</v>
      </c>
      <c r="I20" s="29">
        <f t="shared" si="5"/>
        <v>37179.14706502381</v>
      </c>
      <c r="J20" s="29">
        <f t="shared" si="5"/>
        <v>35692.983999891396</v>
      </c>
      <c r="K20" s="29">
        <f t="shared" si="5"/>
        <v>34020.511975848895</v>
      </c>
      <c r="L20" s="29">
        <f t="shared" si="5"/>
        <v>32166.41483378552</v>
      </c>
      <c r="M20" s="29">
        <f t="shared" si="5"/>
        <v>30259.582676837766</v>
      </c>
      <c r="N20" s="29">
        <f t="shared" si="5"/>
        <v>25852.050456654626</v>
      </c>
      <c r="O20" s="29">
        <f t="shared" si="5"/>
        <v>21253.604721230702</v>
      </c>
      <c r="P20" s="29">
        <f t="shared" si="5"/>
        <v>18082.424627212687</v>
      </c>
      <c r="Q20" s="29">
        <f t="shared" si="5"/>
        <v>15839.966718128857</v>
      </c>
    </row>
    <row r="22" spans="1:17" x14ac:dyDescent="0.2">
      <c r="A22" s="24" t="s">
        <v>171</v>
      </c>
      <c r="B22" s="25"/>
      <c r="C22" s="25"/>
    </row>
    <row r="23" spans="1:17" x14ac:dyDescent="0.2">
      <c r="A23" s="10" t="s">
        <v>172</v>
      </c>
      <c r="C23" s="12">
        <f>(Q10*(1-Assumptions!$B$16)+Q13-Q14-Assumptions!$B$32*$B$6*Q9)*(1+$B$6)</f>
        <v>42422.898194810674</v>
      </c>
    </row>
    <row r="24" spans="1:17" x14ac:dyDescent="0.2">
      <c r="A24" s="10" t="s">
        <v>173</v>
      </c>
      <c r="C24" s="12">
        <f>C23/($B$5-$B$6)</f>
        <v>771325.4217238305</v>
      </c>
    </row>
    <row r="25" spans="1:17" x14ac:dyDescent="0.2">
      <c r="A25" s="10" t="s">
        <v>174</v>
      </c>
      <c r="C25" s="8">
        <f>(DATE(2040,12,31)-$B$4)/365.25</f>
        <v>14.209445585215606</v>
      </c>
    </row>
    <row r="26" spans="1:17" x14ac:dyDescent="0.2">
      <c r="A26" s="10" t="s">
        <v>175</v>
      </c>
      <c r="C26" s="12">
        <f>C24/(1+$B$5)^C25</f>
        <v>276020.14621173154</v>
      </c>
    </row>
    <row r="28" spans="1:17" x14ac:dyDescent="0.2">
      <c r="A28" s="24" t="s">
        <v>176</v>
      </c>
      <c r="B28" s="25"/>
      <c r="C28" s="25"/>
    </row>
    <row r="29" spans="1:17" x14ac:dyDescent="0.2">
      <c r="A29" s="10" t="s">
        <v>177</v>
      </c>
      <c r="C29" s="12">
        <f>SUM(C20:Q20)</f>
        <v>431233.93954632577</v>
      </c>
    </row>
    <row r="30" spans="1:17" x14ac:dyDescent="0.2">
      <c r="A30" s="10" t="s">
        <v>175</v>
      </c>
      <c r="C30" s="12">
        <f>C26</f>
        <v>276020.14621173154</v>
      </c>
    </row>
    <row r="31" spans="1:17" x14ac:dyDescent="0.2">
      <c r="A31" s="17" t="s">
        <v>178</v>
      </c>
      <c r="C31" s="29">
        <f>C29+C30</f>
        <v>707254.0857580573</v>
      </c>
    </row>
    <row r="32" spans="1:17" x14ac:dyDescent="0.2">
      <c r="A32" s="10" t="s">
        <v>179</v>
      </c>
      <c r="C32" s="61">
        <f>Main!C8</f>
        <v>54908.0</v>
      </c>
    </row>
    <row r="33" spans="1:3" x14ac:dyDescent="0.2">
      <c r="A33" s="10" t="s">
        <v>180</v>
      </c>
      <c r="C33" s="61">
        <f>Main!C7</f>
        <v>9010.0</v>
      </c>
    </row>
    <row r="34" spans="1:3" x14ac:dyDescent="0.2">
      <c r="A34" s="10" t="s">
        <v>181</v>
      </c>
      <c r="C34" s="61">
        <f>Assumptions!$B$17</f>
        <v>5000</v>
      </c>
    </row>
    <row r="35" spans="1:3" x14ac:dyDescent="0.2">
      <c r="A35" s="17" t="s">
        <v>182</v>
      </c>
      <c r="C35" s="29">
        <f>C31-C32+C33-C34</f>
        <v>656356.0857580573</v>
      </c>
    </row>
    <row r="36" spans="1:3" x14ac:dyDescent="0.2">
      <c r="A36" s="10" t="s">
        <v>183</v>
      </c>
      <c r="C36" s="13">
        <f>Main!C4+Assumptions!$B$18</f>
        <v>893.9570650000001</v>
      </c>
    </row>
    <row r="37" spans="1:3" x14ac:dyDescent="0.2">
      <c r="A37" s="17" t="s">
        <v>184</v>
      </c>
      <c r="C37" s="64">
        <f>C35/C36</f>
        <v>734.2143280203924</v>
      </c>
    </row>
    <row r="38" spans="1:3" x14ac:dyDescent="0.2">
      <c r="A38" s="10" t="s">
        <v>185</v>
      </c>
      <c r="C38" s="65">
        <f>Main!C3</f>
        <v>1286.835</v>
      </c>
    </row>
    <row r="39" spans="1:3" x14ac:dyDescent="0.2">
      <c r="A39" s="17" t="s">
        <v>186</v>
      </c>
      <c r="C39" s="27">
        <f>C37/C38-1</f>
        <v>-0.42944174814922476</v>
      </c>
    </row>
    <row r="40" spans="1:3" x14ac:dyDescent="0.2">
      <c r="A40" s="10" t="s">
        <v>187</v>
      </c>
      <c r="C40" s="50">
        <f>C30/C31</f>
        <v>0.3902701331387636</v>
      </c>
    </row>
    <row r="41" spans="1:3" x14ac:dyDescent="0.2">
      <c r="A41" s="10" t="s">
        <v>188</v>
      </c>
      <c r="C41" s="66">
        <f>C38/'Yearly Model'!M13</f>
        <v>29.217806231113464</v>
      </c>
    </row>
    <row r="42" spans="1:3" x14ac:dyDescent="0.2">
      <c r="A42" s="10" t="s">
        <v>189</v>
      </c>
      <c r="C42" s="12">
        <f>C38*C36+C32-C33+C34</f>
        <v>1201273.239739275</v>
      </c>
    </row>
  </sheetData>
  <pageMargins left="0.75" right="0.75" top="1" bottom="1" header="0.5" footer="0.5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85"/>
  <sheetViews>
    <sheetView topLeftCell="A39" zoomScale="106" workbookViewId="0">
      <selection activeCell="F40" sqref="F40"/>
    </sheetView>
  </sheetViews>
  <sheetFormatPr baseColWidth="10" defaultColWidth="8.83203125" defaultRowHeight="16" x14ac:dyDescent="0.2"/>
  <cols>
    <col min="1" max="1" width="40" customWidth="1"/>
    <col min="2" max="12" width="11" customWidth="1"/>
  </cols>
  <sheetData>
    <row r="1" spans="1:4" ht="19" x14ac:dyDescent="0.25">
      <c r="A1" s="18" t="s">
        <v>190</v>
      </c>
    </row>
    <row r="3" spans="1:4" x14ac:dyDescent="0.2">
      <c r="A3" s="24" t="s">
        <v>191</v>
      </c>
    </row>
    <row r="4" spans="1:4" x14ac:dyDescent="0.2">
      <c r="A4" s="10" t="s">
        <v>192</v>
      </c>
      <c r="B4" s="67">
        <v>1257.03</v>
      </c>
    </row>
    <row r="5" spans="1:4" x14ac:dyDescent="0.2">
      <c r="A5" s="10" t="s">
        <v>193</v>
      </c>
      <c r="B5" s="68">
        <f>DATE(2026,10,16)</f>
        <v>46311</v>
      </c>
    </row>
    <row r="6" spans="1:4" x14ac:dyDescent="0.2">
      <c r="A6" s="10" t="s">
        <v>194</v>
      </c>
      <c r="B6" s="68">
        <f>DATE(2027,1,15)</f>
        <v>46402</v>
      </c>
    </row>
    <row r="7" spans="1:4" x14ac:dyDescent="0.2">
      <c r="A7" s="10" t="s">
        <v>195</v>
      </c>
      <c r="B7" s="63">
        <f>(B6-B5)/365</f>
        <v>0.2493150684931507</v>
      </c>
    </row>
    <row r="8" spans="1:4" x14ac:dyDescent="0.2">
      <c r="A8" s="10" t="s">
        <v>196</v>
      </c>
      <c r="B8" s="28">
        <v>4.5999999999999999E-2</v>
      </c>
    </row>
    <row r="9" spans="1:4" x14ac:dyDescent="0.2">
      <c r="A9" s="10" t="s">
        <v>197</v>
      </c>
      <c r="B9" s="14">
        <f>4*1.73/B4</f>
        <v>0.005505039656969205</v>
      </c>
    </row>
    <row r="10" spans="1:4" x14ac:dyDescent="0.2">
      <c r="A10" s="10" t="s">
        <v>198</v>
      </c>
      <c r="B10" s="34">
        <v>100</v>
      </c>
    </row>
    <row r="12" spans="1:4" x14ac:dyDescent="0.2">
      <c r="A12" s="24" t="s">
        <v>199</v>
      </c>
      <c r="B12" s="25"/>
      <c r="C12" s="25"/>
    </row>
    <row r="13" spans="1:4" x14ac:dyDescent="0.2">
      <c r="A13" s="10" t="s">
        <v>200</v>
      </c>
      <c r="B13" s="21">
        <v>0.2</v>
      </c>
    </row>
    <row r="14" spans="1:4" x14ac:dyDescent="0.2">
      <c r="A14" s="23" t="s">
        <v>201</v>
      </c>
      <c r="B14" s="60" t="s">
        <v>202</v>
      </c>
      <c r="C14" s="60" t="s">
        <v>203</v>
      </c>
      <c r="D14" s="60" t="s">
        <v>204</v>
      </c>
    </row>
    <row r="15" spans="1:4" x14ac:dyDescent="0.2">
      <c r="A15" s="10" t="s">
        <v>62</v>
      </c>
      <c r="B15" s="69">
        <f>$B$4+(D15-$B$4)*$B$13</f>
        <v>1072.866613749265</v>
      </c>
      <c r="C15" s="28">
        <v>0.25</v>
      </c>
      <c r="D15" s="70">
        <f>Assumptions!$E$96</f>
        <v>336.2130687463259</v>
      </c>
    </row>
    <row r="16" spans="1:4" x14ac:dyDescent="0.2">
      <c r="A16" s="10" t="s">
        <v>63</v>
      </c>
      <c r="B16" s="69">
        <f>$B$4+(D16-$B$4)*$B$13</f>
        <v>1152.4668656040785</v>
      </c>
      <c r="C16" s="28">
        <v>0.5</v>
      </c>
      <c r="D16" s="70">
        <f>Assumptions!$E$97</f>
        <v>734.2143280203924</v>
      </c>
    </row>
    <row r="17" spans="1:11" x14ac:dyDescent="0.2">
      <c r="A17" s="10" t="s">
        <v>64</v>
      </c>
      <c r="B17" s="69">
        <f>$B$4+(D17-$B$4)*$B$13</f>
        <v>1307.732629556625</v>
      </c>
      <c r="C17" s="28">
        <v>0.25</v>
      </c>
      <c r="D17" s="70">
        <f>Assumptions!$E$98</f>
        <v>1510.5431477831246</v>
      </c>
    </row>
    <row r="18" spans="1:11" x14ac:dyDescent="0.2">
      <c r="A18" s="10" t="s">
        <v>205</v>
      </c>
      <c r="B18" s="71">
        <f>SUMPRODUCT(B15:B17,C15:C17)</f>
        <v>1171.3832436285118</v>
      </c>
      <c r="C18" s="50">
        <f>SUM(C15:C17)</f>
        <v>1.0</v>
      </c>
    </row>
    <row r="20" spans="1:11" x14ac:dyDescent="0.2">
      <c r="A20" s="24" t="s">
        <v>206</v>
      </c>
    </row>
    <row r="21" spans="1:11" x14ac:dyDescent="0.2">
      <c r="A21" s="37" t="s">
        <v>207</v>
      </c>
      <c r="B21" s="37" t="s">
        <v>208</v>
      </c>
      <c r="C21" s="37" t="s">
        <v>209</v>
      </c>
      <c r="D21" s="37" t="s">
        <v>210</v>
      </c>
      <c r="E21" s="37" t="s">
        <v>211</v>
      </c>
      <c r="F21" s="37" t="s">
        <v>212</v>
      </c>
      <c r="G21" s="37" t="s">
        <v>213</v>
      </c>
      <c r="H21" s="37" t="s">
        <v>214</v>
      </c>
      <c r="I21" s="37" t="s">
        <v>215</v>
      </c>
      <c r="J21" s="37" t="s">
        <v>216</v>
      </c>
      <c r="K21" s="37" t="s">
        <v>217</v>
      </c>
    </row>
    <row r="22" spans="1:11" x14ac:dyDescent="0.2">
      <c r="A22" s="41">
        <v>1100</v>
      </c>
      <c r="B22" s="67">
        <v>190.9</v>
      </c>
      <c r="C22" s="67">
        <v>203.95</v>
      </c>
      <c r="D22" s="69">
        <f t="shared" ref="D22:D27" si="0">(B22+C22)/2</f>
        <v>197.425</v>
      </c>
      <c r="E22" s="28">
        <v>0.38179999999999997</v>
      </c>
      <c r="F22" s="67">
        <v>24.05</v>
      </c>
      <c r="G22" s="67">
        <v>29.3</v>
      </c>
      <c r="H22" s="69">
        <f t="shared" ref="H22:H27" si="1">(F22+G22)/2</f>
        <v>26.675</v>
      </c>
      <c r="I22" s="28">
        <v>0.36720000000000003</v>
      </c>
      <c r="J22" s="72">
        <v>1242</v>
      </c>
      <c r="K22" s="72">
        <v>730</v>
      </c>
    </row>
    <row r="23" spans="1:11" x14ac:dyDescent="0.2">
      <c r="A23" s="41">
        <v>1200</v>
      </c>
      <c r="B23" s="67">
        <v>121.25</v>
      </c>
      <c r="C23" s="67">
        <v>130.19999999999999</v>
      </c>
      <c r="D23" s="69">
        <f t="shared" si="0"/>
        <v>125.725</v>
      </c>
      <c r="E23" s="28">
        <v>0.35570000000000002</v>
      </c>
      <c r="F23" s="67">
        <v>52.9</v>
      </c>
      <c r="G23" s="67">
        <v>65.05</v>
      </c>
      <c r="H23" s="69">
        <f t="shared" si="1"/>
        <v>58.974999999999994</v>
      </c>
      <c r="I23" s="28">
        <v>0.3649</v>
      </c>
      <c r="J23" s="72">
        <v>1210</v>
      </c>
      <c r="K23" s="72">
        <v>564</v>
      </c>
    </row>
    <row r="24" spans="1:11" x14ac:dyDescent="0.2">
      <c r="A24" s="41">
        <v>1260</v>
      </c>
      <c r="B24" s="67">
        <v>88.6</v>
      </c>
      <c r="C24" s="67">
        <v>98.2</v>
      </c>
      <c r="D24" s="69">
        <f t="shared" si="0"/>
        <v>93.4</v>
      </c>
      <c r="E24" s="28">
        <v>0.3538</v>
      </c>
      <c r="F24" s="67">
        <v>76.349999999999994</v>
      </c>
      <c r="G24" s="67">
        <v>90.85</v>
      </c>
      <c r="H24" s="69">
        <f t="shared" si="1"/>
        <v>83.6</v>
      </c>
      <c r="I24" s="28">
        <v>0.3508</v>
      </c>
      <c r="J24" s="72">
        <v>337</v>
      </c>
      <c r="K24" s="72">
        <v>75</v>
      </c>
    </row>
    <row r="25" spans="1:11" x14ac:dyDescent="0.2">
      <c r="A25" s="41">
        <v>1300</v>
      </c>
      <c r="B25" s="67">
        <v>73.8</v>
      </c>
      <c r="C25" s="67">
        <v>79.75</v>
      </c>
      <c r="D25" s="69">
        <f t="shared" si="0"/>
        <v>76.775</v>
      </c>
      <c r="E25" s="28">
        <v>0.35820000000000002</v>
      </c>
      <c r="F25" s="67">
        <v>103.55</v>
      </c>
      <c r="G25" s="67">
        <v>111.8</v>
      </c>
      <c r="H25" s="69">
        <f t="shared" si="1"/>
        <v>107.675</v>
      </c>
      <c r="I25" s="28">
        <v>0.35799999999999998</v>
      </c>
      <c r="J25" s="72">
        <v>960</v>
      </c>
      <c r="K25" s="72">
        <v>105</v>
      </c>
    </row>
    <row r="26" spans="1:11" x14ac:dyDescent="0.2">
      <c r="A26" s="41">
        <v>1400</v>
      </c>
      <c r="B26" s="67">
        <v>39.549999999999997</v>
      </c>
      <c r="C26" s="67">
        <v>45.2</v>
      </c>
      <c r="D26" s="69">
        <f t="shared" si="0"/>
        <v>42.375</v>
      </c>
      <c r="E26" s="28">
        <v>0.35289999999999999</v>
      </c>
      <c r="F26" s="67">
        <v>168</v>
      </c>
      <c r="G26" s="67">
        <v>178.95</v>
      </c>
      <c r="H26" s="69">
        <f t="shared" si="1"/>
        <v>173.475</v>
      </c>
      <c r="I26" s="28">
        <v>0.35110000000000002</v>
      </c>
      <c r="J26" s="72">
        <v>1458</v>
      </c>
      <c r="K26" s="72">
        <v>28</v>
      </c>
    </row>
    <row r="27" spans="1:11" x14ac:dyDescent="0.2">
      <c r="A27" s="41">
        <v>1500</v>
      </c>
      <c r="B27" s="67">
        <v>20.350000000000001</v>
      </c>
      <c r="C27" s="67">
        <v>24.65</v>
      </c>
      <c r="D27" s="69">
        <f t="shared" si="0"/>
        <v>22.5</v>
      </c>
      <c r="E27" s="28">
        <v>0.35410000000000003</v>
      </c>
      <c r="F27" s="67">
        <v>247.75</v>
      </c>
      <c r="G27" s="67">
        <v>262.35000000000002</v>
      </c>
      <c r="H27" s="69">
        <f t="shared" si="1"/>
        <v>255.05</v>
      </c>
      <c r="I27" s="28">
        <v>0.35339999999999999</v>
      </c>
      <c r="J27" s="72">
        <v>881</v>
      </c>
      <c r="K27" s="72">
        <v>1</v>
      </c>
    </row>
    <row r="29" spans="1:11" x14ac:dyDescent="0.2">
      <c r="A29" s="24" t="s">
        <v>218</v>
      </c>
    </row>
    <row r="30" spans="1:11" x14ac:dyDescent="0.2">
      <c r="A30" s="37" t="s">
        <v>219</v>
      </c>
      <c r="B30" s="37" t="s">
        <v>220</v>
      </c>
      <c r="C30" s="37" t="s">
        <v>207</v>
      </c>
      <c r="D30" s="37" t="s">
        <v>221</v>
      </c>
      <c r="E30" s="37" t="s">
        <v>222</v>
      </c>
      <c r="F30" s="37" t="s">
        <v>223</v>
      </c>
      <c r="G30" s="37" t="s">
        <v>224</v>
      </c>
      <c r="H30" s="37" t="s">
        <v>225</v>
      </c>
      <c r="I30" s="37" t="s">
        <v>226</v>
      </c>
    </row>
    <row r="31" spans="1:11" x14ac:dyDescent="0.2">
      <c r="A31" s="10" t="s">
        <v>227</v>
      </c>
      <c r="B31" s="73" t="s">
        <v>228</v>
      </c>
      <c r="C31" s="74">
        <f>A24</f>
        <v>1260</v>
      </c>
      <c r="D31" s="71">
        <f>H24</f>
        <v>83.6</v>
      </c>
      <c r="E31" s="50">
        <f>I24</f>
        <v>0.3508</v>
      </c>
      <c r="F31" s="63">
        <f>(LN($B$4/C31)+($B$8-$B$9+E31^2/2)*$B$7)/(E31*SQRT($B$7))</f>
        <v>0.13174567407589502</v>
      </c>
      <c r="G31" s="63">
        <f>F31-E31*SQRT($B$7)</f>
        <v>-0.043413887154461345</v>
      </c>
      <c r="H31" s="69">
        <f>IF(B31="C",$B$4*EXP(-$B$9*$B$7)*NORMSDIST(F31)-C31*EXP(-$B$8*$B$7)*NORMSDIST(G31),C31*EXP(-$B$8*$B$7)*NORMSDIST(-G31)-$B$4*EXP(-$B$9*$B$7)*NORMSDIST(-F31))</f>
        <v>82.51743947708962</v>
      </c>
      <c r="I31" s="8">
        <f>IF(B31="C",EXP(-$B$9*$B$7)*NORMSDIST(F31),EXP(-$B$9*$B$7)*(NORMSDIST(F31)-1))</f>
        <v>-0.4469788339634691</v>
      </c>
    </row>
    <row r="32" spans="1:11" x14ac:dyDescent="0.2">
      <c r="A32" s="10" t="s">
        <v>229</v>
      </c>
      <c r="B32" s="73" t="s">
        <v>228</v>
      </c>
      <c r="C32" s="74">
        <f>A22</f>
        <v>1100</v>
      </c>
      <c r="D32" s="71">
        <f>H22</f>
        <v>26.675</v>
      </c>
      <c r="E32" s="50">
        <f>I22</f>
        <v>0.3672</v>
      </c>
      <c r="F32" s="63">
        <f>(LN($B$4/C32)+($B$8-$B$9+E32^2/2)*$B$7)/(E32*SQRT($B$7))</f>
        <v>0.874542632589062</v>
      </c>
      <c r="G32" s="63">
        <f>F32-E32*SQRT($B$7)</f>
        <v>0.6911943119397266</v>
      </c>
      <c r="H32" s="69">
        <f>IF(B32="C",$B$4*EXP(-$B$9*$B$7)*NORMSDIST(F32)-C32*EXP(-$B$8*$B$7)*NORMSDIST(G32),C32*EXP(-$B$8*$B$7)*NORMSDIST(-G32)-$B$4*EXP(-$B$9*$B$7)*NORMSDIST(-F32))</f>
        <v>26.4720583353257</v>
      </c>
      <c r="I32" s="8">
        <f>IF(B32="C",EXP(-$B$9*$B$7)*NORMSDIST(F32),EXP(-$B$9*$B$7)*(NORMSDIST(F32)-1))</f>
        <v>-0.19064956269941868</v>
      </c>
    </row>
    <row r="33" spans="1:9" x14ac:dyDescent="0.2">
      <c r="A33" s="10" t="s">
        <v>230</v>
      </c>
      <c r="B33" s="73" t="s">
        <v>231</v>
      </c>
      <c r="C33" s="74">
        <f>A25</f>
        <v>1300</v>
      </c>
      <c r="D33" s="71">
        <f t="shared" ref="D33:E35" si="2">D25</f>
        <v>76.775</v>
      </c>
      <c r="E33" s="50">
        <f t="shared" si="2"/>
        <v>0.3582</v>
      </c>
      <c r="F33" s="63">
        <f>(LN($B$4/C33)+($B$8-$B$9+E33^2/2)*$B$7)/(E33*SQRT($B$7))</f>
        <v>-0.04205653909432356</v>
      </c>
      <c r="G33" s="63">
        <f>F33-E33*SQRT($B$7)</f>
        <v>-0.22091102835519486</v>
      </c>
      <c r="H33" s="69">
        <f>IF(B33="C",$B$4*EXP(-$B$9*$B$7)*NORMSDIST(F33)-C33*EXP(-$B$8*$B$7)*NORMSDIST(G33),C33*EXP(-$B$8*$B$7)*NORMSDIST(-G33)-$B$4*EXP(-$B$9*$B$7)*NORMSDIST(-F33))</f>
        <v>76.3584161060586</v>
      </c>
      <c r="I33" s="8">
        <f>IF(B33="C",EXP(-$B$9*$B$7)*NORMSDIST(F33),EXP(-$B$9*$B$7)*(NORMSDIST(F33)-1))</f>
        <v>0.4825640444123894</v>
      </c>
    </row>
    <row r="34" spans="1:9" x14ac:dyDescent="0.2">
      <c r="A34" s="10" t="s">
        <v>232</v>
      </c>
      <c r="B34" s="73" t="s">
        <v>231</v>
      </c>
      <c r="C34" s="74">
        <f>A26</f>
        <v>1400</v>
      </c>
      <c r="D34" s="71">
        <f t="shared" si="2"/>
        <v>42.375</v>
      </c>
      <c r="E34" s="50">
        <f t="shared" si="2"/>
        <v>0.3529</v>
      </c>
      <c r="F34" s="63">
        <f>(LN($B$4/C34)+($B$8-$B$9+E34^2/2)*$B$7)/(E34*SQRT($B$7))</f>
        <v>-0.46592509555632927</v>
      </c>
      <c r="G34" s="63">
        <f>F34-E34*SQRT($B$7)</f>
        <v>-0.642133217443994</v>
      </c>
      <c r="H34" s="69">
        <f>IF(B34="C",$B$4*EXP(-$B$9*$B$7)*NORMSDIST(F34)-C34*EXP(-$B$8*$B$7)*NORMSDIST(G34),C34*EXP(-$B$8*$B$7)*NORMSDIST(-G34)-$B$4*EXP(-$B$9*$B$7)*NORMSDIST(-F34))</f>
        <v>42.10074220676927</v>
      </c>
      <c r="I34" s="8">
        <f>IF(B34="C",EXP(-$B$9*$B$7)*NORMSDIST(F34),EXP(-$B$9*$B$7)*(NORMSDIST(F34)-1))</f>
        <v>0.3201947929889472</v>
      </c>
    </row>
    <row r="35" spans="1:9" x14ac:dyDescent="0.2">
      <c r="A35" s="10" t="s">
        <v>233</v>
      </c>
      <c r="B35" s="73" t="s">
        <v>231</v>
      </c>
      <c r="C35" s="74">
        <f>A27</f>
        <v>1500</v>
      </c>
      <c r="D35" s="71">
        <f t="shared" si="2"/>
        <v>22.5</v>
      </c>
      <c r="E35" s="50">
        <f t="shared" si="2"/>
        <v>0.3541</v>
      </c>
      <c r="F35" s="63">
        <f>(LN($B$4/C35)+($B$8-$B$9+E35^2/2)*$B$7)/(E35*SQRT($B$7))</f>
        <v>-0.8539630352952287</v>
      </c>
      <c r="G35" s="63">
        <f>F35-E35*SQRT($B$7)</f>
        <v>-1.0307703347013553</v>
      </c>
      <c r="H35" s="69">
        <f>IF(B35="C",$B$4*EXP(-$B$9*$B$7)*NORMSDIST(F35)-C35*EXP(-$B$8*$B$7)*NORMSDIST(G35),C35*EXP(-$B$8*$B$7)*NORMSDIST(-G35)-$B$4*EXP(-$B$9*$B$7)*NORMSDIST(-F35))</f>
        <v>22.34828815475788</v>
      </c>
      <c r="I35" s="8">
        <f>IF(B35="C",EXP(-$B$9*$B$7)*NORMSDIST(F35),EXP(-$B$9*$B$7)*(NORMSDIST(F35)-1))</f>
        <v>0.19629314031525363</v>
      </c>
    </row>
    <row r="37" spans="1:9" x14ac:dyDescent="0.2">
      <c r="A37" s="24" t="s">
        <v>234</v>
      </c>
    </row>
    <row r="38" spans="1:9" x14ac:dyDescent="0.2">
      <c r="A38" s="37" t="s">
        <v>235</v>
      </c>
      <c r="B38" s="37" t="s">
        <v>236</v>
      </c>
      <c r="C38" s="37" t="s">
        <v>237</v>
      </c>
      <c r="D38" s="37" t="s">
        <v>238</v>
      </c>
      <c r="E38" s="37" t="s">
        <v>239</v>
      </c>
    </row>
    <row r="39" spans="1:9" ht="34" customHeight="1" x14ac:dyDescent="0.2">
      <c r="A39" s="10" t="s">
        <v>240</v>
      </c>
      <c r="B39" s="75" t="s">
        <v>241</v>
      </c>
      <c r="C39" s="75" t="s">
        <v>242</v>
      </c>
      <c r="D39" s="75" t="s">
        <v>243</v>
      </c>
      <c r="E39" s="75" t="s">
        <v>244</v>
      </c>
    </row>
    <row r="40" spans="1:9" x14ac:dyDescent="0.2">
      <c r="A40" s="10" t="s">
        <v>245</v>
      </c>
      <c r="B40" s="69">
        <f>-$D$31</f>
        <v>-83.6</v>
      </c>
      <c r="C40" s="69">
        <f>-$D$31+$D$32</f>
        <v>-56.925</v>
      </c>
      <c r="D40" s="69">
        <f>$D$34-$D$35</f>
        <v>19.875</v>
      </c>
      <c r="E40" s="69">
        <f>-$D$33+$D$34</f>
        <v>-34.400000000000006</v>
      </c>
    </row>
    <row r="41" spans="1:9" x14ac:dyDescent="0.2">
      <c r="A41" s="10" t="s">
        <v>246</v>
      </c>
      <c r="B41" s="49">
        <f>B40*$B$10</f>
        <v>-8360.0</v>
      </c>
      <c r="C41" s="49">
        <f>C40*$B$10</f>
        <v>-5692.5</v>
      </c>
      <c r="D41" s="49">
        <f>D40*$B$10</f>
        <v>1987.5</v>
      </c>
      <c r="E41" s="49">
        <f>E40*$B$10</f>
        <v>-3440.0000000000005</v>
      </c>
    </row>
    <row r="42" spans="1:9" x14ac:dyDescent="0.2">
      <c r="A42" s="10" t="s">
        <v>247</v>
      </c>
      <c r="B42" s="49">
        <f>(1260+B40)*$B$10</f>
        <v>117640.00000000001</v>
      </c>
      <c r="C42" s="49">
        <f>(1260-1100+C40)*$B$10</f>
        <v>10307.5</v>
      </c>
      <c r="D42" s="49">
        <f>D40*$B$10</f>
        <v>1987.5</v>
      </c>
      <c r="E42" s="49">
        <f>(1400-1300+E40)*$B$10</f>
        <v>6559.999999999999</v>
      </c>
    </row>
    <row r="43" spans="1:9" x14ac:dyDescent="0.2">
      <c r="A43" s="10" t="s">
        <v>248</v>
      </c>
      <c r="B43" s="49">
        <f>B40*$B$10</f>
        <v>-8360.0</v>
      </c>
      <c r="C43" s="49">
        <f>C40*$B$10</f>
        <v>-5692.5</v>
      </c>
      <c r="D43" s="49">
        <f>-(1500-1400-D40)*$B$10</f>
        <v>-8012.5</v>
      </c>
      <c r="E43" s="49">
        <f>E40*$B$10</f>
        <v>-3440.0000000000005</v>
      </c>
    </row>
    <row r="44" spans="1:9" x14ac:dyDescent="0.2">
      <c r="A44" s="17" t="s">
        <v>249</v>
      </c>
      <c r="B44" s="71">
        <f>1260+B40</f>
        <v>1176.4</v>
      </c>
      <c r="C44" s="71">
        <f>1260+C40</f>
        <v>1203.075</v>
      </c>
      <c r="D44" s="71">
        <f>1400+D40</f>
        <v>1419.875</v>
      </c>
      <c r="E44" s="71">
        <f>1300-E40</f>
        <v>1334.4</v>
      </c>
    </row>
    <row r="45" spans="1:9" x14ac:dyDescent="0.2">
      <c r="A45" s="10" t="s">
        <v>250</v>
      </c>
      <c r="B45" s="48" t="s">
        <v>251</v>
      </c>
      <c r="C45" s="48" t="s">
        <v>251</v>
      </c>
      <c r="D45" s="48" t="s">
        <v>251</v>
      </c>
      <c r="E45" s="48" t="s">
        <v>252</v>
      </c>
    </row>
    <row r="46" spans="1:9" x14ac:dyDescent="0.2">
      <c r="A46" s="10" t="s">
        <v>253</v>
      </c>
      <c r="B46" s="50">
        <f>NORMSDIST(-(LN($B$4/B44)+($B$8-$B$9-$E$31^2/2)*$B$7)/($E$31*SQRT($B$7)))</f>
        <v>0.3637209353254567</v>
      </c>
      <c r="C46" s="50">
        <f>NORMSDIST(-(LN($B$4/C44)+($B$8-$B$9-$E$31^2/2)*$B$7)/($E$31*SQRT($B$7)))</f>
        <v>0.41273221448857156</v>
      </c>
      <c r="D46" s="50">
        <f>NORMSDIST(-(LN($B$4/D44)+($B$8-$B$9-$E$34^2/2)*$B$7)/($E$34*SQRT($B$7)))</f>
        <v>0.7648936296886895</v>
      </c>
      <c r="E46" s="50">
        <f>NORMSDIST((LN($B$4/E44)+($B$8-$B$9-$E$33^2/2)*$B$7)/($E$33*SQRT($B$7)))</f>
        <v>0.3568328231517467</v>
      </c>
    </row>
    <row r="47" spans="1:9" x14ac:dyDescent="0.2">
      <c r="A47" s="10" t="s">
        <v>254</v>
      </c>
      <c r="B47" s="49">
        <f>(MAX(1260-$B$4,0)-$D$31)*$B$10</f>
        <v>-8062.999999999996</v>
      </c>
      <c r="C47" s="49">
        <f>(MAX(1260-$B$4,0)-MAX(1100-$B$4,0)-$D$31+$D$32)*$B$10</f>
        <v>-5395.499999999997</v>
      </c>
      <c r="D47" s="49">
        <f>($D$34-$D$35-MAX($B$4-1400,0)+MAX($B$4-1500,0))*$B$10</f>
        <v>1987.5</v>
      </c>
      <c r="E47" s="49">
        <f>(MAX($B$4-1300,0)-MAX($B$4-1400,0)-$D$33+$D$34)*$B$10</f>
        <v>-3440.0000000000005</v>
      </c>
    </row>
    <row r="48" spans="1:9" x14ac:dyDescent="0.2">
      <c r="A48" s="10" t="s">
        <v>255</v>
      </c>
      <c r="B48" s="49">
        <f>(MAX(1260-$B$15,0)-$D$31)*$B$10</f>
        <v>10353.338625073493</v>
      </c>
      <c r="C48" s="49">
        <f>(MAX(1260-$B$15,0)-MAX(1100-$B$15,0)-$D$31+$D$32)*$B$10</f>
        <v>10307.5</v>
      </c>
      <c r="D48" s="49">
        <f>($D$34-$D$35-MAX($B$15-1400,0)+MAX($B$15-1500,0))*$B$10</f>
        <v>1987.5</v>
      </c>
      <c r="E48" s="49">
        <f>(MAX($B$15-1300,0)-MAX($B$15-1400,0)-$D$33+$D$34)*$B$10</f>
        <v>-3440.0000000000005</v>
      </c>
    </row>
    <row r="49" spans="1:5" x14ac:dyDescent="0.2">
      <c r="A49" s="10" t="s">
        <v>256</v>
      </c>
      <c r="B49" s="49">
        <f>(MAX(1260-$B$16,0)-$D$31)*$B$10</f>
        <v>2393.3134395921484</v>
      </c>
      <c r="C49" s="49">
        <f>(MAX(1260-$B$16,0)-MAX(1100-$B$16,0)-$D$31+$D$32)*$B$10</f>
        <v>5060.813439592148</v>
      </c>
      <c r="D49" s="49">
        <f>($D$34-$D$35-MAX($B$16-1400,0)+MAX($B$16-1500,0))*$B$10</f>
        <v>1987.5</v>
      </c>
      <c r="E49" s="49">
        <f>(MAX($B$16-1300,0)-MAX($B$16-1400,0)-$D$33+$D$34)*$B$10</f>
        <v>-3440.0000000000005</v>
      </c>
    </row>
    <row r="50" spans="1:5" x14ac:dyDescent="0.2">
      <c r="A50" s="10" t="s">
        <v>257</v>
      </c>
      <c r="B50" s="49">
        <f>(MAX(1260-$B$17,0)-$D$31)*$B$10</f>
        <v>-8360.0</v>
      </c>
      <c r="C50" s="49">
        <f>(MAX(1260-$B$17,0)-MAX(1100-$B$17,0)-$D$31+$D$32)*$B$10</f>
        <v>-5692.5</v>
      </c>
      <c r="D50" s="49">
        <f>($D$34-$D$35-MAX($B$17-1400,0)+MAX($B$17-1500,0))*$B$10</f>
        <v>1987.5</v>
      </c>
      <c r="E50" s="49">
        <f>(MAX($B$17-1300,0)-MAX($B$17-1400,0)-$D$33+$D$34)*$B$10</f>
        <v>-2666.737044337506</v>
      </c>
    </row>
    <row r="51" spans="1:5" x14ac:dyDescent="0.2">
      <c r="A51" s="17" t="s">
        <v>258</v>
      </c>
      <c r="B51" s="52">
        <f>SUMPRODUCT(B48:B50,$C$15:$C$17)</f>
        <v>1694.9913760644476</v>
      </c>
      <c r="C51" s="52">
        <f>SUMPRODUCT(C48:C50,$C$15:$C$17)</f>
        <v>3684.156719796074</v>
      </c>
      <c r="D51" s="52">
        <f>SUMPRODUCT(D48:D50,$C$15:$C$17)</f>
        <v>1987.5</v>
      </c>
      <c r="E51" s="52">
        <f>SUMPRODUCT(E48:E50,$C$15:$C$17)</f>
        <v>-3246.684261084377</v>
      </c>
    </row>
    <row r="52" spans="1:5" x14ac:dyDescent="0.2">
      <c r="A52" s="10" t="s">
        <v>259</v>
      </c>
      <c r="B52" s="50">
        <f>B51/-B43</f>
        <v>0.20275016460101047</v>
      </c>
      <c r="C52" s="50">
        <f>C51/-C43</f>
        <v>0.6471948563541632</v>
      </c>
      <c r="D52" s="50">
        <f>D51/-D43</f>
        <v>0.24804992199687986</v>
      </c>
      <c r="E52" s="50">
        <f>E51/-E43</f>
        <v>-0.943803564268714</v>
      </c>
    </row>
    <row r="55" spans="1:5" x14ac:dyDescent="0.2">
      <c r="A55" s="24" t="s">
        <v>260</v>
      </c>
    </row>
    <row r="56" spans="1:5" x14ac:dyDescent="0.2">
      <c r="A56" s="37" t="s">
        <v>261</v>
      </c>
      <c r="B56" s="37" t="s">
        <v>236</v>
      </c>
      <c r="C56" s="37" t="s">
        <v>237</v>
      </c>
      <c r="D56" s="37" t="s">
        <v>238</v>
      </c>
      <c r="E56" s="37" t="s">
        <v>239</v>
      </c>
    </row>
    <row r="57" spans="1:5" x14ac:dyDescent="0.2">
      <c r="A57" s="76">
        <v>900</v>
      </c>
      <c r="B57" s="12">
        <f t="shared" ref="B57:B85" si="3">(MAX(1260-$A57,0)-$D$31)*$B$10</f>
        <v>27639.999999999996</v>
      </c>
      <c r="C57" s="12">
        <f t="shared" ref="C57:C85" si="4">(MAX(1260-$A57,0)-MAX(1100-$A57,0)-$D$31+$D$32)*$B$10</f>
        <v>10307.5</v>
      </c>
      <c r="D57" s="12">
        <f t="shared" ref="D57:D85" si="5">($D$34-$D$35-MAX($A57-1400,0)+MAX($A57-1500,0))*$B$10</f>
        <v>1987.5</v>
      </c>
      <c r="E57" s="12">
        <f t="shared" ref="E57:E85" si="6">(MAX($A57-1300,0)-MAX($A57-1400,0)-$D$33+$D$34)*$B$10</f>
        <v>-3440.0000000000005</v>
      </c>
    </row>
    <row r="58" spans="1:5" x14ac:dyDescent="0.2">
      <c r="A58" s="76">
        <v>925</v>
      </c>
      <c r="B58" s="12">
        <f t="shared" si="3"/>
        <v>25140.0</v>
      </c>
      <c r="C58" s="12">
        <f t="shared" si="4"/>
        <v>10307.5</v>
      </c>
      <c r="D58" s="12">
        <f t="shared" si="5"/>
        <v>1987.5</v>
      </c>
      <c r="E58" s="12">
        <f t="shared" si="6"/>
        <v>-3440.0000000000005</v>
      </c>
    </row>
    <row r="59" spans="1:5" x14ac:dyDescent="0.2">
      <c r="A59" s="76">
        <v>950</v>
      </c>
      <c r="B59" s="12">
        <f t="shared" si="3"/>
        <v>22640.0</v>
      </c>
      <c r="C59" s="12">
        <f t="shared" si="4"/>
        <v>10307.5</v>
      </c>
      <c r="D59" s="12">
        <f t="shared" si="5"/>
        <v>1987.5</v>
      </c>
      <c r="E59" s="12">
        <f t="shared" si="6"/>
        <v>-3440.0000000000005</v>
      </c>
    </row>
    <row r="60" spans="1:5" x14ac:dyDescent="0.2">
      <c r="A60" s="76">
        <v>975</v>
      </c>
      <c r="B60" s="12">
        <f t="shared" si="3"/>
        <v>20140.0</v>
      </c>
      <c r="C60" s="12">
        <f t="shared" si="4"/>
        <v>10307.5</v>
      </c>
      <c r="D60" s="12">
        <f t="shared" si="5"/>
        <v>1987.5</v>
      </c>
      <c r="E60" s="12">
        <f t="shared" si="6"/>
        <v>-3440.0000000000005</v>
      </c>
    </row>
    <row r="61" spans="1:5" x14ac:dyDescent="0.2">
      <c r="A61" s="76">
        <v>1000</v>
      </c>
      <c r="B61" s="12">
        <f t="shared" si="3"/>
        <v>17640.0</v>
      </c>
      <c r="C61" s="12">
        <f t="shared" si="4"/>
        <v>10307.5</v>
      </c>
      <c r="D61" s="12">
        <f t="shared" si="5"/>
        <v>1987.5</v>
      </c>
      <c r="E61" s="12">
        <f t="shared" si="6"/>
        <v>-3440.0000000000005</v>
      </c>
    </row>
    <row r="62" spans="1:5" x14ac:dyDescent="0.2">
      <c r="A62" s="76">
        <v>1025</v>
      </c>
      <c r="B62" s="12">
        <f t="shared" si="3"/>
        <v>15140.0</v>
      </c>
      <c r="C62" s="12">
        <f t="shared" si="4"/>
        <v>10307.5</v>
      </c>
      <c r="D62" s="12">
        <f t="shared" si="5"/>
        <v>1987.5</v>
      </c>
      <c r="E62" s="12">
        <f t="shared" si="6"/>
        <v>-3440.0000000000005</v>
      </c>
    </row>
    <row r="63" spans="1:5" x14ac:dyDescent="0.2">
      <c r="A63" s="76">
        <v>1050</v>
      </c>
      <c r="B63" s="12">
        <f t="shared" si="3"/>
        <v>12640.0</v>
      </c>
      <c r="C63" s="12">
        <f t="shared" si="4"/>
        <v>10307.5</v>
      </c>
      <c r="D63" s="12">
        <f t="shared" si="5"/>
        <v>1987.5</v>
      </c>
      <c r="E63" s="12">
        <f t="shared" si="6"/>
        <v>-3440.0000000000005</v>
      </c>
    </row>
    <row r="64" spans="1:5" x14ac:dyDescent="0.2">
      <c r="A64" s="76">
        <v>1075</v>
      </c>
      <c r="B64" s="12">
        <f t="shared" si="3"/>
        <v>10140.0</v>
      </c>
      <c r="C64" s="12">
        <f t="shared" si="4"/>
        <v>10307.5</v>
      </c>
      <c r="D64" s="12">
        <f t="shared" si="5"/>
        <v>1987.5</v>
      </c>
      <c r="E64" s="12">
        <f t="shared" si="6"/>
        <v>-3440.0000000000005</v>
      </c>
    </row>
    <row r="65" spans="1:5" x14ac:dyDescent="0.2">
      <c r="A65" s="76">
        <v>1100</v>
      </c>
      <c r="B65" s="12">
        <f t="shared" si="3"/>
        <v>7640.000000000001</v>
      </c>
      <c r="C65" s="12">
        <f t="shared" si="4"/>
        <v>10307.5</v>
      </c>
      <c r="D65" s="12">
        <f t="shared" si="5"/>
        <v>1987.5</v>
      </c>
      <c r="E65" s="12">
        <f t="shared" si="6"/>
        <v>-3440.0000000000005</v>
      </c>
    </row>
    <row r="66" spans="1:5" x14ac:dyDescent="0.2">
      <c r="A66" s="76">
        <v>1125</v>
      </c>
      <c r="B66" s="12">
        <f t="shared" si="3"/>
        <v>5140.000000000001</v>
      </c>
      <c r="C66" s="12">
        <f t="shared" si="4"/>
        <v>7807.5</v>
      </c>
      <c r="D66" s="12">
        <f t="shared" si="5"/>
        <v>1987.5</v>
      </c>
      <c r="E66" s="12">
        <f t="shared" si="6"/>
        <v>-3440.0000000000005</v>
      </c>
    </row>
    <row r="67" spans="1:5" x14ac:dyDescent="0.2">
      <c r="A67" s="76">
        <v>1150</v>
      </c>
      <c r="B67" s="12">
        <f t="shared" si="3"/>
        <v>2640.0000000000005</v>
      </c>
      <c r="C67" s="12">
        <f t="shared" si="4"/>
        <v>5307.5</v>
      </c>
      <c r="D67" s="12">
        <f t="shared" si="5"/>
        <v>1987.5</v>
      </c>
      <c r="E67" s="12">
        <f t="shared" si="6"/>
        <v>-3440.0000000000005</v>
      </c>
    </row>
    <row r="68" spans="1:5" x14ac:dyDescent="0.2">
      <c r="A68" s="76">
        <v>1175</v>
      </c>
      <c r="B68" s="12">
        <f t="shared" si="3"/>
        <v>140.00000000000057</v>
      </c>
      <c r="C68" s="12">
        <f t="shared" si="4"/>
        <v>2807.5000000000005</v>
      </c>
      <c r="D68" s="12">
        <f t="shared" si="5"/>
        <v>1987.5</v>
      </c>
      <c r="E68" s="12">
        <f t="shared" si="6"/>
        <v>-3440.0000000000005</v>
      </c>
    </row>
    <row r="69" spans="1:5" x14ac:dyDescent="0.2">
      <c r="A69" s="76">
        <v>1200</v>
      </c>
      <c r="B69" s="12">
        <f t="shared" si="3"/>
        <v>-2359.9999999999995</v>
      </c>
      <c r="C69" s="12">
        <f t="shared" si="4"/>
        <v>307.5000000000006</v>
      </c>
      <c r="D69" s="12">
        <f t="shared" si="5"/>
        <v>1987.5</v>
      </c>
      <c r="E69" s="12">
        <f t="shared" si="6"/>
        <v>-3440.0000000000005</v>
      </c>
    </row>
    <row r="70" spans="1:5" x14ac:dyDescent="0.2">
      <c r="A70" s="76">
        <v>1225</v>
      </c>
      <c r="B70" s="12">
        <f t="shared" si="3"/>
        <v>-4859.999999999999</v>
      </c>
      <c r="C70" s="12">
        <f t="shared" si="4"/>
        <v>-2192.4999999999995</v>
      </c>
      <c r="D70" s="12">
        <f t="shared" si="5"/>
        <v>1987.5</v>
      </c>
      <c r="E70" s="12">
        <f t="shared" si="6"/>
        <v>-3440.0000000000005</v>
      </c>
    </row>
    <row r="71" spans="1:5" x14ac:dyDescent="0.2">
      <c r="A71" s="76">
        <v>1250</v>
      </c>
      <c r="B71" s="12">
        <f t="shared" si="3"/>
        <v>-7359.999999999999</v>
      </c>
      <c r="C71" s="12">
        <f t="shared" si="4"/>
        <v>-4692.5</v>
      </c>
      <c r="D71" s="12">
        <f t="shared" si="5"/>
        <v>1987.5</v>
      </c>
      <c r="E71" s="12">
        <f t="shared" si="6"/>
        <v>-3440.0000000000005</v>
      </c>
    </row>
    <row r="72" spans="1:5" x14ac:dyDescent="0.2">
      <c r="A72" s="76">
        <v>1275</v>
      </c>
      <c r="B72" s="12">
        <f t="shared" si="3"/>
        <v>-8360.0</v>
      </c>
      <c r="C72" s="12">
        <f t="shared" si="4"/>
        <v>-5692.5</v>
      </c>
      <c r="D72" s="12">
        <f t="shared" si="5"/>
        <v>1987.5</v>
      </c>
      <c r="E72" s="12">
        <f t="shared" si="6"/>
        <v>-3440.0000000000005</v>
      </c>
    </row>
    <row r="73" spans="1:5" x14ac:dyDescent="0.2">
      <c r="A73" s="76">
        <v>1300</v>
      </c>
      <c r="B73" s="12">
        <f t="shared" si="3"/>
        <v>-8360.0</v>
      </c>
      <c r="C73" s="12">
        <f t="shared" si="4"/>
        <v>-5692.5</v>
      </c>
      <c r="D73" s="12">
        <f t="shared" si="5"/>
        <v>1987.5</v>
      </c>
      <c r="E73" s="12">
        <f t="shared" si="6"/>
        <v>-3440.0000000000005</v>
      </c>
    </row>
    <row r="74" spans="1:5" x14ac:dyDescent="0.2">
      <c r="A74" s="76">
        <v>1325</v>
      </c>
      <c r="B74" s="12">
        <f t="shared" si="3"/>
        <v>-8360.0</v>
      </c>
      <c r="C74" s="12">
        <f t="shared" si="4"/>
        <v>-5692.5</v>
      </c>
      <c r="D74" s="12">
        <f t="shared" si="5"/>
        <v>1987.5</v>
      </c>
      <c r="E74" s="12">
        <f t="shared" si="6"/>
        <v>-940.0000000000006</v>
      </c>
    </row>
    <row r="75" spans="1:5" x14ac:dyDescent="0.2">
      <c r="A75" s="76">
        <v>1350</v>
      </c>
      <c r="B75" s="12">
        <f t="shared" si="3"/>
        <v>-8360.0</v>
      </c>
      <c r="C75" s="12">
        <f t="shared" si="4"/>
        <v>-5692.5</v>
      </c>
      <c r="D75" s="12">
        <f t="shared" si="5"/>
        <v>1987.5</v>
      </c>
      <c r="E75" s="12">
        <f t="shared" si="6"/>
        <v>1559.9999999999995</v>
      </c>
    </row>
    <row r="76" spans="1:5" x14ac:dyDescent="0.2">
      <c r="A76" s="76">
        <v>1375</v>
      </c>
      <c r="B76" s="12">
        <f t="shared" si="3"/>
        <v>-8360.0</v>
      </c>
      <c r="C76" s="12">
        <f t="shared" si="4"/>
        <v>-5692.5</v>
      </c>
      <c r="D76" s="12">
        <f t="shared" si="5"/>
        <v>1987.5</v>
      </c>
      <c r="E76" s="12">
        <f t="shared" si="6"/>
        <v>4059.9999999999995</v>
      </c>
    </row>
    <row r="77" spans="1:5" x14ac:dyDescent="0.2">
      <c r="A77" s="76">
        <v>1400</v>
      </c>
      <c r="B77" s="12">
        <f t="shared" si="3"/>
        <v>-8360.0</v>
      </c>
      <c r="C77" s="12">
        <f t="shared" si="4"/>
        <v>-5692.5</v>
      </c>
      <c r="D77" s="12">
        <f t="shared" si="5"/>
        <v>1987.5</v>
      </c>
      <c r="E77" s="12">
        <f t="shared" si="6"/>
        <v>6559.999999999999</v>
      </c>
    </row>
    <row r="78" spans="1:5" x14ac:dyDescent="0.2">
      <c r="A78" s="76">
        <v>1425</v>
      </c>
      <c r="B78" s="12">
        <f t="shared" si="3"/>
        <v>-8360.0</v>
      </c>
      <c r="C78" s="12">
        <f t="shared" si="4"/>
        <v>-5692.5</v>
      </c>
      <c r="D78" s="12">
        <f t="shared" si="5"/>
        <v>-512.5</v>
      </c>
      <c r="E78" s="12">
        <f t="shared" si="6"/>
        <v>6559.999999999999</v>
      </c>
    </row>
    <row r="79" spans="1:5" x14ac:dyDescent="0.2">
      <c r="A79" s="76">
        <v>1450</v>
      </c>
      <c r="B79" s="12">
        <f t="shared" si="3"/>
        <v>-8360.0</v>
      </c>
      <c r="C79" s="12">
        <f t="shared" si="4"/>
        <v>-5692.5</v>
      </c>
      <c r="D79" s="12">
        <f t="shared" si="5"/>
        <v>-3012.5</v>
      </c>
      <c r="E79" s="12">
        <f t="shared" si="6"/>
        <v>6559.999999999999</v>
      </c>
    </row>
    <row r="80" spans="1:5" x14ac:dyDescent="0.2">
      <c r="A80" s="76">
        <v>1475</v>
      </c>
      <c r="B80" s="12">
        <f t="shared" si="3"/>
        <v>-8360.0</v>
      </c>
      <c r="C80" s="12">
        <f t="shared" si="4"/>
        <v>-5692.5</v>
      </c>
      <c r="D80" s="12">
        <f t="shared" si="5"/>
        <v>-5512.5</v>
      </c>
      <c r="E80" s="12">
        <f t="shared" si="6"/>
        <v>6559.999999999999</v>
      </c>
    </row>
    <row r="81" spans="1:5" x14ac:dyDescent="0.2">
      <c r="A81" s="76">
        <v>1500</v>
      </c>
      <c r="B81" s="12">
        <f t="shared" si="3"/>
        <v>-8360.0</v>
      </c>
      <c r="C81" s="12">
        <f t="shared" si="4"/>
        <v>-5692.5</v>
      </c>
      <c r="D81" s="12">
        <f t="shared" si="5"/>
        <v>-8012.5</v>
      </c>
      <c r="E81" s="12">
        <f t="shared" si="6"/>
        <v>6559.999999999999</v>
      </c>
    </row>
    <row r="82" spans="1:5" x14ac:dyDescent="0.2">
      <c r="A82" s="76">
        <v>1525</v>
      </c>
      <c r="B82" s="12">
        <f t="shared" si="3"/>
        <v>-8360.0</v>
      </c>
      <c r="C82" s="12">
        <f t="shared" si="4"/>
        <v>-5692.5</v>
      </c>
      <c r="D82" s="12">
        <f t="shared" si="5"/>
        <v>-8012.5</v>
      </c>
      <c r="E82" s="12">
        <f t="shared" si="6"/>
        <v>6559.999999999999</v>
      </c>
    </row>
    <row r="83" spans="1:5" x14ac:dyDescent="0.2">
      <c r="A83" s="76">
        <v>1550</v>
      </c>
      <c r="B83" s="12">
        <f t="shared" si="3"/>
        <v>-8360.0</v>
      </c>
      <c r="C83" s="12">
        <f t="shared" si="4"/>
        <v>-5692.5</v>
      </c>
      <c r="D83" s="12">
        <f t="shared" si="5"/>
        <v>-8012.5</v>
      </c>
      <c r="E83" s="12">
        <f t="shared" si="6"/>
        <v>6559.999999999999</v>
      </c>
    </row>
    <row r="84" spans="1:5" x14ac:dyDescent="0.2">
      <c r="A84" s="76">
        <v>1575</v>
      </c>
      <c r="B84" s="12">
        <f t="shared" si="3"/>
        <v>-8360.0</v>
      </c>
      <c r="C84" s="12">
        <f t="shared" si="4"/>
        <v>-5692.5</v>
      </c>
      <c r="D84" s="12">
        <f t="shared" si="5"/>
        <v>-8012.5</v>
      </c>
      <c r="E84" s="12">
        <f t="shared" si="6"/>
        <v>6559.999999999999</v>
      </c>
    </row>
    <row r="85" spans="1:5" x14ac:dyDescent="0.2">
      <c r="A85" s="76">
        <v>1600</v>
      </c>
      <c r="B85" s="12">
        <f t="shared" si="3"/>
        <v>-8360.0</v>
      </c>
      <c r="C85" s="12">
        <f t="shared" si="4"/>
        <v>-5692.5</v>
      </c>
      <c r="D85" s="12">
        <f t="shared" si="5"/>
        <v>-8012.5</v>
      </c>
      <c r="E85" s="12">
        <f t="shared" si="6"/>
        <v>6559.999999999999</v>
      </c>
    </row>
  </sheetData>
  <pageMargins left="0.75" right="0.75" top="1" bottom="1" header="0.5" footer="0.5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</vt:lpstr>
      <vt:lpstr>Yearly Model</vt:lpstr>
      <vt:lpstr>Quarterly Model</vt:lpstr>
      <vt:lpstr>Assumptions</vt:lpstr>
      <vt:lpstr>Pipeline</vt:lpstr>
      <vt:lpstr>NPV</vt:lpstr>
      <vt:lpstr>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Eric</dc:creator>
  <cp:lastModifiedBy>Wang, Eric</cp:lastModifiedBy>
  <dcterms:created xsi:type="dcterms:W3CDTF">2026-10-02T01:24:56Z</dcterms:created>
  <dcterms:modified xsi:type="dcterms:W3CDTF">2026-10-17T01:51:02Z</dcterms:modified>
</cp:coreProperties>
</file>