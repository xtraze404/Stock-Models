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Artelo Biosciences, Inc</t>
        </is>
      </c>
      <c r="C2" s="10" t="n"/>
    </row>
    <row r="3">
      <c r="B3" t="inlineStr">
        <is>
          <t>Price</t>
        </is>
      </c>
      <c r="C3" s="11">
        <f>INDEX([1]Pharma!$F$1:$F$1000,MATCH("ARTL",[1]Pharma!$B$1:$B$1000,0))</f>
        <v>2.62</v>
      </c>
      <c r="F3" s="1" t="n"/>
    </row>
    <row r="4">
      <c r="B4" t="inlineStr">
        <is>
          <t>Shares</t>
        </is>
      </c>
      <c r="C4" s="21" t="n">
        <v>4.595068</v>
      </c>
      <c r="F4" s="1" t="n"/>
    </row>
    <row r="5">
      <c r="B5" t="inlineStr">
        <is>
          <t>Market Cap.</t>
        </is>
      </c>
      <c r="C5" s="13">
        <f>C3*C4</f>
        <v>12.03907816</v>
      </c>
      <c r="F5" s="1" t="n"/>
    </row>
    <row r="6"/>
    <row r="7">
      <c r="B7" t="inlineStr">
        <is>
          <t>Cash</t>
        </is>
      </c>
      <c r="C7" s="21" t="n">
        <v>4.198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7.84107816</v>
      </c>
    </row>
    <row r="10"/>
    <row r="11">
      <c r="B11" s="14" t="inlineStr">
        <is>
          <t>Net Cash / Share</t>
        </is>
      </c>
      <c r="C11" s="11">
        <f>(C7-C8)/C4</f>
        <v>0.913588221110112</v>
      </c>
    </row>
    <row r="12">
      <c r="B12" s="14" t="inlineStr">
        <is>
          <t>Upside</t>
        </is>
      </c>
      <c r="C12" s="15">
        <f>IFERROR(C11/C3-1,"")</f>
        <v>-0.6513022056831634</v>
      </c>
    </row>
    <row r="13">
      <c r="B13" s="14" t="inlineStr">
        <is>
          <t>Cash / Share</t>
        </is>
      </c>
      <c r="C13" s="11">
        <f>IFERROR((C7-C8)/C4,"")</f>
        <v>0.913588221110112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-12.633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0.3323042824348928</v>
      </c>
    </row>
    <row r="19">
      <c r="B19" s="14" t="inlineStr">
        <is>
          <t>Implied Pipeline Value</t>
        </is>
      </c>
      <c r="C19" s="13">
        <f>C9</f>
        <v>7.84107816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1.25</v>
      </c>
      <c r="G5" s="23" t="n">
        <v>1.092</v>
      </c>
      <c r="H5" s="23" t="n">
        <v>1.919</v>
      </c>
      <c r="I5" s="23" t="n">
        <v>3.784</v>
      </c>
      <c r="J5" s="23" t="n">
        <v>4.324</v>
      </c>
      <c r="K5" s="23" t="n">
        <v>5.696</v>
      </c>
      <c r="L5" s="23" t="n">
        <v>5.993</v>
      </c>
      <c r="M5" s="23" t="n">
        <v>5.423</v>
      </c>
    </row>
    <row r="6">
      <c r="A6" s="19" t="inlineStr">
        <is>
          <t>SG&amp;A &amp; Other</t>
        </is>
      </c>
      <c r="B6" s="23" t="n">
        <v>0.015</v>
      </c>
      <c r="C6" s="23" t="n">
        <v>0.015</v>
      </c>
      <c r="D6" s="23" t="n">
        <v>0.03</v>
      </c>
      <c r="E6" s="23" t="n">
        <v>0.233</v>
      </c>
      <c r="F6" s="23" t="n">
        <v>1.094</v>
      </c>
      <c r="G6" s="23" t="n">
        <v>2.118</v>
      </c>
      <c r="H6" s="23" t="n">
        <v>2.767</v>
      </c>
      <c r="I6" s="23" t="n">
        <v>5.633</v>
      </c>
      <c r="J6" s="23" t="n">
        <v>5.963</v>
      </c>
      <c r="K6" s="23" t="n">
        <v>4.234</v>
      </c>
      <c r="L6" s="23" t="n">
        <v>4.115</v>
      </c>
      <c r="M6" s="23" t="n">
        <v>5.981</v>
      </c>
    </row>
    <row r="7">
      <c r="A7" s="2" t="inlineStr">
        <is>
          <t>Operating Expense</t>
        </is>
      </c>
      <c r="B7" s="23">
        <f>SUM(B5:B6)</f>
        <v>0.015</v>
      </c>
      <c r="C7" s="23">
        <f>SUM(C5:C6)</f>
        <v>0.015</v>
      </c>
      <c r="D7" s="23">
        <f>SUM(D5:D6)</f>
        <v>0.03</v>
      </c>
      <c r="E7" s="23">
        <f>SUM(E5:E6)</f>
        <v>0.233</v>
      </c>
      <c r="F7" s="23">
        <f>SUM(F5:F6)</f>
        <v>2.3440000000000003</v>
      </c>
      <c r="G7" s="23">
        <f>SUM(G5:G6)</f>
        <v>3.21</v>
      </c>
      <c r="H7" s="23">
        <f>SUM(H5:H6)</f>
        <v>4.686</v>
      </c>
      <c r="I7" s="23">
        <f>SUM(I5:I6)</f>
        <v>9.417</v>
      </c>
      <c r="J7" s="23">
        <f>SUM(J5:J6)</f>
        <v>10.286999999999999</v>
      </c>
      <c r="K7" s="23">
        <f>SUM(K5:K6)</f>
        <v>9.93</v>
      </c>
      <c r="L7" s="23">
        <f>SUM(L5:L6)</f>
        <v>10.108</v>
      </c>
      <c r="M7" s="23">
        <f>SUM(M5:M6)</f>
        <v>11.404</v>
      </c>
    </row>
    <row r="8">
      <c r="A8" s="2" t="inlineStr">
        <is>
          <t>Operating Income</t>
        </is>
      </c>
      <c r="B8" s="23">
        <f>B4-B7</f>
        <v>-0.015</v>
      </c>
      <c r="C8" s="23">
        <f>C4-C7</f>
        <v>-0.015</v>
      </c>
      <c r="D8" s="23">
        <f>D4-D7</f>
        <v>-0.03</v>
      </c>
      <c r="E8" s="23">
        <f>E4-E7</f>
        <v>-0.233</v>
      </c>
      <c r="F8" s="23">
        <f>F4-F7</f>
        <v>-2.3440000000000003</v>
      </c>
      <c r="G8" s="23">
        <f>G4-G7</f>
        <v>-3.21</v>
      </c>
      <c r="H8" s="23">
        <f>H4-H7</f>
        <v>-4.686</v>
      </c>
      <c r="I8" s="23">
        <f>I4-I7</f>
        <v>-9.417</v>
      </c>
      <c r="J8" s="23">
        <f>J4-J7</f>
        <v>-10.286999999999999</v>
      </c>
      <c r="K8" s="23">
        <f>K4-K7</f>
        <v>-9.93</v>
      </c>
      <c r="L8" s="23">
        <f>L4-L7</f>
        <v>-10.108</v>
      </c>
      <c r="M8" s="23">
        <f>M4-M7</f>
        <v>-11.404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-0.002</v>
      </c>
      <c r="F9" s="23" t="n">
        <v>0</v>
      </c>
      <c r="G9" s="23" t="n">
        <v>1.037</v>
      </c>
      <c r="H9" s="23" t="n">
        <v>0.031</v>
      </c>
      <c r="I9" s="23" t="n">
        <v>0.01</v>
      </c>
      <c r="J9" s="23" t="n">
        <v>0.204</v>
      </c>
      <c r="K9" s="23" t="n">
        <v>0.641</v>
      </c>
      <c r="L9" s="23" t="n">
        <v>0.282</v>
      </c>
      <c r="M9" s="23" t="n">
        <v>-1.475</v>
      </c>
    </row>
    <row r="10">
      <c r="A10" s="2" t="inlineStr">
        <is>
          <t>Pretax</t>
        </is>
      </c>
      <c r="B10" s="23">
        <f>B8+B9</f>
        <v>-0.015</v>
      </c>
      <c r="C10" s="23">
        <f>C8+C9</f>
        <v>-0.015</v>
      </c>
      <c r="D10" s="23">
        <f>D8+D9</f>
        <v>-0.03</v>
      </c>
      <c r="E10" s="23">
        <f>E8+E9</f>
        <v>-0.23500000000000001</v>
      </c>
      <c r="F10" s="23">
        <f>F8+F9</f>
        <v>-2.3440000000000003</v>
      </c>
      <c r="G10" s="23">
        <f>G8+G9</f>
        <v>-2.173</v>
      </c>
      <c r="H10" s="23">
        <f>H8+H9</f>
        <v>-4.655</v>
      </c>
      <c r="I10" s="23">
        <f>I8+I9</f>
        <v>-9.407</v>
      </c>
      <c r="J10" s="23">
        <f>J8+J9</f>
        <v>-10.082999999999998</v>
      </c>
      <c r="K10" s="23">
        <f>K8+K9</f>
        <v>-9.289</v>
      </c>
      <c r="L10" s="23">
        <f>L8+L9</f>
        <v>-9.826</v>
      </c>
      <c r="M10" s="23">
        <f>M8+M9</f>
        <v>-12.879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</row>
    <row r="12">
      <c r="A12" s="2" t="inlineStr">
        <is>
          <t>Net Income</t>
        </is>
      </c>
      <c r="B12" s="23" t="n">
        <v>-0.015</v>
      </c>
      <c r="C12" s="23" t="n">
        <v>-0.015</v>
      </c>
      <c r="D12" s="23" t="n">
        <v>-0.03</v>
      </c>
      <c r="E12" s="23" t="n">
        <v>-0.235</v>
      </c>
      <c r="F12" s="23" t="n">
        <v>-2.343</v>
      </c>
      <c r="G12" s="23" t="n">
        <v>-2.172</v>
      </c>
      <c r="H12" s="23" t="n">
        <v>-4.655</v>
      </c>
      <c r="I12" s="23" t="n">
        <v>-9.407</v>
      </c>
      <c r="J12" s="23" t="n">
        <v>-10.083</v>
      </c>
      <c r="K12" s="23" t="n">
        <v>-9.289</v>
      </c>
      <c r="L12" s="23" t="n">
        <v>-9.826000000000001</v>
      </c>
      <c r="M12" s="23" t="n">
        <v>-12.879</v>
      </c>
    </row>
    <row r="13">
      <c r="A13" s="2" t="inlineStr">
        <is>
          <t>Earnings per Share</t>
        </is>
      </c>
      <c r="B13" s="11">
        <f>IFERROR(B12/B14,0)</f>
        <v>-0.0039042165538781884</v>
      </c>
      <c r="C13" s="11">
        <f>IFERROR(C12/C14,0)</f>
        <v>-0.0018731268731268732</v>
      </c>
      <c r="D13" s="11">
        <f>IFERROR(D12/D14,0)</f>
        <v>-0.0031413612565445023</v>
      </c>
      <c r="E13" s="11">
        <f>IFERROR(E12/E14,0)</f>
        <v>-0.024385182110615335</v>
      </c>
      <c r="F13" s="11">
        <f>IFERROR(F12/F14,0)</f>
        <v>-0.36678146524733873</v>
      </c>
      <c r="G13" s="11">
        <f>IFERROR(G12/G14,0)</f>
        <v>-0.1999631743693611</v>
      </c>
      <c r="H13" s="11">
        <f>IFERROR(H12/H14,0)</f>
        <v>-0.2511058366598339</v>
      </c>
      <c r="I13" s="11">
        <f>IFERROR(I12/I14,0)</f>
        <v>-0.5037215528781793</v>
      </c>
      <c r="J13" s="11">
        <f>IFERROR(J12/J14,0)</f>
        <v>0</v>
      </c>
      <c r="K13" s="11">
        <f>IFERROR(K12/K14,0)</f>
        <v>-18.803643724696357</v>
      </c>
      <c r="L13" s="11">
        <f>IFERROR(L12/L14,0)</f>
        <v>-54.89385474860336</v>
      </c>
      <c r="M13" s="11">
        <f>IFERROR(M12/M14,0)</f>
        <v>-37.54810495626822</v>
      </c>
    </row>
    <row r="14">
      <c r="A14" s="2" t="inlineStr">
        <is>
          <t>Shares</t>
        </is>
      </c>
      <c r="B14" s="23" t="n">
        <v>3.842</v>
      </c>
      <c r="C14" s="23" t="n">
        <v>8.007999999999999</v>
      </c>
      <c r="D14" s="23" t="n">
        <v>9.550000000000001</v>
      </c>
      <c r="E14" s="23" t="n">
        <v>9.637</v>
      </c>
      <c r="F14" s="23" t="n">
        <v>6.388</v>
      </c>
      <c r="G14" s="23" t="n">
        <v>10.862</v>
      </c>
      <c r="H14" s="23" t="n">
        <v>18.538</v>
      </c>
      <c r="I14" s="23" t="n">
        <v>18.675</v>
      </c>
      <c r="J14" s="23" t="n"/>
      <c r="K14" s="23" t="n">
        <v>0.494</v>
      </c>
      <c r="L14" s="23" t="n">
        <v>0.179</v>
      </c>
      <c r="M14" s="23" t="n">
        <v>0.343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2026-10-21T06:30:33Z</dcterms:modified>
  <cp:lastModifiedBy>Wang, Eric</cp:lastModifiedBy>
</cp:coreProperties>
</file>