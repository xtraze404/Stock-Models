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Zentalis Pharmaceuticals, Inc.</t>
        </is>
      </c>
      <c r="C2" s="10" t="n"/>
    </row>
    <row r="3">
      <c r="B3" t="inlineStr">
        <is>
          <t>Price</t>
        </is>
      </c>
      <c r="C3" s="11">
        <f>INDEX([1]Pharma!$F$1:$F$1000,MATCH("ZNTL",[1]Pharma!$B$1:$B$1000,0))</f>
        <v>2.39</v>
      </c>
      <c r="F3" s="1" t="n"/>
    </row>
    <row r="4">
      <c r="B4" t="inlineStr">
        <is>
          <t>Shares</t>
        </is>
      </c>
      <c r="C4" s="21" t="n">
        <v>71.671914</v>
      </c>
      <c r="F4" s="1" t="n"/>
    </row>
    <row r="5">
      <c r="B5" t="inlineStr">
        <is>
          <t>Market Cap.</t>
        </is>
      </c>
      <c r="C5" s="13">
        <f>C3*C4</f>
        <v>171.29587446000002</v>
      </c>
      <c r="F5" s="1" t="n"/>
    </row>
    <row r="6"/>
    <row r="7">
      <c r="B7" t="inlineStr">
        <is>
          <t>Cash</t>
        </is>
      </c>
      <c r="C7" s="21">
        <f>24.783+149.825</f>
        <v>174.608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-3.3121255399999825</v>
      </c>
    </row>
    <row r="10"/>
    <row r="11">
      <c r="B11" s="14" t="inlineStr">
        <is>
          <t>rNPV / Share</t>
        </is>
      </c>
      <c r="C11" s="11">
        <f>NPV!B27</f>
        <v>8.44143007166326</v>
      </c>
    </row>
    <row r="12">
      <c r="B12" s="14" t="inlineStr">
        <is>
          <t>Upside</t>
        </is>
      </c>
      <c r="C12" s="15">
        <f>IFERROR(C11/C3-1,"")</f>
        <v>2.5319791094825357</v>
      </c>
    </row>
    <row r="13">
      <c r="B13" s="14" t="inlineStr">
        <is>
          <t>Cash / Share</t>
        </is>
      </c>
      <c r="C13" s="11">
        <f>IFERROR((C7-C8)/C4,"")</f>
        <v>2.4362123216075964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-128.095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1.3631133143370155</v>
      </c>
    </row>
    <row r="19">
      <c r="B19" s="14" t="inlineStr">
        <is>
          <t>Implied Pipeline Value</t>
        </is>
      </c>
      <c r="C19" s="13">
        <f>C9</f>
        <v>-3.3121255399999825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67.425</v>
      </c>
      <c r="H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67.425</v>
      </c>
      <c r="H4" s="23">
        <f>H2-H3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38.386</v>
      </c>
      <c r="C5" s="23" t="n">
        <v>84.901</v>
      </c>
      <c r="D5" s="23" t="n">
        <v>175.601</v>
      </c>
      <c r="E5" s="23" t="n">
        <v>172.734</v>
      </c>
      <c r="F5" s="23" t="n">
        <v>189.59</v>
      </c>
      <c r="G5" s="23" t="n">
        <v>167.768</v>
      </c>
      <c r="H5" s="23" t="n">
        <v>107.295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8.459</v>
      </c>
      <c r="C6" s="23" t="n">
        <v>33.886</v>
      </c>
      <c r="D6" s="23" t="n">
        <v>40.941</v>
      </c>
      <c r="E6" s="23" t="n">
        <v>54.553</v>
      </c>
      <c r="F6" s="23" t="n">
        <v>109.919</v>
      </c>
      <c r="G6" s="23" t="n">
        <v>90.851</v>
      </c>
      <c r="H6" s="23" t="n">
        <v>45.513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46.845</v>
      </c>
      <c r="C7" s="23">
        <f>SUM(C5:C6)</f>
        <v>118.787</v>
      </c>
      <c r="D7" s="23">
        <f>SUM(D5:D6)</f>
        <v>216.542</v>
      </c>
      <c r="E7" s="23">
        <f>SUM(E5:E6)</f>
        <v>227.287</v>
      </c>
      <c r="F7" s="23">
        <f>SUM(F5:F6)</f>
        <v>299.509</v>
      </c>
      <c r="G7" s="23">
        <f>SUM(G5:G6)</f>
        <v>258.619</v>
      </c>
      <c r="H7" s="23">
        <f>SUM(H5:H6)</f>
        <v>152.808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-46.845</v>
      </c>
      <c r="C8" s="23">
        <f>C4-C7</f>
        <v>-118.787</v>
      </c>
      <c r="D8" s="23">
        <f>D4-D7</f>
        <v>-216.542</v>
      </c>
      <c r="E8" s="23">
        <f>E4-E7</f>
        <v>-227.287</v>
      </c>
      <c r="F8" s="23">
        <f>F4-F7</f>
        <v>-299.509</v>
      </c>
      <c r="G8" s="23">
        <f>G4-G7</f>
        <v>-191.19400000000002</v>
      </c>
      <c r="H8" s="23">
        <f>H4-H7</f>
        <v>-152.808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1.197</v>
      </c>
      <c r="C9" s="23" t="n">
        <v>1.39</v>
      </c>
      <c r="D9" s="23" t="n">
        <v>57.52</v>
      </c>
      <c r="E9" s="23" t="n">
        <v>-9.988</v>
      </c>
      <c r="F9" s="23" t="n">
        <v>6.603</v>
      </c>
      <c r="G9" s="23" t="n">
        <v>25.504</v>
      </c>
      <c r="H9" s="23" t="n">
        <v>16.19</v>
      </c>
    </row>
    <row r="10">
      <c r="A10" s="2" t="inlineStr">
        <is>
          <t>Pretax</t>
        </is>
      </c>
      <c r="B10" s="23">
        <f>B8+B9</f>
        <v>-45.647999999999996</v>
      </c>
      <c r="C10" s="23">
        <f>C8+C9</f>
        <v>-117.397</v>
      </c>
      <c r="D10" s="23">
        <f>D8+D9</f>
        <v>-159.022</v>
      </c>
      <c r="E10" s="23">
        <f>E8+E9</f>
        <v>-237.275</v>
      </c>
      <c r="F10" s="23">
        <f>F8+F9</f>
        <v>-292.906</v>
      </c>
      <c r="G10" s="23">
        <f>G8+G9</f>
        <v>-165.69000000000003</v>
      </c>
      <c r="H10" s="23">
        <f>H8+H9</f>
        <v>-136.618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0.015</v>
      </c>
      <c r="C11" s="23" t="n">
        <v>0.444</v>
      </c>
      <c r="D11" s="23" t="n">
        <v>-0.297</v>
      </c>
      <c r="E11" s="23" t="n">
        <v>-0.469</v>
      </c>
      <c r="F11" s="23" t="n">
        <v>-0.601</v>
      </c>
      <c r="G11" s="23" t="n">
        <v>0.177</v>
      </c>
      <c r="H11" s="23" t="n">
        <v>0.442</v>
      </c>
    </row>
    <row r="12">
      <c r="A12" s="2" t="inlineStr">
        <is>
          <t>Net Income</t>
        </is>
      </c>
      <c r="B12" s="23" t="n">
        <v>-45.663</v>
      </c>
      <c r="C12" s="23" t="n">
        <v>-117.841</v>
      </c>
      <c r="D12" s="23" t="n">
        <v>-158.725</v>
      </c>
      <c r="E12" s="23" t="n">
        <v>-236.806</v>
      </c>
      <c r="F12" s="23" t="n">
        <v>-292.305</v>
      </c>
      <c r="G12" s="23" t="n">
        <v>-165.867</v>
      </c>
      <c r="H12" s="23" t="n">
        <v>-137.06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-1.6316955511881364</v>
      </c>
      <c r="C13" s="11">
        <f>IFERROR(C12/C14,0)</f>
        <v>-4.191690676911038</v>
      </c>
      <c r="D13" s="11">
        <f>IFERROR(D12/D14,0)</f>
        <v>-3.7182580584707643</v>
      </c>
      <c r="E13" s="11">
        <f>IFERROR(E12/E14,0)</f>
        <v>-4.4801256219611405</v>
      </c>
      <c r="F13" s="11">
        <f>IFERROR(F12/F14,0)</f>
        <v>-4.46888042929872</v>
      </c>
      <c r="G13" s="11">
        <f>IFERROR(G12/G14,0)</f>
        <v>-2.3335256049521664</v>
      </c>
      <c r="H13" s="11">
        <f>IFERROR(H12/H14,0)</f>
        <v>-1.9070809389305543</v>
      </c>
    </row>
    <row r="14">
      <c r="A14" s="2" t="inlineStr">
        <is>
          <t>Shares</t>
        </is>
      </c>
      <c r="B14" s="23" t="n">
        <v>27.985</v>
      </c>
      <c r="C14" s="23" t="n">
        <v>28.113</v>
      </c>
      <c r="D14" s="23" t="n">
        <v>42.688</v>
      </c>
      <c r="E14" s="23" t="n">
        <v>52.857</v>
      </c>
      <c r="F14" s="23" t="n">
        <v>65.40900000000001</v>
      </c>
      <c r="G14" s="23" t="n">
        <v>71.08</v>
      </c>
      <c r="H14" s="23" t="n">
        <v>71.869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>-1.0</v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>1.0</v>
      </c>
      <c r="H17" s="15">
        <f>IFERROR(H4/H2,"")</f>
        <v/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>-2.835654430849092</v>
      </c>
      <c r="H18" s="15">
        <f>IFERROR(H8/H2,"")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Zentalis Pharmaceuticals,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1-PRODUCT(Pipeline!AG4:AG6)</f>
        <v>0.52579071408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153.373</v>
      </c>
    </row>
    <row r="19">
      <c r="A19" s="14" t="inlineStr">
        <is>
          <t>Years of full burn (until the first launch, max 4)</t>
        </is>
      </c>
      <c r="B19" s="39">
        <f>MIN(4,MAX(1,MIN(Pipeline!I4:I6)-2026))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1154.3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430.40545013326306</v>
      </c>
      <c r="C29" s="42">
        <f>NPV!B25</f>
        <v>605.0134501332631</v>
      </c>
      <c r="D29" s="43">
        <f>NPV!B27</f>
        <v>8.44143007166326</v>
      </c>
      <c r="E29" s="44">
        <f>NPV!B29</f>
        <v>2.5319791094825357</v>
      </c>
    </row>
    <row r="30">
      <c r="A30" s="45" t="n">
        <v>1</v>
      </c>
      <c r="B30" s="46">
        <f t="dataTable" ref="B30:E32" r1="B4"/>
        <v>-42.37775622161501</v>
      </c>
      <c r="C30" s="46">
        <v>132.230243778385</v>
      </c>
      <c r="D30" s="47">
        <v>1.844938085208454</v>
      </c>
      <c r="E30" s="48">
        <v>-0.2280593785738686</v>
      </c>
    </row>
    <row r="31">
      <c r="A31" s="45" t="n">
        <v>2</v>
      </c>
      <c r="B31" s="46">
        <v>430.40545013326306</v>
      </c>
      <c r="C31" s="46">
        <v>605.0134501332631</v>
      </c>
      <c r="D31" s="47">
        <v>8.44143007166326</v>
      </c>
      <c r="E31" s="48">
        <v>2.5319791094825357</v>
      </c>
    </row>
    <row r="32">
      <c r="A32" s="45" t="n">
        <v>3</v>
      </c>
      <c r="B32" s="46">
        <v>1125.7574315264294</v>
      </c>
      <c r="C32" s="46">
        <v>1300.3654315264293</v>
      </c>
      <c r="D32" s="47">
        <v>18.143305500763233</v>
      </c>
      <c r="E32" s="48">
        <v>6.591341213708465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8.44143007166326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0.5257581588675801</v>
      </c>
      <c r="C37" s="47">
        <v>2.5082079529290535</v>
      </c>
      <c r="D37" s="47">
        <v>4.481027226132487</v>
      </c>
      <c r="E37" s="47">
        <v>7.92982676564747</v>
      </c>
      <c r="F37" s="47">
        <v>11.254516614955214</v>
      </c>
    </row>
    <row r="38">
      <c r="A38" s="50" t="n">
        <v>0.8</v>
      </c>
      <c r="B38" s="47">
        <v>1.4857351052625745</v>
      </c>
      <c r="C38" s="47">
        <v>4.12900149734454</v>
      </c>
      <c r="D38" s="47">
        <v>6.481172268106768</v>
      </c>
      <c r="E38" s="47">
        <v>10.946590587497074</v>
      </c>
      <c r="F38" s="47">
        <v>15.299651032148745</v>
      </c>
    </row>
    <row r="39">
      <c r="A39" s="50" t="n">
        <v>1</v>
      </c>
      <c r="B39" s="47">
        <v>2.4661692990326993</v>
      </c>
      <c r="C39" s="47">
        <v>5.605032401388403</v>
      </c>
      <c r="D39" s="47">
        <v>8.44143007166326</v>
      </c>
      <c r="E39" s="47">
        <v>13.929610793184338</v>
      </c>
      <c r="F39" s="47">
        <v>19.313358178535196</v>
      </c>
    </row>
    <row r="40">
      <c r="A40" s="50" t="n">
        <v>1.2</v>
      </c>
      <c r="B40" s="47">
        <v>3.4666241409062466</v>
      </c>
      <c r="C40" s="47">
        <v>7.037007926157838</v>
      </c>
      <c r="D40" s="47">
        <v>10.382620717638828</v>
      </c>
      <c r="E40" s="47">
        <v>16.903674916788486</v>
      </c>
      <c r="F40" s="47">
        <v>23.324074264407574</v>
      </c>
    </row>
    <row r="41">
      <c r="A41" s="50" t="n">
        <v>1.4</v>
      </c>
      <c r="B41" s="47">
        <v>4.4629535532538185</v>
      </c>
      <c r="C41" s="47">
        <v>8.46004294539812</v>
      </c>
      <c r="D41" s="47">
        <v>12.31822894747492</v>
      </c>
      <c r="E41" s="47">
        <v>19.867057705264713</v>
      </c>
      <c r="F41" s="47">
        <v>27.322740814025327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Zentalis Pharmaceuticals,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Ovarian cancer</t>
        </is>
      </c>
      <c r="C4" s="14" t="inlineStr">
        <is>
          <t>Azenosertib, Pegylated liposomal doxorubicin</t>
        </is>
      </c>
      <c r="D4" s="14" t="inlineStr">
        <is>
          <t>Phase 3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1200</v>
      </c>
      <c r="H4" s="27" t="n">
        <v>0.4388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755.3253622623151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52.656000000000006</v>
      </c>
      <c r="Q4" s="23">
        <f>IF(Q$3&lt;$I4,0,$G4*Assumptions!$E$11*INDEX(Assumptions!$B$24:$G$24,MIN(6,Q$3-$I4+1))*IF(Q$3&gt;$J4,(1-Assumptions!$B$26)^(Q$3-$J4),1)*IF($H4&gt;=1,1,MIN(0.97,$H4*Assumptions!$E$12)))</f>
        <v>131.64000000000001</v>
      </c>
      <c r="R4" s="23">
        <f>IF(R$3&lt;$I4,0,$G4*Assumptions!$E$11*INDEX(Assumptions!$B$24:$G$24,MIN(6,R$3-$I4+1))*IF(R$3&gt;$J4,(1-Assumptions!$B$26)^(R$3-$J4),1)*IF($H4&gt;=1,1,MIN(0.97,$H4*Assumptions!$E$12)))</f>
        <v>236.95200000000003</v>
      </c>
      <c r="S4" s="23">
        <f>IF(S$3&lt;$I4,0,$G4*Assumptions!$E$11*INDEX(Assumptions!$B$24:$G$24,MIN(6,S$3-$I4+1))*IF(S$3&gt;$J4,(1-Assumptions!$B$26)^(S$3-$J4),1)*IF($H4&gt;=1,1,MIN(0.97,$H4*Assumptions!$E$12)))</f>
        <v>342.264</v>
      </c>
      <c r="T4" s="23">
        <f>IF(T$3&lt;$I4,0,$G4*Assumptions!$E$11*INDEX(Assumptions!$B$24:$G$24,MIN(6,T$3-$I4+1))*IF(T$3&gt;$J4,(1-Assumptions!$B$26)^(T$3-$J4),1)*IF($H4&gt;=1,1,MIN(0.97,$H4*Assumptions!$E$12)))</f>
        <v>447.576</v>
      </c>
      <c r="U4" s="23">
        <f>IF(U$3&lt;$I4,0,$G4*Assumptions!$E$11*INDEX(Assumptions!$B$24:$G$24,MIN(6,U$3-$I4+1))*IF(U$3&gt;$J4,(1-Assumptions!$B$26)^(U$3-$J4),1)*IF($H4&gt;=1,1,MIN(0.97,$H4*Assumptions!$E$12)))</f>
        <v>526.5600000000001</v>
      </c>
      <c r="V4" s="23">
        <f>IF(V$3&lt;$I4,0,$G4*Assumptions!$E$11*INDEX(Assumptions!$B$24:$G$24,MIN(6,V$3-$I4+1))*IF(V$3&gt;$J4,(1-Assumptions!$B$26)^(V$3-$J4),1)*IF($H4&gt;=1,1,MIN(0.97,$H4*Assumptions!$E$12)))</f>
        <v>526.5600000000001</v>
      </c>
      <c r="W4" s="23">
        <f>IF(W$3&lt;$I4,0,$G4*Assumptions!$E$11*INDEX(Assumptions!$B$24:$G$24,MIN(6,W$3-$I4+1))*IF(W$3&gt;$J4,(1-Assumptions!$B$26)^(W$3-$J4),1)*IF($H4&gt;=1,1,MIN(0.97,$H4*Assumptions!$E$12)))</f>
        <v>526.5600000000001</v>
      </c>
      <c r="X4" s="23">
        <f>IF(X$3&lt;$I4,0,$G4*Assumptions!$E$11*INDEX(Assumptions!$B$24:$G$24,MIN(6,X$3-$I4+1))*IF(X$3&gt;$J4,(1-Assumptions!$B$26)^(X$3-$J4),1)*IF($H4&gt;=1,1,MIN(0.97,$H4*Assumptions!$E$12)))</f>
        <v>526.5600000000001</v>
      </c>
      <c r="Y4" s="23">
        <f>IF(Y$3&lt;$I4,0,$G4*Assumptions!$E$11*INDEX(Assumptions!$B$24:$G$24,MIN(6,Y$3-$I4+1))*IF(Y$3&gt;$J4,(1-Assumptions!$B$26)^(Y$3-$J4),1)*IF($H4&gt;=1,1,MIN(0.97,$H4*Assumptions!$E$12)))</f>
        <v>526.5600000000001</v>
      </c>
      <c r="Z4" s="23">
        <f>IF(Z$3&lt;$I4,0,$G4*Assumptions!$E$11*INDEX(Assumptions!$B$24:$G$24,MIN(6,Z$3-$I4+1))*IF(Z$3&gt;$J4,(1-Assumptions!$B$26)^(Z$3-$J4),1)*IF($H4&gt;=1,1,MIN(0.97,$H4*Assumptions!$E$12)))</f>
        <v>526.5600000000001</v>
      </c>
      <c r="AA4" s="23">
        <f>IF(AA$3&lt;$I4,0,$G4*Assumptions!$E$11*INDEX(Assumptions!$B$24:$G$24,MIN(6,AA$3-$I4+1))*IF(AA$3&gt;$J4,(1-Assumptions!$B$26)^(AA$3-$J4),1)*IF($H4&gt;=1,1,MIN(0.97,$H4*Assumptions!$E$12)))</f>
        <v>526.5600000000001</v>
      </c>
      <c r="AB4" s="23">
        <f>IF(AB$3&lt;$I4,0,$G4*Assumptions!$E$11*INDEX(Assumptions!$B$24:$G$24,MIN(6,AB$3-$I4+1))*IF(AB$3&gt;$J4,(1-Assumptions!$B$26)^(AB$3-$J4),1)*IF($H4&gt;=1,1,MIN(0.97,$H4*Assumptions!$E$12)))</f>
        <v>526.5600000000001</v>
      </c>
      <c r="AC4" s="23">
        <f>IF(AC$3&lt;$I4,0,$G4*Assumptions!$E$11*INDEX(Assumptions!$B$24:$G$24,MIN(6,AC$3-$I4+1))*IF(AC$3&gt;$J4,(1-Assumptions!$B$26)^(AC$3-$J4),1)*IF($H4&gt;=1,1,MIN(0.97,$H4*Assumptions!$E$12)))</f>
        <v>263.28000000000003</v>
      </c>
      <c r="AD4" s="23">
        <f>IF(AD$3&lt;$I4,0,$G4*Assumptions!$E$11*INDEX(Assumptions!$B$24:$G$24,MIN(6,AD$3-$I4+1))*IF(AD$3&gt;$J4,(1-Assumptions!$B$26)^(AD$3-$J4),1)*IF($H4&gt;=1,1,MIN(0.97,$H4*Assumptions!$E$12)))</f>
        <v>131.64000000000001</v>
      </c>
      <c r="AE4" s="23">
        <f>IF(AE$3&lt;$I4,0,$G4*Assumptions!$E$11*INDEX(Assumptions!$B$24:$G$24,MIN(6,AE$3-$I4+1))*IF(AE$3&gt;$J4,(1-Assumptions!$B$26)^(AE$3-$J4),1)*IF($H4&gt;=1,1,MIN(0.97,$H4*Assumptions!$E$12)))</f>
        <v>65.82000000000001</v>
      </c>
      <c r="AF4" s="23">
        <f>IF(AF$3&lt;$I4,0,$G4*Assumptions!$E$11*INDEX(Assumptions!$B$24:$G$24,MIN(6,AF$3-$I4+1))*IF(AF$3&gt;$J4,(1-Assumptions!$B$26)^(AF$3-$J4),1)*IF($H4&gt;=1,1,MIN(0.97,$H4*Assumptions!$E$12)))</f>
        <v>32.910000000000004</v>
      </c>
      <c r="AG4" s="35">
        <f>IF(F4="Owned",1-IF(H4&gt;=1,1,MIN(0.97,H4*Assumptions!$E$12)),1)</f>
        <v>0.5611999999999999</v>
      </c>
    </row>
    <row r="5">
      <c r="A5" s="39" t="n">
        <v>2</v>
      </c>
      <c r="B5" s="14" t="inlineStr">
        <is>
          <t>Gynecologic cancer</t>
        </is>
      </c>
      <c r="C5" s="14" t="inlineStr">
        <is>
          <t>Azenosertib</t>
        </is>
      </c>
      <c r="D5" s="14" t="inlineStr">
        <is>
          <t>Phase 2</t>
        </is>
      </c>
      <c r="E5" s="14" t="inlineStr">
        <is>
          <t>Oncology / area</t>
        </is>
      </c>
      <c r="F5" s="14" t="inlineStr">
        <is>
          <t>Owned</t>
        </is>
      </c>
      <c r="G5" s="40" t="n">
        <v>1000</v>
      </c>
      <c r="H5" s="27" t="n">
        <v>0.108</v>
      </c>
      <c r="I5" s="26" t="n">
        <v>2031</v>
      </c>
      <c r="J5" s="39">
        <f>I5+Assumptions!$B$25</f>
        <v>2043.0</v>
      </c>
      <c r="K5" s="53">
        <f>Assumptions!$E$13</f>
        <v>0.4</v>
      </c>
      <c r="L5" s="23">
        <f>K5*SUMPRODUCT(M5:AF5,NPV!$C$15:$V$15)</f>
        <v>122.6926425359558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10.8</v>
      </c>
      <c r="S5" s="23">
        <f>IF(S$3&lt;$I5,0,$G5*Assumptions!$E$11*INDEX(Assumptions!$B$24:$G$24,MIN(6,S$3-$I5+1))*IF(S$3&gt;$J5,(1-Assumptions!$B$26)^(S$3-$J5),1)*IF($H5&gt;=1,1,MIN(0.97,$H5*Assumptions!$E$12)))</f>
        <v>27.0</v>
      </c>
      <c r="T5" s="23">
        <f>IF(T$3&lt;$I5,0,$G5*Assumptions!$E$11*INDEX(Assumptions!$B$24:$G$24,MIN(6,T$3-$I5+1))*IF(T$3&gt;$J5,(1-Assumptions!$B$26)^(T$3-$J5),1)*IF($H5&gt;=1,1,MIN(0.97,$H5*Assumptions!$E$12)))</f>
        <v>48.6</v>
      </c>
      <c r="U5" s="23">
        <f>IF(U$3&lt;$I5,0,$G5*Assumptions!$E$11*INDEX(Assumptions!$B$24:$G$24,MIN(6,U$3-$I5+1))*IF(U$3&gt;$J5,(1-Assumptions!$B$26)^(U$3-$J5),1)*IF($H5&gt;=1,1,MIN(0.97,$H5*Assumptions!$E$12)))</f>
        <v>70.2</v>
      </c>
      <c r="V5" s="23">
        <f>IF(V$3&lt;$I5,0,$G5*Assumptions!$E$11*INDEX(Assumptions!$B$24:$G$24,MIN(6,V$3-$I5+1))*IF(V$3&gt;$J5,(1-Assumptions!$B$26)^(V$3-$J5),1)*IF($H5&gt;=1,1,MIN(0.97,$H5*Assumptions!$E$12)))</f>
        <v>91.8</v>
      </c>
      <c r="W5" s="23">
        <f>IF(W$3&lt;$I5,0,$G5*Assumptions!$E$11*INDEX(Assumptions!$B$24:$G$24,MIN(6,W$3-$I5+1))*IF(W$3&gt;$J5,(1-Assumptions!$B$26)^(W$3-$J5),1)*IF($H5&gt;=1,1,MIN(0.97,$H5*Assumptions!$E$12)))</f>
        <v>108.0</v>
      </c>
      <c r="X5" s="23">
        <f>IF(X$3&lt;$I5,0,$G5*Assumptions!$E$11*INDEX(Assumptions!$B$24:$G$24,MIN(6,X$3-$I5+1))*IF(X$3&gt;$J5,(1-Assumptions!$B$26)^(X$3-$J5),1)*IF($H5&gt;=1,1,MIN(0.97,$H5*Assumptions!$E$12)))</f>
        <v>108.0</v>
      </c>
      <c r="Y5" s="23">
        <f>IF(Y$3&lt;$I5,0,$G5*Assumptions!$E$11*INDEX(Assumptions!$B$24:$G$24,MIN(6,Y$3-$I5+1))*IF(Y$3&gt;$J5,(1-Assumptions!$B$26)^(Y$3-$J5),1)*IF($H5&gt;=1,1,MIN(0.97,$H5*Assumptions!$E$12)))</f>
        <v>108.0</v>
      </c>
      <c r="Z5" s="23">
        <f>IF(Z$3&lt;$I5,0,$G5*Assumptions!$E$11*INDEX(Assumptions!$B$24:$G$24,MIN(6,Z$3-$I5+1))*IF(Z$3&gt;$J5,(1-Assumptions!$B$26)^(Z$3-$J5),1)*IF($H5&gt;=1,1,MIN(0.97,$H5*Assumptions!$E$12)))</f>
        <v>108.0</v>
      </c>
      <c r="AA5" s="23">
        <f>IF(AA$3&lt;$I5,0,$G5*Assumptions!$E$11*INDEX(Assumptions!$B$24:$G$24,MIN(6,AA$3-$I5+1))*IF(AA$3&gt;$J5,(1-Assumptions!$B$26)^(AA$3-$J5),1)*IF($H5&gt;=1,1,MIN(0.97,$H5*Assumptions!$E$12)))</f>
        <v>108.0</v>
      </c>
      <c r="AB5" s="23">
        <f>IF(AB$3&lt;$I5,0,$G5*Assumptions!$E$11*INDEX(Assumptions!$B$24:$G$24,MIN(6,AB$3-$I5+1))*IF(AB$3&gt;$J5,(1-Assumptions!$B$26)^(AB$3-$J5),1)*IF($H5&gt;=1,1,MIN(0.97,$H5*Assumptions!$E$12)))</f>
        <v>108.0</v>
      </c>
      <c r="AC5" s="23">
        <f>IF(AC$3&lt;$I5,0,$G5*Assumptions!$E$11*INDEX(Assumptions!$B$24:$G$24,MIN(6,AC$3-$I5+1))*IF(AC$3&gt;$J5,(1-Assumptions!$B$26)^(AC$3-$J5),1)*IF($H5&gt;=1,1,MIN(0.97,$H5*Assumptions!$E$12)))</f>
        <v>108.0</v>
      </c>
      <c r="AD5" s="23">
        <f>IF(AD$3&lt;$I5,0,$G5*Assumptions!$E$11*INDEX(Assumptions!$B$24:$G$24,MIN(6,AD$3-$I5+1))*IF(AD$3&gt;$J5,(1-Assumptions!$B$26)^(AD$3-$J5),1)*IF($H5&gt;=1,1,MIN(0.97,$H5*Assumptions!$E$12)))</f>
        <v>108.0</v>
      </c>
      <c r="AE5" s="23">
        <f>IF(AE$3&lt;$I5,0,$G5*Assumptions!$E$11*INDEX(Assumptions!$B$24:$G$24,MIN(6,AE$3-$I5+1))*IF(AE$3&gt;$J5,(1-Assumptions!$B$26)^(AE$3-$J5),1)*IF($H5&gt;=1,1,MIN(0.97,$H5*Assumptions!$E$12)))</f>
        <v>54.0</v>
      </c>
      <c r="AF5" s="23">
        <f>IF(AF$3&lt;$I5,0,$G5*Assumptions!$E$11*INDEX(Assumptions!$B$24:$G$24,MIN(6,AF$3-$I5+1))*IF(AF$3&gt;$J5,(1-Assumptions!$B$26)^(AF$3-$J5),1)*IF($H5&gt;=1,1,MIN(0.97,$H5*Assumptions!$E$12)))</f>
        <v>27.0</v>
      </c>
      <c r="AG5" s="35">
        <f>IF(F5="Owned",1-IF(H5&gt;=1,1,MIN(0.97,H5*Assumptions!$E$12)),1)</f>
        <v>0.892</v>
      </c>
    </row>
    <row r="6">
      <c r="A6" s="39" t="n">
        <v>3</v>
      </c>
      <c r="B6" s="14" t="inlineStr">
        <is>
          <t>Solid tumors (basket)</t>
        </is>
      </c>
      <c r="C6" s="14" t="inlineStr">
        <is>
          <t>Azenosertib</t>
        </is>
      </c>
      <c r="D6" s="14" t="inlineStr">
        <is>
          <t>Phase 1</t>
        </is>
      </c>
      <c r="E6" s="14" t="inlineStr">
        <is>
          <t>Oncology / area</t>
        </is>
      </c>
      <c r="F6" s="14" t="inlineStr">
        <is>
          <t>Owned</t>
        </is>
      </c>
      <c r="G6" s="40" t="n">
        <v>1500</v>
      </c>
      <c r="H6" s="27" t="n">
        <v>0.0527</v>
      </c>
      <c r="I6" s="26" t="n">
        <v>2033</v>
      </c>
      <c r="J6" s="39">
        <f>I6+Assumptions!$B$25</f>
        <v>2045.0</v>
      </c>
      <c r="K6" s="53">
        <f>Assumptions!$E$13</f>
        <v>0.4</v>
      </c>
      <c r="L6" s="23">
        <f>K6*SUMPRODUCT(M6:AF6,NPV!$C$15:$V$15)</f>
        <v>69.22180286367352</v>
      </c>
      <c r="M6" s="23">
        <f>IF(M$3&lt;$I6,0,$G6*Assumptions!$E$11*INDEX(Assumptions!$B$24:$G$24,MIN(6,M$3-$I6+1))*IF(M$3&gt;$J6,(1-Assumptions!$B$26)^(M$3-$J6),1)*IF($H6&gt;=1,1,MIN(0.97,$H6*Assumptions!$E$12)))</f>
        <v>0</v>
      </c>
      <c r="N6" s="23">
        <f>IF(N$3&lt;$I6,0,$G6*Assumptions!$E$11*INDEX(Assumptions!$B$24:$G$24,MIN(6,N$3-$I6+1))*IF(N$3&gt;$J6,(1-Assumptions!$B$26)^(N$3-$J6),1)*IF($H6&gt;=1,1,MIN(0.97,$H6*Assumptions!$E$12)))</f>
        <v>0</v>
      </c>
      <c r="O6" s="23">
        <f>IF(O$3&lt;$I6,0,$G6*Assumptions!$E$11*INDEX(Assumptions!$B$24:$G$24,MIN(6,O$3-$I6+1))*IF(O$3&gt;$J6,(1-Assumptions!$B$26)^(O$3-$J6),1)*IF($H6&gt;=1,1,MIN(0.97,$H6*Assumptions!$E$12)))</f>
        <v>0</v>
      </c>
      <c r="P6" s="23">
        <f>IF(P$3&lt;$I6,0,$G6*Assumptions!$E$11*INDEX(Assumptions!$B$24:$G$24,MIN(6,P$3-$I6+1))*IF(P$3&gt;$J6,(1-Assumptions!$B$26)^(P$3-$J6),1)*IF($H6&gt;=1,1,MIN(0.97,$H6*Assumptions!$E$12)))</f>
        <v>0</v>
      </c>
      <c r="Q6" s="23">
        <f>IF(Q$3&lt;$I6,0,$G6*Assumptions!$E$11*INDEX(Assumptions!$B$24:$G$24,MIN(6,Q$3-$I6+1))*IF(Q$3&gt;$J6,(1-Assumptions!$B$26)^(Q$3-$J6),1)*IF($H6&gt;=1,1,MIN(0.97,$H6*Assumptions!$E$12)))</f>
        <v>0</v>
      </c>
      <c r="R6" s="23">
        <f>IF(R$3&lt;$I6,0,$G6*Assumptions!$E$11*INDEX(Assumptions!$B$24:$G$24,MIN(6,R$3-$I6+1))*IF(R$3&gt;$J6,(1-Assumptions!$B$26)^(R$3-$J6),1)*IF($H6&gt;=1,1,MIN(0.97,$H6*Assumptions!$E$12)))</f>
        <v>0</v>
      </c>
      <c r="S6" s="23">
        <f>IF(S$3&lt;$I6,0,$G6*Assumptions!$E$11*INDEX(Assumptions!$B$24:$G$24,MIN(6,S$3-$I6+1))*IF(S$3&gt;$J6,(1-Assumptions!$B$26)^(S$3-$J6),1)*IF($H6&gt;=1,1,MIN(0.97,$H6*Assumptions!$E$12)))</f>
        <v>0</v>
      </c>
      <c r="T6" s="23">
        <f>IF(T$3&lt;$I6,0,$G6*Assumptions!$E$11*INDEX(Assumptions!$B$24:$G$24,MIN(6,T$3-$I6+1))*IF(T$3&gt;$J6,(1-Assumptions!$B$26)^(T$3-$J6),1)*IF($H6&gt;=1,1,MIN(0.97,$H6*Assumptions!$E$12)))</f>
        <v>7.904999999999999</v>
      </c>
      <c r="U6" s="23">
        <f>IF(U$3&lt;$I6,0,$G6*Assumptions!$E$11*INDEX(Assumptions!$B$24:$G$24,MIN(6,U$3-$I6+1))*IF(U$3&gt;$J6,(1-Assumptions!$B$26)^(U$3-$J6),1)*IF($H6&gt;=1,1,MIN(0.97,$H6*Assumptions!$E$12)))</f>
        <v>19.7625</v>
      </c>
      <c r="V6" s="23">
        <f>IF(V$3&lt;$I6,0,$G6*Assumptions!$E$11*INDEX(Assumptions!$B$24:$G$24,MIN(6,V$3-$I6+1))*IF(V$3&gt;$J6,(1-Assumptions!$B$26)^(V$3-$J6),1)*IF($H6&gt;=1,1,MIN(0.97,$H6*Assumptions!$E$12)))</f>
        <v>35.5725</v>
      </c>
      <c r="W6" s="23">
        <f>IF(W$3&lt;$I6,0,$G6*Assumptions!$E$11*INDEX(Assumptions!$B$24:$G$24,MIN(6,W$3-$I6+1))*IF(W$3&gt;$J6,(1-Assumptions!$B$26)^(W$3-$J6),1)*IF($H6&gt;=1,1,MIN(0.97,$H6*Assumptions!$E$12)))</f>
        <v>51.3825</v>
      </c>
      <c r="X6" s="23">
        <f>IF(X$3&lt;$I6,0,$G6*Assumptions!$E$11*INDEX(Assumptions!$B$24:$G$24,MIN(6,X$3-$I6+1))*IF(X$3&gt;$J6,(1-Assumptions!$B$26)^(X$3-$J6),1)*IF($H6&gt;=1,1,MIN(0.97,$H6*Assumptions!$E$12)))</f>
        <v>67.1925</v>
      </c>
      <c r="Y6" s="23">
        <f>IF(Y$3&lt;$I6,0,$G6*Assumptions!$E$11*INDEX(Assumptions!$B$24:$G$24,MIN(6,Y$3-$I6+1))*IF(Y$3&gt;$J6,(1-Assumptions!$B$26)^(Y$3-$J6),1)*IF($H6&gt;=1,1,MIN(0.97,$H6*Assumptions!$E$12)))</f>
        <v>79.05</v>
      </c>
      <c r="Z6" s="23">
        <f>IF(Z$3&lt;$I6,0,$G6*Assumptions!$E$11*INDEX(Assumptions!$B$24:$G$24,MIN(6,Z$3-$I6+1))*IF(Z$3&gt;$J6,(1-Assumptions!$B$26)^(Z$3-$J6),1)*IF($H6&gt;=1,1,MIN(0.97,$H6*Assumptions!$E$12)))</f>
        <v>79.05</v>
      </c>
      <c r="AA6" s="23">
        <f>IF(AA$3&lt;$I6,0,$G6*Assumptions!$E$11*INDEX(Assumptions!$B$24:$G$24,MIN(6,AA$3-$I6+1))*IF(AA$3&gt;$J6,(1-Assumptions!$B$26)^(AA$3-$J6),1)*IF($H6&gt;=1,1,MIN(0.97,$H6*Assumptions!$E$12)))</f>
        <v>79.05</v>
      </c>
      <c r="AB6" s="23">
        <f>IF(AB$3&lt;$I6,0,$G6*Assumptions!$E$11*INDEX(Assumptions!$B$24:$G$24,MIN(6,AB$3-$I6+1))*IF(AB$3&gt;$J6,(1-Assumptions!$B$26)^(AB$3-$J6),1)*IF($H6&gt;=1,1,MIN(0.97,$H6*Assumptions!$E$12)))</f>
        <v>79.05</v>
      </c>
      <c r="AC6" s="23">
        <f>IF(AC$3&lt;$I6,0,$G6*Assumptions!$E$11*INDEX(Assumptions!$B$24:$G$24,MIN(6,AC$3-$I6+1))*IF(AC$3&gt;$J6,(1-Assumptions!$B$26)^(AC$3-$J6),1)*IF($H6&gt;=1,1,MIN(0.97,$H6*Assumptions!$E$12)))</f>
        <v>79.05</v>
      </c>
      <c r="AD6" s="23">
        <f>IF(AD$3&lt;$I6,0,$G6*Assumptions!$E$11*INDEX(Assumptions!$B$24:$G$24,MIN(6,AD$3-$I6+1))*IF(AD$3&gt;$J6,(1-Assumptions!$B$26)^(AD$3-$J6),1)*IF($H6&gt;=1,1,MIN(0.97,$H6*Assumptions!$E$12)))</f>
        <v>79.05</v>
      </c>
      <c r="AE6" s="23">
        <f>IF(AE$3&lt;$I6,0,$G6*Assumptions!$E$11*INDEX(Assumptions!$B$24:$G$24,MIN(6,AE$3-$I6+1))*IF(AE$3&gt;$J6,(1-Assumptions!$B$26)^(AE$3-$J6),1)*IF($H6&gt;=1,1,MIN(0.97,$H6*Assumptions!$E$12)))</f>
        <v>79.05</v>
      </c>
      <c r="AF6" s="23">
        <f>IF(AF$3&lt;$I6,0,$G6*Assumptions!$E$11*INDEX(Assumptions!$B$24:$G$24,MIN(6,AF$3-$I6+1))*IF(AF$3&gt;$J6,(1-Assumptions!$B$26)^(AF$3-$J6),1)*IF($H6&gt;=1,1,MIN(0.97,$H6*Assumptions!$E$12)))</f>
        <v>79.05</v>
      </c>
      <c r="AG6" s="35">
        <f>IF(F6="Owned",1-IF(H6&gt;=1,1,MIN(0.97,H6*Assumptions!$E$12)),1)</f>
        <v>0.9473</v>
      </c>
    </row>
    <row r="7">
      <c r="B7" s="24" t="inlineStr">
        <is>
          <t>Risked revenue</t>
        </is>
      </c>
      <c r="L7" s="54">
        <f>SUM(L4:L6)</f>
        <v>947.2398076619444</v>
      </c>
      <c r="M7" s="54">
        <f>SUM(M4:M6)</f>
        <v>0.0</v>
      </c>
      <c r="N7" s="54">
        <f>SUM(N4:N6)</f>
        <v>0.0</v>
      </c>
      <c r="O7" s="54">
        <f>SUM(O4:O6)</f>
        <v>0.0</v>
      </c>
      <c r="P7" s="54">
        <f>SUM(P4:P6)</f>
        <v>52.656000000000006</v>
      </c>
      <c r="Q7" s="54">
        <f>SUM(Q4:Q6)</f>
        <v>131.64000000000001</v>
      </c>
      <c r="R7" s="54">
        <f>SUM(R4:R6)</f>
        <v>247.75200000000004</v>
      </c>
      <c r="S7" s="54">
        <f>SUM(S4:S6)</f>
        <v>369.264</v>
      </c>
      <c r="T7" s="54">
        <f>SUM(T4:T6)</f>
        <v>504.081</v>
      </c>
      <c r="U7" s="54">
        <f>SUM(U4:U6)</f>
        <v>616.5225000000002</v>
      </c>
      <c r="V7" s="54">
        <f>SUM(V4:V6)</f>
        <v>653.9325</v>
      </c>
      <c r="W7" s="54">
        <f>SUM(W4:W6)</f>
        <v>685.9425000000001</v>
      </c>
      <c r="X7" s="54">
        <f>SUM(X4:X6)</f>
        <v>701.7525</v>
      </c>
      <c r="Y7" s="54">
        <f>SUM(Y4:Y6)</f>
        <v>713.61</v>
      </c>
      <c r="Z7" s="54">
        <f>SUM(Z4:Z6)</f>
        <v>713.61</v>
      </c>
      <c r="AA7" s="54">
        <f>SUM(AA4:AA6)</f>
        <v>713.61</v>
      </c>
      <c r="AB7" s="54">
        <f>SUM(AB4:AB6)</f>
        <v>713.61</v>
      </c>
      <c r="AC7" s="54">
        <f>SUM(AC4:AC6)</f>
        <v>450.33000000000004</v>
      </c>
      <c r="AD7" s="54">
        <f>SUM(AD4:AD6)</f>
        <v>318.69</v>
      </c>
      <c r="AE7" s="54">
        <f>SUM(AE4:AE6)</f>
        <v>198.87</v>
      </c>
      <c r="AF7" s="54">
        <f>SUM(AF4:AF6)</f>
        <v>138.96</v>
      </c>
    </row>
    <row r="8">
      <c r="B8" s="24" t="inlineStr">
        <is>
          <t>Risked contribution (revenue x share)</t>
        </is>
      </c>
      <c r="M8" s="55">
        <f>SUMPRODUCT(M4:M6,$K$4:$K$6)</f>
        <v>0.0</v>
      </c>
      <c r="N8" s="55">
        <f>SUMPRODUCT(N4:N6,$K$4:$K$6)</f>
        <v>0.0</v>
      </c>
      <c r="O8" s="55">
        <f>SUMPRODUCT(O4:O6,$K$4:$K$6)</f>
        <v>0.0</v>
      </c>
      <c r="P8" s="55">
        <f>SUMPRODUCT(P4:P6,$K$4:$K$6)</f>
        <v>21.062400000000004</v>
      </c>
      <c r="Q8" s="55">
        <f>SUMPRODUCT(Q4:Q6,$K$4:$K$6)</f>
        <v>52.656000000000006</v>
      </c>
      <c r="R8" s="55">
        <f>SUMPRODUCT(R4:R6,$K$4:$K$6)</f>
        <v>99.10080000000002</v>
      </c>
      <c r="S8" s="55">
        <f>SUMPRODUCT(S4:S6,$K$4:$K$6)</f>
        <v>147.70560000000003</v>
      </c>
      <c r="T8" s="55">
        <f>SUMPRODUCT(T4:T6,$K$4:$K$6)</f>
        <v>201.63240000000002</v>
      </c>
      <c r="U8" s="55">
        <f>SUMPRODUCT(U4:U6,$K$4:$K$6)</f>
        <v>246.60900000000004</v>
      </c>
      <c r="V8" s="55">
        <f>SUMPRODUCT(V4:V6,$K$4:$K$6)</f>
        <v>261.57300000000004</v>
      </c>
      <c r="W8" s="55">
        <f>SUMPRODUCT(W4:W6,$K$4:$K$6)</f>
        <v>274.377</v>
      </c>
      <c r="X8" s="55">
        <f>SUMPRODUCT(X4:X6,$K$4:$K$6)</f>
        <v>280.701</v>
      </c>
      <c r="Y8" s="55">
        <f>SUMPRODUCT(Y4:Y6,$K$4:$K$6)</f>
        <v>285.444</v>
      </c>
      <c r="Z8" s="55">
        <f>SUMPRODUCT(Z4:Z6,$K$4:$K$6)</f>
        <v>285.444</v>
      </c>
      <c r="AA8" s="55">
        <f>SUMPRODUCT(AA4:AA6,$K$4:$K$6)</f>
        <v>285.444</v>
      </c>
      <c r="AB8" s="55">
        <f>SUMPRODUCT(AB4:AB6,$K$4:$K$6)</f>
        <v>285.444</v>
      </c>
      <c r="AC8" s="55">
        <f>SUMPRODUCT(AC4:AC6,$K$4:$K$6)</f>
        <v>180.132</v>
      </c>
      <c r="AD8" s="55">
        <f>SUMPRODUCT(AD4:AD6,$K$4:$K$6)</f>
        <v>127.47600000000001</v>
      </c>
      <c r="AE8" s="55">
        <f>SUMPRODUCT(AE4:AE6,$K$4:$K$6)</f>
        <v>79.548</v>
      </c>
      <c r="AF8" s="55">
        <f>SUMPRODUCT(AF4:AF6,$K$4:$K$6)</f>
        <v>55.584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Zentalis Pharmaceuticals,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Pipeline!M7</f>
        <v>0.0</v>
      </c>
      <c r="D4" s="57">
        <f>Pipeline!N7</f>
        <v>0.0</v>
      </c>
      <c r="E4" s="57">
        <f>Pipeline!O7</f>
        <v>0.0</v>
      </c>
      <c r="F4" s="57">
        <f>Pipeline!P7</f>
        <v>52.656000000000006</v>
      </c>
      <c r="G4" s="57">
        <f>Pipeline!Q7</f>
        <v>131.64000000000001</v>
      </c>
      <c r="H4" s="57">
        <f>Pipeline!R7</f>
        <v>247.75200000000004</v>
      </c>
      <c r="I4" s="57">
        <f>Pipeline!S7</f>
        <v>369.264</v>
      </c>
      <c r="J4" s="57">
        <f>Pipeline!T7</f>
        <v>504.081</v>
      </c>
      <c r="K4" s="57">
        <f>Pipeline!U7</f>
        <v>616.5225000000002</v>
      </c>
      <c r="L4" s="57">
        <f>Pipeline!V7</f>
        <v>653.9325</v>
      </c>
      <c r="M4" s="57">
        <f>Pipeline!W7</f>
        <v>685.9425000000001</v>
      </c>
      <c r="N4" s="57">
        <f>Pipeline!X7</f>
        <v>701.7525</v>
      </c>
      <c r="O4" s="57">
        <f>Pipeline!Y7</f>
        <v>713.61</v>
      </c>
      <c r="P4" s="57">
        <f>Pipeline!Z7</f>
        <v>713.61</v>
      </c>
      <c r="Q4" s="57">
        <f>Pipeline!AA7</f>
        <v>713.61</v>
      </c>
      <c r="R4" s="57">
        <f>Pipeline!AB7</f>
        <v>713.61</v>
      </c>
      <c r="S4" s="57">
        <f>Pipeline!AC7</f>
        <v>450.33000000000004</v>
      </c>
      <c r="T4" s="57">
        <f>Pipeline!AD7</f>
        <v>318.69</v>
      </c>
      <c r="U4" s="57">
        <f>Pipeline!AE7</f>
        <v>198.87</v>
      </c>
      <c r="V4" s="57">
        <f>Pipeline!AF7</f>
        <v>138.96</v>
      </c>
    </row>
    <row r="5">
      <c r="A5" s="14" t="inlineStr">
        <is>
          <t>Risked contribution</t>
        </is>
      </c>
      <c r="C5" s="57">
        <f>Pipeline!M8</f>
        <v>0.0</v>
      </c>
      <c r="D5" s="57">
        <f>Pipeline!N8</f>
        <v>0.0</v>
      </c>
      <c r="E5" s="57">
        <f>Pipeline!O8</f>
        <v>0.0</v>
      </c>
      <c r="F5" s="57">
        <f>Pipeline!P8</f>
        <v>21.062400000000004</v>
      </c>
      <c r="G5" s="57">
        <f>Pipeline!Q8</f>
        <v>52.656000000000006</v>
      </c>
      <c r="H5" s="57">
        <f>Pipeline!R8</f>
        <v>99.10080000000002</v>
      </c>
      <c r="I5" s="57">
        <f>Pipeline!S8</f>
        <v>147.70560000000003</v>
      </c>
      <c r="J5" s="57">
        <f>Pipeline!T8</f>
        <v>201.63240000000002</v>
      </c>
      <c r="K5" s="57">
        <f>Pipeline!U8</f>
        <v>246.60900000000004</v>
      </c>
      <c r="L5" s="57">
        <f>Pipeline!V8</f>
        <v>261.57300000000004</v>
      </c>
      <c r="M5" s="57">
        <f>Pipeline!W8</f>
        <v>274.377</v>
      </c>
      <c r="N5" s="57">
        <f>Pipeline!X8</f>
        <v>280.701</v>
      </c>
      <c r="O5" s="57">
        <f>Pipeline!Y8</f>
        <v>285.444</v>
      </c>
      <c r="P5" s="57">
        <f>Pipeline!Z8</f>
        <v>285.444</v>
      </c>
      <c r="Q5" s="57">
        <f>Pipeline!AA8</f>
        <v>285.444</v>
      </c>
      <c r="R5" s="57">
        <f>Pipeline!AB8</f>
        <v>285.444</v>
      </c>
      <c r="S5" s="57">
        <f>Pipeline!AC8</f>
        <v>180.132</v>
      </c>
      <c r="T5" s="57">
        <f>Pipeline!AD8</f>
        <v>127.47600000000001</v>
      </c>
      <c r="U5" s="57">
        <f>Pipeline!AE8</f>
        <v>79.548</v>
      </c>
      <c r="V5" s="57">
        <f>Pipeline!AF8</f>
        <v>55.584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-153.373</v>
      </c>
      <c r="D6" s="23">
        <f>-IF(D3-2026&lt;Assumptions!$B$19,Assumptions!$B$18,Assumptions!$B$18*Assumptions!$B$20*Assumptions!$B$16)</f>
        <v>-153.373</v>
      </c>
      <c r="E6" s="23">
        <f>-IF(E3-2026&lt;Assumptions!$B$19,Assumptions!$B$18,Assumptions!$B$18*Assumptions!$B$20*Assumptions!$B$16)</f>
        <v>-153.373</v>
      </c>
      <c r="F6" s="23">
        <f>-IF(F3-2026&lt;Assumptions!$B$19,Assumptions!$B$18,Assumptions!$B$18*Assumptions!$B$20*Assumptions!$B$16)</f>
        <v>-24.19262975717755</v>
      </c>
      <c r="G6" s="23">
        <f>-IF(G3-2026&lt;Assumptions!$B$19,Assumptions!$B$18,Assumptions!$B$18*Assumptions!$B$20*Assumptions!$B$16)</f>
        <v>-24.19262975717755</v>
      </c>
      <c r="H6" s="23">
        <f>-IF(H3-2026&lt;Assumptions!$B$19,Assumptions!$B$18,Assumptions!$B$18*Assumptions!$B$20*Assumptions!$B$16)</f>
        <v>-24.19262975717755</v>
      </c>
      <c r="I6" s="23">
        <f>-IF(I3-2026&lt;Assumptions!$B$19,Assumptions!$B$18,Assumptions!$B$18*Assumptions!$B$20*Assumptions!$B$16)</f>
        <v>-24.19262975717755</v>
      </c>
      <c r="J6" s="23">
        <f>-IF(J3-2026&lt;Assumptions!$B$19,Assumptions!$B$18,Assumptions!$B$18*Assumptions!$B$20*Assumptions!$B$16)</f>
        <v>-24.19262975717755</v>
      </c>
      <c r="K6" s="23">
        <f>-IF(K3-2026&lt;Assumptions!$B$19,Assumptions!$B$18,Assumptions!$B$18*Assumptions!$B$20*Assumptions!$B$16)</f>
        <v>-24.19262975717755</v>
      </c>
      <c r="L6" s="23">
        <f>-IF(L3-2026&lt;Assumptions!$B$19,Assumptions!$B$18,Assumptions!$B$18*Assumptions!$B$20*Assumptions!$B$16)</f>
        <v>-24.19262975717755</v>
      </c>
      <c r="M6" s="23">
        <f>-IF(M3-2026&lt;Assumptions!$B$19,Assumptions!$B$18,Assumptions!$B$18*Assumptions!$B$20*Assumptions!$B$16)</f>
        <v>-24.19262975717755</v>
      </c>
      <c r="N6" s="23">
        <f>-IF(N3-2026&lt;Assumptions!$B$19,Assumptions!$B$18,Assumptions!$B$18*Assumptions!$B$20*Assumptions!$B$16)</f>
        <v>-24.19262975717755</v>
      </c>
      <c r="O6" s="23">
        <f>-IF(O3-2026&lt;Assumptions!$B$19,Assumptions!$B$18,Assumptions!$B$18*Assumptions!$B$20*Assumptions!$B$16)</f>
        <v>-24.19262975717755</v>
      </c>
      <c r="P6" s="23">
        <f>-IF(P3-2026&lt;Assumptions!$B$19,Assumptions!$B$18,Assumptions!$B$18*Assumptions!$B$20*Assumptions!$B$16)</f>
        <v>-24.19262975717755</v>
      </c>
      <c r="Q6" s="23">
        <f>-IF(Q3-2026&lt;Assumptions!$B$19,Assumptions!$B$18,Assumptions!$B$18*Assumptions!$B$20*Assumptions!$B$16)</f>
        <v>-24.19262975717755</v>
      </c>
      <c r="R6" s="23">
        <f>-IF(R3-2026&lt;Assumptions!$B$19,Assumptions!$B$18,Assumptions!$B$18*Assumptions!$B$20*Assumptions!$B$16)</f>
        <v>-24.19262975717755</v>
      </c>
      <c r="S6" s="23">
        <f>-IF(S3-2026&lt;Assumptions!$B$19,Assumptions!$B$18,Assumptions!$B$18*Assumptions!$B$20*Assumptions!$B$16)</f>
        <v>-24.19262975717755</v>
      </c>
      <c r="T6" s="23">
        <f>-IF(T3-2026&lt;Assumptions!$B$19,Assumptions!$B$18,Assumptions!$B$18*Assumptions!$B$20*Assumptions!$B$16)</f>
        <v>-24.19262975717755</v>
      </c>
      <c r="U6" s="23">
        <f>-IF(U3-2026&lt;Assumptions!$B$19,Assumptions!$B$18,Assumptions!$B$18*Assumptions!$B$20*Assumptions!$B$16)</f>
        <v>-24.19262975717755</v>
      </c>
      <c r="V6" s="23">
        <f>-IF(V3-2026&lt;Assumptions!$B$19,Assumptions!$B$18,Assumptions!$B$18*Assumptions!$B$20*Assumptions!$B$16)</f>
        <v>-24.19262975717755</v>
      </c>
    </row>
    <row r="7">
      <c r="A7" s="14" t="inlineStr">
        <is>
          <t>Pre-tax cash flow</t>
        </is>
      </c>
      <c r="C7" s="23">
        <f>C5+C6</f>
        <v>-153.373</v>
      </c>
      <c r="D7" s="23">
        <f>D5+D6</f>
        <v>-153.373</v>
      </c>
      <c r="E7" s="23">
        <f>E5+E6</f>
        <v>-153.373</v>
      </c>
      <c r="F7" s="23">
        <f>F5+F6</f>
        <v>-3.1302297571775455</v>
      </c>
      <c r="G7" s="23">
        <f>G5+G6</f>
        <v>28.463370242822457</v>
      </c>
      <c r="H7" s="23">
        <f>H5+H6</f>
        <v>74.90817024282248</v>
      </c>
      <c r="I7" s="23">
        <f>I5+I6</f>
        <v>123.51297024282249</v>
      </c>
      <c r="J7" s="23">
        <f>J5+J6</f>
        <v>177.43977024282248</v>
      </c>
      <c r="K7" s="23">
        <f>K5+K6</f>
        <v>222.4163702428225</v>
      </c>
      <c r="L7" s="23">
        <f>L5+L6</f>
        <v>237.3803702428225</v>
      </c>
      <c r="M7" s="23">
        <f>M5+M6</f>
        <v>250.18437024282247</v>
      </c>
      <c r="N7" s="23">
        <f>N5+N6</f>
        <v>256.5083702428225</v>
      </c>
      <c r="O7" s="23">
        <f>O5+O6</f>
        <v>261.2513702428225</v>
      </c>
      <c r="P7" s="23">
        <f>P5+P6</f>
        <v>261.2513702428225</v>
      </c>
      <c r="Q7" s="23">
        <f>Q5+Q6</f>
        <v>261.2513702428225</v>
      </c>
      <c r="R7" s="23">
        <f>R5+R6</f>
        <v>261.2513702428225</v>
      </c>
      <c r="S7" s="23">
        <f>S5+S6</f>
        <v>155.93937024282246</v>
      </c>
      <c r="T7" s="23">
        <f>T5+T6</f>
        <v>103.28337024282246</v>
      </c>
      <c r="U7" s="23">
        <f>U5+U6</f>
        <v>55.35537024282245</v>
      </c>
      <c r="V7" s="23">
        <f>V5+V6</f>
        <v>31.391370242822454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28.463370242822457</v>
      </c>
      <c r="H8" s="23">
        <f>MIN(G17,MAX(0,H7))</f>
        <v>74.90817024282248</v>
      </c>
      <c r="I8" s="23">
        <f>MIN(H17,MAX(0,I7))</f>
        <v>123.51297024282249</v>
      </c>
      <c r="J8" s="23">
        <f>MIN(I17,MAX(0,J7))</f>
        <v>177.43977024282248</v>
      </c>
      <c r="K8" s="23">
        <f>MIN(J17,MAX(0,K7))</f>
        <v>222.4163702428225</v>
      </c>
      <c r="L8" s="23">
        <f>MIN(K17,MAX(0,L7))</f>
        <v>237.3803702428225</v>
      </c>
      <c r="M8" s="23">
        <f>MIN(L17,MAX(0,M7))</f>
        <v>250.18437024282247</v>
      </c>
      <c r="N8" s="23">
        <f>MIN(M17,MAX(0,N7))</f>
        <v>256.5083702428225</v>
      </c>
      <c r="O8" s="23">
        <f>MIN(N17,MAX(0,O7))</f>
        <v>246.7354678145977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14.515902428224763</v>
      </c>
      <c r="P9" s="23">
        <f>MAX(0,P7)-P8</f>
        <v>261.2513702428225</v>
      </c>
      <c r="Q9" s="23">
        <f>MAX(0,Q7)-Q8</f>
        <v>261.2513702428225</v>
      </c>
      <c r="R9" s="23">
        <f>MAX(0,R7)-R8</f>
        <v>261.2513702428225</v>
      </c>
      <c r="S9" s="23">
        <f>MAX(0,S7)-S8</f>
        <v>155.93937024282246</v>
      </c>
      <c r="T9" s="23">
        <f>MAX(0,T7)-T8</f>
        <v>103.28337024282246</v>
      </c>
      <c r="U9" s="23">
        <f>MAX(0,U7)-U8</f>
        <v>55.35537024282245</v>
      </c>
      <c r="V9" s="23">
        <f>MAX(0,V7)-V8</f>
        <v>31.391370242822454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3.0483395099272</v>
      </c>
      <c r="P10" s="23">
        <f>P9*Assumptions!$E$15</f>
        <v>54.862787750992716</v>
      </c>
      <c r="Q10" s="23">
        <f>Q9*Assumptions!$E$15</f>
        <v>54.862787750992716</v>
      </c>
      <c r="R10" s="23">
        <f>R9*Assumptions!$E$15</f>
        <v>54.862787750992716</v>
      </c>
      <c r="S10" s="23">
        <f>S9*Assumptions!$E$15</f>
        <v>32.74726775099272</v>
      </c>
      <c r="T10" s="23">
        <f>T9*Assumptions!$E$15</f>
        <v>21.689507750992714</v>
      </c>
      <c r="U10" s="23">
        <f>U9*Assumptions!$E$15</f>
        <v>11.624627750992715</v>
      </c>
      <c r="V10" s="23">
        <f>V9*Assumptions!$E$15</f>
        <v>6.592187750992715</v>
      </c>
    </row>
    <row r="11">
      <c r="A11" s="24" t="inlineStr">
        <is>
          <t>Free cash flow</t>
        </is>
      </c>
      <c r="C11" s="55">
        <f>C7-C10</f>
        <v>-153.373</v>
      </c>
      <c r="D11" s="55">
        <f>D7-D10</f>
        <v>-153.373</v>
      </c>
      <c r="E11" s="55">
        <f>E7-E10</f>
        <v>-153.373</v>
      </c>
      <c r="F11" s="55">
        <f>F7-F10</f>
        <v>-3.1302297571775455</v>
      </c>
      <c r="G11" s="55">
        <f>G7-G10</f>
        <v>28.463370242822457</v>
      </c>
      <c r="H11" s="55">
        <f>H7-H10</f>
        <v>74.90817024282248</v>
      </c>
      <c r="I11" s="55">
        <f>I7-I10</f>
        <v>123.51297024282249</v>
      </c>
      <c r="J11" s="55">
        <f>J7-J10</f>
        <v>177.43977024282248</v>
      </c>
      <c r="K11" s="55">
        <f>K7-K10</f>
        <v>222.4163702428225</v>
      </c>
      <c r="L11" s="55">
        <f>L7-L10</f>
        <v>237.3803702428225</v>
      </c>
      <c r="M11" s="55">
        <f>M7-M10</f>
        <v>250.18437024282247</v>
      </c>
      <c r="N11" s="55">
        <f>N7-N10</f>
        <v>256.5083702428225</v>
      </c>
      <c r="O11" s="55">
        <f>O7-O10</f>
        <v>258.2030307328953</v>
      </c>
      <c r="P11" s="55">
        <f>P7-P10</f>
        <v>206.38858249182977</v>
      </c>
      <c r="Q11" s="55">
        <f>Q7-Q10</f>
        <v>206.38858249182977</v>
      </c>
      <c r="R11" s="55">
        <f>R7-R10</f>
        <v>206.38858249182977</v>
      </c>
      <c r="S11" s="55">
        <f>S7-S10</f>
        <v>123.19210249182974</v>
      </c>
      <c r="T11" s="55">
        <f>T7-T10</f>
        <v>81.59386249182974</v>
      </c>
      <c r="U11" s="55">
        <f>U7-U10</f>
        <v>43.73074249182974</v>
      </c>
      <c r="V11" s="55">
        <f>V7-V10</f>
        <v>24.79918249182974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-75.13809972142563</v>
      </c>
      <c r="D16" s="55">
        <f>D11*D15</f>
        <v>-136.87656442500048</v>
      </c>
      <c r="E16" s="55">
        <f>E11*E15</f>
        <v>-122.21121823660752</v>
      </c>
      <c r="F16" s="55">
        <f>F11*F15</f>
        <v>-2.227000701284893</v>
      </c>
      <c r="G16" s="55">
        <f>G11*G15</f>
        <v>18.080583309748054</v>
      </c>
      <c r="H16" s="55">
        <f>H11*H15</f>
        <v>42.4851622924804</v>
      </c>
      <c r="I16" s="55">
        <f>I11*I15</f>
        <v>62.546445784676024</v>
      </c>
      <c r="J16" s="55">
        <f>J11*J15</f>
        <v>80.22745468205335</v>
      </c>
      <c r="K16" s="55">
        <f>K11*K15</f>
        <v>89.7885118576526</v>
      </c>
      <c r="L16" s="55">
        <f>L11*L15</f>
        <v>85.56197583810656</v>
      </c>
      <c r="M16" s="55">
        <f>M11*M15</f>
        <v>80.51525151945579</v>
      </c>
      <c r="N16" s="55">
        <f>N11*N15</f>
        <v>73.70577177779157</v>
      </c>
      <c r="O16" s="55">
        <f>O11*O15</f>
        <v>66.24349987626002</v>
      </c>
      <c r="P16" s="55">
        <f>P11*P15</f>
        <v>47.27696401200268</v>
      </c>
      <c r="Q16" s="55">
        <f>Q11*Q15</f>
        <v>42.21157501071668</v>
      </c>
      <c r="R16" s="55">
        <f>R11*R15</f>
        <v>37.68890625956846</v>
      </c>
      <c r="S16" s="55">
        <f>S11*S15</f>
        <v>20.085965419992927</v>
      </c>
      <c r="T16" s="55">
        <f>T11*T15</f>
        <v>11.878163883772235</v>
      </c>
      <c r="U16" s="55">
        <f>U11*U15</f>
        <v>5.684086118445677</v>
      </c>
      <c r="V16" s="55">
        <f>V11*V15</f>
        <v>2.8780155748585936</v>
      </c>
    </row>
    <row r="17">
      <c r="A17" s="14" t="inlineStr">
        <is>
          <t>Tax-loss carryforward, end of year</t>
        </is>
      </c>
      <c r="C17" s="23">
        <f>Assumptions!$B$21-C8+MAX(0,-C7)</f>
        <v>1307.673</v>
      </c>
      <c r="D17" s="23">
        <f>C17-D8+MAX(0,-D7)</f>
        <v>1461.046</v>
      </c>
      <c r="E17" s="23">
        <f>D17-E8+MAX(0,-E7)</f>
        <v>1614.419</v>
      </c>
      <c r="F17" s="23">
        <f>E17-F8+MAX(0,-F7)</f>
        <v>1617.5492297571777</v>
      </c>
      <c r="G17" s="23">
        <f>F17-G8+MAX(0,-G7)</f>
        <v>1589.0858595143552</v>
      </c>
      <c r="H17" s="23">
        <f>G17-H8+MAX(0,-H7)</f>
        <v>1514.1776892715327</v>
      </c>
      <c r="I17" s="23">
        <f>H17-I8+MAX(0,-I7)</f>
        <v>1390.6647190287101</v>
      </c>
      <c r="J17" s="23">
        <f>I17-J8+MAX(0,-J7)</f>
        <v>1213.2249487858876</v>
      </c>
      <c r="K17" s="23">
        <f>J17-K8+MAX(0,-K7)</f>
        <v>990.8085785430651</v>
      </c>
      <c r="L17" s="23">
        <f>K17-L8+MAX(0,-L7)</f>
        <v>753.4282083002427</v>
      </c>
      <c r="M17" s="23">
        <f>L17-M8+MAX(0,-M7)</f>
        <v>503.2438380574202</v>
      </c>
      <c r="N17" s="23">
        <f>M17-N8+MAX(0,-N7)</f>
        <v>246.7354678145977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947.2398076619444</v>
      </c>
    </row>
    <row r="20">
      <c r="A20" s="14" t="inlineStr">
        <is>
          <t>PV of corporate burn</t>
        </is>
      </c>
      <c r="B20" s="23">
        <f>SUMPRODUCT(C6:V6,C15:V15)</f>
        <v>-471.47282992126026</v>
      </c>
    </row>
    <row r="21">
      <c r="A21" s="14" t="inlineStr">
        <is>
          <t>PV of taxes</t>
        </is>
      </c>
      <c r="B21" s="23">
        <f>-SUMPRODUCT(C10:V10,C15:V15)</f>
        <v>-45.36152760742101</v>
      </c>
    </row>
    <row r="22">
      <c r="A22" s="24" t="inlineStr">
        <is>
          <t>Pipeline rNPV (operations)</t>
        </is>
      </c>
      <c r="B22" s="54">
        <f>SUM(C16:V16)</f>
        <v>430.40545013326306</v>
      </c>
    </row>
    <row r="23">
      <c r="A23" s="14" t="inlineStr">
        <is>
          <t>Cash &amp; investments</t>
        </is>
      </c>
      <c r="B23" s="57">
        <f>Main!C7</f>
        <v>174.608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605.0134501332631</v>
      </c>
    </row>
    <row r="26">
      <c r="A26" s="14" t="inlineStr">
        <is>
          <t>Shares (mm)</t>
        </is>
      </c>
      <c r="B26" s="57">
        <f>Main!C4</f>
        <v>71.671914</v>
      </c>
    </row>
    <row r="27">
      <c r="A27" s="24" t="inlineStr">
        <is>
          <t>rNPV / share</t>
        </is>
      </c>
      <c r="B27" s="60">
        <f>B25/B26</f>
        <v>8.44143007166326</v>
      </c>
    </row>
    <row r="28">
      <c r="A28" s="14" t="inlineStr">
        <is>
          <t>Price</t>
        </is>
      </c>
      <c r="B28" s="61">
        <f>Main!C3</f>
        <v>2.39</v>
      </c>
    </row>
    <row r="29">
      <c r="A29" s="14" t="inlineStr">
        <is>
          <t>Upside</t>
        </is>
      </c>
      <c r="B29" s="62">
        <f>B27/B28-1</f>
        <v>2.5319791094825357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2026-10-21T06:27:20Z</dcterms:modified>
  <cp:lastModifiedBy>Wang, Eric</cp:lastModifiedBy>
</cp:coreProperties>
</file>