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Zentalis Pharmaceuticals, Inc.</t>
        </is>
      </c>
      <c r="C2" s="10" t="n"/>
    </row>
    <row r="3">
      <c r="B3" t="inlineStr">
        <is>
          <t>Price</t>
        </is>
      </c>
      <c r="C3" s="11">
        <f>INDEX([1]Pharma!$F$1:$F$1000,MATCH("ZNTL",[1]Pharma!$B$1:$B$1000,0))</f>
        <v>2.39</v>
      </c>
      <c r="F3" s="1" t="n"/>
    </row>
    <row r="4">
      <c r="B4" t="inlineStr">
        <is>
          <t>Shares</t>
        </is>
      </c>
      <c r="C4" s="21" t="n">
        <v>71.671914</v>
      </c>
      <c r="F4" s="1" t="n"/>
    </row>
    <row r="5">
      <c r="B5" t="inlineStr">
        <is>
          <t>Market Cap.</t>
        </is>
      </c>
      <c r="C5" s="13">
        <f>C3*C4</f>
        <v>171.29587446000002</v>
      </c>
      <c r="F5" s="1" t="n"/>
    </row>
    <row r="6"/>
    <row r="7">
      <c r="B7" t="inlineStr">
        <is>
          <t>Cash</t>
        </is>
      </c>
      <c r="C7" s="21">
        <f>24.783+149.825</f>
        <v>174.608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-3.3121255399999825</v>
      </c>
    </row>
    <row r="10"/>
    <row r="11">
      <c r="B11" s="14" t="inlineStr">
        <is>
          <t>Net Cash / Share</t>
        </is>
      </c>
      <c r="C11" s="11">
        <f>(C7-C8)/C4</f>
        <v>2.4362123216075964</v>
      </c>
    </row>
    <row r="12">
      <c r="B12" s="14" t="inlineStr">
        <is>
          <t>Upside</t>
        </is>
      </c>
      <c r="C12" s="15">
        <f>IFERROR(C11/C3-1,"")</f>
        <v>0.019335699417404317</v>
      </c>
    </row>
    <row r="13">
      <c r="B13" s="14" t="inlineStr">
        <is>
          <t>Cash / Share</t>
        </is>
      </c>
      <c r="C13" s="11">
        <f>IFERROR((C7-C8)/C4,"")</f>
        <v>2.4362123216075964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-128.095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1.3631133143370155</v>
      </c>
    </row>
    <row r="19">
      <c r="B19" s="14" t="inlineStr">
        <is>
          <t>Implied Pipeline Value</t>
        </is>
      </c>
      <c r="C19" s="13">
        <f>C9</f>
        <v>-3.3121255399999825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67.425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67.425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38.386</v>
      </c>
      <c r="C5" s="23" t="n">
        <v>84.901</v>
      </c>
      <c r="D5" s="23" t="n">
        <v>175.601</v>
      </c>
      <c r="E5" s="23" t="n">
        <v>172.734</v>
      </c>
      <c r="F5" s="23" t="n">
        <v>189.59</v>
      </c>
      <c r="G5" s="23" t="n">
        <v>167.768</v>
      </c>
      <c r="H5" s="23" t="n">
        <v>107.295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8.459</v>
      </c>
      <c r="C6" s="23" t="n">
        <v>33.886</v>
      </c>
      <c r="D6" s="23" t="n">
        <v>40.941</v>
      </c>
      <c r="E6" s="23" t="n">
        <v>54.553</v>
      </c>
      <c r="F6" s="23" t="n">
        <v>109.919</v>
      </c>
      <c r="G6" s="23" t="n">
        <v>90.851</v>
      </c>
      <c r="H6" s="23" t="n">
        <v>45.513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46.845</v>
      </c>
      <c r="C7" s="23">
        <f>SUM(C5:C6)</f>
        <v>118.787</v>
      </c>
      <c r="D7" s="23">
        <f>SUM(D5:D6)</f>
        <v>216.542</v>
      </c>
      <c r="E7" s="23">
        <f>SUM(E5:E6)</f>
        <v>227.287</v>
      </c>
      <c r="F7" s="23">
        <f>SUM(F5:F6)</f>
        <v>299.509</v>
      </c>
      <c r="G7" s="23">
        <f>SUM(G5:G6)</f>
        <v>258.619</v>
      </c>
      <c r="H7" s="23">
        <f>SUM(H5:H6)</f>
        <v>152.808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-46.845</v>
      </c>
      <c r="C8" s="23">
        <f>C4-C7</f>
        <v>-118.787</v>
      </c>
      <c r="D8" s="23">
        <f>D4-D7</f>
        <v>-216.542</v>
      </c>
      <c r="E8" s="23">
        <f>E4-E7</f>
        <v>-227.287</v>
      </c>
      <c r="F8" s="23">
        <f>F4-F7</f>
        <v>-299.509</v>
      </c>
      <c r="G8" s="23">
        <f>G4-G7</f>
        <v>-191.19400000000002</v>
      </c>
      <c r="H8" s="23">
        <f>H4-H7</f>
        <v>-152.808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1.197</v>
      </c>
      <c r="C9" s="23" t="n">
        <v>1.39</v>
      </c>
      <c r="D9" s="23" t="n">
        <v>57.52</v>
      </c>
      <c r="E9" s="23" t="n">
        <v>-9.988</v>
      </c>
      <c r="F9" s="23" t="n">
        <v>6.603</v>
      </c>
      <c r="G9" s="23" t="n">
        <v>25.504</v>
      </c>
      <c r="H9" s="23" t="n">
        <v>16.19</v>
      </c>
    </row>
    <row r="10">
      <c r="A10" s="2" t="inlineStr">
        <is>
          <t>Pretax</t>
        </is>
      </c>
      <c r="B10" s="23">
        <f>B8+B9</f>
        <v>-45.647999999999996</v>
      </c>
      <c r="C10" s="23">
        <f>C8+C9</f>
        <v>-117.397</v>
      </c>
      <c r="D10" s="23">
        <f>D8+D9</f>
        <v>-159.022</v>
      </c>
      <c r="E10" s="23">
        <f>E8+E9</f>
        <v>-237.275</v>
      </c>
      <c r="F10" s="23">
        <f>F8+F9</f>
        <v>-292.906</v>
      </c>
      <c r="G10" s="23">
        <f>G8+G9</f>
        <v>-165.69000000000003</v>
      </c>
      <c r="H10" s="23">
        <f>H8+H9</f>
        <v>-136.618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0.015</v>
      </c>
      <c r="C11" s="23" t="n">
        <v>0.444</v>
      </c>
      <c r="D11" s="23" t="n">
        <v>-0.297</v>
      </c>
      <c r="E11" s="23" t="n">
        <v>-0.469</v>
      </c>
      <c r="F11" s="23" t="n">
        <v>-0.601</v>
      </c>
      <c r="G11" s="23" t="n">
        <v>0.177</v>
      </c>
      <c r="H11" s="23" t="n">
        <v>0.442</v>
      </c>
    </row>
    <row r="12">
      <c r="A12" s="2" t="inlineStr">
        <is>
          <t>Net Income</t>
        </is>
      </c>
      <c r="B12" s="23" t="n">
        <v>-45.663</v>
      </c>
      <c r="C12" s="23" t="n">
        <v>-117.841</v>
      </c>
      <c r="D12" s="23" t="n">
        <v>-158.725</v>
      </c>
      <c r="E12" s="23" t="n">
        <v>-236.806</v>
      </c>
      <c r="F12" s="23" t="n">
        <v>-292.305</v>
      </c>
      <c r="G12" s="23" t="n">
        <v>-165.867</v>
      </c>
      <c r="H12" s="23" t="n">
        <v>-137.06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-1.6316955511881364</v>
      </c>
      <c r="C13" s="11">
        <f>IFERROR(C12/C14,0)</f>
        <v>-4.191690676911038</v>
      </c>
      <c r="D13" s="11">
        <f>IFERROR(D12/D14,0)</f>
        <v>-3.7182580584707643</v>
      </c>
      <c r="E13" s="11">
        <f>IFERROR(E12/E14,0)</f>
        <v>-4.4801256219611405</v>
      </c>
      <c r="F13" s="11">
        <f>IFERROR(F12/F14,0)</f>
        <v>-4.46888042929872</v>
      </c>
      <c r="G13" s="11">
        <f>IFERROR(G12/G14,0)</f>
        <v>-2.3335256049521664</v>
      </c>
      <c r="H13" s="11">
        <f>IFERROR(H12/H14,0)</f>
        <v>-1.9070809389305543</v>
      </c>
    </row>
    <row r="14">
      <c r="A14" s="2" t="inlineStr">
        <is>
          <t>Shares</t>
        </is>
      </c>
      <c r="B14" s="23" t="n">
        <v>27.985</v>
      </c>
      <c r="C14" s="23" t="n">
        <v>28.113</v>
      </c>
      <c r="D14" s="23" t="n">
        <v>42.688</v>
      </c>
      <c r="E14" s="23" t="n">
        <v>52.857</v>
      </c>
      <c r="F14" s="23" t="n">
        <v>65.40900000000001</v>
      </c>
      <c r="G14" s="23" t="n">
        <v>71.08</v>
      </c>
      <c r="H14" s="23" t="n">
        <v>71.869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-2.835654430849092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2026-10-21T01:05:45Z</dcterms:modified>
  <cp:lastModifiedBy>Wang, Eric</cp:lastModifiedBy>
</cp:coreProperties>
</file>