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Verastem Inc</t>
        </is>
      </c>
      <c r="C2" s="10" t="n"/>
    </row>
    <row r="3">
      <c r="B3" t="inlineStr">
        <is>
          <t>Price</t>
        </is>
      </c>
      <c r="C3" s="11">
        <f>INDEX([1]Pharma!$F$1:$F$1000,MATCH("VSTM",[1]Pharma!$B$1:$B$1000,0))</f>
        <v>9.34</v>
      </c>
      <c r="F3" s="1" t="n"/>
    </row>
    <row r="4">
      <c r="B4" t="inlineStr">
        <is>
          <t>Shares</t>
        </is>
      </c>
      <c r="C4" s="21" t="n">
        <v>90.563441</v>
      </c>
      <c r="F4" s="1" t="n"/>
    </row>
    <row r="5">
      <c r="B5" t="inlineStr">
        <is>
          <t>Market Cap.</t>
        </is>
      </c>
      <c r="C5" s="13">
        <f>C3*C4</f>
        <v>845.8625389399999</v>
      </c>
      <c r="F5" s="1" t="n"/>
    </row>
    <row r="6"/>
    <row r="7">
      <c r="B7" t="inlineStr">
        <is>
          <t>Cash</t>
        </is>
      </c>
      <c r="C7" s="21" t="n">
        <v>136.353</v>
      </c>
    </row>
    <row r="8">
      <c r="B8" t="inlineStr">
        <is>
          <t>Debt</t>
        </is>
      </c>
      <c r="C8" s="21">
        <f>0.214+73.774</f>
        <v>73.988</v>
      </c>
    </row>
    <row r="9">
      <c r="B9" t="inlineStr">
        <is>
          <t>Enterprise V.</t>
        </is>
      </c>
      <c r="C9" s="13">
        <f>C5-C7+C8</f>
        <v>783.4975389399999</v>
      </c>
    </row>
    <row r="10"/>
    <row r="11">
      <c r="B11" s="14" t="inlineStr">
        <is>
          <t>Net Cash / Share</t>
        </is>
      </c>
      <c r="C11" s="11">
        <f>(C7-C8)/C4</f>
        <v>0.6886332863611047</v>
      </c>
    </row>
    <row r="12">
      <c r="B12" s="14" t="inlineStr">
        <is>
          <t>Upside</t>
        </is>
      </c>
      <c r="C12" s="15">
        <f>IFERROR(C11/C3-1,"")</f>
        <v>-0.9262705260855348</v>
      </c>
    </row>
    <row r="13">
      <c r="B13" s="14" t="inlineStr">
        <is>
          <t>Cash / Share</t>
        </is>
      </c>
      <c r="C13" s="11">
        <f>IFERROR((C7-C8)/C4,"")</f>
        <v>0.6886332863611047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-162.195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0.38450630414007836</v>
      </c>
    </row>
    <row r="19">
      <c r="B19" s="14" t="inlineStr">
        <is>
          <t>Implied Pipeline Value</t>
        </is>
      </c>
      <c r="C19" s="13">
        <f>C9</f>
        <v>783.4975389399999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26.718</v>
      </c>
      <c r="J2" s="23" t="n">
        <v>17.456</v>
      </c>
      <c r="K2" s="23" t="n">
        <v>88.51600000000001</v>
      </c>
      <c r="L2" s="23" t="n">
        <v>2.053</v>
      </c>
      <c r="M2" s="23" t="n">
        <v>2.596</v>
      </c>
      <c r="N2" s="23" t="n">
        <v>0</v>
      </c>
      <c r="O2" s="23" t="n">
        <v>10</v>
      </c>
      <c r="P2" s="23" t="n">
        <v>30.914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0.165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26.553</v>
      </c>
      <c r="J4" s="23">
        <f>J2-J3</f>
        <v>17.456</v>
      </c>
      <c r="K4" s="23">
        <f>K2-K3</f>
        <v>88.516</v>
      </c>
      <c r="L4" s="23">
        <f>L2-L3</f>
        <v>2.053</v>
      </c>
      <c r="M4" s="23">
        <f>M2-M3</f>
        <v>2.596</v>
      </c>
      <c r="N4" s="23">
        <f>N2-N3</f>
        <v>0.0</v>
      </c>
      <c r="O4" s="23">
        <f>O2-O3</f>
        <v>10.0</v>
      </c>
      <c r="P4" s="23">
        <f>P2-P3</f>
        <v>30.914</v>
      </c>
    </row>
    <row r="5">
      <c r="A5" s="2" t="inlineStr">
        <is>
          <t>Research &amp; Dev.</t>
        </is>
      </c>
      <c r="B5" s="23" t="n">
        <v>9.882999999999999</v>
      </c>
      <c r="C5" s="23" t="n">
        <v>21.712</v>
      </c>
      <c r="D5" s="23" t="n">
        <v>25.93</v>
      </c>
      <c r="E5" s="23" t="n">
        <v>35.448</v>
      </c>
      <c r="F5" s="23" t="n">
        <v>40.565</v>
      </c>
      <c r="G5" s="23" t="n">
        <v>19.779</v>
      </c>
      <c r="H5" s="23" t="n">
        <v>46.423</v>
      </c>
      <c r="I5" s="23" t="n">
        <v>43.648</v>
      </c>
      <c r="J5" s="23" t="n">
        <v>45.778</v>
      </c>
      <c r="K5" s="23" t="n">
        <v>41.376</v>
      </c>
      <c r="L5" s="23" t="n">
        <v>39.347</v>
      </c>
      <c r="M5" s="23" t="n">
        <v>50.558</v>
      </c>
      <c r="N5" s="23" t="n">
        <v>61.356</v>
      </c>
      <c r="O5" s="23" t="n">
        <v>81.334</v>
      </c>
      <c r="P5" s="23" t="n">
        <v>114.599</v>
      </c>
    </row>
    <row r="6">
      <c r="A6" s="19" t="inlineStr">
        <is>
          <t>SG&amp;A &amp; Other</t>
        </is>
      </c>
      <c r="B6" s="23" t="n">
        <v>3.815</v>
      </c>
      <c r="C6" s="23" t="n">
        <v>10.518</v>
      </c>
      <c r="D6" s="23" t="n">
        <v>15.472</v>
      </c>
      <c r="E6" s="23" t="n">
        <v>18.159</v>
      </c>
      <c r="F6" s="23" t="n">
        <v>17.634</v>
      </c>
      <c r="G6" s="23" t="n">
        <v>17.223</v>
      </c>
      <c r="H6" s="23" t="n">
        <v>21.381</v>
      </c>
      <c r="I6" s="23" t="n">
        <v>77.688</v>
      </c>
      <c r="J6" s="23" t="n">
        <v>104.019</v>
      </c>
      <c r="K6" s="23" t="n">
        <v>96.5</v>
      </c>
      <c r="L6" s="23" t="n">
        <v>24.115</v>
      </c>
      <c r="M6" s="23" t="n">
        <v>24.975</v>
      </c>
      <c r="N6" s="23" t="n">
        <v>30.728</v>
      </c>
      <c r="O6" s="23" t="n">
        <v>43.622</v>
      </c>
      <c r="P6" s="23" t="n">
        <v>86.444</v>
      </c>
    </row>
    <row r="7">
      <c r="A7" s="2" t="inlineStr">
        <is>
          <t>Operating Expense</t>
        </is>
      </c>
      <c r="B7" s="23">
        <f>SUM(B5:B6)</f>
        <v>13.697999999999999</v>
      </c>
      <c r="C7" s="23">
        <f>SUM(C5:C6)</f>
        <v>32.230000000000004</v>
      </c>
      <c r="D7" s="23">
        <f>SUM(D5:D6)</f>
        <v>41.402</v>
      </c>
      <c r="E7" s="23">
        <f>SUM(E5:E6)</f>
        <v>53.607</v>
      </c>
      <c r="F7" s="23">
        <f>SUM(F5:F6)</f>
        <v>58.199</v>
      </c>
      <c r="G7" s="23">
        <f>SUM(G5:G6)</f>
        <v>37.001999999999995</v>
      </c>
      <c r="H7" s="23">
        <f>SUM(H5:H6)</f>
        <v>67.804</v>
      </c>
      <c r="I7" s="23">
        <f>SUM(I5:I6)</f>
        <v>121.33600000000001</v>
      </c>
      <c r="J7" s="23">
        <f>SUM(J5:J6)</f>
        <v>149.797</v>
      </c>
      <c r="K7" s="23">
        <f>SUM(K5:K6)</f>
        <v>137.876</v>
      </c>
      <c r="L7" s="23">
        <f>SUM(L5:L6)</f>
        <v>63.462</v>
      </c>
      <c r="M7" s="23">
        <f>SUM(M5:M6)</f>
        <v>75.533</v>
      </c>
      <c r="N7" s="23">
        <f>SUM(N5:N6)</f>
        <v>92.084</v>
      </c>
      <c r="O7" s="23">
        <f>SUM(O5:O6)</f>
        <v>124.956</v>
      </c>
      <c r="P7" s="23">
        <f>SUM(P5:P6)</f>
        <v>201.043</v>
      </c>
    </row>
    <row r="8">
      <c r="A8" s="2" t="inlineStr">
        <is>
          <t>Operating Income</t>
        </is>
      </c>
      <c r="B8" s="23">
        <f>B4-B7</f>
        <v>-13.697999999999999</v>
      </c>
      <c r="C8" s="23">
        <f>C4-C7</f>
        <v>-32.230000000000004</v>
      </c>
      <c r="D8" s="23">
        <f>D4-D7</f>
        <v>-41.402</v>
      </c>
      <c r="E8" s="23">
        <f>E4-E7</f>
        <v>-53.607</v>
      </c>
      <c r="F8" s="23">
        <f>F4-F7</f>
        <v>-58.199</v>
      </c>
      <c r="G8" s="23">
        <f>G4-G7</f>
        <v>-37.001999999999995</v>
      </c>
      <c r="H8" s="23">
        <f>H4-H7</f>
        <v>-67.804</v>
      </c>
      <c r="I8" s="23">
        <f>I4-I7</f>
        <v>-94.78300000000002</v>
      </c>
      <c r="J8" s="23">
        <f>J4-J7</f>
        <v>-132.341</v>
      </c>
      <c r="K8" s="23">
        <f>K4-K7</f>
        <v>-49.36</v>
      </c>
      <c r="L8" s="23">
        <f>L4-L7</f>
        <v>-61.409000000000006</v>
      </c>
      <c r="M8" s="23">
        <f>M4-M7</f>
        <v>-72.937</v>
      </c>
      <c r="N8" s="23">
        <f>N4-N7</f>
        <v>-92.084</v>
      </c>
      <c r="O8" s="23">
        <f>O4-O7</f>
        <v>-114.956</v>
      </c>
      <c r="P8" s="23">
        <f>P4-P7</f>
        <v>-170.12900000000002</v>
      </c>
    </row>
    <row r="9">
      <c r="A9" s="19" t="inlineStr">
        <is>
          <t>Interest &amp; Other</t>
        </is>
      </c>
      <c r="B9" s="23" t="n">
        <v>0.015</v>
      </c>
      <c r="C9" s="23" t="n">
        <v>0.246</v>
      </c>
      <c r="D9" s="23" t="n">
        <v>0.2</v>
      </c>
      <c r="E9" s="23" t="n">
        <v>0.242</v>
      </c>
      <c r="F9" s="23" t="n">
        <v>0.334</v>
      </c>
      <c r="G9" s="23" t="n">
        <v>0.5620000000000001</v>
      </c>
      <c r="H9" s="23" t="n">
        <v>0.002</v>
      </c>
      <c r="I9" s="23" t="n">
        <v>22.349</v>
      </c>
      <c r="J9" s="23" t="n">
        <v>-16.868</v>
      </c>
      <c r="K9" s="23" t="n">
        <v>-18.172</v>
      </c>
      <c r="L9" s="23" t="n">
        <v>-9.791</v>
      </c>
      <c r="M9" s="23" t="n">
        <v>-0.875</v>
      </c>
      <c r="N9" s="23" t="n">
        <v>4.717</v>
      </c>
      <c r="O9" s="23" t="n">
        <v>-15.496</v>
      </c>
      <c r="P9" s="23" t="n">
        <v>-39.342</v>
      </c>
    </row>
    <row r="10">
      <c r="A10" s="2" t="inlineStr">
        <is>
          <t>Pretax</t>
        </is>
      </c>
      <c r="B10" s="23">
        <f>B8+B9</f>
        <v>-13.682999999999998</v>
      </c>
      <c r="C10" s="23">
        <f>C8+C9</f>
        <v>-31.984000000000005</v>
      </c>
      <c r="D10" s="23">
        <f>D8+D9</f>
        <v>-41.202</v>
      </c>
      <c r="E10" s="23">
        <f>E8+E9</f>
        <v>-53.365</v>
      </c>
      <c r="F10" s="23">
        <f>F8+F9</f>
        <v>-57.864999999999995</v>
      </c>
      <c r="G10" s="23">
        <f>G8+G9</f>
        <v>-36.44</v>
      </c>
      <c r="H10" s="23">
        <f>H8+H9</f>
        <v>-67.802</v>
      </c>
      <c r="I10" s="23">
        <f>I8+I9</f>
        <v>-72.43400000000001</v>
      </c>
      <c r="J10" s="23">
        <f>J8+J9</f>
        <v>-149.209</v>
      </c>
      <c r="K10" s="23">
        <f>K8+K9</f>
        <v>-67.532</v>
      </c>
      <c r="L10" s="23">
        <f>L8+L9</f>
        <v>-71.2</v>
      </c>
      <c r="M10" s="23">
        <f>M8+M9</f>
        <v>-73.812</v>
      </c>
      <c r="N10" s="23">
        <f>N8+N9</f>
        <v>-87.367</v>
      </c>
      <c r="O10" s="23">
        <f>O8+O9</f>
        <v>-130.452</v>
      </c>
      <c r="P10" s="23">
        <f>P8+P9</f>
        <v>-209.471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0.194</v>
      </c>
      <c r="L11" s="23" t="n">
        <v>0</v>
      </c>
      <c r="M11" s="23" t="n">
        <v>0</v>
      </c>
      <c r="N11" s="23" t="n">
        <v>0</v>
      </c>
      <c r="O11" s="23" t="n">
        <v>0.185</v>
      </c>
      <c r="P11" s="23" t="n">
        <v>0</v>
      </c>
    </row>
    <row r="12">
      <c r="A12" s="2" t="inlineStr">
        <is>
          <t>Net Income</t>
        </is>
      </c>
      <c r="B12" s="23" t="n">
        <v>-13.683</v>
      </c>
      <c r="C12" s="23" t="n">
        <v>-31.984</v>
      </c>
      <c r="D12" s="23" t="n">
        <v>-41.202</v>
      </c>
      <c r="E12" s="23" t="n">
        <v>-53.365</v>
      </c>
      <c r="F12" s="23" t="n">
        <v>-57.865</v>
      </c>
      <c r="G12" s="23" t="n">
        <v>-36.44</v>
      </c>
      <c r="H12" s="23" t="n">
        <v>-67.80200000000001</v>
      </c>
      <c r="I12" s="23" t="n">
        <v>-72.434</v>
      </c>
      <c r="J12" s="23" t="n">
        <v>-149.209</v>
      </c>
      <c r="K12" s="23" t="n">
        <v>-67.726</v>
      </c>
      <c r="L12" s="23" t="n">
        <v>-71.2</v>
      </c>
      <c r="M12" s="23" t="n">
        <v>-73.812</v>
      </c>
      <c r="N12" s="23" t="n">
        <v>-87.367</v>
      </c>
      <c r="O12" s="23" t="n">
        <v>-130.637</v>
      </c>
      <c r="P12" s="23" t="n">
        <v>-209.471</v>
      </c>
    </row>
    <row r="13">
      <c r="A13" s="2" t="inlineStr">
        <is>
          <t>Earnings per Share</t>
        </is>
      </c>
      <c r="B13" s="11">
        <f>IFERROR(B12/B14,0)</f>
        <v>-10.566023166023166</v>
      </c>
      <c r="C13" s="11">
        <f>IFERROR(C12/C14,0)</f>
        <v>-1.7044497735145216</v>
      </c>
      <c r="D13" s="11">
        <f>IFERROR(D12/D14,0)</f>
        <v>-1.8166666666666667</v>
      </c>
      <c r="E13" s="11">
        <f>IFERROR(E12/E14,0)</f>
        <v>-2.0680902185707644</v>
      </c>
      <c r="F13" s="11">
        <f>IFERROR(F12/F14,0)</f>
        <v>-1.6104029834131137</v>
      </c>
      <c r="G13" s="11">
        <f>IFERROR(G12/G14,0)</f>
        <v>-0.9851843841245809</v>
      </c>
      <c r="H13" s="11">
        <f>IFERROR(H12/H14,0)</f>
        <v>-1.7646660767268756</v>
      </c>
      <c r="I13" s="11">
        <f>IFERROR(I12/I14,0)</f>
        <v>-1.0449070267307166</v>
      </c>
      <c r="J13" s="11">
        <f>IFERROR(J12/J14,0)</f>
        <v>-2.000710665343667</v>
      </c>
      <c r="K13" s="11">
        <f>IFERROR(K12/K14,0)</f>
        <v>-0.4417009065414465</v>
      </c>
      <c r="L13" s="11">
        <f>IFERROR(L12/L14,0)</f>
        <v>-4.898520811833506</v>
      </c>
      <c r="M13" s="11">
        <f>IFERROR(M12/M14,0)</f>
        <v>-4.573800966662535</v>
      </c>
      <c r="N13" s="11">
        <f>IFERROR(N12/N14,0)</f>
        <v>-3.9615035821166233</v>
      </c>
      <c r="O13" s="11">
        <f>IFERROR(O12/O14,0)</f>
        <v>-3.657967686836726</v>
      </c>
      <c r="P13" s="11">
        <f>IFERROR(P12/P14,0)</f>
        <v>-3.0222770491566755</v>
      </c>
    </row>
    <row r="14">
      <c r="A14" s="2" t="inlineStr">
        <is>
          <t>Shares</t>
        </is>
      </c>
      <c r="B14" s="23" t="n">
        <v>1.295</v>
      </c>
      <c r="C14" s="23" t="n">
        <v>18.765</v>
      </c>
      <c r="D14" s="23" t="n">
        <v>22.68</v>
      </c>
      <c r="E14" s="23" t="n">
        <v>25.804</v>
      </c>
      <c r="F14" s="23" t="n">
        <v>35.932</v>
      </c>
      <c r="G14" s="23" t="n">
        <v>36.988</v>
      </c>
      <c r="H14" s="23" t="n">
        <v>38.422</v>
      </c>
      <c r="I14" s="23" t="n">
        <v>69.321</v>
      </c>
      <c r="J14" s="23" t="n">
        <v>74.578</v>
      </c>
      <c r="K14" s="23" t="n">
        <v>153.33</v>
      </c>
      <c r="L14" s="23" t="n">
        <v>14.535</v>
      </c>
      <c r="M14" s="23" t="n">
        <v>16.138</v>
      </c>
      <c r="N14" s="23" t="n">
        <v>22.054</v>
      </c>
      <c r="O14" s="23" t="n">
        <v>35.713</v>
      </c>
      <c r="P14" s="23" t="n">
        <v>69.309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-0.34665768395838015</v>
      </c>
      <c r="K16" s="15">
        <f>IFERROR(K2/J2-1,"")</f>
        <v>4.070806599450046</v>
      </c>
      <c r="L16" s="15">
        <f>IFERROR(L2/K2-1,"")</f>
        <v>-0.9768064530706313</v>
      </c>
      <c r="M16" s="15">
        <f>IFERROR(M2/L2-1,"")</f>
        <v>0.2644909887968827</v>
      </c>
      <c r="N16" s="15">
        <f>IFERROR(N2/M2-1,"")</f>
        <v>-1.0</v>
      </c>
      <c r="O16" s="15">
        <f>IFERROR(O2/N2-1,"")</f>
        <v/>
      </c>
      <c r="P16" s="15">
        <f>IFERROR(P2/O2-1,"")</f>
        <v>2.0914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0.993824388052998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/>
      </c>
      <c r="O17" s="15">
        <f>IFERROR(O4/O2,"")</f>
        <v>1.0</v>
      </c>
      <c r="P17" s="15">
        <f>IFERROR(P4/P2,"")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-3.5475334980163193</v>
      </c>
      <c r="J18" s="15">
        <f>IFERROR(J8/J2,"")</f>
        <v>-7.58140467461045</v>
      </c>
      <c r="K18" s="15">
        <f>IFERROR(K8/K2,"")</f>
        <v>-0.5576392968502869</v>
      </c>
      <c r="L18" s="15">
        <f>IFERROR(L8/L2,"")</f>
        <v>-29.911836337067708</v>
      </c>
      <c r="M18" s="15">
        <f>IFERROR(M8/M2,"")</f>
        <v>-28.095916795069336</v>
      </c>
      <c r="N18" s="15">
        <f>IFERROR(N8/N2,"")</f>
        <v/>
      </c>
      <c r="O18" s="15">
        <f>IFERROR(O8/O2,"")</f>
        <v>-11.4956</v>
      </c>
      <c r="P18" s="15">
        <f>IFERROR(P8/P2,"")</f>
        <v>-5.503299475965583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2026-10-21T01:04:57Z</dcterms:modified>
  <cp:lastModifiedBy>Wang, Eric</cp:lastModifiedBy>
</cp:coreProperties>
</file>