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enGene Therapeutics Inc.</t>
        </is>
      </c>
      <c r="C2" s="10" t="n"/>
    </row>
    <row r="3">
      <c r="B3" t="inlineStr">
        <is>
          <t>Price</t>
        </is>
      </c>
      <c r="C3" s="11">
        <f>INDEX([1]Pharma!$F$1:$F$1000,MATCH("ENGN",[1]Pharma!$B$1:$B$1000,0))</f>
        <v>1.67</v>
      </c>
      <c r="F3" s="1" t="n"/>
    </row>
    <row r="4">
      <c r="B4" t="inlineStr">
        <is>
          <t>Shares</t>
        </is>
      </c>
      <c r="C4" s="21" t="n">
        <v>67.016316</v>
      </c>
      <c r="F4" s="1" t="n"/>
    </row>
    <row r="5">
      <c r="B5" t="inlineStr">
        <is>
          <t>Market Cap.</t>
        </is>
      </c>
      <c r="C5" s="13">
        <f>C3*C4</f>
        <v>111.91724772</v>
      </c>
      <c r="F5" s="1" t="n"/>
    </row>
    <row r="6"/>
    <row r="7">
      <c r="B7" t="inlineStr">
        <is>
          <t>Cash</t>
        </is>
      </c>
      <c r="C7" s="21">
        <f>41.025+225.295</f>
        <v>266.32</v>
      </c>
    </row>
    <row r="8">
      <c r="B8" t="inlineStr">
        <is>
          <t>Debt</t>
        </is>
      </c>
      <c r="C8" s="21">
        <f>0.199+25.155</f>
        <v>25.354000000000003</v>
      </c>
    </row>
    <row r="9">
      <c r="B9" t="inlineStr">
        <is>
          <t>Enterprise V.</t>
        </is>
      </c>
      <c r="C9" s="13">
        <f>C5-C7+C8</f>
        <v>-129.04875227999997</v>
      </c>
    </row>
    <row r="10"/>
    <row r="11">
      <c r="B11" s="14" t="inlineStr">
        <is>
          <t>Net Cash / Share</t>
        </is>
      </c>
      <c r="C11" s="11">
        <f>(C7-C8)/C4</f>
        <v>3.595631845832886</v>
      </c>
    </row>
    <row r="12">
      <c r="B12" s="14" t="inlineStr">
        <is>
          <t>Upside</t>
        </is>
      </c>
      <c r="C12" s="15">
        <f>IFERROR(C11/C3-1,"")</f>
        <v>1.1530729615765787</v>
      </c>
    </row>
    <row r="13">
      <c r="B13" s="14" t="inlineStr">
        <is>
          <t>Cash / Share</t>
        </is>
      </c>
      <c r="C13" s="11">
        <f>IFERROR((C7-C8)/C4,"")</f>
        <v>3.595631845832886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-103.309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2.3324782932755133</v>
      </c>
    </row>
    <row r="19">
      <c r="B19" s="14" t="inlineStr">
        <is>
          <t>Implied Pipeline Value</t>
        </is>
      </c>
      <c r="C19" s="13">
        <f>C9</f>
        <v>-129.04875227999997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15.467</v>
      </c>
      <c r="C5" s="23" t="n">
        <v>16.458</v>
      </c>
      <c r="D5" s="23" t="n">
        <v>38.315</v>
      </c>
      <c r="E5" s="23" t="n">
        <v>94.48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3.96</v>
      </c>
      <c r="C6" s="23" t="n">
        <v>9.602</v>
      </c>
      <c r="D6" s="23" t="n">
        <v>23.982</v>
      </c>
      <c r="E6" s="23" t="n">
        <v>28.685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19.427</v>
      </c>
      <c r="C7" s="23">
        <f>SUM(C5:C6)</f>
        <v>26.06</v>
      </c>
      <c r="D7" s="23">
        <f>SUM(D5:D6)</f>
        <v>62.297</v>
      </c>
      <c r="E7" s="23">
        <f>SUM(E5:E6)</f>
        <v>123.165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-19.427</v>
      </c>
      <c r="C8" s="23">
        <f>C4-C7</f>
        <v>-26.06</v>
      </c>
      <c r="D8" s="23">
        <f>D4-D7</f>
        <v>-62.297</v>
      </c>
      <c r="E8" s="23">
        <f>E4-E7</f>
        <v>-123.165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-5.013</v>
      </c>
      <c r="C9" s="23" t="n">
        <v>-73.84</v>
      </c>
      <c r="D9" s="23" t="n">
        <v>7.136</v>
      </c>
      <c r="E9" s="23" t="n">
        <v>5.863</v>
      </c>
    </row>
    <row r="10">
      <c r="A10" s="2" t="inlineStr">
        <is>
          <t>Pretax</t>
        </is>
      </c>
      <c r="B10" s="23">
        <f>B8+B9</f>
        <v>-24.439999999999998</v>
      </c>
      <c r="C10" s="23">
        <f>C8+C9</f>
        <v>-99.9</v>
      </c>
      <c r="D10" s="23">
        <f>D8+D9</f>
        <v>-55.160999999999994</v>
      </c>
      <c r="E10" s="23">
        <f>E8+E9</f>
        <v>-117.302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0.022</v>
      </c>
      <c r="C11" s="23" t="n">
        <v>0.017</v>
      </c>
      <c r="D11" s="23" t="n">
        <v>-0.019</v>
      </c>
      <c r="E11" s="23" t="n">
        <v>0</v>
      </c>
    </row>
    <row r="12">
      <c r="A12" s="2" t="inlineStr">
        <is>
          <t>Net Income</t>
        </is>
      </c>
      <c r="B12" s="23" t="n">
        <v>-24.462</v>
      </c>
      <c r="C12" s="23" t="n">
        <v>-99.917</v>
      </c>
      <c r="D12" s="23" t="n">
        <v>-55.142</v>
      </c>
      <c r="E12" s="23" t="n">
        <v>-117.302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-0.6788776954458413</v>
      </c>
      <c r="C13" s="11">
        <f>IFERROR(C12/C14,0)</f>
        <v>-2.6229753498018007</v>
      </c>
      <c r="D13" s="11">
        <f>IFERROR(D12/D14,0)</f>
        <v>-1.459478058334657</v>
      </c>
      <c r="E13" s="11">
        <f>IFERROR(E12/E14,0)</f>
        <v>-2.2946849508010723</v>
      </c>
    </row>
    <row r="14">
      <c r="A14" s="2" t="inlineStr">
        <is>
          <t>Shares</t>
        </is>
      </c>
      <c r="B14" s="23" t="n">
        <v>36.033</v>
      </c>
      <c r="C14" s="23" t="n">
        <v>38.093</v>
      </c>
      <c r="D14" s="23" t="n">
        <v>37.782</v>
      </c>
      <c r="E14" s="23" t="n">
        <v>51.119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2026-10-21T01:05:53Z</dcterms:modified>
  <cp:lastModifiedBy>Wang, Eric</cp:lastModifiedBy>
</cp:coreProperties>
</file>