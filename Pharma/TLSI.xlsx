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TriSalus Life Sciences Inc</t>
        </is>
      </c>
      <c r="C2" s="10" t="n"/>
    </row>
    <row r="3">
      <c r="B3" t="inlineStr">
        <is>
          <t>Price</t>
        </is>
      </c>
      <c r="C3" s="11">
        <f>INDEX([1]Pharma!$F$1:$F$1000,MATCH("TLSI",[1]Pharma!$B$1:$B$1000,0))</f>
        <v>3.66</v>
      </c>
      <c r="F3" s="1" t="n"/>
    </row>
    <row r="4">
      <c r="B4" t="inlineStr">
        <is>
          <t>Shares</t>
        </is>
      </c>
      <c r="C4" s="21" t="n">
        <v>61.5746</v>
      </c>
      <c r="F4" s="1" t="n"/>
    </row>
    <row r="5">
      <c r="B5" t="inlineStr">
        <is>
          <t>Market Cap.</t>
        </is>
      </c>
      <c r="C5" s="13">
        <f>C3*C4</f>
        <v>225.363036</v>
      </c>
      <c r="F5" s="1" t="n"/>
    </row>
    <row r="6"/>
    <row r="7">
      <c r="B7" t="inlineStr">
        <is>
          <t>Cash</t>
        </is>
      </c>
      <c r="C7" s="21" t="n">
        <v>46.288</v>
      </c>
    </row>
    <row r="8">
      <c r="B8" t="inlineStr">
        <is>
          <t>Debt</t>
        </is>
      </c>
      <c r="C8" s="21" t="n">
        <v>33.065</v>
      </c>
    </row>
    <row r="9">
      <c r="B9" t="inlineStr">
        <is>
          <t>Enterprise V.</t>
        </is>
      </c>
      <c r="C9" s="13">
        <f>C5-C7+C8</f>
        <v>212.140036</v>
      </c>
    </row>
    <row r="10"/>
    <row r="11">
      <c r="B11" s="14" t="inlineStr">
        <is>
          <t>Net Cash / Share</t>
        </is>
      </c>
      <c r="C11" s="11">
        <f>(C7-C8)/C4</f>
        <v>0.21474763944873373</v>
      </c>
    </row>
    <row r="12">
      <c r="B12" s="14" t="inlineStr">
        <is>
          <t>Upside</t>
        </is>
      </c>
      <c r="C12" s="15">
        <f>IFERROR(C11/C3-1,"")</f>
        <v>-0.9413257815713842</v>
      </c>
    </row>
    <row r="13">
      <c r="B13" s="14" t="inlineStr">
        <is>
          <t>Cash / Share</t>
        </is>
      </c>
      <c r="C13" s="11">
        <f>IFERROR((C7-C8)/C4,"")</f>
        <v>0.21474763944873373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-22.802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0.5799052714674151</v>
      </c>
    </row>
    <row r="19">
      <c r="B19" s="14" t="inlineStr">
        <is>
          <t>Implied Pipeline Value</t>
        </is>
      </c>
      <c r="C19" s="13">
        <f>C9</f>
        <v>212.140036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12.398</v>
      </c>
      <c r="D2" s="23" t="n">
        <v>18.511</v>
      </c>
      <c r="E2" s="23" t="n">
        <v>29.431</v>
      </c>
      <c r="F2" s="23" t="n">
        <v>45.151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2.258</v>
      </c>
      <c r="D3" s="23" t="n">
        <v>2.605</v>
      </c>
      <c r="E3" s="23" t="n">
        <v>4.103</v>
      </c>
      <c r="F3" s="23" t="n">
        <v>6.965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10.14</v>
      </c>
      <c r="D4" s="23">
        <f>D2-D3</f>
        <v>15.905999999999999</v>
      </c>
      <c r="E4" s="23">
        <f>E2-E3</f>
        <v>25.328000000000003</v>
      </c>
      <c r="F4" s="23">
        <f>F2-F3</f>
        <v>38.18600000000001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21.358</v>
      </c>
      <c r="D5" s="23" t="n">
        <v>29.835</v>
      </c>
      <c r="E5" s="23" t="n">
        <v>17.688</v>
      </c>
      <c r="F5" s="23" t="n">
        <v>14.965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3.041</v>
      </c>
      <c r="C6" s="23" t="n">
        <v>25.221</v>
      </c>
      <c r="D6" s="23" t="n">
        <v>40.546</v>
      </c>
      <c r="E6" s="23" t="n">
        <v>43.805</v>
      </c>
      <c r="F6" s="23" t="n">
        <v>50.167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3.041</v>
      </c>
      <c r="C7" s="23">
        <f>SUM(C5:C6)</f>
        <v>46.579</v>
      </c>
      <c r="D7" s="23">
        <f>SUM(D5:D6)</f>
        <v>70.381</v>
      </c>
      <c r="E7" s="23">
        <f>SUM(E5:E6)</f>
        <v>61.492999999999995</v>
      </c>
      <c r="F7" s="23">
        <f>SUM(F5:F6)</f>
        <v>65.132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-3.041</v>
      </c>
      <c r="C8" s="23">
        <f>C4-C7</f>
        <v>-36.439</v>
      </c>
      <c r="D8" s="23">
        <f>D4-D7</f>
        <v>-54.475</v>
      </c>
      <c r="E8" s="23">
        <f>E4-E7</f>
        <v>-36.16499999999999</v>
      </c>
      <c r="F8" s="23">
        <f>F4-F7</f>
        <v>-26.945999999999998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7.808</v>
      </c>
      <c r="C9" s="23" t="n">
        <v>-10.739</v>
      </c>
      <c r="D9" s="23" t="n">
        <v>-4.879</v>
      </c>
      <c r="E9" s="23" t="n">
        <v>6.126</v>
      </c>
      <c r="F9" s="23" t="n">
        <v>-12.274</v>
      </c>
    </row>
    <row r="10">
      <c r="A10" s="2" t="inlineStr">
        <is>
          <t>Pretax</t>
        </is>
      </c>
      <c r="B10" s="23">
        <f>B8+B9</f>
        <v>4.7669999999999995</v>
      </c>
      <c r="C10" s="23">
        <f>C8+C9</f>
        <v>-47.178</v>
      </c>
      <c r="D10" s="23">
        <f>D8+D9</f>
        <v>-59.354</v>
      </c>
      <c r="E10" s="23">
        <f>E8+E9</f>
        <v>-30.03899999999999</v>
      </c>
      <c r="F10" s="23">
        <f>F8+F9</f>
        <v>-39.22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0.008999999999999999</v>
      </c>
      <c r="D11" s="23" t="n">
        <v>0.008999999999999999</v>
      </c>
      <c r="E11" s="23" t="n">
        <v>0.006</v>
      </c>
      <c r="F11" s="23" t="n">
        <v>0.007</v>
      </c>
    </row>
    <row r="12">
      <c r="A12" s="2" t="inlineStr">
        <is>
          <t>Net Income</t>
        </is>
      </c>
      <c r="B12" s="23" t="n">
        <v>4.767</v>
      </c>
      <c r="C12" s="23" t="n">
        <v>-47.187</v>
      </c>
      <c r="D12" s="23" t="n">
        <v>-59.363</v>
      </c>
      <c r="E12" s="23" t="n">
        <v>-30.045</v>
      </c>
      <c r="F12" s="23" t="n">
        <v>-39.227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-5.080426356589147</v>
      </c>
      <c r="D13" s="11">
        <f>IFERROR(D12/D14,0)</f>
        <v>-6.317901234567901</v>
      </c>
      <c r="E13" s="11">
        <f>IFERROR(E12/E14,0)</f>
        <v>-1.186049265750829</v>
      </c>
      <c r="F13" s="11">
        <f>IFERROR(F12/F14,0)</f>
        <v>-1.0350678136049394</v>
      </c>
    </row>
    <row r="14">
      <c r="A14" s="2" t="inlineStr">
        <is>
          <t>Shares</t>
        </is>
      </c>
      <c r="B14" s="23" t="n"/>
      <c r="C14" s="23" t="n">
        <v>9.288</v>
      </c>
      <c r="D14" s="23" t="n">
        <v>9.396000000000001</v>
      </c>
      <c r="E14" s="23" t="n">
        <v>25.332</v>
      </c>
      <c r="F14" s="23" t="n">
        <v>37.898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0.49306339732214877</v>
      </c>
      <c r="E16" s="15">
        <f>IFERROR(E2/D2-1,"")</f>
        <v>0.5899195073199721</v>
      </c>
      <c r="F16" s="15">
        <f>IFERROR(F2/E2-1,"")</f>
        <v>0.5341306785362374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0.817873850621068</v>
      </c>
      <c r="D17" s="15">
        <f>IFERROR(D4/D2,"")</f>
        <v>0.8592728647831019</v>
      </c>
      <c r="E17" s="15">
        <f>IFERROR(E4/E2,"")</f>
        <v>0.8605891746797595</v>
      </c>
      <c r="F17" s="15">
        <f>IFERROR(F4/F2,"")</f>
        <v>0.8457398507231292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-2.93910308114212</v>
      </c>
      <c r="D18" s="15">
        <f>IFERROR(D8/D2,"")</f>
        <v>-2.942844794986765</v>
      </c>
      <c r="E18" s="15">
        <f>IFERROR(E8/E2,"")</f>
        <v>-1.2288063606401411</v>
      </c>
      <c r="F18" s="15">
        <f>IFERROR(F8/F2,"")</f>
        <v>-0.5967974131248477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2026-10-21T01:05:34Z</dcterms:modified>
  <cp:lastModifiedBy>Wang, Eric</cp:lastModifiedBy>
</cp:coreProperties>
</file>