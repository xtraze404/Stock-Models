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NPV" sheetId="5" state="visible" r:id="rId5"/>
  </sheets>
  <externalReferences>
    <externalReference r:id="rId6"/>
  </externalReference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#,##0.0"/>
    <numFmt numFmtId="165" formatCode="0.0%"/>
    <numFmt numFmtId="166" formatCode="#,##0.0;(#,##0.0);&quot;-&quot;"/>
    <numFmt numFmtId="167" formatCode="0.0%;(0.0%);&quot;-&quot;"/>
    <numFmt numFmtId="168" formatCode="yyyy-mm-dd"/>
    <numFmt numFmtId="169" formatCode="0.0000"/>
    <numFmt numFmtId="170" formatCode="#,##0;(#,##0);&quot;-&quot;"/>
    <numFmt numFmtId="171" formatCode="$#,##0.00;($#,##0.00);&quot;-&quot;"/>
    <numFmt numFmtId="172" formatCode="[=1]&quot;Bear&quot;;[=2]&quot;Base&quot;;&quot;Bull&quot;"/>
    <numFmt numFmtId="173" formatCode="0.000"/>
    <numFmt numFmtId="174" formatCode="yyyy-mm-dd h:mm:ss"/>
  </numFmts>
  <fonts count="11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color rgb="00008000"/>
      <sz val="12"/>
    </font>
    <font>
      <name val="Aptos Narrow"/>
      <b val="1"/>
      <color rgb="00008000"/>
      <sz val="12"/>
    </font>
    <font>
      <name val="Aptos Narrow"/>
      <i val="1"/>
      <color rgb="00008000"/>
      <sz val="12"/>
    </font>
    <font>
      <name val="Aptos Narrow"/>
      <sz val="12"/>
    </font>
    <font>
      <name val="Aptos Narrow"/>
      <b val="1"/>
      <color rgb="000000FF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7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1" pivotButton="0" quotePrefix="0" xfId="0"/>
    <xf numFmtId="166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7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7" fontId="3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" fontId="2" fillId="0" borderId="0" pivotButton="0" quotePrefix="0" xfId="0"/>
    <xf numFmtId="2" fontId="5" fillId="0" borderId="0" pivotButton="0" quotePrefix="0" xfId="0"/>
    <xf numFmtId="168" fontId="2" fillId="0" borderId="0" pivotButton="0" quotePrefix="0" xfId="0"/>
    <xf numFmtId="169" fontId="2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71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71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" fontId="7" fillId="2" borderId="0" pivotButton="0" quotePrefix="0" xfId="0"/>
    <xf numFmtId="167" fontId="2" fillId="0" borderId="0" pivotButton="0" quotePrefix="0" xfId="0"/>
    <xf numFmtId="166" fontId="3" fillId="0" borderId="0" pivotButton="0" quotePrefix="0" xfId="0"/>
    <xf numFmtId="2" fontId="6" fillId="0" borderId="0" pivotButton="0" quotePrefix="0" xfId="0"/>
    <xf numFmtId="173" fontId="2" fillId="0" borderId="0" pivotButton="0" quotePrefix="0" xfId="0"/>
    <xf numFmtId="166" fontId="3" fillId="0" borderId="6" pivotButton="0" quotePrefix="0" xfId="0"/>
    <xf numFmtId="171" fontId="3" fillId="0" borderId="6" pivotButton="0" quotePrefix="0" xfId="0"/>
    <xf numFmtId="171" fontId="6" fillId="0" borderId="0" pivotButton="0" quotePrefix="0" xfId="0"/>
    <xf numFmtId="164" fontId="2" fillId="0" borderId="0" pivotButton="0" quotePrefix="0" xfId="0"/>
    <xf numFmtId="166" fontId="2" fillId="0" borderId="0" pivotButton="0" quotePrefix="0" xfId="0"/>
    <xf numFmtId="167" fontId="5" fillId="0" borderId="0" pivotButton="0" quotePrefix="0" xfId="0"/>
    <xf numFmtId="167" fontId="3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67" fontId="2" fillId="0" borderId="0" pivotButton="0" quotePrefix="0" xfId="0"/>
    <xf numFmtId="166" fontId="3" fillId="0" borderId="0" pivotButton="0" quotePrefix="0" xfId="0"/>
    <xf numFmtId="173" fontId="2" fillId="0" borderId="0" pivotButton="0" quotePrefix="0" xfId="0"/>
    <xf numFmtId="166" fontId="3" fillId="0" borderId="6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externalLink" Target="/xl/externalLinks/externalLink1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REGENXBIO Inc.</t>
        </is>
      </c>
      <c r="C2" s="10" t="n"/>
    </row>
    <row r="3">
      <c r="B3" t="inlineStr">
        <is>
          <t>Price</t>
        </is>
      </c>
      <c r="C3" s="11">
        <f>INDEX([1]Pharma!$F$1:$F$1000,MATCH("RGNX",[1]Pharma!$B$1:$B$1000,0))</f>
        <v>7.4</v>
      </c>
      <c r="F3" s="1" t="n"/>
    </row>
    <row r="4">
      <c r="B4" t="inlineStr">
        <is>
          <t>Shares</t>
        </is>
      </c>
      <c r="C4" s="51" t="n">
        <v>66.013192</v>
      </c>
      <c r="F4" s="1" t="n"/>
    </row>
    <row r="5">
      <c r="B5" t="inlineStr">
        <is>
          <t>Market Cap.</t>
        </is>
      </c>
      <c r="C5" s="13">
        <f>C3*C4</f>
        <v>488.49762080000005</v>
      </c>
      <c r="F5" s="1" t="n"/>
    </row>
    <row r="6"/>
    <row r="7">
      <c r="B7" t="inlineStr">
        <is>
          <t>Cash</t>
        </is>
      </c>
      <c r="C7" s="51">
        <f>36.487+69.03</f>
        <v>105.517</v>
      </c>
    </row>
    <row r="8">
      <c r="B8" t="inlineStr">
        <is>
          <t>Debt</t>
        </is>
      </c>
      <c r="C8" s="51" t="n">
        <v>0</v>
      </c>
    </row>
    <row r="9">
      <c r="B9" t="inlineStr">
        <is>
          <t>Enterprise V.</t>
        </is>
      </c>
      <c r="C9" s="13">
        <f>C5-C7+C8</f>
        <v>382.98062080000005</v>
      </c>
    </row>
    <row r="10"/>
    <row r="11">
      <c r="B11" s="14" t="inlineStr">
        <is>
          <t>NPV / Share</t>
        </is>
      </c>
      <c r="C11" s="11">
        <f>NPV!B28</f>
        <v>-2.9847722296294714</v>
      </c>
    </row>
    <row r="12">
      <c r="B12" s="14" t="inlineStr">
        <is>
          <t>Upside</t>
        </is>
      </c>
      <c r="C12" s="15">
        <f>IFERROR(C11/C3-1,"")</f>
        <v>-1.4033475985985773</v>
      </c>
    </row>
    <row r="13">
      <c r="B13" s="14" t="inlineStr">
        <is>
          <t>Cash / Share</t>
        </is>
      </c>
      <c r="C13" s="11">
        <f>IFERROR((C7-C8)/C4,"")</f>
        <v>1.5984229334039777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DCF</t>
        </is>
      </c>
    </row>
    <row r="16"/>
    <row r="17"/>
    <row r="18"/>
    <row r="19"/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6" t="n">
        <v>2013</v>
      </c>
      <c r="C1" s="16" t="n">
        <v>2014</v>
      </c>
      <c r="D1" s="16" t="n">
        <v>2015</v>
      </c>
      <c r="E1" s="16" t="n">
        <v>2016</v>
      </c>
      <c r="F1" s="16" t="n">
        <v>2017</v>
      </c>
      <c r="G1" s="16" t="n">
        <v>2018</v>
      </c>
      <c r="H1" s="16" t="n">
        <v>2019</v>
      </c>
      <c r="I1" s="16" t="n">
        <v>2020</v>
      </c>
      <c r="J1" s="16" t="n">
        <v>2021</v>
      </c>
      <c r="K1" s="16" t="n">
        <v>2022</v>
      </c>
      <c r="L1" s="16" t="n">
        <v>2023</v>
      </c>
      <c r="M1" s="16" t="n">
        <v>2024</v>
      </c>
      <c r="N1" s="16" t="n">
        <v>2025</v>
      </c>
      <c r="O1" s="16" t="n">
        <v>2026</v>
      </c>
      <c r="P1" s="16" t="n">
        <v>2027</v>
      </c>
      <c r="Q1" s="16" t="n">
        <v>2028</v>
      </c>
      <c r="R1" s="16" t="n">
        <v>2029</v>
      </c>
      <c r="S1" s="16" t="n">
        <v>2030</v>
      </c>
      <c r="T1" s="16" t="n">
        <v>2031</v>
      </c>
      <c r="U1" s="16" t="n">
        <v>2032</v>
      </c>
      <c r="V1" s="16" t="n">
        <v>2033</v>
      </c>
      <c r="W1" s="16" t="n">
        <v>2034</v>
      </c>
      <c r="X1" s="16" t="n">
        <v>2035</v>
      </c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52" t="n">
        <v>6.087</v>
      </c>
      <c r="C2" s="52" t="n">
        <v>6.12</v>
      </c>
      <c r="D2" s="52" t="n">
        <v>7.588</v>
      </c>
      <c r="E2" s="52" t="n">
        <v>4.589</v>
      </c>
      <c r="F2" s="52" t="n">
        <v>10.393</v>
      </c>
      <c r="G2" s="52" t="n">
        <v>218.505</v>
      </c>
      <c r="H2" s="52" t="n">
        <v>35.233</v>
      </c>
      <c r="I2" s="52" t="n">
        <v>154.567</v>
      </c>
      <c r="J2" s="52" t="n">
        <v>470.347</v>
      </c>
      <c r="K2" s="52" t="n">
        <v>112.724</v>
      </c>
      <c r="L2" s="52" t="n">
        <v>90.242</v>
      </c>
      <c r="M2" s="52" t="n">
        <v>83.328</v>
      </c>
      <c r="N2" s="52" t="n">
        <v>170.441</v>
      </c>
      <c r="O2" s="52">
        <f>N2*(1+NPV!C5)</f>
        <v>176.6791406</v>
      </c>
      <c r="P2" s="52">
        <f>O2*(1+NPV!D5)</f>
        <v>182.91787736474222</v>
      </c>
      <c r="Q2" s="52">
        <f>P2*(1+NPV!E5)</f>
        <v>189.14115003686265</v>
      </c>
      <c r="R2" s="52">
        <f>Q2*(1+NPV!F5)</f>
        <v>195.33237034806928</v>
      </c>
      <c r="S2" s="52">
        <f>R2*(1+NPV!G5)</f>
        <v>201.47448821568076</v>
      </c>
      <c r="T2" s="52">
        <f>S2*(1+NPV!H5)</f>
        <v>207.55006333809584</v>
      </c>
      <c r="U2" s="52">
        <f>T2*(1+NPV!I5)</f>
        <v>213.5413418331222</v>
      </c>
      <c r="V2" s="52">
        <f>U2*(1+NPV!J5)</f>
        <v>219.4303375045645</v>
      </c>
      <c r="W2" s="52">
        <f>V2*(1+NPV!K5)</f>
        <v>225.19891726607338</v>
      </c>
      <c r="X2" s="52">
        <f>W2*(1+NPV!L5)</f>
        <v>230.8288901977252</v>
      </c>
    </row>
    <row r="3" customFormat="1" s="1">
      <c r="A3" s="5" t="inlineStr">
        <is>
          <t>Cost of Sales</t>
        </is>
      </c>
      <c r="B3" s="52" t="n">
        <v>0.173</v>
      </c>
      <c r="C3" s="52" t="n">
        <v>0.122</v>
      </c>
      <c r="D3" s="52" t="n">
        <v>0.098</v>
      </c>
      <c r="E3" s="52" t="n">
        <v>0.098</v>
      </c>
      <c r="F3" s="52" t="n">
        <v>1.709</v>
      </c>
      <c r="G3" s="52" t="n">
        <v>9.640000000000001</v>
      </c>
      <c r="H3" s="52" t="n">
        <v>8.241</v>
      </c>
      <c r="I3" s="52" t="n">
        <v>35.714</v>
      </c>
      <c r="J3" s="52" t="n">
        <v>51.833</v>
      </c>
      <c r="K3" s="52" t="n">
        <v>54.545</v>
      </c>
      <c r="L3" s="52" t="n">
        <v>37.213</v>
      </c>
      <c r="M3" s="52" t="n">
        <v>33.567</v>
      </c>
      <c r="N3" s="52" t="n">
        <v>0</v>
      </c>
      <c r="O3" s="52">
        <f>O2*(1-Assumptions!$B$19)</f>
        <v>71.16635783368001</v>
      </c>
      <c r="P3" s="52">
        <f>P2*(1-Assumptions!$B$19)</f>
        <v>73.67932100251818</v>
      </c>
      <c r="Q3" s="52">
        <f>Q2*(1-Assumptions!$B$19)</f>
        <v>76.18605523484828</v>
      </c>
      <c r="R3" s="52">
        <f>R2*(1-Assumptions!$B$19)</f>
        <v>78.67987877620232</v>
      </c>
      <c r="S3" s="52">
        <f>S2*(1-Assumptions!$B$19)</f>
        <v>81.15392385327623</v>
      </c>
      <c r="T3" s="52">
        <f>T2*(1-Assumptions!$B$19)</f>
        <v>83.60116551258501</v>
      </c>
      <c r="U3" s="52">
        <f>U2*(1-Assumptions!$B$19)</f>
        <v>86.01445249038163</v>
      </c>
      <c r="V3" s="52">
        <f>V2*(1-Assumptions!$B$19)</f>
        <v>88.3865399468386</v>
      </c>
      <c r="W3" s="52">
        <f>W2*(1-Assumptions!$B$19)</f>
        <v>90.71012387477437</v>
      </c>
      <c r="X3" s="52">
        <f>X2*(1-Assumptions!$B$19)</f>
        <v>92.97787697164372</v>
      </c>
    </row>
    <row r="4" customFormat="1" s="1">
      <c r="A4" s="5" t="inlineStr">
        <is>
          <t>Gross Margin</t>
        </is>
      </c>
      <c r="B4" s="52">
        <f>B2-B3</f>
        <v>5.914</v>
      </c>
      <c r="C4" s="52">
        <f>C2-C3</f>
        <v>5.998</v>
      </c>
      <c r="D4" s="52">
        <f>D2-D3</f>
        <v>7.49</v>
      </c>
      <c r="E4" s="52">
        <f>E2-E3</f>
        <v>4.4910000000000005</v>
      </c>
      <c r="F4" s="52">
        <f>F2-F3</f>
        <v>8.684000000000001</v>
      </c>
      <c r="G4" s="52">
        <f>G2-G3</f>
        <v>208.865</v>
      </c>
      <c r="H4" s="52">
        <f>H2-H3</f>
        <v>26.991999999999997</v>
      </c>
      <c r="I4" s="52">
        <f>I2-I3</f>
        <v>118.85300000000001</v>
      </c>
      <c r="J4" s="52">
        <f>J2-J3</f>
        <v>418.514</v>
      </c>
      <c r="K4" s="52">
        <f>K2-K3</f>
        <v>58.179</v>
      </c>
      <c r="L4" s="52">
        <f>L2-L3</f>
        <v>53.029</v>
      </c>
      <c r="M4" s="52">
        <f>M2-M3</f>
        <v>49.761</v>
      </c>
      <c r="N4" s="52">
        <f>N2-N3</f>
        <v>170.441</v>
      </c>
      <c r="O4" s="52">
        <f>O2-O3</f>
        <v>105.51278276632</v>
      </c>
      <c r="P4" s="52">
        <f>P2-P3</f>
        <v>109.23855636222405</v>
      </c>
      <c r="Q4" s="52">
        <f>Q2-Q3</f>
        <v>112.95509480201437</v>
      </c>
      <c r="R4" s="52">
        <f>R2-R3</f>
        <v>116.65249157186696</v>
      </c>
      <c r="S4" s="52">
        <f>S2-S3</f>
        <v>120.32056436240454</v>
      </c>
      <c r="T4" s="52">
        <f>T2-T3</f>
        <v>123.94889782551083</v>
      </c>
      <c r="U4" s="52">
        <f>U2-U3</f>
        <v>127.52688934274057</v>
      </c>
      <c r="V4" s="52">
        <f>V2-V3</f>
        <v>131.0437975577259</v>
      </c>
      <c r="W4" s="52">
        <f>W2-W3</f>
        <v>134.488793391299</v>
      </c>
      <c r="X4" s="52">
        <f>X2-X3</f>
        <v>137.85101322608148</v>
      </c>
    </row>
    <row r="5">
      <c r="A5" s="2" t="inlineStr">
        <is>
          <t>Research &amp; Dev.</t>
        </is>
      </c>
      <c r="B5" s="52" t="n">
        <v>5.051</v>
      </c>
      <c r="C5" s="52" t="n">
        <v>4.961</v>
      </c>
      <c r="D5" s="52" t="n">
        <v>17.279</v>
      </c>
      <c r="E5" s="52" t="n">
        <v>45.482</v>
      </c>
      <c r="F5" s="52" t="n">
        <v>57.224</v>
      </c>
      <c r="G5" s="52" t="n">
        <v>83.873</v>
      </c>
      <c r="H5" s="52" t="n">
        <v>124.185</v>
      </c>
      <c r="I5" s="52" t="n">
        <v>166.294</v>
      </c>
      <c r="J5" s="52" t="n">
        <v>181.437</v>
      </c>
      <c r="K5" s="52" t="n">
        <v>242.453</v>
      </c>
      <c r="L5" s="52" t="n">
        <v>232.266</v>
      </c>
      <c r="M5" s="52" t="n">
        <v>208.522</v>
      </c>
      <c r="N5" s="52" t="n">
        <v>228.299</v>
      </c>
      <c r="O5" s="52">
        <f>O7*Assumptions!$B$20</f>
        <v>173.18558056036184</v>
      </c>
      <c r="P5" s="52">
        <f>P7*Assumptions!$B$20</f>
        <v>164.93592617234953</v>
      </c>
      <c r="Q5" s="52">
        <f>Q7*Assumptions!$B$20</f>
        <v>155.6936530074655</v>
      </c>
      <c r="R5" s="52">
        <f>R7*Assumptions!$B$20</f>
        <v>145.45005227771574</v>
      </c>
      <c r="S5" s="52">
        <f>S7*Assumptions!$B$20</f>
        <v>134.20131846659396</v>
      </c>
      <c r="T5" s="52">
        <f>T7*Assumptions!$B$20</f>
        <v>121.94877273353224</v>
      </c>
      <c r="U5" s="52">
        <f>U7*Assumptions!$B$20</f>
        <v>108.69905514981974</v>
      </c>
      <c r="V5" s="52">
        <f>V7*Assumptions!$B$20</f>
        <v>94.46428281530058</v>
      </c>
      <c r="W5" s="52">
        <f>W7*Assumptions!$B$20</f>
        <v>79.2621711457889</v>
      </c>
      <c r="X5" s="52">
        <f>X7*Assumptions!$B$20</f>
        <v>63.11611590241168</v>
      </c>
    </row>
    <row r="6">
      <c r="A6" s="18" t="inlineStr">
        <is>
          <t>SG&amp;A &amp; Other</t>
        </is>
      </c>
      <c r="B6" s="52" t="n">
        <v>5.639</v>
      </c>
      <c r="C6" s="52" t="n">
        <v>4.719</v>
      </c>
      <c r="D6" s="52" t="n">
        <v>13.348</v>
      </c>
      <c r="E6" s="52" t="n">
        <v>24.349</v>
      </c>
      <c r="F6" s="52" t="n">
        <v>27.345</v>
      </c>
      <c r="G6" s="52" t="n">
        <v>36.892</v>
      </c>
      <c r="H6" s="52" t="n">
        <v>51.805</v>
      </c>
      <c r="I6" s="52" t="n">
        <v>71.792</v>
      </c>
      <c r="J6" s="52" t="n">
        <v>77.09699999999999</v>
      </c>
      <c r="K6" s="52" t="n">
        <v>78.602</v>
      </c>
      <c r="L6" s="52" t="n">
        <v>88.89100000000001</v>
      </c>
      <c r="M6" s="52" t="n">
        <v>74.58499999999999</v>
      </c>
      <c r="N6" s="52" t="n">
        <v>103.34</v>
      </c>
      <c r="O6" s="52">
        <f>O7-O5</f>
        <v>78.39138132279018</v>
      </c>
      <c r="P6" s="52">
        <f>P7-P5</f>
        <v>74.65722631508442</v>
      </c>
      <c r="Q6" s="52">
        <f>Q7-Q5</f>
        <v>70.47376856061337</v>
      </c>
      <c r="R6" s="52">
        <f>R7-R5</f>
        <v>65.83706608038383</v>
      </c>
      <c r="S6" s="52">
        <f>S7-S5</f>
        <v>60.74539633089873</v>
      </c>
      <c r="T6" s="52">
        <f>T7-T5</f>
        <v>55.1993573267993</v>
      </c>
      <c r="U6" s="52">
        <f>U7-U5</f>
        <v>49.20195465526413</v>
      </c>
      <c r="V6" s="52">
        <f>V7-V5</f>
        <v>42.75867304655384</v>
      </c>
      <c r="W6" s="52">
        <f>W7-W5</f>
        <v>35.877531274009044</v>
      </c>
      <c r="X6" s="52">
        <f>X7-X5</f>
        <v>28.569119284124753</v>
      </c>
    </row>
    <row r="7">
      <c r="A7" s="2" t="inlineStr">
        <is>
          <t>Operating Expense</t>
        </is>
      </c>
      <c r="B7" s="52">
        <f>SUM(B5:B6)</f>
        <v>10.690000000000001</v>
      </c>
      <c r="C7" s="52">
        <f>SUM(C5:C6)</f>
        <v>9.68</v>
      </c>
      <c r="D7" s="52">
        <f>SUM(D5:D6)</f>
        <v>30.627000000000002</v>
      </c>
      <c r="E7" s="52">
        <f>SUM(E5:E6)</f>
        <v>69.831</v>
      </c>
      <c r="F7" s="52">
        <f>SUM(F5:F6)</f>
        <v>84.56899999999999</v>
      </c>
      <c r="G7" s="52">
        <f>SUM(G5:G6)</f>
        <v>120.76500000000001</v>
      </c>
      <c r="H7" s="52">
        <f>SUM(H5:H6)</f>
        <v>175.99</v>
      </c>
      <c r="I7" s="52">
        <f>SUM(I5:I6)</f>
        <v>238.086</v>
      </c>
      <c r="J7" s="52">
        <f>SUM(J5:J6)</f>
        <v>258.534</v>
      </c>
      <c r="K7" s="52">
        <f>SUM(K5:K6)</f>
        <v>321.055</v>
      </c>
      <c r="L7" s="52">
        <f>SUM(L5:L6)</f>
        <v>321.157</v>
      </c>
      <c r="M7" s="52">
        <f>SUM(M5:M6)</f>
        <v>283.10699999999997</v>
      </c>
      <c r="N7" s="52">
        <f>SUM(N5:N6)</f>
        <v>331.639</v>
      </c>
      <c r="O7" s="52">
        <f>O4-O2*NPV!C6</f>
        <v>251.57696188315202</v>
      </c>
      <c r="P7" s="52">
        <f>P4-P2*NPV!D6</f>
        <v>239.59315248743394</v>
      </c>
      <c r="Q7" s="52">
        <f>Q4-Q2*NPV!E6</f>
        <v>226.16742156807888</v>
      </c>
      <c r="R7" s="52">
        <f>R4-R2*NPV!F6</f>
        <v>211.28711835809958</v>
      </c>
      <c r="S7" s="52">
        <f>S4-S2*NPV!G6</f>
        <v>194.9467147974927</v>
      </c>
      <c r="T7" s="52">
        <f>T4-T2*NPV!H6</f>
        <v>177.14813006033154</v>
      </c>
      <c r="U7" s="52">
        <f>U4-U2*NPV!I6</f>
        <v>157.90100980508387</v>
      </c>
      <c r="V7" s="52">
        <f>V4-V2*NPV!J6</f>
        <v>137.22295586185442</v>
      </c>
      <c r="W7" s="52">
        <f>W4-W2*NPV!K6</f>
        <v>115.13970241979794</v>
      </c>
      <c r="X7" s="52">
        <f>X4-X2*NPV!L6</f>
        <v>91.68523518653643</v>
      </c>
    </row>
    <row r="8">
      <c r="A8" s="2" t="inlineStr">
        <is>
          <t>Operating Income</t>
        </is>
      </c>
      <c r="B8" s="52">
        <f>B4-B7</f>
        <v>-4.776000000000002</v>
      </c>
      <c r="C8" s="52">
        <f>C4-C7</f>
        <v>-3.6819999999999995</v>
      </c>
      <c r="D8" s="52">
        <f>D4-D7</f>
        <v>-23.137</v>
      </c>
      <c r="E8" s="52">
        <f>E4-E7</f>
        <v>-65.34</v>
      </c>
      <c r="F8" s="52">
        <f>F4-F7</f>
        <v>-75.88499999999999</v>
      </c>
      <c r="G8" s="52">
        <f>G4-G7</f>
        <v>88.1</v>
      </c>
      <c r="H8" s="52">
        <f>H4-H7</f>
        <v>-148.99800000000002</v>
      </c>
      <c r="I8" s="52">
        <f>I4-I7</f>
        <v>-119.233</v>
      </c>
      <c r="J8" s="52">
        <f>J4-J7</f>
        <v>159.98000000000002</v>
      </c>
      <c r="K8" s="52">
        <f>K4-K7</f>
        <v>-262.876</v>
      </c>
      <c r="L8" s="52">
        <f>L4-L7</f>
        <v>-268.128</v>
      </c>
      <c r="M8" s="52">
        <f>M4-M7</f>
        <v>-233.34599999999998</v>
      </c>
      <c r="N8" s="52">
        <f>N4-N7</f>
        <v>-161.198</v>
      </c>
      <c r="O8" s="52">
        <f>O4-O7</f>
        <v>-146.064179116832</v>
      </c>
      <c r="P8" s="52">
        <f>P4-P7</f>
        <v>-130.3545961252099</v>
      </c>
      <c r="Q8" s="52">
        <f>Q4-Q7</f>
        <v>-113.2123267660645</v>
      </c>
      <c r="R8" s="52">
        <f>R4-R7</f>
        <v>-94.63462678623262</v>
      </c>
      <c r="S8" s="52">
        <f>S4-S7</f>
        <v>-74.62615043508815</v>
      </c>
      <c r="T8" s="52">
        <f>T4-T7</f>
        <v>-53.19923223482071</v>
      </c>
      <c r="U8" s="52">
        <f>U4-U7</f>
        <v>-30.3741204623433</v>
      </c>
      <c r="V8" s="52">
        <f>V4-V7</f>
        <v>-6.179158304128521</v>
      </c>
      <c r="W8" s="52">
        <f>W4-W7</f>
        <v>19.349090971501056</v>
      </c>
      <c r="X8" s="52">
        <f>X4-X7</f>
        <v>46.165778039545046</v>
      </c>
    </row>
    <row r="9">
      <c r="A9" s="18" t="inlineStr">
        <is>
          <t>Interest &amp; Other</t>
        </is>
      </c>
      <c r="B9" s="52" t="n">
        <v>-0.611</v>
      </c>
      <c r="C9" s="52" t="n">
        <v>-0.321</v>
      </c>
      <c r="D9" s="52" t="n">
        <v>0.326</v>
      </c>
      <c r="E9" s="52" t="n">
        <v>1.938</v>
      </c>
      <c r="F9" s="52" t="n">
        <v>2.716</v>
      </c>
      <c r="G9" s="52" t="n">
        <v>16.016</v>
      </c>
      <c r="H9" s="52" t="n">
        <v>51.51</v>
      </c>
      <c r="I9" s="52" t="n">
        <v>13.223</v>
      </c>
      <c r="J9" s="52" t="n">
        <v>-18.733</v>
      </c>
      <c r="K9" s="52" t="n">
        <v>-17.529</v>
      </c>
      <c r="L9" s="52" t="n">
        <v>4.482</v>
      </c>
      <c r="M9" s="52" t="n">
        <v>6.244</v>
      </c>
      <c r="N9" s="52" t="n">
        <v>-32.68</v>
      </c>
      <c r="O9" s="52" t="n">
        <v>0</v>
      </c>
      <c r="P9" s="52" t="n">
        <v>0</v>
      </c>
      <c r="Q9" s="52" t="n">
        <v>0</v>
      </c>
      <c r="R9" s="52" t="n">
        <v>0</v>
      </c>
      <c r="S9" s="52" t="n">
        <v>0</v>
      </c>
      <c r="T9" s="52" t="n">
        <v>0</v>
      </c>
      <c r="U9" s="52" t="n">
        <v>0</v>
      </c>
      <c r="V9" s="52" t="n">
        <v>0</v>
      </c>
      <c r="W9" s="52" t="n">
        <v>0</v>
      </c>
      <c r="X9" s="52" t="n">
        <v>0</v>
      </c>
    </row>
    <row r="10">
      <c r="A10" s="2" t="inlineStr">
        <is>
          <t>Pretax</t>
        </is>
      </c>
      <c r="B10" s="52">
        <f>B8+B9</f>
        <v>-5.387000000000001</v>
      </c>
      <c r="C10" s="52">
        <f>C8+C9</f>
        <v>-4.002999999999999</v>
      </c>
      <c r="D10" s="52">
        <f>D8+D9</f>
        <v>-22.811</v>
      </c>
      <c r="E10" s="52">
        <f>E8+E9</f>
        <v>-63.402</v>
      </c>
      <c r="F10" s="52">
        <f>F8+F9</f>
        <v>-73.169</v>
      </c>
      <c r="G10" s="52">
        <f>G8+G9</f>
        <v>104.11599999999999</v>
      </c>
      <c r="H10" s="52">
        <f>H8+H9</f>
        <v>-97.48800000000003</v>
      </c>
      <c r="I10" s="52">
        <f>I8+I9</f>
        <v>-106.01</v>
      </c>
      <c r="J10" s="52">
        <f>J8+J9</f>
        <v>141.247</v>
      </c>
      <c r="K10" s="52">
        <f>K8+K9</f>
        <v>-280.405</v>
      </c>
      <c r="L10" s="52">
        <f>L8+L9</f>
        <v>-263.64599999999996</v>
      </c>
      <c r="M10" s="52">
        <f>M8+M9</f>
        <v>-227.10199999999998</v>
      </c>
      <c r="N10" s="52">
        <f>N8+N9</f>
        <v>-193.87800000000001</v>
      </c>
      <c r="O10" s="52">
        <f>O8+O9</f>
        <v>-146.064179116832</v>
      </c>
      <c r="P10" s="52">
        <f>P8+P9</f>
        <v>-130.3545961252099</v>
      </c>
      <c r="Q10" s="52">
        <f>Q8+Q9</f>
        <v>-113.2123267660645</v>
      </c>
      <c r="R10" s="52">
        <f>R8+R9</f>
        <v>-94.63462678623262</v>
      </c>
      <c r="S10" s="52">
        <f>S8+S9</f>
        <v>-74.62615043508815</v>
      </c>
      <c r="T10" s="52">
        <f>T8+T9</f>
        <v>-53.19923223482071</v>
      </c>
      <c r="U10" s="52">
        <f>U8+U9</f>
        <v>-30.3741204623433</v>
      </c>
      <c r="V10" s="52">
        <f>V8+V9</f>
        <v>-6.179158304128521</v>
      </c>
      <c r="W10" s="52">
        <f>W8+W9</f>
        <v>19.349090971501056</v>
      </c>
      <c r="X10" s="52">
        <f>X8+X9</f>
        <v>46.165778039545046</v>
      </c>
    </row>
    <row r="11">
      <c r="A11" s="2" t="inlineStr">
        <is>
          <t>Taxes</t>
        </is>
      </c>
      <c r="B11" s="52" t="n">
        <v>0</v>
      </c>
      <c r="C11" s="52" t="n">
        <v>0</v>
      </c>
      <c r="D11" s="52" t="n">
        <v>0</v>
      </c>
      <c r="E11" s="52" t="n">
        <v>-0.435</v>
      </c>
      <c r="F11" s="52" t="n">
        <v>0</v>
      </c>
      <c r="G11" s="52" t="n">
        <v>4.179</v>
      </c>
      <c r="H11" s="52" t="n">
        <v>-2.755</v>
      </c>
      <c r="I11" s="52" t="n">
        <v>5.24</v>
      </c>
      <c r="J11" s="52" t="n">
        <v>13.407</v>
      </c>
      <c r="K11" s="52" t="n">
        <v>-0.08400000000000001</v>
      </c>
      <c r="L11" s="52" t="n">
        <v>-0.152</v>
      </c>
      <c r="M11" s="52" t="n">
        <v>0</v>
      </c>
      <c r="N11" s="52" t="n">
        <v>0</v>
      </c>
      <c r="O11" s="52">
        <f>MAX(0,O10)*Assumptions!$E$14</f>
        <v>0.0</v>
      </c>
      <c r="P11" s="52">
        <f>MAX(0,P10)*Assumptions!$E$14</f>
        <v>0.0</v>
      </c>
      <c r="Q11" s="52">
        <f>MAX(0,Q10)*Assumptions!$E$14</f>
        <v>0.0</v>
      </c>
      <c r="R11" s="52">
        <f>MAX(0,R10)*Assumptions!$E$14</f>
        <v>0.0</v>
      </c>
      <c r="S11" s="52">
        <f>MAX(0,S10)*Assumptions!$E$14</f>
        <v>0.0</v>
      </c>
      <c r="T11" s="52">
        <f>MAX(0,T10)*Assumptions!$E$14</f>
        <v>0.0</v>
      </c>
      <c r="U11" s="52">
        <f>MAX(0,U10)*Assumptions!$E$14</f>
        <v>0.0</v>
      </c>
      <c r="V11" s="52">
        <f>MAX(0,V10)*Assumptions!$E$14</f>
        <v>0.0</v>
      </c>
      <c r="W11" s="52">
        <f>MAX(0,W10)*Assumptions!$E$14</f>
        <v>3.2893454651551797</v>
      </c>
      <c r="X11" s="52">
        <f>MAX(0,X10)*Assumptions!$E$14</f>
        <v>7.848182266722659</v>
      </c>
    </row>
    <row r="12">
      <c r="A12" s="2" t="inlineStr">
        <is>
          <t>Net Income</t>
        </is>
      </c>
      <c r="B12" s="52" t="n">
        <v>-5.387</v>
      </c>
      <c r="C12" s="52" t="n">
        <v>-4.003</v>
      </c>
      <c r="D12" s="52" t="n">
        <v>-22.811</v>
      </c>
      <c r="E12" s="52" t="n">
        <v>-62.967</v>
      </c>
      <c r="F12" s="52" t="n">
        <v>-73.169</v>
      </c>
      <c r="G12" s="52" t="n">
        <v>99.937</v>
      </c>
      <c r="H12" s="52" t="n">
        <v>-94.733</v>
      </c>
      <c r="I12" s="52" t="n">
        <v>-111.25</v>
      </c>
      <c r="J12" s="52" t="n">
        <v>127.84</v>
      </c>
      <c r="K12" s="52" t="n">
        <v>-280.321</v>
      </c>
      <c r="L12" s="52" t="n">
        <v>-263.494</v>
      </c>
      <c r="M12" s="52" t="n">
        <v>-227.102</v>
      </c>
      <c r="N12" s="52" t="n">
        <v>-193.878</v>
      </c>
      <c r="O12" s="52">
        <f>O10-O11</f>
        <v>-146.064179116832</v>
      </c>
      <c r="P12" s="52">
        <f>P10-P11</f>
        <v>-130.3545961252099</v>
      </c>
      <c r="Q12" s="52">
        <f>Q10-Q11</f>
        <v>-113.2123267660645</v>
      </c>
      <c r="R12" s="52">
        <f>R10-R11</f>
        <v>-94.63462678623262</v>
      </c>
      <c r="S12" s="52">
        <f>S10-S11</f>
        <v>-74.62615043508815</v>
      </c>
      <c r="T12" s="52">
        <f>T10-T11</f>
        <v>-53.19923223482071</v>
      </c>
      <c r="U12" s="52">
        <f>U10-U11</f>
        <v>-30.3741204623433</v>
      </c>
      <c r="V12" s="52">
        <f>V10-V11</f>
        <v>-6.179158304128521</v>
      </c>
      <c r="W12" s="52">
        <f>W10-W11</f>
        <v>16.059745506345877</v>
      </c>
      <c r="X12" s="52">
        <f>X10-X11</f>
        <v>38.317595772822386</v>
      </c>
    </row>
    <row r="13">
      <c r="A13" s="2" t="inlineStr">
        <is>
          <t>Earnings per Share</t>
        </is>
      </c>
      <c r="B13" s="11">
        <f>IFERROR(B12/B14,0)</f>
        <v>-2.3219827586206896</v>
      </c>
      <c r="C13" s="11">
        <f>IFERROR(C12/C14,0)</f>
        <v>-1.5145667801740448</v>
      </c>
      <c r="D13" s="11">
        <f>IFERROR(D12/D14,0)</f>
        <v>-2.486754605908645</v>
      </c>
      <c r="E13" s="11">
        <f>IFERROR(E12/E14,0)</f>
        <v>-2.384300806543224</v>
      </c>
      <c r="F13" s="11">
        <f>IFERROR(F12/F14,0)</f>
        <v>-2.448925630898989</v>
      </c>
      <c r="G13" s="11">
        <f>IFERROR(G12/G14,0)</f>
        <v>2.7269428072473256</v>
      </c>
      <c r="H13" s="11">
        <f>IFERROR(H12/H14,0)</f>
        <v>-2.581984191877896</v>
      </c>
      <c r="I13" s="11">
        <f>IFERROR(I12/I14,0)</f>
        <v>-2.9840937743086293</v>
      </c>
      <c r="J13" s="11">
        <f>IFERROR(J12/J14,0)</f>
        <v>2.911210803179013</v>
      </c>
      <c r="K13" s="11">
        <f>IFERROR(K12/K14,0)</f>
        <v>-6.496129959213942</v>
      </c>
      <c r="L13" s="11">
        <f>IFERROR(L12/L14,0)</f>
        <v>-6.024923400557919</v>
      </c>
      <c r="M13" s="11">
        <f>IFERROR(M12/M14,0)</f>
        <v>-4.587085176432568</v>
      </c>
      <c r="N13" s="11">
        <f>IFERROR(N12/N14,0)</f>
        <v>-3.759292653132453</v>
      </c>
      <c r="O13" s="11">
        <f>IFERROR(O12/O14,0)</f>
        <v>-2.212651360910286</v>
      </c>
      <c r="P13" s="11">
        <f>IFERROR(P12/P14,0)</f>
        <v>-1.9746749426267691</v>
      </c>
      <c r="Q13" s="11">
        <f>IFERROR(Q12/Q14,0)</f>
        <v>-1.7149954931139295</v>
      </c>
      <c r="R13" s="11">
        <f>IFERROR(R12/R14,0)</f>
        <v>-1.4335714410876028</v>
      </c>
      <c r="S13" s="11">
        <f>IFERROR(S12/S14,0)</f>
        <v>-1.1304732913852755</v>
      </c>
      <c r="T13" s="11">
        <f>IFERROR(T12/T14,0)</f>
        <v>-0.8058878933595683</v>
      </c>
      <c r="U13" s="11">
        <f>IFERROR(U12/U14,0)</f>
        <v>-0.4601219777759466</v>
      </c>
      <c r="V13" s="11">
        <f>IFERROR(V12/V14,0)</f>
        <v>-0.09360490103445566</v>
      </c>
      <c r="W13" s="11">
        <f>IFERROR(W12/W14,0)</f>
        <v>0.2432808506873274</v>
      </c>
      <c r="X13" s="11">
        <f>IFERROR(X12/X14,0)</f>
        <v>0.5804536125570535</v>
      </c>
    </row>
    <row r="14">
      <c r="A14" s="2" t="inlineStr">
        <is>
          <t>Shares</t>
        </is>
      </c>
      <c r="B14" s="52" t="n">
        <v>2.32</v>
      </c>
      <c r="C14" s="52" t="n">
        <v>2.643</v>
      </c>
      <c r="D14" s="52" t="n">
        <v>9.173</v>
      </c>
      <c r="E14" s="52" t="n">
        <v>26.409</v>
      </c>
      <c r="F14" s="52" t="n">
        <v>29.878</v>
      </c>
      <c r="G14" s="52" t="n">
        <v>36.648</v>
      </c>
      <c r="H14" s="52" t="n">
        <v>36.69</v>
      </c>
      <c r="I14" s="52" t="n">
        <v>37.281</v>
      </c>
      <c r="J14" s="52" t="n">
        <v>43.913</v>
      </c>
      <c r="K14" s="52" t="n">
        <v>43.152</v>
      </c>
      <c r="L14" s="52" t="n">
        <v>43.734</v>
      </c>
      <c r="M14" s="52" t="n">
        <v>49.509</v>
      </c>
      <c r="N14" s="52" t="n">
        <v>51.573</v>
      </c>
      <c r="O14" s="52">
        <f>Main!$C$4</f>
        <v>66.013192</v>
      </c>
      <c r="P14" s="52">
        <f>Main!$C$4</f>
        <v>66.013192</v>
      </c>
      <c r="Q14" s="52">
        <f>Main!$C$4</f>
        <v>66.013192</v>
      </c>
      <c r="R14" s="52">
        <f>Main!$C$4</f>
        <v>66.013192</v>
      </c>
      <c r="S14" s="52">
        <f>Main!$C$4</f>
        <v>66.013192</v>
      </c>
      <c r="T14" s="52">
        <f>Main!$C$4</f>
        <v>66.013192</v>
      </c>
      <c r="U14" s="52">
        <f>Main!$C$4</f>
        <v>66.013192</v>
      </c>
      <c r="V14" s="52">
        <f>Main!$C$4</f>
        <v>66.013192</v>
      </c>
      <c r="W14" s="52">
        <f>Main!$C$4</f>
        <v>66.013192</v>
      </c>
      <c r="X14" s="52">
        <f>Main!$C$4</f>
        <v>66.013192</v>
      </c>
    </row>
    <row r="15"/>
    <row r="16" customFormat="1" s="4">
      <c r="A16" s="3" t="inlineStr">
        <is>
          <t>Revenue Change</t>
        </is>
      </c>
      <c r="C16" s="15">
        <f>IFERROR(C2/B2-1,"")</f>
        <v>0.005421389847215519</v>
      </c>
      <c r="D16" s="15">
        <f>IFERROR(D2/C2-1,"")</f>
        <v>0.23986928104575167</v>
      </c>
      <c r="E16" s="15">
        <f>IFERROR(E2/D2-1,"")</f>
        <v>-0.39522930943595147</v>
      </c>
      <c r="F16" s="15">
        <f>IFERROR(F2/E2-1,"")</f>
        <v>1.264763565046851</v>
      </c>
      <c r="G16" s="15">
        <f>IFERROR(G2/F2-1,"")</f>
        <v>20.024247089387085</v>
      </c>
      <c r="H16" s="15">
        <f>IFERROR(H2/G2-1,"")</f>
        <v>-0.8387542619162033</v>
      </c>
      <c r="I16" s="15">
        <f>IFERROR(I2/H2-1,"")</f>
        <v>3.386995146595522</v>
      </c>
      <c r="J16" s="15">
        <f>IFERROR(J2/I2-1,"")</f>
        <v>2.0429975350495253</v>
      </c>
      <c r="K16" s="15">
        <f>IFERROR(K2/J2-1,"")</f>
        <v>-0.760338643597174</v>
      </c>
      <c r="L16" s="15">
        <f>IFERROR(L2/K2-1,"")</f>
        <v>-0.19944288705155955</v>
      </c>
      <c r="M16" s="15">
        <f>IFERROR(M2/L2-1,"")</f>
        <v>-0.07661620974712446</v>
      </c>
      <c r="N16" s="15">
        <f>IFERROR(N2/M2-1,"")</f>
        <v>1.0454229070660523</v>
      </c>
      <c r="O16" s="15">
        <f>IFERROR(O2/N2-1,"")</f>
        <v>0.036599999999999966</v>
      </c>
      <c r="P16" s="15">
        <f>IFERROR(P2/O2-1,"")</f>
        <v>0.03531111111111107</v>
      </c>
      <c r="Q16" s="15">
        <f>IFERROR(Q2/P2-1,"")</f>
        <v>0.034022222222222176</v>
      </c>
      <c r="R16" s="15">
        <f>IFERROR(R2/Q2-1,"")</f>
        <v>0.03273333333333328</v>
      </c>
      <c r="S16" s="15">
        <f>IFERROR(S2/R2-1,"")</f>
        <v>0.031444444444444386</v>
      </c>
      <c r="T16" s="15">
        <f>IFERROR(T2/S2-1,"")</f>
        <v>0.03015555555555549</v>
      </c>
      <c r="U16" s="15">
        <f>IFERROR(U2/T2-1,"")</f>
        <v>0.028866666666666596</v>
      </c>
      <c r="V16" s="15">
        <f>IFERROR(V2/U2-1,"")</f>
        <v>0.0275777777777777</v>
      </c>
      <c r="W16" s="15">
        <f>IFERROR(W2/V2-1,"")</f>
        <v>0.026288888888888806</v>
      </c>
      <c r="X16" s="15">
        <f>IFERROR(X2/W2-1,"")</f>
        <v>0.02499999999999991</v>
      </c>
    </row>
    <row r="17" customFormat="1" s="4">
      <c r="A17" s="3" t="inlineStr">
        <is>
          <t>Gross Margin</t>
        </is>
      </c>
      <c r="B17" s="15">
        <f>IFERROR(B4/B2,"")</f>
        <v>0.9715787744373254</v>
      </c>
      <c r="C17" s="15">
        <f>IFERROR(C4/C2,"")</f>
        <v>0.9800653594771243</v>
      </c>
      <c r="D17" s="15">
        <f>IFERROR(D4/D2,"")</f>
        <v>0.9870848708487086</v>
      </c>
      <c r="E17" s="15">
        <f>IFERROR(E4/E2,"")</f>
        <v>0.9786445848768796</v>
      </c>
      <c r="F17" s="15">
        <f>IFERROR(F4/F2,"")</f>
        <v>0.8355623977677283</v>
      </c>
      <c r="G17" s="15">
        <f>IFERROR(G4/G2,"")</f>
        <v>0.9558820164298301</v>
      </c>
      <c r="H17" s="15">
        <f>IFERROR(H4/H2,"")</f>
        <v>0.766099963102773</v>
      </c>
      <c r="I17" s="15">
        <f>IFERROR(I4/I2,"")</f>
        <v>0.7689416240206512</v>
      </c>
      <c r="J17" s="15">
        <f>IFERROR(J4/J2,"")</f>
        <v>0.8897983828960322</v>
      </c>
      <c r="K17" s="15">
        <f>IFERROR(K4/K2,"")</f>
        <v>0.5161190163585394</v>
      </c>
      <c r="L17" s="15">
        <f>IFERROR(L4/L2,"")</f>
        <v>0.5876310365461759</v>
      </c>
      <c r="M17" s="15">
        <f>IFERROR(M4/M2,"")</f>
        <v>0.5971702188940092</v>
      </c>
      <c r="N17" s="15">
        <f>IFERROR(N4/N2,"")</f>
        <v>1.0</v>
      </c>
      <c r="O17" s="15">
        <f>IFERROR(O4/O2,"")</f>
        <v>0.5972</v>
      </c>
      <c r="P17" s="15">
        <f>IFERROR(P4/P2,"")</f>
        <v>0.5972</v>
      </c>
      <c r="Q17" s="15">
        <f>IFERROR(Q4/Q2,"")</f>
        <v>0.5972</v>
      </c>
      <c r="R17" s="15">
        <f>IFERROR(R4/R2,"")</f>
        <v>0.5972</v>
      </c>
      <c r="S17" s="15">
        <f>IFERROR(S4/S2,"")</f>
        <v>0.5972</v>
      </c>
      <c r="T17" s="15">
        <f>IFERROR(T4/T2,"")</f>
        <v>0.5972</v>
      </c>
      <c r="U17" s="15">
        <f>IFERROR(U4/U2,"")</f>
        <v>0.5972</v>
      </c>
      <c r="V17" s="15">
        <f>IFERROR(V4/V2,"")</f>
        <v>0.5971999999999998</v>
      </c>
      <c r="W17" s="15">
        <f>IFERROR(W4/W2,"")</f>
        <v>0.5971999999999998</v>
      </c>
      <c r="X17" s="15">
        <f>IFERROR(X4/X2,"")</f>
        <v>0.5972</v>
      </c>
    </row>
    <row r="18">
      <c r="A18" s="14" t="inlineStr">
        <is>
          <t>Operating Margin</t>
        </is>
      </c>
      <c r="B18" s="15">
        <f>IFERROR(B8/B2,"")</f>
        <v>-0.7846229669788076</v>
      </c>
      <c r="C18" s="15">
        <f>IFERROR(C8/C2,"")</f>
        <v>-0.6016339869281044</v>
      </c>
      <c r="D18" s="15">
        <f>IFERROR(D8/D2,"")</f>
        <v>-3.0491565629942015</v>
      </c>
      <c r="E18" s="15">
        <f>IFERROR(E8/E2,"")</f>
        <v>-14.238396164741774</v>
      </c>
      <c r="F18" s="15">
        <f>IFERROR(F8/F2,"")</f>
        <v>-7.301549119599729</v>
      </c>
      <c r="G18" s="15">
        <f>IFERROR(G8/G2,"")</f>
        <v>0.40319443490995627</v>
      </c>
      <c r="H18" s="15">
        <f>IFERROR(H8/H2,"")</f>
        <v>-4.228933102489145</v>
      </c>
      <c r="I18" s="15">
        <f>IFERROR(I8/I2,"")</f>
        <v>-0.7714001048089179</v>
      </c>
      <c r="J18" s="15">
        <f>IFERROR(J8/J2,"")</f>
        <v>0.34013186009478114</v>
      </c>
      <c r="K18" s="15">
        <f>IFERROR(K8/K2,"")</f>
        <v>-2.3320322202902664</v>
      </c>
      <c r="L18" s="15">
        <f>IFERROR(L8/L2,"")</f>
        <v>-2.9712107444427205</v>
      </c>
      <c r="M18" s="15">
        <f>IFERROR(M8/M2,"")</f>
        <v>-2.800331221198156</v>
      </c>
      <c r="N18" s="15">
        <f>IFERROR(N8/N2,"")</f>
        <v>-0.9457700905298608</v>
      </c>
      <c r="O18" s="15">
        <f>IFERROR(O8/O2,"")</f>
        <v>-0.82672</v>
      </c>
      <c r="P18" s="15">
        <f>IFERROR(P8/P2,"")</f>
        <v>-0.7126399999999999</v>
      </c>
      <c r="Q18" s="15">
        <f>IFERROR(Q8/Q2,"")</f>
        <v>-0.59856</v>
      </c>
      <c r="R18" s="15">
        <f>IFERROR(R8/R2,"")</f>
        <v>-0.4844800000000001</v>
      </c>
      <c r="S18" s="15">
        <f>IFERROR(S8/S2,"")</f>
        <v>-0.37039999999999995</v>
      </c>
      <c r="T18" s="15">
        <f>IFERROR(T8/T2,"")</f>
        <v>-0.25631999999999994</v>
      </c>
      <c r="U18" s="15">
        <f>IFERROR(U8/U2,"")</f>
        <v>-0.14223999999999998</v>
      </c>
      <c r="V18" s="15">
        <f>IFERROR(V8/V2,"")</f>
        <v>-0.028159999999999928</v>
      </c>
      <c r="W18" s="15">
        <f>IFERROR(W8/W2,"")</f>
        <v>0.08592000000000014</v>
      </c>
      <c r="X18" s="15">
        <f>IFERROR(X8/X2,"")</f>
        <v>0.2</v>
      </c>
    </row>
    <row r="19">
      <c r="A19" s="14" t="inlineStr">
        <is>
          <t>Actual / Estimate</t>
        </is>
      </c>
      <c r="B19" s="19" t="inlineStr">
        <is>
          <t>A</t>
        </is>
      </c>
      <c r="C19" s="19" t="inlineStr">
        <is>
          <t>A</t>
        </is>
      </c>
      <c r="D19" s="19" t="inlineStr">
        <is>
          <t>A</t>
        </is>
      </c>
      <c r="E19" s="19" t="inlineStr">
        <is>
          <t>A</t>
        </is>
      </c>
      <c r="F19" s="19" t="inlineStr">
        <is>
          <t>A</t>
        </is>
      </c>
      <c r="G19" s="19" t="inlineStr">
        <is>
          <t>A</t>
        </is>
      </c>
      <c r="H19" s="19" t="inlineStr">
        <is>
          <t>A</t>
        </is>
      </c>
      <c r="I19" s="19" t="inlineStr">
        <is>
          <t>A</t>
        </is>
      </c>
      <c r="J19" s="19" t="inlineStr">
        <is>
          <t>A</t>
        </is>
      </c>
      <c r="K19" s="19" t="inlineStr">
        <is>
          <t>A</t>
        </is>
      </c>
      <c r="L19" s="19" t="inlineStr">
        <is>
          <t>A</t>
        </is>
      </c>
      <c r="M19" s="19" t="inlineStr">
        <is>
          <t>A</t>
        </is>
      </c>
      <c r="N19" s="19" t="inlineStr">
        <is>
          <t>A</t>
        </is>
      </c>
      <c r="O19" s="19" t="inlineStr">
        <is>
          <t>E</t>
        </is>
      </c>
      <c r="P19" s="19" t="inlineStr">
        <is>
          <t>E</t>
        </is>
      </c>
      <c r="Q19" s="19" t="inlineStr">
        <is>
          <t>E</t>
        </is>
      </c>
      <c r="R19" s="19" t="inlineStr">
        <is>
          <t>E</t>
        </is>
      </c>
      <c r="S19" s="19" t="inlineStr">
        <is>
          <t>E</t>
        </is>
      </c>
      <c r="T19" s="19" t="inlineStr">
        <is>
          <t>E</t>
        </is>
      </c>
      <c r="U19" s="19" t="inlineStr">
        <is>
          <t>E</t>
        </is>
      </c>
      <c r="V19" s="19" t="inlineStr">
        <is>
          <t>E</t>
        </is>
      </c>
      <c r="W19" s="19" t="inlineStr">
        <is>
          <t>E</t>
        </is>
      </c>
      <c r="X19" s="19" t="inlineStr">
        <is>
          <t>E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44" customWidth="1" style="9" min="1" max="1"/>
    <col width="14" customWidth="1" style="9" min="2" max="2"/>
    <col width="14" customWidth="1" style="9" min="3" max="3"/>
    <col width="14" customWidth="1" style="9" min="4" max="4"/>
    <col width="14" customWidth="1" style="9" min="5" max="5"/>
    <col width="14" customWidth="1" style="9" min="6" max="6"/>
  </cols>
  <sheetData>
    <row r="1">
      <c r="A1" s="20" t="inlineStr">
        <is>
          <t>REGENXBIO Inc.: basic DCF assumptions</t>
        </is>
      </c>
    </row>
    <row r="2">
      <c r="A2" s="21" t="inlineStr">
        <is>
          <t>Blue = input, black = formula, green = link. $mm unless noted.</t>
        </is>
      </c>
    </row>
    <row r="4">
      <c r="A4" s="20" t="inlineStr">
        <is>
          <t>Scenario (1 Bear, 2 Base, 3 Bull)</t>
        </is>
      </c>
      <c r="B4" s="22" t="n">
        <v>2</v>
      </c>
      <c r="C4" s="20" t="str">
        <f>CHOOSE($B$4,"Bear","Base","Bull")</f>
        <v>Base</v>
      </c>
    </row>
    <row r="6">
      <c r="A6" s="14" t="inlineStr">
        <is>
          <t>Discount rate override (blank = scenario)</t>
        </is>
      </c>
      <c r="B6" s="53" t="n"/>
    </row>
    <row r="7">
      <c r="A7" s="14" t="inlineStr">
        <is>
          <t>Terminal growth override (blank = scenario)</t>
        </is>
      </c>
      <c r="B7" s="53" t="n"/>
    </row>
    <row r="9">
      <c r="A9" s="24" t="inlineStr">
        <is>
          <t>Parameter</t>
        </is>
      </c>
      <c r="B9" s="25" t="inlineStr">
        <is>
          <t>Bear</t>
        </is>
      </c>
      <c r="C9" s="25" t="inlineStr">
        <is>
          <t>Base</t>
        </is>
      </c>
      <c r="D9" s="25" t="inlineStr">
        <is>
          <t>Bull</t>
        </is>
      </c>
      <c r="E9" s="25" t="inlineStr">
        <is>
          <t>Live</t>
        </is>
      </c>
    </row>
    <row r="10">
      <c r="A10" s="14" t="inlineStr">
        <is>
          <t>Discount rate</t>
        </is>
      </c>
      <c r="B10" s="53" t="n">
        <v>0.135</v>
      </c>
      <c r="C10" s="53" t="n">
        <v>0.125</v>
      </c>
      <c r="D10" s="53" t="n">
        <v>0.115</v>
      </c>
      <c r="E10" s="54">
        <f>IF(ISNUMBER($B$6),$B$6,CHOOSE($B$4,B10,C10,D10))</f>
        <v>0.125</v>
      </c>
    </row>
    <row r="11">
      <c r="A11" s="14" t="inlineStr">
        <is>
          <t>Terminal growth</t>
        </is>
      </c>
      <c r="B11" s="53" t="n">
        <v>0.02</v>
      </c>
      <c r="C11" s="53" t="n">
        <v>0.025</v>
      </c>
      <c r="D11" s="53" t="n">
        <v>0.03</v>
      </c>
      <c r="E11" s="54">
        <f>IF(ISNUMBER($B$7),$B$7,CHOOSE($B$4,B11,C11,D11))</f>
        <v>0.025</v>
      </c>
    </row>
    <row r="12">
      <c r="A12" s="14" t="inlineStr">
        <is>
          <t>Revenue growth, first forecast year</t>
        </is>
      </c>
      <c r="B12" s="53" t="n">
        <v>-0.0134</v>
      </c>
      <c r="C12" s="53" t="n">
        <v>0.0366</v>
      </c>
      <c r="D12" s="53" t="n">
        <v>0.0866</v>
      </c>
      <c r="E12" s="54">
        <f>CHOOSE($B$4,B12,C12,D12)</f>
        <v>0.0366</v>
      </c>
    </row>
    <row r="13">
      <c r="A13" s="14" t="inlineStr">
        <is>
          <t>Operating margin, year 10</t>
        </is>
      </c>
      <c r="B13" s="53" t="n">
        <v>0.15</v>
      </c>
      <c r="C13" s="53" t="n">
        <v>0.2</v>
      </c>
      <c r="D13" s="53" t="n">
        <v>0.25</v>
      </c>
      <c r="E13" s="54">
        <f>CHOOSE($B$4,B13,C13,D13)</f>
        <v>0.2</v>
      </c>
    </row>
    <row r="14">
      <c r="A14" s="14" t="inlineStr">
        <is>
          <t>Tax rate on operating income</t>
        </is>
      </c>
      <c r="B14" s="53" t="n">
        <v>0.17</v>
      </c>
      <c r="C14" s="53" t="n">
        <v>0.17</v>
      </c>
      <c r="D14" s="53" t="n">
        <v>0.17</v>
      </c>
      <c r="E14" s="54">
        <f>CHOOSE($B$4,B14,C14,D14)</f>
        <v>0.17</v>
      </c>
    </row>
    <row r="15">
      <c r="A15" s="14" t="inlineStr">
        <is>
          <t>Reinvestment, % of revenue increase</t>
        </is>
      </c>
      <c r="B15" s="53" t="n">
        <v>0.25</v>
      </c>
      <c r="C15" s="53" t="n">
        <v>0.25</v>
      </c>
      <c r="D15" s="53" t="n">
        <v>0.25</v>
      </c>
      <c r="E15" s="54">
        <f>CHOOSE($B$4,B15,C15,D15)</f>
        <v>0.25</v>
      </c>
    </row>
    <row r="17">
      <c r="A17" s="27" t="inlineStr">
        <is>
          <t>Single inputs</t>
        </is>
      </c>
      <c r="B17" s="28" t="n"/>
      <c r="C17" s="28" t="n"/>
      <c r="D17" s="28" t="n"/>
      <c r="E17" s="28" t="n"/>
    </row>
    <row r="18">
      <c r="A18" s="14" t="inlineStr">
        <is>
          <t>Starting operating margin (TTM)</t>
        </is>
      </c>
      <c r="B18" s="53" t="n">
        <v>-0.9408</v>
      </c>
    </row>
    <row r="19">
      <c r="A19" s="14" t="inlineStr">
        <is>
          <t>Gross margin (forecast)</t>
        </is>
      </c>
      <c r="B19" s="53" t="n">
        <v>0.5972</v>
      </c>
    </row>
    <row r="20">
      <c r="A20" s="14" t="inlineStr">
        <is>
          <t>R&amp;D share of operating expense (forecast)</t>
        </is>
      </c>
      <c r="B20" s="53" t="n">
        <v>0.6884</v>
      </c>
    </row>
    <row r="21">
      <c r="A21" s="14" t="inlineStr">
        <is>
          <t>Forecast years</t>
        </is>
      </c>
      <c r="B21" s="29" t="n">
        <v>10</v>
      </c>
    </row>
    <row r="22">
      <c r="A22" s="14" t="inlineStr">
        <is>
          <t>First forecast year, fraction after balance sheet date</t>
        </is>
      </c>
      <c r="B22" s="30" t="n">
        <v>0.5041</v>
      </c>
    </row>
    <row r="23">
      <c r="A23" s="14" t="inlineStr">
        <is>
          <t>Balance sheet date</t>
        </is>
      </c>
      <c r="B23" s="31" t="n">
        <v>46203</v>
      </c>
    </row>
    <row r="24">
      <c r="A24" s="14" t="inlineStr">
        <is>
          <t>Reporting currency per USD (USD)</t>
        </is>
      </c>
      <c r="B24" s="32" t="n">
        <v>1</v>
      </c>
    </row>
    <row r="25">
      <c r="A25" s="14" t="inlineStr">
        <is>
          <t>Base revenue, FY2025</t>
        </is>
      </c>
      <c r="B25" s="55">
        <f>'Yearly Model'!N2</f>
        <v>170.441</v>
      </c>
    </row>
    <row r="27">
      <c r="A27" s="27" t="inlineStr">
        <is>
          <t>Scenario summary</t>
        </is>
      </c>
      <c r="B27" s="28" t="n"/>
      <c r="C27" s="28" t="n"/>
      <c r="D27" s="28" t="n"/>
      <c r="E27" s="28" t="n"/>
    </row>
    <row r="28">
      <c r="A28" s="24" t="inlineStr">
        <is>
          <t>Scenario</t>
        </is>
      </c>
      <c r="B28" s="25" t="inlineStr">
        <is>
          <t>Enterprise value</t>
        </is>
      </c>
      <c r="C28" s="25" t="inlineStr">
        <is>
          <t>Equity value</t>
        </is>
      </c>
      <c r="D28" s="25" t="inlineStr">
        <is>
          <t>NPV / share</t>
        </is>
      </c>
      <c r="E28" s="25" t="inlineStr">
        <is>
          <t>Upside</t>
        </is>
      </c>
    </row>
    <row r="29">
      <c r="A29" s="21" t="inlineStr">
        <is>
          <t>Live</t>
        </is>
      </c>
      <c r="B29" s="56">
        <f>NPV!B23</f>
        <v>-302.5513422707984</v>
      </c>
      <c r="C29" s="56">
        <f>NPV!B26</f>
        <v>-197.0343422707984</v>
      </c>
      <c r="D29" s="35">
        <f>NPV!B28</f>
        <v>-2.9847722296294714</v>
      </c>
      <c r="E29" s="57">
        <f>NPV!B30</f>
        <v>-1.4033475985985773</v>
      </c>
    </row>
    <row r="30">
      <c r="A30" s="58" t="n">
        <v>1</v>
      </c>
      <c r="B30" s="59">
        <f t="dataTable" ref="B30:E32" r1="B4"/>
        <v>-328.3096783348687</v>
      </c>
      <c r="C30" s="59">
        <v>-222.7926783348687</v>
      </c>
      <c r="D30" s="39">
        <v>-3.3749720561137035</v>
      </c>
      <c r="E30" s="60">
        <v>-1.4560773048802302</v>
      </c>
    </row>
    <row r="31">
      <c r="A31" s="58" t="n">
        <v>2</v>
      </c>
      <c r="B31" s="59">
        <v>-302.5513422707984</v>
      </c>
      <c r="C31" s="59">
        <v>-197.0343422707984</v>
      </c>
      <c r="D31" s="39">
        <v>-2.9847722296294714</v>
      </c>
      <c r="E31" s="60">
        <v>-1.4033475985985773</v>
      </c>
    </row>
    <row r="32">
      <c r="A32" s="58" t="n">
        <v>3</v>
      </c>
      <c r="B32" s="59">
        <v>-204.83132315595554</v>
      </c>
      <c r="C32" s="59">
        <v>-99.31432315595555</v>
      </c>
      <c r="D32" s="39">
        <v>-1.5044617620665206</v>
      </c>
      <c r="E32" s="60">
        <v>-1.2033056435225027</v>
      </c>
    </row>
    <row r="35">
      <c r="A35" s="27" t="inlineStr">
        <is>
          <t>NPV / share: discount rate (rows) x terminal growth (columns)</t>
        </is>
      </c>
      <c r="B35" s="28" t="n"/>
      <c r="C35" s="28" t="n"/>
      <c r="D35" s="28" t="n"/>
      <c r="E35" s="28" t="n"/>
      <c r="F35" s="28" t="n"/>
    </row>
    <row r="36">
      <c r="A36" s="35">
        <f>NPV!B28</f>
        <v>-2.9847722296294714</v>
      </c>
      <c r="B36" s="61" t="n">
        <v>0.015</v>
      </c>
      <c r="C36" s="61" t="n">
        <v>0.02</v>
      </c>
      <c r="D36" s="61" t="n">
        <v>0.025</v>
      </c>
      <c r="E36" s="61" t="n">
        <v>0.03</v>
      </c>
      <c r="F36" s="61" t="n">
        <v>0.035</v>
      </c>
    </row>
    <row r="37">
      <c r="A37" s="62" t="n">
        <v>0.105</v>
      </c>
      <c r="B37" s="39">
        <f t="dataTable" ref="B37:F41" dt2D="1" r1="B7" r2="B6"/>
        <v>-2.6801741320564694</v>
      </c>
      <c r="C37" s="39">
        <v>-2.507577793265196</v>
      </c>
      <c r="D37" s="39">
        <v>-2.309803679633004</v>
      </c>
      <c r="E37" s="39">
        <v>-2.0817759588533766</v>
      </c>
      <c r="F37" s="39">
        <v>-1.8169680948154132</v>
      </c>
    </row>
    <row r="38">
      <c r="A38" s="62" t="n">
        <v>0.115</v>
      </c>
      <c r="B38" s="39">
        <v>-2.9763054866133922</v>
      </c>
      <c r="C38" s="39">
        <v>-2.8491470538950416</v>
      </c>
      <c r="D38" s="39">
        <v>-2.704814867316799</v>
      </c>
      <c r="E38" s="39">
        <v>-2.540244835851442</v>
      </c>
      <c r="F38" s="39">
        <v>-2.3516064639814234</v>
      </c>
    </row>
    <row r="39">
      <c r="A39" s="62" t="n">
        <v>0.125</v>
      </c>
      <c r="B39" s="39">
        <v>-3.1869577290713056</v>
      </c>
      <c r="C39" s="39">
        <v>-3.091920715717786</v>
      </c>
      <c r="D39" s="39">
        <v>-2.9847722296294714</v>
      </c>
      <c r="E39" s="39">
        <v>-2.8635717771007014</v>
      </c>
      <c r="F39" s="39">
        <v>-2.7259473257087854</v>
      </c>
    </row>
    <row r="40">
      <c r="A40" s="62" t="n">
        <v>0.135</v>
      </c>
      <c r="B40" s="39">
        <v>-3.3355195687196515</v>
      </c>
      <c r="C40" s="39">
        <v>-3.263817227829825</v>
      </c>
      <c r="D40" s="39">
        <v>-3.183338701443322</v>
      </c>
      <c r="E40" s="39">
        <v>-3.0928062496867184</v>
      </c>
      <c r="F40" s="39">
        <v>-2.990686316485038</v>
      </c>
    </row>
    <row r="41">
      <c r="A41" s="62" t="n">
        <v>0.145</v>
      </c>
      <c r="B41" s="39">
        <v>-3.4380290398746434</v>
      </c>
      <c r="C41" s="39">
        <v>-3.383657765082216</v>
      </c>
      <c r="D41" s="39">
        <v>-3.3227828250163127</v>
      </c>
      <c r="E41" s="39">
        <v>-3.2545352566985097</v>
      </c>
      <c r="F41" s="39">
        <v>-3.1778878751183868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38" customWidth="1" style="9" min="1" max="1"/>
    <col width="13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</cols>
  <sheetData>
    <row r="1">
      <c r="A1" s="20" t="inlineStr">
        <is>
          <t>REGENXBIO Inc.: free-cash-flow DCF ($mm)</t>
        </is>
      </c>
    </row>
    <row r="3">
      <c r="A3" s="20" t="inlineStr">
        <is>
          <t>Fiscal year</t>
        </is>
      </c>
      <c r="B3" s="43">
        <f>'Yearly Model'!N1</f>
        <v>2025</v>
      </c>
      <c r="C3" s="43">
        <f>'Yearly Model'!O1</f>
        <v>2026</v>
      </c>
      <c r="D3" s="43">
        <f>'Yearly Model'!P1</f>
        <v>2027</v>
      </c>
      <c r="E3" s="43">
        <f>'Yearly Model'!Q1</f>
        <v>2028</v>
      </c>
      <c r="F3" s="43">
        <f>'Yearly Model'!R1</f>
        <v>2029</v>
      </c>
      <c r="G3" s="43">
        <f>'Yearly Model'!S1</f>
        <v>2030</v>
      </c>
      <c r="H3" s="43">
        <f>'Yearly Model'!T1</f>
        <v>2031</v>
      </c>
      <c r="I3" s="43">
        <f>'Yearly Model'!U1</f>
        <v>2032</v>
      </c>
      <c r="J3" s="43">
        <f>'Yearly Model'!V1</f>
        <v>2033</v>
      </c>
      <c r="K3" s="43">
        <f>'Yearly Model'!W1</f>
        <v>2034</v>
      </c>
      <c r="L3" s="43">
        <f>'Yearly Model'!X1</f>
        <v>2035</v>
      </c>
    </row>
    <row r="4">
      <c r="A4" s="14" t="inlineStr">
        <is>
          <t>Period</t>
        </is>
      </c>
      <c r="B4" s="19" t="inlineStr">
        <is>
          <t>Actual</t>
        </is>
      </c>
      <c r="C4" s="29" t="n">
        <v>1</v>
      </c>
      <c r="D4" s="29" t="n">
        <v>2</v>
      </c>
      <c r="E4" s="29" t="n">
        <v>3</v>
      </c>
      <c r="F4" s="29" t="n">
        <v>4</v>
      </c>
      <c r="G4" s="29" t="n">
        <v>5</v>
      </c>
      <c r="H4" s="29" t="n">
        <v>6</v>
      </c>
      <c r="I4" s="29" t="n">
        <v>7</v>
      </c>
      <c r="J4" s="29" t="n">
        <v>8</v>
      </c>
      <c r="K4" s="29" t="n">
        <v>9</v>
      </c>
      <c r="L4" s="29" t="n">
        <v>10</v>
      </c>
    </row>
    <row r="5">
      <c r="A5" s="14" t="inlineStr">
        <is>
          <t>Revenue growth</t>
        </is>
      </c>
      <c r="C5" s="63">
        <f>Assumptions!$E$12+(Assumptions!$E$11-Assumptions!$E$12)*(C4-1)/(Assumptions!$B$21-1)</f>
        <v>0.0366</v>
      </c>
      <c r="D5" s="63">
        <f>Assumptions!$E$12+(Assumptions!$E$11-Assumptions!$E$12)*(D4-1)/(Assumptions!$B$21-1)</f>
        <v>0.03531111111111111</v>
      </c>
      <c r="E5" s="63">
        <f>Assumptions!$E$12+(Assumptions!$E$11-Assumptions!$E$12)*(E4-1)/(Assumptions!$B$21-1)</f>
        <v>0.034022222222222225</v>
      </c>
      <c r="F5" s="63">
        <f>Assumptions!$E$12+(Assumptions!$E$11-Assumptions!$E$12)*(F4-1)/(Assumptions!$B$21-1)</f>
        <v>0.032733333333333337</v>
      </c>
      <c r="G5" s="63">
        <f>Assumptions!$E$12+(Assumptions!$E$11-Assumptions!$E$12)*(G4-1)/(Assumptions!$B$21-1)</f>
        <v>0.03144444444444444</v>
      </c>
      <c r="H5" s="63">
        <f>Assumptions!$E$12+(Assumptions!$E$11-Assumptions!$E$12)*(H4-1)/(Assumptions!$B$21-1)</f>
        <v>0.030155555555555557</v>
      </c>
      <c r="I5" s="63">
        <f>Assumptions!$E$12+(Assumptions!$E$11-Assumptions!$E$12)*(I4-1)/(Assumptions!$B$21-1)</f>
        <v>0.02886666666666667</v>
      </c>
      <c r="J5" s="63">
        <f>Assumptions!$E$12+(Assumptions!$E$11-Assumptions!$E$12)*(J4-1)/(Assumptions!$B$21-1)</f>
        <v>0.027577777777777777</v>
      </c>
      <c r="K5" s="63">
        <f>Assumptions!$E$12+(Assumptions!$E$11-Assumptions!$E$12)*(K4-1)/(Assumptions!$B$21-1)</f>
        <v>0.02628888888888889</v>
      </c>
      <c r="L5" s="63">
        <f>Assumptions!$E$12+(Assumptions!$E$11-Assumptions!$E$12)*(L4-1)/(Assumptions!$B$21-1)</f>
        <v>0.025</v>
      </c>
    </row>
    <row r="6">
      <c r="A6" s="14" t="inlineStr">
        <is>
          <t>Operating margin</t>
        </is>
      </c>
      <c r="B6" s="63">
        <f>IFERROR(B8/B7,0)</f>
        <v>-0.9457700905298608</v>
      </c>
      <c r="C6" s="63">
        <f>Assumptions!$B$18+(Assumptions!$E$13-Assumptions!$B$18)*C4/Assumptions!$B$21</f>
        <v>-0.82672</v>
      </c>
      <c r="D6" s="63">
        <f>Assumptions!$B$18+(Assumptions!$E$13-Assumptions!$B$18)*D4/Assumptions!$B$21</f>
        <v>-0.7126399999999999</v>
      </c>
      <c r="E6" s="63">
        <f>Assumptions!$B$18+(Assumptions!$E$13-Assumptions!$B$18)*E4/Assumptions!$B$21</f>
        <v>-0.59856</v>
      </c>
      <c r="F6" s="63">
        <f>Assumptions!$B$18+(Assumptions!$E$13-Assumptions!$B$18)*F4/Assumptions!$B$21</f>
        <v>-0.48447999999999997</v>
      </c>
      <c r="G6" s="63">
        <f>Assumptions!$B$18+(Assumptions!$E$13-Assumptions!$B$18)*G4/Assumptions!$B$21</f>
        <v>-0.37039999999999995</v>
      </c>
      <c r="H6" s="63">
        <f>Assumptions!$B$18+(Assumptions!$E$13-Assumptions!$B$18)*H4/Assumptions!$B$21</f>
        <v>-0.25632</v>
      </c>
      <c r="I6" s="63">
        <f>Assumptions!$B$18+(Assumptions!$E$13-Assumptions!$B$18)*I4/Assumptions!$B$21</f>
        <v>-0.14224000000000003</v>
      </c>
      <c r="J6" s="63">
        <f>Assumptions!$B$18+(Assumptions!$E$13-Assumptions!$B$18)*J4/Assumptions!$B$21</f>
        <v>-0.028159999999999963</v>
      </c>
      <c r="K6" s="63">
        <f>Assumptions!$B$18+(Assumptions!$E$13-Assumptions!$B$18)*K4/Assumptions!$B$21</f>
        <v>0.08592000000000011</v>
      </c>
      <c r="L6" s="63">
        <f>Assumptions!$B$18+(Assumptions!$E$13-Assumptions!$B$18)*L4/Assumptions!$B$21</f>
        <v>0.20000000000000007</v>
      </c>
    </row>
    <row r="7">
      <c r="A7" s="14" t="inlineStr">
        <is>
          <t>Revenue</t>
        </is>
      </c>
      <c r="B7" s="55">
        <f>'Yearly Model'!N2</f>
        <v>170.441</v>
      </c>
      <c r="C7" s="55">
        <f>'Yearly Model'!O2</f>
        <v>176.6791406</v>
      </c>
      <c r="D7" s="55">
        <f>'Yearly Model'!P2</f>
        <v>182.91787736474222</v>
      </c>
      <c r="E7" s="55">
        <f>'Yearly Model'!Q2</f>
        <v>189.14115003686265</v>
      </c>
      <c r="F7" s="55">
        <f>'Yearly Model'!R2</f>
        <v>195.33237034806928</v>
      </c>
      <c r="G7" s="55">
        <f>'Yearly Model'!S2</f>
        <v>201.47448821568076</v>
      </c>
      <c r="H7" s="55">
        <f>'Yearly Model'!T2</f>
        <v>207.55006333809584</v>
      </c>
      <c r="I7" s="55">
        <f>'Yearly Model'!U2</f>
        <v>213.5413418331222</v>
      </c>
      <c r="J7" s="55">
        <f>'Yearly Model'!V2</f>
        <v>219.4303375045645</v>
      </c>
      <c r="K7" s="55">
        <f>'Yearly Model'!W2</f>
        <v>225.19891726607338</v>
      </c>
      <c r="L7" s="55">
        <f>'Yearly Model'!X2</f>
        <v>230.8288901977252</v>
      </c>
    </row>
    <row r="8">
      <c r="A8" s="14" t="inlineStr">
        <is>
          <t>Operating income</t>
        </is>
      </c>
      <c r="B8" s="55">
        <f>'Yearly Model'!N8</f>
        <v>-161.198</v>
      </c>
      <c r="C8" s="55">
        <f>'Yearly Model'!O8</f>
        <v>-146.064179116832</v>
      </c>
      <c r="D8" s="55">
        <f>'Yearly Model'!P8</f>
        <v>-130.3545961252099</v>
      </c>
      <c r="E8" s="55">
        <f>'Yearly Model'!Q8</f>
        <v>-113.2123267660645</v>
      </c>
      <c r="F8" s="55">
        <f>'Yearly Model'!R8</f>
        <v>-94.63462678623262</v>
      </c>
      <c r="G8" s="55">
        <f>'Yearly Model'!S8</f>
        <v>-74.62615043508815</v>
      </c>
      <c r="H8" s="55">
        <f>'Yearly Model'!T8</f>
        <v>-53.19923223482071</v>
      </c>
      <c r="I8" s="55">
        <f>'Yearly Model'!U8</f>
        <v>-30.3741204623433</v>
      </c>
      <c r="J8" s="55">
        <f>'Yearly Model'!V8</f>
        <v>-6.179158304128521</v>
      </c>
      <c r="K8" s="55">
        <f>'Yearly Model'!W8</f>
        <v>19.349090971501056</v>
      </c>
      <c r="L8" s="55">
        <f>'Yearly Model'!X8</f>
        <v>46.165778039545046</v>
      </c>
    </row>
    <row r="9">
      <c r="A9" s="14" t="inlineStr">
        <is>
          <t>Tax on operating income</t>
        </is>
      </c>
      <c r="C9" s="52">
        <f>MAX(0,C8)*Assumptions!$E$14</f>
        <v>0.0</v>
      </c>
      <c r="D9" s="52">
        <f>MAX(0,D8)*Assumptions!$E$14</f>
        <v>0.0</v>
      </c>
      <c r="E9" s="52">
        <f>MAX(0,E8)*Assumptions!$E$14</f>
        <v>0.0</v>
      </c>
      <c r="F9" s="52">
        <f>MAX(0,F8)*Assumptions!$E$14</f>
        <v>0.0</v>
      </c>
      <c r="G9" s="52">
        <f>MAX(0,G8)*Assumptions!$E$14</f>
        <v>0.0</v>
      </c>
      <c r="H9" s="52">
        <f>MAX(0,H8)*Assumptions!$E$14</f>
        <v>0.0</v>
      </c>
      <c r="I9" s="52">
        <f>MAX(0,I8)*Assumptions!$E$14</f>
        <v>0.0</v>
      </c>
      <c r="J9" s="52">
        <f>MAX(0,J8)*Assumptions!$E$14</f>
        <v>0.0</v>
      </c>
      <c r="K9" s="52">
        <f>MAX(0,K8)*Assumptions!$E$14</f>
        <v>3.2893454651551797</v>
      </c>
      <c r="L9" s="52">
        <f>MAX(0,L8)*Assumptions!$E$14</f>
        <v>7.848182266722659</v>
      </c>
    </row>
    <row r="10">
      <c r="A10" s="14" t="inlineStr">
        <is>
          <t>NOPAT</t>
        </is>
      </c>
      <c r="C10" s="52">
        <f>C8-C9</f>
        <v>-146.064179116832</v>
      </c>
      <c r="D10" s="52">
        <f>D8-D9</f>
        <v>-130.3545961252099</v>
      </c>
      <c r="E10" s="52">
        <f>E8-E9</f>
        <v>-113.2123267660645</v>
      </c>
      <c r="F10" s="52">
        <f>F8-F9</f>
        <v>-94.63462678623262</v>
      </c>
      <c r="G10" s="52">
        <f>G8-G9</f>
        <v>-74.62615043508815</v>
      </c>
      <c r="H10" s="52">
        <f>H8-H9</f>
        <v>-53.19923223482071</v>
      </c>
      <c r="I10" s="52">
        <f>I8-I9</f>
        <v>-30.3741204623433</v>
      </c>
      <c r="J10" s="52">
        <f>J8-J9</f>
        <v>-6.179158304128521</v>
      </c>
      <c r="K10" s="52">
        <f>K8-K9</f>
        <v>16.059745506345877</v>
      </c>
      <c r="L10" s="52">
        <f>L8-L9</f>
        <v>38.317595772822386</v>
      </c>
    </row>
    <row r="11">
      <c r="A11" s="14" t="inlineStr">
        <is>
          <t>Reinvestment</t>
        </is>
      </c>
      <c r="C11" s="52">
        <f>(C7-B7)*Assumptions!$E$15</f>
        <v>1.559535150000002</v>
      </c>
      <c r="D11" s="52">
        <f>(D7-C7)*Assumptions!$E$15</f>
        <v>1.5596841911855535</v>
      </c>
      <c r="E11" s="52">
        <f>(E7-D7)*Assumptions!$E$15</f>
        <v>1.5558181680301075</v>
      </c>
      <c r="F11" s="52">
        <f>(F7-E7)*Assumptions!$E$15</f>
        <v>1.5478050778016552</v>
      </c>
      <c r="G11" s="52">
        <f>(G7-F7)*Assumptions!$E$15</f>
        <v>1.5355294669028723</v>
      </c>
      <c r="H11" s="52">
        <f>(H7-G7)*Assumptions!$E$15</f>
        <v>1.5188937806037686</v>
      </c>
      <c r="I11" s="52">
        <f>(I7-H7)*Assumptions!$E$15</f>
        <v>1.497819623756591</v>
      </c>
      <c r="J11" s="52">
        <f>(J7-I7)*Assumptions!$E$15</f>
        <v>1.4722489178605755</v>
      </c>
      <c r="K11" s="52">
        <f>(K7-J7)*Assumptions!$E$15</f>
        <v>1.4421449403772186</v>
      </c>
      <c r="L11" s="52">
        <f>(L7-K7)*Assumptions!$E$15</f>
        <v>1.4074932329129552</v>
      </c>
    </row>
    <row r="12">
      <c r="A12" s="20" t="inlineStr">
        <is>
          <t>Free cash flow</t>
        </is>
      </c>
      <c r="C12" s="64">
        <f>C10-C11</f>
        <v>-147.623714266832</v>
      </c>
      <c r="D12" s="64">
        <f>D10-D11</f>
        <v>-131.91428031639543</v>
      </c>
      <c r="E12" s="64">
        <f>E10-E11</f>
        <v>-114.76814493409461</v>
      </c>
      <c r="F12" s="64">
        <f>F10-F11</f>
        <v>-96.18243186403427</v>
      </c>
      <c r="G12" s="64">
        <f>G10-G11</f>
        <v>-76.16167990199102</v>
      </c>
      <c r="H12" s="64">
        <f>H10-H11</f>
        <v>-54.71812601542448</v>
      </c>
      <c r="I12" s="64">
        <f>I10-I11</f>
        <v>-31.87194008609989</v>
      </c>
      <c r="J12" s="64">
        <f>J10-J11</f>
        <v>-7.651407221989096</v>
      </c>
      <c r="K12" s="64">
        <f>K10-K11</f>
        <v>14.617600565968658</v>
      </c>
      <c r="L12" s="64">
        <f>L10-L11</f>
        <v>36.91010253990943</v>
      </c>
    </row>
    <row r="13">
      <c r="A13" s="14" t="inlineStr">
        <is>
          <t>Year fraction</t>
        </is>
      </c>
      <c r="C13" s="46">
        <f>Assumptions!$B$22</f>
        <v>0.5041</v>
      </c>
      <c r="D13" s="11" t="n">
        <v>1</v>
      </c>
      <c r="E13" s="11" t="n">
        <v>1</v>
      </c>
      <c r="F13" s="11" t="n">
        <v>1</v>
      </c>
      <c r="G13" s="11" t="n">
        <v>1</v>
      </c>
      <c r="H13" s="11" t="n">
        <v>1</v>
      </c>
      <c r="I13" s="11" t="n">
        <v>1</v>
      </c>
      <c r="J13" s="11" t="n">
        <v>1</v>
      </c>
      <c r="K13" s="11" t="n">
        <v>1</v>
      </c>
      <c r="L13" s="11" t="n">
        <v>1</v>
      </c>
    </row>
    <row r="14">
      <c r="A14" s="14" t="inlineStr">
        <is>
          <t>Discount time (mid-period)</t>
        </is>
      </c>
      <c r="C14" s="11">
        <f>C13/2</f>
        <v>0.25205</v>
      </c>
      <c r="D14" s="11">
        <f>C14+C13/2+D13/2</f>
        <v>1.0041</v>
      </c>
      <c r="E14" s="11">
        <f>D14+D13/2+E13/2</f>
        <v>2.0041</v>
      </c>
      <c r="F14" s="11">
        <f>E14+E13/2+F13/2</f>
        <v>3.0041</v>
      </c>
      <c r="G14" s="11">
        <f>F14+F13/2+G13/2</f>
        <v>4.0041</v>
      </c>
      <c r="H14" s="11">
        <f>G14+G13/2+H13/2</f>
        <v>5.0041</v>
      </c>
      <c r="I14" s="11">
        <f>H14+H13/2+I13/2</f>
        <v>6.0041</v>
      </c>
      <c r="J14" s="11">
        <f>I14+I13/2+J13/2</f>
        <v>7.0041</v>
      </c>
      <c r="K14" s="11">
        <f>J14+J13/2+K13/2</f>
        <v>8.004100000000001</v>
      </c>
      <c r="L14" s="11">
        <f>K14+K13/2+L13/2</f>
        <v>9.004100000000001</v>
      </c>
    </row>
    <row r="15">
      <c r="A15" s="14" t="inlineStr">
        <is>
          <t>Discount factor</t>
        </is>
      </c>
      <c r="C15" s="65">
        <f>1/(1+Assumptions!$E$10)^C14</f>
        <v>0.9707491226687451</v>
      </c>
      <c r="D15" s="65">
        <f>1/(1+Assumptions!$E$10)^D14</f>
        <v>0.8884597387878145</v>
      </c>
      <c r="E15" s="65">
        <f>1/(1+Assumptions!$E$10)^E14</f>
        <v>0.7897419900336128</v>
      </c>
      <c r="F15" s="65">
        <f>1/(1+Assumptions!$E$10)^F14</f>
        <v>0.7019928800298781</v>
      </c>
      <c r="G15" s="65">
        <f>1/(1+Assumptions!$E$10)^G14</f>
        <v>0.6239936711376695</v>
      </c>
      <c r="H15" s="65">
        <f>1/(1+Assumptions!$E$10)^H14</f>
        <v>0.5546610410112617</v>
      </c>
      <c r="I15" s="65">
        <f>1/(1+Assumptions!$E$10)^I14</f>
        <v>0.4930320364544548</v>
      </c>
      <c r="J15" s="65">
        <f>1/(1+Assumptions!$E$10)^J14</f>
        <v>0.4382506990706266</v>
      </c>
      <c r="K15" s="65">
        <f>1/(1+Assumptions!$E$10)^K14</f>
        <v>0.389556176951668</v>
      </c>
      <c r="L15" s="65">
        <f>1/(1+Assumptions!$E$10)^L14</f>
        <v>0.34627215729037153</v>
      </c>
    </row>
    <row r="16">
      <c r="A16" s="20" t="inlineStr">
        <is>
          <t>PV of free cash flow</t>
        </is>
      </c>
      <c r="C16" s="64">
        <f>C12*C13*C15</f>
        <v>-72.24034847836381</v>
      </c>
      <c r="D16" s="64">
        <f>D12*D13*D15</f>
        <v>-117.20052703228723</v>
      </c>
      <c r="E16" s="64">
        <f>E12*E13*E15</f>
        <v>-90.63722317271797</v>
      </c>
      <c r="F16" s="64">
        <f>F12*F13*F15</f>
        <v>-67.51938235251095</v>
      </c>
      <c r="G16" s="64">
        <f>G12*G13*G15</f>
        <v>-47.524406242055434</v>
      </c>
      <c r="H16" s="64">
        <f>H12*H13*H15</f>
        <v>-30.350012737900744</v>
      </c>
      <c r="I16" s="64">
        <f>I12*I13*I15</f>
        <v>-15.7138875264042</v>
      </c>
      <c r="J16" s="64">
        <f>J12*J13*J15</f>
        <v>-3.353234563910762</v>
      </c>
      <c r="K16" s="64">
        <f>K12*K13*K15</f>
        <v>5.6943765926852885</v>
      </c>
      <c r="L16" s="64">
        <f>L12*L13*L15</f>
        <v>12.78094083230326</v>
      </c>
    </row>
    <row r="19">
      <c r="A19" s="14" t="inlineStr">
        <is>
          <t>PV of forecast free cash flow</t>
        </is>
      </c>
      <c r="B19" s="52">
        <f>SUM(C16:L16)</f>
        <v>-426.0637046811625</v>
      </c>
    </row>
    <row r="20">
      <c r="A20" s="14" t="inlineStr">
        <is>
          <t>Terminal free cash flow (year 11)</t>
        </is>
      </c>
      <c r="B20" s="52">
        <f>L10*(1+Assumptions!$E$11)-L7*Assumptions!$E$11*Assumptions!$E$15</f>
        <v>37.832855103407155</v>
      </c>
    </row>
    <row r="21">
      <c r="A21" s="14" t="inlineStr">
        <is>
          <t>Terminal value</t>
        </is>
      </c>
      <c r="B21" s="52">
        <f>B20/(Assumptions!$E$10-Assumptions!$E$11)</f>
        <v>378.32855103407155</v>
      </c>
    </row>
    <row r="22">
      <c r="A22" s="14" t="inlineStr">
        <is>
          <t>PV of terminal value</t>
        </is>
      </c>
      <c r="B22" s="52">
        <f>B21/(1+Assumptions!$E$10)^(L14+0.5)</f>
        <v>123.51236241036415</v>
      </c>
    </row>
    <row r="23">
      <c r="A23" s="20" t="inlineStr">
        <is>
          <t>Enterprise value</t>
        </is>
      </c>
      <c r="B23" s="66">
        <f>B19+B22</f>
        <v>-302.5513422707984</v>
      </c>
    </row>
    <row r="24">
      <c r="A24" s="14" t="inlineStr">
        <is>
          <t>Cash &amp; investments</t>
        </is>
      </c>
      <c r="B24" s="55">
        <f>Main!C7</f>
        <v>105.517</v>
      </c>
    </row>
    <row r="25">
      <c r="A25" s="14" t="inlineStr">
        <is>
          <t>Debt</t>
        </is>
      </c>
      <c r="B25" s="55">
        <f>Main!C8</f>
        <v>0</v>
      </c>
    </row>
    <row r="26">
      <c r="A26" s="20" t="inlineStr">
        <is>
          <t>Equity value</t>
        </is>
      </c>
      <c r="B26" s="66">
        <f>B23+B24-B25</f>
        <v>-197.0343422707984</v>
      </c>
    </row>
    <row r="27">
      <c r="A27" s="14" t="inlineStr">
        <is>
          <t>Shares (mm)</t>
        </is>
      </c>
      <c r="B27" s="55">
        <f>Main!C4</f>
        <v>66.013192</v>
      </c>
    </row>
    <row r="28">
      <c r="A28" s="20" t="inlineStr">
        <is>
          <t>NPV / share</t>
        </is>
      </c>
      <c r="B28" s="49">
        <f>B26/B27</f>
        <v>-2.9847722296294714</v>
      </c>
    </row>
    <row r="29">
      <c r="A29" s="14" t="inlineStr">
        <is>
          <t>Price</t>
        </is>
      </c>
      <c r="B29" s="50">
        <f>Main!C3</f>
        <v>7.4</v>
      </c>
    </row>
    <row r="30">
      <c r="A30" s="14" t="inlineStr">
        <is>
          <t>Upside</t>
        </is>
      </c>
      <c r="B30" s="63">
        <f>B28/B29-1</f>
        <v>-1.4033475985985773</v>
      </c>
    </row>
    <row r="31">
      <c r="A31" s="14" t="inlineStr">
        <is>
          <t>Terminal value, % of EV</t>
        </is>
      </c>
      <c r="B31" s="63">
        <f>IFERROR(B22/B23,0)</f>
        <v>-0.40823604180150846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2026-10-21T01:05:10Z</dcterms:modified>
  <cp:lastModifiedBy>Wang, Eric</cp:lastModifiedBy>
</cp:coreProperties>
</file>