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Ascentage Pharma Group International</t>
        </is>
      </c>
      <c r="C2" s="10" t="n"/>
    </row>
    <row r="3">
      <c r="B3" t="inlineStr">
        <is>
          <t>Price</t>
        </is>
      </c>
      <c r="C3" s="11">
        <f>INDEX([1]Pharma!$F$1:$F$1000,MATCH("AAPG",[1]Pharma!$B$1:$B$1000,0))</f>
        <v>15.89</v>
      </c>
      <c r="F3" s="1" t="n"/>
    </row>
    <row r="4">
      <c r="B4" t="inlineStr">
        <is>
          <t>Shares</t>
        </is>
      </c>
      <c r="C4" s="21">
        <f>373.322192/4</f>
        <v>93.330548</v>
      </c>
      <c r="F4" s="1" t="n"/>
    </row>
    <row r="5">
      <c r="B5" t="inlineStr">
        <is>
          <t>Market Cap.</t>
        </is>
      </c>
      <c r="C5" s="13">
        <f>C3*C4</f>
        <v>1483.02240772</v>
      </c>
      <c r="F5" s="1" t="n"/>
    </row>
    <row r="6"/>
    <row r="7">
      <c r="B7" t="inlineStr">
        <is>
          <t>Cash</t>
        </is>
      </c>
      <c r="C7" s="21" t="n"/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1483.02240772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>0.0</v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-16.655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1483.02240772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31.365</v>
      </c>
      <c r="C2" s="23" t="n">
        <v>33.2</v>
      </c>
      <c r="D2" s="23" t="n">
        <v>146.668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3.29</v>
      </c>
      <c r="C3" s="23" t="n">
        <v>4.568</v>
      </c>
      <c r="D3" s="23" t="n">
        <v>4.35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28.075</v>
      </c>
      <c r="C4" s="23">
        <f>C2-C3</f>
        <v>28.632000000000005</v>
      </c>
      <c r="D4" s="23">
        <f>D2-D3</f>
        <v>142.318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111.14</v>
      </c>
      <c r="C5" s="23" t="n">
        <v>105.736</v>
      </c>
      <c r="D5" s="23" t="n">
        <v>141.672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25.514</v>
      </c>
      <c r="C6" s="23" t="n">
        <v>27.082</v>
      </c>
      <c r="D6" s="23" t="n">
        <v>27.987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136.654</v>
      </c>
      <c r="C7" s="23">
        <f>SUM(C5:C6)</f>
        <v>132.818</v>
      </c>
      <c r="D7" s="23">
        <f>SUM(D5:D6)</f>
        <v>169.659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-108.579</v>
      </c>
      <c r="C8" s="23">
        <f>C4-C7</f>
        <v>-104.186</v>
      </c>
      <c r="D8" s="23">
        <f>D4-D7</f>
        <v>-27.34099999999998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-24.107</v>
      </c>
      <c r="C9" s="23" t="n">
        <v>-35.324</v>
      </c>
      <c r="D9" s="23" t="n">
        <v>-31.737</v>
      </c>
    </row>
    <row r="10">
      <c r="A10" s="2" t="inlineStr">
        <is>
          <t>Pretax</t>
        </is>
      </c>
      <c r="B10" s="23">
        <f>B8+B9</f>
        <v>-132.68599999999998</v>
      </c>
      <c r="C10" s="23">
        <f>C8+C9</f>
        <v>-139.51</v>
      </c>
      <c r="D10" s="23">
        <f>D8+D9</f>
        <v>-59.077999999999975</v>
      </c>
      <c r="I10" s="1" t="n"/>
      <c r="J10" s="1" t="n"/>
      <c r="K10" s="1" t="n"/>
    </row>
    <row r="11">
      <c r="A11" s="2" t="inlineStr">
        <is>
          <t>Taxes</t>
        </is>
      </c>
      <c r="B11" s="23" t="n">
        <v>-0.635</v>
      </c>
      <c r="C11" s="23" t="n">
        <v>-1.069</v>
      </c>
      <c r="D11" s="23" t="n">
        <v>1.559</v>
      </c>
    </row>
    <row r="12">
      <c r="A12" s="2" t="inlineStr">
        <is>
          <t>Net Income</t>
        </is>
      </c>
      <c r="B12" s="23" t="n">
        <v>-132.052</v>
      </c>
      <c r="C12" s="23" t="n">
        <v>-138.44</v>
      </c>
      <c r="D12" s="23" t="n">
        <v>-60.637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-0.5007869118544952</v>
      </c>
      <c r="C13" s="11">
        <f>IFERROR(C12/C14,0)</f>
        <v>-0.49040202055267645</v>
      </c>
      <c r="D13" s="11">
        <f>IFERROR(D12/D14,0)</f>
        <v>-0.20074355595871046</v>
      </c>
    </row>
    <row r="14">
      <c r="A14" s="2" t="inlineStr">
        <is>
          <t>Shares</t>
        </is>
      </c>
      <c r="B14" s="23" t="n">
        <v>263.689</v>
      </c>
      <c r="C14" s="23" t="n">
        <v>282.299</v>
      </c>
      <c r="D14" s="23" t="n">
        <v>302.062</v>
      </c>
    </row>
    <row r="15"/>
    <row r="16" customFormat="1" s="4">
      <c r="A16" s="3" t="inlineStr">
        <is>
          <t>Revenue Change</t>
        </is>
      </c>
      <c r="C16" s="15">
        <f>IFERROR(C2/B2-1,"")</f>
        <v>0.05850470269408592</v>
      </c>
      <c r="D16" s="15">
        <f>IFERROR(D2/C2-1,"")</f>
        <v>3.417710843373494</v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0.8951060098836283</v>
      </c>
      <c r="C17" s="15">
        <f>IFERROR(C4/C2,"")</f>
        <v>0.8624096385542169</v>
      </c>
      <c r="D17" s="15">
        <f>IFERROR(D4/D2,"")</f>
        <v>0.9703411787165571</v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-3.461788617886179</v>
      </c>
      <c r="C18" s="15">
        <f>IFERROR(C8/C2,"")</f>
        <v>-3.138132530120482</v>
      </c>
      <c r="D18" s="15">
        <f>IFERROR(D8/D2,"")</f>
        <v>-0.18641421441623243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2026-10-21T01:04:42Z</dcterms:modified>
  <cp:lastModifiedBy>Wang, Eric</cp:lastModifiedBy>
</cp:coreProperties>
</file>