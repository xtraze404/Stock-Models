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Metagenomi Therapeutics Inc</t>
        </is>
      </c>
      <c r="C2" s="10" t="n"/>
    </row>
    <row r="3">
      <c r="B3" t="inlineStr">
        <is>
          <t>Price</t>
        </is>
      </c>
      <c r="C3" s="11">
        <f>INDEX([1]Pharma!$F$1:$F$1000,MATCH("MGX",[1]Pharma!$B$1:$B$1000,0))</f>
        <v>0.8313</v>
      </c>
      <c r="F3" s="1" t="n"/>
    </row>
    <row r="4">
      <c r="B4" t="inlineStr">
        <is>
          <t>Shares</t>
        </is>
      </c>
      <c r="C4" s="21" t="n">
        <v>37.777105</v>
      </c>
      <c r="F4" s="1" t="n"/>
    </row>
    <row r="5">
      <c r="B5" t="inlineStr">
        <is>
          <t>Market Cap.</t>
        </is>
      </c>
      <c r="C5" s="13">
        <f>C3*C4</f>
        <v>31.4041073865</v>
      </c>
      <c r="F5" s="1" t="n"/>
    </row>
    <row r="6"/>
    <row r="7">
      <c r="B7" t="inlineStr">
        <is>
          <t>Cash</t>
        </is>
      </c>
      <c r="C7" s="21">
        <f>39.028+81.636</f>
        <v>120.66399999999999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-89.25989261349999</v>
      </c>
    </row>
    <row r="10"/>
    <row r="11">
      <c r="B11" s="14" t="inlineStr">
        <is>
          <t>Net Cash / Share</t>
        </is>
      </c>
      <c r="C11" s="11">
        <f>(C7-C8)/C4</f>
        <v>3.1941039420569677</v>
      </c>
    </row>
    <row r="12">
      <c r="B12" s="14" t="inlineStr">
        <is>
          <t>Upside</t>
        </is>
      </c>
      <c r="C12" s="15">
        <f>IFERROR(C11/C3-1,"")</f>
        <v>2.8422999423276405</v>
      </c>
    </row>
    <row r="13">
      <c r="B13" s="14" t="inlineStr">
        <is>
          <t>Cash / Share</t>
        </is>
      </c>
      <c r="C13" s="11">
        <f>IFERROR((C7-C8)/C4,"")</f>
        <v>3.1941039420569677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-85.48699999999999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1.411489466234632</v>
      </c>
    </row>
    <row r="19">
      <c r="B19" s="14" t="inlineStr">
        <is>
          <t>Implied Pipeline Value</t>
        </is>
      </c>
      <c r="C19" s="13">
        <f>C9</f>
        <v>-89.25989261349999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44.756</v>
      </c>
      <c r="C2" s="23" t="n">
        <v>52.295</v>
      </c>
      <c r="D2" s="23" t="n">
        <v>25.21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44.756</v>
      </c>
      <c r="C4" s="23">
        <f>C2-C3</f>
        <v>52.295</v>
      </c>
      <c r="D4" s="23">
        <f>D2-D3</f>
        <v>25.21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94.40300000000001</v>
      </c>
      <c r="C5" s="23" t="n">
        <v>109.179</v>
      </c>
      <c r="D5" s="23" t="n">
        <v>94.43300000000001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28.845</v>
      </c>
      <c r="C6" s="23" t="n">
        <v>32.017</v>
      </c>
      <c r="D6" s="23" t="n">
        <v>26.79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123.248</v>
      </c>
      <c r="C7" s="23">
        <f>SUM(C5:C6)</f>
        <v>141.196</v>
      </c>
      <c r="D7" s="23">
        <f>SUM(D5:D6)</f>
        <v>121.22300000000001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-78.492</v>
      </c>
      <c r="C8" s="23">
        <f>C4-C7</f>
        <v>-88.901</v>
      </c>
      <c r="D8" s="23">
        <f>D4-D7</f>
        <v>-96.013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18.264</v>
      </c>
      <c r="C9" s="23" t="n">
        <v>5.33</v>
      </c>
      <c r="D9" s="23" t="n">
        <v>8.087</v>
      </c>
    </row>
    <row r="10">
      <c r="A10" s="2" t="inlineStr">
        <is>
          <t>Pretax</t>
        </is>
      </c>
      <c r="B10" s="23">
        <f>B8+B9</f>
        <v>-60.22800000000001</v>
      </c>
      <c r="C10" s="23">
        <f>C8+C9</f>
        <v>-83.571</v>
      </c>
      <c r="D10" s="23">
        <f>D8+D9</f>
        <v>-87.926</v>
      </c>
      <c r="I10" s="1" t="n"/>
      <c r="J10" s="1" t="n"/>
      <c r="K10" s="1" t="n"/>
    </row>
    <row r="11">
      <c r="A11" s="2" t="inlineStr">
        <is>
          <t>Taxes</t>
        </is>
      </c>
      <c r="B11" s="23" t="n">
        <v>8.026999999999999</v>
      </c>
      <c r="C11" s="23" t="n">
        <v>-5.513</v>
      </c>
      <c r="D11" s="23" t="n">
        <v>-0.058</v>
      </c>
    </row>
    <row r="12">
      <c r="A12" s="2" t="inlineStr">
        <is>
          <t>Net Income</t>
        </is>
      </c>
      <c r="B12" s="23" t="n">
        <v>-68.255</v>
      </c>
      <c r="C12" s="23" t="n">
        <v>-78.05800000000001</v>
      </c>
      <c r="D12" s="23" t="n">
        <v>-87.86799999999999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-20.045521292217327</v>
      </c>
      <c r="C13" s="11">
        <f>IFERROR(C12/C14,0)</f>
        <v>-2.363388639941868</v>
      </c>
      <c r="D13" s="11">
        <f>IFERROR(D12/D14,0)</f>
        <v>-2.3588091594856513</v>
      </c>
    </row>
    <row r="14">
      <c r="A14" s="2" t="inlineStr">
        <is>
          <t>Shares</t>
        </is>
      </c>
      <c r="B14" s="23" t="n">
        <v>3.405</v>
      </c>
      <c r="C14" s="23" t="n">
        <v>33.028</v>
      </c>
      <c r="D14" s="23" t="n">
        <v>37.251</v>
      </c>
    </row>
    <row r="15"/>
    <row r="16" customFormat="1" s="4">
      <c r="A16" s="3" t="inlineStr">
        <is>
          <t>Revenue Change</t>
        </is>
      </c>
      <c r="C16" s="15">
        <f>IFERROR(C2/B2-1,"")</f>
        <v>0.1684466887121281</v>
      </c>
      <c r="D16" s="15">
        <f>IFERROR(D2/C2-1,"")</f>
        <v>-0.5179271440864328</v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-1.7537760300294933</v>
      </c>
      <c r="C18" s="15">
        <f>IFERROR(C8/C2,"")</f>
        <v>-1.699990438856487</v>
      </c>
      <c r="D18" s="15">
        <f>IFERROR(D8/D2,"")</f>
        <v>-3.808528361761206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2026-10-21T06:29:51Z</dcterms:modified>
  <cp:lastModifiedBy>Wang, Eric</cp:lastModifiedBy>
</cp:coreProperties>
</file>