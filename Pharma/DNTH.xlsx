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Dianthus Therapeutics Inc</t>
        </is>
      </c>
      <c r="C2" s="10" t="n"/>
    </row>
    <row r="3">
      <c r="B3" t="inlineStr">
        <is>
          <t>Price</t>
        </is>
      </c>
      <c r="C3" s="11">
        <f>INDEX([1]Pharma!$F$1:$F$1000,MATCH("DNTH",[1]Pharma!$B$1:$B$1000,0))</f>
        <v>78.75</v>
      </c>
      <c r="F3" s="1" t="n"/>
    </row>
    <row r="4">
      <c r="B4" t="inlineStr">
        <is>
          <t>Shares</t>
        </is>
      </c>
      <c r="C4" s="21" t="n">
        <v>55.934378</v>
      </c>
      <c r="F4" s="1" t="n"/>
    </row>
    <row r="5">
      <c r="B5" t="inlineStr">
        <is>
          <t>Market Cap.</t>
        </is>
      </c>
      <c r="C5" s="13">
        <f>C3*C4</f>
        <v>4404.8322675</v>
      </c>
      <c r="F5" s="1" t="n"/>
    </row>
    <row r="6"/>
    <row r="7">
      <c r="B7" t="inlineStr">
        <is>
          <t>Cash</t>
        </is>
      </c>
      <c r="C7" s="21">
        <f>110.549+776.264</f>
        <v>886.813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3518.0192675</v>
      </c>
    </row>
    <row r="10"/>
    <row r="11">
      <c r="B11" s="14" t="inlineStr">
        <is>
          <t>rNPV / Share</t>
        </is>
      </c>
      <c r="C11" s="11">
        <f>NPV!B27</f>
        <v>34.01252467926737</v>
      </c>
    </row>
    <row r="12">
      <c r="B12" s="14" t="inlineStr">
        <is>
          <t>Upside</t>
        </is>
      </c>
      <c r="C12" s="15">
        <f>IFERROR(C11/C3-1,"")</f>
        <v>-0.5680949247077158</v>
      </c>
    </row>
    <row r="13">
      <c r="B13" s="14" t="inlineStr">
        <is>
          <t>Cash / Share</t>
        </is>
      </c>
      <c r="C13" s="11">
        <f>IFERROR((C7-C8)/C4,"")</f>
        <v>15.854525100824397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-155.375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5.707565567176187</v>
      </c>
    </row>
    <row r="19">
      <c r="B19" s="14" t="inlineStr">
        <is>
          <t>Implied Pipeline Value</t>
        </is>
      </c>
      <c r="C19" s="13">
        <f>C9</f>
        <v>3518.0192675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1.476</v>
      </c>
      <c r="H2" s="23" t="n">
        <v>6.417</v>
      </c>
      <c r="I2" s="23" t="n">
        <v>2.826</v>
      </c>
      <c r="J2" s="23" t="n">
        <v>6.235</v>
      </c>
      <c r="K2" s="23" t="n">
        <v>2.036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1.476</v>
      </c>
      <c r="H4" s="23">
        <f>H2-H3</f>
        <v>6.417</v>
      </c>
      <c r="I4" s="23">
        <f>I2-I3</f>
        <v>2.826</v>
      </c>
      <c r="J4" s="23">
        <f>J2-J3</f>
        <v>6.235</v>
      </c>
      <c r="K4" s="23">
        <f>K2-K3</f>
        <v>2.036</v>
      </c>
    </row>
    <row r="5">
      <c r="A5" s="2" t="inlineStr">
        <is>
          <t>Research &amp; Dev.</t>
        </is>
      </c>
      <c r="B5" s="23" t="n">
        <v>5.782</v>
      </c>
      <c r="C5" s="23" t="n">
        <v>27.899</v>
      </c>
      <c r="D5" s="23" t="n">
        <v>41.34</v>
      </c>
      <c r="E5" s="23" t="n">
        <v>59.208</v>
      </c>
      <c r="F5" s="23" t="n">
        <v>50.615</v>
      </c>
      <c r="G5" s="23" t="n">
        <v>12.606</v>
      </c>
      <c r="H5" s="23" t="n">
        <v>29.379</v>
      </c>
      <c r="I5" s="23" t="n">
        <v>32.841</v>
      </c>
      <c r="J5" s="23" t="n">
        <v>83.105</v>
      </c>
      <c r="K5" s="23" t="n">
        <v>145.638</v>
      </c>
    </row>
    <row r="6">
      <c r="A6" s="19" t="inlineStr">
        <is>
          <t>SG&amp;A &amp; Other</t>
        </is>
      </c>
      <c r="B6" s="23" t="n">
        <v>3.486</v>
      </c>
      <c r="C6" s="23" t="n">
        <v>7.828</v>
      </c>
      <c r="D6" s="23" t="n">
        <v>18.623</v>
      </c>
      <c r="E6" s="23" t="n">
        <v>23.761</v>
      </c>
      <c r="F6" s="23" t="n">
        <v>28.087</v>
      </c>
      <c r="G6" s="23" t="n">
        <v>1.956</v>
      </c>
      <c r="H6" s="23" t="n">
        <v>6.743</v>
      </c>
      <c r="I6" s="23" t="n">
        <v>18.159</v>
      </c>
      <c r="J6" s="23" t="n">
        <v>24.994</v>
      </c>
      <c r="K6" s="23" t="n">
        <v>34.331</v>
      </c>
    </row>
    <row r="7">
      <c r="A7" s="2" t="inlineStr">
        <is>
          <t>Operating Expense</t>
        </is>
      </c>
      <c r="B7" s="23">
        <f>SUM(B5:B6)</f>
        <v>9.268</v>
      </c>
      <c r="C7" s="23">
        <f>SUM(C5:C6)</f>
        <v>35.727000000000004</v>
      </c>
      <c r="D7" s="23">
        <f>SUM(D5:D6)</f>
        <v>59.96300000000001</v>
      </c>
      <c r="E7" s="23">
        <f>SUM(E5:E6)</f>
        <v>82.969</v>
      </c>
      <c r="F7" s="23">
        <f>SUM(F5:F6)</f>
        <v>78.702</v>
      </c>
      <c r="G7" s="23">
        <f>SUM(G5:G6)</f>
        <v>14.562</v>
      </c>
      <c r="H7" s="23">
        <f>SUM(H5:H6)</f>
        <v>36.122</v>
      </c>
      <c r="I7" s="23">
        <f>SUM(I5:I6)</f>
        <v>51.0</v>
      </c>
      <c r="J7" s="23">
        <f>SUM(J5:J6)</f>
        <v>108.099</v>
      </c>
      <c r="K7" s="23">
        <f>SUM(K5:K6)</f>
        <v>179.969</v>
      </c>
    </row>
    <row r="8">
      <c r="A8" s="2" t="inlineStr">
        <is>
          <t>Operating Income</t>
        </is>
      </c>
      <c r="B8" s="23">
        <f>B4-B7</f>
        <v>-9.268</v>
      </c>
      <c r="C8" s="23">
        <f>C4-C7</f>
        <v>-35.727000000000004</v>
      </c>
      <c r="D8" s="23">
        <f>D4-D7</f>
        <v>-59.96300000000001</v>
      </c>
      <c r="E8" s="23">
        <f>E4-E7</f>
        <v>-82.969</v>
      </c>
      <c r="F8" s="23">
        <f>F4-F7</f>
        <v>-78.702</v>
      </c>
      <c r="G8" s="23">
        <f>G4-G7</f>
        <v>-13.085999999999999</v>
      </c>
      <c r="H8" s="23">
        <f>H4-H7</f>
        <v>-29.705</v>
      </c>
      <c r="I8" s="23">
        <f>I4-I7</f>
        <v>-48.174</v>
      </c>
      <c r="J8" s="23">
        <f>J4-J7</f>
        <v>-101.864</v>
      </c>
      <c r="K8" s="23">
        <f>K4-K7</f>
        <v>-177.933</v>
      </c>
    </row>
    <row r="9">
      <c r="A9" s="19" t="inlineStr">
        <is>
          <t>Interest &amp; Other</t>
        </is>
      </c>
      <c r="B9" s="23" t="n">
        <v>-0.163</v>
      </c>
      <c r="C9" s="23" t="n">
        <v>0.236</v>
      </c>
      <c r="D9" s="23" t="n">
        <v>2.448</v>
      </c>
      <c r="E9" s="23" t="n">
        <v>6.2</v>
      </c>
      <c r="F9" s="23" t="n">
        <v>3.766</v>
      </c>
      <c r="G9" s="23" t="n">
        <v>-0.023</v>
      </c>
      <c r="H9" s="23" t="n">
        <v>1.229</v>
      </c>
      <c r="I9" s="23" t="n">
        <v>4.629</v>
      </c>
      <c r="J9" s="23" t="n">
        <v>16.895</v>
      </c>
      <c r="K9" s="23" t="n">
        <v>15.596</v>
      </c>
    </row>
    <row r="10">
      <c r="A10" s="2" t="inlineStr">
        <is>
          <t>Pretax</t>
        </is>
      </c>
      <c r="B10" s="23">
        <f>B8+B9</f>
        <v>-9.431000000000001</v>
      </c>
      <c r="C10" s="23">
        <f>C8+C9</f>
        <v>-35.49100000000001</v>
      </c>
      <c r="D10" s="23">
        <f>D8+D9</f>
        <v>-57.51500000000001</v>
      </c>
      <c r="E10" s="23">
        <f>E8+E9</f>
        <v>-76.76899999999999</v>
      </c>
      <c r="F10" s="23">
        <f>F8+F9</f>
        <v>-74.93599999999999</v>
      </c>
      <c r="G10" s="23">
        <f>G8+G9</f>
        <v>-13.108999999999998</v>
      </c>
      <c r="H10" s="23">
        <f>H8+H9</f>
        <v>-28.476</v>
      </c>
      <c r="I10" s="23">
        <f>I8+I9</f>
        <v>-43.545</v>
      </c>
      <c r="J10" s="23">
        <f>J8+J9</f>
        <v>-84.96900000000001</v>
      </c>
      <c r="K10" s="23">
        <f>K8+K9</f>
        <v>-162.337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-9.430999999999999</v>
      </c>
      <c r="C12" s="23" t="n">
        <v>-35.491</v>
      </c>
      <c r="D12" s="23" t="n">
        <v>-57.515</v>
      </c>
      <c r="E12" s="23" t="n">
        <v>-76.76900000000001</v>
      </c>
      <c r="F12" s="23" t="n">
        <v>-74.93600000000001</v>
      </c>
      <c r="G12" s="23" t="n">
        <v>-13.109</v>
      </c>
      <c r="H12" s="23" t="n">
        <v>-28.476</v>
      </c>
      <c r="I12" s="23" t="n">
        <v>-43.545</v>
      </c>
      <c r="J12" s="23" t="n">
        <v>-84.96899999999999</v>
      </c>
      <c r="K12" s="23" t="n">
        <v>-162.337</v>
      </c>
    </row>
    <row r="13">
      <c r="A13" s="2" t="inlineStr">
        <is>
          <t>Earnings per Share</t>
        </is>
      </c>
      <c r="B13" s="11">
        <f>IFERROR(B12/B14,0)</f>
        <v>-26.270194986072422</v>
      </c>
      <c r="C13" s="11">
        <f>IFERROR(C12/C14,0)</f>
        <v>-7.9629795826789325</v>
      </c>
      <c r="D13" s="11">
        <f>IFERROR(D12/D14,0)</f>
        <v>-13.03308406979379</v>
      </c>
      <c r="E13" s="11">
        <f>IFERROR(E12/E14,0)</f>
        <v>-17.282530391715444</v>
      </c>
      <c r="F13" s="11">
        <f>IFERROR(F12/F14,0)</f>
        <v>-14.21935483870968</v>
      </c>
      <c r="G13" s="11">
        <f>IFERROR(G12/G14,0)</f>
        <v>-2.5012402213318072</v>
      </c>
      <c r="H13" s="11">
        <f>IFERROR(H12/H14,0)</f>
        <v>-5.429170638703527</v>
      </c>
      <c r="I13" s="11">
        <f>IFERROR(I12/I14,0)</f>
        <v>-8.450417232679992</v>
      </c>
      <c r="J13" s="11">
        <f>IFERROR(J12/J14,0)</f>
        <v>-2.5505493186047907</v>
      </c>
      <c r="K13" s="11">
        <f>IFERROR(K12/K14,0)</f>
        <v>-4.203661504997669</v>
      </c>
    </row>
    <row r="14">
      <c r="A14" s="2" t="inlineStr">
        <is>
          <t>Shares</t>
        </is>
      </c>
      <c r="B14" s="23" t="n">
        <v>0.359</v>
      </c>
      <c r="C14" s="23" t="n">
        <v>4.457</v>
      </c>
      <c r="D14" s="23" t="n">
        <v>4.413</v>
      </c>
      <c r="E14" s="23" t="n">
        <v>4.442</v>
      </c>
      <c r="F14" s="23" t="n">
        <v>5.27</v>
      </c>
      <c r="G14" s="23" t="n">
        <v>5.241</v>
      </c>
      <c r="H14" s="23" t="n">
        <v>5.245</v>
      </c>
      <c r="I14" s="23" t="n">
        <v>5.153</v>
      </c>
      <c r="J14" s="23" t="n">
        <v>33.314</v>
      </c>
      <c r="K14" s="23" t="n">
        <v>38.618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3.347560975609756</v>
      </c>
      <c r="I16" s="15">
        <f>IFERROR(I2/H2-1,"")</f>
        <v>-0.5596072931276297</v>
      </c>
      <c r="J16" s="15">
        <f>IFERROR(J2/I2-1,"")</f>
        <v>1.2062986553432413</v>
      </c>
      <c r="K16" s="15">
        <f>IFERROR(K2/J2-1,"")</f>
        <v>-0.6734562951082599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-8.865853658536585</v>
      </c>
      <c r="H18" s="15">
        <f>IFERROR(H8/H2,"")</f>
        <v>-4.629110176094748</v>
      </c>
      <c r="I18" s="15">
        <f>IFERROR(I8/I2,"")</f>
        <v>-17.046709129511676</v>
      </c>
      <c r="J18" s="15">
        <f>IFERROR(J8/J2,"")</f>
        <v>-16.337449879711308</v>
      </c>
      <c r="K18" s="15">
        <f>IFERROR(K8/K2,"")</f>
        <v>-87.39341846758349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Dianthus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0.76543588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217.844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586.6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1015.65641214447</v>
      </c>
      <c r="C29" s="42">
        <f>NPV!B25</f>
        <v>1902.46941214447</v>
      </c>
      <c r="D29" s="43">
        <f>NPV!B27</f>
        <v>34.01252467926737</v>
      </c>
      <c r="E29" s="44">
        <f>NPV!B29</f>
        <v>-0.5680949247077158</v>
      </c>
    </row>
    <row r="30">
      <c r="A30" s="45" t="n">
        <v>1</v>
      </c>
      <c r="B30" s="46">
        <f t="dataTable" ref="B30:E32" r1="B4"/>
        <v>104.80307908959841</v>
      </c>
      <c r="C30" s="46">
        <v>991.6160790895984</v>
      </c>
      <c r="D30" s="47">
        <v>17.72820427340049</v>
      </c>
      <c r="E30" s="48">
        <v>-0.774879945734597</v>
      </c>
    </row>
    <row r="31">
      <c r="A31" s="45" t="n">
        <v>2</v>
      </c>
      <c r="B31" s="46">
        <v>1015.65641214447</v>
      </c>
      <c r="C31" s="46">
        <v>1902.46941214447</v>
      </c>
      <c r="D31" s="47">
        <v>34.01252467926737</v>
      </c>
      <c r="E31" s="48">
        <v>-0.5680949247077158</v>
      </c>
    </row>
    <row r="32">
      <c r="A32" s="45" t="n">
        <v>3</v>
      </c>
      <c r="B32" s="46">
        <v>2416.0671017130585</v>
      </c>
      <c r="C32" s="46">
        <v>3302.8801017130586</v>
      </c>
      <c r="D32" s="47">
        <v>59.049196930607835</v>
      </c>
      <c r="E32" s="48">
        <v>-0.2501689278652973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34.01252467926737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14.616094969948401</v>
      </c>
      <c r="C37" s="47">
        <v>19.240074242419254</v>
      </c>
      <c r="D37" s="47">
        <v>23.705020714827548</v>
      </c>
      <c r="E37" s="47">
        <v>32.451119016434035</v>
      </c>
      <c r="F37" s="47">
        <v>41.10977164497091</v>
      </c>
    </row>
    <row r="38">
      <c r="A38" s="50" t="n">
        <v>0.8</v>
      </c>
      <c r="B38" s="47">
        <v>16.956519027163733</v>
      </c>
      <c r="C38" s="47">
        <v>22.963391712762782</v>
      </c>
      <c r="D38" s="47">
        <v>28.82858304136117</v>
      </c>
      <c r="E38" s="47">
        <v>40.397002918371804</v>
      </c>
      <c r="F38" s="47">
        <v>51.879805396526926</v>
      </c>
    </row>
    <row r="39">
      <c r="A39" s="50" t="n">
        <v>1</v>
      </c>
      <c r="B39" s="47">
        <v>19.35113618244673</v>
      </c>
      <c r="C39" s="47">
        <v>26.748592158955468</v>
      </c>
      <c r="D39" s="47">
        <v>34.01252467926737</v>
      </c>
      <c r="E39" s="47">
        <v>48.40888539720738</v>
      </c>
      <c r="F39" s="47">
        <v>62.7244558144055</v>
      </c>
    </row>
    <row r="40">
      <c r="A40" s="50" t="n">
        <v>1.2</v>
      </c>
      <c r="B40" s="47">
        <v>21.824470209733832</v>
      </c>
      <c r="C40" s="47">
        <v>30.620833145150133</v>
      </c>
      <c r="D40" s="47">
        <v>39.30280489411071</v>
      </c>
      <c r="E40" s="47">
        <v>56.53260401996875</v>
      </c>
      <c r="F40" s="47">
        <v>73.65743904024866</v>
      </c>
    </row>
    <row r="41">
      <c r="A41" s="50" t="n">
        <v>1.4</v>
      </c>
      <c r="B41" s="47">
        <v>24.391728787278602</v>
      </c>
      <c r="C41" s="47">
        <v>34.5820742013068</v>
      </c>
      <c r="D41" s="47">
        <v>44.66911853509359</v>
      </c>
      <c r="E41" s="47">
        <v>64.7229364122425</v>
      </c>
      <c r="F41" s="47">
        <v>84.70146666134637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Dianthus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Myasthenia gravis / neuromuscular</t>
        </is>
      </c>
      <c r="C4" s="14" t="inlineStr">
        <is>
          <t>Claseprubart</t>
        </is>
      </c>
      <c r="D4" s="14" t="inlineStr">
        <is>
          <t>Phase 3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1500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1216.3440841125987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84.795</v>
      </c>
      <c r="Q4" s="23">
        <f>IF(Q$3&lt;$I4,0,$G4*Assumptions!$E$11*INDEX(Assumptions!$B$24:$G$24,MIN(6,Q$3-$I4+1))*IF(Q$3&gt;$J4,(1-Assumptions!$B$26)^(Q$3-$J4),1)*IF($H4&gt;=1,1,MIN(0.97,$H4*Assumptions!$E$12)))</f>
        <v>211.9875</v>
      </c>
      <c r="R4" s="23">
        <f>IF(R$3&lt;$I4,0,$G4*Assumptions!$E$11*INDEX(Assumptions!$B$24:$G$24,MIN(6,R$3-$I4+1))*IF(R$3&gt;$J4,(1-Assumptions!$B$26)^(R$3-$J4),1)*IF($H4&gt;=1,1,MIN(0.97,$H4*Assumptions!$E$12)))</f>
        <v>381.57750000000004</v>
      </c>
      <c r="S4" s="23">
        <f>IF(S$3&lt;$I4,0,$G4*Assumptions!$E$11*INDEX(Assumptions!$B$24:$G$24,MIN(6,S$3-$I4+1))*IF(S$3&gt;$J4,(1-Assumptions!$B$26)^(S$3-$J4),1)*IF($H4&gt;=1,1,MIN(0.97,$H4*Assumptions!$E$12)))</f>
        <v>551.1675</v>
      </c>
      <c r="T4" s="23">
        <f>IF(T$3&lt;$I4,0,$G4*Assumptions!$E$11*INDEX(Assumptions!$B$24:$G$24,MIN(6,T$3-$I4+1))*IF(T$3&gt;$J4,(1-Assumptions!$B$26)^(T$3-$J4),1)*IF($H4&gt;=1,1,MIN(0.97,$H4*Assumptions!$E$12)))</f>
        <v>720.7575</v>
      </c>
      <c r="U4" s="23">
        <f>IF(U$3&lt;$I4,0,$G4*Assumptions!$E$11*INDEX(Assumptions!$B$24:$G$24,MIN(6,U$3-$I4+1))*IF(U$3&gt;$J4,(1-Assumptions!$B$26)^(U$3-$J4),1)*IF($H4&gt;=1,1,MIN(0.97,$H4*Assumptions!$E$12)))</f>
        <v>847.95</v>
      </c>
      <c r="V4" s="23">
        <f>IF(V$3&lt;$I4,0,$G4*Assumptions!$E$11*INDEX(Assumptions!$B$24:$G$24,MIN(6,V$3-$I4+1))*IF(V$3&gt;$J4,(1-Assumptions!$B$26)^(V$3-$J4),1)*IF($H4&gt;=1,1,MIN(0.97,$H4*Assumptions!$E$12)))</f>
        <v>847.95</v>
      </c>
      <c r="W4" s="23">
        <f>IF(W$3&lt;$I4,0,$G4*Assumptions!$E$11*INDEX(Assumptions!$B$24:$G$24,MIN(6,W$3-$I4+1))*IF(W$3&gt;$J4,(1-Assumptions!$B$26)^(W$3-$J4),1)*IF($H4&gt;=1,1,MIN(0.97,$H4*Assumptions!$E$12)))</f>
        <v>847.95</v>
      </c>
      <c r="X4" s="23">
        <f>IF(X$3&lt;$I4,0,$G4*Assumptions!$E$11*INDEX(Assumptions!$B$24:$G$24,MIN(6,X$3-$I4+1))*IF(X$3&gt;$J4,(1-Assumptions!$B$26)^(X$3-$J4),1)*IF($H4&gt;=1,1,MIN(0.97,$H4*Assumptions!$E$12)))</f>
        <v>847.95</v>
      </c>
      <c r="Y4" s="23">
        <f>IF(Y$3&lt;$I4,0,$G4*Assumptions!$E$11*INDEX(Assumptions!$B$24:$G$24,MIN(6,Y$3-$I4+1))*IF(Y$3&gt;$J4,(1-Assumptions!$B$26)^(Y$3-$J4),1)*IF($H4&gt;=1,1,MIN(0.97,$H4*Assumptions!$E$12)))</f>
        <v>847.95</v>
      </c>
      <c r="Z4" s="23">
        <f>IF(Z$3&lt;$I4,0,$G4*Assumptions!$E$11*INDEX(Assumptions!$B$24:$G$24,MIN(6,Z$3-$I4+1))*IF(Z$3&gt;$J4,(1-Assumptions!$B$26)^(Z$3-$J4),1)*IF($H4&gt;=1,1,MIN(0.97,$H4*Assumptions!$E$12)))</f>
        <v>847.95</v>
      </c>
      <c r="AA4" s="23">
        <f>IF(AA$3&lt;$I4,0,$G4*Assumptions!$E$11*INDEX(Assumptions!$B$24:$G$24,MIN(6,AA$3-$I4+1))*IF(AA$3&gt;$J4,(1-Assumptions!$B$26)^(AA$3-$J4),1)*IF($H4&gt;=1,1,MIN(0.97,$H4*Assumptions!$E$12)))</f>
        <v>847.95</v>
      </c>
      <c r="AB4" s="23">
        <f>IF(AB$3&lt;$I4,0,$G4*Assumptions!$E$11*INDEX(Assumptions!$B$24:$G$24,MIN(6,AB$3-$I4+1))*IF(AB$3&gt;$J4,(1-Assumptions!$B$26)^(AB$3-$J4),1)*IF($H4&gt;=1,1,MIN(0.97,$H4*Assumptions!$E$12)))</f>
        <v>847.95</v>
      </c>
      <c r="AC4" s="23">
        <f>IF(AC$3&lt;$I4,0,$G4*Assumptions!$E$11*INDEX(Assumptions!$B$24:$G$24,MIN(6,AC$3-$I4+1))*IF(AC$3&gt;$J4,(1-Assumptions!$B$26)^(AC$3-$J4),1)*IF($H4&gt;=1,1,MIN(0.97,$H4*Assumptions!$E$12)))</f>
        <v>423.975</v>
      </c>
      <c r="AD4" s="23">
        <f>IF(AD$3&lt;$I4,0,$G4*Assumptions!$E$11*INDEX(Assumptions!$B$24:$G$24,MIN(6,AD$3-$I4+1))*IF(AD$3&gt;$J4,(1-Assumptions!$B$26)^(AD$3-$J4),1)*IF($H4&gt;=1,1,MIN(0.97,$H4*Assumptions!$E$12)))</f>
        <v>211.9875</v>
      </c>
      <c r="AE4" s="23">
        <f>IF(AE$3&lt;$I4,0,$G4*Assumptions!$E$11*INDEX(Assumptions!$B$24:$G$24,MIN(6,AE$3-$I4+1))*IF(AE$3&gt;$J4,(1-Assumptions!$B$26)^(AE$3-$J4),1)*IF($H4&gt;=1,1,MIN(0.97,$H4*Assumptions!$E$12)))</f>
        <v>105.99375</v>
      </c>
      <c r="AF4" s="23">
        <f>IF(AF$3&lt;$I4,0,$G4*Assumptions!$E$11*INDEX(Assumptions!$B$24:$G$24,MIN(6,AF$3-$I4+1))*IF(AF$3&gt;$J4,(1-Assumptions!$B$26)^(AF$3-$J4),1)*IF($H4&gt;=1,1,MIN(0.97,$H4*Assumptions!$E$12)))</f>
        <v>52.996875</v>
      </c>
      <c r="AG4" s="35">
        <f>IF(F4="Owned",1-IF(H4&gt;=1,1,MIN(0.97,H4*Assumptions!$E$12)),1)</f>
        <v>0.4347</v>
      </c>
    </row>
    <row r="5">
      <c r="A5" s="39" t="n">
        <v>2</v>
      </c>
      <c r="B5" s="14" t="inlineStr">
        <is>
          <t>Migraine / pain</t>
        </is>
      </c>
      <c r="C5" s="14" t="inlineStr">
        <is>
          <t>Claseprubart</t>
        </is>
      </c>
      <c r="D5" s="14" t="inlineStr">
        <is>
          <t>Phase 3</t>
        </is>
      </c>
      <c r="E5" s="14" t="inlineStr">
        <is>
          <t>Neurology / area</t>
        </is>
      </c>
      <c r="F5" s="14" t="inlineStr">
        <is>
          <t>Owned</t>
        </is>
      </c>
      <c r="G5" s="40" t="n">
        <v>1200</v>
      </c>
      <c r="H5" s="27" t="n">
        <v>0.4604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792.5063737136959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55.248</v>
      </c>
      <c r="Q5" s="23">
        <f>IF(Q$3&lt;$I5,0,$G5*Assumptions!$E$11*INDEX(Assumptions!$B$24:$G$24,MIN(6,Q$3-$I5+1))*IF(Q$3&gt;$J5,(1-Assumptions!$B$26)^(Q$3-$J5),1)*IF($H5&gt;=1,1,MIN(0.97,$H5*Assumptions!$E$12)))</f>
        <v>138.12</v>
      </c>
      <c r="R5" s="23">
        <f>IF(R$3&lt;$I5,0,$G5*Assumptions!$E$11*INDEX(Assumptions!$B$24:$G$24,MIN(6,R$3-$I5+1))*IF(R$3&gt;$J5,(1-Assumptions!$B$26)^(R$3-$J5),1)*IF($H5&gt;=1,1,MIN(0.97,$H5*Assumptions!$E$12)))</f>
        <v>248.61599999999999</v>
      </c>
      <c r="S5" s="23">
        <f>IF(S$3&lt;$I5,0,$G5*Assumptions!$E$11*INDEX(Assumptions!$B$24:$G$24,MIN(6,S$3-$I5+1))*IF(S$3&gt;$J5,(1-Assumptions!$B$26)^(S$3-$J5),1)*IF($H5&gt;=1,1,MIN(0.97,$H5*Assumptions!$E$12)))</f>
        <v>359.11199999999997</v>
      </c>
      <c r="T5" s="23">
        <f>IF(T$3&lt;$I5,0,$G5*Assumptions!$E$11*INDEX(Assumptions!$B$24:$G$24,MIN(6,T$3-$I5+1))*IF(T$3&gt;$J5,(1-Assumptions!$B$26)^(T$3-$J5),1)*IF($H5&gt;=1,1,MIN(0.97,$H5*Assumptions!$E$12)))</f>
        <v>469.60799999999995</v>
      </c>
      <c r="U5" s="23">
        <f>IF(U$3&lt;$I5,0,$G5*Assumptions!$E$11*INDEX(Assumptions!$B$24:$G$24,MIN(6,U$3-$I5+1))*IF(U$3&gt;$J5,(1-Assumptions!$B$26)^(U$3-$J5),1)*IF($H5&gt;=1,1,MIN(0.97,$H5*Assumptions!$E$12)))</f>
        <v>552.48</v>
      </c>
      <c r="V5" s="23">
        <f>IF(V$3&lt;$I5,0,$G5*Assumptions!$E$11*INDEX(Assumptions!$B$24:$G$24,MIN(6,V$3-$I5+1))*IF(V$3&gt;$J5,(1-Assumptions!$B$26)^(V$3-$J5),1)*IF($H5&gt;=1,1,MIN(0.97,$H5*Assumptions!$E$12)))</f>
        <v>552.48</v>
      </c>
      <c r="W5" s="23">
        <f>IF(W$3&lt;$I5,0,$G5*Assumptions!$E$11*INDEX(Assumptions!$B$24:$G$24,MIN(6,W$3-$I5+1))*IF(W$3&gt;$J5,(1-Assumptions!$B$26)^(W$3-$J5),1)*IF($H5&gt;=1,1,MIN(0.97,$H5*Assumptions!$E$12)))</f>
        <v>552.48</v>
      </c>
      <c r="X5" s="23">
        <f>IF(X$3&lt;$I5,0,$G5*Assumptions!$E$11*INDEX(Assumptions!$B$24:$G$24,MIN(6,X$3-$I5+1))*IF(X$3&gt;$J5,(1-Assumptions!$B$26)^(X$3-$J5),1)*IF($H5&gt;=1,1,MIN(0.97,$H5*Assumptions!$E$12)))</f>
        <v>552.48</v>
      </c>
      <c r="Y5" s="23">
        <f>IF(Y$3&lt;$I5,0,$G5*Assumptions!$E$11*INDEX(Assumptions!$B$24:$G$24,MIN(6,Y$3-$I5+1))*IF(Y$3&gt;$J5,(1-Assumptions!$B$26)^(Y$3-$J5),1)*IF($H5&gt;=1,1,MIN(0.97,$H5*Assumptions!$E$12)))</f>
        <v>552.48</v>
      </c>
      <c r="Z5" s="23">
        <f>IF(Z$3&lt;$I5,0,$G5*Assumptions!$E$11*INDEX(Assumptions!$B$24:$G$24,MIN(6,Z$3-$I5+1))*IF(Z$3&gt;$J5,(1-Assumptions!$B$26)^(Z$3-$J5),1)*IF($H5&gt;=1,1,MIN(0.97,$H5*Assumptions!$E$12)))</f>
        <v>552.48</v>
      </c>
      <c r="AA5" s="23">
        <f>IF(AA$3&lt;$I5,0,$G5*Assumptions!$E$11*INDEX(Assumptions!$B$24:$G$24,MIN(6,AA$3-$I5+1))*IF(AA$3&gt;$J5,(1-Assumptions!$B$26)^(AA$3-$J5),1)*IF($H5&gt;=1,1,MIN(0.97,$H5*Assumptions!$E$12)))</f>
        <v>552.48</v>
      </c>
      <c r="AB5" s="23">
        <f>IF(AB$3&lt;$I5,0,$G5*Assumptions!$E$11*INDEX(Assumptions!$B$24:$G$24,MIN(6,AB$3-$I5+1))*IF(AB$3&gt;$J5,(1-Assumptions!$B$26)^(AB$3-$J5),1)*IF($H5&gt;=1,1,MIN(0.97,$H5*Assumptions!$E$12)))</f>
        <v>552.48</v>
      </c>
      <c r="AC5" s="23">
        <f>IF(AC$3&lt;$I5,0,$G5*Assumptions!$E$11*INDEX(Assumptions!$B$24:$G$24,MIN(6,AC$3-$I5+1))*IF(AC$3&gt;$J5,(1-Assumptions!$B$26)^(AC$3-$J5),1)*IF($H5&gt;=1,1,MIN(0.97,$H5*Assumptions!$E$12)))</f>
        <v>276.24</v>
      </c>
      <c r="AD5" s="23">
        <f>IF(AD$3&lt;$I5,0,$G5*Assumptions!$E$11*INDEX(Assumptions!$B$24:$G$24,MIN(6,AD$3-$I5+1))*IF(AD$3&gt;$J5,(1-Assumptions!$B$26)^(AD$3-$J5),1)*IF($H5&gt;=1,1,MIN(0.97,$H5*Assumptions!$E$12)))</f>
        <v>138.12</v>
      </c>
      <c r="AE5" s="23">
        <f>IF(AE$3&lt;$I5,0,$G5*Assumptions!$E$11*INDEX(Assumptions!$B$24:$G$24,MIN(6,AE$3-$I5+1))*IF(AE$3&gt;$J5,(1-Assumptions!$B$26)^(AE$3-$J5),1)*IF($H5&gt;=1,1,MIN(0.97,$H5*Assumptions!$E$12)))</f>
        <v>69.06</v>
      </c>
      <c r="AF5" s="23">
        <f>IF(AF$3&lt;$I5,0,$G5*Assumptions!$E$11*INDEX(Assumptions!$B$24:$G$24,MIN(6,AF$3-$I5+1))*IF(AF$3&gt;$J5,(1-Assumptions!$B$26)^(AF$3-$J5),1)*IF($H5&gt;=1,1,MIN(0.97,$H5*Assumptions!$E$12)))</f>
        <v>34.53</v>
      </c>
      <c r="AG5" s="35">
        <f>IF(F5="Owned",1-IF(H5&gt;=1,1,MIN(0.97,H5*Assumptions!$E$12)),1)</f>
        <v>0.5396000000000001</v>
      </c>
    </row>
    <row r="6">
      <c r="B6" s="24" t="inlineStr">
        <is>
          <t>Risked revenue</t>
        </is>
      </c>
      <c r="L6" s="54">
        <f>SUM(L4:L5)</f>
        <v>2008.8504578262946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140.043</v>
      </c>
      <c r="Q6" s="54">
        <f>SUM(Q4:Q5)</f>
        <v>350.1075</v>
      </c>
      <c r="R6" s="54">
        <f>SUM(R4:R5)</f>
        <v>630.1935000000001</v>
      </c>
      <c r="S6" s="54">
        <f>SUM(S4:S5)</f>
        <v>910.2795</v>
      </c>
      <c r="T6" s="54">
        <f>SUM(T4:T5)</f>
        <v>1190.3654999999999</v>
      </c>
      <c r="U6" s="54">
        <f>SUM(U4:U5)</f>
        <v>1400.43</v>
      </c>
      <c r="V6" s="54">
        <f>SUM(V4:V5)</f>
        <v>1400.43</v>
      </c>
      <c r="W6" s="54">
        <f>SUM(W4:W5)</f>
        <v>1400.43</v>
      </c>
      <c r="X6" s="54">
        <f>SUM(X4:X5)</f>
        <v>1400.43</v>
      </c>
      <c r="Y6" s="54">
        <f>SUM(Y4:Y5)</f>
        <v>1400.43</v>
      </c>
      <c r="Z6" s="54">
        <f>SUM(Z4:Z5)</f>
        <v>1400.43</v>
      </c>
      <c r="AA6" s="54">
        <f>SUM(AA4:AA5)</f>
        <v>1400.43</v>
      </c>
      <c r="AB6" s="54">
        <f>SUM(AB4:AB5)</f>
        <v>1400.43</v>
      </c>
      <c r="AC6" s="54">
        <f>SUM(AC4:AC5)</f>
        <v>700.215</v>
      </c>
      <c r="AD6" s="54">
        <f>SUM(AD4:AD5)</f>
        <v>350.1075</v>
      </c>
      <c r="AE6" s="54">
        <f>SUM(AE4:AE5)</f>
        <v>175.05375</v>
      </c>
      <c r="AF6" s="54">
        <f>SUM(AF4:AF5)</f>
        <v>87.526875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56.0172</v>
      </c>
      <c r="Q7" s="55">
        <f>SUMPRODUCT(Q4:Q5,$K$4:$K$5)</f>
        <v>140.043</v>
      </c>
      <c r="R7" s="55">
        <f>SUMPRODUCT(R4:R5,$K$4:$K$5)</f>
        <v>252.0774</v>
      </c>
      <c r="S7" s="55">
        <f>SUMPRODUCT(S4:S5,$K$4:$K$5)</f>
        <v>364.1118</v>
      </c>
      <c r="T7" s="55">
        <f>SUMPRODUCT(T4:T5,$K$4:$K$5)</f>
        <v>476.1462</v>
      </c>
      <c r="U7" s="55">
        <f>SUMPRODUCT(U4:U5,$K$4:$K$5)</f>
        <v>560.172</v>
      </c>
      <c r="V7" s="55">
        <f>SUMPRODUCT(V4:V5,$K$4:$K$5)</f>
        <v>560.172</v>
      </c>
      <c r="W7" s="55">
        <f>SUMPRODUCT(W4:W5,$K$4:$K$5)</f>
        <v>560.172</v>
      </c>
      <c r="X7" s="55">
        <f>SUMPRODUCT(X4:X5,$K$4:$K$5)</f>
        <v>560.172</v>
      </c>
      <c r="Y7" s="55">
        <f>SUMPRODUCT(Y4:Y5,$K$4:$K$5)</f>
        <v>560.172</v>
      </c>
      <c r="Z7" s="55">
        <f>SUMPRODUCT(Z4:Z5,$K$4:$K$5)</f>
        <v>560.172</v>
      </c>
      <c r="AA7" s="55">
        <f>SUMPRODUCT(AA4:AA5,$K$4:$K$5)</f>
        <v>560.172</v>
      </c>
      <c r="AB7" s="55">
        <f>SUMPRODUCT(AB4:AB5,$K$4:$K$5)</f>
        <v>560.172</v>
      </c>
      <c r="AC7" s="55">
        <f>SUMPRODUCT(AC4:AC5,$K$4:$K$5)</f>
        <v>280.086</v>
      </c>
      <c r="AD7" s="55">
        <f>SUMPRODUCT(AD4:AD5,$K$4:$K$5)</f>
        <v>140.043</v>
      </c>
      <c r="AE7" s="55">
        <f>SUMPRODUCT(AE4:AE5,$K$4:$K$5)</f>
        <v>70.0215</v>
      </c>
      <c r="AF7" s="55">
        <f>SUMPRODUCT(AF4:AF5,$K$4:$K$5)</f>
        <v>35.01075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Dianthus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140.043</v>
      </c>
      <c r="G4" s="57">
        <f>Pipeline!Q6</f>
        <v>350.1075</v>
      </c>
      <c r="H4" s="57">
        <f>Pipeline!R6</f>
        <v>630.1935000000001</v>
      </c>
      <c r="I4" s="57">
        <f>Pipeline!S6</f>
        <v>910.2795</v>
      </c>
      <c r="J4" s="57">
        <f>Pipeline!T6</f>
        <v>1190.3654999999999</v>
      </c>
      <c r="K4" s="57">
        <f>Pipeline!U6</f>
        <v>1400.43</v>
      </c>
      <c r="L4" s="57">
        <f>Pipeline!V6</f>
        <v>1400.43</v>
      </c>
      <c r="M4" s="57">
        <f>Pipeline!W6</f>
        <v>1400.43</v>
      </c>
      <c r="N4" s="57">
        <f>Pipeline!X6</f>
        <v>1400.43</v>
      </c>
      <c r="O4" s="57">
        <f>Pipeline!Y6</f>
        <v>1400.43</v>
      </c>
      <c r="P4" s="57">
        <f>Pipeline!Z6</f>
        <v>1400.43</v>
      </c>
      <c r="Q4" s="57">
        <f>Pipeline!AA6</f>
        <v>1400.43</v>
      </c>
      <c r="R4" s="57">
        <f>Pipeline!AB6</f>
        <v>1400.43</v>
      </c>
      <c r="S4" s="57">
        <f>Pipeline!AC6</f>
        <v>700.215</v>
      </c>
      <c r="T4" s="57">
        <f>Pipeline!AD6</f>
        <v>350.1075</v>
      </c>
      <c r="U4" s="57">
        <f>Pipeline!AE6</f>
        <v>175.05375</v>
      </c>
      <c r="V4" s="57">
        <f>Pipeline!AF6</f>
        <v>87.526875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56.0172</v>
      </c>
      <c r="G5" s="57">
        <f>Pipeline!Q7</f>
        <v>140.043</v>
      </c>
      <c r="H5" s="57">
        <f>Pipeline!R7</f>
        <v>252.0774</v>
      </c>
      <c r="I5" s="57">
        <f>Pipeline!S7</f>
        <v>364.1118</v>
      </c>
      <c r="J5" s="57">
        <f>Pipeline!T7</f>
        <v>476.1462</v>
      </c>
      <c r="K5" s="57">
        <f>Pipeline!U7</f>
        <v>560.172</v>
      </c>
      <c r="L5" s="57">
        <f>Pipeline!V7</f>
        <v>560.172</v>
      </c>
      <c r="M5" s="57">
        <f>Pipeline!W7</f>
        <v>560.172</v>
      </c>
      <c r="N5" s="57">
        <f>Pipeline!X7</f>
        <v>560.172</v>
      </c>
      <c r="O5" s="57">
        <f>Pipeline!Y7</f>
        <v>560.172</v>
      </c>
      <c r="P5" s="57">
        <f>Pipeline!Z7</f>
        <v>560.172</v>
      </c>
      <c r="Q5" s="57">
        <f>Pipeline!AA7</f>
        <v>560.172</v>
      </c>
      <c r="R5" s="57">
        <f>Pipeline!AB7</f>
        <v>560.172</v>
      </c>
      <c r="S5" s="57">
        <f>Pipeline!AC7</f>
        <v>280.086</v>
      </c>
      <c r="T5" s="57">
        <f>Pipeline!AD7</f>
        <v>140.043</v>
      </c>
      <c r="U5" s="57">
        <f>Pipeline!AE7</f>
        <v>70.0215</v>
      </c>
      <c r="V5" s="57">
        <f>Pipeline!AF7</f>
        <v>35.01075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-217.844</v>
      </c>
      <c r="D6" s="23">
        <f>-IF(D3-2026&lt;Assumptions!$B$19,Assumptions!$B$18,Assumptions!$B$18*Assumptions!$B$20*Assumptions!$B$16)</f>
        <v>-217.844</v>
      </c>
      <c r="E6" s="23">
        <f>-IF(E3-2026&lt;Assumptions!$B$19,Assumptions!$B$18,Assumptions!$B$18*Assumptions!$B$20*Assumptions!$B$16)</f>
        <v>-217.844</v>
      </c>
      <c r="F6" s="23">
        <f>-IF(F3-2026&lt;Assumptions!$B$19,Assumptions!$B$18,Assumptions!$B$18*Assumptions!$B$20*Assumptions!$B$16)</f>
        <v>-50.023684152815996</v>
      </c>
      <c r="G6" s="23">
        <f>-IF(G3-2026&lt;Assumptions!$B$19,Assumptions!$B$18,Assumptions!$B$18*Assumptions!$B$20*Assumptions!$B$16)</f>
        <v>-50.023684152815996</v>
      </c>
      <c r="H6" s="23">
        <f>-IF(H3-2026&lt;Assumptions!$B$19,Assumptions!$B$18,Assumptions!$B$18*Assumptions!$B$20*Assumptions!$B$16)</f>
        <v>-50.023684152815996</v>
      </c>
      <c r="I6" s="23">
        <f>-IF(I3-2026&lt;Assumptions!$B$19,Assumptions!$B$18,Assumptions!$B$18*Assumptions!$B$20*Assumptions!$B$16)</f>
        <v>-50.023684152815996</v>
      </c>
      <c r="J6" s="23">
        <f>-IF(J3-2026&lt;Assumptions!$B$19,Assumptions!$B$18,Assumptions!$B$18*Assumptions!$B$20*Assumptions!$B$16)</f>
        <v>-50.023684152815996</v>
      </c>
      <c r="K6" s="23">
        <f>-IF(K3-2026&lt;Assumptions!$B$19,Assumptions!$B$18,Assumptions!$B$18*Assumptions!$B$20*Assumptions!$B$16)</f>
        <v>-50.023684152815996</v>
      </c>
      <c r="L6" s="23">
        <f>-IF(L3-2026&lt;Assumptions!$B$19,Assumptions!$B$18,Assumptions!$B$18*Assumptions!$B$20*Assumptions!$B$16)</f>
        <v>-50.023684152815996</v>
      </c>
      <c r="M6" s="23">
        <f>-IF(M3-2026&lt;Assumptions!$B$19,Assumptions!$B$18,Assumptions!$B$18*Assumptions!$B$20*Assumptions!$B$16)</f>
        <v>-50.023684152815996</v>
      </c>
      <c r="N6" s="23">
        <f>-IF(N3-2026&lt;Assumptions!$B$19,Assumptions!$B$18,Assumptions!$B$18*Assumptions!$B$20*Assumptions!$B$16)</f>
        <v>-50.023684152815996</v>
      </c>
      <c r="O6" s="23">
        <f>-IF(O3-2026&lt;Assumptions!$B$19,Assumptions!$B$18,Assumptions!$B$18*Assumptions!$B$20*Assumptions!$B$16)</f>
        <v>-50.023684152815996</v>
      </c>
      <c r="P6" s="23">
        <f>-IF(P3-2026&lt;Assumptions!$B$19,Assumptions!$B$18,Assumptions!$B$18*Assumptions!$B$20*Assumptions!$B$16)</f>
        <v>-50.023684152815996</v>
      </c>
      <c r="Q6" s="23">
        <f>-IF(Q3-2026&lt;Assumptions!$B$19,Assumptions!$B$18,Assumptions!$B$18*Assumptions!$B$20*Assumptions!$B$16)</f>
        <v>-50.023684152815996</v>
      </c>
      <c r="R6" s="23">
        <f>-IF(R3-2026&lt;Assumptions!$B$19,Assumptions!$B$18,Assumptions!$B$18*Assumptions!$B$20*Assumptions!$B$16)</f>
        <v>-50.023684152815996</v>
      </c>
      <c r="S6" s="23">
        <f>-IF(S3-2026&lt;Assumptions!$B$19,Assumptions!$B$18,Assumptions!$B$18*Assumptions!$B$20*Assumptions!$B$16)</f>
        <v>-50.023684152815996</v>
      </c>
      <c r="T6" s="23">
        <f>-IF(T3-2026&lt;Assumptions!$B$19,Assumptions!$B$18,Assumptions!$B$18*Assumptions!$B$20*Assumptions!$B$16)</f>
        <v>-50.023684152815996</v>
      </c>
      <c r="U6" s="23">
        <f>-IF(U3-2026&lt;Assumptions!$B$19,Assumptions!$B$18,Assumptions!$B$18*Assumptions!$B$20*Assumptions!$B$16)</f>
        <v>-50.023684152815996</v>
      </c>
      <c r="V6" s="23">
        <f>-IF(V3-2026&lt;Assumptions!$B$19,Assumptions!$B$18,Assumptions!$B$18*Assumptions!$B$20*Assumptions!$B$16)</f>
        <v>-50.023684152815996</v>
      </c>
    </row>
    <row r="7">
      <c r="A7" s="14" t="inlineStr">
        <is>
          <t>Pre-tax cash flow</t>
        </is>
      </c>
      <c r="C7" s="23">
        <f>C5+C6</f>
        <v>-217.844</v>
      </c>
      <c r="D7" s="23">
        <f>D5+D6</f>
        <v>-217.844</v>
      </c>
      <c r="E7" s="23">
        <f>E5+E6</f>
        <v>-217.844</v>
      </c>
      <c r="F7" s="23">
        <f>F5+F6</f>
        <v>5.993515847184007</v>
      </c>
      <c r="G7" s="23">
        <f>G5+G6</f>
        <v>90.019315847184</v>
      </c>
      <c r="H7" s="23">
        <f>H5+H6</f>
        <v>202.053715847184</v>
      </c>
      <c r="I7" s="23">
        <f>I5+I6</f>
        <v>314.08811584718404</v>
      </c>
      <c r="J7" s="23">
        <f>J5+J6</f>
        <v>426.12251584718405</v>
      </c>
      <c r="K7" s="23">
        <f>K5+K6</f>
        <v>510.14831584718405</v>
      </c>
      <c r="L7" s="23">
        <f>L5+L6</f>
        <v>510.14831584718405</v>
      </c>
      <c r="M7" s="23">
        <f>M5+M6</f>
        <v>510.14831584718405</v>
      </c>
      <c r="N7" s="23">
        <f>N5+N6</f>
        <v>510.14831584718405</v>
      </c>
      <c r="O7" s="23">
        <f>O5+O6</f>
        <v>510.14831584718405</v>
      </c>
      <c r="P7" s="23">
        <f>P5+P6</f>
        <v>510.14831584718405</v>
      </c>
      <c r="Q7" s="23">
        <f>Q5+Q6</f>
        <v>510.14831584718405</v>
      </c>
      <c r="R7" s="23">
        <f>R5+R6</f>
        <v>510.14831584718405</v>
      </c>
      <c r="S7" s="23">
        <f>S5+S6</f>
        <v>230.062315847184</v>
      </c>
      <c r="T7" s="23">
        <f>T5+T6</f>
        <v>90.019315847184</v>
      </c>
      <c r="U7" s="23">
        <f>U5+U6</f>
        <v>19.997815847184008</v>
      </c>
      <c r="V7" s="23">
        <f>V5+V6</f>
        <v>-15.012934152815994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5.993515847184007</v>
      </c>
      <c r="G8" s="23">
        <f>MIN(F17,MAX(0,G7))</f>
        <v>90.019315847184</v>
      </c>
      <c r="H8" s="23">
        <f>MIN(G17,MAX(0,H7))</f>
        <v>202.053715847184</v>
      </c>
      <c r="I8" s="23">
        <f>MIN(H17,MAX(0,I7))</f>
        <v>314.08811584718404</v>
      </c>
      <c r="J8" s="23">
        <f>MIN(I17,MAX(0,J7))</f>
        <v>426.12251584718405</v>
      </c>
      <c r="K8" s="23">
        <f>MIN(J17,MAX(0,K7))</f>
        <v>201.85482076408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308.29349508310406</v>
      </c>
      <c r="L9" s="23">
        <f>MAX(0,L7)-L8</f>
        <v>510.14831584718405</v>
      </c>
      <c r="M9" s="23">
        <f>MAX(0,M7)-M8</f>
        <v>510.14831584718405</v>
      </c>
      <c r="N9" s="23">
        <f>MAX(0,N7)-N8</f>
        <v>510.14831584718405</v>
      </c>
      <c r="O9" s="23">
        <f>MAX(0,O7)-O8</f>
        <v>510.14831584718405</v>
      </c>
      <c r="P9" s="23">
        <f>MAX(0,P7)-P8</f>
        <v>510.14831584718405</v>
      </c>
      <c r="Q9" s="23">
        <f>MAX(0,Q7)-Q8</f>
        <v>510.14831584718405</v>
      </c>
      <c r="R9" s="23">
        <f>MAX(0,R7)-R8</f>
        <v>510.14831584718405</v>
      </c>
      <c r="S9" s="23">
        <f>MAX(0,S7)-S8</f>
        <v>230.062315847184</v>
      </c>
      <c r="T9" s="23">
        <f>MAX(0,T7)-T8</f>
        <v>90.019315847184</v>
      </c>
      <c r="U9" s="23">
        <f>MAX(0,U7)-U8</f>
        <v>19.997815847184008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64.74163396745185</v>
      </c>
      <c r="L10" s="23">
        <f>L9*Assumptions!$E$15</f>
        <v>107.13114632790865</v>
      </c>
      <c r="M10" s="23">
        <f>M9*Assumptions!$E$15</f>
        <v>107.13114632790865</v>
      </c>
      <c r="N10" s="23">
        <f>N9*Assumptions!$E$15</f>
        <v>107.13114632790865</v>
      </c>
      <c r="O10" s="23">
        <f>O9*Assumptions!$E$15</f>
        <v>107.13114632790865</v>
      </c>
      <c r="P10" s="23">
        <f>P9*Assumptions!$E$15</f>
        <v>107.13114632790865</v>
      </c>
      <c r="Q10" s="23">
        <f>Q9*Assumptions!$E$15</f>
        <v>107.13114632790865</v>
      </c>
      <c r="R10" s="23">
        <f>R9*Assumptions!$E$15</f>
        <v>107.13114632790865</v>
      </c>
      <c r="S10" s="23">
        <f>S9*Assumptions!$E$15</f>
        <v>48.31308632790864</v>
      </c>
      <c r="T10" s="23">
        <f>T9*Assumptions!$E$15</f>
        <v>18.90405632790864</v>
      </c>
      <c r="U10" s="23">
        <f>U9*Assumptions!$E$15</f>
        <v>4.1995413279086415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-217.844</v>
      </c>
      <c r="D11" s="55">
        <f>D7-D10</f>
        <v>-217.844</v>
      </c>
      <c r="E11" s="55">
        <f>E7-E10</f>
        <v>-217.844</v>
      </c>
      <c r="F11" s="55">
        <f>F7-F10</f>
        <v>5.993515847184007</v>
      </c>
      <c r="G11" s="55">
        <f>G7-G10</f>
        <v>90.019315847184</v>
      </c>
      <c r="H11" s="55">
        <f>H7-H10</f>
        <v>202.053715847184</v>
      </c>
      <c r="I11" s="55">
        <f>I7-I10</f>
        <v>314.08811584718404</v>
      </c>
      <c r="J11" s="55">
        <f>J7-J10</f>
        <v>426.12251584718405</v>
      </c>
      <c r="K11" s="55">
        <f>K7-K10</f>
        <v>445.4066818797322</v>
      </c>
      <c r="L11" s="55">
        <f>L7-L10</f>
        <v>403.0171695192754</v>
      </c>
      <c r="M11" s="55">
        <f>M7-M10</f>
        <v>403.0171695192754</v>
      </c>
      <c r="N11" s="55">
        <f>N7-N10</f>
        <v>403.0171695192754</v>
      </c>
      <c r="O11" s="55">
        <f>O7-O10</f>
        <v>403.0171695192754</v>
      </c>
      <c r="P11" s="55">
        <f>P7-P10</f>
        <v>403.0171695192754</v>
      </c>
      <c r="Q11" s="55">
        <f>Q7-Q10</f>
        <v>403.0171695192754</v>
      </c>
      <c r="R11" s="55">
        <f>R7-R10</f>
        <v>403.0171695192754</v>
      </c>
      <c r="S11" s="55">
        <f>S7-S10</f>
        <v>181.74922951927536</v>
      </c>
      <c r="T11" s="55">
        <f>T7-T10</f>
        <v>71.11525951927536</v>
      </c>
      <c r="U11" s="55">
        <f>U7-U10</f>
        <v>15.798274519275367</v>
      </c>
      <c r="V11" s="55">
        <f>V7-V10</f>
        <v>-15.012934152815994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-106.72272300674986</v>
      </c>
      <c r="D16" s="55">
        <f>D11*D15</f>
        <v>-194.41321680217382</v>
      </c>
      <c r="E16" s="55">
        <f>E11*E15</f>
        <v>-173.58322928765514</v>
      </c>
      <c r="F16" s="55">
        <f>F11*F15</f>
        <v>4.264084437966652</v>
      </c>
      <c r="G16" s="55">
        <f>G11*G15</f>
        <v>57.18232682132792</v>
      </c>
      <c r="H16" s="55">
        <f>H11*H15</f>
        <v>114.59744486802303</v>
      </c>
      <c r="I16" s="55">
        <f>I11*I15</f>
        <v>159.05289356109986</v>
      </c>
      <c r="J16" s="55">
        <f>J11*J15</f>
        <v>192.66664278447118</v>
      </c>
      <c r="K16" s="55">
        <f>K11*K15</f>
        <v>179.8087213354594</v>
      </c>
      <c r="L16" s="55">
        <f>L11*L15</f>
        <v>145.2645190732361</v>
      </c>
      <c r="M16" s="55">
        <f>M11*M15</f>
        <v>129.7004634582465</v>
      </c>
      <c r="N16" s="55">
        <f>N11*N15</f>
        <v>115.80398523057723</v>
      </c>
      <c r="O16" s="55">
        <f>O11*O15</f>
        <v>103.39641538444394</v>
      </c>
      <c r="P16" s="55">
        <f>P11*P15</f>
        <v>92.31822802182494</v>
      </c>
      <c r="Q16" s="55">
        <f>Q11*Q15</f>
        <v>82.42698930520083</v>
      </c>
      <c r="R16" s="55">
        <f>R11*R15</f>
        <v>73.59552616535788</v>
      </c>
      <c r="S16" s="55">
        <f>S11*S15</f>
        <v>29.63346404025076</v>
      </c>
      <c r="T16" s="55">
        <f>T11*T15</f>
        <v>10.352723616822658</v>
      </c>
      <c r="U16" s="55">
        <f>U11*U15</f>
        <v>2.0534467922008037</v>
      </c>
      <c r="V16" s="55">
        <f>V11*V15</f>
        <v>-1.7422936554608575</v>
      </c>
    </row>
    <row r="17">
      <c r="A17" s="14" t="inlineStr">
        <is>
          <t>Tax-loss carryforward, end of year</t>
        </is>
      </c>
      <c r="C17" s="23">
        <f>Assumptions!$B$21-C8+MAX(0,-C7)</f>
        <v>804.444</v>
      </c>
      <c r="D17" s="23">
        <f>C17-D8+MAX(0,-D7)</f>
        <v>1022.288</v>
      </c>
      <c r="E17" s="23">
        <f>D17-E8+MAX(0,-E7)</f>
        <v>1240.132</v>
      </c>
      <c r="F17" s="23">
        <f>E17-F8+MAX(0,-F7)</f>
        <v>1234.138484152816</v>
      </c>
      <c r="G17" s="23">
        <f>F17-G8+MAX(0,-G7)</f>
        <v>1144.119168305632</v>
      </c>
      <c r="H17" s="23">
        <f>G17-H8+MAX(0,-H7)</f>
        <v>942.065452458448</v>
      </c>
      <c r="I17" s="23">
        <f>H17-I8+MAX(0,-I7)</f>
        <v>627.977336611264</v>
      </c>
      <c r="J17" s="23">
        <f>I17-J8+MAX(0,-J7)</f>
        <v>201.85482076408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15.012934152815994</v>
      </c>
    </row>
    <row r="19">
      <c r="A19" s="14" t="inlineStr">
        <is>
          <t>PV of risked pipeline contribution</t>
        </is>
      </c>
      <c r="B19" s="23">
        <f>SUMPRODUCT(C5:V5,C15:V15)</f>
        <v>2008.8504578262948</v>
      </c>
    </row>
    <row r="20">
      <c r="A20" s="14" t="inlineStr">
        <is>
          <t>PV of corporate burn</t>
        </is>
      </c>
      <c r="B20" s="23">
        <f>SUMPRODUCT(C6:V6,C15:V15)</f>
        <v>-758.507993358375</v>
      </c>
    </row>
    <row r="21">
      <c r="A21" s="14" t="inlineStr">
        <is>
          <t>PV of taxes</t>
        </is>
      </c>
      <c r="B21" s="23">
        <f>-SUMPRODUCT(C10:V10,C15:V15)</f>
        <v>-234.68605232344999</v>
      </c>
    </row>
    <row r="22">
      <c r="A22" s="24" t="inlineStr">
        <is>
          <t>Pipeline rNPV (operations)</t>
        </is>
      </c>
      <c r="B22" s="54">
        <f>SUM(C16:V16)</f>
        <v>1015.65641214447</v>
      </c>
    </row>
    <row r="23">
      <c r="A23" s="14" t="inlineStr">
        <is>
          <t>Cash &amp; investments</t>
        </is>
      </c>
      <c r="B23" s="57">
        <f>Main!C7</f>
        <v>886.813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1902.46941214447</v>
      </c>
    </row>
    <row r="26">
      <c r="A26" s="14" t="inlineStr">
        <is>
          <t>Shares (mm)</t>
        </is>
      </c>
      <c r="B26" s="57">
        <f>Main!C4</f>
        <v>55.934378</v>
      </c>
    </row>
    <row r="27">
      <c r="A27" s="24" t="inlineStr">
        <is>
          <t>rNPV / share</t>
        </is>
      </c>
      <c r="B27" s="60">
        <f>B25/B26</f>
        <v>34.01252467926737</v>
      </c>
    </row>
    <row r="28">
      <c r="A28" s="14" t="inlineStr">
        <is>
          <t>Price</t>
        </is>
      </c>
      <c r="B28" s="61">
        <f>Main!C3</f>
        <v>78.75</v>
      </c>
    </row>
    <row r="29">
      <c r="A29" s="14" t="inlineStr">
        <is>
          <t>Upside</t>
        </is>
      </c>
      <c r="B29" s="62">
        <f>B27/B28-1</f>
        <v>-0.5680949247077158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2026-10-21T06:21:57Z</dcterms:modified>
  <cp:lastModifiedBy>Wang, Eric</cp:lastModifiedBy>
</cp:coreProperties>
</file>