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Dianthus Therapeutics Inc</t>
        </is>
      </c>
      <c r="C2" s="10" t="n"/>
    </row>
    <row r="3">
      <c r="B3" t="inlineStr">
        <is>
          <t>Price</t>
        </is>
      </c>
      <c r="C3" s="11">
        <f>INDEX([1]Pharma!$F$1:$F$1000,MATCH("DNTH",[1]Pharma!$B$1:$B$1000,0))</f>
        <v>78.75</v>
      </c>
      <c r="F3" s="1" t="n"/>
    </row>
    <row r="4">
      <c r="B4" t="inlineStr">
        <is>
          <t>Shares</t>
        </is>
      </c>
      <c r="C4" s="21" t="n">
        <v>55.934378</v>
      </c>
      <c r="F4" s="1" t="n"/>
    </row>
    <row r="5">
      <c r="B5" t="inlineStr">
        <is>
          <t>Market Cap.</t>
        </is>
      </c>
      <c r="C5" s="13">
        <f>C3*C4</f>
        <v>4404.8322675</v>
      </c>
      <c r="F5" s="1" t="n"/>
    </row>
    <row r="6"/>
    <row r="7">
      <c r="B7" t="inlineStr">
        <is>
          <t>Cash</t>
        </is>
      </c>
      <c r="C7" s="21">
        <f>110.549+776.264</f>
        <v>886.813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3518.0192675</v>
      </c>
    </row>
    <row r="10"/>
    <row r="11">
      <c r="B11" s="14" t="inlineStr">
        <is>
          <t>Net Cash / Share</t>
        </is>
      </c>
      <c r="C11" s="11">
        <f>(C7-C8)/C4</f>
        <v>15.854525100824397</v>
      </c>
    </row>
    <row r="12">
      <c r="B12" s="14" t="inlineStr">
        <is>
          <t>Upside</t>
        </is>
      </c>
      <c r="C12" s="15">
        <f>IFERROR(C11/C3-1,"")</f>
        <v>-0.7986726971323886</v>
      </c>
    </row>
    <row r="13">
      <c r="B13" s="14" t="inlineStr">
        <is>
          <t>Cash / Share</t>
        </is>
      </c>
      <c r="C13" s="11">
        <f>IFERROR((C7-C8)/C4,"")</f>
        <v>15.854525100824397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-155.375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5.707565567176187</v>
      </c>
    </row>
    <row r="19">
      <c r="B19" s="14" t="inlineStr">
        <is>
          <t>Implied Pipeline Value</t>
        </is>
      </c>
      <c r="C19" s="13">
        <f>C9</f>
        <v>3518.0192675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1.476</v>
      </c>
      <c r="H2" s="23" t="n">
        <v>6.417</v>
      </c>
      <c r="I2" s="23" t="n">
        <v>2.826</v>
      </c>
      <c r="J2" s="23" t="n">
        <v>6.235</v>
      </c>
      <c r="K2" s="23" t="n">
        <v>2.036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1.476</v>
      </c>
      <c r="H4" s="23">
        <f>H2-H3</f>
        <v>6.417</v>
      </c>
      <c r="I4" s="23">
        <f>I2-I3</f>
        <v>2.826</v>
      </c>
      <c r="J4" s="23">
        <f>J2-J3</f>
        <v>6.235</v>
      </c>
      <c r="K4" s="23">
        <f>K2-K3</f>
        <v>2.036</v>
      </c>
    </row>
    <row r="5">
      <c r="A5" s="2" t="inlineStr">
        <is>
          <t>Research &amp; Dev.</t>
        </is>
      </c>
      <c r="B5" s="23" t="n">
        <v>5.782</v>
      </c>
      <c r="C5" s="23" t="n">
        <v>27.899</v>
      </c>
      <c r="D5" s="23" t="n">
        <v>41.34</v>
      </c>
      <c r="E5" s="23" t="n">
        <v>59.208</v>
      </c>
      <c r="F5" s="23" t="n">
        <v>50.615</v>
      </c>
      <c r="G5" s="23" t="n">
        <v>12.606</v>
      </c>
      <c r="H5" s="23" t="n">
        <v>29.379</v>
      </c>
      <c r="I5" s="23" t="n">
        <v>32.841</v>
      </c>
      <c r="J5" s="23" t="n">
        <v>83.105</v>
      </c>
      <c r="K5" s="23" t="n">
        <v>145.638</v>
      </c>
    </row>
    <row r="6">
      <c r="A6" s="19" t="inlineStr">
        <is>
          <t>SG&amp;A &amp; Other</t>
        </is>
      </c>
      <c r="B6" s="23" t="n">
        <v>3.486</v>
      </c>
      <c r="C6" s="23" t="n">
        <v>7.828</v>
      </c>
      <c r="D6" s="23" t="n">
        <v>18.623</v>
      </c>
      <c r="E6" s="23" t="n">
        <v>23.761</v>
      </c>
      <c r="F6" s="23" t="n">
        <v>28.087</v>
      </c>
      <c r="G6" s="23" t="n">
        <v>1.956</v>
      </c>
      <c r="H6" s="23" t="n">
        <v>6.743</v>
      </c>
      <c r="I6" s="23" t="n">
        <v>18.159</v>
      </c>
      <c r="J6" s="23" t="n">
        <v>24.994</v>
      </c>
      <c r="K6" s="23" t="n">
        <v>34.331</v>
      </c>
    </row>
    <row r="7">
      <c r="A7" s="2" t="inlineStr">
        <is>
          <t>Operating Expense</t>
        </is>
      </c>
      <c r="B7" s="23">
        <f>SUM(B5:B6)</f>
        <v>9.268</v>
      </c>
      <c r="C7" s="23">
        <f>SUM(C5:C6)</f>
        <v>35.727000000000004</v>
      </c>
      <c r="D7" s="23">
        <f>SUM(D5:D6)</f>
        <v>59.96300000000001</v>
      </c>
      <c r="E7" s="23">
        <f>SUM(E5:E6)</f>
        <v>82.969</v>
      </c>
      <c r="F7" s="23">
        <f>SUM(F5:F6)</f>
        <v>78.702</v>
      </c>
      <c r="G7" s="23">
        <f>SUM(G5:G6)</f>
        <v>14.562</v>
      </c>
      <c r="H7" s="23">
        <f>SUM(H5:H6)</f>
        <v>36.122</v>
      </c>
      <c r="I7" s="23">
        <f>SUM(I5:I6)</f>
        <v>51.0</v>
      </c>
      <c r="J7" s="23">
        <f>SUM(J5:J6)</f>
        <v>108.099</v>
      </c>
      <c r="K7" s="23">
        <f>SUM(K5:K6)</f>
        <v>179.969</v>
      </c>
    </row>
    <row r="8">
      <c r="A8" s="2" t="inlineStr">
        <is>
          <t>Operating Income</t>
        </is>
      </c>
      <c r="B8" s="23">
        <f>B4-B7</f>
        <v>-9.268</v>
      </c>
      <c r="C8" s="23">
        <f>C4-C7</f>
        <v>-35.727000000000004</v>
      </c>
      <c r="D8" s="23">
        <f>D4-D7</f>
        <v>-59.96300000000001</v>
      </c>
      <c r="E8" s="23">
        <f>E4-E7</f>
        <v>-82.969</v>
      </c>
      <c r="F8" s="23">
        <f>F4-F7</f>
        <v>-78.702</v>
      </c>
      <c r="G8" s="23">
        <f>G4-G7</f>
        <v>-13.085999999999999</v>
      </c>
      <c r="H8" s="23">
        <f>H4-H7</f>
        <v>-29.705</v>
      </c>
      <c r="I8" s="23">
        <f>I4-I7</f>
        <v>-48.174</v>
      </c>
      <c r="J8" s="23">
        <f>J4-J7</f>
        <v>-101.864</v>
      </c>
      <c r="K8" s="23">
        <f>K4-K7</f>
        <v>-177.933</v>
      </c>
    </row>
    <row r="9">
      <c r="A9" s="19" t="inlineStr">
        <is>
          <t>Interest &amp; Other</t>
        </is>
      </c>
      <c r="B9" s="23" t="n">
        <v>-0.163</v>
      </c>
      <c r="C9" s="23" t="n">
        <v>0.236</v>
      </c>
      <c r="D9" s="23" t="n">
        <v>2.448</v>
      </c>
      <c r="E9" s="23" t="n">
        <v>6.2</v>
      </c>
      <c r="F9" s="23" t="n">
        <v>3.766</v>
      </c>
      <c r="G9" s="23" t="n">
        <v>-0.023</v>
      </c>
      <c r="H9" s="23" t="n">
        <v>1.229</v>
      </c>
      <c r="I9" s="23" t="n">
        <v>4.629</v>
      </c>
      <c r="J9" s="23" t="n">
        <v>16.895</v>
      </c>
      <c r="K9" s="23" t="n">
        <v>15.596</v>
      </c>
    </row>
    <row r="10">
      <c r="A10" s="2" t="inlineStr">
        <is>
          <t>Pretax</t>
        </is>
      </c>
      <c r="B10" s="23">
        <f>B8+B9</f>
        <v>-9.431000000000001</v>
      </c>
      <c r="C10" s="23">
        <f>C8+C9</f>
        <v>-35.49100000000001</v>
      </c>
      <c r="D10" s="23">
        <f>D8+D9</f>
        <v>-57.51500000000001</v>
      </c>
      <c r="E10" s="23">
        <f>E8+E9</f>
        <v>-76.76899999999999</v>
      </c>
      <c r="F10" s="23">
        <f>F8+F9</f>
        <v>-74.93599999999999</v>
      </c>
      <c r="G10" s="23">
        <f>G8+G9</f>
        <v>-13.108999999999998</v>
      </c>
      <c r="H10" s="23">
        <f>H8+H9</f>
        <v>-28.476</v>
      </c>
      <c r="I10" s="23">
        <f>I8+I9</f>
        <v>-43.545</v>
      </c>
      <c r="J10" s="23">
        <f>J8+J9</f>
        <v>-84.96900000000001</v>
      </c>
      <c r="K10" s="23">
        <f>K8+K9</f>
        <v>-162.337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-9.430999999999999</v>
      </c>
      <c r="C12" s="23" t="n">
        <v>-35.491</v>
      </c>
      <c r="D12" s="23" t="n">
        <v>-57.515</v>
      </c>
      <c r="E12" s="23" t="n">
        <v>-76.76900000000001</v>
      </c>
      <c r="F12" s="23" t="n">
        <v>-74.93600000000001</v>
      </c>
      <c r="G12" s="23" t="n">
        <v>-13.109</v>
      </c>
      <c r="H12" s="23" t="n">
        <v>-28.476</v>
      </c>
      <c r="I12" s="23" t="n">
        <v>-43.545</v>
      </c>
      <c r="J12" s="23" t="n">
        <v>-84.96899999999999</v>
      </c>
      <c r="K12" s="23" t="n">
        <v>-162.337</v>
      </c>
    </row>
    <row r="13">
      <c r="A13" s="2" t="inlineStr">
        <is>
          <t>Earnings per Share</t>
        </is>
      </c>
      <c r="B13" s="11">
        <f>IFERROR(B12/B14,0)</f>
        <v>-26.270194986072422</v>
      </c>
      <c r="C13" s="11">
        <f>IFERROR(C12/C14,0)</f>
        <v>-7.9629795826789325</v>
      </c>
      <c r="D13" s="11">
        <f>IFERROR(D12/D14,0)</f>
        <v>-13.03308406979379</v>
      </c>
      <c r="E13" s="11">
        <f>IFERROR(E12/E14,0)</f>
        <v>-17.282530391715444</v>
      </c>
      <c r="F13" s="11">
        <f>IFERROR(F12/F14,0)</f>
        <v>-14.21935483870968</v>
      </c>
      <c r="G13" s="11">
        <f>IFERROR(G12/G14,0)</f>
        <v>-2.5012402213318072</v>
      </c>
      <c r="H13" s="11">
        <f>IFERROR(H12/H14,0)</f>
        <v>-5.429170638703527</v>
      </c>
      <c r="I13" s="11">
        <f>IFERROR(I12/I14,0)</f>
        <v>-8.450417232679992</v>
      </c>
      <c r="J13" s="11">
        <f>IFERROR(J12/J14,0)</f>
        <v>-2.5505493186047907</v>
      </c>
      <c r="K13" s="11">
        <f>IFERROR(K12/K14,0)</f>
        <v>-4.203661504997669</v>
      </c>
    </row>
    <row r="14">
      <c r="A14" s="2" t="inlineStr">
        <is>
          <t>Shares</t>
        </is>
      </c>
      <c r="B14" s="23" t="n">
        <v>0.359</v>
      </c>
      <c r="C14" s="23" t="n">
        <v>4.457</v>
      </c>
      <c r="D14" s="23" t="n">
        <v>4.413</v>
      </c>
      <c r="E14" s="23" t="n">
        <v>4.442</v>
      </c>
      <c r="F14" s="23" t="n">
        <v>5.27</v>
      </c>
      <c r="G14" s="23" t="n">
        <v>5.241</v>
      </c>
      <c r="H14" s="23" t="n">
        <v>5.245</v>
      </c>
      <c r="I14" s="23" t="n">
        <v>5.153</v>
      </c>
      <c r="J14" s="23" t="n">
        <v>33.314</v>
      </c>
      <c r="K14" s="23" t="n">
        <v>38.618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3.347560975609756</v>
      </c>
      <c r="I16" s="15">
        <f>IFERROR(I2/H2-1,"")</f>
        <v>-0.5596072931276297</v>
      </c>
      <c r="J16" s="15">
        <f>IFERROR(J2/I2-1,"")</f>
        <v>1.2062986553432413</v>
      </c>
      <c r="K16" s="15">
        <f>IFERROR(K2/J2-1,"")</f>
        <v>-0.6734562951082599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-8.865853658536585</v>
      </c>
      <c r="H18" s="15">
        <f>IFERROR(H8/H2,"")</f>
        <v>-4.629110176094748</v>
      </c>
      <c r="I18" s="15">
        <f>IFERROR(I8/I2,"")</f>
        <v>-17.046709129511676</v>
      </c>
      <c r="J18" s="15">
        <f>IFERROR(J8/J2,"")</f>
        <v>-16.337449879711308</v>
      </c>
      <c r="K18" s="15">
        <f>IFERROR(K8/K2,"")</f>
        <v>-87.39341846758349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2026-10-21T01:04:09Z</dcterms:modified>
  <cp:lastModifiedBy>Wang, Eric</cp:lastModifiedBy>
</cp:coreProperties>
</file>