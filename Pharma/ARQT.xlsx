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Arcutis Biotherapeutics, Inc.</t>
        </is>
      </c>
      <c r="C2" s="10" t="n"/>
    </row>
    <row r="3">
      <c r="B3" t="inlineStr">
        <is>
          <t>Price</t>
        </is>
      </c>
      <c r="C3" s="11">
        <f>INDEX([1]Pharma!$F$1:$F$1000,MATCH("ARQT",[1]Pharma!$B$1:$B$1000,0))</f>
        <v>32.82</v>
      </c>
      <c r="F3" s="1" t="n"/>
    </row>
    <row r="4">
      <c r="B4" t="inlineStr">
        <is>
          <t>Shares</t>
        </is>
      </c>
      <c r="C4" s="51" t="n">
        <v>125.691961</v>
      </c>
      <c r="F4" s="1" t="n"/>
    </row>
    <row r="5">
      <c r="B5" t="inlineStr">
        <is>
          <t>Market Cap.</t>
        </is>
      </c>
      <c r="C5" s="13">
        <f>C3*C4</f>
        <v>4125.21016002</v>
      </c>
      <c r="F5" s="1" t="n"/>
    </row>
    <row r="6"/>
    <row r="7">
      <c r="B7" t="inlineStr">
        <is>
          <t>Cash</t>
        </is>
      </c>
      <c r="C7" s="51">
        <f>34.121+204.431</f>
        <v>238.55200000000002</v>
      </c>
    </row>
    <row r="8">
      <c r="B8" t="inlineStr">
        <is>
          <t>Debt</t>
        </is>
      </c>
      <c r="C8" s="51">
        <f>6.95+101.95</f>
        <v>108.9</v>
      </c>
    </row>
    <row r="9">
      <c r="B9" t="inlineStr">
        <is>
          <t>Enterprise V.</t>
        </is>
      </c>
      <c r="C9" s="13">
        <f>C5-C7+C8</f>
        <v>3995.5581600200003</v>
      </c>
    </row>
    <row r="10"/>
    <row r="11">
      <c r="B11" s="14" t="inlineStr">
        <is>
          <t>NPV / Share</t>
        </is>
      </c>
      <c r="C11" s="11">
        <f>NPV!B28</f>
        <v>17.866044506123085</v>
      </c>
    </row>
    <row r="12">
      <c r="B12" s="14" t="inlineStr">
        <is>
          <t>Upside</t>
        </is>
      </c>
      <c r="C12" s="15">
        <f>IFERROR(C11/C3-1,"")</f>
        <v>-0.4556354507579804</v>
      </c>
    </row>
    <row r="13">
      <c r="B13" s="14" t="inlineStr">
        <is>
          <t>Cash / Share</t>
        </is>
      </c>
      <c r="C13" s="11">
        <f>IFERROR((C7-C8)/C4,"")</f>
        <v>1.031505905138993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2018</v>
      </c>
      <c r="C1" s="16" t="n">
        <v>2019</v>
      </c>
      <c r="D1" s="16" t="n">
        <v>2020</v>
      </c>
      <c r="E1" s="16" t="n">
        <v>2021</v>
      </c>
      <c r="F1" s="16" t="n">
        <v>2022</v>
      </c>
      <c r="G1" s="16" t="n">
        <v>2023</v>
      </c>
      <c r="H1" s="16" t="n">
        <v>2024</v>
      </c>
      <c r="I1" s="16" t="n">
        <v>2025</v>
      </c>
      <c r="J1" s="16" t="n">
        <v>2026</v>
      </c>
      <c r="K1" s="16" t="n">
        <v>2027</v>
      </c>
      <c r="L1" s="16" t="n">
        <v>2028</v>
      </c>
      <c r="M1" s="16" t="n">
        <v>2029</v>
      </c>
      <c r="N1" s="16" t="n">
        <v>2030</v>
      </c>
      <c r="O1" s="16" t="n">
        <v>2031</v>
      </c>
      <c r="P1" s="16" t="n">
        <v>2032</v>
      </c>
      <c r="Q1" s="16" t="n">
        <v>2033</v>
      </c>
      <c r="R1" s="16" t="n">
        <v>2034</v>
      </c>
      <c r="S1" s="16" t="n">
        <v>2035</v>
      </c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0</v>
      </c>
      <c r="E2" s="52" t="n">
        <v>0</v>
      </c>
      <c r="F2" s="52" t="n">
        <v>3.686</v>
      </c>
      <c r="G2" s="52" t="n">
        <v>59.606</v>
      </c>
      <c r="H2" s="52" t="n">
        <v>196.542</v>
      </c>
      <c r="I2" s="52" t="n">
        <v>376.072</v>
      </c>
      <c r="J2" s="52">
        <f>I2*(1+NPV!C5)</f>
        <v>507.6972</v>
      </c>
      <c r="K2" s="52">
        <f>J2*(1+NPV!D5)</f>
        <v>667.05771</v>
      </c>
      <c r="L2" s="52">
        <f>K2*(1+NPV!E5)</f>
        <v>852.3515183333333</v>
      </c>
      <c r="M2" s="52">
        <f>L2*(1+NPV!F5)</f>
        <v>1058.3364685972222</v>
      </c>
      <c r="N2" s="52">
        <f>M2*(1+NPV!G5)</f>
        <v>1275.8834093644289</v>
      </c>
      <c r="O2" s="52">
        <f>N2*(1+NPV!H5)</f>
        <v>1492.0747648400684</v>
      </c>
      <c r="P2" s="52">
        <f>O2*(1+NPV!I5)</f>
        <v>1691.018066818744</v>
      </c>
      <c r="Q2" s="52">
        <f>P2*(1+NPV!J5)</f>
        <v>1855.4226010927887</v>
      </c>
      <c r="R2" s="52">
        <f>Q2*(1+NPV!K5)</f>
        <v>1968.809537826237</v>
      </c>
      <c r="S2" s="52">
        <f>R2*(1+NPV!L5)</f>
        <v>2018.0297762718926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0.754</v>
      </c>
      <c r="G3" s="52" t="n">
        <v>4.987</v>
      </c>
      <c r="H3" s="52" t="n">
        <v>19.128</v>
      </c>
      <c r="I3" s="52" t="n">
        <v>36.695</v>
      </c>
      <c r="J3" s="52">
        <f>J2*(1-Assumptions!$B$19)</f>
        <v>49.55124672000001</v>
      </c>
      <c r="K3" s="52">
        <f>K2*(1-Assumptions!$B$19)</f>
        <v>65.10483249600001</v>
      </c>
      <c r="L3" s="52">
        <f>L2*(1-Assumptions!$B$19)</f>
        <v>83.18950818933334</v>
      </c>
      <c r="M3" s="52">
        <f>M2*(1-Assumptions!$B$19)</f>
        <v>103.2936393350889</v>
      </c>
      <c r="N3" s="52">
        <f>N2*(1-Assumptions!$B$19)</f>
        <v>124.52622075396829</v>
      </c>
      <c r="O3" s="52">
        <f>O2*(1-Assumptions!$B$19)</f>
        <v>145.62649704839072</v>
      </c>
      <c r="P3" s="52">
        <f>P2*(1-Assumptions!$B$19)</f>
        <v>165.04336332150945</v>
      </c>
      <c r="Q3" s="52">
        <f>Q2*(1-Assumptions!$B$19)</f>
        <v>181.0892458666562</v>
      </c>
      <c r="R3" s="52">
        <f>R2*(1-Assumptions!$B$19)</f>
        <v>192.15581089184076</v>
      </c>
      <c r="S3" s="52">
        <f>S2*(1-Assumptions!$B$19)</f>
        <v>196.95970616413675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0.0</v>
      </c>
      <c r="E4" s="52">
        <f>E2-E3</f>
        <v>0.0</v>
      </c>
      <c r="F4" s="52">
        <f>F2-F3</f>
        <v>2.932</v>
      </c>
      <c r="G4" s="52">
        <f>G2-G3</f>
        <v>54.619</v>
      </c>
      <c r="H4" s="52">
        <f>H2-H3</f>
        <v>177.414</v>
      </c>
      <c r="I4" s="52">
        <f>I2-I3</f>
        <v>339.377</v>
      </c>
      <c r="J4" s="52">
        <f>J2-J3</f>
        <v>458.14595328</v>
      </c>
      <c r="K4" s="52">
        <f>K2-K3</f>
        <v>601.9528775040001</v>
      </c>
      <c r="L4" s="52">
        <f>L2-L3</f>
        <v>769.162010144</v>
      </c>
      <c r="M4" s="52">
        <f>M2-M3</f>
        <v>955.0428292621333</v>
      </c>
      <c r="N4" s="52">
        <f>N2-N3</f>
        <v>1151.3571886104605</v>
      </c>
      <c r="O4" s="52">
        <f>O2-O3</f>
        <v>1346.4482677916776</v>
      </c>
      <c r="P4" s="52">
        <f>P2-P3</f>
        <v>1525.9747034972347</v>
      </c>
      <c r="Q4" s="52">
        <f>Q2-Q3</f>
        <v>1674.3333552261324</v>
      </c>
      <c r="R4" s="52">
        <f>R2-R3</f>
        <v>1776.6537269343962</v>
      </c>
      <c r="S4" s="52">
        <f>S2-S3</f>
        <v>1821.0700701077558</v>
      </c>
    </row>
    <row r="5">
      <c r="A5" s="2" t="inlineStr">
        <is>
          <t>Research &amp; Dev.</t>
        </is>
      </c>
      <c r="B5" s="52" t="n">
        <v>17.94</v>
      </c>
      <c r="C5" s="52" t="n">
        <v>36.522</v>
      </c>
      <c r="D5" s="52" t="n">
        <v>115.308</v>
      </c>
      <c r="E5" s="52" t="n">
        <v>145.558</v>
      </c>
      <c r="F5" s="52" t="n">
        <v>182.435</v>
      </c>
      <c r="G5" s="52" t="n">
        <v>110.575</v>
      </c>
      <c r="H5" s="52" t="n">
        <v>76.42</v>
      </c>
      <c r="I5" s="52" t="n">
        <v>77.051</v>
      </c>
      <c r="J5" s="52">
        <f>J7*Assumptions!$B$20</f>
        <v>90.7667237911896</v>
      </c>
      <c r="K5" s="52">
        <f>K7*Assumptions!$B$20</f>
        <v>117.41294728551698</v>
      </c>
      <c r="L5" s="52">
        <f>L7*Assumptions!$B$20</f>
        <v>147.67086711787178</v>
      </c>
      <c r="M5" s="52">
        <f>M7*Assumptions!$B$20</f>
        <v>180.43164855222113</v>
      </c>
      <c r="N5" s="52">
        <f>N7*Assumptions!$B$20</f>
        <v>213.9925050961818</v>
      </c>
      <c r="O5" s="52">
        <f>O7*Assumptions!$B$20</f>
        <v>246.1266968455564</v>
      </c>
      <c r="P5" s="52">
        <f>P7*Assumptions!$B$20</f>
        <v>274.2678537807846</v>
      </c>
      <c r="Q5" s="52">
        <f>Q7*Assumptions!$B$20</f>
        <v>295.80246258970124</v>
      </c>
      <c r="R5" s="52">
        <f>R7*Assumptions!$B$20</f>
        <v>308.4354386858706</v>
      </c>
      <c r="S5" s="52">
        <f>S7*Assumptions!$B$20</f>
        <v>310.5663875643749</v>
      </c>
    </row>
    <row r="6">
      <c r="A6" s="18" t="inlineStr">
        <is>
          <t>SG&amp;A &amp; Other</t>
        </is>
      </c>
      <c r="B6" s="52" t="n">
        <v>1.795</v>
      </c>
      <c r="C6" s="52" t="n">
        <v>6.61</v>
      </c>
      <c r="D6" s="52" t="n">
        <v>21.337</v>
      </c>
      <c r="E6" s="52" t="n">
        <v>60.971</v>
      </c>
      <c r="F6" s="52" t="n">
        <v>122.124</v>
      </c>
      <c r="G6" s="52" t="n">
        <v>185.145</v>
      </c>
      <c r="H6" s="52" t="n">
        <v>229.391</v>
      </c>
      <c r="I6" s="52" t="n">
        <v>274.553</v>
      </c>
      <c r="J6" s="52">
        <f>J7-J5</f>
        <v>323.5040374648104</v>
      </c>
      <c r="K6" s="52">
        <f>K7-K5</f>
        <v>418.47453462008315</v>
      </c>
      <c r="L6" s="52">
        <f>L7-L5</f>
        <v>526.3175724890282</v>
      </c>
      <c r="M6" s="52">
        <f>M7-M5</f>
        <v>643.0811243926494</v>
      </c>
      <c r="N6" s="52">
        <f>N7-N5</f>
        <v>762.6962447722883</v>
      </c>
      <c r="O6" s="52">
        <f>O7-O5</f>
        <v>877.2265521072343</v>
      </c>
      <c r="P6" s="52">
        <f>P7-P5</f>
        <v>977.5251803624587</v>
      </c>
      <c r="Q6" s="52">
        <f>Q7-Q5</f>
        <v>1054.2772388694555</v>
      </c>
      <c r="R6" s="52">
        <f>R7-R5</f>
        <v>1099.3027570506454</v>
      </c>
      <c r="S6" s="52">
        <f>S7-S5</f>
        <v>1106.8977272890022</v>
      </c>
    </row>
    <row r="7">
      <c r="A7" s="2" t="inlineStr">
        <is>
          <t>Operating Expense</t>
        </is>
      </c>
      <c r="B7" s="52">
        <f>SUM(B5:B6)</f>
        <v>19.735</v>
      </c>
      <c r="C7" s="52">
        <f>SUM(C5:C6)</f>
        <v>43.132</v>
      </c>
      <c r="D7" s="52">
        <f>SUM(D5:D6)</f>
        <v>136.645</v>
      </c>
      <c r="E7" s="52">
        <f>SUM(E5:E6)</f>
        <v>206.529</v>
      </c>
      <c r="F7" s="52">
        <f>SUM(F5:F6)</f>
        <v>304.55899999999997</v>
      </c>
      <c r="G7" s="52">
        <f>SUM(G5:G6)</f>
        <v>295.72</v>
      </c>
      <c r="H7" s="52">
        <f>SUM(H5:H6)</f>
        <v>305.811</v>
      </c>
      <c r="I7" s="52">
        <f>SUM(I5:I6)</f>
        <v>351.604</v>
      </c>
      <c r="J7" s="52">
        <f>J4-J2*NPV!C6</f>
        <v>414.270761256</v>
      </c>
      <c r="K7" s="52">
        <f>K4-K2*NPV!D6</f>
        <v>535.8874819056001</v>
      </c>
      <c r="L7" s="52">
        <f>L4-L2*NPV!E6</f>
        <v>673.9884396069</v>
      </c>
      <c r="M7" s="52">
        <f>M4-M2*NPV!F6</f>
        <v>823.5127729448706</v>
      </c>
      <c r="N7" s="52">
        <f>N4-N2*NPV!G6</f>
        <v>976.6887498684702</v>
      </c>
      <c r="O7" s="52">
        <f>O4-O2*NPV!H6</f>
        <v>1123.3532489527906</v>
      </c>
      <c r="P7" s="52">
        <f>P4-P2*NPV!I6</f>
        <v>1251.7930341432434</v>
      </c>
      <c r="Q7" s="52">
        <f>Q4-Q2*NPV!J6</f>
        <v>1350.0797014591567</v>
      </c>
      <c r="R7" s="52">
        <f>R4-R2*NPV!K6</f>
        <v>1407.738195736516</v>
      </c>
      <c r="S7" s="52">
        <f>S4-S2*NPV!L6</f>
        <v>1417.4641148533772</v>
      </c>
    </row>
    <row r="8">
      <c r="A8" s="2" t="inlineStr">
        <is>
          <t>Operating Income</t>
        </is>
      </c>
      <c r="B8" s="52">
        <f>B4-B7</f>
        <v>-19.735</v>
      </c>
      <c r="C8" s="52">
        <f>C4-C7</f>
        <v>-43.132</v>
      </c>
      <c r="D8" s="52">
        <f>D4-D7</f>
        <v>-136.645</v>
      </c>
      <c r="E8" s="52">
        <f>E4-E7</f>
        <v>-206.529</v>
      </c>
      <c r="F8" s="52">
        <f>F4-F7</f>
        <v>-301.62699999999995</v>
      </c>
      <c r="G8" s="52">
        <f>G4-G7</f>
        <v>-241.10100000000003</v>
      </c>
      <c r="H8" s="52">
        <f>H4-H7</f>
        <v>-128.397</v>
      </c>
      <c r="I8" s="52">
        <f>I4-I7</f>
        <v>-12.226999999999975</v>
      </c>
      <c r="J8" s="52">
        <f>J4-J7</f>
        <v>43.875192024</v>
      </c>
      <c r="K8" s="52">
        <f>K4-K7</f>
        <v>66.06539559839996</v>
      </c>
      <c r="L8" s="52">
        <f>L4-L7</f>
        <v>95.17357053709998</v>
      </c>
      <c r="M8" s="52">
        <f>M4-M7</f>
        <v>131.53005631726273</v>
      </c>
      <c r="N8" s="52">
        <f>N4-N7</f>
        <v>174.66843874199037</v>
      </c>
      <c r="O8" s="52">
        <f>O4-O7</f>
        <v>223.09501883888697</v>
      </c>
      <c r="P8" s="52">
        <f>P4-P7</f>
        <v>274.1816693539913</v>
      </c>
      <c r="Q8" s="52">
        <f>Q4-Q7</f>
        <v>324.25365376697573</v>
      </c>
      <c r="R8" s="52">
        <f>R4-R7</f>
        <v>368.9155311978802</v>
      </c>
      <c r="S8" s="52">
        <f>S4-S7</f>
        <v>403.6059552543786</v>
      </c>
    </row>
    <row r="9">
      <c r="A9" s="18" t="inlineStr">
        <is>
          <t>Interest &amp; Other</t>
        </is>
      </c>
      <c r="B9" s="52" t="n">
        <v>0.48</v>
      </c>
      <c r="C9" s="52" t="n">
        <v>1.136</v>
      </c>
      <c r="D9" s="52" t="n">
        <v>0.967</v>
      </c>
      <c r="E9" s="52" t="n">
        <v>0.173</v>
      </c>
      <c r="F9" s="52" t="n">
        <v>-9.831</v>
      </c>
      <c r="G9" s="52" t="n">
        <v>-17.926</v>
      </c>
      <c r="H9" s="52" t="n">
        <v>-10.995</v>
      </c>
      <c r="I9" s="52" t="n">
        <v>-2.743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</row>
    <row r="10">
      <c r="A10" s="2" t="inlineStr">
        <is>
          <t>Pretax</t>
        </is>
      </c>
      <c r="B10" s="52">
        <f>B8+B9</f>
        <v>-19.255</v>
      </c>
      <c r="C10" s="52">
        <f>C8+C9</f>
        <v>-41.995999999999995</v>
      </c>
      <c r="D10" s="52">
        <f>D8+D9</f>
        <v>-135.678</v>
      </c>
      <c r="E10" s="52">
        <f>E8+E9</f>
        <v>-206.356</v>
      </c>
      <c r="F10" s="52">
        <f>F8+F9</f>
        <v>-311.45799999999997</v>
      </c>
      <c r="G10" s="52">
        <f>G8+G9</f>
        <v>-259.02700000000004</v>
      </c>
      <c r="H10" s="52">
        <f>H8+H9</f>
        <v>-139.392</v>
      </c>
      <c r="I10" s="52">
        <f>I8+I9</f>
        <v>-14.969999999999976</v>
      </c>
      <c r="J10" s="52">
        <f>J8+J9</f>
        <v>43.875192024</v>
      </c>
      <c r="K10" s="52">
        <f>K8+K9</f>
        <v>66.06539559839996</v>
      </c>
      <c r="L10" s="52">
        <f>L8+L9</f>
        <v>95.17357053709998</v>
      </c>
      <c r="M10" s="52">
        <f>M8+M9</f>
        <v>131.53005631726273</v>
      </c>
      <c r="N10" s="52">
        <f>N8+N9</f>
        <v>174.66843874199037</v>
      </c>
      <c r="O10" s="52">
        <f>O8+O9</f>
        <v>223.09501883888697</v>
      </c>
      <c r="P10" s="52">
        <f>P8+P9</f>
        <v>274.1816693539913</v>
      </c>
      <c r="Q10" s="52">
        <f>Q8+Q9</f>
        <v>324.25365376697573</v>
      </c>
      <c r="R10" s="52">
        <f>R8+R9</f>
        <v>368.9155311978802</v>
      </c>
      <c r="S10" s="52">
        <f>S8+S9</f>
        <v>403.6059552543786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3.113</v>
      </c>
      <c r="H11" s="52" t="n">
        <v>0.647</v>
      </c>
      <c r="I11" s="52" t="n">
        <v>1.171</v>
      </c>
      <c r="J11" s="52">
        <f>MAX(0,J10)*Assumptions!$E$14</f>
        <v>7.45878264408</v>
      </c>
      <c r="K11" s="52">
        <f>MAX(0,K10)*Assumptions!$E$14</f>
        <v>11.231117251727994</v>
      </c>
      <c r="L11" s="52">
        <f>MAX(0,L10)*Assumptions!$E$14</f>
        <v>16.179506991306997</v>
      </c>
      <c r="M11" s="52">
        <f>MAX(0,M10)*Assumptions!$E$14</f>
        <v>22.360109573934665</v>
      </c>
      <c r="N11" s="52">
        <f>MAX(0,N10)*Assumptions!$E$14</f>
        <v>29.693634586138366</v>
      </c>
      <c r="O11" s="52">
        <f>MAX(0,O10)*Assumptions!$E$14</f>
        <v>37.92615320261079</v>
      </c>
      <c r="P11" s="52">
        <f>MAX(0,P10)*Assumptions!$E$14</f>
        <v>46.61088379017853</v>
      </c>
      <c r="Q11" s="52">
        <f>MAX(0,Q10)*Assumptions!$E$14</f>
        <v>55.12312114038588</v>
      </c>
      <c r="R11" s="52">
        <f>MAX(0,R10)*Assumptions!$E$14</f>
        <v>62.715640303639645</v>
      </c>
      <c r="S11" s="52">
        <f>MAX(0,S10)*Assumptions!$E$14</f>
        <v>68.61301239324438</v>
      </c>
    </row>
    <row r="12">
      <c r="A12" s="2" t="inlineStr">
        <is>
          <t>Net Income</t>
        </is>
      </c>
      <c r="B12" s="52" t="n">
        <v>-19.255</v>
      </c>
      <c r="C12" s="52" t="n">
        <v>-41.996</v>
      </c>
      <c r="D12" s="52" t="n">
        <v>-135.678</v>
      </c>
      <c r="E12" s="52" t="n">
        <v>-206.356</v>
      </c>
      <c r="F12" s="52" t="n">
        <v>-311.458</v>
      </c>
      <c r="G12" s="52" t="n">
        <v>-262.14</v>
      </c>
      <c r="H12" s="52" t="n">
        <v>-140.039</v>
      </c>
      <c r="I12" s="52" t="n">
        <v>-16.141</v>
      </c>
      <c r="J12" s="52">
        <f>J10-J11</f>
        <v>36.41640937992</v>
      </c>
      <c r="K12" s="52">
        <f>K10-K11</f>
        <v>54.834278346671965</v>
      </c>
      <c r="L12" s="52">
        <f>L10-L11</f>
        <v>78.99406354579298</v>
      </c>
      <c r="M12" s="52">
        <f>M10-M11</f>
        <v>109.16994674332807</v>
      </c>
      <c r="N12" s="52">
        <f>N10-N11</f>
        <v>144.974804155852</v>
      </c>
      <c r="O12" s="52">
        <f>O10-O11</f>
        <v>185.16886563627617</v>
      </c>
      <c r="P12" s="52">
        <f>P10-P11</f>
        <v>227.5707855638128</v>
      </c>
      <c r="Q12" s="52">
        <f>Q10-Q11</f>
        <v>269.13053262658985</v>
      </c>
      <c r="R12" s="52">
        <f>R10-R11</f>
        <v>306.1998908942406</v>
      </c>
      <c r="S12" s="52">
        <f>S10-S11</f>
        <v>334.9929428611342</v>
      </c>
    </row>
    <row r="13">
      <c r="A13" s="2" t="inlineStr">
        <is>
          <t>Earnings per Share</t>
        </is>
      </c>
      <c r="B13" s="11">
        <f>IFERROR(B12/B14,0)</f>
        <v>-0.8174832300246243</v>
      </c>
      <c r="C13" s="11">
        <f>IFERROR(C12/C14,0)</f>
        <v>-1.1991662145569801</v>
      </c>
      <c r="D13" s="11">
        <f>IFERROR(D12/D14,0)</f>
        <v>-3.803913872378603</v>
      </c>
      <c r="E13" s="11">
        <f>IFERROR(E12/E14,0)</f>
        <v>-4.176739667246893</v>
      </c>
      <c r="F13" s="11">
        <f>IFERROR(F12/F14,0)</f>
        <v>-5.659579880796628</v>
      </c>
      <c r="G13" s="11">
        <f>IFERROR(G12/G14,0)</f>
        <v>-3.782411081451554</v>
      </c>
      <c r="H13" s="11">
        <f>IFERROR(H12/H14,0)</f>
        <v>-1.1577489707171083</v>
      </c>
      <c r="I13" s="11">
        <f>IFERROR(I12/I14,0)</f>
        <v>-0.12686074476947984</v>
      </c>
      <c r="J13" s="11">
        <f>IFERROR(J12/J14,0)</f>
        <v>0.2897274343577152</v>
      </c>
      <c r="K13" s="11">
        <f>IFERROR(K12/K14,0)</f>
        <v>0.4362592317791268</v>
      </c>
      <c r="L13" s="11">
        <f>IFERROR(L12/L14,0)</f>
        <v>0.628473475290858</v>
      </c>
      <c r="M13" s="11">
        <f>IFERROR(M12/M14,0)</f>
        <v>0.8685515435893952</v>
      </c>
      <c r="N13" s="11">
        <f>IFERROR(N12/N14,0)</f>
        <v>1.153413495997982</v>
      </c>
      <c r="O13" s="11">
        <f>IFERROR(O12/O14,0)</f>
        <v>1.473195772928359</v>
      </c>
      <c r="P13" s="11">
        <f>IFERROR(P12/P14,0)</f>
        <v>1.8105436795899206</v>
      </c>
      <c r="Q13" s="11">
        <f>IFERROR(Q12/Q14,0)</f>
        <v>2.1411912940604836</v>
      </c>
      <c r="R13" s="11">
        <f>IFERROR(R12/R14,0)</f>
        <v>2.4361135625391395</v>
      </c>
      <c r="S13" s="11">
        <f>IFERROR(S12/S14,0)</f>
        <v>2.6651898832347296</v>
      </c>
    </row>
    <row r="14">
      <c r="A14" s="2" t="inlineStr">
        <is>
          <t>Shares</t>
        </is>
      </c>
      <c r="B14" s="52" t="n">
        <v>23.554</v>
      </c>
      <c r="C14" s="52" t="n">
        <v>35.021</v>
      </c>
      <c r="D14" s="52" t="n">
        <v>35.668</v>
      </c>
      <c r="E14" s="52" t="n">
        <v>49.406</v>
      </c>
      <c r="F14" s="52" t="n">
        <v>55.032</v>
      </c>
      <c r="G14" s="52" t="n">
        <v>69.30500000000001</v>
      </c>
      <c r="H14" s="52" t="n">
        <v>120.958</v>
      </c>
      <c r="I14" s="52" t="n">
        <v>127.234</v>
      </c>
      <c r="J14" s="52">
        <f>Main!$C$4</f>
        <v>125.691961</v>
      </c>
      <c r="K14" s="52">
        <f>Main!$C$4</f>
        <v>125.691961</v>
      </c>
      <c r="L14" s="52">
        <f>Main!$C$4</f>
        <v>125.691961</v>
      </c>
      <c r="M14" s="52">
        <f>Main!$C$4</f>
        <v>125.691961</v>
      </c>
      <c r="N14" s="52">
        <f>Main!$C$4</f>
        <v>125.691961</v>
      </c>
      <c r="O14" s="52">
        <f>Main!$C$4</f>
        <v>125.691961</v>
      </c>
      <c r="P14" s="52">
        <f>Main!$C$4</f>
        <v>125.691961</v>
      </c>
      <c r="Q14" s="52">
        <f>Main!$C$4</f>
        <v>125.691961</v>
      </c>
      <c r="R14" s="52">
        <f>Main!$C$4</f>
        <v>125.691961</v>
      </c>
      <c r="S14" s="52">
        <f>Main!$C$4</f>
        <v>125.691961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>15.170916983179598</v>
      </c>
      <c r="H16" s="15">
        <f>IFERROR(H2/G2-1,"")</f>
        <v>2.297352615508506</v>
      </c>
      <c r="I16" s="15">
        <f>IFERROR(I2/H2-1,"")</f>
        <v>0.9134434370261828</v>
      </c>
      <c r="J16" s="15">
        <f>IFERROR(J2/I2-1,"")</f>
        <v>0.3500000000000001</v>
      </c>
      <c r="K16" s="15">
        <f>IFERROR(K2/J2-1,"")</f>
        <v>0.3138888888888889</v>
      </c>
      <c r="L16" s="15">
        <f>IFERROR(L2/K2-1,"")</f>
        <v>0.2777777777777777</v>
      </c>
      <c r="M16" s="15">
        <f>IFERROR(M2/L2-1,"")</f>
        <v>0.2416666666666667</v>
      </c>
      <c r="N16" s="15">
        <f>IFERROR(N2/M2-1,"")</f>
        <v>0.2055555555555555</v>
      </c>
      <c r="O16" s="15">
        <f>IFERROR(O2/N2-1,"")</f>
        <v>0.1694444444444445</v>
      </c>
      <c r="P16" s="15">
        <f>IFERROR(P2/O2-1,"")</f>
        <v>0.1333333333333333</v>
      </c>
      <c r="Q16" s="15">
        <f>IFERROR(Q2/P2-1,"")</f>
        <v>0.09722222222222232</v>
      </c>
      <c r="R16" s="15">
        <f>IFERROR(R2/Q2-1,"")</f>
        <v>0.061111111111111116</v>
      </c>
      <c r="S16" s="15">
        <f>IFERROR(S2/R2-1,"")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>0.7954422137818774</v>
      </c>
      <c r="G17" s="15">
        <f>IFERROR(G4/G2,"")</f>
        <v>0.9163339261148207</v>
      </c>
      <c r="H17" s="15">
        <f>IFERROR(H4/H2,"")</f>
        <v>0.9026772903501541</v>
      </c>
      <c r="I17" s="15">
        <f>IFERROR(I4/I2,"")</f>
        <v>0.9024255993533153</v>
      </c>
      <c r="J17" s="15">
        <f>IFERROR(J4/J2,"")</f>
        <v>0.9024</v>
      </c>
      <c r="K17" s="15">
        <f>IFERROR(K4/K2,"")</f>
        <v>0.9024000000000001</v>
      </c>
      <c r="L17" s="15">
        <f>IFERROR(L4/L2,"")</f>
        <v>0.9024</v>
      </c>
      <c r="M17" s="15">
        <f>IFERROR(M4/M2,"")</f>
        <v>0.9024</v>
      </c>
      <c r="N17" s="15">
        <f>IFERROR(N4/N2,"")</f>
        <v>0.9024</v>
      </c>
      <c r="O17" s="15">
        <f>IFERROR(O4/O2,"")</f>
        <v>0.9024</v>
      </c>
      <c r="P17" s="15">
        <f>IFERROR(P4/P2,"")</f>
        <v>0.9024000000000001</v>
      </c>
      <c r="Q17" s="15">
        <f>IFERROR(Q4/Q2,"")</f>
        <v>0.9024</v>
      </c>
      <c r="R17" s="15">
        <f>IFERROR(R4/R2,"")</f>
        <v>0.9024</v>
      </c>
      <c r="S17" s="15">
        <f>IFERROR(S4/S2,"")</f>
        <v>0.9024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>-81.83043950081388</v>
      </c>
      <c r="G18" s="15">
        <f>IFERROR(G8/G2,"")</f>
        <v>-4.0449115860819385</v>
      </c>
      <c r="H18" s="15">
        <f>IFERROR(H8/H2,"")</f>
        <v>-0.6532802149158958</v>
      </c>
      <c r="I18" s="15">
        <f>IFERROR(I8/I2,"")</f>
        <v>-0.03251239124422976</v>
      </c>
      <c r="J18" s="15">
        <f>IFERROR(J8/J2,"")</f>
        <v>0.08642</v>
      </c>
      <c r="K18" s="15">
        <f>IFERROR(K8/K2,"")</f>
        <v>0.09903999999999993</v>
      </c>
      <c r="L18" s="15">
        <f>IFERROR(L8/L2,"")</f>
        <v>0.11165999999999998</v>
      </c>
      <c r="M18" s="15">
        <f>IFERROR(M8/M2,"")</f>
        <v>0.12427999999999996</v>
      </c>
      <c r="N18" s="15">
        <f>IFERROR(N8/N2,"")</f>
        <v>0.13690000000000005</v>
      </c>
      <c r="O18" s="15">
        <f>IFERROR(O8/O2,"")</f>
        <v>0.14951999999999996</v>
      </c>
      <c r="P18" s="15">
        <f>IFERROR(P8/P2,"")</f>
        <v>0.1621400000000001</v>
      </c>
      <c r="Q18" s="15">
        <f>IFERROR(Q8/Q2,"")</f>
        <v>0.17476</v>
      </c>
      <c r="R18" s="15">
        <f>IFERROR(R8/R2,"")</f>
        <v>0.18737999999999996</v>
      </c>
      <c r="S18" s="15">
        <f>IFERROR(S8/S2,"")</f>
        <v>0.20000000000000004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Arcutis Biotherapeutics,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0.3</v>
      </c>
      <c r="C12" s="53" t="n">
        <v>0.35</v>
      </c>
      <c r="D12" s="53" t="n">
        <v>0.4</v>
      </c>
      <c r="E12" s="54">
        <f>CHOOSE($B$4,B12,C12,D12)</f>
        <v>0.35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0.0738</v>
      </c>
    </row>
    <row r="19">
      <c r="A19" s="14" t="inlineStr">
        <is>
          <t>Gross margin (forecast)</t>
        </is>
      </c>
      <c r="B19" s="53" t="n">
        <v>0.9024</v>
      </c>
    </row>
    <row r="20">
      <c r="A20" s="14" t="inlineStr">
        <is>
          <t>R&amp;D share of operating expense (forecast)</t>
        </is>
      </c>
      <c r="B20" s="53" t="n">
        <v>0.2191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Model'!I2</f>
        <v>376.072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2115.966169287887</v>
      </c>
      <c r="C29" s="56">
        <f>NPV!B26</f>
        <v>2245.618169287887</v>
      </c>
      <c r="D29" s="35">
        <f>NPV!B28</f>
        <v>17.866044506123085</v>
      </c>
      <c r="E29" s="57">
        <f>NPV!B30</f>
        <v>-0.4556354507579804</v>
      </c>
    </row>
    <row r="30">
      <c r="A30" s="58" t="n">
        <v>1</v>
      </c>
      <c r="B30" s="59">
        <f t="dataTable" ref="B30:E32" r1="B4"/>
        <v>1074.0908561433896</v>
      </c>
      <c r="C30" s="59">
        <v>1203.7428561433894</v>
      </c>
      <c r="D30" s="39">
        <v>9.576927963940266</v>
      </c>
      <c r="E30" s="60">
        <v>-0.7081984166989559</v>
      </c>
    </row>
    <row r="31">
      <c r="A31" s="58" t="n">
        <v>2</v>
      </c>
      <c r="B31" s="59">
        <v>2115.966169287887</v>
      </c>
      <c r="C31" s="59">
        <v>2245.618169287887</v>
      </c>
      <c r="D31" s="39">
        <v>17.866044506123085</v>
      </c>
      <c r="E31" s="60">
        <v>-0.4556354507579804</v>
      </c>
    </row>
    <row r="32">
      <c r="A32" s="58" t="n">
        <v>3</v>
      </c>
      <c r="B32" s="59">
        <v>4055.921878667522</v>
      </c>
      <c r="C32" s="59">
        <v>4185.573878667522</v>
      </c>
      <c r="D32" s="39">
        <v>33.30025122821914</v>
      </c>
      <c r="E32" s="60">
        <v>0.01463288324860268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17.866044506123085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21.830918907455942</v>
      </c>
      <c r="C37" s="39">
        <v>23.250909194033603</v>
      </c>
      <c r="D37" s="39">
        <v>24.889424108857966</v>
      </c>
      <c r="E37" s="39">
        <v>26.80109855802458</v>
      </c>
      <c r="F37" s="39">
        <v>29.060434778094372</v>
      </c>
    </row>
    <row r="38">
      <c r="A38" s="62" t="n">
        <v>0.1</v>
      </c>
      <c r="B38" s="39">
        <v>18.65632543228943</v>
      </c>
      <c r="C38" s="39">
        <v>19.699917399775348</v>
      </c>
      <c r="D38" s="39">
        <v>20.88269324180739</v>
      </c>
      <c r="E38" s="39">
        <v>22.234480912658263</v>
      </c>
      <c r="F38" s="39">
        <v>23.794286270474913</v>
      </c>
    </row>
    <row r="39">
      <c r="A39" s="62" t="n">
        <v>0.11</v>
      </c>
      <c r="B39" s="39">
        <v>16.192060665873072</v>
      </c>
      <c r="C39" s="39">
        <v>16.98254318164369</v>
      </c>
      <c r="D39" s="39">
        <v>17.866044506123085</v>
      </c>
      <c r="E39" s="39">
        <v>18.860007862411834</v>
      </c>
      <c r="F39" s="39">
        <v>19.986528057297715</v>
      </c>
    </row>
    <row r="40">
      <c r="A40" s="62" t="n">
        <v>0.12</v>
      </c>
      <c r="B40" s="39">
        <v>14.232066490471388</v>
      </c>
      <c r="C40" s="39">
        <v>14.845415095577673</v>
      </c>
      <c r="D40" s="39">
        <v>15.52333590689108</v>
      </c>
      <c r="E40" s="39">
        <v>16.276592688065605</v>
      </c>
      <c r="F40" s="39">
        <v>17.118481900020758</v>
      </c>
    </row>
    <row r="41">
      <c r="A41" s="62" t="n">
        <v>0.13</v>
      </c>
      <c r="B41" s="39">
        <v>12.642230966380936</v>
      </c>
      <c r="C41" s="39">
        <v>13.127585847567769</v>
      </c>
      <c r="D41" s="39">
        <v>13.659166362428262</v>
      </c>
      <c r="E41" s="39">
        <v>14.243907736747452</v>
      </c>
      <c r="F41" s="39">
        <v>14.890205282823063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Arcutis Biotherapeutics, Inc.: free-cash-flow DCF ($mm)</t>
        </is>
      </c>
    </row>
    <row r="3">
      <c r="A3" s="20" t="inlineStr">
        <is>
          <t>Fiscal year</t>
        </is>
      </c>
      <c r="B3" s="43">
        <f>'Yearly Model'!I1</f>
        <v>2025</v>
      </c>
      <c r="C3" s="43">
        <f>'Yearly Model'!J1</f>
        <v>2026</v>
      </c>
      <c r="D3" s="43">
        <f>'Yearly Model'!K1</f>
        <v>2027</v>
      </c>
      <c r="E3" s="43">
        <f>'Yearly Model'!L1</f>
        <v>2028</v>
      </c>
      <c r="F3" s="43">
        <f>'Yearly Model'!M1</f>
        <v>2029</v>
      </c>
      <c r="G3" s="43">
        <f>'Yearly Model'!N1</f>
        <v>2030</v>
      </c>
      <c r="H3" s="43">
        <f>'Yearly Model'!O1</f>
        <v>2031</v>
      </c>
      <c r="I3" s="43">
        <f>'Yearly Model'!P1</f>
        <v>2032</v>
      </c>
      <c r="J3" s="43">
        <f>'Yearly Model'!Q1</f>
        <v>2033</v>
      </c>
      <c r="K3" s="43">
        <f>'Yearly Model'!R1</f>
        <v>2034</v>
      </c>
      <c r="L3" s="43">
        <f>'Yearly Model'!S1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0.35</v>
      </c>
      <c r="D5" s="63">
        <f>Assumptions!$E$12+(Assumptions!$E$11-Assumptions!$E$12)*(D4-1)/(Assumptions!$B$21-1)</f>
        <v>0.3138888888888889</v>
      </c>
      <c r="E5" s="63">
        <f>Assumptions!$E$12+(Assumptions!$E$11-Assumptions!$E$12)*(E4-1)/(Assumptions!$B$21-1)</f>
        <v>0.2777777777777778</v>
      </c>
      <c r="F5" s="63">
        <f>Assumptions!$E$12+(Assumptions!$E$11-Assumptions!$E$12)*(F4-1)/(Assumptions!$B$21-1)</f>
        <v>0.24166666666666664</v>
      </c>
      <c r="G5" s="63">
        <f>Assumptions!$E$12+(Assumptions!$E$11-Assumptions!$E$12)*(G4-1)/(Assumptions!$B$21-1)</f>
        <v>0.20555555555555555</v>
      </c>
      <c r="H5" s="63">
        <f>Assumptions!$E$12+(Assumptions!$E$11-Assumptions!$E$12)*(H4-1)/(Assumptions!$B$21-1)</f>
        <v>0.16944444444444445</v>
      </c>
      <c r="I5" s="63">
        <f>Assumptions!$E$12+(Assumptions!$E$11-Assumptions!$E$12)*(I4-1)/(Assumptions!$B$21-1)</f>
        <v>0.13333333333333333</v>
      </c>
      <c r="J5" s="63">
        <f>Assumptions!$E$12+(Assumptions!$E$11-Assumptions!$E$12)*(J4-1)/(Assumptions!$B$21-1)</f>
        <v>0.09722222222222227</v>
      </c>
      <c r="K5" s="63">
        <f>Assumptions!$E$12+(Assumptions!$E$11-Assumptions!$E$12)*(K4-1)/(Assumptions!$B$21-1)</f>
        <v>0.061111111111111116</v>
      </c>
      <c r="L5" s="63">
        <f>Assumptions!$E$12+(Assumptions!$E$11-Assumptions!$E$12)*(L4-1)/(Assumptions!$B$21-1)</f>
        <v>0.025000000000000022</v>
      </c>
    </row>
    <row r="6">
      <c r="A6" s="14" t="inlineStr">
        <is>
          <t>Operating margin</t>
        </is>
      </c>
      <c r="B6" s="63">
        <f>IFERROR(B8/B7,0)</f>
        <v>-0.03251239124422976</v>
      </c>
      <c r="C6" s="63">
        <f>Assumptions!$B$18+(Assumptions!$E$13-Assumptions!$B$18)*C4/Assumptions!$B$21</f>
        <v>0.08642000000000001</v>
      </c>
      <c r="D6" s="63">
        <f>Assumptions!$B$18+(Assumptions!$E$13-Assumptions!$B$18)*D4/Assumptions!$B$21</f>
        <v>0.09904</v>
      </c>
      <c r="E6" s="63">
        <f>Assumptions!$B$18+(Assumptions!$E$13-Assumptions!$B$18)*E4/Assumptions!$B$21</f>
        <v>0.11166000000000001</v>
      </c>
      <c r="F6" s="63">
        <f>Assumptions!$B$18+(Assumptions!$E$13-Assumptions!$B$18)*F4/Assumptions!$B$21</f>
        <v>0.12428</v>
      </c>
      <c r="G6" s="63">
        <f>Assumptions!$B$18+(Assumptions!$E$13-Assumptions!$B$18)*G4/Assumptions!$B$21</f>
        <v>0.13690000000000002</v>
      </c>
      <c r="H6" s="63">
        <f>Assumptions!$B$18+(Assumptions!$E$13-Assumptions!$B$18)*H4/Assumptions!$B$21</f>
        <v>0.14952000000000001</v>
      </c>
      <c r="I6" s="63">
        <f>Assumptions!$B$18+(Assumptions!$E$13-Assumptions!$B$18)*I4/Assumptions!$B$21</f>
        <v>0.16214</v>
      </c>
      <c r="J6" s="63">
        <f>Assumptions!$B$18+(Assumptions!$E$13-Assumptions!$B$18)*J4/Assumptions!$B$21</f>
        <v>0.17476000000000003</v>
      </c>
      <c r="K6" s="63">
        <f>Assumptions!$B$18+(Assumptions!$E$13-Assumptions!$B$18)*K4/Assumptions!$B$21</f>
        <v>0.18738000000000002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Model'!I2</f>
        <v>376.072</v>
      </c>
      <c r="C7" s="55">
        <f>'Yearly Model'!J2</f>
        <v>507.6972</v>
      </c>
      <c r="D7" s="55">
        <f>'Yearly Model'!K2</f>
        <v>667.05771</v>
      </c>
      <c r="E7" s="55">
        <f>'Yearly Model'!L2</f>
        <v>852.3515183333333</v>
      </c>
      <c r="F7" s="55">
        <f>'Yearly Model'!M2</f>
        <v>1058.3364685972222</v>
      </c>
      <c r="G7" s="55">
        <f>'Yearly Model'!N2</f>
        <v>1275.8834093644289</v>
      </c>
      <c r="H7" s="55">
        <f>'Yearly Model'!O2</f>
        <v>1492.0747648400684</v>
      </c>
      <c r="I7" s="55">
        <f>'Yearly Model'!P2</f>
        <v>1691.018066818744</v>
      </c>
      <c r="J7" s="55">
        <f>'Yearly Model'!Q2</f>
        <v>1855.4226010927887</v>
      </c>
      <c r="K7" s="55">
        <f>'Yearly Model'!R2</f>
        <v>1968.809537826237</v>
      </c>
      <c r="L7" s="55">
        <f>'Yearly Model'!S2</f>
        <v>2018.0297762718926</v>
      </c>
    </row>
    <row r="8">
      <c r="A8" s="14" t="inlineStr">
        <is>
          <t>Operating income</t>
        </is>
      </c>
      <c r="B8" s="55">
        <f>'Yearly Model'!I8</f>
        <v>-12.226999999999975</v>
      </c>
      <c r="C8" s="55">
        <f>'Yearly Model'!J8</f>
        <v>43.875192024</v>
      </c>
      <c r="D8" s="55">
        <f>'Yearly Model'!K8</f>
        <v>66.06539559839996</v>
      </c>
      <c r="E8" s="55">
        <f>'Yearly Model'!L8</f>
        <v>95.17357053709998</v>
      </c>
      <c r="F8" s="55">
        <f>'Yearly Model'!M8</f>
        <v>131.53005631726273</v>
      </c>
      <c r="G8" s="55">
        <f>'Yearly Model'!N8</f>
        <v>174.66843874199037</v>
      </c>
      <c r="H8" s="55">
        <f>'Yearly Model'!O8</f>
        <v>223.09501883888697</v>
      </c>
      <c r="I8" s="55">
        <f>'Yearly Model'!P8</f>
        <v>274.1816693539913</v>
      </c>
      <c r="J8" s="55">
        <f>'Yearly Model'!Q8</f>
        <v>324.25365376697573</v>
      </c>
      <c r="K8" s="55">
        <f>'Yearly Model'!R8</f>
        <v>368.9155311978802</v>
      </c>
      <c r="L8" s="55">
        <f>'Yearly Model'!S8</f>
        <v>403.6059552543786</v>
      </c>
    </row>
    <row r="9">
      <c r="A9" s="14" t="inlineStr">
        <is>
          <t>Tax on operating income</t>
        </is>
      </c>
      <c r="C9" s="52">
        <f>MAX(0,C8)*Assumptions!$E$14</f>
        <v>7.45878264408</v>
      </c>
      <c r="D9" s="52">
        <f>MAX(0,D8)*Assumptions!$E$14</f>
        <v>11.231117251727994</v>
      </c>
      <c r="E9" s="52">
        <f>MAX(0,E8)*Assumptions!$E$14</f>
        <v>16.179506991306997</v>
      </c>
      <c r="F9" s="52">
        <f>MAX(0,F8)*Assumptions!$E$14</f>
        <v>22.360109573934665</v>
      </c>
      <c r="G9" s="52">
        <f>MAX(0,G8)*Assumptions!$E$14</f>
        <v>29.693634586138366</v>
      </c>
      <c r="H9" s="52">
        <f>MAX(0,H8)*Assumptions!$E$14</f>
        <v>37.92615320261079</v>
      </c>
      <c r="I9" s="52">
        <f>MAX(0,I8)*Assumptions!$E$14</f>
        <v>46.61088379017853</v>
      </c>
      <c r="J9" s="52">
        <f>MAX(0,J8)*Assumptions!$E$14</f>
        <v>55.12312114038588</v>
      </c>
      <c r="K9" s="52">
        <f>MAX(0,K8)*Assumptions!$E$14</f>
        <v>62.715640303639645</v>
      </c>
      <c r="L9" s="52">
        <f>MAX(0,L8)*Assumptions!$E$14</f>
        <v>68.61301239324438</v>
      </c>
    </row>
    <row r="10">
      <c r="A10" s="14" t="inlineStr">
        <is>
          <t>NOPAT</t>
        </is>
      </c>
      <c r="C10" s="52">
        <f>C8-C9</f>
        <v>36.41640937992</v>
      </c>
      <c r="D10" s="52">
        <f>D8-D9</f>
        <v>54.834278346671965</v>
      </c>
      <c r="E10" s="52">
        <f>E8-E9</f>
        <v>78.99406354579298</v>
      </c>
      <c r="F10" s="52">
        <f>F8-F9</f>
        <v>109.16994674332807</v>
      </c>
      <c r="G10" s="52">
        <f>G8-G9</f>
        <v>144.974804155852</v>
      </c>
      <c r="H10" s="52">
        <f>H8-H9</f>
        <v>185.16886563627617</v>
      </c>
      <c r="I10" s="52">
        <f>I8-I9</f>
        <v>227.5707855638128</v>
      </c>
      <c r="J10" s="52">
        <f>J8-J9</f>
        <v>269.13053262658985</v>
      </c>
      <c r="K10" s="52">
        <f>K8-K9</f>
        <v>306.1998908942406</v>
      </c>
      <c r="L10" s="52">
        <f>L8-L9</f>
        <v>334.9929428611342</v>
      </c>
    </row>
    <row r="11">
      <c r="A11" s="14" t="inlineStr">
        <is>
          <t>Reinvestment</t>
        </is>
      </c>
      <c r="C11" s="52">
        <f>(C7-B7)*Assumptions!$E$15</f>
        <v>32.9063</v>
      </c>
      <c r="D11" s="52">
        <f>(D7-C7)*Assumptions!$E$15</f>
        <v>39.84012750000001</v>
      </c>
      <c r="E11" s="52">
        <f>(E7-D7)*Assumptions!$E$15</f>
        <v>46.32345208333331</v>
      </c>
      <c r="F11" s="52">
        <f>(F7-E7)*Assumptions!$E$15</f>
        <v>51.49623756597222</v>
      </c>
      <c r="G11" s="52">
        <f>(G7-F7)*Assumptions!$E$15</f>
        <v>54.38673519180168</v>
      </c>
      <c r="H11" s="52">
        <f>(H7-G7)*Assumptions!$E$15</f>
        <v>54.04783886890988</v>
      </c>
      <c r="I11" s="52">
        <f>(I7-H7)*Assumptions!$E$15</f>
        <v>49.735825494668916</v>
      </c>
      <c r="J11" s="52">
        <f>(J7-I7)*Assumptions!$E$15</f>
        <v>41.10113356851116</v>
      </c>
      <c r="K11" s="52">
        <f>(K7-J7)*Assumptions!$E$15</f>
        <v>28.34673418336206</v>
      </c>
      <c r="L11" s="52">
        <f>(L7-K7)*Assumptions!$E$15</f>
        <v>12.305059611413924</v>
      </c>
    </row>
    <row r="12">
      <c r="A12" s="20" t="inlineStr">
        <is>
          <t>Free cash flow</t>
        </is>
      </c>
      <c r="C12" s="64">
        <f>C10-C11</f>
        <v>3.510109379919996</v>
      </c>
      <c r="D12" s="64">
        <f>D10-D11</f>
        <v>14.994150846671957</v>
      </c>
      <c r="E12" s="64">
        <f>E10-E11</f>
        <v>32.670611462459675</v>
      </c>
      <c r="F12" s="64">
        <f>F10-F11</f>
        <v>57.673709177355846</v>
      </c>
      <c r="G12" s="64">
        <f>G10-G11</f>
        <v>90.58806896405034</v>
      </c>
      <c r="H12" s="64">
        <f>H10-H11</f>
        <v>131.1210267673663</v>
      </c>
      <c r="I12" s="64">
        <f>I10-I11</f>
        <v>177.83496006914388</v>
      </c>
      <c r="J12" s="64">
        <f>J10-J11</f>
        <v>228.0293990580787</v>
      </c>
      <c r="K12" s="64">
        <f>K10-K11</f>
        <v>277.8531567108785</v>
      </c>
      <c r="L12" s="64">
        <f>L10-L11</f>
        <v>322.6878832497203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1.7235095355172798</v>
      </c>
      <c r="D16" s="64">
        <f>D12*D13*D15</f>
        <v>13.502465388104042</v>
      </c>
      <c r="E16" s="64">
        <f>E12*E13*E15</f>
        <v>26.504857949893896</v>
      </c>
      <c r="F16" s="64">
        <f>F12*F13*F15</f>
        <v>42.152479182164534</v>
      </c>
      <c r="G16" s="64">
        <f>G12*G13*G15</f>
        <v>59.64763965652814</v>
      </c>
      <c r="H16" s="64">
        <f>H12*H13*H15</f>
        <v>77.78065986801023</v>
      </c>
      <c r="I16" s="64">
        <f>I12*I13*I15</f>
        <v>95.03715891096275</v>
      </c>
      <c r="J16" s="64">
        <f>J12*J13*J15</f>
        <v>109.78529343652141</v>
      </c>
      <c r="K16" s="64">
        <f>K12*K13*K15</f>
        <v>120.51626971639536</v>
      </c>
      <c r="L16" s="64">
        <f>L12*L13*L15</f>
        <v>126.09272340365914</v>
      </c>
    </row>
    <row r="19">
      <c r="A19" s="14" t="inlineStr">
        <is>
          <t>PV of forecast free cash flow</t>
        </is>
      </c>
      <c r="B19" s="52">
        <f>SUM(C16:L16)</f>
        <v>672.7430570477568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330.7550803309632</v>
      </c>
    </row>
    <row r="21">
      <c r="A21" s="14" t="inlineStr">
        <is>
          <t>Terminal value</t>
        </is>
      </c>
      <c r="B21" s="52">
        <f>B20/(Assumptions!$E$10-Assumptions!$E$11)</f>
        <v>3891.2362391878028</v>
      </c>
    </row>
    <row r="22">
      <c r="A22" s="14" t="inlineStr">
        <is>
          <t>PV of terminal value</t>
        </is>
      </c>
      <c r="B22" s="52">
        <f>B21/(1+Assumptions!$E$10)^(L14+0.5)</f>
        <v>1443.2231122401304</v>
      </c>
    </row>
    <row r="23">
      <c r="A23" s="20" t="inlineStr">
        <is>
          <t>Enterprise value</t>
        </is>
      </c>
      <c r="B23" s="66">
        <f>B19+B22</f>
        <v>2115.966169287887</v>
      </c>
    </row>
    <row r="24">
      <c r="A24" s="14" t="inlineStr">
        <is>
          <t>Cash &amp; investments</t>
        </is>
      </c>
      <c r="B24" s="55">
        <f>Main!C7</f>
        <v>238.55200000000002</v>
      </c>
    </row>
    <row r="25">
      <c r="A25" s="14" t="inlineStr">
        <is>
          <t>Debt</t>
        </is>
      </c>
      <c r="B25" s="55">
        <f>Main!C8</f>
        <v>108.9</v>
      </c>
    </row>
    <row r="26">
      <c r="A26" s="20" t="inlineStr">
        <is>
          <t>Equity value</t>
        </is>
      </c>
      <c r="B26" s="66">
        <f>B23+B24-B25</f>
        <v>2245.618169287887</v>
      </c>
    </row>
    <row r="27">
      <c r="A27" s="14" t="inlineStr">
        <is>
          <t>Shares (mm)</t>
        </is>
      </c>
      <c r="B27" s="55">
        <f>Main!C4</f>
        <v>125.691961</v>
      </c>
    </row>
    <row r="28">
      <c r="A28" s="20" t="inlineStr">
        <is>
          <t>NPV / share</t>
        </is>
      </c>
      <c r="B28" s="49">
        <f>B26/B27</f>
        <v>17.866044506123085</v>
      </c>
    </row>
    <row r="29">
      <c r="A29" s="14" t="inlineStr">
        <is>
          <t>Price</t>
        </is>
      </c>
      <c r="B29" s="50">
        <f>Main!C3</f>
        <v>32.82</v>
      </c>
    </row>
    <row r="30">
      <c r="A30" s="14" t="inlineStr">
        <is>
          <t>Upside</t>
        </is>
      </c>
      <c r="B30" s="63">
        <f>B28/B29-1</f>
        <v>-0.4556354507579804</v>
      </c>
    </row>
    <row r="31">
      <c r="A31" s="14" t="inlineStr">
        <is>
          <t>Terminal value, % of EV</t>
        </is>
      </c>
      <c r="B31" s="63">
        <f>IFERROR(B22/B23,0)</f>
        <v>0.6820634153739029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2026-10-21T06:22:00Z</dcterms:modified>
  <cp:lastModifiedBy>Wang, Eric</cp:lastModifiedBy>
</cp:coreProperties>
</file>