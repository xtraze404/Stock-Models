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Adc Therapeutics Ltd</t>
        </is>
      </c>
      <c r="C2" s="10" t="n"/>
    </row>
    <row r="3">
      <c r="B3" t="inlineStr">
        <is>
          <t>Price</t>
        </is>
      </c>
      <c r="C3" s="11">
        <f>INDEX([1]Pharma!$F$1:$F$1000,MATCH("ADCT",[1]Pharma!$B$1:$B$1000,0))</f>
        <v>1.53</v>
      </c>
      <c r="F3" s="1" t="n"/>
    </row>
    <row r="4">
      <c r="B4" t="inlineStr">
        <is>
          <t>Shares</t>
        </is>
      </c>
      <c r="C4" s="51" t="n">
        <v>127.667695</v>
      </c>
      <c r="F4" s="1" t="n"/>
    </row>
    <row r="5">
      <c r="B5" t="inlineStr">
        <is>
          <t>Market Cap.</t>
        </is>
      </c>
      <c r="C5" s="13">
        <f>C3*C4</f>
        <v>195.33157334999999</v>
      </c>
      <c r="F5" s="1" t="n"/>
    </row>
    <row r="6"/>
    <row r="7">
      <c r="B7" t="inlineStr">
        <is>
          <t>Cash</t>
        </is>
      </c>
      <c r="C7" s="51" t="n">
        <v>219.107</v>
      </c>
    </row>
    <row r="8">
      <c r="B8" t="inlineStr">
        <is>
          <t>Debt</t>
        </is>
      </c>
      <c r="C8" s="51">
        <f>6.18+110.437</f>
        <v>116.61699999999999</v>
      </c>
    </row>
    <row r="9">
      <c r="B9" t="inlineStr">
        <is>
          <t>Enterprise V.</t>
        </is>
      </c>
      <c r="C9" s="13">
        <f>C5-C7+C8</f>
        <v>92.84157334999998</v>
      </c>
    </row>
    <row r="10"/>
    <row r="11">
      <c r="B11" s="14" t="inlineStr">
        <is>
          <t>NPV / Share</t>
        </is>
      </c>
      <c r="C11" s="11">
        <f>NPV!B28</f>
        <v>-0.6808419620080275</v>
      </c>
    </row>
    <row r="12">
      <c r="B12" s="14" t="inlineStr">
        <is>
          <t>Upside</t>
        </is>
      </c>
      <c r="C12" s="15">
        <f>IFERROR(C11/C3-1,"")</f>
        <v>-1.4449947464104755</v>
      </c>
    </row>
    <row r="13">
      <c r="B13" s="14" t="inlineStr">
        <is>
          <t>Cash / Share</t>
        </is>
      </c>
      <c r="C13" s="11">
        <f>IFERROR((C7-C8)/C4,"")</f>
        <v>0.8027872673662669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2018</v>
      </c>
      <c r="C1" s="16" t="n">
        <v>2019</v>
      </c>
      <c r="D1" s="16" t="n">
        <v>2020</v>
      </c>
      <c r="E1" s="16" t="n">
        <v>2021</v>
      </c>
      <c r="F1" s="16" t="n">
        <v>2022</v>
      </c>
      <c r="G1" s="16" t="n">
        <v>2023</v>
      </c>
      <c r="H1" s="16" t="n">
        <v>2024</v>
      </c>
      <c r="I1" s="16" t="n">
        <v>2025</v>
      </c>
      <c r="J1" s="16" t="n">
        <v>2026</v>
      </c>
      <c r="K1" s="16" t="n">
        <v>2027</v>
      </c>
      <c r="L1" s="16" t="n">
        <v>2028</v>
      </c>
      <c r="M1" s="16" t="n">
        <v>2029</v>
      </c>
      <c r="N1" s="16" t="n">
        <v>2030</v>
      </c>
      <c r="O1" s="16" t="n">
        <v>2031</v>
      </c>
      <c r="P1" s="16" t="n">
        <v>2032</v>
      </c>
      <c r="Q1" s="16" t="n">
        <v>2033</v>
      </c>
      <c r="R1" s="16" t="n">
        <v>2034</v>
      </c>
      <c r="S1" s="16" t="n">
        <v>2035</v>
      </c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1.14</v>
      </c>
      <c r="C2" s="52" t="n">
        <v>2.34</v>
      </c>
      <c r="D2" s="52" t="n">
        <v>0</v>
      </c>
      <c r="E2" s="52" t="n">
        <v>33.917</v>
      </c>
      <c r="F2" s="52" t="n">
        <v>209.908</v>
      </c>
      <c r="G2" s="52" t="n">
        <v>69.55800000000001</v>
      </c>
      <c r="H2" s="52" t="n">
        <v>70.837</v>
      </c>
      <c r="I2" s="52" t="n">
        <v>81.357</v>
      </c>
      <c r="J2" s="52">
        <f>I2*(1+NPV!C5)</f>
        <v>77.91559889999999</v>
      </c>
      <c r="K2" s="52">
        <f>J2*(1+NPV!D5)</f>
        <v>75.20240460052666</v>
      </c>
      <c r="L2" s="52">
        <f>K2*(1+NPV!E5)</f>
        <v>73.14603662583893</v>
      </c>
      <c r="M2" s="52">
        <f>L2*(1+NPV!F5)</f>
        <v>71.6928686982056</v>
      </c>
      <c r="N2" s="52">
        <f>M2*(1+NPV!G5)</f>
        <v>70.80467371377783</v>
      </c>
      <c r="O2" s="52">
        <f>N2*(1+NPV!H5)</f>
        <v>70.4569440939835</v>
      </c>
      <c r="P2" s="52">
        <f>O2*(1+NPV!I5)</f>
        <v>70.63778358382471</v>
      </c>
      <c r="Q2" s="52">
        <f>P2*(1+NPV!J5)</f>
        <v>71.34730087671113</v>
      </c>
      <c r="R2" s="52">
        <f>Q2*(1+NPV!K5)</f>
        <v>72.59746413762862</v>
      </c>
      <c r="S2" s="52">
        <f>R2*(1+NPV!L5)</f>
        <v>74.41240074106933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1.393</v>
      </c>
      <c r="F3" s="52" t="n">
        <v>4.579</v>
      </c>
      <c r="G3" s="52" t="n">
        <v>2.529</v>
      </c>
      <c r="H3" s="52" t="n">
        <v>5.949</v>
      </c>
      <c r="I3" s="52" t="n">
        <v>5.798</v>
      </c>
      <c r="J3" s="52">
        <f>J2*(1-Assumptions!$B$19)</f>
        <v>5.555382201570001</v>
      </c>
      <c r="K3" s="52">
        <f>K2*(1-Assumptions!$B$19)</f>
        <v>5.361931448017553</v>
      </c>
      <c r="L3" s="52">
        <f>L2*(1-Assumptions!$B$19)</f>
        <v>5.215312411422318</v>
      </c>
      <c r="M3" s="52">
        <f>M2*(1-Assumptions!$B$19)</f>
        <v>5.111701538182062</v>
      </c>
      <c r="N3" s="52">
        <f>N2*(1-Assumptions!$B$19)</f>
        <v>5.048373235792361</v>
      </c>
      <c r="O3" s="52">
        <f>O2*(1-Assumptions!$B$19)</f>
        <v>5.023580113901025</v>
      </c>
      <c r="P3" s="52">
        <f>P2*(1-Assumptions!$B$19)</f>
        <v>5.036473969526704</v>
      </c>
      <c r="Q3" s="52">
        <f>Q2*(1-Assumptions!$B$19)</f>
        <v>5.087062552509506</v>
      </c>
      <c r="R3" s="52">
        <f>R2*(1-Assumptions!$B$19)</f>
        <v>5.1761991930129225</v>
      </c>
      <c r="S3" s="52">
        <f>S2*(1-Assumptions!$B$19)</f>
        <v>5.305604172838246</v>
      </c>
    </row>
    <row r="4" customFormat="1" s="1">
      <c r="A4" s="5" t="inlineStr">
        <is>
          <t>Gross Margin</t>
        </is>
      </c>
      <c r="B4" s="52">
        <f>B2-B3</f>
        <v>1.14</v>
      </c>
      <c r="C4" s="52">
        <f>C2-C3</f>
        <v>2.34</v>
      </c>
      <c r="D4" s="52">
        <f>D2-D3</f>
        <v>0.0</v>
      </c>
      <c r="E4" s="52">
        <f>E2-E3</f>
        <v>32.524</v>
      </c>
      <c r="F4" s="52">
        <f>F2-F3</f>
        <v>205.32899999999998</v>
      </c>
      <c r="G4" s="52">
        <f>G2-G3</f>
        <v>67.02900000000001</v>
      </c>
      <c r="H4" s="52">
        <f>H2-H3</f>
        <v>64.888</v>
      </c>
      <c r="I4" s="52">
        <f>I2-I3</f>
        <v>75.559</v>
      </c>
      <c r="J4" s="52">
        <f>J2-J3</f>
        <v>72.36021669843</v>
      </c>
      <c r="K4" s="52">
        <f>K2-K3</f>
        <v>69.8404731525091</v>
      </c>
      <c r="L4" s="52">
        <f>L2-L3</f>
        <v>67.93072421441661</v>
      </c>
      <c r="M4" s="52">
        <f>M2-M3</f>
        <v>66.58116716002354</v>
      </c>
      <c r="N4" s="52">
        <f>N2-N3</f>
        <v>65.75630047798546</v>
      </c>
      <c r="O4" s="52">
        <f>O2-O3</f>
        <v>65.43336398008248</v>
      </c>
      <c r="P4" s="52">
        <f>P2-P3</f>
        <v>65.601309614298</v>
      </c>
      <c r="Q4" s="52">
        <f>Q2-Q3</f>
        <v>66.26023832420162</v>
      </c>
      <c r="R4" s="52">
        <f>R2-R3</f>
        <v>67.4212649446157</v>
      </c>
      <c r="S4" s="52">
        <f>S2-S3</f>
        <v>69.10679656823109</v>
      </c>
    </row>
    <row r="5">
      <c r="A5" s="2" t="inlineStr">
        <is>
          <t>Research &amp; Dev.</t>
        </is>
      </c>
      <c r="B5" s="52" t="n">
        <v>118.313</v>
      </c>
      <c r="C5" s="52" t="n">
        <v>107.537</v>
      </c>
      <c r="D5" s="52" t="n">
        <v>142.032</v>
      </c>
      <c r="E5" s="52" t="n">
        <v>158.002</v>
      </c>
      <c r="F5" s="52" t="n">
        <v>187.898</v>
      </c>
      <c r="G5" s="52" t="n">
        <v>127.127</v>
      </c>
      <c r="H5" s="52" t="n">
        <v>109.633</v>
      </c>
      <c r="I5" s="52" t="n">
        <v>104.005</v>
      </c>
      <c r="J5" s="52">
        <f>J7*Assumptions!$B$20</f>
        <v>83.66318922252204</v>
      </c>
      <c r="K5" s="52">
        <f>K7*Assumptions!$B$20</f>
        <v>74.99136048278079</v>
      </c>
      <c r="L5" s="52">
        <f>L7*Assumptions!$B$20</f>
        <v>67.33973554498351</v>
      </c>
      <c r="M5" s="52">
        <f>M7*Assumptions!$B$20</f>
        <v>60.51216537145956</v>
      </c>
      <c r="N5" s="52">
        <f>N7*Assumptions!$B$20</f>
        <v>54.34074473771445</v>
      </c>
      <c r="O5" s="52">
        <f>O7*Assumptions!$B$20</f>
        <v>48.678755939982935</v>
      </c>
      <c r="P5" s="52">
        <f>P7*Assumptions!$B$20</f>
        <v>43.394735255001144</v>
      </c>
      <c r="Q5" s="52">
        <f>Q7*Assumptions!$B$20</f>
        <v>38.36731841062359</v>
      </c>
      <c r="R5" s="52">
        <f>R7*Assumptions!$B$20</f>
        <v>33.4805772066427</v>
      </c>
      <c r="S5" s="52">
        <f>S7*Assumptions!$B$20</f>
        <v>28.619594206485093</v>
      </c>
    </row>
    <row r="6">
      <c r="A6" s="18" t="inlineStr">
        <is>
          <t>SG&amp;A &amp; Other</t>
        </is>
      </c>
      <c r="B6" s="52" t="n">
        <v>8.768000000000001</v>
      </c>
      <c r="C6" s="52" t="n">
        <v>14.202</v>
      </c>
      <c r="D6" s="52" t="n">
        <v>77.23099999999999</v>
      </c>
      <c r="E6" s="52" t="n">
        <v>136.242</v>
      </c>
      <c r="F6" s="52" t="n">
        <v>140.775</v>
      </c>
      <c r="G6" s="52" t="n">
        <v>105.888</v>
      </c>
      <c r="H6" s="52" t="n">
        <v>85.90900000000001</v>
      </c>
      <c r="I6" s="52" t="n">
        <v>93.053</v>
      </c>
      <c r="J6" s="52">
        <f>J7-J5</f>
        <v>74.84986349161595</v>
      </c>
      <c r="K6" s="52">
        <f>K7-K5</f>
        <v>67.09155062517824</v>
      </c>
      <c r="L6" s="52">
        <f>L7-L5</f>
        <v>60.2459703000023</v>
      </c>
      <c r="M6" s="52">
        <f>M7-M5</f>
        <v>54.13763639333686</v>
      </c>
      <c r="N6" s="52">
        <f>N7-N5</f>
        <v>48.61633130948989</v>
      </c>
      <c r="O6" s="52">
        <f>O7-O5</f>
        <v>43.55079301792334</v>
      </c>
      <c r="P6" s="52">
        <f>P7-P5</f>
        <v>38.82340656955578</v>
      </c>
      <c r="Q6" s="52">
        <f>Q7-Q5</f>
        <v>34.325592560622304</v>
      </c>
      <c r="R6" s="52">
        <f>R7-R5</f>
        <v>29.953635007534444</v>
      </c>
      <c r="S6" s="52">
        <f>S7-S5</f>
        <v>25.60472221353213</v>
      </c>
    </row>
    <row r="7">
      <c r="A7" s="2" t="inlineStr">
        <is>
          <t>Operating Expense</t>
        </is>
      </c>
      <c r="B7" s="52">
        <f>SUM(B5:B6)</f>
        <v>127.081</v>
      </c>
      <c r="C7" s="52">
        <f>SUM(C5:C6)</f>
        <v>121.739</v>
      </c>
      <c r="D7" s="52">
        <f>SUM(D5:D6)</f>
        <v>219.263</v>
      </c>
      <c r="E7" s="52">
        <f>SUM(E5:E6)</f>
        <v>294.244</v>
      </c>
      <c r="F7" s="52">
        <f>SUM(F5:F6)</f>
        <v>328.673</v>
      </c>
      <c r="G7" s="52">
        <f>SUM(G5:G6)</f>
        <v>233.015</v>
      </c>
      <c r="H7" s="52">
        <f>SUM(H5:H6)</f>
        <v>195.542</v>
      </c>
      <c r="I7" s="52">
        <f>SUM(I5:I6)</f>
        <v>197.058</v>
      </c>
      <c r="J7" s="52">
        <f>J4-J2*NPV!C6</f>
        <v>158.51305271413798</v>
      </c>
      <c r="K7" s="52">
        <f>K4-K2*NPV!D6</f>
        <v>142.08291110795903</v>
      </c>
      <c r="L7" s="52">
        <f>L4-L2*NPV!E6</f>
        <v>127.58570584498581</v>
      </c>
      <c r="M7" s="52">
        <f>M4-M2*NPV!F6</f>
        <v>114.64980176479642</v>
      </c>
      <c r="N7" s="52">
        <f>N4-N2*NPV!G6</f>
        <v>102.95707604720434</v>
      </c>
      <c r="O7" s="52">
        <f>O4-O2*NPV!H6</f>
        <v>92.22954895790627</v>
      </c>
      <c r="P7" s="52">
        <f>P4-P2*NPV!I6</f>
        <v>82.21814182455692</v>
      </c>
      <c r="Q7" s="52">
        <f>Q4-Q2*NPV!J6</f>
        <v>72.6929109712459</v>
      </c>
      <c r="R7" s="52">
        <f>R4-R2*NPV!K6</f>
        <v>63.434212214177144</v>
      </c>
      <c r="S7" s="52">
        <f>S4-S2*NPV!L6</f>
        <v>54.224316420017225</v>
      </c>
    </row>
    <row r="8">
      <c r="A8" s="2" t="inlineStr">
        <is>
          <t>Operating Income</t>
        </is>
      </c>
      <c r="B8" s="52">
        <f>B4-B7</f>
        <v>-125.941</v>
      </c>
      <c r="C8" s="52">
        <f>C4-C7</f>
        <v>-119.399</v>
      </c>
      <c r="D8" s="52">
        <f>D4-D7</f>
        <v>-219.263</v>
      </c>
      <c r="E8" s="52">
        <f>E4-E7</f>
        <v>-261.72</v>
      </c>
      <c r="F8" s="52">
        <f>F4-F7</f>
        <v>-123.34400000000002</v>
      </c>
      <c r="G8" s="52">
        <f>G4-G7</f>
        <v>-165.986</v>
      </c>
      <c r="H8" s="52">
        <f>H4-H7</f>
        <v>-130.654</v>
      </c>
      <c r="I8" s="52">
        <f>I4-I7</f>
        <v>-121.499</v>
      </c>
      <c r="J8" s="52">
        <f>J4-J7</f>
        <v>-86.15283601570799</v>
      </c>
      <c r="K8" s="52">
        <f>K4-K7</f>
        <v>-72.24243795544993</v>
      </c>
      <c r="L8" s="52">
        <f>L4-L7</f>
        <v>-59.654981630569196</v>
      </c>
      <c r="M8" s="52">
        <f>M4-M7</f>
        <v>-48.06863460477288</v>
      </c>
      <c r="N8" s="52">
        <f>N4-N7</f>
        <v>-37.20077556921888</v>
      </c>
      <c r="O8" s="52">
        <f>O4-O7</f>
        <v>-26.7961849778238</v>
      </c>
      <c r="P8" s="52">
        <f>P4-P7</f>
        <v>-16.61683221025892</v>
      </c>
      <c r="Q8" s="52">
        <f>Q4-Q7</f>
        <v>-6.432672647044271</v>
      </c>
      <c r="R8" s="52">
        <f>R4-R7</f>
        <v>3.987052730438556</v>
      </c>
      <c r="S8" s="52">
        <f>S4-S7</f>
        <v>14.882480148213865</v>
      </c>
    </row>
    <row r="9">
      <c r="A9" s="18" t="inlineStr">
        <is>
          <t>Interest &amp; Other</t>
        </is>
      </c>
      <c r="B9" s="52" t="n">
        <v>3.069</v>
      </c>
      <c r="C9" s="52" t="n">
        <v>3.497</v>
      </c>
      <c r="D9" s="52" t="n">
        <v>-26.7</v>
      </c>
      <c r="E9" s="52" t="n">
        <v>10.215</v>
      </c>
      <c r="F9" s="52" t="n">
        <v>-33.557</v>
      </c>
      <c r="G9" s="52" t="n">
        <v>-35.008</v>
      </c>
      <c r="H9" s="52" t="n">
        <v>-26.98</v>
      </c>
      <c r="I9" s="52" t="n">
        <v>-20.086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</row>
    <row r="10">
      <c r="A10" s="2" t="inlineStr">
        <is>
          <t>Pretax</t>
        </is>
      </c>
      <c r="B10" s="52">
        <f>B8+B9</f>
        <v>-122.872</v>
      </c>
      <c r="C10" s="52">
        <f>C8+C9</f>
        <v>-115.902</v>
      </c>
      <c r="D10" s="52">
        <f>D8+D9</f>
        <v>-245.963</v>
      </c>
      <c r="E10" s="52">
        <f>E8+E9</f>
        <v>-251.50500000000002</v>
      </c>
      <c r="F10" s="52">
        <f>F8+F9</f>
        <v>-156.901</v>
      </c>
      <c r="G10" s="52">
        <f>G8+G9</f>
        <v>-200.994</v>
      </c>
      <c r="H10" s="52">
        <f>H8+H9</f>
        <v>-157.634</v>
      </c>
      <c r="I10" s="52">
        <f>I8+I9</f>
        <v>-141.58499999999998</v>
      </c>
      <c r="J10" s="52">
        <f>J8+J9</f>
        <v>-86.15283601570799</v>
      </c>
      <c r="K10" s="52">
        <f>K8+K9</f>
        <v>-72.24243795544993</v>
      </c>
      <c r="L10" s="52">
        <f>L8+L9</f>
        <v>-59.654981630569196</v>
      </c>
      <c r="M10" s="52">
        <f>M8+M9</f>
        <v>-48.06863460477288</v>
      </c>
      <c r="N10" s="52">
        <f>N8+N9</f>
        <v>-37.20077556921888</v>
      </c>
      <c r="O10" s="52">
        <f>O8+O9</f>
        <v>-26.7961849778238</v>
      </c>
      <c r="P10" s="52">
        <f>P8+P9</f>
        <v>-16.61683221025892</v>
      </c>
      <c r="Q10" s="52">
        <f>Q8+Q9</f>
        <v>-6.432672647044271</v>
      </c>
      <c r="R10" s="52">
        <f>R8+R9</f>
        <v>3.987052730438556</v>
      </c>
      <c r="S10" s="52">
        <f>S8+S9</f>
        <v>14.882480148213865</v>
      </c>
    </row>
    <row r="11">
      <c r="A11" s="2" t="inlineStr">
        <is>
          <t>Taxes</t>
        </is>
      </c>
      <c r="B11" s="52" t="n">
        <v>0.224</v>
      </c>
      <c r="C11" s="52" t="n">
        <v>0.582</v>
      </c>
      <c r="D11" s="52" t="n">
        <v>0.327</v>
      </c>
      <c r="E11" s="52" t="n">
        <v>-21.479</v>
      </c>
      <c r="F11" s="52" t="n">
        <v>0.227</v>
      </c>
      <c r="G11" s="52" t="n">
        <v>39.106</v>
      </c>
      <c r="H11" s="52" t="n">
        <v>0.166</v>
      </c>
      <c r="I11" s="52" t="n">
        <v>1.015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0.0</v>
      </c>
      <c r="N11" s="52">
        <f>MAX(0,N10)*Assumptions!$E$14</f>
        <v>0.0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0.6777989641745545</v>
      </c>
      <c r="S11" s="52">
        <f>MAX(0,S10)*Assumptions!$E$14</f>
        <v>2.5300216251963574</v>
      </c>
    </row>
    <row r="12">
      <c r="A12" s="2" t="inlineStr">
        <is>
          <t>Net Income</t>
        </is>
      </c>
      <c r="B12" s="52" t="n">
        <v>-123.096</v>
      </c>
      <c r="C12" s="52" t="n">
        <v>-116.484</v>
      </c>
      <c r="D12" s="52" t="n">
        <v>-246.29</v>
      </c>
      <c r="E12" s="52" t="n">
        <v>-230.026</v>
      </c>
      <c r="F12" s="52" t="n">
        <v>-157.128</v>
      </c>
      <c r="G12" s="52" t="n">
        <v>-240.1</v>
      </c>
      <c r="H12" s="52" t="n">
        <v>-157.8</v>
      </c>
      <c r="I12" s="52" t="n">
        <v>-142.6</v>
      </c>
      <c r="J12" s="52">
        <f>J10-J11</f>
        <v>-86.15283601570799</v>
      </c>
      <c r="K12" s="52">
        <f>K10-K11</f>
        <v>-72.24243795544993</v>
      </c>
      <c r="L12" s="52">
        <f>L10-L11</f>
        <v>-59.654981630569196</v>
      </c>
      <c r="M12" s="52">
        <f>M10-M11</f>
        <v>-48.06863460477288</v>
      </c>
      <c r="N12" s="52">
        <f>N10-N11</f>
        <v>-37.20077556921888</v>
      </c>
      <c r="O12" s="52">
        <f>O10-O11</f>
        <v>-26.7961849778238</v>
      </c>
      <c r="P12" s="52">
        <f>P10-P11</f>
        <v>-16.61683221025892</v>
      </c>
      <c r="Q12" s="52">
        <f>Q10-Q11</f>
        <v>-6.432672647044271</v>
      </c>
      <c r="R12" s="52">
        <f>R10-R11</f>
        <v>3.3092537662640016</v>
      </c>
      <c r="S12" s="52">
        <f>S10-S11</f>
        <v>12.352458523017507</v>
      </c>
    </row>
    <row r="13">
      <c r="A13" s="2" t="inlineStr">
        <is>
          <t>Earnings per Share</t>
        </is>
      </c>
      <c r="B13" s="11">
        <f>IFERROR(B12/B14,0)</f>
        <v>-2.6415450643776826</v>
      </c>
      <c r="C13" s="11">
        <f>IFERROR(C12/C14,0)</f>
        <v>-2.363717532467532</v>
      </c>
      <c r="D13" s="11">
        <f>IFERROR(D12/D14,0)</f>
        <v>-3.7653264026907203</v>
      </c>
      <c r="E13" s="11">
        <f>IFERROR(E12/E14,0)</f>
        <v>-2.997159535101892</v>
      </c>
      <c r="F13" s="11">
        <f>IFERROR(F12/F14,0)</f>
        <v>-2.0105178304095808</v>
      </c>
      <c r="G13" s="11">
        <f>IFERROR(G12/G14,0)</f>
        <v>-2.938368905423928</v>
      </c>
      <c r="H13" s="11">
        <f>IFERROR(H12/H14,0)</f>
        <v>-1.6241251543845205</v>
      </c>
      <c r="I13" s="11">
        <f>IFERROR(I12/I14,0)</f>
        <v>-1.1222337645984828</v>
      </c>
      <c r="J13" s="11">
        <f>IFERROR(J12/J14,0)</f>
        <v>-0.6748209561996713</v>
      </c>
      <c r="K13" s="11">
        <f>IFERROR(K12/K14,0)</f>
        <v>-0.5658631022942017</v>
      </c>
      <c r="L13" s="11">
        <f>IFERROR(L12/L14,0)</f>
        <v>-0.46726763282261186</v>
      </c>
      <c r="M13" s="11">
        <f>IFERROR(M12/M14,0)</f>
        <v>-0.3765136873879714</v>
      </c>
      <c r="N13" s="11">
        <f>IFERROR(N12/N14,0)</f>
        <v>-0.29138753988797933</v>
      </c>
      <c r="O13" s="11">
        <f>IFERROR(O12/O14,0)</f>
        <v>-0.2098900977089294</v>
      </c>
      <c r="P13" s="11">
        <f>IFERROR(P12/P14,0)</f>
        <v>-0.13015690625775705</v>
      </c>
      <c r="Q13" s="11">
        <f>IFERROR(Q12/Q14,0)</f>
        <v>-0.050386063968996</v>
      </c>
      <c r="R13" s="11">
        <f>IFERROR(R12/R14,0)</f>
        <v>0.025920838989565854</v>
      </c>
      <c r="S13" s="11">
        <f>IFERROR(S12/S14,0)</f>
        <v>0.09675477044539346</v>
      </c>
    </row>
    <row r="14">
      <c r="A14" s="2" t="inlineStr">
        <is>
          <t>Shares</t>
        </is>
      </c>
      <c r="B14" s="52" t="n">
        <v>46.6</v>
      </c>
      <c r="C14" s="52" t="n">
        <v>49.28</v>
      </c>
      <c r="D14" s="52" t="n">
        <v>65.41</v>
      </c>
      <c r="E14" s="52" t="n">
        <v>76.748</v>
      </c>
      <c r="F14" s="52" t="n">
        <v>78.15300000000001</v>
      </c>
      <c r="G14" s="52" t="n">
        <v>81.712</v>
      </c>
      <c r="H14" s="52" t="n">
        <v>97.16</v>
      </c>
      <c r="I14" s="52" t="n">
        <v>127.068</v>
      </c>
      <c r="J14" s="52">
        <f>Main!$C$4</f>
        <v>127.667695</v>
      </c>
      <c r="K14" s="52">
        <f>Main!$C$4</f>
        <v>127.667695</v>
      </c>
      <c r="L14" s="52">
        <f>Main!$C$4</f>
        <v>127.667695</v>
      </c>
      <c r="M14" s="52">
        <f>Main!$C$4</f>
        <v>127.667695</v>
      </c>
      <c r="N14" s="52">
        <f>Main!$C$4</f>
        <v>127.667695</v>
      </c>
      <c r="O14" s="52">
        <f>Main!$C$4</f>
        <v>127.667695</v>
      </c>
      <c r="P14" s="52">
        <f>Main!$C$4</f>
        <v>127.667695</v>
      </c>
      <c r="Q14" s="52">
        <f>Main!$C$4</f>
        <v>127.667695</v>
      </c>
      <c r="R14" s="52">
        <f>Main!$C$4</f>
        <v>127.667695</v>
      </c>
      <c r="S14" s="52">
        <f>Main!$C$4</f>
        <v>127.667695</v>
      </c>
    </row>
    <row r="15"/>
    <row r="16" customFormat="1" s="4">
      <c r="A16" s="3" t="inlineStr">
        <is>
          <t>Revenue Change</t>
        </is>
      </c>
      <c r="C16" s="15">
        <f>IFERROR(C2/B2-1,"")</f>
        <v>1.0526315789473686</v>
      </c>
      <c r="D16" s="15">
        <f>IFERROR(D2/C2-1,"")</f>
        <v>-1.0</v>
      </c>
      <c r="E16" s="15">
        <f>IFERROR(E2/D2-1,"")</f>
        <v/>
      </c>
      <c r="F16" s="15">
        <f>IFERROR(F2/E2-1,"")</f>
        <v>5.188872836630598</v>
      </c>
      <c r="G16" s="15">
        <f>IFERROR(G2/F2-1,"")</f>
        <v>-0.6686262553118508</v>
      </c>
      <c r="H16" s="15">
        <f>IFERROR(H2/G2-1,"")</f>
        <v>0.01838753270651816</v>
      </c>
      <c r="I16" s="15">
        <f>IFERROR(I2/H2-1,"")</f>
        <v>0.14850995948445012</v>
      </c>
      <c r="J16" s="15">
        <f>IFERROR(J2/I2-1,"")</f>
        <v>-0.042300000000000115</v>
      </c>
      <c r="K16" s="15">
        <f>IFERROR(K2/J2-1,"")</f>
        <v>-0.0348222222222222</v>
      </c>
      <c r="L16" s="15">
        <f>IFERROR(L2/K2-1,"")</f>
        <v>-0.027344444444444393</v>
      </c>
      <c r="M16" s="15">
        <f>IFERROR(M2/L2-1,"")</f>
        <v>-0.019866666666666588</v>
      </c>
      <c r="N16" s="15">
        <f>IFERROR(N2/M2-1,"")</f>
        <v>-0.012388888888888894</v>
      </c>
      <c r="O16" s="15">
        <f>IFERROR(O2/N2-1,"")</f>
        <v>-0.004911111111111199</v>
      </c>
      <c r="P16" s="15">
        <f>IFERROR(P2/O2-1,"")</f>
        <v>0.002566666666666606</v>
      </c>
      <c r="Q16" s="15">
        <f>IFERROR(Q2/P2-1,"")</f>
        <v>0.010044444444444522</v>
      </c>
      <c r="R16" s="15">
        <f>IFERROR(R2/Q2-1,"")</f>
        <v>0.017522222222222217</v>
      </c>
      <c r="S16" s="15">
        <f>IFERROR(S2/R2-1,"")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/>
      </c>
      <c r="E17" s="15">
        <f>IFERROR(E4/E2,"")</f>
        <v>0.9589291505734587</v>
      </c>
      <c r="F17" s="15">
        <f>IFERROR(F4/F2,"")</f>
        <v>0.9781856813461135</v>
      </c>
      <c r="G17" s="15">
        <f>IFERROR(G4/G2,"")</f>
        <v>0.9636418528422325</v>
      </c>
      <c r="H17" s="15">
        <f>IFERROR(H4/H2,"")</f>
        <v>0.9160184649265215</v>
      </c>
      <c r="I17" s="15">
        <f>IFERROR(I4/I2,"")</f>
        <v>0.9287338520348587</v>
      </c>
      <c r="J17" s="15">
        <f>IFERROR(J4/J2,"")</f>
        <v>0.9287</v>
      </c>
      <c r="K17" s="15">
        <f>IFERROR(K4/K2,"")</f>
        <v>0.9286999999999999</v>
      </c>
      <c r="L17" s="15">
        <f>IFERROR(L4/L2,"")</f>
        <v>0.9287</v>
      </c>
      <c r="M17" s="15">
        <f>IFERROR(M4/M2,"")</f>
        <v>0.9287</v>
      </c>
      <c r="N17" s="15">
        <f>IFERROR(N4/N2,"")</f>
        <v>0.9286999999999999</v>
      </c>
      <c r="O17" s="15">
        <f>IFERROR(O4/O2,"")</f>
        <v>0.9287000000000001</v>
      </c>
      <c r="P17" s="15">
        <f>IFERROR(P4/P2,"")</f>
        <v>0.9286999999999999</v>
      </c>
      <c r="Q17" s="15">
        <f>IFERROR(Q4/Q2,"")</f>
        <v>0.9287</v>
      </c>
      <c r="R17" s="15">
        <f>IFERROR(R4/R2,"")</f>
        <v>0.9287</v>
      </c>
      <c r="S17" s="15">
        <f>IFERROR(S4/S2,"")</f>
        <v>0.9287</v>
      </c>
    </row>
    <row r="18">
      <c r="A18" s="14" t="inlineStr">
        <is>
          <t>Operating Margin</t>
        </is>
      </c>
      <c r="B18" s="15">
        <f>IFERROR(B8/B2,"")</f>
        <v>-110.47456140350879</v>
      </c>
      <c r="C18" s="15">
        <f>IFERROR(C8/C2,"")</f>
        <v>-51.02521367521368</v>
      </c>
      <c r="D18" s="15">
        <f>IFERROR(D8/D2,"")</f>
        <v/>
      </c>
      <c r="E18" s="15">
        <f>IFERROR(E8/E2,"")</f>
        <v>-7.71648435887608</v>
      </c>
      <c r="F18" s="15">
        <f>IFERROR(F8/F2,"")</f>
        <v>-0.5876098100120054</v>
      </c>
      <c r="G18" s="15">
        <f>IFERROR(G8/G2,"")</f>
        <v>-2.386296328244055</v>
      </c>
      <c r="H18" s="15">
        <f>IFERROR(H8/H2,"")</f>
        <v>-1.844431582365148</v>
      </c>
      <c r="I18" s="15">
        <f>IFERROR(I8/I2,"")</f>
        <v>-1.4934056073847364</v>
      </c>
      <c r="J18" s="15">
        <f>IFERROR(J8/J2,"")</f>
        <v>-1.10572</v>
      </c>
      <c r="K18" s="15">
        <f>IFERROR(K8/K2,"")</f>
        <v>-0.9606399999999999</v>
      </c>
      <c r="L18" s="15">
        <f>IFERROR(L8/L2,"")</f>
        <v>-0.81556</v>
      </c>
      <c r="M18" s="15">
        <f>IFERROR(M8/M2,"")</f>
        <v>-0.6704799999999999</v>
      </c>
      <c r="N18" s="15">
        <f>IFERROR(N8/N2,"")</f>
        <v>-0.5254000000000001</v>
      </c>
      <c r="O18" s="15">
        <f>IFERROR(O8/O2,"")</f>
        <v>-0.38031999999999994</v>
      </c>
      <c r="P18" s="15">
        <f>IFERROR(P8/P2,"")</f>
        <v>-0.23523999999999992</v>
      </c>
      <c r="Q18" s="15">
        <f>IFERROR(Q8/Q2,"")</f>
        <v>-0.09015999999999993</v>
      </c>
      <c r="R18" s="15">
        <f>IFERROR(R8/R2,"")</f>
        <v>0.05491999999999989</v>
      </c>
      <c r="S18" s="15">
        <f>IFERROR(S8/S2,"")</f>
        <v>0.19999999999999998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Adc Therapeutics Ltd: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-0.09229999999999999</v>
      </c>
      <c r="C12" s="53" t="n">
        <v>-0.0423</v>
      </c>
      <c r="D12" s="53" t="n">
        <v>0.0077</v>
      </c>
      <c r="E12" s="54">
        <f>CHOOSE($B$4,B12,C12,D12)</f>
        <v>-0.0423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-1.2508</v>
      </c>
    </row>
    <row r="19">
      <c r="A19" s="14" t="inlineStr">
        <is>
          <t>Gross margin (forecast)</t>
        </is>
      </c>
      <c r="B19" s="53" t="n">
        <v>0.9287</v>
      </c>
    </row>
    <row r="20">
      <c r="A20" s="14" t="inlineStr">
        <is>
          <t>R&amp;D share of operating expense (forecast)</t>
        </is>
      </c>
      <c r="B20" s="53" t="n">
        <v>0.5278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Model'!I2</f>
        <v>81.357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-189.41152394884244</v>
      </c>
      <c r="C29" s="56">
        <f>NPV!B26</f>
        <v>-86.92152394884243</v>
      </c>
      <c r="D29" s="35">
        <f>NPV!B28</f>
        <v>-0.6808419620080275</v>
      </c>
      <c r="E29" s="57">
        <f>NPV!B30</f>
        <v>-1.4449947464104755</v>
      </c>
    </row>
    <row r="30">
      <c r="A30" s="58" t="n">
        <v>1</v>
      </c>
      <c r="B30" s="59">
        <f t="dataTable" ref="B30:E32" r1="B4"/>
        <v>-183.68637724543947</v>
      </c>
      <c r="C30" s="59">
        <v>-81.19637724543946</v>
      </c>
      <c r="D30" s="39">
        <v>-0.635997832070513</v>
      </c>
      <c r="E30" s="60">
        <v>-1.4156848575624268</v>
      </c>
    </row>
    <row r="31">
      <c r="A31" s="58" t="n">
        <v>2</v>
      </c>
      <c r="B31" s="59">
        <v>-189.41152394884244</v>
      </c>
      <c r="C31" s="59">
        <v>-86.92152394884243</v>
      </c>
      <c r="D31" s="39">
        <v>-0.6808419620080275</v>
      </c>
      <c r="E31" s="60">
        <v>-1.4449947464104755</v>
      </c>
    </row>
    <row r="32">
      <c r="A32" s="58" t="n">
        <v>3</v>
      </c>
      <c r="B32" s="59">
        <v>-173.11321523421117</v>
      </c>
      <c r="C32" s="59">
        <v>-70.62321523421116</v>
      </c>
      <c r="D32" s="39">
        <v>-0.5531799977606798</v>
      </c>
      <c r="E32" s="60">
        <v>-1.3615555540919475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-0.6808419620080275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-0.6538079464625522</v>
      </c>
      <c r="C37" s="39">
        <v>-0.6272618102855034</v>
      </c>
      <c r="D37" s="39">
        <v>-0.5964984190451603</v>
      </c>
      <c r="E37" s="39">
        <v>-0.5606643425283443</v>
      </c>
      <c r="F37" s="39">
        <v>-0.518662196798005</v>
      </c>
    </row>
    <row r="38">
      <c r="A38" s="62" t="n">
        <v>0.115</v>
      </c>
      <c r="B38" s="39">
        <v>-0.6889014474248324</v>
      </c>
      <c r="C38" s="39">
        <v>-0.6698715575317116</v>
      </c>
      <c r="D38" s="39">
        <v>-0.6479664442176055</v>
      </c>
      <c r="E38" s="39">
        <v>-0.6226704255248575</v>
      </c>
      <c r="F38" s="39">
        <v>-0.5933388035076531</v>
      </c>
    </row>
    <row r="39">
      <c r="A39" s="62" t="n">
        <v>0.125</v>
      </c>
      <c r="B39" s="39">
        <v>-0.7103393127814126</v>
      </c>
      <c r="C39" s="39">
        <v>-0.6966036423628076</v>
      </c>
      <c r="D39" s="39">
        <v>-0.6808419620080275</v>
      </c>
      <c r="E39" s="39">
        <v>-0.6627273873541247</v>
      </c>
      <c r="F39" s="39">
        <v>-0.6418603135003624</v>
      </c>
    </row>
    <row r="40">
      <c r="A40" s="62" t="n">
        <v>0.135</v>
      </c>
      <c r="B40" s="39">
        <v>-0.7219835248184486</v>
      </c>
      <c r="C40" s="39">
        <v>-0.7120766018385698</v>
      </c>
      <c r="D40" s="39">
        <v>-0.7007034007627068</v>
      </c>
      <c r="E40" s="39">
        <v>-0.687648491926402</v>
      </c>
      <c r="F40" s="39">
        <v>-0.6726532925620211</v>
      </c>
    </row>
    <row r="41">
      <c r="A41" s="62" t="n">
        <v>0.145</v>
      </c>
      <c r="B41" s="39">
        <v>-0.7264744084014146</v>
      </c>
      <c r="C41" s="39">
        <v>-0.7193956637584734</v>
      </c>
      <c r="D41" s="39">
        <v>-0.7112321322170083</v>
      </c>
      <c r="E41" s="39">
        <v>-0.701837183978453</v>
      </c>
      <c r="F41" s="39">
        <v>-0.6910374719650938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Adc Therapeutics Ltd: free-cash-flow DCF ($mm)</t>
        </is>
      </c>
    </row>
    <row r="3">
      <c r="A3" s="20" t="inlineStr">
        <is>
          <t>Fiscal year</t>
        </is>
      </c>
      <c r="B3" s="43">
        <f>'Yearly Model'!I1</f>
        <v>2025</v>
      </c>
      <c r="C3" s="43">
        <f>'Yearly Model'!J1</f>
        <v>2026</v>
      </c>
      <c r="D3" s="43">
        <f>'Yearly Model'!K1</f>
        <v>2027</v>
      </c>
      <c r="E3" s="43">
        <f>'Yearly Model'!L1</f>
        <v>2028</v>
      </c>
      <c r="F3" s="43">
        <f>'Yearly Model'!M1</f>
        <v>2029</v>
      </c>
      <c r="G3" s="43">
        <f>'Yearly Model'!N1</f>
        <v>2030</v>
      </c>
      <c r="H3" s="43">
        <f>'Yearly Model'!O1</f>
        <v>2031</v>
      </c>
      <c r="I3" s="43">
        <f>'Yearly Model'!P1</f>
        <v>2032</v>
      </c>
      <c r="J3" s="43">
        <f>'Yearly Model'!Q1</f>
        <v>2033</v>
      </c>
      <c r="K3" s="43">
        <f>'Yearly Model'!R1</f>
        <v>2034</v>
      </c>
      <c r="L3" s="43">
        <f>'Yearly Model'!S1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-0.0423</v>
      </c>
      <c r="D5" s="63">
        <f>Assumptions!$E$12+(Assumptions!$E$11-Assumptions!$E$12)*(D4-1)/(Assumptions!$B$21-1)</f>
        <v>-0.03482222222222222</v>
      </c>
      <c r="E5" s="63">
        <f>Assumptions!$E$12+(Assumptions!$E$11-Assumptions!$E$12)*(E4-1)/(Assumptions!$B$21-1)</f>
        <v>-0.027344444444444442</v>
      </c>
      <c r="F5" s="63">
        <f>Assumptions!$E$12+(Assumptions!$E$11-Assumptions!$E$12)*(F4-1)/(Assumptions!$B$21-1)</f>
        <v>-0.019866666666666664</v>
      </c>
      <c r="G5" s="63">
        <f>Assumptions!$E$12+(Assumptions!$E$11-Assumptions!$E$12)*(G4-1)/(Assumptions!$B$21-1)</f>
        <v>-0.012388888888888887</v>
      </c>
      <c r="H5" s="63">
        <f>Assumptions!$E$12+(Assumptions!$E$11-Assumptions!$E$12)*(H4-1)/(Assumptions!$B$21-1)</f>
        <v>-0.004911111111111109</v>
      </c>
      <c r="I5" s="63">
        <f>Assumptions!$E$12+(Assumptions!$E$11-Assumptions!$E$12)*(I4-1)/(Assumptions!$B$21-1)</f>
        <v>0.0025666666666666685</v>
      </c>
      <c r="J5" s="63">
        <f>Assumptions!$E$12+(Assumptions!$E$11-Assumptions!$E$12)*(J4-1)/(Assumptions!$B$21-1)</f>
        <v>0.010044444444444446</v>
      </c>
      <c r="K5" s="63">
        <f>Assumptions!$E$12+(Assumptions!$E$11-Assumptions!$E$12)*(K4-1)/(Assumptions!$B$21-1)</f>
        <v>0.017522222222222224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-1.4934056073847364</v>
      </c>
      <c r="C6" s="63">
        <f>Assumptions!$B$18+(Assumptions!$E$13-Assumptions!$B$18)*C4/Assumptions!$B$21</f>
        <v>-1.1057199999999998</v>
      </c>
      <c r="D6" s="63">
        <f>Assumptions!$B$18+(Assumptions!$E$13-Assumptions!$B$18)*D4/Assumptions!$B$21</f>
        <v>-0.9606399999999999</v>
      </c>
      <c r="E6" s="63">
        <f>Assumptions!$B$18+(Assumptions!$E$13-Assumptions!$B$18)*E4/Assumptions!$B$21</f>
        <v>-0.81556</v>
      </c>
      <c r="F6" s="63">
        <f>Assumptions!$B$18+(Assumptions!$E$13-Assumptions!$B$18)*F4/Assumptions!$B$21</f>
        <v>-0.67048</v>
      </c>
      <c r="G6" s="63">
        <f>Assumptions!$B$18+(Assumptions!$E$13-Assumptions!$B$18)*G4/Assumptions!$B$21</f>
        <v>-0.5254</v>
      </c>
      <c r="H6" s="63">
        <f>Assumptions!$B$18+(Assumptions!$E$13-Assumptions!$B$18)*H4/Assumptions!$B$21</f>
        <v>-0.38032</v>
      </c>
      <c r="I6" s="63">
        <f>Assumptions!$B$18+(Assumptions!$E$13-Assumptions!$B$18)*I4/Assumptions!$B$21</f>
        <v>-0.2352399999999999</v>
      </c>
      <c r="J6" s="63">
        <f>Assumptions!$B$18+(Assumptions!$E$13-Assumptions!$B$18)*J4/Assumptions!$B$21</f>
        <v>-0.09016000000000002</v>
      </c>
      <c r="K6" s="63">
        <f>Assumptions!$B$18+(Assumptions!$E$13-Assumptions!$B$18)*K4/Assumptions!$B$21</f>
        <v>0.05491999999999986</v>
      </c>
      <c r="L6" s="63">
        <f>Assumptions!$B$18+(Assumptions!$E$13-Assumptions!$B$18)*L4/Assumptions!$B$21</f>
        <v>0.19999999999999996</v>
      </c>
    </row>
    <row r="7">
      <c r="A7" s="14" t="inlineStr">
        <is>
          <t>Revenue</t>
        </is>
      </c>
      <c r="B7" s="55">
        <f>'Yearly Model'!I2</f>
        <v>81.357</v>
      </c>
      <c r="C7" s="55">
        <f>'Yearly Model'!J2</f>
        <v>77.91559889999999</v>
      </c>
      <c r="D7" s="55">
        <f>'Yearly Model'!K2</f>
        <v>75.20240460052666</v>
      </c>
      <c r="E7" s="55">
        <f>'Yearly Model'!L2</f>
        <v>73.14603662583893</v>
      </c>
      <c r="F7" s="55">
        <f>'Yearly Model'!M2</f>
        <v>71.6928686982056</v>
      </c>
      <c r="G7" s="55">
        <f>'Yearly Model'!N2</f>
        <v>70.80467371377783</v>
      </c>
      <c r="H7" s="55">
        <f>'Yearly Model'!O2</f>
        <v>70.4569440939835</v>
      </c>
      <c r="I7" s="55">
        <f>'Yearly Model'!P2</f>
        <v>70.63778358382471</v>
      </c>
      <c r="J7" s="55">
        <f>'Yearly Model'!Q2</f>
        <v>71.34730087671113</v>
      </c>
      <c r="K7" s="55">
        <f>'Yearly Model'!R2</f>
        <v>72.59746413762862</v>
      </c>
      <c r="L7" s="55">
        <f>'Yearly Model'!S2</f>
        <v>74.41240074106933</v>
      </c>
    </row>
    <row r="8">
      <c r="A8" s="14" t="inlineStr">
        <is>
          <t>Operating income</t>
        </is>
      </c>
      <c r="B8" s="55">
        <f>'Yearly Model'!I8</f>
        <v>-121.499</v>
      </c>
      <c r="C8" s="55">
        <f>'Yearly Model'!J8</f>
        <v>-86.15283601570799</v>
      </c>
      <c r="D8" s="55">
        <f>'Yearly Model'!K8</f>
        <v>-72.24243795544993</v>
      </c>
      <c r="E8" s="55">
        <f>'Yearly Model'!L8</f>
        <v>-59.654981630569196</v>
      </c>
      <c r="F8" s="55">
        <f>'Yearly Model'!M8</f>
        <v>-48.06863460477288</v>
      </c>
      <c r="G8" s="55">
        <f>'Yearly Model'!N8</f>
        <v>-37.20077556921888</v>
      </c>
      <c r="H8" s="55">
        <f>'Yearly Model'!O8</f>
        <v>-26.7961849778238</v>
      </c>
      <c r="I8" s="55">
        <f>'Yearly Model'!P8</f>
        <v>-16.61683221025892</v>
      </c>
      <c r="J8" s="55">
        <f>'Yearly Model'!Q8</f>
        <v>-6.432672647044271</v>
      </c>
      <c r="K8" s="55">
        <f>'Yearly Model'!R8</f>
        <v>3.987052730438556</v>
      </c>
      <c r="L8" s="55">
        <f>'Yearly Model'!S8</f>
        <v>14.882480148213865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0.6777989641745545</v>
      </c>
      <c r="L9" s="52">
        <f>MAX(0,L8)*Assumptions!$E$14</f>
        <v>2.5300216251963574</v>
      </c>
    </row>
    <row r="10">
      <c r="A10" s="14" t="inlineStr">
        <is>
          <t>NOPAT</t>
        </is>
      </c>
      <c r="C10" s="52">
        <f>C8-C9</f>
        <v>-86.15283601570799</v>
      </c>
      <c r="D10" s="52">
        <f>D8-D9</f>
        <v>-72.24243795544993</v>
      </c>
      <c r="E10" s="52">
        <f>E8-E9</f>
        <v>-59.654981630569196</v>
      </c>
      <c r="F10" s="52">
        <f>F8-F9</f>
        <v>-48.06863460477288</v>
      </c>
      <c r="G10" s="52">
        <f>G8-G9</f>
        <v>-37.20077556921888</v>
      </c>
      <c r="H10" s="52">
        <f>H8-H9</f>
        <v>-26.7961849778238</v>
      </c>
      <c r="I10" s="52">
        <f>I8-I9</f>
        <v>-16.61683221025892</v>
      </c>
      <c r="J10" s="52">
        <f>J8-J9</f>
        <v>-6.432672647044271</v>
      </c>
      <c r="K10" s="52">
        <f>K8-K9</f>
        <v>3.3092537662640016</v>
      </c>
      <c r="L10" s="52">
        <f>L8-L9</f>
        <v>12.352458523017507</v>
      </c>
    </row>
    <row r="11">
      <c r="A11" s="14" t="inlineStr">
        <is>
          <t>Reinvestment</t>
        </is>
      </c>
      <c r="C11" s="52">
        <f>(C7-B7)*Assumptions!$E$15</f>
        <v>-0.8603502750000018</v>
      </c>
      <c r="D11" s="52">
        <f>(D7-C7)*Assumptions!$E$15</f>
        <v>-0.6782985748683323</v>
      </c>
      <c r="E11" s="52">
        <f>(E7-D7)*Assumptions!$E$15</f>
        <v>-0.5140919936719328</v>
      </c>
      <c r="F11" s="52">
        <f>(F7-E7)*Assumptions!$E$15</f>
        <v>-0.3632919819083327</v>
      </c>
      <c r="G11" s="52">
        <f>(G7-F7)*Assumptions!$E$15</f>
        <v>-0.22204874610694247</v>
      </c>
      <c r="H11" s="52">
        <f>(H7-G7)*Assumptions!$E$15</f>
        <v>-0.08693240494858401</v>
      </c>
      <c r="I11" s="52">
        <f>(I7-H7)*Assumptions!$E$15</f>
        <v>0.04520987246030472</v>
      </c>
      <c r="J11" s="52">
        <f>(J7-I7)*Assumptions!$E$15</f>
        <v>0.17737932322160432</v>
      </c>
      <c r="K11" s="52">
        <f>(K7-J7)*Assumptions!$E$15</f>
        <v>0.31254081522937227</v>
      </c>
      <c r="L11" s="52">
        <f>(L7-K7)*Assumptions!$E$15</f>
        <v>0.45373415086017843</v>
      </c>
    </row>
    <row r="12">
      <c r="A12" s="20" t="inlineStr">
        <is>
          <t>Free cash flow</t>
        </is>
      </c>
      <c r="C12" s="64">
        <f>C10-C11</f>
        <v>-85.29248574070799</v>
      </c>
      <c r="D12" s="64">
        <f>D10-D11</f>
        <v>-71.5641393805816</v>
      </c>
      <c r="E12" s="64">
        <f>E10-E11</f>
        <v>-59.14088963689726</v>
      </c>
      <c r="F12" s="64">
        <f>F10-F11</f>
        <v>-47.70534262286455</v>
      </c>
      <c r="G12" s="64">
        <f>G10-G11</f>
        <v>-36.978726823111934</v>
      </c>
      <c r="H12" s="64">
        <f>H10-H11</f>
        <v>-26.709252572875215</v>
      </c>
      <c r="I12" s="64">
        <f>I10-I11</f>
        <v>-16.662042082719225</v>
      </c>
      <c r="J12" s="64">
        <f>J10-J11</f>
        <v>-6.610051970265875</v>
      </c>
      <c r="K12" s="64">
        <f>K10-K11</f>
        <v>2.9967129510346293</v>
      </c>
      <c r="L12" s="64">
        <f>L10-L11</f>
        <v>11.898724372157329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-41.73827303489678</v>
      </c>
      <c r="D16" s="64">
        <f>D12*D13*D15</f>
        <v>-63.58185658064627</v>
      </c>
      <c r="E16" s="64">
        <f>E12*E13*E15</f>
        <v>-46.70604387420151</v>
      </c>
      <c r="F16" s="64">
        <f>F12*F13*F15</f>
        <v>-33.48881086063678</v>
      </c>
      <c r="G16" s="64">
        <f>G12*G13*G15</f>
        <v>-23.074491504350625</v>
      </c>
      <c r="H16" s="64">
        <f>H12*H13*H15</f>
        <v>-14.814581836703686</v>
      </c>
      <c r="I16" s="64">
        <f>I12*I13*I15</f>
        <v>-8.214920539532885</v>
      </c>
      <c r="J16" s="64">
        <f>J12*J13*J15</f>
        <v>-2.896859896862192</v>
      </c>
      <c r="K16" s="64">
        <f>K12*K13*K15</f>
        <v>1.1673880406266013</v>
      </c>
      <c r="L16" s="64">
        <f>L12*L13*L15</f>
        <v>4.12019695735044</v>
      </c>
    </row>
    <row r="19">
      <c r="A19" s="14" t="inlineStr">
        <is>
          <t>PV of forecast free cash flow</t>
        </is>
      </c>
      <c r="B19" s="52">
        <f>SUM(C16:L16)</f>
        <v>-229.22825312985367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12.19619248146126</v>
      </c>
    </row>
    <row r="21">
      <c r="A21" s="14" t="inlineStr">
        <is>
          <t>Terminal value</t>
        </is>
      </c>
      <c r="B21" s="52">
        <f>B20/(Assumptions!$E$10-Assumptions!$E$11)</f>
        <v>121.9619248146126</v>
      </c>
    </row>
    <row r="22">
      <c r="A22" s="14" t="inlineStr">
        <is>
          <t>PV of terminal value</t>
        </is>
      </c>
      <c r="B22" s="52">
        <f>B21/(1+Assumptions!$E$10)^(L14+0.5)</f>
        <v>39.81672918101124</v>
      </c>
    </row>
    <row r="23">
      <c r="A23" s="20" t="inlineStr">
        <is>
          <t>Enterprise value</t>
        </is>
      </c>
      <c r="B23" s="66">
        <f>B19+B22</f>
        <v>-189.41152394884244</v>
      </c>
    </row>
    <row r="24">
      <c r="A24" s="14" t="inlineStr">
        <is>
          <t>Cash &amp; investments</t>
        </is>
      </c>
      <c r="B24" s="55">
        <f>Main!C7</f>
        <v>219.107</v>
      </c>
    </row>
    <row r="25">
      <c r="A25" s="14" t="inlineStr">
        <is>
          <t>Debt</t>
        </is>
      </c>
      <c r="B25" s="55">
        <f>Main!C8</f>
        <v>116.61699999999999</v>
      </c>
    </row>
    <row r="26">
      <c r="A26" s="20" t="inlineStr">
        <is>
          <t>Equity value</t>
        </is>
      </c>
      <c r="B26" s="66">
        <f>B23+B24-B25</f>
        <v>-86.92152394884243</v>
      </c>
    </row>
    <row r="27">
      <c r="A27" s="14" t="inlineStr">
        <is>
          <t>Shares (mm)</t>
        </is>
      </c>
      <c r="B27" s="55">
        <f>Main!C4</f>
        <v>127.667695</v>
      </c>
    </row>
    <row r="28">
      <c r="A28" s="20" t="inlineStr">
        <is>
          <t>NPV / share</t>
        </is>
      </c>
      <c r="B28" s="49">
        <f>B26/B27</f>
        <v>-0.6808419620080275</v>
      </c>
    </row>
    <row r="29">
      <c r="A29" s="14" t="inlineStr">
        <is>
          <t>Price</t>
        </is>
      </c>
      <c r="B29" s="50">
        <f>Main!C3</f>
        <v>1.53</v>
      </c>
    </row>
    <row r="30">
      <c r="A30" s="14" t="inlineStr">
        <is>
          <t>Upside</t>
        </is>
      </c>
      <c r="B30" s="63">
        <f>B28/B29-1</f>
        <v>-1.4449947464104755</v>
      </c>
    </row>
    <row r="31">
      <c r="A31" s="14" t="inlineStr">
        <is>
          <t>Terminal value, % of EV</t>
        </is>
      </c>
      <c r="B31" s="63">
        <f>IFERROR(B22/B23,0)</f>
        <v>-0.21021281256237193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2026-10-21T01:05:41Z</dcterms:modified>
  <cp:lastModifiedBy>Wang, Eric</cp:lastModifiedBy>
</cp:coreProperties>
</file>