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Nanobiotix SA</t>
        </is>
      </c>
      <c r="C2" s="10" t="n"/>
    </row>
    <row r="3">
      <c r="B3" t="inlineStr">
        <is>
          <t>Price</t>
        </is>
      </c>
      <c r="C3" s="11">
        <f>INDEX([1]Pharma!$F$1:$F$1000,MATCH("NBTX",[1]Pharma!$B$1:$B$1000,0))</f>
        <v>24.14</v>
      </c>
      <c r="F3" s="1" t="n"/>
    </row>
    <row r="4">
      <c r="B4" t="inlineStr">
        <is>
          <t>Shares</t>
        </is>
      </c>
      <c r="C4" s="21" t="n">
        <v>48.410068</v>
      </c>
      <c r="F4" s="1" t="n"/>
    </row>
    <row r="5">
      <c r="B5" t="inlineStr">
        <is>
          <t>Market Cap.</t>
        </is>
      </c>
      <c r="C5" s="13">
        <f>C3*C4</f>
        <v>1168.61904152</v>
      </c>
      <c r="F5" s="1" t="n"/>
    </row>
    <row r="6"/>
    <row r="7">
      <c r="B7" t="inlineStr">
        <is>
          <t>Cash</t>
        </is>
      </c>
      <c r="C7" s="21">
        <f>(52.75)/0.88865</f>
        <v>59.35970292015979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1109.2593385998402</v>
      </c>
    </row>
    <row r="10"/>
    <row r="11">
      <c r="B11" s="14" t="inlineStr">
        <is>
          <t>Net Cash / Share</t>
        </is>
      </c>
      <c r="C11" s="11">
        <f>(C7-C8)/C4</f>
        <v>1.2261850762151334</v>
      </c>
    </row>
    <row r="12">
      <c r="B12" s="14" t="inlineStr">
        <is>
          <t>Upside</t>
        </is>
      </c>
      <c r="C12" s="15">
        <f>IFERROR(C11/C3-1,"")</f>
        <v>-0.949205257820417</v>
      </c>
    </row>
    <row r="13">
      <c r="B13" s="14" t="inlineStr">
        <is>
          <t>Cash / Share</t>
        </is>
      </c>
      <c r="C13" s="11">
        <f>IFERROR((C7-C8)/C4,"")</f>
        <v>1.2261850762151334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-37.61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1.5782957436894387</v>
      </c>
    </row>
    <row r="19">
      <c r="B19" s="14" t="inlineStr">
        <is>
          <t>Implied Pipeline Value</t>
        </is>
      </c>
      <c r="C19" s="13">
        <f>C9</f>
        <v>1109.2593385998402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3.915</v>
      </c>
      <c r="C2" s="23" t="n">
        <v>2.859</v>
      </c>
      <c r="D2" s="23" t="n">
        <v>2.827</v>
      </c>
      <c r="E2" s="23" t="n">
        <v>2.979</v>
      </c>
      <c r="F2" s="23" t="n">
        <v>5.374</v>
      </c>
      <c r="G2" s="23" t="n">
        <v>40.744</v>
      </c>
      <c r="H2" s="23" t="n">
        <v>-8.092000000000001</v>
      </c>
      <c r="I2" s="23" t="n">
        <v>36.677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3.915</v>
      </c>
      <c r="C4" s="23">
        <f>C2-C3</f>
        <v>2.859</v>
      </c>
      <c r="D4" s="23">
        <f>D2-D3</f>
        <v>2.827</v>
      </c>
      <c r="E4" s="23">
        <f>E2-E3</f>
        <v>2.979</v>
      </c>
      <c r="F4" s="23">
        <f>F2-F3</f>
        <v>5.374</v>
      </c>
      <c r="G4" s="23">
        <f>G2-G3</f>
        <v>40.744</v>
      </c>
      <c r="H4" s="23">
        <f>H2-H3</f>
        <v>-8.092</v>
      </c>
      <c r="I4" s="23">
        <f>I2-I3</f>
        <v>36.677</v>
      </c>
      <c r="J4" s="1" t="n"/>
      <c r="K4" s="1" t="n"/>
    </row>
    <row r="5">
      <c r="A5" s="2" t="inlineStr">
        <is>
          <t>Research &amp; Dev.</t>
        </is>
      </c>
      <c r="B5" s="23" t="n">
        <v>23.511</v>
      </c>
      <c r="C5" s="23" t="n">
        <v>34.222</v>
      </c>
      <c r="D5" s="23" t="n">
        <v>27.379</v>
      </c>
      <c r="E5" s="23" t="n">
        <v>34.184</v>
      </c>
      <c r="F5" s="23" t="n">
        <v>36.725</v>
      </c>
      <c r="G5" s="23" t="n">
        <v>43.207</v>
      </c>
      <c r="H5" s="23" t="n">
        <v>45.621</v>
      </c>
      <c r="I5" s="23" t="n">
        <v>26.011</v>
      </c>
      <c r="J5" s="1" t="n"/>
      <c r="K5" s="1" t="n"/>
    </row>
    <row r="6">
      <c r="A6" s="19" t="inlineStr">
        <is>
          <t>SG&amp;A &amp; Other</t>
        </is>
      </c>
      <c r="B6" s="23" t="n">
        <v>14.238</v>
      </c>
      <c r="C6" s="23" t="n">
        <v>21.278</v>
      </c>
      <c r="D6" s="23" t="n">
        <v>16.441</v>
      </c>
      <c r="E6" s="23" t="n">
        <v>27.962</v>
      </c>
      <c r="F6" s="23" t="n">
        <v>21.203</v>
      </c>
      <c r="G6" s="23" t="n">
        <v>27.671</v>
      </c>
      <c r="H6" s="23" t="n">
        <v>23.249</v>
      </c>
      <c r="I6" s="23" t="n">
        <v>22.839</v>
      </c>
      <c r="J6" s="1" t="n"/>
      <c r="K6" s="1" t="n"/>
    </row>
    <row r="7">
      <c r="A7" s="2" t="inlineStr">
        <is>
          <t>Operating Expense</t>
        </is>
      </c>
      <c r="B7" s="23">
        <f>SUM(B5:B6)</f>
        <v>37.748999999999995</v>
      </c>
      <c r="C7" s="23">
        <f>SUM(C5:C6)</f>
        <v>55.5</v>
      </c>
      <c r="D7" s="23">
        <f>SUM(D5:D6)</f>
        <v>43.82</v>
      </c>
      <c r="E7" s="23">
        <f>SUM(E5:E6)</f>
        <v>62.146</v>
      </c>
      <c r="F7" s="23">
        <f>SUM(F5:F6)</f>
        <v>57.928</v>
      </c>
      <c r="G7" s="23">
        <f>SUM(G5:G6)</f>
        <v>70.878</v>
      </c>
      <c r="H7" s="23">
        <f>SUM(H5:H6)</f>
        <v>68.87</v>
      </c>
      <c r="I7" s="23">
        <f>SUM(I5:I6)</f>
        <v>48.849999999999994</v>
      </c>
      <c r="J7" s="1" t="n"/>
      <c r="K7" s="1" t="n"/>
    </row>
    <row r="8">
      <c r="A8" s="2" t="inlineStr">
        <is>
          <t>Operating Income</t>
        </is>
      </c>
      <c r="B8" s="23">
        <f>B4-B7</f>
        <v>-33.833999999999996</v>
      </c>
      <c r="C8" s="23">
        <f>C4-C7</f>
        <v>-52.641</v>
      </c>
      <c r="D8" s="23">
        <f>D4-D7</f>
        <v>-40.993</v>
      </c>
      <c r="E8" s="23">
        <f>E4-E7</f>
        <v>-59.167</v>
      </c>
      <c r="F8" s="23">
        <f>F4-F7</f>
        <v>-52.553999999999995</v>
      </c>
      <c r="G8" s="23">
        <f>G4-G7</f>
        <v>-30.134</v>
      </c>
      <c r="H8" s="23">
        <f>H4-H7</f>
        <v>-76.962</v>
      </c>
      <c r="I8" s="23">
        <f>I4-I7</f>
        <v>-12.172999999999995</v>
      </c>
      <c r="J8" s="1" t="n"/>
      <c r="K8" s="1" t="n"/>
    </row>
    <row r="9">
      <c r="A9" s="19" t="inlineStr">
        <is>
          <t>Interest &amp; Other</t>
        </is>
      </c>
      <c r="B9" s="23" t="n">
        <v>-0.313</v>
      </c>
      <c r="C9" s="23" t="n">
        <v>-4.651</v>
      </c>
      <c r="D9" s="23" t="n">
        <v>3.204</v>
      </c>
      <c r="E9" s="23" t="n">
        <v>6.213</v>
      </c>
      <c r="F9" s="23" t="n">
        <v>-11.623</v>
      </c>
      <c r="G9" s="23" t="n">
        <v>-14.405</v>
      </c>
      <c r="H9" s="23" t="n">
        <v>0.406</v>
      </c>
      <c r="I9" s="23" t="n">
        <v>-14.786</v>
      </c>
    </row>
    <row r="10">
      <c r="A10" s="2" t="inlineStr">
        <is>
          <t>Pretax</t>
        </is>
      </c>
      <c r="B10" s="23">
        <f>B8+B9</f>
        <v>-34.147</v>
      </c>
      <c r="C10" s="23">
        <f>C8+C9</f>
        <v>-57.292</v>
      </c>
      <c r="D10" s="23">
        <f>D8+D9</f>
        <v>-37.789</v>
      </c>
      <c r="E10" s="23">
        <f>E8+E9</f>
        <v>-52.954</v>
      </c>
      <c r="F10" s="23">
        <f>F8+F9</f>
        <v>-64.17699999999999</v>
      </c>
      <c r="G10" s="23">
        <f>G8+G9</f>
        <v>-44.539</v>
      </c>
      <c r="H10" s="23">
        <f>H8+H9</f>
        <v>-76.556</v>
      </c>
      <c r="I10" s="23">
        <f>I8+I9</f>
        <v>-26.958999999999996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0.003</v>
      </c>
      <c r="D11" s="23" t="n">
        <v>0.01</v>
      </c>
      <c r="E11" s="23" t="n">
        <v>0.006</v>
      </c>
      <c r="F11" s="23" t="n">
        <v>0.011</v>
      </c>
      <c r="G11" s="23" t="n">
        <v>0.135</v>
      </c>
      <c r="H11" s="23" t="n">
        <v>0.114</v>
      </c>
      <c r="I11" s="23" t="n">
        <v>0.003</v>
      </c>
    </row>
    <row r="12">
      <c r="A12" s="2" t="inlineStr">
        <is>
          <t>Net Income</t>
        </is>
      </c>
      <c r="B12" s="23" t="n">
        <v>-34.147</v>
      </c>
      <c r="C12" s="23" t="n">
        <v>-57.295</v>
      </c>
      <c r="D12" s="23" t="n">
        <v>-37.799</v>
      </c>
      <c r="E12" s="23" t="n">
        <v>-52.96</v>
      </c>
      <c r="F12" s="23" t="n">
        <v>-64.188</v>
      </c>
      <c r="G12" s="23" t="n">
        <v>-44.675</v>
      </c>
      <c r="H12" s="23" t="n">
        <v>-76.669</v>
      </c>
      <c r="I12" s="23" t="n">
        <v>-26.963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-0.0017392324793095919</v>
      </c>
      <c r="C13" s="11">
        <f>IFERROR(C12/C14,0)</f>
        <v>-0.002648681918426977</v>
      </c>
      <c r="D13" s="11">
        <f>IFERROR(D12/D14,0)</f>
        <v>-0.0015500397013396346</v>
      </c>
      <c r="E13" s="11">
        <f>IFERROR(E12/E14,0)</f>
        <v>-0.0015247563599988922</v>
      </c>
      <c r="F13" s="11">
        <f>IFERROR(F12/F14,0)</f>
        <v>-0.0018417377226379946</v>
      </c>
      <c r="G13" s="11">
        <f>IFERROR(G12/G14,0)</f>
        <v>-0.0012097813373376485</v>
      </c>
      <c r="H13" s="11">
        <f>IFERROR(H12/H14,0)</f>
        <v>-0.001622102896912144</v>
      </c>
      <c r="I13" s="11">
        <f>IFERROR(I12/I14,0)</f>
        <v>-0.0005638479781534055</v>
      </c>
    </row>
    <row r="14">
      <c r="A14" s="2" t="inlineStr">
        <is>
          <t>Shares</t>
        </is>
      </c>
      <c r="B14" s="23" t="n">
        <v>19633.373</v>
      </c>
      <c r="C14" s="23" t="n">
        <v>21631.514</v>
      </c>
      <c r="D14" s="23" t="n">
        <v>24385.827</v>
      </c>
      <c r="E14" s="23" t="n">
        <v>34733.418</v>
      </c>
      <c r="F14" s="23" t="n">
        <v>34851.868</v>
      </c>
      <c r="G14" s="23" t="n">
        <v>36928.161</v>
      </c>
      <c r="H14" s="23" t="n">
        <v>47265.189</v>
      </c>
      <c r="I14" s="23" t="n">
        <v>47819.627</v>
      </c>
    </row>
    <row r="15"/>
    <row r="16" customFormat="1" s="4">
      <c r="A16" s="3" t="inlineStr">
        <is>
          <t>Revenue Change</t>
        </is>
      </c>
      <c r="C16" s="15">
        <f>IFERROR(C2/B2-1,"")</f>
        <v>-0.26973180076628356</v>
      </c>
      <c r="D16" s="15">
        <f>IFERROR(D2/C2-1,"")</f>
        <v>-0.011192724728926184</v>
      </c>
      <c r="E16" s="15">
        <f>IFERROR(E2/D2-1,"")</f>
        <v>0.05376724442872316</v>
      </c>
      <c r="F16" s="15">
        <f>IFERROR(F2/E2-1,"")</f>
        <v>0.8039610607586436</v>
      </c>
      <c r="G16" s="15">
        <f>IFERROR(G2/F2-1,"")</f>
        <v>6.58168961667287</v>
      </c>
      <c r="H16" s="15">
        <f>IFERROR(H2/G2-1,"")</f>
        <v>-1.1986059297074416</v>
      </c>
      <c r="I16" s="15">
        <f>IFERROR(I2/H2-1,"")</f>
        <v>-5.532501235788433</v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>-8.642145593869731</v>
      </c>
      <c r="C18" s="15">
        <f>IFERROR(C8/C2,"")</f>
        <v>-18.412381951731373</v>
      </c>
      <c r="D18" s="15">
        <f>IFERROR(D8/D2,"")</f>
        <v>-14.500530597806863</v>
      </c>
      <c r="E18" s="15">
        <f>IFERROR(E8/E2,"")</f>
        <v>-19.861362873447465</v>
      </c>
      <c r="F18" s="15">
        <f>IFERROR(F8/F2,"")</f>
        <v>-9.77930777819129</v>
      </c>
      <c r="G18" s="15">
        <f>IFERROR(G8/G2,"")</f>
        <v>-0.7395935597879443</v>
      </c>
      <c r="H18" s="15">
        <f>IFERROR(H8/H2,"")</f>
        <v>9.510874938210579</v>
      </c>
      <c r="I18" s="15">
        <f>IFERROR(I8/I2,"")</f>
        <v>-0.331897374376312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2026-10-21T01:04:49Z</dcterms:modified>
  <cp:lastModifiedBy>Wang, Eric</cp:lastModifiedBy>
</cp:coreProperties>
</file>