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Monopar Therapeutics Inc.</t>
        </is>
      </c>
      <c r="C2" s="10" t="n"/>
    </row>
    <row r="3">
      <c r="B3" t="inlineStr">
        <is>
          <t>Price</t>
        </is>
      </c>
      <c r="C3" s="11">
        <f>INDEX([1]Pharma!$F$1:$F$1000,MATCH("MNPR",[1]Pharma!$B$1:$B$1000,0))</f>
        <v>74.23</v>
      </c>
      <c r="F3" s="1" t="n"/>
    </row>
    <row r="4">
      <c r="B4" t="inlineStr">
        <is>
          <t>Shares</t>
        </is>
      </c>
      <c r="C4" s="21" t="n">
        <v>6.712172</v>
      </c>
      <c r="F4" s="1" t="n"/>
    </row>
    <row r="5">
      <c r="B5" t="inlineStr">
        <is>
          <t>Market Cap.</t>
        </is>
      </c>
      <c r="C5" s="13">
        <f>C3*C4</f>
        <v>498.24452756</v>
      </c>
      <c r="F5" s="1" t="n"/>
    </row>
    <row r="6"/>
    <row r="7">
      <c r="B7" t="inlineStr">
        <is>
          <t>Cash</t>
        </is>
      </c>
      <c r="C7" s="21">
        <f>52.757766+52.612699</f>
        <v>105.370465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392.87406255999997</v>
      </c>
    </row>
    <row r="10"/>
    <row r="11">
      <c r="B11" s="14" t="inlineStr">
        <is>
          <t>Net Cash / Share</t>
        </is>
      </c>
      <c r="C11" s="11">
        <f>(C7-C8)/C4</f>
        <v>15.698415505442947</v>
      </c>
    </row>
    <row r="12">
      <c r="B12" s="14" t="inlineStr">
        <is>
          <t>Upside</t>
        </is>
      </c>
      <c r="C12" s="15">
        <f>IFERROR(C11/C3-1,"")</f>
        <v>-0.7885165633107512</v>
      </c>
    </row>
    <row r="13">
      <c r="B13" s="14" t="inlineStr">
        <is>
          <t>Cash / Share</t>
        </is>
      </c>
      <c r="C13" s="11">
        <f>IFERROR((C7-C8)/C4,"")</f>
        <v>15.698415505442947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-12.182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8.649685191265801</v>
      </c>
    </row>
    <row r="19">
      <c r="B19" s="14" t="inlineStr">
        <is>
          <t>Implied Pipeline Value</t>
        </is>
      </c>
      <c r="C19" s="13">
        <f>C9</f>
        <v>392.87406255999997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0.28</v>
      </c>
      <c r="C5" s="23" t="n">
        <v>0.9350000000000001</v>
      </c>
      <c r="D5" s="23" t="n">
        <v>1.774</v>
      </c>
      <c r="E5" s="23" t="n">
        <v>1.969</v>
      </c>
      <c r="F5" s="23" t="n">
        <v>4.065</v>
      </c>
      <c r="G5" s="23" t="n">
        <v>6.493</v>
      </c>
      <c r="H5" s="23" t="n">
        <v>7.592</v>
      </c>
      <c r="I5" s="23" t="n">
        <v>5.6</v>
      </c>
      <c r="J5" s="23" t="n">
        <v>13.006</v>
      </c>
      <c r="K5" s="23" t="n">
        <v>9.904</v>
      </c>
    </row>
    <row r="6">
      <c r="A6" s="19" t="inlineStr">
        <is>
          <t>SG&amp;A &amp; Other</t>
        </is>
      </c>
      <c r="B6" s="23" t="n">
        <v>0.912</v>
      </c>
      <c r="C6" s="23" t="n">
        <v>15.668</v>
      </c>
      <c r="D6" s="23" t="n">
        <v>1.557</v>
      </c>
      <c r="E6" s="23" t="n">
        <v>2.355</v>
      </c>
      <c r="F6" s="23" t="n">
        <v>2.444</v>
      </c>
      <c r="G6" s="23" t="n">
        <v>2.634</v>
      </c>
      <c r="H6" s="23" t="n">
        <v>2.945</v>
      </c>
      <c r="I6" s="23" t="n">
        <v>3.231</v>
      </c>
      <c r="J6" s="23" t="n">
        <v>3.156</v>
      </c>
      <c r="K6" s="23" t="n">
        <v>6.8</v>
      </c>
    </row>
    <row r="7">
      <c r="A7" s="2" t="inlineStr">
        <is>
          <t>Operating Expense</t>
        </is>
      </c>
      <c r="B7" s="23">
        <f>SUM(B5:B6)</f>
        <v>1.1920000000000002</v>
      </c>
      <c r="C7" s="23">
        <f>SUM(C5:C6)</f>
        <v>16.602999999999998</v>
      </c>
      <c r="D7" s="23">
        <f>SUM(D5:D6)</f>
        <v>3.331</v>
      </c>
      <c r="E7" s="23">
        <f>SUM(E5:E6)</f>
        <v>4.324</v>
      </c>
      <c r="F7" s="23">
        <f>SUM(F5:F6)</f>
        <v>6.509</v>
      </c>
      <c r="G7" s="23">
        <f>SUM(G5:G6)</f>
        <v>9.127</v>
      </c>
      <c r="H7" s="23">
        <f>SUM(H5:H6)</f>
        <v>10.536999999999999</v>
      </c>
      <c r="I7" s="23">
        <f>SUM(I5:I6)</f>
        <v>8.831</v>
      </c>
      <c r="J7" s="23">
        <f>SUM(J5:J6)</f>
        <v>16.162</v>
      </c>
      <c r="K7" s="23">
        <f>SUM(K5:K6)</f>
        <v>16.704</v>
      </c>
    </row>
    <row r="8">
      <c r="A8" s="2" t="inlineStr">
        <is>
          <t>Operating Income</t>
        </is>
      </c>
      <c r="B8" s="23">
        <f>B4-B7</f>
        <v>-1.1920000000000002</v>
      </c>
      <c r="C8" s="23">
        <f>C4-C7</f>
        <v>-16.602999999999998</v>
      </c>
      <c r="D8" s="23">
        <f>D4-D7</f>
        <v>-3.331</v>
      </c>
      <c r="E8" s="23">
        <f>E4-E7</f>
        <v>-4.324</v>
      </c>
      <c r="F8" s="23">
        <f>F4-F7</f>
        <v>-6.509</v>
      </c>
      <c r="G8" s="23">
        <f>G4-G7</f>
        <v>-9.127</v>
      </c>
      <c r="H8" s="23">
        <f>H4-H7</f>
        <v>-10.536999999999999</v>
      </c>
      <c r="I8" s="23">
        <f>I4-I7</f>
        <v>-8.831</v>
      </c>
      <c r="J8" s="23">
        <f>J4-J7</f>
        <v>-16.162</v>
      </c>
      <c r="K8" s="23">
        <f>K4-K7</f>
        <v>-16.704</v>
      </c>
    </row>
    <row r="9">
      <c r="A9" s="19" t="inlineStr">
        <is>
          <t>Interest &amp; Other</t>
        </is>
      </c>
      <c r="B9" s="23" t="n">
        <v>0.008</v>
      </c>
      <c r="C9" s="23" t="n">
        <v>0.045</v>
      </c>
      <c r="D9" s="23" t="n">
        <v>0.032</v>
      </c>
      <c r="E9" s="23" t="n">
        <v>0.099</v>
      </c>
      <c r="F9" s="23" t="n">
        <v>0.223</v>
      </c>
      <c r="G9" s="23" t="n">
        <v>0.024</v>
      </c>
      <c r="H9" s="23" t="n">
        <v>0.022</v>
      </c>
      <c r="I9" s="23" t="n">
        <v>0.43</v>
      </c>
      <c r="J9" s="23" t="n">
        <v>0.577</v>
      </c>
      <c r="K9" s="23" t="n">
        <v>2.988</v>
      </c>
    </row>
    <row r="10">
      <c r="A10" s="2" t="inlineStr">
        <is>
          <t>Pretax</t>
        </is>
      </c>
      <c r="B10" s="23">
        <f>B8+B9</f>
        <v>-1.1840000000000002</v>
      </c>
      <c r="C10" s="23">
        <f>C8+C9</f>
        <v>-16.557999999999996</v>
      </c>
      <c r="D10" s="23">
        <f>D8+D9</f>
        <v>-3.299</v>
      </c>
      <c r="E10" s="23">
        <f>E8+E9</f>
        <v>-4.225</v>
      </c>
      <c r="F10" s="23">
        <f>F8+F9</f>
        <v>-6.2860000000000005</v>
      </c>
      <c r="G10" s="23">
        <f>G8+G9</f>
        <v>-9.103000000000002</v>
      </c>
      <c r="H10" s="23">
        <f>H8+H9</f>
        <v>-10.514999999999999</v>
      </c>
      <c r="I10" s="23">
        <f>I8+I9</f>
        <v>-8.401</v>
      </c>
      <c r="J10" s="23">
        <f>J8+J9</f>
        <v>-15.584999999999999</v>
      </c>
      <c r="K10" s="23">
        <f>K8+K9</f>
        <v>-13.716000000000001</v>
      </c>
    </row>
    <row r="11">
      <c r="A11" s="2" t="inlineStr">
        <is>
          <t>Taxes</t>
        </is>
      </c>
      <c r="B11" s="23" t="n">
        <v>0.001</v>
      </c>
      <c r="C11" s="23" t="n">
        <v>-0.004</v>
      </c>
      <c r="D11" s="23" t="n">
        <v>-0.07099999999999999</v>
      </c>
      <c r="E11" s="23" t="n">
        <v>0</v>
      </c>
      <c r="F11" s="23" t="n">
        <v>0.018</v>
      </c>
      <c r="G11" s="23" t="n">
        <v>0</v>
      </c>
      <c r="H11" s="23" t="n">
        <v>0.001</v>
      </c>
      <c r="I11" s="23" t="n">
        <v>0.001</v>
      </c>
      <c r="J11" s="23" t="n">
        <v>0.001</v>
      </c>
      <c r="K11" s="23" t="n">
        <v>0.001</v>
      </c>
    </row>
    <row r="12">
      <c r="A12" s="2" t="inlineStr">
        <is>
          <t>Net Income</t>
        </is>
      </c>
      <c r="B12" s="23" t="n">
        <v>-1.186</v>
      </c>
      <c r="C12" s="23" t="n">
        <v>-16.555</v>
      </c>
      <c r="D12" s="23" t="n">
        <v>-3.228</v>
      </c>
      <c r="E12" s="23" t="n">
        <v>-4.225</v>
      </c>
      <c r="F12" s="23" t="n">
        <v>-6.305</v>
      </c>
      <c r="G12" s="23" t="n">
        <v>-9.103</v>
      </c>
      <c r="H12" s="23" t="n">
        <v>-10.516</v>
      </c>
      <c r="I12" s="23" t="n">
        <v>-8.401999999999999</v>
      </c>
      <c r="J12" s="23" t="n">
        <v>-15.586</v>
      </c>
      <c r="K12" s="23" t="n">
        <v>-13.717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-1.885105898428604</v>
      </c>
      <c r="D13" s="11">
        <f>IFERROR(D12/D14,0)</f>
        <v>-0.3474329996771069</v>
      </c>
      <c r="E13" s="11">
        <f>IFERROR(E12/E14,0)</f>
        <v>-0.4532775453277545</v>
      </c>
      <c r="F13" s="11">
        <f>IFERROR(F12/F14,0)</f>
        <v>-0.5753787187442964</v>
      </c>
      <c r="G13" s="11">
        <f>IFERROR(G12/G14,0)</f>
        <v>-0.7298749198203976</v>
      </c>
      <c r="H13" s="11">
        <f>IFERROR(H12/H14,0)</f>
        <v>-0.8268595691146406</v>
      </c>
      <c r="I13" s="11">
        <f>IFERROR(I12/I14,0)</f>
        <v>-3.038698010849909</v>
      </c>
      <c r="J13" s="11">
        <f>IFERROR(J12/J14,0)</f>
        <v>-4.112401055408971</v>
      </c>
      <c r="K13" s="11">
        <f>IFERROR(K12/K14,0)</f>
        <v>-1.8508973148023211</v>
      </c>
    </row>
    <row r="14">
      <c r="A14" s="2" t="inlineStr">
        <is>
          <t>Shares</t>
        </is>
      </c>
      <c r="B14" s="23" t="n"/>
      <c r="C14" s="23" t="n">
        <v>8.782</v>
      </c>
      <c r="D14" s="23" t="n">
        <v>9.291</v>
      </c>
      <c r="E14" s="23" t="n">
        <v>9.321</v>
      </c>
      <c r="F14" s="23" t="n">
        <v>10.958</v>
      </c>
      <c r="G14" s="23" t="n">
        <v>12.472</v>
      </c>
      <c r="H14" s="23" t="n">
        <v>12.718</v>
      </c>
      <c r="I14" s="23" t="n">
        <v>2.765</v>
      </c>
      <c r="J14" s="23" t="n">
        <v>3.79</v>
      </c>
      <c r="K14" s="23" t="n">
        <v>7.411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2026-10-21T01:05:09Z</dcterms:modified>
  <cp:lastModifiedBy>Wang, Eric</cp:lastModifiedBy>
</cp:coreProperties>
</file>