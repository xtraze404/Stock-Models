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Indaptus Therapeutics Inc</t>
        </is>
      </c>
      <c r="C2" s="10" t="n"/>
    </row>
    <row r="3">
      <c r="B3" t="inlineStr">
        <is>
          <t>Price</t>
        </is>
      </c>
      <c r="C3" s="11">
        <f>INDEX([1]Pharma!$F$1:$F$1000,MATCH("INDP",[1]Pharma!$B$1:$B$1000,0))</f>
        <v>2.96</v>
      </c>
      <c r="F3" s="1" t="n"/>
    </row>
    <row r="4">
      <c r="B4" t="inlineStr">
        <is>
          <t>Shares</t>
        </is>
      </c>
      <c r="C4" s="21" t="n">
        <v>133.242324</v>
      </c>
      <c r="F4" s="1" t="n"/>
    </row>
    <row r="5">
      <c r="B5" t="inlineStr">
        <is>
          <t>Market Cap.</t>
        </is>
      </c>
      <c r="C5" s="13">
        <f>C3*C4</f>
        <v>394.39727904</v>
      </c>
      <c r="F5" s="1" t="n"/>
    </row>
    <row r="6"/>
    <row r="7">
      <c r="B7" t="inlineStr">
        <is>
          <t>Cash</t>
        </is>
      </c>
      <c r="C7" s="21">
        <f>7.55382+4</f>
        <v>11.55382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382.84345904</v>
      </c>
    </row>
    <row r="10"/>
    <row r="11">
      <c r="B11" s="14" t="inlineStr">
        <is>
          <t>rNPV / Share</t>
        </is>
      </c>
      <c r="C11" s="11">
        <f>NPV!B27</f>
        <v>0.5042693108587966</v>
      </c>
    </row>
    <row r="12">
      <c r="B12" s="14" t="inlineStr">
        <is>
          <t>Upside</t>
        </is>
      </c>
      <c r="C12" s="15">
        <f>IFERROR(C11/C3-1,"")</f>
        <v>-0.8296387463314876</v>
      </c>
    </row>
    <row r="13">
      <c r="B13" s="14" t="inlineStr">
        <is>
          <t>Cash / Share</t>
        </is>
      </c>
      <c r="C13" s="11">
        <f>IFERROR((C7-C8)/C4,"")</f>
        <v>0.08671283758154803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-14.696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0.7861880783886772</v>
      </c>
    </row>
    <row r="19">
      <c r="B19" s="14" t="inlineStr">
        <is>
          <t>Implied Pipeline Value</t>
        </is>
      </c>
      <c r="C19" s="13">
        <f>C9</f>
        <v>382.84345904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2020</v>
      </c>
      <c r="C1" s="17" t="n">
        <v>2021</v>
      </c>
      <c r="D1" s="17" t="n">
        <v>2022</v>
      </c>
      <c r="E1" s="17" t="n">
        <v>2023</v>
      </c>
      <c r="F1" s="17" t="n">
        <v>2024</v>
      </c>
      <c r="G1" s="17" t="n">
        <v>2025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2.655</v>
      </c>
      <c r="C5" s="23" t="n">
        <v>2.523</v>
      </c>
      <c r="D5" s="23" t="n">
        <v>6.325</v>
      </c>
      <c r="E5" s="23" t="n">
        <v>7.622</v>
      </c>
      <c r="F5" s="23" t="n">
        <v>7.251</v>
      </c>
      <c r="G5" s="23" t="n">
        <v>9.340999999999999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0.944</v>
      </c>
      <c r="C6" s="23" t="n">
        <v>5.206</v>
      </c>
      <c r="D6" s="23" t="n">
        <v>8.586</v>
      </c>
      <c r="E6" s="23" t="n">
        <v>8.757</v>
      </c>
      <c r="F6" s="23" t="n">
        <v>8.115</v>
      </c>
      <c r="G6" s="23" t="n">
        <v>10.493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3.5989999999999998</v>
      </c>
      <c r="C7" s="23">
        <f>SUM(C5:C6)</f>
        <v>7.729000000000001</v>
      </c>
      <c r="D7" s="23">
        <f>SUM(D5:D6)</f>
        <v>14.911000000000001</v>
      </c>
      <c r="E7" s="23">
        <f>SUM(E5:E6)</f>
        <v>16.378999999999998</v>
      </c>
      <c r="F7" s="23">
        <f>SUM(F5:F6)</f>
        <v>15.366</v>
      </c>
      <c r="G7" s="23">
        <f>SUM(G5:G6)</f>
        <v>19.834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-3.5989999999999998</v>
      </c>
      <c r="C8" s="23">
        <f>C4-C7</f>
        <v>-7.729000000000001</v>
      </c>
      <c r="D8" s="23">
        <f>D4-D7</f>
        <v>-14.911000000000001</v>
      </c>
      <c r="E8" s="23">
        <f>E4-E7</f>
        <v>-16.378999999999998</v>
      </c>
      <c r="F8" s="23">
        <f>F4-F7</f>
        <v>-15.366</v>
      </c>
      <c r="G8" s="23">
        <f>G4-G7</f>
        <v>-19.834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0.016</v>
      </c>
      <c r="C9" s="23" t="n">
        <v>0.019</v>
      </c>
      <c r="D9" s="23" t="n">
        <v>0.588</v>
      </c>
      <c r="E9" s="23" t="n">
        <v>0.957</v>
      </c>
      <c r="F9" s="23" t="n">
        <v>0.345</v>
      </c>
      <c r="G9" s="23" t="n">
        <v>-1.014</v>
      </c>
    </row>
    <row r="10">
      <c r="A10" s="2" t="inlineStr">
        <is>
          <t>Pretax</t>
        </is>
      </c>
      <c r="B10" s="23">
        <f>B8+B9</f>
        <v>-3.5829999999999997</v>
      </c>
      <c r="C10" s="23">
        <f>C8+C9</f>
        <v>-7.710000000000001</v>
      </c>
      <c r="D10" s="23">
        <f>D8+D9</f>
        <v>-14.323000000000002</v>
      </c>
      <c r="E10" s="23">
        <f>E8+E9</f>
        <v>-15.421999999999997</v>
      </c>
      <c r="F10" s="23">
        <f>F8+F9</f>
        <v>-15.020999999999999</v>
      </c>
      <c r="G10" s="23">
        <f>G8+G9</f>
        <v>-20.848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0.001</v>
      </c>
      <c r="C11" s="23" t="n">
        <v>0.002</v>
      </c>
      <c r="D11" s="23" t="n">
        <v>0</v>
      </c>
      <c r="E11" s="23" t="n">
        <v>0.002</v>
      </c>
      <c r="F11" s="23" t="n">
        <v>0.002</v>
      </c>
      <c r="G11" s="23" t="n">
        <v>0.002</v>
      </c>
    </row>
    <row r="12">
      <c r="A12" s="2" t="inlineStr">
        <is>
          <t>Net Income</t>
        </is>
      </c>
      <c r="B12" s="23" t="n">
        <v>-3.584</v>
      </c>
      <c r="C12" s="23" t="n">
        <v>-7.711</v>
      </c>
      <c r="D12" s="23" t="n">
        <v>-14.323</v>
      </c>
      <c r="E12" s="23" t="n">
        <v>-15.423</v>
      </c>
      <c r="F12" s="23" t="n">
        <v>-15.022</v>
      </c>
      <c r="G12" s="23" t="n">
        <v>-20.849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-22.974358974358974</v>
      </c>
      <c r="C13" s="11">
        <f>IFERROR(C12/C14,0)</f>
        <v>-23.581039755351682</v>
      </c>
      <c r="D13" s="11">
        <f>IFERROR(D12/D14,0)</f>
        <v>-43.4030303030303</v>
      </c>
      <c r="E13" s="11">
        <f>IFERROR(E12/E14,0)</f>
        <v>-45.90178571428571</v>
      </c>
      <c r="F13" s="11">
        <f>IFERROR(F12/F14,0)</f>
        <v>-44.97604790419162</v>
      </c>
      <c r="G13" s="11">
        <f>IFERROR(G12/G14,0)</f>
        <v>-21.582815734989648</v>
      </c>
    </row>
    <row r="14">
      <c r="A14" s="2" t="inlineStr">
        <is>
          <t>Shares</t>
        </is>
      </c>
      <c r="B14" s="23" t="n">
        <v>0.156</v>
      </c>
      <c r="C14" s="23" t="n">
        <v>0.327</v>
      </c>
      <c r="D14" s="23" t="n">
        <v>0.33</v>
      </c>
      <c r="E14" s="23" t="n">
        <v>0.336</v>
      </c>
      <c r="F14" s="23" t="n">
        <v>0.334</v>
      </c>
      <c r="G14" s="23" t="n">
        <v>0.966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Indaptus Therapeutics Inc: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14.773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76.90000000000001</v>
      </c>
    </row>
    <row r="22">
      <c r="A22" s="14" t="inlineStr">
        <is>
          <t>First year, fraction after the balance sheet date</t>
        </is>
      </c>
      <c r="B22" s="28" t="n">
        <v>0.5041</v>
      </c>
    </row>
    <row r="23">
      <c r="A23" s="14" t="inlineStr">
        <is>
          <t>Balance sheet date</t>
        </is>
      </c>
      <c r="B23" s="41" t="n">
        <v>46203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55.63619490070449</v>
      </c>
      <c r="C29" s="42">
        <f>NPV!B25</f>
        <v>67.19001490070448</v>
      </c>
      <c r="D29" s="43">
        <f>NPV!B27</f>
        <v>0.5042693108587966</v>
      </c>
      <c r="E29" s="44">
        <f>NPV!B29</f>
        <v>-0.8296387463314876</v>
      </c>
    </row>
    <row r="30">
      <c r="A30" s="45" t="n">
        <v>1</v>
      </c>
      <c r="B30" s="46">
        <f t="dataTable" ref="B30:E32" r1="B4"/>
        <v>-0.8775698523894442</v>
      </c>
      <c r="C30" s="46">
        <v>10.676250147610556</v>
      </c>
      <c r="D30" s="47">
        <v>0.08012656809866628</v>
      </c>
      <c r="E30" s="48">
        <v>-0.9729302134801803</v>
      </c>
    </row>
    <row r="31">
      <c r="A31" s="45" t="n">
        <v>2</v>
      </c>
      <c r="B31" s="46">
        <v>55.63619490070449</v>
      </c>
      <c r="C31" s="46">
        <v>67.19001490070448</v>
      </c>
      <c r="D31" s="47">
        <v>0.5042693108587966</v>
      </c>
      <c r="E31" s="48">
        <v>-0.8296387463314876</v>
      </c>
    </row>
    <row r="32">
      <c r="A32" s="45" t="n">
        <v>3</v>
      </c>
      <c r="B32" s="46">
        <v>147.26647392480047</v>
      </c>
      <c r="C32" s="46">
        <v>158.82029392480047</v>
      </c>
      <c r="D32" s="47">
        <v>1.191965804535205</v>
      </c>
      <c r="E32" s="48">
        <v>-0.5973088498191874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0.5042693108587966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0.013045476448898835</v>
      </c>
      <c r="C37" s="47">
        <v>0.1235416777164134</v>
      </c>
      <c r="D37" s="47">
        <v>0.23044150068732192</v>
      </c>
      <c r="E37" s="47">
        <v>0.43961060918941736</v>
      </c>
      <c r="F37" s="47">
        <v>0.6458502680383365</v>
      </c>
    </row>
    <row r="38">
      <c r="A38" s="50" t="n">
        <v>0.8</v>
      </c>
      <c r="B38" s="47">
        <v>0.08503666799099292</v>
      </c>
      <c r="C38" s="47">
        <v>0.22829327920910758</v>
      </c>
      <c r="D38" s="47">
        <v>0.36806979023660846</v>
      </c>
      <c r="E38" s="47">
        <v>0.6437540485400817</v>
      </c>
      <c r="F38" s="47">
        <v>0.9169757424603532</v>
      </c>
    </row>
    <row r="39">
      <c r="A39" s="50" t="n">
        <v>1</v>
      </c>
      <c r="B39" s="47">
        <v>0.15513135716102397</v>
      </c>
      <c r="C39" s="47">
        <v>0.3312382994704185</v>
      </c>
      <c r="D39" s="47">
        <v>0.5042693108587966</v>
      </c>
      <c r="E39" s="47">
        <v>0.8467761569986724</v>
      </c>
      <c r="F39" s="47">
        <v>1.1874201079142508</v>
      </c>
    </row>
    <row r="40">
      <c r="A40" s="50" t="n">
        <v>1.2</v>
      </c>
      <c r="B40" s="47">
        <v>0.22399683625267916</v>
      </c>
      <c r="C40" s="47">
        <v>0.43324412145070484</v>
      </c>
      <c r="D40" s="47">
        <v>0.6395616095435721</v>
      </c>
      <c r="E40" s="47">
        <v>1.0490917322694544</v>
      </c>
      <c r="F40" s="47">
        <v>1.456705750375639</v>
      </c>
    </row>
    <row r="41">
      <c r="A41" s="50" t="n">
        <v>1.4</v>
      </c>
      <c r="B41" s="47">
        <v>0.2921100493704867</v>
      </c>
      <c r="C41" s="47">
        <v>0.5344240014080445</v>
      </c>
      <c r="D41" s="47">
        <v>0.7745057762584266</v>
      </c>
      <c r="E41" s="47">
        <v>1.2514073075402363</v>
      </c>
      <c r="F41" s="47">
        <v>1.725577442198281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Indaptus Therapeutics Inc: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Decoy20, Tislelizumab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113.54812869523724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11.309999999999999</v>
      </c>
      <c r="T4" s="23">
        <f>IF(T$3&lt;$I4,0,$G4*Assumptions!$E$11*INDEX(Assumptions!$B$24:$G$24,MIN(6,T$3-$I4+1))*IF(T$3&gt;$J4,(1-Assumptions!$B$26)^(T$3-$J4),1)*IF($H4&gt;=1,1,MIN(0.97,$H4*Assumptions!$E$12)))</f>
        <v>28.275</v>
      </c>
      <c r="U4" s="23">
        <f>IF(U$3&lt;$I4,0,$G4*Assumptions!$E$11*INDEX(Assumptions!$B$24:$G$24,MIN(6,U$3-$I4+1))*IF(U$3&gt;$J4,(1-Assumptions!$B$26)^(U$3-$J4),1)*IF($H4&gt;=1,1,MIN(0.97,$H4*Assumptions!$E$12)))</f>
        <v>50.894999999999996</v>
      </c>
      <c r="V4" s="23">
        <f>IF(V$3&lt;$I4,0,$G4*Assumptions!$E$11*INDEX(Assumptions!$B$24:$G$24,MIN(6,V$3-$I4+1))*IF(V$3&gt;$J4,(1-Assumptions!$B$26)^(V$3-$J4),1)*IF($H4&gt;=1,1,MIN(0.97,$H4*Assumptions!$E$12)))</f>
        <v>73.515</v>
      </c>
      <c r="W4" s="23">
        <f>IF(W$3&lt;$I4,0,$G4*Assumptions!$E$11*INDEX(Assumptions!$B$24:$G$24,MIN(6,W$3-$I4+1))*IF(W$3&gt;$J4,(1-Assumptions!$B$26)^(W$3-$J4),1)*IF($H4&gt;=1,1,MIN(0.97,$H4*Assumptions!$E$12)))</f>
        <v>96.13499999999999</v>
      </c>
      <c r="X4" s="23">
        <f>IF(X$3&lt;$I4,0,$G4*Assumptions!$E$11*INDEX(Assumptions!$B$24:$G$24,MIN(6,X$3-$I4+1))*IF(X$3&gt;$J4,(1-Assumptions!$B$26)^(X$3-$J4),1)*IF($H4&gt;=1,1,MIN(0.97,$H4*Assumptions!$E$12)))</f>
        <v>113.1</v>
      </c>
      <c r="Y4" s="23">
        <f>IF(Y$3&lt;$I4,0,$G4*Assumptions!$E$11*INDEX(Assumptions!$B$24:$G$24,MIN(6,Y$3-$I4+1))*IF(Y$3&gt;$J4,(1-Assumptions!$B$26)^(Y$3-$J4),1)*IF($H4&gt;=1,1,MIN(0.97,$H4*Assumptions!$E$12)))</f>
        <v>113.1</v>
      </c>
      <c r="Z4" s="23">
        <f>IF(Z$3&lt;$I4,0,$G4*Assumptions!$E$11*INDEX(Assumptions!$B$24:$G$24,MIN(6,Z$3-$I4+1))*IF(Z$3&gt;$J4,(1-Assumptions!$B$26)^(Z$3-$J4),1)*IF($H4&gt;=1,1,MIN(0.97,$H4*Assumptions!$E$12)))</f>
        <v>113.1</v>
      </c>
      <c r="AA4" s="23">
        <f>IF(AA$3&lt;$I4,0,$G4*Assumptions!$E$11*INDEX(Assumptions!$B$24:$G$24,MIN(6,AA$3-$I4+1))*IF(AA$3&gt;$J4,(1-Assumptions!$B$26)^(AA$3-$J4),1)*IF($H4&gt;=1,1,MIN(0.97,$H4*Assumptions!$E$12)))</f>
        <v>113.1</v>
      </c>
      <c r="AB4" s="23">
        <f>IF(AB$3&lt;$I4,0,$G4*Assumptions!$E$11*INDEX(Assumptions!$B$24:$G$24,MIN(6,AB$3-$I4+1))*IF(AB$3&gt;$J4,(1-Assumptions!$B$26)^(AB$3-$J4),1)*IF($H4&gt;=1,1,MIN(0.97,$H4*Assumptions!$E$12)))</f>
        <v>113.1</v>
      </c>
      <c r="AC4" s="23">
        <f>IF(AC$3&lt;$I4,0,$G4*Assumptions!$E$11*INDEX(Assumptions!$B$24:$G$24,MIN(6,AC$3-$I4+1))*IF(AC$3&gt;$J4,(1-Assumptions!$B$26)^(AC$3-$J4),1)*IF($H4&gt;=1,1,MIN(0.97,$H4*Assumptions!$E$12)))</f>
        <v>113.1</v>
      </c>
      <c r="AD4" s="23">
        <f>IF(AD$3&lt;$I4,0,$G4*Assumptions!$E$11*INDEX(Assumptions!$B$24:$G$24,MIN(6,AD$3-$I4+1))*IF(AD$3&gt;$J4,(1-Assumptions!$B$26)^(AD$3-$J4),1)*IF($H4&gt;=1,1,MIN(0.97,$H4*Assumptions!$E$12)))</f>
        <v>113.1</v>
      </c>
      <c r="AE4" s="23">
        <f>IF(AE$3&lt;$I4,0,$G4*Assumptions!$E$11*INDEX(Assumptions!$B$24:$G$24,MIN(6,AE$3-$I4+1))*IF(AE$3&gt;$J4,(1-Assumptions!$B$26)^(AE$3-$J4),1)*IF($H4&gt;=1,1,MIN(0.97,$H4*Assumptions!$E$12)))</f>
        <v>113.1</v>
      </c>
      <c r="AF4" s="23">
        <f>IF(AF$3&lt;$I4,0,$G4*Assumptions!$E$11*INDEX(Assumptions!$B$24:$G$24,MIN(6,AF$3-$I4+1))*IF(AF$3&gt;$J4,(1-Assumptions!$B$26)^(AF$3-$J4),1)*IF($H4&gt;=1,1,MIN(0.97,$H4*Assumptions!$E$12)))</f>
        <v>56.55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113.54812869523724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11.309999999999999</v>
      </c>
      <c r="T5" s="54">
        <f>SUM(T4:T4)</f>
        <v>28.275</v>
      </c>
      <c r="U5" s="54">
        <f>SUM(U4:U4)</f>
        <v>50.894999999999996</v>
      </c>
      <c r="V5" s="54">
        <f>SUM(V4:V4)</f>
        <v>73.515</v>
      </c>
      <c r="W5" s="54">
        <f>SUM(W4:W4)</f>
        <v>96.13499999999999</v>
      </c>
      <c r="X5" s="54">
        <f>SUM(X4:X4)</f>
        <v>113.1</v>
      </c>
      <c r="Y5" s="54">
        <f>SUM(Y4:Y4)</f>
        <v>113.1</v>
      </c>
      <c r="Z5" s="54">
        <f>SUM(Z4:Z4)</f>
        <v>113.1</v>
      </c>
      <c r="AA5" s="54">
        <f>SUM(AA4:AA4)</f>
        <v>113.1</v>
      </c>
      <c r="AB5" s="54">
        <f>SUM(AB4:AB4)</f>
        <v>113.1</v>
      </c>
      <c r="AC5" s="54">
        <f>SUM(AC4:AC4)</f>
        <v>113.1</v>
      </c>
      <c r="AD5" s="54">
        <f>SUM(AD4:AD4)</f>
        <v>113.1</v>
      </c>
      <c r="AE5" s="54">
        <f>SUM(AE4:AE4)</f>
        <v>113.1</v>
      </c>
      <c r="AF5" s="54">
        <f>SUM(AF4:AF4)</f>
        <v>56.55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4.524</v>
      </c>
      <c r="T6" s="55">
        <f>SUMPRODUCT(T4:T4,$K$4:$K$4)</f>
        <v>11.31</v>
      </c>
      <c r="U6" s="55">
        <f>SUMPRODUCT(U4:U4,$K$4:$K$4)</f>
        <v>20.358</v>
      </c>
      <c r="V6" s="55">
        <f>SUMPRODUCT(V4:V4,$K$4:$K$4)</f>
        <v>29.406000000000002</v>
      </c>
      <c r="W6" s="55">
        <f>SUMPRODUCT(W4:W4,$K$4:$K$4)</f>
        <v>38.454</v>
      </c>
      <c r="X6" s="55">
        <f>SUMPRODUCT(X4:X4,$K$4:$K$4)</f>
        <v>45.24</v>
      </c>
      <c r="Y6" s="55">
        <f>SUMPRODUCT(Y4:Y4,$K$4:$K$4)</f>
        <v>45.24</v>
      </c>
      <c r="Z6" s="55">
        <f>SUMPRODUCT(Z4:Z4,$K$4:$K$4)</f>
        <v>45.24</v>
      </c>
      <c r="AA6" s="55">
        <f>SUMPRODUCT(AA4:AA4,$K$4:$K$4)</f>
        <v>45.24</v>
      </c>
      <c r="AB6" s="55">
        <f>SUMPRODUCT(AB4:AB4,$K$4:$K$4)</f>
        <v>45.24</v>
      </c>
      <c r="AC6" s="55">
        <f>SUMPRODUCT(AC4:AC4,$K$4:$K$4)</f>
        <v>45.24</v>
      </c>
      <c r="AD6" s="55">
        <f>SUMPRODUCT(AD4:AD4,$K$4:$K$4)</f>
        <v>45.24</v>
      </c>
      <c r="AE6" s="55">
        <f>SUMPRODUCT(AE4:AE4,$K$4:$K$4)</f>
        <v>45.24</v>
      </c>
      <c r="AF6" s="55">
        <f>SUMPRODUCT(AF4:AF4,$K$4:$K$4)</f>
        <v>22.62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Indaptus Therapeutics Inc: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11.309999999999999</v>
      </c>
      <c r="J4" s="57">
        <f>Pipeline!T5</f>
        <v>28.275</v>
      </c>
      <c r="K4" s="57">
        <f>Pipeline!U5</f>
        <v>50.894999999999996</v>
      </c>
      <c r="L4" s="57">
        <f>Pipeline!V5</f>
        <v>73.515</v>
      </c>
      <c r="M4" s="57">
        <f>Pipeline!W5</f>
        <v>96.13499999999999</v>
      </c>
      <c r="N4" s="57">
        <f>Pipeline!X5</f>
        <v>113.1</v>
      </c>
      <c r="O4" s="57">
        <f>Pipeline!Y5</f>
        <v>113.1</v>
      </c>
      <c r="P4" s="57">
        <f>Pipeline!Z5</f>
        <v>113.1</v>
      </c>
      <c r="Q4" s="57">
        <f>Pipeline!AA5</f>
        <v>113.1</v>
      </c>
      <c r="R4" s="57">
        <f>Pipeline!AB5</f>
        <v>113.1</v>
      </c>
      <c r="S4" s="57">
        <f>Pipeline!AC5</f>
        <v>113.1</v>
      </c>
      <c r="T4" s="57">
        <f>Pipeline!AD5</f>
        <v>113.1</v>
      </c>
      <c r="U4" s="57">
        <f>Pipeline!AE5</f>
        <v>113.1</v>
      </c>
      <c r="V4" s="57">
        <f>Pipeline!AF5</f>
        <v>56.55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4.524</v>
      </c>
      <c r="J5" s="57">
        <f>Pipeline!T6</f>
        <v>11.31</v>
      </c>
      <c r="K5" s="57">
        <f>Pipeline!U6</f>
        <v>20.358</v>
      </c>
      <c r="L5" s="57">
        <f>Pipeline!V6</f>
        <v>29.406000000000002</v>
      </c>
      <c r="M5" s="57">
        <f>Pipeline!W6</f>
        <v>38.454</v>
      </c>
      <c r="N5" s="57">
        <f>Pipeline!X6</f>
        <v>45.24</v>
      </c>
      <c r="O5" s="57">
        <f>Pipeline!Y6</f>
        <v>45.24</v>
      </c>
      <c r="P5" s="57">
        <f>Pipeline!Z6</f>
        <v>45.24</v>
      </c>
      <c r="Q5" s="57">
        <f>Pipeline!AA6</f>
        <v>45.24</v>
      </c>
      <c r="R5" s="57">
        <f>Pipeline!AB6</f>
        <v>45.24</v>
      </c>
      <c r="S5" s="57">
        <f>Pipeline!AC6</f>
        <v>45.24</v>
      </c>
      <c r="T5" s="57">
        <f>Pipeline!AD6</f>
        <v>45.24</v>
      </c>
      <c r="U5" s="57">
        <f>Pipeline!AE6</f>
        <v>45.24</v>
      </c>
      <c r="V5" s="57">
        <f>Pipeline!AF6</f>
        <v>22.62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-14.773</v>
      </c>
      <c r="D6" s="23">
        <f>-IF(D3-2026&lt;Assumptions!$B$19,Assumptions!$B$18,Assumptions!$B$18*Assumptions!$B$20*Assumptions!$B$16)</f>
        <v>-14.773</v>
      </c>
      <c r="E6" s="23">
        <f>-IF(E3-2026&lt;Assumptions!$B$19,Assumptions!$B$18,Assumptions!$B$18*Assumptions!$B$20*Assumptions!$B$16)</f>
        <v>-14.773</v>
      </c>
      <c r="F6" s="23">
        <f>-IF(F3-2026&lt;Assumptions!$B$19,Assumptions!$B$18,Assumptions!$B$18*Assumptions!$B$20*Assumptions!$B$16)</f>
        <v>-14.773</v>
      </c>
      <c r="G6" s="23">
        <f>-IF(G3-2026&lt;Assumptions!$B$19,Assumptions!$B$18,Assumptions!$B$18*Assumptions!$B$20*Assumptions!$B$16)</f>
        <v>-0.3341652600000001</v>
      </c>
      <c r="H6" s="23">
        <f>-IF(H3-2026&lt;Assumptions!$B$19,Assumptions!$B$18,Assumptions!$B$18*Assumptions!$B$20*Assumptions!$B$16)</f>
        <v>-0.3341652600000001</v>
      </c>
      <c r="I6" s="23">
        <f>-IF(I3-2026&lt;Assumptions!$B$19,Assumptions!$B$18,Assumptions!$B$18*Assumptions!$B$20*Assumptions!$B$16)</f>
        <v>-0.3341652600000001</v>
      </c>
      <c r="J6" s="23">
        <f>-IF(J3-2026&lt;Assumptions!$B$19,Assumptions!$B$18,Assumptions!$B$18*Assumptions!$B$20*Assumptions!$B$16)</f>
        <v>-0.3341652600000001</v>
      </c>
      <c r="K6" s="23">
        <f>-IF(K3-2026&lt;Assumptions!$B$19,Assumptions!$B$18,Assumptions!$B$18*Assumptions!$B$20*Assumptions!$B$16)</f>
        <v>-0.3341652600000001</v>
      </c>
      <c r="L6" s="23">
        <f>-IF(L3-2026&lt;Assumptions!$B$19,Assumptions!$B$18,Assumptions!$B$18*Assumptions!$B$20*Assumptions!$B$16)</f>
        <v>-0.3341652600000001</v>
      </c>
      <c r="M6" s="23">
        <f>-IF(M3-2026&lt;Assumptions!$B$19,Assumptions!$B$18,Assumptions!$B$18*Assumptions!$B$20*Assumptions!$B$16)</f>
        <v>-0.3341652600000001</v>
      </c>
      <c r="N6" s="23">
        <f>-IF(N3-2026&lt;Assumptions!$B$19,Assumptions!$B$18,Assumptions!$B$18*Assumptions!$B$20*Assumptions!$B$16)</f>
        <v>-0.3341652600000001</v>
      </c>
      <c r="O6" s="23">
        <f>-IF(O3-2026&lt;Assumptions!$B$19,Assumptions!$B$18,Assumptions!$B$18*Assumptions!$B$20*Assumptions!$B$16)</f>
        <v>-0.3341652600000001</v>
      </c>
      <c r="P6" s="23">
        <f>-IF(P3-2026&lt;Assumptions!$B$19,Assumptions!$B$18,Assumptions!$B$18*Assumptions!$B$20*Assumptions!$B$16)</f>
        <v>-0.3341652600000001</v>
      </c>
      <c r="Q6" s="23">
        <f>-IF(Q3-2026&lt;Assumptions!$B$19,Assumptions!$B$18,Assumptions!$B$18*Assumptions!$B$20*Assumptions!$B$16)</f>
        <v>-0.3341652600000001</v>
      </c>
      <c r="R6" s="23">
        <f>-IF(R3-2026&lt;Assumptions!$B$19,Assumptions!$B$18,Assumptions!$B$18*Assumptions!$B$20*Assumptions!$B$16)</f>
        <v>-0.3341652600000001</v>
      </c>
      <c r="S6" s="23">
        <f>-IF(S3-2026&lt;Assumptions!$B$19,Assumptions!$B$18,Assumptions!$B$18*Assumptions!$B$20*Assumptions!$B$16)</f>
        <v>-0.3341652600000001</v>
      </c>
      <c r="T6" s="23">
        <f>-IF(T3-2026&lt;Assumptions!$B$19,Assumptions!$B$18,Assumptions!$B$18*Assumptions!$B$20*Assumptions!$B$16)</f>
        <v>-0.3341652600000001</v>
      </c>
      <c r="U6" s="23">
        <f>-IF(U3-2026&lt;Assumptions!$B$19,Assumptions!$B$18,Assumptions!$B$18*Assumptions!$B$20*Assumptions!$B$16)</f>
        <v>-0.3341652600000001</v>
      </c>
      <c r="V6" s="23">
        <f>-IF(V3-2026&lt;Assumptions!$B$19,Assumptions!$B$18,Assumptions!$B$18*Assumptions!$B$20*Assumptions!$B$16)</f>
        <v>-0.3341652600000001</v>
      </c>
    </row>
    <row r="7">
      <c r="A7" s="14" t="inlineStr">
        <is>
          <t>Pre-tax cash flow</t>
        </is>
      </c>
      <c r="C7" s="23">
        <f>C5+C6</f>
        <v>-14.773</v>
      </c>
      <c r="D7" s="23">
        <f>D5+D6</f>
        <v>-14.773</v>
      </c>
      <c r="E7" s="23">
        <f>E5+E6</f>
        <v>-14.773</v>
      </c>
      <c r="F7" s="23">
        <f>F5+F6</f>
        <v>-14.773</v>
      </c>
      <c r="G7" s="23">
        <f>G5+G6</f>
        <v>-0.3341652600000001</v>
      </c>
      <c r="H7" s="23">
        <f>H5+H6</f>
        <v>-0.3341652600000001</v>
      </c>
      <c r="I7" s="23">
        <f>I5+I6</f>
        <v>4.18983474</v>
      </c>
      <c r="J7" s="23">
        <f>J5+J6</f>
        <v>10.97583474</v>
      </c>
      <c r="K7" s="23">
        <f>K5+K6</f>
        <v>20.02383474</v>
      </c>
      <c r="L7" s="23">
        <f>L5+L6</f>
        <v>29.071834740000003</v>
      </c>
      <c r="M7" s="23">
        <f>M5+M6</f>
        <v>38.11983474</v>
      </c>
      <c r="N7" s="23">
        <f>N5+N6</f>
        <v>44.90583474</v>
      </c>
      <c r="O7" s="23">
        <f>O5+O6</f>
        <v>44.90583474</v>
      </c>
      <c r="P7" s="23">
        <f>P5+P6</f>
        <v>44.90583474</v>
      </c>
      <c r="Q7" s="23">
        <f>Q5+Q6</f>
        <v>44.90583474</v>
      </c>
      <c r="R7" s="23">
        <f>R5+R6</f>
        <v>44.90583474</v>
      </c>
      <c r="S7" s="23">
        <f>S5+S6</f>
        <v>44.90583474</v>
      </c>
      <c r="T7" s="23">
        <f>T5+T6</f>
        <v>44.90583474</v>
      </c>
      <c r="U7" s="23">
        <f>U5+U6</f>
        <v>44.90583474</v>
      </c>
      <c r="V7" s="23">
        <f>V5+V6</f>
        <v>22.285834740000002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4.18983474</v>
      </c>
      <c r="J8" s="23">
        <f>MIN(I17,MAX(0,J7))</f>
        <v>10.97583474</v>
      </c>
      <c r="K8" s="23">
        <f>MIN(J17,MAX(0,K7))</f>
        <v>20.02383474</v>
      </c>
      <c r="L8" s="23">
        <f>MIN(K17,MAX(0,L7))</f>
        <v>29.071834740000003</v>
      </c>
      <c r="M8" s="23">
        <f>MIN(L17,MAX(0,M7))</f>
        <v>38.11983474</v>
      </c>
      <c r="N8" s="23">
        <f>MIN(M17,MAX(0,N7))</f>
        <v>34.27915681999997</v>
      </c>
      <c r="O8" s="23">
        <f>MIN(N17,MAX(0,O7))</f>
        <v>0.0</v>
      </c>
      <c r="P8" s="23">
        <f>MIN(O17,MAX(0,P7))</f>
        <v>0.0</v>
      </c>
      <c r="Q8" s="23">
        <f>MIN(P17,MAX(0,Q7))</f>
        <v>0.0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10.626677920000034</v>
      </c>
      <c r="O9" s="23">
        <f>MAX(0,O7)-O8</f>
        <v>44.90583474</v>
      </c>
      <c r="P9" s="23">
        <f>MAX(0,P7)-P8</f>
        <v>44.90583474</v>
      </c>
      <c r="Q9" s="23">
        <f>MAX(0,Q7)-Q8</f>
        <v>44.90583474</v>
      </c>
      <c r="R9" s="23">
        <f>MAX(0,R7)-R8</f>
        <v>44.90583474</v>
      </c>
      <c r="S9" s="23">
        <f>MAX(0,S7)-S8</f>
        <v>44.90583474</v>
      </c>
      <c r="T9" s="23">
        <f>MAX(0,T7)-T8</f>
        <v>44.90583474</v>
      </c>
      <c r="U9" s="23">
        <f>MAX(0,U7)-U8</f>
        <v>44.90583474</v>
      </c>
      <c r="V9" s="23">
        <f>MAX(0,V7)-V8</f>
        <v>22.285834740000002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2.231602363200007</v>
      </c>
      <c r="O10" s="23">
        <f>O9*Assumptions!$E$15</f>
        <v>9.4302252954</v>
      </c>
      <c r="P10" s="23">
        <f>P9*Assumptions!$E$15</f>
        <v>9.4302252954</v>
      </c>
      <c r="Q10" s="23">
        <f>Q9*Assumptions!$E$15</f>
        <v>9.4302252954</v>
      </c>
      <c r="R10" s="23">
        <f>R9*Assumptions!$E$15</f>
        <v>9.4302252954</v>
      </c>
      <c r="S10" s="23">
        <f>S9*Assumptions!$E$15</f>
        <v>9.4302252954</v>
      </c>
      <c r="T10" s="23">
        <f>T9*Assumptions!$E$15</f>
        <v>9.4302252954</v>
      </c>
      <c r="U10" s="23">
        <f>U9*Assumptions!$E$15</f>
        <v>9.4302252954</v>
      </c>
      <c r="V10" s="23">
        <f>V9*Assumptions!$E$15</f>
        <v>4.6800252954</v>
      </c>
    </row>
    <row r="11">
      <c r="A11" s="24" t="inlineStr">
        <is>
          <t>Free cash flow</t>
        </is>
      </c>
      <c r="C11" s="55">
        <f>C7-C10</f>
        <v>-14.773</v>
      </c>
      <c r="D11" s="55">
        <f>D7-D10</f>
        <v>-14.773</v>
      </c>
      <c r="E11" s="55">
        <f>E7-E10</f>
        <v>-14.773</v>
      </c>
      <c r="F11" s="55">
        <f>F7-F10</f>
        <v>-14.773</v>
      </c>
      <c r="G11" s="55">
        <f>G7-G10</f>
        <v>-0.3341652600000001</v>
      </c>
      <c r="H11" s="55">
        <f>H7-H10</f>
        <v>-0.3341652600000001</v>
      </c>
      <c r="I11" s="55">
        <f>I7-I10</f>
        <v>4.18983474</v>
      </c>
      <c r="J11" s="55">
        <f>J7-J10</f>
        <v>10.97583474</v>
      </c>
      <c r="K11" s="55">
        <f>K7-K10</f>
        <v>20.02383474</v>
      </c>
      <c r="L11" s="55">
        <f>L7-L10</f>
        <v>29.071834740000003</v>
      </c>
      <c r="M11" s="55">
        <f>M7-M10</f>
        <v>38.11983474</v>
      </c>
      <c r="N11" s="55">
        <f>N7-N10</f>
        <v>42.6742323768</v>
      </c>
      <c r="O11" s="55">
        <f>O7-O10</f>
        <v>35.4756094446</v>
      </c>
      <c r="P11" s="55">
        <f>P7-P10</f>
        <v>35.4756094446</v>
      </c>
      <c r="Q11" s="55">
        <f>Q7-Q10</f>
        <v>35.4756094446</v>
      </c>
      <c r="R11" s="55">
        <f>R7-R10</f>
        <v>35.4756094446</v>
      </c>
      <c r="S11" s="55">
        <f>S7-S10</f>
        <v>35.4756094446</v>
      </c>
      <c r="T11" s="55">
        <f>T7-T10</f>
        <v>35.4756094446</v>
      </c>
      <c r="U11" s="55">
        <f>U7-U10</f>
        <v>35.4756094446</v>
      </c>
      <c r="V11" s="55">
        <f>V7-V10</f>
        <v>17.605809444600002</v>
      </c>
    </row>
    <row r="12">
      <c r="A12" s="14" t="inlineStr">
        <is>
          <t>Year fraction</t>
        </is>
      </c>
      <c r="C12" s="58">
        <f>Assumptions!$B$22</f>
        <v>0.5041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0.25205</v>
      </c>
      <c r="D13" s="11">
        <f>C13+C12/2+D12/2</f>
        <v>1.0041</v>
      </c>
      <c r="E13" s="11">
        <f>D13+D12/2+E12/2</f>
        <v>2.0041</v>
      </c>
      <c r="F13" s="11">
        <f>E13+E12/2+F12/2</f>
        <v>3.0041</v>
      </c>
      <c r="G13" s="11">
        <f>F13+F12/2+G12/2</f>
        <v>4.0041</v>
      </c>
      <c r="H13" s="11">
        <f>G13+G12/2+H12/2</f>
        <v>5.0041</v>
      </c>
      <c r="I13" s="11">
        <f>H13+H12/2+I12/2</f>
        <v>6.0041</v>
      </c>
      <c r="J13" s="11">
        <f>I13+I12/2+J12/2</f>
        <v>7.0041</v>
      </c>
      <c r="K13" s="11">
        <f>J13+J12/2+K12/2</f>
        <v>8.004100000000001</v>
      </c>
      <c r="L13" s="11">
        <f>K13+K12/2+L12/2</f>
        <v>9.004100000000001</v>
      </c>
      <c r="M13" s="11">
        <f>L13+L12/2+M12/2</f>
        <v>10.004100000000001</v>
      </c>
      <c r="N13" s="11">
        <f>M13+M12/2+N12/2</f>
        <v>11.004100000000001</v>
      </c>
      <c r="O13" s="11">
        <f>N13+N12/2+O12/2</f>
        <v>12.004100000000001</v>
      </c>
      <c r="P13" s="11">
        <f>O13+O12/2+P12/2</f>
        <v>13.004100000000001</v>
      </c>
      <c r="Q13" s="11">
        <f>P13+P12/2+Q12/2</f>
        <v>14.004100000000001</v>
      </c>
      <c r="R13" s="11">
        <f>Q13+Q12/2+R12/2</f>
        <v>15.004100000000001</v>
      </c>
      <c r="S13" s="11">
        <f>R13+R12/2+S12/2</f>
        <v>16.0041</v>
      </c>
      <c r="T13" s="11">
        <f>S13+S12/2+T12/2</f>
        <v>17.0041</v>
      </c>
      <c r="U13" s="11">
        <f>T13+T12/2+U12/2</f>
        <v>18.0041</v>
      </c>
      <c r="V13" s="11">
        <f>U13+U12/2+V12/2</f>
        <v>19.0041</v>
      </c>
    </row>
    <row r="14">
      <c r="A14" s="14" t="inlineStr">
        <is>
          <t>Discount factor</t>
        </is>
      </c>
      <c r="C14" s="59">
        <f>1/(1+Assumptions!$E$10)^C13</f>
        <v>0.9718396132010737</v>
      </c>
      <c r="D14" s="59">
        <f>1/(1+Assumptions!$E$10)^D13</f>
        <v>0.8924423752877004</v>
      </c>
      <c r="E14" s="59">
        <f>1/(1+Assumptions!$E$10)^E13</f>
        <v>0.796823549364018</v>
      </c>
      <c r="F14" s="59">
        <f>1/(1+Assumptions!$E$10)^F13</f>
        <v>0.7114495976464447</v>
      </c>
      <c r="G14" s="59">
        <f>1/(1+Assumptions!$E$10)^G13</f>
        <v>0.6352228550414684</v>
      </c>
      <c r="H14" s="59">
        <f>1/(1+Assumptions!$E$10)^H13</f>
        <v>0.5671632634298824</v>
      </c>
      <c r="I14" s="59">
        <f>1/(1+Assumptions!$E$10)^I13</f>
        <v>0.5063957709195378</v>
      </c>
      <c r="J14" s="59">
        <f>1/(1+Assumptions!$E$10)^J13</f>
        <v>0.45213908117815876</v>
      </c>
      <c r="K14" s="59">
        <f>1/(1+Assumptions!$E$10)^K13</f>
        <v>0.4036956081947845</v>
      </c>
      <c r="L14" s="59">
        <f>1/(1+Assumptions!$E$10)^L13</f>
        <v>0.36044250731677185</v>
      </c>
      <c r="M14" s="59">
        <f>1/(1+Assumptions!$E$10)^M13</f>
        <v>0.3218236672471177</v>
      </c>
      <c r="N14" s="59">
        <f>1/(1+Assumptions!$E$10)^N13</f>
        <v>0.2873425600420693</v>
      </c>
      <c r="O14" s="59">
        <f>1/(1+Assumptions!$E$10)^O13</f>
        <v>0.256555857180419</v>
      </c>
      <c r="P14" s="59">
        <f>1/(1+Assumptions!$E$10)^P13</f>
        <v>0.22906772962537408</v>
      </c>
      <c r="Q14" s="59">
        <f>1/(1+Assumptions!$E$10)^Q13</f>
        <v>0.204524758594084</v>
      </c>
      <c r="R14" s="59">
        <f>1/(1+Assumptions!$E$10)^R13</f>
        <v>0.1826113916018607</v>
      </c>
      <c r="S14" s="59">
        <f>1/(1+Assumptions!$E$10)^S13</f>
        <v>0.16304588535880418</v>
      </c>
      <c r="T14" s="59">
        <f>1/(1+Assumptions!$E$10)^T13</f>
        <v>0.14557668335607515</v>
      </c>
      <c r="U14" s="59">
        <f>1/(1+Assumptions!$E$10)^U13</f>
        <v>0.12997918156792423</v>
      </c>
      <c r="V14" s="59">
        <f>1/(1+Assumptions!$E$10)^V13</f>
        <v>0.11605284068564661</v>
      </c>
    </row>
    <row r="15">
      <c r="A15" s="14" t="inlineStr">
        <is>
          <t>PV factor</t>
        </is>
      </c>
      <c r="C15" s="59">
        <f>C12*C14</f>
        <v>0.48990434901466123</v>
      </c>
      <c r="D15" s="59">
        <f>D12*D14</f>
        <v>0.8924423752877004</v>
      </c>
      <c r="E15" s="59">
        <f>E12*E14</f>
        <v>0.796823549364018</v>
      </c>
      <c r="F15" s="59">
        <f>F12*F14</f>
        <v>0.7114495976464447</v>
      </c>
      <c r="G15" s="59">
        <f>G12*G14</f>
        <v>0.6352228550414684</v>
      </c>
      <c r="H15" s="59">
        <f>H12*H14</f>
        <v>0.5671632634298824</v>
      </c>
      <c r="I15" s="59">
        <f>I12*I14</f>
        <v>0.5063957709195378</v>
      </c>
      <c r="J15" s="59">
        <f>J12*J14</f>
        <v>0.45213908117815876</v>
      </c>
      <c r="K15" s="59">
        <f>K12*K14</f>
        <v>0.4036956081947845</v>
      </c>
      <c r="L15" s="59">
        <f>L12*L14</f>
        <v>0.36044250731677185</v>
      </c>
      <c r="M15" s="59">
        <f>M12*M14</f>
        <v>0.3218236672471177</v>
      </c>
      <c r="N15" s="59">
        <f>N12*N14</f>
        <v>0.2873425600420693</v>
      </c>
      <c r="O15" s="59">
        <f>O12*O14</f>
        <v>0.256555857180419</v>
      </c>
      <c r="P15" s="59">
        <f>P12*P14</f>
        <v>0.22906772962537408</v>
      </c>
      <c r="Q15" s="59">
        <f>Q12*Q14</f>
        <v>0.204524758594084</v>
      </c>
      <c r="R15" s="59">
        <f>R12*R14</f>
        <v>0.1826113916018607</v>
      </c>
      <c r="S15" s="59">
        <f>S12*S14</f>
        <v>0.16304588535880418</v>
      </c>
      <c r="T15" s="59">
        <f>T12*T14</f>
        <v>0.14557668335607515</v>
      </c>
      <c r="U15" s="59">
        <f>U12*U14</f>
        <v>0.12997918156792423</v>
      </c>
      <c r="V15" s="59">
        <f>V12*V14</f>
        <v>0.11605284068564661</v>
      </c>
    </row>
    <row r="16">
      <c r="A16" s="24" t="inlineStr">
        <is>
          <t>PV of free cash flow</t>
        </is>
      </c>
      <c r="C16" s="55">
        <f>C11*C15</f>
        <v>-7.23735694799359</v>
      </c>
      <c r="D16" s="55">
        <f>D11*D15</f>
        <v>-13.184051210125197</v>
      </c>
      <c r="E16" s="55">
        <f>E11*E15</f>
        <v>-11.771474294754638</v>
      </c>
      <c r="F16" s="55">
        <f>F11*F15</f>
        <v>-10.510244906030927</v>
      </c>
      <c r="G16" s="55">
        <f>G11*G15</f>
        <v>-0.21226941051287462</v>
      </c>
      <c r="H16" s="55">
        <f>H11*H15</f>
        <v>-0.1895262593864952</v>
      </c>
      <c r="I16" s="55">
        <f>I11*I15</f>
        <v>2.1217145931877615</v>
      </c>
      <c r="J16" s="55">
        <f>J11*J15</f>
        <v>4.962603834506915</v>
      </c>
      <c r="K16" s="55">
        <f>K11*K15</f>
        <v>8.083534143756156</v>
      </c>
      <c r="L16" s="55">
        <f>L11*L15</f>
        <v>10.478725005984433</v>
      </c>
      <c r="M16" s="55">
        <f>M11*M15</f>
        <v>12.267865010880877</v>
      </c>
      <c r="N16" s="55">
        <f>N11*N15</f>
        <v>12.262123178979872</v>
      </c>
      <c r="O16" s="55">
        <f>O11*O15</f>
        <v>9.101475390057121</v>
      </c>
      <c r="P16" s="55">
        <f>P11*P15</f>
        <v>8.126317312551</v>
      </c>
      <c r="Q16" s="55">
        <f>Q11*Q15</f>
        <v>7.255640457634822</v>
      </c>
      <c r="R16" s="55">
        <f>R11*R15</f>
        <v>6.47825040860252</v>
      </c>
      <c r="S16" s="55">
        <f>S11*S15</f>
        <v>5.784152150537963</v>
      </c>
      <c r="T16" s="55">
        <f>T11*T15</f>
        <v>5.164421562980324</v>
      </c>
      <c r="U16" s="55">
        <f>U11*U15</f>
        <v>4.611090681232431</v>
      </c>
      <c r="V16" s="55">
        <f>V11*V15</f>
        <v>2.0432041986160163</v>
      </c>
    </row>
    <row r="17">
      <c r="A17" s="14" t="inlineStr">
        <is>
          <t>Tax-loss carryforward, end of year</t>
        </is>
      </c>
      <c r="C17" s="23">
        <f>Assumptions!$B$21-C8+MAX(0,-C7)</f>
        <v>91.673</v>
      </c>
      <c r="D17" s="23">
        <f>C17-D8+MAX(0,-D7)</f>
        <v>106.446</v>
      </c>
      <c r="E17" s="23">
        <f>D17-E8+MAX(0,-E7)</f>
        <v>121.219</v>
      </c>
      <c r="F17" s="23">
        <f>E17-F8+MAX(0,-F7)</f>
        <v>135.992</v>
      </c>
      <c r="G17" s="23">
        <f>F17-G8+MAX(0,-G7)</f>
        <v>136.32616525999998</v>
      </c>
      <c r="H17" s="23">
        <f>G17-H8+MAX(0,-H7)</f>
        <v>136.66033051999997</v>
      </c>
      <c r="I17" s="23">
        <f>H17-I8+MAX(0,-I7)</f>
        <v>132.47049577999996</v>
      </c>
      <c r="J17" s="23">
        <f>I17-J8+MAX(0,-J7)</f>
        <v>121.49466103999997</v>
      </c>
      <c r="K17" s="23">
        <f>J17-K8+MAX(0,-K7)</f>
        <v>101.47082629999997</v>
      </c>
      <c r="L17" s="23">
        <f>K17-L8+MAX(0,-L7)</f>
        <v>72.39899155999997</v>
      </c>
      <c r="M17" s="23">
        <f>L17-M8+MAX(0,-M7)</f>
        <v>34.27915681999997</v>
      </c>
      <c r="N17" s="23">
        <f>M17-N8+MAX(0,-N7)</f>
        <v>0.0</v>
      </c>
      <c r="O17" s="23">
        <f>N17-O8+MAX(0,-O7)</f>
        <v>0.0</v>
      </c>
      <c r="P17" s="23">
        <f>O17-P8+MAX(0,-P7)</f>
        <v>0.0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113.54812869523724</v>
      </c>
    </row>
    <row r="20">
      <c r="A20" s="14" t="inlineStr">
        <is>
          <t>PV of corporate burn</t>
        </is>
      </c>
      <c r="B20" s="23">
        <f>SUMPRODUCT(C6:V6,C15:V15)</f>
        <v>-44.361134959679035</v>
      </c>
    </row>
    <row r="21">
      <c r="A21" s="14" t="inlineStr">
        <is>
          <t>PV of taxes</t>
        </is>
      </c>
      <c r="B21" s="23">
        <f>-SUMPRODUCT(C10:V10,C15:V15)</f>
        <v>-13.550798834853722</v>
      </c>
    </row>
    <row r="22">
      <c r="A22" s="24" t="inlineStr">
        <is>
          <t>Pipeline rNPV (operations)</t>
        </is>
      </c>
      <c r="B22" s="54">
        <f>SUM(C16:V16)</f>
        <v>55.63619490070449</v>
      </c>
    </row>
    <row r="23">
      <c r="A23" s="14" t="inlineStr">
        <is>
          <t>Cash &amp; investments</t>
        </is>
      </c>
      <c r="B23" s="57">
        <f>Main!C7</f>
        <v>11.55382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67.19001490070448</v>
      </c>
    </row>
    <row r="26">
      <c r="A26" s="14" t="inlineStr">
        <is>
          <t>Shares (mm)</t>
        </is>
      </c>
      <c r="B26" s="57">
        <f>Main!C4</f>
        <v>133.242324</v>
      </c>
    </row>
    <row r="27">
      <c r="A27" s="24" t="inlineStr">
        <is>
          <t>rNPV / share</t>
        </is>
      </c>
      <c r="B27" s="60">
        <f>B25/B26</f>
        <v>0.5042693108587966</v>
      </c>
    </row>
    <row r="28">
      <c r="A28" s="14" t="inlineStr">
        <is>
          <t>Price</t>
        </is>
      </c>
      <c r="B28" s="61">
        <f>Main!C3</f>
        <v>2.96</v>
      </c>
    </row>
    <row r="29">
      <c r="A29" s="14" t="inlineStr">
        <is>
          <t>Upside</t>
        </is>
      </c>
      <c r="B29" s="62">
        <f>B27/B28-1</f>
        <v>-0.8296387463314876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2026-10-21T06:25:44Z</dcterms:modified>
  <cp:lastModifiedBy>Wang, Eric</cp:lastModifiedBy>
</cp:coreProperties>
</file>