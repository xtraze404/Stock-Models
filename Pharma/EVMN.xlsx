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/Documents/Stock Models/Pharma/"/>
    </mc:Choice>
  </mc:AlternateContent>
  <xr:revisionPtr revIDLastSave="0" documentId="13_ncr:1_{CDD7B148-991B-CA42-BA15-FE284036FCF6}" xr6:coauthVersionLast="47" xr6:coauthVersionMax="47" xr10:uidLastSave="{00000000-0000-0000-0000-000000000000}"/>
  <bookViews>
    <workbookView xWindow="680" yWindow="660" windowWidth="28040" windowHeight="17160" xr2:uid="{00000000-000D-0000-FFFF-FFFF00000000}"/>
  </bookViews>
  <sheets>
    <sheet name="Main" sheetId="1" r:id="rId1"/>
    <sheet name="Yearly Model" sheetId="2" r:id="rId2"/>
    <sheet name="Quarterly Model" sheetId="3" r:id="rId3"/>
    <sheet name="Assumptions" sheetId="4" r:id="rId4"/>
    <sheet name="Pipeline" sheetId="5" r:id="rId5"/>
    <sheet name="NPV" sheetId="6" r:id="rId6"/>
    <sheet name="Options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" i="7" l="1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E48" i="7"/>
  <c r="D48" i="7"/>
  <c r="B45" i="7"/>
  <c r="J38" i="7"/>
  <c r="I38" i="7"/>
  <c r="D38" i="7"/>
  <c r="C38" i="7"/>
  <c r="E38" i="7" s="1"/>
  <c r="J37" i="7"/>
  <c r="I37" i="7"/>
  <c r="D37" i="7"/>
  <c r="C37" i="7"/>
  <c r="E37" i="7" s="1"/>
  <c r="J36" i="7"/>
  <c r="I36" i="7"/>
  <c r="D36" i="7"/>
  <c r="C36" i="7"/>
  <c r="E36" i="7" s="1"/>
  <c r="J35" i="7"/>
  <c r="I35" i="7"/>
  <c r="D35" i="7"/>
  <c r="C35" i="7"/>
  <c r="E35" i="7" s="1"/>
  <c r="J34" i="7"/>
  <c r="I34" i="7"/>
  <c r="D34" i="7"/>
  <c r="C34" i="7"/>
  <c r="C19" i="7"/>
  <c r="B17" i="7"/>
  <c r="B8" i="7"/>
  <c r="B9" i="7" s="1"/>
  <c r="B6" i="7"/>
  <c r="C22" i="6"/>
  <c r="C20" i="6"/>
  <c r="AA12" i="6"/>
  <c r="AA13" i="6" s="1"/>
  <c r="Z12" i="6"/>
  <c r="Z13" i="6" s="1"/>
  <c r="Y12" i="6"/>
  <c r="Y13" i="6" s="1"/>
  <c r="X12" i="6"/>
  <c r="X13" i="6" s="1"/>
  <c r="W12" i="6"/>
  <c r="W13" i="6" s="1"/>
  <c r="V12" i="6"/>
  <c r="V13" i="6" s="1"/>
  <c r="U12" i="6"/>
  <c r="U13" i="6" s="1"/>
  <c r="T12" i="6"/>
  <c r="T13" i="6" s="1"/>
  <c r="S12" i="6"/>
  <c r="S13" i="6" s="1"/>
  <c r="R12" i="6"/>
  <c r="R13" i="6" s="1"/>
  <c r="Q12" i="6"/>
  <c r="Q13" i="6" s="1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C8" i="6"/>
  <c r="B88" i="4"/>
  <c r="B87" i="4"/>
  <c r="B86" i="4"/>
  <c r="B85" i="4"/>
  <c r="B84" i="4"/>
  <c r="B83" i="4"/>
  <c r="E82" i="4"/>
  <c r="D82" i="4"/>
  <c r="C82" i="4"/>
  <c r="B81" i="4"/>
  <c r="B80" i="4"/>
  <c r="B79" i="4"/>
  <c r="B78" i="4"/>
  <c r="B77" i="4"/>
  <c r="B76" i="4"/>
  <c r="J73" i="4"/>
  <c r="E73" i="4"/>
  <c r="D73" i="4"/>
  <c r="C73" i="4"/>
  <c r="B73" i="4"/>
  <c r="B67" i="4"/>
  <c r="B66" i="4"/>
  <c r="B65" i="4"/>
  <c r="B64" i="4"/>
  <c r="B63" i="4"/>
  <c r="B62" i="4"/>
  <c r="E61" i="4"/>
  <c r="D61" i="4"/>
  <c r="C61" i="4"/>
  <c r="B60" i="4"/>
  <c r="B59" i="4"/>
  <c r="B58" i="4"/>
  <c r="B57" i="4"/>
  <c r="B56" i="4"/>
  <c r="E53" i="4"/>
  <c r="D53" i="4"/>
  <c r="C53" i="4"/>
  <c r="B53" i="4"/>
  <c r="B47" i="4"/>
  <c r="B46" i="4"/>
  <c r="B45" i="4"/>
  <c r="B44" i="4"/>
  <c r="B43" i="4"/>
  <c r="B42" i="4"/>
  <c r="E41" i="4"/>
  <c r="D41" i="4"/>
  <c r="C41" i="4"/>
  <c r="B40" i="4"/>
  <c r="B39" i="4"/>
  <c r="B38" i="4"/>
  <c r="B37" i="4"/>
  <c r="B36" i="4"/>
  <c r="B27" i="4"/>
  <c r="B26" i="4"/>
  <c r="C25" i="6" s="1"/>
  <c r="B25" i="4"/>
  <c r="B24" i="4"/>
  <c r="B23" i="4"/>
  <c r="B22" i="4"/>
  <c r="B21" i="4"/>
  <c r="B20" i="4"/>
  <c r="B19" i="4"/>
  <c r="B18" i="4"/>
  <c r="B17" i="4"/>
  <c r="D21" i="2" s="1"/>
  <c r="B16" i="4"/>
  <c r="H9" i="3" s="1"/>
  <c r="B15" i="4"/>
  <c r="B14" i="4"/>
  <c r="B13" i="4"/>
  <c r="B4" i="6" s="1"/>
  <c r="C4" i="4"/>
  <c r="G20" i="3"/>
  <c r="F20" i="3"/>
  <c r="E20" i="3"/>
  <c r="D20" i="3"/>
  <c r="I16" i="3"/>
  <c r="H16" i="3"/>
  <c r="G16" i="3"/>
  <c r="F16" i="3"/>
  <c r="I14" i="3"/>
  <c r="H14" i="3"/>
  <c r="E14" i="3"/>
  <c r="E9" i="3"/>
  <c r="I7" i="3"/>
  <c r="H7" i="3"/>
  <c r="G7" i="3"/>
  <c r="F7" i="3"/>
  <c r="D7" i="3"/>
  <c r="C7" i="3"/>
  <c r="B7" i="3"/>
  <c r="E6" i="3"/>
  <c r="E5" i="3"/>
  <c r="E7" i="3" s="1"/>
  <c r="I4" i="3"/>
  <c r="H4" i="3"/>
  <c r="G4" i="3"/>
  <c r="F4" i="3"/>
  <c r="E4" i="3"/>
  <c r="D4" i="3"/>
  <c r="C4" i="3"/>
  <c r="B4" i="3"/>
  <c r="D20" i="2"/>
  <c r="C20" i="2"/>
  <c r="D16" i="2"/>
  <c r="C16" i="2"/>
  <c r="E14" i="2"/>
  <c r="E11" i="2"/>
  <c r="D7" i="2"/>
  <c r="C7" i="2"/>
  <c r="B7" i="2"/>
  <c r="E6" i="2"/>
  <c r="E5" i="2"/>
  <c r="E7" i="2" s="1"/>
  <c r="D4" i="2"/>
  <c r="C4" i="2"/>
  <c r="B4" i="2"/>
  <c r="E3" i="2"/>
  <c r="E2" i="2"/>
  <c r="C7" i="1"/>
  <c r="C3" i="1"/>
  <c r="B82" i="4" l="1"/>
  <c r="F14" i="2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B61" i="4"/>
  <c r="G73" i="4"/>
  <c r="E21" i="5" s="1"/>
  <c r="F73" i="4"/>
  <c r="D21" i="5" s="1"/>
  <c r="I73" i="4"/>
  <c r="G21" i="5" s="1"/>
  <c r="H73" i="4"/>
  <c r="F21" i="5" s="1"/>
  <c r="D15" i="5"/>
  <c r="Z21" i="5"/>
  <c r="R21" i="5"/>
  <c r="Q21" i="5"/>
  <c r="P21" i="5"/>
  <c r="O21" i="5"/>
  <c r="N21" i="5"/>
  <c r="M21" i="5"/>
  <c r="K21" i="5"/>
  <c r="J21" i="5"/>
  <c r="H21" i="5"/>
  <c r="C21" i="5"/>
  <c r="Z15" i="5"/>
  <c r="X15" i="5"/>
  <c r="V15" i="5"/>
  <c r="T15" i="5"/>
  <c r="T16" i="5" s="1"/>
  <c r="U16" i="5" s="1"/>
  <c r="V16" i="5" s="1"/>
  <c r="W16" i="5" s="1"/>
  <c r="X16" i="5" s="1"/>
  <c r="Y16" i="5" s="1"/>
  <c r="Z16" i="5" s="1"/>
  <c r="M15" i="5"/>
  <c r="M16" i="5" s="1"/>
  <c r="I15" i="5"/>
  <c r="I16" i="5" s="1"/>
  <c r="H15" i="5"/>
  <c r="H16" i="5" s="1"/>
  <c r="F15" i="5"/>
  <c r="U21" i="5"/>
  <c r="C15" i="5"/>
  <c r="V21" i="5"/>
  <c r="Y21" i="5"/>
  <c r="L21" i="5"/>
  <c r="I21" i="5"/>
  <c r="U15" i="5"/>
  <c r="S15" i="5"/>
  <c r="S16" i="5" s="1"/>
  <c r="Q15" i="5"/>
  <c r="Q16" i="5" s="1"/>
  <c r="P15" i="5"/>
  <c r="P16" i="5" s="1"/>
  <c r="N15" i="5"/>
  <c r="N16" i="5" s="1"/>
  <c r="L15" i="5"/>
  <c r="L16" i="5" s="1"/>
  <c r="K15" i="5"/>
  <c r="K16" i="5" s="1"/>
  <c r="G15" i="5"/>
  <c r="W21" i="5"/>
  <c r="S21" i="5"/>
  <c r="Y15" i="5"/>
  <c r="W15" i="5"/>
  <c r="R15" i="5"/>
  <c r="R16" i="5" s="1"/>
  <c r="O15" i="5"/>
  <c r="O16" i="5" s="1"/>
  <c r="J15" i="5"/>
  <c r="J16" i="5" s="1"/>
  <c r="E15" i="5"/>
  <c r="X21" i="5"/>
  <c r="T21" i="5"/>
  <c r="H38" i="7"/>
  <c r="F38" i="7"/>
  <c r="G38" i="7"/>
  <c r="C52" i="7" s="1"/>
  <c r="F37" i="7"/>
  <c r="H37" i="7"/>
  <c r="G37" i="7"/>
  <c r="H36" i="7"/>
  <c r="F36" i="7"/>
  <c r="G36" i="7"/>
  <c r="F35" i="7"/>
  <c r="G35" i="7"/>
  <c r="H35" i="7"/>
  <c r="E34" i="7"/>
  <c r="B52" i="7"/>
  <c r="B18" i="7"/>
  <c r="X25" i="5"/>
  <c r="Y25" i="5"/>
  <c r="V25" i="5"/>
  <c r="S25" i="5"/>
  <c r="S26" i="5" s="1"/>
  <c r="P25" i="5"/>
  <c r="P26" i="5" s="1"/>
  <c r="L25" i="5"/>
  <c r="L26" i="5" s="1"/>
  <c r="J25" i="5"/>
  <c r="H25" i="5"/>
  <c r="D25" i="5"/>
  <c r="W31" i="5"/>
  <c r="O31" i="5"/>
  <c r="M31" i="5"/>
  <c r="N31" i="5"/>
  <c r="P31" i="5"/>
  <c r="Q31" i="5"/>
  <c r="C31" i="5"/>
  <c r="T25" i="5"/>
  <c r="T26" i="5" s="1"/>
  <c r="Q25" i="5"/>
  <c r="Q26" i="5" s="1"/>
  <c r="N25" i="5"/>
  <c r="N26" i="5" s="1"/>
  <c r="K25" i="5"/>
  <c r="I25" i="5"/>
  <c r="F25" i="5"/>
  <c r="C25" i="5"/>
  <c r="R31" i="5"/>
  <c r="S31" i="5"/>
  <c r="T31" i="5"/>
  <c r="U31" i="5"/>
  <c r="V31" i="5"/>
  <c r="E25" i="5"/>
  <c r="G25" i="5"/>
  <c r="M25" i="5"/>
  <c r="M26" i="5" s="1"/>
  <c r="O25" i="5"/>
  <c r="O26" i="5" s="1"/>
  <c r="R25" i="5"/>
  <c r="R26" i="5" s="1"/>
  <c r="U25" i="5"/>
  <c r="U26" i="5" s="1"/>
  <c r="W25" i="5"/>
  <c r="Z25" i="5"/>
  <c r="X31" i="5"/>
  <c r="Y31" i="5"/>
  <c r="Z31" i="5"/>
  <c r="F94" i="4"/>
  <c r="H31" i="5" s="1"/>
  <c r="D94" i="4"/>
  <c r="F31" i="5" s="1"/>
  <c r="C94" i="4"/>
  <c r="E31" i="5" s="1"/>
  <c r="B94" i="4"/>
  <c r="D31" i="5" s="1"/>
  <c r="E94" i="4"/>
  <c r="G31" i="5" s="1"/>
  <c r="G94" i="4"/>
  <c r="I31" i="5" s="1"/>
  <c r="H94" i="4"/>
  <c r="J31" i="5" s="1"/>
  <c r="I94" i="4"/>
  <c r="K31" i="5" s="1"/>
  <c r="J94" i="4"/>
  <c r="L31" i="5" s="1"/>
  <c r="B98" i="4"/>
  <c r="I53" i="4"/>
  <c r="H11" i="5" s="1"/>
  <c r="H53" i="4"/>
  <c r="G11" i="5" s="1"/>
  <c r="G53" i="4"/>
  <c r="F11" i="5" s="1"/>
  <c r="F53" i="4"/>
  <c r="E11" i="5" s="1"/>
  <c r="B41" i="4"/>
  <c r="N5" i="5"/>
  <c r="Z11" i="5"/>
  <c r="D11" i="5"/>
  <c r="C11" i="5"/>
  <c r="J11" i="5"/>
  <c r="K11" i="5"/>
  <c r="L11" i="5"/>
  <c r="M11" i="5"/>
  <c r="N11" i="5"/>
  <c r="O11" i="5"/>
  <c r="Z5" i="5"/>
  <c r="Y5" i="5"/>
  <c r="X5" i="5"/>
  <c r="W5" i="5"/>
  <c r="V5" i="5"/>
  <c r="U5" i="5"/>
  <c r="U6" i="5" s="1"/>
  <c r="V6" i="5" s="1"/>
  <c r="T5" i="5"/>
  <c r="S5" i="5"/>
  <c r="R5" i="5"/>
  <c r="Q5" i="5"/>
  <c r="P5" i="5"/>
  <c r="O5" i="5"/>
  <c r="P11" i="5"/>
  <c r="M5" i="5"/>
  <c r="L5" i="5"/>
  <c r="K5" i="5"/>
  <c r="J5" i="5"/>
  <c r="I5" i="5"/>
  <c r="H5" i="5"/>
  <c r="G5" i="5"/>
  <c r="F5" i="5"/>
  <c r="E5" i="5"/>
  <c r="D5" i="5"/>
  <c r="C5" i="5"/>
  <c r="W11" i="5"/>
  <c r="Q11" i="5"/>
  <c r="R11" i="5"/>
  <c r="S11" i="5"/>
  <c r="T11" i="5"/>
  <c r="U11" i="5"/>
  <c r="X11" i="5"/>
  <c r="Y11" i="5"/>
  <c r="V11" i="5"/>
  <c r="B5" i="6"/>
  <c r="H106" i="4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B3" i="6"/>
  <c r="C14" i="1"/>
  <c r="I17" i="3"/>
  <c r="I8" i="3"/>
  <c r="H17" i="3"/>
  <c r="H8" i="3"/>
  <c r="G17" i="3"/>
  <c r="G8" i="3"/>
  <c r="G10" i="3" s="1"/>
  <c r="G12" i="3" s="1"/>
  <c r="G13" i="3" s="1"/>
  <c r="F17" i="3"/>
  <c r="F8" i="3"/>
  <c r="F10" i="3" s="1"/>
  <c r="F12" i="3" s="1"/>
  <c r="F13" i="3" s="1"/>
  <c r="E17" i="3"/>
  <c r="E8" i="3"/>
  <c r="E10" i="3" s="1"/>
  <c r="E12" i="3" s="1"/>
  <c r="E13" i="3" s="1"/>
  <c r="D8" i="3"/>
  <c r="D10" i="3" s="1"/>
  <c r="D12" i="3" s="1"/>
  <c r="D13" i="3" s="1"/>
  <c r="D17" i="3"/>
  <c r="C8" i="3"/>
  <c r="C10" i="3" s="1"/>
  <c r="C12" i="3" s="1"/>
  <c r="C13" i="3" s="1"/>
  <c r="C17" i="3"/>
  <c r="B17" i="3"/>
  <c r="B8" i="3"/>
  <c r="B10" i="3" s="1"/>
  <c r="B12" i="3" s="1"/>
  <c r="B13" i="3" s="1"/>
  <c r="D17" i="2"/>
  <c r="D8" i="2"/>
  <c r="D10" i="2" s="1"/>
  <c r="D12" i="2" s="1"/>
  <c r="D13" i="2" s="1"/>
  <c r="C17" i="2"/>
  <c r="C8" i="2"/>
  <c r="C10" i="2" s="1"/>
  <c r="C12" i="2" s="1"/>
  <c r="C13" i="2" s="1"/>
  <c r="B17" i="2"/>
  <c r="B8" i="2"/>
  <c r="B10" i="2" s="1"/>
  <c r="B12" i="2" s="1"/>
  <c r="B13" i="2" s="1"/>
  <c r="E16" i="2"/>
  <c r="E4" i="2"/>
  <c r="C19" i="6"/>
  <c r="C13" i="1"/>
  <c r="C28" i="6"/>
  <c r="C5" i="1"/>
  <c r="O37" i="5" l="1"/>
  <c r="W37" i="5"/>
  <c r="X37" i="5"/>
  <c r="Z37" i="5"/>
  <c r="I27" i="5"/>
  <c r="C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D27" i="5"/>
  <c r="E27" i="5"/>
  <c r="F27" i="5"/>
  <c r="G27" i="5"/>
  <c r="H27" i="5"/>
  <c r="R17" i="5"/>
  <c r="Y17" i="5"/>
  <c r="W17" i="5"/>
  <c r="Q17" i="5"/>
  <c r="N17" i="5"/>
  <c r="K17" i="5"/>
  <c r="D17" i="5"/>
  <c r="L17" i="5"/>
  <c r="X17" i="5"/>
  <c r="U17" i="5"/>
  <c r="T17" i="5"/>
  <c r="S17" i="5"/>
  <c r="P17" i="5"/>
  <c r="O17" i="5"/>
  <c r="M17" i="5"/>
  <c r="J17" i="5"/>
  <c r="E17" i="5"/>
  <c r="I17" i="5"/>
  <c r="G17" i="5"/>
  <c r="C17" i="5"/>
  <c r="F17" i="5"/>
  <c r="H17" i="5"/>
  <c r="V17" i="5"/>
  <c r="Z17" i="5"/>
  <c r="D20" i="5"/>
  <c r="D16" i="5"/>
  <c r="D18" i="5" s="1"/>
  <c r="H37" i="5"/>
  <c r="E37" i="5"/>
  <c r="F20" i="5"/>
  <c r="F16" i="5"/>
  <c r="F18" i="5" s="1"/>
  <c r="C20" i="5"/>
  <c r="C16" i="5"/>
  <c r="C18" i="5" s="1"/>
  <c r="G20" i="5"/>
  <c r="G16" i="5"/>
  <c r="E20" i="5"/>
  <c r="E16" i="5"/>
  <c r="J30" i="5"/>
  <c r="J26" i="5"/>
  <c r="H30" i="5"/>
  <c r="H26" i="5"/>
  <c r="D30" i="5"/>
  <c r="D26" i="5"/>
  <c r="F37" i="5"/>
  <c r="Y37" i="5"/>
  <c r="K30" i="5"/>
  <c r="K26" i="5"/>
  <c r="I30" i="5"/>
  <c r="I26" i="5"/>
  <c r="E30" i="5"/>
  <c r="E26" i="5"/>
  <c r="G30" i="5"/>
  <c r="G26" i="5"/>
  <c r="G37" i="5"/>
  <c r="C43" i="7"/>
  <c r="B50" i="7"/>
  <c r="C50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B85" i="7"/>
  <c r="C85" i="7"/>
  <c r="B86" i="7"/>
  <c r="C86" i="7"/>
  <c r="B87" i="7"/>
  <c r="C87" i="7"/>
  <c r="B88" i="7"/>
  <c r="C88" i="7"/>
  <c r="B89" i="7"/>
  <c r="C89" i="7"/>
  <c r="B90" i="7"/>
  <c r="C90" i="7"/>
  <c r="B91" i="7"/>
  <c r="C91" i="7"/>
  <c r="B92" i="7"/>
  <c r="C92" i="7"/>
  <c r="B93" i="7"/>
  <c r="C93" i="7"/>
  <c r="B94" i="7"/>
  <c r="C94" i="7"/>
  <c r="B43" i="7"/>
  <c r="F34" i="7"/>
  <c r="G34" i="7" s="1"/>
  <c r="H34" i="7"/>
  <c r="D43" i="7"/>
  <c r="E43" i="7"/>
  <c r="D50" i="7"/>
  <c r="E50" i="7"/>
  <c r="D52" i="7"/>
  <c r="E52" i="7"/>
  <c r="D53" i="7"/>
  <c r="E53" i="7"/>
  <c r="D62" i="7"/>
  <c r="E62" i="7"/>
  <c r="D63" i="7"/>
  <c r="E63" i="7"/>
  <c r="D64" i="7"/>
  <c r="E64" i="7"/>
  <c r="D65" i="7"/>
  <c r="E65" i="7"/>
  <c r="D66" i="7"/>
  <c r="E66" i="7"/>
  <c r="D67" i="7"/>
  <c r="E67" i="7"/>
  <c r="D68" i="7"/>
  <c r="E68" i="7"/>
  <c r="D69" i="7"/>
  <c r="E69" i="7"/>
  <c r="D70" i="7"/>
  <c r="E70" i="7"/>
  <c r="D71" i="7"/>
  <c r="E71" i="7"/>
  <c r="D72" i="7"/>
  <c r="E72" i="7"/>
  <c r="D73" i="7"/>
  <c r="E73" i="7"/>
  <c r="D74" i="7"/>
  <c r="E74" i="7"/>
  <c r="B53" i="7"/>
  <c r="C53" i="7"/>
  <c r="C38" i="5"/>
  <c r="D38" i="5"/>
  <c r="E38" i="5"/>
  <c r="F38" i="5"/>
  <c r="G38" i="5"/>
  <c r="C41" i="5"/>
  <c r="D41" i="5"/>
  <c r="E41" i="5"/>
  <c r="F41" i="5"/>
  <c r="G41" i="5"/>
  <c r="J53" i="4"/>
  <c r="I11" i="5" s="1"/>
  <c r="I37" i="5" s="1"/>
  <c r="B97" i="4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N6" i="5"/>
  <c r="T6" i="5"/>
  <c r="S6" i="5"/>
  <c r="R6" i="5"/>
  <c r="Q6" i="5"/>
  <c r="P6" i="5"/>
  <c r="O6" i="5"/>
  <c r="M6" i="5"/>
  <c r="L6" i="5"/>
  <c r="K6" i="5"/>
  <c r="J6" i="5"/>
  <c r="I6" i="5"/>
  <c r="H6" i="5"/>
  <c r="H10" i="5"/>
  <c r="G6" i="5"/>
  <c r="G10" i="5"/>
  <c r="F6" i="5"/>
  <c r="F10" i="5"/>
  <c r="E6" i="5"/>
  <c r="E10" i="5"/>
  <c r="D6" i="5"/>
  <c r="D10" i="5"/>
  <c r="C6" i="5"/>
  <c r="C10" i="5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H10" i="3"/>
  <c r="H12" i="3" s="1"/>
  <c r="C9" i="6"/>
  <c r="C11" i="6" s="1"/>
  <c r="E8" i="2"/>
  <c r="E17" i="2"/>
  <c r="C30" i="6"/>
  <c r="B43" i="6"/>
  <c r="C9" i="1"/>
  <c r="C33" i="6"/>
  <c r="D37" i="5"/>
  <c r="C37" i="5"/>
  <c r="J37" i="5"/>
  <c r="K37" i="5"/>
  <c r="L37" i="5"/>
  <c r="T37" i="5"/>
  <c r="M37" i="5"/>
  <c r="N37" i="5"/>
  <c r="S37" i="5"/>
  <c r="P37" i="5"/>
  <c r="Q37" i="5"/>
  <c r="R37" i="5"/>
  <c r="U37" i="5"/>
  <c r="V37" i="5"/>
  <c r="V26" i="5"/>
  <c r="F30" i="5"/>
  <c r="F26" i="5"/>
  <c r="C30" i="5"/>
  <c r="C26" i="5"/>
  <c r="W6" i="5"/>
  <c r="J28" i="5" l="1"/>
  <c r="J29" i="5" s="1"/>
  <c r="J32" i="5" s="1"/>
  <c r="G8" i="5"/>
  <c r="G18" i="5"/>
  <c r="G19" i="5" s="1"/>
  <c r="G22" i="5" s="1"/>
  <c r="E18" i="5"/>
  <c r="E19" i="5" s="1"/>
  <c r="E22" i="5" s="1"/>
  <c r="K28" i="5"/>
  <c r="K29" i="5" s="1"/>
  <c r="K32" i="5" s="1"/>
  <c r="I28" i="5"/>
  <c r="I29" i="5" s="1"/>
  <c r="I32" i="5" s="1"/>
  <c r="E28" i="5"/>
  <c r="E29" i="5" s="1"/>
  <c r="E32" i="5" s="1"/>
  <c r="G28" i="5"/>
  <c r="R30" i="5"/>
  <c r="R28" i="5"/>
  <c r="R29" i="5" s="1"/>
  <c r="O30" i="5"/>
  <c r="O28" i="5"/>
  <c r="O29" i="5" s="1"/>
  <c r="L30" i="5"/>
  <c r="L28" i="5"/>
  <c r="D40" i="5"/>
  <c r="D42" i="5" s="1"/>
  <c r="G6" i="2" s="1"/>
  <c r="F28" i="5"/>
  <c r="F29" i="5" s="1"/>
  <c r="F32" i="5" s="1"/>
  <c r="C28" i="5"/>
  <c r="C29" i="5" s="1"/>
  <c r="C32" i="5" s="1"/>
  <c r="D28" i="5"/>
  <c r="D29" i="5" s="1"/>
  <c r="D32" i="5" s="1"/>
  <c r="H28" i="5"/>
  <c r="H29" i="5" s="1"/>
  <c r="H32" i="5" s="1"/>
  <c r="U28" i="5"/>
  <c r="U29" i="5" s="1"/>
  <c r="U30" i="5"/>
  <c r="T28" i="5"/>
  <c r="T29" i="5" s="1"/>
  <c r="T30" i="5"/>
  <c r="T32" i="5" s="1"/>
  <c r="S28" i="5"/>
  <c r="S30" i="5"/>
  <c r="Q28" i="5"/>
  <c r="Q29" i="5" s="1"/>
  <c r="Q30" i="5"/>
  <c r="Q32" i="5" s="1"/>
  <c r="P28" i="5"/>
  <c r="P29" i="5" s="1"/>
  <c r="P30" i="5"/>
  <c r="P32" i="5" s="1"/>
  <c r="N30" i="5"/>
  <c r="N28" i="5"/>
  <c r="N29" i="5" s="1"/>
  <c r="M28" i="5"/>
  <c r="M30" i="5"/>
  <c r="Y18" i="5"/>
  <c r="Y20" i="5"/>
  <c r="W18" i="5"/>
  <c r="W19" i="5" s="1"/>
  <c r="W20" i="5"/>
  <c r="N18" i="5"/>
  <c r="N19" i="5" s="1"/>
  <c r="N20" i="5"/>
  <c r="K20" i="5"/>
  <c r="K18" i="5"/>
  <c r="K19" i="5" s="1"/>
  <c r="L18" i="5"/>
  <c r="L19" i="5" s="1"/>
  <c r="L20" i="5"/>
  <c r="X20" i="5"/>
  <c r="X18" i="5"/>
  <c r="X19" i="5" s="1"/>
  <c r="U20" i="5"/>
  <c r="U18" i="5"/>
  <c r="U19" i="5" s="1"/>
  <c r="T20" i="5"/>
  <c r="T18" i="5"/>
  <c r="T19" i="5" s="1"/>
  <c r="S20" i="5"/>
  <c r="S18" i="5"/>
  <c r="P20" i="5"/>
  <c r="P18" i="5"/>
  <c r="O18" i="5"/>
  <c r="O20" i="5"/>
  <c r="M18" i="5"/>
  <c r="M19" i="5" s="1"/>
  <c r="M20" i="5"/>
  <c r="J18" i="5"/>
  <c r="J20" i="5"/>
  <c r="I20" i="5"/>
  <c r="I18" i="5"/>
  <c r="I19" i="5" s="1"/>
  <c r="H18" i="5"/>
  <c r="H20" i="5"/>
  <c r="H40" i="5" s="1"/>
  <c r="V18" i="5"/>
  <c r="V19" i="5" s="1"/>
  <c r="V20" i="5"/>
  <c r="Z20" i="5"/>
  <c r="Z18" i="5"/>
  <c r="Z19" i="5" s="1"/>
  <c r="R20" i="5"/>
  <c r="R18" i="5"/>
  <c r="R19" i="5" s="1"/>
  <c r="Q20" i="5"/>
  <c r="Q18" i="5"/>
  <c r="Q19" i="5" s="1"/>
  <c r="D39" i="5"/>
  <c r="G5" i="2" s="1"/>
  <c r="C39" i="5"/>
  <c r="F5" i="2" s="1"/>
  <c r="U8" i="5"/>
  <c r="U10" i="5"/>
  <c r="V10" i="5"/>
  <c r="V8" i="5"/>
  <c r="V9" i="5" s="1"/>
  <c r="E39" i="5"/>
  <c r="H5" i="2" s="1"/>
  <c r="G40" i="5"/>
  <c r="G42" i="5" s="1"/>
  <c r="J6" i="2" s="1"/>
  <c r="E40" i="5"/>
  <c r="E42" i="5" s="1"/>
  <c r="H6" i="2" s="1"/>
  <c r="F39" i="5"/>
  <c r="I5" i="2" s="1"/>
  <c r="G39" i="5"/>
  <c r="J5" i="2" s="1"/>
  <c r="F8" i="5"/>
  <c r="F40" i="5"/>
  <c r="F42" i="5" s="1"/>
  <c r="I6" i="2" s="1"/>
  <c r="E8" i="5"/>
  <c r="D8" i="5"/>
  <c r="C8" i="5"/>
  <c r="C40" i="5"/>
  <c r="C42" i="5" s="1"/>
  <c r="F6" i="2" s="1"/>
  <c r="N8" i="5"/>
  <c r="N10" i="5"/>
  <c r="T8" i="5"/>
  <c r="T10" i="5"/>
  <c r="R8" i="5"/>
  <c r="R10" i="5"/>
  <c r="P8" i="5"/>
  <c r="P10" i="5"/>
  <c r="O8" i="5"/>
  <c r="O10" i="5"/>
  <c r="M8" i="5"/>
  <c r="M10" i="5"/>
  <c r="L8" i="5"/>
  <c r="L10" i="5"/>
  <c r="K8" i="5"/>
  <c r="K10" i="5"/>
  <c r="C44" i="7"/>
  <c r="C45" i="7"/>
  <c r="C46" i="7"/>
  <c r="C47" i="7"/>
  <c r="C49" i="7" s="1"/>
  <c r="C48" i="7"/>
  <c r="B46" i="7"/>
  <c r="B47" i="7"/>
  <c r="B49" i="7" s="1"/>
  <c r="B48" i="7"/>
  <c r="B44" i="7"/>
  <c r="D44" i="7"/>
  <c r="D45" i="7"/>
  <c r="D46" i="7"/>
  <c r="D47" i="7"/>
  <c r="D49" i="7" s="1"/>
  <c r="E44" i="7"/>
  <c r="E45" i="7"/>
  <c r="E46" i="7"/>
  <c r="E47" i="7"/>
  <c r="E49" i="7" s="1"/>
  <c r="H20" i="3"/>
  <c r="H13" i="3"/>
  <c r="C15" i="6"/>
  <c r="B41" i="6"/>
  <c r="F19" i="5"/>
  <c r="F22" i="5" s="1"/>
  <c r="C19" i="5"/>
  <c r="C22" i="5" s="1"/>
  <c r="D19" i="5"/>
  <c r="D22" i="5" s="1"/>
  <c r="V30" i="5"/>
  <c r="W26" i="5"/>
  <c r="V28" i="5"/>
  <c r="W10" i="5"/>
  <c r="X6" i="5"/>
  <c r="W8" i="5"/>
  <c r="H8" i="5"/>
  <c r="D75" i="7"/>
  <c r="E75" i="7"/>
  <c r="D76" i="7"/>
  <c r="E76" i="7"/>
  <c r="D77" i="7"/>
  <c r="E77" i="7"/>
  <c r="D78" i="7"/>
  <c r="E78" i="7"/>
  <c r="D79" i="7"/>
  <c r="E79" i="7"/>
  <c r="D80" i="7"/>
  <c r="E80" i="7"/>
  <c r="D81" i="7"/>
  <c r="E81" i="7"/>
  <c r="D82" i="7"/>
  <c r="E82" i="7"/>
  <c r="D83" i="7"/>
  <c r="E83" i="7"/>
  <c r="D84" i="7"/>
  <c r="E84" i="7"/>
  <c r="D85" i="7"/>
  <c r="E85" i="7"/>
  <c r="D86" i="7"/>
  <c r="E86" i="7"/>
  <c r="D87" i="7"/>
  <c r="E87" i="7"/>
  <c r="D88" i="7"/>
  <c r="E88" i="7"/>
  <c r="D89" i="7"/>
  <c r="E89" i="7"/>
  <c r="D90" i="7"/>
  <c r="E90" i="7"/>
  <c r="D91" i="7"/>
  <c r="E91" i="7"/>
  <c r="D92" i="7"/>
  <c r="E92" i="7"/>
  <c r="D93" i="7"/>
  <c r="E93" i="7"/>
  <c r="D94" i="7"/>
  <c r="E94" i="7"/>
  <c r="S8" i="5"/>
  <c r="S10" i="5"/>
  <c r="Q8" i="5"/>
  <c r="Q10" i="5"/>
  <c r="J8" i="5"/>
  <c r="J10" i="5"/>
  <c r="I8" i="5"/>
  <c r="I10" i="5"/>
  <c r="O32" i="5" l="1"/>
  <c r="Z22" i="5"/>
  <c r="R32" i="5"/>
  <c r="G9" i="5"/>
  <c r="G12" i="5"/>
  <c r="G35" i="5"/>
  <c r="J2" i="2" s="1"/>
  <c r="G29" i="5"/>
  <c r="G32" i="5" s="1"/>
  <c r="L29" i="5"/>
  <c r="L32" i="5"/>
  <c r="U32" i="5"/>
  <c r="V22" i="5"/>
  <c r="R22" i="5"/>
  <c r="N32" i="5"/>
  <c r="U22" i="5"/>
  <c r="T22" i="5"/>
  <c r="X22" i="5"/>
  <c r="Q22" i="5"/>
  <c r="G7" i="2"/>
  <c r="U40" i="5"/>
  <c r="J7" i="2"/>
  <c r="F7" i="2"/>
  <c r="N40" i="5"/>
  <c r="T40" i="5"/>
  <c r="R40" i="5"/>
  <c r="P40" i="5"/>
  <c r="O40" i="5"/>
  <c r="M40" i="5"/>
  <c r="L40" i="5"/>
  <c r="K40" i="5"/>
  <c r="W22" i="5"/>
  <c r="N22" i="5"/>
  <c r="I22" i="5"/>
  <c r="L22" i="5"/>
  <c r="M22" i="5"/>
  <c r="K22" i="5"/>
  <c r="S29" i="5"/>
  <c r="S32" i="5" s="1"/>
  <c r="M29" i="5"/>
  <c r="M32" i="5" s="1"/>
  <c r="S19" i="5"/>
  <c r="S22" i="5" s="1"/>
  <c r="S40" i="5"/>
  <c r="J40" i="5"/>
  <c r="I40" i="5"/>
  <c r="V12" i="5"/>
  <c r="Y19" i="5"/>
  <c r="Y22" i="5" s="1"/>
  <c r="P19" i="5"/>
  <c r="P22" i="5"/>
  <c r="O19" i="5"/>
  <c r="O22" i="5"/>
  <c r="J19" i="5"/>
  <c r="J22" i="5"/>
  <c r="H19" i="5"/>
  <c r="H22" i="5" s="1"/>
  <c r="Q40" i="5"/>
  <c r="H7" i="2"/>
  <c r="U35" i="5"/>
  <c r="U9" i="5"/>
  <c r="V40" i="5"/>
  <c r="V35" i="5"/>
  <c r="F35" i="5"/>
  <c r="I2" i="2" s="1"/>
  <c r="F9" i="5"/>
  <c r="E35" i="5"/>
  <c r="H2" i="2" s="1"/>
  <c r="E9" i="5"/>
  <c r="D35" i="5"/>
  <c r="G2" i="2" s="1"/>
  <c r="D9" i="5"/>
  <c r="C35" i="5"/>
  <c r="F2" i="2" s="1"/>
  <c r="C9" i="5"/>
  <c r="N9" i="5"/>
  <c r="N35" i="5"/>
  <c r="T9" i="5"/>
  <c r="T35" i="5"/>
  <c r="W2" i="2" s="1"/>
  <c r="R9" i="5"/>
  <c r="R35" i="5"/>
  <c r="P35" i="5"/>
  <c r="P9" i="5"/>
  <c r="O9" i="5"/>
  <c r="O35" i="5"/>
  <c r="M35" i="5"/>
  <c r="M9" i="5"/>
  <c r="L35" i="5"/>
  <c r="L9" i="5"/>
  <c r="K35" i="5"/>
  <c r="N2" i="2" s="1"/>
  <c r="K9" i="5"/>
  <c r="I7" i="2"/>
  <c r="K41" i="5"/>
  <c r="K38" i="5"/>
  <c r="K39" i="5" s="1"/>
  <c r="N5" i="2" s="1"/>
  <c r="I9" i="3"/>
  <c r="X26" i="5"/>
  <c r="W30" i="5"/>
  <c r="W40" i="5" s="1"/>
  <c r="W28" i="5"/>
  <c r="W35" i="5" s="1"/>
  <c r="V29" i="5"/>
  <c r="Y6" i="5"/>
  <c r="X10" i="5"/>
  <c r="X8" i="5"/>
  <c r="W9" i="5"/>
  <c r="W12" i="5" s="1"/>
  <c r="H35" i="5"/>
  <c r="H9" i="5"/>
  <c r="S35" i="5"/>
  <c r="S9" i="5"/>
  <c r="Q35" i="5"/>
  <c r="Q9" i="5"/>
  <c r="J35" i="5"/>
  <c r="J9" i="5"/>
  <c r="I35" i="5"/>
  <c r="I9" i="5"/>
  <c r="G36" i="5" l="1"/>
  <c r="K42" i="5"/>
  <c r="N6" i="2" s="1"/>
  <c r="N7" i="2" s="1"/>
  <c r="J3" i="2"/>
  <c r="J4" i="2" s="1"/>
  <c r="G43" i="5"/>
  <c r="U41" i="5"/>
  <c r="U42" i="5" s="1"/>
  <c r="X6" i="2" s="1"/>
  <c r="X2" i="2"/>
  <c r="U38" i="5"/>
  <c r="U39" i="5" s="1"/>
  <c r="X5" i="2" s="1"/>
  <c r="X7" i="2" s="1"/>
  <c r="U36" i="5"/>
  <c r="U12" i="5"/>
  <c r="B38" i="6"/>
  <c r="K12" i="5"/>
  <c r="K36" i="5"/>
  <c r="V41" i="5"/>
  <c r="V42" i="5" s="1"/>
  <c r="Y6" i="2" s="1"/>
  <c r="V38" i="5"/>
  <c r="V39" i="5" s="1"/>
  <c r="Y5" i="2" s="1"/>
  <c r="Y2" i="2"/>
  <c r="T36" i="5"/>
  <c r="W3" i="2" s="1"/>
  <c r="W4" i="2" s="1"/>
  <c r="T12" i="5"/>
  <c r="R41" i="5"/>
  <c r="R42" i="5" s="1"/>
  <c r="U6" i="2" s="1"/>
  <c r="R38" i="5"/>
  <c r="R39" i="5" s="1"/>
  <c r="U5" i="2" s="1"/>
  <c r="U2" i="2"/>
  <c r="S8" i="6" s="1"/>
  <c r="P41" i="5"/>
  <c r="P42" i="5" s="1"/>
  <c r="S6" i="2" s="1"/>
  <c r="P38" i="5"/>
  <c r="P39" i="5" s="1"/>
  <c r="S5" i="2" s="1"/>
  <c r="S7" i="2" s="1"/>
  <c r="S2" i="2"/>
  <c r="R2" i="2"/>
  <c r="P8" i="6" s="1"/>
  <c r="O41" i="5"/>
  <c r="O42" i="5" s="1"/>
  <c r="R6" i="2" s="1"/>
  <c r="O38" i="5"/>
  <c r="O39" i="5" s="1"/>
  <c r="R5" i="2" s="1"/>
  <c r="L12" i="5"/>
  <c r="L36" i="5"/>
  <c r="O3" i="2" s="1"/>
  <c r="F12" i="5"/>
  <c r="F36" i="5"/>
  <c r="E12" i="5"/>
  <c r="E36" i="5"/>
  <c r="D12" i="5"/>
  <c r="D36" i="5"/>
  <c r="C12" i="5"/>
  <c r="C36" i="5"/>
  <c r="N12" i="5"/>
  <c r="N36" i="5"/>
  <c r="Q3" i="2" s="1"/>
  <c r="N41" i="5"/>
  <c r="N42" i="5" s="1"/>
  <c r="Q6" i="2" s="1"/>
  <c r="Q2" i="2"/>
  <c r="N38" i="5"/>
  <c r="N39" i="5" s="1"/>
  <c r="Q5" i="2" s="1"/>
  <c r="Q7" i="2" s="1"/>
  <c r="T38" i="5"/>
  <c r="T39" i="5" s="1"/>
  <c r="T41" i="5"/>
  <c r="T42" i="5" s="1"/>
  <c r="W6" i="2" s="1"/>
  <c r="R36" i="5"/>
  <c r="R12" i="5"/>
  <c r="P36" i="5"/>
  <c r="P12" i="5"/>
  <c r="O36" i="5"/>
  <c r="O12" i="5"/>
  <c r="P2" i="2"/>
  <c r="M38" i="5"/>
  <c r="M39" i="5" s="1"/>
  <c r="P5" i="2" s="1"/>
  <c r="M41" i="5"/>
  <c r="M42" i="5" s="1"/>
  <c r="P6" i="2" s="1"/>
  <c r="M36" i="5"/>
  <c r="M12" i="5"/>
  <c r="L38" i="5"/>
  <c r="L39" i="5" s="1"/>
  <c r="L41" i="5"/>
  <c r="L42" i="5" s="1"/>
  <c r="O6" i="2" s="1"/>
  <c r="O2" i="2"/>
  <c r="I36" i="5"/>
  <c r="L3" i="2" s="1"/>
  <c r="I12" i="5"/>
  <c r="U8" i="6"/>
  <c r="L8" i="6"/>
  <c r="J16" i="2"/>
  <c r="H8" i="6"/>
  <c r="I16" i="2"/>
  <c r="G8" i="6"/>
  <c r="H16" i="2"/>
  <c r="F8" i="6"/>
  <c r="G16" i="2"/>
  <c r="E8" i="6"/>
  <c r="F16" i="2"/>
  <c r="D8" i="6"/>
  <c r="I10" i="3"/>
  <c r="I12" i="3" s="1"/>
  <c r="E9" i="2"/>
  <c r="E10" i="2" s="1"/>
  <c r="Y26" i="5"/>
  <c r="X30" i="5"/>
  <c r="X40" i="5" s="1"/>
  <c r="X28" i="5"/>
  <c r="X35" i="5" s="1"/>
  <c r="W29" i="5"/>
  <c r="Y10" i="5"/>
  <c r="Z6" i="5"/>
  <c r="Y8" i="5"/>
  <c r="X9" i="5"/>
  <c r="X12" i="5" s="1"/>
  <c r="W41" i="5"/>
  <c r="W42" i="5" s="1"/>
  <c r="Z6" i="2" s="1"/>
  <c r="W38" i="5"/>
  <c r="W39" i="5" s="1"/>
  <c r="Z5" i="2" s="1"/>
  <c r="Z7" i="2" s="1"/>
  <c r="Z2" i="2"/>
  <c r="H41" i="5"/>
  <c r="H42" i="5" s="1"/>
  <c r="K6" i="2" s="1"/>
  <c r="H38" i="5"/>
  <c r="K2" i="2"/>
  <c r="S41" i="5"/>
  <c r="S42" i="5" s="1"/>
  <c r="S38" i="5"/>
  <c r="S39" i="5" s="1"/>
  <c r="V5" i="2" s="1"/>
  <c r="V2" i="2"/>
  <c r="W16" i="2" s="1"/>
  <c r="Q41" i="5"/>
  <c r="Q42" i="5" s="1"/>
  <c r="Q38" i="5"/>
  <c r="Q39" i="5" s="1"/>
  <c r="T5" i="2" s="1"/>
  <c r="T2" i="2"/>
  <c r="J41" i="5"/>
  <c r="J42" i="5" s="1"/>
  <c r="M6" i="2" s="1"/>
  <c r="J38" i="5"/>
  <c r="J39" i="5" s="1"/>
  <c r="M5" i="2" s="1"/>
  <c r="M2" i="2"/>
  <c r="N16" i="2" s="1"/>
  <c r="I41" i="5"/>
  <c r="I42" i="5" s="1"/>
  <c r="L6" i="2" s="1"/>
  <c r="I38" i="5"/>
  <c r="I39" i="5" s="1"/>
  <c r="L2" i="2"/>
  <c r="V32" i="5"/>
  <c r="V36" i="5"/>
  <c r="H36" i="5"/>
  <c r="K3" i="2" s="1"/>
  <c r="H12" i="5"/>
  <c r="S36" i="5"/>
  <c r="V3" i="2" s="1"/>
  <c r="S12" i="5"/>
  <c r="Q36" i="5"/>
  <c r="T3" i="2" s="1"/>
  <c r="Q12" i="5"/>
  <c r="J36" i="5"/>
  <c r="J12" i="5"/>
  <c r="V8" i="6" l="1"/>
  <c r="X16" i="2"/>
  <c r="Y7" i="2"/>
  <c r="X3" i="2"/>
  <c r="X4" i="2" s="1"/>
  <c r="U43" i="5"/>
  <c r="U7" i="2"/>
  <c r="R16" i="2"/>
  <c r="R7" i="2"/>
  <c r="S16" i="2"/>
  <c r="Q8" i="6"/>
  <c r="U16" i="2"/>
  <c r="N3" i="2"/>
  <c r="N4" i="2" s="1"/>
  <c r="K43" i="5"/>
  <c r="Y16" i="2"/>
  <c r="W8" i="6"/>
  <c r="N43" i="5"/>
  <c r="I3" i="2"/>
  <c r="I4" i="2" s="1"/>
  <c r="F43" i="5"/>
  <c r="H3" i="2"/>
  <c r="H4" i="2" s="1"/>
  <c r="E43" i="5"/>
  <c r="G3" i="2"/>
  <c r="G4" i="2" s="1"/>
  <c r="D43" i="5"/>
  <c r="F3" i="2"/>
  <c r="F4" i="2" s="1"/>
  <c r="C43" i="5"/>
  <c r="U3" i="2"/>
  <c r="U4" i="2" s="1"/>
  <c r="R43" i="5"/>
  <c r="S3" i="2"/>
  <c r="S4" i="2" s="1"/>
  <c r="P43" i="5"/>
  <c r="R3" i="2"/>
  <c r="R4" i="2" s="1"/>
  <c r="R17" i="2" s="1"/>
  <c r="O43" i="5"/>
  <c r="P7" i="2"/>
  <c r="M7" i="2"/>
  <c r="Q4" i="2"/>
  <c r="Q16" i="2"/>
  <c r="O8" i="6"/>
  <c r="W5" i="2"/>
  <c r="W7" i="2" s="1"/>
  <c r="W8" i="2" s="1"/>
  <c r="T43" i="5"/>
  <c r="P16" i="2"/>
  <c r="N8" i="6"/>
  <c r="P3" i="2"/>
  <c r="P4" i="2" s="1"/>
  <c r="M43" i="5"/>
  <c r="O5" i="2"/>
  <c r="O7" i="2" s="1"/>
  <c r="L43" i="5"/>
  <c r="O4" i="2"/>
  <c r="O16" i="2"/>
  <c r="M8" i="6"/>
  <c r="M3" i="2"/>
  <c r="M4" i="2" s="1"/>
  <c r="J43" i="5"/>
  <c r="W17" i="2"/>
  <c r="J8" i="2"/>
  <c r="J17" i="2"/>
  <c r="I20" i="3"/>
  <c r="I13" i="3"/>
  <c r="E12" i="2"/>
  <c r="E13" i="2" s="1"/>
  <c r="E21" i="2"/>
  <c r="Y30" i="5"/>
  <c r="Y40" i="5" s="1"/>
  <c r="Z26" i="5"/>
  <c r="Y28" i="5"/>
  <c r="X29" i="5"/>
  <c r="Z10" i="5"/>
  <c r="Z8" i="5"/>
  <c r="Y35" i="5"/>
  <c r="Y9" i="5"/>
  <c r="Y12" i="5" s="1"/>
  <c r="X41" i="5"/>
  <c r="X42" i="5" s="1"/>
  <c r="AA6" i="2" s="1"/>
  <c r="X38" i="5"/>
  <c r="X39" i="5" s="1"/>
  <c r="AA5" i="2" s="1"/>
  <c r="AA2" i="2"/>
  <c r="Z16" i="2"/>
  <c r="X8" i="6"/>
  <c r="H39" i="5"/>
  <c r="K4" i="2"/>
  <c r="K16" i="2"/>
  <c r="I8" i="6"/>
  <c r="V4" i="2"/>
  <c r="V16" i="2"/>
  <c r="T8" i="6"/>
  <c r="T4" i="2"/>
  <c r="T16" i="2"/>
  <c r="R8" i="6"/>
  <c r="M16" i="2"/>
  <c r="K8" i="6"/>
  <c r="L4" i="2"/>
  <c r="L16" i="2"/>
  <c r="J8" i="6"/>
  <c r="V43" i="5"/>
  <c r="Y3" i="2"/>
  <c r="Y4" i="2" s="1"/>
  <c r="W36" i="5"/>
  <c r="W32" i="5"/>
  <c r="V6" i="2"/>
  <c r="V7" i="2" s="1"/>
  <c r="S43" i="5"/>
  <c r="T6" i="2"/>
  <c r="T7" i="2" s="1"/>
  <c r="Q43" i="5"/>
  <c r="L5" i="2"/>
  <c r="L7" i="2" s="1"/>
  <c r="I43" i="5"/>
  <c r="X8" i="2" l="1"/>
  <c r="V9" i="6" s="1"/>
  <c r="X17" i="2"/>
  <c r="R8" i="2"/>
  <c r="P9" i="6" s="1"/>
  <c r="H8" i="2"/>
  <c r="F9" i="6" s="1"/>
  <c r="H17" i="2"/>
  <c r="G8" i="2"/>
  <c r="E9" i="6" s="1"/>
  <c r="G17" i="2"/>
  <c r="F8" i="2"/>
  <c r="D9" i="6" s="1"/>
  <c r="F17" i="2"/>
  <c r="S8" i="2"/>
  <c r="Q9" i="6" s="1"/>
  <c r="S17" i="2"/>
  <c r="Q8" i="2"/>
  <c r="O9" i="6" s="1"/>
  <c r="Q17" i="2"/>
  <c r="AA7" i="2"/>
  <c r="N8" i="2"/>
  <c r="L9" i="6" s="1"/>
  <c r="N17" i="2"/>
  <c r="I8" i="2"/>
  <c r="G9" i="6" s="1"/>
  <c r="I17" i="2"/>
  <c r="U17" i="2"/>
  <c r="U8" i="2"/>
  <c r="S9" i="6" s="1"/>
  <c r="P17" i="2"/>
  <c r="P8" i="2"/>
  <c r="N9" i="6" s="1"/>
  <c r="O8" i="2"/>
  <c r="M9" i="6" s="1"/>
  <c r="O17" i="2"/>
  <c r="Z3" i="2"/>
  <c r="Z4" i="2" s="1"/>
  <c r="W43" i="5"/>
  <c r="U9" i="6"/>
  <c r="H9" i="6"/>
  <c r="E20" i="2"/>
  <c r="B28" i="4"/>
  <c r="Z30" i="5"/>
  <c r="Z40" i="5" s="1"/>
  <c r="Z28" i="5"/>
  <c r="Z35" i="5" s="1"/>
  <c r="Y29" i="5"/>
  <c r="Z9" i="5"/>
  <c r="Z12" i="5" s="1"/>
  <c r="B37" i="6" s="1"/>
  <c r="Y38" i="5"/>
  <c r="Y41" i="5"/>
  <c r="Y42" i="5" s="1"/>
  <c r="AB6" i="2" s="1"/>
  <c r="AB2" i="2"/>
  <c r="AA16" i="2"/>
  <c r="Y8" i="6"/>
  <c r="H43" i="5"/>
  <c r="K5" i="2"/>
  <c r="K7" i="2" s="1"/>
  <c r="K8" i="2" s="1"/>
  <c r="K17" i="2"/>
  <c r="V8" i="2"/>
  <c r="V17" i="2"/>
  <c r="T8" i="2"/>
  <c r="T17" i="2"/>
  <c r="M8" i="2"/>
  <c r="M17" i="2"/>
  <c r="L8" i="2"/>
  <c r="L17" i="2"/>
  <c r="Y17" i="2"/>
  <c r="Y8" i="2"/>
  <c r="X36" i="5"/>
  <c r="X32" i="5"/>
  <c r="Z17" i="2" l="1"/>
  <c r="Z8" i="2"/>
  <c r="X9" i="6" s="1"/>
  <c r="AA3" i="2"/>
  <c r="AA4" i="2" s="1"/>
  <c r="X43" i="5"/>
  <c r="H10" i="6"/>
  <c r="H11" i="6" s="1"/>
  <c r="H15" i="6" s="1"/>
  <c r="G10" i="6"/>
  <c r="G11" i="6" s="1"/>
  <c r="G15" i="6" s="1"/>
  <c r="F10" i="6"/>
  <c r="F11" i="6" s="1"/>
  <c r="F15" i="6" s="1"/>
  <c r="E10" i="6"/>
  <c r="E11" i="6" s="1"/>
  <c r="E15" i="6" s="1"/>
  <c r="D10" i="6"/>
  <c r="D11" i="6"/>
  <c r="D15" i="6" s="1"/>
  <c r="F9" i="2"/>
  <c r="F10" i="2" s="1"/>
  <c r="C31" i="6"/>
  <c r="B16" i="7" s="1"/>
  <c r="C32" i="6"/>
  <c r="B20" i="7" s="1"/>
  <c r="Z29" i="5"/>
  <c r="Z38" i="5"/>
  <c r="Z41" i="5"/>
  <c r="Z42" i="5" s="1"/>
  <c r="AC6" i="2" s="1"/>
  <c r="AC2" i="2"/>
  <c r="Y39" i="5"/>
  <c r="AB16" i="2"/>
  <c r="Z8" i="6"/>
  <c r="I9" i="6"/>
  <c r="T9" i="6"/>
  <c r="R9" i="6"/>
  <c r="K9" i="6"/>
  <c r="J9" i="6"/>
  <c r="W9" i="6"/>
  <c r="Y36" i="5"/>
  <c r="AB3" i="2" s="1"/>
  <c r="AB4" i="2" s="1"/>
  <c r="Y32" i="5"/>
  <c r="AA17" i="2" l="1"/>
  <c r="AA8" i="2"/>
  <c r="Y9" i="6" s="1"/>
  <c r="Z39" i="5"/>
  <c r="AC5" i="2" s="1"/>
  <c r="B40" i="6"/>
  <c r="AC7" i="2"/>
  <c r="F11" i="2"/>
  <c r="F12" i="2" s="1"/>
  <c r="F21" i="2"/>
  <c r="E51" i="7"/>
  <c r="E54" i="7" s="1"/>
  <c r="E55" i="7" s="1"/>
  <c r="D51" i="7"/>
  <c r="D54" i="7" s="1"/>
  <c r="D55" i="7" s="1"/>
  <c r="B51" i="7"/>
  <c r="B54" i="7" s="1"/>
  <c r="B55" i="7" s="1"/>
  <c r="C51" i="7"/>
  <c r="C54" i="7" s="1"/>
  <c r="C55" i="7" s="1"/>
  <c r="B19" i="7"/>
  <c r="AC16" i="2"/>
  <c r="AA8" i="6"/>
  <c r="Y43" i="5"/>
  <c r="AB5" i="2"/>
  <c r="AB7" i="2" s="1"/>
  <c r="AB8" i="2" s="1"/>
  <c r="AB17" i="2"/>
  <c r="I10" i="6"/>
  <c r="J10" i="6"/>
  <c r="J11" i="6" s="1"/>
  <c r="J15" i="6" s="1"/>
  <c r="Z36" i="5"/>
  <c r="Z32" i="5"/>
  <c r="B39" i="6" s="1"/>
  <c r="AC3" i="2" l="1"/>
  <c r="AC4" i="2" s="1"/>
  <c r="Z43" i="5"/>
  <c r="F20" i="2"/>
  <c r="F13" i="2"/>
  <c r="Z9" i="6"/>
  <c r="I11" i="6"/>
  <c r="I15" i="6" s="1"/>
  <c r="AC17" i="2" l="1"/>
  <c r="AC8" i="2"/>
  <c r="AA9" i="6" s="1"/>
  <c r="G9" i="2"/>
  <c r="G10" i="2" s="1"/>
  <c r="G21" i="2" l="1"/>
  <c r="G11" i="2"/>
  <c r="G12" i="2" s="1"/>
  <c r="G20" i="2" l="1"/>
  <c r="G13" i="2"/>
  <c r="H9" i="2" l="1"/>
  <c r="H10" i="2" s="1"/>
  <c r="H21" i="2" l="1"/>
  <c r="H11" i="2"/>
  <c r="H12" i="2" s="1"/>
  <c r="H20" i="2" l="1"/>
  <c r="H13" i="2"/>
  <c r="I9" i="2" l="1"/>
  <c r="I10" i="2" s="1"/>
  <c r="I21" i="2" l="1"/>
  <c r="I11" i="2"/>
  <c r="I12" i="2" s="1"/>
  <c r="I20" i="2" l="1"/>
  <c r="I13" i="2"/>
  <c r="J9" i="2" l="1"/>
  <c r="J10" i="2" s="1"/>
  <c r="J21" i="2" l="1"/>
  <c r="J11" i="2"/>
  <c r="J12" i="2" s="1"/>
  <c r="J20" i="2" l="1"/>
  <c r="J13" i="2"/>
  <c r="K9" i="2" l="1"/>
  <c r="K10" i="2" s="1"/>
  <c r="K21" i="2" l="1"/>
  <c r="K11" i="2"/>
  <c r="K12" i="2" s="1"/>
  <c r="K20" i="2" l="1"/>
  <c r="K13" i="2"/>
  <c r="L9" i="2" l="1"/>
  <c r="L10" i="2" s="1"/>
  <c r="L21" i="2" l="1"/>
  <c r="L11" i="2"/>
  <c r="L12" i="2" s="1"/>
  <c r="K10" i="6" l="1"/>
  <c r="L20" i="2"/>
  <c r="L13" i="2"/>
  <c r="K11" i="6" l="1"/>
  <c r="K15" i="6" s="1"/>
  <c r="M9" i="2"/>
  <c r="M10" i="2" s="1"/>
  <c r="M21" i="2" l="1"/>
  <c r="M11" i="2"/>
  <c r="M12" i="2" s="1"/>
  <c r="L10" i="6" l="1"/>
  <c r="M20" i="2"/>
  <c r="M13" i="2"/>
  <c r="L11" i="6" l="1"/>
  <c r="L15" i="6" s="1"/>
  <c r="N9" i="2"/>
  <c r="N10" i="2" s="1"/>
  <c r="N21" i="2" l="1"/>
  <c r="N11" i="2"/>
  <c r="N12" i="2" s="1"/>
  <c r="M10" i="6" l="1"/>
  <c r="N20" i="2"/>
  <c r="N13" i="2"/>
  <c r="M11" i="6" l="1"/>
  <c r="M15" i="6" s="1"/>
  <c r="O9" i="2"/>
  <c r="O10" i="2" s="1"/>
  <c r="O21" i="2" l="1"/>
  <c r="O11" i="2"/>
  <c r="O12" i="2" s="1"/>
  <c r="N10" i="6" l="1"/>
  <c r="O20" i="2"/>
  <c r="O13" i="2"/>
  <c r="N11" i="6" l="1"/>
  <c r="N15" i="6" s="1"/>
  <c r="P9" i="2"/>
  <c r="P10" i="2" s="1"/>
  <c r="P21" i="2" l="1"/>
  <c r="P11" i="2"/>
  <c r="P12" i="2" s="1"/>
  <c r="O10" i="6" l="1"/>
  <c r="P20" i="2"/>
  <c r="P13" i="2"/>
  <c r="O11" i="6" l="1"/>
  <c r="O15" i="6" s="1"/>
  <c r="Q9" i="2"/>
  <c r="Q10" i="2" s="1"/>
  <c r="Q21" i="2" l="1"/>
  <c r="Q11" i="2"/>
  <c r="Q12" i="2" s="1"/>
  <c r="P10" i="6" l="1"/>
  <c r="Q20" i="2"/>
  <c r="Q13" i="2"/>
  <c r="P11" i="6" l="1"/>
  <c r="P15" i="6" s="1"/>
  <c r="R9" i="2"/>
  <c r="R10" i="2" s="1"/>
  <c r="R21" i="2" l="1"/>
  <c r="R11" i="2"/>
  <c r="R12" i="2" s="1"/>
  <c r="Q10" i="6" l="1"/>
  <c r="R20" i="2"/>
  <c r="R13" i="2"/>
  <c r="Q11" i="6" l="1"/>
  <c r="Q15" i="6" s="1"/>
  <c r="S9" i="2"/>
  <c r="S10" i="2" s="1"/>
  <c r="S21" i="2" l="1"/>
  <c r="S11" i="2"/>
  <c r="S12" i="2" s="1"/>
  <c r="R10" i="6" l="1"/>
  <c r="S20" i="2"/>
  <c r="S13" i="2"/>
  <c r="R11" i="6" l="1"/>
  <c r="R15" i="6" s="1"/>
  <c r="T9" i="2"/>
  <c r="T10" i="2" s="1"/>
  <c r="T21" i="2" l="1"/>
  <c r="T11" i="2"/>
  <c r="T12" i="2" s="1"/>
  <c r="S10" i="6" l="1"/>
  <c r="T20" i="2"/>
  <c r="T13" i="2"/>
  <c r="S11" i="6" l="1"/>
  <c r="S15" i="6" s="1"/>
  <c r="U9" i="2"/>
  <c r="U10" i="2" s="1"/>
  <c r="U21" i="2" l="1"/>
  <c r="U11" i="2"/>
  <c r="U12" i="2" s="1"/>
  <c r="T10" i="6" l="1"/>
  <c r="U20" i="2"/>
  <c r="U13" i="2"/>
  <c r="T11" i="6" l="1"/>
  <c r="T15" i="6" s="1"/>
  <c r="V9" i="2"/>
  <c r="V10" i="2" s="1"/>
  <c r="V21" i="2" l="1"/>
  <c r="V11" i="2"/>
  <c r="V12" i="2" s="1"/>
  <c r="U10" i="6" l="1"/>
  <c r="V20" i="2"/>
  <c r="V13" i="2"/>
  <c r="U11" i="6" l="1"/>
  <c r="U15" i="6" s="1"/>
  <c r="W9" i="2"/>
  <c r="W10" i="2" s="1"/>
  <c r="W21" i="2" l="1"/>
  <c r="W11" i="2"/>
  <c r="W12" i="2" s="1"/>
  <c r="V10" i="6" l="1"/>
  <c r="W20" i="2"/>
  <c r="W13" i="2"/>
  <c r="V11" i="6" l="1"/>
  <c r="V15" i="6" s="1"/>
  <c r="X9" i="2"/>
  <c r="X10" i="2" s="1"/>
  <c r="X21" i="2" l="1"/>
  <c r="X11" i="2"/>
  <c r="X12" i="2" s="1"/>
  <c r="W10" i="6" l="1"/>
  <c r="X20" i="2"/>
  <c r="X13" i="2"/>
  <c r="W11" i="6" l="1"/>
  <c r="W15" i="6" s="1"/>
  <c r="Y9" i="2"/>
  <c r="Y10" i="2" s="1"/>
  <c r="Y21" i="2" l="1"/>
  <c r="Y11" i="2"/>
  <c r="Y12" i="2" s="1"/>
  <c r="X10" i="6" l="1"/>
  <c r="Y20" i="2"/>
  <c r="Y13" i="2"/>
  <c r="X11" i="6" l="1"/>
  <c r="X15" i="6" s="1"/>
  <c r="Z9" i="2"/>
  <c r="Z10" i="2" s="1"/>
  <c r="Z21" i="2" l="1"/>
  <c r="Z11" i="2"/>
  <c r="Z12" i="2" s="1"/>
  <c r="Y10" i="6" l="1"/>
  <c r="Z20" i="2"/>
  <c r="Z13" i="2"/>
  <c r="Y11" i="6" l="1"/>
  <c r="Y15" i="6" s="1"/>
  <c r="AA9" i="2"/>
  <c r="AA10" i="2" s="1"/>
  <c r="AA21" i="2" l="1"/>
  <c r="AA11" i="2"/>
  <c r="AA12" i="2" s="1"/>
  <c r="Z10" i="6" l="1"/>
  <c r="AA20" i="2"/>
  <c r="AA13" i="2"/>
  <c r="Z11" i="6" l="1"/>
  <c r="Z15" i="6" s="1"/>
  <c r="AB9" i="2"/>
  <c r="AB10" i="2" s="1"/>
  <c r="AB21" i="2" l="1"/>
  <c r="AB11" i="2"/>
  <c r="AB12" i="2" s="1"/>
  <c r="AA10" i="6" l="1"/>
  <c r="AB20" i="2"/>
  <c r="AB13" i="2"/>
  <c r="B42" i="6" l="1"/>
  <c r="AA11" i="6"/>
  <c r="AA15" i="6" s="1"/>
  <c r="C18" i="6" s="1"/>
  <c r="C21" i="6" s="1"/>
  <c r="AC9" i="2"/>
  <c r="AC10" i="2" s="1"/>
  <c r="B44" i="6" l="1"/>
  <c r="C106" i="4"/>
  <c r="C23" i="6"/>
  <c r="C24" i="6" s="1"/>
  <c r="C26" i="6" s="1"/>
  <c r="AC21" i="2"/>
  <c r="AC11" i="2"/>
  <c r="AC12" i="2" s="1"/>
  <c r="B45" i="6" l="1"/>
  <c r="C44" i="6"/>
  <c r="C39" i="6"/>
  <c r="C37" i="6"/>
  <c r="F106" i="4" s="1"/>
  <c r="C40" i="6"/>
  <c r="C38" i="6"/>
  <c r="G106" i="4" s="1"/>
  <c r="C41" i="6"/>
  <c r="C43" i="6"/>
  <c r="AC20" i="2"/>
  <c r="AC13" i="2"/>
  <c r="C42" i="6"/>
  <c r="C27" i="6"/>
  <c r="D106" i="4" l="1"/>
  <c r="B123" i="4"/>
  <c r="B113" i="4"/>
  <c r="C11" i="1"/>
  <c r="C12" i="1" s="1"/>
  <c r="C29" i="6"/>
  <c r="E10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C3" authorId="0" shapeId="0" xr:uid="{00000000-0006-0000-0000-000001000000}">
      <text>
        <r>
          <rPr>
            <sz val="12"/>
            <color rgb="FF000000"/>
            <rFont val="Aptos Narrow"/>
            <family val="2"/>
          </rPr>
          <t>Looks up EVMN by ticker in Screener.xlsx (Pharma tab). The old link pointed at row 250, which is now DBVT after the screener was re-sorted.</t>
        </r>
      </text>
    </comment>
    <comment ref="C4" authorId="0" shapeId="0" xr:uid="{00000000-0006-0000-0000-000002000000}">
      <text>
        <r>
          <rPr>
            <sz val="12"/>
            <color rgb="FF000000"/>
            <rFont val="Aptos Narrow"/>
            <family val="2"/>
          </rPr>
          <t>Shares outstanding as of 2026-08-04 (10-Q cover). Source: Evommune 10-Q for Q2 2026 (filed 2026-08-06), https://www.sec.gov/Archives/edgar/data/2044725/000119312526337984/0001193125-26-337984-index.htm</t>
        </r>
      </text>
    </comment>
    <comment ref="C7" authorId="0" shapeId="0" xr:uid="{00000000-0006-0000-0000-000003000000}">
      <text>
        <r>
          <rPr>
            <sz val="12"/>
            <color rgb="FF000000"/>
            <rFont val="Aptos Narrow"/>
            <family val="2"/>
          </rPr>
          <t>Cash &amp; equivalents $60.0mm + short-term investments $140.8mm + long-term investments $87.2mm at 6/30/2026 ($288.0mm). Source: Evommune 10-Q for Q2 2026 (filed 2026-08-06), https://www.sec.gov/Archives/edgar/data/2044725/000119312526337984/0001193125-26-337984-index.htm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2" authorId="0" shapeId="0" xr:uid="{00000000-0006-0000-0100-000001000000}">
      <text>
        <r>
          <rPr>
            <sz val="12"/>
            <color theme="1"/>
            <rFont val="Aptos Narrow"/>
            <family val="2"/>
            <scheme val="minor"/>
          </rPr>
          <t>Source: Evommune S-1 (2025), Results of Operations, https://www.sec.gov/Archives/edgar/data/2044725/000119312525235673/d771358ds1.htm</t>
        </r>
      </text>
    </comment>
    <comment ref="C2" authorId="0" shapeId="0" xr:uid="{00000000-0006-0000-0100-000002000000}">
      <text>
        <r>
          <rPr>
            <sz val="12"/>
            <color theme="1"/>
            <rFont val="Aptos Narrow"/>
            <family val="2"/>
            <scheme val="minor"/>
          </rPr>
          <t>Source: Evommune 10-K FY2025 (filed 2026-03-05, accession 0001193125-26-093932), SEC EDGAR XBRL company facts</t>
        </r>
      </text>
    </comment>
    <comment ref="D2" authorId="0" shapeId="0" xr:uid="{00000000-0006-0000-0100-000003000000}">
      <text>
        <r>
          <rPr>
            <sz val="12"/>
            <color rgb="FF000000"/>
            <rFont val="Aptos Narrow"/>
            <family val="2"/>
          </rPr>
          <t>Source: Evommune 10-K FY2025 (filed 2026-03-05, accession 0001193125-26-093932), SEC EDGAR XBRL company facts. License revenue from Maruho ($3mm Q1, $10mm Q3).</t>
        </r>
      </text>
    </comment>
    <comment ref="B9" authorId="0" shapeId="0" xr:uid="{00000000-0006-0000-0100-000004000000}">
      <text>
        <r>
          <rPr>
            <sz val="12"/>
            <color theme="1"/>
            <rFont val="Aptos Narrow"/>
            <family val="2"/>
            <scheme val="minor"/>
          </rPr>
          <t>Interest = total other income, net. Source: Evommune S-1 (2025), Results of Operations, https://www.sec.gov/Archives/edgar/data/2044725/000119312525235673/d771358ds1.htm</t>
        </r>
      </text>
    </comment>
    <comment ref="B14" authorId="0" shapeId="0" xr:uid="{00000000-0006-0000-0100-000005000000}">
      <text>
        <r>
          <rPr>
            <sz val="12"/>
            <color theme="1"/>
            <rFont val="Aptos Narrow"/>
            <family val="2"/>
            <scheme val="minor"/>
          </rPr>
          <t>2023 weighted shares from the S-1 (10.68mm) restated for the pre-IPO reverse split (×1.508284/12.847919, matching 2024 in the 10-K). Pre-IPO EPS reflects pre-conversion share count.</t>
        </r>
      </text>
    </comment>
    <comment ref="C20" authorId="0" shapeId="0" xr:uid="{00000000-0006-0000-0100-000006000000}">
      <text>
        <r>
          <rPr>
            <sz val="12"/>
            <color theme="1"/>
            <rFont val="Aptos Narrow"/>
            <family val="2"/>
            <scheme val="minor"/>
          </rPr>
          <t>Cash + short-term investments, 12/31/2024. Source: Evommune 10-K FY2025 (filed 2026-03-05, accession 0001193125-26-093932), SEC EDGAR XBRL company facts</t>
        </r>
      </text>
    </comment>
    <comment ref="D20" authorId="0" shapeId="0" xr:uid="{00000000-0006-0000-0100-000007000000}">
      <text>
        <r>
          <rPr>
            <sz val="12"/>
            <color theme="1"/>
            <rFont val="Aptos Narrow"/>
            <family val="2"/>
            <scheme val="minor"/>
          </rPr>
          <t>Cash + short-term + long-term investments, 12/31/2025. Source: Evommune 10-K FY2025 (filed 2026-03-05, accession 0001193125-26-093932), SEC EDGAR XBRL company facts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1" authorId="0" shapeId="0" xr:uid="{00000000-0006-0000-0200-000001000000}">
      <text>
        <r>
          <rPr>
            <sz val="12"/>
            <color theme="1"/>
            <rFont val="Aptos Narrow"/>
            <family val="2"/>
            <scheme val="minor"/>
          </rPr>
          <t>Source: Evommune 10-Q Q1 2026 (prior-year column), SEC EDGAR.</t>
        </r>
      </text>
    </comment>
    <comment ref="C1" authorId="0" shapeId="0" xr:uid="{00000000-0006-0000-0200-000002000000}">
      <text>
        <r>
          <rPr>
            <sz val="12"/>
            <color theme="1"/>
            <rFont val="Aptos Narrow"/>
            <family val="2"/>
            <scheme val="minor"/>
          </rPr>
          <t>Source: Evommune 10-Q Q2 2026 (prior-year column). Other income includes a $9.0mm non-interest gain.</t>
        </r>
      </text>
    </comment>
    <comment ref="D1" authorId="0" shapeId="0" xr:uid="{00000000-0006-0000-0200-000003000000}">
      <text>
        <r>
          <rPr>
            <sz val="12"/>
            <color theme="1"/>
            <rFont val="Aptos Narrow"/>
            <family val="2"/>
            <scheme val="minor"/>
          </rPr>
          <t>Source: Evommune 10-Q Q3 2025 (filed 2025-12-11). Revenue = $10mm Maruho milestone.</t>
        </r>
      </text>
    </comment>
    <comment ref="E1" authorId="0" shapeId="0" xr:uid="{00000000-0006-0000-0200-000004000000}">
      <text>
        <r>
          <rPr>
            <sz val="12"/>
            <color theme="1"/>
            <rFont val="Aptos Narrow"/>
            <family val="2"/>
            <scheme val="minor"/>
          </rPr>
          <t>Derived: FY2025 (10-K) less 9M 2025 (10-Q Q3). Shares approximate (IPO closed Nov 2025).</t>
        </r>
      </text>
    </comment>
    <comment ref="F1" authorId="0" shapeId="0" xr:uid="{00000000-0006-0000-0200-000005000000}">
      <text>
        <r>
          <rPr>
            <sz val="12"/>
            <color theme="1"/>
            <rFont val="Aptos Narrow"/>
            <family val="2"/>
            <scheme val="minor"/>
          </rPr>
          <t>Source: Evommune 10-Q Q1 2026 (filed 2026-05-07).</t>
        </r>
      </text>
    </comment>
    <comment ref="G1" authorId="0" shapeId="0" xr:uid="{00000000-0006-0000-0200-000006000000}">
      <text>
        <r>
          <rPr>
            <sz val="12"/>
            <color theme="1"/>
            <rFont val="Aptos Narrow"/>
            <family val="2"/>
            <scheme val="minor"/>
          </rPr>
          <t>Source: Evommune 10-Q for Q2 2026 (filed 2026-08-06), https://www.sec.gov/Archives/edgar/data/2044725/000119312526337984/0001193125-26-337984-index.htm</t>
        </r>
      </text>
    </comment>
    <comment ref="H5" authorId="0" shapeId="0" xr:uid="{00000000-0006-0000-0200-000007000000}">
      <text>
        <r>
          <rPr>
            <sz val="12"/>
            <color theme="1"/>
            <rFont val="Aptos Narrow"/>
            <family val="2"/>
            <scheme val="minor"/>
          </rPr>
          <t>Estimate: AD and CSU trials wind down after Sept 2026 read-out; migraine Ph2b enrolling; EVO301 SC formulation / Ph2b prep. Q2 2026 actual was $26.4mm.</t>
        </r>
      </text>
    </comment>
    <comment ref="I5" authorId="0" shapeId="0" xr:uid="{00000000-0006-0000-0200-000008000000}">
      <text>
        <r>
          <rPr>
            <sz val="12"/>
            <color theme="1"/>
            <rFont val="Aptos Narrow"/>
            <family val="2"/>
            <scheme val="minor"/>
          </rPr>
          <t>Estimate: AD and CSU trials wind down after Sept 2026 read-out; migraine Ph2b enrolling; EVO301 SC formulation / Ph2b prep. Q2 2026 actual was $26.4mm.</t>
        </r>
      </text>
    </comment>
    <comment ref="H6" authorId="0" shapeId="0" xr:uid="{00000000-0006-0000-0200-000009000000}">
      <text>
        <r>
          <rPr>
            <sz val="12"/>
            <color theme="1"/>
            <rFont val="Aptos Narrow"/>
            <family val="2"/>
            <scheme val="minor"/>
          </rPr>
          <t>Estimate: flat on Q2 2026 actual ($8.5mm).</t>
        </r>
      </text>
    </comment>
    <comment ref="I6" authorId="0" shapeId="0" xr:uid="{00000000-0006-0000-0200-00000A000000}">
      <text>
        <r>
          <rPr>
            <sz val="12"/>
            <color theme="1"/>
            <rFont val="Aptos Narrow"/>
            <family val="2"/>
            <scheme val="minor"/>
          </rPr>
          <t>Estimate: flat on Q2 2026 actual ($8.5mm).</t>
        </r>
      </text>
    </comment>
    <comment ref="D20" authorId="0" shapeId="0" xr:uid="{00000000-0006-0000-0200-00000B000000}">
      <text>
        <r>
          <rPr>
            <sz val="12"/>
            <color theme="1"/>
            <rFont val="Aptos Narrow"/>
            <family val="2"/>
            <scheme val="minor"/>
          </rPr>
          <t>Cash + short-term investments, 9/30/2025. Source: 10-Q Q3 2025.</t>
        </r>
      </text>
    </comment>
    <comment ref="E20" authorId="0" shapeId="0" xr:uid="{00000000-0006-0000-0200-00000C000000}">
      <text>
        <r>
          <rPr>
            <sz val="12"/>
            <color theme="1"/>
            <rFont val="Aptos Narrow"/>
            <family val="2"/>
            <scheme val="minor"/>
          </rPr>
          <t>Cash + short-term + long-term investments, 12/31/2025. Source: Evommune 10-K FY2025 (filed 2026-03-05, accession 0001193125-26-093932), SEC EDGAR XBRL company facts</t>
        </r>
      </text>
    </comment>
    <comment ref="F20" authorId="0" shapeId="0" xr:uid="{00000000-0006-0000-0200-00000D000000}">
      <text>
        <r>
          <rPr>
            <sz val="12"/>
            <color theme="1"/>
            <rFont val="Aptos Narrow"/>
            <family val="2"/>
            <scheme val="minor"/>
          </rPr>
          <t>Cash + short-term + long-term investments, 3/31/2026. Includes $117mm net private placement (Feb 2026, 4.49mm sh @ $27.88).</t>
        </r>
      </text>
    </comment>
    <comment ref="G20" authorId="0" shapeId="0" xr:uid="{00000000-0006-0000-0200-00000E000000}">
      <text>
        <r>
          <rPr>
            <sz val="12"/>
            <color theme="1"/>
            <rFont val="Aptos Narrow"/>
            <family val="2"/>
            <scheme val="minor"/>
          </rPr>
          <t>Cash + short-term + long-term investments, 6/30/2026 ($288.0mm). Source: Evommune 10-Q for Q2 2026 (filed 2026-08-06), https://www.sec.gov/Archives/edgar/data/2044725/000119312526337984/0001193125-26-337984-index.htm</t>
        </r>
      </text>
    </comment>
    <comment ref="H21" authorId="0" shapeId="0" xr:uid="{00000000-0006-0000-0200-00000F000000}">
      <text>
        <r>
          <rPr>
            <sz val="12"/>
            <color theme="1"/>
            <rFont val="Aptos Narrow"/>
            <family val="2"/>
            <scheme val="minor"/>
          </rPr>
          <t>Estimate: stock-based compensation add-back (Q2 2026 SBC ≈ $4.6mm).</t>
        </r>
      </text>
    </comment>
    <comment ref="I21" authorId="0" shapeId="0" xr:uid="{00000000-0006-0000-0200-000010000000}">
      <text>
        <r>
          <rPr>
            <sz val="12"/>
            <color theme="1"/>
            <rFont val="Aptos Narrow"/>
            <family val="2"/>
            <scheme val="minor"/>
          </rPr>
          <t>Estimate: stock-based compensation add-back (Q2 2026 SBC ≈ $4.6mm).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C10" authorId="0" shapeId="0" xr:uid="{00000000-0006-0000-0500-000001000000}">
      <text>
        <r>
          <rPr>
            <sz val="12"/>
            <color theme="1"/>
            <rFont val="Aptos Narrow"/>
            <family val="2"/>
            <scheme val="minor"/>
          </rPr>
          <t>No tax: 2H 2026 is loss-making.</t>
        </r>
      </text>
    </comment>
    <comment ref="C12" authorId="0" shapeId="0" xr:uid="{00000000-0006-0000-0500-000002000000}">
      <text>
        <r>
          <rPr>
            <sz val="12"/>
            <color theme="1"/>
            <rFont val="Aptos Narrow"/>
            <family val="2"/>
            <scheme val="minor"/>
          </rPr>
          <t>2H 2026 burn is discounted from 10/1/2026 (already past → factor 1.0) because the starting cash balance is as of 6/30/2026.</t>
        </r>
      </text>
    </comment>
    <comment ref="C24" authorId="0" shapeId="0" xr:uid="{00000000-0006-0000-0500-000003000000}">
      <text>
        <r>
          <rPr>
            <sz val="12"/>
            <color theme="1"/>
            <rFont val="Aptos Narrow"/>
            <family val="2"/>
            <scheme val="minor"/>
          </rPr>
          <t>Options are dilutive only if rNPV/share (basic) exceeds the $11.86 weighted-average strike.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5" authorId="0" shapeId="0" xr:uid="{00000000-0006-0000-0600-000001000000}">
      <text>
        <r>
          <rPr>
            <sz val="12"/>
            <color theme="1"/>
            <rFont val="Aptos Narrow"/>
            <family val="2"/>
            <scheme val="minor"/>
          </rPr>
          <t>Source: Cboe delayed quotes, EVMN, close 2026-10-15 (bid 5.67 / ask 6.29). Screener price on Main is $6.25.</t>
        </r>
      </text>
    </comment>
    <comment ref="B7" authorId="0" shapeId="0" xr:uid="{00000000-0006-0000-0600-000002000000}">
      <text>
        <r>
          <rPr>
            <sz val="12"/>
            <color theme="1"/>
            <rFont val="Aptos Narrow"/>
            <family val="2"/>
            <scheme val="minor"/>
          </rPr>
          <t>Assumption: approx. 6-month Treasury yield.</t>
        </r>
      </text>
    </comment>
    <comment ref="B8" authorId="0" shapeId="0" xr:uid="{00000000-0006-0000-0600-000003000000}">
      <text>
        <r>
          <rPr>
            <sz val="12"/>
            <color theme="1"/>
            <rFont val="Aptos Narrow"/>
            <family val="2"/>
            <scheme val="minor"/>
          </rPr>
          <t>Longest listed expiry (May 21, 2027). Covers Q3/Q4 earnings and likely full EVO301 Ph2a data (e.g., AAD, March 2027); migraine Ph2b data likely after.</t>
        </r>
      </text>
    </comment>
    <comment ref="B13" authorId="0" shapeId="0" xr:uid="{00000000-0006-0000-0600-000004000000}">
      <text>
        <r>
          <rPr>
            <sz val="12"/>
            <color theme="1"/>
            <rFont val="Aptos Narrow"/>
            <family val="2"/>
            <scheme val="minor"/>
          </rPr>
          <t>Assumption: in the bear case the going-concern rNPV is negative, but the stock is unlikely to fall far below cash before May 2027. Busted biotechs often trade at roughly 0.5–0.8× net cash.</t>
        </r>
      </text>
    </comment>
    <comment ref="B14" authorId="0" shapeId="0" xr:uid="{00000000-0006-0000-0600-000005000000}">
      <text>
        <r>
          <rPr>
            <sz val="12"/>
            <color rgb="FF000000"/>
            <rFont val="Aptos Narrow"/>
            <family val="2"/>
          </rPr>
          <t>Assumption: EVO301 Ph2b data (the main value driver) arrive ~2H 2028, after this expiry, so only part of the bull-case value can show up in the May 2027 price.</t>
        </r>
      </text>
    </comment>
    <comment ref="C16" authorId="0" shapeId="0" xr:uid="{00000000-0006-0000-0600-000006000000}">
      <text>
        <r>
          <rPr>
            <sz val="12"/>
            <color theme="1"/>
            <rFont val="Aptos Narrow"/>
            <family val="2"/>
            <scheme val="minor"/>
          </rPr>
          <t>Assumption: scenario weights for the model-weighted payoff.</t>
        </r>
      </text>
    </comment>
    <comment ref="E24" authorId="0" shapeId="0" xr:uid="{00000000-0006-0000-0600-000007000000}">
      <text>
        <r>
          <rPr>
            <sz val="12"/>
            <color theme="1"/>
            <rFont val="Aptos Narrow"/>
            <family val="2"/>
            <scheme val="minor"/>
          </rPr>
          <t>IV backed out of Cboe's theoretical value with Black-Scholes (r = 3.75%). Source: https://cdn.cboe.com/api/global/delayed_quotes/options/EVMN.json, retrieved 2026-10-16. Cboe 30-day IV index for EVMN: 112.4%.</t>
        </r>
      </text>
    </comment>
  </commentList>
</comments>
</file>

<file path=xl/sharedStrings.xml><?xml version="1.0" encoding="utf-8"?>
<sst xmlns="http://schemas.openxmlformats.org/spreadsheetml/2006/main" count="454" uniqueCount="299">
  <si>
    <t>Evommune, Inc.</t>
  </si>
  <si>
    <t>Price</t>
  </si>
  <si>
    <t>Shares</t>
  </si>
  <si>
    <t>Market Cap.</t>
  </si>
  <si>
    <t>Cash</t>
  </si>
  <si>
    <t>Debt</t>
  </si>
  <si>
    <t>Enterprise V.</t>
  </si>
  <si>
    <t>rNPV / Share</t>
  </si>
  <si>
    <t>Upside</t>
  </si>
  <si>
    <t>Cash / Share</t>
  </si>
  <si>
    <t>Scenario</t>
  </si>
  <si>
    <t>Revenue</t>
  </si>
  <si>
    <t>Cost of Sales</t>
  </si>
  <si>
    <t>Gross Margin</t>
  </si>
  <si>
    <t>Research &amp; Dev.</t>
  </si>
  <si>
    <t>General &amp; Admin</t>
  </si>
  <si>
    <t>Operating Expense</t>
  </si>
  <si>
    <t>Operating Income</t>
  </si>
  <si>
    <t>Interest</t>
  </si>
  <si>
    <t>Pretax</t>
  </si>
  <si>
    <t>Taxes</t>
  </si>
  <si>
    <t>Net Income</t>
  </si>
  <si>
    <t>Earnings per Share</t>
  </si>
  <si>
    <t>Revenue Change</t>
  </si>
  <si>
    <t>Actual / Estimate</t>
  </si>
  <si>
    <t>A</t>
  </si>
  <si>
    <t>A+E</t>
  </si>
  <si>
    <t>E</t>
  </si>
  <si>
    <t>Cash &amp; Investments</t>
  </si>
  <si>
    <t>Tax-Loss Pool</t>
  </si>
  <si>
    <t>2027+ projections are risk-adjusted (probability-weighted) and come from the Pipeline sheet. G&amp;A includes commercial SG&amp;A. Cash is before any new financing; stock comp is not added back.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</si>
  <si>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</si>
  <si>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</si>
  <si>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</si>
  <si>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</si>
  <si>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</si>
  <si>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</si>
  <si>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</si>
  <si>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</si>
  <si>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Non-cash items (est.)</t>
  </si>
  <si>
    <t>EVMN — rNPV assumptions ($mm unless noted)</t>
  </si>
  <si>
    <t>Blue = hard-coded input · Black = formula · Green = link to another sheet · Yellow = key lever. Active column = CHOOSE(scenario) of Bear/Base/Bull.</t>
  </si>
  <si>
    <t>Scenario (1 = Bear, 2 = Base, 3 = Bull)</t>
  </si>
  <si>
    <t>Overrides — leave blank to use scenario values (the sensitivity tables drive these)</t>
  </si>
  <si>
    <t>Discount rate override</t>
  </si>
  <si>
    <t>EVO301 AD peak sales override ($mm)</t>
  </si>
  <si>
    <t>EVO301 AD Ph2b success override</t>
  </si>
  <si>
    <t>Parameter</t>
  </si>
  <si>
    <t>Active</t>
  </si>
  <si>
    <t>Bear</t>
  </si>
  <si>
    <t>Base</t>
  </si>
  <si>
    <t>Bull</t>
  </si>
  <si>
    <t>Notes / source</t>
  </si>
  <si>
    <t>General</t>
  </si>
  <si>
    <t>Valuation date</t>
  </si>
  <si>
    <t>Today. Cash flows are discounted from mid-period dates to this date.</t>
  </si>
  <si>
    <t>Discount rate</t>
  </si>
  <si>
    <t>Small-cap biotech cost of equity; cash flows are already probability-weighted, so no extra risk premium.</t>
  </si>
  <si>
    <t>Tax rate</t>
  </si>
  <si>
    <t>US federal statutory rate.</t>
  </si>
  <si>
    <t>Interest yield on cash</t>
  </si>
  <si>
    <t>Assumption: approx. short-term Treasury yield. Q2 2026 interest income $2.65mm on ~$298mm avg balance ≈ 3.6%.</t>
  </si>
  <si>
    <t>Tax-loss pool at 12/31/2025 ($mm)</t>
  </si>
  <si>
    <t>Approximation: $52.4mm gross deferred tax assets (fully reserved) ÷ 21%. Source: Evommune 10-K FY2025 (filed 2026-03-05, accession 0001193125-26-093932), SEC EDGAR XBRL company facts</t>
  </si>
  <si>
    <t>Corporate G&amp;A, 2027 ($mm)</t>
  </si>
  <si>
    <t>Q2 2026 G&amp;A $8.5mm × 4 (includes stock comp). Grows with cost inflation until first launch.</t>
  </si>
  <si>
    <t>Platform / unallocated R&amp;D, 2027 ($mm)</t>
  </si>
  <si>
    <t>Personnel + discovery not tied to a program. 2024 unallocated R&amp;D personnel cost was $9.6mm (S-1); headcount has grown since.</t>
  </si>
  <si>
    <t>Cost inflation</t>
  </si>
  <si>
    <t>Assumption.</t>
  </si>
  <si>
    <t>Corporate G&amp;A, % of revenue (commercial stage)</t>
  </si>
  <si>
    <t>After first launch: G&amp;A = max(base G&amp;A × P(any approval), % of risk-adjusted revenue).</t>
  </si>
  <si>
    <t>Lifecycle R&amp;D, % of revenue (commercial stage)</t>
  </si>
  <si>
    <t>Same structure as G&amp;A.</t>
  </si>
  <si>
    <t>Annual share count growth (EPS display only)</t>
  </si>
  <si>
    <t>rNPV assumes future funding needs are met at the discount rate; set &gt;0 to see EPS dilution.</t>
  </si>
  <si>
    <t>Options outstanding (mm)</t>
  </si>
  <si>
    <t>Source: Evommune 10-Q for Q2 2026 (filed 2026-08-06), https://www.sec.gov/Archives/edgar/data/2044725/000119312526337984/0001193125-26-337984-index.htm</t>
  </si>
  <si>
    <t>Options weighted-avg exercise price ($)</t>
  </si>
  <si>
    <t>RSUs / other dilutive securities (mm)</t>
  </si>
  <si>
    <t>8,249,924 anti-dilutive securities less 7,476,614 options. Source: Evommune 10-Q for Q2 2026 (filed 2026-08-06), https://www.sec.gov/Archives/edgar/data/2044725/000119312526337984/0001193125-26-337984-index.htm</t>
  </si>
  <si>
    <t>Wind-down cost for liquidation value ($mm)</t>
  </si>
  <si>
    <t>Assumption: severance, contract termination, trial close-out.</t>
  </si>
  <si>
    <t>Est. cash &amp; investments at 12/31/2026 ($mm)</t>
  </si>
  <si>
    <t>From the Quarterly Model (Q2 actual + 2H 2026 estimates).</t>
  </si>
  <si>
    <t>Commercial curves (by year since launch)</t>
  </si>
  <si>
    <t>Year since launch</t>
  </si>
  <si>
    <t>Sales ramp (% of peak)</t>
  </si>
  <si>
    <t>Assumption: typical specialty launch curve, peak in year 7.</t>
  </si>
  <si>
    <t>Commercial SG&amp;A (% of sales), years 1–5</t>
  </si>
  <si>
    <t>Year 6+ uses each program's maturity SG&amp;A %.</t>
  </si>
  <si>
    <t>EVO301 — Atopic dermatitis (IL-18BP fusion protein; Ph2a positive, Ph2b to start mid-2027)</t>
  </si>
  <si>
    <t>Launch year</t>
  </si>
  <si>
    <t>Ph2b (SC, ≥3 regimens, 16 wks) starts mid-2027 → data ~2H28 → Ph3 2029–31 → BLA 2032 → launch 2033. Source: Q2 2026 release.</t>
  </si>
  <si>
    <t>Peak WW net sales, unrisked ($mm)</t>
  </si>
  <si>
    <t>AD biologics market &gt;$25bn by the 2030s (Dupixent alone &gt;$10bn). Ph2a: 55% vs 22% EASI reduction at wk 12 (placebo-adj. 33 pts), IGA 0/1 23% vs 0%. Base ≈ 5–6% share for a long-acting, Dupixent-like agent in a crowded market.</t>
  </si>
  <si>
    <t>PoS: Phase 2/2b → Phase 3</t>
  </si>
  <si>
    <t>Positive randomized Ph2a (n=70, Bayesian primary endpoint met; p&lt;0.01 at wks 4/8/12) but small; IL-18 unvalidated in AD.</t>
  </si>
  <si>
    <t>PoS: Phase 3 → filing</t>
  </si>
  <si>
    <t>Benchmark: BIO/Informa 2011–2020 Phase III→NDA/BLA ≈ 58%; immunology higher.</t>
  </si>
  <si>
    <t>PoS: filing → approval</t>
  </si>
  <si>
    <t>Benchmark: BIO/Informa NDA/BLA→approval ≈ 91%.</t>
  </si>
  <si>
    <t>Cumulative probability of reaching market</t>
  </si>
  <si>
    <t>Cost of goods, % of sales</t>
  </si>
  <si>
    <t>Assumption: biologic manufacturing.</t>
  </si>
  <si>
    <t>Royalties owed, % of sales</t>
  </si>
  <si>
    <t>AprilBio license: mid-to-high single-digit tiered royalty + up to $377.5mm sales milestones (≈ +1.5 pts). Source: Evommune 10-K/ARS FY2025.</t>
  </si>
  <si>
    <t>Commercial SG&amp;A at maturity, % of sales</t>
  </si>
  <si>
    <t>Pre-launch commercial spend, year before launch ($mm)</t>
  </si>
  <si>
    <t>Risked by P(Phase 2b) × P(Phase 3).</t>
  </si>
  <si>
    <t>Loss of exclusivity (year)</t>
  </si>
  <si>
    <t>12-yr US biologic exclusivity from a 2033 approval; composition patents + PTE assumed similar.</t>
  </si>
  <si>
    <t>Post-LOE annual sales erosion</t>
  </si>
  <si>
    <t>Assumption: biosimilar erosion.</t>
  </si>
  <si>
    <t>Development cost schedule (unrisked, $mm)</t>
  </si>
  <si>
    <t>Ph3 start (−4) includes $15mm AprilBio milestone; filing year (−1) $25mm; approval (0) $40mm ≈ $80mm of the $81mm remaining development milestones.</t>
  </si>
  <si>
    <t>Years relative to launch</t>
  </si>
  <si>
    <t>Phase</t>
  </si>
  <si>
    <t>Ph2b</t>
  </si>
  <si>
    <t>Ph3</t>
  </si>
  <si>
    <t>Filing</t>
  </si>
  <si>
    <t>Approval</t>
  </si>
  <si>
    <t>Unrisked cost ($mm)</t>
  </si>
  <si>
    <t>Probability the cost is incurred</t>
  </si>
  <si>
    <t>EVO756 — Migraine prophylaxis (oral MRGPRX2 antagonist; Ph2b started July 2026)</t>
  </si>
  <si>
    <t>Ph2b (n≈330, 12 wks, primary = monthly migraine days) top-line in 2027 → Ph3 2028–30 → NDA 2031 → launch 2032.</t>
  </si>
  <si>
    <t>Ex-Asia rights (Maruho holds Japan/Greater Asia). Preventive market led by CGRP mAbs and gepants; refractory-patient niche.</t>
  </si>
  <si>
    <t>Novel mechanism in migraine; the same drug failed Ph2b in CSU (June 2026) and AD (Sept 2026), so target engagement is in question.</t>
  </si>
  <si>
    <t>Assumption: oral small molecule.</t>
  </si>
  <si>
    <t>Placeholder assumption for third-party IP; no royalty disclosed for EVO756 ex-Asia.</t>
  </si>
  <si>
    <t>Composition-of-matter + patent term extension (assumption).</t>
  </si>
  <si>
    <t>Small-molecule generic erosion (assumption).</t>
  </si>
  <si>
    <t>2026 Ph2b cost sits in the Quarterly Model, so offset −6 (2026) is 0. Ph2b 2027, Ph3 2028–30, NDA 2031.</t>
  </si>
  <si>
    <t>EVO301 — Additional indications (UC / CV inflammation; Phase 2 planning)</t>
  </si>
  <si>
    <t>Include in valuation (1 = yes, 0 = no)</t>
  </si>
  <si>
    <t>Option value; switch off to value the core programs only.</t>
  </si>
  <si>
    <t>Company is evaluating UC and CV-related inflammatory conditions for Ph2 (Q2 2026 release). Assumes Ph2 start 2028.</t>
  </si>
  <si>
    <t>Assumption: option value on the EVO301 molecule beyond AD.</t>
  </si>
  <si>
    <t>Earlier stage than AD; benefits from EVO301 safety data.</t>
  </si>
  <si>
    <t>Same AprilBio royalty as AD.</t>
  </si>
  <si>
    <t>Same molecule as AD.</t>
  </si>
  <si>
    <t>Assumption: Ph2 2028–30, Ph3 2031–33, filing 2034–35.</t>
  </si>
  <si>
    <t>Ph2</t>
  </si>
  <si>
    <t>Portfolio</t>
  </si>
  <si>
    <t>Probability at least one program reaches market</t>
  </si>
  <si>
    <t>Scales corporate costs after the first launch.</t>
  </si>
  <si>
    <t>First launch year</t>
  </si>
  <si>
    <t>Sensitivity tables (Excel data tables; recalculate automatically)</t>
  </si>
  <si>
    <t>If they show stale values, set Formulas → Calculation Options → Automatic (not 'except data tables').</t>
  </si>
  <si>
    <t>Scenario summary</t>
  </si>
  <si>
    <t>#</t>
  </si>
  <si>
    <t>Equity value ($mm)</t>
  </si>
  <si>
    <t>rNPV / share</t>
  </si>
  <si>
    <t>Upside vs. price</t>
  </si>
  <si>
    <t>EVO301 AD PV ($/sh)</t>
  </si>
  <si>
    <t>EVO756 PV ($/sh)</t>
  </si>
  <si>
    <t>(live = active scenario)</t>
  </si>
  <si>
    <t>rNPV / share (diluted): discount rate × scenario</t>
  </si>
  <si>
    <t>Discount rate ↓ / scenario →</t>
  </si>
  <si>
    <t>rNPV / share (diluted): EVO301 AD peak sales × Ph2b success (other inputs = active scenario)</t>
  </si>
  <si>
    <t>EVO301 Ph2b probability of success →</t>
  </si>
  <si>
    <t>Peak sales ($mm) ↓</t>
  </si>
  <si>
    <t>EVMN — risk-adjusted pipeline build ($mm)</t>
  </si>
  <si>
    <t>Year</t>
  </si>
  <si>
    <t>EVO301 — Atopic dermatitis</t>
  </si>
  <si>
    <t>Years since launch</t>
  </si>
  <si>
    <t>Net sales, unrisked</t>
  </si>
  <si>
    <t>Probability of reaching market</t>
  </si>
  <si>
    <t>Net sales, risk-adjusted</t>
  </si>
  <si>
    <t>COGS + royalties, risk-adjusted</t>
  </si>
  <si>
    <t>Commercial SG&amp;A, risk-adjusted</t>
  </si>
  <si>
    <t>Development R&amp;D, risk-adjusted</t>
  </si>
  <si>
    <t>Program contribution (pre-tax)</t>
  </si>
  <si>
    <t>EVO756 — Migraine prophylaxis</t>
  </si>
  <si>
    <t>EVO301 — Additional indications</t>
  </si>
  <si>
    <t>Company totals (risk-adjusted)</t>
  </si>
  <si>
    <t>Cost of sales (COGS + royalties)</t>
  </si>
  <si>
    <t>Program development R&amp;D</t>
  </si>
  <si>
    <t>Platform / lifecycle R&amp;D</t>
  </si>
  <si>
    <t>Total R&amp;D</t>
  </si>
  <si>
    <t>Commercial SG&amp;A</t>
  </si>
  <si>
    <t>Corporate G&amp;A</t>
  </si>
  <si>
    <t>Total G&amp;A incl. SG&amp;A</t>
  </si>
  <si>
    <t>Operating income (EBIT)</t>
  </si>
  <si>
    <t>All projection rows are probability-weighted (expected values). Unrisked sales show the success case.</t>
  </si>
  <si>
    <t>EVMN — risk-adjusted NPV (rNPV), $mm except per share</t>
  </si>
  <si>
    <t>Period</t>
  </si>
  <si>
    <t>2H 2026</t>
  </si>
  <si>
    <t>Revenue, risk-adjusted</t>
  </si>
  <si>
    <t>Taxes on EBIT (after tax-loss pool)</t>
  </si>
  <si>
    <t>Unlevered free cash flow</t>
  </si>
  <si>
    <t>Cash-flow date (mid-period)</t>
  </si>
  <si>
    <t>Years from valuation date</t>
  </si>
  <si>
    <t>Discount factor</t>
  </si>
  <si>
    <t>PV of free cash flow</t>
  </si>
  <si>
    <t>Valuation summary</t>
  </si>
  <si>
    <t>PV of risk-adjusted free cash flows</t>
  </si>
  <si>
    <t>Cash &amp; investments (6/30/2026)</t>
  </si>
  <si>
    <t>Equity value (rNPV)</t>
  </si>
  <si>
    <t>Basic shares (mm)</t>
  </si>
  <si>
    <t>rNPV / share, basic</t>
  </si>
  <si>
    <t>Option dilution, treasury method (mm)</t>
  </si>
  <si>
    <t>RSUs / other (mm)</t>
  </si>
  <si>
    <t>Diluted shares (mm)</t>
  </si>
  <si>
    <t>rNPV / share, diluted</t>
  </si>
  <si>
    <t>Current price (Main)</t>
  </si>
  <si>
    <t>Upside / (downside) to rNPV</t>
  </si>
  <si>
    <t>Net cash / share (6/30/2026)</t>
  </si>
  <si>
    <t>Est. cash / share (12/31/2026E)</t>
  </si>
  <si>
    <t>Liquidation value / share (12/31/2026E cash − wind-down)</t>
  </si>
  <si>
    <t>Market-implied value of pipeline (market cap − net cash)</t>
  </si>
  <si>
    <t>Negative equity value means expected spending exceeds expected pipeline value plus cash; in practice management would cut spending or wind down first (see liquidation value).</t>
  </si>
  <si>
    <t>Sum of the parts (PV)</t>
  </si>
  <si>
    <t>$mm</t>
  </si>
  <si>
    <t>$/share</t>
  </si>
  <si>
    <t>EVO756 — Migraine</t>
  </si>
  <si>
    <t>Corporate G&amp;A + platform R&amp;D (2027+)</t>
  </si>
  <si>
    <t>2H 2026 operating burn</t>
  </si>
  <si>
    <t>Net cash</t>
  </si>
  <si>
    <t>Equity value</t>
  </si>
  <si>
    <t>Check vs. equity value above (should be 0)</t>
  </si>
  <si>
    <t>EVMN — options strategy analysis (per 1 contract = 100 shares)</t>
  </si>
  <si>
    <t>Analytical model output, not investment advice. Prices are Black-Scholes values at each strike's market implied volatility; listed quotes are very wide, so real fills may differ.</t>
  </si>
  <si>
    <t>Inputs</t>
  </si>
  <si>
    <t>Spot price (last close, 10/15/2026)</t>
  </si>
  <si>
    <t>Pricing date</t>
  </si>
  <si>
    <t>Risk-free rate</t>
  </si>
  <si>
    <t>Expiry</t>
  </si>
  <si>
    <t>Years to expiry (T)</t>
  </si>
  <si>
    <t>Contract multiplier</t>
  </si>
  <si>
    <t>Model link</t>
  </si>
  <si>
    <t>Bear floor: % of est. 12/31/2026 cash per share</t>
  </si>
  <si>
    <t>Share of bull-case upside priced in by expiry</t>
  </si>
  <si>
    <t>Scenario price at expiry</t>
  </si>
  <si>
    <t>Weight</t>
  </si>
  <si>
    <t>Bear (rNPV, floored)</t>
  </si>
  <si>
    <t>Base (rNPV)</t>
  </si>
  <si>
    <t>Bull (partly priced in)</t>
  </si>
  <si>
    <t>Model-weighted price at expiry</t>
  </si>
  <si>
    <t>Liquidation value / share (reference)</t>
  </si>
  <si>
    <t>Market snapshot — May 21, 2027 expiry (Cboe delayed, 10/15/2026 close)</t>
  </si>
  <si>
    <t>Strike</t>
  </si>
  <si>
    <t>Call bid</t>
  </si>
  <si>
    <t>Call ask</t>
  </si>
  <si>
    <t>Call theo</t>
  </si>
  <si>
    <t>Call IV</t>
  </si>
  <si>
    <t>Put bid</t>
  </si>
  <si>
    <t>Put ask</t>
  </si>
  <si>
    <t>Put theo</t>
  </si>
  <si>
    <t>Put IV</t>
  </si>
  <si>
    <t>Call OI</t>
  </si>
  <si>
    <t>Put OI</t>
  </si>
  <si>
    <t>Wide markets (e.g., $0 bid / $4.90 ask) are placeholder quotes from market makers; work limit orders near theo.</t>
  </si>
  <si>
    <t>Leg pricing (Black-Scholes at strike IV)</t>
  </si>
  <si>
    <t>Leg</t>
  </si>
  <si>
    <t>Type</t>
  </si>
  <si>
    <t>IV</t>
  </si>
  <si>
    <t>d1</t>
  </si>
  <si>
    <t>d2</t>
  </si>
  <si>
    <t>Value</t>
  </si>
  <si>
    <t>Delta</t>
  </si>
  <si>
    <t>Mkt bid</t>
  </si>
  <si>
    <t>Mkt ask</t>
  </si>
  <si>
    <t>May-27 $5 put</t>
  </si>
  <si>
    <t>P</t>
  </si>
  <si>
    <t>May-27 $5 call</t>
  </si>
  <si>
    <t>C</t>
  </si>
  <si>
    <t>May-27 $7.50 call</t>
  </si>
  <si>
    <t>May-27 $10 call</t>
  </si>
  <si>
    <t>May-27 $12.50 call</t>
  </si>
  <si>
    <t>Strategies (May 21, 2027 expiry; + = credit received, − = debit paid)</t>
  </si>
  <si>
    <t>Metric</t>
  </si>
  <si>
    <t>Long call</t>
  </si>
  <si>
    <t>Bull call spread</t>
  </si>
  <si>
    <t>Cash-secured put</t>
  </si>
  <si>
    <t>Bullish seagull</t>
  </si>
  <si>
    <t>Structure</t>
  </si>
  <si>
    <t>Buy $7.50 call</t>
  </si>
  <si>
    <t>Buy $7.50 / sell $12.50 call</t>
  </si>
  <si>
    <t>Sell $5 put (hold $500 cash)</t>
  </si>
  <si>
    <t>Sell $5 put, buy $7.50 / sell $12.50 call</t>
  </si>
  <si>
    <t>Net premium / share</t>
  </si>
  <si>
    <t>Net premium / contract</t>
  </si>
  <si>
    <t>Max profit / contract</t>
  </si>
  <si>
    <t>Max loss / contract</t>
  </si>
  <si>
    <t>Breakeven at expiry</t>
  </si>
  <si>
    <t>Cash / margin required</t>
  </si>
  <si>
    <t>Prob. of profit (market-implied)</t>
  </si>
  <si>
    <t>P/L at current price</t>
  </si>
  <si>
    <t>P/L at bear value</t>
  </si>
  <si>
    <t>P/L at base value</t>
  </si>
  <si>
    <t>P/L at bull value</t>
  </si>
  <si>
    <t>Model-weighted expected P/L</t>
  </si>
  <si>
    <t>Expected P/L ÷ max loss</t>
  </si>
  <si>
    <t>Probability of profit uses a lognormal distribution at the relevant leg's implied volatility (risk-neutral). Scenario P/L uses the scenario prices in rows 16–18 (bear floored near cash, bull only partly priced in before the 2028 Ph2b data).</t>
  </si>
  <si>
    <t>Sizing: one contract = 100 shares ≈ $593 of stock exposure. The Screener shows a ~7.7-share EVMN position (~$48), so covered calls/collars are not possible without 100 shares.</t>
  </si>
  <si>
    <t>Payoff at expiry per contract ($)</t>
  </si>
  <si>
    <t>Price at expiry</t>
  </si>
  <si>
    <t>Long 100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</si>
</sst>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;\(0.0%\);&quot;-&quot;"/>
    <numFmt numFmtId="165" formatCode="#,##0.0;\(#,##0.0\);&quot;-&quot;"/>
    <numFmt numFmtId="166" formatCode="yyyy\-mm\-dd"/>
    <numFmt numFmtId="167" formatCode="#,##0.000"/>
    <numFmt numFmtId="168" formatCode="\$0.00;\(\$0.00\);&quot;-&quot;"/>
    <numFmt numFmtId="169" formatCode="#,##0.0"/>
    <numFmt numFmtId="170" formatCode="0;\-0;0"/>
    <numFmt numFmtId="171" formatCode="0.000"/>
    <numFmt numFmtId="172" formatCode="\$#,##0;\(\$#,##0\);&quot;-&quot;"/>
    <numFmt numFmtId="173" formatCode="#,##0;\(#,##0\);&quot;-&quot;"/>
    <numFmt numFmtId="174" formatCode="0.0%"/>
  </numFmts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rgb="FF000000"/>
      <name val="Aptos Narrow"/>
    </font>
    <font>
      <i/>
      <sz val="12"/>
      <color rgb="FF000000"/>
      <name val="Aptos Narrow"/>
    </font>
    <font>
      <b/>
      <sz val="12"/>
      <color rgb="FF000000"/>
      <name val="Aptos Narrow"/>
    </font>
    <font>
      <sz val="12"/>
      <color rgb="FF0000FF"/>
      <name val="Aptos Narrow"/>
    </font>
    <font>
      <sz val="12"/>
      <color rgb="FF000000"/>
      <name val="Aptos Narrow"/>
    </font>
    <font>
      <b/>
      <sz val="12"/>
      <color rgb="FF0000FF"/>
      <name val="Aptos Narrow"/>
    </font>
    <font>
      <b/>
      <sz val="12"/>
      <color rgb="FF008000"/>
      <name val="Aptos Narrow"/>
    </font>
    <font>
      <b/>
      <i/>
      <sz val="12"/>
      <color rgb="FF000000"/>
      <name val="Aptos Narrow"/>
    </font>
    <font>
      <sz val="12"/>
      <color rgb="FF008000"/>
      <name val="Aptos Narrow"/>
    </font>
    <font>
      <b/>
      <sz val="13"/>
      <color rgb="FF000000"/>
      <name val="Aptos Narrow"/>
    </font>
    <font>
      <i/>
      <sz val="12"/>
      <color rgb="FF008000"/>
      <name val="Aptos Narrow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3" fontId="0" fillId="0" borderId="0" xfId="0" applyNumberFormat="1"/>
    <xf numFmtId="0" fontId="0" fillId="0" borderId="2" xfId="0" applyBorder="1"/>
    <xf numFmtId="10" fontId="0" fillId="0" borderId="2" xfId="0" applyNumberFormat="1" applyBorder="1"/>
    <xf numFmtId="10" fontId="0" fillId="0" borderId="0" xfId="0" applyNumberFormat="1"/>
    <xf numFmtId="3" fontId="0" fillId="0" borderId="2" xfId="0" applyNumberFormat="1" applyBorder="1"/>
    <xf numFmtId="0" fontId="1" fillId="0" borderId="1" xfId="0" applyFont="1" applyBorder="1"/>
    <xf numFmtId="0" fontId="1" fillId="0" borderId="3" xfId="0" applyFont="1" applyBorder="1"/>
    <xf numFmtId="2" fontId="6" fillId="0" borderId="0" xfId="0" applyNumberFormat="1" applyFont="1"/>
    <xf numFmtId="3" fontId="6" fillId="0" borderId="0" xfId="0" applyNumberFormat="1" applyFont="1"/>
    <xf numFmtId="0" fontId="6" fillId="0" borderId="0" xfId="0" applyFont="1"/>
    <xf numFmtId="174" fontId="6" fillId="0" borderId="0" xfId="0" applyNumberFormat="1" applyFont="1"/>
    <xf numFmtId="169" fontId="6" fillId="0" borderId="0" xfId="0" applyNumberFormat="1" applyFont="1"/>
    <xf numFmtId="10" fontId="6" fillId="0" borderId="0" xfId="0" applyNumberFormat="1" applyFont="1"/>
    <xf numFmtId="0" fontId="6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/>
    <xf numFmtId="165" fontId="5" fillId="2" borderId="0" xfId="0" applyNumberFormat="1" applyFont="1" applyFill="1"/>
    <xf numFmtId="0" fontId="4" fillId="3" borderId="0" xfId="0" applyFont="1" applyFill="1"/>
    <xf numFmtId="0" fontId="4" fillId="4" borderId="0" xfId="0" applyFont="1" applyFill="1"/>
    <xf numFmtId="0" fontId="0" fillId="4" borderId="0" xfId="0" applyFill="1"/>
    <xf numFmtId="166" fontId="7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5" fontId="4" fillId="0" borderId="0" xfId="0" applyNumberFormat="1" applyFont="1"/>
    <xf numFmtId="165" fontId="5" fillId="0" borderId="0" xfId="0" applyNumberFormat="1" applyFont="1"/>
    <xf numFmtId="167" fontId="4" fillId="0" borderId="0" xfId="0" applyNumberFormat="1" applyFont="1"/>
    <xf numFmtId="167" fontId="5" fillId="0" borderId="0" xfId="0" applyNumberFormat="1" applyFont="1"/>
    <xf numFmtId="168" fontId="4" fillId="0" borderId="0" xfId="0" applyNumberFormat="1" applyFont="1"/>
    <xf numFmtId="168" fontId="5" fillId="0" borderId="0" xfId="0" applyNumberFormat="1" applyFont="1"/>
    <xf numFmtId="165" fontId="8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1" fontId="5" fillId="0" borderId="0" xfId="0" applyNumberFormat="1" applyFont="1"/>
    <xf numFmtId="164" fontId="6" fillId="0" borderId="0" xfId="0" applyNumberFormat="1" applyFont="1"/>
    <xf numFmtId="0" fontId="9" fillId="0" borderId="0" xfId="0" applyFont="1"/>
    <xf numFmtId="0" fontId="5" fillId="0" borderId="0" xfId="0" applyFont="1" applyAlignment="1">
      <alignment horizontal="center"/>
    </xf>
    <xf numFmtId="0" fontId="11" fillId="0" borderId="0" xfId="0" applyFont="1"/>
    <xf numFmtId="0" fontId="4" fillId="0" borderId="0" xfId="0" applyFont="1" applyAlignment="1">
      <alignment horizontal="center" wrapText="1"/>
    </xf>
    <xf numFmtId="165" fontId="12" fillId="0" borderId="0" xfId="0" applyNumberFormat="1" applyFont="1"/>
    <xf numFmtId="168" fontId="12" fillId="0" borderId="0" xfId="0" applyNumberFormat="1" applyFont="1"/>
    <xf numFmtId="164" fontId="12" fillId="0" borderId="0" xfId="0" applyNumberFormat="1" applyFont="1"/>
    <xf numFmtId="0" fontId="6" fillId="0" borderId="0" xfId="0" applyFont="1" applyAlignment="1">
      <alignment horizontal="center"/>
    </xf>
    <xf numFmtId="165" fontId="6" fillId="0" borderId="0" xfId="0" applyNumberFormat="1" applyFont="1"/>
    <xf numFmtId="168" fontId="6" fillId="0" borderId="0" xfId="0" applyNumberFormat="1" applyFont="1"/>
    <xf numFmtId="164" fontId="4" fillId="0" borderId="0" xfId="0" applyNumberFormat="1" applyFont="1" applyAlignment="1">
      <alignment horizontal="center"/>
    </xf>
    <xf numFmtId="3" fontId="4" fillId="0" borderId="0" xfId="0" applyNumberFormat="1" applyFont="1"/>
    <xf numFmtId="170" fontId="6" fillId="0" borderId="0" xfId="0" applyNumberFormat="1" applyFont="1"/>
    <xf numFmtId="164" fontId="10" fillId="0" borderId="0" xfId="0" applyNumberFormat="1" applyFont="1"/>
    <xf numFmtId="0" fontId="4" fillId="0" borderId="5" xfId="0" applyFont="1" applyBorder="1"/>
    <xf numFmtId="165" fontId="4" fillId="0" borderId="5" xfId="0" applyNumberFormat="1" applyFont="1" applyBorder="1"/>
    <xf numFmtId="0" fontId="8" fillId="0" borderId="0" xfId="0" applyFont="1"/>
    <xf numFmtId="166" fontId="10" fillId="0" borderId="0" xfId="0" applyNumberFormat="1" applyFont="1"/>
    <xf numFmtId="0" fontId="6" fillId="3" borderId="0" xfId="0" applyFont="1" applyFill="1"/>
    <xf numFmtId="0" fontId="4" fillId="3" borderId="0" xfId="0" applyFont="1" applyFill="1" applyAlignment="1">
      <alignment horizontal="right"/>
    </xf>
    <xf numFmtId="165" fontId="10" fillId="0" borderId="0" xfId="0" applyNumberFormat="1" applyFont="1"/>
    <xf numFmtId="166" fontId="6" fillId="0" borderId="0" xfId="0" applyNumberFormat="1" applyFont="1" applyAlignment="1">
      <alignment horizontal="right"/>
    </xf>
    <xf numFmtId="171" fontId="6" fillId="0" borderId="0" xfId="0" applyNumberFormat="1" applyFont="1"/>
    <xf numFmtId="0" fontId="6" fillId="4" borderId="0" xfId="0" applyFont="1" applyFill="1"/>
    <xf numFmtId="167" fontId="10" fillId="0" borderId="0" xfId="0" applyNumberFormat="1" applyFont="1"/>
    <xf numFmtId="167" fontId="6" fillId="0" borderId="0" xfId="0" applyNumberFormat="1" applyFont="1"/>
    <xf numFmtId="168" fontId="4" fillId="2" borderId="0" xfId="0" applyNumberFormat="1" applyFont="1" applyFill="1"/>
    <xf numFmtId="168" fontId="10" fillId="0" borderId="0" xfId="0" applyNumberFormat="1" applyFont="1"/>
    <xf numFmtId="0" fontId="4" fillId="4" borderId="0" xfId="0" applyFont="1" applyFill="1" applyAlignment="1">
      <alignment horizontal="right"/>
    </xf>
    <xf numFmtId="168" fontId="4" fillId="0" borderId="5" xfId="0" applyNumberFormat="1" applyFont="1" applyBorder="1"/>
    <xf numFmtId="166" fontId="5" fillId="0" borderId="0" xfId="0" applyNumberFormat="1" applyFont="1"/>
    <xf numFmtId="0" fontId="4" fillId="3" borderId="0" xfId="0" applyFont="1" applyFill="1" applyAlignment="1">
      <alignment horizontal="center"/>
    </xf>
    <xf numFmtId="2" fontId="5" fillId="0" borderId="0" xfId="0" applyNumberFormat="1" applyFont="1"/>
    <xf numFmtId="0" fontId="3" fillId="0" borderId="0" xfId="0" applyFont="1" applyAlignment="1">
      <alignment vertical="top" wrapText="1"/>
    </xf>
    <xf numFmtId="172" fontId="6" fillId="0" borderId="0" xfId="0" applyNumberFormat="1" applyFont="1"/>
    <xf numFmtId="172" fontId="6" fillId="0" borderId="0" xfId="0" applyNumberFormat="1" applyFont="1" applyAlignment="1">
      <alignment horizontal="right"/>
    </xf>
    <xf numFmtId="172" fontId="4" fillId="0" borderId="0" xfId="0" applyNumberFormat="1" applyFont="1"/>
    <xf numFmtId="168" fontId="6" fillId="0" borderId="0" xfId="0" applyNumberFormat="1" applyFont="1" applyAlignment="1">
      <alignment horizontal="center"/>
    </xf>
    <xf numFmtId="173" fontId="6" fillId="0" borderId="0" xfId="0" applyNumberFormat="1" applyFont="1"/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P/L at expiry per contract (May 21, 2027)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Options!$B$61</c:f>
              <c:strCache>
                <c:ptCount val="1"/>
                <c:pt idx="0">
                  <c:v>Long 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Options!$A$62:$A$94</c:f>
              <c:numCache>
                <c:formatCode>\$0.00;\(\$0.00\);"-"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</c:numCache>
            </c:numRef>
          </c:xVal>
          <c:yVal>
            <c:numRef>
              <c:f>Options!$B$62:$B$94</c:f>
              <c:numCache>
                <c:formatCode>#,##0;\(#,##0\);"-"</c:formatCode>
                <c:ptCount val="33"/>
                <c:pt idx="0">
                  <c:v>-134.87019922940286</c:v>
                </c:pt>
                <c:pt idx="1">
                  <c:v>-134.87019922940286</c:v>
                </c:pt>
                <c:pt idx="2">
                  <c:v>-134.87019922940286</c:v>
                </c:pt>
                <c:pt idx="3">
                  <c:v>-134.87019922940286</c:v>
                </c:pt>
                <c:pt idx="4">
                  <c:v>-134.87019922940286</c:v>
                </c:pt>
                <c:pt idx="5">
                  <c:v>-134.87019922940286</c:v>
                </c:pt>
                <c:pt idx="6">
                  <c:v>-134.87019922940286</c:v>
                </c:pt>
                <c:pt idx="7">
                  <c:v>-134.87019922940286</c:v>
                </c:pt>
                <c:pt idx="8">
                  <c:v>-134.87019922940286</c:v>
                </c:pt>
                <c:pt idx="9">
                  <c:v>-134.87019922940286</c:v>
                </c:pt>
                <c:pt idx="10">
                  <c:v>-134.87019922940286</c:v>
                </c:pt>
                <c:pt idx="11">
                  <c:v>-134.87019922940286</c:v>
                </c:pt>
                <c:pt idx="12">
                  <c:v>-134.87019922940286</c:v>
                </c:pt>
                <c:pt idx="13">
                  <c:v>-134.87019922940286</c:v>
                </c:pt>
                <c:pt idx="14">
                  <c:v>-134.87019922940286</c:v>
                </c:pt>
                <c:pt idx="15">
                  <c:v>-134.87019922940286</c:v>
                </c:pt>
                <c:pt idx="16">
                  <c:v>-84.870199229402871</c:v>
                </c:pt>
                <c:pt idx="17">
                  <c:v>-34.870199229402864</c:v>
                </c:pt>
                <c:pt idx="18">
                  <c:v>15.129800770597136</c:v>
                </c:pt>
                <c:pt idx="19">
                  <c:v>65.129800770597129</c:v>
                </c:pt>
                <c:pt idx="20">
                  <c:v>115.12980077059713</c:v>
                </c:pt>
                <c:pt idx="21">
                  <c:v>165.12980077059714</c:v>
                </c:pt>
                <c:pt idx="22">
                  <c:v>215.12980077059717</c:v>
                </c:pt>
                <c:pt idx="23">
                  <c:v>265.12980077059717</c:v>
                </c:pt>
                <c:pt idx="24">
                  <c:v>315.12980077059717</c:v>
                </c:pt>
                <c:pt idx="25">
                  <c:v>365.12980077059717</c:v>
                </c:pt>
                <c:pt idx="26">
                  <c:v>415.12980077059717</c:v>
                </c:pt>
                <c:pt idx="27">
                  <c:v>465.12980077059717</c:v>
                </c:pt>
                <c:pt idx="28">
                  <c:v>515.12980077059717</c:v>
                </c:pt>
                <c:pt idx="29">
                  <c:v>565.12980077059717</c:v>
                </c:pt>
                <c:pt idx="30">
                  <c:v>615.12980077059717</c:v>
                </c:pt>
                <c:pt idx="31">
                  <c:v>665.12980077059717</c:v>
                </c:pt>
                <c:pt idx="32">
                  <c:v>715.12980077059717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00-7D4B-96AA-C085ECBCEF99}"/>
            </c:ext>
          </c:extLst>
        </c:ser>
        <c:ser>
          <c:idx val="1"/>
          <c:order val="1"/>
          <c:tx>
            <c:strRef>
              <c:f>Options!$C$61</c:f>
              <c:strCache>
                <c:ptCount val="1"/>
                <c:pt idx="0">
                  <c:v>Bull call spread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Options!$A$62:$A$94</c:f>
              <c:numCache>
                <c:formatCode>\$0.00;\(\$0.00\);"-"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</c:numCache>
            </c:numRef>
          </c:xVal>
          <c:yVal>
            <c:numRef>
              <c:f>Options!$C$62:$C$94</c:f>
              <c:numCache>
                <c:formatCode>#,##0;\(#,##0\);"-"</c:formatCode>
                <c:ptCount val="33"/>
                <c:pt idx="0">
                  <c:v>-46.295614021473796</c:v>
                </c:pt>
                <c:pt idx="1">
                  <c:v>-46.295614021473796</c:v>
                </c:pt>
                <c:pt idx="2">
                  <c:v>-46.295614021473796</c:v>
                </c:pt>
                <c:pt idx="3">
                  <c:v>-46.295614021473796</c:v>
                </c:pt>
                <c:pt idx="4">
                  <c:v>-46.295614021473796</c:v>
                </c:pt>
                <c:pt idx="5">
                  <c:v>-46.295614021473796</c:v>
                </c:pt>
                <c:pt idx="6">
                  <c:v>-46.295614021473796</c:v>
                </c:pt>
                <c:pt idx="7">
                  <c:v>-46.295614021473796</c:v>
                </c:pt>
                <c:pt idx="8">
                  <c:v>-46.295614021473796</c:v>
                </c:pt>
                <c:pt idx="9">
                  <c:v>-46.295614021473796</c:v>
                </c:pt>
                <c:pt idx="10">
                  <c:v>-46.295614021473796</c:v>
                </c:pt>
                <c:pt idx="11">
                  <c:v>-46.295614021473796</c:v>
                </c:pt>
                <c:pt idx="12">
                  <c:v>-46.295614021473796</c:v>
                </c:pt>
                <c:pt idx="13">
                  <c:v>-46.295614021473796</c:v>
                </c:pt>
                <c:pt idx="14">
                  <c:v>-46.295614021473796</c:v>
                </c:pt>
                <c:pt idx="15">
                  <c:v>-46.295614021473796</c:v>
                </c:pt>
                <c:pt idx="16">
                  <c:v>3.7043859785262034</c:v>
                </c:pt>
                <c:pt idx="17">
                  <c:v>53.704385978526204</c:v>
                </c:pt>
                <c:pt idx="18">
                  <c:v>103.7043859785262</c:v>
                </c:pt>
                <c:pt idx="19">
                  <c:v>153.7043859785262</c:v>
                </c:pt>
                <c:pt idx="20">
                  <c:v>203.70438597852623</c:v>
                </c:pt>
                <c:pt idx="21">
                  <c:v>253.70438597852623</c:v>
                </c:pt>
                <c:pt idx="22">
                  <c:v>303.7043859785262</c:v>
                </c:pt>
                <c:pt idx="23">
                  <c:v>353.7043859785262</c:v>
                </c:pt>
                <c:pt idx="24">
                  <c:v>403.7043859785262</c:v>
                </c:pt>
                <c:pt idx="25">
                  <c:v>453.7043859785262</c:v>
                </c:pt>
                <c:pt idx="26">
                  <c:v>453.7043859785262</c:v>
                </c:pt>
                <c:pt idx="27">
                  <c:v>453.7043859785262</c:v>
                </c:pt>
                <c:pt idx="28">
                  <c:v>453.7043859785262</c:v>
                </c:pt>
                <c:pt idx="29">
                  <c:v>453.7043859785262</c:v>
                </c:pt>
                <c:pt idx="30">
                  <c:v>453.7043859785262</c:v>
                </c:pt>
                <c:pt idx="31">
                  <c:v>453.7043859785262</c:v>
                </c:pt>
                <c:pt idx="32">
                  <c:v>453.7043859785262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00-7D4B-96AA-C085ECBCEF99}"/>
            </c:ext>
          </c:extLst>
        </c:ser>
        <c:ser>
          <c:idx val="2"/>
          <c:order val="2"/>
          <c:tx>
            <c:strRef>
              <c:f>Options!$D$61</c:f>
              <c:strCache>
                <c:ptCount val="1"/>
                <c:pt idx="0">
                  <c:v>Cash-secured put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Options!$A$62:$A$94</c:f>
              <c:numCache>
                <c:formatCode>\$0.00;\(\$0.00\);"-"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</c:numCache>
            </c:numRef>
          </c:xVal>
          <c:yVal>
            <c:numRef>
              <c:f>Options!$D$62:$D$94</c:f>
              <c:numCache>
                <c:formatCode>#,##0;\(#,##0\);"-"</c:formatCode>
                <c:ptCount val="33"/>
                <c:pt idx="0">
                  <c:v>-387.08008506215344</c:v>
                </c:pt>
                <c:pt idx="1">
                  <c:v>-337.08008506215344</c:v>
                </c:pt>
                <c:pt idx="2">
                  <c:v>-287.08008506215344</c:v>
                </c:pt>
                <c:pt idx="3">
                  <c:v>-237.08008506215344</c:v>
                </c:pt>
                <c:pt idx="4">
                  <c:v>-187.08008506215344</c:v>
                </c:pt>
                <c:pt idx="5">
                  <c:v>-137.08008506215344</c:v>
                </c:pt>
                <c:pt idx="6">
                  <c:v>-87.080085062153458</c:v>
                </c:pt>
                <c:pt idx="7">
                  <c:v>-37.080085062153458</c:v>
                </c:pt>
                <c:pt idx="8">
                  <c:v>12.919914937846544</c:v>
                </c:pt>
                <c:pt idx="9">
                  <c:v>62.919914937846542</c:v>
                </c:pt>
                <c:pt idx="10">
                  <c:v>112.91991493784654</c:v>
                </c:pt>
                <c:pt idx="11">
                  <c:v>112.91991493784654</c:v>
                </c:pt>
                <c:pt idx="12">
                  <c:v>112.91991493784654</c:v>
                </c:pt>
                <c:pt idx="13">
                  <c:v>112.91991493784654</c:v>
                </c:pt>
                <c:pt idx="14">
                  <c:v>112.91991493784654</c:v>
                </c:pt>
                <c:pt idx="15">
                  <c:v>112.91991493784654</c:v>
                </c:pt>
                <c:pt idx="16">
                  <c:v>112.91991493784654</c:v>
                </c:pt>
                <c:pt idx="17">
                  <c:v>112.91991493784654</c:v>
                </c:pt>
                <c:pt idx="18">
                  <c:v>112.91991493784654</c:v>
                </c:pt>
                <c:pt idx="19">
                  <c:v>112.91991493784654</c:v>
                </c:pt>
                <c:pt idx="20">
                  <c:v>112.91991493784654</c:v>
                </c:pt>
                <c:pt idx="21">
                  <c:v>112.91991493784654</c:v>
                </c:pt>
                <c:pt idx="22">
                  <c:v>112.91991493784654</c:v>
                </c:pt>
                <c:pt idx="23">
                  <c:v>112.91991493784654</c:v>
                </c:pt>
                <c:pt idx="24">
                  <c:v>112.91991493784654</c:v>
                </c:pt>
                <c:pt idx="25">
                  <c:v>112.91991493784654</c:v>
                </c:pt>
                <c:pt idx="26">
                  <c:v>112.91991493784654</c:v>
                </c:pt>
                <c:pt idx="27">
                  <c:v>112.91991493784654</c:v>
                </c:pt>
                <c:pt idx="28">
                  <c:v>112.91991493784654</c:v>
                </c:pt>
                <c:pt idx="29">
                  <c:v>112.91991493784654</c:v>
                </c:pt>
                <c:pt idx="30">
                  <c:v>112.91991493784654</c:v>
                </c:pt>
                <c:pt idx="31">
                  <c:v>112.91991493784654</c:v>
                </c:pt>
                <c:pt idx="32">
                  <c:v>112.91991493784654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00-7D4B-96AA-C085ECBCEF99}"/>
            </c:ext>
          </c:extLst>
        </c:ser>
        <c:ser>
          <c:idx val="3"/>
          <c:order val="3"/>
          <c:tx>
            <c:strRef>
              <c:f>Options!$E$61</c:f>
              <c:strCache>
                <c:ptCount val="1"/>
                <c:pt idx="0">
                  <c:v>Bullish seagull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Options!$A$62:$A$94</c:f>
              <c:numCache>
                <c:formatCode>\$0.00;\(\$0.00\);"-"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</c:numCache>
            </c:numRef>
          </c:xVal>
          <c:yVal>
            <c:numRef>
              <c:f>Options!$E$62:$E$94</c:f>
              <c:numCache>
                <c:formatCode>#,##0;\(#,##0\);"-"</c:formatCode>
                <c:ptCount val="33"/>
                <c:pt idx="0">
                  <c:v>-433.3756990836273</c:v>
                </c:pt>
                <c:pt idx="1">
                  <c:v>-383.3756990836273</c:v>
                </c:pt>
                <c:pt idx="2">
                  <c:v>-333.3756990836273</c:v>
                </c:pt>
                <c:pt idx="3">
                  <c:v>-283.3756990836273</c:v>
                </c:pt>
                <c:pt idx="4">
                  <c:v>-233.37569908362727</c:v>
                </c:pt>
                <c:pt idx="5">
                  <c:v>-183.37569908362727</c:v>
                </c:pt>
                <c:pt idx="6">
                  <c:v>-133.37569908362727</c:v>
                </c:pt>
                <c:pt idx="7">
                  <c:v>-83.375699083627254</c:v>
                </c:pt>
                <c:pt idx="8">
                  <c:v>-33.375699083627254</c:v>
                </c:pt>
                <c:pt idx="9">
                  <c:v>16.624300916372746</c:v>
                </c:pt>
                <c:pt idx="10">
                  <c:v>66.624300916372746</c:v>
                </c:pt>
                <c:pt idx="11">
                  <c:v>66.624300916372746</c:v>
                </c:pt>
                <c:pt idx="12">
                  <c:v>66.624300916372746</c:v>
                </c:pt>
                <c:pt idx="13">
                  <c:v>66.624300916372746</c:v>
                </c:pt>
                <c:pt idx="14">
                  <c:v>66.624300916372746</c:v>
                </c:pt>
                <c:pt idx="15">
                  <c:v>66.624300916372746</c:v>
                </c:pt>
                <c:pt idx="16">
                  <c:v>116.62430091637275</c:v>
                </c:pt>
                <c:pt idx="17">
                  <c:v>166.62430091637276</c:v>
                </c:pt>
                <c:pt idx="18">
                  <c:v>216.62430091637273</c:v>
                </c:pt>
                <c:pt idx="19">
                  <c:v>266.6243009163727</c:v>
                </c:pt>
                <c:pt idx="20">
                  <c:v>316.6243009163727</c:v>
                </c:pt>
                <c:pt idx="21">
                  <c:v>366.6243009163727</c:v>
                </c:pt>
                <c:pt idx="22">
                  <c:v>416.6243009163727</c:v>
                </c:pt>
                <c:pt idx="23">
                  <c:v>466.6243009163727</c:v>
                </c:pt>
                <c:pt idx="24">
                  <c:v>516.6243009163727</c:v>
                </c:pt>
                <c:pt idx="25">
                  <c:v>566.6243009163727</c:v>
                </c:pt>
                <c:pt idx="26">
                  <c:v>566.6243009163727</c:v>
                </c:pt>
                <c:pt idx="27">
                  <c:v>566.6243009163727</c:v>
                </c:pt>
                <c:pt idx="28">
                  <c:v>566.6243009163727</c:v>
                </c:pt>
                <c:pt idx="29">
                  <c:v>566.6243009163727</c:v>
                </c:pt>
                <c:pt idx="30">
                  <c:v>566.6243009163727</c:v>
                </c:pt>
                <c:pt idx="31">
                  <c:v>566.6243009163727</c:v>
                </c:pt>
                <c:pt idx="32">
                  <c:v>566.6243009163727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00-7D4B-96AA-C085ECBCEF99}"/>
            </c:ext>
          </c:extLst>
        </c:ser>
        <c:ser>
          <c:idx val="4"/>
          <c:order val="4"/>
          <c:tx>
            <c:strRef>
              <c:f>Options!$F$61</c:f>
              <c:strCache>
                <c:ptCount val="1"/>
                <c:pt idx="0">
                  <c:v>Long 100 shares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Options!$A$62:$A$94</c:f>
              <c:numCache>
                <c:formatCode>\$0.00;\(\$0.00\);"-"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</c:numCache>
            </c:numRef>
          </c:xVal>
          <c:yVal>
            <c:numRef>
              <c:f>Options!$F$62:$F$94</c:f>
              <c:numCache>
                <c:formatCode>#,##0;\(#,##0\);"-"</c:formatCode>
                <c:ptCount val="33"/>
                <c:pt idx="0">
                  <c:v>-593</c:v>
                </c:pt>
                <c:pt idx="1">
                  <c:v>-543</c:v>
                </c:pt>
                <c:pt idx="2">
                  <c:v>-493</c:v>
                </c:pt>
                <c:pt idx="3">
                  <c:v>-443</c:v>
                </c:pt>
                <c:pt idx="4">
                  <c:v>-393</c:v>
                </c:pt>
                <c:pt idx="5">
                  <c:v>-343</c:v>
                </c:pt>
                <c:pt idx="6">
                  <c:v>-293</c:v>
                </c:pt>
                <c:pt idx="7">
                  <c:v>-242.99999999999997</c:v>
                </c:pt>
                <c:pt idx="8">
                  <c:v>-192.99999999999997</c:v>
                </c:pt>
                <c:pt idx="9">
                  <c:v>-142.99999999999997</c:v>
                </c:pt>
                <c:pt idx="10">
                  <c:v>-92.999999999999972</c:v>
                </c:pt>
                <c:pt idx="11">
                  <c:v>-42.999999999999972</c:v>
                </c:pt>
                <c:pt idx="12">
                  <c:v>7.0000000000000284</c:v>
                </c:pt>
                <c:pt idx="13">
                  <c:v>57.000000000000028</c:v>
                </c:pt>
                <c:pt idx="14">
                  <c:v>107.00000000000003</c:v>
                </c:pt>
                <c:pt idx="15">
                  <c:v>157.00000000000003</c:v>
                </c:pt>
                <c:pt idx="16">
                  <c:v>207.00000000000003</c:v>
                </c:pt>
                <c:pt idx="17">
                  <c:v>257</c:v>
                </c:pt>
                <c:pt idx="18">
                  <c:v>307</c:v>
                </c:pt>
                <c:pt idx="19">
                  <c:v>357</c:v>
                </c:pt>
                <c:pt idx="20">
                  <c:v>407</c:v>
                </c:pt>
                <c:pt idx="21">
                  <c:v>457</c:v>
                </c:pt>
                <c:pt idx="22">
                  <c:v>507</c:v>
                </c:pt>
                <c:pt idx="23">
                  <c:v>557</c:v>
                </c:pt>
                <c:pt idx="24">
                  <c:v>607</c:v>
                </c:pt>
                <c:pt idx="25">
                  <c:v>657</c:v>
                </c:pt>
                <c:pt idx="26">
                  <c:v>707</c:v>
                </c:pt>
                <c:pt idx="27">
                  <c:v>757</c:v>
                </c:pt>
                <c:pt idx="28">
                  <c:v>807</c:v>
                </c:pt>
                <c:pt idx="29">
                  <c:v>857</c:v>
                </c:pt>
                <c:pt idx="30">
                  <c:v>907</c:v>
                </c:pt>
                <c:pt idx="31">
                  <c:v>957</c:v>
                </c:pt>
                <c:pt idx="32">
                  <c:v>1007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00-7D4B-96AA-C085ECBCE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EVMN price at expiry ($)</a:t>
                </a:r>
              </a:p>
            </c:rich>
          </c:tx>
          <c:overlay val="1"/>
        </c:title>
        <c:numFmt formatCode="\$0.00;\(\$0.00\);&quot;-&quot;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P/L ($)</a:t>
                </a:r>
              </a:p>
            </c:rich>
          </c:tx>
          <c:overlay val="1"/>
        </c:title>
        <c:numFmt formatCode="#,##0;\(#,##0\);&quot;-&quot;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59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../Screener.xlsx" TargetMode="External"/><Relationship Id="rId1" Type="http://schemas.openxmlformats.org/officeDocument/2006/relationships/externalLinkPath" Target="/Users/eric/Documents/Stock%20Models/Screener.xlsx" TargetMode="External"/><Relationship Id="rId1" Type="http://schemas.openxmlformats.org/officeDocument/2006/relationships/externalLinkPath" Target="/Users/eric/Documents/Stock%20Models/Screen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n"/>
      <sheetName val="Closed"/>
      <sheetName val="Pharma"/>
      <sheetName val="Energy"/>
    </sheetNames>
    <sheetDataSet>
      <sheetData sheetId="0"/>
      <sheetData sheetId="1"/>
      <sheetData sheetId="2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showGridLines="0" tabSelected="1" zoomScale="150" workbookViewId="0">
      <selection activeCell="I14" sqref="I14"/>
    </sheetView>
  </sheetViews>
  <sheetFormatPr baseColWidth="10" defaultRowHeight="16" x14ac:dyDescent="0.2"/>
  <cols>
    <col min="1" max="1" width="3.33203125" customWidth="1"/>
    <col min="2" max="2" width="12.6640625" customWidth="1"/>
    <col min="5" max="5" width="11" customWidth="1"/>
  </cols>
  <sheetData>
    <row r="2" spans="2:6" x14ac:dyDescent="0.2">
      <c r="B2" s="78" t="s">
        <v>0</v>
      </c>
      <c r="C2" s="79"/>
    </row>
    <row r="3" spans="2:6" x14ac:dyDescent="0.2">
      <c r="B3" t="s">
        <v>1</v>
      </c>
      <c r="C3" s="8">
        <f>INDEX([1]Pharma!$F$1:$F$1000,MATCH("EVMN",[1]Pharma!$B$1:$B$1000,0))</f>
        <v>5.35</v>
      </c>
      <c r="F3" s="1"/>
    </row>
    <row r="4" spans="2:6" x14ac:dyDescent="0.2">
      <c r="B4" t="s">
        <v>2</v>
      </c>
      <c r="C4" s="1">
        <v>36.292113000000001</v>
      </c>
      <c r="F4" s="1"/>
    </row>
    <row r="5" spans="2:6" x14ac:dyDescent="0.2">
      <c r="B5" t="s">
        <v>3</v>
      </c>
      <c r="C5" s="1">
        <f>C3*C4</f>
        <v>194.16280454999998</v>
      </c>
      <c r="F5" s="1"/>
    </row>
    <row r="7" spans="2:6" x14ac:dyDescent="0.2">
      <c r="B7" t="s">
        <v>4</v>
      </c>
      <c r="C7" s="9">
        <f>60.034+140.759+87.214</f>
        <v>288.00699999999995</v>
      </c>
    </row>
    <row r="8" spans="2:6" x14ac:dyDescent="0.2">
      <c r="B8" t="s">
        <v>5</v>
      </c>
      <c r="C8" s="1">
        <v>0</v>
      </c>
    </row>
    <row r="9" spans="2:6" x14ac:dyDescent="0.2">
      <c r="B9" t="s">
        <v>6</v>
      </c>
      <c r="C9" s="1">
        <f>C5-C7+C8</f>
        <v>-93.84419544999997</v>
      </c>
    </row>
    <row r="11" spans="2:6" x14ac:dyDescent="0.2">
      <c r="B11" s="10" t="s">
        <v>7</v>
      </c>
      <c r="C11" s="8">
        <f>NPV!C27</f>
        <v>6.780611355029268</v>
      </c>
    </row>
    <row r="12" spans="2:6" x14ac:dyDescent="0.2">
      <c r="B12" s="10" t="s">
        <v>8</v>
      </c>
      <c r="C12" s="11">
        <f>C11/C3-1</f>
        <v>0.26740399159425565</v>
      </c>
    </row>
    <row r="13" spans="2:6" x14ac:dyDescent="0.2">
      <c r="B13" s="10" t="s">
        <v>9</v>
      </c>
      <c r="C13" s="8">
        <f>(C7-C8)/C4</f>
        <v>7.935801368192586</v>
      </c>
    </row>
    <row r="14" spans="2:6" x14ac:dyDescent="0.2">
      <c r="B14" s="10" t="s">
        <v>10</v>
      </c>
      <c r="C14" s="10" t="str">
        <f>Assumptions!$C$4</f>
        <v>Base</v>
      </c>
    </row>
  </sheetData>
  <mergeCells count="1">
    <mergeCell ref="B2:C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3"/>
  <sheetViews>
    <sheetView zoomScale="138" workbookViewId="0">
      <selection activeCell="D7" sqref="D7"/>
    </sheetView>
  </sheetViews>
  <sheetFormatPr baseColWidth="10" defaultRowHeight="16" x14ac:dyDescent="0.2"/>
  <cols>
    <col min="1" max="1" width="18.5" style="2" customWidth="1"/>
  </cols>
  <sheetData>
    <row r="1" spans="1:29" s="6" customFormat="1" x14ac:dyDescent="0.2">
      <c r="A1" s="7"/>
      <c r="B1" s="6">
        <v>2023</v>
      </c>
      <c r="C1" s="6">
        <v>2024</v>
      </c>
      <c r="D1" s="6">
        <v>2025</v>
      </c>
      <c r="E1" s="6">
        <v>2026</v>
      </c>
      <c r="F1" s="6">
        <v>2027</v>
      </c>
      <c r="G1" s="6">
        <v>2028</v>
      </c>
      <c r="H1" s="6">
        <v>2029</v>
      </c>
      <c r="I1" s="6">
        <v>2030</v>
      </c>
      <c r="J1" s="6">
        <v>2031</v>
      </c>
      <c r="K1" s="6">
        <v>2032</v>
      </c>
      <c r="L1" s="6">
        <v>2033</v>
      </c>
      <c r="M1" s="6">
        <v>2034</v>
      </c>
      <c r="N1" s="6">
        <v>2035</v>
      </c>
      <c r="O1" s="6">
        <v>2036</v>
      </c>
      <c r="P1" s="6">
        <v>2037</v>
      </c>
      <c r="Q1" s="6">
        <v>2038</v>
      </c>
      <c r="R1" s="6">
        <v>2039</v>
      </c>
      <c r="S1" s="6">
        <v>2040</v>
      </c>
      <c r="T1" s="6">
        <v>2041</v>
      </c>
      <c r="U1" s="6">
        <v>2042</v>
      </c>
      <c r="V1" s="6">
        <v>2043</v>
      </c>
      <c r="W1" s="6">
        <v>2044</v>
      </c>
      <c r="X1" s="6">
        <v>2045</v>
      </c>
      <c r="Y1" s="6">
        <v>2046</v>
      </c>
      <c r="Z1" s="6">
        <v>2047</v>
      </c>
      <c r="AA1" s="6">
        <v>2048</v>
      </c>
      <c r="AB1" s="6">
        <v>2049</v>
      </c>
      <c r="AC1" s="6">
        <v>2050</v>
      </c>
    </row>
    <row r="2" spans="1:29" s="1" customFormat="1" x14ac:dyDescent="0.2">
      <c r="A2" s="5" t="s">
        <v>11</v>
      </c>
      <c r="B2" s="9">
        <v>5</v>
      </c>
      <c r="C2" s="9">
        <v>7</v>
      </c>
      <c r="D2" s="9">
        <v>13</v>
      </c>
      <c r="E2" s="9">
        <f>SUM('Quarterly Model'!F2:I2)</f>
        <v>0.0</v>
      </c>
      <c r="F2" s="9">
        <f>Pipeline!C35</f>
        <v>0.0</v>
      </c>
      <c r="G2" s="9">
        <f>Pipeline!D35</f>
        <v>0.0</v>
      </c>
      <c r="H2" s="9">
        <f>Pipeline!E35</f>
        <v>0.0</v>
      </c>
      <c r="I2" s="9">
        <f>Pipeline!F35</f>
        <v>0.0</v>
      </c>
      <c r="J2" s="9">
        <f>Pipeline!G35</f>
        <v>0.0</v>
      </c>
      <c r="K2" s="9">
        <f>Pipeline!H35</f>
        <v>7.920000000000002</v>
      </c>
      <c r="L2" s="9">
        <f>Pipeline!I35</f>
        <v>66.60000000000001</v>
      </c>
      <c r="M2" s="9">
        <f>Pipeline!J35</f>
        <v>154.62</v>
      </c>
      <c r="N2" s="9">
        <f>Pipeline!K35</f>
        <v>279.72</v>
      </c>
      <c r="O2" s="9">
        <f>Pipeline!L35</f>
        <v>424.44000000000005</v>
      </c>
      <c r="P2" s="9">
        <f>Pipeline!M35</f>
        <v>558.45</v>
      </c>
      <c r="Q2" s="9">
        <f>Pipeline!N35</f>
        <v>672.5250000000001</v>
      </c>
      <c r="R2" s="9">
        <f>Pipeline!O35</f>
        <v>755.7750000000001</v>
      </c>
      <c r="S2" s="9">
        <f>Pipeline!P35</f>
        <v>778.0500000000002</v>
      </c>
      <c r="T2" s="9">
        <f>Pipeline!Q35</f>
        <v>795.3750000000001</v>
      </c>
      <c r="U2" s="9">
        <f>Pipeline!R35</f>
        <v>807.7500000000001</v>
      </c>
      <c r="V2" s="9">
        <f>Pipeline!S35</f>
        <v>807.7500000000001</v>
      </c>
      <c r="W2" s="9">
        <f>Pipeline!T35</f>
        <v>807.7500000000001</v>
      </c>
      <c r="X2" s="9">
        <f>Pipeline!U35</f>
        <v>748.3500000000001</v>
      </c>
      <c r="Y2" s="9">
        <f>Pipeline!V35</f>
        <v>511.96500000000003</v>
      </c>
      <c r="Z2" s="9">
        <f>Pipeline!W35</f>
        <v>353.6235</v>
      </c>
      <c r="AA2" s="9">
        <f>Pipeline!X35</f>
        <v>245.63565</v>
      </c>
      <c r="AB2" s="9">
        <f>Pipeline!Y35</f>
        <v>171.18463499999996</v>
      </c>
      <c r="AC2" s="9">
        <f>Pipeline!Z35</f>
        <v>119.52511649999997</v>
      </c>
    </row>
    <row r="3" spans="1:29" s="1" customFormat="1" x14ac:dyDescent="0.2">
      <c r="A3" s="5" t="s">
        <v>12</v>
      </c>
      <c r="B3" s="9">
        <v>0</v>
      </c>
      <c r="C3" s="9">
        <v>0</v>
      </c>
      <c r="D3" s="9">
        <v>0</v>
      </c>
      <c r="E3" s="9">
        <f>SUM('Quarterly Model'!F3:I3)</f>
        <v>0.0</v>
      </c>
      <c r="F3" s="9">
        <f>Pipeline!C36</f>
        <v>0.0</v>
      </c>
      <c r="G3" s="9">
        <f>Pipeline!D36</f>
        <v>0.0</v>
      </c>
      <c r="H3" s="9">
        <f>Pipeline!E36</f>
        <v>0.0</v>
      </c>
      <c r="I3" s="9">
        <f>Pipeline!F36</f>
        <v>0.0</v>
      </c>
      <c r="J3" s="9">
        <f>Pipeline!G36</f>
        <v>0.0</v>
      </c>
      <c r="K3" s="9">
        <f>Pipeline!H36</f>
        <v>0.6336000000000002</v>
      </c>
      <c r="L3" s="9">
        <f>Pipeline!I36</f>
        <v>11.88</v>
      </c>
      <c r="M3" s="9">
        <f>Pipeline!J36</f>
        <v>28.7496</v>
      </c>
      <c r="N3" s="9">
        <f>Pipeline!K36</f>
        <v>53.49960000000001</v>
      </c>
      <c r="O3" s="9">
        <f>Pipeline!L36</f>
        <v>82.84320000000001</v>
      </c>
      <c r="P3" s="9">
        <f>Pipeline!M36</f>
        <v>110.38500000000002</v>
      </c>
      <c r="Q3" s="9">
        <f>Pipeline!N36</f>
        <v>134.09550000000002</v>
      </c>
      <c r="R3" s="9">
        <f>Pipeline!O36</f>
        <v>152.4105</v>
      </c>
      <c r="S3" s="9">
        <f>Pipeline!P36</f>
        <v>157.311</v>
      </c>
      <c r="T3" s="9">
        <f>Pipeline!Q36</f>
        <v>161.1225</v>
      </c>
      <c r="U3" s="9">
        <f>Pipeline!R36</f>
        <v>163.845</v>
      </c>
      <c r="V3" s="9">
        <f>Pipeline!S36</f>
        <v>163.845</v>
      </c>
      <c r="W3" s="9">
        <f>Pipeline!T36</f>
        <v>163.845</v>
      </c>
      <c r="X3" s="9">
        <f>Pipeline!U36</f>
        <v>159.09300000000002</v>
      </c>
      <c r="Y3" s="9">
        <f>Pipeline!V36</f>
        <v>110.41470000000002</v>
      </c>
      <c r="Z3" s="9">
        <f>Pipeline!W36</f>
        <v>76.91013</v>
      </c>
      <c r="AA3" s="9">
        <f>Pipeline!X36</f>
        <v>53.685027</v>
      </c>
      <c r="AB3" s="9">
        <f>Pipeline!Y36</f>
        <v>37.518693299999995</v>
      </c>
      <c r="AC3" s="9">
        <f>Pipeline!Z36</f>
        <v>26.238755069999996</v>
      </c>
    </row>
    <row r="4" spans="1:29" s="1" customFormat="1" x14ac:dyDescent="0.2">
      <c r="A4" s="5" t="s">
        <v>13</v>
      </c>
      <c r="B4" s="9">
        <f t="shared" ref="B4:AC4" si="0">B2-B3</f>
        <v>5.0</v>
      </c>
      <c r="C4" s="9">
        <f t="shared" si="0"/>
        <v>7.0</v>
      </c>
      <c r="D4" s="9">
        <f t="shared" si="0"/>
        <v>13.0</v>
      </c>
      <c r="E4" s="9">
        <f t="shared" si="0"/>
        <v>0.0</v>
      </c>
      <c r="F4" s="9">
        <f t="shared" si="0"/>
        <v>0.0</v>
      </c>
      <c r="G4" s="9">
        <f t="shared" si="0"/>
        <v>0.0</v>
      </c>
      <c r="H4" s="9">
        <f t="shared" si="0"/>
        <v>0.0</v>
      </c>
      <c r="I4" s="9">
        <f t="shared" si="0"/>
        <v>0.0</v>
      </c>
      <c r="J4" s="9">
        <f t="shared" si="0"/>
        <v>0.0</v>
      </c>
      <c r="K4" s="9">
        <f t="shared" si="0"/>
        <v>7.286400000000001</v>
      </c>
      <c r="L4" s="9">
        <f t="shared" si="0"/>
        <v>54.720000000000006</v>
      </c>
      <c r="M4" s="9">
        <f t="shared" si="0"/>
        <v>125.8704</v>
      </c>
      <c r="N4" s="9">
        <f t="shared" si="0"/>
        <v>226.2204</v>
      </c>
      <c r="O4" s="9">
        <f t="shared" si="0"/>
        <v>341.59680000000003</v>
      </c>
      <c r="P4" s="9">
        <f t="shared" si="0"/>
        <v>448.06500000000005</v>
      </c>
      <c r="Q4" s="9">
        <f t="shared" si="0"/>
        <v>538.4295000000001</v>
      </c>
      <c r="R4" s="9">
        <f t="shared" si="0"/>
        <v>603.3645000000001</v>
      </c>
      <c r="S4" s="9">
        <f t="shared" si="0"/>
        <v>620.7390000000001</v>
      </c>
      <c r="T4" s="9">
        <f t="shared" si="0"/>
        <v>634.2525</v>
      </c>
      <c r="U4" s="9">
        <f t="shared" si="0"/>
        <v>643.9050000000001</v>
      </c>
      <c r="V4" s="9">
        <f t="shared" si="0"/>
        <v>643.9050000000001</v>
      </c>
      <c r="W4" s="9">
        <f t="shared" si="0"/>
        <v>643.9050000000001</v>
      </c>
      <c r="X4" s="9">
        <f t="shared" si="0"/>
        <v>589.2570000000001</v>
      </c>
      <c r="Y4" s="9">
        <f t="shared" si="0"/>
        <v>401.5503</v>
      </c>
      <c r="Z4" s="9">
        <f t="shared" si="0"/>
        <v>276.71337</v>
      </c>
      <c r="AA4" s="9">
        <f t="shared" si="0"/>
        <v>191.950623</v>
      </c>
      <c r="AB4" s="9">
        <f t="shared" si="0"/>
        <v>133.66594169999996</v>
      </c>
      <c r="AC4" s="9">
        <f t="shared" si="0"/>
        <v>93.28636142999997</v>
      </c>
    </row>
    <row r="5" spans="1:29" x14ac:dyDescent="0.2">
      <c r="A5" s="2" t="s">
        <v>14</v>
      </c>
      <c r="B5" s="9">
        <v>31.997</v>
      </c>
      <c r="C5" s="9">
        <v>64.244</v>
      </c>
      <c r="D5" s="9">
        <v>74.042000000000002</v>
      </c>
      <c r="E5" s="9">
        <f>SUM('Quarterly Model'!F5:I5)</f>
        <v>88.731</v>
      </c>
      <c r="F5" s="9">
        <f>Pipeline!C39</f>
        <v>71.0</v>
      </c>
      <c r="G5" s="9">
        <f>Pipeline!D39</f>
        <v>85.48</v>
      </c>
      <c r="H5" s="9">
        <f>Pipeline!E39</f>
        <v>116.4744</v>
      </c>
      <c r="I5" s="9">
        <f>Pipeline!F39</f>
        <v>117.483632</v>
      </c>
      <c r="J5" s="9">
        <f>Pipeline!G39</f>
        <v>90.75814096</v>
      </c>
      <c r="K5" s="9">
        <f>Pipeline!H39</f>
        <v>54.312774084682346</v>
      </c>
      <c r="L5" s="9">
        <f>Pipeline!I39</f>
        <v>42.633407307222825</v>
      </c>
      <c r="M5" s="9">
        <f>Pipeline!J39</f>
        <v>12.811409526439503</v>
      </c>
      <c r="N5" s="9">
        <f>Pipeline!K39</f>
        <v>15.361000000000002</v>
      </c>
      <c r="O5" s="9">
        <f>Pipeline!L39</f>
        <v>21.222000000000005</v>
      </c>
      <c r="P5" s="9">
        <f>Pipeline!M39</f>
        <v>27.922500000000003</v>
      </c>
      <c r="Q5" s="9">
        <f>Pipeline!N39</f>
        <v>33.626250000000006</v>
      </c>
      <c r="R5" s="9">
        <f>Pipeline!O39</f>
        <v>37.78875000000001</v>
      </c>
      <c r="S5" s="9">
        <f>Pipeline!P39</f>
        <v>38.90250000000001</v>
      </c>
      <c r="T5" s="9">
        <f>Pipeline!Q39</f>
        <v>39.76875000000001</v>
      </c>
      <c r="U5" s="9">
        <f>Pipeline!R39</f>
        <v>40.38750000000001</v>
      </c>
      <c r="V5" s="9">
        <f>Pipeline!S39</f>
        <v>40.38750000000001</v>
      </c>
      <c r="W5" s="9">
        <f>Pipeline!T39</f>
        <v>40.38750000000001</v>
      </c>
      <c r="X5" s="9">
        <f>Pipeline!U39</f>
        <v>37.41750000000001</v>
      </c>
      <c r="Y5" s="9">
        <f>Pipeline!V39</f>
        <v>25.598250000000004</v>
      </c>
      <c r="Z5" s="9">
        <f>Pipeline!W39</f>
        <v>17.681175</v>
      </c>
      <c r="AA5" s="9">
        <f>Pipeline!X39</f>
        <v>13.13897379557595</v>
      </c>
      <c r="AB5" s="9">
        <f>Pipeline!Y39</f>
        <v>13.53314300944323</v>
      </c>
      <c r="AC5" s="9">
        <f>Pipeline!Z39</f>
        <v>13.939137299726527</v>
      </c>
    </row>
    <row r="6" spans="1:29" x14ac:dyDescent="0.2">
      <c r="A6" s="2" t="s">
        <v>15</v>
      </c>
      <c r="B6" s="9">
        <v>10.853</v>
      </c>
      <c r="C6" s="9">
        <v>12.769</v>
      </c>
      <c r="D6" s="9">
        <v>20.029</v>
      </c>
      <c r="E6" s="9">
        <f>SUM('Quarterly Model'!F6:I6)</f>
        <v>32.118</v>
      </c>
      <c r="F6" s="9">
        <f>Pipeline!C42</f>
        <v>34.0</v>
      </c>
      <c r="G6" s="9">
        <f>Pipeline!D42</f>
        <v>35.02</v>
      </c>
      <c r="H6" s="9">
        <f>Pipeline!E42</f>
        <v>36.0706</v>
      </c>
      <c r="I6" s="9">
        <f>Pipeline!F42</f>
        <v>37.152718</v>
      </c>
      <c r="J6" s="9">
        <f>Pipeline!G42</f>
        <v>43.76729954</v>
      </c>
      <c r="K6" s="9">
        <f>Pipeline!H42</f>
        <v>44.02701992994999</v>
      </c>
      <c r="L6" s="9">
        <f>Pipeline!I42</f>
        <v>70.9309905278485</v>
      </c>
      <c r="M6" s="9">
        <f>Pipeline!J42</f>
        <v>97.85662024368398</v>
      </c>
      <c r="N6" s="9">
        <f>Pipeline!K42</f>
        <v>133.10950000000003</v>
      </c>
      <c r="O6" s="9">
        <f>Pipeline!L42</f>
        <v>172.5084</v>
      </c>
      <c r="P6" s="9">
        <f>Pipeline!M42</f>
        <v>209.50650000000002</v>
      </c>
      <c r="Q6" s="9">
        <f>Pipeline!N42</f>
        <v>233.93700000000007</v>
      </c>
      <c r="R6" s="9">
        <f>Pipeline!O42</f>
        <v>259.38000000000005</v>
      </c>
      <c r="S6" s="9">
        <f>Pipeline!P42</f>
        <v>264.5280000000001</v>
      </c>
      <c r="T6" s="9">
        <f>Pipeline!Q42</f>
        <v>261.8550000000001</v>
      </c>
      <c r="U6" s="9">
        <f>Pipeline!R42</f>
        <v>265.32000000000005</v>
      </c>
      <c r="V6" s="9">
        <f>Pipeline!S42</f>
        <v>265.32000000000005</v>
      </c>
      <c r="W6" s="9">
        <f>Pipeline!T42</f>
        <v>265.32000000000005</v>
      </c>
      <c r="X6" s="9">
        <f>Pipeline!U42</f>
        <v>242.74800000000005</v>
      </c>
      <c r="Y6" s="9">
        <f>Pipeline!V42</f>
        <v>165.4092</v>
      </c>
      <c r="Z6" s="9">
        <f>Pipeline!W42</f>
        <v>113.98067999999999</v>
      </c>
      <c r="AA6" s="9">
        <f>Pipeline!X42</f>
        <v>87.33363931559889</v>
      </c>
      <c r="AB6" s="9">
        <f>Pipeline!Y42</f>
        <v>70.11915689506687</v>
      </c>
      <c r="AC6" s="9">
        <f>Pipeline!Z42</f>
        <v>58.48228796191887</v>
      </c>
    </row>
    <row r="7" spans="1:29" x14ac:dyDescent="0.2">
      <c r="A7" s="2" t="s">
        <v>16</v>
      </c>
      <c r="B7" s="9">
        <f t="shared" ref="B7:AC7" si="1">SUM(B5:B6)</f>
        <v>42.85</v>
      </c>
      <c r="C7" s="9">
        <f t="shared" si="1"/>
        <v>77.013</v>
      </c>
      <c r="D7" s="9">
        <f t="shared" si="1"/>
        <v>94.071</v>
      </c>
      <c r="E7" s="9">
        <f t="shared" si="1"/>
        <v>120.84899999999999</v>
      </c>
      <c r="F7" s="9">
        <f t="shared" si="1"/>
        <v>105.0</v>
      </c>
      <c r="G7" s="9">
        <f t="shared" si="1"/>
        <v>120.5</v>
      </c>
      <c r="H7" s="9">
        <f t="shared" si="1"/>
        <v>152.54500000000002</v>
      </c>
      <c r="I7" s="9">
        <f t="shared" si="1"/>
        <v>154.63635</v>
      </c>
      <c r="J7" s="9">
        <f t="shared" si="1"/>
        <v>134.5254405</v>
      </c>
      <c r="K7" s="9">
        <f t="shared" si="1"/>
        <v>98.33979401463233</v>
      </c>
      <c r="L7" s="9">
        <f t="shared" si="1"/>
        <v>113.56439783507132</v>
      </c>
      <c r="M7" s="9">
        <f t="shared" si="1"/>
        <v>110.66802977012348</v>
      </c>
      <c r="N7" s="9">
        <f t="shared" si="1"/>
        <v>148.47050000000002</v>
      </c>
      <c r="O7" s="9">
        <f t="shared" si="1"/>
        <v>193.7304</v>
      </c>
      <c r="P7" s="9">
        <f t="shared" si="1"/>
        <v>237.42900000000003</v>
      </c>
      <c r="Q7" s="9">
        <f t="shared" si="1"/>
        <v>267.5632500000001</v>
      </c>
      <c r="R7" s="9">
        <f t="shared" si="1"/>
        <v>297.16875000000005</v>
      </c>
      <c r="S7" s="9">
        <f t="shared" si="1"/>
        <v>303.4305000000001</v>
      </c>
      <c r="T7" s="9">
        <f t="shared" si="1"/>
        <v>301.6237500000001</v>
      </c>
      <c r="U7" s="9">
        <f t="shared" si="1"/>
        <v>305.70750000000004</v>
      </c>
      <c r="V7" s="9">
        <f t="shared" si="1"/>
        <v>305.70750000000004</v>
      </c>
      <c r="W7" s="9">
        <f t="shared" si="1"/>
        <v>305.70750000000004</v>
      </c>
      <c r="X7" s="9">
        <f t="shared" si="1"/>
        <v>280.16550000000007</v>
      </c>
      <c r="Y7" s="9">
        <f t="shared" si="1"/>
        <v>191.00745</v>
      </c>
      <c r="Z7" s="9">
        <f t="shared" si="1"/>
        <v>131.661855</v>
      </c>
      <c r="AA7" s="9">
        <f t="shared" si="1"/>
        <v>100.47261311117484</v>
      </c>
      <c r="AB7" s="9">
        <f t="shared" si="1"/>
        <v>83.6522999045101</v>
      </c>
      <c r="AC7" s="9">
        <f t="shared" si="1"/>
        <v>72.4214252616454</v>
      </c>
    </row>
    <row r="8" spans="1:29" x14ac:dyDescent="0.2">
      <c r="A8" s="2" t="s">
        <v>17</v>
      </c>
      <c r="B8" s="9">
        <f t="shared" ref="B8:AC8" si="2">B4-B7</f>
        <v>-37.85</v>
      </c>
      <c r="C8" s="9">
        <f t="shared" si="2"/>
        <v>-70.013</v>
      </c>
      <c r="D8" s="9">
        <f t="shared" si="2"/>
        <v>-81.071</v>
      </c>
      <c r="E8" s="9">
        <f t="shared" si="2"/>
        <v>-120.84899999999999</v>
      </c>
      <c r="F8" s="9">
        <f t="shared" si="2"/>
        <v>-105.0</v>
      </c>
      <c r="G8" s="9">
        <f t="shared" si="2"/>
        <v>-120.5</v>
      </c>
      <c r="H8" s="9">
        <f t="shared" si="2"/>
        <v>-152.54500000000002</v>
      </c>
      <c r="I8" s="9">
        <f t="shared" si="2"/>
        <v>-154.63635</v>
      </c>
      <c r="J8" s="9">
        <f t="shared" si="2"/>
        <v>-134.5254405</v>
      </c>
      <c r="K8" s="9">
        <f t="shared" si="2"/>
        <v>-91.05339401463233</v>
      </c>
      <c r="L8" s="9">
        <f t="shared" si="2"/>
        <v>-58.84439783507131</v>
      </c>
      <c r="M8" s="9">
        <f t="shared" si="2"/>
        <v>15.202370229876522</v>
      </c>
      <c r="N8" s="9">
        <f t="shared" si="2"/>
        <v>77.7499</v>
      </c>
      <c r="O8" s="9">
        <f t="shared" si="2"/>
        <v>147.86640000000003</v>
      </c>
      <c r="P8" s="9">
        <f t="shared" si="2"/>
        <v>210.63600000000002</v>
      </c>
      <c r="Q8" s="9">
        <f t="shared" si="2"/>
        <v>270.86625</v>
      </c>
      <c r="R8" s="9">
        <f t="shared" si="2"/>
        <v>306.1957500000001</v>
      </c>
      <c r="S8" s="9">
        <f t="shared" si="2"/>
        <v>317.30850000000004</v>
      </c>
      <c r="T8" s="9">
        <f t="shared" si="2"/>
        <v>332.62874999999997</v>
      </c>
      <c r="U8" s="9">
        <f t="shared" si="2"/>
        <v>338.19750000000005</v>
      </c>
      <c r="V8" s="9">
        <f t="shared" si="2"/>
        <v>338.19750000000005</v>
      </c>
      <c r="W8" s="9">
        <f t="shared" si="2"/>
        <v>338.19750000000005</v>
      </c>
      <c r="X8" s="9">
        <f t="shared" si="2"/>
        <v>309.0915</v>
      </c>
      <c r="Y8" s="9">
        <f t="shared" si="2"/>
        <v>210.54285</v>
      </c>
      <c r="Z8" s="9">
        <f t="shared" si="2"/>
        <v>145.051515</v>
      </c>
      <c r="AA8" s="9">
        <f t="shared" si="2"/>
        <v>91.47800988882517</v>
      </c>
      <c r="AB8" s="9">
        <f t="shared" si="2"/>
        <v>50.01364179548986</v>
      </c>
      <c r="AC8" s="9">
        <f t="shared" si="2"/>
        <v>20.864936168354575</v>
      </c>
    </row>
    <row r="9" spans="1:29" x14ac:dyDescent="0.2">
      <c r="A9" s="2" t="s">
        <v>18</v>
      </c>
      <c r="B9" s="9">
        <v>3.7970000000000002</v>
      </c>
      <c r="C9" s="9">
        <v>3.2050000000000001</v>
      </c>
      <c r="D9" s="9">
        <v>12.201000000000001</v>
      </c>
      <c r="E9" s="9">
        <f>SUM('Quarterly Model'!F9:I9)</f>
        <v>10.091944365234372</v>
      </c>
      <c r="F9" s="9">
        <f>Assumptions!$B$16*MAX(0,E20)</f>
        <v>9.006372913696286</v>
      </c>
      <c r="G9" s="9">
        <f>Assumptions!$B$16*MAX(0,F20)</f>
        <v>5.4066118979598965</v>
      </c>
      <c r="H9" s="9">
        <f>Assumptions!$B$16*MAX(0,G20)</f>
        <v>1.0906098441333927</v>
      </c>
      <c r="I9" s="9">
        <f>Assumptions!$B$16*MAX(0,H20)</f>
        <v>0.0</v>
      </c>
      <c r="J9" s="9">
        <f>Assumptions!$B$16*MAX(0,I20)</f>
        <v>0.0</v>
      </c>
      <c r="K9" s="9">
        <f>Assumptions!$B$16*MAX(0,J20)</f>
        <v>0.0</v>
      </c>
      <c r="L9" s="9">
        <f>Assumptions!$B$16*MAX(0,K20)</f>
        <v>0.0</v>
      </c>
      <c r="M9" s="9">
        <f>Assumptions!$B$16*MAX(0,L20)</f>
        <v>0.0</v>
      </c>
      <c r="N9" s="9">
        <f>Assumptions!$B$16*MAX(0,M20)</f>
        <v>0.0</v>
      </c>
      <c r="O9" s="9">
        <f>Assumptions!$B$16*MAX(0,N20)</f>
        <v>0.0</v>
      </c>
      <c r="P9" s="9">
        <f>Assumptions!$B$16*MAX(0,O20)</f>
        <v>0.0</v>
      </c>
      <c r="Q9" s="9">
        <f>Assumptions!$B$16*MAX(0,P20)</f>
        <v>0.0</v>
      </c>
      <c r="R9" s="9">
        <f>Assumptions!$B$16*MAX(0,Q20)</f>
        <v>6.033370383794879</v>
      </c>
      <c r="S9" s="9">
        <f>Assumptions!$B$16*MAX(0,R20)</f>
        <v>17.74196239818719</v>
      </c>
      <c r="T9" s="9">
        <f>Assumptions!$B$16*MAX(0,S20)</f>
        <v>28.67432036811417</v>
      </c>
      <c r="U9" s="9">
        <f>Assumptions!$B$16*MAX(0,T20)</f>
        <v>39.37792382776956</v>
      </c>
      <c r="V9" s="9">
        <f>Assumptions!$B$16*MAX(0,U20)</f>
        <v>50.56359575866723</v>
      </c>
      <c r="W9" s="9">
        <f>Assumptions!$B$16*MAX(0,V20)</f>
        <v>62.08064322051775</v>
      </c>
      <c r="X9" s="9">
        <f>Assumptions!$B$16*MAX(0,W20)</f>
        <v>73.93888321342558</v>
      </c>
      <c r="Y9" s="9">
        <f>Assumptions!$B$16*MAX(0,X20)</f>
        <v>85.28615831612332</v>
      </c>
      <c r="Z9" s="9">
        <f>Assumptions!$B$16*MAX(0,Y20)</f>
        <v>94.05009268748847</v>
      </c>
      <c r="AA9" s="9">
        <f>Assumptions!$B$16*MAX(0,Z20)</f>
        <v>101.13347781523032</v>
      </c>
      <c r="AB9" s="9">
        <f>Assumptions!$B$16*MAX(0,AA20)</f>
        <v>106.83959313846296</v>
      </c>
      <c r="AC9" s="9">
        <f>Assumptions!$B$16*MAX(0,AB20)</f>
        <v>111.48637022338131</v>
      </c>
    </row>
    <row r="10" spans="1:29" x14ac:dyDescent="0.2">
      <c r="A10" s="2" t="s">
        <v>19</v>
      </c>
      <c r="B10" s="9">
        <f t="shared" ref="B10:AC10" si="3">B8+B9</f>
        <v>-34.053000000000004</v>
      </c>
      <c r="C10" s="9">
        <f t="shared" si="3"/>
        <v>-66.808</v>
      </c>
      <c r="D10" s="9">
        <f t="shared" si="3"/>
        <v>-68.87</v>
      </c>
      <c r="E10" s="9">
        <f t="shared" si="3"/>
        <v>-110.75705563476562</v>
      </c>
      <c r="F10" s="9">
        <f t="shared" si="3"/>
        <v>-95.99362708630372</v>
      </c>
      <c r="G10" s="9">
        <f t="shared" si="3"/>
        <v>-115.09338810204011</v>
      </c>
      <c r="H10" s="9">
        <f t="shared" si="3"/>
        <v>-151.45439015586663</v>
      </c>
      <c r="I10" s="9">
        <f t="shared" si="3"/>
        <v>-154.63635</v>
      </c>
      <c r="J10" s="9">
        <f t="shared" si="3"/>
        <v>-134.5254405</v>
      </c>
      <c r="K10" s="9">
        <f t="shared" si="3"/>
        <v>-91.05339401463233</v>
      </c>
      <c r="L10" s="9">
        <f t="shared" si="3"/>
        <v>-58.84439783507131</v>
      </c>
      <c r="M10" s="9">
        <f t="shared" si="3"/>
        <v>15.202370229876522</v>
      </c>
      <c r="N10" s="9">
        <f t="shared" si="3"/>
        <v>77.7499</v>
      </c>
      <c r="O10" s="9">
        <f t="shared" si="3"/>
        <v>147.86640000000003</v>
      </c>
      <c r="P10" s="9">
        <f t="shared" si="3"/>
        <v>210.63600000000002</v>
      </c>
      <c r="Q10" s="9">
        <f t="shared" si="3"/>
        <v>270.86625</v>
      </c>
      <c r="R10" s="9">
        <f t="shared" si="3"/>
        <v>312.22912038379496</v>
      </c>
      <c r="S10" s="9">
        <f t="shared" si="3"/>
        <v>335.0504623981872</v>
      </c>
      <c r="T10" s="9">
        <f t="shared" si="3"/>
        <v>361.30307036811416</v>
      </c>
      <c r="U10" s="9">
        <f t="shared" si="3"/>
        <v>377.5754238277696</v>
      </c>
      <c r="V10" s="9">
        <f t="shared" si="3"/>
        <v>388.7610957586673</v>
      </c>
      <c r="W10" s="9">
        <f t="shared" si="3"/>
        <v>400.2781432205178</v>
      </c>
      <c r="X10" s="9">
        <f t="shared" si="3"/>
        <v>383.0303832134256</v>
      </c>
      <c r="Y10" s="9">
        <f t="shared" si="3"/>
        <v>295.8290083161233</v>
      </c>
      <c r="Z10" s="9">
        <f t="shared" si="3"/>
        <v>239.10160768748847</v>
      </c>
      <c r="AA10" s="9">
        <f t="shared" si="3"/>
        <v>192.6114877040555</v>
      </c>
      <c r="AB10" s="9">
        <f t="shared" si="3"/>
        <v>156.85323493395282</v>
      </c>
      <c r="AC10" s="9">
        <f t="shared" si="3"/>
        <v>132.35130639173587</v>
      </c>
    </row>
    <row r="11" spans="1:29" x14ac:dyDescent="0.2">
      <c r="A11" s="2" t="s">
        <v>20</v>
      </c>
      <c r="B11" s="9">
        <v>0</v>
      </c>
      <c r="C11" s="9">
        <v>0</v>
      </c>
      <c r="D11" s="9">
        <v>0</v>
      </c>
      <c r="E11" s="9">
        <f>SUM('Quarterly Model'!F11:I11)</f>
        <v>0.0</v>
      </c>
      <c r="F11" s="9">
        <f>MAX(0,F10-E21)*Assumptions!$B$15</f>
        <v>0.0</v>
      </c>
      <c r="G11" s="9">
        <f>MAX(0,G10-F21)*Assumptions!$B$15</f>
        <v>0.0</v>
      </c>
      <c r="H11" s="9">
        <f>MAX(0,H10-G21)*Assumptions!$B$15</f>
        <v>0.0</v>
      </c>
      <c r="I11" s="9">
        <f>MAX(0,I10-H21)*Assumptions!$B$15</f>
        <v>0.0</v>
      </c>
      <c r="J11" s="9">
        <f>MAX(0,J10-I21)*Assumptions!$B$15</f>
        <v>0.0</v>
      </c>
      <c r="K11" s="9">
        <f>MAX(0,K10-J21)*Assumptions!$B$15</f>
        <v>0.0</v>
      </c>
      <c r="L11" s="9">
        <f>MAX(0,L10-K21)*Assumptions!$B$15</f>
        <v>0.0</v>
      </c>
      <c r="M11" s="9">
        <f>MAX(0,M10-L21)*Assumptions!$B$15</f>
        <v>0.0</v>
      </c>
      <c r="N11" s="9">
        <f>MAX(0,N10-M21)*Assumptions!$B$15</f>
        <v>0.0</v>
      </c>
      <c r="O11" s="9">
        <f>MAX(0,O10-N21)*Assumptions!$B$15</f>
        <v>0.0</v>
      </c>
      <c r="P11" s="9">
        <f>MAX(0,P10-O21)*Assumptions!$B$15</f>
        <v>0.0</v>
      </c>
      <c r="Q11" s="9">
        <f>MAX(0,Q10-P21)*Assumptions!$B$15</f>
        <v>0.0</v>
      </c>
      <c r="R11" s="9">
        <f>MAX(0,R10-Q21)*Assumptions!$B$15</f>
        <v>0.0</v>
      </c>
      <c r="S11" s="9">
        <f>MAX(0,S10-R21)*Assumptions!$B$15</f>
        <v>43.52091653346761</v>
      </c>
      <c r="T11" s="9">
        <f>MAX(0,T10-S21)*Assumptions!$B$15</f>
        <v>75.87364477730397</v>
      </c>
      <c r="U11" s="9">
        <f>MAX(0,U10-T21)*Assumptions!$B$15</f>
        <v>79.29083900383162</v>
      </c>
      <c r="V11" s="9">
        <f>MAX(0,V10-U21)*Assumptions!$B$15</f>
        <v>81.63983010932013</v>
      </c>
      <c r="W11" s="9">
        <f>MAX(0,W10-V21)*Assumptions!$B$15</f>
        <v>84.05841007630873</v>
      </c>
      <c r="X11" s="9">
        <f>MAX(0,X10-W21)*Assumptions!$B$15</f>
        <v>80.43638047481937</v>
      </c>
      <c r="Y11" s="9">
        <f>MAX(0,Y10-X21)*Assumptions!$B$15</f>
        <v>62.124091746385886</v>
      </c>
      <c r="Z11" s="9">
        <f>MAX(0,Z10-Y21)*Assumptions!$B$15</f>
        <v>50.211337614372574</v>
      </c>
      <c r="AA11" s="9">
        <f>MAX(0,AA10-Z21)*Assumptions!$B$15</f>
        <v>40.44841241785165</v>
      </c>
      <c r="AB11" s="9">
        <f>MAX(0,AB10-AA21)*Assumptions!$B$15</f>
        <v>32.93917933613009</v>
      </c>
      <c r="AC11" s="9">
        <f>MAX(0,AC10-AB21)*Assumptions!$B$15</f>
        <v>27.793774342264534</v>
      </c>
    </row>
    <row r="12" spans="1:29" x14ac:dyDescent="0.2">
      <c r="A12" s="2" t="s">
        <v>21</v>
      </c>
      <c r="B12" s="9">
        <f t="shared" ref="B12:AC12" si="4">B10-B11</f>
        <v>-34.053000000000004</v>
      </c>
      <c r="C12" s="9">
        <f t="shared" si="4"/>
        <v>-66.808</v>
      </c>
      <c r="D12" s="9">
        <f t="shared" si="4"/>
        <v>-68.87</v>
      </c>
      <c r="E12" s="9">
        <f t="shared" si="4"/>
        <v>-110.75705563476562</v>
      </c>
      <c r="F12" s="9">
        <f t="shared" si="4"/>
        <v>-95.99362708630372</v>
      </c>
      <c r="G12" s="9">
        <f t="shared" si="4"/>
        <v>-115.09338810204011</v>
      </c>
      <c r="H12" s="9">
        <f t="shared" si="4"/>
        <v>-151.45439015586663</v>
      </c>
      <c r="I12" s="9">
        <f t="shared" si="4"/>
        <v>-154.63635</v>
      </c>
      <c r="J12" s="9">
        <f t="shared" si="4"/>
        <v>-134.5254405</v>
      </c>
      <c r="K12" s="9">
        <f t="shared" si="4"/>
        <v>-91.05339401463233</v>
      </c>
      <c r="L12" s="9">
        <f t="shared" si="4"/>
        <v>-58.84439783507131</v>
      </c>
      <c r="M12" s="9">
        <f t="shared" si="4"/>
        <v>15.202370229876522</v>
      </c>
      <c r="N12" s="9">
        <f t="shared" si="4"/>
        <v>77.7499</v>
      </c>
      <c r="O12" s="9">
        <f t="shared" si="4"/>
        <v>147.86640000000003</v>
      </c>
      <c r="P12" s="9">
        <f t="shared" si="4"/>
        <v>210.63600000000002</v>
      </c>
      <c r="Q12" s="9">
        <f t="shared" si="4"/>
        <v>270.86625</v>
      </c>
      <c r="R12" s="9">
        <f t="shared" si="4"/>
        <v>312.22912038379496</v>
      </c>
      <c r="S12" s="9">
        <f t="shared" si="4"/>
        <v>291.5295458647196</v>
      </c>
      <c r="T12" s="9">
        <f t="shared" si="4"/>
        <v>285.4294255908102</v>
      </c>
      <c r="U12" s="9">
        <f t="shared" si="4"/>
        <v>298.28458482393796</v>
      </c>
      <c r="V12" s="9">
        <f t="shared" si="4"/>
        <v>307.12126564934715</v>
      </c>
      <c r="W12" s="9">
        <f t="shared" si="4"/>
        <v>316.21973314420904</v>
      </c>
      <c r="X12" s="9">
        <f t="shared" si="4"/>
        <v>302.5940027386062</v>
      </c>
      <c r="Y12" s="9">
        <f t="shared" si="4"/>
        <v>233.7049165697374</v>
      </c>
      <c r="Z12" s="9">
        <f t="shared" si="4"/>
        <v>188.8902700731159</v>
      </c>
      <c r="AA12" s="9">
        <f t="shared" si="4"/>
        <v>152.16307528620385</v>
      </c>
      <c r="AB12" s="9">
        <f t="shared" si="4"/>
        <v>123.91405559782274</v>
      </c>
      <c r="AC12" s="9">
        <f t="shared" si="4"/>
        <v>104.55753204947135</v>
      </c>
    </row>
    <row r="13" spans="1:29" x14ac:dyDescent="0.2">
      <c r="A13" s="2" t="s">
        <v>22</v>
      </c>
      <c r="B13" s="8">
        <f t="shared" ref="B13:AC13" si="5">B12/B14</f>
        <v>-27.17166671720178</v>
      </c>
      <c r="C13" s="8">
        <f t="shared" si="5"/>
        <v>-44.294045418502094</v>
      </c>
      <c r="D13" s="8">
        <f t="shared" si="5"/>
        <v>-11.222761134927996</v>
      </c>
      <c r="E13" s="8">
        <f t="shared" si="5"/>
        <v>-3.1113713500553284</v>
      </c>
      <c r="F13" s="8">
        <f t="shared" si="5"/>
        <v>-2.696639228918525</v>
      </c>
      <c r="G13" s="8">
        <f t="shared" si="5"/>
        <v>-3.233186980903117</v>
      </c>
      <c r="H13" s="8">
        <f t="shared" si="5"/>
        <v>-4.254635044876998</v>
      </c>
      <c r="I13" s="8">
        <f t="shared" si="5"/>
        <v>-4.344022205264417</v>
      </c>
      <c r="J13" s="8">
        <f t="shared" si="5"/>
        <v>-3.7790694148237276</v>
      </c>
      <c r="K13" s="8">
        <f t="shared" si="5"/>
        <v>-2.557858908751099</v>
      </c>
      <c r="L13" s="8">
        <f t="shared" si="5"/>
        <v>-1.653048399363818</v>
      </c>
      <c r="M13" s="8">
        <f t="shared" si="5"/>
        <v>0.42706280800881763</v>
      </c>
      <c r="N13" s="8">
        <f t="shared" si="5"/>
        <v>2.184139059523119</v>
      </c>
      <c r="O13" s="8">
        <f t="shared" si="5"/>
        <v>4.153841739102808</v>
      </c>
      <c r="P13" s="8">
        <f t="shared" si="5"/>
        <v>5.917156355721509</v>
      </c>
      <c r="Q13" s="8">
        <f t="shared" si="5"/>
        <v>7.609135915693191</v>
      </c>
      <c r="R13" s="8">
        <f t="shared" si="5"/>
        <v>8.771095748686399</v>
      </c>
      <c r="S13" s="8">
        <f t="shared" si="5"/>
        <v>8.18960626480768</v>
      </c>
      <c r="T13" s="8">
        <f t="shared" si="5"/>
        <v>8.018242559413405</v>
      </c>
      <c r="U13" s="8">
        <f t="shared" si="5"/>
        <v>8.379367852146432</v>
      </c>
      <c r="V13" s="8">
        <f t="shared" si="5"/>
        <v>8.62760662476627</v>
      </c>
      <c r="W13" s="8">
        <f t="shared" si="5"/>
        <v>8.883199471024971</v>
      </c>
      <c r="X13" s="8">
        <f t="shared" si="5"/>
        <v>8.500427403235701</v>
      </c>
      <c r="Y13" s="8">
        <f t="shared" si="5"/>
        <v>6.565205057274096</v>
      </c>
      <c r="Z13" s="8">
        <f t="shared" si="5"/>
        <v>5.306278423902324</v>
      </c>
      <c r="AA13" s="8">
        <f t="shared" si="5"/>
        <v>4.274543326097588</v>
      </c>
      <c r="AB13" s="8">
        <f t="shared" si="5"/>
        <v>3.480975909359678</v>
      </c>
      <c r="AC13" s="8">
        <f t="shared" si="5"/>
        <v>2.9372152210689757</v>
      </c>
    </row>
    <row r="14" spans="1:29" x14ac:dyDescent="0.2">
      <c r="A14" s="2" t="s">
        <v>2</v>
      </c>
      <c r="B14" s="12">
        <v>1.2532540000000001</v>
      </c>
      <c r="C14" s="12">
        <v>1.508284</v>
      </c>
      <c r="D14" s="12">
        <v>6.1366360000000002</v>
      </c>
      <c r="E14" s="12">
        <f>AVERAGE('Quarterly Model'!F14:I14)</f>
        <v>35.5975045</v>
      </c>
      <c r="F14" s="12">
        <f>E14*(1+Assumptions!$B$23)</f>
        <v>35.5975045</v>
      </c>
      <c r="G14" s="12">
        <f>F14*(1+Assumptions!$B$23)</f>
        <v>35.5975045</v>
      </c>
      <c r="H14" s="12">
        <f>G14*(1+Assumptions!$B$23)</f>
        <v>35.5975045</v>
      </c>
      <c r="I14" s="12">
        <f>H14*(1+Assumptions!$B$23)</f>
        <v>35.5975045</v>
      </c>
      <c r="J14" s="12">
        <f>I14*(1+Assumptions!$B$23)</f>
        <v>35.5975045</v>
      </c>
      <c r="K14" s="12">
        <f>J14*(1+Assumptions!$B$23)</f>
        <v>35.5975045</v>
      </c>
      <c r="L14" s="12">
        <f>K14*(1+Assumptions!$B$23)</f>
        <v>35.5975045</v>
      </c>
      <c r="M14" s="12">
        <f>L14*(1+Assumptions!$B$23)</f>
        <v>35.5975045</v>
      </c>
      <c r="N14" s="12">
        <f>M14*(1+Assumptions!$B$23)</f>
        <v>35.5975045</v>
      </c>
      <c r="O14" s="12">
        <f>N14*(1+Assumptions!$B$23)</f>
        <v>35.5975045</v>
      </c>
      <c r="P14" s="12">
        <f>O14*(1+Assumptions!$B$23)</f>
        <v>35.5975045</v>
      </c>
      <c r="Q14" s="12">
        <f>P14*(1+Assumptions!$B$23)</f>
        <v>35.5975045</v>
      </c>
      <c r="R14" s="12">
        <f>Q14*(1+Assumptions!$B$23)</f>
        <v>35.5975045</v>
      </c>
      <c r="S14" s="12">
        <f>R14*(1+Assumptions!$B$23)</f>
        <v>35.5975045</v>
      </c>
      <c r="T14" s="12">
        <f>S14*(1+Assumptions!$B$23)</f>
        <v>35.5975045</v>
      </c>
      <c r="U14" s="12">
        <f>T14*(1+Assumptions!$B$23)</f>
        <v>35.5975045</v>
      </c>
      <c r="V14" s="12">
        <f>U14*(1+Assumptions!$B$23)</f>
        <v>35.5975045</v>
      </c>
      <c r="W14" s="12">
        <f>V14*(1+Assumptions!$B$23)</f>
        <v>35.5975045</v>
      </c>
      <c r="X14" s="12">
        <f>W14*(1+Assumptions!$B$23)</f>
        <v>35.5975045</v>
      </c>
      <c r="Y14" s="12">
        <f>X14*(1+Assumptions!$B$23)</f>
        <v>35.5975045</v>
      </c>
      <c r="Z14" s="12">
        <f>Y14*(1+Assumptions!$B$23)</f>
        <v>35.5975045</v>
      </c>
      <c r="AA14" s="12">
        <f>Z14*(1+Assumptions!$B$23)</f>
        <v>35.5975045</v>
      </c>
      <c r="AB14" s="12">
        <f>AA14*(1+Assumptions!$B$23)</f>
        <v>35.5975045</v>
      </c>
      <c r="AC14" s="12">
        <f>AB14*(1+Assumptions!$B$23)</f>
        <v>35.5975045</v>
      </c>
    </row>
    <row r="16" spans="1:29" s="4" customFormat="1" x14ac:dyDescent="0.2">
      <c r="A16" s="3" t="s">
        <v>23</v>
      </c>
      <c r="C16" s="13">
        <f t="shared" ref="C16:AC16" si="6">IFERROR(C2/B2-1,"")</f>
        <v>0.3999999999999999</v>
      </c>
      <c r="D16" s="13">
        <f t="shared" si="6"/>
        <v>0.8571428571428572</v>
      </c>
      <c r="E16" s="13">
        <f t="shared" si="6"/>
        <v>-1.0</v>
      </c>
      <c r="F16" s="13" t="str">
        <f t="shared" si="6"/>
        <v/>
      </c>
      <c r="G16" s="13" t="str">
        <f t="shared" si="6"/>
        <v/>
      </c>
      <c r="H16" s="13" t="str">
        <f t="shared" si="6"/>
        <v/>
      </c>
      <c r="I16" s="13" t="str">
        <f t="shared" si="6"/>
        <v/>
      </c>
      <c r="J16" s="13" t="str">
        <f t="shared" si="6"/>
        <v/>
      </c>
      <c r="K16" s="13" t="str">
        <f t="shared" si="6"/>
        <v/>
      </c>
      <c r="L16" s="13">
        <f t="shared" si="6"/>
        <v>7.409090909090908</v>
      </c>
      <c r="M16" s="13">
        <f t="shared" si="6"/>
        <v>1.3216216216216212</v>
      </c>
      <c r="N16" s="13">
        <f t="shared" si="6"/>
        <v>0.8090803259604191</v>
      </c>
      <c r="O16" s="13">
        <f t="shared" si="6"/>
        <v>0.5173745173745175</v>
      </c>
      <c r="P16" s="13">
        <f t="shared" si="6"/>
        <v>0.3157336726039015</v>
      </c>
      <c r="Q16" s="13">
        <f t="shared" si="6"/>
        <v>0.20427074939564882</v>
      </c>
      <c r="R16" s="13">
        <f t="shared" si="6"/>
        <v>0.12378721980595508</v>
      </c>
      <c r="S16" s="13">
        <f t="shared" si="6"/>
        <v>0.02947305745757678</v>
      </c>
      <c r="T16" s="13">
        <f t="shared" si="6"/>
        <v>0.022267206477732726</v>
      </c>
      <c r="U16" s="13">
        <f t="shared" si="6"/>
        <v>0.01555869872701554</v>
      </c>
      <c r="V16" s="13">
        <f t="shared" si="6"/>
        <v>0.0</v>
      </c>
      <c r="W16" s="13">
        <f t="shared" si="6"/>
        <v>0.0</v>
      </c>
      <c r="X16" s="13">
        <f t="shared" si="6"/>
        <v>-0.07353760445682445</v>
      </c>
      <c r="Y16" s="13">
        <f t="shared" si="6"/>
        <v>-0.3158749248346363</v>
      </c>
      <c r="Z16" s="13">
        <f t="shared" si="6"/>
        <v>-0.30928188450382355</v>
      </c>
      <c r="AA16" s="13">
        <f t="shared" si="6"/>
        <v>-0.3053752083784024</v>
      </c>
      <c r="AB16" s="13">
        <f t="shared" si="6"/>
        <v>-0.3030953161725508</v>
      </c>
      <c r="AC16" s="13">
        <f t="shared" si="6"/>
        <v>-0.30177660804662754</v>
      </c>
    </row>
    <row r="17" spans="1:29" s="4" customFormat="1" x14ac:dyDescent="0.2">
      <c r="A17" s="3" t="s">
        <v>13</v>
      </c>
      <c r="B17" s="13">
        <f t="shared" ref="B17:AC17" si="7">IFERROR(B4/B2,"")</f>
        <v>1.0</v>
      </c>
      <c r="C17" s="13">
        <f t="shared" si="7"/>
        <v>1.0</v>
      </c>
      <c r="D17" s="13">
        <f t="shared" si="7"/>
        <v>1.0</v>
      </c>
      <c r="E17" s="13" t="str">
        <f t="shared" si="7"/>
        <v/>
      </c>
      <c r="F17" s="13" t="str">
        <f t="shared" si="7"/>
        <v/>
      </c>
      <c r="G17" s="13" t="str">
        <f t="shared" si="7"/>
        <v/>
      </c>
      <c r="H17" s="13" t="str">
        <f t="shared" si="7"/>
        <v/>
      </c>
      <c r="I17" s="13" t="str">
        <f t="shared" si="7"/>
        <v/>
      </c>
      <c r="J17" s="13" t="str">
        <f t="shared" si="7"/>
        <v/>
      </c>
      <c r="K17" s="13">
        <f t="shared" si="7"/>
        <v>0.9199999999999999</v>
      </c>
      <c r="L17" s="13">
        <f t="shared" si="7"/>
        <v>0.8216216216216216</v>
      </c>
      <c r="M17" s="13">
        <f t="shared" si="7"/>
        <v>0.8140628637951106</v>
      </c>
      <c r="N17" s="13">
        <f t="shared" si="7"/>
        <v>0.8087387387387387</v>
      </c>
      <c r="O17" s="13">
        <f t="shared" si="7"/>
        <v>0.8048176420695504</v>
      </c>
      <c r="P17" s="13">
        <f t="shared" si="7"/>
        <v>0.8023368251410153</v>
      </c>
      <c r="Q17" s="13">
        <f t="shared" si="7"/>
        <v>0.8006088992974238</v>
      </c>
      <c r="R17" s="13">
        <f t="shared" si="7"/>
        <v>0.7983387913069366</v>
      </c>
      <c r="S17" s="13">
        <f t="shared" si="7"/>
        <v>0.7978137651821863</v>
      </c>
      <c r="T17" s="13">
        <f t="shared" si="7"/>
        <v>0.7974257425742574</v>
      </c>
      <c r="U17" s="13">
        <f t="shared" si="7"/>
        <v>0.797158774373259</v>
      </c>
      <c r="V17" s="13">
        <f t="shared" si="7"/>
        <v>0.797158774373259</v>
      </c>
      <c r="W17" s="13">
        <f t="shared" si="7"/>
        <v>0.797158774373259</v>
      </c>
      <c r="X17" s="13">
        <f t="shared" si="7"/>
        <v>0.7874082982561635</v>
      </c>
      <c r="Y17" s="13">
        <f t="shared" si="7"/>
        <v>0.7843315461017842</v>
      </c>
      <c r="Z17" s="13">
        <f t="shared" si="7"/>
        <v>0.7825084305765878</v>
      </c>
      <c r="AA17" s="13">
        <f t="shared" si="7"/>
        <v>0.7814444808805237</v>
      </c>
      <c r="AB17" s="13">
        <f t="shared" si="7"/>
        <v>0.7808290837550929</v>
      </c>
      <c r="AC17" s="13">
        <f t="shared" si="7"/>
        <v>0.7804749676190443</v>
      </c>
    </row>
    <row r="19" spans="1:29" x14ac:dyDescent="0.2">
      <c r="A19" s="10" t="s">
        <v>24</v>
      </c>
      <c r="B19" s="14" t="s">
        <v>25</v>
      </c>
      <c r="C19" s="14" t="s">
        <v>25</v>
      </c>
      <c r="D19" s="14" t="s">
        <v>25</v>
      </c>
      <c r="E19" s="14" t="s">
        <v>26</v>
      </c>
      <c r="F19" s="14" t="s">
        <v>27</v>
      </c>
      <c r="G19" s="14" t="s">
        <v>27</v>
      </c>
      <c r="H19" s="14" t="s">
        <v>27</v>
      </c>
      <c r="I19" s="14" t="s">
        <v>27</v>
      </c>
      <c r="J19" s="14" t="s">
        <v>27</v>
      </c>
      <c r="K19" s="14" t="s">
        <v>27</v>
      </c>
      <c r="L19" s="14" t="s">
        <v>27</v>
      </c>
      <c r="M19" s="14" t="s">
        <v>27</v>
      </c>
      <c r="N19" s="14" t="s">
        <v>27</v>
      </c>
      <c r="O19" s="14" t="s">
        <v>27</v>
      </c>
      <c r="P19" s="14" t="s">
        <v>27</v>
      </c>
      <c r="Q19" s="14" t="s">
        <v>27</v>
      </c>
      <c r="R19" s="14" t="s">
        <v>27</v>
      </c>
      <c r="S19" s="14" t="s">
        <v>27</v>
      </c>
      <c r="T19" s="14" t="s">
        <v>27</v>
      </c>
      <c r="U19" s="14" t="s">
        <v>27</v>
      </c>
      <c r="V19" s="14" t="s">
        <v>27</v>
      </c>
      <c r="W19" s="14" t="s">
        <v>27</v>
      </c>
      <c r="X19" s="14" t="s">
        <v>27</v>
      </c>
      <c r="Y19" s="14" t="s">
        <v>27</v>
      </c>
      <c r="Z19" s="14" t="s">
        <v>27</v>
      </c>
      <c r="AA19" s="14" t="s">
        <v>27</v>
      </c>
      <c r="AB19" s="14" t="s">
        <v>27</v>
      </c>
      <c r="AC19" s="14" t="s">
        <v>27</v>
      </c>
    </row>
    <row r="20" spans="1:29" x14ac:dyDescent="0.2">
      <c r="A20" s="10" t="s">
        <v>28</v>
      </c>
      <c r="C20" s="9">
        <f>16.255+55.785</f>
        <v>72.03999999999999</v>
      </c>
      <c r="D20" s="9">
        <f>44.063+105.137+67.489</f>
        <v>216.689</v>
      </c>
      <c r="E20" s="9">
        <f>'Quarterly Model'!I20</f>
        <v>240.1699443652343</v>
      </c>
      <c r="F20" s="9">
        <f t="shared" ref="F20:AC20" si="8">E20+F12</f>
        <v>144.17631727893058</v>
      </c>
      <c r="G20" s="9">
        <f t="shared" si="8"/>
        <v>29.082929176890474</v>
      </c>
      <c r="H20" s="9">
        <f t="shared" si="8"/>
        <v>-122.37146097897616</v>
      </c>
      <c r="I20" s="9">
        <f t="shared" si="8"/>
        <v>-277.0078109789762</v>
      </c>
      <c r="J20" s="9">
        <f t="shared" si="8"/>
        <v>-411.5332514789762</v>
      </c>
      <c r="K20" s="9">
        <f t="shared" si="8"/>
        <v>-502.5866454936085</v>
      </c>
      <c r="L20" s="9">
        <f t="shared" si="8"/>
        <v>-561.4310433286798</v>
      </c>
      <c r="M20" s="9">
        <f t="shared" si="8"/>
        <v>-546.2286730988033</v>
      </c>
      <c r="N20" s="9">
        <f t="shared" si="8"/>
        <v>-468.47877309880323</v>
      </c>
      <c r="O20" s="9">
        <f t="shared" si="8"/>
        <v>-320.61237309880323</v>
      </c>
      <c r="P20" s="9">
        <f t="shared" si="8"/>
        <v>-109.97637309880321</v>
      </c>
      <c r="Q20" s="9">
        <f t="shared" si="8"/>
        <v>160.88987690119677</v>
      </c>
      <c r="R20" s="9">
        <f t="shared" si="8"/>
        <v>473.11899728499174</v>
      </c>
      <c r="S20" s="9">
        <f t="shared" si="8"/>
        <v>764.6485431497113</v>
      </c>
      <c r="T20" s="9">
        <f t="shared" si="8"/>
        <v>1050.0779687405216</v>
      </c>
      <c r="U20" s="9">
        <f t="shared" si="8"/>
        <v>1348.3625535644596</v>
      </c>
      <c r="V20" s="9">
        <f t="shared" si="8"/>
        <v>1655.4838192138068</v>
      </c>
      <c r="W20" s="9">
        <f t="shared" si="8"/>
        <v>1971.7035523580157</v>
      </c>
      <c r="X20" s="9">
        <f t="shared" si="8"/>
        <v>2274.297555096622</v>
      </c>
      <c r="Y20" s="9">
        <f t="shared" si="8"/>
        <v>2508.0024716663593</v>
      </c>
      <c r="Z20" s="9">
        <f t="shared" si="8"/>
        <v>2696.8927417394752</v>
      </c>
      <c r="AA20" s="9">
        <f t="shared" si="8"/>
        <v>2849.055817025679</v>
      </c>
      <c r="AB20" s="9">
        <f t="shared" si="8"/>
        <v>2972.969872623502</v>
      </c>
      <c r="AC20" s="9">
        <f t="shared" si="8"/>
        <v>3077.5274046729733</v>
      </c>
    </row>
    <row r="21" spans="1:29" x14ac:dyDescent="0.2">
      <c r="A21" s="10" t="s">
        <v>29</v>
      </c>
      <c r="D21" s="9">
        <f>Assumptions!$B$17</f>
        <v>250</v>
      </c>
      <c r="E21" s="9">
        <f t="shared" ref="E21:AC21" si="9">D21-MIN(D21,MAX(0,E10))+MAX(0,-E10)</f>
        <v>360.7570556347656</v>
      </c>
      <c r="F21" s="9">
        <f t="shared" si="9"/>
        <v>456.7506827210693</v>
      </c>
      <c r="G21" s="9">
        <f t="shared" si="9"/>
        <v>571.8440708231094</v>
      </c>
      <c r="H21" s="9">
        <f t="shared" si="9"/>
        <v>723.298460978976</v>
      </c>
      <c r="I21" s="9">
        <f t="shared" si="9"/>
        <v>877.934810978976</v>
      </c>
      <c r="J21" s="9">
        <f t="shared" si="9"/>
        <v>1012.460251478976</v>
      </c>
      <c r="K21" s="9">
        <f t="shared" si="9"/>
        <v>1103.5136454936085</v>
      </c>
      <c r="L21" s="9">
        <f t="shared" si="9"/>
        <v>1162.3580433286797</v>
      </c>
      <c r="M21" s="9">
        <f t="shared" si="9"/>
        <v>1147.1556730988032</v>
      </c>
      <c r="N21" s="9">
        <f t="shared" si="9"/>
        <v>1069.4057730988031</v>
      </c>
      <c r="O21" s="9">
        <f t="shared" si="9"/>
        <v>921.5393730988031</v>
      </c>
      <c r="P21" s="9">
        <f t="shared" si="9"/>
        <v>710.9033730988031</v>
      </c>
      <c r="Q21" s="9">
        <f t="shared" si="9"/>
        <v>440.0371230988031</v>
      </c>
      <c r="R21" s="9">
        <f t="shared" si="9"/>
        <v>127.80800271500812</v>
      </c>
      <c r="S21" s="9">
        <f t="shared" si="9"/>
        <v>0.0</v>
      </c>
      <c r="T21" s="9">
        <f t="shared" si="9"/>
        <v>0.0</v>
      </c>
      <c r="U21" s="9">
        <f t="shared" si="9"/>
        <v>0.0</v>
      </c>
      <c r="V21" s="9">
        <f t="shared" si="9"/>
        <v>0.0</v>
      </c>
      <c r="W21" s="9">
        <f t="shared" si="9"/>
        <v>0.0</v>
      </c>
      <c r="X21" s="9">
        <f t="shared" si="9"/>
        <v>0.0</v>
      </c>
      <c r="Y21" s="9">
        <f t="shared" si="9"/>
        <v>0.0</v>
      </c>
      <c r="Z21" s="9">
        <f t="shared" si="9"/>
        <v>0.0</v>
      </c>
      <c r="AA21" s="9">
        <f t="shared" si="9"/>
        <v>0.0</v>
      </c>
      <c r="AB21" s="9">
        <f t="shared" si="9"/>
        <v>0.0</v>
      </c>
      <c r="AC21" s="9">
        <f t="shared" si="9"/>
        <v>0.0</v>
      </c>
    </row>
    <row r="23" spans="1:29" x14ac:dyDescent="0.2">
      <c r="A23" s="15" t="s">
        <v>30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/>
  </sheetViews>
  <sheetFormatPr baseColWidth="10" defaultRowHeight="16" x14ac:dyDescent="0.2"/>
  <cols>
    <col min="1" max="1" width="18.5" customWidth="1"/>
    <col min="2" max="9" width="10" customWidth="1"/>
  </cols>
  <sheetData>
    <row r="1" spans="1:9" x14ac:dyDescent="0.2">
      <c r="B1" s="16" t="s">
        <v>31</v>
      </c>
      <c r="C1" s="16" t="s">
        <v>32</v>
      </c>
      <c r="D1" s="16" t="s">
        <v>33</v>
      </c>
      <c r="E1" s="16" t="s">
        <v>34</v>
      </c>
      <c r="F1" s="16" t="s">
        <v>35</v>
      </c>
      <c r="G1" s="16" t="s">
        <v>36</v>
      </c>
      <c r="H1" s="16" t="s">
        <v>37</v>
      </c>
      <c r="I1" s="16" t="s">
        <v>38</v>
      </c>
    </row>
    <row r="2" spans="1:9" x14ac:dyDescent="0.2">
      <c r="A2" s="10" t="s">
        <v>11</v>
      </c>
      <c r="B2" s="9">
        <v>3</v>
      </c>
      <c r="C2" s="9">
        <v>0</v>
      </c>
      <c r="D2" s="9">
        <v>10</v>
      </c>
      <c r="E2" s="9">
        <v>0</v>
      </c>
      <c r="F2" s="9">
        <v>0</v>
      </c>
      <c r="G2" s="9">
        <v>0</v>
      </c>
      <c r="H2" s="9">
        <v>0</v>
      </c>
      <c r="I2" s="9">
        <v>0</v>
      </c>
    </row>
    <row r="3" spans="1:9" x14ac:dyDescent="0.2">
      <c r="A3" s="10" t="s">
        <v>12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</row>
    <row r="4" spans="1:9" x14ac:dyDescent="0.2">
      <c r="A4" s="10" t="s">
        <v>13</v>
      </c>
      <c r="B4" s="9">
        <f t="shared" ref="B4:I4" si="0">B2-B3</f>
        <v>3.0</v>
      </c>
      <c r="C4" s="9">
        <f t="shared" si="0"/>
        <v>0.0</v>
      </c>
      <c r="D4" s="9">
        <f t="shared" si="0"/>
        <v>10.0</v>
      </c>
      <c r="E4" s="9">
        <f t="shared" si="0"/>
        <v>0.0</v>
      </c>
      <c r="F4" s="9">
        <f t="shared" si="0"/>
        <v>0.0</v>
      </c>
      <c r="G4" s="9">
        <f t="shared" si="0"/>
        <v>0.0</v>
      </c>
      <c r="H4" s="9">
        <f t="shared" si="0"/>
        <v>0.0</v>
      </c>
      <c r="I4" s="9">
        <f t="shared" si="0"/>
        <v>0.0</v>
      </c>
    </row>
    <row r="5" spans="1:9" x14ac:dyDescent="0.2">
      <c r="A5" s="10" t="s">
        <v>14</v>
      </c>
      <c r="B5" s="9">
        <v>14.362</v>
      </c>
      <c r="C5" s="9">
        <v>19.638000000000002</v>
      </c>
      <c r="D5" s="9">
        <v>19.638999999999999</v>
      </c>
      <c r="E5" s="9">
        <f>74.042-53.639</f>
        <v>20.403</v>
      </c>
      <c r="F5" s="9">
        <v>17.318999999999999</v>
      </c>
      <c r="G5" s="9">
        <v>26.411999999999999</v>
      </c>
      <c r="H5" s="9">
        <v>24</v>
      </c>
      <c r="I5" s="9">
        <v>21</v>
      </c>
    </row>
    <row r="6" spans="1:9" x14ac:dyDescent="0.2">
      <c r="A6" s="10" t="s">
        <v>15</v>
      </c>
      <c r="B6" s="9">
        <v>3.67</v>
      </c>
      <c r="C6" s="9">
        <v>3.3559999999999999</v>
      </c>
      <c r="D6" s="9">
        <v>3.6890000000000001</v>
      </c>
      <c r="E6" s="9">
        <f>20.029-10.716</f>
        <v>9.313</v>
      </c>
      <c r="F6" s="9">
        <v>6.6349999999999998</v>
      </c>
      <c r="G6" s="9">
        <v>8.4830000000000005</v>
      </c>
      <c r="H6" s="9">
        <v>8.5</v>
      </c>
      <c r="I6" s="9">
        <v>8.5</v>
      </c>
    </row>
    <row r="7" spans="1:9" x14ac:dyDescent="0.2">
      <c r="A7" s="10" t="s">
        <v>16</v>
      </c>
      <c r="B7" s="9">
        <f t="shared" ref="B7:I7" si="1">SUM(B5:B6)</f>
        <v>18.032</v>
      </c>
      <c r="C7" s="9">
        <f t="shared" si="1"/>
        <v>22.994</v>
      </c>
      <c r="D7" s="9">
        <f t="shared" si="1"/>
        <v>23.328</v>
      </c>
      <c r="E7" s="9">
        <f t="shared" si="1"/>
        <v>29.716</v>
      </c>
      <c r="F7" s="9">
        <f t="shared" si="1"/>
        <v>23.954</v>
      </c>
      <c r="G7" s="9">
        <f t="shared" si="1"/>
        <v>34.894999999999996</v>
      </c>
      <c r="H7" s="9">
        <f t="shared" si="1"/>
        <v>32.5</v>
      </c>
      <c r="I7" s="9">
        <f t="shared" si="1"/>
        <v>29.5</v>
      </c>
    </row>
    <row r="8" spans="1:9" x14ac:dyDescent="0.2">
      <c r="A8" s="10" t="s">
        <v>17</v>
      </c>
      <c r="B8" s="9">
        <f t="shared" ref="B8:I8" si="2">B4-B7</f>
        <v>-15.032</v>
      </c>
      <c r="C8" s="9">
        <f t="shared" si="2"/>
        <v>-22.994</v>
      </c>
      <c r="D8" s="9">
        <f t="shared" si="2"/>
        <v>-13.328</v>
      </c>
      <c r="E8" s="9">
        <f t="shared" si="2"/>
        <v>-29.716</v>
      </c>
      <c r="F8" s="9">
        <f t="shared" si="2"/>
        <v>-23.954</v>
      </c>
      <c r="G8" s="9">
        <f t="shared" si="2"/>
        <v>-34.894999999999996</v>
      </c>
      <c r="H8" s="9">
        <f t="shared" si="2"/>
        <v>-32.5</v>
      </c>
      <c r="I8" s="9">
        <f t="shared" si="2"/>
        <v>-29.5</v>
      </c>
    </row>
    <row r="9" spans="1:9" x14ac:dyDescent="0.2">
      <c r="A9" s="10" t="s">
        <v>18</v>
      </c>
      <c r="B9" s="9">
        <v>0.47499999999999998</v>
      </c>
      <c r="C9" s="9">
        <v>9.4290000000000003</v>
      </c>
      <c r="D9" s="9">
        <v>0.85299999999999998</v>
      </c>
      <c r="E9" s="9">
        <f>12.201-10.758</f>
        <v>1.4430000000000014</v>
      </c>
      <c r="F9" s="9">
        <v>2.2799999999999998</v>
      </c>
      <c r="G9" s="9">
        <v>2.649</v>
      </c>
      <c r="H9" s="9">
        <f>Assumptions!$B$16*G20/4</f>
        <v>2.7000656249999992</v>
      </c>
      <c r="I9" s="9">
        <f>Assumptions!$B$16*H20/4</f>
        <v>2.462878740234374</v>
      </c>
    </row>
    <row r="10" spans="1:9" x14ac:dyDescent="0.2">
      <c r="A10" s="10" t="s">
        <v>19</v>
      </c>
      <c r="B10" s="9">
        <f t="shared" ref="B10:I10" si="3">B8+B9</f>
        <v>-14.557</v>
      </c>
      <c r="C10" s="9">
        <f t="shared" si="3"/>
        <v>-13.565</v>
      </c>
      <c r="D10" s="9">
        <f t="shared" si="3"/>
        <v>-12.475</v>
      </c>
      <c r="E10" s="9">
        <f t="shared" si="3"/>
        <v>-28.273</v>
      </c>
      <c r="F10" s="9">
        <f t="shared" si="3"/>
        <v>-21.674</v>
      </c>
      <c r="G10" s="9">
        <f t="shared" si="3"/>
        <v>-32.245999999999995</v>
      </c>
      <c r="H10" s="9">
        <f t="shared" si="3"/>
        <v>-29.799934375</v>
      </c>
      <c r="I10" s="9">
        <f t="shared" si="3"/>
        <v>-27.037121259765627</v>
      </c>
    </row>
    <row r="11" spans="1:9" x14ac:dyDescent="0.2">
      <c r="A11" s="10" t="s">
        <v>20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x14ac:dyDescent="0.2">
      <c r="A12" s="10" t="s">
        <v>21</v>
      </c>
      <c r="B12" s="9">
        <f t="shared" ref="B12:I12" si="4">B10-B11</f>
        <v>-14.557</v>
      </c>
      <c r="C12" s="9">
        <f t="shared" si="4"/>
        <v>-13.565</v>
      </c>
      <c r="D12" s="9">
        <f t="shared" si="4"/>
        <v>-12.475</v>
      </c>
      <c r="E12" s="9">
        <f t="shared" si="4"/>
        <v>-28.273</v>
      </c>
      <c r="F12" s="9">
        <f t="shared" si="4"/>
        <v>-21.674</v>
      </c>
      <c r="G12" s="9">
        <f t="shared" si="4"/>
        <v>-32.245999999999995</v>
      </c>
      <c r="H12" s="9">
        <f t="shared" si="4"/>
        <v>-29.799934375</v>
      </c>
      <c r="I12" s="9">
        <f t="shared" si="4"/>
        <v>-27.037121259765627</v>
      </c>
    </row>
    <row r="13" spans="1:9" x14ac:dyDescent="0.2">
      <c r="A13" s="10" t="s">
        <v>22</v>
      </c>
      <c r="B13" s="8">
        <f t="shared" ref="B13:I13" si="5">B12/B14</f>
        <v>-9.483603860674348</v>
      </c>
      <c r="C13" s="8">
        <f t="shared" si="5"/>
        <v>-8.804468113416348</v>
      </c>
      <c r="D13" s="8">
        <f t="shared" si="5"/>
        <v>-8.074381395589672</v>
      </c>
      <c r="E13" s="8">
        <f t="shared" si="5"/>
        <v>-1.4189089020637187</v>
      </c>
      <c r="F13" s="8">
        <f t="shared" si="5"/>
        <v>-0.6437156141992605</v>
      </c>
      <c r="G13" s="8">
        <f t="shared" si="5"/>
        <v>-0.8923599092353244</v>
      </c>
      <c r="H13" s="8">
        <f t="shared" si="5"/>
        <v>-0.8211132367795725</v>
      </c>
      <c r="I13" s="8">
        <f t="shared" si="5"/>
        <v>-0.7449861422994475</v>
      </c>
    </row>
    <row r="14" spans="1:9" x14ac:dyDescent="0.2">
      <c r="A14" s="10" t="s">
        <v>2</v>
      </c>
      <c r="B14" s="12">
        <v>1.5349649999999999</v>
      </c>
      <c r="C14" s="12">
        <v>1.5406949999999999</v>
      </c>
      <c r="D14" s="12">
        <v>1.54501</v>
      </c>
      <c r="E14" s="12">
        <f>6.136636*4-SUM(B14:D14)</f>
        <v>19.925874</v>
      </c>
      <c r="F14" s="12">
        <v>33.670147999999998</v>
      </c>
      <c r="G14" s="12">
        <v>36.135643999999999</v>
      </c>
      <c r="H14" s="12">
        <f>Main!$C$4</f>
        <v>36.292113</v>
      </c>
      <c r="I14" s="12">
        <f>Main!$C$4</f>
        <v>36.292113</v>
      </c>
    </row>
    <row r="16" spans="1:9" x14ac:dyDescent="0.2">
      <c r="A16" s="10" t="s">
        <v>23</v>
      </c>
      <c r="F16" s="13">
        <f>IFERROR(F2/B2-1,"")</f>
        <v>-1.0</v>
      </c>
      <c r="G16" s="13" t="str">
        <f>IFERROR(G2/C2-1,"")</f>
        <v/>
      </c>
      <c r="H16" s="13">
        <f>IFERROR(H2/D2-1,"")</f>
        <v>-1.0</v>
      </c>
      <c r="I16" s="13" t="str">
        <f>IFERROR(I2/E2-1,"")</f>
        <v/>
      </c>
    </row>
    <row r="17" spans="1:9" x14ac:dyDescent="0.2">
      <c r="A17" s="10" t="s">
        <v>13</v>
      </c>
      <c r="B17" s="13">
        <f t="shared" ref="B17:I17" si="6">IFERROR(B4/B2,"")</f>
        <v>1.0</v>
      </c>
      <c r="C17" s="13" t="str">
        <f t="shared" si="6"/>
        <v/>
      </c>
      <c r="D17" s="13">
        <f t="shared" si="6"/>
        <v>1.0</v>
      </c>
      <c r="E17" s="13" t="str">
        <f t="shared" si="6"/>
        <v/>
      </c>
      <c r="F17" s="13" t="str">
        <f t="shared" si="6"/>
        <v/>
      </c>
      <c r="G17" s="13" t="str">
        <f t="shared" si="6"/>
        <v/>
      </c>
      <c r="H17" s="13" t="str">
        <f t="shared" si="6"/>
        <v/>
      </c>
      <c r="I17" s="13" t="str">
        <f t="shared" si="6"/>
        <v/>
      </c>
    </row>
    <row r="19" spans="1:9" x14ac:dyDescent="0.2">
      <c r="A19" s="10" t="s">
        <v>24</v>
      </c>
      <c r="B19" s="14" t="s">
        <v>25</v>
      </c>
      <c r="C19" s="14" t="s">
        <v>25</v>
      </c>
      <c r="D19" s="14" t="s">
        <v>25</v>
      </c>
      <c r="E19" s="14" t="s">
        <v>25</v>
      </c>
      <c r="F19" s="14" t="s">
        <v>25</v>
      </c>
      <c r="G19" s="14" t="s">
        <v>25</v>
      </c>
      <c r="H19" s="14" t="s">
        <v>27</v>
      </c>
      <c r="I19" s="14" t="s">
        <v>27</v>
      </c>
    </row>
    <row r="20" spans="1:9" x14ac:dyDescent="0.2">
      <c r="A20" s="10" t="s">
        <v>28</v>
      </c>
      <c r="D20" s="9">
        <f>26.818+49.244</f>
        <v>76.062</v>
      </c>
      <c r="E20" s="9">
        <f>44.063+105.137+67.489</f>
        <v>216.689</v>
      </c>
      <c r="F20" s="9">
        <f>48.318+163.146+95.548</f>
        <v>307.012</v>
      </c>
      <c r="G20" s="9">
        <f>60.034+140.759+87.214</f>
        <v>288.00699999999995</v>
      </c>
      <c r="H20" s="9">
        <f>G20+H12+H21</f>
        <v>262.7070656249999</v>
      </c>
      <c r="I20" s="9">
        <f>H20+I12+I21</f>
        <v>240.1699443652343</v>
      </c>
    </row>
    <row r="21" spans="1:9" x14ac:dyDescent="0.2">
      <c r="A21" s="10" t="s">
        <v>39</v>
      </c>
      <c r="H21" s="9">
        <v>4.5</v>
      </c>
      <c r="I21" s="9">
        <v>4.5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9"/>
  <sheetViews>
    <sheetView zoomScale="125" workbookViewId="0">
      <pane xSplit="1" ySplit="10" topLeftCell="B117" activePane="bottomRight" state="frozen"/>
      <selection pane="topRight"/>
      <selection pane="bottomLeft"/>
      <selection pane="bottomRight" activeCell="C8" sqref="C8"/>
    </sheetView>
  </sheetViews>
  <sheetFormatPr baseColWidth="10" defaultColWidth="8.83203125" defaultRowHeight="16" x14ac:dyDescent="0.2"/>
  <cols>
    <col min="1" max="1" width="50" customWidth="1"/>
    <col min="2" max="10" width="11" customWidth="1"/>
    <col min="11" max="11" width="60" customWidth="1"/>
  </cols>
  <sheetData>
    <row r="1" spans="1:6" ht="19" x14ac:dyDescent="0.25">
      <c r="A1" s="17" t="s">
        <v>40</v>
      </c>
    </row>
    <row r="2" spans="1:6" x14ac:dyDescent="0.2">
      <c r="A2" s="15" t="s">
        <v>41</v>
      </c>
    </row>
    <row r="4" spans="1:6" x14ac:dyDescent="0.2">
      <c r="A4" s="18" t="s">
        <v>42</v>
      </c>
      <c r="B4" s="19">
        <v>2</v>
      </c>
      <c r="C4" s="18" t="str">
        <f>CHOOSE($B$4,"Bear","Base","Bull")</f>
        <v>Base</v>
      </c>
    </row>
    <row r="5" spans="1:6" x14ac:dyDescent="0.2">
      <c r="A5" s="15" t="s">
        <v>43</v>
      </c>
    </row>
    <row r="6" spans="1:6" x14ac:dyDescent="0.2">
      <c r="A6" s="10" t="s">
        <v>44</v>
      </c>
      <c r="B6" s="20"/>
    </row>
    <row r="7" spans="1:6" x14ac:dyDescent="0.2">
      <c r="A7" s="10" t="s">
        <v>45</v>
      </c>
      <c r="B7" s="21"/>
    </row>
    <row r="8" spans="1:6" x14ac:dyDescent="0.2">
      <c r="A8" s="10" t="s">
        <v>46</v>
      </c>
      <c r="B8" s="20"/>
    </row>
    <row r="10" spans="1:6" x14ac:dyDescent="0.2">
      <c r="A10" s="22" t="s">
        <v>47</v>
      </c>
      <c r="B10" s="22" t="s">
        <v>48</v>
      </c>
      <c r="C10" s="22" t="s">
        <v>49</v>
      </c>
      <c r="D10" s="22" t="s">
        <v>50</v>
      </c>
      <c r="E10" s="22" t="s">
        <v>51</v>
      </c>
      <c r="F10" s="22" t="s">
        <v>52</v>
      </c>
    </row>
    <row r="12" spans="1:6" x14ac:dyDescent="0.2">
      <c r="A12" s="23" t="s">
        <v>53</v>
      </c>
      <c r="B12" s="24"/>
      <c r="C12" s="24"/>
      <c r="D12" s="24"/>
      <c r="E12" s="24"/>
      <c r="F12" s="24"/>
    </row>
    <row r="13" spans="1:6" x14ac:dyDescent="0.2">
      <c r="A13" s="10" t="s">
        <v>54</v>
      </c>
      <c r="B13" s="25">
        <f>DATE(2026,10,16)</f>
        <v>46311</v>
      </c>
      <c r="F13" s="15" t="s">
        <v>55</v>
      </c>
    </row>
    <row r="14" spans="1:6" x14ac:dyDescent="0.2">
      <c r="A14" s="10" t="s">
        <v>56</v>
      </c>
      <c r="B14" s="26">
        <f>IF(ISNUMBER($B$6),$B$6,CHOOSE($B$4,C14,D14,E14))</f>
        <v>0.12</v>
      </c>
      <c r="C14" s="20">
        <v>0.14000000000000001</v>
      </c>
      <c r="D14" s="20">
        <v>0.12</v>
      </c>
      <c r="E14" s="20">
        <v>0.1</v>
      </c>
      <c r="F14" s="15" t="s">
        <v>57</v>
      </c>
    </row>
    <row r="15" spans="1:6" x14ac:dyDescent="0.2">
      <c r="A15" s="10" t="s">
        <v>58</v>
      </c>
      <c r="B15" s="26">
        <f t="shared" ref="B15:B27" si="0">CHOOSE($B$4,C15,D15,E15)</f>
        <v>0.21</v>
      </c>
      <c r="C15" s="27">
        <v>0.21</v>
      </c>
      <c r="D15" s="27">
        <v>0.21</v>
      </c>
      <c r="E15" s="27">
        <v>0.21</v>
      </c>
      <c r="F15" s="15" t="s">
        <v>59</v>
      </c>
    </row>
    <row r="16" spans="1:6" x14ac:dyDescent="0.2">
      <c r="A16" s="10" t="s">
        <v>60</v>
      </c>
      <c r="B16" s="26">
        <f t="shared" si="0"/>
        <v>0.0375</v>
      </c>
      <c r="C16" s="27">
        <v>3.7499999999999999E-2</v>
      </c>
      <c r="D16" s="27">
        <v>3.7499999999999999E-2</v>
      </c>
      <c r="E16" s="27">
        <v>3.7499999999999999E-2</v>
      </c>
      <c r="F16" s="15" t="s">
        <v>61</v>
      </c>
    </row>
    <row r="17" spans="1:11" x14ac:dyDescent="0.2">
      <c r="A17" s="10" t="s">
        <v>62</v>
      </c>
      <c r="B17" s="28">
        <f t="shared" si="0"/>
        <v>250</v>
      </c>
      <c r="C17" s="29">
        <v>250</v>
      </c>
      <c r="D17" s="29">
        <v>250</v>
      </c>
      <c r="E17" s="29">
        <v>250</v>
      </c>
      <c r="F17" s="15" t="s">
        <v>63</v>
      </c>
    </row>
    <row r="18" spans="1:11" x14ac:dyDescent="0.2">
      <c r="A18" s="10" t="s">
        <v>64</v>
      </c>
      <c r="B18" s="28">
        <f t="shared" si="0"/>
        <v>34</v>
      </c>
      <c r="C18" s="29">
        <v>34</v>
      </c>
      <c r="D18" s="29">
        <v>34</v>
      </c>
      <c r="E18" s="29">
        <v>34</v>
      </c>
      <c r="F18" s="15" t="s">
        <v>65</v>
      </c>
    </row>
    <row r="19" spans="1:11" x14ac:dyDescent="0.2">
      <c r="A19" s="10" t="s">
        <v>66</v>
      </c>
      <c r="B19" s="28">
        <f t="shared" si="0"/>
        <v>16</v>
      </c>
      <c r="C19" s="29">
        <v>16</v>
      </c>
      <c r="D19" s="29">
        <v>16</v>
      </c>
      <c r="E19" s="29">
        <v>16</v>
      </c>
      <c r="F19" s="15" t="s">
        <v>67</v>
      </c>
    </row>
    <row r="20" spans="1:11" x14ac:dyDescent="0.2">
      <c r="A20" s="10" t="s">
        <v>68</v>
      </c>
      <c r="B20" s="26">
        <f t="shared" si="0"/>
        <v>0.03</v>
      </c>
      <c r="C20" s="27">
        <v>0.03</v>
      </c>
      <c r="D20" s="27">
        <v>0.03</v>
      </c>
      <c r="E20" s="27">
        <v>0.03</v>
      </c>
      <c r="F20" s="15" t="s">
        <v>69</v>
      </c>
    </row>
    <row r="21" spans="1:11" x14ac:dyDescent="0.2">
      <c r="A21" s="10" t="s">
        <v>70</v>
      </c>
      <c r="B21" s="26">
        <f t="shared" si="0"/>
        <v>0.08</v>
      </c>
      <c r="C21" s="27">
        <v>0.08</v>
      </c>
      <c r="D21" s="27">
        <v>0.08</v>
      </c>
      <c r="E21" s="27">
        <v>0.08</v>
      </c>
      <c r="F21" s="15" t="s">
        <v>71</v>
      </c>
    </row>
    <row r="22" spans="1:11" x14ac:dyDescent="0.2">
      <c r="A22" s="10" t="s">
        <v>72</v>
      </c>
      <c r="B22" s="26">
        <f t="shared" si="0"/>
        <v>0.05</v>
      </c>
      <c r="C22" s="27">
        <v>0.05</v>
      </c>
      <c r="D22" s="27">
        <v>0.05</v>
      </c>
      <c r="E22" s="27">
        <v>0.05</v>
      </c>
      <c r="F22" s="15" t="s">
        <v>73</v>
      </c>
    </row>
    <row r="23" spans="1:11" x14ac:dyDescent="0.2">
      <c r="A23" s="10" t="s">
        <v>74</v>
      </c>
      <c r="B23" s="26">
        <f t="shared" si="0"/>
        <v>0</v>
      </c>
      <c r="C23" s="27">
        <v>0</v>
      </c>
      <c r="D23" s="27">
        <v>0</v>
      </c>
      <c r="E23" s="27">
        <v>0</v>
      </c>
      <c r="F23" s="15" t="s">
        <v>75</v>
      </c>
    </row>
    <row r="24" spans="1:11" x14ac:dyDescent="0.2">
      <c r="A24" s="10" t="s">
        <v>76</v>
      </c>
      <c r="B24" s="30">
        <f t="shared" si="0"/>
        <v>7.476614</v>
      </c>
      <c r="C24" s="31">
        <v>7.4766139999999996</v>
      </c>
      <c r="D24" s="31">
        <v>7.4766139999999996</v>
      </c>
      <c r="E24" s="31">
        <v>7.4766139999999996</v>
      </c>
      <c r="F24" s="15" t="s">
        <v>77</v>
      </c>
    </row>
    <row r="25" spans="1:11" x14ac:dyDescent="0.2">
      <c r="A25" s="10" t="s">
        <v>78</v>
      </c>
      <c r="B25" s="32">
        <f t="shared" si="0"/>
        <v>11.86</v>
      </c>
      <c r="C25" s="33">
        <v>11.86</v>
      </c>
      <c r="D25" s="33">
        <v>11.86</v>
      </c>
      <c r="E25" s="33">
        <v>11.86</v>
      </c>
      <c r="F25" s="15" t="s">
        <v>77</v>
      </c>
    </row>
    <row r="26" spans="1:11" x14ac:dyDescent="0.2">
      <c r="A26" s="10" t="s">
        <v>79</v>
      </c>
      <c r="B26" s="30">
        <f t="shared" si="0"/>
        <v>0.77331</v>
      </c>
      <c r="C26" s="31">
        <v>0.77331000000000005</v>
      </c>
      <c r="D26" s="31">
        <v>0.77331000000000005</v>
      </c>
      <c r="E26" s="31">
        <v>0.77331000000000005</v>
      </c>
      <c r="F26" s="15" t="s">
        <v>80</v>
      </c>
    </row>
    <row r="27" spans="1:11" x14ac:dyDescent="0.2">
      <c r="A27" s="10" t="s">
        <v>81</v>
      </c>
      <c r="B27" s="28">
        <f t="shared" si="0"/>
        <v>30</v>
      </c>
      <c r="C27" s="29">
        <v>30</v>
      </c>
      <c r="D27" s="29">
        <v>30</v>
      </c>
      <c r="E27" s="29">
        <v>30</v>
      </c>
      <c r="F27" s="15" t="s">
        <v>82</v>
      </c>
    </row>
    <row r="28" spans="1:11" x14ac:dyDescent="0.2">
      <c r="A28" s="10" t="s">
        <v>83</v>
      </c>
      <c r="B28" s="34">
        <f>'Quarterly Model'!I20</f>
        <v>240.1699443652343</v>
      </c>
      <c r="F28" s="15" t="s">
        <v>84</v>
      </c>
    </row>
    <row r="30" spans="1:11" x14ac:dyDescent="0.2">
      <c r="A30" s="23" t="s">
        <v>85</v>
      </c>
      <c r="B30" s="24"/>
      <c r="C30" s="24"/>
      <c r="D30" s="24"/>
      <c r="E30" s="24"/>
      <c r="F30" s="24"/>
    </row>
    <row r="31" spans="1:11" x14ac:dyDescent="0.2">
      <c r="A31" s="10" t="s">
        <v>86</v>
      </c>
      <c r="B31" s="35">
        <v>1</v>
      </c>
      <c r="C31" s="35">
        <v>2</v>
      </c>
      <c r="D31" s="35">
        <v>3</v>
      </c>
      <c r="E31" s="35">
        <v>4</v>
      </c>
      <c r="F31" s="35">
        <v>5</v>
      </c>
      <c r="G31" s="35">
        <v>6</v>
      </c>
      <c r="H31" s="35">
        <v>7</v>
      </c>
    </row>
    <row r="32" spans="1:11" x14ac:dyDescent="0.2">
      <c r="A32" s="10" t="s">
        <v>87</v>
      </c>
      <c r="B32" s="27">
        <v>0.08</v>
      </c>
      <c r="C32" s="27">
        <v>0.2</v>
      </c>
      <c r="D32" s="27">
        <v>0.38</v>
      </c>
      <c r="E32" s="27">
        <v>0.57999999999999996</v>
      </c>
      <c r="F32" s="27">
        <v>0.76</v>
      </c>
      <c r="G32" s="27">
        <v>0.9</v>
      </c>
      <c r="H32" s="27">
        <v>1</v>
      </c>
      <c r="K32" s="15" t="s">
        <v>88</v>
      </c>
    </row>
    <row r="33" spans="1:11" x14ac:dyDescent="0.2">
      <c r="A33" s="10" t="s">
        <v>89</v>
      </c>
      <c r="B33" s="27">
        <v>0.9</v>
      </c>
      <c r="C33" s="27">
        <v>0.55000000000000004</v>
      </c>
      <c r="D33" s="27">
        <v>0.4</v>
      </c>
      <c r="E33" s="27">
        <v>0.32</v>
      </c>
      <c r="F33" s="27">
        <v>0.28000000000000003</v>
      </c>
      <c r="K33" s="15" t="s">
        <v>90</v>
      </c>
    </row>
    <row r="35" spans="1:11" x14ac:dyDescent="0.2">
      <c r="A35" s="23" t="s">
        <v>91</v>
      </c>
      <c r="B35" s="24"/>
      <c r="C35" s="24"/>
      <c r="D35" s="24"/>
      <c r="E35" s="24"/>
      <c r="F35" s="24"/>
    </row>
    <row r="36" spans="1:11" x14ac:dyDescent="0.2">
      <c r="A36" s="10" t="s">
        <v>92</v>
      </c>
      <c r="B36" s="36">
        <f>CHOOSE($B$4,C36,D36,E36)</f>
        <v>2033</v>
      </c>
      <c r="C36" s="37">
        <v>2033</v>
      </c>
      <c r="D36" s="37">
        <v>2033</v>
      </c>
      <c r="E36" s="37">
        <v>2033</v>
      </c>
      <c r="F36" s="15" t="s">
        <v>93</v>
      </c>
    </row>
    <row r="37" spans="1:11" x14ac:dyDescent="0.2">
      <c r="A37" s="10" t="s">
        <v>94</v>
      </c>
      <c r="B37" s="28">
        <f>IF(ISNUMBER($B$7),$B$7,CHOOSE($B$4,C37,D37,E37))</f>
        <v>2000</v>
      </c>
      <c r="C37" s="21">
        <v>1000</v>
      </c>
      <c r="D37" s="21">
        <v>2000</v>
      </c>
      <c r="E37" s="21">
        <v>3500</v>
      </c>
      <c r="F37" s="15" t="s">
        <v>95</v>
      </c>
    </row>
    <row r="38" spans="1:11" x14ac:dyDescent="0.2">
      <c r="A38" s="10" t="s">
        <v>96</v>
      </c>
      <c r="B38" s="26">
        <f>IF(ISNUMBER($B$8),$B$8,CHOOSE($B$4,C38,D38,E38))</f>
        <v>0.5</v>
      </c>
      <c r="C38" s="20">
        <v>0.35</v>
      </c>
      <c r="D38" s="20">
        <v>0.5</v>
      </c>
      <c r="E38" s="20">
        <v>0.6</v>
      </c>
      <c r="F38" s="15" t="s">
        <v>97</v>
      </c>
    </row>
    <row r="39" spans="1:11" x14ac:dyDescent="0.2">
      <c r="A39" s="10" t="s">
        <v>98</v>
      </c>
      <c r="B39" s="26">
        <f>CHOOSE($B$4,C39,D39,E39)</f>
        <v>0.65</v>
      </c>
      <c r="C39" s="27">
        <v>0.6</v>
      </c>
      <c r="D39" s="27">
        <v>0.65</v>
      </c>
      <c r="E39" s="27">
        <v>0.7</v>
      </c>
      <c r="F39" s="15" t="s">
        <v>99</v>
      </c>
    </row>
    <row r="40" spans="1:11" x14ac:dyDescent="0.2">
      <c r="A40" s="10" t="s">
        <v>100</v>
      </c>
      <c r="B40" s="26">
        <f>CHOOSE($B$4,C40,D40,E40)</f>
        <v>0.9</v>
      </c>
      <c r="C40" s="27">
        <v>0.9</v>
      </c>
      <c r="D40" s="27">
        <v>0.9</v>
      </c>
      <c r="E40" s="27">
        <v>0.92</v>
      </c>
      <c r="F40" s="15" t="s">
        <v>101</v>
      </c>
    </row>
    <row r="41" spans="1:11" x14ac:dyDescent="0.2">
      <c r="A41" s="18" t="s">
        <v>102</v>
      </c>
      <c r="B41" s="26">
        <f>B38*B39*B40</f>
        <v>0.29250000000000004</v>
      </c>
      <c r="C41" s="38">
        <f>C38*C39*C40</f>
        <v>0.189</v>
      </c>
      <c r="D41" s="38">
        <f>D38*D39*D40</f>
        <v>0.29250000000000004</v>
      </c>
      <c r="E41" s="38">
        <f>E38*E39*E40</f>
        <v>0.3864</v>
      </c>
    </row>
    <row r="42" spans="1:11" x14ac:dyDescent="0.2">
      <c r="A42" s="10" t="s">
        <v>103</v>
      </c>
      <c r="B42" s="26">
        <f t="shared" ref="B42:B47" si="1">CHOOSE($B$4,C42,D42,E42)</f>
        <v>0.12</v>
      </c>
      <c r="C42" s="27">
        <v>0.12</v>
      </c>
      <c r="D42" s="27">
        <v>0.12</v>
      </c>
      <c r="E42" s="27">
        <v>0.12</v>
      </c>
      <c r="F42" s="15" t="s">
        <v>104</v>
      </c>
    </row>
    <row r="43" spans="1:11" x14ac:dyDescent="0.2">
      <c r="A43" s="10" t="s">
        <v>105</v>
      </c>
      <c r="B43" s="26">
        <f t="shared" si="1"/>
        <v>0.1</v>
      </c>
      <c r="C43" s="27">
        <v>0.1</v>
      </c>
      <c r="D43" s="27">
        <v>0.1</v>
      </c>
      <c r="E43" s="27">
        <v>0.1</v>
      </c>
      <c r="F43" s="15" t="s">
        <v>106</v>
      </c>
    </row>
    <row r="44" spans="1:11" x14ac:dyDescent="0.2">
      <c r="A44" s="10" t="s">
        <v>107</v>
      </c>
      <c r="B44" s="26">
        <f t="shared" si="1"/>
        <v>0.25</v>
      </c>
      <c r="C44" s="27">
        <v>0.25</v>
      </c>
      <c r="D44" s="27">
        <v>0.25</v>
      </c>
      <c r="E44" s="27">
        <v>0.25</v>
      </c>
      <c r="F44" s="15" t="s">
        <v>69</v>
      </c>
    </row>
    <row r="45" spans="1:11" x14ac:dyDescent="0.2">
      <c r="A45" s="10" t="s">
        <v>108</v>
      </c>
      <c r="B45" s="28">
        <f t="shared" si="1"/>
        <v>60</v>
      </c>
      <c r="C45" s="29">
        <v>60</v>
      </c>
      <c r="D45" s="29">
        <v>60</v>
      </c>
      <c r="E45" s="29">
        <v>60</v>
      </c>
      <c r="F45" s="15" t="s">
        <v>109</v>
      </c>
    </row>
    <row r="46" spans="1:11" x14ac:dyDescent="0.2">
      <c r="A46" s="10" t="s">
        <v>110</v>
      </c>
      <c r="B46" s="36">
        <f t="shared" si="1"/>
        <v>2045</v>
      </c>
      <c r="C46" s="37">
        <v>2045</v>
      </c>
      <c r="D46" s="37">
        <v>2045</v>
      </c>
      <c r="E46" s="37">
        <v>2045</v>
      </c>
      <c r="F46" s="15" t="s">
        <v>111</v>
      </c>
    </row>
    <row r="47" spans="1:11" x14ac:dyDescent="0.2">
      <c r="A47" s="10" t="s">
        <v>112</v>
      </c>
      <c r="B47" s="26">
        <f t="shared" si="1"/>
        <v>0.3</v>
      </c>
      <c r="C47" s="27">
        <v>0.3</v>
      </c>
      <c r="D47" s="27">
        <v>0.3</v>
      </c>
      <c r="E47" s="27">
        <v>0.3</v>
      </c>
      <c r="F47" s="15" t="s">
        <v>113</v>
      </c>
    </row>
    <row r="49" spans="1:11" x14ac:dyDescent="0.2">
      <c r="A49" s="39" t="s">
        <v>114</v>
      </c>
      <c r="K49" s="15" t="s">
        <v>115</v>
      </c>
    </row>
    <row r="50" spans="1:11" x14ac:dyDescent="0.2">
      <c r="A50" s="10" t="s">
        <v>116</v>
      </c>
      <c r="B50" s="35">
        <v>-8</v>
      </c>
      <c r="C50" s="35">
        <v>-7</v>
      </c>
      <c r="D50" s="35">
        <v>-6</v>
      </c>
      <c r="E50" s="35">
        <v>-5</v>
      </c>
      <c r="F50" s="35">
        <v>-4</v>
      </c>
      <c r="G50" s="35">
        <v>-3</v>
      </c>
      <c r="H50" s="35">
        <v>-2</v>
      </c>
      <c r="I50" s="35">
        <v>-1</v>
      </c>
      <c r="J50" s="35">
        <v>0</v>
      </c>
    </row>
    <row r="51" spans="1:11" x14ac:dyDescent="0.2">
      <c r="A51" s="10" t="s">
        <v>117</v>
      </c>
      <c r="B51" s="40"/>
      <c r="C51" s="40"/>
      <c r="D51" s="40" t="s">
        <v>118</v>
      </c>
      <c r="E51" s="40" t="s">
        <v>118</v>
      </c>
      <c r="F51" s="40" t="s">
        <v>119</v>
      </c>
      <c r="G51" s="40" t="s">
        <v>119</v>
      </c>
      <c r="H51" s="40" t="s">
        <v>119</v>
      </c>
      <c r="I51" s="40" t="s">
        <v>120</v>
      </c>
      <c r="J51" s="40" t="s">
        <v>121</v>
      </c>
    </row>
    <row r="52" spans="1:11" x14ac:dyDescent="0.2">
      <c r="A52" s="10" t="s">
        <v>122</v>
      </c>
      <c r="B52" s="29">
        <v>0</v>
      </c>
      <c r="C52" s="29">
        <v>0</v>
      </c>
      <c r="D52" s="29">
        <v>25</v>
      </c>
      <c r="E52" s="29">
        <v>45</v>
      </c>
      <c r="F52" s="29">
        <v>105</v>
      </c>
      <c r="G52" s="29">
        <v>140</v>
      </c>
      <c r="H52" s="29">
        <v>110</v>
      </c>
      <c r="I52" s="29">
        <v>65</v>
      </c>
      <c r="J52" s="29">
        <v>40</v>
      </c>
    </row>
    <row r="53" spans="1:11" x14ac:dyDescent="0.2">
      <c r="A53" s="10" t="s">
        <v>123</v>
      </c>
      <c r="B53" s="38">
        <f t="shared" ref="B53:J53" si="2">IF(B51="",0,IF(B51="Ph3",$B$38,IF(B51="Filing",$B$38*$B$39,IF(B51="Approval",$B$41,1))))</f>
        <v>0</v>
      </c>
      <c r="C53" s="38">
        <f t="shared" si="2"/>
        <v>0</v>
      </c>
      <c r="D53" s="38">
        <f t="shared" si="2"/>
        <v>1</v>
      </c>
      <c r="E53" s="38">
        <f t="shared" si="2"/>
        <v>1</v>
      </c>
      <c r="F53" s="38">
        <f t="shared" si="2"/>
        <v>0.5</v>
      </c>
      <c r="G53" s="38">
        <f t="shared" si="2"/>
        <v>0.5</v>
      </c>
      <c r="H53" s="38">
        <f t="shared" si="2"/>
        <v>0.5</v>
      </c>
      <c r="I53" s="38">
        <f t="shared" si="2"/>
        <v>0.325</v>
      </c>
      <c r="J53" s="38">
        <f t="shared" si="2"/>
        <v>0.29250000000000004</v>
      </c>
    </row>
    <row r="55" spans="1:11" x14ac:dyDescent="0.2">
      <c r="A55" s="23" t="s">
        <v>124</v>
      </c>
      <c r="B55" s="24"/>
      <c r="C55" s="24"/>
      <c r="D55" s="24"/>
      <c r="E55" s="24"/>
      <c r="F55" s="24"/>
    </row>
    <row r="56" spans="1:11" x14ac:dyDescent="0.2">
      <c r="A56" s="10" t="s">
        <v>92</v>
      </c>
      <c r="B56" s="36">
        <f>CHOOSE($B$4,C56,D56,E56)</f>
        <v>2032</v>
      </c>
      <c r="C56" s="37">
        <v>2032</v>
      </c>
      <c r="D56" s="37">
        <v>2032</v>
      </c>
      <c r="E56" s="37">
        <v>2032</v>
      </c>
      <c r="F56" s="15" t="s">
        <v>125</v>
      </c>
    </row>
    <row r="57" spans="1:11" x14ac:dyDescent="0.2">
      <c r="A57" s="10" t="s">
        <v>94</v>
      </c>
      <c r="B57" s="28">
        <f>CHOOSE($B$4,C57,D57,E57)</f>
        <v>1000</v>
      </c>
      <c r="C57" s="21">
        <v>400</v>
      </c>
      <c r="D57" s="21">
        <v>1000</v>
      </c>
      <c r="E57" s="21">
        <v>2000</v>
      </c>
      <c r="F57" s="15" t="s">
        <v>126</v>
      </c>
    </row>
    <row r="58" spans="1:11" x14ac:dyDescent="0.2">
      <c r="A58" s="10" t="s">
        <v>96</v>
      </c>
      <c r="B58" s="26">
        <f>CHOOSE($B$4,C58,D58,E58)</f>
        <v>0.2</v>
      </c>
      <c r="C58" s="20">
        <v>0.15</v>
      </c>
      <c r="D58" s="20">
        <v>0.2</v>
      </c>
      <c r="E58" s="20">
        <v>0.3</v>
      </c>
      <c r="F58" s="15" t="s">
        <v>127</v>
      </c>
    </row>
    <row r="59" spans="1:11" x14ac:dyDescent="0.2">
      <c r="A59" s="10" t="s">
        <v>98</v>
      </c>
      <c r="B59" s="26">
        <f>CHOOSE($B$4,C59,D59,E59)</f>
        <v>0.55</v>
      </c>
      <c r="C59" s="27">
        <v>0.5</v>
      </c>
      <c r="D59" s="27">
        <v>0.55000000000000004</v>
      </c>
      <c r="E59" s="27">
        <v>0.6</v>
      </c>
      <c r="F59" s="15" t="s">
        <v>99</v>
      </c>
    </row>
    <row r="60" spans="1:11" x14ac:dyDescent="0.2">
      <c r="A60" s="10" t="s">
        <v>100</v>
      </c>
      <c r="B60" s="26">
        <f>CHOOSE($B$4,C60,D60,E60)</f>
        <v>0.9</v>
      </c>
      <c r="C60" s="27">
        <v>0.9</v>
      </c>
      <c r="D60" s="27">
        <v>0.9</v>
      </c>
      <c r="E60" s="27">
        <v>0.92</v>
      </c>
      <c r="F60" s="15" t="s">
        <v>101</v>
      </c>
    </row>
    <row r="61" spans="1:11" x14ac:dyDescent="0.2">
      <c r="A61" s="18" t="s">
        <v>102</v>
      </c>
      <c r="B61" s="26">
        <f>B58*B59*B60</f>
        <v>0.09900000000000002</v>
      </c>
      <c r="C61" s="38">
        <f>C58*C59*C60</f>
        <v>0.0675</v>
      </c>
      <c r="D61" s="38">
        <f>D58*D59*D60</f>
        <v>0.09900000000000002</v>
      </c>
      <c r="E61" s="38">
        <f>E58*E59*E60</f>
        <v>0.1656</v>
      </c>
    </row>
    <row r="62" spans="1:11" x14ac:dyDescent="0.2">
      <c r="A62" s="10" t="s">
        <v>103</v>
      </c>
      <c r="B62" s="26">
        <f t="shared" ref="B62:B67" si="3">CHOOSE($B$4,C62,D62,E62)</f>
        <v>0.05</v>
      </c>
      <c r="C62" s="27">
        <v>0.05</v>
      </c>
      <c r="D62" s="27">
        <v>0.05</v>
      </c>
      <c r="E62" s="27">
        <v>0.05</v>
      </c>
      <c r="F62" s="15" t="s">
        <v>128</v>
      </c>
    </row>
    <row r="63" spans="1:11" x14ac:dyDescent="0.2">
      <c r="A63" s="10" t="s">
        <v>105</v>
      </c>
      <c r="B63" s="26">
        <f t="shared" si="3"/>
        <v>0.03</v>
      </c>
      <c r="C63" s="27">
        <v>0.03</v>
      </c>
      <c r="D63" s="27">
        <v>0.03</v>
      </c>
      <c r="E63" s="27">
        <v>0.03</v>
      </c>
      <c r="F63" s="15" t="s">
        <v>129</v>
      </c>
    </row>
    <row r="64" spans="1:11" x14ac:dyDescent="0.2">
      <c r="A64" s="10" t="s">
        <v>107</v>
      </c>
      <c r="B64" s="26">
        <f t="shared" si="3"/>
        <v>0.3</v>
      </c>
      <c r="C64" s="27">
        <v>0.3</v>
      </c>
      <c r="D64" s="27">
        <v>0.3</v>
      </c>
      <c r="E64" s="27">
        <v>0.3</v>
      </c>
      <c r="F64" s="15" t="s">
        <v>69</v>
      </c>
    </row>
    <row r="65" spans="1:11" x14ac:dyDescent="0.2">
      <c r="A65" s="10" t="s">
        <v>108</v>
      </c>
      <c r="B65" s="28">
        <f t="shared" si="3"/>
        <v>50</v>
      </c>
      <c r="C65" s="29">
        <v>50</v>
      </c>
      <c r="D65" s="29">
        <v>50</v>
      </c>
      <c r="E65" s="29">
        <v>50</v>
      </c>
      <c r="F65" s="15" t="s">
        <v>109</v>
      </c>
    </row>
    <row r="66" spans="1:11" x14ac:dyDescent="0.2">
      <c r="A66" s="10" t="s">
        <v>110</v>
      </c>
      <c r="B66" s="36">
        <f t="shared" si="3"/>
        <v>2044</v>
      </c>
      <c r="C66" s="37">
        <v>2044</v>
      </c>
      <c r="D66" s="37">
        <v>2044</v>
      </c>
      <c r="E66" s="37">
        <v>2044</v>
      </c>
      <c r="F66" s="15" t="s">
        <v>130</v>
      </c>
    </row>
    <row r="67" spans="1:11" x14ac:dyDescent="0.2">
      <c r="A67" s="10" t="s">
        <v>112</v>
      </c>
      <c r="B67" s="26">
        <f t="shared" si="3"/>
        <v>0.6</v>
      </c>
      <c r="C67" s="27">
        <v>0.6</v>
      </c>
      <c r="D67" s="27">
        <v>0.6</v>
      </c>
      <c r="E67" s="27">
        <v>0.6</v>
      </c>
      <c r="F67" s="15" t="s">
        <v>131</v>
      </c>
    </row>
    <row r="69" spans="1:11" x14ac:dyDescent="0.2">
      <c r="A69" s="39" t="s">
        <v>114</v>
      </c>
      <c r="K69" s="15" t="s">
        <v>132</v>
      </c>
    </row>
    <row r="70" spans="1:11" x14ac:dyDescent="0.2">
      <c r="A70" s="10" t="s">
        <v>116</v>
      </c>
      <c r="B70" s="35">
        <v>-8</v>
      </c>
      <c r="C70" s="35">
        <v>-7</v>
      </c>
      <c r="D70" s="35">
        <v>-6</v>
      </c>
      <c r="E70" s="35">
        <v>-5</v>
      </c>
      <c r="F70" s="35">
        <v>-4</v>
      </c>
      <c r="G70" s="35">
        <v>-3</v>
      </c>
      <c r="H70" s="35">
        <v>-2</v>
      </c>
      <c r="I70" s="35">
        <v>-1</v>
      </c>
      <c r="J70" s="35">
        <v>0</v>
      </c>
    </row>
    <row r="71" spans="1:11" x14ac:dyDescent="0.2">
      <c r="A71" s="10" t="s">
        <v>117</v>
      </c>
      <c r="B71" s="40"/>
      <c r="C71" s="40"/>
      <c r="D71" s="40"/>
      <c r="E71" s="40" t="s">
        <v>118</v>
      </c>
      <c r="F71" s="40" t="s">
        <v>119</v>
      </c>
      <c r="G71" s="40" t="s">
        <v>119</v>
      </c>
      <c r="H71" s="40" t="s">
        <v>119</v>
      </c>
      <c r="I71" s="40" t="s">
        <v>120</v>
      </c>
      <c r="J71" s="40"/>
    </row>
    <row r="72" spans="1:11" x14ac:dyDescent="0.2">
      <c r="A72" s="10" t="s">
        <v>122</v>
      </c>
      <c r="B72" s="29">
        <v>0</v>
      </c>
      <c r="C72" s="29">
        <v>0</v>
      </c>
      <c r="D72" s="29">
        <v>0</v>
      </c>
      <c r="E72" s="29">
        <v>30</v>
      </c>
      <c r="F72" s="29">
        <v>45</v>
      </c>
      <c r="G72" s="29">
        <v>85</v>
      </c>
      <c r="H72" s="29">
        <v>75</v>
      </c>
      <c r="I72" s="29">
        <v>25</v>
      </c>
      <c r="J72" s="29">
        <v>0</v>
      </c>
    </row>
    <row r="73" spans="1:11" x14ac:dyDescent="0.2">
      <c r="A73" s="10" t="s">
        <v>123</v>
      </c>
      <c r="B73" s="38">
        <f t="shared" ref="B73:J73" si="4">IF(B71="",0,IF(B71="Ph3",$B$58,IF(B71="Filing",$B$58*$B$59,IF(B71="Approval",$B$61,1))))</f>
        <v>0</v>
      </c>
      <c r="C73" s="38">
        <f t="shared" si="4"/>
        <v>0</v>
      </c>
      <c r="D73" s="38">
        <f t="shared" si="4"/>
        <v>0</v>
      </c>
      <c r="E73" s="38">
        <f t="shared" si="4"/>
        <v>1</v>
      </c>
      <c r="F73" s="38">
        <f t="shared" si="4"/>
        <v>0.2</v>
      </c>
      <c r="G73" s="38">
        <f t="shared" si="4"/>
        <v>0.2</v>
      </c>
      <c r="H73" s="38">
        <f t="shared" si="4"/>
        <v>0.2</v>
      </c>
      <c r="I73" s="38">
        <f t="shared" si="4"/>
        <v>0.11000000000000001</v>
      </c>
      <c r="J73" s="38">
        <f t="shared" si="4"/>
        <v>0</v>
      </c>
    </row>
    <row r="75" spans="1:11" x14ac:dyDescent="0.2">
      <c r="A75" s="23" t="s">
        <v>133</v>
      </c>
      <c r="B75" s="24"/>
      <c r="C75" s="24"/>
      <c r="D75" s="24"/>
      <c r="E75" s="24"/>
      <c r="F75" s="24"/>
    </row>
    <row r="76" spans="1:11" x14ac:dyDescent="0.2">
      <c r="A76" s="10" t="s">
        <v>134</v>
      </c>
      <c r="B76" s="36">
        <f t="shared" ref="B76:B81" si="5">CHOOSE($B$4,C76,D76,E76)</f>
        <v>1</v>
      </c>
      <c r="C76" s="37">
        <v>1</v>
      </c>
      <c r="D76" s="37">
        <v>1</v>
      </c>
      <c r="E76" s="37">
        <v>1</v>
      </c>
      <c r="F76" s="15" t="s">
        <v>135</v>
      </c>
    </row>
    <row r="77" spans="1:11" x14ac:dyDescent="0.2">
      <c r="A77" s="10" t="s">
        <v>92</v>
      </c>
      <c r="B77" s="36">
        <f t="shared" si="5"/>
        <v>2036</v>
      </c>
      <c r="C77" s="37">
        <v>2036</v>
      </c>
      <c r="D77" s="37">
        <v>2036</v>
      </c>
      <c r="E77" s="37">
        <v>2036</v>
      </c>
      <c r="F77" s="15" t="s">
        <v>136</v>
      </c>
    </row>
    <row r="78" spans="1:11" x14ac:dyDescent="0.2">
      <c r="A78" s="10" t="s">
        <v>94</v>
      </c>
      <c r="B78" s="28">
        <f t="shared" si="5"/>
        <v>1000</v>
      </c>
      <c r="C78" s="21">
        <v>500</v>
      </c>
      <c r="D78" s="21">
        <v>1000</v>
      </c>
      <c r="E78" s="21">
        <v>1500</v>
      </c>
      <c r="F78" s="15" t="s">
        <v>137</v>
      </c>
    </row>
    <row r="79" spans="1:11" x14ac:dyDescent="0.2">
      <c r="A79" s="10" t="s">
        <v>96</v>
      </c>
      <c r="B79" s="26">
        <f t="shared" si="5"/>
        <v>0.25</v>
      </c>
      <c r="C79" s="20">
        <v>0.2</v>
      </c>
      <c r="D79" s="20">
        <v>0.25</v>
      </c>
      <c r="E79" s="20">
        <v>0.3</v>
      </c>
      <c r="F79" s="15" t="s">
        <v>138</v>
      </c>
    </row>
    <row r="80" spans="1:11" x14ac:dyDescent="0.2">
      <c r="A80" s="10" t="s">
        <v>98</v>
      </c>
      <c r="B80" s="26">
        <f t="shared" si="5"/>
        <v>0.55</v>
      </c>
      <c r="C80" s="27">
        <v>0.55000000000000004</v>
      </c>
      <c r="D80" s="27">
        <v>0.55000000000000004</v>
      </c>
      <c r="E80" s="27">
        <v>0.6</v>
      </c>
      <c r="F80" s="15" t="s">
        <v>99</v>
      </c>
    </row>
    <row r="81" spans="1:11" x14ac:dyDescent="0.2">
      <c r="A81" s="10" t="s">
        <v>100</v>
      </c>
      <c r="B81" s="26">
        <f t="shared" si="5"/>
        <v>0.9</v>
      </c>
      <c r="C81" s="27">
        <v>0.9</v>
      </c>
      <c r="D81" s="27">
        <v>0.9</v>
      </c>
      <c r="E81" s="27">
        <v>0.92</v>
      </c>
      <c r="F81" s="15" t="s">
        <v>101</v>
      </c>
    </row>
    <row r="82" spans="1:11" x14ac:dyDescent="0.2">
      <c r="A82" s="18" t="s">
        <v>102</v>
      </c>
      <c r="B82" s="26">
        <f>B79*B80*B81</f>
        <v>0.12375000000000001</v>
      </c>
      <c r="C82" s="38">
        <f>C79*C80*C81</f>
        <v>0.09900000000000002</v>
      </c>
      <c r="D82" s="38">
        <f>D79*D80*D81</f>
        <v>0.12375000000000001</v>
      </c>
      <c r="E82" s="38">
        <f>E79*E80*E81</f>
        <v>0.1656</v>
      </c>
    </row>
    <row r="83" spans="1:11" x14ac:dyDescent="0.2">
      <c r="A83" s="10" t="s">
        <v>103</v>
      </c>
      <c r="B83" s="26">
        <f t="shared" ref="B83:B88" si="6">CHOOSE($B$4,C83,D83,E83)</f>
        <v>0.12</v>
      </c>
      <c r="C83" s="27">
        <v>0.12</v>
      </c>
      <c r="D83" s="27">
        <v>0.12</v>
      </c>
      <c r="E83" s="27">
        <v>0.12</v>
      </c>
      <c r="F83" s="15" t="s">
        <v>104</v>
      </c>
    </row>
    <row r="84" spans="1:11" x14ac:dyDescent="0.2">
      <c r="A84" s="10" t="s">
        <v>105</v>
      </c>
      <c r="B84" s="26">
        <f t="shared" si="6"/>
        <v>0.1</v>
      </c>
      <c r="C84" s="27">
        <v>0.1</v>
      </c>
      <c r="D84" s="27">
        <v>0.1</v>
      </c>
      <c r="E84" s="27">
        <v>0.1</v>
      </c>
      <c r="F84" s="15" t="s">
        <v>139</v>
      </c>
    </row>
    <row r="85" spans="1:11" x14ac:dyDescent="0.2">
      <c r="A85" s="10" t="s">
        <v>107</v>
      </c>
      <c r="B85" s="26">
        <f t="shared" si="6"/>
        <v>0.2</v>
      </c>
      <c r="C85" s="27">
        <v>0.2</v>
      </c>
      <c r="D85" s="27">
        <v>0.2</v>
      </c>
      <c r="E85" s="27">
        <v>0.2</v>
      </c>
      <c r="F85" s="15" t="s">
        <v>69</v>
      </c>
    </row>
    <row r="86" spans="1:11" x14ac:dyDescent="0.2">
      <c r="A86" s="10" t="s">
        <v>108</v>
      </c>
      <c r="B86" s="28">
        <f t="shared" si="6"/>
        <v>25</v>
      </c>
      <c r="C86" s="29">
        <v>25</v>
      </c>
      <c r="D86" s="29">
        <v>25</v>
      </c>
      <c r="E86" s="29">
        <v>25</v>
      </c>
      <c r="F86" s="15" t="s">
        <v>109</v>
      </c>
    </row>
    <row r="87" spans="1:11" x14ac:dyDescent="0.2">
      <c r="A87" s="10" t="s">
        <v>110</v>
      </c>
      <c r="B87" s="36">
        <f t="shared" si="6"/>
        <v>2045</v>
      </c>
      <c r="C87" s="37">
        <v>2045</v>
      </c>
      <c r="D87" s="37">
        <v>2045</v>
      </c>
      <c r="E87" s="37">
        <v>2045</v>
      </c>
      <c r="F87" s="15" t="s">
        <v>140</v>
      </c>
    </row>
    <row r="88" spans="1:11" x14ac:dyDescent="0.2">
      <c r="A88" s="10" t="s">
        <v>112</v>
      </c>
      <c r="B88" s="26">
        <f t="shared" si="6"/>
        <v>0.3</v>
      </c>
      <c r="C88" s="27">
        <v>0.3</v>
      </c>
      <c r="D88" s="27">
        <v>0.3</v>
      </c>
      <c r="E88" s="27">
        <v>0.3</v>
      </c>
      <c r="F88" s="15" t="s">
        <v>113</v>
      </c>
    </row>
    <row r="90" spans="1:11" x14ac:dyDescent="0.2">
      <c r="A90" s="39" t="s">
        <v>114</v>
      </c>
      <c r="K90" s="15" t="s">
        <v>141</v>
      </c>
    </row>
    <row r="91" spans="1:11" x14ac:dyDescent="0.2">
      <c r="A91" s="10" t="s">
        <v>116</v>
      </c>
      <c r="B91" s="35">
        <v>-8</v>
      </c>
      <c r="C91" s="35">
        <v>-7</v>
      </c>
      <c r="D91" s="35">
        <v>-6</v>
      </c>
      <c r="E91" s="35">
        <v>-5</v>
      </c>
      <c r="F91" s="35">
        <v>-4</v>
      </c>
      <c r="G91" s="35">
        <v>-3</v>
      </c>
      <c r="H91" s="35">
        <v>-2</v>
      </c>
      <c r="I91" s="35">
        <v>-1</v>
      </c>
      <c r="J91" s="35">
        <v>0</v>
      </c>
    </row>
    <row r="92" spans="1:11" x14ac:dyDescent="0.2">
      <c r="A92" s="10" t="s">
        <v>117</v>
      </c>
      <c r="B92" s="40" t="s">
        <v>142</v>
      </c>
      <c r="C92" s="40" t="s">
        <v>142</v>
      </c>
      <c r="D92" s="40" t="s">
        <v>142</v>
      </c>
      <c r="E92" s="40" t="s">
        <v>119</v>
      </c>
      <c r="F92" s="40" t="s">
        <v>119</v>
      </c>
      <c r="G92" s="40" t="s">
        <v>119</v>
      </c>
      <c r="H92" s="40" t="s">
        <v>120</v>
      </c>
      <c r="I92" s="40" t="s">
        <v>120</v>
      </c>
      <c r="J92" s="40"/>
    </row>
    <row r="93" spans="1:11" x14ac:dyDescent="0.2">
      <c r="A93" s="10" t="s">
        <v>122</v>
      </c>
      <c r="B93" s="29">
        <v>15</v>
      </c>
      <c r="C93" s="29">
        <v>30</v>
      </c>
      <c r="D93" s="29">
        <v>15</v>
      </c>
      <c r="E93" s="29">
        <v>60</v>
      </c>
      <c r="F93" s="29">
        <v>100</v>
      </c>
      <c r="G93" s="29">
        <v>90</v>
      </c>
      <c r="H93" s="29">
        <v>30</v>
      </c>
      <c r="I93" s="29">
        <v>10</v>
      </c>
      <c r="J93" s="29">
        <v>0</v>
      </c>
    </row>
    <row r="94" spans="1:11" x14ac:dyDescent="0.2">
      <c r="A94" s="10" t="s">
        <v>123</v>
      </c>
      <c r="B94" s="38">
        <f t="shared" ref="B94:J94" si="7">IF(B92="",0,IF(B92="Ph3",$B$79,IF(B92="Filing",$B$79*$B$80,IF(B92="Approval",$B$82,1))))*$B$76</f>
        <v>1.0</v>
      </c>
      <c r="C94" s="38">
        <f t="shared" si="7"/>
        <v>1.0</v>
      </c>
      <c r="D94" s="38">
        <f t="shared" si="7"/>
        <v>1.0</v>
      </c>
      <c r="E94" s="38">
        <f t="shared" si="7"/>
        <v>0.25</v>
      </c>
      <c r="F94" s="38">
        <f t="shared" si="7"/>
        <v>0.25</v>
      </c>
      <c r="G94" s="38">
        <f t="shared" si="7"/>
        <v>0.25</v>
      </c>
      <c r="H94" s="38">
        <f t="shared" si="7"/>
        <v>0.1375</v>
      </c>
      <c r="I94" s="38">
        <f t="shared" si="7"/>
        <v>0.1375</v>
      </c>
      <c r="J94" s="38">
        <f t="shared" si="7"/>
        <v>0.0</v>
      </c>
    </row>
    <row r="96" spans="1:11" x14ac:dyDescent="0.2">
      <c r="A96" s="23" t="s">
        <v>143</v>
      </c>
      <c r="B96" s="24"/>
      <c r="C96" s="24"/>
      <c r="D96" s="24"/>
      <c r="E96" s="24"/>
      <c r="F96" s="24"/>
    </row>
    <row r="97" spans="1:8" x14ac:dyDescent="0.2">
      <c r="A97" s="10" t="s">
        <v>144</v>
      </c>
      <c r="B97" s="26">
        <f>1-(1-$B$41)*(1-$B$61)*(1-$B$82*$B$76)</f>
        <v>0.441427865625</v>
      </c>
      <c r="F97" s="15" t="s">
        <v>145</v>
      </c>
    </row>
    <row r="98" spans="1:8" x14ac:dyDescent="0.2">
      <c r="A98" s="10" t="s">
        <v>146</v>
      </c>
      <c r="B98" s="36">
        <f>MIN($B$36,$B$56,IF($B$76=1,$B$77,9999))</f>
        <v>2032</v>
      </c>
    </row>
    <row r="101" spans="1:8" ht="18" x14ac:dyDescent="0.25">
      <c r="A101" s="41" t="s">
        <v>147</v>
      </c>
    </row>
    <row r="102" spans="1:8" x14ac:dyDescent="0.2">
      <c r="A102" s="15" t="s">
        <v>148</v>
      </c>
    </row>
    <row r="104" spans="1:8" x14ac:dyDescent="0.2">
      <c r="A104" s="23" t="s">
        <v>149</v>
      </c>
    </row>
    <row r="105" spans="1:8" ht="34" x14ac:dyDescent="0.2">
      <c r="A105" s="10" t="s">
        <v>10</v>
      </c>
      <c r="B105" s="35" t="s">
        <v>150</v>
      </c>
      <c r="C105" s="42" t="s">
        <v>151</v>
      </c>
      <c r="D105" s="42" t="s">
        <v>152</v>
      </c>
      <c r="E105" s="42" t="s">
        <v>153</v>
      </c>
      <c r="F105" s="42" t="s">
        <v>154</v>
      </c>
      <c r="G105" s="42" t="s">
        <v>155</v>
      </c>
      <c r="H105" s="42" t="s">
        <v>56</v>
      </c>
    </row>
    <row r="106" spans="1:8" x14ac:dyDescent="0.2">
      <c r="A106" s="15" t="s">
        <v>156</v>
      </c>
      <c r="C106" s="43">
        <f>NPV!C21</f>
        <v>251.326228072763</v>
      </c>
      <c r="D106" s="44">
        <f>NPV!C27</f>
        <v>6.780611355029268</v>
      </c>
      <c r="E106" s="45">
        <f>NPV!C29</f>
        <v>0.26740399159425565</v>
      </c>
      <c r="F106" s="44">
        <f>NPV!C37</f>
        <v>12.408086328099067</v>
      </c>
      <c r="G106" s="44">
        <f>NPV!C38</f>
        <v>2.224987786719654</v>
      </c>
      <c r="H106" s="45">
        <f>Assumptions!$B$14</f>
        <v>0.12</v>
      </c>
    </row>
    <row r="107" spans="1:8" x14ac:dyDescent="0.2">
      <c r="A107" s="18" t="s">
        <v>49</v>
      </c>
      <c r="B107" s="46">
        <v>1</v>
      </c>
      <c r="C107" s="47">
        <f t="dataTable" ref="C107:H109" dt2D="0" dtr="0" r1="B4" ca="1"/>
        <v>-94.48759954255576</v>
      </c>
      <c r="D107" s="48">
        <v>-2.5492114184844388</v>
      </c>
      <c r="E107" s="38">
        <v>-1.476488115604568</v>
      </c>
      <c r="F107" s="48">
        <v>0.44568578061366326</v>
      </c>
      <c r="G107" s="48">
        <v>-0.5375753350446156</v>
      </c>
      <c r="H107" s="38">
        <v>0.14</v>
      </c>
    </row>
    <row r="108" spans="1:8" x14ac:dyDescent="0.2">
      <c r="A108" s="18" t="s">
        <v>50</v>
      </c>
      <c r="B108" s="46">
        <v>2</v>
      </c>
      <c r="C108" s="28">
        <v>251.326228072763</v>
      </c>
      <c r="D108" s="32">
        <v>6.780611355029268</v>
      </c>
      <c r="E108" s="26">
        <v>0.26740399159425565</v>
      </c>
      <c r="F108" s="32">
        <v>12.408086328099067</v>
      </c>
      <c r="G108" s="32">
        <v>2.224987786719654</v>
      </c>
      <c r="H108" s="26">
        <v>0.12</v>
      </c>
    </row>
    <row r="109" spans="1:8" x14ac:dyDescent="0.2">
      <c r="A109" s="18" t="s">
        <v>51</v>
      </c>
      <c r="B109" s="46">
        <v>3</v>
      </c>
      <c r="C109" s="47">
        <v>1340.1721586985263</v>
      </c>
      <c r="D109" s="48">
        <v>31.80227389679442</v>
      </c>
      <c r="E109" s="38">
        <v>4.94435026108307</v>
      </c>
      <c r="F109" s="48">
        <v>41.05145160446494</v>
      </c>
      <c r="G109" s="48">
        <v>12.426867049619522</v>
      </c>
      <c r="H109" s="38">
        <v>0.1</v>
      </c>
    </row>
    <row r="111" spans="1:8" x14ac:dyDescent="0.2">
      <c r="A111" s="23" t="s">
        <v>157</v>
      </c>
    </row>
    <row r="112" spans="1:8" x14ac:dyDescent="0.2">
      <c r="C112" s="35" t="s">
        <v>49</v>
      </c>
      <c r="D112" s="35" t="s">
        <v>50</v>
      </c>
      <c r="E112" s="35" t="s">
        <v>51</v>
      </c>
    </row>
    <row r="113" spans="1:7" x14ac:dyDescent="0.2">
      <c r="A113" s="15" t="s">
        <v>158</v>
      </c>
      <c r="B113" s="44">
        <f>NPV!C27</f>
        <v>6.780611355029268</v>
      </c>
      <c r="C113" s="35">
        <v>1</v>
      </c>
      <c r="D113" s="35">
        <v>2</v>
      </c>
      <c r="E113" s="35">
        <v>3</v>
      </c>
    </row>
    <row r="114" spans="1:7" x14ac:dyDescent="0.2">
      <c r="B114" s="26">
        <v>0.1</v>
      </c>
      <c r="C114" s="48">
        <f t="dataTable" ref="C114:E119" dt2D="1" dtr="0" r1="B4" r2="B6"/>
        <v>-1.2277651647449646</v>
      </c>
      <c r="D114" s="48">
        <v>10.415566974887827</v>
      </c>
      <c r="E114" s="48">
        <v>31.80227389679442</v>
      </c>
    </row>
    <row r="115" spans="1:7" x14ac:dyDescent="0.2">
      <c r="B115" s="26">
        <v>0.11</v>
      </c>
      <c r="C115" s="48">
        <v>-1.686052168984277</v>
      </c>
      <c r="D115" s="48">
        <v>8.448966383575733</v>
      </c>
      <c r="E115" s="48">
        <v>27.5460839543727</v>
      </c>
    </row>
    <row r="116" spans="1:7" x14ac:dyDescent="0.2">
      <c r="B116" s="26">
        <v>0.12</v>
      </c>
      <c r="C116" s="48">
        <v>-2.0493439116171173</v>
      </c>
      <c r="D116" s="48">
        <v>6.780611355029268</v>
      </c>
      <c r="E116" s="48">
        <v>23.89364762845453</v>
      </c>
    </row>
    <row r="117" spans="1:7" x14ac:dyDescent="0.2">
      <c r="B117" s="26">
        <v>0.13</v>
      </c>
      <c r="C117" s="48">
        <v>-2.3328155697467574</v>
      </c>
      <c r="D117" s="48">
        <v>5.36571063632886</v>
      </c>
      <c r="E117" s="48">
        <v>20.75698358176225</v>
      </c>
    </row>
    <row r="118" spans="1:7" x14ac:dyDescent="0.2">
      <c r="B118" s="26">
        <v>0.14000000000000001</v>
      </c>
      <c r="C118" s="48">
        <v>-2.5492114184844388</v>
      </c>
      <c r="D118" s="48">
        <v>4.166564798677173</v>
      </c>
      <c r="E118" s="48">
        <v>18.062369851875314</v>
      </c>
    </row>
    <row r="119" spans="1:7" x14ac:dyDescent="0.2">
      <c r="B119" s="26">
        <v>0.15</v>
      </c>
      <c r="C119" s="48">
        <v>-2.70925026456041</v>
      </c>
      <c r="D119" s="48">
        <v>3.1513744515312525</v>
      </c>
      <c r="E119" s="48">
        <v>15.748077406949134</v>
      </c>
    </row>
    <row r="121" spans="1:7" x14ac:dyDescent="0.2">
      <c r="A121" s="23" t="s">
        <v>159</v>
      </c>
    </row>
    <row r="122" spans="1:7" x14ac:dyDescent="0.2">
      <c r="C122" s="15" t="s">
        <v>160</v>
      </c>
    </row>
    <row r="123" spans="1:7" x14ac:dyDescent="0.2">
      <c r="A123" s="15" t="s">
        <v>161</v>
      </c>
      <c r="B123" s="44">
        <f>NPV!C27</f>
        <v>6.780611355029268</v>
      </c>
      <c r="C123" s="49">
        <v>0.3</v>
      </c>
      <c r="D123" s="49">
        <v>0.4</v>
      </c>
      <c r="E123" s="49">
        <v>0.5</v>
      </c>
      <c r="F123" s="49">
        <v>0.6</v>
      </c>
      <c r="G123" s="49">
        <v>0.7</v>
      </c>
    </row>
    <row r="124" spans="1:7" x14ac:dyDescent="0.2">
      <c r="B124" s="50">
        <v>1000</v>
      </c>
      <c r="C124" s="48">
        <f t="dataTable" ref="C124:G129" dt2D="1" dtr="0" r1="B8" r2="B7" ca="1"/>
        <v>0.5448456496170452</v>
      </c>
      <c r="D124" s="48">
        <v>0.8465601842759963</v>
      </c>
      <c r="E124" s="48">
        <v>1.1242860047366499</v>
      </c>
      <c r="F124" s="48">
        <v>1.4020118251973057</v>
      </c>
      <c r="G124" s="48">
        <v>1.6898210564746678</v>
      </c>
    </row>
    <row r="125" spans="1:7" x14ac:dyDescent="0.2">
      <c r="B125" s="50">
        <v>1500</v>
      </c>
      <c r="C125" s="48">
        <v>2.3054345248410777</v>
      </c>
      <c r="D125" s="48">
        <v>3.1598278342448265</v>
      </c>
      <c r="E125" s="48">
        <v>3.9931852556276173</v>
      </c>
      <c r="F125" s="48">
        <v>4.835928209064104</v>
      </c>
      <c r="G125" s="48">
        <v>5.655907781454934</v>
      </c>
    </row>
    <row r="126" spans="1:7" x14ac:dyDescent="0.2">
      <c r="B126" s="50">
        <v>2000</v>
      </c>
      <c r="C126" s="48">
        <v>4.020521891673563</v>
      </c>
      <c r="D126" s="48">
        <v>5.414595254000825</v>
      </c>
      <c r="E126" s="48">
        <v>6.780611355029268</v>
      </c>
      <c r="F126" s="48">
        <v>8.145470105686728</v>
      </c>
      <c r="G126" s="48">
        <v>9.511004924584688</v>
      </c>
    </row>
    <row r="127" spans="1:7" x14ac:dyDescent="0.2">
      <c r="B127" s="50">
        <v>2500</v>
      </c>
      <c r="C127" s="48">
        <v>5.699866556546772</v>
      </c>
      <c r="D127" s="48">
        <v>7.613440688346694</v>
      </c>
      <c r="E127" s="48">
        <v>9.52496723966699</v>
      </c>
      <c r="F127" s="48">
        <v>11.414320666089113</v>
      </c>
      <c r="G127" s="48">
        <v>12.97018044057382</v>
      </c>
    </row>
    <row r="128" spans="1:7" x14ac:dyDescent="0.2">
      <c r="B128" s="50">
        <v>3000</v>
      </c>
      <c r="C128" s="48">
        <v>7.344442203467526</v>
      </c>
      <c r="D128" s="48">
        <v>9.799784674383984</v>
      </c>
      <c r="E128" s="48">
        <v>12.105512764353183</v>
      </c>
      <c r="F128" s="48">
        <v>14.065335353765027</v>
      </c>
      <c r="G128" s="48">
        <v>16.038757409032318</v>
      </c>
    </row>
    <row r="129" spans="2:7" x14ac:dyDescent="0.2">
      <c r="B129" s="50">
        <v>4000</v>
      </c>
      <c r="C129" s="48">
        <v>10.612545975284597</v>
      </c>
      <c r="D129" s="48">
        <v>13.615820066108554</v>
      </c>
      <c r="E129" s="48">
        <v>16.450784042812963</v>
      </c>
      <c r="F129" s="48">
        <v>19.293600304492422</v>
      </c>
      <c r="G129" s="48">
        <v>22.147673714322863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5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baseColWidth="10" defaultColWidth="8.83203125" defaultRowHeight="16" x14ac:dyDescent="0.2"/>
  <cols>
    <col min="1" max="1" width="46" customWidth="1"/>
    <col min="2" max="2" width="2" customWidth="1"/>
    <col min="3" max="26" width="9" customWidth="1"/>
  </cols>
  <sheetData>
    <row r="1" spans="1:26" ht="19" x14ac:dyDescent="0.25">
      <c r="A1" s="17" t="s">
        <v>162</v>
      </c>
    </row>
    <row r="2" spans="1:26" x14ac:dyDescent="0.2">
      <c r="A2" s="18" t="s">
        <v>163</v>
      </c>
      <c r="C2" s="18">
        <v>2027</v>
      </c>
      <c r="D2" s="18">
        <v>2028</v>
      </c>
      <c r="E2" s="18">
        <v>2029</v>
      </c>
      <c r="F2" s="18">
        <v>2030</v>
      </c>
      <c r="G2" s="18">
        <v>2031</v>
      </c>
      <c r="H2" s="18">
        <v>2032</v>
      </c>
      <c r="I2" s="18">
        <v>2033</v>
      </c>
      <c r="J2" s="18">
        <v>2034</v>
      </c>
      <c r="K2" s="18">
        <v>2035</v>
      </c>
      <c r="L2" s="18">
        <v>2036</v>
      </c>
      <c r="M2" s="18">
        <v>2037</v>
      </c>
      <c r="N2" s="18">
        <v>2038</v>
      </c>
      <c r="O2" s="18">
        <v>2039</v>
      </c>
      <c r="P2" s="18">
        <v>2040</v>
      </c>
      <c r="Q2" s="18">
        <v>2041</v>
      </c>
      <c r="R2" s="18">
        <v>2042</v>
      </c>
      <c r="S2" s="18">
        <v>2043</v>
      </c>
      <c r="T2" s="18">
        <v>2044</v>
      </c>
      <c r="U2" s="18">
        <v>2045</v>
      </c>
      <c r="V2" s="18">
        <v>2046</v>
      </c>
      <c r="W2" s="18">
        <v>2047</v>
      </c>
      <c r="X2" s="18">
        <v>2048</v>
      </c>
      <c r="Y2" s="18">
        <v>2049</v>
      </c>
      <c r="Z2" s="18">
        <v>2050</v>
      </c>
    </row>
    <row r="4" spans="1:26" x14ac:dyDescent="0.2">
      <c r="A4" s="23" t="s">
        <v>164</v>
      </c>
    </row>
    <row r="5" spans="1:26" x14ac:dyDescent="0.2">
      <c r="A5" s="10" t="s">
        <v>165</v>
      </c>
      <c r="C5" s="51">
        <f>C$2-Assumptions!$B$36+1</f>
        <v>-5.0</v>
      </c>
      <c r="D5" s="51">
        <f>D$2-Assumptions!$B$36+1</f>
        <v>-4.0</v>
      </c>
      <c r="E5" s="51">
        <f>E$2-Assumptions!$B$36+1</f>
        <v>-3.0</v>
      </c>
      <c r="F5" s="51">
        <f>F$2-Assumptions!$B$36+1</f>
        <v>-2.0</v>
      </c>
      <c r="G5" s="51">
        <f>G$2-Assumptions!$B$36+1</f>
        <v>-1.0</v>
      </c>
      <c r="H5" s="51">
        <f>H$2-Assumptions!$B$36+1</f>
        <v>0.0</v>
      </c>
      <c r="I5" s="51">
        <f>I$2-Assumptions!$B$36+1</f>
        <v>1.0</v>
      </c>
      <c r="J5" s="51">
        <f>J$2-Assumptions!$B$36+1</f>
        <v>2.0</v>
      </c>
      <c r="K5" s="51">
        <f>K$2-Assumptions!$B$36+1</f>
        <v>3.0</v>
      </c>
      <c r="L5" s="51">
        <f>L$2-Assumptions!$B$36+1</f>
        <v>4.0</v>
      </c>
      <c r="M5" s="51">
        <f>M$2-Assumptions!$B$36+1</f>
        <v>5.0</v>
      </c>
      <c r="N5" s="51">
        <f>N$2-Assumptions!$B$36+1</f>
        <v>6.0</v>
      </c>
      <c r="O5" s="51">
        <f>O$2-Assumptions!$B$36+1</f>
        <v>7.0</v>
      </c>
      <c r="P5" s="51">
        <f>P$2-Assumptions!$B$36+1</f>
        <v>8.0</v>
      </c>
      <c r="Q5" s="51">
        <f>Q$2-Assumptions!$B$36+1</f>
        <v>9.0</v>
      </c>
      <c r="R5" s="51">
        <f>R$2-Assumptions!$B$36+1</f>
        <v>10.0</v>
      </c>
      <c r="S5" s="51">
        <f>S$2-Assumptions!$B$36+1</f>
        <v>11.0</v>
      </c>
      <c r="T5" s="51">
        <f>T$2-Assumptions!$B$36+1</f>
        <v>12.0</v>
      </c>
      <c r="U5" s="51">
        <f>U$2-Assumptions!$B$36+1</f>
        <v>13.0</v>
      </c>
      <c r="V5" s="51">
        <f>V$2-Assumptions!$B$36+1</f>
        <v>14.0</v>
      </c>
      <c r="W5" s="51">
        <f>W$2-Assumptions!$B$36+1</f>
        <v>15.0</v>
      </c>
      <c r="X5" s="51">
        <f>X$2-Assumptions!$B$36+1</f>
        <v>16.0</v>
      </c>
      <c r="Y5" s="51">
        <f>Y$2-Assumptions!$B$36+1</f>
        <v>17.0</v>
      </c>
      <c r="Z5" s="51">
        <f>Z$2-Assumptions!$B$36+1</f>
        <v>18.0</v>
      </c>
    </row>
    <row r="6" spans="1:26" x14ac:dyDescent="0.2">
      <c r="A6" s="10" t="s">
        <v>166</v>
      </c>
      <c r="C6" s="47">
        <f>IF(C$2&gt;Assumptions!$B$46,B6*(1-Assumptions!$B$47),IF(C5&gt;=1,Assumptions!$B$37*INDEX(Assumptions!$B$32:$H$32,MIN(C5,7)),0))</f>
        <v>0</v>
      </c>
      <c r="D6" s="47">
        <f>IF(D$2&gt;Assumptions!$B$46,C6*(1-Assumptions!$B$47),IF(D5&gt;=1,Assumptions!$B$37*INDEX(Assumptions!$B$32:$H$32,MIN(D5,7)),0))</f>
        <v>0</v>
      </c>
      <c r="E6" s="47">
        <f>IF(E$2&gt;Assumptions!$B$46,D6*(1-Assumptions!$B$47),IF(E5&gt;=1,Assumptions!$B$37*INDEX(Assumptions!$B$32:$H$32,MIN(E5,7)),0))</f>
        <v>0</v>
      </c>
      <c r="F6" s="47">
        <f>IF(F$2&gt;Assumptions!$B$46,E6*(1-Assumptions!$B$47),IF(F5&gt;=1,Assumptions!$B$37*INDEX(Assumptions!$B$32:$H$32,MIN(F5,7)),0))</f>
        <v>0</v>
      </c>
      <c r="G6" s="47">
        <f>IF(G$2&gt;Assumptions!$B$46,F6*(1-Assumptions!$B$47),IF(G5&gt;=1,Assumptions!$B$37*INDEX(Assumptions!$B$32:$H$32,MIN(G5,7)),0))</f>
        <v>0</v>
      </c>
      <c r="H6" s="47">
        <f>IF(H$2&gt;Assumptions!$B$46,G6*(1-Assumptions!$B$47),IF(H5&gt;=1,Assumptions!$B$37*INDEX(Assumptions!$B$32:$H$32,MIN(H5,7)),0))</f>
        <v>0</v>
      </c>
      <c r="I6" s="47">
        <f>IF(I$2&gt;Assumptions!$B$46,H6*(1-Assumptions!$B$47),IF(I5&gt;=1,Assumptions!$B$37*INDEX(Assumptions!$B$32:$H$32,MIN(I5,7)),0))</f>
        <v>160.0</v>
      </c>
      <c r="J6" s="47">
        <f>IF(J$2&gt;Assumptions!$B$46,I6*(1-Assumptions!$B$47),IF(J5&gt;=1,Assumptions!$B$37*INDEX(Assumptions!$B$32:$H$32,MIN(J5,7)),0))</f>
        <v>400.0</v>
      </c>
      <c r="K6" s="47">
        <f>IF(K$2&gt;Assumptions!$B$46,J6*(1-Assumptions!$B$47),IF(K5&gt;=1,Assumptions!$B$37*INDEX(Assumptions!$B$32:$H$32,MIN(K5,7)),0))</f>
        <v>760.0</v>
      </c>
      <c r="L6" s="47">
        <f>IF(L$2&gt;Assumptions!$B$46,K6*(1-Assumptions!$B$47),IF(L5&gt;=1,Assumptions!$B$37*INDEX(Assumptions!$B$32:$H$32,MIN(L5,7)),0))</f>
        <v>1160.0</v>
      </c>
      <c r="M6" s="47">
        <f>IF(M$2&gt;Assumptions!$B$46,L6*(1-Assumptions!$B$47),IF(M5&gt;=1,Assumptions!$B$37*INDEX(Assumptions!$B$32:$H$32,MIN(M5,7)),0))</f>
        <v>1520.0</v>
      </c>
      <c r="N6" s="47">
        <f>IF(N$2&gt;Assumptions!$B$46,M6*(1-Assumptions!$B$47),IF(N5&gt;=1,Assumptions!$B$37*INDEX(Assumptions!$B$32:$H$32,MIN(N5,7)),0))</f>
        <v>1800.0</v>
      </c>
      <c r="O6" s="47">
        <f>IF(O$2&gt;Assumptions!$B$46,N6*(1-Assumptions!$B$47),IF(O5&gt;=1,Assumptions!$B$37*INDEX(Assumptions!$B$32:$H$32,MIN(O5,7)),0))</f>
        <v>2000.0</v>
      </c>
      <c r="P6" s="47">
        <f>IF(P$2&gt;Assumptions!$B$46,O6*(1-Assumptions!$B$47),IF(P5&gt;=1,Assumptions!$B$37*INDEX(Assumptions!$B$32:$H$32,MIN(P5,7)),0))</f>
        <v>2000.0</v>
      </c>
      <c r="Q6" s="47">
        <f>IF(Q$2&gt;Assumptions!$B$46,P6*(1-Assumptions!$B$47),IF(Q5&gt;=1,Assumptions!$B$37*INDEX(Assumptions!$B$32:$H$32,MIN(Q5,7)),0))</f>
        <v>2000.0</v>
      </c>
      <c r="R6" s="47">
        <f>IF(R$2&gt;Assumptions!$B$46,Q6*(1-Assumptions!$B$47),IF(R5&gt;=1,Assumptions!$B$37*INDEX(Assumptions!$B$32:$H$32,MIN(R5,7)),0))</f>
        <v>2000.0</v>
      </c>
      <c r="S6" s="47">
        <f>IF(S$2&gt;Assumptions!$B$46,R6*(1-Assumptions!$B$47),IF(S5&gt;=1,Assumptions!$B$37*INDEX(Assumptions!$B$32:$H$32,MIN(S5,7)),0))</f>
        <v>2000.0</v>
      </c>
      <c r="T6" s="47">
        <f>IF(T$2&gt;Assumptions!$B$46,S6*(1-Assumptions!$B$47),IF(T5&gt;=1,Assumptions!$B$37*INDEX(Assumptions!$B$32:$H$32,MIN(T5,7)),0))</f>
        <v>2000.0</v>
      </c>
      <c r="U6" s="47">
        <f>IF(U$2&gt;Assumptions!$B$46,T6*(1-Assumptions!$B$47),IF(U5&gt;=1,Assumptions!$B$37*INDEX(Assumptions!$B$32:$H$32,MIN(U5,7)),0))</f>
        <v>2000.0</v>
      </c>
      <c r="V6" s="47">
        <f>IF(V$2&gt;Assumptions!$B$46,U6*(1-Assumptions!$B$47),IF(V5&gt;=1,Assumptions!$B$37*INDEX(Assumptions!$B$32:$H$32,MIN(V5,7)),0))</f>
        <v>1400.0</v>
      </c>
      <c r="W6" s="47">
        <f>IF(W$2&gt;Assumptions!$B$46,V6*(1-Assumptions!$B$47),IF(W5&gt;=1,Assumptions!$B$37*INDEX(Assumptions!$B$32:$H$32,MIN(W5,7)),0))</f>
        <v>979.9999999999999</v>
      </c>
      <c r="X6" s="47">
        <f>IF(X$2&gt;Assumptions!$B$46,W6*(1-Assumptions!$B$47),IF(X5&gt;=1,Assumptions!$B$37*INDEX(Assumptions!$B$32:$H$32,MIN(X5,7)),0))</f>
        <v>685.9999999999999</v>
      </c>
      <c r="Y6" s="47">
        <f>IF(Y$2&gt;Assumptions!$B$46,X6*(1-Assumptions!$B$47),IF(Y5&gt;=1,Assumptions!$B$37*INDEX(Assumptions!$B$32:$H$32,MIN(Y5,7)),0))</f>
        <v>480.1999999999999</v>
      </c>
      <c r="Z6" s="47">
        <f>IF(Z$2&gt;Assumptions!$B$46,Y6*(1-Assumptions!$B$47),IF(Z5&gt;=1,Assumptions!$B$37*INDEX(Assumptions!$B$32:$H$32,MIN(Z5,7)),0))</f>
        <v>336.1399999999999</v>
      </c>
    </row>
    <row r="7" spans="1:26" x14ac:dyDescent="0.2">
      <c r="A7" s="10" t="s">
        <v>167</v>
      </c>
      <c r="C7" s="52">
        <f>Assumptions!$B$41</f>
        <v>0.29250000000000004</v>
      </c>
      <c r="D7" s="52">
        <f>Assumptions!$B$41</f>
        <v>0.29250000000000004</v>
      </c>
      <c r="E7" s="52">
        <f>Assumptions!$B$41</f>
        <v>0.29250000000000004</v>
      </c>
      <c r="F7" s="52">
        <f>Assumptions!$B$41</f>
        <v>0.29250000000000004</v>
      </c>
      <c r="G7" s="52">
        <f>Assumptions!$B$41</f>
        <v>0.29250000000000004</v>
      </c>
      <c r="H7" s="52">
        <f>Assumptions!$B$41</f>
        <v>0.29250000000000004</v>
      </c>
      <c r="I7" s="52">
        <f>Assumptions!$B$41</f>
        <v>0.29250000000000004</v>
      </c>
      <c r="J7" s="52">
        <f>Assumptions!$B$41</f>
        <v>0.29250000000000004</v>
      </c>
      <c r="K7" s="52">
        <f>Assumptions!$B$41</f>
        <v>0.29250000000000004</v>
      </c>
      <c r="L7" s="52">
        <f>Assumptions!$B$41</f>
        <v>0.29250000000000004</v>
      </c>
      <c r="M7" s="52">
        <f>Assumptions!$B$41</f>
        <v>0.29250000000000004</v>
      </c>
      <c r="N7" s="52">
        <f>Assumptions!$B$41</f>
        <v>0.29250000000000004</v>
      </c>
      <c r="O7" s="52">
        <f>Assumptions!$B$41</f>
        <v>0.29250000000000004</v>
      </c>
      <c r="P7" s="52">
        <f>Assumptions!$B$41</f>
        <v>0.29250000000000004</v>
      </c>
      <c r="Q7" s="52">
        <f>Assumptions!$B$41</f>
        <v>0.29250000000000004</v>
      </c>
      <c r="R7" s="52">
        <f>Assumptions!$B$41</f>
        <v>0.29250000000000004</v>
      </c>
      <c r="S7" s="52">
        <f>Assumptions!$B$41</f>
        <v>0.29250000000000004</v>
      </c>
      <c r="T7" s="52">
        <f>Assumptions!$B$41</f>
        <v>0.29250000000000004</v>
      </c>
      <c r="U7" s="52">
        <f>Assumptions!$B$41</f>
        <v>0.29250000000000004</v>
      </c>
      <c r="V7" s="52">
        <f>Assumptions!$B$41</f>
        <v>0.29250000000000004</v>
      </c>
      <c r="W7" s="52">
        <f>Assumptions!$B$41</f>
        <v>0.29250000000000004</v>
      </c>
      <c r="X7" s="52">
        <f>Assumptions!$B$41</f>
        <v>0.29250000000000004</v>
      </c>
      <c r="Y7" s="52">
        <f>Assumptions!$B$41</f>
        <v>0.29250000000000004</v>
      </c>
      <c r="Z7" s="52">
        <f>Assumptions!$B$41</f>
        <v>0.29250000000000004</v>
      </c>
    </row>
    <row r="8" spans="1:26" x14ac:dyDescent="0.2">
      <c r="A8" s="18" t="s">
        <v>168</v>
      </c>
      <c r="C8" s="28">
        <f t="shared" ref="C8:Z8" si="0">C6*C7</f>
        <v>0.0</v>
      </c>
      <c r="D8" s="28">
        <f t="shared" si="0"/>
        <v>0.0</v>
      </c>
      <c r="E8" s="28">
        <f t="shared" si="0"/>
        <v>0.0</v>
      </c>
      <c r="F8" s="28">
        <f t="shared" si="0"/>
        <v>0.0</v>
      </c>
      <c r="G8" s="28">
        <f t="shared" si="0"/>
        <v>0.0</v>
      </c>
      <c r="H8" s="28">
        <f t="shared" si="0"/>
        <v>0.0</v>
      </c>
      <c r="I8" s="28">
        <f t="shared" si="0"/>
        <v>46.800000000000004</v>
      </c>
      <c r="J8" s="28">
        <f t="shared" si="0"/>
        <v>117.00000000000001</v>
      </c>
      <c r="K8" s="28">
        <f t="shared" si="0"/>
        <v>222.30000000000004</v>
      </c>
      <c r="L8" s="28">
        <f t="shared" si="0"/>
        <v>339.30000000000007</v>
      </c>
      <c r="M8" s="28">
        <f t="shared" si="0"/>
        <v>444.6000000000001</v>
      </c>
      <c r="N8" s="28">
        <f t="shared" si="0"/>
        <v>526.5000000000001</v>
      </c>
      <c r="O8" s="28">
        <f t="shared" si="0"/>
        <v>585.0000000000001</v>
      </c>
      <c r="P8" s="28">
        <f t="shared" si="0"/>
        <v>585.0000000000001</v>
      </c>
      <c r="Q8" s="28">
        <f t="shared" si="0"/>
        <v>585.0000000000001</v>
      </c>
      <c r="R8" s="28">
        <f t="shared" si="0"/>
        <v>585.0000000000001</v>
      </c>
      <c r="S8" s="28">
        <f t="shared" si="0"/>
        <v>585.0000000000001</v>
      </c>
      <c r="T8" s="28">
        <f t="shared" si="0"/>
        <v>585.0000000000001</v>
      </c>
      <c r="U8" s="28">
        <f t="shared" si="0"/>
        <v>585.0000000000001</v>
      </c>
      <c r="V8" s="28">
        <f t="shared" si="0"/>
        <v>409.50000000000006</v>
      </c>
      <c r="W8" s="28">
        <f t="shared" si="0"/>
        <v>286.65</v>
      </c>
      <c r="X8" s="28">
        <f t="shared" si="0"/>
        <v>200.655</v>
      </c>
      <c r="Y8" s="28">
        <f t="shared" si="0"/>
        <v>140.4585</v>
      </c>
      <c r="Z8" s="28">
        <f t="shared" si="0"/>
        <v>98.32094999999998</v>
      </c>
    </row>
    <row r="9" spans="1:26" x14ac:dyDescent="0.2">
      <c r="A9" s="10" t="s">
        <v>169</v>
      </c>
      <c r="C9" s="47">
        <f>C8*(Assumptions!$B$42+Assumptions!$B$43)</f>
        <v>0.0</v>
      </c>
      <c r="D9" s="47">
        <f>D8*(Assumptions!$B$42+Assumptions!$B$43)</f>
        <v>0.0</v>
      </c>
      <c r="E9" s="47">
        <f>E8*(Assumptions!$B$42+Assumptions!$B$43)</f>
        <v>0.0</v>
      </c>
      <c r="F9" s="47">
        <f>F8*(Assumptions!$B$42+Assumptions!$B$43)</f>
        <v>0.0</v>
      </c>
      <c r="G9" s="47">
        <f>G8*(Assumptions!$B$42+Assumptions!$B$43)</f>
        <v>0.0</v>
      </c>
      <c r="H9" s="47">
        <f>H8*(Assumptions!$B$42+Assumptions!$B$43)</f>
        <v>0.0</v>
      </c>
      <c r="I9" s="47">
        <f>I8*(Assumptions!$B$42+Assumptions!$B$43)</f>
        <v>10.296000000000001</v>
      </c>
      <c r="J9" s="47">
        <f>J8*(Assumptions!$B$42+Assumptions!$B$43)</f>
        <v>25.740000000000002</v>
      </c>
      <c r="K9" s="47">
        <f>K8*(Assumptions!$B$42+Assumptions!$B$43)</f>
        <v>48.906000000000006</v>
      </c>
      <c r="L9" s="47">
        <f>L8*(Assumptions!$B$42+Assumptions!$B$43)</f>
        <v>74.64600000000002</v>
      </c>
      <c r="M9" s="47">
        <f>M8*(Assumptions!$B$42+Assumptions!$B$43)</f>
        <v>97.81200000000001</v>
      </c>
      <c r="N9" s="47">
        <f>N8*(Assumptions!$B$42+Assumptions!$B$43)</f>
        <v>115.83000000000003</v>
      </c>
      <c r="O9" s="47">
        <f>O8*(Assumptions!$B$42+Assumptions!$B$43)</f>
        <v>128.70000000000002</v>
      </c>
      <c r="P9" s="47">
        <f>P8*(Assumptions!$B$42+Assumptions!$B$43)</f>
        <v>128.70000000000002</v>
      </c>
      <c r="Q9" s="47">
        <f>Q8*(Assumptions!$B$42+Assumptions!$B$43)</f>
        <v>128.70000000000002</v>
      </c>
      <c r="R9" s="47">
        <f>R8*(Assumptions!$B$42+Assumptions!$B$43)</f>
        <v>128.70000000000002</v>
      </c>
      <c r="S9" s="47">
        <f>S8*(Assumptions!$B$42+Assumptions!$B$43)</f>
        <v>128.70000000000002</v>
      </c>
      <c r="T9" s="47">
        <f>T8*(Assumptions!$B$42+Assumptions!$B$43)</f>
        <v>128.70000000000002</v>
      </c>
      <c r="U9" s="47">
        <f>U8*(Assumptions!$B$42+Assumptions!$B$43)</f>
        <v>128.70000000000002</v>
      </c>
      <c r="V9" s="47">
        <f>V8*(Assumptions!$B$42+Assumptions!$B$43)</f>
        <v>90.09000000000002</v>
      </c>
      <c r="W9" s="47">
        <f>W8*(Assumptions!$B$42+Assumptions!$B$43)</f>
        <v>63.062999999999995</v>
      </c>
      <c r="X9" s="47">
        <f>X8*(Assumptions!$B$42+Assumptions!$B$43)</f>
        <v>44.1441</v>
      </c>
      <c r="Y9" s="47">
        <f>Y8*(Assumptions!$B$42+Assumptions!$B$43)</f>
        <v>30.900869999999998</v>
      </c>
      <c r="Z9" s="47">
        <f>Z8*(Assumptions!$B$42+Assumptions!$B$43)</f>
        <v>21.630608999999996</v>
      </c>
    </row>
    <row r="10" spans="1:26" x14ac:dyDescent="0.2">
      <c r="A10" s="10" t="s">
        <v>170</v>
      </c>
      <c r="C10" s="47">
        <f>IF(C5=0,Assumptions!$B$45*Assumptions!$B$38*Assumptions!$B$39,IF(C5&gt;=1,C6*IF(C5&lt;=5,INDEX(Assumptions!$B$33:$F$33,C5),Assumptions!$B$44)*C7,0))</f>
        <v>0</v>
      </c>
      <c r="D10" s="47">
        <f>IF(D5=0,Assumptions!$B$45*Assumptions!$B$38*Assumptions!$B$39,IF(D5&gt;=1,D6*IF(D5&lt;=5,INDEX(Assumptions!$B$33:$F$33,D5),Assumptions!$B$44)*D7,0))</f>
        <v>0</v>
      </c>
      <c r="E10" s="47">
        <f>IF(E5=0,Assumptions!$B$45*Assumptions!$B$38*Assumptions!$B$39,IF(E5&gt;=1,E6*IF(E5&lt;=5,INDEX(Assumptions!$B$33:$F$33,E5),Assumptions!$B$44)*E7,0))</f>
        <v>0</v>
      </c>
      <c r="F10" s="47">
        <f>IF(F5=0,Assumptions!$B$45*Assumptions!$B$38*Assumptions!$B$39,IF(F5&gt;=1,F6*IF(F5&lt;=5,INDEX(Assumptions!$B$33:$F$33,F5),Assumptions!$B$44)*F7,0))</f>
        <v>0</v>
      </c>
      <c r="G10" s="47">
        <f>IF(G5=0,Assumptions!$B$45*Assumptions!$B$38*Assumptions!$B$39,IF(G5&gt;=1,G6*IF(G5&lt;=5,INDEX(Assumptions!$B$33:$F$33,G5),Assumptions!$B$44)*G7,0))</f>
        <v>0</v>
      </c>
      <c r="H10" s="47">
        <f>IF(H5=0,Assumptions!$B$45*Assumptions!$B$38*Assumptions!$B$39,IF(H5&gt;=1,H6*IF(H5&lt;=5,INDEX(Assumptions!$B$33:$F$33,H5),Assumptions!$B$44)*H7,0))</f>
        <v>19.5</v>
      </c>
      <c r="I10" s="47">
        <f>IF(I5=0,Assumptions!$B$45*Assumptions!$B$38*Assumptions!$B$39,IF(I5&gt;=1,I6*IF(I5&lt;=5,INDEX(Assumptions!$B$33:$F$33,I5),Assumptions!$B$44)*I7,0))</f>
        <v>42.120000000000005</v>
      </c>
      <c r="J10" s="47">
        <f>IF(J5=0,Assumptions!$B$45*Assumptions!$B$38*Assumptions!$B$39,IF(J5&gt;=1,J6*IF(J5&lt;=5,INDEX(Assumptions!$B$33:$F$33,J5),Assumptions!$B$44)*J7,0))</f>
        <v>64.35000000000002</v>
      </c>
      <c r="K10" s="47">
        <f>IF(K5=0,Assumptions!$B$45*Assumptions!$B$38*Assumptions!$B$39,IF(K5&gt;=1,K6*IF(K5&lt;=5,INDEX(Assumptions!$B$33:$F$33,K5),Assumptions!$B$44)*K7,0))</f>
        <v>88.92000000000002</v>
      </c>
      <c r="L10" s="47">
        <f>IF(L5=0,Assumptions!$B$45*Assumptions!$B$38*Assumptions!$B$39,IF(L5&gt;=1,L6*IF(L5&lt;=5,INDEX(Assumptions!$B$33:$F$33,L5),Assumptions!$B$44)*L7,0))</f>
        <v>108.57600000000001</v>
      </c>
      <c r="M10" s="47">
        <f>IF(M5=0,Assumptions!$B$45*Assumptions!$B$38*Assumptions!$B$39,IF(M5&gt;=1,M6*IF(M5&lt;=5,INDEX(Assumptions!$B$33:$F$33,M5),Assumptions!$B$44)*M7,0))</f>
        <v>124.48800000000003</v>
      </c>
      <c r="N10" s="47">
        <f>IF(N5=0,Assumptions!$B$45*Assumptions!$B$38*Assumptions!$B$39,IF(N5&gt;=1,N6*IF(N5&lt;=5,INDEX(Assumptions!$B$33:$F$33,N5),Assumptions!$B$44)*N7,0))</f>
        <v>131.62500000000003</v>
      </c>
      <c r="O10" s="47">
        <f>IF(O5=0,Assumptions!$B$45*Assumptions!$B$38*Assumptions!$B$39,IF(O5&gt;=1,O6*IF(O5&lt;=5,INDEX(Assumptions!$B$33:$F$33,O5),Assumptions!$B$44)*O7,0))</f>
        <v>146.25000000000003</v>
      </c>
      <c r="P10" s="47">
        <f>IF(P5=0,Assumptions!$B$45*Assumptions!$B$38*Assumptions!$B$39,IF(P5&gt;=1,P6*IF(P5&lt;=5,INDEX(Assumptions!$B$33:$F$33,P5),Assumptions!$B$44)*P7,0))</f>
        <v>146.25000000000003</v>
      </c>
      <c r="Q10" s="47">
        <f>IF(Q5=0,Assumptions!$B$45*Assumptions!$B$38*Assumptions!$B$39,IF(Q5&gt;=1,Q6*IF(Q5&lt;=5,INDEX(Assumptions!$B$33:$F$33,Q5),Assumptions!$B$44)*Q7,0))</f>
        <v>146.25000000000003</v>
      </c>
      <c r="R10" s="47">
        <f>IF(R5=0,Assumptions!$B$45*Assumptions!$B$38*Assumptions!$B$39,IF(R5&gt;=1,R6*IF(R5&lt;=5,INDEX(Assumptions!$B$33:$F$33,R5),Assumptions!$B$44)*R7,0))</f>
        <v>146.25000000000003</v>
      </c>
      <c r="S10" s="47">
        <f>IF(S5=0,Assumptions!$B$45*Assumptions!$B$38*Assumptions!$B$39,IF(S5&gt;=1,S6*IF(S5&lt;=5,INDEX(Assumptions!$B$33:$F$33,S5),Assumptions!$B$44)*S7,0))</f>
        <v>146.25000000000003</v>
      </c>
      <c r="T10" s="47">
        <f>IF(T5=0,Assumptions!$B$45*Assumptions!$B$38*Assumptions!$B$39,IF(T5&gt;=1,T6*IF(T5&lt;=5,INDEX(Assumptions!$B$33:$F$33,T5),Assumptions!$B$44)*T7,0))</f>
        <v>146.25000000000003</v>
      </c>
      <c r="U10" s="47">
        <f>IF(U5=0,Assumptions!$B$45*Assumptions!$B$38*Assumptions!$B$39,IF(U5&gt;=1,U6*IF(U5&lt;=5,INDEX(Assumptions!$B$33:$F$33,U5),Assumptions!$B$44)*U7,0))</f>
        <v>146.25000000000003</v>
      </c>
      <c r="V10" s="47">
        <f>IF(V5=0,Assumptions!$B$45*Assumptions!$B$38*Assumptions!$B$39,IF(V5&gt;=1,V6*IF(V5&lt;=5,INDEX(Assumptions!$B$33:$F$33,V5),Assumptions!$B$44)*V7,0))</f>
        <v>102.37500000000001</v>
      </c>
      <c r="W10" s="47">
        <f>IF(W5=0,Assumptions!$B$45*Assumptions!$B$38*Assumptions!$B$39,IF(W5&gt;=1,W6*IF(W5&lt;=5,INDEX(Assumptions!$B$33:$F$33,W5),Assumptions!$B$44)*W7,0))</f>
        <v>71.6625</v>
      </c>
      <c r="X10" s="47">
        <f>IF(X5=0,Assumptions!$B$45*Assumptions!$B$38*Assumptions!$B$39,IF(X5&gt;=1,X6*IF(X5&lt;=5,INDEX(Assumptions!$B$33:$F$33,X5),Assumptions!$B$44)*X7,0))</f>
        <v>50.16375</v>
      </c>
      <c r="Y10" s="47">
        <f>IF(Y5=0,Assumptions!$B$45*Assumptions!$B$38*Assumptions!$B$39,IF(Y5&gt;=1,Y6*IF(Y5&lt;=5,INDEX(Assumptions!$B$33:$F$33,Y5),Assumptions!$B$44)*Y7,0))</f>
        <v>35.114625</v>
      </c>
      <c r="Z10" s="47">
        <f>IF(Z5=0,Assumptions!$B$45*Assumptions!$B$38*Assumptions!$B$39,IF(Z5&gt;=1,Z6*IF(Z5&lt;=5,INDEX(Assumptions!$B$33:$F$33,Z5),Assumptions!$B$44)*Z7,0))</f>
        <v>24.580237499999996</v>
      </c>
    </row>
    <row r="11" spans="1:26" x14ac:dyDescent="0.2">
      <c r="A11" s="10" t="s">
        <v>171</v>
      </c>
      <c r="C11" s="47">
        <f>IFERROR(INDEX(Assumptions!$B$52:$J$52,MATCH(C$2-Assumptions!$B$36,Assumptions!$B$50:$J$50,0))*INDEX(Assumptions!$B$53:$J$53,MATCH(C$2-Assumptions!$B$36,Assumptions!$B$50:$J$50,0)),0)</f>
        <v>25.0</v>
      </c>
      <c r="D11" s="47">
        <f>IFERROR(INDEX(Assumptions!$B$52:$J$52,MATCH(D$2-Assumptions!$B$36,Assumptions!$B$50:$J$50,0))*INDEX(Assumptions!$B$53:$J$53,MATCH(D$2-Assumptions!$B$36,Assumptions!$B$50:$J$50,0)),0)</f>
        <v>45.0</v>
      </c>
      <c r="E11" s="47">
        <f>IFERROR(INDEX(Assumptions!$B$52:$J$52,MATCH(E$2-Assumptions!$B$36,Assumptions!$B$50:$J$50,0))*INDEX(Assumptions!$B$53:$J$53,MATCH(E$2-Assumptions!$B$36,Assumptions!$B$50:$J$50,0)),0)</f>
        <v>52.5</v>
      </c>
      <c r="F11" s="47">
        <f>IFERROR(INDEX(Assumptions!$B$52:$J$52,MATCH(F$2-Assumptions!$B$36,Assumptions!$B$50:$J$50,0))*INDEX(Assumptions!$B$53:$J$53,MATCH(F$2-Assumptions!$B$36,Assumptions!$B$50:$J$50,0)),0)</f>
        <v>70.0</v>
      </c>
      <c r="G11" s="47">
        <f>IFERROR(INDEX(Assumptions!$B$52:$J$52,MATCH(G$2-Assumptions!$B$36,Assumptions!$B$50:$J$50,0))*INDEX(Assumptions!$B$53:$J$53,MATCH(G$2-Assumptions!$B$36,Assumptions!$B$50:$J$50,0)),0)</f>
        <v>55.0</v>
      </c>
      <c r="H11" s="47">
        <f>IFERROR(INDEX(Assumptions!$B$52:$J$52,MATCH(H$2-Assumptions!$B$36,Assumptions!$B$50:$J$50,0))*INDEX(Assumptions!$B$53:$J$53,MATCH(H$2-Assumptions!$B$36,Assumptions!$B$50:$J$50,0)),0)</f>
        <v>21.125</v>
      </c>
      <c r="I11" s="47">
        <f>IFERROR(INDEX(Assumptions!$B$52:$J$52,MATCH(I$2-Assumptions!$B$36,Assumptions!$B$50:$J$50,0))*INDEX(Assumptions!$B$53:$J$53,MATCH(I$2-Assumptions!$B$36,Assumptions!$B$50:$J$50,0)),0)</f>
        <v>11.700000000000001</v>
      </c>
      <c r="J11" s="47">
        <f>IFERROR(INDEX(Assumptions!$B$52:$J$52,MATCH(J$2-Assumptions!$B$36,Assumptions!$B$50:$J$50,0))*INDEX(Assumptions!$B$53:$J$53,MATCH(J$2-Assumptions!$B$36,Assumptions!$B$50:$J$50,0)),0)</f>
        <v>0</v>
      </c>
      <c r="K11" s="47">
        <f>IFERROR(INDEX(Assumptions!$B$52:$J$52,MATCH(K$2-Assumptions!$B$36,Assumptions!$B$50:$J$50,0))*INDEX(Assumptions!$B$53:$J$53,MATCH(K$2-Assumptions!$B$36,Assumptions!$B$50:$J$50,0)),0)</f>
        <v>0</v>
      </c>
      <c r="L11" s="47">
        <f>IFERROR(INDEX(Assumptions!$B$52:$J$52,MATCH(L$2-Assumptions!$B$36,Assumptions!$B$50:$J$50,0))*INDEX(Assumptions!$B$53:$J$53,MATCH(L$2-Assumptions!$B$36,Assumptions!$B$50:$J$50,0)),0)</f>
        <v>0</v>
      </c>
      <c r="M11" s="47">
        <f>IFERROR(INDEX(Assumptions!$B$52:$J$52,MATCH(M$2-Assumptions!$B$36,Assumptions!$B$50:$J$50,0))*INDEX(Assumptions!$B$53:$J$53,MATCH(M$2-Assumptions!$B$36,Assumptions!$B$50:$J$50,0)),0)</f>
        <v>0</v>
      </c>
      <c r="N11" s="47">
        <f>IFERROR(INDEX(Assumptions!$B$52:$J$52,MATCH(N$2-Assumptions!$B$36,Assumptions!$B$50:$J$50,0))*INDEX(Assumptions!$B$53:$J$53,MATCH(N$2-Assumptions!$B$36,Assumptions!$B$50:$J$50,0)),0)</f>
        <v>0</v>
      </c>
      <c r="O11" s="47">
        <f>IFERROR(INDEX(Assumptions!$B$52:$J$52,MATCH(O$2-Assumptions!$B$36,Assumptions!$B$50:$J$50,0))*INDEX(Assumptions!$B$53:$J$53,MATCH(O$2-Assumptions!$B$36,Assumptions!$B$50:$J$50,0)),0)</f>
        <v>0</v>
      </c>
      <c r="P11" s="47">
        <f>IFERROR(INDEX(Assumptions!$B$52:$J$52,MATCH(P$2-Assumptions!$B$36,Assumptions!$B$50:$J$50,0))*INDEX(Assumptions!$B$53:$J$53,MATCH(P$2-Assumptions!$B$36,Assumptions!$B$50:$J$50,0)),0)</f>
        <v>0</v>
      </c>
      <c r="Q11" s="47">
        <f>IFERROR(INDEX(Assumptions!$B$52:$J$52,MATCH(Q$2-Assumptions!$B$36,Assumptions!$B$50:$J$50,0))*INDEX(Assumptions!$B$53:$J$53,MATCH(Q$2-Assumptions!$B$36,Assumptions!$B$50:$J$50,0)),0)</f>
        <v>0</v>
      </c>
      <c r="R11" s="47">
        <f>IFERROR(INDEX(Assumptions!$B$52:$J$52,MATCH(R$2-Assumptions!$B$36,Assumptions!$B$50:$J$50,0))*INDEX(Assumptions!$B$53:$J$53,MATCH(R$2-Assumptions!$B$36,Assumptions!$B$50:$J$50,0)),0)</f>
        <v>0</v>
      </c>
      <c r="S11" s="47">
        <f>IFERROR(INDEX(Assumptions!$B$52:$J$52,MATCH(S$2-Assumptions!$B$36,Assumptions!$B$50:$J$50,0))*INDEX(Assumptions!$B$53:$J$53,MATCH(S$2-Assumptions!$B$36,Assumptions!$B$50:$J$50,0)),0)</f>
        <v>0</v>
      </c>
      <c r="T11" s="47">
        <f>IFERROR(INDEX(Assumptions!$B$52:$J$52,MATCH(T$2-Assumptions!$B$36,Assumptions!$B$50:$J$50,0))*INDEX(Assumptions!$B$53:$J$53,MATCH(T$2-Assumptions!$B$36,Assumptions!$B$50:$J$50,0)),0)</f>
        <v>0</v>
      </c>
      <c r="U11" s="47">
        <f>IFERROR(INDEX(Assumptions!$B$52:$J$52,MATCH(U$2-Assumptions!$B$36,Assumptions!$B$50:$J$50,0))*INDEX(Assumptions!$B$53:$J$53,MATCH(U$2-Assumptions!$B$36,Assumptions!$B$50:$J$50,0)),0)</f>
        <v>0</v>
      </c>
      <c r="V11" s="47">
        <f>IFERROR(INDEX(Assumptions!$B$52:$J$52,MATCH(V$2-Assumptions!$B$36,Assumptions!$B$50:$J$50,0))*INDEX(Assumptions!$B$53:$J$53,MATCH(V$2-Assumptions!$B$36,Assumptions!$B$50:$J$50,0)),0)</f>
        <v>0</v>
      </c>
      <c r="W11" s="47">
        <f>IFERROR(INDEX(Assumptions!$B$52:$J$52,MATCH(W$2-Assumptions!$B$36,Assumptions!$B$50:$J$50,0))*INDEX(Assumptions!$B$53:$J$53,MATCH(W$2-Assumptions!$B$36,Assumptions!$B$50:$J$50,0)),0)</f>
        <v>0</v>
      </c>
      <c r="X11" s="47">
        <f>IFERROR(INDEX(Assumptions!$B$52:$J$52,MATCH(X$2-Assumptions!$B$36,Assumptions!$B$50:$J$50,0))*INDEX(Assumptions!$B$53:$J$53,MATCH(X$2-Assumptions!$B$36,Assumptions!$B$50:$J$50,0)),0)</f>
        <v>0</v>
      </c>
      <c r="Y11" s="47">
        <f>IFERROR(INDEX(Assumptions!$B$52:$J$52,MATCH(Y$2-Assumptions!$B$36,Assumptions!$B$50:$J$50,0))*INDEX(Assumptions!$B$53:$J$53,MATCH(Y$2-Assumptions!$B$36,Assumptions!$B$50:$J$50,0)),0)</f>
        <v>0</v>
      </c>
      <c r="Z11" s="47">
        <f>IFERROR(INDEX(Assumptions!$B$52:$J$52,MATCH(Z$2-Assumptions!$B$36,Assumptions!$B$50:$J$50,0))*INDEX(Assumptions!$B$53:$J$53,MATCH(Z$2-Assumptions!$B$36,Assumptions!$B$50:$J$50,0)),0)</f>
        <v>0</v>
      </c>
    </row>
    <row r="12" spans="1:26" x14ac:dyDescent="0.2">
      <c r="A12" s="53" t="s">
        <v>172</v>
      </c>
      <c r="C12" s="54">
        <f t="shared" ref="C12:Z12" si="1">C8-C9-C10-C11</f>
        <v>-25.0</v>
      </c>
      <c r="D12" s="54">
        <f t="shared" si="1"/>
        <v>-45.0</v>
      </c>
      <c r="E12" s="54">
        <f t="shared" si="1"/>
        <v>-52.5</v>
      </c>
      <c r="F12" s="54">
        <f t="shared" si="1"/>
        <v>-70.0</v>
      </c>
      <c r="G12" s="54">
        <f t="shared" si="1"/>
        <v>-55.0</v>
      </c>
      <c r="H12" s="54">
        <f t="shared" si="1"/>
        <v>-40.625</v>
      </c>
      <c r="I12" s="54">
        <f t="shared" si="1"/>
        <v>-17.316000000000003</v>
      </c>
      <c r="J12" s="54">
        <f t="shared" si="1"/>
        <v>26.909999999999997</v>
      </c>
      <c r="K12" s="54">
        <f t="shared" si="1"/>
        <v>84.47400000000002</v>
      </c>
      <c r="L12" s="54">
        <f t="shared" si="1"/>
        <v>156.07800000000003</v>
      </c>
      <c r="M12" s="54">
        <f t="shared" si="1"/>
        <v>222.30000000000004</v>
      </c>
      <c r="N12" s="54">
        <f t="shared" si="1"/>
        <v>279.0450000000001</v>
      </c>
      <c r="O12" s="54">
        <f t="shared" si="1"/>
        <v>310.05000000000007</v>
      </c>
      <c r="P12" s="54">
        <f t="shared" si="1"/>
        <v>310.05000000000007</v>
      </c>
      <c r="Q12" s="54">
        <f t="shared" si="1"/>
        <v>310.05000000000007</v>
      </c>
      <c r="R12" s="54">
        <f t="shared" si="1"/>
        <v>310.05000000000007</v>
      </c>
      <c r="S12" s="54">
        <f t="shared" si="1"/>
        <v>310.05000000000007</v>
      </c>
      <c r="T12" s="54">
        <f t="shared" si="1"/>
        <v>310.05000000000007</v>
      </c>
      <c r="U12" s="54">
        <f t="shared" si="1"/>
        <v>310.05000000000007</v>
      </c>
      <c r="V12" s="54">
        <f t="shared" si="1"/>
        <v>217.03500000000003</v>
      </c>
      <c r="W12" s="54">
        <f t="shared" si="1"/>
        <v>151.9245</v>
      </c>
      <c r="X12" s="54">
        <f t="shared" si="1"/>
        <v>106.34715</v>
      </c>
      <c r="Y12" s="54">
        <f t="shared" si="1"/>
        <v>74.443005</v>
      </c>
      <c r="Z12" s="54">
        <f t="shared" si="1"/>
        <v>52.110103499999994</v>
      </c>
    </row>
    <row r="14" spans="1:26" x14ac:dyDescent="0.2">
      <c r="A14" s="23" t="s">
        <v>173</v>
      </c>
    </row>
    <row r="15" spans="1:26" x14ac:dyDescent="0.2">
      <c r="A15" s="10" t="s">
        <v>165</v>
      </c>
      <c r="C15" s="51">
        <f>C$2-Assumptions!$B$56+1</f>
        <v>-4.0</v>
      </c>
      <c r="D15" s="51">
        <f>D$2-Assumptions!$B$56+1</f>
        <v>-3.0</v>
      </c>
      <c r="E15" s="51">
        <f>E$2-Assumptions!$B$56+1</f>
        <v>-2.0</v>
      </c>
      <c r="F15" s="51">
        <f>F$2-Assumptions!$B$56+1</f>
        <v>-1.0</v>
      </c>
      <c r="G15" s="51">
        <f>G$2-Assumptions!$B$56+1</f>
        <v>0.0</v>
      </c>
      <c r="H15" s="51">
        <f>H$2-Assumptions!$B$56+1</f>
        <v>1.0</v>
      </c>
      <c r="I15" s="51">
        <f>I$2-Assumptions!$B$56+1</f>
        <v>2.0</v>
      </c>
      <c r="J15" s="51">
        <f>J$2-Assumptions!$B$56+1</f>
        <v>3.0</v>
      </c>
      <c r="K15" s="51">
        <f>K$2-Assumptions!$B$56+1</f>
        <v>4.0</v>
      </c>
      <c r="L15" s="51">
        <f>L$2-Assumptions!$B$56+1</f>
        <v>5.0</v>
      </c>
      <c r="M15" s="51">
        <f>M$2-Assumptions!$B$56+1</f>
        <v>6.0</v>
      </c>
      <c r="N15" s="51">
        <f>N$2-Assumptions!$B$56+1</f>
        <v>7.0</v>
      </c>
      <c r="O15" s="51">
        <f>O$2-Assumptions!$B$56+1</f>
        <v>8.0</v>
      </c>
      <c r="P15" s="51">
        <f>P$2-Assumptions!$B$56+1</f>
        <v>9.0</v>
      </c>
      <c r="Q15" s="51">
        <f>Q$2-Assumptions!$B$56+1</f>
        <v>10.0</v>
      </c>
      <c r="R15" s="51">
        <f>R$2-Assumptions!$B$56+1</f>
        <v>11.0</v>
      </c>
      <c r="S15" s="51">
        <f>S$2-Assumptions!$B$56+1</f>
        <v>12.0</v>
      </c>
      <c r="T15" s="51">
        <f>T$2-Assumptions!$B$56+1</f>
        <v>13.0</v>
      </c>
      <c r="U15" s="51">
        <f>U$2-Assumptions!$B$56+1</f>
        <v>14.0</v>
      </c>
      <c r="V15" s="51">
        <f>V$2-Assumptions!$B$56+1</f>
        <v>15.0</v>
      </c>
      <c r="W15" s="51">
        <f>W$2-Assumptions!$B$56+1</f>
        <v>16.0</v>
      </c>
      <c r="X15" s="51">
        <f>X$2-Assumptions!$B$56+1</f>
        <v>17.0</v>
      </c>
      <c r="Y15" s="51">
        <f>Y$2-Assumptions!$B$56+1</f>
        <v>18.0</v>
      </c>
      <c r="Z15" s="51">
        <f>Z$2-Assumptions!$B$56+1</f>
        <v>19.0</v>
      </c>
    </row>
    <row r="16" spans="1:26" x14ac:dyDescent="0.2">
      <c r="A16" s="10" t="s">
        <v>166</v>
      </c>
      <c r="C16" s="47">
        <f>IF(C$2&gt;Assumptions!$B$66,B16*(1-Assumptions!$B$67),IF(C15&gt;=1,Assumptions!$B$57*INDEX(Assumptions!$B$32:$H$32,MIN(C15,7)),0))</f>
        <v>0</v>
      </c>
      <c r="D16" s="47">
        <f>IF(D$2&gt;Assumptions!$B$66,C16*(1-Assumptions!$B$67),IF(D15&gt;=1,Assumptions!$B$57*INDEX(Assumptions!$B$32:$H$32,MIN(D15,7)),0))</f>
        <v>0</v>
      </c>
      <c r="E16" s="47">
        <f>IF(E$2&gt;Assumptions!$B$66,D16*(1-Assumptions!$B$67),IF(E15&gt;=1,Assumptions!$B$57*INDEX(Assumptions!$B$32:$H$32,MIN(E15,7)),0))</f>
        <v>0</v>
      </c>
      <c r="F16" s="47">
        <f>IF(F$2&gt;Assumptions!$B$66,E16*(1-Assumptions!$B$67),IF(F15&gt;=1,Assumptions!$B$57*INDEX(Assumptions!$B$32:$H$32,MIN(F15,7)),0))</f>
        <v>0</v>
      </c>
      <c r="G16" s="47">
        <f>IF(G$2&gt;Assumptions!$B$66,F16*(1-Assumptions!$B$67),IF(G15&gt;=1,Assumptions!$B$57*INDEX(Assumptions!$B$32:$H$32,MIN(G15,7)),0))</f>
        <v>0</v>
      </c>
      <c r="H16" s="47">
        <f>IF(H$2&gt;Assumptions!$B$66,G16*(1-Assumptions!$B$67),IF(H15&gt;=1,Assumptions!$B$57*INDEX(Assumptions!$B$32:$H$32,MIN(H15,7)),0))</f>
        <v>80.0</v>
      </c>
      <c r="I16" s="47">
        <f>IF(I$2&gt;Assumptions!$B$66,H16*(1-Assumptions!$B$67),IF(I15&gt;=1,Assumptions!$B$57*INDEX(Assumptions!$B$32:$H$32,MIN(I15,7)),0))</f>
        <v>200.0</v>
      </c>
      <c r="J16" s="47">
        <f>IF(J$2&gt;Assumptions!$B$66,I16*(1-Assumptions!$B$67),IF(J15&gt;=1,Assumptions!$B$57*INDEX(Assumptions!$B$32:$H$32,MIN(J15,7)),0))</f>
        <v>380.0</v>
      </c>
      <c r="K16" s="47">
        <f>IF(K$2&gt;Assumptions!$B$66,J16*(1-Assumptions!$B$67),IF(K15&gt;=1,Assumptions!$B$57*INDEX(Assumptions!$B$32:$H$32,MIN(K15,7)),0))</f>
        <v>580.0</v>
      </c>
      <c r="L16" s="47">
        <f>IF(L$2&gt;Assumptions!$B$66,K16*(1-Assumptions!$B$67),IF(L15&gt;=1,Assumptions!$B$57*INDEX(Assumptions!$B$32:$H$32,MIN(L15,7)),0))</f>
        <v>760.0</v>
      </c>
      <c r="M16" s="47">
        <f>IF(M$2&gt;Assumptions!$B$66,L16*(1-Assumptions!$B$67),IF(M15&gt;=1,Assumptions!$B$57*INDEX(Assumptions!$B$32:$H$32,MIN(M15,7)),0))</f>
        <v>900.0</v>
      </c>
      <c r="N16" s="47">
        <f>IF(N$2&gt;Assumptions!$B$66,M16*(1-Assumptions!$B$67),IF(N15&gt;=1,Assumptions!$B$57*INDEX(Assumptions!$B$32:$H$32,MIN(N15,7)),0))</f>
        <v>1000.0</v>
      </c>
      <c r="O16" s="47">
        <f>IF(O$2&gt;Assumptions!$B$66,N16*(1-Assumptions!$B$67),IF(O15&gt;=1,Assumptions!$B$57*INDEX(Assumptions!$B$32:$H$32,MIN(O15,7)),0))</f>
        <v>1000.0</v>
      </c>
      <c r="P16" s="47">
        <f>IF(P$2&gt;Assumptions!$B$66,O16*(1-Assumptions!$B$67),IF(P15&gt;=1,Assumptions!$B$57*INDEX(Assumptions!$B$32:$H$32,MIN(P15,7)),0))</f>
        <v>1000.0</v>
      </c>
      <c r="Q16" s="47">
        <f>IF(Q$2&gt;Assumptions!$B$66,P16*(1-Assumptions!$B$67),IF(Q15&gt;=1,Assumptions!$B$57*INDEX(Assumptions!$B$32:$H$32,MIN(Q15,7)),0))</f>
        <v>1000.0</v>
      </c>
      <c r="R16" s="47">
        <f>IF(R$2&gt;Assumptions!$B$66,Q16*(1-Assumptions!$B$67),IF(R15&gt;=1,Assumptions!$B$57*INDEX(Assumptions!$B$32:$H$32,MIN(R15,7)),0))</f>
        <v>1000.0</v>
      </c>
      <c r="S16" s="47">
        <f>IF(S$2&gt;Assumptions!$B$66,R16*(1-Assumptions!$B$67),IF(S15&gt;=1,Assumptions!$B$57*INDEX(Assumptions!$B$32:$H$32,MIN(S15,7)),0))</f>
        <v>1000.0</v>
      </c>
      <c r="T16" s="47">
        <f>IF(T$2&gt;Assumptions!$B$66,S16*(1-Assumptions!$B$67),IF(T15&gt;=1,Assumptions!$B$57*INDEX(Assumptions!$B$32:$H$32,MIN(T15,7)),0))</f>
        <v>1000.0</v>
      </c>
      <c r="U16" s="47">
        <f>IF(U$2&gt;Assumptions!$B$66,T16*(1-Assumptions!$B$67),IF(U15&gt;=1,Assumptions!$B$57*INDEX(Assumptions!$B$32:$H$32,MIN(U15,7)),0))</f>
        <v>400.0</v>
      </c>
      <c r="V16" s="47">
        <f>IF(V$2&gt;Assumptions!$B$66,U16*(1-Assumptions!$B$67),IF(V15&gt;=1,Assumptions!$B$57*INDEX(Assumptions!$B$32:$H$32,MIN(V15,7)),0))</f>
        <v>160.0</v>
      </c>
      <c r="W16" s="47">
        <f>IF(W$2&gt;Assumptions!$B$66,V16*(1-Assumptions!$B$67),IF(W15&gt;=1,Assumptions!$B$57*INDEX(Assumptions!$B$32:$H$32,MIN(W15,7)),0))</f>
        <v>64.0</v>
      </c>
      <c r="X16" s="47">
        <f>IF(X$2&gt;Assumptions!$B$66,W16*(1-Assumptions!$B$67),IF(X15&gt;=1,Assumptions!$B$57*INDEX(Assumptions!$B$32:$H$32,MIN(X15,7)),0))</f>
        <v>25.6</v>
      </c>
      <c r="Y16" s="47">
        <f>IF(Y$2&gt;Assumptions!$B$66,X16*(1-Assumptions!$B$67),IF(Y15&gt;=1,Assumptions!$B$57*INDEX(Assumptions!$B$32:$H$32,MIN(Y15,7)),0))</f>
        <v>10.240000000000002</v>
      </c>
      <c r="Z16" s="47">
        <f>IF(Z$2&gt;Assumptions!$B$66,Y16*(1-Assumptions!$B$67),IF(Z15&gt;=1,Assumptions!$B$57*INDEX(Assumptions!$B$32:$H$32,MIN(Z15,7)),0))</f>
        <v>4.096000000000001</v>
      </c>
    </row>
    <row r="17" spans="1:26" x14ac:dyDescent="0.2">
      <c r="A17" s="10" t="s">
        <v>167</v>
      </c>
      <c r="C17" s="52">
        <f>Assumptions!$B$61</f>
        <v>0.09900000000000002</v>
      </c>
      <c r="D17" s="52">
        <f>Assumptions!$B$61</f>
        <v>0.09900000000000002</v>
      </c>
      <c r="E17" s="52">
        <f>Assumptions!$B$61</f>
        <v>0.09900000000000002</v>
      </c>
      <c r="F17" s="52">
        <f>Assumptions!$B$61</f>
        <v>0.09900000000000002</v>
      </c>
      <c r="G17" s="52">
        <f>Assumptions!$B$61</f>
        <v>0.09900000000000002</v>
      </c>
      <c r="H17" s="52">
        <f>Assumptions!$B$61</f>
        <v>0.09900000000000002</v>
      </c>
      <c r="I17" s="52">
        <f>Assumptions!$B$61</f>
        <v>0.09900000000000002</v>
      </c>
      <c r="J17" s="52">
        <f>Assumptions!$B$61</f>
        <v>0.09900000000000002</v>
      </c>
      <c r="K17" s="52">
        <f>Assumptions!$B$61</f>
        <v>0.09900000000000002</v>
      </c>
      <c r="L17" s="52">
        <f>Assumptions!$B$61</f>
        <v>0.09900000000000002</v>
      </c>
      <c r="M17" s="52">
        <f>Assumptions!$B$61</f>
        <v>0.09900000000000002</v>
      </c>
      <c r="N17" s="52">
        <f>Assumptions!$B$61</f>
        <v>0.09900000000000002</v>
      </c>
      <c r="O17" s="52">
        <f>Assumptions!$B$61</f>
        <v>0.09900000000000002</v>
      </c>
      <c r="P17" s="52">
        <f>Assumptions!$B$61</f>
        <v>0.09900000000000002</v>
      </c>
      <c r="Q17" s="52">
        <f>Assumptions!$B$61</f>
        <v>0.09900000000000002</v>
      </c>
      <c r="R17" s="52">
        <f>Assumptions!$B$61</f>
        <v>0.09900000000000002</v>
      </c>
      <c r="S17" s="52">
        <f>Assumptions!$B$61</f>
        <v>0.09900000000000002</v>
      </c>
      <c r="T17" s="52">
        <f>Assumptions!$B$61</f>
        <v>0.09900000000000002</v>
      </c>
      <c r="U17" s="52">
        <f>Assumptions!$B$61</f>
        <v>0.09900000000000002</v>
      </c>
      <c r="V17" s="52">
        <f>Assumptions!$B$61</f>
        <v>0.09900000000000002</v>
      </c>
      <c r="W17" s="52">
        <f>Assumptions!$B$61</f>
        <v>0.09900000000000002</v>
      </c>
      <c r="X17" s="52">
        <f>Assumptions!$B$61</f>
        <v>0.09900000000000002</v>
      </c>
      <c r="Y17" s="52">
        <f>Assumptions!$B$61</f>
        <v>0.09900000000000002</v>
      </c>
      <c r="Z17" s="52">
        <f>Assumptions!$B$61</f>
        <v>0.09900000000000002</v>
      </c>
    </row>
    <row r="18" spans="1:26" x14ac:dyDescent="0.2">
      <c r="A18" s="18" t="s">
        <v>168</v>
      </c>
      <c r="C18" s="28">
        <f t="shared" ref="C18:Z18" si="2">C16*C17</f>
        <v>0.0</v>
      </c>
      <c r="D18" s="28">
        <f t="shared" si="2"/>
        <v>0.0</v>
      </c>
      <c r="E18" s="28">
        <f t="shared" si="2"/>
        <v>0.0</v>
      </c>
      <c r="F18" s="28">
        <f t="shared" si="2"/>
        <v>0.0</v>
      </c>
      <c r="G18" s="28">
        <f t="shared" si="2"/>
        <v>0.0</v>
      </c>
      <c r="H18" s="28">
        <f t="shared" si="2"/>
        <v>7.920000000000002</v>
      </c>
      <c r="I18" s="28">
        <f t="shared" si="2"/>
        <v>19.800000000000004</v>
      </c>
      <c r="J18" s="28">
        <f t="shared" si="2"/>
        <v>37.620000000000005</v>
      </c>
      <c r="K18" s="28">
        <f t="shared" si="2"/>
        <v>57.42000000000001</v>
      </c>
      <c r="L18" s="28">
        <f t="shared" si="2"/>
        <v>75.24000000000001</v>
      </c>
      <c r="M18" s="28">
        <f t="shared" si="2"/>
        <v>89.10000000000002</v>
      </c>
      <c r="N18" s="28">
        <f t="shared" si="2"/>
        <v>99.00000000000001</v>
      </c>
      <c r="O18" s="28">
        <f t="shared" si="2"/>
        <v>99.00000000000001</v>
      </c>
      <c r="P18" s="28">
        <f t="shared" si="2"/>
        <v>99.00000000000001</v>
      </c>
      <c r="Q18" s="28">
        <f t="shared" si="2"/>
        <v>99.00000000000001</v>
      </c>
      <c r="R18" s="28">
        <f t="shared" si="2"/>
        <v>99.00000000000001</v>
      </c>
      <c r="S18" s="28">
        <f t="shared" si="2"/>
        <v>99.00000000000001</v>
      </c>
      <c r="T18" s="28">
        <f t="shared" si="2"/>
        <v>99.00000000000001</v>
      </c>
      <c r="U18" s="28">
        <f t="shared" si="2"/>
        <v>39.60000000000001</v>
      </c>
      <c r="V18" s="28">
        <f t="shared" si="2"/>
        <v>15.840000000000003</v>
      </c>
      <c r="W18" s="28">
        <f t="shared" si="2"/>
        <v>6.336000000000001</v>
      </c>
      <c r="X18" s="28">
        <f t="shared" si="2"/>
        <v>2.5344000000000007</v>
      </c>
      <c r="Y18" s="28">
        <f t="shared" si="2"/>
        <v>1.0137600000000004</v>
      </c>
      <c r="Z18" s="28">
        <f t="shared" si="2"/>
        <v>0.4055040000000002</v>
      </c>
    </row>
    <row r="19" spans="1:26" x14ac:dyDescent="0.2">
      <c r="A19" s="10" t="s">
        <v>169</v>
      </c>
      <c r="C19" s="47">
        <f>C18*(Assumptions!$B$62+Assumptions!$B$63)</f>
        <v>0.0</v>
      </c>
      <c r="D19" s="47">
        <f>D18*(Assumptions!$B$62+Assumptions!$B$63)</f>
        <v>0.0</v>
      </c>
      <c r="E19" s="47">
        <f>E18*(Assumptions!$B$62+Assumptions!$B$63)</f>
        <v>0.0</v>
      </c>
      <c r="F19" s="47">
        <f>F18*(Assumptions!$B$62+Assumptions!$B$63)</f>
        <v>0.0</v>
      </c>
      <c r="G19" s="47">
        <f>G18*(Assumptions!$B$62+Assumptions!$B$63)</f>
        <v>0.0</v>
      </c>
      <c r="H19" s="47">
        <f>H18*(Assumptions!$B$62+Assumptions!$B$63)</f>
        <v>0.6336000000000002</v>
      </c>
      <c r="I19" s="47">
        <f>I18*(Assumptions!$B$62+Assumptions!$B$63)</f>
        <v>1.5840000000000003</v>
      </c>
      <c r="J19" s="47">
        <f>J18*(Assumptions!$B$62+Assumptions!$B$63)</f>
        <v>3.0096000000000003</v>
      </c>
      <c r="K19" s="47">
        <f>K18*(Assumptions!$B$62+Assumptions!$B$63)</f>
        <v>4.593600000000001</v>
      </c>
      <c r="L19" s="47">
        <f>L18*(Assumptions!$B$62+Assumptions!$B$63)</f>
        <v>6.0192000000000005</v>
      </c>
      <c r="M19" s="47">
        <f>M18*(Assumptions!$B$62+Assumptions!$B$63)</f>
        <v>7.128000000000002</v>
      </c>
      <c r="N19" s="47">
        <f>N18*(Assumptions!$B$62+Assumptions!$B$63)</f>
        <v>7.920000000000002</v>
      </c>
      <c r="O19" s="47">
        <f>O18*(Assumptions!$B$62+Assumptions!$B$63)</f>
        <v>7.920000000000002</v>
      </c>
      <c r="P19" s="47">
        <f>P18*(Assumptions!$B$62+Assumptions!$B$63)</f>
        <v>7.920000000000002</v>
      </c>
      <c r="Q19" s="47">
        <f>Q18*(Assumptions!$B$62+Assumptions!$B$63)</f>
        <v>7.920000000000002</v>
      </c>
      <c r="R19" s="47">
        <f>R18*(Assumptions!$B$62+Assumptions!$B$63)</f>
        <v>7.920000000000002</v>
      </c>
      <c r="S19" s="47">
        <f>S18*(Assumptions!$B$62+Assumptions!$B$63)</f>
        <v>7.920000000000002</v>
      </c>
      <c r="T19" s="47">
        <f>T18*(Assumptions!$B$62+Assumptions!$B$63)</f>
        <v>7.920000000000002</v>
      </c>
      <c r="U19" s="47">
        <f>U18*(Assumptions!$B$62+Assumptions!$B$63)</f>
        <v>3.1680000000000006</v>
      </c>
      <c r="V19" s="47">
        <f>V18*(Assumptions!$B$62+Assumptions!$B$63)</f>
        <v>1.2672000000000003</v>
      </c>
      <c r="W19" s="47">
        <f>W18*(Assumptions!$B$62+Assumptions!$B$63)</f>
        <v>0.5068800000000001</v>
      </c>
      <c r="X19" s="47">
        <f>X18*(Assumptions!$B$62+Assumptions!$B$63)</f>
        <v>0.20275200000000004</v>
      </c>
      <c r="Y19" s="47">
        <f>Y18*(Assumptions!$B$62+Assumptions!$B$63)</f>
        <v>0.08110080000000004</v>
      </c>
      <c r="Z19" s="47">
        <f>Z18*(Assumptions!$B$62+Assumptions!$B$63)</f>
        <v>0.032440320000000016</v>
      </c>
    </row>
    <row r="20" spans="1:26" x14ac:dyDescent="0.2">
      <c r="A20" s="10" t="s">
        <v>170</v>
      </c>
      <c r="C20" s="47">
        <f>IF(C15=0,Assumptions!$B$65*Assumptions!$B$58*Assumptions!$B$59,IF(C15&gt;=1,C16*IF(C15&lt;=5,INDEX(Assumptions!$B$33:$F$33,C15),Assumptions!$B$64)*C17,0))</f>
        <v>0</v>
      </c>
      <c r="D20" s="47">
        <f>IF(D15=0,Assumptions!$B$65*Assumptions!$B$58*Assumptions!$B$59,IF(D15&gt;=1,D16*IF(D15&lt;=5,INDEX(Assumptions!$B$33:$F$33,D15),Assumptions!$B$64)*D17,0))</f>
        <v>0</v>
      </c>
      <c r="E20" s="47">
        <f>IF(E15=0,Assumptions!$B$65*Assumptions!$B$58*Assumptions!$B$59,IF(E15&gt;=1,E16*IF(E15&lt;=5,INDEX(Assumptions!$B$33:$F$33,E15),Assumptions!$B$64)*E17,0))</f>
        <v>0</v>
      </c>
      <c r="F20" s="47">
        <f>IF(F15=0,Assumptions!$B$65*Assumptions!$B$58*Assumptions!$B$59,IF(F15&gt;=1,F16*IF(F15&lt;=5,INDEX(Assumptions!$B$33:$F$33,F15),Assumptions!$B$64)*F17,0))</f>
        <v>0</v>
      </c>
      <c r="G20" s="47">
        <f>IF(G15=0,Assumptions!$B$65*Assumptions!$B$58*Assumptions!$B$59,IF(G15&gt;=1,G16*IF(G15&lt;=5,INDEX(Assumptions!$B$33:$F$33,G15),Assumptions!$B$64)*G17,0))</f>
        <v>5.5</v>
      </c>
      <c r="H20" s="47">
        <f>IF(H15=0,Assumptions!$B$65*Assumptions!$B$58*Assumptions!$B$59,IF(H15&gt;=1,H16*IF(H15&lt;=5,INDEX(Assumptions!$B$33:$F$33,H15),Assumptions!$B$64)*H17,0))</f>
        <v>7.128000000000001</v>
      </c>
      <c r="I20" s="47">
        <f>IF(I15=0,Assumptions!$B$65*Assumptions!$B$58*Assumptions!$B$59,IF(I15&gt;=1,I16*IF(I15&lt;=5,INDEX(Assumptions!$B$33:$F$33,I15),Assumptions!$B$64)*I17,0))</f>
        <v>10.890000000000004</v>
      </c>
      <c r="J20" s="47">
        <f>IF(J15=0,Assumptions!$B$65*Assumptions!$B$58*Assumptions!$B$59,IF(J15&gt;=1,J16*IF(J15&lt;=5,INDEX(Assumptions!$B$33:$F$33,J15),Assumptions!$B$64)*J17,0))</f>
        <v>15.048000000000004</v>
      </c>
      <c r="K20" s="47">
        <f>IF(K15=0,Assumptions!$B$65*Assumptions!$B$58*Assumptions!$B$59,IF(K15&gt;=1,K16*IF(K15&lt;=5,INDEX(Assumptions!$B$33:$F$33,K15),Assumptions!$B$64)*K17,0))</f>
        <v>18.3744</v>
      </c>
      <c r="L20" s="47">
        <f>IF(L15=0,Assumptions!$B$65*Assumptions!$B$58*Assumptions!$B$59,IF(L15&gt;=1,L16*IF(L15&lt;=5,INDEX(Assumptions!$B$33:$F$33,L15),Assumptions!$B$64)*L17,0))</f>
        <v>21.067200000000007</v>
      </c>
      <c r="M20" s="47">
        <f>IF(M15=0,Assumptions!$B$65*Assumptions!$B$58*Assumptions!$B$59,IF(M15&gt;=1,M16*IF(M15&lt;=5,INDEX(Assumptions!$B$33:$F$33,M15),Assumptions!$B$64)*M17,0))</f>
        <v>26.730000000000004</v>
      </c>
      <c r="N20" s="47">
        <f>IF(N15=0,Assumptions!$B$65*Assumptions!$B$58*Assumptions!$B$59,IF(N15&gt;=1,N16*IF(N15&lt;=5,INDEX(Assumptions!$B$33:$F$33,N15),Assumptions!$B$64)*N17,0))</f>
        <v>29.700000000000006</v>
      </c>
      <c r="O20" s="47">
        <f>IF(O15=0,Assumptions!$B$65*Assumptions!$B$58*Assumptions!$B$59,IF(O15&gt;=1,O16*IF(O15&lt;=5,INDEX(Assumptions!$B$33:$F$33,O15),Assumptions!$B$64)*O17,0))</f>
        <v>29.700000000000006</v>
      </c>
      <c r="P20" s="47">
        <f>IF(P15=0,Assumptions!$B$65*Assumptions!$B$58*Assumptions!$B$59,IF(P15&gt;=1,P16*IF(P15&lt;=5,INDEX(Assumptions!$B$33:$F$33,P15),Assumptions!$B$64)*P17,0))</f>
        <v>29.700000000000006</v>
      </c>
      <c r="Q20" s="47">
        <f>IF(Q15=0,Assumptions!$B$65*Assumptions!$B$58*Assumptions!$B$59,IF(Q15&gt;=1,Q16*IF(Q15&lt;=5,INDEX(Assumptions!$B$33:$F$33,Q15),Assumptions!$B$64)*Q17,0))</f>
        <v>29.700000000000006</v>
      </c>
      <c r="R20" s="47">
        <f>IF(R15=0,Assumptions!$B$65*Assumptions!$B$58*Assumptions!$B$59,IF(R15&gt;=1,R16*IF(R15&lt;=5,INDEX(Assumptions!$B$33:$F$33,R15),Assumptions!$B$64)*R17,0))</f>
        <v>29.700000000000006</v>
      </c>
      <c r="S20" s="47">
        <f>IF(S15=0,Assumptions!$B$65*Assumptions!$B$58*Assumptions!$B$59,IF(S15&gt;=1,S16*IF(S15&lt;=5,INDEX(Assumptions!$B$33:$F$33,S15),Assumptions!$B$64)*S17,0))</f>
        <v>29.700000000000006</v>
      </c>
      <c r="T20" s="47">
        <f>IF(T15=0,Assumptions!$B$65*Assumptions!$B$58*Assumptions!$B$59,IF(T15&gt;=1,T16*IF(T15&lt;=5,INDEX(Assumptions!$B$33:$F$33,T15),Assumptions!$B$64)*T17,0))</f>
        <v>29.700000000000006</v>
      </c>
      <c r="U20" s="47">
        <f>IF(U15=0,Assumptions!$B$65*Assumptions!$B$58*Assumptions!$B$59,IF(U15&gt;=1,U16*IF(U15&lt;=5,INDEX(Assumptions!$B$33:$F$33,U15),Assumptions!$B$64)*U17,0))</f>
        <v>11.880000000000003</v>
      </c>
      <c r="V20" s="47">
        <f>IF(V15=0,Assumptions!$B$65*Assumptions!$B$58*Assumptions!$B$59,IF(V15&gt;=1,V16*IF(V15&lt;=5,INDEX(Assumptions!$B$33:$F$33,V15),Assumptions!$B$64)*V17,0))</f>
        <v>4.752000000000001</v>
      </c>
      <c r="W20" s="47">
        <f>IF(W15=0,Assumptions!$B$65*Assumptions!$B$58*Assumptions!$B$59,IF(W15&gt;=1,W16*IF(W15&lt;=5,INDEX(Assumptions!$B$33:$F$33,W15),Assumptions!$B$64)*W17,0))</f>
        <v>1.9008000000000003</v>
      </c>
      <c r="X20" s="47">
        <f>IF(X15=0,Assumptions!$B$65*Assumptions!$B$58*Assumptions!$B$59,IF(X15&gt;=1,X16*IF(X15&lt;=5,INDEX(Assumptions!$B$33:$F$33,X15),Assumptions!$B$64)*X17,0))</f>
        <v>0.7603200000000001</v>
      </c>
      <c r="Y20" s="47">
        <f>IF(Y15=0,Assumptions!$B$65*Assumptions!$B$58*Assumptions!$B$59,IF(Y15&gt;=1,Y16*IF(Y15&lt;=5,INDEX(Assumptions!$B$33:$F$33,Y15),Assumptions!$B$64)*Y17,0))</f>
        <v>0.3041280000000001</v>
      </c>
      <c r="Z20" s="47">
        <f>IF(Z15=0,Assumptions!$B$65*Assumptions!$B$58*Assumptions!$B$59,IF(Z15&gt;=1,Z16*IF(Z15&lt;=5,INDEX(Assumptions!$B$33:$F$33,Z15),Assumptions!$B$64)*Z17,0))</f>
        <v>0.12165120000000006</v>
      </c>
    </row>
    <row r="21" spans="1:26" x14ac:dyDescent="0.2">
      <c r="A21" s="10" t="s">
        <v>171</v>
      </c>
      <c r="C21" s="47">
        <f>IFERROR(INDEX(Assumptions!$B$72:$J$72,MATCH(C$2-Assumptions!$B$56,Assumptions!$B$70:$J$70,0))*INDEX(Assumptions!$B$73:$J$73,MATCH(C$2-Assumptions!$B$56,Assumptions!$B$70:$J$70,0)),0)</f>
        <v>30.0</v>
      </c>
      <c r="D21" s="47">
        <f>IFERROR(INDEX(Assumptions!$B$72:$J$72,MATCH(D$2-Assumptions!$B$56,Assumptions!$B$70:$J$70,0))*INDEX(Assumptions!$B$73:$J$73,MATCH(D$2-Assumptions!$B$56,Assumptions!$B$70:$J$70,0)),0)</f>
        <v>9.0</v>
      </c>
      <c r="E21" s="47">
        <f>IFERROR(INDEX(Assumptions!$B$72:$J$72,MATCH(E$2-Assumptions!$B$56,Assumptions!$B$70:$J$70,0))*INDEX(Assumptions!$B$73:$J$73,MATCH(E$2-Assumptions!$B$56,Assumptions!$B$70:$J$70,0)),0)</f>
        <v>17.0</v>
      </c>
      <c r="F21" s="47">
        <f>IFERROR(INDEX(Assumptions!$B$72:$J$72,MATCH(F$2-Assumptions!$B$56,Assumptions!$B$70:$J$70,0))*INDEX(Assumptions!$B$73:$J$73,MATCH(F$2-Assumptions!$B$56,Assumptions!$B$70:$J$70,0)),0)</f>
        <v>15.0</v>
      </c>
      <c r="G21" s="47">
        <f>IFERROR(INDEX(Assumptions!$B$72:$J$72,MATCH(G$2-Assumptions!$B$56,Assumptions!$B$70:$J$70,0))*INDEX(Assumptions!$B$73:$J$73,MATCH(G$2-Assumptions!$B$56,Assumptions!$B$70:$J$70,0)),0)</f>
        <v>2.7500000000000004</v>
      </c>
      <c r="H21" s="47">
        <f>IFERROR(INDEX(Assumptions!$B$72:$J$72,MATCH(H$2-Assumptions!$B$56,Assumptions!$B$70:$J$70,0))*INDEX(Assumptions!$B$73:$J$73,MATCH(H$2-Assumptions!$B$56,Assumptions!$B$70:$J$70,0)),0)</f>
        <v>0.0</v>
      </c>
      <c r="I21" s="47">
        <f>IFERROR(INDEX(Assumptions!$B$72:$J$72,MATCH(I$2-Assumptions!$B$56,Assumptions!$B$70:$J$70,0))*INDEX(Assumptions!$B$73:$J$73,MATCH(I$2-Assumptions!$B$56,Assumptions!$B$70:$J$70,0)),0)</f>
        <v>0</v>
      </c>
      <c r="J21" s="47">
        <f>IFERROR(INDEX(Assumptions!$B$72:$J$72,MATCH(J$2-Assumptions!$B$56,Assumptions!$B$70:$J$70,0))*INDEX(Assumptions!$B$73:$J$73,MATCH(J$2-Assumptions!$B$56,Assumptions!$B$70:$J$70,0)),0)</f>
        <v>0</v>
      </c>
      <c r="K21" s="47">
        <f>IFERROR(INDEX(Assumptions!$B$72:$J$72,MATCH(K$2-Assumptions!$B$56,Assumptions!$B$70:$J$70,0))*INDEX(Assumptions!$B$73:$J$73,MATCH(K$2-Assumptions!$B$56,Assumptions!$B$70:$J$70,0)),0)</f>
        <v>0</v>
      </c>
      <c r="L21" s="47">
        <f>IFERROR(INDEX(Assumptions!$B$72:$J$72,MATCH(L$2-Assumptions!$B$56,Assumptions!$B$70:$J$70,0))*INDEX(Assumptions!$B$73:$J$73,MATCH(L$2-Assumptions!$B$56,Assumptions!$B$70:$J$70,0)),0)</f>
        <v>0</v>
      </c>
      <c r="M21" s="47">
        <f>IFERROR(INDEX(Assumptions!$B$72:$J$72,MATCH(M$2-Assumptions!$B$56,Assumptions!$B$70:$J$70,0))*INDEX(Assumptions!$B$73:$J$73,MATCH(M$2-Assumptions!$B$56,Assumptions!$B$70:$J$70,0)),0)</f>
        <v>0</v>
      </c>
      <c r="N21" s="47">
        <f>IFERROR(INDEX(Assumptions!$B$72:$J$72,MATCH(N$2-Assumptions!$B$56,Assumptions!$B$70:$J$70,0))*INDEX(Assumptions!$B$73:$J$73,MATCH(N$2-Assumptions!$B$56,Assumptions!$B$70:$J$70,0)),0)</f>
        <v>0</v>
      </c>
      <c r="O21" s="47">
        <f>IFERROR(INDEX(Assumptions!$B$72:$J$72,MATCH(O$2-Assumptions!$B$56,Assumptions!$B$70:$J$70,0))*INDEX(Assumptions!$B$73:$J$73,MATCH(O$2-Assumptions!$B$56,Assumptions!$B$70:$J$70,0)),0)</f>
        <v>0</v>
      </c>
      <c r="P21" s="47">
        <f>IFERROR(INDEX(Assumptions!$B$72:$J$72,MATCH(P$2-Assumptions!$B$56,Assumptions!$B$70:$J$70,0))*INDEX(Assumptions!$B$73:$J$73,MATCH(P$2-Assumptions!$B$56,Assumptions!$B$70:$J$70,0)),0)</f>
        <v>0</v>
      </c>
      <c r="Q21" s="47">
        <f>IFERROR(INDEX(Assumptions!$B$72:$J$72,MATCH(Q$2-Assumptions!$B$56,Assumptions!$B$70:$J$70,0))*INDEX(Assumptions!$B$73:$J$73,MATCH(Q$2-Assumptions!$B$56,Assumptions!$B$70:$J$70,0)),0)</f>
        <v>0</v>
      </c>
      <c r="R21" s="47">
        <f>IFERROR(INDEX(Assumptions!$B$72:$J$72,MATCH(R$2-Assumptions!$B$56,Assumptions!$B$70:$J$70,0))*INDEX(Assumptions!$B$73:$J$73,MATCH(R$2-Assumptions!$B$56,Assumptions!$B$70:$J$70,0)),0)</f>
        <v>0</v>
      </c>
      <c r="S21" s="47">
        <f>IFERROR(INDEX(Assumptions!$B$72:$J$72,MATCH(S$2-Assumptions!$B$56,Assumptions!$B$70:$J$70,0))*INDEX(Assumptions!$B$73:$J$73,MATCH(S$2-Assumptions!$B$56,Assumptions!$B$70:$J$70,0)),0)</f>
        <v>0</v>
      </c>
      <c r="T21" s="47">
        <f>IFERROR(INDEX(Assumptions!$B$72:$J$72,MATCH(T$2-Assumptions!$B$56,Assumptions!$B$70:$J$70,0))*INDEX(Assumptions!$B$73:$J$73,MATCH(T$2-Assumptions!$B$56,Assumptions!$B$70:$J$70,0)),0)</f>
        <v>0</v>
      </c>
      <c r="U21" s="47">
        <f>IFERROR(INDEX(Assumptions!$B$72:$J$72,MATCH(U$2-Assumptions!$B$56,Assumptions!$B$70:$J$70,0))*INDEX(Assumptions!$B$73:$J$73,MATCH(U$2-Assumptions!$B$56,Assumptions!$B$70:$J$70,0)),0)</f>
        <v>0</v>
      </c>
      <c r="V21" s="47">
        <f>IFERROR(INDEX(Assumptions!$B$72:$J$72,MATCH(V$2-Assumptions!$B$56,Assumptions!$B$70:$J$70,0))*INDEX(Assumptions!$B$73:$J$73,MATCH(V$2-Assumptions!$B$56,Assumptions!$B$70:$J$70,0)),0)</f>
        <v>0</v>
      </c>
      <c r="W21" s="47">
        <f>IFERROR(INDEX(Assumptions!$B$72:$J$72,MATCH(W$2-Assumptions!$B$56,Assumptions!$B$70:$J$70,0))*INDEX(Assumptions!$B$73:$J$73,MATCH(W$2-Assumptions!$B$56,Assumptions!$B$70:$J$70,0)),0)</f>
        <v>0</v>
      </c>
      <c r="X21" s="47">
        <f>IFERROR(INDEX(Assumptions!$B$72:$J$72,MATCH(X$2-Assumptions!$B$56,Assumptions!$B$70:$J$70,0))*INDEX(Assumptions!$B$73:$J$73,MATCH(X$2-Assumptions!$B$56,Assumptions!$B$70:$J$70,0)),0)</f>
        <v>0</v>
      </c>
      <c r="Y21" s="47">
        <f>IFERROR(INDEX(Assumptions!$B$72:$J$72,MATCH(Y$2-Assumptions!$B$56,Assumptions!$B$70:$J$70,0))*INDEX(Assumptions!$B$73:$J$73,MATCH(Y$2-Assumptions!$B$56,Assumptions!$B$70:$J$70,0)),0)</f>
        <v>0</v>
      </c>
      <c r="Z21" s="47">
        <f>IFERROR(INDEX(Assumptions!$B$72:$J$72,MATCH(Z$2-Assumptions!$B$56,Assumptions!$B$70:$J$70,0))*INDEX(Assumptions!$B$73:$J$73,MATCH(Z$2-Assumptions!$B$56,Assumptions!$B$70:$J$70,0)),0)</f>
        <v>0</v>
      </c>
    </row>
    <row r="22" spans="1:26" x14ac:dyDescent="0.2">
      <c r="A22" s="53" t="s">
        <v>172</v>
      </c>
      <c r="C22" s="54">
        <f t="shared" ref="C22:Z22" si="3">C18-C19-C20-C21</f>
        <v>-30.0</v>
      </c>
      <c r="D22" s="54">
        <f t="shared" si="3"/>
        <v>-9.0</v>
      </c>
      <c r="E22" s="54">
        <f t="shared" si="3"/>
        <v>-17.0</v>
      </c>
      <c r="F22" s="54">
        <f t="shared" si="3"/>
        <v>-15.0</v>
      </c>
      <c r="G22" s="54">
        <f t="shared" si="3"/>
        <v>-8.25</v>
      </c>
      <c r="H22" s="54">
        <f t="shared" si="3"/>
        <v>0.15840000000000032</v>
      </c>
      <c r="I22" s="54">
        <f t="shared" si="3"/>
        <v>7.3260000000000005</v>
      </c>
      <c r="J22" s="54">
        <f t="shared" si="3"/>
        <v>19.562400000000004</v>
      </c>
      <c r="K22" s="54">
        <f t="shared" si="3"/>
        <v>34.452000000000005</v>
      </c>
      <c r="L22" s="54">
        <f t="shared" si="3"/>
        <v>48.153600000000004</v>
      </c>
      <c r="M22" s="54">
        <f t="shared" si="3"/>
        <v>55.24200000000002</v>
      </c>
      <c r="N22" s="54">
        <f t="shared" si="3"/>
        <v>61.38000000000001</v>
      </c>
      <c r="O22" s="54">
        <f t="shared" si="3"/>
        <v>61.38000000000001</v>
      </c>
      <c r="P22" s="54">
        <f t="shared" si="3"/>
        <v>61.38000000000001</v>
      </c>
      <c r="Q22" s="54">
        <f t="shared" si="3"/>
        <v>61.38000000000001</v>
      </c>
      <c r="R22" s="54">
        <f t="shared" si="3"/>
        <v>61.38000000000001</v>
      </c>
      <c r="S22" s="54">
        <f t="shared" si="3"/>
        <v>61.38000000000001</v>
      </c>
      <c r="T22" s="54">
        <f t="shared" si="3"/>
        <v>61.38000000000001</v>
      </c>
      <c r="U22" s="54">
        <f t="shared" si="3"/>
        <v>24.552000000000007</v>
      </c>
      <c r="V22" s="54">
        <f t="shared" si="3"/>
        <v>9.820800000000002</v>
      </c>
      <c r="W22" s="54">
        <f t="shared" si="3"/>
        <v>3.928320000000001</v>
      </c>
      <c r="X22" s="54">
        <f t="shared" si="3"/>
        <v>1.5713280000000003</v>
      </c>
      <c r="Y22" s="54">
        <f t="shared" si="3"/>
        <v>0.6285312000000003</v>
      </c>
      <c r="Z22" s="54">
        <f t="shared" si="3"/>
        <v>0.2514124800000001</v>
      </c>
    </row>
    <row r="24" spans="1:26" x14ac:dyDescent="0.2">
      <c r="A24" s="23" t="s">
        <v>174</v>
      </c>
    </row>
    <row r="25" spans="1:26" x14ac:dyDescent="0.2">
      <c r="A25" s="10" t="s">
        <v>165</v>
      </c>
      <c r="C25" s="51">
        <f>C$2-Assumptions!$B$77+1</f>
        <v>-8.0</v>
      </c>
      <c r="D25" s="51">
        <f>D$2-Assumptions!$B$77+1</f>
        <v>-7.0</v>
      </c>
      <c r="E25" s="51">
        <f>E$2-Assumptions!$B$77+1</f>
        <v>-6.0</v>
      </c>
      <c r="F25" s="51">
        <f>F$2-Assumptions!$B$77+1</f>
        <v>-5.0</v>
      </c>
      <c r="G25" s="51">
        <f>G$2-Assumptions!$B$77+1</f>
        <v>-4.0</v>
      </c>
      <c r="H25" s="51">
        <f>H$2-Assumptions!$B$77+1</f>
        <v>-3.0</v>
      </c>
      <c r="I25" s="51">
        <f>I$2-Assumptions!$B$77+1</f>
        <v>-2.0</v>
      </c>
      <c r="J25" s="51">
        <f>J$2-Assumptions!$B$77+1</f>
        <v>-1.0</v>
      </c>
      <c r="K25" s="51">
        <f>K$2-Assumptions!$B$77+1</f>
        <v>0.0</v>
      </c>
      <c r="L25" s="51">
        <f>L$2-Assumptions!$B$77+1</f>
        <v>1.0</v>
      </c>
      <c r="M25" s="51">
        <f>M$2-Assumptions!$B$77+1</f>
        <v>2.0</v>
      </c>
      <c r="N25" s="51">
        <f>N$2-Assumptions!$B$77+1</f>
        <v>3.0</v>
      </c>
      <c r="O25" s="51">
        <f>O$2-Assumptions!$B$77+1</f>
        <v>4.0</v>
      </c>
      <c r="P25" s="51">
        <f>P$2-Assumptions!$B$77+1</f>
        <v>5.0</v>
      </c>
      <c r="Q25" s="51">
        <f>Q$2-Assumptions!$B$77+1</f>
        <v>6.0</v>
      </c>
      <c r="R25" s="51">
        <f>R$2-Assumptions!$B$77+1</f>
        <v>7.0</v>
      </c>
      <c r="S25" s="51">
        <f>S$2-Assumptions!$B$77+1</f>
        <v>8.0</v>
      </c>
      <c r="T25" s="51">
        <f>T$2-Assumptions!$B$77+1</f>
        <v>9.0</v>
      </c>
      <c r="U25" s="51">
        <f>U$2-Assumptions!$B$77+1</f>
        <v>10.0</v>
      </c>
      <c r="V25" s="51">
        <f>V$2-Assumptions!$B$77+1</f>
        <v>11.0</v>
      </c>
      <c r="W25" s="51">
        <f>W$2-Assumptions!$B$77+1</f>
        <v>12.0</v>
      </c>
      <c r="X25" s="51">
        <f>X$2-Assumptions!$B$77+1</f>
        <v>13.0</v>
      </c>
      <c r="Y25" s="51">
        <f>Y$2-Assumptions!$B$77+1</f>
        <v>14.0</v>
      </c>
      <c r="Z25" s="51">
        <f>Z$2-Assumptions!$B$77+1</f>
        <v>15.0</v>
      </c>
    </row>
    <row r="26" spans="1:26" x14ac:dyDescent="0.2">
      <c r="A26" s="10" t="s">
        <v>166</v>
      </c>
      <c r="C26" s="47">
        <f>IF(C$2&gt;Assumptions!$B$87,B26*(1-Assumptions!$B$88),IF(C25&gt;=1,Assumptions!$B$78*INDEX(Assumptions!$B$32:$H$32,MIN(C25,7)),0))</f>
        <v>0</v>
      </c>
      <c r="D26" s="47">
        <f>IF(D$2&gt;Assumptions!$B$87,C26*(1-Assumptions!$B$88),IF(D25&gt;=1,Assumptions!$B$78*INDEX(Assumptions!$B$32:$H$32,MIN(D25,7)),0))</f>
        <v>0</v>
      </c>
      <c r="E26" s="47">
        <f>IF(E$2&gt;Assumptions!$B$87,D26*(1-Assumptions!$B$88),IF(E25&gt;=1,Assumptions!$B$78*INDEX(Assumptions!$B$32:$H$32,MIN(E25,7)),0))</f>
        <v>0</v>
      </c>
      <c r="F26" s="47">
        <f>IF(F$2&gt;Assumptions!$B$87,E26*(1-Assumptions!$B$88),IF(F25&gt;=1,Assumptions!$B$78*INDEX(Assumptions!$B$32:$H$32,MIN(F25,7)),0))</f>
        <v>0</v>
      </c>
      <c r="G26" s="47">
        <f>IF(G$2&gt;Assumptions!$B$87,F26*(1-Assumptions!$B$88),IF(G25&gt;=1,Assumptions!$B$78*INDEX(Assumptions!$B$32:$H$32,MIN(G25,7)),0))</f>
        <v>0</v>
      </c>
      <c r="H26" s="47">
        <f>IF(H$2&gt;Assumptions!$B$87,G26*(1-Assumptions!$B$88),IF(H25&gt;=1,Assumptions!$B$78*INDEX(Assumptions!$B$32:$H$32,MIN(H25,7)),0))</f>
        <v>0</v>
      </c>
      <c r="I26" s="47">
        <f>IF(I$2&gt;Assumptions!$B$87,H26*(1-Assumptions!$B$88),IF(I25&gt;=1,Assumptions!$B$78*INDEX(Assumptions!$B$32:$H$32,MIN(I25,7)),0))</f>
        <v>0</v>
      </c>
      <c r="J26" s="47">
        <f>IF(J$2&gt;Assumptions!$B$87,I26*(1-Assumptions!$B$88),IF(J25&gt;=1,Assumptions!$B$78*INDEX(Assumptions!$B$32:$H$32,MIN(J25,7)),0))</f>
        <v>0</v>
      </c>
      <c r="K26" s="47">
        <f>IF(K$2&gt;Assumptions!$B$87,J26*(1-Assumptions!$B$88),IF(K25&gt;=1,Assumptions!$B$78*INDEX(Assumptions!$B$32:$H$32,MIN(K25,7)),0))</f>
        <v>0</v>
      </c>
      <c r="L26" s="47">
        <f>IF(L$2&gt;Assumptions!$B$87,K26*(1-Assumptions!$B$88),IF(L25&gt;=1,Assumptions!$B$78*INDEX(Assumptions!$B$32:$H$32,MIN(L25,7)),0))</f>
        <v>80.0</v>
      </c>
      <c r="M26" s="47">
        <f>IF(M$2&gt;Assumptions!$B$87,L26*(1-Assumptions!$B$88),IF(M25&gt;=1,Assumptions!$B$78*INDEX(Assumptions!$B$32:$H$32,MIN(M25,7)),0))</f>
        <v>200.0</v>
      </c>
      <c r="N26" s="47">
        <f>IF(N$2&gt;Assumptions!$B$87,M26*(1-Assumptions!$B$88),IF(N25&gt;=1,Assumptions!$B$78*INDEX(Assumptions!$B$32:$H$32,MIN(N25,7)),0))</f>
        <v>380.0</v>
      </c>
      <c r="O26" s="47">
        <f>IF(O$2&gt;Assumptions!$B$87,N26*(1-Assumptions!$B$88),IF(O25&gt;=1,Assumptions!$B$78*INDEX(Assumptions!$B$32:$H$32,MIN(O25,7)),0))</f>
        <v>580.0</v>
      </c>
      <c r="P26" s="47">
        <f>IF(P$2&gt;Assumptions!$B$87,O26*(1-Assumptions!$B$88),IF(P25&gt;=1,Assumptions!$B$78*INDEX(Assumptions!$B$32:$H$32,MIN(P25,7)),0))</f>
        <v>760.0</v>
      </c>
      <c r="Q26" s="47">
        <f>IF(Q$2&gt;Assumptions!$B$87,P26*(1-Assumptions!$B$88),IF(Q25&gt;=1,Assumptions!$B$78*INDEX(Assumptions!$B$32:$H$32,MIN(Q25,7)),0))</f>
        <v>900.0</v>
      </c>
      <c r="R26" s="47">
        <f>IF(R$2&gt;Assumptions!$B$87,Q26*(1-Assumptions!$B$88),IF(R25&gt;=1,Assumptions!$B$78*INDEX(Assumptions!$B$32:$H$32,MIN(R25,7)),0))</f>
        <v>1000.0</v>
      </c>
      <c r="S26" s="47">
        <f>IF(S$2&gt;Assumptions!$B$87,R26*(1-Assumptions!$B$88),IF(S25&gt;=1,Assumptions!$B$78*INDEX(Assumptions!$B$32:$H$32,MIN(S25,7)),0))</f>
        <v>1000.0</v>
      </c>
      <c r="T26" s="47">
        <f>IF(T$2&gt;Assumptions!$B$87,S26*(1-Assumptions!$B$88),IF(T25&gt;=1,Assumptions!$B$78*INDEX(Assumptions!$B$32:$H$32,MIN(T25,7)),0))</f>
        <v>1000.0</v>
      </c>
      <c r="U26" s="47">
        <f>IF(U$2&gt;Assumptions!$B$87,T26*(1-Assumptions!$B$88),IF(U25&gt;=1,Assumptions!$B$78*INDEX(Assumptions!$B$32:$H$32,MIN(U25,7)),0))</f>
        <v>1000.0</v>
      </c>
      <c r="V26" s="47">
        <f>IF(V$2&gt;Assumptions!$B$87,U26*(1-Assumptions!$B$88),IF(V25&gt;=1,Assumptions!$B$78*INDEX(Assumptions!$B$32:$H$32,MIN(V25,7)),0))</f>
        <v>700.0</v>
      </c>
      <c r="W26" s="47">
        <f>IF(W$2&gt;Assumptions!$B$87,V26*(1-Assumptions!$B$88),IF(W25&gt;=1,Assumptions!$B$78*INDEX(Assumptions!$B$32:$H$32,MIN(W25,7)),0))</f>
        <v>489.99999999999994</v>
      </c>
      <c r="X26" s="47">
        <f>IF(X$2&gt;Assumptions!$B$87,W26*(1-Assumptions!$B$88),IF(X25&gt;=1,Assumptions!$B$78*INDEX(Assumptions!$B$32:$H$32,MIN(X25,7)),0))</f>
        <v>342.99999999999994</v>
      </c>
      <c r="Y26" s="47">
        <f>IF(Y$2&gt;Assumptions!$B$87,X26*(1-Assumptions!$B$88),IF(Y25&gt;=1,Assumptions!$B$78*INDEX(Assumptions!$B$32:$H$32,MIN(Y25,7)),0))</f>
        <v>240.09999999999994</v>
      </c>
      <c r="Z26" s="47">
        <f>IF(Z$2&gt;Assumptions!$B$87,Y26*(1-Assumptions!$B$88),IF(Z25&gt;=1,Assumptions!$B$78*INDEX(Assumptions!$B$32:$H$32,MIN(Z25,7)),0))</f>
        <v>168.06999999999994</v>
      </c>
    </row>
    <row r="27" spans="1:26" x14ac:dyDescent="0.2">
      <c r="A27" s="10" t="s">
        <v>167</v>
      </c>
      <c r="C27" s="38">
        <f>Assumptions!$B$82*Assumptions!$B$76</f>
        <v>0.12375000000000001</v>
      </c>
      <c r="D27" s="38">
        <f>Assumptions!$B$82*Assumptions!$B$76</f>
        <v>0.12375000000000001</v>
      </c>
      <c r="E27" s="38">
        <f>Assumptions!$B$82*Assumptions!$B$76</f>
        <v>0.12375000000000001</v>
      </c>
      <c r="F27" s="38">
        <f>Assumptions!$B$82*Assumptions!$B$76</f>
        <v>0.12375000000000001</v>
      </c>
      <c r="G27" s="38">
        <f>Assumptions!$B$82*Assumptions!$B$76</f>
        <v>0.12375000000000001</v>
      </c>
      <c r="H27" s="38">
        <f>Assumptions!$B$82*Assumptions!$B$76</f>
        <v>0.12375000000000001</v>
      </c>
      <c r="I27" s="38">
        <f>Assumptions!$B$82*Assumptions!$B$76</f>
        <v>0.12375000000000001</v>
      </c>
      <c r="J27" s="38">
        <f>Assumptions!$B$82*Assumptions!$B$76</f>
        <v>0.12375000000000001</v>
      </c>
      <c r="K27" s="38">
        <f>Assumptions!$B$82*Assumptions!$B$76</f>
        <v>0.12375000000000001</v>
      </c>
      <c r="L27" s="38">
        <f>Assumptions!$B$82*Assumptions!$B$76</f>
        <v>0.12375000000000001</v>
      </c>
      <c r="M27" s="38">
        <f>Assumptions!$B$82*Assumptions!$B$76</f>
        <v>0.12375000000000001</v>
      </c>
      <c r="N27" s="38">
        <f>Assumptions!$B$82*Assumptions!$B$76</f>
        <v>0.12375000000000001</v>
      </c>
      <c r="O27" s="38">
        <f>Assumptions!$B$82*Assumptions!$B$76</f>
        <v>0.12375000000000001</v>
      </c>
      <c r="P27" s="38">
        <f>Assumptions!$B$82*Assumptions!$B$76</f>
        <v>0.12375000000000001</v>
      </c>
      <c r="Q27" s="38">
        <f>Assumptions!$B$82*Assumptions!$B$76</f>
        <v>0.12375000000000001</v>
      </c>
      <c r="R27" s="38">
        <f>Assumptions!$B$82*Assumptions!$B$76</f>
        <v>0.12375000000000001</v>
      </c>
      <c r="S27" s="38">
        <f>Assumptions!$B$82*Assumptions!$B$76</f>
        <v>0.12375000000000001</v>
      </c>
      <c r="T27" s="38">
        <f>Assumptions!$B$82*Assumptions!$B$76</f>
        <v>0.12375000000000001</v>
      </c>
      <c r="U27" s="38">
        <f>Assumptions!$B$82*Assumptions!$B$76</f>
        <v>0.12375000000000001</v>
      </c>
      <c r="V27" s="38">
        <f>Assumptions!$B$82*Assumptions!$B$76</f>
        <v>0.12375000000000001</v>
      </c>
      <c r="W27" s="38">
        <f>Assumptions!$B$82*Assumptions!$B$76</f>
        <v>0.12375000000000001</v>
      </c>
      <c r="X27" s="38">
        <f>Assumptions!$B$82*Assumptions!$B$76</f>
        <v>0.12375000000000001</v>
      </c>
      <c r="Y27" s="38">
        <f>Assumptions!$B$82*Assumptions!$B$76</f>
        <v>0.12375000000000001</v>
      </c>
      <c r="Z27" s="38">
        <f>Assumptions!$B$82*Assumptions!$B$76</f>
        <v>0.12375000000000001</v>
      </c>
    </row>
    <row r="28" spans="1:26" x14ac:dyDescent="0.2">
      <c r="A28" s="18" t="s">
        <v>168</v>
      </c>
      <c r="C28" s="28">
        <f t="shared" ref="C28:Z28" si="4">C26*C27</f>
        <v>0.0</v>
      </c>
      <c r="D28" s="28">
        <f t="shared" si="4"/>
        <v>0.0</v>
      </c>
      <c r="E28" s="28">
        <f t="shared" si="4"/>
        <v>0.0</v>
      </c>
      <c r="F28" s="28">
        <f t="shared" si="4"/>
        <v>0.0</v>
      </c>
      <c r="G28" s="28">
        <f t="shared" si="4"/>
        <v>0.0</v>
      </c>
      <c r="H28" s="28">
        <f t="shared" si="4"/>
        <v>0.0</v>
      </c>
      <c r="I28" s="28">
        <f t="shared" si="4"/>
        <v>0.0</v>
      </c>
      <c r="J28" s="28">
        <f t="shared" si="4"/>
        <v>0.0</v>
      </c>
      <c r="K28" s="28">
        <f t="shared" si="4"/>
        <v>0.0</v>
      </c>
      <c r="L28" s="28">
        <f t="shared" si="4"/>
        <v>9.9</v>
      </c>
      <c r="M28" s="28">
        <f t="shared" si="4"/>
        <v>24.750000000000004</v>
      </c>
      <c r="N28" s="28">
        <f t="shared" si="4"/>
        <v>47.025000000000006</v>
      </c>
      <c r="O28" s="28">
        <f t="shared" si="4"/>
        <v>71.775</v>
      </c>
      <c r="P28" s="28">
        <f t="shared" si="4"/>
        <v>94.05000000000001</v>
      </c>
      <c r="Q28" s="28">
        <f t="shared" si="4"/>
        <v>111.37500000000001</v>
      </c>
      <c r="R28" s="28">
        <f t="shared" si="4"/>
        <v>123.75000000000001</v>
      </c>
      <c r="S28" s="28">
        <f t="shared" si="4"/>
        <v>123.75000000000001</v>
      </c>
      <c r="T28" s="28">
        <f t="shared" si="4"/>
        <v>123.75000000000001</v>
      </c>
      <c r="U28" s="28">
        <f t="shared" si="4"/>
        <v>123.75000000000001</v>
      </c>
      <c r="V28" s="28">
        <f t="shared" si="4"/>
        <v>86.62500000000001</v>
      </c>
      <c r="W28" s="28">
        <f t="shared" si="4"/>
        <v>60.637499999999996</v>
      </c>
      <c r="X28" s="28">
        <f t="shared" si="4"/>
        <v>42.44625</v>
      </c>
      <c r="Y28" s="28">
        <f t="shared" si="4"/>
        <v>29.712374999999994</v>
      </c>
      <c r="Z28" s="28">
        <f t="shared" si="4"/>
        <v>20.798662499999995</v>
      </c>
    </row>
    <row r="29" spans="1:26" x14ac:dyDescent="0.2">
      <c r="A29" s="10" t="s">
        <v>169</v>
      </c>
      <c r="C29" s="47">
        <f>C28*(Assumptions!$B$83+Assumptions!$B$84)</f>
        <v>0.0</v>
      </c>
      <c r="D29" s="47">
        <f>D28*(Assumptions!$B$83+Assumptions!$B$84)</f>
        <v>0.0</v>
      </c>
      <c r="E29" s="47">
        <f>E28*(Assumptions!$B$83+Assumptions!$B$84)</f>
        <v>0.0</v>
      </c>
      <c r="F29" s="47">
        <f>F28*(Assumptions!$B$83+Assumptions!$B$84)</f>
        <v>0.0</v>
      </c>
      <c r="G29" s="47">
        <f>G28*(Assumptions!$B$83+Assumptions!$B$84)</f>
        <v>0.0</v>
      </c>
      <c r="H29" s="47">
        <f>H28*(Assumptions!$B$83+Assumptions!$B$84)</f>
        <v>0.0</v>
      </c>
      <c r="I29" s="47">
        <f>I28*(Assumptions!$B$83+Assumptions!$B$84)</f>
        <v>0.0</v>
      </c>
      <c r="J29" s="47">
        <f>J28*(Assumptions!$B$83+Assumptions!$B$84)</f>
        <v>0.0</v>
      </c>
      <c r="K29" s="47">
        <f>K28*(Assumptions!$B$83+Assumptions!$B$84)</f>
        <v>0.0</v>
      </c>
      <c r="L29" s="47">
        <f>L28*(Assumptions!$B$83+Assumptions!$B$84)</f>
        <v>2.178</v>
      </c>
      <c r="M29" s="47">
        <f>M28*(Assumptions!$B$83+Assumptions!$B$84)</f>
        <v>5.445000000000001</v>
      </c>
      <c r="N29" s="47">
        <f>N28*(Assumptions!$B$83+Assumptions!$B$84)</f>
        <v>10.345500000000001</v>
      </c>
      <c r="O29" s="47">
        <f>O28*(Assumptions!$B$83+Assumptions!$B$84)</f>
        <v>15.790500000000002</v>
      </c>
      <c r="P29" s="47">
        <f>P28*(Assumptions!$B$83+Assumptions!$B$84)</f>
        <v>20.691000000000003</v>
      </c>
      <c r="Q29" s="47">
        <f>Q28*(Assumptions!$B$83+Assumptions!$B$84)</f>
        <v>24.502500000000005</v>
      </c>
      <c r="R29" s="47">
        <f>R28*(Assumptions!$B$83+Assumptions!$B$84)</f>
        <v>27.225000000000005</v>
      </c>
      <c r="S29" s="47">
        <f>S28*(Assumptions!$B$83+Assumptions!$B$84)</f>
        <v>27.225000000000005</v>
      </c>
      <c r="T29" s="47">
        <f>T28*(Assumptions!$B$83+Assumptions!$B$84)</f>
        <v>27.225000000000005</v>
      </c>
      <c r="U29" s="47">
        <f>U28*(Assumptions!$B$83+Assumptions!$B$84)</f>
        <v>27.225000000000005</v>
      </c>
      <c r="V29" s="47">
        <f>V28*(Assumptions!$B$83+Assumptions!$B$84)</f>
        <v>19.057500000000005</v>
      </c>
      <c r="W29" s="47">
        <f>W28*(Assumptions!$B$83+Assumptions!$B$84)</f>
        <v>13.34025</v>
      </c>
      <c r="X29" s="47">
        <f>X28*(Assumptions!$B$83+Assumptions!$B$84)</f>
        <v>9.338175</v>
      </c>
      <c r="Y29" s="47">
        <f>Y28*(Assumptions!$B$83+Assumptions!$B$84)</f>
        <v>6.536722499999999</v>
      </c>
      <c r="Z29" s="47">
        <f>Z28*(Assumptions!$B$83+Assumptions!$B$84)</f>
        <v>4.575705749999999</v>
      </c>
    </row>
    <row r="30" spans="1:26" x14ac:dyDescent="0.2">
      <c r="A30" s="10" t="s">
        <v>170</v>
      </c>
      <c r="C30" s="47">
        <f>IF(C25=0,Assumptions!$B$86*Assumptions!$B$79*Assumptions!$B$80*Assumptions!$B$76,IF(C25&gt;=1,C26*IF(C25&lt;=5,INDEX(Assumptions!$B$33:$F$33,C25),Assumptions!$B$85)*C27,0))</f>
        <v>0</v>
      </c>
      <c r="D30" s="47">
        <f>IF(D25=0,Assumptions!$B$86*Assumptions!$B$79*Assumptions!$B$80*Assumptions!$B$76,IF(D25&gt;=1,D26*IF(D25&lt;=5,INDEX(Assumptions!$B$33:$F$33,D25),Assumptions!$B$85)*D27,0))</f>
        <v>0</v>
      </c>
      <c r="E30" s="47">
        <f>IF(E25=0,Assumptions!$B$86*Assumptions!$B$79*Assumptions!$B$80*Assumptions!$B$76,IF(E25&gt;=1,E26*IF(E25&lt;=5,INDEX(Assumptions!$B$33:$F$33,E25),Assumptions!$B$85)*E27,0))</f>
        <v>0</v>
      </c>
      <c r="F30" s="47">
        <f>IF(F25=0,Assumptions!$B$86*Assumptions!$B$79*Assumptions!$B$80*Assumptions!$B$76,IF(F25&gt;=1,F26*IF(F25&lt;=5,INDEX(Assumptions!$B$33:$F$33,F25),Assumptions!$B$85)*F27,0))</f>
        <v>0</v>
      </c>
      <c r="G30" s="47">
        <f>IF(G25=0,Assumptions!$B$86*Assumptions!$B$79*Assumptions!$B$80*Assumptions!$B$76,IF(G25&gt;=1,G26*IF(G25&lt;=5,INDEX(Assumptions!$B$33:$F$33,G25),Assumptions!$B$85)*G27,0))</f>
        <v>0</v>
      </c>
      <c r="H30" s="47">
        <f>IF(H25=0,Assumptions!$B$86*Assumptions!$B$79*Assumptions!$B$80*Assumptions!$B$76,IF(H25&gt;=1,H26*IF(H25&lt;=5,INDEX(Assumptions!$B$33:$F$33,H25),Assumptions!$B$85)*H27,0))</f>
        <v>0</v>
      </c>
      <c r="I30" s="47">
        <f>IF(I25=0,Assumptions!$B$86*Assumptions!$B$79*Assumptions!$B$80*Assumptions!$B$76,IF(I25&gt;=1,I26*IF(I25&lt;=5,INDEX(Assumptions!$B$33:$F$33,I25),Assumptions!$B$85)*I27,0))</f>
        <v>0</v>
      </c>
      <c r="J30" s="47">
        <f>IF(J25=0,Assumptions!$B$86*Assumptions!$B$79*Assumptions!$B$80*Assumptions!$B$76,IF(J25&gt;=1,J26*IF(J25&lt;=5,INDEX(Assumptions!$B$33:$F$33,J25),Assumptions!$B$85)*J27,0))</f>
        <v>0</v>
      </c>
      <c r="K30" s="47">
        <f>IF(K25=0,Assumptions!$B$86*Assumptions!$B$79*Assumptions!$B$80*Assumptions!$B$76,IF(K25&gt;=1,K26*IF(K25&lt;=5,INDEX(Assumptions!$B$33:$F$33,K25),Assumptions!$B$85)*K27,0))</f>
        <v>3.4375000000000004</v>
      </c>
      <c r="L30" s="47">
        <f>IF(L25=0,Assumptions!$B$86*Assumptions!$B$79*Assumptions!$B$80*Assumptions!$B$76,IF(L25&gt;=1,L26*IF(L25&lt;=5,INDEX(Assumptions!$B$33:$F$33,L25),Assumptions!$B$85)*L27,0))</f>
        <v>8.91</v>
      </c>
      <c r="M30" s="47">
        <f>IF(M25=0,Assumptions!$B$86*Assumptions!$B$79*Assumptions!$B$80*Assumptions!$B$76,IF(M25&gt;=1,M26*IF(M25&lt;=5,INDEX(Assumptions!$B$33:$F$33,M25),Assumptions!$B$85)*M27,0))</f>
        <v>13.612500000000002</v>
      </c>
      <c r="N30" s="47">
        <f>IF(N25=0,Assumptions!$B$86*Assumptions!$B$79*Assumptions!$B$80*Assumptions!$B$76,IF(N25&gt;=1,N26*IF(N25&lt;=5,INDEX(Assumptions!$B$33:$F$33,N25),Assumptions!$B$85)*N27,0))</f>
        <v>18.810000000000002</v>
      </c>
      <c r="O30" s="47">
        <f>IF(O25=0,Assumptions!$B$86*Assumptions!$B$79*Assumptions!$B$80*Assumptions!$B$76,IF(O25&gt;=1,O26*IF(O25&lt;=5,INDEX(Assumptions!$B$33:$F$33,O25),Assumptions!$B$85)*O27,0))</f>
        <v>22.968</v>
      </c>
      <c r="P30" s="47">
        <f>IF(P25=0,Assumptions!$B$86*Assumptions!$B$79*Assumptions!$B$80*Assumptions!$B$76,IF(P25&gt;=1,P26*IF(P25&lt;=5,INDEX(Assumptions!$B$33:$F$33,P25),Assumptions!$B$85)*P27,0))</f>
        <v>26.334000000000003</v>
      </c>
      <c r="Q30" s="47">
        <f>IF(Q25=0,Assumptions!$B$86*Assumptions!$B$79*Assumptions!$B$80*Assumptions!$B$76,IF(Q25&gt;=1,Q26*IF(Q25&lt;=5,INDEX(Assumptions!$B$33:$F$33,Q25),Assumptions!$B$85)*Q27,0))</f>
        <v>22.275000000000002</v>
      </c>
      <c r="R30" s="47">
        <f>IF(R25=0,Assumptions!$B$86*Assumptions!$B$79*Assumptions!$B$80*Assumptions!$B$76,IF(R25&gt;=1,R26*IF(R25&lt;=5,INDEX(Assumptions!$B$33:$F$33,R25),Assumptions!$B$85)*R27,0))</f>
        <v>24.750000000000004</v>
      </c>
      <c r="S30" s="47">
        <f>IF(S25=0,Assumptions!$B$86*Assumptions!$B$79*Assumptions!$B$80*Assumptions!$B$76,IF(S25&gt;=1,S26*IF(S25&lt;=5,INDEX(Assumptions!$B$33:$F$33,S25),Assumptions!$B$85)*S27,0))</f>
        <v>24.750000000000004</v>
      </c>
      <c r="T30" s="47">
        <f>IF(T25=0,Assumptions!$B$86*Assumptions!$B$79*Assumptions!$B$80*Assumptions!$B$76,IF(T25&gt;=1,T26*IF(T25&lt;=5,INDEX(Assumptions!$B$33:$F$33,T25),Assumptions!$B$85)*T27,0))</f>
        <v>24.750000000000004</v>
      </c>
      <c r="U30" s="47">
        <f>IF(U25=0,Assumptions!$B$86*Assumptions!$B$79*Assumptions!$B$80*Assumptions!$B$76,IF(U25&gt;=1,U26*IF(U25&lt;=5,INDEX(Assumptions!$B$33:$F$33,U25),Assumptions!$B$85)*U27,0))</f>
        <v>24.750000000000004</v>
      </c>
      <c r="V30" s="47">
        <f>IF(V25=0,Assumptions!$B$86*Assumptions!$B$79*Assumptions!$B$80*Assumptions!$B$76,IF(V25&gt;=1,V26*IF(V25&lt;=5,INDEX(Assumptions!$B$33:$F$33,V25),Assumptions!$B$85)*V27,0))</f>
        <v>17.325000000000003</v>
      </c>
      <c r="W30" s="47">
        <f>IF(W25=0,Assumptions!$B$86*Assumptions!$B$79*Assumptions!$B$80*Assumptions!$B$76,IF(W25&gt;=1,W26*IF(W25&lt;=5,INDEX(Assumptions!$B$33:$F$33,W25),Assumptions!$B$85)*W27,0))</f>
        <v>12.127500000000001</v>
      </c>
      <c r="X30" s="47">
        <f>IF(X25=0,Assumptions!$B$86*Assumptions!$B$79*Assumptions!$B$80*Assumptions!$B$76,IF(X25&gt;=1,X26*IF(X25&lt;=5,INDEX(Assumptions!$B$33:$F$33,X25),Assumptions!$B$85)*X27,0))</f>
        <v>8.48925</v>
      </c>
      <c r="Y30" s="47">
        <f>IF(Y25=0,Assumptions!$B$86*Assumptions!$B$79*Assumptions!$B$80*Assumptions!$B$76,IF(Y25&gt;=1,Y26*IF(Y25&lt;=5,INDEX(Assumptions!$B$33:$F$33,Y25),Assumptions!$B$85)*Y27,0))</f>
        <v>5.942474999999999</v>
      </c>
      <c r="Z30" s="47">
        <f>IF(Z25=0,Assumptions!$B$86*Assumptions!$B$79*Assumptions!$B$80*Assumptions!$B$76,IF(Z25&gt;=1,Z26*IF(Z25&lt;=5,INDEX(Assumptions!$B$33:$F$33,Z25),Assumptions!$B$85)*Z27,0))</f>
        <v>4.1597325</v>
      </c>
    </row>
    <row r="31" spans="1:26" x14ac:dyDescent="0.2">
      <c r="A31" s="10" t="s">
        <v>171</v>
      </c>
      <c r="C31" s="47">
        <f>IFERROR(INDEX(Assumptions!$B$93:$J$93,MATCH(C$2-Assumptions!$B$77,Assumptions!$B$91:$J$91,0))*INDEX(Assumptions!$B$94:$J$94,MATCH(C$2-Assumptions!$B$77,Assumptions!$B$91:$J$91,0)),0)</f>
        <v>0</v>
      </c>
      <c r="D31" s="47">
        <f>IFERROR(INDEX(Assumptions!$B$93:$J$93,MATCH(D$2-Assumptions!$B$77,Assumptions!$B$91:$J$91,0))*INDEX(Assumptions!$B$94:$J$94,MATCH(D$2-Assumptions!$B$77,Assumptions!$B$91:$J$91,0)),0)</f>
        <v>15.0</v>
      </c>
      <c r="E31" s="47">
        <f>IFERROR(INDEX(Assumptions!$B$93:$J$93,MATCH(E$2-Assumptions!$B$77,Assumptions!$B$91:$J$91,0))*INDEX(Assumptions!$B$94:$J$94,MATCH(E$2-Assumptions!$B$77,Assumptions!$B$91:$J$91,0)),0)</f>
        <v>30.0</v>
      </c>
      <c r="F31" s="47">
        <f>IFERROR(INDEX(Assumptions!$B$93:$J$93,MATCH(F$2-Assumptions!$B$77,Assumptions!$B$91:$J$91,0))*INDEX(Assumptions!$B$94:$J$94,MATCH(F$2-Assumptions!$B$77,Assumptions!$B$91:$J$91,0)),0)</f>
        <v>15.0</v>
      </c>
      <c r="G31" s="47">
        <f>IFERROR(INDEX(Assumptions!$B$93:$J$93,MATCH(G$2-Assumptions!$B$77,Assumptions!$B$91:$J$91,0))*INDEX(Assumptions!$B$94:$J$94,MATCH(G$2-Assumptions!$B$77,Assumptions!$B$91:$J$91,0)),0)</f>
        <v>15.0</v>
      </c>
      <c r="H31" s="47">
        <f>IFERROR(INDEX(Assumptions!$B$93:$J$93,MATCH(H$2-Assumptions!$B$77,Assumptions!$B$91:$J$91,0))*INDEX(Assumptions!$B$94:$J$94,MATCH(H$2-Assumptions!$B$77,Assumptions!$B$91:$J$91,0)),0)</f>
        <v>25.0</v>
      </c>
      <c r="I31" s="47">
        <f>IFERROR(INDEX(Assumptions!$B$93:$J$93,MATCH(I$2-Assumptions!$B$77,Assumptions!$B$91:$J$91,0))*INDEX(Assumptions!$B$94:$J$94,MATCH(I$2-Assumptions!$B$77,Assumptions!$B$91:$J$91,0)),0)</f>
        <v>22.5</v>
      </c>
      <c r="J31" s="47">
        <f>IFERROR(INDEX(Assumptions!$B$93:$J$93,MATCH(J$2-Assumptions!$B$77,Assumptions!$B$91:$J$91,0))*INDEX(Assumptions!$B$94:$J$94,MATCH(J$2-Assumptions!$B$77,Assumptions!$B$91:$J$91,0)),0)</f>
        <v>4.125</v>
      </c>
      <c r="K31" s="47">
        <f>IFERROR(INDEX(Assumptions!$B$93:$J$93,MATCH(K$2-Assumptions!$B$77,Assumptions!$B$91:$J$91,0))*INDEX(Assumptions!$B$94:$J$94,MATCH(K$2-Assumptions!$B$77,Assumptions!$B$91:$J$91,0)),0)</f>
        <v>1.375</v>
      </c>
      <c r="L31" s="47">
        <f>IFERROR(INDEX(Assumptions!$B$93:$J$93,MATCH(L$2-Assumptions!$B$77,Assumptions!$B$91:$J$91,0))*INDEX(Assumptions!$B$94:$J$94,MATCH(L$2-Assumptions!$B$77,Assumptions!$B$91:$J$91,0)),0)</f>
        <v>0.0</v>
      </c>
      <c r="M31" s="47">
        <f>IFERROR(INDEX(Assumptions!$B$93:$J$93,MATCH(M$2-Assumptions!$B$77,Assumptions!$B$91:$J$91,0))*INDEX(Assumptions!$B$94:$J$94,MATCH(M$2-Assumptions!$B$77,Assumptions!$B$91:$J$91,0)),0)</f>
        <v>0</v>
      </c>
      <c r="N31" s="47">
        <f>IFERROR(INDEX(Assumptions!$B$93:$J$93,MATCH(N$2-Assumptions!$B$77,Assumptions!$B$91:$J$91,0))*INDEX(Assumptions!$B$94:$J$94,MATCH(N$2-Assumptions!$B$77,Assumptions!$B$91:$J$91,0)),0)</f>
        <v>0</v>
      </c>
      <c r="O31" s="47">
        <f>IFERROR(INDEX(Assumptions!$B$93:$J$93,MATCH(O$2-Assumptions!$B$77,Assumptions!$B$91:$J$91,0))*INDEX(Assumptions!$B$94:$J$94,MATCH(O$2-Assumptions!$B$77,Assumptions!$B$91:$J$91,0)),0)</f>
        <v>0</v>
      </c>
      <c r="P31" s="47">
        <f>IFERROR(INDEX(Assumptions!$B$93:$J$93,MATCH(P$2-Assumptions!$B$77,Assumptions!$B$91:$J$91,0))*INDEX(Assumptions!$B$94:$J$94,MATCH(P$2-Assumptions!$B$77,Assumptions!$B$91:$J$91,0)),0)</f>
        <v>0</v>
      </c>
      <c r="Q31" s="47">
        <f>IFERROR(INDEX(Assumptions!$B$93:$J$93,MATCH(Q$2-Assumptions!$B$77,Assumptions!$B$91:$J$91,0))*INDEX(Assumptions!$B$94:$J$94,MATCH(Q$2-Assumptions!$B$77,Assumptions!$B$91:$J$91,0)),0)</f>
        <v>0</v>
      </c>
      <c r="R31" s="47">
        <f>IFERROR(INDEX(Assumptions!$B$93:$J$93,MATCH(R$2-Assumptions!$B$77,Assumptions!$B$91:$J$91,0))*INDEX(Assumptions!$B$94:$J$94,MATCH(R$2-Assumptions!$B$77,Assumptions!$B$91:$J$91,0)),0)</f>
        <v>0</v>
      </c>
      <c r="S31" s="47">
        <f>IFERROR(INDEX(Assumptions!$B$93:$J$93,MATCH(S$2-Assumptions!$B$77,Assumptions!$B$91:$J$91,0))*INDEX(Assumptions!$B$94:$J$94,MATCH(S$2-Assumptions!$B$77,Assumptions!$B$91:$J$91,0)),0)</f>
        <v>0</v>
      </c>
      <c r="T31" s="47">
        <f>IFERROR(INDEX(Assumptions!$B$93:$J$93,MATCH(T$2-Assumptions!$B$77,Assumptions!$B$91:$J$91,0))*INDEX(Assumptions!$B$94:$J$94,MATCH(T$2-Assumptions!$B$77,Assumptions!$B$91:$J$91,0)),0)</f>
        <v>0</v>
      </c>
      <c r="U31" s="47">
        <f>IFERROR(INDEX(Assumptions!$B$93:$J$93,MATCH(U$2-Assumptions!$B$77,Assumptions!$B$91:$J$91,0))*INDEX(Assumptions!$B$94:$J$94,MATCH(U$2-Assumptions!$B$77,Assumptions!$B$91:$J$91,0)),0)</f>
        <v>0</v>
      </c>
      <c r="V31" s="47">
        <f>IFERROR(INDEX(Assumptions!$B$93:$J$93,MATCH(V$2-Assumptions!$B$77,Assumptions!$B$91:$J$91,0))*INDEX(Assumptions!$B$94:$J$94,MATCH(V$2-Assumptions!$B$77,Assumptions!$B$91:$J$91,0)),0)</f>
        <v>0</v>
      </c>
      <c r="W31" s="47">
        <f>IFERROR(INDEX(Assumptions!$B$93:$J$93,MATCH(W$2-Assumptions!$B$77,Assumptions!$B$91:$J$91,0))*INDEX(Assumptions!$B$94:$J$94,MATCH(W$2-Assumptions!$B$77,Assumptions!$B$91:$J$91,0)),0)</f>
        <v>0</v>
      </c>
      <c r="X31" s="47">
        <f>IFERROR(INDEX(Assumptions!$B$93:$J$93,MATCH(X$2-Assumptions!$B$77,Assumptions!$B$91:$J$91,0))*INDEX(Assumptions!$B$94:$J$94,MATCH(X$2-Assumptions!$B$77,Assumptions!$B$91:$J$91,0)),0)</f>
        <v>0</v>
      </c>
      <c r="Y31" s="47">
        <f>IFERROR(INDEX(Assumptions!$B$93:$J$93,MATCH(Y$2-Assumptions!$B$77,Assumptions!$B$91:$J$91,0))*INDEX(Assumptions!$B$94:$J$94,MATCH(Y$2-Assumptions!$B$77,Assumptions!$B$91:$J$91,0)),0)</f>
        <v>0</v>
      </c>
      <c r="Z31" s="47">
        <f>IFERROR(INDEX(Assumptions!$B$93:$J$93,MATCH(Z$2-Assumptions!$B$77,Assumptions!$B$91:$J$91,0))*INDEX(Assumptions!$B$94:$J$94,MATCH(Z$2-Assumptions!$B$77,Assumptions!$B$91:$J$91,0)),0)</f>
        <v>0</v>
      </c>
    </row>
    <row r="32" spans="1:26" x14ac:dyDescent="0.2">
      <c r="A32" s="53" t="s">
        <v>172</v>
      </c>
      <c r="C32" s="54">
        <f t="shared" ref="C32:Z32" si="5">C28-C29-C30-C31</f>
        <v>0.0</v>
      </c>
      <c r="D32" s="54">
        <f t="shared" si="5"/>
        <v>-15.0</v>
      </c>
      <c r="E32" s="54">
        <f t="shared" si="5"/>
        <v>-30.0</v>
      </c>
      <c r="F32" s="54">
        <f t="shared" si="5"/>
        <v>-15.0</v>
      </c>
      <c r="G32" s="54">
        <f t="shared" si="5"/>
        <v>-15.0</v>
      </c>
      <c r="H32" s="54">
        <f t="shared" si="5"/>
        <v>-25.0</v>
      </c>
      <c r="I32" s="54">
        <f t="shared" si="5"/>
        <v>-22.5</v>
      </c>
      <c r="J32" s="54">
        <f t="shared" si="5"/>
        <v>-4.125</v>
      </c>
      <c r="K32" s="54">
        <f t="shared" si="5"/>
        <v>-4.8125</v>
      </c>
      <c r="L32" s="54">
        <f t="shared" si="5"/>
        <v>-1.1879999999999997</v>
      </c>
      <c r="M32" s="54">
        <f t="shared" si="5"/>
        <v>5.692500000000001</v>
      </c>
      <c r="N32" s="54">
        <f t="shared" si="5"/>
        <v>17.869500000000002</v>
      </c>
      <c r="O32" s="54">
        <f t="shared" si="5"/>
        <v>33.01650000000001</v>
      </c>
      <c r="P32" s="54">
        <f t="shared" si="5"/>
        <v>47.025000000000006</v>
      </c>
      <c r="Q32" s="54">
        <f t="shared" si="5"/>
        <v>64.5975</v>
      </c>
      <c r="R32" s="54">
        <f t="shared" si="5"/>
        <v>71.775</v>
      </c>
      <c r="S32" s="54">
        <f t="shared" si="5"/>
        <v>71.775</v>
      </c>
      <c r="T32" s="54">
        <f t="shared" si="5"/>
        <v>71.775</v>
      </c>
      <c r="U32" s="54">
        <f t="shared" si="5"/>
        <v>71.775</v>
      </c>
      <c r="V32" s="54">
        <f t="shared" si="5"/>
        <v>50.24250000000001</v>
      </c>
      <c r="W32" s="54">
        <f t="shared" si="5"/>
        <v>35.16974999999999</v>
      </c>
      <c r="X32" s="54">
        <f t="shared" si="5"/>
        <v>24.618825</v>
      </c>
      <c r="Y32" s="54">
        <f t="shared" si="5"/>
        <v>17.233177499999996</v>
      </c>
      <c r="Z32" s="54">
        <f t="shared" si="5"/>
        <v>12.063224249999994</v>
      </c>
    </row>
    <row r="34" spans="1:26" x14ac:dyDescent="0.2">
      <c r="A34" s="23" t="s">
        <v>175</v>
      </c>
    </row>
    <row r="35" spans="1:26" x14ac:dyDescent="0.2">
      <c r="A35" s="18" t="s">
        <v>11</v>
      </c>
      <c r="C35" s="28">
        <f t="shared" ref="C35:Z35" si="6">C8+C18+C28</f>
        <v>0.0</v>
      </c>
      <c r="D35" s="28">
        <f t="shared" si="6"/>
        <v>0.0</v>
      </c>
      <c r="E35" s="28">
        <f t="shared" si="6"/>
        <v>0.0</v>
      </c>
      <c r="F35" s="28">
        <f t="shared" si="6"/>
        <v>0.0</v>
      </c>
      <c r="G35" s="28">
        <f t="shared" si="6"/>
        <v>0.0</v>
      </c>
      <c r="H35" s="28">
        <f t="shared" si="6"/>
        <v>7.920000000000002</v>
      </c>
      <c r="I35" s="28">
        <f t="shared" si="6"/>
        <v>66.60000000000001</v>
      </c>
      <c r="J35" s="28">
        <f t="shared" si="6"/>
        <v>154.62</v>
      </c>
      <c r="K35" s="28">
        <f t="shared" si="6"/>
        <v>279.72</v>
      </c>
      <c r="L35" s="28">
        <f t="shared" si="6"/>
        <v>424.44000000000005</v>
      </c>
      <c r="M35" s="28">
        <f t="shared" si="6"/>
        <v>558.45</v>
      </c>
      <c r="N35" s="28">
        <f t="shared" si="6"/>
        <v>672.5250000000001</v>
      </c>
      <c r="O35" s="28">
        <f t="shared" si="6"/>
        <v>755.7750000000001</v>
      </c>
      <c r="P35" s="28">
        <f t="shared" si="6"/>
        <v>778.0500000000002</v>
      </c>
      <c r="Q35" s="28">
        <f t="shared" si="6"/>
        <v>795.3750000000001</v>
      </c>
      <c r="R35" s="28">
        <f t="shared" si="6"/>
        <v>807.7500000000001</v>
      </c>
      <c r="S35" s="28">
        <f t="shared" si="6"/>
        <v>807.7500000000001</v>
      </c>
      <c r="T35" s="28">
        <f t="shared" si="6"/>
        <v>807.7500000000001</v>
      </c>
      <c r="U35" s="28">
        <f t="shared" si="6"/>
        <v>748.3500000000001</v>
      </c>
      <c r="V35" s="28">
        <f t="shared" si="6"/>
        <v>511.96500000000003</v>
      </c>
      <c r="W35" s="28">
        <f t="shared" si="6"/>
        <v>353.6235</v>
      </c>
      <c r="X35" s="28">
        <f t="shared" si="6"/>
        <v>245.63565</v>
      </c>
      <c r="Y35" s="28">
        <f t="shared" si="6"/>
        <v>171.18463499999996</v>
      </c>
      <c r="Z35" s="28">
        <f t="shared" si="6"/>
        <v>119.52511649999997</v>
      </c>
    </row>
    <row r="36" spans="1:26" x14ac:dyDescent="0.2">
      <c r="A36" s="10" t="s">
        <v>176</v>
      </c>
      <c r="C36" s="47">
        <f t="shared" ref="C36:Z36" si="7">C9+C19+C29</f>
        <v>0.0</v>
      </c>
      <c r="D36" s="47">
        <f t="shared" si="7"/>
        <v>0.0</v>
      </c>
      <c r="E36" s="47">
        <f t="shared" si="7"/>
        <v>0.0</v>
      </c>
      <c r="F36" s="47">
        <f t="shared" si="7"/>
        <v>0.0</v>
      </c>
      <c r="G36" s="47">
        <f t="shared" si="7"/>
        <v>0.0</v>
      </c>
      <c r="H36" s="47">
        <f t="shared" si="7"/>
        <v>0.6336000000000002</v>
      </c>
      <c r="I36" s="47">
        <f t="shared" si="7"/>
        <v>11.88</v>
      </c>
      <c r="J36" s="47">
        <f t="shared" si="7"/>
        <v>28.7496</v>
      </c>
      <c r="K36" s="47">
        <f t="shared" si="7"/>
        <v>53.49960000000001</v>
      </c>
      <c r="L36" s="47">
        <f t="shared" si="7"/>
        <v>82.84320000000001</v>
      </c>
      <c r="M36" s="47">
        <f t="shared" si="7"/>
        <v>110.38500000000002</v>
      </c>
      <c r="N36" s="47">
        <f t="shared" si="7"/>
        <v>134.09550000000002</v>
      </c>
      <c r="O36" s="47">
        <f t="shared" si="7"/>
        <v>152.4105</v>
      </c>
      <c r="P36" s="47">
        <f t="shared" si="7"/>
        <v>157.311</v>
      </c>
      <c r="Q36" s="47">
        <f t="shared" si="7"/>
        <v>161.1225</v>
      </c>
      <c r="R36" s="47">
        <f t="shared" si="7"/>
        <v>163.845</v>
      </c>
      <c r="S36" s="47">
        <f t="shared" si="7"/>
        <v>163.845</v>
      </c>
      <c r="T36" s="47">
        <f t="shared" si="7"/>
        <v>163.845</v>
      </c>
      <c r="U36" s="47">
        <f t="shared" si="7"/>
        <v>159.09300000000002</v>
      </c>
      <c r="V36" s="47">
        <f t="shared" si="7"/>
        <v>110.41470000000002</v>
      </c>
      <c r="W36" s="47">
        <f t="shared" si="7"/>
        <v>76.91013</v>
      </c>
      <c r="X36" s="47">
        <f t="shared" si="7"/>
        <v>53.685027</v>
      </c>
      <c r="Y36" s="47">
        <f t="shared" si="7"/>
        <v>37.518693299999995</v>
      </c>
      <c r="Z36" s="47">
        <f t="shared" si="7"/>
        <v>26.238755069999996</v>
      </c>
    </row>
    <row r="37" spans="1:26" x14ac:dyDescent="0.2">
      <c r="A37" s="10" t="s">
        <v>177</v>
      </c>
      <c r="C37" s="47">
        <f t="shared" ref="C37:Z37" si="8">C11+C21+C31</f>
        <v>55.0</v>
      </c>
      <c r="D37" s="47">
        <f t="shared" si="8"/>
        <v>69.0</v>
      </c>
      <c r="E37" s="47">
        <f t="shared" si="8"/>
        <v>99.5</v>
      </c>
      <c r="F37" s="47">
        <f t="shared" si="8"/>
        <v>100.0</v>
      </c>
      <c r="G37" s="47">
        <f t="shared" si="8"/>
        <v>72.75</v>
      </c>
      <c r="H37" s="47">
        <f t="shared" si="8"/>
        <v>46.125</v>
      </c>
      <c r="I37" s="47">
        <f t="shared" si="8"/>
        <v>34.2</v>
      </c>
      <c r="J37" s="47">
        <f t="shared" si="8"/>
        <v>4.125</v>
      </c>
      <c r="K37" s="47">
        <f t="shared" si="8"/>
        <v>1.375</v>
      </c>
      <c r="L37" s="47">
        <f t="shared" si="8"/>
        <v>0.0</v>
      </c>
      <c r="M37" s="47">
        <f t="shared" si="8"/>
        <v>0.0</v>
      </c>
      <c r="N37" s="47">
        <f t="shared" si="8"/>
        <v>0.0</v>
      </c>
      <c r="O37" s="47">
        <f t="shared" si="8"/>
        <v>0.0</v>
      </c>
      <c r="P37" s="47">
        <f t="shared" si="8"/>
        <v>0.0</v>
      </c>
      <c r="Q37" s="47">
        <f t="shared" si="8"/>
        <v>0.0</v>
      </c>
      <c r="R37" s="47">
        <f t="shared" si="8"/>
        <v>0.0</v>
      </c>
      <c r="S37" s="47">
        <f t="shared" si="8"/>
        <v>0.0</v>
      </c>
      <c r="T37" s="47">
        <f t="shared" si="8"/>
        <v>0.0</v>
      </c>
      <c r="U37" s="47">
        <f t="shared" si="8"/>
        <v>0.0</v>
      </c>
      <c r="V37" s="47">
        <f t="shared" si="8"/>
        <v>0.0</v>
      </c>
      <c r="W37" s="47">
        <f t="shared" si="8"/>
        <v>0.0</v>
      </c>
      <c r="X37" s="47">
        <f t="shared" si="8"/>
        <v>0.0</v>
      </c>
      <c r="Y37" s="47">
        <f t="shared" si="8"/>
        <v>0.0</v>
      </c>
      <c r="Z37" s="47">
        <f t="shared" si="8"/>
        <v>0.0</v>
      </c>
    </row>
    <row r="38" spans="1:26" x14ac:dyDescent="0.2">
      <c r="A38" s="10" t="s">
        <v>178</v>
      </c>
      <c r="C38" s="47">
        <f>IF(C$2&lt;Assumptions!$B$98,Assumptions!$B$19*(1+Assumptions!$B$20)^(C$2-$C$2),MAX(Assumptions!$B$19*(1+Assumptions!$B$20)^(C$2-$C$2)*Assumptions!$B$97,Assumptions!$B$22*C35))</f>
        <v>16.0</v>
      </c>
      <c r="D38" s="47">
        <f>IF(D$2&lt;Assumptions!$B$98,Assumptions!$B$19*(1+Assumptions!$B$20)^(D$2-$C$2),MAX(Assumptions!$B$19*(1+Assumptions!$B$20)^(D$2-$C$2)*Assumptions!$B$97,Assumptions!$B$22*D35))</f>
        <v>16.48</v>
      </c>
      <c r="E38" s="47">
        <f>IF(E$2&lt;Assumptions!$B$98,Assumptions!$B$19*(1+Assumptions!$B$20)^(E$2-$C$2),MAX(Assumptions!$B$19*(1+Assumptions!$B$20)^(E$2-$C$2)*Assumptions!$B$97,Assumptions!$B$22*E35))</f>
        <v>16.9744</v>
      </c>
      <c r="F38" s="47">
        <f>IF(F$2&lt;Assumptions!$B$98,Assumptions!$B$19*(1+Assumptions!$B$20)^(F$2-$C$2),MAX(Assumptions!$B$19*(1+Assumptions!$B$20)^(F$2-$C$2)*Assumptions!$B$97,Assumptions!$B$22*F35))</f>
        <v>17.483632</v>
      </c>
      <c r="G38" s="47">
        <f>IF(G$2&lt;Assumptions!$B$98,Assumptions!$B$19*(1+Assumptions!$B$20)^(G$2-$C$2),MAX(Assumptions!$B$19*(1+Assumptions!$B$20)^(G$2-$C$2)*Assumptions!$B$97,Assumptions!$B$22*G35))</f>
        <v>18.008140960000002</v>
      </c>
      <c r="H38" s="47">
        <f>IF(H$2&lt;Assumptions!$B$98,Assumptions!$B$19*(1+Assumptions!$B$20)^(H$2-$C$2),MAX(Assumptions!$B$19*(1+Assumptions!$B$20)^(H$2-$C$2)*Assumptions!$B$97,Assumptions!$B$22*H35))</f>
        <v>8.187774084682347</v>
      </c>
      <c r="I38" s="47">
        <f>IF(I$2&lt;Assumptions!$B$98,Assumptions!$B$19*(1+Assumptions!$B$20)^(I$2-$C$2),MAX(Assumptions!$B$19*(1+Assumptions!$B$20)^(I$2-$C$2)*Assumptions!$B$97,Assumptions!$B$22*I35))</f>
        <v>8.433407307222819</v>
      </c>
      <c r="J38" s="47">
        <f>IF(J$2&lt;Assumptions!$B$98,Assumptions!$B$19*(1+Assumptions!$B$20)^(J$2-$C$2),MAX(Assumptions!$B$19*(1+Assumptions!$B$20)^(J$2-$C$2)*Assumptions!$B$97,Assumptions!$B$22*J35))</f>
        <v>8.686409526439503</v>
      </c>
      <c r="K38" s="47">
        <f>IF(K$2&lt;Assumptions!$B$98,Assumptions!$B$19*(1+Assumptions!$B$20)^(K$2-$C$2),MAX(Assumptions!$B$19*(1+Assumptions!$B$20)^(K$2-$C$2)*Assumptions!$B$97,Assumptions!$B$22*K35))</f>
        <v>13.986000000000002</v>
      </c>
      <c r="L38" s="47">
        <f>IF(L$2&lt;Assumptions!$B$98,Assumptions!$B$19*(1+Assumptions!$B$20)^(L$2-$C$2),MAX(Assumptions!$B$19*(1+Assumptions!$B$20)^(L$2-$C$2)*Assumptions!$B$97,Assumptions!$B$22*L35))</f>
        <v>21.222000000000005</v>
      </c>
      <c r="M38" s="47">
        <f>IF(M$2&lt;Assumptions!$B$98,Assumptions!$B$19*(1+Assumptions!$B$20)^(M$2-$C$2),MAX(Assumptions!$B$19*(1+Assumptions!$B$20)^(M$2-$C$2)*Assumptions!$B$97,Assumptions!$B$22*M35))</f>
        <v>27.922500000000003</v>
      </c>
      <c r="N38" s="47">
        <f>IF(N$2&lt;Assumptions!$B$98,Assumptions!$B$19*(1+Assumptions!$B$20)^(N$2-$C$2),MAX(Assumptions!$B$19*(1+Assumptions!$B$20)^(N$2-$C$2)*Assumptions!$B$97,Assumptions!$B$22*N35))</f>
        <v>33.626250000000006</v>
      </c>
      <c r="O38" s="47">
        <f>IF(O$2&lt;Assumptions!$B$98,Assumptions!$B$19*(1+Assumptions!$B$20)^(O$2-$C$2),MAX(Assumptions!$B$19*(1+Assumptions!$B$20)^(O$2-$C$2)*Assumptions!$B$97,Assumptions!$B$22*O35))</f>
        <v>37.78875000000001</v>
      </c>
      <c r="P38" s="47">
        <f>IF(P$2&lt;Assumptions!$B$98,Assumptions!$B$19*(1+Assumptions!$B$20)^(P$2-$C$2),MAX(Assumptions!$B$19*(1+Assumptions!$B$20)^(P$2-$C$2)*Assumptions!$B$97,Assumptions!$B$22*P35))</f>
        <v>38.90250000000001</v>
      </c>
      <c r="Q38" s="47">
        <f>IF(Q$2&lt;Assumptions!$B$98,Assumptions!$B$19*(1+Assumptions!$B$20)^(Q$2-$C$2),MAX(Assumptions!$B$19*(1+Assumptions!$B$20)^(Q$2-$C$2)*Assumptions!$B$97,Assumptions!$B$22*Q35))</f>
        <v>39.76875000000001</v>
      </c>
      <c r="R38" s="47">
        <f>IF(R$2&lt;Assumptions!$B$98,Assumptions!$B$19*(1+Assumptions!$B$20)^(R$2-$C$2),MAX(Assumptions!$B$19*(1+Assumptions!$B$20)^(R$2-$C$2)*Assumptions!$B$97,Assumptions!$B$22*R35))</f>
        <v>40.38750000000001</v>
      </c>
      <c r="S38" s="47">
        <f>IF(S$2&lt;Assumptions!$B$98,Assumptions!$B$19*(1+Assumptions!$B$20)^(S$2-$C$2),MAX(Assumptions!$B$19*(1+Assumptions!$B$20)^(S$2-$C$2)*Assumptions!$B$97,Assumptions!$B$22*S35))</f>
        <v>40.38750000000001</v>
      </c>
      <c r="T38" s="47">
        <f>IF(T$2&lt;Assumptions!$B$98,Assumptions!$B$19*(1+Assumptions!$B$20)^(T$2-$C$2),MAX(Assumptions!$B$19*(1+Assumptions!$B$20)^(T$2-$C$2)*Assumptions!$B$97,Assumptions!$B$22*T35))</f>
        <v>40.38750000000001</v>
      </c>
      <c r="U38" s="47">
        <f>IF(U$2&lt;Assumptions!$B$98,Assumptions!$B$19*(1+Assumptions!$B$20)^(U$2-$C$2),MAX(Assumptions!$B$19*(1+Assumptions!$B$20)^(U$2-$C$2)*Assumptions!$B$97,Assumptions!$B$22*U35))</f>
        <v>37.41750000000001</v>
      </c>
      <c r="V38" s="47">
        <f>IF(V$2&lt;Assumptions!$B$98,Assumptions!$B$19*(1+Assumptions!$B$20)^(V$2-$C$2),MAX(Assumptions!$B$19*(1+Assumptions!$B$20)^(V$2-$C$2)*Assumptions!$B$97,Assumptions!$B$22*V35))</f>
        <v>25.598250000000004</v>
      </c>
      <c r="W38" s="47">
        <f>IF(W$2&lt;Assumptions!$B$98,Assumptions!$B$19*(1+Assumptions!$B$20)^(W$2-$C$2),MAX(Assumptions!$B$19*(1+Assumptions!$B$20)^(W$2-$C$2)*Assumptions!$B$97,Assumptions!$B$22*W35))</f>
        <v>17.681175</v>
      </c>
      <c r="X38" s="47">
        <f>IF(X$2&lt;Assumptions!$B$98,Assumptions!$B$19*(1+Assumptions!$B$20)^(X$2-$C$2),MAX(Assumptions!$B$19*(1+Assumptions!$B$20)^(X$2-$C$2)*Assumptions!$B$97,Assumptions!$B$22*X35))</f>
        <v>13.13897379557595</v>
      </c>
      <c r="Y38" s="47">
        <f>IF(Y$2&lt;Assumptions!$B$98,Assumptions!$B$19*(1+Assumptions!$B$20)^(Y$2-$C$2),MAX(Assumptions!$B$19*(1+Assumptions!$B$20)^(Y$2-$C$2)*Assumptions!$B$97,Assumptions!$B$22*Y35))</f>
        <v>13.53314300944323</v>
      </c>
      <c r="Z38" s="47">
        <f>IF(Z$2&lt;Assumptions!$B$98,Assumptions!$B$19*(1+Assumptions!$B$20)^(Z$2-$C$2),MAX(Assumptions!$B$19*(1+Assumptions!$B$20)^(Z$2-$C$2)*Assumptions!$B$97,Assumptions!$B$22*Z35))</f>
        <v>13.939137299726527</v>
      </c>
    </row>
    <row r="39" spans="1:26" x14ac:dyDescent="0.2">
      <c r="A39" s="18" t="s">
        <v>179</v>
      </c>
      <c r="C39" s="28">
        <f t="shared" ref="C39:Z39" si="9">C37+C38</f>
        <v>71.0</v>
      </c>
      <c r="D39" s="28">
        <f t="shared" si="9"/>
        <v>85.48</v>
      </c>
      <c r="E39" s="28">
        <f t="shared" si="9"/>
        <v>116.4744</v>
      </c>
      <c r="F39" s="28">
        <f t="shared" si="9"/>
        <v>117.483632</v>
      </c>
      <c r="G39" s="28">
        <f t="shared" si="9"/>
        <v>90.75814096</v>
      </c>
      <c r="H39" s="28">
        <f t="shared" si="9"/>
        <v>54.312774084682346</v>
      </c>
      <c r="I39" s="28">
        <f t="shared" si="9"/>
        <v>42.633407307222825</v>
      </c>
      <c r="J39" s="28">
        <f t="shared" si="9"/>
        <v>12.811409526439503</v>
      </c>
      <c r="K39" s="28">
        <f t="shared" si="9"/>
        <v>15.361000000000002</v>
      </c>
      <c r="L39" s="28">
        <f t="shared" si="9"/>
        <v>21.222000000000005</v>
      </c>
      <c r="M39" s="28">
        <f t="shared" si="9"/>
        <v>27.922500000000003</v>
      </c>
      <c r="N39" s="28">
        <f t="shared" si="9"/>
        <v>33.626250000000006</v>
      </c>
      <c r="O39" s="28">
        <f t="shared" si="9"/>
        <v>37.78875000000001</v>
      </c>
      <c r="P39" s="28">
        <f t="shared" si="9"/>
        <v>38.90250000000001</v>
      </c>
      <c r="Q39" s="28">
        <f t="shared" si="9"/>
        <v>39.76875000000001</v>
      </c>
      <c r="R39" s="28">
        <f t="shared" si="9"/>
        <v>40.38750000000001</v>
      </c>
      <c r="S39" s="28">
        <f t="shared" si="9"/>
        <v>40.38750000000001</v>
      </c>
      <c r="T39" s="28">
        <f t="shared" si="9"/>
        <v>40.38750000000001</v>
      </c>
      <c r="U39" s="28">
        <f t="shared" si="9"/>
        <v>37.41750000000001</v>
      </c>
      <c r="V39" s="28">
        <f t="shared" si="9"/>
        <v>25.598250000000004</v>
      </c>
      <c r="W39" s="28">
        <f t="shared" si="9"/>
        <v>17.681175</v>
      </c>
      <c r="X39" s="28">
        <f t="shared" si="9"/>
        <v>13.13897379557595</v>
      </c>
      <c r="Y39" s="28">
        <f t="shared" si="9"/>
        <v>13.53314300944323</v>
      </c>
      <c r="Z39" s="28">
        <f t="shared" si="9"/>
        <v>13.939137299726527</v>
      </c>
    </row>
    <row r="40" spans="1:26" x14ac:dyDescent="0.2">
      <c r="A40" s="10" t="s">
        <v>180</v>
      </c>
      <c r="C40" s="47">
        <f t="shared" ref="C40:Z40" si="10">C10+C20+C30</f>
        <v>0.0</v>
      </c>
      <c r="D40" s="47">
        <f t="shared" si="10"/>
        <v>0.0</v>
      </c>
      <c r="E40" s="47">
        <f t="shared" si="10"/>
        <v>0.0</v>
      </c>
      <c r="F40" s="47">
        <f t="shared" si="10"/>
        <v>0.0</v>
      </c>
      <c r="G40" s="47">
        <f t="shared" si="10"/>
        <v>5.5</v>
      </c>
      <c r="H40" s="47">
        <f t="shared" si="10"/>
        <v>26.628</v>
      </c>
      <c r="I40" s="47">
        <f t="shared" si="10"/>
        <v>53.010000000000005</v>
      </c>
      <c r="J40" s="47">
        <f t="shared" si="10"/>
        <v>79.39800000000002</v>
      </c>
      <c r="K40" s="47">
        <f t="shared" si="10"/>
        <v>110.73190000000002</v>
      </c>
      <c r="L40" s="47">
        <f t="shared" si="10"/>
        <v>138.5532</v>
      </c>
      <c r="M40" s="47">
        <f t="shared" si="10"/>
        <v>164.83050000000003</v>
      </c>
      <c r="N40" s="47">
        <f t="shared" si="10"/>
        <v>180.13500000000005</v>
      </c>
      <c r="O40" s="47">
        <f t="shared" si="10"/>
        <v>198.91800000000003</v>
      </c>
      <c r="P40" s="47">
        <f t="shared" si="10"/>
        <v>202.28400000000005</v>
      </c>
      <c r="Q40" s="47">
        <f t="shared" si="10"/>
        <v>198.22500000000005</v>
      </c>
      <c r="R40" s="47">
        <f t="shared" si="10"/>
        <v>200.70000000000005</v>
      </c>
      <c r="S40" s="47">
        <f t="shared" si="10"/>
        <v>200.70000000000005</v>
      </c>
      <c r="T40" s="47">
        <f t="shared" si="10"/>
        <v>200.70000000000005</v>
      </c>
      <c r="U40" s="47">
        <f t="shared" si="10"/>
        <v>182.88000000000002</v>
      </c>
      <c r="V40" s="47">
        <f t="shared" si="10"/>
        <v>124.45200000000001</v>
      </c>
      <c r="W40" s="47">
        <f t="shared" si="10"/>
        <v>85.6908</v>
      </c>
      <c r="X40" s="47">
        <f t="shared" si="10"/>
        <v>59.41332</v>
      </c>
      <c r="Y40" s="47">
        <f t="shared" si="10"/>
        <v>41.361228</v>
      </c>
      <c r="Z40" s="47">
        <f t="shared" si="10"/>
        <v>28.861621199999995</v>
      </c>
    </row>
    <row r="41" spans="1:26" x14ac:dyDescent="0.2">
      <c r="A41" s="10" t="s">
        <v>181</v>
      </c>
      <c r="C41" s="47">
        <f>IF(C$2&lt;Assumptions!$B$98,Assumptions!$B$18*(1+Assumptions!$B$20)^(C$2-$C$2),MAX(Assumptions!$B$18*(1+Assumptions!$B$20)^(C$2-$C$2)*Assumptions!$B$97,Assumptions!$B$21*C35))</f>
        <v>34.0</v>
      </c>
      <c r="D41" s="47">
        <f>IF(D$2&lt;Assumptions!$B$98,Assumptions!$B$18*(1+Assumptions!$B$20)^(D$2-$C$2),MAX(Assumptions!$B$18*(1+Assumptions!$B$20)^(D$2-$C$2)*Assumptions!$B$97,Assumptions!$B$21*D35))</f>
        <v>35.02</v>
      </c>
      <c r="E41" s="47">
        <f>IF(E$2&lt;Assumptions!$B$98,Assumptions!$B$18*(1+Assumptions!$B$20)^(E$2-$C$2),MAX(Assumptions!$B$18*(1+Assumptions!$B$20)^(E$2-$C$2)*Assumptions!$B$97,Assumptions!$B$21*E35))</f>
        <v>36.0706</v>
      </c>
      <c r="F41" s="47">
        <f>IF(F$2&lt;Assumptions!$B$98,Assumptions!$B$18*(1+Assumptions!$B$20)^(F$2-$C$2),MAX(Assumptions!$B$18*(1+Assumptions!$B$20)^(F$2-$C$2)*Assumptions!$B$97,Assumptions!$B$21*F35))</f>
        <v>37.152718</v>
      </c>
      <c r="G41" s="47">
        <f>IF(G$2&lt;Assumptions!$B$98,Assumptions!$B$18*(1+Assumptions!$B$20)^(G$2-$C$2),MAX(Assumptions!$B$18*(1+Assumptions!$B$20)^(G$2-$C$2)*Assumptions!$B$97,Assumptions!$B$21*G35))</f>
        <v>38.26729954</v>
      </c>
      <c r="H41" s="47">
        <f>IF(H$2&lt;Assumptions!$B$98,Assumptions!$B$18*(1+Assumptions!$B$20)^(H$2-$C$2),MAX(Assumptions!$B$18*(1+Assumptions!$B$20)^(H$2-$C$2)*Assumptions!$B$97,Assumptions!$B$21*H35))</f>
        <v>17.39901992994999</v>
      </c>
      <c r="I41" s="47">
        <f>IF(I$2&lt;Assumptions!$B$98,Assumptions!$B$18*(1+Assumptions!$B$20)^(I$2-$C$2),MAX(Assumptions!$B$18*(1+Assumptions!$B$20)^(I$2-$C$2)*Assumptions!$B$97,Assumptions!$B$21*I35))</f>
        <v>17.920990527848492</v>
      </c>
      <c r="J41" s="47">
        <f>IF(J$2&lt;Assumptions!$B$98,Assumptions!$B$18*(1+Assumptions!$B$20)^(J$2-$C$2),MAX(Assumptions!$B$18*(1+Assumptions!$B$20)^(J$2-$C$2)*Assumptions!$B$97,Assumptions!$B$21*J35))</f>
        <v>18.458620243683946</v>
      </c>
      <c r="K41" s="47">
        <f>IF(K$2&lt;Assumptions!$B$98,Assumptions!$B$18*(1+Assumptions!$B$20)^(K$2-$C$2),MAX(Assumptions!$B$18*(1+Assumptions!$B$20)^(K$2-$C$2)*Assumptions!$B$97,Assumptions!$B$21*K35))</f>
        <v>22.3776</v>
      </c>
      <c r="L41" s="47">
        <f>IF(L$2&lt;Assumptions!$B$98,Assumptions!$B$18*(1+Assumptions!$B$20)^(L$2-$C$2),MAX(Assumptions!$B$18*(1+Assumptions!$B$20)^(L$2-$C$2)*Assumptions!$B$97,Assumptions!$B$21*L35))</f>
        <v>33.955200000000005</v>
      </c>
      <c r="M41" s="47">
        <f>IF(M$2&lt;Assumptions!$B$98,Assumptions!$B$18*(1+Assumptions!$B$20)^(M$2-$C$2),MAX(Assumptions!$B$18*(1+Assumptions!$B$20)^(M$2-$C$2)*Assumptions!$B$97,Assumptions!$B$21*M35))</f>
        <v>44.676</v>
      </c>
      <c r="N41" s="47">
        <f>IF(N$2&lt;Assumptions!$B$98,Assumptions!$B$18*(1+Assumptions!$B$20)^(N$2-$C$2),MAX(Assumptions!$B$18*(1+Assumptions!$B$20)^(N$2-$C$2)*Assumptions!$B$97,Assumptions!$B$21*N35))</f>
        <v>53.80200000000001</v>
      </c>
      <c r="O41" s="47">
        <f>IF(O$2&lt;Assumptions!$B$98,Assumptions!$B$18*(1+Assumptions!$B$20)^(O$2-$C$2),MAX(Assumptions!$B$18*(1+Assumptions!$B$20)^(O$2-$C$2)*Assumptions!$B$97,Assumptions!$B$21*O35))</f>
        <v>60.46200000000001</v>
      </c>
      <c r="P41" s="47">
        <f>IF(P$2&lt;Assumptions!$B$98,Assumptions!$B$18*(1+Assumptions!$B$20)^(P$2-$C$2),MAX(Assumptions!$B$18*(1+Assumptions!$B$20)^(P$2-$C$2)*Assumptions!$B$97,Assumptions!$B$21*P35))</f>
        <v>62.244000000000014</v>
      </c>
      <c r="Q41" s="47">
        <f>IF(Q$2&lt;Assumptions!$B$98,Assumptions!$B$18*(1+Assumptions!$B$20)^(Q$2-$C$2),MAX(Assumptions!$B$18*(1+Assumptions!$B$20)^(Q$2-$C$2)*Assumptions!$B$97,Assumptions!$B$21*Q35))</f>
        <v>63.63000000000001</v>
      </c>
      <c r="R41" s="47">
        <f>IF(R$2&lt;Assumptions!$B$98,Assumptions!$B$18*(1+Assumptions!$B$20)^(R$2-$C$2),MAX(Assumptions!$B$18*(1+Assumptions!$B$20)^(R$2-$C$2)*Assumptions!$B$97,Assumptions!$B$21*R35))</f>
        <v>64.62</v>
      </c>
      <c r="S41" s="47">
        <f>IF(S$2&lt;Assumptions!$B$98,Assumptions!$B$18*(1+Assumptions!$B$20)^(S$2-$C$2),MAX(Assumptions!$B$18*(1+Assumptions!$B$20)^(S$2-$C$2)*Assumptions!$B$97,Assumptions!$B$21*S35))</f>
        <v>64.62</v>
      </c>
      <c r="T41" s="47">
        <f>IF(T$2&lt;Assumptions!$B$98,Assumptions!$B$18*(1+Assumptions!$B$20)^(T$2-$C$2),MAX(Assumptions!$B$18*(1+Assumptions!$B$20)^(T$2-$C$2)*Assumptions!$B$97,Assumptions!$B$21*T35))</f>
        <v>64.62</v>
      </c>
      <c r="U41" s="47">
        <f>IF(U$2&lt;Assumptions!$B$98,Assumptions!$B$18*(1+Assumptions!$B$20)^(U$2-$C$2),MAX(Assumptions!$B$18*(1+Assumptions!$B$20)^(U$2-$C$2)*Assumptions!$B$97,Assumptions!$B$21*U35))</f>
        <v>59.86800000000001</v>
      </c>
      <c r="V41" s="47">
        <f>IF(V$2&lt;Assumptions!$B$98,Assumptions!$B$18*(1+Assumptions!$B$20)^(V$2-$C$2),MAX(Assumptions!$B$18*(1+Assumptions!$B$20)^(V$2-$C$2)*Assumptions!$B$97,Assumptions!$B$21*V35))</f>
        <v>40.9572</v>
      </c>
      <c r="W41" s="47">
        <f>IF(W$2&lt;Assumptions!$B$98,Assumptions!$B$18*(1+Assumptions!$B$20)^(W$2-$C$2),MAX(Assumptions!$B$18*(1+Assumptions!$B$20)^(W$2-$C$2)*Assumptions!$B$97,Assumptions!$B$21*W35))</f>
        <v>28.28988</v>
      </c>
      <c r="X41" s="47">
        <f>IF(X$2&lt;Assumptions!$B$98,Assumptions!$B$18*(1+Assumptions!$B$20)^(X$2-$C$2),MAX(Assumptions!$B$18*(1+Assumptions!$B$20)^(X$2-$C$2)*Assumptions!$B$97,Assumptions!$B$21*X35))</f>
        <v>27.920319315598892</v>
      </c>
      <c r="Y41" s="47">
        <f>IF(Y$2&lt;Assumptions!$B$98,Assumptions!$B$18*(1+Assumptions!$B$20)^(Y$2-$C$2),MAX(Assumptions!$B$18*(1+Assumptions!$B$20)^(Y$2-$C$2)*Assumptions!$B$97,Assumptions!$B$21*Y35))</f>
        <v>28.757928895066865</v>
      </c>
      <c r="Z41" s="47">
        <f>IF(Z$2&lt;Assumptions!$B$98,Assumptions!$B$18*(1+Assumptions!$B$20)^(Z$2-$C$2),MAX(Assumptions!$B$18*(1+Assumptions!$B$20)^(Z$2-$C$2)*Assumptions!$B$97,Assumptions!$B$21*Z35))</f>
        <v>29.620666761918873</v>
      </c>
    </row>
    <row r="42" spans="1:26" x14ac:dyDescent="0.2">
      <c r="A42" s="18" t="s">
        <v>182</v>
      </c>
      <c r="C42" s="28">
        <f t="shared" ref="C42:Z42" si="11">C40+C41</f>
        <v>34.0</v>
      </c>
      <c r="D42" s="28">
        <f t="shared" si="11"/>
        <v>35.02</v>
      </c>
      <c r="E42" s="28">
        <f t="shared" si="11"/>
        <v>36.0706</v>
      </c>
      <c r="F42" s="28">
        <f t="shared" si="11"/>
        <v>37.152718</v>
      </c>
      <c r="G42" s="28">
        <f t="shared" si="11"/>
        <v>43.76729954</v>
      </c>
      <c r="H42" s="28">
        <f t="shared" si="11"/>
        <v>44.02701992994999</v>
      </c>
      <c r="I42" s="28">
        <f t="shared" si="11"/>
        <v>70.9309905278485</v>
      </c>
      <c r="J42" s="28">
        <f t="shared" si="11"/>
        <v>97.85662024368398</v>
      </c>
      <c r="K42" s="28">
        <f t="shared" si="11"/>
        <v>133.10950000000003</v>
      </c>
      <c r="L42" s="28">
        <f t="shared" si="11"/>
        <v>172.5084</v>
      </c>
      <c r="M42" s="28">
        <f t="shared" si="11"/>
        <v>209.50650000000002</v>
      </c>
      <c r="N42" s="28">
        <f t="shared" si="11"/>
        <v>233.93700000000007</v>
      </c>
      <c r="O42" s="28">
        <f t="shared" si="11"/>
        <v>259.38000000000005</v>
      </c>
      <c r="P42" s="28">
        <f t="shared" si="11"/>
        <v>264.5280000000001</v>
      </c>
      <c r="Q42" s="28">
        <f t="shared" si="11"/>
        <v>261.8550000000001</v>
      </c>
      <c r="R42" s="28">
        <f t="shared" si="11"/>
        <v>265.32000000000005</v>
      </c>
      <c r="S42" s="28">
        <f t="shared" si="11"/>
        <v>265.32000000000005</v>
      </c>
      <c r="T42" s="28">
        <f t="shared" si="11"/>
        <v>265.32000000000005</v>
      </c>
      <c r="U42" s="28">
        <f t="shared" si="11"/>
        <v>242.74800000000005</v>
      </c>
      <c r="V42" s="28">
        <f t="shared" si="11"/>
        <v>165.4092</v>
      </c>
      <c r="W42" s="28">
        <f t="shared" si="11"/>
        <v>113.98067999999999</v>
      </c>
      <c r="X42" s="28">
        <f t="shared" si="11"/>
        <v>87.33363931559889</v>
      </c>
      <c r="Y42" s="28">
        <f t="shared" si="11"/>
        <v>70.11915689506687</v>
      </c>
      <c r="Z42" s="28">
        <f t="shared" si="11"/>
        <v>58.48228796191887</v>
      </c>
    </row>
    <row r="43" spans="1:26" x14ac:dyDescent="0.2">
      <c r="A43" s="53" t="s">
        <v>183</v>
      </c>
      <c r="C43" s="54">
        <f t="shared" ref="C43:Z43" si="12">C35-C36-C39-C42</f>
        <v>-105.0</v>
      </c>
      <c r="D43" s="54">
        <f t="shared" si="12"/>
        <v>-120.5</v>
      </c>
      <c r="E43" s="54">
        <f t="shared" si="12"/>
        <v>-152.54500000000002</v>
      </c>
      <c r="F43" s="54">
        <f t="shared" si="12"/>
        <v>-154.63635</v>
      </c>
      <c r="G43" s="54">
        <f t="shared" si="12"/>
        <v>-134.5254405</v>
      </c>
      <c r="H43" s="54">
        <f t="shared" si="12"/>
        <v>-91.05339401463233</v>
      </c>
      <c r="I43" s="54">
        <f t="shared" si="12"/>
        <v>-58.84439783507131</v>
      </c>
      <c r="J43" s="54">
        <f t="shared" si="12"/>
        <v>15.202370229876522</v>
      </c>
      <c r="K43" s="54">
        <f t="shared" si="12"/>
        <v>77.7499</v>
      </c>
      <c r="L43" s="54">
        <f t="shared" si="12"/>
        <v>147.86640000000006</v>
      </c>
      <c r="M43" s="54">
        <f t="shared" si="12"/>
        <v>210.63600000000002</v>
      </c>
      <c r="N43" s="54">
        <f t="shared" si="12"/>
        <v>270.86625</v>
      </c>
      <c r="O43" s="54">
        <f t="shared" si="12"/>
        <v>306.19575000000003</v>
      </c>
      <c r="P43" s="54">
        <f t="shared" si="12"/>
        <v>317.30850000000004</v>
      </c>
      <c r="Q43" s="54">
        <f t="shared" si="12"/>
        <v>332.62875</v>
      </c>
      <c r="R43" s="54">
        <f t="shared" si="12"/>
        <v>338.1975</v>
      </c>
      <c r="S43" s="54">
        <f t="shared" si="12"/>
        <v>338.1975</v>
      </c>
      <c r="T43" s="54">
        <f t="shared" si="12"/>
        <v>338.1975</v>
      </c>
      <c r="U43" s="54">
        <f t="shared" si="12"/>
        <v>309.0915</v>
      </c>
      <c r="V43" s="54">
        <f t="shared" si="12"/>
        <v>210.54285</v>
      </c>
      <c r="W43" s="54">
        <f t="shared" si="12"/>
        <v>145.051515</v>
      </c>
      <c r="X43" s="54">
        <f t="shared" si="12"/>
        <v>91.47800988882516</v>
      </c>
      <c r="Y43" s="54">
        <f t="shared" si="12"/>
        <v>50.013641795489875</v>
      </c>
      <c r="Z43" s="54">
        <f t="shared" si="12"/>
        <v>20.864936168354575</v>
      </c>
    </row>
    <row r="45" spans="1:26" x14ac:dyDescent="0.2">
      <c r="A45" s="15" t="s">
        <v>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5"/>
  <sheetViews>
    <sheetView workbookViewId="0">
      <pane xSplit="2" ySplit="7" topLeftCell="C21" activePane="bottomRight" state="frozen"/>
      <selection pane="topRight"/>
      <selection pane="bottomLeft"/>
      <selection pane="bottomRight" activeCell="E43" sqref="E43"/>
    </sheetView>
  </sheetViews>
  <sheetFormatPr baseColWidth="10" defaultColWidth="8.83203125" defaultRowHeight="16" x14ac:dyDescent="0.2"/>
  <cols>
    <col min="1" max="1" width="52" customWidth="1"/>
    <col min="2" max="2" width="12" customWidth="1"/>
    <col min="3" max="27" width="9" customWidth="1"/>
  </cols>
  <sheetData>
    <row r="1" spans="1:27" ht="19" x14ac:dyDescent="0.25">
      <c r="A1" s="17" t="s">
        <v>185</v>
      </c>
    </row>
    <row r="3" spans="1:27" x14ac:dyDescent="0.2">
      <c r="A3" s="10" t="s">
        <v>10</v>
      </c>
      <c r="B3" s="55" t="str">
        <f>Assumptions!$C$4</f>
        <v>Base</v>
      </c>
    </row>
    <row r="4" spans="1:27" x14ac:dyDescent="0.2">
      <c r="A4" s="10" t="s">
        <v>54</v>
      </c>
      <c r="B4" s="56">
        <f>Assumptions!$B$13</f>
        <v>46311</v>
      </c>
    </row>
    <row r="5" spans="1:27" x14ac:dyDescent="0.2">
      <c r="A5" s="10" t="s">
        <v>56</v>
      </c>
      <c r="B5" s="52">
        <f>Assumptions!$B$14</f>
        <v>0.12</v>
      </c>
    </row>
    <row r="7" spans="1:27" x14ac:dyDescent="0.2">
      <c r="A7" s="22" t="s">
        <v>186</v>
      </c>
      <c r="B7" s="57"/>
      <c r="C7" s="58" t="s">
        <v>187</v>
      </c>
      <c r="D7" s="22">
        <v>2027</v>
      </c>
      <c r="E7" s="22">
        <v>2028</v>
      </c>
      <c r="F7" s="22">
        <v>2029</v>
      </c>
      <c r="G7" s="22">
        <v>2030</v>
      </c>
      <c r="H7" s="22">
        <v>2031</v>
      </c>
      <c r="I7" s="22">
        <v>2032</v>
      </c>
      <c r="J7" s="22">
        <v>2033</v>
      </c>
      <c r="K7" s="22">
        <v>2034</v>
      </c>
      <c r="L7" s="22">
        <v>2035</v>
      </c>
      <c r="M7" s="22">
        <v>2036</v>
      </c>
      <c r="N7" s="22">
        <v>2037</v>
      </c>
      <c r="O7" s="22">
        <v>2038</v>
      </c>
      <c r="P7" s="22">
        <v>2039</v>
      </c>
      <c r="Q7" s="22">
        <v>2040</v>
      </c>
      <c r="R7" s="22">
        <v>2041</v>
      </c>
      <c r="S7" s="22">
        <v>2042</v>
      </c>
      <c r="T7" s="22">
        <v>2043</v>
      </c>
      <c r="U7" s="22">
        <v>2044</v>
      </c>
      <c r="V7" s="22">
        <v>2045</v>
      </c>
      <c r="W7" s="22">
        <v>2046</v>
      </c>
      <c r="X7" s="22">
        <v>2047</v>
      </c>
      <c r="Y7" s="22">
        <v>2048</v>
      </c>
      <c r="Z7" s="22">
        <v>2049</v>
      </c>
      <c r="AA7" s="22">
        <v>2050</v>
      </c>
    </row>
    <row r="8" spans="1:27" x14ac:dyDescent="0.2">
      <c r="A8" s="10" t="s">
        <v>188</v>
      </c>
      <c r="C8" s="47">
        <f>SUM('Quarterly Model'!H2:I2)</f>
        <v>0.0</v>
      </c>
      <c r="D8" s="59">
        <f>'Yearly Model'!F2</f>
        <v>0.0</v>
      </c>
      <c r="E8" s="59">
        <f>'Yearly Model'!G2</f>
        <v>0.0</v>
      </c>
      <c r="F8" s="59">
        <f>'Yearly Model'!H2</f>
        <v>0.0</v>
      </c>
      <c r="G8" s="59">
        <f>'Yearly Model'!I2</f>
        <v>0.0</v>
      </c>
      <c r="H8" s="59">
        <f>'Yearly Model'!J2</f>
        <v>0.0</v>
      </c>
      <c r="I8" s="59">
        <f>'Yearly Model'!K2</f>
        <v>7.920000000000002</v>
      </c>
      <c r="J8" s="59">
        <f>'Yearly Model'!L2</f>
        <v>66.60000000000001</v>
      </c>
      <c r="K8" s="59">
        <f>'Yearly Model'!M2</f>
        <v>154.62</v>
      </c>
      <c r="L8" s="59">
        <f>'Yearly Model'!N2</f>
        <v>279.72</v>
      </c>
      <c r="M8" s="59">
        <f>'Yearly Model'!O2</f>
        <v>424.44000000000005</v>
      </c>
      <c r="N8" s="59">
        <f>'Yearly Model'!P2</f>
        <v>558.45</v>
      </c>
      <c r="O8" s="59">
        <f>'Yearly Model'!Q2</f>
        <v>672.5250000000001</v>
      </c>
      <c r="P8" s="59">
        <f>'Yearly Model'!R2</f>
        <v>755.7750000000001</v>
      </c>
      <c r="Q8" s="59">
        <f>'Yearly Model'!S2</f>
        <v>778.0500000000002</v>
      </c>
      <c r="R8" s="59">
        <f>'Yearly Model'!T2</f>
        <v>795.3750000000001</v>
      </c>
      <c r="S8" s="59">
        <f>'Yearly Model'!U2</f>
        <v>807.7500000000001</v>
      </c>
      <c r="T8" s="59">
        <f>'Yearly Model'!V2</f>
        <v>807.7500000000001</v>
      </c>
      <c r="U8" s="59">
        <f>'Yearly Model'!W2</f>
        <v>807.7500000000001</v>
      </c>
      <c r="V8" s="59">
        <f>'Yearly Model'!X2</f>
        <v>748.3500000000001</v>
      </c>
      <c r="W8" s="59">
        <f>'Yearly Model'!Y2</f>
        <v>511.96500000000003</v>
      </c>
      <c r="X8" s="59">
        <f>'Yearly Model'!Z2</f>
        <v>353.6235</v>
      </c>
      <c r="Y8" s="59">
        <f>'Yearly Model'!AA2</f>
        <v>245.63565</v>
      </c>
      <c r="Z8" s="59">
        <f>'Yearly Model'!AB2</f>
        <v>171.18463499999996</v>
      </c>
      <c r="AA8" s="59">
        <f>'Yearly Model'!AC2</f>
        <v>119.52511649999997</v>
      </c>
    </row>
    <row r="9" spans="1:27" x14ac:dyDescent="0.2">
      <c r="A9" s="10" t="s">
        <v>183</v>
      </c>
      <c r="C9" s="47">
        <f>SUM('Quarterly Model'!H8:I8)</f>
        <v>-62.0</v>
      </c>
      <c r="D9" s="59">
        <f>'Yearly Model'!F8</f>
        <v>-105.0</v>
      </c>
      <c r="E9" s="59">
        <f>'Yearly Model'!G8</f>
        <v>-120.5</v>
      </c>
      <c r="F9" s="59">
        <f>'Yearly Model'!H8</f>
        <v>-152.54500000000002</v>
      </c>
      <c r="G9" s="59">
        <f>'Yearly Model'!I8</f>
        <v>-154.63635</v>
      </c>
      <c r="H9" s="59">
        <f>'Yearly Model'!J8</f>
        <v>-134.5254405</v>
      </c>
      <c r="I9" s="59">
        <f>'Yearly Model'!K8</f>
        <v>-91.05339401463233</v>
      </c>
      <c r="J9" s="59">
        <f>'Yearly Model'!L8</f>
        <v>-58.84439783507131</v>
      </c>
      <c r="K9" s="59">
        <f>'Yearly Model'!M8</f>
        <v>15.202370229876522</v>
      </c>
      <c r="L9" s="59">
        <f>'Yearly Model'!N8</f>
        <v>77.7499</v>
      </c>
      <c r="M9" s="59">
        <f>'Yearly Model'!O8</f>
        <v>147.86640000000003</v>
      </c>
      <c r="N9" s="59">
        <f>'Yearly Model'!P8</f>
        <v>210.63600000000002</v>
      </c>
      <c r="O9" s="59">
        <f>'Yearly Model'!Q8</f>
        <v>270.86625</v>
      </c>
      <c r="P9" s="59">
        <f>'Yearly Model'!R8</f>
        <v>306.1957500000001</v>
      </c>
      <c r="Q9" s="59">
        <f>'Yearly Model'!S8</f>
        <v>317.30850000000004</v>
      </c>
      <c r="R9" s="59">
        <f>'Yearly Model'!T8</f>
        <v>332.62874999999997</v>
      </c>
      <c r="S9" s="59">
        <f>'Yearly Model'!U8</f>
        <v>338.19750000000005</v>
      </c>
      <c r="T9" s="59">
        <f>'Yearly Model'!V8</f>
        <v>338.19750000000005</v>
      </c>
      <c r="U9" s="59">
        <f>'Yearly Model'!W8</f>
        <v>338.19750000000005</v>
      </c>
      <c r="V9" s="59">
        <f>'Yearly Model'!X8</f>
        <v>309.0915</v>
      </c>
      <c r="W9" s="59">
        <f>'Yearly Model'!Y8</f>
        <v>210.54285</v>
      </c>
      <c r="X9" s="59">
        <f>'Yearly Model'!Z8</f>
        <v>145.051515</v>
      </c>
      <c r="Y9" s="59">
        <f>'Yearly Model'!AA8</f>
        <v>91.47800988882517</v>
      </c>
      <c r="Z9" s="59">
        <f>'Yearly Model'!AB8</f>
        <v>50.01364179548986</v>
      </c>
      <c r="AA9" s="59">
        <f>'Yearly Model'!AC8</f>
        <v>20.864936168354575</v>
      </c>
    </row>
    <row r="10" spans="1:27" x14ac:dyDescent="0.2">
      <c r="A10" s="10" t="s">
        <v>189</v>
      </c>
      <c r="C10" s="47">
        <v>0</v>
      </c>
      <c r="D10" s="47">
        <f>IF(D9&gt;0,MAX(0,D9-'Yearly Model'!E21)*Assumptions!$B$15,0)</f>
        <v>0</v>
      </c>
      <c r="E10" s="47">
        <f>IF(E9&gt;0,MAX(0,E9-'Yearly Model'!F21)*Assumptions!$B$15,0)</f>
        <v>0</v>
      </c>
      <c r="F10" s="47">
        <f>IF(F9&gt;0,MAX(0,F9-'Yearly Model'!G21)*Assumptions!$B$15,0)</f>
        <v>0</v>
      </c>
      <c r="G10" s="47">
        <f>IF(G9&gt;0,MAX(0,G9-'Yearly Model'!H21)*Assumptions!$B$15,0)</f>
        <v>0</v>
      </c>
      <c r="H10" s="47">
        <f>IF(H9&gt;0,MAX(0,H9-'Yearly Model'!I21)*Assumptions!$B$15,0)</f>
        <v>0</v>
      </c>
      <c r="I10" s="47">
        <f>IF(I9&gt;0,MAX(0,I9-'Yearly Model'!J21)*Assumptions!$B$15,0)</f>
        <v>0</v>
      </c>
      <c r="J10" s="47">
        <f>IF(J9&gt;0,MAX(0,J9-'Yearly Model'!K21)*Assumptions!$B$15,0)</f>
        <v>0</v>
      </c>
      <c r="K10" s="47">
        <f>IF(K9&gt;0,MAX(0,K9-'Yearly Model'!L21)*Assumptions!$B$15,0)</f>
        <v>0.0</v>
      </c>
      <c r="L10" s="47">
        <f>IF(L9&gt;0,MAX(0,L9-'Yearly Model'!M21)*Assumptions!$B$15,0)</f>
        <v>0.0</v>
      </c>
      <c r="M10" s="47">
        <f>IF(M9&gt;0,MAX(0,M9-'Yearly Model'!N21)*Assumptions!$B$15,0)</f>
        <v>0.0</v>
      </c>
      <c r="N10" s="47">
        <f>IF(N9&gt;0,MAX(0,N9-'Yearly Model'!O21)*Assumptions!$B$15,0)</f>
        <v>0.0</v>
      </c>
      <c r="O10" s="47">
        <f>IF(O9&gt;0,MAX(0,O9-'Yearly Model'!P21)*Assumptions!$B$15,0)</f>
        <v>0.0</v>
      </c>
      <c r="P10" s="47">
        <f>IF(P9&gt;0,MAX(0,P9-'Yearly Model'!Q21)*Assumptions!$B$15,0)</f>
        <v>0.0</v>
      </c>
      <c r="Q10" s="47">
        <f>IF(Q9&gt;0,MAX(0,Q9-'Yearly Model'!R21)*Assumptions!$B$15,0)</f>
        <v>39.7951044298483</v>
      </c>
      <c r="R10" s="47">
        <f>IF(R9&gt;0,MAX(0,R9-'Yearly Model'!S21)*Assumptions!$B$15,0)</f>
        <v>69.8520375</v>
      </c>
      <c r="S10" s="47">
        <f>IF(S9&gt;0,MAX(0,S9-'Yearly Model'!T21)*Assumptions!$B$15,0)</f>
        <v>71.02147500000001</v>
      </c>
      <c r="T10" s="47">
        <f>IF(T9&gt;0,MAX(0,T9-'Yearly Model'!U21)*Assumptions!$B$15,0)</f>
        <v>71.02147500000001</v>
      </c>
      <c r="U10" s="47">
        <f>IF(U9&gt;0,MAX(0,U9-'Yearly Model'!V21)*Assumptions!$B$15,0)</f>
        <v>71.02147500000001</v>
      </c>
      <c r="V10" s="47">
        <f>IF(V9&gt;0,MAX(0,V9-'Yearly Model'!W21)*Assumptions!$B$15,0)</f>
        <v>64.909215</v>
      </c>
      <c r="W10" s="47">
        <f>IF(W9&gt;0,MAX(0,W9-'Yearly Model'!X21)*Assumptions!$B$15,0)</f>
        <v>44.213998499999995</v>
      </c>
      <c r="X10" s="47">
        <f>IF(X9&gt;0,MAX(0,X9-'Yearly Model'!Y21)*Assumptions!$B$15,0)</f>
        <v>30.460818149999998</v>
      </c>
      <c r="Y10" s="47">
        <f>IF(Y9&gt;0,MAX(0,Y9-'Yearly Model'!Z21)*Assumptions!$B$15,0)</f>
        <v>19.210382076653286</v>
      </c>
      <c r="Z10" s="47">
        <f>IF(Z9&gt;0,MAX(0,Z9-'Yearly Model'!AA21)*Assumptions!$B$15,0)</f>
        <v>10.50286477705287</v>
      </c>
      <c r="AA10" s="47">
        <f>IF(AA9&gt;0,MAX(0,AA9-'Yearly Model'!AB21)*Assumptions!$B$15,0)</f>
        <v>4.38163659535446</v>
      </c>
    </row>
    <row r="11" spans="1:27" x14ac:dyDescent="0.2">
      <c r="A11" s="18" t="s">
        <v>190</v>
      </c>
      <c r="C11" s="28">
        <f t="shared" ref="C11:AA11" si="0">C9-C10</f>
        <v>-62.0</v>
      </c>
      <c r="D11" s="28">
        <f t="shared" si="0"/>
        <v>-105.0</v>
      </c>
      <c r="E11" s="28">
        <f t="shared" si="0"/>
        <v>-120.5</v>
      </c>
      <c r="F11" s="28">
        <f t="shared" si="0"/>
        <v>-152.54500000000002</v>
      </c>
      <c r="G11" s="28">
        <f t="shared" si="0"/>
        <v>-154.63635</v>
      </c>
      <c r="H11" s="28">
        <f t="shared" si="0"/>
        <v>-134.5254405</v>
      </c>
      <c r="I11" s="28">
        <f t="shared" si="0"/>
        <v>-91.05339401463233</v>
      </c>
      <c r="J11" s="28">
        <f t="shared" si="0"/>
        <v>-58.84439783507131</v>
      </c>
      <c r="K11" s="28">
        <f t="shared" si="0"/>
        <v>15.202370229876522</v>
      </c>
      <c r="L11" s="28">
        <f t="shared" si="0"/>
        <v>77.7499</v>
      </c>
      <c r="M11" s="28">
        <f t="shared" si="0"/>
        <v>147.86640000000003</v>
      </c>
      <c r="N11" s="28">
        <f t="shared" si="0"/>
        <v>210.63600000000002</v>
      </c>
      <c r="O11" s="28">
        <f t="shared" si="0"/>
        <v>270.86625</v>
      </c>
      <c r="P11" s="28">
        <f t="shared" si="0"/>
        <v>306.1957500000001</v>
      </c>
      <c r="Q11" s="28">
        <f t="shared" si="0"/>
        <v>277.5133955701517</v>
      </c>
      <c r="R11" s="28">
        <f t="shared" si="0"/>
        <v>262.7767125</v>
      </c>
      <c r="S11" s="28">
        <f t="shared" si="0"/>
        <v>267.17602500000004</v>
      </c>
      <c r="T11" s="28">
        <f t="shared" si="0"/>
        <v>267.17602500000004</v>
      </c>
      <c r="U11" s="28">
        <f t="shared" si="0"/>
        <v>267.17602500000004</v>
      </c>
      <c r="V11" s="28">
        <f t="shared" si="0"/>
        <v>244.18228499999998</v>
      </c>
      <c r="W11" s="28">
        <f t="shared" si="0"/>
        <v>166.32885149999998</v>
      </c>
      <c r="X11" s="28">
        <f t="shared" si="0"/>
        <v>114.59069685</v>
      </c>
      <c r="Y11" s="28">
        <f t="shared" si="0"/>
        <v>72.26762781217188</v>
      </c>
      <c r="Z11" s="28">
        <f t="shared" si="0"/>
        <v>39.51077701843699</v>
      </c>
      <c r="AA11" s="28">
        <f t="shared" si="0"/>
        <v>16.483299573000114</v>
      </c>
    </row>
    <row r="12" spans="1:27" x14ac:dyDescent="0.2">
      <c r="A12" s="10" t="s">
        <v>191</v>
      </c>
      <c r="C12" s="60">
        <f>DATE(2026,10,1)</f>
        <v>46296</v>
      </c>
      <c r="D12" s="60">
        <f t="shared" ref="D12:AA12" si="1">DATE(D7,7,1)</f>
        <v>46569</v>
      </c>
      <c r="E12" s="60">
        <f t="shared" si="1"/>
        <v>46935</v>
      </c>
      <c r="F12" s="60">
        <f t="shared" si="1"/>
        <v>47300</v>
      </c>
      <c r="G12" s="60">
        <f t="shared" si="1"/>
        <v>47665</v>
      </c>
      <c r="H12" s="60">
        <f t="shared" si="1"/>
        <v>48030</v>
      </c>
      <c r="I12" s="60">
        <f t="shared" si="1"/>
        <v>48396</v>
      </c>
      <c r="J12" s="60">
        <f t="shared" si="1"/>
        <v>48761</v>
      </c>
      <c r="K12" s="60">
        <f t="shared" si="1"/>
        <v>49126</v>
      </c>
      <c r="L12" s="60">
        <f t="shared" si="1"/>
        <v>49491</v>
      </c>
      <c r="M12" s="60">
        <f t="shared" si="1"/>
        <v>49857</v>
      </c>
      <c r="N12" s="60">
        <f t="shared" si="1"/>
        <v>50222</v>
      </c>
      <c r="O12" s="60">
        <f t="shared" si="1"/>
        <v>50587</v>
      </c>
      <c r="P12" s="60">
        <f t="shared" si="1"/>
        <v>50952</v>
      </c>
      <c r="Q12" s="60">
        <f t="shared" si="1"/>
        <v>51318</v>
      </c>
      <c r="R12" s="60">
        <f t="shared" si="1"/>
        <v>51683</v>
      </c>
      <c r="S12" s="60">
        <f t="shared" si="1"/>
        <v>52048</v>
      </c>
      <c r="T12" s="60">
        <f t="shared" si="1"/>
        <v>52413</v>
      </c>
      <c r="U12" s="60">
        <f t="shared" si="1"/>
        <v>52779</v>
      </c>
      <c r="V12" s="60">
        <f t="shared" si="1"/>
        <v>53144</v>
      </c>
      <c r="W12" s="60">
        <f t="shared" si="1"/>
        <v>53509</v>
      </c>
      <c r="X12" s="60">
        <f t="shared" si="1"/>
        <v>53874</v>
      </c>
      <c r="Y12" s="60">
        <f t="shared" si="1"/>
        <v>54240</v>
      </c>
      <c r="Z12" s="60">
        <f t="shared" si="1"/>
        <v>54605</v>
      </c>
      <c r="AA12" s="60">
        <f t="shared" si="1"/>
        <v>54970</v>
      </c>
    </row>
    <row r="13" spans="1:27" x14ac:dyDescent="0.2">
      <c r="A13" s="10" t="s">
        <v>192</v>
      </c>
      <c r="C13" s="8">
        <f t="shared" ref="C13:AA13" si="2">MAX(0,(C12-$B$4)/365.25)</f>
        <v>0</v>
      </c>
      <c r="D13" s="8">
        <f t="shared" si="2"/>
        <v>0.7063655030800822</v>
      </c>
      <c r="E13" s="8">
        <f t="shared" si="2"/>
        <v>1.7084188911704312</v>
      </c>
      <c r="F13" s="8">
        <f t="shared" si="2"/>
        <v>2.707734428473648</v>
      </c>
      <c r="G13" s="8">
        <f t="shared" si="2"/>
        <v>3.707049965776865</v>
      </c>
      <c r="H13" s="8">
        <f t="shared" si="2"/>
        <v>4.706365503080082</v>
      </c>
      <c r="I13" s="8">
        <f t="shared" si="2"/>
        <v>5.708418891170431</v>
      </c>
      <c r="J13" s="8">
        <f t="shared" si="2"/>
        <v>6.707734428473648</v>
      </c>
      <c r="K13" s="8">
        <f t="shared" si="2"/>
        <v>7.707049965776865</v>
      </c>
      <c r="L13" s="8">
        <f t="shared" si="2"/>
        <v>8.706365503080082</v>
      </c>
      <c r="M13" s="8">
        <f t="shared" si="2"/>
        <v>9.708418891170432</v>
      </c>
      <c r="N13" s="8">
        <f t="shared" si="2"/>
        <v>10.707734428473648</v>
      </c>
      <c r="O13" s="8">
        <f t="shared" si="2"/>
        <v>11.707049965776864</v>
      </c>
      <c r="P13" s="8">
        <f t="shared" si="2"/>
        <v>12.706365503080082</v>
      </c>
      <c r="Q13" s="8">
        <f t="shared" si="2"/>
        <v>13.708418891170432</v>
      </c>
      <c r="R13" s="8">
        <f t="shared" si="2"/>
        <v>14.707734428473648</v>
      </c>
      <c r="S13" s="8">
        <f t="shared" si="2"/>
        <v>15.707049965776864</v>
      </c>
      <c r="T13" s="8">
        <f t="shared" si="2"/>
        <v>16.706365503080082</v>
      </c>
      <c r="U13" s="8">
        <f t="shared" si="2"/>
        <v>17.70841889117043</v>
      </c>
      <c r="V13" s="8">
        <f t="shared" si="2"/>
        <v>18.70773442847365</v>
      </c>
      <c r="W13" s="8">
        <f t="shared" si="2"/>
        <v>19.707049965776864</v>
      </c>
      <c r="X13" s="8">
        <f t="shared" si="2"/>
        <v>20.706365503080082</v>
      </c>
      <c r="Y13" s="8">
        <f t="shared" si="2"/>
        <v>21.70841889117043</v>
      </c>
      <c r="Z13" s="8">
        <f t="shared" si="2"/>
        <v>22.70773442847365</v>
      </c>
      <c r="AA13" s="8">
        <f t="shared" si="2"/>
        <v>23.707049965776864</v>
      </c>
    </row>
    <row r="14" spans="1:27" x14ac:dyDescent="0.2">
      <c r="A14" s="10" t="s">
        <v>193</v>
      </c>
      <c r="C14" s="61">
        <f t="shared" ref="C14:AA14" si="3">1/(1+$B$5)^C13</f>
        <v>1.0</v>
      </c>
      <c r="D14" s="61">
        <f t="shared" si="3"/>
        <v>0.9230688312938522</v>
      </c>
      <c r="E14" s="61">
        <f t="shared" si="3"/>
        <v>0.8239768312442507</v>
      </c>
      <c r="F14" s="61">
        <f t="shared" si="3"/>
        <v>0.7357506687449087</v>
      </c>
      <c r="G14" s="61">
        <f t="shared" si="3"/>
        <v>0.656971198742498</v>
      </c>
      <c r="H14" s="61">
        <f t="shared" si="3"/>
        <v>0.5866269298992621</v>
      </c>
      <c r="I14" s="61">
        <f t="shared" si="3"/>
        <v>0.523652172442448</v>
      </c>
      <c r="J14" s="61">
        <f t="shared" si="3"/>
        <v>0.46758285118583376</v>
      </c>
      <c r="K14" s="61">
        <f t="shared" si="3"/>
        <v>0.4175170737921507</v>
      </c>
      <c r="L14" s="61">
        <f t="shared" si="3"/>
        <v>0.37281201923010465</v>
      </c>
      <c r="M14" s="61">
        <f t="shared" si="3"/>
        <v>0.33279042238313983</v>
      </c>
      <c r="N14" s="61">
        <f t="shared" si="3"/>
        <v>0.2971573550806732</v>
      </c>
      <c r="O14" s="61">
        <f t="shared" si="3"/>
        <v>0.2653396484375957</v>
      </c>
      <c r="P14" s="61">
        <f t="shared" si="3"/>
        <v>0.23692877806734103</v>
      </c>
      <c r="Q14" s="61">
        <f t="shared" si="3"/>
        <v>0.21149432974446508</v>
      </c>
      <c r="R14" s="61">
        <f t="shared" si="3"/>
        <v>0.1888488712847315</v>
      </c>
      <c r="S14" s="61">
        <f t="shared" si="3"/>
        <v>0.16862814349967428</v>
      </c>
      <c r="T14" s="61">
        <f t="shared" si="3"/>
        <v>0.15057252175616126</v>
      </c>
      <c r="U14" s="61">
        <f t="shared" si="3"/>
        <v>0.13440847003272016</v>
      </c>
      <c r="V14" s="61">
        <f t="shared" si="3"/>
        <v>0.12001687178779381</v>
      </c>
      <c r="W14" s="61">
        <f t="shared" si="3"/>
        <v>0.10716623372188709</v>
      </c>
      <c r="X14" s="61">
        <f t="shared" si="3"/>
        <v>0.09569155968704522</v>
      </c>
      <c r="Y14" s="61">
        <f t="shared" si="3"/>
        <v>0.08541901259652764</v>
      </c>
      <c r="Z14" s="61">
        <f t="shared" si="3"/>
        <v>0.07627289173473771</v>
      </c>
      <c r="AA14" s="61">
        <f t="shared" si="3"/>
        <v>0.0681060789248167</v>
      </c>
    </row>
    <row r="15" spans="1:27" x14ac:dyDescent="0.2">
      <c r="A15" s="18" t="s">
        <v>194</v>
      </c>
      <c r="C15" s="28">
        <f t="shared" ref="C15:AA15" si="4">C11*C14</f>
        <v>-62.0</v>
      </c>
      <c r="D15" s="28">
        <f t="shared" si="4"/>
        <v>-96.92222728585448</v>
      </c>
      <c r="E15" s="28">
        <f t="shared" si="4"/>
        <v>-99.2892081649322</v>
      </c>
      <c r="F15" s="28">
        <f t="shared" si="4"/>
        <v>-112.23508576369211</v>
      </c>
      <c r="G15" s="28">
        <f t="shared" si="4"/>
        <v>-101.59162822866448</v>
      </c>
      <c r="H15" s="28">
        <f t="shared" si="4"/>
        <v>-78.91624615386085</v>
      </c>
      <c r="I15" s="28">
        <f t="shared" si="4"/>
        <v>-47.68030758402041</v>
      </c>
      <c r="J15" s="28">
        <f t="shared" si="4"/>
        <v>-27.514631316036148</v>
      </c>
      <c r="K15" s="28">
        <f t="shared" si="4"/>
        <v>6.347249133082951</v>
      </c>
      <c r="L15" s="28">
        <f t="shared" si="4"/>
        <v>28.986097213938713</v>
      </c>
      <c r="M15" s="28">
        <f t="shared" si="4"/>
        <v>49.20852171227432</v>
      </c>
      <c r="N15" s="28">
        <f t="shared" si="4"/>
        <v>62.59203664477269</v>
      </c>
      <c r="O15" s="28">
        <f t="shared" si="4"/>
        <v>71.8715555486099</v>
      </c>
      <c r="P15" s="28">
        <f t="shared" si="4"/>
        <v>72.54658489691306</v>
      </c>
      <c r="Q15" s="28">
        <f t="shared" si="4"/>
        <v>58.69250959121984</v>
      </c>
      <c r="R15" s="28">
        <f t="shared" si="4"/>
        <v>49.62508555553739</v>
      </c>
      <c r="S15" s="28">
        <f t="shared" si="4"/>
        <v>45.05339708337257</v>
      </c>
      <c r="T15" s="28">
        <f t="shared" si="4"/>
        <v>40.22936783703719</v>
      </c>
      <c r="U15" s="28">
        <f t="shared" si="4"/>
        <v>35.9107207496738</v>
      </c>
      <c r="V15" s="28">
        <f t="shared" si="4"/>
        <v>29.305993991695527</v>
      </c>
      <c r="W15" s="28">
        <f t="shared" si="4"/>
        <v>17.824836574542047</v>
      </c>
      <c r="X15" s="28">
        <f t="shared" si="4"/>
        <v>10.96536250720188</v>
      </c>
      <c r="Y15" s="28">
        <f t="shared" si="4"/>
        <v>6.173029410409081</v>
      </c>
      <c r="Z15" s="28">
        <f t="shared" si="4"/>
        <v>3.0136012178826075</v>
      </c>
      <c r="AA15" s="28">
        <f t="shared" si="4"/>
        <v>1.1226129016601432</v>
      </c>
    </row>
    <row r="17" spans="1:3" x14ac:dyDescent="0.2">
      <c r="A17" s="23" t="s">
        <v>195</v>
      </c>
      <c r="B17" s="24"/>
      <c r="C17" s="62"/>
    </row>
    <row r="18" spans="1:3" x14ac:dyDescent="0.2">
      <c r="A18" s="10" t="s">
        <v>196</v>
      </c>
      <c r="C18" s="47">
        <f>SUM(C15:AA15)</f>
        <v>-36.68077192723696</v>
      </c>
    </row>
    <row r="19" spans="1:3" x14ac:dyDescent="0.2">
      <c r="A19" s="10" t="s">
        <v>197</v>
      </c>
      <c r="C19" s="59">
        <f>Main!C7</f>
        <v>288.00699999999995</v>
      </c>
    </row>
    <row r="20" spans="1:3" x14ac:dyDescent="0.2">
      <c r="A20" s="10" t="s">
        <v>5</v>
      </c>
      <c r="C20" s="59">
        <f>Main!C8</f>
        <v>0</v>
      </c>
    </row>
    <row r="21" spans="1:3" x14ac:dyDescent="0.2">
      <c r="A21" s="18" t="s">
        <v>198</v>
      </c>
      <c r="C21" s="28">
        <f>C18+C19-C20</f>
        <v>251.326228072763</v>
      </c>
    </row>
    <row r="22" spans="1:3" x14ac:dyDescent="0.2">
      <c r="A22" s="10" t="s">
        <v>199</v>
      </c>
      <c r="C22" s="63">
        <f>Main!C4</f>
        <v>36.292113</v>
      </c>
    </row>
    <row r="23" spans="1:3" x14ac:dyDescent="0.2">
      <c r="A23" s="10" t="s">
        <v>200</v>
      </c>
      <c r="C23" s="48">
        <f>C21/C22</f>
        <v>6.925092183879263</v>
      </c>
    </row>
    <row r="24" spans="1:3" x14ac:dyDescent="0.2">
      <c r="A24" s="10" t="s">
        <v>201</v>
      </c>
      <c r="C24" s="64">
        <f>IF(C23&gt;Assumptions!$B$25,Assumptions!$B$24*(1-Assumptions!$B$25/C23),0)</f>
        <v>0</v>
      </c>
    </row>
    <row r="25" spans="1:3" x14ac:dyDescent="0.2">
      <c r="A25" s="10" t="s">
        <v>202</v>
      </c>
      <c r="C25" s="63">
        <f>Assumptions!$B$26</f>
        <v>0.77331</v>
      </c>
    </row>
    <row r="26" spans="1:3" x14ac:dyDescent="0.2">
      <c r="A26" s="10" t="s">
        <v>203</v>
      </c>
      <c r="C26" s="64">
        <f>C22+C24+C25</f>
        <v>37.065423</v>
      </c>
    </row>
    <row r="27" spans="1:3" x14ac:dyDescent="0.2">
      <c r="A27" s="18" t="s">
        <v>204</v>
      </c>
      <c r="C27" s="65">
        <f>C21/C26</f>
        <v>6.780611355029268</v>
      </c>
    </row>
    <row r="28" spans="1:3" x14ac:dyDescent="0.2">
      <c r="A28" s="10" t="s">
        <v>205</v>
      </c>
      <c r="C28" s="66">
        <f>Main!C3</f>
        <v>5.35</v>
      </c>
    </row>
    <row r="29" spans="1:3" x14ac:dyDescent="0.2">
      <c r="A29" s="18" t="s">
        <v>206</v>
      </c>
      <c r="C29" s="26">
        <f>C27/C28-1</f>
        <v>0.26740399159425565</v>
      </c>
    </row>
    <row r="30" spans="1:3" x14ac:dyDescent="0.2">
      <c r="A30" s="10" t="s">
        <v>207</v>
      </c>
      <c r="C30" s="48">
        <f>(C19-C20)/C22</f>
        <v>7.935801368192586</v>
      </c>
    </row>
    <row r="31" spans="1:3" x14ac:dyDescent="0.2">
      <c r="A31" s="10" t="s">
        <v>208</v>
      </c>
      <c r="C31" s="48">
        <f>Assumptions!$B$28/C22</f>
        <v>6.617689754389178</v>
      </c>
    </row>
    <row r="32" spans="1:3" x14ac:dyDescent="0.2">
      <c r="A32" s="10" t="s">
        <v>209</v>
      </c>
      <c r="C32" s="48">
        <f>(Assumptions!$B$28-Assumptions!$B$27)/C22</f>
        <v>5.791063870137137</v>
      </c>
    </row>
    <row r="33" spans="1:3" x14ac:dyDescent="0.2">
      <c r="A33" s="10" t="s">
        <v>210</v>
      </c>
      <c r="C33" s="47">
        <f>Main!C5-(C19-C20)</f>
        <v>-93.84419544999997</v>
      </c>
    </row>
    <row r="34" spans="1:3" x14ac:dyDescent="0.2">
      <c r="A34" s="15" t="s">
        <v>211</v>
      </c>
    </row>
    <row r="36" spans="1:3" x14ac:dyDescent="0.2">
      <c r="A36" s="23" t="s">
        <v>212</v>
      </c>
      <c r="B36" s="67" t="s">
        <v>213</v>
      </c>
      <c r="C36" s="67" t="s">
        <v>214</v>
      </c>
    </row>
    <row r="37" spans="1:3" x14ac:dyDescent="0.2">
      <c r="A37" s="10" t="s">
        <v>164</v>
      </c>
      <c r="B37" s="47">
        <f>SUMPRODUCT(Pipeline!C12:Z12,D14:AA14)</f>
        <v>459.9109683715087</v>
      </c>
      <c r="C37" s="48">
        <f t="shared" ref="C37:C44" si="5">B37/$C$26</f>
        <v>12.408086328099067</v>
      </c>
    </row>
    <row r="38" spans="1:3" x14ac:dyDescent="0.2">
      <c r="A38" s="10" t="s">
        <v>215</v>
      </c>
      <c r="B38" s="47">
        <f>SUMPRODUCT(Pipeline!C22:Z22,D14:AA14)</f>
        <v>82.47011348459776</v>
      </c>
      <c r="C38" s="48">
        <f t="shared" si="5"/>
        <v>2.224987786719654</v>
      </c>
    </row>
    <row r="39" spans="1:3" x14ac:dyDescent="0.2">
      <c r="A39" s="10" t="s">
        <v>174</v>
      </c>
      <c r="B39" s="47">
        <f>SUMPRODUCT(Pipeline!C32:Z32,D14:AA14)</f>
        <v>9.95113948888143</v>
      </c>
      <c r="C39" s="48">
        <f t="shared" si="5"/>
        <v>0.2684750013208113</v>
      </c>
    </row>
    <row r="40" spans="1:3" x14ac:dyDescent="0.2">
      <c r="A40" s="10" t="s">
        <v>216</v>
      </c>
      <c r="B40" s="47">
        <f>-SUMPRODUCT(Pipeline!C38:Z38,D14:AA14)-SUMPRODUCT(Pipeline!C41:Z41,D14:AA14)</f>
        <v>-455.0053623791755</v>
      </c>
      <c r="C40" s="48">
        <f t="shared" si="5"/>
        <v>-12.275736402068727</v>
      </c>
    </row>
    <row r="41" spans="1:3" x14ac:dyDescent="0.2">
      <c r="A41" s="10" t="s">
        <v>217</v>
      </c>
      <c r="B41" s="47">
        <f>C11*C14</f>
        <v>-62.0</v>
      </c>
      <c r="C41" s="48">
        <f t="shared" si="5"/>
        <v>-1.6727179938024719</v>
      </c>
    </row>
    <row r="42" spans="1:3" x14ac:dyDescent="0.2">
      <c r="A42" s="10" t="s">
        <v>20</v>
      </c>
      <c r="B42" s="47">
        <f>-SUMPRODUCT(D10:AA10,D14:AA14)</f>
        <v>-72.00763089304932</v>
      </c>
      <c r="C42" s="48">
        <f t="shared" si="5"/>
        <v>-1.9427170949337154</v>
      </c>
    </row>
    <row r="43" spans="1:3" x14ac:dyDescent="0.2">
      <c r="A43" s="10" t="s">
        <v>218</v>
      </c>
      <c r="B43" s="47">
        <f>C19-C20</f>
        <v>288.00699999999995</v>
      </c>
      <c r="C43" s="48">
        <f t="shared" si="5"/>
        <v>7.7702337296946515</v>
      </c>
    </row>
    <row r="44" spans="1:3" x14ac:dyDescent="0.2">
      <c r="A44" s="18" t="s">
        <v>219</v>
      </c>
      <c r="B44" s="54">
        <f>SUM(B37:B43)</f>
        <v>251.32622807276294</v>
      </c>
      <c r="C44" s="68">
        <f t="shared" si="5"/>
        <v>6.780611355029266</v>
      </c>
    </row>
    <row r="45" spans="1:3" x14ac:dyDescent="0.2">
      <c r="A45" s="15" t="s">
        <v>220</v>
      </c>
      <c r="B45" s="47">
        <f>ROUND(B44-C21,6)</f>
        <v>-0.0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4"/>
  <sheetViews>
    <sheetView zoomScale="150" workbookViewId="0">
      <selection activeCell="F47" sqref="F47"/>
    </sheetView>
  </sheetViews>
  <sheetFormatPr baseColWidth="10" defaultColWidth="8.83203125" defaultRowHeight="16" x14ac:dyDescent="0.2"/>
  <cols>
    <col min="1" max="1" width="40" customWidth="1"/>
    <col min="2" max="12" width="11" customWidth="1"/>
  </cols>
  <sheetData>
    <row r="1" spans="1:3" ht="19" x14ac:dyDescent="0.25">
      <c r="A1" s="17" t="s">
        <v>221</v>
      </c>
    </row>
    <row r="2" spans="1:3" x14ac:dyDescent="0.2">
      <c r="A2" s="15" t="s">
        <v>222</v>
      </c>
    </row>
    <row r="4" spans="1:3" x14ac:dyDescent="0.2">
      <c r="A4" s="23" t="s">
        <v>223</v>
      </c>
    </row>
    <row r="5" spans="1:3" x14ac:dyDescent="0.2">
      <c r="A5" s="10" t="s">
        <v>224</v>
      </c>
      <c r="B5" s="33">
        <v>5.93</v>
      </c>
    </row>
    <row r="6" spans="1:3" x14ac:dyDescent="0.2">
      <c r="A6" s="10" t="s">
        <v>225</v>
      </c>
      <c r="B6" s="69">
        <f>DATE(2026,10,16)</f>
        <v>46311</v>
      </c>
    </row>
    <row r="7" spans="1:3" x14ac:dyDescent="0.2">
      <c r="A7" s="10" t="s">
        <v>226</v>
      </c>
      <c r="B7" s="27">
        <v>3.7499999999999999E-2</v>
      </c>
    </row>
    <row r="8" spans="1:3" x14ac:dyDescent="0.2">
      <c r="A8" s="10" t="s">
        <v>227</v>
      </c>
      <c r="B8" s="69">
        <f>DATE(2027,5,21)</f>
        <v>46528</v>
      </c>
    </row>
    <row r="9" spans="1:3" x14ac:dyDescent="0.2">
      <c r="A9" s="10" t="s">
        <v>228</v>
      </c>
      <c r="B9" s="61">
        <f>(B8-B6)/365</f>
        <v>0.5945205479452055</v>
      </c>
    </row>
    <row r="10" spans="1:3" x14ac:dyDescent="0.2">
      <c r="A10" s="10" t="s">
        <v>229</v>
      </c>
      <c r="B10" s="37">
        <v>100</v>
      </c>
    </row>
    <row r="12" spans="1:3" x14ac:dyDescent="0.2">
      <c r="A12" s="23" t="s">
        <v>230</v>
      </c>
      <c r="B12" s="24"/>
      <c r="C12" s="24"/>
    </row>
    <row r="13" spans="1:3" x14ac:dyDescent="0.2">
      <c r="A13" s="10" t="s">
        <v>231</v>
      </c>
      <c r="B13" s="20">
        <v>0.5</v>
      </c>
    </row>
    <row r="14" spans="1:3" x14ac:dyDescent="0.2">
      <c r="A14" s="10" t="s">
        <v>232</v>
      </c>
      <c r="B14" s="20">
        <v>0.25</v>
      </c>
    </row>
    <row r="15" spans="1:3" x14ac:dyDescent="0.2">
      <c r="A15" s="22" t="s">
        <v>233</v>
      </c>
      <c r="B15" s="58" t="s">
        <v>214</v>
      </c>
      <c r="C15" s="58" t="s">
        <v>234</v>
      </c>
    </row>
    <row r="16" spans="1:3" x14ac:dyDescent="0.2">
      <c r="A16" s="10" t="s">
        <v>235</v>
      </c>
      <c r="B16" s="48">
        <f>MAX(Assumptions!$D$107,$B$13*NPV!C31)</f>
        <v>3.308844877194589</v>
      </c>
      <c r="C16" s="27">
        <v>0.25</v>
      </c>
    </row>
    <row r="17" spans="1:11" x14ac:dyDescent="0.2">
      <c r="A17" s="10" t="s">
        <v>236</v>
      </c>
      <c r="B17" s="48">
        <f>MAX(0,Assumptions!$D$108)</f>
        <v>6.780611355029268</v>
      </c>
      <c r="C17" s="27">
        <v>0.5</v>
      </c>
    </row>
    <row r="18" spans="1:11" x14ac:dyDescent="0.2">
      <c r="A18" s="10" t="s">
        <v>237</v>
      </c>
      <c r="B18" s="48">
        <f>B17+(MAX(0,Assumptions!$D$109)-B17)*$B$14</f>
        <v>13.036026990470557</v>
      </c>
      <c r="C18" s="27">
        <v>0.25</v>
      </c>
    </row>
    <row r="19" spans="1:11" x14ac:dyDescent="0.2">
      <c r="A19" s="10" t="s">
        <v>238</v>
      </c>
      <c r="B19" s="32">
        <f>SUMPRODUCT(B16:B18,C16:C18)</f>
        <v>7.47652364443092</v>
      </c>
      <c r="C19" s="38">
        <f>SUM(C16:C18)</f>
        <v>1.0</v>
      </c>
    </row>
    <row r="20" spans="1:11" x14ac:dyDescent="0.2">
      <c r="A20" s="10" t="s">
        <v>239</v>
      </c>
      <c r="B20" s="66">
        <f>NPV!C32</f>
        <v>5.791063870137137</v>
      </c>
    </row>
    <row r="22" spans="1:11" x14ac:dyDescent="0.2">
      <c r="A22" s="23" t="s">
        <v>240</v>
      </c>
    </row>
    <row r="23" spans="1:11" x14ac:dyDescent="0.2">
      <c r="A23" s="70" t="s">
        <v>241</v>
      </c>
      <c r="B23" s="70" t="s">
        <v>242</v>
      </c>
      <c r="C23" s="70" t="s">
        <v>243</v>
      </c>
      <c r="D23" s="70" t="s">
        <v>244</v>
      </c>
      <c r="E23" s="70" t="s">
        <v>245</v>
      </c>
      <c r="F23" s="70" t="s">
        <v>246</v>
      </c>
      <c r="G23" s="70" t="s">
        <v>247</v>
      </c>
      <c r="H23" s="70" t="s">
        <v>248</v>
      </c>
      <c r="I23" s="70" t="s">
        <v>249</v>
      </c>
      <c r="J23" s="70" t="s">
        <v>250</v>
      </c>
      <c r="K23" s="70" t="s">
        <v>251</v>
      </c>
    </row>
    <row r="24" spans="1:11" x14ac:dyDescent="0.2">
      <c r="A24" s="71">
        <v>2.5</v>
      </c>
      <c r="B24" s="33">
        <v>1</v>
      </c>
      <c r="C24" s="33">
        <v>5.2</v>
      </c>
      <c r="D24" s="33">
        <v>4.05</v>
      </c>
      <c r="E24" s="27">
        <v>1.5740000000000001</v>
      </c>
      <c r="F24" s="33">
        <v>0</v>
      </c>
      <c r="G24" s="33">
        <v>4.9000000000000004</v>
      </c>
      <c r="H24" s="33">
        <v>0.4803</v>
      </c>
      <c r="I24" s="27">
        <v>1.4590000000000001</v>
      </c>
      <c r="J24" s="37">
        <v>0</v>
      </c>
      <c r="K24" s="37">
        <v>0</v>
      </c>
    </row>
    <row r="25" spans="1:11" x14ac:dyDescent="0.2">
      <c r="A25" s="71">
        <v>5</v>
      </c>
      <c r="B25" s="33">
        <v>1.05</v>
      </c>
      <c r="C25" s="33">
        <v>4.9000000000000004</v>
      </c>
      <c r="D25" s="33">
        <v>2.2587000000000002</v>
      </c>
      <c r="E25" s="27">
        <v>1.0449999999999999</v>
      </c>
      <c r="F25" s="33">
        <v>0</v>
      </c>
      <c r="G25" s="33">
        <v>4.9000000000000004</v>
      </c>
      <c r="H25" s="33">
        <v>1.1287</v>
      </c>
      <c r="I25" s="27">
        <v>0.98499999999999999</v>
      </c>
      <c r="J25" s="37">
        <v>5</v>
      </c>
      <c r="K25" s="37">
        <v>0</v>
      </c>
    </row>
    <row r="26" spans="1:11" x14ac:dyDescent="0.2">
      <c r="A26" s="71">
        <v>7.5</v>
      </c>
      <c r="B26" s="33">
        <v>0</v>
      </c>
      <c r="C26" s="33">
        <v>4.9000000000000004</v>
      </c>
      <c r="D26" s="33">
        <v>1.3482000000000001</v>
      </c>
      <c r="E26" s="27">
        <v>0.99399999999999999</v>
      </c>
      <c r="F26" s="33">
        <v>0.1</v>
      </c>
      <c r="G26" s="33">
        <v>4.9000000000000004</v>
      </c>
      <c r="H26" s="33">
        <v>2.6783000000000001</v>
      </c>
      <c r="I26" s="27">
        <v>0.95299999999999996</v>
      </c>
      <c r="J26" s="37">
        <v>11</v>
      </c>
      <c r="K26" s="37">
        <v>0</v>
      </c>
    </row>
    <row r="27" spans="1:11" x14ac:dyDescent="0.2">
      <c r="A27" s="71">
        <v>10</v>
      </c>
      <c r="B27" s="33">
        <v>0</v>
      </c>
      <c r="C27" s="33">
        <v>1.1499999999999999</v>
      </c>
      <c r="D27" s="33">
        <v>1.0336000000000001</v>
      </c>
      <c r="E27" s="27">
        <v>1.0880000000000001</v>
      </c>
      <c r="F27" s="33">
        <v>2.65</v>
      </c>
      <c r="G27" s="33">
        <v>7</v>
      </c>
      <c r="H27" s="33">
        <v>4.8362999999999996</v>
      </c>
      <c r="I27" s="27">
        <v>1.0620000000000001</v>
      </c>
      <c r="J27" s="37">
        <v>25</v>
      </c>
      <c r="K27" s="37">
        <v>0</v>
      </c>
    </row>
    <row r="28" spans="1:11" x14ac:dyDescent="0.2">
      <c r="A28" s="71">
        <v>12.5</v>
      </c>
      <c r="B28" s="33">
        <v>0</v>
      </c>
      <c r="C28" s="33">
        <v>4.9000000000000004</v>
      </c>
      <c r="D28" s="33">
        <v>0.88600000000000001</v>
      </c>
      <c r="E28" s="27">
        <v>1.181</v>
      </c>
      <c r="F28" s="33">
        <v>4.5</v>
      </c>
      <c r="G28" s="33">
        <v>9.3000000000000007</v>
      </c>
      <c r="H28" s="33">
        <v>7.1657999999999999</v>
      </c>
      <c r="I28" s="27">
        <v>1.173</v>
      </c>
      <c r="J28" s="37">
        <v>1</v>
      </c>
      <c r="K28" s="37">
        <v>0</v>
      </c>
    </row>
    <row r="29" spans="1:11" x14ac:dyDescent="0.2">
      <c r="A29" s="71">
        <v>15</v>
      </c>
      <c r="B29" s="33">
        <v>0</v>
      </c>
      <c r="C29" s="33">
        <v>4.9000000000000004</v>
      </c>
      <c r="D29" s="33">
        <v>0.79630000000000001</v>
      </c>
      <c r="E29" s="27">
        <v>1.2589999999999999</v>
      </c>
      <c r="F29" s="33">
        <v>6.8</v>
      </c>
      <c r="G29" s="33">
        <v>11.5</v>
      </c>
      <c r="H29" s="33">
        <v>9.5562000000000005</v>
      </c>
      <c r="I29" s="27">
        <v>1.272</v>
      </c>
      <c r="J29" s="37">
        <v>4</v>
      </c>
      <c r="K29" s="37">
        <v>0</v>
      </c>
    </row>
    <row r="30" spans="1:11" x14ac:dyDescent="0.2">
      <c r="A30" s="15" t="s">
        <v>252</v>
      </c>
    </row>
    <row r="32" spans="1:11" x14ac:dyDescent="0.2">
      <c r="A32" s="23" t="s">
        <v>253</v>
      </c>
    </row>
    <row r="33" spans="1:10" x14ac:dyDescent="0.2">
      <c r="A33" s="70" t="s">
        <v>254</v>
      </c>
      <c r="B33" s="70" t="s">
        <v>255</v>
      </c>
      <c r="C33" s="70" t="s">
        <v>241</v>
      </c>
      <c r="D33" s="70" t="s">
        <v>256</v>
      </c>
      <c r="E33" s="70" t="s">
        <v>257</v>
      </c>
      <c r="F33" s="70" t="s">
        <v>258</v>
      </c>
      <c r="G33" s="70" t="s">
        <v>259</v>
      </c>
      <c r="H33" s="70" t="s">
        <v>260</v>
      </c>
      <c r="I33" s="70" t="s">
        <v>261</v>
      </c>
      <c r="J33" s="70" t="s">
        <v>262</v>
      </c>
    </row>
    <row r="34" spans="1:10" x14ac:dyDescent="0.2">
      <c r="A34" s="10" t="s">
        <v>263</v>
      </c>
      <c r="B34" s="40" t="s">
        <v>264</v>
      </c>
      <c r="C34" s="48">
        <f>A25</f>
        <v>5</v>
      </c>
      <c r="D34" s="38">
        <f>I25</f>
        <v>0.985</v>
      </c>
      <c r="E34" s="61">
        <f>(LN($B$5/C34)+($B$7+D34^2/2)*$B$9)/(D34*SQRT($B$9))</f>
        <v>0.6337052816968198</v>
      </c>
      <c r="F34" s="61">
        <f>E34-D34*SQRT($B$9)</f>
        <v>-0.1257805303037316</v>
      </c>
      <c r="G34" s="32">
        <f>IF(B34="C",$B$5*NORMSDIST(E34)-C34*EXP(-$B$7*$B$9)*NORMSDIST(F34),C34*EXP(-$B$7*$B$9)*NORMSDIST(-F34)-$B$5*NORMSDIST(-E34))</f>
        <v>1.1291991493784648</v>
      </c>
      <c r="H34" s="8">
        <f>IF(B34="C",NORMSDIST(E34),NORMSDIST(E34)-1)</f>
        <v>-0.2631365886943381</v>
      </c>
      <c r="I34" s="48">
        <f>F25</f>
        <v>0</v>
      </c>
      <c r="J34" s="48">
        <f>G25</f>
        <v>4.9</v>
      </c>
    </row>
    <row r="35" spans="1:10" x14ac:dyDescent="0.2">
      <c r="A35" s="10" t="s">
        <v>265</v>
      </c>
      <c r="B35" s="40" t="s">
        <v>266</v>
      </c>
      <c r="C35" s="48">
        <f>A25</f>
        <v>5</v>
      </c>
      <c r="D35" s="38">
        <f>E25</f>
        <v>1.045</v>
      </c>
      <c r="E35" s="61">
        <f>(LN($B$5/C35)+($B$7+D35^2/2)*$B$9)/(D35*SQRT($B$9))</f>
        <v>0.6422552574601127</v>
      </c>
      <c r="F35" s="61">
        <f>E35-D35*SQRT($B$9)</f>
        <v>-0.16349364968768043</v>
      </c>
      <c r="G35" s="32">
        <f>IF(B35="C",$B$5*NORMSDIST(E35)-C35*EXP(-$B$7*$B$9)*NORMSDIST(F35),C35*EXP(-$B$7*$B$9)*NORMSDIST(-F35)-$B$5*NORMSDIST(-E35))</f>
        <v>2.2587391419783245</v>
      </c>
      <c r="H35" s="8">
        <f>IF(B35="C",NORMSDIST(E35),NORMSDIST(E35)-1)</f>
        <v>0.7396462699721884</v>
      </c>
      <c r="I35" s="48">
        <f t="shared" ref="I35:J38" si="0">B25</f>
        <v>1.05</v>
      </c>
      <c r="J35" s="48">
        <f t="shared" si="0"/>
        <v>4.9</v>
      </c>
    </row>
    <row r="36" spans="1:10" x14ac:dyDescent="0.2">
      <c r="A36" s="10" t="s">
        <v>267</v>
      </c>
      <c r="B36" s="40" t="s">
        <v>266</v>
      </c>
      <c r="C36" s="48">
        <f>A26</f>
        <v>7.5</v>
      </c>
      <c r="D36" s="38">
        <f>E26</f>
        <v>0.994</v>
      </c>
      <c r="E36" s="61">
        <f>(LN($B$5/C36)+($B$7+D36^2/2)*$B$9)/(D36*SQRT($B$9))</f>
        <v>0.10584145327854858</v>
      </c>
      <c r="F36" s="61">
        <f>E36-D36*SQRT($B$9)</f>
        <v>-0.6605838229940891</v>
      </c>
      <c r="G36" s="32">
        <f>IF(B36="C",$B$5*NORMSDIST(E36)-C36*EXP(-$B$7*$B$9)*NORMSDIST(F36),C36*EXP(-$B$7*$B$9)*NORMSDIST(-F36)-$B$5*NORMSDIST(-E36))</f>
        <v>1.3487019922940287</v>
      </c>
      <c r="H36" s="8">
        <f>IF(B36="C",NORMSDIST(E36),NORMSDIST(E36)-1)</f>
        <v>0.5421459267353075</v>
      </c>
      <c r="I36" s="48">
        <f t="shared" si="0"/>
        <v>0</v>
      </c>
      <c r="J36" s="48">
        <f t="shared" si="0"/>
        <v>4.9</v>
      </c>
    </row>
    <row r="37" spans="1:10" x14ac:dyDescent="0.2">
      <c r="A37" s="10" t="s">
        <v>268</v>
      </c>
      <c r="B37" s="40" t="s">
        <v>266</v>
      </c>
      <c r="C37" s="48">
        <f>A27</f>
        <v>10</v>
      </c>
      <c r="D37" s="38">
        <f>E27</f>
        <v>1.088</v>
      </c>
      <c r="E37" s="61">
        <f>(LN($B$5/C37)+($B$7+D37^2/2)*$B$9)/(D37*SQRT($B$9))</f>
        <v>-0.17688111096544532</v>
      </c>
      <c r="F37" s="61">
        <f>E37-D37*SQRT($B$9)</f>
        <v>-1.0157852363020952</v>
      </c>
      <c r="G37" s="32">
        <f>IF(B37="C",$B$5*NORMSDIST(E37)-C37*EXP(-$B$7*$B$9)*NORMSDIST(F37),C37*EXP(-$B$7*$B$9)*NORMSDIST(-F37)-$B$5*NORMSDIST(-E37))</f>
        <v>1.0342054883503824</v>
      </c>
      <c r="H37" s="8">
        <f>IF(B37="C",NORMSDIST(E37),NORMSDIST(E37)-1)</f>
        <v>0.42980088796657523</v>
      </c>
      <c r="I37" s="48">
        <f t="shared" si="0"/>
        <v>0</v>
      </c>
      <c r="J37" s="48">
        <f t="shared" si="0"/>
        <v>1.15</v>
      </c>
    </row>
    <row r="38" spans="1:10" x14ac:dyDescent="0.2">
      <c r="A38" s="10" t="s">
        <v>269</v>
      </c>
      <c r="B38" s="40" t="s">
        <v>266</v>
      </c>
      <c r="C38" s="48">
        <f>A28</f>
        <v>12.5</v>
      </c>
      <c r="D38" s="38">
        <f>E28</f>
        <v>1.181</v>
      </c>
      <c r="E38" s="61">
        <f>(LN($B$5/C38)+($B$7+D38^2/2)*$B$9)/(D38*SQRT($B$9))</f>
        <v>-0.3391157814075248</v>
      </c>
      <c r="F38" s="61">
        <f>E38-D38*SQRT($B$9)</f>
        <v>-1.2497277042223993</v>
      </c>
      <c r="G38" s="32">
        <f>IF(B38="C",$B$5*NORMSDIST(E38)-C38*EXP(-$B$7*$B$9)*NORMSDIST(F38),C38*EXP(-$B$7*$B$9)*NORMSDIST(-F38)-$B$5*NORMSDIST(-E38))</f>
        <v>0.8857458520792905</v>
      </c>
      <c r="H38" s="8">
        <f>IF(B38="C",NORMSDIST(E38),NORMSDIST(E38)-1)</f>
        <v>0.3672612551316138</v>
      </c>
      <c r="I38" s="48">
        <f t="shared" si="0"/>
        <v>0</v>
      </c>
      <c r="J38" s="48">
        <f t="shared" si="0"/>
        <v>4.9</v>
      </c>
    </row>
    <row r="40" spans="1:10" x14ac:dyDescent="0.2">
      <c r="A40" s="23" t="s">
        <v>270</v>
      </c>
    </row>
    <row r="41" spans="1:10" x14ac:dyDescent="0.2">
      <c r="A41" s="70" t="s">
        <v>271</v>
      </c>
      <c r="B41" s="70" t="s">
        <v>272</v>
      </c>
      <c r="C41" s="70" t="s">
        <v>273</v>
      </c>
      <c r="D41" s="70" t="s">
        <v>274</v>
      </c>
      <c r="E41" s="70" t="s">
        <v>275</v>
      </c>
    </row>
    <row r="42" spans="1:10" ht="48" customHeight="1" x14ac:dyDescent="0.2">
      <c r="A42" s="10" t="s">
        <v>276</v>
      </c>
      <c r="B42" s="72" t="s">
        <v>277</v>
      </c>
      <c r="C42" s="72" t="s">
        <v>278</v>
      </c>
      <c r="D42" s="72" t="s">
        <v>279</v>
      </c>
      <c r="E42" s="72" t="s">
        <v>280</v>
      </c>
    </row>
    <row r="43" spans="1:10" x14ac:dyDescent="0.2">
      <c r="A43" s="10" t="s">
        <v>281</v>
      </c>
      <c r="B43" s="48">
        <f>-$G$36</f>
        <v>-1.3487019922940287</v>
      </c>
      <c r="C43" s="48">
        <f>-$G$36+$G$38</f>
        <v>-0.4629561402147382</v>
      </c>
      <c r="D43" s="48">
        <f>$G$34</f>
        <v>1.1291991493784648</v>
      </c>
      <c r="E43" s="48">
        <f>$G$34-$G$36+$G$38</f>
        <v>0.6662430091637266</v>
      </c>
    </row>
    <row r="44" spans="1:10" x14ac:dyDescent="0.2">
      <c r="A44" s="10" t="s">
        <v>282</v>
      </c>
      <c r="B44" s="73">
        <f>B43*$B$10</f>
        <v>-134.87019922940286</v>
      </c>
      <c r="C44" s="73">
        <f>C43*$B$10</f>
        <v>-46.29561402147382</v>
      </c>
      <c r="D44" s="73">
        <f>D43*$B$10</f>
        <v>112.91991493784647</v>
      </c>
      <c r="E44" s="73">
        <f>E43*$B$10</f>
        <v>66.62430091637266</v>
      </c>
    </row>
    <row r="45" spans="1:10" x14ac:dyDescent="0.2">
      <c r="A45" s="10" t="s">
        <v>283</v>
      </c>
      <c r="B45" s="74" t="str">
        <f>"Unlimited"</f>
        <v>Unlimited</v>
      </c>
      <c r="C45" s="74">
        <f>(12.5-7.5+C43)*$B$10</f>
        <v>453.7043859785262</v>
      </c>
      <c r="D45" s="74">
        <f>D43*$B$10</f>
        <v>112.91991493784647</v>
      </c>
      <c r="E45" s="74">
        <f>(12.5-7.5+E43)*$B$10</f>
        <v>566.6243009163726</v>
      </c>
    </row>
    <row r="46" spans="1:10" x14ac:dyDescent="0.2">
      <c r="A46" s="10" t="s">
        <v>284</v>
      </c>
      <c r="B46" s="73">
        <f>B43*$B$10</f>
        <v>-134.87019922940286</v>
      </c>
      <c r="C46" s="73">
        <f>C43*$B$10</f>
        <v>-46.29561402147382</v>
      </c>
      <c r="D46" s="73">
        <f>-(5-D43)*$B$10</f>
        <v>-387.0800850621535</v>
      </c>
      <c r="E46" s="73">
        <f>-(5-E43)*$B$10</f>
        <v>-433.37569908362735</v>
      </c>
    </row>
    <row r="47" spans="1:10" x14ac:dyDescent="0.2">
      <c r="A47" s="18" t="s">
        <v>285</v>
      </c>
      <c r="B47" s="32">
        <f>7.5-B43</f>
        <v>8.848701992294028</v>
      </c>
      <c r="C47" s="32">
        <f>7.5-C43</f>
        <v>7.962956140214738</v>
      </c>
      <c r="D47" s="32">
        <f>5-D43</f>
        <v>3.870800850621535</v>
      </c>
      <c r="E47" s="32">
        <f>IF(E43&gt;=0,5-E43,7.5-E43)</f>
        <v>4.333756990836274</v>
      </c>
    </row>
    <row r="48" spans="1:10" x14ac:dyDescent="0.2">
      <c r="A48" s="10" t="s">
        <v>286</v>
      </c>
      <c r="B48" s="73">
        <f>-B43*$B$10</f>
        <v>134.87019922940286</v>
      </c>
      <c r="C48" s="73">
        <f>-C43*$B$10</f>
        <v>46.29561402147382</v>
      </c>
      <c r="D48" s="73">
        <f>5*$B$10</f>
        <v>500.0</v>
      </c>
      <c r="E48" s="73">
        <f>5*$B$10</f>
        <v>500.0</v>
      </c>
    </row>
    <row r="49" spans="1:6" x14ac:dyDescent="0.2">
      <c r="A49" s="10" t="s">
        <v>287</v>
      </c>
      <c r="B49" s="38">
        <f>NORMSDIST((LN($B$5/B47)+($B$7-$D$36^2/2)*$B$9)/($D$36*SQRT($B$9)))</f>
        <v>0.19042021167983855</v>
      </c>
      <c r="C49" s="38">
        <f>NORMSDIST((LN($B$5/C47)+($B$7-$D$36^2/2)*$B$9)/($D$36*SQRT($B$9)))</f>
        <v>0.23003386619193852</v>
      </c>
      <c r="D49" s="38">
        <f>NORMSDIST((LN($B$5/D47)+($B$7-$D$34^2/2)*$B$9)/($D$34*SQRT($B$9)))</f>
        <v>0.5836572831277017</v>
      </c>
      <c r="E49" s="38">
        <f>NORMSDIST((LN($B$5/E47)+($B$7-$D$34^2/2)*$B$9)/($D$34*SQRT($B$9)))</f>
        <v>0.5249211762184944</v>
      </c>
    </row>
    <row r="50" spans="1:6" x14ac:dyDescent="0.2">
      <c r="A50" s="10" t="s">
        <v>288</v>
      </c>
      <c r="B50" s="73">
        <f>(MAX($B$5-7.5,0)-$G$36)*$B$10</f>
        <v>-134.87019922940286</v>
      </c>
      <c r="C50" s="73">
        <f>(MAX($B$5-7.5,0)-MAX($B$5-12.5,0)-$G$36+$G$38)*$B$10</f>
        <v>-46.29561402147382</v>
      </c>
      <c r="D50" s="73">
        <f>($G$34-MAX(5-$B$5,0))*$B$10</f>
        <v>112.91991493784647</v>
      </c>
      <c r="E50" s="73">
        <f>($G$34-MAX(5-$B$5,0)+MAX($B$5-7.5,0)-MAX($B$5-12.5,0)-$G$36+$G$38)*$B$10</f>
        <v>66.62430091637266</v>
      </c>
    </row>
    <row r="51" spans="1:6" x14ac:dyDescent="0.2">
      <c r="A51" s="10" t="s">
        <v>289</v>
      </c>
      <c r="B51" s="73">
        <f>(MAX($B$16-7.5,0)-$G$36)*$B$10</f>
        <v>-134.87019922940286</v>
      </c>
      <c r="C51" s="73">
        <f>(MAX($B$16-7.5,0)-MAX($B$16-12.5,0)-$G$36+$G$38)*$B$10</f>
        <v>-46.29561402147382</v>
      </c>
      <c r="D51" s="73">
        <f>($G$34-MAX(5-$B$16,0))*$B$10</f>
        <v>-56.19559734269461</v>
      </c>
      <c r="E51" s="73">
        <f>($G$34-MAX(5-$B$16,0)+MAX($B$16-7.5,0)-MAX($B$16-12.5,0)-$G$36+$G$38)*$B$10</f>
        <v>-102.49121136416844</v>
      </c>
    </row>
    <row r="52" spans="1:6" x14ac:dyDescent="0.2">
      <c r="A52" s="10" t="s">
        <v>290</v>
      </c>
      <c r="B52" s="73">
        <f>(MAX($B$17-7.5,0)-$G$36)*$B$10</f>
        <v>-134.87019922940286</v>
      </c>
      <c r="C52" s="73">
        <f>(MAX($B$17-7.5,0)-MAX($B$17-12.5,0)-$G$36+$G$38)*$B$10</f>
        <v>-46.29561402147382</v>
      </c>
      <c r="D52" s="73">
        <f>($G$34-MAX(5-$B$17,0))*$B$10</f>
        <v>112.91991493784647</v>
      </c>
      <c r="E52" s="73">
        <f>($G$34-MAX(5-$B$17,0)+MAX($B$17-7.5,0)-MAX($B$17-12.5,0)-$G$36+$G$38)*$B$10</f>
        <v>66.62430091637266</v>
      </c>
    </row>
    <row r="53" spans="1:6" x14ac:dyDescent="0.2">
      <c r="A53" s="10" t="s">
        <v>291</v>
      </c>
      <c r="B53" s="73">
        <f>(MAX($B$18-7.5,0)-$G$36)*$B$10</f>
        <v>418.73249981765287</v>
      </c>
      <c r="C53" s="73">
        <f>(MAX($B$18-7.5,0)-MAX($B$18-12.5,0)-$G$36+$G$38)*$B$10</f>
        <v>453.7043859785262</v>
      </c>
      <c r="D53" s="73">
        <f>($G$34-MAX(5-$B$18,0))*$B$10</f>
        <v>112.91991493784647</v>
      </c>
      <c r="E53" s="73">
        <f>($G$34-MAX(5-$B$18,0)+MAX($B$18-7.5,0)-MAX($B$18-12.5,0)-$G$36+$G$38)*$B$10</f>
        <v>566.6243009163727</v>
      </c>
    </row>
    <row r="54" spans="1:6" x14ac:dyDescent="0.2">
      <c r="A54" s="18" t="s">
        <v>292</v>
      </c>
      <c r="B54" s="75">
        <f>SUMPRODUCT(B51:B53,$C$16:$C$18)</f>
        <v>3.5304755323610664</v>
      </c>
      <c r="C54" s="75">
        <f>SUMPRODUCT(C51:C53,$C$16:$C$18)</f>
        <v>78.70438597852619</v>
      </c>
      <c r="D54" s="75">
        <f>SUMPRODUCT(D51:D53,$C$16:$C$18)</f>
        <v>70.6410368677112</v>
      </c>
      <c r="E54" s="75">
        <f>SUMPRODUCT(E51:E53,$C$16:$C$18)</f>
        <v>149.3454228462374</v>
      </c>
    </row>
    <row r="55" spans="1:6" x14ac:dyDescent="0.2">
      <c r="A55" s="10" t="s">
        <v>293</v>
      </c>
      <c r="B55" s="38">
        <f>IFERROR(B54/-B46,0)</f>
        <v>0.02617683930573888</v>
      </c>
      <c r="C55" s="38">
        <f>IFERROR(C54/-C46,0)</f>
        <v>1.7000397908540503</v>
      </c>
      <c r="D55" s="38">
        <f>IFERROR(D54/-D46,0)</f>
        <v>0.18249721335151706</v>
      </c>
      <c r="E55" s="38">
        <f>IFERROR(E54/-E46,0)</f>
        <v>0.344609592005339</v>
      </c>
    </row>
    <row r="57" spans="1:6" x14ac:dyDescent="0.2">
      <c r="A57" s="15" t="s">
        <v>294</v>
      </c>
    </row>
    <row r="58" spans="1:6" x14ac:dyDescent="0.2">
      <c r="A58" s="15" t="s">
        <v>295</v>
      </c>
    </row>
    <row r="60" spans="1:6" x14ac:dyDescent="0.2">
      <c r="A60" s="23" t="s">
        <v>296</v>
      </c>
    </row>
    <row r="61" spans="1:6" x14ac:dyDescent="0.2">
      <c r="A61" s="70" t="s">
        <v>297</v>
      </c>
      <c r="B61" s="70" t="s">
        <v>272</v>
      </c>
      <c r="C61" s="70" t="s">
        <v>273</v>
      </c>
      <c r="D61" s="70" t="s">
        <v>274</v>
      </c>
      <c r="E61" s="70" t="s">
        <v>275</v>
      </c>
      <c r="F61" s="70" t="s">
        <v>298</v>
      </c>
    </row>
    <row r="62" spans="1:6" x14ac:dyDescent="0.2">
      <c r="A62" s="76">
        <v>0</v>
      </c>
      <c r="B62" s="77">
        <f t="shared" ref="B62:B94" si="1">(MAX($A62-7.5,0)-$G$36)*$B$10</f>
        <v>-134.87019922940286</v>
      </c>
      <c r="C62" s="77">
        <f t="shared" ref="C62:C94" si="2">(MAX($A62-7.5,0)-MAX($A62-12.5,0)-$G$36+$G$38)*$B$10</f>
        <v>-46.29561402147382</v>
      </c>
      <c r="D62" s="77">
        <f t="shared" ref="D62:D94" si="3">($G$34-MAX(5-$A62,0))*$B$10</f>
        <v>-387.0800850621535</v>
      </c>
      <c r="E62" s="77">
        <f t="shared" ref="E62:E94" si="4">($G$34-MAX(5-$A62,0)+MAX($A62-7.5,0)-MAX($A62-12.5,0)-$G$36+$G$38)*$B$10</f>
        <v>-433.3756990836273</v>
      </c>
      <c r="F62" s="77">
        <f t="shared" ref="F62:F94" si="5">($A62-$B$5)*$B$10</f>
        <v>-593.0</v>
      </c>
    </row>
    <row r="63" spans="1:6" x14ac:dyDescent="0.2">
      <c r="A63" s="76">
        <v>0.5</v>
      </c>
      <c r="B63" s="77">
        <f t="shared" si="1"/>
        <v>-134.87019922940286</v>
      </c>
      <c r="C63" s="77">
        <f t="shared" si="2"/>
        <v>-46.29561402147382</v>
      </c>
      <c r="D63" s="77">
        <f t="shared" si="3"/>
        <v>-337.0800850621535</v>
      </c>
      <c r="E63" s="77">
        <f t="shared" si="4"/>
        <v>-383.3756990836273</v>
      </c>
      <c r="F63" s="77">
        <f t="shared" si="5"/>
        <v>-543.0</v>
      </c>
    </row>
    <row r="64" spans="1:6" x14ac:dyDescent="0.2">
      <c r="A64" s="76">
        <v>1</v>
      </c>
      <c r="B64" s="77">
        <f t="shared" si="1"/>
        <v>-134.87019922940286</v>
      </c>
      <c r="C64" s="77">
        <f t="shared" si="2"/>
        <v>-46.29561402147382</v>
      </c>
      <c r="D64" s="77">
        <f t="shared" si="3"/>
        <v>-287.0800850621535</v>
      </c>
      <c r="E64" s="77">
        <f t="shared" si="4"/>
        <v>-333.3756990836273</v>
      </c>
      <c r="F64" s="77">
        <f t="shared" si="5"/>
        <v>-493.0</v>
      </c>
    </row>
    <row r="65" spans="1:6" x14ac:dyDescent="0.2">
      <c r="A65" s="76">
        <v>1.5</v>
      </c>
      <c r="B65" s="77">
        <f t="shared" si="1"/>
        <v>-134.87019922940286</v>
      </c>
      <c r="C65" s="77">
        <f t="shared" si="2"/>
        <v>-46.29561402147382</v>
      </c>
      <c r="D65" s="77">
        <f t="shared" si="3"/>
        <v>-237.0800850621535</v>
      </c>
      <c r="E65" s="77">
        <f t="shared" si="4"/>
        <v>-283.3756990836273</v>
      </c>
      <c r="F65" s="77">
        <f t="shared" si="5"/>
        <v>-443.0</v>
      </c>
    </row>
    <row r="66" spans="1:6" x14ac:dyDescent="0.2">
      <c r="A66" s="76">
        <v>2</v>
      </c>
      <c r="B66" s="77">
        <f t="shared" si="1"/>
        <v>-134.87019922940286</v>
      </c>
      <c r="C66" s="77">
        <f t="shared" si="2"/>
        <v>-46.29561402147382</v>
      </c>
      <c r="D66" s="77">
        <f t="shared" si="3"/>
        <v>-187.08008506215353</v>
      </c>
      <c r="E66" s="77">
        <f t="shared" si="4"/>
        <v>-233.37569908362735</v>
      </c>
      <c r="F66" s="77">
        <f t="shared" si="5"/>
        <v>-393.0</v>
      </c>
    </row>
    <row r="67" spans="1:6" x14ac:dyDescent="0.2">
      <c r="A67" s="76">
        <v>2.5</v>
      </c>
      <c r="B67" s="77">
        <f t="shared" si="1"/>
        <v>-134.87019922940286</v>
      </c>
      <c r="C67" s="77">
        <f t="shared" si="2"/>
        <v>-46.29561402147382</v>
      </c>
      <c r="D67" s="77">
        <f t="shared" si="3"/>
        <v>-137.08008506215353</v>
      </c>
      <c r="E67" s="77">
        <f t="shared" si="4"/>
        <v>-183.37569908362735</v>
      </c>
      <c r="F67" s="77">
        <f t="shared" si="5"/>
        <v>-343.0</v>
      </c>
    </row>
    <row r="68" spans="1:6" x14ac:dyDescent="0.2">
      <c r="A68" s="76">
        <v>3</v>
      </c>
      <c r="B68" s="77">
        <f t="shared" si="1"/>
        <v>-134.87019922940286</v>
      </c>
      <c r="C68" s="77">
        <f t="shared" si="2"/>
        <v>-46.29561402147382</v>
      </c>
      <c r="D68" s="77">
        <f t="shared" si="3"/>
        <v>-87.08008506215353</v>
      </c>
      <c r="E68" s="77">
        <f t="shared" si="4"/>
        <v>-133.37569908362735</v>
      </c>
      <c r="F68" s="77">
        <f t="shared" si="5"/>
        <v>-293.0</v>
      </c>
    </row>
    <row r="69" spans="1:6" x14ac:dyDescent="0.2">
      <c r="A69" s="76">
        <v>3.5</v>
      </c>
      <c r="B69" s="77">
        <f t="shared" si="1"/>
        <v>-134.87019922940286</v>
      </c>
      <c r="C69" s="77">
        <f t="shared" si="2"/>
        <v>-46.29561402147382</v>
      </c>
      <c r="D69" s="77">
        <f t="shared" si="3"/>
        <v>-37.08008506215352</v>
      </c>
      <c r="E69" s="77">
        <f t="shared" si="4"/>
        <v>-83.37569908362734</v>
      </c>
      <c r="F69" s="77">
        <f t="shared" si="5"/>
        <v>-242.99999999999997</v>
      </c>
    </row>
    <row r="70" spans="1:6" x14ac:dyDescent="0.2">
      <c r="A70" s="76">
        <v>4</v>
      </c>
      <c r="B70" s="77">
        <f t="shared" si="1"/>
        <v>-134.87019922940286</v>
      </c>
      <c r="C70" s="77">
        <f t="shared" si="2"/>
        <v>-46.29561402147382</v>
      </c>
      <c r="D70" s="77">
        <f t="shared" si="3"/>
        <v>12.919914937846478</v>
      </c>
      <c r="E70" s="77">
        <f t="shared" si="4"/>
        <v>-33.37569908362734</v>
      </c>
      <c r="F70" s="77">
        <f t="shared" si="5"/>
        <v>-192.99999999999997</v>
      </c>
    </row>
    <row r="71" spans="1:6" x14ac:dyDescent="0.2">
      <c r="A71" s="76">
        <v>4.5</v>
      </c>
      <c r="B71" s="77">
        <f t="shared" si="1"/>
        <v>-134.87019922940286</v>
      </c>
      <c r="C71" s="77">
        <f t="shared" si="2"/>
        <v>-46.29561402147382</v>
      </c>
      <c r="D71" s="77">
        <f t="shared" si="3"/>
        <v>62.91991493784648</v>
      </c>
      <c r="E71" s="77">
        <f t="shared" si="4"/>
        <v>16.624300916372658</v>
      </c>
      <c r="F71" s="77">
        <f t="shared" si="5"/>
        <v>-142.99999999999997</v>
      </c>
    </row>
    <row r="72" spans="1:6" x14ac:dyDescent="0.2">
      <c r="A72" s="76">
        <v>5</v>
      </c>
      <c r="B72" s="77">
        <f t="shared" si="1"/>
        <v>-134.87019922940286</v>
      </c>
      <c r="C72" s="77">
        <f t="shared" si="2"/>
        <v>-46.29561402147382</v>
      </c>
      <c r="D72" s="77">
        <f t="shared" si="3"/>
        <v>112.91991493784647</v>
      </c>
      <c r="E72" s="77">
        <f t="shared" si="4"/>
        <v>66.62430091637266</v>
      </c>
      <c r="F72" s="77">
        <f t="shared" si="5"/>
        <v>-92.99999999999997</v>
      </c>
    </row>
    <row r="73" spans="1:6" x14ac:dyDescent="0.2">
      <c r="A73" s="76">
        <v>5.5</v>
      </c>
      <c r="B73" s="77">
        <f t="shared" si="1"/>
        <v>-134.87019922940286</v>
      </c>
      <c r="C73" s="77">
        <f t="shared" si="2"/>
        <v>-46.29561402147382</v>
      </c>
      <c r="D73" s="77">
        <f t="shared" si="3"/>
        <v>112.91991493784647</v>
      </c>
      <c r="E73" s="77">
        <f t="shared" si="4"/>
        <v>66.62430091637266</v>
      </c>
      <c r="F73" s="77">
        <f t="shared" si="5"/>
        <v>-42.99999999999997</v>
      </c>
    </row>
    <row r="74" spans="1:6" x14ac:dyDescent="0.2">
      <c r="A74" s="76">
        <v>6</v>
      </c>
      <c r="B74" s="77">
        <f t="shared" si="1"/>
        <v>-134.87019922940286</v>
      </c>
      <c r="C74" s="77">
        <f t="shared" si="2"/>
        <v>-46.29561402147382</v>
      </c>
      <c r="D74" s="77">
        <f t="shared" si="3"/>
        <v>112.91991493784647</v>
      </c>
      <c r="E74" s="77">
        <f t="shared" si="4"/>
        <v>66.62430091637266</v>
      </c>
      <c r="F74" s="77">
        <f t="shared" si="5"/>
        <v>7.000000000000028</v>
      </c>
    </row>
    <row r="75" spans="1:6" x14ac:dyDescent="0.2">
      <c r="A75" s="76">
        <v>6.5</v>
      </c>
      <c r="B75" s="77">
        <f t="shared" si="1"/>
        <v>-134.87019922940286</v>
      </c>
      <c r="C75" s="77">
        <f t="shared" si="2"/>
        <v>-46.29561402147382</v>
      </c>
      <c r="D75" s="77">
        <f t="shared" si="3"/>
        <v>112.91991493784647</v>
      </c>
      <c r="E75" s="77">
        <f t="shared" si="4"/>
        <v>66.62430091637266</v>
      </c>
      <c r="F75" s="77">
        <f t="shared" si="5"/>
        <v>57.00000000000003</v>
      </c>
    </row>
    <row r="76" spans="1:6" x14ac:dyDescent="0.2">
      <c r="A76" s="76">
        <v>7</v>
      </c>
      <c r="B76" s="77">
        <f t="shared" si="1"/>
        <v>-134.87019922940286</v>
      </c>
      <c r="C76" s="77">
        <f t="shared" si="2"/>
        <v>-46.29561402147382</v>
      </c>
      <c r="D76" s="77">
        <f t="shared" si="3"/>
        <v>112.91991493784647</v>
      </c>
      <c r="E76" s="77">
        <f t="shared" si="4"/>
        <v>66.62430091637266</v>
      </c>
      <c r="F76" s="77">
        <f t="shared" si="5"/>
        <v>107.00000000000003</v>
      </c>
    </row>
    <row r="77" spans="1:6" x14ac:dyDescent="0.2">
      <c r="A77" s="76">
        <v>7.5</v>
      </c>
      <c r="B77" s="77">
        <f t="shared" si="1"/>
        <v>-134.87019922940286</v>
      </c>
      <c r="C77" s="77">
        <f t="shared" si="2"/>
        <v>-46.29561402147382</v>
      </c>
      <c r="D77" s="77">
        <f t="shared" si="3"/>
        <v>112.91991493784647</v>
      </c>
      <c r="E77" s="77">
        <f t="shared" si="4"/>
        <v>66.62430091637266</v>
      </c>
      <c r="F77" s="77">
        <f t="shared" si="5"/>
        <v>157.00000000000003</v>
      </c>
    </row>
    <row r="78" spans="1:6" x14ac:dyDescent="0.2">
      <c r="A78" s="76">
        <v>8</v>
      </c>
      <c r="B78" s="77">
        <f t="shared" si="1"/>
        <v>-84.87019922940287</v>
      </c>
      <c r="C78" s="77">
        <f t="shared" si="2"/>
        <v>3.7043859785261812</v>
      </c>
      <c r="D78" s="77">
        <f t="shared" si="3"/>
        <v>112.91991493784647</v>
      </c>
      <c r="E78" s="77">
        <f t="shared" si="4"/>
        <v>116.62430091637266</v>
      </c>
      <c r="F78" s="77">
        <f t="shared" si="5"/>
        <v>207.00000000000003</v>
      </c>
    </row>
    <row r="79" spans="1:6" x14ac:dyDescent="0.2">
      <c r="A79" s="76">
        <v>8.5</v>
      </c>
      <c r="B79" s="77">
        <f t="shared" si="1"/>
        <v>-34.870199229402864</v>
      </c>
      <c r="C79" s="77">
        <f t="shared" si="2"/>
        <v>53.70438597852618</v>
      </c>
      <c r="D79" s="77">
        <f t="shared" si="3"/>
        <v>112.91991493784647</v>
      </c>
      <c r="E79" s="77">
        <f t="shared" si="4"/>
        <v>166.62430091637268</v>
      </c>
      <c r="F79" s="77">
        <f t="shared" si="5"/>
        <v>257.0</v>
      </c>
    </row>
    <row r="80" spans="1:6" x14ac:dyDescent="0.2">
      <c r="A80" s="76">
        <v>9</v>
      </c>
      <c r="B80" s="77">
        <f t="shared" si="1"/>
        <v>15.129800770597136</v>
      </c>
      <c r="C80" s="77">
        <f t="shared" si="2"/>
        <v>103.70438597852618</v>
      </c>
      <c r="D80" s="77">
        <f t="shared" si="3"/>
        <v>112.91991493784647</v>
      </c>
      <c r="E80" s="77">
        <f t="shared" si="4"/>
        <v>216.62430091637268</v>
      </c>
      <c r="F80" s="77">
        <f t="shared" si="5"/>
        <v>307.0</v>
      </c>
    </row>
    <row r="81" spans="1:6" x14ac:dyDescent="0.2">
      <c r="A81" s="76">
        <v>9.5</v>
      </c>
      <c r="B81" s="77">
        <f t="shared" si="1"/>
        <v>65.12980077059713</v>
      </c>
      <c r="C81" s="77">
        <f t="shared" si="2"/>
        <v>153.70438597852618</v>
      </c>
      <c r="D81" s="77">
        <f t="shared" si="3"/>
        <v>112.91991493784647</v>
      </c>
      <c r="E81" s="77">
        <f t="shared" si="4"/>
        <v>266.6243009163727</v>
      </c>
      <c r="F81" s="77">
        <f t="shared" si="5"/>
        <v>357.0</v>
      </c>
    </row>
    <row r="82" spans="1:6" x14ac:dyDescent="0.2">
      <c r="A82" s="76">
        <v>10</v>
      </c>
      <c r="B82" s="77">
        <f t="shared" si="1"/>
        <v>115.12980077059713</v>
      </c>
      <c r="C82" s="77">
        <f t="shared" si="2"/>
        <v>203.70438597852618</v>
      </c>
      <c r="D82" s="77">
        <f t="shared" si="3"/>
        <v>112.91991493784647</v>
      </c>
      <c r="E82" s="77">
        <f t="shared" si="4"/>
        <v>316.6243009163727</v>
      </c>
      <c r="F82" s="77">
        <f t="shared" si="5"/>
        <v>407.0</v>
      </c>
    </row>
    <row r="83" spans="1:6" x14ac:dyDescent="0.2">
      <c r="A83" s="76">
        <v>10.5</v>
      </c>
      <c r="B83" s="77">
        <f t="shared" si="1"/>
        <v>165.12980077059714</v>
      </c>
      <c r="C83" s="77">
        <f t="shared" si="2"/>
        <v>253.70438597852618</v>
      </c>
      <c r="D83" s="77">
        <f t="shared" si="3"/>
        <v>112.91991493784647</v>
      </c>
      <c r="E83" s="77">
        <f t="shared" si="4"/>
        <v>366.6243009163727</v>
      </c>
      <c r="F83" s="77">
        <f t="shared" si="5"/>
        <v>457.0</v>
      </c>
    </row>
    <row r="84" spans="1:6" x14ac:dyDescent="0.2">
      <c r="A84" s="76">
        <v>11</v>
      </c>
      <c r="B84" s="77">
        <f t="shared" si="1"/>
        <v>215.12980077059717</v>
      </c>
      <c r="C84" s="77">
        <f t="shared" si="2"/>
        <v>303.7043859785262</v>
      </c>
      <c r="D84" s="77">
        <f t="shared" si="3"/>
        <v>112.91991493784647</v>
      </c>
      <c r="E84" s="77">
        <f t="shared" si="4"/>
        <v>416.6243009163727</v>
      </c>
      <c r="F84" s="77">
        <f t="shared" si="5"/>
        <v>507.0</v>
      </c>
    </row>
    <row r="85" spans="1:6" x14ac:dyDescent="0.2">
      <c r="A85" s="76">
        <v>11.5</v>
      </c>
      <c r="B85" s="77">
        <f t="shared" si="1"/>
        <v>265.12980077059717</v>
      </c>
      <c r="C85" s="77">
        <f t="shared" si="2"/>
        <v>353.7043859785262</v>
      </c>
      <c r="D85" s="77">
        <f t="shared" si="3"/>
        <v>112.91991493784647</v>
      </c>
      <c r="E85" s="77">
        <f t="shared" si="4"/>
        <v>466.6243009163727</v>
      </c>
      <c r="F85" s="77">
        <f t="shared" si="5"/>
        <v>557.0</v>
      </c>
    </row>
    <row r="86" spans="1:6" x14ac:dyDescent="0.2">
      <c r="A86" s="76">
        <v>12</v>
      </c>
      <c r="B86" s="77">
        <f t="shared" si="1"/>
        <v>315.12980077059717</v>
      </c>
      <c r="C86" s="77">
        <f t="shared" si="2"/>
        <v>403.7043859785262</v>
      </c>
      <c r="D86" s="77">
        <f t="shared" si="3"/>
        <v>112.91991493784647</v>
      </c>
      <c r="E86" s="77">
        <f t="shared" si="4"/>
        <v>516.6243009163727</v>
      </c>
      <c r="F86" s="77">
        <f t="shared" si="5"/>
        <v>607.0</v>
      </c>
    </row>
    <row r="87" spans="1:6" x14ac:dyDescent="0.2">
      <c r="A87" s="76">
        <v>12.5</v>
      </c>
      <c r="B87" s="77">
        <f t="shared" si="1"/>
        <v>365.12980077059717</v>
      </c>
      <c r="C87" s="77">
        <f t="shared" si="2"/>
        <v>453.7043859785262</v>
      </c>
      <c r="D87" s="77">
        <f t="shared" si="3"/>
        <v>112.91991493784647</v>
      </c>
      <c r="E87" s="77">
        <f t="shared" si="4"/>
        <v>566.6243009163727</v>
      </c>
      <c r="F87" s="77">
        <f t="shared" si="5"/>
        <v>657.0</v>
      </c>
    </row>
    <row r="88" spans="1:6" x14ac:dyDescent="0.2">
      <c r="A88" s="76">
        <v>13</v>
      </c>
      <c r="B88" s="77">
        <f t="shared" si="1"/>
        <v>415.12980077059717</v>
      </c>
      <c r="C88" s="77">
        <f t="shared" si="2"/>
        <v>453.7043859785262</v>
      </c>
      <c r="D88" s="77">
        <f t="shared" si="3"/>
        <v>112.91991493784647</v>
      </c>
      <c r="E88" s="77">
        <f t="shared" si="4"/>
        <v>566.6243009163727</v>
      </c>
      <c r="F88" s="77">
        <f t="shared" si="5"/>
        <v>707.0</v>
      </c>
    </row>
    <row r="89" spans="1:6" x14ac:dyDescent="0.2">
      <c r="A89" s="76">
        <v>13.5</v>
      </c>
      <c r="B89" s="77">
        <f t="shared" si="1"/>
        <v>465.12980077059717</v>
      </c>
      <c r="C89" s="77">
        <f t="shared" si="2"/>
        <v>453.7043859785262</v>
      </c>
      <c r="D89" s="77">
        <f t="shared" si="3"/>
        <v>112.91991493784647</v>
      </c>
      <c r="E89" s="77">
        <f t="shared" si="4"/>
        <v>566.6243009163727</v>
      </c>
      <c r="F89" s="77">
        <f t="shared" si="5"/>
        <v>757.0</v>
      </c>
    </row>
    <row r="90" spans="1:6" x14ac:dyDescent="0.2">
      <c r="A90" s="76">
        <v>14</v>
      </c>
      <c r="B90" s="77">
        <f t="shared" si="1"/>
        <v>515.1298007705972</v>
      </c>
      <c r="C90" s="77">
        <f t="shared" si="2"/>
        <v>453.7043859785262</v>
      </c>
      <c r="D90" s="77">
        <f t="shared" si="3"/>
        <v>112.91991493784647</v>
      </c>
      <c r="E90" s="77">
        <f t="shared" si="4"/>
        <v>566.6243009163727</v>
      </c>
      <c r="F90" s="77">
        <f t="shared" si="5"/>
        <v>807.0</v>
      </c>
    </row>
    <row r="91" spans="1:6" x14ac:dyDescent="0.2">
      <c r="A91" s="76">
        <v>14.5</v>
      </c>
      <c r="B91" s="77">
        <f t="shared" si="1"/>
        <v>565.1298007705972</v>
      </c>
      <c r="C91" s="77">
        <f t="shared" si="2"/>
        <v>453.7043859785262</v>
      </c>
      <c r="D91" s="77">
        <f t="shared" si="3"/>
        <v>112.91991493784647</v>
      </c>
      <c r="E91" s="77">
        <f t="shared" si="4"/>
        <v>566.6243009163727</v>
      </c>
      <c r="F91" s="77">
        <f t="shared" si="5"/>
        <v>857.0</v>
      </c>
    </row>
    <row r="92" spans="1:6" x14ac:dyDescent="0.2">
      <c r="A92" s="76">
        <v>15</v>
      </c>
      <c r="B92" s="77">
        <f t="shared" si="1"/>
        <v>615.1298007705972</v>
      </c>
      <c r="C92" s="77">
        <f t="shared" si="2"/>
        <v>453.7043859785262</v>
      </c>
      <c r="D92" s="77">
        <f t="shared" si="3"/>
        <v>112.91991493784647</v>
      </c>
      <c r="E92" s="77">
        <f t="shared" si="4"/>
        <v>566.6243009163727</v>
      </c>
      <c r="F92" s="77">
        <f t="shared" si="5"/>
        <v>907.0</v>
      </c>
    </row>
    <row r="93" spans="1:6" x14ac:dyDescent="0.2">
      <c r="A93" s="76">
        <v>15.5</v>
      </c>
      <c r="B93" s="77">
        <f t="shared" si="1"/>
        <v>665.1298007705972</v>
      </c>
      <c r="C93" s="77">
        <f t="shared" si="2"/>
        <v>453.7043859785262</v>
      </c>
      <c r="D93" s="77">
        <f t="shared" si="3"/>
        <v>112.91991493784647</v>
      </c>
      <c r="E93" s="77">
        <f t="shared" si="4"/>
        <v>566.6243009163727</v>
      </c>
      <c r="F93" s="77">
        <f t="shared" si="5"/>
        <v>957.0</v>
      </c>
    </row>
    <row r="94" spans="1:6" x14ac:dyDescent="0.2">
      <c r="A94" s="76">
        <v>16</v>
      </c>
      <c r="B94" s="77">
        <f t="shared" si="1"/>
        <v>715.1298007705972</v>
      </c>
      <c r="C94" s="77">
        <f t="shared" si="2"/>
        <v>453.7043859785262</v>
      </c>
      <c r="D94" s="77">
        <f t="shared" si="3"/>
        <v>112.91991493784647</v>
      </c>
      <c r="E94" s="77">
        <f t="shared" si="4"/>
        <v>566.6243009163727</v>
      </c>
      <c r="F94" s="77">
        <f t="shared" si="5"/>
        <v>1007.0</v>
      </c>
    </row>
  </sheetData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Yearly Model</vt:lpstr>
      <vt:lpstr>Quarterly Model</vt:lpstr>
      <vt:lpstr>Assumptions</vt:lpstr>
      <vt:lpstr>Pipeline</vt:lpstr>
      <vt:lpstr>NPV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Eric</dc:creator>
  <cp:lastModifiedBy>Wang, Eric</cp:lastModifiedBy>
  <dcterms:created xsi:type="dcterms:W3CDTF">2026-10-02T01:24:56Z</dcterms:created>
  <dcterms:modified xsi:type="dcterms:W3CDTF">2026-10-17T00:26:17Z</dcterms:modified>
</cp:coreProperties>
</file>