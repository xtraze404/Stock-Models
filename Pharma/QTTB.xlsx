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Q32 Bio Inc.</t>
        </is>
      </c>
      <c r="C2" s="10" t="n"/>
    </row>
    <row r="3">
      <c r="B3" t="inlineStr">
        <is>
          <t>Price</t>
        </is>
      </c>
      <c r="C3" s="11">
        <f>INDEX([1]Pharma!$F$1:$F$1000,MATCH("QTTB",[1]Pharma!$B$1:$B$1000,0))</f>
        <v>8.62</v>
      </c>
      <c r="F3" s="1" t="n"/>
    </row>
    <row r="4">
      <c r="B4" t="inlineStr">
        <is>
          <t>Shares</t>
        </is>
      </c>
      <c r="C4" s="21" t="n">
        <v>29.769466</v>
      </c>
      <c r="F4" s="1" t="n"/>
    </row>
    <row r="5">
      <c r="B5" t="inlineStr">
        <is>
          <t>Market Cap.</t>
        </is>
      </c>
      <c r="C5" s="13">
        <f>C3*C4</f>
        <v>256.61279692</v>
      </c>
      <c r="F5" s="1" t="n"/>
    </row>
    <row r="6"/>
    <row r="7">
      <c r="B7" t="inlineStr">
        <is>
          <t>Cash</t>
        </is>
      </c>
      <c r="C7" s="21" t="n">
        <v>106.27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150.34279692</v>
      </c>
    </row>
    <row r="10"/>
    <row r="11">
      <c r="B11" s="14" t="inlineStr">
        <is>
          <t>Net Cash / Share</t>
        </is>
      </c>
      <c r="C11" s="11">
        <f>(C7-C8)/C4</f>
        <v>3.569765074052722</v>
      </c>
    </row>
    <row r="12">
      <c r="B12" s="14" t="inlineStr">
        <is>
          <t>Upside</t>
        </is>
      </c>
      <c r="C12" s="15">
        <f>IFERROR(C11/C3-1,"")</f>
        <v>-0.5858741213395914</v>
      </c>
    </row>
    <row r="13">
      <c r="B13" s="14" t="inlineStr">
        <is>
          <t>Cash / Share</t>
        </is>
      </c>
      <c r="C13" s="11">
        <f>IFERROR((C7-C8)/C4,"")</f>
        <v>3.569765074052722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-19.828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5.359592495460964</v>
      </c>
    </row>
    <row r="19">
      <c r="B19" s="14" t="inlineStr">
        <is>
          <t>Implied Pipeline Value</t>
        </is>
      </c>
      <c r="C19" s="13">
        <f>C9</f>
        <v>150.34279692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5.322</v>
      </c>
      <c r="D2" s="23" t="n">
        <v>1.666</v>
      </c>
      <c r="E2" s="23" t="n">
        <v>2.702</v>
      </c>
      <c r="F2" s="23" t="n">
        <v>33.971</v>
      </c>
      <c r="G2" s="23" t="n">
        <v>3.208</v>
      </c>
      <c r="H2" s="23" t="n">
        <v>1.156</v>
      </c>
      <c r="I2" s="23" t="n">
        <v>0</v>
      </c>
      <c r="J2" s="23" t="n">
        <v>53.737</v>
      </c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5.322</v>
      </c>
      <c r="D4" s="23">
        <f>D2-D3</f>
        <v>1.666</v>
      </c>
      <c r="E4" s="23">
        <f>E2-E3</f>
        <v>2.702</v>
      </c>
      <c r="F4" s="23">
        <f>F2-F3</f>
        <v>33.971</v>
      </c>
      <c r="G4" s="23">
        <f>G2-G3</f>
        <v>3.208</v>
      </c>
      <c r="H4" s="23">
        <f>H2-H3</f>
        <v>1.156</v>
      </c>
      <c r="I4" s="23">
        <f>I2-I3</f>
        <v>0.0</v>
      </c>
      <c r="J4" s="23">
        <f>J2-J3</f>
        <v>53.737</v>
      </c>
      <c r="K4" s="1" t="n"/>
    </row>
    <row r="5">
      <c r="A5" s="2" t="inlineStr">
        <is>
          <t>Research &amp; Dev.</t>
        </is>
      </c>
      <c r="B5" s="23" t="n">
        <v>21.378</v>
      </c>
      <c r="C5" s="23" t="n">
        <v>47.948</v>
      </c>
      <c r="D5" s="23" t="n">
        <v>89.398</v>
      </c>
      <c r="E5" s="23" t="n">
        <v>100.392</v>
      </c>
      <c r="F5" s="23" t="n">
        <v>93.08499999999999</v>
      </c>
      <c r="G5" s="23" t="n">
        <v>98.351</v>
      </c>
      <c r="H5" s="23" t="n">
        <v>31.729</v>
      </c>
      <c r="I5" s="23" t="n">
        <v>48.143</v>
      </c>
      <c r="J5" s="23" t="n">
        <v>19.156</v>
      </c>
      <c r="K5" s="1" t="n"/>
    </row>
    <row r="6">
      <c r="A6" s="19" t="inlineStr">
        <is>
          <t>SG&amp;A &amp; Other</t>
        </is>
      </c>
      <c r="B6" s="23" t="n">
        <v>8.279</v>
      </c>
      <c r="C6" s="23" t="n">
        <v>17.3</v>
      </c>
      <c r="D6" s="23" t="n">
        <v>22.211</v>
      </c>
      <c r="E6" s="23" t="n">
        <v>32.573</v>
      </c>
      <c r="F6" s="23" t="n">
        <v>36.835</v>
      </c>
      <c r="G6" s="23" t="n">
        <v>38.138</v>
      </c>
      <c r="H6" s="23" t="n">
        <v>17.682</v>
      </c>
      <c r="I6" s="23" t="n">
        <v>17.959</v>
      </c>
      <c r="J6" s="23" t="n">
        <v>17.679</v>
      </c>
      <c r="K6" s="1" t="n"/>
    </row>
    <row r="7">
      <c r="A7" s="2" t="inlineStr">
        <is>
          <t>Operating Expense</t>
        </is>
      </c>
      <c r="B7" s="23">
        <f>SUM(B5:B6)</f>
        <v>29.657</v>
      </c>
      <c r="C7" s="23">
        <f>SUM(C5:C6)</f>
        <v>65.248</v>
      </c>
      <c r="D7" s="23">
        <f>SUM(D5:D6)</f>
        <v>111.609</v>
      </c>
      <c r="E7" s="23">
        <f>SUM(E5:E6)</f>
        <v>132.965</v>
      </c>
      <c r="F7" s="23">
        <f>SUM(F5:F6)</f>
        <v>129.92</v>
      </c>
      <c r="G7" s="23">
        <f>SUM(G5:G6)</f>
        <v>136.489</v>
      </c>
      <c r="H7" s="23">
        <f>SUM(H5:H6)</f>
        <v>49.411</v>
      </c>
      <c r="I7" s="23">
        <f>SUM(I5:I6)</f>
        <v>66.102</v>
      </c>
      <c r="J7" s="23">
        <f>SUM(J5:J6)</f>
        <v>36.834999999999994</v>
      </c>
      <c r="K7" s="1" t="n"/>
    </row>
    <row r="8">
      <c r="A8" s="2" t="inlineStr">
        <is>
          <t>Operating Income</t>
        </is>
      </c>
      <c r="B8" s="23">
        <f>B4-B7</f>
        <v>-29.657</v>
      </c>
      <c r="C8" s="23">
        <f>C4-C7</f>
        <v>-59.926</v>
      </c>
      <c r="D8" s="23">
        <f>D4-D7</f>
        <v>-109.943</v>
      </c>
      <c r="E8" s="23">
        <f>E4-E7</f>
        <v>-130.263</v>
      </c>
      <c r="F8" s="23">
        <f>F4-F7</f>
        <v>-95.94899999999998</v>
      </c>
      <c r="G8" s="23">
        <f>G4-G7</f>
        <v>-133.281</v>
      </c>
      <c r="H8" s="23">
        <f>H4-H7</f>
        <v>-48.255</v>
      </c>
      <c r="I8" s="23">
        <f>I4-I7</f>
        <v>-66.102</v>
      </c>
      <c r="J8" s="23">
        <f>J4-J7</f>
        <v>16.902000000000008</v>
      </c>
      <c r="K8" s="1" t="n"/>
    </row>
    <row r="9">
      <c r="A9" s="19" t="inlineStr">
        <is>
          <t>Interest &amp; Other</t>
        </is>
      </c>
      <c r="B9" s="23" t="n">
        <v>-0.334</v>
      </c>
      <c r="C9" s="23" t="n">
        <v>4.349</v>
      </c>
      <c r="D9" s="23" t="n">
        <v>6.027</v>
      </c>
      <c r="E9" s="23" t="n">
        <v>1.569</v>
      </c>
      <c r="F9" s="23" t="n">
        <v>0.185</v>
      </c>
      <c r="G9" s="23" t="n">
        <v>128.991</v>
      </c>
      <c r="H9" s="23" t="n">
        <v>-5.127</v>
      </c>
      <c r="I9" s="23" t="n">
        <v>18.423</v>
      </c>
      <c r="J9" s="23" t="n">
        <v>12.898</v>
      </c>
    </row>
    <row r="10">
      <c r="A10" s="2" t="inlineStr">
        <is>
          <t>Pretax</t>
        </is>
      </c>
      <c r="B10" s="23">
        <f>B8+B9</f>
        <v>-29.991</v>
      </c>
      <c r="C10" s="23">
        <f>C8+C9</f>
        <v>-55.577</v>
      </c>
      <c r="D10" s="23">
        <f>D8+D9</f>
        <v>-103.916</v>
      </c>
      <c r="E10" s="23">
        <f>E8+E9</f>
        <v>-128.69400000000002</v>
      </c>
      <c r="F10" s="23">
        <f>F8+F9</f>
        <v>-95.76399999999998</v>
      </c>
      <c r="G10" s="23">
        <f>G8+G9</f>
        <v>-4.289999999999992</v>
      </c>
      <c r="H10" s="23">
        <f>H8+H9</f>
        <v>-53.382000000000005</v>
      </c>
      <c r="I10" s="23">
        <f>I8+I9</f>
        <v>-47.679</v>
      </c>
      <c r="J10" s="23">
        <f>J8+J9</f>
        <v>29.800000000000008</v>
      </c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0.715</v>
      </c>
      <c r="H11" s="23" t="n">
        <v>0.318</v>
      </c>
      <c r="I11" s="23" t="n">
        <v>0.021</v>
      </c>
      <c r="J11" s="23" t="n">
        <v>0</v>
      </c>
    </row>
    <row r="12">
      <c r="A12" s="2" t="inlineStr">
        <is>
          <t>Net Income</t>
        </is>
      </c>
      <c r="B12" s="23" t="n">
        <v>-29.991</v>
      </c>
      <c r="C12" s="23" t="n">
        <v>-55.577</v>
      </c>
      <c r="D12" s="23" t="n">
        <v>-103.916</v>
      </c>
      <c r="E12" s="23" t="n">
        <v>-128.694</v>
      </c>
      <c r="F12" s="23" t="n">
        <v>-95.764</v>
      </c>
      <c r="G12" s="23" t="n">
        <v>-5.005</v>
      </c>
      <c r="H12" s="23" t="n">
        <v>-53.7</v>
      </c>
      <c r="I12" s="23" t="n">
        <v>-47.7</v>
      </c>
      <c r="J12" s="23" t="n">
        <v>29.8</v>
      </c>
      <c r="K12" s="1" t="n"/>
    </row>
    <row r="13">
      <c r="A13" s="2" t="inlineStr">
        <is>
          <t>Earnings per Share</t>
        </is>
      </c>
      <c r="B13" s="11">
        <f>IFERROR(B12/B14,0)</f>
        <v>-70.90070921985816</v>
      </c>
      <c r="C13" s="11">
        <f>IFERROR(C12/C14,0)</f>
        <v>-11.400410256410256</v>
      </c>
      <c r="D13" s="11">
        <f>IFERROR(D12/D14,0)</f>
        <v>-14.450841329439577</v>
      </c>
      <c r="E13" s="11">
        <f>IFERROR(E12/E14,0)</f>
        <v>-16.419239601939267</v>
      </c>
      <c r="F13" s="11">
        <f>IFERROR(F12/F14,0)</f>
        <v>-10.145566267613095</v>
      </c>
      <c r="G13" s="11">
        <f>IFERROR(G12/G14,0)</f>
        <v>-0.5107142857142857</v>
      </c>
      <c r="H13" s="11">
        <f>IFERROR(H12/H14,0)</f>
        <v>-5.494168201350522</v>
      </c>
      <c r="I13" s="11">
        <f>IFERROR(I12/I14,0)</f>
        <v>-4.938910747566784</v>
      </c>
      <c r="J13" s="11">
        <f>IFERROR(J12/J14,0)</f>
        <v>2.4198132358911897</v>
      </c>
    </row>
    <row r="14">
      <c r="A14" s="2" t="inlineStr">
        <is>
          <t>Shares</t>
        </is>
      </c>
      <c r="B14" s="23" t="n">
        <v>0.423</v>
      </c>
      <c r="C14" s="23" t="n">
        <v>4.875</v>
      </c>
      <c r="D14" s="23" t="n">
        <v>7.191</v>
      </c>
      <c r="E14" s="23" t="n">
        <v>7.838</v>
      </c>
      <c r="F14" s="23" t="n">
        <v>9.439</v>
      </c>
      <c r="G14" s="23" t="n">
        <v>9.800000000000001</v>
      </c>
      <c r="H14" s="23" t="n">
        <v>9.773999999999999</v>
      </c>
      <c r="I14" s="23" t="n">
        <v>9.657999999999999</v>
      </c>
      <c r="J14" s="23" t="n">
        <v>12.315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-0.6869597895527997</v>
      </c>
      <c r="E16" s="15">
        <f>IFERROR(E2/D2-1,"")</f>
        <v>0.6218487394957983</v>
      </c>
      <c r="F16" s="15">
        <f>IFERROR(F2/E2-1,"")</f>
        <v>11.572538860103625</v>
      </c>
      <c r="G16" s="15">
        <f>IFERROR(G2/F2-1,"")</f>
        <v>-0.9055665126136999</v>
      </c>
      <c r="H16" s="15">
        <f>IFERROR(H2/G2-1,"")</f>
        <v>-0.6396508728179552</v>
      </c>
      <c r="I16" s="15">
        <f>IFERROR(I2/H2-1,"")</f>
        <v>-1.0</v>
      </c>
      <c r="J16" s="15">
        <f>IFERROR(J2/I2-1,"")</f>
        <v/>
      </c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/>
      </c>
      <c r="J17" s="15">
        <f>IFERROR(J4/J2,"")</f>
        <v>1.0</v>
      </c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-11.260052611800075</v>
      </c>
      <c r="D18" s="15">
        <f>IFERROR(D8/D2,"")</f>
        <v>-65.9921968787515</v>
      </c>
      <c r="E18" s="15">
        <f>IFERROR(E8/E2,"")</f>
        <v>-48.2098445595855</v>
      </c>
      <c r="F18" s="15">
        <f>IFERROR(F8/F2,"")</f>
        <v>-2.8244384916546466</v>
      </c>
      <c r="G18" s="15">
        <f>IFERROR(G8/G2,"")</f>
        <v>-41.546446384039896</v>
      </c>
      <c r="H18" s="15">
        <f>IFERROR(H8/H2,"")</f>
        <v>-41.74307958477509</v>
      </c>
      <c r="I18" s="15">
        <f>IFERROR(I8/I2,"")</f>
        <v/>
      </c>
      <c r="J18" s="15">
        <f>IFERROR(J8/J2,"")</f>
        <v>0.3145318867819195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2026-10-21T01:05:34Z</dcterms:modified>
  <cp:lastModifiedBy>Wang, Eric</cp:lastModifiedBy>
</cp:coreProperties>
</file>