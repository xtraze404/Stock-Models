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CytomX Therapeutics, Inc.</t>
        </is>
      </c>
      <c r="C2" s="10" t="n"/>
    </row>
    <row r="3">
      <c r="B3" t="inlineStr">
        <is>
          <t>Price</t>
        </is>
      </c>
      <c r="C3" s="11">
        <f>INDEX([1]Pharma!$F$1:$F$1000,MATCH("CTMX",[1]Pharma!$B$1:$B$1000,0))</f>
        <v>2.51</v>
      </c>
      <c r="F3" s="1" t="n"/>
    </row>
    <row r="4">
      <c r="B4" t="inlineStr">
        <is>
          <t>Shares</t>
        </is>
      </c>
      <c r="C4" s="21" t="n">
        <v>217.899284</v>
      </c>
      <c r="F4" s="1" t="n"/>
    </row>
    <row r="5">
      <c r="B5" t="inlineStr">
        <is>
          <t>Market Cap.</t>
        </is>
      </c>
      <c r="C5" s="13">
        <f>C3*C4</f>
        <v>546.92720284</v>
      </c>
      <c r="F5" s="1" t="n"/>
    </row>
    <row r="6"/>
    <row r="7">
      <c r="B7" t="inlineStr">
        <is>
          <t>Cash</t>
        </is>
      </c>
      <c r="C7" s="21">
        <f>17.224+313.056</f>
        <v>330.28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216.64720283999998</v>
      </c>
    </row>
    <row r="10"/>
    <row r="11">
      <c r="B11" s="14" t="inlineStr">
        <is>
          <t>rNPV / Share</t>
        </is>
      </c>
      <c r="C11" s="11">
        <f>NPV!B27</f>
        <v>0.8358015274376163</v>
      </c>
    </row>
    <row r="12">
      <c r="B12" s="14" t="inlineStr">
        <is>
          <t>Upside</t>
        </is>
      </c>
      <c r="C12" s="15">
        <f>IFERROR(C11/C3-1,"")</f>
        <v>-0.6670113436503521</v>
      </c>
    </row>
    <row r="13">
      <c r="B13" s="14" t="inlineStr">
        <is>
          <t>Cash / Share</t>
        </is>
      </c>
      <c r="C13" s="11">
        <f>IFERROR((C7-C8)/C4,"")</f>
        <v>1.515746146279214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-82.408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4.007863314241336</v>
      </c>
    </row>
    <row r="19">
      <c r="B19" s="14" t="inlineStr">
        <is>
          <t>Implied Pipeline Value</t>
        </is>
      </c>
      <c r="C19" s="13">
        <f>C9</f>
        <v>216.64720283999998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0.888</v>
      </c>
      <c r="C2" s="23" t="n">
        <v>5.077</v>
      </c>
      <c r="D2" s="23" t="n">
        <v>7.712</v>
      </c>
      <c r="E2" s="23" t="n">
        <v>15.043</v>
      </c>
      <c r="F2" s="23" t="n">
        <v>71.623</v>
      </c>
      <c r="G2" s="23" t="n">
        <v>59.502</v>
      </c>
      <c r="H2" s="23" t="n">
        <v>26.902</v>
      </c>
      <c r="I2" s="23" t="n">
        <v>68.42700000000001</v>
      </c>
      <c r="J2" s="23" t="n">
        <v>37.312</v>
      </c>
      <c r="K2" s="23" t="n">
        <v>53.163</v>
      </c>
      <c r="L2" s="23" t="n">
        <v>101.214</v>
      </c>
      <c r="M2" s="23" t="n">
        <v>138.103</v>
      </c>
      <c r="N2" s="23" t="n">
        <v>76.20099999999999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0.888</v>
      </c>
      <c r="C4" s="23">
        <f>C2-C3</f>
        <v>5.077</v>
      </c>
      <c r="D4" s="23">
        <f>D2-D3</f>
        <v>7.712</v>
      </c>
      <c r="E4" s="23">
        <f>E2-E3</f>
        <v>15.043</v>
      </c>
      <c r="F4" s="23">
        <f>F2-F3</f>
        <v>71.623</v>
      </c>
      <c r="G4" s="23">
        <f>G2-G3</f>
        <v>59.502</v>
      </c>
      <c r="H4" s="23">
        <f>H2-H3</f>
        <v>26.902</v>
      </c>
      <c r="I4" s="23">
        <f>I2-I3</f>
        <v>68.427</v>
      </c>
      <c r="J4" s="23">
        <f>J2-J3</f>
        <v>37.312</v>
      </c>
      <c r="K4" s="23">
        <f>K2-K3</f>
        <v>53.163</v>
      </c>
      <c r="L4" s="23">
        <f>L2-L3</f>
        <v>101.214</v>
      </c>
      <c r="M4" s="23">
        <f>M2-M3</f>
        <v>138.103</v>
      </c>
      <c r="N4" s="23">
        <f>N2-N3</f>
        <v>76.201</v>
      </c>
    </row>
    <row r="5">
      <c r="A5" s="2" t="inlineStr">
        <is>
          <t>Research &amp; Dev.</t>
        </is>
      </c>
      <c r="B5" s="23" t="n">
        <v>10.89</v>
      </c>
      <c r="C5" s="23" t="n">
        <v>28.302</v>
      </c>
      <c r="D5" s="23" t="n">
        <v>28.357</v>
      </c>
      <c r="E5" s="23" t="n">
        <v>54.755</v>
      </c>
      <c r="F5" s="23" t="n">
        <v>92.277</v>
      </c>
      <c r="G5" s="23" t="n">
        <v>103.866</v>
      </c>
      <c r="H5" s="23" t="n">
        <v>131.619</v>
      </c>
      <c r="I5" s="23" t="n">
        <v>112.936</v>
      </c>
      <c r="J5" s="23" t="n">
        <v>114.194</v>
      </c>
      <c r="K5" s="23" t="n">
        <v>111.649</v>
      </c>
      <c r="L5" s="23" t="n">
        <v>77.68000000000001</v>
      </c>
      <c r="M5" s="23" t="n">
        <v>83.38200000000001</v>
      </c>
      <c r="N5" s="23" t="n">
        <v>68.72799999999999</v>
      </c>
    </row>
    <row r="6">
      <c r="A6" s="19" t="inlineStr">
        <is>
          <t>SG&amp;A &amp; Other</t>
        </is>
      </c>
      <c r="B6" s="23" t="n">
        <v>4.954</v>
      </c>
      <c r="C6" s="23" t="n">
        <v>6.54</v>
      </c>
      <c r="D6" s="23" t="n">
        <v>12.558</v>
      </c>
      <c r="E6" s="23" t="n">
        <v>19.874</v>
      </c>
      <c r="F6" s="23" t="n">
        <v>25.605</v>
      </c>
      <c r="G6" s="23" t="n">
        <v>33.51</v>
      </c>
      <c r="H6" s="23" t="n">
        <v>36.765</v>
      </c>
      <c r="I6" s="23" t="n">
        <v>36.031</v>
      </c>
      <c r="J6" s="23" t="n">
        <v>39.16</v>
      </c>
      <c r="K6" s="23" t="n">
        <v>42.849</v>
      </c>
      <c r="L6" s="23" t="n">
        <v>30.018</v>
      </c>
      <c r="M6" s="23" t="n">
        <v>29.726</v>
      </c>
      <c r="N6" s="23" t="n">
        <v>29.837</v>
      </c>
    </row>
    <row r="7">
      <c r="A7" s="2" t="inlineStr">
        <is>
          <t>Operating Expense</t>
        </is>
      </c>
      <c r="B7" s="23">
        <f>SUM(B5:B6)</f>
        <v>15.844000000000001</v>
      </c>
      <c r="C7" s="23">
        <f>SUM(C5:C6)</f>
        <v>34.842</v>
      </c>
      <c r="D7" s="23">
        <f>SUM(D5:D6)</f>
        <v>40.915</v>
      </c>
      <c r="E7" s="23">
        <f>SUM(E5:E6)</f>
        <v>74.629</v>
      </c>
      <c r="F7" s="23">
        <f>SUM(F5:F6)</f>
        <v>117.882</v>
      </c>
      <c r="G7" s="23">
        <f>SUM(G5:G6)</f>
        <v>137.376</v>
      </c>
      <c r="H7" s="23">
        <f>SUM(H5:H6)</f>
        <v>168.38400000000001</v>
      </c>
      <c r="I7" s="23">
        <f>SUM(I5:I6)</f>
        <v>148.967</v>
      </c>
      <c r="J7" s="23">
        <f>SUM(J5:J6)</f>
        <v>153.35399999999998</v>
      </c>
      <c r="K7" s="23">
        <f>SUM(K5:K6)</f>
        <v>154.498</v>
      </c>
      <c r="L7" s="23">
        <f>SUM(L5:L6)</f>
        <v>107.69800000000001</v>
      </c>
      <c r="M7" s="23">
        <f>SUM(M5:M6)</f>
        <v>113.108</v>
      </c>
      <c r="N7" s="23">
        <f>SUM(N5:N6)</f>
        <v>98.565</v>
      </c>
    </row>
    <row r="8">
      <c r="A8" s="2" t="inlineStr">
        <is>
          <t>Operating Income</t>
        </is>
      </c>
      <c r="B8" s="23">
        <f>B4-B7</f>
        <v>-14.956000000000001</v>
      </c>
      <c r="C8" s="23">
        <f>C4-C7</f>
        <v>-29.765</v>
      </c>
      <c r="D8" s="23">
        <f>D4-D7</f>
        <v>-33.203</v>
      </c>
      <c r="E8" s="23">
        <f>E4-E7</f>
        <v>-59.586000000000006</v>
      </c>
      <c r="F8" s="23">
        <f>F4-F7</f>
        <v>-46.259</v>
      </c>
      <c r="G8" s="23">
        <f>G4-G7</f>
        <v>-77.874</v>
      </c>
      <c r="H8" s="23">
        <f>H4-H7</f>
        <v>-141.48200000000003</v>
      </c>
      <c r="I8" s="23">
        <f>I4-I7</f>
        <v>-80.54</v>
      </c>
      <c r="J8" s="23">
        <f>J4-J7</f>
        <v>-116.04199999999999</v>
      </c>
      <c r="K8" s="23">
        <f>K4-K7</f>
        <v>-101.335</v>
      </c>
      <c r="L8" s="23">
        <f>L4-L7</f>
        <v>-6.484000000000009</v>
      </c>
      <c r="M8" s="23">
        <f>M4-M7</f>
        <v>24.995000000000005</v>
      </c>
      <c r="N8" s="23">
        <f>N4-N7</f>
        <v>-22.364000000000004</v>
      </c>
    </row>
    <row r="9">
      <c r="A9" s="19" t="inlineStr">
        <is>
          <t>Interest &amp; Other</t>
        </is>
      </c>
      <c r="B9" s="23" t="n">
        <v>-0.177</v>
      </c>
      <c r="C9" s="23" t="n">
        <v>-0.535</v>
      </c>
      <c r="D9" s="23" t="n">
        <v>-2.161</v>
      </c>
      <c r="E9" s="23" t="n">
        <v>0.667</v>
      </c>
      <c r="F9" s="23" t="n">
        <v>2.647</v>
      </c>
      <c r="G9" s="23" t="n">
        <v>7.573</v>
      </c>
      <c r="H9" s="23" t="n">
        <v>8.23</v>
      </c>
      <c r="I9" s="23" t="n">
        <v>1.809</v>
      </c>
      <c r="J9" s="23" t="n">
        <v>0.172</v>
      </c>
      <c r="K9" s="23" t="n">
        <v>2.018</v>
      </c>
      <c r="L9" s="23" t="n">
        <v>9.807</v>
      </c>
      <c r="M9" s="23" t="n">
        <v>7.098</v>
      </c>
      <c r="N9" s="23" t="n">
        <v>5.234</v>
      </c>
    </row>
    <row r="10">
      <c r="A10" s="2" t="inlineStr">
        <is>
          <t>Pretax</t>
        </is>
      </c>
      <c r="B10" s="23">
        <f>B8+B9</f>
        <v>-15.133000000000001</v>
      </c>
      <c r="C10" s="23">
        <f>C8+C9</f>
        <v>-30.3</v>
      </c>
      <c r="D10" s="23">
        <f>D8+D9</f>
        <v>-35.364000000000004</v>
      </c>
      <c r="E10" s="23">
        <f>E8+E9</f>
        <v>-58.919000000000004</v>
      </c>
      <c r="F10" s="23">
        <f>F8+F9</f>
        <v>-43.612</v>
      </c>
      <c r="G10" s="23">
        <f>G8+G9</f>
        <v>-70.30099999999999</v>
      </c>
      <c r="H10" s="23">
        <f>H8+H9</f>
        <v>-133.25200000000004</v>
      </c>
      <c r="I10" s="23">
        <f>I8+I9</f>
        <v>-78.73100000000001</v>
      </c>
      <c r="J10" s="23">
        <f>J8+J9</f>
        <v>-115.86999999999999</v>
      </c>
      <c r="K10" s="23">
        <f>K8+K9</f>
        <v>-99.317</v>
      </c>
      <c r="L10" s="23">
        <f>L8+L9</f>
        <v>3.3229999999999915</v>
      </c>
      <c r="M10" s="23">
        <f>M8+M9</f>
        <v>32.093</v>
      </c>
      <c r="N10" s="23">
        <f>N8+N9</f>
        <v>-17.130000000000003</v>
      </c>
    </row>
    <row r="11">
      <c r="A11" s="2" t="inlineStr">
        <is>
          <t>Taxes</t>
        </is>
      </c>
      <c r="B11" s="23" t="n">
        <v>0.01</v>
      </c>
      <c r="C11" s="23" t="n">
        <v>0.01</v>
      </c>
      <c r="D11" s="23" t="n">
        <v>0.01</v>
      </c>
      <c r="E11" s="23" t="n">
        <v>-0.019</v>
      </c>
      <c r="F11" s="23" t="n">
        <v>-0.513</v>
      </c>
      <c r="G11" s="23" t="n">
        <v>14.303</v>
      </c>
      <c r="H11" s="23" t="n">
        <v>-0.427</v>
      </c>
      <c r="I11" s="23" t="n">
        <v>-13.911</v>
      </c>
      <c r="J11" s="23" t="n">
        <v>0</v>
      </c>
      <c r="K11" s="23" t="n">
        <v>0</v>
      </c>
      <c r="L11" s="23" t="n">
        <v>3.892</v>
      </c>
      <c r="M11" s="23" t="n">
        <v>0.224</v>
      </c>
      <c r="N11" s="23" t="n">
        <v>0.238</v>
      </c>
    </row>
    <row r="12">
      <c r="A12" s="2" t="inlineStr">
        <is>
          <t>Net Income</t>
        </is>
      </c>
      <c r="B12" s="23" t="n">
        <v>-15.143</v>
      </c>
      <c r="C12" s="23" t="n">
        <v>-30.31</v>
      </c>
      <c r="D12" s="23" t="n">
        <v>-35.374</v>
      </c>
      <c r="E12" s="23" t="n">
        <v>-58.9</v>
      </c>
      <c r="F12" s="23" t="n">
        <v>-43.099</v>
      </c>
      <c r="G12" s="23" t="n">
        <v>-84.604</v>
      </c>
      <c r="H12" s="23" t="n">
        <v>-132.825</v>
      </c>
      <c r="I12" s="23" t="n">
        <v>-64.81999999999999</v>
      </c>
      <c r="J12" s="23" t="n">
        <v>-115.87</v>
      </c>
      <c r="K12" s="23" t="n">
        <v>-99.31699999999999</v>
      </c>
      <c r="L12" s="23" t="n">
        <v>-0.569</v>
      </c>
      <c r="M12" s="23" t="n">
        <v>31.869</v>
      </c>
      <c r="N12" s="23" t="n">
        <v>-17.368</v>
      </c>
    </row>
    <row r="13">
      <c r="A13" s="2" t="inlineStr">
        <is>
          <t>Earnings per Share</t>
        </is>
      </c>
      <c r="B13" s="11">
        <f>IFERROR(B12/B14,0)</f>
        <v>-19.615284974093264</v>
      </c>
      <c r="C13" s="11">
        <f>IFERROR(C12/C14,0)</f>
        <v>-30.647118301314457</v>
      </c>
      <c r="D13" s="11">
        <f>IFERROR(D12/D14,0)</f>
        <v>-4.11564863292612</v>
      </c>
      <c r="E13" s="11">
        <f>IFERROR(E12/E14,0)</f>
        <v>-1.6255002069821995</v>
      </c>
      <c r="F13" s="11">
        <f>IFERROR(F12/F14,0)</f>
        <v>-1.159603949740361</v>
      </c>
      <c r="G13" s="11">
        <f>IFERROR(G12/G14,0)</f>
        <v>-2.030625960061444</v>
      </c>
      <c r="H13" s="11">
        <f>IFERROR(H12/H14,0)</f>
        <v>-2.9297908946532556</v>
      </c>
      <c r="I13" s="11">
        <f>IFERROR(I12/I14,0)</f>
        <v>-1.4046721275950242</v>
      </c>
      <c r="J13" s="11">
        <f>IFERROR(J12/J14,0)</f>
        <v>-1.80631985907369</v>
      </c>
      <c r="K13" s="11">
        <f>IFERROR(K12/K14,0)</f>
        <v>-1.5107544873745056</v>
      </c>
      <c r="L13" s="11">
        <f>IFERROR(L12/L14,0)</f>
        <v>-0.007709191415564707</v>
      </c>
      <c r="M13" s="11">
        <f>IFERROR(M12/M14,0)</f>
        <v>0.37605758451826066</v>
      </c>
      <c r="N13" s="11">
        <f>IFERROR(N12/N14,0)</f>
        <v>-0.12591346711518384</v>
      </c>
    </row>
    <row r="14">
      <c r="A14" s="2" t="inlineStr">
        <is>
          <t>Shares</t>
        </is>
      </c>
      <c r="B14" s="23" t="n">
        <v>0.772</v>
      </c>
      <c r="C14" s="23" t="n">
        <v>0.989</v>
      </c>
      <c r="D14" s="23" t="n">
        <v>8.595000000000001</v>
      </c>
      <c r="E14" s="23" t="n">
        <v>36.235</v>
      </c>
      <c r="F14" s="23" t="n">
        <v>37.167</v>
      </c>
      <c r="G14" s="23" t="n">
        <v>41.664</v>
      </c>
      <c r="H14" s="23" t="n">
        <v>45.336</v>
      </c>
      <c r="I14" s="23" t="n">
        <v>46.146</v>
      </c>
      <c r="J14" s="23" t="n">
        <v>64.14700000000001</v>
      </c>
      <c r="K14" s="23" t="n">
        <v>65.73999999999999</v>
      </c>
      <c r="L14" s="23" t="n">
        <v>73.80800000000001</v>
      </c>
      <c r="M14" s="23" t="n">
        <v>84.745</v>
      </c>
      <c r="N14" s="23" t="n">
        <v>137.936</v>
      </c>
    </row>
    <row r="15"/>
    <row r="16" customFormat="1" s="4">
      <c r="A16" s="3" t="inlineStr">
        <is>
          <t>Revenue Change</t>
        </is>
      </c>
      <c r="C16" s="15">
        <f>IFERROR(C2/B2-1,"")</f>
        <v>4.717342342342342</v>
      </c>
      <c r="D16" s="15">
        <f>IFERROR(D2/C2-1,"")</f>
        <v>0.5190072877683671</v>
      </c>
      <c r="E16" s="15">
        <f>IFERROR(E2/D2-1,"")</f>
        <v>0.9505964730290457</v>
      </c>
      <c r="F16" s="15">
        <f>IFERROR(F2/E2-1,"")</f>
        <v>3.7612178421857347</v>
      </c>
      <c r="G16" s="15">
        <f>IFERROR(G2/F2-1,"")</f>
        <v>-0.16923334682992897</v>
      </c>
      <c r="H16" s="15">
        <f>IFERROR(H2/G2-1,"")</f>
        <v>-0.54788074350442</v>
      </c>
      <c r="I16" s="15">
        <f>IFERROR(I2/H2-1,"")</f>
        <v>1.5435655341610293</v>
      </c>
      <c r="J16" s="15">
        <f>IFERROR(J2/I2-1,"")</f>
        <v>-0.4547181668055008</v>
      </c>
      <c r="K16" s="15">
        <f>IFERROR(K2/J2-1,"")</f>
        <v>0.42482311320754707</v>
      </c>
      <c r="L16" s="15">
        <f>IFERROR(L2/K2-1,"")</f>
        <v>0.9038428982563063</v>
      </c>
      <c r="M16" s="15">
        <f>IFERROR(M2/L2-1,"")</f>
        <v>0.3644653901634163</v>
      </c>
      <c r="N16" s="15">
        <f>IFERROR(N2/M2-1,"")</f>
        <v>-0.4482306684141547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>-16.842342342342345</v>
      </c>
      <c r="C18" s="15">
        <f>IFERROR(C8/C2,"")</f>
        <v>-5.862714201299981</v>
      </c>
      <c r="D18" s="15">
        <f>IFERROR(D8/D2,"")</f>
        <v>-4.305368257261411</v>
      </c>
      <c r="E18" s="15">
        <f>IFERROR(E8/E2,"")</f>
        <v>-3.961045004320947</v>
      </c>
      <c r="F18" s="15">
        <f>IFERROR(F8/F2,"")</f>
        <v>-0.6458679474470491</v>
      </c>
      <c r="G18" s="15">
        <f>IFERROR(G8/G2,"")</f>
        <v>-1.3087627306645153</v>
      </c>
      <c r="H18" s="15">
        <f>IFERROR(H8/H2,"")</f>
        <v>-5.2591628875176575</v>
      </c>
      <c r="I18" s="15">
        <f>IFERROR(I8/I2,"")</f>
        <v>-1.1770207666564367</v>
      </c>
      <c r="J18" s="15">
        <f>IFERROR(J8/J2,"")</f>
        <v>-3.1100450257289878</v>
      </c>
      <c r="K18" s="15">
        <f>IFERROR(K8/K2,"")</f>
        <v>-1.9061189172921016</v>
      </c>
      <c r="L18" s="15">
        <f>IFERROR(L8/L2,"")</f>
        <v>-0.0640622838737725</v>
      </c>
      <c r="M18" s="15">
        <f>IFERROR(M8/M2,"")</f>
        <v>0.18098810308248195</v>
      </c>
      <c r="N18" s="15">
        <f>IFERROR(N8/N2,"")</f>
        <v>-0.2934869621133582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CytomX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87.15300000000001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698.2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-148.15944560523704</v>
      </c>
      <c r="C29" s="42">
        <f>NPV!B25</f>
        <v>182.12055439476293</v>
      </c>
      <c r="D29" s="43">
        <f>NPV!B27</f>
        <v>0.8358015274376163</v>
      </c>
      <c r="E29" s="44">
        <f>NPV!B29</f>
        <v>-0.6670113436503521</v>
      </c>
    </row>
    <row r="30">
      <c r="A30" s="45" t="n">
        <v>1</v>
      </c>
      <c r="B30" s="46">
        <f t="dataTable" ref="B30:E32" r1="B4"/>
        <v>-207.44759697799228</v>
      </c>
      <c r="C30" s="46">
        <v>122.8324030220077</v>
      </c>
      <c r="D30" s="47">
        <v>0.5637118248723006</v>
      </c>
      <c r="E30" s="48">
        <v>-0.7754136155887248</v>
      </c>
    </row>
    <row r="31">
      <c r="A31" s="45" t="n">
        <v>2</v>
      </c>
      <c r="B31" s="46">
        <v>-148.15944560523704</v>
      </c>
      <c r="C31" s="46">
        <v>182.12055439476293</v>
      </c>
      <c r="D31" s="47">
        <v>0.8358015274376163</v>
      </c>
      <c r="E31" s="48">
        <v>-0.6670113436503521</v>
      </c>
    </row>
    <row r="32">
      <c r="A32" s="45" t="n">
        <v>3</v>
      </c>
      <c r="B32" s="46">
        <v>-44.491674976297446</v>
      </c>
      <c r="C32" s="46">
        <v>285.78832502370255</v>
      </c>
      <c r="D32" s="47">
        <v>1.3115615608158793</v>
      </c>
      <c r="E32" s="48">
        <v>-0.47746551361917156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0.8358015274376163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0.4889847025402615</v>
      </c>
      <c r="C37" s="47">
        <v>0.5671502613783785</v>
      </c>
      <c r="D37" s="47">
        <v>0.6453158202164956</v>
      </c>
      <c r="E37" s="47">
        <v>0.8016469378927297</v>
      </c>
      <c r="F37" s="47">
        <v>0.9579780555689638</v>
      </c>
    </row>
    <row r="38">
      <c r="A38" s="50" t="n">
        <v>0.8</v>
      </c>
      <c r="B38" s="47">
        <v>0.532117183592077</v>
      </c>
      <c r="C38" s="47">
        <v>0.6363379287095664</v>
      </c>
      <c r="D38" s="47">
        <v>0.7405586738270558</v>
      </c>
      <c r="E38" s="47">
        <v>0.9490001640620349</v>
      </c>
      <c r="F38" s="47">
        <v>1.1574416542970136</v>
      </c>
    </row>
    <row r="39">
      <c r="A39" s="50" t="n">
        <v>1</v>
      </c>
      <c r="B39" s="47">
        <v>0.5752496646438927</v>
      </c>
      <c r="C39" s="47">
        <v>0.7055255960407544</v>
      </c>
      <c r="D39" s="47">
        <v>0.8358015274376163</v>
      </c>
      <c r="E39" s="47">
        <v>1.0963533902313396</v>
      </c>
      <c r="F39" s="47">
        <v>1.3569052530250636</v>
      </c>
    </row>
    <row r="40">
      <c r="A40" s="50" t="n">
        <v>1.2</v>
      </c>
      <c r="B40" s="47">
        <v>0.6183821456957082</v>
      </c>
      <c r="C40" s="47">
        <v>0.7747132633719422</v>
      </c>
      <c r="D40" s="47">
        <v>0.9310443810481766</v>
      </c>
      <c r="E40" s="47">
        <v>1.243706616400645</v>
      </c>
      <c r="F40" s="47">
        <v>1.546047488040714</v>
      </c>
    </row>
    <row r="41">
      <c r="A41" s="50" t="n">
        <v>1.4</v>
      </c>
      <c r="B41" s="47">
        <v>0.6615146267475236</v>
      </c>
      <c r="C41" s="47">
        <v>0.84390093070313</v>
      </c>
      <c r="D41" s="47">
        <v>1.0262872346587366</v>
      </c>
      <c r="E41" s="47">
        <v>1.3910598425699499</v>
      </c>
      <c r="F41" s="47">
        <v>1.7205437212172825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CytomX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CX-2029, CX-2051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113.54812869523724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113.54812869523724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11.309999999999999</v>
      </c>
      <c r="T5" s="54">
        <f>SUM(T4:T4)</f>
        <v>28.275</v>
      </c>
      <c r="U5" s="54">
        <f>SUM(U4:U4)</f>
        <v>50.894999999999996</v>
      </c>
      <c r="V5" s="54">
        <f>SUM(V4:V4)</f>
        <v>73.515</v>
      </c>
      <c r="W5" s="54">
        <f>SUM(W4:W4)</f>
        <v>96.13499999999999</v>
      </c>
      <c r="X5" s="54">
        <f>SUM(X4:X4)</f>
        <v>113.1</v>
      </c>
      <c r="Y5" s="54">
        <f>SUM(Y4:Y4)</f>
        <v>113.1</v>
      </c>
      <c r="Z5" s="54">
        <f>SUM(Z4:Z4)</f>
        <v>113.1</v>
      </c>
      <c r="AA5" s="54">
        <f>SUM(AA4:AA4)</f>
        <v>113.1</v>
      </c>
      <c r="AB5" s="54">
        <f>SUM(AB4:AB4)</f>
        <v>113.1</v>
      </c>
      <c r="AC5" s="54">
        <f>SUM(AC4:AC4)</f>
        <v>113.1</v>
      </c>
      <c r="AD5" s="54">
        <f>SUM(AD4:AD4)</f>
        <v>113.1</v>
      </c>
      <c r="AE5" s="54">
        <f>SUM(AE4:AE4)</f>
        <v>113.1</v>
      </c>
      <c r="AF5" s="54">
        <f>SUM(AF4:AF4)</f>
        <v>56.55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4.524</v>
      </c>
      <c r="T6" s="55">
        <f>SUMPRODUCT(T4:T4,$K$4:$K$4)</f>
        <v>11.31</v>
      </c>
      <c r="U6" s="55">
        <f>SUMPRODUCT(U4:U4,$K$4:$K$4)</f>
        <v>20.358</v>
      </c>
      <c r="V6" s="55">
        <f>SUMPRODUCT(V4:V4,$K$4:$K$4)</f>
        <v>29.406000000000002</v>
      </c>
      <c r="W6" s="55">
        <f>SUMPRODUCT(W4:W4,$K$4:$K$4)</f>
        <v>38.454</v>
      </c>
      <c r="X6" s="55">
        <f>SUMPRODUCT(X4:X4,$K$4:$K$4)</f>
        <v>45.24</v>
      </c>
      <c r="Y6" s="55">
        <f>SUMPRODUCT(Y4:Y4,$K$4:$K$4)</f>
        <v>45.24</v>
      </c>
      <c r="Z6" s="55">
        <f>SUMPRODUCT(Z4:Z4,$K$4:$K$4)</f>
        <v>45.24</v>
      </c>
      <c r="AA6" s="55">
        <f>SUMPRODUCT(AA4:AA4,$K$4:$K$4)</f>
        <v>45.24</v>
      </c>
      <c r="AB6" s="55">
        <f>SUMPRODUCT(AB4:AB4,$K$4:$K$4)</f>
        <v>45.24</v>
      </c>
      <c r="AC6" s="55">
        <f>SUMPRODUCT(AC4:AC4,$K$4:$K$4)</f>
        <v>45.24</v>
      </c>
      <c r="AD6" s="55">
        <f>SUMPRODUCT(AD4:AD4,$K$4:$K$4)</f>
        <v>45.24</v>
      </c>
      <c r="AE6" s="55">
        <f>SUMPRODUCT(AE4:AE4,$K$4:$K$4)</f>
        <v>45.24</v>
      </c>
      <c r="AF6" s="55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CytomX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11.309999999999999</v>
      </c>
      <c r="J4" s="57">
        <f>Pipeline!T5</f>
        <v>28.275</v>
      </c>
      <c r="K4" s="57">
        <f>Pipeline!U5</f>
        <v>50.894999999999996</v>
      </c>
      <c r="L4" s="57">
        <f>Pipeline!V5</f>
        <v>73.515</v>
      </c>
      <c r="M4" s="57">
        <f>Pipeline!W5</f>
        <v>96.13499999999999</v>
      </c>
      <c r="N4" s="57">
        <f>Pipeline!X5</f>
        <v>113.1</v>
      </c>
      <c r="O4" s="57">
        <f>Pipeline!Y5</f>
        <v>113.1</v>
      </c>
      <c r="P4" s="57">
        <f>Pipeline!Z5</f>
        <v>113.1</v>
      </c>
      <c r="Q4" s="57">
        <f>Pipeline!AA5</f>
        <v>113.1</v>
      </c>
      <c r="R4" s="57">
        <f>Pipeline!AB5</f>
        <v>113.1</v>
      </c>
      <c r="S4" s="57">
        <f>Pipeline!AC5</f>
        <v>113.1</v>
      </c>
      <c r="T4" s="57">
        <f>Pipeline!AD5</f>
        <v>113.1</v>
      </c>
      <c r="U4" s="57">
        <f>Pipeline!AE5</f>
        <v>113.1</v>
      </c>
      <c r="V4" s="57">
        <f>Pipeline!AF5</f>
        <v>56.55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4.524</v>
      </c>
      <c r="J5" s="57">
        <f>Pipeline!T6</f>
        <v>11.31</v>
      </c>
      <c r="K5" s="57">
        <f>Pipeline!U6</f>
        <v>20.358</v>
      </c>
      <c r="L5" s="57">
        <f>Pipeline!V6</f>
        <v>29.406000000000002</v>
      </c>
      <c r="M5" s="57">
        <f>Pipeline!W6</f>
        <v>38.454</v>
      </c>
      <c r="N5" s="57">
        <f>Pipeline!X6</f>
        <v>45.24</v>
      </c>
      <c r="O5" s="57">
        <f>Pipeline!Y6</f>
        <v>45.24</v>
      </c>
      <c r="P5" s="57">
        <f>Pipeline!Z6</f>
        <v>45.24</v>
      </c>
      <c r="Q5" s="57">
        <f>Pipeline!AA6</f>
        <v>45.24</v>
      </c>
      <c r="R5" s="57">
        <f>Pipeline!AB6</f>
        <v>45.24</v>
      </c>
      <c r="S5" s="57">
        <f>Pipeline!AC6</f>
        <v>45.24</v>
      </c>
      <c r="T5" s="57">
        <f>Pipeline!AD6</f>
        <v>45.24</v>
      </c>
      <c r="U5" s="57">
        <f>Pipeline!AE6</f>
        <v>45.24</v>
      </c>
      <c r="V5" s="57">
        <f>Pipeline!AF6</f>
        <v>22.62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-87.153</v>
      </c>
      <c r="D6" s="23">
        <f>-IF(D3-2026&lt;Assumptions!$B$19,Assumptions!$B$18,Assumptions!$B$18*Assumptions!$B$20*Assumptions!$B$16)</f>
        <v>-87.153</v>
      </c>
      <c r="E6" s="23">
        <f>-IF(E3-2026&lt;Assumptions!$B$19,Assumptions!$B$18,Assumptions!$B$18*Assumptions!$B$20*Assumptions!$B$16)</f>
        <v>-87.153</v>
      </c>
      <c r="F6" s="23">
        <f>-IF(F3-2026&lt;Assumptions!$B$19,Assumptions!$B$18,Assumptions!$B$18*Assumptions!$B$20*Assumptions!$B$16)</f>
        <v>-87.153</v>
      </c>
      <c r="G6" s="23">
        <f>-IF(G3-2026&lt;Assumptions!$B$19,Assumptions!$B$18,Assumptions!$B$18*Assumptions!$B$20*Assumptions!$B$16)</f>
        <v>-1.9714008600000006</v>
      </c>
      <c r="H6" s="23">
        <f>-IF(H3-2026&lt;Assumptions!$B$19,Assumptions!$B$18,Assumptions!$B$18*Assumptions!$B$20*Assumptions!$B$16)</f>
        <v>-1.9714008600000006</v>
      </c>
      <c r="I6" s="23">
        <f>-IF(I3-2026&lt;Assumptions!$B$19,Assumptions!$B$18,Assumptions!$B$18*Assumptions!$B$20*Assumptions!$B$16)</f>
        <v>-1.9714008600000006</v>
      </c>
      <c r="J6" s="23">
        <f>-IF(J3-2026&lt;Assumptions!$B$19,Assumptions!$B$18,Assumptions!$B$18*Assumptions!$B$20*Assumptions!$B$16)</f>
        <v>-1.9714008600000006</v>
      </c>
      <c r="K6" s="23">
        <f>-IF(K3-2026&lt;Assumptions!$B$19,Assumptions!$B$18,Assumptions!$B$18*Assumptions!$B$20*Assumptions!$B$16)</f>
        <v>-1.9714008600000006</v>
      </c>
      <c r="L6" s="23">
        <f>-IF(L3-2026&lt;Assumptions!$B$19,Assumptions!$B$18,Assumptions!$B$18*Assumptions!$B$20*Assumptions!$B$16)</f>
        <v>-1.9714008600000006</v>
      </c>
      <c r="M6" s="23">
        <f>-IF(M3-2026&lt;Assumptions!$B$19,Assumptions!$B$18,Assumptions!$B$18*Assumptions!$B$20*Assumptions!$B$16)</f>
        <v>-1.9714008600000006</v>
      </c>
      <c r="N6" s="23">
        <f>-IF(N3-2026&lt;Assumptions!$B$19,Assumptions!$B$18,Assumptions!$B$18*Assumptions!$B$20*Assumptions!$B$16)</f>
        <v>-1.9714008600000006</v>
      </c>
      <c r="O6" s="23">
        <f>-IF(O3-2026&lt;Assumptions!$B$19,Assumptions!$B$18,Assumptions!$B$18*Assumptions!$B$20*Assumptions!$B$16)</f>
        <v>-1.9714008600000006</v>
      </c>
      <c r="P6" s="23">
        <f>-IF(P3-2026&lt;Assumptions!$B$19,Assumptions!$B$18,Assumptions!$B$18*Assumptions!$B$20*Assumptions!$B$16)</f>
        <v>-1.9714008600000006</v>
      </c>
      <c r="Q6" s="23">
        <f>-IF(Q3-2026&lt;Assumptions!$B$19,Assumptions!$B$18,Assumptions!$B$18*Assumptions!$B$20*Assumptions!$B$16)</f>
        <v>-1.9714008600000006</v>
      </c>
      <c r="R6" s="23">
        <f>-IF(R3-2026&lt;Assumptions!$B$19,Assumptions!$B$18,Assumptions!$B$18*Assumptions!$B$20*Assumptions!$B$16)</f>
        <v>-1.9714008600000006</v>
      </c>
      <c r="S6" s="23">
        <f>-IF(S3-2026&lt;Assumptions!$B$19,Assumptions!$B$18,Assumptions!$B$18*Assumptions!$B$20*Assumptions!$B$16)</f>
        <v>-1.9714008600000006</v>
      </c>
      <c r="T6" s="23">
        <f>-IF(T3-2026&lt;Assumptions!$B$19,Assumptions!$B$18,Assumptions!$B$18*Assumptions!$B$20*Assumptions!$B$16)</f>
        <v>-1.9714008600000006</v>
      </c>
      <c r="U6" s="23">
        <f>-IF(U3-2026&lt;Assumptions!$B$19,Assumptions!$B$18,Assumptions!$B$18*Assumptions!$B$20*Assumptions!$B$16)</f>
        <v>-1.9714008600000006</v>
      </c>
      <c r="V6" s="23">
        <f>-IF(V3-2026&lt;Assumptions!$B$19,Assumptions!$B$18,Assumptions!$B$18*Assumptions!$B$20*Assumptions!$B$16)</f>
        <v>-1.9714008600000006</v>
      </c>
    </row>
    <row r="7">
      <c r="A7" s="14" t="inlineStr">
        <is>
          <t>Pre-tax cash flow</t>
        </is>
      </c>
      <c r="C7" s="23">
        <f>C5+C6</f>
        <v>-87.153</v>
      </c>
      <c r="D7" s="23">
        <f>D5+D6</f>
        <v>-87.153</v>
      </c>
      <c r="E7" s="23">
        <f>E5+E6</f>
        <v>-87.153</v>
      </c>
      <c r="F7" s="23">
        <f>F5+F6</f>
        <v>-87.153</v>
      </c>
      <c r="G7" s="23">
        <f>G5+G6</f>
        <v>-1.9714008600000006</v>
      </c>
      <c r="H7" s="23">
        <f>H5+H6</f>
        <v>-1.9714008600000006</v>
      </c>
      <c r="I7" s="23">
        <f>I5+I6</f>
        <v>2.5525991399999994</v>
      </c>
      <c r="J7" s="23">
        <f>J5+J6</f>
        <v>9.33859914</v>
      </c>
      <c r="K7" s="23">
        <f>K5+K6</f>
        <v>18.38659914</v>
      </c>
      <c r="L7" s="23">
        <f>L5+L6</f>
        <v>27.434599140000003</v>
      </c>
      <c r="M7" s="23">
        <f>M5+M6</f>
        <v>36.48259914</v>
      </c>
      <c r="N7" s="23">
        <f>N5+N6</f>
        <v>43.26859914</v>
      </c>
      <c r="O7" s="23">
        <f>O5+O6</f>
        <v>43.26859914</v>
      </c>
      <c r="P7" s="23">
        <f>P5+P6</f>
        <v>43.26859914</v>
      </c>
      <c r="Q7" s="23">
        <f>Q5+Q6</f>
        <v>43.26859914</v>
      </c>
      <c r="R7" s="23">
        <f>R5+R6</f>
        <v>43.26859914</v>
      </c>
      <c r="S7" s="23">
        <f>S5+S6</f>
        <v>43.26859914</v>
      </c>
      <c r="T7" s="23">
        <f>T5+T6</f>
        <v>43.26859914</v>
      </c>
      <c r="U7" s="23">
        <f>U5+U6</f>
        <v>43.26859914</v>
      </c>
      <c r="V7" s="23">
        <f>V5+V6</f>
        <v>20.64859914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2.5525991399999994</v>
      </c>
      <c r="J8" s="23">
        <f>MIN(I17,MAX(0,J7))</f>
        <v>9.33859914</v>
      </c>
      <c r="K8" s="23">
        <f>MIN(J17,MAX(0,K7))</f>
        <v>18.38659914</v>
      </c>
      <c r="L8" s="23">
        <f>MIN(K17,MAX(0,L7))</f>
        <v>27.434599140000003</v>
      </c>
      <c r="M8" s="23">
        <f>MIN(L17,MAX(0,M7))</f>
        <v>36.48259914</v>
      </c>
      <c r="N8" s="23">
        <f>MIN(M17,MAX(0,N7))</f>
        <v>43.26859914</v>
      </c>
      <c r="O8" s="23">
        <f>MIN(N17,MAX(0,O7))</f>
        <v>43.26859914</v>
      </c>
      <c r="P8" s="23">
        <f>MIN(O17,MAX(0,P7))</f>
        <v>43.26859914</v>
      </c>
      <c r="Q8" s="23">
        <f>MIN(P17,MAX(0,Q7))</f>
        <v>43.26859914</v>
      </c>
      <c r="R8" s="23">
        <f>MIN(Q17,MAX(0,R7))</f>
        <v>43.26859914</v>
      </c>
      <c r="S8" s="23">
        <f>MIN(R17,MAX(0,S7))</f>
        <v>43.26859914</v>
      </c>
      <c r="T8" s="23">
        <f>MIN(S17,MAX(0,T7))</f>
        <v>43.26859914</v>
      </c>
      <c r="U8" s="23">
        <f>MIN(T17,MAX(0,U7))</f>
        <v>43.26859914</v>
      </c>
      <c r="V8" s="23">
        <f>MIN(U17,MAX(0,V7))</f>
        <v>20.64859914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-87.153</v>
      </c>
      <c r="D11" s="55">
        <f>D7-D10</f>
        <v>-87.153</v>
      </c>
      <c r="E11" s="55">
        <f>E7-E10</f>
        <v>-87.153</v>
      </c>
      <c r="F11" s="55">
        <f>F7-F10</f>
        <v>-87.153</v>
      </c>
      <c r="G11" s="55">
        <f>G7-G10</f>
        <v>-1.9714008600000006</v>
      </c>
      <c r="H11" s="55">
        <f>H7-H10</f>
        <v>-1.9714008600000006</v>
      </c>
      <c r="I11" s="55">
        <f>I7-I10</f>
        <v>2.5525991399999994</v>
      </c>
      <c r="J11" s="55">
        <f>J7-J10</f>
        <v>9.33859914</v>
      </c>
      <c r="K11" s="55">
        <f>K7-K10</f>
        <v>18.38659914</v>
      </c>
      <c r="L11" s="55">
        <f>L7-L10</f>
        <v>27.434599140000003</v>
      </c>
      <c r="M11" s="55">
        <f>M7-M10</f>
        <v>36.48259914</v>
      </c>
      <c r="N11" s="55">
        <f>N7-N10</f>
        <v>43.26859914</v>
      </c>
      <c r="O11" s="55">
        <f>O7-O10</f>
        <v>43.26859914</v>
      </c>
      <c r="P11" s="55">
        <f>P7-P10</f>
        <v>43.26859914</v>
      </c>
      <c r="Q11" s="55">
        <f>Q7-Q10</f>
        <v>43.26859914</v>
      </c>
      <c r="R11" s="55">
        <f>R7-R10</f>
        <v>43.26859914</v>
      </c>
      <c r="S11" s="55">
        <f>S7-S10</f>
        <v>43.26859914</v>
      </c>
      <c r="T11" s="55">
        <f>T7-T10</f>
        <v>43.26859914</v>
      </c>
      <c r="U11" s="55">
        <f>U7-U10</f>
        <v>43.26859914</v>
      </c>
      <c r="V11" s="55">
        <f>V7-V10</f>
        <v>20.64859914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-42.69663372967477</v>
      </c>
      <c r="D16" s="55">
        <f>D11*D15</f>
        <v>-77.77903033344896</v>
      </c>
      <c r="E16" s="55">
        <f>E11*E15</f>
        <v>-69.44556279772226</v>
      </c>
      <c r="F16" s="55">
        <f>F11*F15</f>
        <v>-62.004966783680594</v>
      </c>
      <c r="G16" s="55">
        <f>G11*G15</f>
        <v>-1.2522788827204063</v>
      </c>
      <c r="H16" s="55">
        <f>H11*H15</f>
        <v>-1.1181061452860772</v>
      </c>
      <c r="I16" s="55">
        <f>I11*I15</f>
        <v>1.292625409348849</v>
      </c>
      <c r="J16" s="55">
        <f>J11*J15</f>
        <v>4.222345634650743</v>
      </c>
      <c r="K16" s="55">
        <f>K11*K15</f>
        <v>7.422589322456003</v>
      </c>
      <c r="L16" s="55">
        <f>L11*L15</f>
        <v>9.888595701252154</v>
      </c>
      <c r="M16" s="55">
        <f>M11*M15</f>
        <v>11.74096384594134</v>
      </c>
      <c r="N16" s="55">
        <f>N11*N15</f>
        <v>12.432910046321679</v>
      </c>
      <c r="O16" s="55">
        <f>O11*O15</f>
        <v>11.100812541358641</v>
      </c>
      <c r="P16" s="55">
        <f>P11*P15</f>
        <v>9.911439769070213</v>
      </c>
      <c r="Q16" s="55">
        <f>Q11*Q15</f>
        <v>8.84949979381269</v>
      </c>
      <c r="R16" s="55">
        <f>R11*R15</f>
        <v>7.901339101618474</v>
      </c>
      <c r="S16" s="55">
        <f>S11*S15</f>
        <v>7.054767055016493</v>
      </c>
      <c r="T16" s="55">
        <f>T11*T15</f>
        <v>6.298899156264725</v>
      </c>
      <c r="U16" s="55">
        <f>U11*U15</f>
        <v>5.62401710380779</v>
      </c>
      <c r="V16" s="55">
        <f>V11*V15</f>
        <v>2.3963285863762</v>
      </c>
    </row>
    <row r="17">
      <c r="A17" s="14" t="inlineStr">
        <is>
          <t>Tax-loss carryforward, end of year</t>
        </is>
      </c>
      <c r="C17" s="23">
        <f>Assumptions!$B$21-C8+MAX(0,-C7)</f>
        <v>785.3530000000001</v>
      </c>
      <c r="D17" s="23">
        <f>C17-D8+MAX(0,-D7)</f>
        <v>872.5060000000001</v>
      </c>
      <c r="E17" s="23">
        <f>D17-E8+MAX(0,-E7)</f>
        <v>959.6590000000001</v>
      </c>
      <c r="F17" s="23">
        <f>E17-F8+MAX(0,-F7)</f>
        <v>1046.8120000000001</v>
      </c>
      <c r="G17" s="23">
        <f>F17-G8+MAX(0,-G7)</f>
        <v>1048.78340086</v>
      </c>
      <c r="H17" s="23">
        <f>G17-H8+MAX(0,-H7)</f>
        <v>1050.75480172</v>
      </c>
      <c r="I17" s="23">
        <f>H17-I8+MAX(0,-I7)</f>
        <v>1048.20220258</v>
      </c>
      <c r="J17" s="23">
        <f>I17-J8+MAX(0,-J7)</f>
        <v>1038.86360344</v>
      </c>
      <c r="K17" s="23">
        <f>J17-K8+MAX(0,-K7)</f>
        <v>1020.4770042999999</v>
      </c>
      <c r="L17" s="23">
        <f>K17-L8+MAX(0,-L7)</f>
        <v>993.0424051599998</v>
      </c>
      <c r="M17" s="23">
        <f>L17-M8+MAX(0,-M7)</f>
        <v>956.5598060199998</v>
      </c>
      <c r="N17" s="23">
        <f>M17-N8+MAX(0,-N7)</f>
        <v>913.2912068799998</v>
      </c>
      <c r="O17" s="23">
        <f>N17-O8+MAX(0,-O7)</f>
        <v>870.0226077399998</v>
      </c>
      <c r="P17" s="23">
        <f>O17-P8+MAX(0,-P7)</f>
        <v>826.7540085999998</v>
      </c>
      <c r="Q17" s="23">
        <f>P17-Q8+MAX(0,-Q7)</f>
        <v>783.4854094599998</v>
      </c>
      <c r="R17" s="23">
        <f>Q17-R8+MAX(0,-R7)</f>
        <v>740.2168103199998</v>
      </c>
      <c r="S17" s="23">
        <f>R17-S8+MAX(0,-S7)</f>
        <v>696.9482111799998</v>
      </c>
      <c r="T17" s="23">
        <f>S17-T8+MAX(0,-T7)</f>
        <v>653.6796120399998</v>
      </c>
      <c r="U17" s="23">
        <f>T17-U8+MAX(0,-U7)</f>
        <v>610.4110128999998</v>
      </c>
      <c r="V17" s="23">
        <f>U17-V8+MAX(0,-V7)</f>
        <v>589.7624137599998</v>
      </c>
    </row>
    <row r="19">
      <c r="A19" s="14" t="inlineStr">
        <is>
          <t>PV of risked pipeline contribution</t>
        </is>
      </c>
      <c r="B19" s="23">
        <f>SUMPRODUCT(C5:V5,C15:V15)</f>
        <v>113.54812869523724</v>
      </c>
    </row>
    <row r="20">
      <c r="A20" s="14" t="inlineStr">
        <is>
          <t>PV of corporate burn</t>
        </is>
      </c>
      <c r="B20" s="23">
        <f>SUMPRODUCT(C6:V6,C15:V15)</f>
        <v>-261.7075743004743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-148.15944560523704</v>
      </c>
    </row>
    <row r="23">
      <c r="A23" s="14" t="inlineStr">
        <is>
          <t>Cash &amp; investments</t>
        </is>
      </c>
      <c r="B23" s="57">
        <f>Main!C7</f>
        <v>330.28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182.12055439476293</v>
      </c>
    </row>
    <row r="26">
      <c r="A26" s="14" t="inlineStr">
        <is>
          <t>Shares (mm)</t>
        </is>
      </c>
      <c r="B26" s="57">
        <f>Main!C4</f>
        <v>217.899284</v>
      </c>
    </row>
    <row r="27">
      <c r="A27" s="24" t="inlineStr">
        <is>
          <t>rNPV / share</t>
        </is>
      </c>
      <c r="B27" s="60">
        <f>B25/B26</f>
        <v>0.8358015274376163</v>
      </c>
    </row>
    <row r="28">
      <c r="A28" s="14" t="inlineStr">
        <is>
          <t>Price</t>
        </is>
      </c>
      <c r="B28" s="61">
        <f>Main!C3</f>
        <v>2.51</v>
      </c>
    </row>
    <row r="29">
      <c r="A29" s="14" t="inlineStr">
        <is>
          <t>Upside</t>
        </is>
      </c>
      <c r="B29" s="62">
        <f>B27/B28-1</f>
        <v>-0.6670113436503521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2026-10-21T06:25:04Z</dcterms:modified>
  <cp:lastModifiedBy>Wang, Eric</cp:lastModifiedBy>
</cp:coreProperties>
</file>