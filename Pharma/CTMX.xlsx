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CytomX Therapeutics, Inc.</t>
        </is>
      </c>
      <c r="C2" s="10" t="n"/>
    </row>
    <row r="3">
      <c r="B3" t="inlineStr">
        <is>
          <t>Price</t>
        </is>
      </c>
      <c r="C3" s="11">
        <f>INDEX([1]Pharma!$F$1:$F$1000,MATCH("CTMX",[1]Pharma!$B$1:$B$1000,0))</f>
        <v>2.51</v>
      </c>
      <c r="F3" s="1" t="n"/>
    </row>
    <row r="4">
      <c r="B4" t="inlineStr">
        <is>
          <t>Shares</t>
        </is>
      </c>
      <c r="C4" s="21" t="n">
        <v>217.899284</v>
      </c>
      <c r="F4" s="1" t="n"/>
    </row>
    <row r="5">
      <c r="B5" t="inlineStr">
        <is>
          <t>Market Cap.</t>
        </is>
      </c>
      <c r="C5" s="13">
        <f>C3*C4</f>
        <v>546.92720284</v>
      </c>
      <c r="F5" s="1" t="n"/>
    </row>
    <row r="6"/>
    <row r="7">
      <c r="B7" t="inlineStr">
        <is>
          <t>Cash</t>
        </is>
      </c>
      <c r="C7" s="21">
        <f>17.224+313.056</f>
        <v>330.28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216.64720283999998</v>
      </c>
    </row>
    <row r="10"/>
    <row r="11">
      <c r="B11" s="14" t="inlineStr">
        <is>
          <t>Net Cash / Share</t>
        </is>
      </c>
      <c r="C11" s="11">
        <f>(C7-C8)/C4</f>
        <v>1.515746146279214</v>
      </c>
    </row>
    <row r="12">
      <c r="B12" s="14" t="inlineStr">
        <is>
          <t>Upside</t>
        </is>
      </c>
      <c r="C12" s="15">
        <f>IFERROR(C11/C3-1,"")</f>
        <v>-0.39611707319553224</v>
      </c>
    </row>
    <row r="13">
      <c r="B13" s="14" t="inlineStr">
        <is>
          <t>Cash / Share</t>
        </is>
      </c>
      <c r="C13" s="11">
        <f>IFERROR((C7-C8)/C4,"")</f>
        <v>1.515746146279214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-82.408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4.007863314241336</v>
      </c>
    </row>
    <row r="19">
      <c r="B19" s="14" t="inlineStr">
        <is>
          <t>Implied Pipeline Value</t>
        </is>
      </c>
      <c r="C19" s="13">
        <f>C9</f>
        <v>216.64720283999998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0.888</v>
      </c>
      <c r="C2" s="23" t="n">
        <v>5.077</v>
      </c>
      <c r="D2" s="23" t="n">
        <v>7.712</v>
      </c>
      <c r="E2" s="23" t="n">
        <v>15.043</v>
      </c>
      <c r="F2" s="23" t="n">
        <v>71.623</v>
      </c>
      <c r="G2" s="23" t="n">
        <v>59.502</v>
      </c>
      <c r="H2" s="23" t="n">
        <v>26.902</v>
      </c>
      <c r="I2" s="23" t="n">
        <v>68.42700000000001</v>
      </c>
      <c r="J2" s="23" t="n">
        <v>37.312</v>
      </c>
      <c r="K2" s="23" t="n">
        <v>53.163</v>
      </c>
      <c r="L2" s="23" t="n">
        <v>101.214</v>
      </c>
      <c r="M2" s="23" t="n">
        <v>138.103</v>
      </c>
      <c r="N2" s="23" t="n">
        <v>76.20099999999999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0.888</v>
      </c>
      <c r="C4" s="23">
        <f>C2-C3</f>
        <v>5.077</v>
      </c>
      <c r="D4" s="23">
        <f>D2-D3</f>
        <v>7.712</v>
      </c>
      <c r="E4" s="23">
        <f>E2-E3</f>
        <v>15.043</v>
      </c>
      <c r="F4" s="23">
        <f>F2-F3</f>
        <v>71.623</v>
      </c>
      <c r="G4" s="23">
        <f>G2-G3</f>
        <v>59.502</v>
      </c>
      <c r="H4" s="23">
        <f>H2-H3</f>
        <v>26.902</v>
      </c>
      <c r="I4" s="23">
        <f>I2-I3</f>
        <v>68.427</v>
      </c>
      <c r="J4" s="23">
        <f>J2-J3</f>
        <v>37.312</v>
      </c>
      <c r="K4" s="23">
        <f>K2-K3</f>
        <v>53.163</v>
      </c>
      <c r="L4" s="23">
        <f>L2-L3</f>
        <v>101.214</v>
      </c>
      <c r="M4" s="23">
        <f>M2-M3</f>
        <v>138.103</v>
      </c>
      <c r="N4" s="23">
        <f>N2-N3</f>
        <v>76.201</v>
      </c>
    </row>
    <row r="5">
      <c r="A5" s="2" t="inlineStr">
        <is>
          <t>Research &amp; Dev.</t>
        </is>
      </c>
      <c r="B5" s="23" t="n">
        <v>10.89</v>
      </c>
      <c r="C5" s="23" t="n">
        <v>28.302</v>
      </c>
      <c r="D5" s="23" t="n">
        <v>28.357</v>
      </c>
      <c r="E5" s="23" t="n">
        <v>54.755</v>
      </c>
      <c r="F5" s="23" t="n">
        <v>92.277</v>
      </c>
      <c r="G5" s="23" t="n">
        <v>103.866</v>
      </c>
      <c r="H5" s="23" t="n">
        <v>131.619</v>
      </c>
      <c r="I5" s="23" t="n">
        <v>112.936</v>
      </c>
      <c r="J5" s="23" t="n">
        <v>114.194</v>
      </c>
      <c r="K5" s="23" t="n">
        <v>111.649</v>
      </c>
      <c r="L5" s="23" t="n">
        <v>77.68000000000001</v>
      </c>
      <c r="M5" s="23" t="n">
        <v>83.38200000000001</v>
      </c>
      <c r="N5" s="23" t="n">
        <v>68.72799999999999</v>
      </c>
    </row>
    <row r="6">
      <c r="A6" s="19" t="inlineStr">
        <is>
          <t>SG&amp;A &amp; Other</t>
        </is>
      </c>
      <c r="B6" s="23" t="n">
        <v>4.954</v>
      </c>
      <c r="C6" s="23" t="n">
        <v>6.54</v>
      </c>
      <c r="D6" s="23" t="n">
        <v>12.558</v>
      </c>
      <c r="E6" s="23" t="n">
        <v>19.874</v>
      </c>
      <c r="F6" s="23" t="n">
        <v>25.605</v>
      </c>
      <c r="G6" s="23" t="n">
        <v>33.51</v>
      </c>
      <c r="H6" s="23" t="n">
        <v>36.765</v>
      </c>
      <c r="I6" s="23" t="n">
        <v>36.031</v>
      </c>
      <c r="J6" s="23" t="n">
        <v>39.16</v>
      </c>
      <c r="K6" s="23" t="n">
        <v>42.849</v>
      </c>
      <c r="L6" s="23" t="n">
        <v>30.018</v>
      </c>
      <c r="M6" s="23" t="n">
        <v>29.726</v>
      </c>
      <c r="N6" s="23" t="n">
        <v>29.837</v>
      </c>
    </row>
    <row r="7">
      <c r="A7" s="2" t="inlineStr">
        <is>
          <t>Operating Expense</t>
        </is>
      </c>
      <c r="B7" s="23">
        <f>SUM(B5:B6)</f>
        <v>15.844000000000001</v>
      </c>
      <c r="C7" s="23">
        <f>SUM(C5:C6)</f>
        <v>34.842</v>
      </c>
      <c r="D7" s="23">
        <f>SUM(D5:D6)</f>
        <v>40.915</v>
      </c>
      <c r="E7" s="23">
        <f>SUM(E5:E6)</f>
        <v>74.629</v>
      </c>
      <c r="F7" s="23">
        <f>SUM(F5:F6)</f>
        <v>117.882</v>
      </c>
      <c r="G7" s="23">
        <f>SUM(G5:G6)</f>
        <v>137.376</v>
      </c>
      <c r="H7" s="23">
        <f>SUM(H5:H6)</f>
        <v>168.38400000000001</v>
      </c>
      <c r="I7" s="23">
        <f>SUM(I5:I6)</f>
        <v>148.967</v>
      </c>
      <c r="J7" s="23">
        <f>SUM(J5:J6)</f>
        <v>153.35399999999998</v>
      </c>
      <c r="K7" s="23">
        <f>SUM(K5:K6)</f>
        <v>154.498</v>
      </c>
      <c r="L7" s="23">
        <f>SUM(L5:L6)</f>
        <v>107.69800000000001</v>
      </c>
      <c r="M7" s="23">
        <f>SUM(M5:M6)</f>
        <v>113.108</v>
      </c>
      <c r="N7" s="23">
        <f>SUM(N5:N6)</f>
        <v>98.565</v>
      </c>
    </row>
    <row r="8">
      <c r="A8" s="2" t="inlineStr">
        <is>
          <t>Operating Income</t>
        </is>
      </c>
      <c r="B8" s="23">
        <f>B4-B7</f>
        <v>-14.956000000000001</v>
      </c>
      <c r="C8" s="23">
        <f>C4-C7</f>
        <v>-29.765</v>
      </c>
      <c r="D8" s="23">
        <f>D4-D7</f>
        <v>-33.203</v>
      </c>
      <c r="E8" s="23">
        <f>E4-E7</f>
        <v>-59.586000000000006</v>
      </c>
      <c r="F8" s="23">
        <f>F4-F7</f>
        <v>-46.259</v>
      </c>
      <c r="G8" s="23">
        <f>G4-G7</f>
        <v>-77.874</v>
      </c>
      <c r="H8" s="23">
        <f>H4-H7</f>
        <v>-141.48200000000003</v>
      </c>
      <c r="I8" s="23">
        <f>I4-I7</f>
        <v>-80.54</v>
      </c>
      <c r="J8" s="23">
        <f>J4-J7</f>
        <v>-116.04199999999999</v>
      </c>
      <c r="K8" s="23">
        <f>K4-K7</f>
        <v>-101.335</v>
      </c>
      <c r="L8" s="23">
        <f>L4-L7</f>
        <v>-6.484000000000009</v>
      </c>
      <c r="M8" s="23">
        <f>M4-M7</f>
        <v>24.995000000000005</v>
      </c>
      <c r="N8" s="23">
        <f>N4-N7</f>
        <v>-22.364000000000004</v>
      </c>
    </row>
    <row r="9">
      <c r="A9" s="19" t="inlineStr">
        <is>
          <t>Interest &amp; Other</t>
        </is>
      </c>
      <c r="B9" s="23" t="n">
        <v>-0.177</v>
      </c>
      <c r="C9" s="23" t="n">
        <v>-0.535</v>
      </c>
      <c r="D9" s="23" t="n">
        <v>-2.161</v>
      </c>
      <c r="E9" s="23" t="n">
        <v>0.667</v>
      </c>
      <c r="F9" s="23" t="n">
        <v>2.647</v>
      </c>
      <c r="G9" s="23" t="n">
        <v>7.573</v>
      </c>
      <c r="H9" s="23" t="n">
        <v>8.23</v>
      </c>
      <c r="I9" s="23" t="n">
        <v>1.809</v>
      </c>
      <c r="J9" s="23" t="n">
        <v>0.172</v>
      </c>
      <c r="K9" s="23" t="n">
        <v>2.018</v>
      </c>
      <c r="L9" s="23" t="n">
        <v>9.807</v>
      </c>
      <c r="M9" s="23" t="n">
        <v>7.098</v>
      </c>
      <c r="N9" s="23" t="n">
        <v>5.234</v>
      </c>
    </row>
    <row r="10">
      <c r="A10" s="2" t="inlineStr">
        <is>
          <t>Pretax</t>
        </is>
      </c>
      <c r="B10" s="23">
        <f>B8+B9</f>
        <v>-15.133000000000001</v>
      </c>
      <c r="C10" s="23">
        <f>C8+C9</f>
        <v>-30.3</v>
      </c>
      <c r="D10" s="23">
        <f>D8+D9</f>
        <v>-35.364000000000004</v>
      </c>
      <c r="E10" s="23">
        <f>E8+E9</f>
        <v>-58.919000000000004</v>
      </c>
      <c r="F10" s="23">
        <f>F8+F9</f>
        <v>-43.612</v>
      </c>
      <c r="G10" s="23">
        <f>G8+G9</f>
        <v>-70.30099999999999</v>
      </c>
      <c r="H10" s="23">
        <f>H8+H9</f>
        <v>-133.25200000000004</v>
      </c>
      <c r="I10" s="23">
        <f>I8+I9</f>
        <v>-78.73100000000001</v>
      </c>
      <c r="J10" s="23">
        <f>J8+J9</f>
        <v>-115.86999999999999</v>
      </c>
      <c r="K10" s="23">
        <f>K8+K9</f>
        <v>-99.317</v>
      </c>
      <c r="L10" s="23">
        <f>L8+L9</f>
        <v>3.3229999999999915</v>
      </c>
      <c r="M10" s="23">
        <f>M8+M9</f>
        <v>32.093</v>
      </c>
      <c r="N10" s="23">
        <f>N8+N9</f>
        <v>-17.130000000000003</v>
      </c>
    </row>
    <row r="11">
      <c r="A11" s="2" t="inlineStr">
        <is>
          <t>Taxes</t>
        </is>
      </c>
      <c r="B11" s="23" t="n">
        <v>0.01</v>
      </c>
      <c r="C11" s="23" t="n">
        <v>0.01</v>
      </c>
      <c r="D11" s="23" t="n">
        <v>0.01</v>
      </c>
      <c r="E11" s="23" t="n">
        <v>-0.019</v>
      </c>
      <c r="F11" s="23" t="n">
        <v>-0.513</v>
      </c>
      <c r="G11" s="23" t="n">
        <v>14.303</v>
      </c>
      <c r="H11" s="23" t="n">
        <v>-0.427</v>
      </c>
      <c r="I11" s="23" t="n">
        <v>-13.911</v>
      </c>
      <c r="J11" s="23" t="n">
        <v>0</v>
      </c>
      <c r="K11" s="23" t="n">
        <v>0</v>
      </c>
      <c r="L11" s="23" t="n">
        <v>3.892</v>
      </c>
      <c r="M11" s="23" t="n">
        <v>0.224</v>
      </c>
      <c r="N11" s="23" t="n">
        <v>0.238</v>
      </c>
    </row>
    <row r="12">
      <c r="A12" s="2" t="inlineStr">
        <is>
          <t>Net Income</t>
        </is>
      </c>
      <c r="B12" s="23" t="n">
        <v>-15.143</v>
      </c>
      <c r="C12" s="23" t="n">
        <v>-30.31</v>
      </c>
      <c r="D12" s="23" t="n">
        <v>-35.374</v>
      </c>
      <c r="E12" s="23" t="n">
        <v>-58.9</v>
      </c>
      <c r="F12" s="23" t="n">
        <v>-43.099</v>
      </c>
      <c r="G12" s="23" t="n">
        <v>-84.604</v>
      </c>
      <c r="H12" s="23" t="n">
        <v>-132.825</v>
      </c>
      <c r="I12" s="23" t="n">
        <v>-64.81999999999999</v>
      </c>
      <c r="J12" s="23" t="n">
        <v>-115.87</v>
      </c>
      <c r="K12" s="23" t="n">
        <v>-99.31699999999999</v>
      </c>
      <c r="L12" s="23" t="n">
        <v>-0.569</v>
      </c>
      <c r="M12" s="23" t="n">
        <v>31.869</v>
      </c>
      <c r="N12" s="23" t="n">
        <v>-17.368</v>
      </c>
    </row>
    <row r="13">
      <c r="A13" s="2" t="inlineStr">
        <is>
          <t>Earnings per Share</t>
        </is>
      </c>
      <c r="B13" s="11">
        <f>IFERROR(B12/B14,0)</f>
        <v>-19.615284974093264</v>
      </c>
      <c r="C13" s="11">
        <f>IFERROR(C12/C14,0)</f>
        <v>-30.647118301314457</v>
      </c>
      <c r="D13" s="11">
        <f>IFERROR(D12/D14,0)</f>
        <v>-4.11564863292612</v>
      </c>
      <c r="E13" s="11">
        <f>IFERROR(E12/E14,0)</f>
        <v>-1.6255002069821995</v>
      </c>
      <c r="F13" s="11">
        <f>IFERROR(F12/F14,0)</f>
        <v>-1.159603949740361</v>
      </c>
      <c r="G13" s="11">
        <f>IFERROR(G12/G14,0)</f>
        <v>-2.030625960061444</v>
      </c>
      <c r="H13" s="11">
        <f>IFERROR(H12/H14,0)</f>
        <v>-2.9297908946532556</v>
      </c>
      <c r="I13" s="11">
        <f>IFERROR(I12/I14,0)</f>
        <v>-1.4046721275950242</v>
      </c>
      <c r="J13" s="11">
        <f>IFERROR(J12/J14,0)</f>
        <v>-1.80631985907369</v>
      </c>
      <c r="K13" s="11">
        <f>IFERROR(K12/K14,0)</f>
        <v>-1.5107544873745056</v>
      </c>
      <c r="L13" s="11">
        <f>IFERROR(L12/L14,0)</f>
        <v>-0.007709191415564707</v>
      </c>
      <c r="M13" s="11">
        <f>IFERROR(M12/M14,0)</f>
        <v>0.37605758451826066</v>
      </c>
      <c r="N13" s="11">
        <f>IFERROR(N12/N14,0)</f>
        <v>-0.12591346711518384</v>
      </c>
    </row>
    <row r="14">
      <c r="A14" s="2" t="inlineStr">
        <is>
          <t>Shares</t>
        </is>
      </c>
      <c r="B14" s="23" t="n">
        <v>0.772</v>
      </c>
      <c r="C14" s="23" t="n">
        <v>0.989</v>
      </c>
      <c r="D14" s="23" t="n">
        <v>8.595000000000001</v>
      </c>
      <c r="E14" s="23" t="n">
        <v>36.235</v>
      </c>
      <c r="F14" s="23" t="n">
        <v>37.167</v>
      </c>
      <c r="G14" s="23" t="n">
        <v>41.664</v>
      </c>
      <c r="H14" s="23" t="n">
        <v>45.336</v>
      </c>
      <c r="I14" s="23" t="n">
        <v>46.146</v>
      </c>
      <c r="J14" s="23" t="n">
        <v>64.14700000000001</v>
      </c>
      <c r="K14" s="23" t="n">
        <v>65.73999999999999</v>
      </c>
      <c r="L14" s="23" t="n">
        <v>73.80800000000001</v>
      </c>
      <c r="M14" s="23" t="n">
        <v>84.745</v>
      </c>
      <c r="N14" s="23" t="n">
        <v>137.936</v>
      </c>
    </row>
    <row r="15"/>
    <row r="16" customFormat="1" s="4">
      <c r="A16" s="3" t="inlineStr">
        <is>
          <t>Revenue Change</t>
        </is>
      </c>
      <c r="C16" s="15">
        <f>IFERROR(C2/B2-1,"")</f>
        <v>4.717342342342342</v>
      </c>
      <c r="D16" s="15">
        <f>IFERROR(D2/C2-1,"")</f>
        <v>0.5190072877683671</v>
      </c>
      <c r="E16" s="15">
        <f>IFERROR(E2/D2-1,"")</f>
        <v>0.9505964730290457</v>
      </c>
      <c r="F16" s="15">
        <f>IFERROR(F2/E2-1,"")</f>
        <v>3.7612178421857347</v>
      </c>
      <c r="G16" s="15">
        <f>IFERROR(G2/F2-1,"")</f>
        <v>-0.16923334682992897</v>
      </c>
      <c r="H16" s="15">
        <f>IFERROR(H2/G2-1,"")</f>
        <v>-0.54788074350442</v>
      </c>
      <c r="I16" s="15">
        <f>IFERROR(I2/H2-1,"")</f>
        <v>1.5435655341610293</v>
      </c>
      <c r="J16" s="15">
        <f>IFERROR(J2/I2-1,"")</f>
        <v>-0.4547181668055008</v>
      </c>
      <c r="K16" s="15">
        <f>IFERROR(K2/J2-1,"")</f>
        <v>0.42482311320754707</v>
      </c>
      <c r="L16" s="15">
        <f>IFERROR(L2/K2-1,"")</f>
        <v>0.9038428982563063</v>
      </c>
      <c r="M16" s="15">
        <f>IFERROR(M2/L2-1,"")</f>
        <v>0.3644653901634163</v>
      </c>
      <c r="N16" s="15">
        <f>IFERROR(N2/M2-1,"")</f>
        <v>-0.4482306684141547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</row>
    <row r="18">
      <c r="A18" s="14" t="inlineStr">
        <is>
          <t>Operating Margin</t>
        </is>
      </c>
      <c r="B18" s="15">
        <f>IFERROR(B8/B2,"")</f>
        <v>-16.842342342342345</v>
      </c>
      <c r="C18" s="15">
        <f>IFERROR(C8/C2,"")</f>
        <v>-5.862714201299981</v>
      </c>
      <c r="D18" s="15">
        <f>IFERROR(D8/D2,"")</f>
        <v>-4.305368257261411</v>
      </c>
      <c r="E18" s="15">
        <f>IFERROR(E8/E2,"")</f>
        <v>-3.961045004320947</v>
      </c>
      <c r="F18" s="15">
        <f>IFERROR(F8/F2,"")</f>
        <v>-0.6458679474470491</v>
      </c>
      <c r="G18" s="15">
        <f>IFERROR(G8/G2,"")</f>
        <v>-1.3087627306645153</v>
      </c>
      <c r="H18" s="15">
        <f>IFERROR(H8/H2,"")</f>
        <v>-5.2591628875176575</v>
      </c>
      <c r="I18" s="15">
        <f>IFERROR(I8/I2,"")</f>
        <v>-1.1770207666564367</v>
      </c>
      <c r="J18" s="15">
        <f>IFERROR(J8/J2,"")</f>
        <v>-3.1100450257289878</v>
      </c>
      <c r="K18" s="15">
        <f>IFERROR(K8/K2,"")</f>
        <v>-1.9061189172921016</v>
      </c>
      <c r="L18" s="15">
        <f>IFERROR(L8/L2,"")</f>
        <v>-0.0640622838737725</v>
      </c>
      <c r="M18" s="15">
        <f>IFERROR(M8/M2,"")</f>
        <v>0.18098810308248195</v>
      </c>
      <c r="N18" s="15">
        <f>IFERROR(N8/N2,"")</f>
        <v>-0.2934869621133582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2026-10-21T01:05:07Z</dcterms:modified>
  <cp:lastModifiedBy>Wang, Eric</cp:lastModifiedBy>
</cp:coreProperties>
</file>