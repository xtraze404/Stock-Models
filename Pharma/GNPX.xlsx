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Genprex Inc</t>
        </is>
      </c>
      <c r="C2" s="10" t="n"/>
    </row>
    <row r="3">
      <c r="B3" t="inlineStr">
        <is>
          <t>Price</t>
        </is>
      </c>
      <c r="C3" s="11">
        <f>INDEX([1]Pharma!$F$1:$F$1000,MATCH("GNPX",[1]Pharma!$B$1:$B$1000,0))</f>
        <v>2.13</v>
      </c>
      <c r="F3" s="1" t="n"/>
    </row>
    <row r="4">
      <c r="B4" t="inlineStr">
        <is>
          <t>Shares</t>
        </is>
      </c>
      <c r="C4" s="21" t="n">
        <v>0.819709</v>
      </c>
      <c r="F4" s="1" t="n"/>
    </row>
    <row r="5">
      <c r="B5" t="inlineStr">
        <is>
          <t>Market Cap.</t>
        </is>
      </c>
      <c r="C5" s="13">
        <f>C3*C4</f>
        <v>1.74598017</v>
      </c>
      <c r="F5" s="1" t="n"/>
    </row>
    <row r="6"/>
    <row r="7">
      <c r="B7" t="inlineStr">
        <is>
          <t>Cash</t>
        </is>
      </c>
      <c r="C7" s="21" t="n">
        <v>15.154203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-13.408222830000001</v>
      </c>
    </row>
    <row r="10"/>
    <row r="11">
      <c r="B11" s="14" t="inlineStr">
        <is>
          <t>Net Cash / Share</t>
        </is>
      </c>
      <c r="C11" s="11">
        <f>(C7-C8)/C4</f>
        <v>18.487296101421357</v>
      </c>
    </row>
    <row r="12">
      <c r="B12" s="14" t="inlineStr">
        <is>
          <t>Upside</t>
        </is>
      </c>
      <c r="C12" s="15">
        <f>IFERROR(C11/C3-1,"")</f>
        <v>7.679481737756506</v>
      </c>
    </row>
    <row r="13">
      <c r="B13" s="14" t="inlineStr">
        <is>
          <t>Cash / Share</t>
        </is>
      </c>
      <c r="C13" s="11">
        <f>IFERROR((C7-C8)/C4,"")</f>
        <v>18.487296101421357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-15.563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0.9737327636059886</v>
      </c>
    </row>
    <row r="19">
      <c r="B19" s="14" t="inlineStr">
        <is>
          <t>Implied Pipeline Value</t>
        </is>
      </c>
      <c r="C19" s="13">
        <f>C9</f>
        <v>-13.408222830000001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</row>
    <row r="5">
      <c r="A5" s="2" t="inlineStr">
        <is>
          <t>Research &amp; Dev.</t>
        </is>
      </c>
      <c r="B5" s="23" t="n">
        <v>0.355</v>
      </c>
      <c r="C5" s="23" t="n">
        <v>0.29</v>
      </c>
      <c r="D5" s="23" t="n">
        <v>0.971</v>
      </c>
      <c r="E5" s="23" t="n">
        <v>1.967</v>
      </c>
      <c r="F5" s="23" t="n">
        <v>7.303</v>
      </c>
      <c r="G5" s="23" t="n">
        <v>8.971</v>
      </c>
      <c r="H5" s="23" t="n">
        <v>11.51</v>
      </c>
      <c r="I5" s="23" t="n">
        <v>17.617</v>
      </c>
      <c r="J5" s="23" t="n">
        <v>10.535</v>
      </c>
      <c r="K5" s="23" t="n">
        <v>9.429</v>
      </c>
    </row>
    <row r="6">
      <c r="A6" s="19" t="inlineStr">
        <is>
          <t>SG&amp;A &amp; Other</t>
        </is>
      </c>
      <c r="B6" s="23" t="n">
        <v>3.777</v>
      </c>
      <c r="C6" s="23" t="n">
        <v>3.022</v>
      </c>
      <c r="D6" s="23" t="n">
        <v>11.392</v>
      </c>
      <c r="E6" s="23" t="n">
        <v>8.715999999999999</v>
      </c>
      <c r="F6" s="23" t="n">
        <v>10.659</v>
      </c>
      <c r="G6" s="23" t="n">
        <v>11.699</v>
      </c>
      <c r="H6" s="23" t="n">
        <v>12.321</v>
      </c>
      <c r="I6" s="23" t="n">
        <v>13.44</v>
      </c>
      <c r="J6" s="23" t="n">
        <v>10.639</v>
      </c>
      <c r="K6" s="23" t="n">
        <v>6.087</v>
      </c>
    </row>
    <row r="7">
      <c r="A7" s="2" t="inlineStr">
        <is>
          <t>Operating Expense</t>
        </is>
      </c>
      <c r="B7" s="23">
        <f>SUM(B5:B6)</f>
        <v>4.132</v>
      </c>
      <c r="C7" s="23">
        <f>SUM(C5:C6)</f>
        <v>3.312</v>
      </c>
      <c r="D7" s="23">
        <f>SUM(D5:D6)</f>
        <v>12.363</v>
      </c>
      <c r="E7" s="23">
        <f>SUM(E5:E6)</f>
        <v>10.683</v>
      </c>
      <c r="F7" s="23">
        <f>SUM(F5:F6)</f>
        <v>17.962</v>
      </c>
      <c r="G7" s="23">
        <f>SUM(G5:G6)</f>
        <v>20.67</v>
      </c>
      <c r="H7" s="23">
        <f>SUM(H5:H6)</f>
        <v>23.831</v>
      </c>
      <c r="I7" s="23">
        <f>SUM(I5:I6)</f>
        <v>31.057000000000002</v>
      </c>
      <c r="J7" s="23">
        <f>SUM(J5:J6)</f>
        <v>21.174</v>
      </c>
      <c r="K7" s="23">
        <f>SUM(K5:K6)</f>
        <v>15.516</v>
      </c>
    </row>
    <row r="8">
      <c r="A8" s="2" t="inlineStr">
        <is>
          <t>Operating Income</t>
        </is>
      </c>
      <c r="B8" s="23">
        <f>B4-B7</f>
        <v>-4.132</v>
      </c>
      <c r="C8" s="23">
        <f>C4-C7</f>
        <v>-3.312</v>
      </c>
      <c r="D8" s="23">
        <f>D4-D7</f>
        <v>-12.363</v>
      </c>
      <c r="E8" s="23">
        <f>E4-E7</f>
        <v>-10.683</v>
      </c>
      <c r="F8" s="23">
        <f>F4-F7</f>
        <v>-17.962</v>
      </c>
      <c r="G8" s="23">
        <f>G4-G7</f>
        <v>-20.67</v>
      </c>
      <c r="H8" s="23">
        <f>H4-H7</f>
        <v>-23.831</v>
      </c>
      <c r="I8" s="23">
        <f>I4-I7</f>
        <v>-31.057000000000002</v>
      </c>
      <c r="J8" s="23">
        <f>J4-J7</f>
        <v>-21.174</v>
      </c>
      <c r="K8" s="23">
        <f>K4-K7</f>
        <v>-15.516</v>
      </c>
    </row>
    <row r="9">
      <c r="A9" s="19" t="inlineStr">
        <is>
          <t>Interest &amp; Other</t>
        </is>
      </c>
      <c r="B9" s="23" t="n">
        <v>0</v>
      </c>
      <c r="C9" s="23" t="n">
        <v>-0.002</v>
      </c>
      <c r="D9" s="23" t="n">
        <v>-0.008999999999999999</v>
      </c>
      <c r="E9" s="23" t="n">
        <v>0.028</v>
      </c>
      <c r="F9" s="23" t="n">
        <v>0.019</v>
      </c>
      <c r="G9" s="23" t="n">
        <v>0.005</v>
      </c>
      <c r="H9" s="23" t="n">
        <v>0.09</v>
      </c>
      <c r="I9" s="23" t="n">
        <v>0.196</v>
      </c>
      <c r="J9" s="23" t="n">
        <v>-0.211</v>
      </c>
      <c r="K9" s="23" t="n">
        <v>-0.713</v>
      </c>
    </row>
    <row r="10">
      <c r="A10" s="2" t="inlineStr">
        <is>
          <t>Pretax</t>
        </is>
      </c>
      <c r="B10" s="23">
        <f>B8+B9</f>
        <v>-4.132</v>
      </c>
      <c r="C10" s="23">
        <f>C8+C9</f>
        <v>-3.3139999999999996</v>
      </c>
      <c r="D10" s="23">
        <f>D8+D9</f>
        <v>-12.372</v>
      </c>
      <c r="E10" s="23">
        <f>E8+E9</f>
        <v>-10.655</v>
      </c>
      <c r="F10" s="23">
        <f>F8+F9</f>
        <v>-17.943</v>
      </c>
      <c r="G10" s="23">
        <f>G8+G9</f>
        <v>-20.665000000000003</v>
      </c>
      <c r="H10" s="23">
        <f>H8+H9</f>
        <v>-23.741</v>
      </c>
      <c r="I10" s="23">
        <f>I8+I9</f>
        <v>-30.861</v>
      </c>
      <c r="J10" s="23">
        <f>J8+J9</f>
        <v>-21.384999999999998</v>
      </c>
      <c r="K10" s="23">
        <f>K8+K9</f>
        <v>-16.229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0.003</v>
      </c>
      <c r="K11" s="23" t="n">
        <v>0</v>
      </c>
    </row>
    <row r="12">
      <c r="A12" s="2" t="inlineStr">
        <is>
          <t>Net Income</t>
        </is>
      </c>
      <c r="B12" s="23" t="n">
        <v>-4.132</v>
      </c>
      <c r="C12" s="23" t="n">
        <v>-3.314</v>
      </c>
      <c r="D12" s="23" t="n">
        <v>-12.372</v>
      </c>
      <c r="E12" s="23" t="n">
        <v>-10.655</v>
      </c>
      <c r="F12" s="23" t="n">
        <v>-17.943</v>
      </c>
      <c r="G12" s="23" t="n">
        <v>-20.665</v>
      </c>
      <c r="H12" s="23" t="n">
        <v>-23.741</v>
      </c>
      <c r="I12" s="23" t="n">
        <v>-30.86</v>
      </c>
      <c r="J12" s="23" t="n">
        <v>-21.388</v>
      </c>
      <c r="K12" s="23" t="n">
        <v>-16.229</v>
      </c>
    </row>
    <row r="13">
      <c r="A13" s="2" t="inlineStr">
        <is>
          <t>Earnings per Share</t>
        </is>
      </c>
      <c r="B13" s="11">
        <f>IFERROR(B12/B14,0)</f>
        <v>-258.25</v>
      </c>
      <c r="C13" s="11">
        <f>IFERROR(C12/C14,0)</f>
        <v>-194.94117647058823</v>
      </c>
      <c r="D13" s="11">
        <f>IFERROR(D12/D14,0)</f>
        <v>-589.1428571428571</v>
      </c>
      <c r="E13" s="11">
        <f>IFERROR(E12/E14,0)</f>
        <v>-443.9583333333333</v>
      </c>
      <c r="F13" s="11">
        <f>IFERROR(F12/F14,0)</f>
        <v>-332.2777777777778</v>
      </c>
      <c r="G13" s="11">
        <f>IFERROR(G12/G14,0)</f>
        <v>-291.056338028169</v>
      </c>
      <c r="H13" s="11">
        <f>IFERROR(H12/H14,0)</f>
        <v>-334.38028169014086</v>
      </c>
      <c r="I13" s="11">
        <f>IFERROR(I12/I14,0)</f>
        <v>-385.75</v>
      </c>
      <c r="J13" s="11">
        <f>IFERROR(J12/J14,0)</f>
        <v>-267.35</v>
      </c>
      <c r="K13" s="11">
        <f>IFERROR(K12/K14,0)</f>
        <v>-17.394426580921756</v>
      </c>
    </row>
    <row r="14">
      <c r="A14" s="2" t="inlineStr">
        <is>
          <t>Shares</t>
        </is>
      </c>
      <c r="B14" s="23" t="n">
        <v>0.016</v>
      </c>
      <c r="C14" s="23" t="n">
        <v>0.017</v>
      </c>
      <c r="D14" s="23" t="n">
        <v>0.021</v>
      </c>
      <c r="E14" s="23" t="n">
        <v>0.024</v>
      </c>
      <c r="F14" s="23" t="n">
        <v>0.054</v>
      </c>
      <c r="G14" s="23" t="n">
        <v>0.07099999999999999</v>
      </c>
      <c r="H14" s="23" t="n">
        <v>0.07099999999999999</v>
      </c>
      <c r="I14" s="23" t="n">
        <v>0.08</v>
      </c>
      <c r="J14" s="23" t="n">
        <v>0.08</v>
      </c>
      <c r="K14" s="23" t="n">
        <v>0.9330000000000001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2026-10-21T01:06:54Z</dcterms:modified>
  <cp:lastModifiedBy>Wang, Eric</cp:lastModifiedBy>
</cp:coreProperties>
</file>