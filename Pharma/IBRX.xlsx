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ImmunityBio, Inc.</t>
        </is>
      </c>
      <c r="C2" s="10" t="n"/>
    </row>
    <row r="3">
      <c r="B3" t="inlineStr">
        <is>
          <t>Price</t>
        </is>
      </c>
      <c r="C3" s="11">
        <f>INDEX([1]Pharma!$F$1:$F$1000,MATCH("IBRX",[1]Pharma!$B$1:$B$1000,0))</f>
        <v>8.77</v>
      </c>
      <c r="F3" s="1" t="n"/>
    </row>
    <row r="4">
      <c r="B4" t="inlineStr">
        <is>
          <t>Shares</t>
        </is>
      </c>
      <c r="C4" s="21" t="n">
        <v>1059.836273</v>
      </c>
      <c r="F4" s="1" t="n"/>
    </row>
    <row r="5">
      <c r="B5" t="inlineStr">
        <is>
          <t>Market Cap.</t>
        </is>
      </c>
      <c r="C5" s="13">
        <f>C3*C4</f>
        <v>9294.764114209998</v>
      </c>
      <c r="F5" s="1" t="n"/>
    </row>
    <row r="6"/>
    <row r="7">
      <c r="B7" t="inlineStr">
        <is>
          <t>Cash</t>
        </is>
      </c>
      <c r="C7" s="21">
        <f>75.67+281.701</f>
        <v>357.37100000000004</v>
      </c>
    </row>
    <row r="8">
      <c r="B8" t="inlineStr">
        <is>
          <t>Debt</t>
        </is>
      </c>
      <c r="C8" s="21" t="n">
        <v>415.086</v>
      </c>
    </row>
    <row r="9">
      <c r="B9" t="inlineStr">
        <is>
          <t>Enterprise V.</t>
        </is>
      </c>
      <c r="C9" s="13">
        <f>C5-C7+C8</f>
        <v>9352.479114209998</v>
      </c>
    </row>
    <row r="10"/>
    <row r="11">
      <c r="B11" s="14" t="inlineStr">
        <is>
          <t>Net Cash / Share</t>
        </is>
      </c>
      <c r="C11" s="11">
        <f>(C7-C8)/C4</f>
        <v>-0.05445652453150184</v>
      </c>
    </row>
    <row r="12">
      <c r="B12" s="14" t="inlineStr">
        <is>
          <t>Upside</t>
        </is>
      </c>
      <c r="C12" s="15">
        <f>IFERROR(C11/C3-1,"")</f>
        <v>-1.006209409866762</v>
      </c>
    </row>
    <row r="13">
      <c r="B13" s="14" t="inlineStr">
        <is>
          <t>Cash / Share</t>
        </is>
      </c>
      <c r="C13" s="11">
        <f>IFERROR((C7-C8)/C4,"")</f>
        <v>-0.05445652453150184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-281.138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9352.479114209998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</v>
      </c>
      <c r="C2" s="23" t="n">
        <v>0.641</v>
      </c>
      <c r="D2" s="23" t="n">
        <v>0.236</v>
      </c>
      <c r="E2" s="23" t="n">
        <v>0.044</v>
      </c>
      <c r="F2" s="23" t="n">
        <v>0.045</v>
      </c>
      <c r="G2" s="23" t="n">
        <v>0.047</v>
      </c>
      <c r="H2" s="23" t="n">
        <v>2.202</v>
      </c>
      <c r="I2" s="23" t="n">
        <v>0.605</v>
      </c>
      <c r="J2" s="23" t="n">
        <v>0.9340000000000001</v>
      </c>
      <c r="K2" s="23" t="n">
        <v>0.24</v>
      </c>
      <c r="L2" s="23" t="n">
        <v>0.622</v>
      </c>
      <c r="M2" s="23" t="n">
        <v>14.745</v>
      </c>
      <c r="N2" s="23" t="n">
        <v>113.288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0.753</v>
      </c>
    </row>
    <row r="4" customFormat="1" s="1">
      <c r="A4" s="5" t="inlineStr">
        <is>
          <t>Gross Margin</t>
        </is>
      </c>
      <c r="B4" s="23">
        <f>B2-B3</f>
        <v>0.6</v>
      </c>
      <c r="C4" s="23">
        <f>C2-C3</f>
        <v>0.641</v>
      </c>
      <c r="D4" s="23">
        <f>D2-D3</f>
        <v>0.236</v>
      </c>
      <c r="E4" s="23">
        <f>E2-E3</f>
        <v>0.044</v>
      </c>
      <c r="F4" s="23">
        <f>F2-F3</f>
        <v>0.045</v>
      </c>
      <c r="G4" s="23">
        <f>G2-G3</f>
        <v>0.047</v>
      </c>
      <c r="H4" s="23">
        <f>H2-H3</f>
        <v>2.202</v>
      </c>
      <c r="I4" s="23">
        <f>I2-I3</f>
        <v>0.605</v>
      </c>
      <c r="J4" s="23">
        <f>J2-J3</f>
        <v>0.934</v>
      </c>
      <c r="K4" s="23">
        <f>K2-K3</f>
        <v>0.24</v>
      </c>
      <c r="L4" s="23">
        <f>L2-L3</f>
        <v>0.622</v>
      </c>
      <c r="M4" s="23">
        <f>M2-M3</f>
        <v>14.745</v>
      </c>
      <c r="N4" s="23">
        <f>N2-N3</f>
        <v>112.535</v>
      </c>
    </row>
    <row r="5">
      <c r="A5" s="2" t="inlineStr">
        <is>
          <t>Research &amp; Dev.</t>
        </is>
      </c>
      <c r="B5" s="23" t="n">
        <v>0.446</v>
      </c>
      <c r="C5" s="23" t="n">
        <v>1.595</v>
      </c>
      <c r="D5" s="23" t="n">
        <v>11.434</v>
      </c>
      <c r="E5" s="23" t="n">
        <v>29.153</v>
      </c>
      <c r="F5" s="23" t="n">
        <v>42.044</v>
      </c>
      <c r="G5" s="23" t="n">
        <v>55.718</v>
      </c>
      <c r="H5" s="23" t="n">
        <v>111.997</v>
      </c>
      <c r="I5" s="23" t="n">
        <v>139.507</v>
      </c>
      <c r="J5" s="23" t="n">
        <v>195.958</v>
      </c>
      <c r="K5" s="23" t="n">
        <v>248.149</v>
      </c>
      <c r="L5" s="23" t="n">
        <v>232.366</v>
      </c>
      <c r="M5" s="23" t="n">
        <v>190.144</v>
      </c>
      <c r="N5" s="23" t="n">
        <v>0</v>
      </c>
    </row>
    <row r="6">
      <c r="A6" s="19" t="inlineStr">
        <is>
          <t>SG&amp;A &amp; Other</t>
        </is>
      </c>
      <c r="B6" s="23" t="n">
        <v>2.423</v>
      </c>
      <c r="C6" s="23" t="n">
        <v>4.621</v>
      </c>
      <c r="D6" s="23" t="n">
        <v>227.678</v>
      </c>
      <c r="E6" s="23" t="n">
        <v>95.39100000000001</v>
      </c>
      <c r="F6" s="23" t="n">
        <v>57.121</v>
      </c>
      <c r="G6" s="23" t="n">
        <v>42.718</v>
      </c>
      <c r="H6" s="23" t="n">
        <v>46.456</v>
      </c>
      <c r="I6" s="23" t="n">
        <v>81.97799999999999</v>
      </c>
      <c r="J6" s="23" t="n">
        <v>135.256</v>
      </c>
      <c r="K6" s="23" t="n">
        <v>103.389</v>
      </c>
      <c r="L6" s="23" t="n">
        <v>130.506</v>
      </c>
      <c r="M6" s="23" t="n">
        <v>168.783</v>
      </c>
      <c r="N6" s="23" t="n">
        <v>368.562</v>
      </c>
    </row>
    <row r="7">
      <c r="A7" s="2" t="inlineStr">
        <is>
          <t>Operating Expense</t>
        </is>
      </c>
      <c r="B7" s="23">
        <f>SUM(B5:B6)</f>
        <v>2.869</v>
      </c>
      <c r="C7" s="23">
        <f>SUM(C5:C6)</f>
        <v>6.216</v>
      </c>
      <c r="D7" s="23">
        <f>SUM(D5:D6)</f>
        <v>239.112</v>
      </c>
      <c r="E7" s="23">
        <f>SUM(E5:E6)</f>
        <v>124.54400000000001</v>
      </c>
      <c r="F7" s="23">
        <f>SUM(F5:F6)</f>
        <v>99.16499999999999</v>
      </c>
      <c r="G7" s="23">
        <f>SUM(G5:G6)</f>
        <v>98.436</v>
      </c>
      <c r="H7" s="23">
        <f>SUM(H5:H6)</f>
        <v>158.453</v>
      </c>
      <c r="I7" s="23">
        <f>SUM(I5:I6)</f>
        <v>221.485</v>
      </c>
      <c r="J7" s="23">
        <f>SUM(J5:J6)</f>
        <v>331.214</v>
      </c>
      <c r="K7" s="23">
        <f>SUM(K5:K6)</f>
        <v>351.538</v>
      </c>
      <c r="L7" s="23">
        <f>SUM(L5:L6)</f>
        <v>362.872</v>
      </c>
      <c r="M7" s="23">
        <f>SUM(M5:M6)</f>
        <v>358.927</v>
      </c>
      <c r="N7" s="23">
        <f>SUM(N5:N6)</f>
        <v>368.562</v>
      </c>
    </row>
    <row r="8">
      <c r="A8" s="2" t="inlineStr">
        <is>
          <t>Operating Income</t>
        </is>
      </c>
      <c r="B8" s="23">
        <f>B4-B7</f>
        <v>-2.269</v>
      </c>
      <c r="C8" s="23">
        <f>C4-C7</f>
        <v>-5.575</v>
      </c>
      <c r="D8" s="23">
        <f>D4-D7</f>
        <v>-238.876</v>
      </c>
      <c r="E8" s="23">
        <f>E4-E7</f>
        <v>-124.50000000000001</v>
      </c>
      <c r="F8" s="23">
        <f>F4-F7</f>
        <v>-99.11999999999999</v>
      </c>
      <c r="G8" s="23">
        <f>G4-G7</f>
        <v>-98.38900000000001</v>
      </c>
      <c r="H8" s="23">
        <f>H4-H7</f>
        <v>-156.251</v>
      </c>
      <c r="I8" s="23">
        <f>I4-I7</f>
        <v>-220.88000000000002</v>
      </c>
      <c r="J8" s="23">
        <f>J4-J7</f>
        <v>-330.28</v>
      </c>
      <c r="K8" s="23">
        <f>K4-K7</f>
        <v>-351.298</v>
      </c>
      <c r="L8" s="23">
        <f>L4-L7</f>
        <v>-362.25</v>
      </c>
      <c r="M8" s="23">
        <f>M4-M7</f>
        <v>-344.182</v>
      </c>
      <c r="N8" s="23">
        <f>N4-N7</f>
        <v>-256.02700000000004</v>
      </c>
    </row>
    <row r="9">
      <c r="A9" s="19" t="inlineStr">
        <is>
          <t>Interest &amp; Other</t>
        </is>
      </c>
      <c r="B9" s="23" t="n">
        <v>0.223</v>
      </c>
      <c r="C9" s="23" t="n">
        <v>-0.609</v>
      </c>
      <c r="D9" s="23" t="n">
        <v>1.699</v>
      </c>
      <c r="E9" s="23" t="n">
        <v>3.119</v>
      </c>
      <c r="F9" s="23" t="n">
        <v>2.204</v>
      </c>
      <c r="G9" s="23" t="n">
        <v>1.66</v>
      </c>
      <c r="H9" s="23" t="n">
        <v>-1.631</v>
      </c>
      <c r="I9" s="23" t="n">
        <v>-2.817</v>
      </c>
      <c r="J9" s="23" t="n">
        <v>-19.511</v>
      </c>
      <c r="K9" s="23" t="n">
        <v>-65.968</v>
      </c>
      <c r="L9" s="23" t="n">
        <v>-221.69</v>
      </c>
      <c r="M9" s="23" t="n">
        <v>-69.41800000000001</v>
      </c>
      <c r="N9" s="23" t="n">
        <v>-95.608</v>
      </c>
    </row>
    <row r="10">
      <c r="A10" s="2" t="inlineStr">
        <is>
          <t>Pretax</t>
        </is>
      </c>
      <c r="B10" s="23">
        <f>B8+B9</f>
        <v>-2.0460000000000003</v>
      </c>
      <c r="C10" s="23">
        <f>C8+C9</f>
        <v>-6.184</v>
      </c>
      <c r="D10" s="23">
        <f>D8+D9</f>
        <v>-237.177</v>
      </c>
      <c r="E10" s="23">
        <f>E8+E9</f>
        <v>-121.38100000000001</v>
      </c>
      <c r="F10" s="23">
        <f>F8+F9</f>
        <v>-96.916</v>
      </c>
      <c r="G10" s="23">
        <f>G8+G9</f>
        <v>-96.72900000000001</v>
      </c>
      <c r="H10" s="23">
        <f>H8+H9</f>
        <v>-157.882</v>
      </c>
      <c r="I10" s="23">
        <f>I8+I9</f>
        <v>-223.69700000000003</v>
      </c>
      <c r="J10" s="23">
        <f>J8+J9</f>
        <v>-349.791</v>
      </c>
      <c r="K10" s="23">
        <f>K8+K9</f>
        <v>-417.266</v>
      </c>
      <c r="L10" s="23">
        <f>L8+L9</f>
        <v>-583.94</v>
      </c>
      <c r="M10" s="23">
        <f>M8+M9</f>
        <v>-413.6</v>
      </c>
      <c r="N10" s="23">
        <f>N8+N9</f>
        <v>-351.63500000000005</v>
      </c>
    </row>
    <row r="11">
      <c r="A11" s="2" t="inlineStr">
        <is>
          <t>Taxes</t>
        </is>
      </c>
      <c r="B11" s="23" t="n">
        <v>0.001</v>
      </c>
      <c r="C11" s="23" t="n">
        <v>0.001</v>
      </c>
      <c r="D11" s="23" t="n">
        <v>-0.301</v>
      </c>
      <c r="E11" s="23" t="n">
        <v>-0.572</v>
      </c>
      <c r="F11" s="23" t="n">
        <v>-0.493</v>
      </c>
      <c r="G11" s="23" t="n">
        <v>-0.503</v>
      </c>
      <c r="H11" s="23" t="n">
        <v>-0.105</v>
      </c>
      <c r="I11" s="23" t="n">
        <v>-1.846</v>
      </c>
      <c r="J11" s="23" t="n">
        <v>0.008999999999999999</v>
      </c>
      <c r="K11" s="23" t="n">
        <v>0.034</v>
      </c>
      <c r="L11" s="23" t="n">
        <v>-0.04</v>
      </c>
      <c r="M11" s="23" t="n">
        <v>0</v>
      </c>
      <c r="N11" s="23" t="n">
        <v>-0.135</v>
      </c>
    </row>
    <row r="12">
      <c r="A12" s="2" t="inlineStr">
        <is>
          <t>Net Income</t>
        </is>
      </c>
      <c r="B12" s="23" t="n">
        <v>-2.047</v>
      </c>
      <c r="C12" s="23" t="n">
        <v>-6.185</v>
      </c>
      <c r="D12" s="23" t="n">
        <v>-236.876</v>
      </c>
      <c r="E12" s="23" t="n">
        <v>-120.809</v>
      </c>
      <c r="F12" s="23" t="n">
        <v>-96.423</v>
      </c>
      <c r="G12" s="23" t="n">
        <v>-96.226</v>
      </c>
      <c r="H12" s="23" t="n">
        <v>-157.777</v>
      </c>
      <c r="I12" s="23" t="n">
        <v>-221.851</v>
      </c>
      <c r="J12" s="23" t="n">
        <v>-349.8</v>
      </c>
      <c r="K12" s="23" t="n">
        <v>-417.3</v>
      </c>
      <c r="L12" s="23" t="n">
        <v>-583.9</v>
      </c>
      <c r="M12" s="23" t="n">
        <v>-413.6</v>
      </c>
      <c r="N12" s="23" t="n">
        <v>-351.5</v>
      </c>
    </row>
    <row r="13">
      <c r="A13" s="2" t="inlineStr">
        <is>
          <t>Earnings per Share</t>
        </is>
      </c>
      <c r="B13" s="11">
        <f>IFERROR(B12/B14,0)</f>
        <v>-0.24908736918958385</v>
      </c>
      <c r="C13" s="11">
        <f>IFERROR(C12/C14,0)</f>
        <v>-0.7500606354596167</v>
      </c>
      <c r="D13" s="11">
        <f>IFERROR(D12/D14,0)</f>
        <v>-3.312024608501119</v>
      </c>
      <c r="E13" s="11">
        <f>IFERROR(E12/E14,0)</f>
        <v>-1.4736578879957063</v>
      </c>
      <c r="F13" s="11">
        <f>IFERROR(F12/F14,0)</f>
        <v>-1.1965526655415466</v>
      </c>
      <c r="G13" s="11">
        <f>IFERROR(G12/G14,0)</f>
        <v>-1.2160188040236566</v>
      </c>
      <c r="H13" s="11">
        <f>IFERROR(H12/H14,0)</f>
        <v>-0.4307022452740053</v>
      </c>
      <c r="I13" s="11">
        <f>IFERROR(I12/I14,0)</f>
        <v>-0.5883580680407778</v>
      </c>
      <c r="J13" s="11">
        <f>IFERROR(J12/J14,0)</f>
        <v>-0.898688192706701</v>
      </c>
      <c r="K13" s="11">
        <f>IFERROR(K12/K14,0)</f>
        <v>-1.04351087771943</v>
      </c>
      <c r="L13" s="11">
        <f>IFERROR(L12/L14,0)</f>
        <v>-1.1479722237513663</v>
      </c>
      <c r="M13" s="11">
        <f>IFERROR(M12/M14,0)</f>
        <v>-0.59048345118732</v>
      </c>
      <c r="N13" s="11">
        <f>IFERROR(N12/N14,0)</f>
        <v>-0.3821221203592274</v>
      </c>
    </row>
    <row r="14">
      <c r="A14" s="2" t="inlineStr">
        <is>
          <t>Shares</t>
        </is>
      </c>
      <c r="B14" s="23" t="n">
        <v>8.218</v>
      </c>
      <c r="C14" s="23" t="n">
        <v>8.246</v>
      </c>
      <c r="D14" s="23" t="n">
        <v>71.52</v>
      </c>
      <c r="E14" s="23" t="n">
        <v>81.979</v>
      </c>
      <c r="F14" s="23" t="n">
        <v>80.584</v>
      </c>
      <c r="G14" s="23" t="n">
        <v>79.13200000000001</v>
      </c>
      <c r="H14" s="23" t="n">
        <v>366.325</v>
      </c>
      <c r="I14" s="23" t="n">
        <v>377.068</v>
      </c>
      <c r="J14" s="23" t="n">
        <v>389.234</v>
      </c>
      <c r="K14" s="23" t="n">
        <v>399.9</v>
      </c>
      <c r="L14" s="23" t="n">
        <v>508.636</v>
      </c>
      <c r="M14" s="23" t="n">
        <v>700.443</v>
      </c>
      <c r="N14" s="23" t="n">
        <v>919.8630000000001</v>
      </c>
    </row>
    <row r="15"/>
    <row r="16" customFormat="1" s="4">
      <c r="A16" s="3" t="inlineStr">
        <is>
          <t>Revenue Change</t>
        </is>
      </c>
      <c r="C16" s="15">
        <f>IFERROR(C2/B2-1,"")</f>
        <v>0.06833333333333336</v>
      </c>
      <c r="D16" s="15">
        <f>IFERROR(D2/C2-1,"")</f>
        <v>-0.6318252730109204</v>
      </c>
      <c r="E16" s="15">
        <f>IFERROR(E2/D2-1,"")</f>
        <v>-0.8135593220338984</v>
      </c>
      <c r="F16" s="15">
        <f>IFERROR(F2/E2-1,"")</f>
        <v>0.022727272727272707</v>
      </c>
      <c r="G16" s="15">
        <f>IFERROR(G2/F2-1,"")</f>
        <v>0.04444444444444451</v>
      </c>
      <c r="H16" s="15">
        <f>IFERROR(H2/G2-1,"")</f>
        <v>45.851063829787236</v>
      </c>
      <c r="I16" s="15">
        <f>IFERROR(I2/H2-1,"")</f>
        <v>-0.7252497729336966</v>
      </c>
      <c r="J16" s="15">
        <f>IFERROR(J2/I2-1,"")</f>
        <v>0.5438016528925622</v>
      </c>
      <c r="K16" s="15">
        <f>IFERROR(K2/J2-1,"")</f>
        <v>-0.7430406852248395</v>
      </c>
      <c r="L16" s="15">
        <f>IFERROR(L2/K2-1,"")</f>
        <v>1.5916666666666668</v>
      </c>
      <c r="M16" s="15">
        <f>IFERROR(M2/L2-1,"")</f>
        <v>22.70578778135048</v>
      </c>
      <c r="N16" s="15">
        <f>IFERROR(N2/M2-1,"")</f>
        <v>6.683146829433706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0.9933532236423981</v>
      </c>
    </row>
    <row r="18">
      <c r="A18" s="14" t="inlineStr">
        <is>
          <t>Operating Margin</t>
        </is>
      </c>
      <c r="B18" s="15">
        <f>IFERROR(B8/B2,"")</f>
        <v>-3.781666666666667</v>
      </c>
      <c r="C18" s="15">
        <f>IFERROR(C8/C2,"")</f>
        <v>-8.697347893915756</v>
      </c>
      <c r="D18" s="15">
        <f>IFERROR(D8/D2,"")</f>
        <v>-1012.1864406779662</v>
      </c>
      <c r="E18" s="15">
        <f>IFERROR(E8/E2,"")</f>
        <v>-2829.545454545455</v>
      </c>
      <c r="F18" s="15">
        <f>IFERROR(F8/F2,"")</f>
        <v>-2202.6666666666665</v>
      </c>
      <c r="G18" s="15">
        <f>IFERROR(G8/G2,"")</f>
        <v>-2093.3829787234044</v>
      </c>
      <c r="H18" s="15">
        <f>IFERROR(H8/H2,"")</f>
        <v>-70.95867393278837</v>
      </c>
      <c r="I18" s="15">
        <f>IFERROR(I8/I2,"")</f>
        <v>-365.0909090909091</v>
      </c>
      <c r="J18" s="15">
        <f>IFERROR(J8/J2,"")</f>
        <v>-353.61884368308347</v>
      </c>
      <c r="K18" s="15">
        <f>IFERROR(K8/K2,"")</f>
        <v>-1463.7416666666668</v>
      </c>
      <c r="L18" s="15">
        <f>IFERROR(L8/L2,"")</f>
        <v>-582.395498392283</v>
      </c>
      <c r="M18" s="15">
        <f>IFERROR(M8/M2,"")</f>
        <v>-23.342285520515432</v>
      </c>
      <c r="N18" s="15">
        <f>IFERROR(N8/N2,"")</f>
        <v>-2.2599657510062854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2026-10-21T06:21:24Z</dcterms:modified>
  <cp:lastModifiedBy>Wang, Eric</cp:lastModifiedBy>
</cp:coreProperties>
</file>