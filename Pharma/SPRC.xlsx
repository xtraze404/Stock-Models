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Scisparc Ltd</t>
        </is>
      </c>
      <c r="C2" s="10" t="n"/>
    </row>
    <row r="3">
      <c r="B3" t="inlineStr">
        <is>
          <t>Price</t>
        </is>
      </c>
      <c r="C3" s="11">
        <f>INDEX([1]Pharma!$F$1:$F$1000,MATCH("SPRC",[1]Pharma!$B$1:$B$1000,0))</f>
        <v>1.33</v>
      </c>
      <c r="F3" s="1" t="n"/>
    </row>
    <row r="4">
      <c r="B4" t="inlineStr">
        <is>
          <t>Shares</t>
        </is>
      </c>
      <c r="C4" s="21" t="n">
        <v>0.365444</v>
      </c>
      <c r="F4" s="1" t="n"/>
    </row>
    <row r="5">
      <c r="B5" t="inlineStr">
        <is>
          <t>Market Cap.</t>
        </is>
      </c>
      <c r="C5" s="13">
        <f>C3*C4</f>
        <v>0.48604052000000003</v>
      </c>
      <c r="F5" s="1" t="n"/>
    </row>
    <row r="6"/>
    <row r="7">
      <c r="B7" t="inlineStr">
        <is>
          <t>Cash</t>
        </is>
      </c>
      <c r="C7" s="21" t="n">
        <v>1.545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-1.05895948</v>
      </c>
    </row>
    <row r="10"/>
    <row r="11">
      <c r="B11" s="14" t="inlineStr">
        <is>
          <t>Net Cash / Share</t>
        </is>
      </c>
      <c r="C11" s="11">
        <f>(C7-C8)/C4</f>
        <v>4.227733934611049</v>
      </c>
    </row>
    <row r="12">
      <c r="B12" s="14" t="inlineStr">
        <is>
          <t>Upside</t>
        </is>
      </c>
      <c r="C12" s="15">
        <f>IFERROR(C11/C3-1,"")</f>
        <v>2.1787473192564275</v>
      </c>
    </row>
    <row r="13">
      <c r="B13" s="14" t="inlineStr">
        <is>
          <t>Cash / Share</t>
        </is>
      </c>
      <c r="C13" s="11">
        <f>IFERROR((C7-C8)/C4,"")</f>
        <v>4.227733934611049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-4.768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0.32403523489932884</v>
      </c>
    </row>
    <row r="19">
      <c r="B19" s="14" t="inlineStr">
        <is>
          <t>Implied Pipeline Value</t>
        </is>
      </c>
      <c r="C19" s="13">
        <f>C9</f>
        <v>-1.05895948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1.347</v>
      </c>
      <c r="J2" s="23" t="n">
        <v>2.879</v>
      </c>
      <c r="K2" s="23" t="n">
        <v>1.306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0.322</v>
      </c>
      <c r="J3" s="23" t="n">
        <v>0.6830000000000001</v>
      </c>
      <c r="K3" s="23" t="n">
        <v>0.8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1.025</v>
      </c>
      <c r="J4" s="23">
        <f>J2-J3</f>
        <v>2.1959999999999997</v>
      </c>
      <c r="K4" s="23">
        <f>K2-K3</f>
        <v>0.506</v>
      </c>
    </row>
    <row r="5">
      <c r="A5" s="2" t="inlineStr">
        <is>
          <t>Research &amp; Dev.</t>
        </is>
      </c>
      <c r="B5" s="23" t="n">
        <v>-0.24</v>
      </c>
      <c r="C5" s="23" t="n">
        <v>0.74</v>
      </c>
      <c r="D5" s="23" t="n">
        <v>1.943</v>
      </c>
      <c r="E5" s="23" t="n">
        <v>2.71</v>
      </c>
      <c r="F5" s="23" t="n">
        <v>1.639</v>
      </c>
      <c r="G5" s="23" t="n">
        <v>0.649</v>
      </c>
      <c r="H5" s="23" t="n">
        <v>1.99</v>
      </c>
      <c r="I5" s="23" t="n">
        <v>2.803</v>
      </c>
      <c r="J5" s="23" t="n">
        <v>1.641</v>
      </c>
      <c r="K5" s="23" t="n">
        <v>1.707</v>
      </c>
    </row>
    <row r="6">
      <c r="A6" s="19" t="inlineStr">
        <is>
          <t>SG&amp;A &amp; Other</t>
        </is>
      </c>
      <c r="B6" s="23" t="n">
        <v>-2.324</v>
      </c>
      <c r="C6" s="23" t="n">
        <v>1.26</v>
      </c>
      <c r="D6" s="23" t="n">
        <v>3.811</v>
      </c>
      <c r="E6" s="23" t="n">
        <v>4.531</v>
      </c>
      <c r="F6" s="23" t="n">
        <v>2.469</v>
      </c>
      <c r="G6" s="23" t="n">
        <v>2.644</v>
      </c>
      <c r="H6" s="23" t="n">
        <v>3.778</v>
      </c>
      <c r="I6" s="23" t="n">
        <v>6.509</v>
      </c>
      <c r="J6" s="23" t="n">
        <v>7.37</v>
      </c>
      <c r="K6" s="23" t="n">
        <v>6.115</v>
      </c>
    </row>
    <row r="7">
      <c r="A7" s="2" t="inlineStr">
        <is>
          <t>Operating Expense</t>
        </is>
      </c>
      <c r="B7" s="23">
        <f>SUM(B5:B6)</f>
        <v>-2.564</v>
      </c>
      <c r="C7" s="23">
        <f>SUM(C5:C6)</f>
        <v>2.0</v>
      </c>
      <c r="D7" s="23">
        <f>SUM(D5:D6)</f>
        <v>5.754</v>
      </c>
      <c r="E7" s="23">
        <f>SUM(E5:E6)</f>
        <v>7.241</v>
      </c>
      <c r="F7" s="23">
        <f>SUM(F5:F6)</f>
        <v>4.108</v>
      </c>
      <c r="G7" s="23">
        <f>SUM(G5:G6)</f>
        <v>3.293</v>
      </c>
      <c r="H7" s="23">
        <f>SUM(H5:H6)</f>
        <v>5.768</v>
      </c>
      <c r="I7" s="23">
        <f>SUM(I5:I6)</f>
        <v>9.312000000000001</v>
      </c>
      <c r="J7" s="23">
        <f>SUM(J5:J6)</f>
        <v>9.011</v>
      </c>
      <c r="K7" s="23">
        <f>SUM(K5:K6)</f>
        <v>7.822</v>
      </c>
    </row>
    <row r="8">
      <c r="A8" s="2" t="inlineStr">
        <is>
          <t>Operating Income</t>
        </is>
      </c>
      <c r="B8" s="23">
        <f>B4-B7</f>
        <v>2.564</v>
      </c>
      <c r="C8" s="23">
        <f>C4-C7</f>
        <v>-2.0</v>
      </c>
      <c r="D8" s="23">
        <f>D4-D7</f>
        <v>-5.754</v>
      </c>
      <c r="E8" s="23">
        <f>E4-E7</f>
        <v>-7.241</v>
      </c>
      <c r="F8" s="23">
        <f>F4-F7</f>
        <v>-4.108</v>
      </c>
      <c r="G8" s="23">
        <f>G4-G7</f>
        <v>-3.293</v>
      </c>
      <c r="H8" s="23">
        <f>H4-H7</f>
        <v>-5.768</v>
      </c>
      <c r="I8" s="23">
        <f>I4-I7</f>
        <v>-8.287</v>
      </c>
      <c r="J8" s="23">
        <f>J4-J7</f>
        <v>-6.8149999999999995</v>
      </c>
      <c r="K8" s="23">
        <f>K4-K7</f>
        <v>-7.316</v>
      </c>
    </row>
    <row r="9">
      <c r="A9" s="19" t="inlineStr">
        <is>
          <t>Interest &amp; Other</t>
        </is>
      </c>
      <c r="B9" s="23" t="n">
        <v>-0.023</v>
      </c>
      <c r="C9" s="23" t="n">
        <v>-0.007</v>
      </c>
      <c r="D9" s="23" t="n">
        <v>-0.49</v>
      </c>
      <c r="E9" s="23" t="n">
        <v>-1.768</v>
      </c>
      <c r="F9" s="23" t="n">
        <v>-0.578</v>
      </c>
      <c r="G9" s="23" t="n">
        <v>-0.242</v>
      </c>
      <c r="H9" s="23" t="n">
        <v>-0.021</v>
      </c>
      <c r="I9" s="23" t="n">
        <v>5.709</v>
      </c>
      <c r="J9" s="23" t="n">
        <v>1.715</v>
      </c>
      <c r="K9" s="23" t="n">
        <v>1.018</v>
      </c>
    </row>
    <row r="10">
      <c r="A10" s="2" t="inlineStr">
        <is>
          <t>Pretax</t>
        </is>
      </c>
      <c r="B10" s="23">
        <f>B8+B9</f>
        <v>2.541</v>
      </c>
      <c r="C10" s="23">
        <f>C8+C9</f>
        <v>-2.007</v>
      </c>
      <c r="D10" s="23">
        <f>D8+D9</f>
        <v>-6.244</v>
      </c>
      <c r="E10" s="23">
        <f>E8+E9</f>
        <v>-9.009</v>
      </c>
      <c r="F10" s="23">
        <f>F8+F9</f>
        <v>-4.686</v>
      </c>
      <c r="G10" s="23">
        <f>G8+G9</f>
        <v>-3.535</v>
      </c>
      <c r="H10" s="23">
        <f>H8+H9</f>
        <v>-5.789</v>
      </c>
      <c r="I10" s="23">
        <f>I8+I9</f>
        <v>-2.578000000000001</v>
      </c>
      <c r="J10" s="23">
        <f>J8+J9</f>
        <v>-5.1</v>
      </c>
      <c r="K10" s="23">
        <f>K8+K9</f>
        <v>-6.298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-0.06</v>
      </c>
      <c r="F11" s="23" t="n">
        <v>0</v>
      </c>
      <c r="G11" s="23" t="n">
        <v>0</v>
      </c>
      <c r="H11" s="23" t="n">
        <v>0</v>
      </c>
      <c r="I11" s="23" t="n">
        <v>0.014</v>
      </c>
      <c r="J11" s="23" t="n">
        <v>0.022</v>
      </c>
      <c r="K11" s="23" t="n">
        <v>-0.014</v>
      </c>
    </row>
    <row r="12">
      <c r="A12" s="2" t="inlineStr">
        <is>
          <t>Net Income</t>
        </is>
      </c>
      <c r="B12" s="23" t="n">
        <v>2.541</v>
      </c>
      <c r="C12" s="23" t="n">
        <v>-2.007</v>
      </c>
      <c r="D12" s="23" t="n">
        <v>-6.244</v>
      </c>
      <c r="E12" s="23" t="n">
        <v>-8.949</v>
      </c>
      <c r="F12" s="23" t="n">
        <v>-4.686</v>
      </c>
      <c r="G12" s="23" t="n">
        <v>-3.535</v>
      </c>
      <c r="H12" s="23" t="n">
        <v>-5.789</v>
      </c>
      <c r="I12" s="23" t="n">
        <v>-2.592</v>
      </c>
      <c r="J12" s="23" t="n">
        <v>-5.122</v>
      </c>
      <c r="K12" s="23" t="n">
        <v>-6.284</v>
      </c>
    </row>
    <row r="13">
      <c r="A13" s="2" t="inlineStr">
        <is>
          <t>Earnings per Share</t>
        </is>
      </c>
      <c r="B13" s="11">
        <f>IFERROR(B12/B14,0)</f>
        <v>105.875</v>
      </c>
      <c r="C13" s="11">
        <f>IFERROR(C12/C14,0)</f>
        <v>-54.24324324324325</v>
      </c>
      <c r="D13" s="11">
        <f>IFERROR(D12/D14,0)</f>
        <v>-53.36752136752136</v>
      </c>
      <c r="E13" s="11">
        <f>IFERROR(E12/E14,0)</f>
        <v>-56.283018867924525</v>
      </c>
      <c r="F13" s="11">
        <f>IFERROR(F12/F14,0)</f>
        <v>0</v>
      </c>
      <c r="G13" s="11">
        <f>IFERROR(G12/G14,0)</f>
        <v>0</v>
      </c>
      <c r="H13" s="11">
        <f>IFERROR(H12/H14,0)</f>
        <v>-73.27848101265822</v>
      </c>
      <c r="I13" s="11">
        <f>IFERROR(I12/I14,0)</f>
        <v>-324.0</v>
      </c>
      <c r="J13" s="11">
        <f>IFERROR(J12/J14,0)</f>
        <v>-269.57894736842104</v>
      </c>
      <c r="K13" s="11">
        <f>IFERROR(K12/K14,0)</f>
        <v>-22.685920577617328</v>
      </c>
    </row>
    <row r="14">
      <c r="A14" s="2" t="inlineStr">
        <is>
          <t>Shares</t>
        </is>
      </c>
      <c r="B14" s="23" t="n">
        <v>0.024</v>
      </c>
      <c r="C14" s="23" t="n">
        <v>0.037</v>
      </c>
      <c r="D14" s="23" t="n">
        <v>0.117</v>
      </c>
      <c r="E14" s="23" t="n">
        <v>0.159</v>
      </c>
      <c r="F14" s="23" t="n"/>
      <c r="G14" s="23" t="n"/>
      <c r="H14" s="23" t="n">
        <v>0.079</v>
      </c>
      <c r="I14" s="23" t="n">
        <v>0.008</v>
      </c>
      <c r="J14" s="23" t="n">
        <v>0.019</v>
      </c>
      <c r="K14" s="23" t="n">
        <v>0.277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1.1373422420193022</v>
      </c>
      <c r="K16" s="15">
        <f>IFERROR(K2/J2-1,"")</f>
        <v>-0.546370267453977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0.7609502598366741</v>
      </c>
      <c r="J17" s="15">
        <f>IFERROR(J4/J2,"")</f>
        <v>0.76276484890587</v>
      </c>
      <c r="K17" s="15">
        <f>IFERROR(K4/K2,"")</f>
        <v>0.3874425727411945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-6.152190051967335</v>
      </c>
      <c r="J18" s="15">
        <f>IFERROR(J8/J2,"")</f>
        <v>-2.36714136853074</v>
      </c>
      <c r="K18" s="15">
        <f>IFERROR(K8/K2,"")</f>
        <v>-5.601837672281776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2026-10-21T06:31:51Z</dcterms:modified>
  <cp:lastModifiedBy>Wang, Eric</cp:lastModifiedBy>
</cp:coreProperties>
</file>