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Lite Strategy Inc</t>
        </is>
      </c>
      <c r="C2" s="10" t="n"/>
    </row>
    <row r="3">
      <c r="B3" t="inlineStr">
        <is>
          <t>Price</t>
        </is>
      </c>
      <c r="C3" s="11">
        <f>INDEX([1]Pharma!$F$1:$F$1000,MATCH("LITS",[1]Pharma!$B$1:$B$1000,0))</f>
        <v>1.19</v>
      </c>
      <c r="F3" s="1" t="n"/>
    </row>
    <row r="4">
      <c r="B4" t="inlineStr">
        <is>
          <t>Shares</t>
        </is>
      </c>
      <c r="C4" s="21" t="n">
        <v>30.407268</v>
      </c>
      <c r="F4" s="1" t="n"/>
    </row>
    <row r="5">
      <c r="B5" t="inlineStr">
        <is>
          <t>Market Cap.</t>
        </is>
      </c>
      <c r="C5" s="13">
        <f>C3*C4</f>
        <v>36.184648919999994</v>
      </c>
      <c r="F5" s="1" t="n"/>
    </row>
    <row r="6"/>
    <row r="7">
      <c r="B7" t="inlineStr">
        <is>
          <t>Cash</t>
        </is>
      </c>
      <c r="C7" s="21" t="n">
        <v>5.706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30.478648919999994</v>
      </c>
    </row>
    <row r="10"/>
    <row r="11">
      <c r="B11" s="14" t="inlineStr">
        <is>
          <t>Net Cash / Share</t>
        </is>
      </c>
      <c r="C11" s="11">
        <f>(C7-C8)/C4</f>
        <v>0.18765250465776803</v>
      </c>
    </row>
    <row r="12">
      <c r="B12" s="14" t="inlineStr">
        <is>
          <t>Upside</t>
        </is>
      </c>
      <c r="C12" s="15">
        <f>IFERROR(C11/C3-1,"")</f>
        <v>-0.842308819615321</v>
      </c>
    </row>
    <row r="13">
      <c r="B13" s="14" t="inlineStr">
        <is>
          <t>Cash / Share</t>
        </is>
      </c>
      <c r="C13" s="11">
        <f>IFERROR((C7-C8)/C4,"")</f>
        <v>0.18765250465776803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-9.121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0.6255892994189234</v>
      </c>
    </row>
    <row r="19">
      <c r="B19" s="14" t="inlineStr">
        <is>
          <t>Implied Pipeline Value</t>
        </is>
      </c>
      <c r="C19" s="13">
        <f>C9</f>
        <v>30.478648919999994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2002</v>
      </c>
      <c r="C1" s="17" t="n">
        <v>2003</v>
      </c>
      <c r="D1" s="17" t="n">
        <v>2004</v>
      </c>
      <c r="E1" s="17" t="n">
        <v>2005</v>
      </c>
      <c r="F1" s="17" t="n">
        <v>2006</v>
      </c>
      <c r="G1" s="17" t="n">
        <v>2007</v>
      </c>
      <c r="H1" s="17" t="n">
        <v>2008</v>
      </c>
      <c r="I1" s="17" t="n">
        <v>2009</v>
      </c>
      <c r="J1" s="17" t="n">
        <v>2010</v>
      </c>
      <c r="K1" s="17" t="n">
        <v>2011</v>
      </c>
      <c r="L1" s="17" t="n">
        <v>2012</v>
      </c>
      <c r="M1" s="17" t="n">
        <v>2013</v>
      </c>
      <c r="N1" s="17" t="n">
        <v>2014</v>
      </c>
      <c r="O1" s="17" t="n">
        <v>2015</v>
      </c>
      <c r="P1" s="17" t="n">
        <v>2016</v>
      </c>
      <c r="Q1" s="17" t="n">
        <v>2017</v>
      </c>
      <c r="R1" s="17" t="n">
        <v>2018</v>
      </c>
      <c r="S1" s="17" t="n">
        <v>2019</v>
      </c>
      <c r="T1" s="17" t="n">
        <v>2020</v>
      </c>
      <c r="U1" s="17" t="n">
        <v>2021</v>
      </c>
      <c r="V1" s="17" t="n">
        <v>2022</v>
      </c>
      <c r="W1" s="17" t="n">
        <v>2023</v>
      </c>
      <c r="X1" s="17" t="n">
        <v>2024</v>
      </c>
      <c r="Y1" s="17" t="n">
        <v>2025</v>
      </c>
      <c r="Z1" s="17" t="n">
        <v>2026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23.249</v>
      </c>
      <c r="R2" s="23" t="n">
        <v>1.622</v>
      </c>
      <c r="S2" s="23" t="n">
        <v>4.915</v>
      </c>
      <c r="T2" s="23" t="n">
        <v>27.756</v>
      </c>
      <c r="U2" s="23" t="n">
        <v>34.796</v>
      </c>
      <c r="V2" s="23" t="n">
        <v>40.697</v>
      </c>
      <c r="W2" s="23" t="n">
        <v>48.816</v>
      </c>
      <c r="X2" s="23" t="n">
        <v>65.297</v>
      </c>
      <c r="Y2" s="23" t="n">
        <v>0</v>
      </c>
      <c r="Z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5</v>
      </c>
      <c r="R3" s="23" t="n">
        <v>3.383</v>
      </c>
      <c r="S3" s="23" t="n">
        <v>4.263</v>
      </c>
      <c r="T3" s="23" t="n">
        <v>2.671</v>
      </c>
      <c r="U3" s="23" t="n">
        <v>1.408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18.249</v>
      </c>
      <c r="R4" s="23">
        <f>R2-R3</f>
        <v>-1.761</v>
      </c>
      <c r="S4" s="23">
        <f>S2-S3</f>
        <v>0.6520000000000001</v>
      </c>
      <c r="T4" s="23">
        <f>T2-T3</f>
        <v>25.085</v>
      </c>
      <c r="U4" s="23">
        <f>U2-U3</f>
        <v>33.388</v>
      </c>
      <c r="V4" s="23">
        <f>V2-V3</f>
        <v>40.697</v>
      </c>
      <c r="W4" s="23">
        <f>W2-W3</f>
        <v>48.816</v>
      </c>
      <c r="X4" s="23">
        <f>X2-X3</f>
        <v>65.297</v>
      </c>
      <c r="Y4" s="23">
        <f>Y2-Y3</f>
        <v>0.0</v>
      </c>
      <c r="Z4" s="23">
        <f>Z2-Z3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2.115</v>
      </c>
      <c r="L5" s="23" t="n">
        <v>4.915</v>
      </c>
      <c r="M5" s="23" t="n">
        <v>6.084</v>
      </c>
      <c r="N5" s="23" t="n">
        <v>19.331</v>
      </c>
      <c r="O5" s="23" t="n">
        <v>23.823</v>
      </c>
      <c r="P5" s="23" t="n">
        <v>13.403</v>
      </c>
      <c r="Q5" s="23" t="n">
        <v>7.237</v>
      </c>
      <c r="R5" s="23" t="n">
        <v>17.038</v>
      </c>
      <c r="S5" s="23" t="n">
        <v>32.3</v>
      </c>
      <c r="T5" s="23" t="n">
        <v>34.065</v>
      </c>
      <c r="U5" s="23" t="n">
        <v>69.398</v>
      </c>
      <c r="V5" s="23" t="n">
        <v>85.64100000000001</v>
      </c>
      <c r="W5" s="23" t="n">
        <v>52.45</v>
      </c>
      <c r="X5" s="23" t="n">
        <v>16.561</v>
      </c>
      <c r="Y5" s="23" t="n">
        <v>3.923</v>
      </c>
      <c r="Z5" s="23" t="n">
        <v>0.122</v>
      </c>
    </row>
    <row r="6">
      <c r="A6" s="19" t="inlineStr">
        <is>
          <t>SG&amp;A &amp; Other</t>
        </is>
      </c>
      <c r="B6" s="23" t="n">
        <v>0.123</v>
      </c>
      <c r="C6" s="23" t="n">
        <v>3.033</v>
      </c>
      <c r="D6" s="23" t="n">
        <v>8.538</v>
      </c>
      <c r="E6" s="23" t="n">
        <v>6.421</v>
      </c>
      <c r="F6" s="23" t="n">
        <v>7.386</v>
      </c>
      <c r="G6" s="23" t="n">
        <v>13.82</v>
      </c>
      <c r="H6" s="23" t="n">
        <v>12.41</v>
      </c>
      <c r="I6" s="23" t="n">
        <v>11.18</v>
      </c>
      <c r="J6" s="23" t="n">
        <v>7.896</v>
      </c>
      <c r="K6" s="23" t="n">
        <v>4.336</v>
      </c>
      <c r="L6" s="23" t="n">
        <v>3.479</v>
      </c>
      <c r="M6" s="23" t="n">
        <v>5.138</v>
      </c>
      <c r="N6" s="23" t="n">
        <v>7.897</v>
      </c>
      <c r="O6" s="23" t="n">
        <v>8.948</v>
      </c>
      <c r="P6" s="23" t="n">
        <v>7.601</v>
      </c>
      <c r="Q6" s="23" t="n">
        <v>8.628</v>
      </c>
      <c r="R6" s="23" t="n">
        <v>9.787000000000001</v>
      </c>
      <c r="S6" s="23" t="n">
        <v>14.597</v>
      </c>
      <c r="T6" s="23" t="n">
        <v>16.717</v>
      </c>
      <c r="U6" s="23" t="n">
        <v>24.414</v>
      </c>
      <c r="V6" s="23" t="n">
        <v>30.54</v>
      </c>
      <c r="W6" s="23" t="n">
        <v>33.13</v>
      </c>
      <c r="X6" s="23" t="n">
        <v>34.194</v>
      </c>
      <c r="Y6" s="23" t="n">
        <v>13.532</v>
      </c>
      <c r="Z6" s="23" t="n">
        <v>66.455</v>
      </c>
    </row>
    <row r="7">
      <c r="A7" s="2" t="inlineStr">
        <is>
          <t>Operating Expense</t>
        </is>
      </c>
      <c r="B7" s="23">
        <f>SUM(B5:B6)</f>
        <v>0.123</v>
      </c>
      <c r="C7" s="23">
        <f>SUM(C5:C6)</f>
        <v>3.033</v>
      </c>
      <c r="D7" s="23">
        <f>SUM(D5:D6)</f>
        <v>8.538</v>
      </c>
      <c r="E7" s="23">
        <f>SUM(E5:E6)</f>
        <v>6.421</v>
      </c>
      <c r="F7" s="23">
        <f>SUM(F5:F6)</f>
        <v>7.386</v>
      </c>
      <c r="G7" s="23">
        <f>SUM(G5:G6)</f>
        <v>13.82</v>
      </c>
      <c r="H7" s="23">
        <f>SUM(H5:H6)</f>
        <v>12.41</v>
      </c>
      <c r="I7" s="23">
        <f>SUM(I5:I6)</f>
        <v>11.18</v>
      </c>
      <c r="J7" s="23">
        <f>SUM(J5:J6)</f>
        <v>7.896</v>
      </c>
      <c r="K7" s="23">
        <f>SUM(K5:K6)</f>
        <v>6.4510000000000005</v>
      </c>
      <c r="L7" s="23">
        <f>SUM(L5:L6)</f>
        <v>8.394</v>
      </c>
      <c r="M7" s="23">
        <f>SUM(M5:M6)</f>
        <v>11.222</v>
      </c>
      <c r="N7" s="23">
        <f>SUM(N5:N6)</f>
        <v>27.228</v>
      </c>
      <c r="O7" s="23">
        <f>SUM(O5:O6)</f>
        <v>32.771</v>
      </c>
      <c r="P7" s="23">
        <f>SUM(P5:P6)</f>
        <v>21.004</v>
      </c>
      <c r="Q7" s="23">
        <f>SUM(Q5:Q6)</f>
        <v>15.865</v>
      </c>
      <c r="R7" s="23">
        <f>SUM(R5:R6)</f>
        <v>26.825000000000003</v>
      </c>
      <c r="S7" s="23">
        <f>SUM(S5:S6)</f>
        <v>46.897</v>
      </c>
      <c r="T7" s="23">
        <f>SUM(T5:T6)</f>
        <v>50.782</v>
      </c>
      <c r="U7" s="23">
        <f>SUM(U5:U6)</f>
        <v>93.812</v>
      </c>
      <c r="V7" s="23">
        <f>SUM(V5:V6)</f>
        <v>116.18100000000001</v>
      </c>
      <c r="W7" s="23">
        <f>SUM(W5:W6)</f>
        <v>85.58000000000001</v>
      </c>
      <c r="X7" s="23">
        <f>SUM(X5:X6)</f>
        <v>50.755</v>
      </c>
      <c r="Y7" s="23">
        <f>SUM(Y5:Y6)</f>
        <v>17.455</v>
      </c>
      <c r="Z7" s="23">
        <f>SUM(Z5:Z6)</f>
        <v>66.577</v>
      </c>
    </row>
    <row r="8">
      <c r="A8" s="2" t="inlineStr">
        <is>
          <t>Operating Income</t>
        </is>
      </c>
      <c r="B8" s="23">
        <f>B4-B7</f>
        <v>-0.123</v>
      </c>
      <c r="C8" s="23">
        <f>C4-C7</f>
        <v>-3.033</v>
      </c>
      <c r="D8" s="23">
        <f>D4-D7</f>
        <v>-8.538</v>
      </c>
      <c r="E8" s="23">
        <f>E4-E7</f>
        <v>-6.421</v>
      </c>
      <c r="F8" s="23">
        <f>F4-F7</f>
        <v>-7.386</v>
      </c>
      <c r="G8" s="23">
        <f>G4-G7</f>
        <v>-13.82</v>
      </c>
      <c r="H8" s="23">
        <f>H4-H7</f>
        <v>-12.41</v>
      </c>
      <c r="I8" s="23">
        <f>I4-I7</f>
        <v>-11.18</v>
      </c>
      <c r="J8" s="23">
        <f>J4-J7</f>
        <v>-7.896</v>
      </c>
      <c r="K8" s="23">
        <f>K4-K7</f>
        <v>-6.4510000000000005</v>
      </c>
      <c r="L8" s="23">
        <f>L4-L7</f>
        <v>-8.394</v>
      </c>
      <c r="M8" s="23">
        <f>M4-M7</f>
        <v>-11.222</v>
      </c>
      <c r="N8" s="23">
        <f>N4-N7</f>
        <v>-27.228</v>
      </c>
      <c r="O8" s="23">
        <f>O4-O7</f>
        <v>-32.771</v>
      </c>
      <c r="P8" s="23">
        <f>P4-P7</f>
        <v>-21.004</v>
      </c>
      <c r="Q8" s="23">
        <f>Q4-Q7</f>
        <v>2.3839999999999986</v>
      </c>
      <c r="R8" s="23">
        <f>R4-R7</f>
        <v>-28.586000000000002</v>
      </c>
      <c r="S8" s="23">
        <f>S4-S7</f>
        <v>-46.245</v>
      </c>
      <c r="T8" s="23">
        <f>T4-T7</f>
        <v>-25.696999999999996</v>
      </c>
      <c r="U8" s="23">
        <f>U4-U7</f>
        <v>-60.424</v>
      </c>
      <c r="V8" s="23">
        <f>V4-V7</f>
        <v>-75.48400000000001</v>
      </c>
      <c r="W8" s="23">
        <f>W4-W7</f>
        <v>-36.76400000000001</v>
      </c>
      <c r="X8" s="23">
        <f>X4-X7</f>
        <v>14.541999999999994</v>
      </c>
      <c r="Y8" s="23">
        <f>Y4-Y7</f>
        <v>-17.455</v>
      </c>
      <c r="Z8" s="23">
        <f>Z4-Z7</f>
        <v>-66.577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-0.329</v>
      </c>
      <c r="L9" s="23" t="n">
        <v>0.872</v>
      </c>
      <c r="M9" s="23" t="n">
        <v>0.037</v>
      </c>
      <c r="N9" s="23" t="n">
        <v>0.081</v>
      </c>
      <c r="O9" s="23" t="n">
        <v>0.078</v>
      </c>
      <c r="P9" s="23" t="n">
        <v>0.143</v>
      </c>
      <c r="Q9" s="23" t="n">
        <v>0.287</v>
      </c>
      <c r="R9" s="23" t="n">
        <v>-11.481</v>
      </c>
      <c r="S9" s="23" t="n">
        <v>29.427</v>
      </c>
      <c r="T9" s="23" t="n">
        <v>-21.475</v>
      </c>
      <c r="U9" s="23" t="n">
        <v>19.432</v>
      </c>
      <c r="V9" s="23" t="n">
        <v>21.484</v>
      </c>
      <c r="W9" s="23" t="n">
        <v>4.764</v>
      </c>
      <c r="X9" s="23" t="n">
        <v>3.458</v>
      </c>
      <c r="Y9" s="23" t="n">
        <v>1.51</v>
      </c>
      <c r="Z9" s="23" t="n">
        <v>-4.573</v>
      </c>
    </row>
    <row r="10">
      <c r="A10" s="2" t="inlineStr">
        <is>
          <t>Pretax</t>
        </is>
      </c>
      <c r="B10" s="23">
        <f>B8+B9</f>
        <v>-0.123</v>
      </c>
      <c r="C10" s="23">
        <f>C8+C9</f>
        <v>-3.033</v>
      </c>
      <c r="D10" s="23">
        <f>D8+D9</f>
        <v>-8.538</v>
      </c>
      <c r="E10" s="23">
        <f>E8+E9</f>
        <v>-6.421</v>
      </c>
      <c r="F10" s="23">
        <f>F8+F9</f>
        <v>-7.386</v>
      </c>
      <c r="G10" s="23">
        <f>G8+G9</f>
        <v>-13.82</v>
      </c>
      <c r="H10" s="23">
        <f>H8+H9</f>
        <v>-12.41</v>
      </c>
      <c r="I10" s="23">
        <f>I8+I9</f>
        <v>-11.18</v>
      </c>
      <c r="J10" s="23">
        <f>J8+J9</f>
        <v>-7.896</v>
      </c>
      <c r="K10" s="23">
        <f>K8+K9</f>
        <v>-6.78</v>
      </c>
      <c r="L10" s="23">
        <f>L8+L9</f>
        <v>-7.522</v>
      </c>
      <c r="M10" s="23">
        <f>M8+M9</f>
        <v>-11.184999999999999</v>
      </c>
      <c r="N10" s="23">
        <f>N8+N9</f>
        <v>-27.147000000000002</v>
      </c>
      <c r="O10" s="23">
        <f>O8+O9</f>
        <v>-32.693</v>
      </c>
      <c r="P10" s="23">
        <f>P8+P9</f>
        <v>-20.861</v>
      </c>
      <c r="Q10" s="23">
        <f>Q8+Q9</f>
        <v>2.6709999999999985</v>
      </c>
      <c r="R10" s="23">
        <f>R8+R9</f>
        <v>-40.067</v>
      </c>
      <c r="S10" s="23">
        <f>S8+S9</f>
        <v>-16.817999999999998</v>
      </c>
      <c r="T10" s="23">
        <f>T8+T9</f>
        <v>-47.172</v>
      </c>
      <c r="U10" s="23">
        <f>U8+U9</f>
        <v>-40.992000000000004</v>
      </c>
      <c r="V10" s="23">
        <f>V8+V9</f>
        <v>-54.00000000000001</v>
      </c>
      <c r="W10" s="23">
        <f>W8+W9</f>
        <v>-32.00000000000001</v>
      </c>
      <c r="X10" s="23">
        <f>X8+X9</f>
        <v>17.999999999999993</v>
      </c>
      <c r="Y10" s="23">
        <f>Y8+Y9</f>
        <v>-15.944999999999999</v>
      </c>
      <c r="Z10" s="23">
        <f>Z8+Z9</f>
        <v>-71.15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0.001</v>
      </c>
      <c r="L11" s="23" t="n">
        <v>0.001</v>
      </c>
      <c r="M11" s="23" t="n">
        <v>0.001</v>
      </c>
      <c r="N11" s="23" t="n">
        <v>0.001</v>
      </c>
      <c r="O11" s="23" t="n">
        <v>0.001</v>
      </c>
      <c r="P11" s="23" t="n">
        <v>0.001</v>
      </c>
      <c r="Q11" s="23" t="n">
        <v>0.001</v>
      </c>
      <c r="R11" s="23" t="n">
        <v>0.001</v>
      </c>
      <c r="S11" s="23" t="n">
        <v>0.001</v>
      </c>
      <c r="T11" s="23" t="n">
        <v>0.001</v>
      </c>
      <c r="U11" s="23" t="n">
        <v>0.008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</row>
    <row r="12">
      <c r="A12" s="2" t="inlineStr">
        <is>
          <t>Net Income</t>
        </is>
      </c>
      <c r="B12" s="23" t="n">
        <v>-0.123</v>
      </c>
      <c r="C12" s="23" t="n">
        <v>-3.033</v>
      </c>
      <c r="D12" s="23" t="n">
        <v>-8.538</v>
      </c>
      <c r="E12" s="23" t="n">
        <v>-6.421</v>
      </c>
      <c r="F12" s="23" t="n">
        <v>-7.386</v>
      </c>
      <c r="G12" s="23" t="n">
        <v>-13.82</v>
      </c>
      <c r="H12" s="23" t="n">
        <v>-12.41</v>
      </c>
      <c r="I12" s="23" t="n">
        <v>-11.18</v>
      </c>
      <c r="J12" s="23" t="n">
        <v>-7.896</v>
      </c>
      <c r="K12" s="23" t="n">
        <v>-6.781</v>
      </c>
      <c r="L12" s="23" t="n">
        <v>-7.523</v>
      </c>
      <c r="M12" s="23" t="n">
        <v>-11.186</v>
      </c>
      <c r="N12" s="23" t="n">
        <v>-27.148</v>
      </c>
      <c r="O12" s="23" t="n">
        <v>-32.694</v>
      </c>
      <c r="P12" s="23" t="n">
        <v>-20.862</v>
      </c>
      <c r="Q12" s="23" t="n">
        <v>2.67</v>
      </c>
      <c r="R12" s="23" t="n">
        <v>-40.068</v>
      </c>
      <c r="S12" s="23" t="n">
        <v>-16.819</v>
      </c>
      <c r="T12" s="23" t="n">
        <v>-47.173</v>
      </c>
      <c r="U12" s="23" t="n">
        <v>-41</v>
      </c>
      <c r="V12" s="23" t="n">
        <v>-54</v>
      </c>
      <c r="W12" s="23" t="n">
        <v>-32</v>
      </c>
      <c r="X12" s="23" t="n">
        <v>18</v>
      </c>
      <c r="Y12" s="23" t="n">
        <v>-15.945</v>
      </c>
      <c r="Z12" s="23" t="n">
        <v>-71.15000000000001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-7.987043580683157</v>
      </c>
      <c r="L13" s="11">
        <f>IFERROR(L12/L14,0)</f>
        <v>-30.092</v>
      </c>
      <c r="M13" s="11">
        <f>IFERROR(M12/M14,0)</f>
        <v>-9.907883082373782</v>
      </c>
      <c r="N13" s="11">
        <f>IFERROR(N12/N14,0)</f>
        <v>-24.347982062780268</v>
      </c>
      <c r="O13" s="11">
        <f>IFERROR(O12/O14,0)</f>
        <v>-20.86407147415444</v>
      </c>
      <c r="P13" s="11">
        <f>IFERROR(P12/P14,0)</f>
        <v>-10.91679748822606</v>
      </c>
      <c r="Q13" s="11">
        <f>IFERROR(Q12/Q14,0)</f>
        <v>1.3011695906432748</v>
      </c>
      <c r="R13" s="11">
        <f>IFERROR(R12/R14,0)</f>
        <v>-17.405734144222414</v>
      </c>
      <c r="S13" s="11">
        <f>IFERROR(S12/S14,0)</f>
        <v>-4.18279035065904</v>
      </c>
      <c r="T13" s="11">
        <f>IFERROR(T12/T14,0)</f>
        <v>-9.322727272727274</v>
      </c>
      <c r="U13" s="11">
        <f>IFERROR(U12/U14,0)</f>
        <v>-6.446540880503144</v>
      </c>
      <c r="V13" s="11">
        <f>IFERROR(V12/V14,0)</f>
        <v>-8.630334025891003</v>
      </c>
      <c r="W13" s="11">
        <f>IFERROR(W12/W14,0)</f>
        <v>-4.8026414527990395</v>
      </c>
      <c r="X13" s="11">
        <f>IFERROR(X12/X14,0)</f>
        <v>2.7014858171994596</v>
      </c>
      <c r="Y13" s="11">
        <f>IFERROR(Y12/Y14,0)</f>
        <v>-2.3930661864025216</v>
      </c>
      <c r="Z13" s="11">
        <f>IFERROR(Z12/Z14,0)</f>
        <v>-2.0587979976272464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>
        <v>0.849</v>
      </c>
      <c r="L14" s="23" t="n">
        <v>0.25</v>
      </c>
      <c r="M14" s="23" t="n">
        <v>1.129</v>
      </c>
      <c r="N14" s="23" t="n">
        <v>1.115</v>
      </c>
      <c r="O14" s="23" t="n">
        <v>1.567</v>
      </c>
      <c r="P14" s="23" t="n">
        <v>1.911</v>
      </c>
      <c r="Q14" s="23" t="n">
        <v>2.052</v>
      </c>
      <c r="R14" s="23" t="n">
        <v>2.302</v>
      </c>
      <c r="S14" s="23" t="n">
        <v>4.021</v>
      </c>
      <c r="T14" s="23" t="n">
        <v>5.06</v>
      </c>
      <c r="U14" s="23" t="n">
        <v>6.36</v>
      </c>
      <c r="V14" s="23" t="n">
        <v>6.257</v>
      </c>
      <c r="W14" s="23" t="n">
        <v>6.663</v>
      </c>
      <c r="X14" s="23" t="n">
        <v>6.663</v>
      </c>
      <c r="Y14" s="23" t="n">
        <v>6.663</v>
      </c>
      <c r="Z14" s="23" t="n">
        <v>34.559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>-0.9302335584326208</v>
      </c>
      <c r="S16" s="15">
        <f>IFERROR(S2/R2-1,"")</f>
        <v>2.030209617755857</v>
      </c>
      <c r="T16" s="15">
        <f>IFERROR(T2/S2-1,"")</f>
        <v>4.647202441505595</v>
      </c>
      <c r="U16" s="15">
        <f>IFERROR(U2/T2-1,"")</f>
        <v>0.2536388528606428</v>
      </c>
      <c r="V16" s="15">
        <f>IFERROR(V2/U2-1,"")</f>
        <v>0.16958845844349946</v>
      </c>
      <c r="W16" s="15">
        <f>IFERROR(W2/V2-1,"")</f>
        <v>0.1994987345504582</v>
      </c>
      <c r="X16" s="15">
        <f>IFERROR(X2/W2-1,"")</f>
        <v>0.33761471648639785</v>
      </c>
      <c r="Y16" s="15">
        <f>IFERROR(Y2/X2-1,"")</f>
        <v>-1.0</v>
      </c>
      <c r="Z16" s="15">
        <f>IFERROR(Z2/Y2-1,"")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>0.7849369865370553</v>
      </c>
      <c r="R17" s="15">
        <f>IFERROR(R4/R2,"")</f>
        <v>-1.0856966707768185</v>
      </c>
      <c r="S17" s="15">
        <f>IFERROR(S4/S2,"")</f>
        <v>0.13265513733468975</v>
      </c>
      <c r="T17" s="15">
        <f>IFERROR(T4/T2,"")</f>
        <v>0.9037685545467646</v>
      </c>
      <c r="U17" s="15">
        <f>IFERROR(U4/U2,"")</f>
        <v>0.9595355788021611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/>
      </c>
      <c r="Z17" s="15">
        <f>IFERROR(Z4/Z2,"")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>0.10254204481913196</v>
      </c>
      <c r="R18" s="15">
        <f>IFERROR(R8/R2,"")</f>
        <v>-17.62392108508015</v>
      </c>
      <c r="S18" s="15">
        <f>IFERROR(S8/S2,"")</f>
        <v>-9.408952187182095</v>
      </c>
      <c r="T18" s="15">
        <f>IFERROR(T8/T2,"")</f>
        <v>-0.9258178411874908</v>
      </c>
      <c r="U18" s="15">
        <f>IFERROR(U8/U2,"")</f>
        <v>-1.7365214392458903</v>
      </c>
      <c r="V18" s="15">
        <f>IFERROR(V8/V2,"")</f>
        <v>-1.8547804506474679</v>
      </c>
      <c r="W18" s="15">
        <f>IFERROR(W8/W2,"")</f>
        <v>-0.753113733202229</v>
      </c>
      <c r="X18" s="15">
        <f>IFERROR(X8/X2,"")</f>
        <v>0.22270548417232025</v>
      </c>
      <c r="Y18" s="15">
        <f>IFERROR(Y8/Y2,"")</f>
        <v/>
      </c>
      <c r="Z18" s="15">
        <f>IFERROR(Z8/Z2,"")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2026-10-21T01:06:19Z</dcterms:modified>
  <cp:lastModifiedBy>Wang, Eric</cp:lastModifiedBy>
</cp:coreProperties>
</file>