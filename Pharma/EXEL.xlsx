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Exelixis Inc</t>
        </is>
      </c>
      <c r="C2" s="10" t="n"/>
    </row>
    <row r="3">
      <c r="B3" t="inlineStr">
        <is>
          <t>Price</t>
        </is>
      </c>
      <c r="C3" s="11">
        <f>INDEX([1]Pharma!$F$1:$F$1000,MATCH("EXEL",[1]Pharma!$B$1:$B$1000,0))</f>
        <v>64.39</v>
      </c>
      <c r="F3" s="1" t="n"/>
    </row>
    <row r="4">
      <c r="B4" t="inlineStr">
        <is>
          <t>Shares</t>
        </is>
      </c>
      <c r="C4" s="51" t="n">
        <v>247.781692</v>
      </c>
      <c r="F4" s="1" t="n"/>
    </row>
    <row r="5">
      <c r="B5" t="inlineStr">
        <is>
          <t>Market Cap.</t>
        </is>
      </c>
      <c r="C5" s="13">
        <f>C3*C4</f>
        <v>15954.663147879999</v>
      </c>
      <c r="F5" s="1" t="n"/>
    </row>
    <row r="6"/>
    <row r="7">
      <c r="B7" t="inlineStr">
        <is>
          <t>Cash</t>
        </is>
      </c>
      <c r="C7" s="51">
        <f>281.448+557.937</f>
        <v>839.385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15115.278147879999</v>
      </c>
    </row>
    <row r="10"/>
    <row r="11">
      <c r="B11" s="14" t="inlineStr">
        <is>
          <t>NPV / Share</t>
        </is>
      </c>
      <c r="C11" s="11">
        <f>NPV!B28</f>
        <v>57.04621643374132</v>
      </c>
    </row>
    <row r="12">
      <c r="B12" s="14" t="inlineStr">
        <is>
          <t>Upside</t>
        </is>
      </c>
      <c r="C12" s="15">
        <f>IFERROR(C11/C3-1,"")</f>
        <v>-0.11405161618665449</v>
      </c>
    </row>
    <row r="13">
      <c r="B13" s="14" t="inlineStr">
        <is>
          <t>Cash / Share</t>
        </is>
      </c>
      <c r="C13" s="11">
        <f>IFERROR((C7-C8)/C4,"")</f>
        <v>3.3875989514188967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151.759</v>
      </c>
      <c r="C2" s="52" t="n">
        <v>185.045</v>
      </c>
      <c r="D2" s="52" t="n">
        <v>289.636</v>
      </c>
      <c r="E2" s="52" t="n">
        <v>47.45</v>
      </c>
      <c r="F2" s="52" t="n">
        <v>31.338</v>
      </c>
      <c r="G2" s="52" t="n">
        <v>25.111</v>
      </c>
      <c r="H2" s="52" t="n">
        <v>37.172</v>
      </c>
      <c r="I2" s="52" t="n">
        <v>191.454</v>
      </c>
      <c r="J2" s="52" t="n">
        <v>452.477</v>
      </c>
      <c r="K2" s="52" t="n">
        <v>853.826</v>
      </c>
      <c r="L2" s="52" t="n">
        <v>967.775</v>
      </c>
      <c r="M2" s="52" t="n">
        <v>987.538</v>
      </c>
      <c r="N2" s="52" t="n">
        <v>1434.97</v>
      </c>
      <c r="O2" s="52" t="n">
        <v>1611.062</v>
      </c>
      <c r="P2" s="52" t="n">
        <v>1830.208</v>
      </c>
      <c r="Q2" s="52" t="n">
        <v>2168.701</v>
      </c>
      <c r="R2" s="52" t="n">
        <v>2320.126</v>
      </c>
      <c r="S2" s="52">
        <f>R2*(1+NPV!C5)</f>
        <v>2559.098978</v>
      </c>
      <c r="T2" s="52">
        <f>S2*(1+NPV!D5)</f>
        <v>2800.507314924667</v>
      </c>
      <c r="U2" s="52">
        <f>T2*(1+NPV!E5)</f>
        <v>3040.41744156988</v>
      </c>
      <c r="V2" s="52">
        <f>U2*(1+NPV!F5)</f>
        <v>3274.5295845707606</v>
      </c>
      <c r="W2" s="52">
        <f>V2*(1+NPV!G5)</f>
        <v>3498.289106183096</v>
      </c>
      <c r="X2" s="52">
        <f>W2*(1+NPV!H5)</f>
        <v>3707.0203561853546</v>
      </c>
      <c r="Y2" s="52">
        <f>X2*(1+NPV!I5)</f>
        <v>3896.0783943508072</v>
      </c>
      <c r="Z2" s="52">
        <f>Y2*(1+NPV!J5)</f>
        <v>4061.012379711658</v>
      </c>
      <c r="AA2" s="52">
        <f>Z2*(1+NPV!K5)</f>
        <v>4197.733129828617</v>
      </c>
      <c r="AB2" s="52">
        <f>AA2*(1+NPV!L5)</f>
        <v>4302.676458074332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1.118</v>
      </c>
      <c r="G3" s="52" t="n">
        <v>2.043</v>
      </c>
      <c r="H3" s="52" t="n">
        <v>3.895</v>
      </c>
      <c r="I3" s="52" t="n">
        <v>6.552</v>
      </c>
      <c r="J3" s="52" t="n">
        <v>15.066</v>
      </c>
      <c r="K3" s="52" t="n">
        <v>26.348</v>
      </c>
      <c r="L3" s="52" t="n">
        <v>33.097</v>
      </c>
      <c r="M3" s="52" t="n">
        <v>36.272</v>
      </c>
      <c r="N3" s="52" t="n">
        <v>52.873</v>
      </c>
      <c r="O3" s="52" t="n">
        <v>57.909</v>
      </c>
      <c r="P3" s="52" t="n">
        <v>72.547</v>
      </c>
      <c r="Q3" s="52" t="n">
        <v>76.21599999999999</v>
      </c>
      <c r="R3" s="52" t="n">
        <v>83.697</v>
      </c>
      <c r="S3" s="52">
        <f>S2*(1-Assumptions!$B$19)</f>
        <v>92.38347310580005</v>
      </c>
      <c r="T3" s="52">
        <f>T2*(1-Assumptions!$B$19)</f>
        <v>101.09831406878054</v>
      </c>
      <c r="U3" s="52">
        <f>U2*(1-Assumptions!$B$19)</f>
        <v>109.75906964067273</v>
      </c>
      <c r="V3" s="52">
        <f>V2*(1-Assumptions!$B$19)</f>
        <v>118.21051800300452</v>
      </c>
      <c r="W3" s="52">
        <f>W2*(1-Assumptions!$B$19)</f>
        <v>126.28823673320984</v>
      </c>
      <c r="X3" s="52">
        <f>X2*(1-Assumptions!$B$19)</f>
        <v>133.82343485829136</v>
      </c>
      <c r="Y3" s="52">
        <f>Y2*(1-Assumptions!$B$19)</f>
        <v>140.6484300360642</v>
      </c>
      <c r="Z3" s="52">
        <f>Z2*(1-Assumptions!$B$19)</f>
        <v>146.60254690759095</v>
      </c>
      <c r="AA3" s="52">
        <f>AA2*(1-Assumptions!$B$19)</f>
        <v>151.53816598681317</v>
      </c>
      <c r="AB3" s="52">
        <f>AB2*(1-Assumptions!$B$19)</f>
        <v>155.32662013648348</v>
      </c>
    </row>
    <row r="4" customFormat="1" s="1">
      <c r="A4" s="5" t="inlineStr">
        <is>
          <t>Gross Margin</t>
        </is>
      </c>
      <c r="B4" s="52">
        <f>B2-B3</f>
        <v>151.759</v>
      </c>
      <c r="C4" s="52">
        <f>C2-C3</f>
        <v>185.045</v>
      </c>
      <c r="D4" s="52">
        <f>D2-D3</f>
        <v>289.636</v>
      </c>
      <c r="E4" s="52">
        <f>E2-E3</f>
        <v>47.45</v>
      </c>
      <c r="F4" s="52">
        <f>F2-F3</f>
        <v>30.220000000000002</v>
      </c>
      <c r="G4" s="52">
        <f>G2-G3</f>
        <v>23.068</v>
      </c>
      <c r="H4" s="52">
        <f>H2-H3</f>
        <v>33.276999999999994</v>
      </c>
      <c r="I4" s="52">
        <f>I2-I3</f>
        <v>184.90200000000002</v>
      </c>
      <c r="J4" s="52">
        <f>J2-J3</f>
        <v>437.411</v>
      </c>
      <c r="K4" s="52">
        <f>K2-K3</f>
        <v>827.4780000000001</v>
      </c>
      <c r="L4" s="52">
        <f>L2-L3</f>
        <v>934.678</v>
      </c>
      <c r="M4" s="52">
        <f>M2-M3</f>
        <v>951.266</v>
      </c>
      <c r="N4" s="52">
        <f>N2-N3</f>
        <v>1382.097</v>
      </c>
      <c r="O4" s="52">
        <f>O2-O3</f>
        <v>1553.1529999999998</v>
      </c>
      <c r="P4" s="52">
        <f>P2-P3</f>
        <v>1757.661</v>
      </c>
      <c r="Q4" s="52">
        <f>Q2-Q3</f>
        <v>2092.485</v>
      </c>
      <c r="R4" s="52">
        <f>R2-R3</f>
        <v>2236.429</v>
      </c>
      <c r="S4" s="52">
        <f>S2-S3</f>
        <v>2466.7155048942</v>
      </c>
      <c r="T4" s="52">
        <f>T2-T3</f>
        <v>2699.4090008558865</v>
      </c>
      <c r="U4" s="52">
        <f>U2-U3</f>
        <v>2930.658371929207</v>
      </c>
      <c r="V4" s="52">
        <f>V2-V3</f>
        <v>3156.319066567756</v>
      </c>
      <c r="W4" s="52">
        <f>W2-W3</f>
        <v>3372.000869449886</v>
      </c>
      <c r="X4" s="52">
        <f>X2-X3</f>
        <v>3573.196921327063</v>
      </c>
      <c r="Y4" s="52">
        <f>Y2-Y3</f>
        <v>3755.429964314743</v>
      </c>
      <c r="Z4" s="52">
        <f>Z2-Z3</f>
        <v>3914.4098328040673</v>
      </c>
      <c r="AA4" s="52">
        <f>AA2-AA3</f>
        <v>4046.194963841804</v>
      </c>
      <c r="AB4" s="52">
        <f>AB2-AB3</f>
        <v>4147.349837937849</v>
      </c>
    </row>
    <row r="5">
      <c r="A5" s="2" t="inlineStr">
        <is>
          <t>Research &amp; Dev.</t>
        </is>
      </c>
      <c r="B5" s="52" t="n">
        <v>234.702</v>
      </c>
      <c r="C5" s="52" t="n">
        <v>210.678</v>
      </c>
      <c r="D5" s="52" t="n">
        <v>156.836</v>
      </c>
      <c r="E5" s="52" t="n">
        <v>128.878</v>
      </c>
      <c r="F5" s="52" t="n">
        <v>178.763</v>
      </c>
      <c r="G5" s="52" t="n">
        <v>189.101</v>
      </c>
      <c r="H5" s="52" t="n">
        <v>96.351</v>
      </c>
      <c r="I5" s="52" t="n">
        <v>95.967</v>
      </c>
      <c r="J5" s="52" t="n">
        <v>112.171</v>
      </c>
      <c r="K5" s="52" t="n">
        <v>182.257</v>
      </c>
      <c r="L5" s="52" t="n">
        <v>336.964</v>
      </c>
      <c r="M5" s="52" t="n">
        <v>547.851</v>
      </c>
      <c r="N5" s="52" t="n">
        <v>693.716</v>
      </c>
      <c r="O5" s="52" t="n">
        <v>891.813</v>
      </c>
      <c r="P5" s="52" t="n">
        <v>1044.071</v>
      </c>
      <c r="Q5" s="52" t="n">
        <v>910.408</v>
      </c>
      <c r="R5" s="52" t="n">
        <v>825.001</v>
      </c>
      <c r="S5" s="52">
        <f>S7*Assumptions!$B$20</f>
        <v>885.5340478585343</v>
      </c>
      <c r="T5" s="52">
        <f>T7*Assumptions!$B$20</f>
        <v>981.1607791348011</v>
      </c>
      <c r="U5" s="52">
        <f>U7*Assumptions!$B$20</f>
        <v>1078.3407311955384</v>
      </c>
      <c r="V5" s="52">
        <f>V7*Assumptions!$B$20</f>
        <v>1175.5109389016952</v>
      </c>
      <c r="W5" s="52">
        <f>W7*Assumptions!$B$20</f>
        <v>1270.941585843358</v>
      </c>
      <c r="X5" s="52">
        <f>X7*Assumptions!$B$20</f>
        <v>1362.7797091936893</v>
      </c>
      <c r="Y5" s="52">
        <f>Y7*Assumptions!$B$20</f>
        <v>1449.1030188027237</v>
      </c>
      <c r="Z5" s="52">
        <f>Z7*Assumptions!$B$20</f>
        <v>1527.9820364201626</v>
      </c>
      <c r="AA5" s="52">
        <f>AA7*Assumptions!$B$20</f>
        <v>1597.5480545695311</v>
      </c>
      <c r="AB5" s="52">
        <f>AB7*Assumptions!$B$20</f>
        <v>1656.0638110967398</v>
      </c>
    </row>
    <row r="6">
      <c r="A6" s="18" t="inlineStr">
        <is>
          <t>SG&amp;A &amp; Other</t>
        </is>
      </c>
      <c r="B6" s="52" t="n">
        <v>38.964</v>
      </c>
      <c r="C6" s="52" t="n">
        <v>65.764</v>
      </c>
      <c r="D6" s="52" t="n">
        <v>43.265</v>
      </c>
      <c r="E6" s="52" t="n">
        <v>41.008</v>
      </c>
      <c r="F6" s="52" t="n">
        <v>52.189</v>
      </c>
      <c r="G6" s="52" t="n">
        <v>58.425</v>
      </c>
      <c r="H6" s="52" t="n">
        <v>58.347</v>
      </c>
      <c r="I6" s="52" t="n">
        <v>117.059</v>
      </c>
      <c r="J6" s="52" t="n">
        <v>159.33</v>
      </c>
      <c r="K6" s="52" t="n">
        <v>206.366</v>
      </c>
      <c r="L6" s="52" t="n">
        <v>228.244</v>
      </c>
      <c r="M6" s="52" t="n">
        <v>293.355</v>
      </c>
      <c r="N6" s="52" t="n">
        <v>401.715</v>
      </c>
      <c r="O6" s="52" t="n">
        <v>459.856</v>
      </c>
      <c r="P6" s="52" t="n">
        <v>542.705</v>
      </c>
      <c r="Q6" s="52" t="n">
        <v>577.46</v>
      </c>
      <c r="R6" s="52" t="n">
        <v>539.237</v>
      </c>
      <c r="S6" s="52">
        <f>S7-S5</f>
        <v>578.8847513121856</v>
      </c>
      <c r="T6" s="52">
        <f>T7-T5</f>
        <v>641.3971489862525</v>
      </c>
      <c r="U6" s="52">
        <f>U7-U5</f>
        <v>704.9249066340274</v>
      </c>
      <c r="V6" s="52">
        <f>V7-V5</f>
        <v>768.4462942745824</v>
      </c>
      <c r="W6" s="52">
        <f>W7-W5</f>
        <v>830.8305091514462</v>
      </c>
      <c r="X6" s="52">
        <f>X7-X5</f>
        <v>890.8662461456349</v>
      </c>
      <c r="Y6" s="52">
        <f>Y7-Y5</f>
        <v>947.2968799945704</v>
      </c>
      <c r="Z6" s="52">
        <f>Z7-Z5</f>
        <v>998.8610864840255</v>
      </c>
      <c r="AA6" s="52">
        <f>AA7-AA5</f>
        <v>1044.3372680194072</v>
      </c>
      <c r="AB6" s="52">
        <f>AB7-AB5</f>
        <v>1082.5897544675727</v>
      </c>
    </row>
    <row r="7">
      <c r="A7" s="2" t="inlineStr">
        <is>
          <t>Operating Expense</t>
        </is>
      </c>
      <c r="B7" s="52">
        <f>SUM(B5:B6)</f>
        <v>273.666</v>
      </c>
      <c r="C7" s="52">
        <f>SUM(C5:C6)</f>
        <v>276.442</v>
      </c>
      <c r="D7" s="52">
        <f>SUM(D5:D6)</f>
        <v>200.101</v>
      </c>
      <c r="E7" s="52">
        <f>SUM(E5:E6)</f>
        <v>169.886</v>
      </c>
      <c r="F7" s="52">
        <f>SUM(F5:F6)</f>
        <v>230.952</v>
      </c>
      <c r="G7" s="52">
        <f>SUM(G5:G6)</f>
        <v>247.526</v>
      </c>
      <c r="H7" s="52">
        <f>SUM(H5:H6)</f>
        <v>154.698</v>
      </c>
      <c r="I7" s="52">
        <f>SUM(I5:I6)</f>
        <v>213.026</v>
      </c>
      <c r="J7" s="52">
        <f>SUM(J5:J6)</f>
        <v>271.50100000000003</v>
      </c>
      <c r="K7" s="52">
        <f>SUM(K5:K6)</f>
        <v>388.62300000000005</v>
      </c>
      <c r="L7" s="52">
        <f>SUM(L5:L6)</f>
        <v>565.208</v>
      </c>
      <c r="M7" s="52">
        <f>SUM(M5:M6)</f>
        <v>841.206</v>
      </c>
      <c r="N7" s="52">
        <f>SUM(N5:N6)</f>
        <v>1095.431</v>
      </c>
      <c r="O7" s="52">
        <f>SUM(O5:O6)</f>
        <v>1351.6689999999999</v>
      </c>
      <c r="P7" s="52">
        <f>SUM(P5:P6)</f>
        <v>1586.7759999999998</v>
      </c>
      <c r="Q7" s="52">
        <f>SUM(Q5:Q6)</f>
        <v>1487.868</v>
      </c>
      <c r="R7" s="52">
        <f>SUM(R5:R6)</f>
        <v>1364.2379999999998</v>
      </c>
      <c r="S7" s="52">
        <f>S4-S2*NPV!C6</f>
        <v>1464.41879917072</v>
      </c>
      <c r="T7" s="52">
        <f>T4-T2*NPV!D6</f>
        <v>1622.5579281210537</v>
      </c>
      <c r="U7" s="52">
        <f>U4-U2*NPV!E6</f>
        <v>1783.2656378295658</v>
      </c>
      <c r="V7" s="52">
        <f>V4-V2*NPV!F6</f>
        <v>1943.9572331762777</v>
      </c>
      <c r="W7" s="52">
        <f>W4-W2*NPV!G6</f>
        <v>2101.7720949948043</v>
      </c>
      <c r="X7" s="52">
        <f>X4-X2*NPV!H6</f>
        <v>2253.6459553393242</v>
      </c>
      <c r="Y7" s="52">
        <f>Y4-Y2*NPV!I6</f>
        <v>2396.399898797294</v>
      </c>
      <c r="Z7" s="52">
        <f>Z4-Z2*NPV!J6</f>
        <v>2526.843122904188</v>
      </c>
      <c r="AA7" s="52">
        <f>AA4-AA2*NPV!K6</f>
        <v>2641.8853225889384</v>
      </c>
      <c r="AB7" s="52">
        <f>AB4-AB2*NPV!L6</f>
        <v>2738.6535655643124</v>
      </c>
    </row>
    <row r="8">
      <c r="A8" s="2" t="inlineStr">
        <is>
          <t>Operating Income</t>
        </is>
      </c>
      <c r="B8" s="52">
        <f>B4-B7</f>
        <v>-121.90700000000001</v>
      </c>
      <c r="C8" s="52">
        <f>C4-C7</f>
        <v>-91.39700000000002</v>
      </c>
      <c r="D8" s="52">
        <f>D4-D7</f>
        <v>89.53500000000003</v>
      </c>
      <c r="E8" s="52">
        <f>E4-E7</f>
        <v>-122.43599999999999</v>
      </c>
      <c r="F8" s="52">
        <f>F4-F7</f>
        <v>-200.732</v>
      </c>
      <c r="G8" s="52">
        <f>G4-G7</f>
        <v>-224.458</v>
      </c>
      <c r="H8" s="52">
        <f>H4-H7</f>
        <v>-121.42100000000002</v>
      </c>
      <c r="I8" s="52">
        <f>I4-I7</f>
        <v>-28.123999999999995</v>
      </c>
      <c r="J8" s="52">
        <f>J4-J7</f>
        <v>165.90999999999997</v>
      </c>
      <c r="K8" s="52">
        <f>K4-K7</f>
        <v>438.855</v>
      </c>
      <c r="L8" s="52">
        <f>L4-L7</f>
        <v>369.47</v>
      </c>
      <c r="M8" s="52">
        <f>M4-M7</f>
        <v>110.05999999999995</v>
      </c>
      <c r="N8" s="52">
        <f>N4-N7</f>
        <v>286.66599999999994</v>
      </c>
      <c r="O8" s="52">
        <f>O4-O7</f>
        <v>201.48399999999992</v>
      </c>
      <c r="P8" s="52">
        <f>P4-P7</f>
        <v>170.88500000000022</v>
      </c>
      <c r="Q8" s="52">
        <f>Q4-Q7</f>
        <v>604.6170000000002</v>
      </c>
      <c r="R8" s="52">
        <f>R4-R7</f>
        <v>872.1910000000003</v>
      </c>
      <c r="S8" s="52">
        <f>S4-S7</f>
        <v>1002.29670572348</v>
      </c>
      <c r="T8" s="52">
        <f>T4-T7</f>
        <v>1076.8510727348328</v>
      </c>
      <c r="U8" s="52">
        <f>U4-U7</f>
        <v>1147.3927340996413</v>
      </c>
      <c r="V8" s="52">
        <f>V4-V7</f>
        <v>1212.3618333914785</v>
      </c>
      <c r="W8" s="52">
        <f>W4-W7</f>
        <v>1270.2287744550817</v>
      </c>
      <c r="X8" s="52">
        <f>X4-X7</f>
        <v>1319.550965987739</v>
      </c>
      <c r="Y8" s="52">
        <f>Y4-Y7</f>
        <v>1359.0300655174487</v>
      </c>
      <c r="Z8" s="52">
        <f>Z4-Z7</f>
        <v>1387.5667098998792</v>
      </c>
      <c r="AA8" s="52">
        <f>AA4-AA7</f>
        <v>1404.3096412528657</v>
      </c>
      <c r="AB8" s="52">
        <f>AB4-AB7</f>
        <v>1408.6962723735364</v>
      </c>
    </row>
    <row r="9">
      <c r="A9" s="18" t="inlineStr">
        <is>
          <t>Interest &amp; Other</t>
        </is>
      </c>
      <c r="B9" s="52" t="n">
        <v>-14.599</v>
      </c>
      <c r="C9" s="52" t="n">
        <v>-1.005</v>
      </c>
      <c r="D9" s="52" t="n">
        <v>-12.543</v>
      </c>
      <c r="E9" s="52" t="n">
        <v>-22.792</v>
      </c>
      <c r="F9" s="52" t="n">
        <v>-37.556</v>
      </c>
      <c r="G9" s="52" t="n">
        <v>-37.021</v>
      </c>
      <c r="H9" s="52" t="n">
        <v>-40.268</v>
      </c>
      <c r="I9" s="52" t="n">
        <v>-42.098</v>
      </c>
      <c r="J9" s="52" t="n">
        <v>-7.333</v>
      </c>
      <c r="K9" s="52" t="n">
        <v>13.237</v>
      </c>
      <c r="L9" s="52" t="n">
        <v>28.639</v>
      </c>
      <c r="M9" s="52" t="n">
        <v>20.777</v>
      </c>
      <c r="N9" s="52" t="n">
        <v>7.525</v>
      </c>
      <c r="O9" s="52" t="n">
        <v>32.886</v>
      </c>
      <c r="P9" s="52" t="n">
        <v>86.67100000000001</v>
      </c>
      <c r="Q9" s="52" t="n">
        <v>77.056</v>
      </c>
      <c r="R9" s="52" t="n">
        <v>69.045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-136.506</v>
      </c>
      <c r="C10" s="52">
        <f>C8+C9</f>
        <v>-92.40200000000002</v>
      </c>
      <c r="D10" s="52">
        <f>D8+D9</f>
        <v>76.99200000000002</v>
      </c>
      <c r="E10" s="52">
        <f>E8+E9</f>
        <v>-145.228</v>
      </c>
      <c r="F10" s="52">
        <f>F8+F9</f>
        <v>-238.288</v>
      </c>
      <c r="G10" s="52">
        <f>G8+G9</f>
        <v>-261.479</v>
      </c>
      <c r="H10" s="52">
        <f>H8+H9</f>
        <v>-161.68900000000002</v>
      </c>
      <c r="I10" s="52">
        <f>I8+I9</f>
        <v>-70.222</v>
      </c>
      <c r="J10" s="52">
        <f>J8+J9</f>
        <v>158.57699999999997</v>
      </c>
      <c r="K10" s="52">
        <f>K8+K9</f>
        <v>452.09200000000004</v>
      </c>
      <c r="L10" s="52">
        <f>L8+L9</f>
        <v>398.10900000000004</v>
      </c>
      <c r="M10" s="52">
        <f>M8+M9</f>
        <v>130.83699999999993</v>
      </c>
      <c r="N10" s="52">
        <f>N8+N9</f>
        <v>294.1909999999999</v>
      </c>
      <c r="O10" s="52">
        <f>O8+O9</f>
        <v>234.36999999999992</v>
      </c>
      <c r="P10" s="52">
        <f>P8+P9</f>
        <v>257.5560000000002</v>
      </c>
      <c r="Q10" s="52">
        <f>Q8+Q9</f>
        <v>681.6730000000002</v>
      </c>
      <c r="R10" s="52">
        <f>R8+R9</f>
        <v>941.2360000000002</v>
      </c>
      <c r="S10" s="52">
        <f>S8+S9</f>
        <v>1002.29670572348</v>
      </c>
      <c r="T10" s="52">
        <f>T8+T9</f>
        <v>1076.8510727348328</v>
      </c>
      <c r="U10" s="52">
        <f>U8+U9</f>
        <v>1147.3927340996413</v>
      </c>
      <c r="V10" s="52">
        <f>V8+V9</f>
        <v>1212.3618333914785</v>
      </c>
      <c r="W10" s="52">
        <f>W8+W9</f>
        <v>1270.2287744550817</v>
      </c>
      <c r="X10" s="52">
        <f>X8+X9</f>
        <v>1319.550965987739</v>
      </c>
      <c r="Y10" s="52">
        <f>Y8+Y9</f>
        <v>1359.0300655174487</v>
      </c>
      <c r="Z10" s="52">
        <f>Z8+Z9</f>
        <v>1387.5667098998792</v>
      </c>
      <c r="AA10" s="52">
        <f>AA8+AA9</f>
        <v>1404.3096412528657</v>
      </c>
      <c r="AB10" s="52">
        <f>AB8+AB9</f>
        <v>1408.6962723735364</v>
      </c>
    </row>
    <row r="11">
      <c r="A11" s="2" t="inlineStr">
        <is>
          <t>Taxes</t>
        </is>
      </c>
      <c r="B11" s="52" t="n">
        <v>-1.286</v>
      </c>
      <c r="C11" s="52" t="n">
        <v>-0.07199999999999999</v>
      </c>
      <c r="D11" s="52" t="n">
        <v>1.295</v>
      </c>
      <c r="E11" s="52" t="n">
        <v>0.107</v>
      </c>
      <c r="F11" s="52" t="n">
        <v>-0.096</v>
      </c>
      <c r="G11" s="52" t="n">
        <v>-0.182</v>
      </c>
      <c r="H11" s="52" t="n">
        <v>0.055</v>
      </c>
      <c r="I11" s="52" t="n">
        <v>0</v>
      </c>
      <c r="J11" s="52" t="n">
        <v>4.35</v>
      </c>
      <c r="K11" s="52" t="n">
        <v>-237.978</v>
      </c>
      <c r="L11" s="52" t="n">
        <v>77.09699999999999</v>
      </c>
      <c r="M11" s="52" t="n">
        <v>19.056</v>
      </c>
      <c r="N11" s="52" t="n">
        <v>63.091</v>
      </c>
      <c r="O11" s="52" t="n">
        <v>52.07</v>
      </c>
      <c r="P11" s="52" t="n">
        <v>49.756</v>
      </c>
      <c r="Q11" s="52" t="n">
        <v>160.373</v>
      </c>
      <c r="R11" s="52" t="n">
        <v>158.636</v>
      </c>
      <c r="S11" s="52">
        <f>MAX(0,S10)*Assumptions!$E$14</f>
        <v>170.39043997299163</v>
      </c>
      <c r="T11" s="52">
        <f>MAX(0,T10)*Assumptions!$E$14</f>
        <v>183.0646823649216</v>
      </c>
      <c r="U11" s="52">
        <f>MAX(0,U10)*Assumptions!$E$14</f>
        <v>195.05676479693904</v>
      </c>
      <c r="V11" s="52">
        <f>MAX(0,V10)*Assumptions!$E$14</f>
        <v>206.10151167655135</v>
      </c>
      <c r="W11" s="52">
        <f>MAX(0,W10)*Assumptions!$E$14</f>
        <v>215.9388916573639</v>
      </c>
      <c r="X11" s="52">
        <f>MAX(0,X10)*Assumptions!$E$14</f>
        <v>224.32366421791562</v>
      </c>
      <c r="Y11" s="52">
        <f>MAX(0,Y10)*Assumptions!$E$14</f>
        <v>231.0351111379663</v>
      </c>
      <c r="Z11" s="52">
        <f>MAX(0,Z10)*Assumptions!$E$14</f>
        <v>235.8863406829795</v>
      </c>
      <c r="AA11" s="52">
        <f>MAX(0,AA10)*Assumptions!$E$14</f>
        <v>238.7326390129872</v>
      </c>
      <c r="AB11" s="52">
        <f>MAX(0,AB10)*Assumptions!$E$14</f>
        <v>239.47836630350122</v>
      </c>
    </row>
    <row r="12">
      <c r="A12" s="2" t="inlineStr">
        <is>
          <t>Net Income</t>
        </is>
      </c>
      <c r="B12" s="52" t="n">
        <v>-135.22</v>
      </c>
      <c r="C12" s="52" t="n">
        <v>-92.33</v>
      </c>
      <c r="D12" s="52" t="n">
        <v>75.697</v>
      </c>
      <c r="E12" s="52" t="n">
        <v>-145.335</v>
      </c>
      <c r="F12" s="52" t="n">
        <v>-238.192</v>
      </c>
      <c r="G12" s="52" t="n">
        <v>-261.297</v>
      </c>
      <c r="H12" s="52" t="n">
        <v>-161.744</v>
      </c>
      <c r="I12" s="52" t="n">
        <v>-70.22199999999999</v>
      </c>
      <c r="J12" s="52" t="n">
        <v>154.227</v>
      </c>
      <c r="K12" s="52" t="n">
        <v>690.0700000000001</v>
      </c>
      <c r="L12" s="52" t="n">
        <v>321.012</v>
      </c>
      <c r="M12" s="52" t="n">
        <v>111.781</v>
      </c>
      <c r="N12" s="52" t="n">
        <v>231.1</v>
      </c>
      <c r="O12" s="52" t="n">
        <v>182.3</v>
      </c>
      <c r="P12" s="52" t="n">
        <v>207.8</v>
      </c>
      <c r="Q12" s="52" t="n">
        <v>521.3</v>
      </c>
      <c r="R12" s="52" t="n">
        <v>782.6</v>
      </c>
      <c r="S12" s="52">
        <f>S10-S11</f>
        <v>831.9062657504884</v>
      </c>
      <c r="T12" s="52">
        <f>T10-T11</f>
        <v>893.7863903699111</v>
      </c>
      <c r="U12" s="52">
        <f>U10-U11</f>
        <v>952.3359693027023</v>
      </c>
      <c r="V12" s="52">
        <f>V10-V11</f>
        <v>1006.2603217149272</v>
      </c>
      <c r="W12" s="52">
        <f>W10-W11</f>
        <v>1054.2898827977178</v>
      </c>
      <c r="X12" s="52">
        <f>X10-X11</f>
        <v>1095.2273017698233</v>
      </c>
      <c r="Y12" s="52">
        <f>Y10-Y11</f>
        <v>1127.9949543794824</v>
      </c>
      <c r="Z12" s="52">
        <f>Z10-Z11</f>
        <v>1151.6803692168996</v>
      </c>
      <c r="AA12" s="52">
        <f>AA10-AA11</f>
        <v>1165.5770022398785</v>
      </c>
      <c r="AB12" s="52">
        <f>AB10-AB11</f>
        <v>1169.2179060700353</v>
      </c>
    </row>
    <row r="13">
      <c r="A13" s="2" t="inlineStr">
        <is>
          <t>Earnings per Share</t>
        </is>
      </c>
      <c r="B13" s="11">
        <f>IFERROR(B12/B14,0)</f>
        <v>-1.2628767289606158</v>
      </c>
      <c r="C13" s="11">
        <f>IFERROR(C12/C14,0)</f>
        <v>-0.8507952304601831</v>
      </c>
      <c r="D13" s="11">
        <f>IFERROR(D12/D14,0)</f>
        <v>0.5801469968347397</v>
      </c>
      <c r="E13" s="11">
        <f>IFERROR(E12/E14,0)</f>
        <v>-0.9075609786559093</v>
      </c>
      <c r="F13" s="11">
        <f>IFERROR(F12/F14,0)</f>
        <v>-1.2940856885179994</v>
      </c>
      <c r="G13" s="11">
        <f>IFERROR(G12/G14,0)</f>
        <v>-1.3448190675196476</v>
      </c>
      <c r="H13" s="11">
        <f>IFERROR(H12/H14,0)</f>
        <v>-0.7730551028308966</v>
      </c>
      <c r="I13" s="11">
        <f>IFERROR(I12/I14,0)</f>
        <v>-0.28029265839357204</v>
      </c>
      <c r="J13" s="11">
        <f>IFERROR(J12/J14,0)</f>
        <v>0.4943125546869742</v>
      </c>
      <c r="K13" s="11">
        <f>IFERROR(K12/K14,0)</f>
        <v>2.206084980003389</v>
      </c>
      <c r="L13" s="11">
        <f>IFERROR(L12/L14,0)</f>
        <v>1.0190565983829032</v>
      </c>
      <c r="M13" s="11">
        <f>IFERROR(M12/M14,0)</f>
        <v>0.35151147323436094</v>
      </c>
      <c r="N13" s="11">
        <f>IFERROR(N12/N14,0)</f>
        <v>0.7169025837653051</v>
      </c>
      <c r="O13" s="11">
        <f>IFERROR(O12/O14,0)</f>
        <v>0.5616904324677406</v>
      </c>
      <c r="P13" s="11">
        <f>IFERROR(P12/P14,0)</f>
        <v>0.6464176393002016</v>
      </c>
      <c r="Q13" s="11">
        <f>IFERROR(Q12/Q14,0)</f>
        <v>1.7603636216281926</v>
      </c>
      <c r="R13" s="11">
        <f>IFERROR(R12/R14,0)</f>
        <v>2.776526184706755</v>
      </c>
      <c r="S13" s="11">
        <f>IFERROR(S12/S14,0)</f>
        <v>3.357416195828094</v>
      </c>
      <c r="T13" s="11">
        <f>IFERROR(T12/T14,0)</f>
        <v>3.6071526639260787</v>
      </c>
      <c r="U13" s="11">
        <f>IFERROR(U12/U14,0)</f>
        <v>3.8434476801567015</v>
      </c>
      <c r="V13" s="11">
        <f>IFERROR(V12/V14,0)</f>
        <v>4.061076157777336</v>
      </c>
      <c r="W13" s="11">
        <f>IFERROR(W12/W14,0)</f>
        <v>4.254914373567672</v>
      </c>
      <c r="X13" s="11">
        <f>IFERROR(X12/X14,0)</f>
        <v>4.4201300464516295</v>
      </c>
      <c r="Y13" s="11">
        <f>IFERROR(Y12/Y14,0)</f>
        <v>4.552374088960061</v>
      </c>
      <c r="Z13" s="11">
        <f>IFERROR(Z12/Z14,0)</f>
        <v>4.647963939228003</v>
      </c>
      <c r="AA13" s="11">
        <f>IFERROR(AA12/AA14,0)</f>
        <v>4.70404811926088</v>
      </c>
      <c r="AB13" s="11">
        <f>IFERROR(AB12/AB14,0)</f>
        <v>4.718742117839906</v>
      </c>
    </row>
    <row r="14">
      <c r="A14" s="2" t="inlineStr">
        <is>
          <t>Shares</t>
        </is>
      </c>
      <c r="B14" s="52" t="n">
        <v>107.073</v>
      </c>
      <c r="C14" s="52" t="n">
        <v>108.522</v>
      </c>
      <c r="D14" s="52" t="n">
        <v>130.479</v>
      </c>
      <c r="E14" s="52" t="n">
        <v>160.138</v>
      </c>
      <c r="F14" s="52" t="n">
        <v>184.062</v>
      </c>
      <c r="G14" s="52" t="n">
        <v>194.299</v>
      </c>
      <c r="H14" s="52" t="n">
        <v>209.227</v>
      </c>
      <c r="I14" s="52" t="n">
        <v>250.531</v>
      </c>
      <c r="J14" s="52" t="n">
        <v>312.003</v>
      </c>
      <c r="K14" s="52" t="n">
        <v>312.803</v>
      </c>
      <c r="L14" s="52" t="n">
        <v>315.009</v>
      </c>
      <c r="M14" s="52" t="n">
        <v>318.001</v>
      </c>
      <c r="N14" s="52" t="n">
        <v>322.359</v>
      </c>
      <c r="O14" s="52" t="n">
        <v>324.556</v>
      </c>
      <c r="P14" s="52" t="n">
        <v>321.464</v>
      </c>
      <c r="Q14" s="52" t="n">
        <v>296.132</v>
      </c>
      <c r="R14" s="52" t="n">
        <v>281.863</v>
      </c>
      <c r="S14" s="52">
        <f>Main!$C$4</f>
        <v>247.781692</v>
      </c>
      <c r="T14" s="52">
        <f>Main!$C$4</f>
        <v>247.781692</v>
      </c>
      <c r="U14" s="52">
        <f>Main!$C$4</f>
        <v>247.781692</v>
      </c>
      <c r="V14" s="52">
        <f>Main!$C$4</f>
        <v>247.781692</v>
      </c>
      <c r="W14" s="52">
        <f>Main!$C$4</f>
        <v>247.781692</v>
      </c>
      <c r="X14" s="52">
        <f>Main!$C$4</f>
        <v>247.781692</v>
      </c>
      <c r="Y14" s="52">
        <f>Main!$C$4</f>
        <v>247.781692</v>
      </c>
      <c r="Z14" s="52">
        <f>Main!$C$4</f>
        <v>247.781692</v>
      </c>
      <c r="AA14" s="52">
        <f>Main!$C$4</f>
        <v>247.781692</v>
      </c>
      <c r="AB14" s="52">
        <f>Main!$C$4</f>
        <v>247.781692</v>
      </c>
    </row>
    <row r="15"/>
    <row r="16" customFormat="1" s="4">
      <c r="A16" s="3" t="inlineStr">
        <is>
          <t>Revenue Change</t>
        </is>
      </c>
      <c r="C16" s="15">
        <f>IFERROR(C2/B2-1,"")</f>
        <v>0.21933460289010864</v>
      </c>
      <c r="D16" s="15">
        <f>IFERROR(D2/C2-1,"")</f>
        <v>0.5652192709881383</v>
      </c>
      <c r="E16" s="15">
        <f>IFERROR(E2/D2-1,"")</f>
        <v>-0.8361736800673949</v>
      </c>
      <c r="F16" s="15">
        <f>IFERROR(F2/E2-1,"")</f>
        <v>-0.3395574288724974</v>
      </c>
      <c r="G16" s="15">
        <f>IFERROR(G2/F2-1,"")</f>
        <v>-0.1987044482736614</v>
      </c>
      <c r="H16" s="15">
        <f>IFERROR(H2/G2-1,"")</f>
        <v>0.48030743498865025</v>
      </c>
      <c r="I16" s="15">
        <f>IFERROR(I2/H2-1,"")</f>
        <v>4.15048961583988</v>
      </c>
      <c r="J16" s="15">
        <f>IFERROR(J2/I2-1,"")</f>
        <v>1.3633718804517008</v>
      </c>
      <c r="K16" s="15">
        <f>IFERROR(K2/J2-1,"")</f>
        <v>0.8870042013185202</v>
      </c>
      <c r="L16" s="15">
        <f>IFERROR(L2/K2-1,"")</f>
        <v>0.13345693384834845</v>
      </c>
      <c r="M16" s="15">
        <f>IFERROR(M2/L2-1,"")</f>
        <v>0.02042106894681095</v>
      </c>
      <c r="N16" s="15">
        <f>IFERROR(N2/M2-1,"")</f>
        <v>0.4530782612922237</v>
      </c>
      <c r="O16" s="15">
        <f>IFERROR(O2/N2-1,"")</f>
        <v>0.12271476058732933</v>
      </c>
      <c r="P16" s="15">
        <f>IFERROR(P2/O2-1,"")</f>
        <v>0.13602580161409072</v>
      </c>
      <c r="Q16" s="15">
        <f>IFERROR(Q2/P2-1,"")</f>
        <v>0.1849478310661956</v>
      </c>
      <c r="R16" s="15">
        <f>IFERROR(R2/Q2-1,"")</f>
        <v>0.06982290320334616</v>
      </c>
      <c r="S16" s="15">
        <f>IFERROR(S2/R2-1,"")</f>
        <v>0.10299999999999998</v>
      </c>
      <c r="T16" s="15">
        <f>IFERROR(T2/S2-1,"")</f>
        <v>0.09433333333333338</v>
      </c>
      <c r="U16" s="15">
        <f>IFERROR(U2/T2-1,"")</f>
        <v>0.08566666666666656</v>
      </c>
      <c r="V16" s="15">
        <f>IFERROR(V2/U2-1,"")</f>
        <v>0.07699999999999996</v>
      </c>
      <c r="W16" s="15">
        <f>IFERROR(W2/V2-1,"")</f>
        <v>0.06833333333333336</v>
      </c>
      <c r="X16" s="15">
        <f>IFERROR(X2/W2-1,"")</f>
        <v>0.05966666666666676</v>
      </c>
      <c r="Y16" s="15">
        <f>IFERROR(Y2/X2-1,"")</f>
        <v>0.050999999999999934</v>
      </c>
      <c r="Z16" s="15">
        <f>IFERROR(Z2/Y2-1,"")</f>
        <v>0.042333333333333334</v>
      </c>
      <c r="AA16" s="15">
        <f>IFERROR(AA2/Z2-1,"")</f>
        <v>0.033666666666666734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0.9643244623141235</v>
      </c>
      <c r="G17" s="15">
        <f>IFERROR(G4/G2,"")</f>
        <v>0.9186412329258095</v>
      </c>
      <c r="H17" s="15">
        <f>IFERROR(H4/H2,"")</f>
        <v>0.8952168298719465</v>
      </c>
      <c r="I17" s="15">
        <f>IFERROR(I4/I2,"")</f>
        <v>0.9657776802782915</v>
      </c>
      <c r="J17" s="15">
        <f>IFERROR(J4/J2,"")</f>
        <v>0.966703279945721</v>
      </c>
      <c r="K17" s="15">
        <f>IFERROR(K4/K2,"")</f>
        <v>0.9691412536043644</v>
      </c>
      <c r="L17" s="15">
        <f>IFERROR(L4/L2,"")</f>
        <v>0.9658009351347162</v>
      </c>
      <c r="M17" s="15">
        <f>IFERROR(M4/M2,"")</f>
        <v>0.9632702741565388</v>
      </c>
      <c r="N17" s="15">
        <f>IFERROR(N4/N2,"")</f>
        <v>0.9631539335317114</v>
      </c>
      <c r="O17" s="15">
        <f>IFERROR(O4/O2,"")</f>
        <v>0.9640553870676609</v>
      </c>
      <c r="P17" s="15">
        <f>IFERROR(P4/P2,"")</f>
        <v>0.9603613359792985</v>
      </c>
      <c r="Q17" s="15">
        <f>IFERROR(Q4/Q2,"")</f>
        <v>0.9648563817695478</v>
      </c>
      <c r="R17" s="15">
        <f>IFERROR(R4/R2,"")</f>
        <v>0.9639256661060649</v>
      </c>
      <c r="S17" s="15">
        <f>IFERROR(S4/S2,"")</f>
        <v>0.9639</v>
      </c>
      <c r="T17" s="15">
        <f>IFERROR(T4/T2,"")</f>
        <v>0.9639</v>
      </c>
      <c r="U17" s="15">
        <f>IFERROR(U4/U2,"")</f>
        <v>0.9639</v>
      </c>
      <c r="V17" s="15">
        <f>IFERROR(V4/V2,"")</f>
        <v>0.9639</v>
      </c>
      <c r="W17" s="15">
        <f>IFERROR(W4/W2,"")</f>
        <v>0.9639</v>
      </c>
      <c r="X17" s="15">
        <f>IFERROR(X4/X2,"")</f>
        <v>0.9639</v>
      </c>
      <c r="Y17" s="15">
        <f>IFERROR(Y4/Y2,"")</f>
        <v>0.9639</v>
      </c>
      <c r="Z17" s="15">
        <f>IFERROR(Z4/Z2,"")</f>
        <v>0.9639</v>
      </c>
      <c r="AA17" s="15">
        <f>IFERROR(AA4/AA2,"")</f>
        <v>0.9639</v>
      </c>
      <c r="AB17" s="15">
        <f>IFERROR(AB4/AB2,"")</f>
        <v>0.9639000000000001</v>
      </c>
    </row>
    <row r="18">
      <c r="A18" s="14" t="inlineStr">
        <is>
          <t>Operating Margin</t>
        </is>
      </c>
      <c r="B18" s="15">
        <f>IFERROR(B8/B2,"")</f>
        <v>-0.8032933796348158</v>
      </c>
      <c r="C18" s="15">
        <f>IFERROR(C8/C2,"")</f>
        <v>-0.49391769569564176</v>
      </c>
      <c r="D18" s="15">
        <f>IFERROR(D8/D2,"")</f>
        <v>0.30912938999295675</v>
      </c>
      <c r="E18" s="15">
        <f>IFERROR(E8/E2,"")</f>
        <v>-2.5803161222339304</v>
      </c>
      <c r="F18" s="15">
        <f>IFERROR(F8/F2,"")</f>
        <v>-6.4053864318080285</v>
      </c>
      <c r="G18" s="15">
        <f>IFERROR(G8/G2,"")</f>
        <v>-8.938632471825096</v>
      </c>
      <c r="H18" s="15">
        <f>IFERROR(H8/H2,"")</f>
        <v>-3.266464005165179</v>
      </c>
      <c r="I18" s="15">
        <f>IFERROR(I8/I2,"")</f>
        <v>-0.14689690473951963</v>
      </c>
      <c r="J18" s="15">
        <f>IFERROR(J8/J2,"")</f>
        <v>0.3666705711008515</v>
      </c>
      <c r="K18" s="15">
        <f>IFERROR(K8/K2,"")</f>
        <v>0.5139864562568954</v>
      </c>
      <c r="L18" s="15">
        <f>IFERROR(L8/L2,"")</f>
        <v>0.3817726227687221</v>
      </c>
      <c r="M18" s="15">
        <f>IFERROR(M8/M2,"")</f>
        <v>0.11144887589135805</v>
      </c>
      <c r="N18" s="15">
        <f>IFERROR(N8/N2,"")</f>
        <v>0.19977142379283186</v>
      </c>
      <c r="O18" s="15">
        <f>IFERROR(O8/O2,"")</f>
        <v>0.12506284674332827</v>
      </c>
      <c r="P18" s="15">
        <f>IFERROR(P8/P2,"")</f>
        <v>0.09336916896877306</v>
      </c>
      <c r="Q18" s="15">
        <f>IFERROR(Q8/Q2,"")</f>
        <v>0.278792235536388</v>
      </c>
      <c r="R18" s="15">
        <f>IFERROR(R8/R2,"")</f>
        <v>0.37592397999074195</v>
      </c>
      <c r="S18" s="15">
        <f>IFERROR(S8/S2,"")</f>
        <v>0.39166</v>
      </c>
      <c r="T18" s="15">
        <f>IFERROR(T8/T2,"")</f>
        <v>0.38452</v>
      </c>
      <c r="U18" s="15">
        <f>IFERROR(U8/U2,"")</f>
        <v>0.37738</v>
      </c>
      <c r="V18" s="15">
        <f>IFERROR(V8/V2,"")</f>
        <v>0.37024</v>
      </c>
      <c r="W18" s="15">
        <f>IFERROR(W8/W2,"")</f>
        <v>0.36309999999999987</v>
      </c>
      <c r="X18" s="15">
        <f>IFERROR(X8/X2,"")</f>
        <v>0.35596</v>
      </c>
      <c r="Y18" s="15">
        <f>IFERROR(Y8/Y2,"")</f>
        <v>0.34882</v>
      </c>
      <c r="Z18" s="15">
        <f>IFERROR(Z8/Z2,"")</f>
        <v>0.34168</v>
      </c>
      <c r="AA18" s="15">
        <f>IFERROR(AA8/AA2,"")</f>
        <v>0.33454000000000006</v>
      </c>
      <c r="AB18" s="15">
        <f>IFERROR(AB8/AB2,"")</f>
        <v>0.3274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Exelixis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0.053</v>
      </c>
      <c r="C12" s="53" t="n">
        <v>0.103</v>
      </c>
      <c r="D12" s="53" t="n">
        <v>0.153</v>
      </c>
      <c r="E12" s="54">
        <f>CHOOSE($B$4,B12,C12,D12)</f>
        <v>0.103</v>
      </c>
    </row>
    <row r="13">
      <c r="A13" s="14" t="inlineStr">
        <is>
          <t>Operating margin, year 10</t>
        </is>
      </c>
      <c r="B13" s="53" t="n">
        <v>0.2774</v>
      </c>
      <c r="C13" s="53" t="n">
        <v>0.3274</v>
      </c>
      <c r="D13" s="53" t="n">
        <v>0.3774</v>
      </c>
      <c r="E13" s="54">
        <f>CHOOSE($B$4,B13,C13,D13)</f>
        <v>0.3274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0.3988</v>
      </c>
    </row>
    <row r="19">
      <c r="A19" s="14" t="inlineStr">
        <is>
          <t>Gross margin (forecast)</t>
        </is>
      </c>
      <c r="B19" s="53" t="n">
        <v>0.9639</v>
      </c>
    </row>
    <row r="20">
      <c r="A20" s="14" t="inlineStr">
        <is>
          <t>R&amp;D share of operating expense (forecast)</t>
        </is>
      </c>
      <c r="B20" s="53" t="n">
        <v>0.6047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0.5014</v>
      </c>
    </row>
    <row r="23">
      <c r="A23" s="14" t="inlineStr">
        <is>
          <t>Balance sheet date</t>
        </is>
      </c>
      <c r="B23" s="31" t="n">
        <v>46206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2320.126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13295.62303015063</v>
      </c>
      <c r="C29" s="56">
        <f>NPV!B26</f>
        <v>14135.00803015063</v>
      </c>
      <c r="D29" s="35">
        <f>NPV!B28</f>
        <v>57.04621643374132</v>
      </c>
      <c r="E29" s="57">
        <f>NPV!B30</f>
        <v>-0.11405161618665449</v>
      </c>
    </row>
    <row r="30">
      <c r="A30" s="58" t="n">
        <v>1</v>
      </c>
      <c r="B30" s="59">
        <f t="dataTable" ref="B30:E32" r1="B4"/>
        <v>8222.711034815029</v>
      </c>
      <c r="C30" s="59">
        <v>9062.09603481503</v>
      </c>
      <c r="D30" s="39">
        <v>36.57290400137808</v>
      </c>
      <c r="E30" s="60">
        <v>-0.43200956668150214</v>
      </c>
    </row>
    <row r="31">
      <c r="A31" s="58" t="n">
        <v>2</v>
      </c>
      <c r="B31" s="59">
        <v>13295.62303015063</v>
      </c>
      <c r="C31" s="59">
        <v>14135.00803015063</v>
      </c>
      <c r="D31" s="39">
        <v>57.04621643374132</v>
      </c>
      <c r="E31" s="60">
        <v>-0.11405161618665449</v>
      </c>
    </row>
    <row r="32">
      <c r="A32" s="58" t="n">
        <v>3</v>
      </c>
      <c r="B32" s="59">
        <v>22847.701433734466</v>
      </c>
      <c r="C32" s="59">
        <v>23687.086433734465</v>
      </c>
      <c r="D32" s="39">
        <v>95.59659651421892</v>
      </c>
      <c r="E32" s="60">
        <v>0.48464973620467333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57.04621643374132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68.09613904655072</v>
      </c>
      <c r="C37" s="39">
        <v>72.71685984581684</v>
      </c>
      <c r="D37" s="39">
        <v>78.25282061155299</v>
      </c>
      <c r="E37" s="39">
        <v>85.0090029014201</v>
      </c>
      <c r="F37" s="39">
        <v>93.44287795809646</v>
      </c>
    </row>
    <row r="38">
      <c r="A38" s="62" t="n">
        <v>0.08500000000000001</v>
      </c>
      <c r="B38" s="39">
        <v>58.88498633159741</v>
      </c>
      <c r="C38" s="39">
        <v>62.11346629851832</v>
      </c>
      <c r="D38" s="39">
        <v>65.87291505060365</v>
      </c>
      <c r="E38" s="39">
        <v>70.30806515724463</v>
      </c>
      <c r="F38" s="39">
        <v>75.62154137377198</v>
      </c>
    </row>
    <row r="39">
      <c r="A39" s="62" t="n">
        <v>0.095</v>
      </c>
      <c r="B39" s="39">
        <v>51.99232482487431</v>
      </c>
      <c r="C39" s="39">
        <v>54.35353323389027</v>
      </c>
      <c r="D39" s="39">
        <v>57.04621643374132</v>
      </c>
      <c r="E39" s="39">
        <v>60.14680619582633</v>
      </c>
      <c r="F39" s="39">
        <v>63.757210874761064</v>
      </c>
    </row>
    <row r="40">
      <c r="A40" s="62" t="n">
        <v>0.105</v>
      </c>
      <c r="B40" s="39">
        <v>46.64333433171806</v>
      </c>
      <c r="C40" s="39">
        <v>48.431397490359295</v>
      </c>
      <c r="D40" s="39">
        <v>50.438071851050154</v>
      </c>
      <c r="E40" s="39">
        <v>52.70702793930162</v>
      </c>
      <c r="F40" s="39">
        <v>55.29441301939292</v>
      </c>
    </row>
    <row r="41">
      <c r="A41" s="62" t="n">
        <v>0.115</v>
      </c>
      <c r="B41" s="39">
        <v>42.37337301158746</v>
      </c>
      <c r="C41" s="39">
        <v>43.765098343131896</v>
      </c>
      <c r="D41" s="39">
        <v>45.30728954989626</v>
      </c>
      <c r="E41" s="39">
        <v>47.02645582808701</v>
      </c>
      <c r="F41" s="39">
        <v>48.955733208156026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Exelixis Inc: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0.103</v>
      </c>
      <c r="D5" s="63">
        <f>Assumptions!$E$12+(Assumptions!$E$11-Assumptions!$E$12)*(D4-1)/(Assumptions!$B$21-1)</f>
        <v>0.09433333333333332</v>
      </c>
      <c r="E5" s="63">
        <f>Assumptions!$E$12+(Assumptions!$E$11-Assumptions!$E$12)*(E4-1)/(Assumptions!$B$21-1)</f>
        <v>0.08566666666666667</v>
      </c>
      <c r="F5" s="63">
        <f>Assumptions!$E$12+(Assumptions!$E$11-Assumptions!$E$12)*(F4-1)/(Assumptions!$B$21-1)</f>
        <v>0.077</v>
      </c>
      <c r="G5" s="63">
        <f>Assumptions!$E$12+(Assumptions!$E$11-Assumptions!$E$12)*(G4-1)/(Assumptions!$B$21-1)</f>
        <v>0.06833333333333333</v>
      </c>
      <c r="H5" s="63">
        <f>Assumptions!$E$12+(Assumptions!$E$11-Assumptions!$E$12)*(H4-1)/(Assumptions!$B$21-1)</f>
        <v>0.05966666666666667</v>
      </c>
      <c r="I5" s="63">
        <f>Assumptions!$E$12+(Assumptions!$E$11-Assumptions!$E$12)*(I4-1)/(Assumptions!$B$21-1)</f>
        <v>0.051000000000000004</v>
      </c>
      <c r="J5" s="63">
        <f>Assumptions!$E$12+(Assumptions!$E$11-Assumptions!$E$12)*(J4-1)/(Assumptions!$B$21-1)</f>
        <v>0.042333333333333334</v>
      </c>
      <c r="K5" s="63">
        <f>Assumptions!$E$12+(Assumptions!$E$11-Assumptions!$E$12)*(K4-1)/(Assumptions!$B$21-1)</f>
        <v>0.03366666666666668</v>
      </c>
      <c r="L5" s="63">
        <f>Assumptions!$E$12+(Assumptions!$E$11-Assumptions!$E$12)*(L4-1)/(Assumptions!$B$21-1)</f>
        <v>0.02500000000000001</v>
      </c>
    </row>
    <row r="6">
      <c r="A6" s="14" t="inlineStr">
        <is>
          <t>Operating margin</t>
        </is>
      </c>
      <c r="B6" s="63">
        <f>IFERROR(B8/B7,0)</f>
        <v>0.37592397999074195</v>
      </c>
      <c r="C6" s="63">
        <f>Assumptions!$B$18+(Assumptions!$E$13-Assumptions!$B$18)*C4/Assumptions!$B$21</f>
        <v>0.39166</v>
      </c>
      <c r="D6" s="63">
        <f>Assumptions!$B$18+(Assumptions!$E$13-Assumptions!$B$18)*D4/Assumptions!$B$21</f>
        <v>0.38452</v>
      </c>
      <c r="E6" s="63">
        <f>Assumptions!$B$18+(Assumptions!$E$13-Assumptions!$B$18)*E4/Assumptions!$B$21</f>
        <v>0.37738</v>
      </c>
      <c r="F6" s="63">
        <f>Assumptions!$B$18+(Assumptions!$E$13-Assumptions!$B$18)*F4/Assumptions!$B$21</f>
        <v>0.37024</v>
      </c>
      <c r="G6" s="63">
        <f>Assumptions!$B$18+(Assumptions!$E$13-Assumptions!$B$18)*G4/Assumptions!$B$21</f>
        <v>0.3631</v>
      </c>
      <c r="H6" s="63">
        <f>Assumptions!$B$18+(Assumptions!$E$13-Assumptions!$B$18)*H4/Assumptions!$B$21</f>
        <v>0.35596</v>
      </c>
      <c r="I6" s="63">
        <f>Assumptions!$B$18+(Assumptions!$E$13-Assumptions!$B$18)*I4/Assumptions!$B$21</f>
        <v>0.34882</v>
      </c>
      <c r="J6" s="63">
        <f>Assumptions!$B$18+(Assumptions!$E$13-Assumptions!$B$18)*J4/Assumptions!$B$21</f>
        <v>0.34168000000000004</v>
      </c>
      <c r="K6" s="63">
        <f>Assumptions!$B$18+(Assumptions!$E$13-Assumptions!$B$18)*K4/Assumptions!$B$21</f>
        <v>0.33454000000000006</v>
      </c>
      <c r="L6" s="63">
        <f>Assumptions!$B$18+(Assumptions!$E$13-Assumptions!$B$18)*L4/Assumptions!$B$21</f>
        <v>0.3274</v>
      </c>
    </row>
    <row r="7">
      <c r="A7" s="14" t="inlineStr">
        <is>
          <t>Revenue</t>
        </is>
      </c>
      <c r="B7" s="55">
        <f>'Yearly Model'!R2</f>
        <v>2320.126</v>
      </c>
      <c r="C7" s="55">
        <f>'Yearly Model'!S2</f>
        <v>2559.098978</v>
      </c>
      <c r="D7" s="55">
        <f>'Yearly Model'!T2</f>
        <v>2800.507314924667</v>
      </c>
      <c r="E7" s="55">
        <f>'Yearly Model'!U2</f>
        <v>3040.41744156988</v>
      </c>
      <c r="F7" s="55">
        <f>'Yearly Model'!V2</f>
        <v>3274.5295845707606</v>
      </c>
      <c r="G7" s="55">
        <f>'Yearly Model'!W2</f>
        <v>3498.289106183096</v>
      </c>
      <c r="H7" s="55">
        <f>'Yearly Model'!X2</f>
        <v>3707.0203561853546</v>
      </c>
      <c r="I7" s="55">
        <f>'Yearly Model'!Y2</f>
        <v>3896.0783943508072</v>
      </c>
      <c r="J7" s="55">
        <f>'Yearly Model'!Z2</f>
        <v>4061.012379711658</v>
      </c>
      <c r="K7" s="55">
        <f>'Yearly Model'!AA2</f>
        <v>4197.733129828617</v>
      </c>
      <c r="L7" s="55">
        <f>'Yearly Model'!AB2</f>
        <v>4302.676458074332</v>
      </c>
    </row>
    <row r="8">
      <c r="A8" s="14" t="inlineStr">
        <is>
          <t>Operating income</t>
        </is>
      </c>
      <c r="B8" s="55">
        <f>'Yearly Model'!R8</f>
        <v>872.1910000000003</v>
      </c>
      <c r="C8" s="55">
        <f>'Yearly Model'!S8</f>
        <v>1002.29670572348</v>
      </c>
      <c r="D8" s="55">
        <f>'Yearly Model'!T8</f>
        <v>1076.8510727348328</v>
      </c>
      <c r="E8" s="55">
        <f>'Yearly Model'!U8</f>
        <v>1147.3927340996413</v>
      </c>
      <c r="F8" s="55">
        <f>'Yearly Model'!V8</f>
        <v>1212.3618333914785</v>
      </c>
      <c r="G8" s="55">
        <f>'Yearly Model'!W8</f>
        <v>1270.2287744550817</v>
      </c>
      <c r="H8" s="55">
        <f>'Yearly Model'!X8</f>
        <v>1319.550965987739</v>
      </c>
      <c r="I8" s="55">
        <f>'Yearly Model'!Y8</f>
        <v>1359.0300655174487</v>
      </c>
      <c r="J8" s="55">
        <f>'Yearly Model'!Z8</f>
        <v>1387.5667098998792</v>
      </c>
      <c r="K8" s="55">
        <f>'Yearly Model'!AA8</f>
        <v>1404.3096412528657</v>
      </c>
      <c r="L8" s="55">
        <f>'Yearly Model'!AB8</f>
        <v>1408.6962723735364</v>
      </c>
    </row>
    <row r="9">
      <c r="A9" s="14" t="inlineStr">
        <is>
          <t>Tax on operating income</t>
        </is>
      </c>
      <c r="C9" s="52">
        <f>MAX(0,C8)*Assumptions!$E$14</f>
        <v>170.39043997299163</v>
      </c>
      <c r="D9" s="52">
        <f>MAX(0,D8)*Assumptions!$E$14</f>
        <v>183.0646823649216</v>
      </c>
      <c r="E9" s="52">
        <f>MAX(0,E8)*Assumptions!$E$14</f>
        <v>195.05676479693904</v>
      </c>
      <c r="F9" s="52">
        <f>MAX(0,F8)*Assumptions!$E$14</f>
        <v>206.10151167655135</v>
      </c>
      <c r="G9" s="52">
        <f>MAX(0,G8)*Assumptions!$E$14</f>
        <v>215.9388916573639</v>
      </c>
      <c r="H9" s="52">
        <f>MAX(0,H8)*Assumptions!$E$14</f>
        <v>224.32366421791562</v>
      </c>
      <c r="I9" s="52">
        <f>MAX(0,I8)*Assumptions!$E$14</f>
        <v>231.0351111379663</v>
      </c>
      <c r="J9" s="52">
        <f>MAX(0,J8)*Assumptions!$E$14</f>
        <v>235.8863406829795</v>
      </c>
      <c r="K9" s="52">
        <f>MAX(0,K8)*Assumptions!$E$14</f>
        <v>238.7326390129872</v>
      </c>
      <c r="L9" s="52">
        <f>MAX(0,L8)*Assumptions!$E$14</f>
        <v>239.47836630350122</v>
      </c>
    </row>
    <row r="10">
      <c r="A10" s="14" t="inlineStr">
        <is>
          <t>NOPAT</t>
        </is>
      </c>
      <c r="C10" s="52">
        <f>C8-C9</f>
        <v>831.9062657504884</v>
      </c>
      <c r="D10" s="52">
        <f>D8-D9</f>
        <v>893.7863903699111</v>
      </c>
      <c r="E10" s="52">
        <f>E8-E9</f>
        <v>952.3359693027023</v>
      </c>
      <c r="F10" s="52">
        <f>F8-F9</f>
        <v>1006.2603217149272</v>
      </c>
      <c r="G10" s="52">
        <f>G8-G9</f>
        <v>1054.2898827977178</v>
      </c>
      <c r="H10" s="52">
        <f>H8-H9</f>
        <v>1095.2273017698233</v>
      </c>
      <c r="I10" s="52">
        <f>I8-I9</f>
        <v>1127.9949543794824</v>
      </c>
      <c r="J10" s="52">
        <f>J8-J9</f>
        <v>1151.6803692168996</v>
      </c>
      <c r="K10" s="52">
        <f>K8-K9</f>
        <v>1165.5770022398785</v>
      </c>
      <c r="L10" s="52">
        <f>L8-L9</f>
        <v>1169.2179060700353</v>
      </c>
    </row>
    <row r="11">
      <c r="A11" s="14" t="inlineStr">
        <is>
          <t>Reinvestment</t>
        </is>
      </c>
      <c r="C11" s="52">
        <f>(C7-B7)*Assumptions!$E$15</f>
        <v>59.743244499999946</v>
      </c>
      <c r="D11" s="52">
        <f>(D7-C7)*Assumptions!$E$15</f>
        <v>60.352084231166714</v>
      </c>
      <c r="E11" s="52">
        <f>(E7-D7)*Assumptions!$E$15</f>
        <v>59.97753166130326</v>
      </c>
      <c r="F11" s="52">
        <f>(F7-E7)*Assumptions!$E$15</f>
        <v>58.52803575022017</v>
      </c>
      <c r="G11" s="52">
        <f>(G7-F7)*Assumptions!$E$15</f>
        <v>55.93988040308386</v>
      </c>
      <c r="H11" s="52">
        <f>(H7-G7)*Assumptions!$E$15</f>
        <v>52.18281250056464</v>
      </c>
      <c r="I11" s="52">
        <f>(I7-H7)*Assumptions!$E$15</f>
        <v>47.26450954136317</v>
      </c>
      <c r="J11" s="52">
        <f>(J7-I7)*Assumptions!$E$15</f>
        <v>41.233496340212696</v>
      </c>
      <c r="K11" s="52">
        <f>(K7-J7)*Assumptions!$E$15</f>
        <v>34.18018752923979</v>
      </c>
      <c r="L11" s="52">
        <f>(L7-K7)*Assumptions!$E$15</f>
        <v>26.23583206142871</v>
      </c>
    </row>
    <row r="12">
      <c r="A12" s="20" t="inlineStr">
        <is>
          <t>Free cash flow</t>
        </is>
      </c>
      <c r="C12" s="64">
        <f>C10-C11</f>
        <v>772.1630212504884</v>
      </c>
      <c r="D12" s="64">
        <f>D10-D11</f>
        <v>833.4343061387444</v>
      </c>
      <c r="E12" s="64">
        <f>E10-E11</f>
        <v>892.3584376413991</v>
      </c>
      <c r="F12" s="64">
        <f>F10-F11</f>
        <v>947.732285964707</v>
      </c>
      <c r="G12" s="64">
        <f>G10-G11</f>
        <v>998.350002394634</v>
      </c>
      <c r="H12" s="64">
        <f>H10-H11</f>
        <v>1043.0444892692585</v>
      </c>
      <c r="I12" s="64">
        <f>I10-I11</f>
        <v>1080.7304448381192</v>
      </c>
      <c r="J12" s="64">
        <f>J10-J11</f>
        <v>1110.446872876687</v>
      </c>
      <c r="K12" s="64">
        <f>K10-K11</f>
        <v>1131.3968147106389</v>
      </c>
      <c r="L12" s="64">
        <f>L10-L11</f>
        <v>1142.9820740086066</v>
      </c>
    </row>
    <row r="13">
      <c r="A13" s="14" t="inlineStr">
        <is>
          <t>Year fraction</t>
        </is>
      </c>
      <c r="C13" s="46">
        <f>Assumptions!$B$22</f>
        <v>0.5014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0.2507</v>
      </c>
      <c r="D14" s="11">
        <f>C14+C13/2+D13/2</f>
        <v>1.0013999999999998</v>
      </c>
      <c r="E14" s="11">
        <f>D14+D13/2+E13/2</f>
        <v>2.0014</v>
      </c>
      <c r="F14" s="11">
        <f>E14+E13/2+F13/2</f>
        <v>3.0014</v>
      </c>
      <c r="G14" s="11">
        <f>F14+F13/2+G13/2</f>
        <v>4.0014</v>
      </c>
      <c r="H14" s="11">
        <f>G14+G13/2+H13/2</f>
        <v>5.0014</v>
      </c>
      <c r="I14" s="11">
        <f>H14+H13/2+I13/2</f>
        <v>6.0014</v>
      </c>
      <c r="J14" s="11">
        <f>I14+I13/2+J13/2</f>
        <v>7.0014</v>
      </c>
      <c r="K14" s="11">
        <f>J14+J13/2+K13/2</f>
        <v>8.0014</v>
      </c>
      <c r="L14" s="11">
        <f>K14+K13/2+L13/2</f>
        <v>9.0014</v>
      </c>
    </row>
    <row r="15">
      <c r="A15" s="14" t="inlineStr">
        <is>
          <t>Discount factor</t>
        </is>
      </c>
      <c r="C15" s="65">
        <f>1/(1+Assumptions!$E$10)^C14</f>
        <v>0.9775047587271433</v>
      </c>
      <c r="D15" s="65">
        <f>1/(1+Assumptions!$E$10)^D14</f>
        <v>0.9131259835275887</v>
      </c>
      <c r="E15" s="65">
        <f>1/(1+Assumptions!$E$10)^E14</f>
        <v>0.8339050077877523</v>
      </c>
      <c r="F15" s="65">
        <f>1/(1+Assumptions!$E$10)^F14</f>
        <v>0.7615570847376734</v>
      </c>
      <c r="G15" s="65">
        <f>1/(1+Assumptions!$E$10)^G14</f>
        <v>0.6954859221348616</v>
      </c>
      <c r="H15" s="65">
        <f>1/(1+Assumptions!$E$10)^H14</f>
        <v>0.6351469608537548</v>
      </c>
      <c r="I15" s="65">
        <f>1/(1+Assumptions!$E$10)^I14</f>
        <v>0.5800428866244336</v>
      </c>
      <c r="J15" s="65">
        <f>1/(1+Assumptions!$E$10)^J14</f>
        <v>0.5297195311638664</v>
      </c>
      <c r="K15" s="65">
        <f>1/(1+Assumptions!$E$10)^K14</f>
        <v>0.4837621289167729</v>
      </c>
      <c r="L15" s="65">
        <f>1/(1+Assumptions!$E$10)^L14</f>
        <v>0.4417918985541306</v>
      </c>
    </row>
    <row r="16">
      <c r="A16" s="20" t="inlineStr">
        <is>
          <t>PV of free cash flow</t>
        </is>
      </c>
      <c r="C16" s="64">
        <f>C12*C13*C15</f>
        <v>378.45322413163996</v>
      </c>
      <c r="D16" s="64">
        <f>D12*D13*D15</f>
        <v>761.0305204985744</v>
      </c>
      <c r="E16" s="64">
        <f>E12*E13*E15</f>
        <v>744.1421698908174</v>
      </c>
      <c r="F16" s="64">
        <f>F12*F13*F15</f>
        <v>721.7522368110532</v>
      </c>
      <c r="G16" s="64">
        <f>G12*G13*G15</f>
        <v>694.3383720287733</v>
      </c>
      <c r="H16" s="64">
        <f>H12*H13*H15</f>
        <v>662.4865373946263</v>
      </c>
      <c r="I16" s="64">
        <f>I12*I13*I15</f>
        <v>626.8700068868109</v>
      </c>
      <c r="J16" s="64">
        <f>J12*J13*J15</f>
        <v>588.2253968826201</v>
      </c>
      <c r="K16" s="64">
        <f>K12*K13*K15</f>
        <v>547.3269317340743</v>
      </c>
      <c r="L16" s="64">
        <f>L12*L13*L15</f>
        <v>504.9602204896001</v>
      </c>
    </row>
    <row r="19">
      <c r="A19" s="14" t="inlineStr">
        <is>
          <t>PV of forecast free cash flow</t>
        </is>
      </c>
      <c r="B19" s="52">
        <f>SUM(C16:L16)</f>
        <v>6229.585616748591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1171.5566258588215</v>
      </c>
    </row>
    <row r="21">
      <c r="A21" s="14" t="inlineStr">
        <is>
          <t>Terminal value</t>
        </is>
      </c>
      <c r="B21" s="52">
        <f>B20/(Assumptions!$E$10-Assumptions!$E$11)</f>
        <v>16736.52322655459</v>
      </c>
    </row>
    <row r="22">
      <c r="A22" s="14" t="inlineStr">
        <is>
          <t>PV of terminal value</t>
        </is>
      </c>
      <c r="B22" s="52">
        <f>B21/(1+Assumptions!$E$10)^(L14+0.5)</f>
        <v>7066.037413402038</v>
      </c>
    </row>
    <row r="23">
      <c r="A23" s="20" t="inlineStr">
        <is>
          <t>Enterprise value</t>
        </is>
      </c>
      <c r="B23" s="66">
        <f>B19+B22</f>
        <v>13295.62303015063</v>
      </c>
    </row>
    <row r="24">
      <c r="A24" s="14" t="inlineStr">
        <is>
          <t>Cash &amp; investments</t>
        </is>
      </c>
      <c r="B24" s="55">
        <f>Main!C7</f>
        <v>839.385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14135.00803015063</v>
      </c>
    </row>
    <row r="27">
      <c r="A27" s="14" t="inlineStr">
        <is>
          <t>Shares (mm)</t>
        </is>
      </c>
      <c r="B27" s="55">
        <f>Main!C4</f>
        <v>247.781692</v>
      </c>
    </row>
    <row r="28">
      <c r="A28" s="20" t="inlineStr">
        <is>
          <t>NPV / share</t>
        </is>
      </c>
      <c r="B28" s="49">
        <f>B26/B27</f>
        <v>57.04621643374132</v>
      </c>
    </row>
    <row r="29">
      <c r="A29" s="14" t="inlineStr">
        <is>
          <t>Price</t>
        </is>
      </c>
      <c r="B29" s="50">
        <f>Main!C3</f>
        <v>64.39</v>
      </c>
    </row>
    <row r="30">
      <c r="A30" s="14" t="inlineStr">
        <is>
          <t>Upside</t>
        </is>
      </c>
      <c r="B30" s="63">
        <f>B28/B29-1</f>
        <v>-0.11405161618665449</v>
      </c>
    </row>
    <row r="31">
      <c r="A31" s="14" t="inlineStr">
        <is>
          <t>Terminal value, % of EV</t>
        </is>
      </c>
      <c r="B31" s="63">
        <f>IFERROR(B22/B23,0)</f>
        <v>0.5314559082623137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2026-10-21T06:21:18Z</dcterms:modified>
  <cp:lastModifiedBy>Wang, Eric</cp:lastModifiedBy>
</cp:coreProperties>
</file>