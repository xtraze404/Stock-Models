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Jyong Biotech Ltd</t>
        </is>
      </c>
      <c r="C2" s="10" t="n"/>
    </row>
    <row r="3">
      <c r="B3" t="inlineStr">
        <is>
          <t>Price</t>
        </is>
      </c>
      <c r="C3" s="11">
        <f>INDEX([1]Pharma!$F$1:$F$1000,MATCH("MENS",[1]Pharma!$B$1:$B$1000,0))</f>
        <v>1.86</v>
      </c>
      <c r="F3" s="1" t="n"/>
    </row>
    <row r="4">
      <c r="B4" t="inlineStr">
        <is>
          <t>Shares</t>
        </is>
      </c>
      <c r="C4" s="21" t="n">
        <v>76.02766699999999</v>
      </c>
      <c r="F4" s="1" t="n"/>
    </row>
    <row r="5">
      <c r="B5" t="inlineStr">
        <is>
          <t>Market Cap.</t>
        </is>
      </c>
      <c r="C5" s="13">
        <f>C3*C4</f>
        <v>141.41146061999999</v>
      </c>
      <c r="F5" s="1" t="n"/>
    </row>
    <row r="6"/>
    <row r="7">
      <c r="B7" t="inlineStr">
        <is>
          <t>Cash</t>
        </is>
      </c>
      <c r="C7" s="21" t="n">
        <v>1.175</v>
      </c>
    </row>
    <row r="8">
      <c r="B8" t="inlineStr">
        <is>
          <t>Debt</t>
        </is>
      </c>
      <c r="C8" s="21">
        <f>15.335+0.571+1.553</f>
        <v>17.459</v>
      </c>
    </row>
    <row r="9">
      <c r="B9" t="inlineStr">
        <is>
          <t>Enterprise V.</t>
        </is>
      </c>
      <c r="C9" s="13">
        <f>C5-C7+C8</f>
        <v>157.69546061999998</v>
      </c>
    </row>
    <row r="10"/>
    <row r="11">
      <c r="B11" s="14" t="inlineStr">
        <is>
          <t>Net Cash / Share</t>
        </is>
      </c>
      <c r="C11" s="11">
        <f>(C7-C8)/C4</f>
        <v>-0.21418518603234268</v>
      </c>
    </row>
    <row r="12">
      <c r="B12" s="14" t="inlineStr">
        <is>
          <t>Upside</t>
        </is>
      </c>
      <c r="C12" s="15">
        <f>IFERROR(C11/C3-1,"")</f>
        <v>-1.1151533258238402</v>
      </c>
    </row>
    <row r="13">
      <c r="B13" s="14" t="inlineStr">
        <is>
          <t>Cash / Share</t>
        </is>
      </c>
      <c r="C13" s="11">
        <f>IFERROR((C7-C8)/C4,"")</f>
        <v>-0.21418518603234268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-3.041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157.69546061999998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1.071</v>
      </c>
      <c r="C5" s="23" t="n">
        <v>0.927</v>
      </c>
      <c r="D5" s="23" t="n">
        <v>0.8129999999999999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1.726</v>
      </c>
      <c r="C6" s="23" t="n">
        <v>1.129</v>
      </c>
      <c r="D6" s="23" t="n">
        <v>1.794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2.7969999999999997</v>
      </c>
      <c r="C7" s="23">
        <f>SUM(C5:C6)</f>
        <v>2.056</v>
      </c>
      <c r="D7" s="23">
        <f>SUM(D5:D6)</f>
        <v>2.607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-2.7969999999999997</v>
      </c>
      <c r="C8" s="23">
        <f>C4-C7</f>
        <v>-2.056</v>
      </c>
      <c r="D8" s="23">
        <f>D4-D7</f>
        <v>-2.607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-1.603</v>
      </c>
      <c r="C9" s="23" t="n">
        <v>-0.963</v>
      </c>
      <c r="D9" s="23" t="n">
        <v>-2.064</v>
      </c>
    </row>
    <row r="10">
      <c r="A10" s="2" t="inlineStr">
        <is>
          <t>Pretax</t>
        </is>
      </c>
      <c r="B10" s="23">
        <f>B8+B9</f>
        <v>-4.3999999999999995</v>
      </c>
      <c r="C10" s="23">
        <f>C8+C9</f>
        <v>-3.019</v>
      </c>
      <c r="D10" s="23">
        <f>D8+D9</f>
        <v>-4.671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-4.4</v>
      </c>
      <c r="C12" s="23" t="n">
        <v>-3.019</v>
      </c>
      <c r="D12" s="23" t="n">
        <v>-4.671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-0.06148085011248202</v>
      </c>
      <c r="C13" s="11">
        <f>IFERROR(C12/C14,0)</f>
        <v>-0.04218424692945073</v>
      </c>
      <c r="D13" s="11">
        <f>IFERROR(D12/D14,0)</f>
        <v>-0.06397666105107451</v>
      </c>
    </row>
    <row r="14">
      <c r="A14" s="2" t="inlineStr">
        <is>
          <t>Shares</t>
        </is>
      </c>
      <c r="B14" s="23" t="n">
        <v>71.56699999999999</v>
      </c>
      <c r="C14" s="23" t="n">
        <v>71.56699999999999</v>
      </c>
      <c r="D14" s="23" t="n">
        <v>73.011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2026-10-21T01:05:46Z</dcterms:modified>
  <cp:lastModifiedBy>Wang, Eric</cp:lastModifiedBy>
</cp:coreProperties>
</file>