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PDS Biotechnology Corp</t>
        </is>
      </c>
      <c r="C2" s="10" t="n"/>
    </row>
    <row r="3">
      <c r="B3" t="inlineStr">
        <is>
          <t>Price</t>
        </is>
      </c>
      <c r="C3" s="11">
        <f>INDEX([1]Pharma!$F$1:$F$1000,MATCH("PDSB",[1]Pharma!$B$1:$B$1000,0))</f>
        <v>0.9605</v>
      </c>
      <c r="F3" s="1" t="n"/>
    </row>
    <row r="4">
      <c r="B4" t="inlineStr">
        <is>
          <t>Shares</t>
        </is>
      </c>
      <c r="C4" s="21" t="n">
        <v>55.971338</v>
      </c>
      <c r="F4" s="1" t="n"/>
    </row>
    <row r="5">
      <c r="B5" t="inlineStr">
        <is>
          <t>Market Cap.</t>
        </is>
      </c>
      <c r="C5" s="13">
        <f>C3*C4</f>
        <v>53.76047014900001</v>
      </c>
      <c r="F5" s="1" t="n"/>
    </row>
    <row r="6"/>
    <row r="7">
      <c r="B7" t="inlineStr">
        <is>
          <t>Cash</t>
        </is>
      </c>
      <c r="C7" s="21" t="n">
        <v>5.596254</v>
      </c>
    </row>
    <row r="8">
      <c r="B8" t="inlineStr">
        <is>
          <t>Debt</t>
        </is>
      </c>
      <c r="C8" s="21" t="n">
        <v>4.3225</v>
      </c>
    </row>
    <row r="9">
      <c r="B9" t="inlineStr">
        <is>
          <t>Enterprise V.</t>
        </is>
      </c>
      <c r="C9" s="13">
        <f>C5-C7+C8</f>
        <v>52.486716149</v>
      </c>
    </row>
    <row r="10"/>
    <row r="11">
      <c r="B11" s="14" t="inlineStr">
        <is>
          <t>Net Cash / Share</t>
        </is>
      </c>
      <c r="C11" s="11">
        <f>(C7-C8)/C4</f>
        <v>0.022757254793515928</v>
      </c>
    </row>
    <row r="12">
      <c r="B12" s="14" t="inlineStr">
        <is>
          <t>Upside</t>
        </is>
      </c>
      <c r="C12" s="15">
        <f>IFERROR(C11/C3-1,"")</f>
        <v>-0.9763068664304884</v>
      </c>
    </row>
    <row r="13">
      <c r="B13" s="14" t="inlineStr">
        <is>
          <t>Cash / Share</t>
        </is>
      </c>
      <c r="C13" s="11">
        <f>IFERROR((C7-C8)/C4,"")</f>
        <v>0.022757254793515928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-16.783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0.07589548948340584</v>
      </c>
    </row>
    <row r="19">
      <c r="B19" s="14" t="inlineStr">
        <is>
          <t>Implied Pipeline Value</t>
        </is>
      </c>
      <c r="C19" s="13">
        <f>C9</f>
        <v>52.486716149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2013</v>
      </c>
      <c r="C1" s="17" t="n">
        <v>2014</v>
      </c>
      <c r="D1" s="17" t="n">
        <v>2015</v>
      </c>
      <c r="E1" s="17" t="n">
        <v>2016</v>
      </c>
      <c r="F1" s="17" t="n">
        <v>2017</v>
      </c>
      <c r="G1" s="17" t="n">
        <v>2018</v>
      </c>
      <c r="H1" s="17" t="n">
        <v>2019</v>
      </c>
      <c r="I1" s="17" t="n">
        <v>2020</v>
      </c>
      <c r="J1" s="17" t="n">
        <v>2021</v>
      </c>
      <c r="K1" s="17" t="n">
        <v>2022</v>
      </c>
      <c r="L1" s="17" t="n">
        <v>2023</v>
      </c>
      <c r="M1" s="17" t="n">
        <v>2024</v>
      </c>
      <c r="N1" s="17" t="n">
        <v>2025</v>
      </c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</row>
    <row r="5">
      <c r="A5" s="2" t="inlineStr">
        <is>
          <t>Research &amp; Dev.</t>
        </is>
      </c>
      <c r="B5" s="23" t="n">
        <v>4.484</v>
      </c>
      <c r="C5" s="23" t="n">
        <v>8.474</v>
      </c>
      <c r="D5" s="23" t="n">
        <v>17.84</v>
      </c>
      <c r="E5" s="23" t="n">
        <v>24.825</v>
      </c>
      <c r="F5" s="23" t="n">
        <v>34.312</v>
      </c>
      <c r="G5" s="23" t="n">
        <v>0.831</v>
      </c>
      <c r="H5" s="23" t="n">
        <v>6.1</v>
      </c>
      <c r="I5" s="23" t="n">
        <v>7.924</v>
      </c>
      <c r="J5" s="23" t="n">
        <v>11.255</v>
      </c>
      <c r="K5" s="23" t="n">
        <v>29.431</v>
      </c>
      <c r="L5" s="23" t="n">
        <v>27.763</v>
      </c>
      <c r="M5" s="23" t="n">
        <v>22.566</v>
      </c>
      <c r="N5" s="23" t="n">
        <v>19.026</v>
      </c>
    </row>
    <row r="6">
      <c r="A6" s="19" t="inlineStr">
        <is>
          <t>SG&amp;A &amp; Other</t>
        </is>
      </c>
      <c r="B6" s="23" t="n">
        <v>2.004</v>
      </c>
      <c r="C6" s="23" t="n">
        <v>4.721</v>
      </c>
      <c r="D6" s="23" t="n">
        <v>8.659000000000001</v>
      </c>
      <c r="E6" s="23" t="n">
        <v>14.687</v>
      </c>
      <c r="F6" s="23" t="n">
        <v>17.655</v>
      </c>
      <c r="G6" s="23" t="n">
        <v>2.815</v>
      </c>
      <c r="H6" s="23" t="n">
        <v>14.935</v>
      </c>
      <c r="I6" s="23" t="n">
        <v>6.978</v>
      </c>
      <c r="J6" s="23" t="n">
        <v>10.185</v>
      </c>
      <c r="K6" s="23" t="n">
        <v>12.241</v>
      </c>
      <c r="L6" s="23" t="n">
        <v>15.282</v>
      </c>
      <c r="M6" s="23" t="n">
        <v>13.756</v>
      </c>
      <c r="N6" s="23" t="n">
        <v>12.518</v>
      </c>
    </row>
    <row r="7">
      <c r="A7" s="2" t="inlineStr">
        <is>
          <t>Operating Expense</t>
        </is>
      </c>
      <c r="B7" s="23">
        <f>SUM(B5:B6)</f>
        <v>6.4879999999999995</v>
      </c>
      <c r="C7" s="23">
        <f>SUM(C5:C6)</f>
        <v>13.195</v>
      </c>
      <c r="D7" s="23">
        <f>SUM(D5:D6)</f>
        <v>26.499000000000002</v>
      </c>
      <c r="E7" s="23">
        <f>SUM(E5:E6)</f>
        <v>39.512</v>
      </c>
      <c r="F7" s="23">
        <f>SUM(F5:F6)</f>
        <v>51.967</v>
      </c>
      <c r="G7" s="23">
        <f>SUM(G5:G6)</f>
        <v>3.646</v>
      </c>
      <c r="H7" s="23">
        <f>SUM(H5:H6)</f>
        <v>21.035</v>
      </c>
      <c r="I7" s="23">
        <f>SUM(I5:I6)</f>
        <v>14.902000000000001</v>
      </c>
      <c r="J7" s="23">
        <f>SUM(J5:J6)</f>
        <v>21.44</v>
      </c>
      <c r="K7" s="23">
        <f>SUM(K5:K6)</f>
        <v>41.672</v>
      </c>
      <c r="L7" s="23">
        <f>SUM(L5:L6)</f>
        <v>43.045</v>
      </c>
      <c r="M7" s="23">
        <f>SUM(M5:M6)</f>
        <v>36.322</v>
      </c>
      <c r="N7" s="23">
        <f>SUM(N5:N6)</f>
        <v>31.544</v>
      </c>
    </row>
    <row r="8">
      <c r="A8" s="2" t="inlineStr">
        <is>
          <t>Operating Income</t>
        </is>
      </c>
      <c r="B8" s="23">
        <f>B4-B7</f>
        <v>-6.4879999999999995</v>
      </c>
      <c r="C8" s="23">
        <f>C4-C7</f>
        <v>-13.195</v>
      </c>
      <c r="D8" s="23">
        <f>D4-D7</f>
        <v>-26.499000000000002</v>
      </c>
      <c r="E8" s="23">
        <f>E4-E7</f>
        <v>-39.512</v>
      </c>
      <c r="F8" s="23">
        <f>F4-F7</f>
        <v>-51.967</v>
      </c>
      <c r="G8" s="23">
        <f>G4-G7</f>
        <v>-3.646</v>
      </c>
      <c r="H8" s="23">
        <f>H4-H7</f>
        <v>-21.035</v>
      </c>
      <c r="I8" s="23">
        <f>I4-I7</f>
        <v>-14.902000000000001</v>
      </c>
      <c r="J8" s="23">
        <f>J4-J7</f>
        <v>-21.44</v>
      </c>
      <c r="K8" s="23">
        <f>K4-K7</f>
        <v>-41.672</v>
      </c>
      <c r="L8" s="23">
        <f>L4-L7</f>
        <v>-43.045</v>
      </c>
      <c r="M8" s="23">
        <f>M4-M7</f>
        <v>-36.322</v>
      </c>
      <c r="N8" s="23">
        <f>N4-N7</f>
        <v>-31.544</v>
      </c>
    </row>
    <row r="9">
      <c r="A9" s="19" t="inlineStr">
        <is>
          <t>Interest &amp; Other</t>
        </is>
      </c>
      <c r="B9" s="23" t="n">
        <v>-0.854</v>
      </c>
      <c r="C9" s="23" t="n">
        <v>0.402</v>
      </c>
      <c r="D9" s="23" t="n">
        <v>-2.687</v>
      </c>
      <c r="E9" s="23" t="n">
        <v>-1.155</v>
      </c>
      <c r="F9" s="23" t="n">
        <v>-1.479</v>
      </c>
      <c r="G9" s="23" t="n">
        <v>-0.19</v>
      </c>
      <c r="H9" s="23" t="n">
        <v>13.654</v>
      </c>
      <c r="I9" s="23" t="n">
        <v>0.055</v>
      </c>
      <c r="J9" s="23" t="n">
        <v>0.004</v>
      </c>
      <c r="K9" s="23" t="n">
        <v>-0.381</v>
      </c>
      <c r="L9" s="23" t="n">
        <v>-1.303</v>
      </c>
      <c r="M9" s="23" t="n">
        <v>-2.158</v>
      </c>
      <c r="N9" s="23" t="n">
        <v>-4.121</v>
      </c>
    </row>
    <row r="10">
      <c r="A10" s="2" t="inlineStr">
        <is>
          <t>Pretax</t>
        </is>
      </c>
      <c r="B10" s="23">
        <f>B8+B9</f>
        <v>-7.342</v>
      </c>
      <c r="C10" s="23">
        <f>C8+C9</f>
        <v>-12.793000000000001</v>
      </c>
      <c r="D10" s="23">
        <f>D8+D9</f>
        <v>-29.186000000000003</v>
      </c>
      <c r="E10" s="23">
        <f>E8+E9</f>
        <v>-40.667</v>
      </c>
      <c r="F10" s="23">
        <f>F8+F9</f>
        <v>-53.446</v>
      </c>
      <c r="G10" s="23">
        <f>G8+G9</f>
        <v>-3.836</v>
      </c>
      <c r="H10" s="23">
        <f>H8+H9</f>
        <v>-7.381</v>
      </c>
      <c r="I10" s="23">
        <f>I8+I9</f>
        <v>-14.847000000000001</v>
      </c>
      <c r="J10" s="23">
        <f>J8+J9</f>
        <v>-21.436</v>
      </c>
      <c r="K10" s="23">
        <f>K8+K9</f>
        <v>-42.053</v>
      </c>
      <c r="L10" s="23">
        <f>L8+L9</f>
        <v>-44.348</v>
      </c>
      <c r="M10" s="23">
        <f>M8+M9</f>
        <v>-38.480000000000004</v>
      </c>
      <c r="N10" s="23">
        <f>N8+N9</f>
        <v>-35.665</v>
      </c>
    </row>
    <row r="11">
      <c r="A11" s="2" t="inlineStr">
        <is>
          <t>Taxes</t>
        </is>
      </c>
      <c r="B11" s="23" t="n">
        <v>-0.459</v>
      </c>
      <c r="C11" s="23" t="n">
        <v>-0.591</v>
      </c>
      <c r="D11" s="23" t="n">
        <v>-1.107</v>
      </c>
      <c r="E11" s="23" t="n">
        <v>-1.846</v>
      </c>
      <c r="F11" s="23" t="n">
        <v>-2.586</v>
      </c>
      <c r="G11" s="23" t="n">
        <v>0</v>
      </c>
      <c r="H11" s="23" t="n">
        <v>-0.382</v>
      </c>
      <c r="I11" s="23" t="n">
        <v>0</v>
      </c>
      <c r="J11" s="23" t="n">
        <v>-4.516</v>
      </c>
      <c r="K11" s="23" t="n">
        <v>-1.199</v>
      </c>
      <c r="L11" s="23" t="n">
        <v>-1.406</v>
      </c>
      <c r="M11" s="23" t="n">
        <v>-0.869</v>
      </c>
      <c r="N11" s="23" t="n">
        <v>-1.17</v>
      </c>
    </row>
    <row r="12">
      <c r="A12" s="2" t="inlineStr">
        <is>
          <t>Net Income</t>
        </is>
      </c>
      <c r="B12" s="23" t="n">
        <v>-6.883</v>
      </c>
      <c r="C12" s="23" t="n">
        <v>-12.201</v>
      </c>
      <c r="D12" s="23" t="n">
        <v>-28.079</v>
      </c>
      <c r="E12" s="23" t="n">
        <v>-38.821</v>
      </c>
      <c r="F12" s="23" t="n">
        <v>-50.86</v>
      </c>
      <c r="G12" s="23" t="n">
        <v>-3.836</v>
      </c>
      <c r="H12" s="23" t="n">
        <v>-6.999</v>
      </c>
      <c r="I12" s="23" t="n">
        <v>-14.847</v>
      </c>
      <c r="J12" s="23" t="n">
        <v>-16.918</v>
      </c>
      <c r="K12" s="23" t="n">
        <v>-40.855</v>
      </c>
      <c r="L12" s="23" t="n">
        <v>-42.942</v>
      </c>
      <c r="M12" s="23" t="n">
        <v>-37.61</v>
      </c>
      <c r="N12" s="23" t="n">
        <v>-34.496</v>
      </c>
    </row>
    <row r="13">
      <c r="A13" s="2" t="inlineStr">
        <is>
          <t>Earnings per Share</t>
        </is>
      </c>
      <c r="B13" s="11">
        <f>IFERROR(B12/B14,0)</f>
        <v>-36.611702127659576</v>
      </c>
      <c r="C13" s="11">
        <f>IFERROR(C12/C14,0)</f>
        <v>-64.89893617021276</v>
      </c>
      <c r="D13" s="11">
        <f>IFERROR(D12/D14,0)</f>
        <v>-31.233592880978865</v>
      </c>
      <c r="E13" s="11">
        <f>IFERROR(E12/E14,0)</f>
        <v>-12.105082631743063</v>
      </c>
      <c r="F13" s="11">
        <f>IFERROR(F12/F14,0)</f>
        <v>-15.06070476754516</v>
      </c>
      <c r="G13" s="11">
        <f>IFERROR(G12/G14,0)</f>
        <v>-1.1495355109379681</v>
      </c>
      <c r="H13" s="11">
        <f>IFERROR(H12/H14,0)</f>
        <v>-1.437756778964667</v>
      </c>
      <c r="I13" s="11">
        <f>IFERROR(I12/I14,0)</f>
        <v>-0.8866527321588533</v>
      </c>
      <c r="J13" s="11">
        <f>IFERROR(J12/J14,0)</f>
        <v>-0.6609368285345938</v>
      </c>
      <c r="K13" s="11">
        <f>IFERROR(K12/K14,0)</f>
        <v>-1.4285464526731704</v>
      </c>
      <c r="L13" s="11">
        <f>IFERROR(L12/L14,0)</f>
        <v>-1.3873739984492117</v>
      </c>
      <c r="M13" s="11">
        <f>IFERROR(M12/M14,0)</f>
        <v>-1.0317395001783116</v>
      </c>
      <c r="N13" s="11">
        <f>IFERROR(N12/N14,0)</f>
        <v>-0.7437047257675061</v>
      </c>
    </row>
    <row r="14">
      <c r="A14" s="2" t="inlineStr">
        <is>
          <t>Shares</t>
        </is>
      </c>
      <c r="B14" s="23" t="n">
        <v>0.188</v>
      </c>
      <c r="C14" s="23" t="n">
        <v>0.188</v>
      </c>
      <c r="D14" s="23" t="n">
        <v>0.899</v>
      </c>
      <c r="E14" s="23" t="n">
        <v>3.207</v>
      </c>
      <c r="F14" s="23" t="n">
        <v>3.377</v>
      </c>
      <c r="G14" s="23" t="n">
        <v>3.337</v>
      </c>
      <c r="H14" s="23" t="n">
        <v>4.868</v>
      </c>
      <c r="I14" s="23" t="n">
        <v>16.745</v>
      </c>
      <c r="J14" s="23" t="n">
        <v>25.597</v>
      </c>
      <c r="K14" s="23" t="n">
        <v>28.599</v>
      </c>
      <c r="L14" s="23" t="n">
        <v>30.952</v>
      </c>
      <c r="M14" s="23" t="n">
        <v>36.453</v>
      </c>
      <c r="N14" s="23" t="n">
        <v>46.384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2026-10-21T01:06:06Z</dcterms:modified>
  <cp:lastModifiedBy>Wang, Eric</cp:lastModifiedBy>
</cp:coreProperties>
</file>