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PDS Biotechnology Corp</t>
        </is>
      </c>
      <c r="C2" s="10" t="n"/>
    </row>
    <row r="3">
      <c r="B3" t="inlineStr">
        <is>
          <t>Price</t>
        </is>
      </c>
      <c r="C3" s="11">
        <f>INDEX([1]Pharma!$F$1:$F$1000,MATCH("PDSB",[1]Pharma!$B$1:$B$1000,0))</f>
        <v>0.9605</v>
      </c>
      <c r="F3" s="1" t="n"/>
    </row>
    <row r="4">
      <c r="B4" t="inlineStr">
        <is>
          <t>Shares</t>
        </is>
      </c>
      <c r="C4" s="21" t="n">
        <v>55.971338</v>
      </c>
      <c r="F4" s="1" t="n"/>
    </row>
    <row r="5">
      <c r="B5" t="inlineStr">
        <is>
          <t>Market Cap.</t>
        </is>
      </c>
      <c r="C5" s="13">
        <f>C3*C4</f>
        <v>53.76047014900001</v>
      </c>
      <c r="F5" s="1" t="n"/>
    </row>
    <row r="6"/>
    <row r="7">
      <c r="B7" t="inlineStr">
        <is>
          <t>Cash</t>
        </is>
      </c>
      <c r="C7" s="21" t="n">
        <v>5.596254</v>
      </c>
    </row>
    <row r="8">
      <c r="B8" t="inlineStr">
        <is>
          <t>Debt</t>
        </is>
      </c>
      <c r="C8" s="21" t="n">
        <v>4.3225</v>
      </c>
    </row>
    <row r="9">
      <c r="B9" t="inlineStr">
        <is>
          <t>Enterprise V.</t>
        </is>
      </c>
      <c r="C9" s="13">
        <f>C5-C7+C8</f>
        <v>52.486716149</v>
      </c>
    </row>
    <row r="10"/>
    <row r="11">
      <c r="B11" s="14" t="inlineStr">
        <is>
          <t>rNPV / Share</t>
        </is>
      </c>
      <c r="C11" s="11">
        <f>NPV!B27</f>
        <v>0.6900222150538372</v>
      </c>
    </row>
    <row r="12">
      <c r="B12" s="14" t="inlineStr">
        <is>
          <t>Upside</t>
        </is>
      </c>
      <c r="C12" s="15">
        <f>IFERROR(C11/C3-1,"")</f>
        <v>-0.2816010254514969</v>
      </c>
    </row>
    <row r="13">
      <c r="B13" s="14" t="inlineStr">
        <is>
          <t>Cash / Share</t>
        </is>
      </c>
      <c r="C13" s="11">
        <f>IFERROR((C7-C8)/C4,"")</f>
        <v>0.022757254793515928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-16.783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0.07589548948340584</v>
      </c>
    </row>
    <row r="19">
      <c r="B19" s="14" t="inlineStr">
        <is>
          <t>Implied Pipeline Value</t>
        </is>
      </c>
      <c r="C19" s="13">
        <f>C9</f>
        <v>52.486716149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4.484</v>
      </c>
      <c r="C5" s="23" t="n">
        <v>8.474</v>
      </c>
      <c r="D5" s="23" t="n">
        <v>17.84</v>
      </c>
      <c r="E5" s="23" t="n">
        <v>24.825</v>
      </c>
      <c r="F5" s="23" t="n">
        <v>34.312</v>
      </c>
      <c r="G5" s="23" t="n">
        <v>0.831</v>
      </c>
      <c r="H5" s="23" t="n">
        <v>6.1</v>
      </c>
      <c r="I5" s="23" t="n">
        <v>7.924</v>
      </c>
      <c r="J5" s="23" t="n">
        <v>11.255</v>
      </c>
      <c r="K5" s="23" t="n">
        <v>29.431</v>
      </c>
      <c r="L5" s="23" t="n">
        <v>27.763</v>
      </c>
      <c r="M5" s="23" t="n">
        <v>22.566</v>
      </c>
      <c r="N5" s="23" t="n">
        <v>19.026</v>
      </c>
    </row>
    <row r="6">
      <c r="A6" s="19" t="inlineStr">
        <is>
          <t>SG&amp;A &amp; Other</t>
        </is>
      </c>
      <c r="B6" s="23" t="n">
        <v>2.004</v>
      </c>
      <c r="C6" s="23" t="n">
        <v>4.721</v>
      </c>
      <c r="D6" s="23" t="n">
        <v>8.659000000000001</v>
      </c>
      <c r="E6" s="23" t="n">
        <v>14.687</v>
      </c>
      <c r="F6" s="23" t="n">
        <v>17.655</v>
      </c>
      <c r="G6" s="23" t="n">
        <v>2.815</v>
      </c>
      <c r="H6" s="23" t="n">
        <v>14.935</v>
      </c>
      <c r="I6" s="23" t="n">
        <v>6.978</v>
      </c>
      <c r="J6" s="23" t="n">
        <v>10.185</v>
      </c>
      <c r="K6" s="23" t="n">
        <v>12.241</v>
      </c>
      <c r="L6" s="23" t="n">
        <v>15.282</v>
      </c>
      <c r="M6" s="23" t="n">
        <v>13.756</v>
      </c>
      <c r="N6" s="23" t="n">
        <v>12.518</v>
      </c>
    </row>
    <row r="7">
      <c r="A7" s="2" t="inlineStr">
        <is>
          <t>Operating Expense</t>
        </is>
      </c>
      <c r="B7" s="23">
        <f>SUM(B5:B6)</f>
        <v>6.4879999999999995</v>
      </c>
      <c r="C7" s="23">
        <f>SUM(C5:C6)</f>
        <v>13.195</v>
      </c>
      <c r="D7" s="23">
        <f>SUM(D5:D6)</f>
        <v>26.499000000000002</v>
      </c>
      <c r="E7" s="23">
        <f>SUM(E5:E6)</f>
        <v>39.512</v>
      </c>
      <c r="F7" s="23">
        <f>SUM(F5:F6)</f>
        <v>51.967</v>
      </c>
      <c r="G7" s="23">
        <f>SUM(G5:G6)</f>
        <v>3.646</v>
      </c>
      <c r="H7" s="23">
        <f>SUM(H5:H6)</f>
        <v>21.035</v>
      </c>
      <c r="I7" s="23">
        <f>SUM(I5:I6)</f>
        <v>14.902000000000001</v>
      </c>
      <c r="J7" s="23">
        <f>SUM(J5:J6)</f>
        <v>21.44</v>
      </c>
      <c r="K7" s="23">
        <f>SUM(K5:K6)</f>
        <v>41.672</v>
      </c>
      <c r="L7" s="23">
        <f>SUM(L5:L6)</f>
        <v>43.045</v>
      </c>
      <c r="M7" s="23">
        <f>SUM(M5:M6)</f>
        <v>36.322</v>
      </c>
      <c r="N7" s="23">
        <f>SUM(N5:N6)</f>
        <v>31.544</v>
      </c>
    </row>
    <row r="8">
      <c r="A8" s="2" t="inlineStr">
        <is>
          <t>Operating Income</t>
        </is>
      </c>
      <c r="B8" s="23">
        <f>B4-B7</f>
        <v>-6.4879999999999995</v>
      </c>
      <c r="C8" s="23">
        <f>C4-C7</f>
        <v>-13.195</v>
      </c>
      <c r="D8" s="23">
        <f>D4-D7</f>
        <v>-26.499000000000002</v>
      </c>
      <c r="E8" s="23">
        <f>E4-E7</f>
        <v>-39.512</v>
      </c>
      <c r="F8" s="23">
        <f>F4-F7</f>
        <v>-51.967</v>
      </c>
      <c r="G8" s="23">
        <f>G4-G7</f>
        <v>-3.646</v>
      </c>
      <c r="H8" s="23">
        <f>H4-H7</f>
        <v>-21.035</v>
      </c>
      <c r="I8" s="23">
        <f>I4-I7</f>
        <v>-14.902000000000001</v>
      </c>
      <c r="J8" s="23">
        <f>J4-J7</f>
        <v>-21.44</v>
      </c>
      <c r="K8" s="23">
        <f>K4-K7</f>
        <v>-41.672</v>
      </c>
      <c r="L8" s="23">
        <f>L4-L7</f>
        <v>-43.045</v>
      </c>
      <c r="M8" s="23">
        <f>M4-M7</f>
        <v>-36.322</v>
      </c>
      <c r="N8" s="23">
        <f>N4-N7</f>
        <v>-31.544</v>
      </c>
    </row>
    <row r="9">
      <c r="A9" s="19" t="inlineStr">
        <is>
          <t>Interest &amp; Other</t>
        </is>
      </c>
      <c r="B9" s="23" t="n">
        <v>-0.854</v>
      </c>
      <c r="C9" s="23" t="n">
        <v>0.402</v>
      </c>
      <c r="D9" s="23" t="n">
        <v>-2.687</v>
      </c>
      <c r="E9" s="23" t="n">
        <v>-1.155</v>
      </c>
      <c r="F9" s="23" t="n">
        <v>-1.479</v>
      </c>
      <c r="G9" s="23" t="n">
        <v>-0.19</v>
      </c>
      <c r="H9" s="23" t="n">
        <v>13.654</v>
      </c>
      <c r="I9" s="23" t="n">
        <v>0.055</v>
      </c>
      <c r="J9" s="23" t="n">
        <v>0.004</v>
      </c>
      <c r="K9" s="23" t="n">
        <v>-0.381</v>
      </c>
      <c r="L9" s="23" t="n">
        <v>-1.303</v>
      </c>
      <c r="M9" s="23" t="n">
        <v>-2.158</v>
      </c>
      <c r="N9" s="23" t="n">
        <v>-4.121</v>
      </c>
    </row>
    <row r="10">
      <c r="A10" s="2" t="inlineStr">
        <is>
          <t>Pretax</t>
        </is>
      </c>
      <c r="B10" s="23">
        <f>B8+B9</f>
        <v>-7.342</v>
      </c>
      <c r="C10" s="23">
        <f>C8+C9</f>
        <v>-12.793000000000001</v>
      </c>
      <c r="D10" s="23">
        <f>D8+D9</f>
        <v>-29.186000000000003</v>
      </c>
      <c r="E10" s="23">
        <f>E8+E9</f>
        <v>-40.667</v>
      </c>
      <c r="F10" s="23">
        <f>F8+F9</f>
        <v>-53.446</v>
      </c>
      <c r="G10" s="23">
        <f>G8+G9</f>
        <v>-3.836</v>
      </c>
      <c r="H10" s="23">
        <f>H8+H9</f>
        <v>-7.381</v>
      </c>
      <c r="I10" s="23">
        <f>I8+I9</f>
        <v>-14.847000000000001</v>
      </c>
      <c r="J10" s="23">
        <f>J8+J9</f>
        <v>-21.436</v>
      </c>
      <c r="K10" s="23">
        <f>K8+K9</f>
        <v>-42.053</v>
      </c>
      <c r="L10" s="23">
        <f>L8+L9</f>
        <v>-44.348</v>
      </c>
      <c r="M10" s="23">
        <f>M8+M9</f>
        <v>-38.480000000000004</v>
      </c>
      <c r="N10" s="23">
        <f>N8+N9</f>
        <v>-35.665</v>
      </c>
    </row>
    <row r="11">
      <c r="A11" s="2" t="inlineStr">
        <is>
          <t>Taxes</t>
        </is>
      </c>
      <c r="B11" s="23" t="n">
        <v>-0.459</v>
      </c>
      <c r="C11" s="23" t="n">
        <v>-0.591</v>
      </c>
      <c r="D11" s="23" t="n">
        <v>-1.107</v>
      </c>
      <c r="E11" s="23" t="n">
        <v>-1.846</v>
      </c>
      <c r="F11" s="23" t="n">
        <v>-2.586</v>
      </c>
      <c r="G11" s="23" t="n">
        <v>0</v>
      </c>
      <c r="H11" s="23" t="n">
        <v>-0.382</v>
      </c>
      <c r="I11" s="23" t="n">
        <v>0</v>
      </c>
      <c r="J11" s="23" t="n">
        <v>-4.516</v>
      </c>
      <c r="K11" s="23" t="n">
        <v>-1.199</v>
      </c>
      <c r="L11" s="23" t="n">
        <v>-1.406</v>
      </c>
      <c r="M11" s="23" t="n">
        <v>-0.869</v>
      </c>
      <c r="N11" s="23" t="n">
        <v>-1.17</v>
      </c>
    </row>
    <row r="12">
      <c r="A12" s="2" t="inlineStr">
        <is>
          <t>Net Income</t>
        </is>
      </c>
      <c r="B12" s="23" t="n">
        <v>-6.883</v>
      </c>
      <c r="C12" s="23" t="n">
        <v>-12.201</v>
      </c>
      <c r="D12" s="23" t="n">
        <v>-28.079</v>
      </c>
      <c r="E12" s="23" t="n">
        <v>-38.821</v>
      </c>
      <c r="F12" s="23" t="n">
        <v>-50.86</v>
      </c>
      <c r="G12" s="23" t="n">
        <v>-3.836</v>
      </c>
      <c r="H12" s="23" t="n">
        <v>-6.999</v>
      </c>
      <c r="I12" s="23" t="n">
        <v>-14.847</v>
      </c>
      <c r="J12" s="23" t="n">
        <v>-16.918</v>
      </c>
      <c r="K12" s="23" t="n">
        <v>-40.855</v>
      </c>
      <c r="L12" s="23" t="n">
        <v>-42.942</v>
      </c>
      <c r="M12" s="23" t="n">
        <v>-37.61</v>
      </c>
      <c r="N12" s="23" t="n">
        <v>-34.496</v>
      </c>
    </row>
    <row r="13">
      <c r="A13" s="2" t="inlineStr">
        <is>
          <t>Earnings per Share</t>
        </is>
      </c>
      <c r="B13" s="11">
        <f>IFERROR(B12/B14,0)</f>
        <v>-36.611702127659576</v>
      </c>
      <c r="C13" s="11">
        <f>IFERROR(C12/C14,0)</f>
        <v>-64.89893617021276</v>
      </c>
      <c r="D13" s="11">
        <f>IFERROR(D12/D14,0)</f>
        <v>-31.233592880978865</v>
      </c>
      <c r="E13" s="11">
        <f>IFERROR(E12/E14,0)</f>
        <v>-12.105082631743063</v>
      </c>
      <c r="F13" s="11">
        <f>IFERROR(F12/F14,0)</f>
        <v>-15.06070476754516</v>
      </c>
      <c r="G13" s="11">
        <f>IFERROR(G12/G14,0)</f>
        <v>-1.1495355109379681</v>
      </c>
      <c r="H13" s="11">
        <f>IFERROR(H12/H14,0)</f>
        <v>-1.437756778964667</v>
      </c>
      <c r="I13" s="11">
        <f>IFERROR(I12/I14,0)</f>
        <v>-0.8866527321588533</v>
      </c>
      <c r="J13" s="11">
        <f>IFERROR(J12/J14,0)</f>
        <v>-0.6609368285345938</v>
      </c>
      <c r="K13" s="11">
        <f>IFERROR(K12/K14,0)</f>
        <v>-1.4285464526731704</v>
      </c>
      <c r="L13" s="11">
        <f>IFERROR(L12/L14,0)</f>
        <v>-1.3873739984492117</v>
      </c>
      <c r="M13" s="11">
        <f>IFERROR(M12/M14,0)</f>
        <v>-1.0317395001783116</v>
      </c>
      <c r="N13" s="11">
        <f>IFERROR(N12/N14,0)</f>
        <v>-0.7437047257675061</v>
      </c>
    </row>
    <row r="14">
      <c r="A14" s="2" t="inlineStr">
        <is>
          <t>Shares</t>
        </is>
      </c>
      <c r="B14" s="23" t="n">
        <v>0.188</v>
      </c>
      <c r="C14" s="23" t="n">
        <v>0.188</v>
      </c>
      <c r="D14" s="23" t="n">
        <v>0.899</v>
      </c>
      <c r="E14" s="23" t="n">
        <v>3.207</v>
      </c>
      <c r="F14" s="23" t="n">
        <v>3.377</v>
      </c>
      <c r="G14" s="23" t="n">
        <v>3.337</v>
      </c>
      <c r="H14" s="23" t="n">
        <v>4.868</v>
      </c>
      <c r="I14" s="23" t="n">
        <v>16.745</v>
      </c>
      <c r="J14" s="23" t="n">
        <v>25.597</v>
      </c>
      <c r="K14" s="23" t="n">
        <v>28.599</v>
      </c>
      <c r="L14" s="23" t="n">
        <v>30.952</v>
      </c>
      <c r="M14" s="23" t="n">
        <v>36.453</v>
      </c>
      <c r="N14" s="23" t="n">
        <v>46.384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PDS Biotechnology Corp: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27.833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335.3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37.347712626287006</v>
      </c>
      <c r="C29" s="42">
        <f>NPV!B25</f>
        <v>38.62146662628701</v>
      </c>
      <c r="D29" s="43">
        <f>NPV!B27</f>
        <v>0.6900222150538372</v>
      </c>
      <c r="E29" s="44">
        <f>NPV!B29</f>
        <v>-0.2816010254514969</v>
      </c>
    </row>
    <row r="30">
      <c r="A30" s="45" t="n">
        <v>1</v>
      </c>
      <c r="B30" s="46">
        <f t="dataTable" ref="B30:E32" r1="B4"/>
        <v>-32.930274201518024</v>
      </c>
      <c r="C30" s="46">
        <v>-31.65652020151802</v>
      </c>
      <c r="D30" s="47">
        <v>-0.5655844818560174</v>
      </c>
      <c r="E30" s="48">
        <v>-1.5888438124477016</v>
      </c>
    </row>
    <row r="31">
      <c r="A31" s="45" t="n">
        <v>2</v>
      </c>
      <c r="B31" s="46">
        <v>37.347712626287006</v>
      </c>
      <c r="C31" s="46">
        <v>38.62146662628701</v>
      </c>
      <c r="D31" s="47">
        <v>0.6900222150538372</v>
      </c>
      <c r="E31" s="48">
        <v>-0.2816010254514969</v>
      </c>
    </row>
    <row r="32">
      <c r="A32" s="45" t="n">
        <v>3</v>
      </c>
      <c r="B32" s="46">
        <v>139.74268539425194</v>
      </c>
      <c r="C32" s="46">
        <v>141.01643939425193</v>
      </c>
      <c r="D32" s="47">
        <v>2.5194402069547084</v>
      </c>
      <c r="E32" s="48">
        <v>1.6230507099996965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0.6900222150538372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-0.805013593621336</v>
      </c>
      <c r="C37" s="47">
        <v>-0.47620429518374363</v>
      </c>
      <c r="D37" s="47">
        <v>-0.14739499674615084</v>
      </c>
      <c r="E37" s="47">
        <v>0.5102236001290343</v>
      </c>
      <c r="F37" s="47">
        <v>1.1046376406805407</v>
      </c>
    </row>
    <row r="38">
      <c r="A38" s="50" t="n">
        <v>0.8</v>
      </c>
      <c r="B38" s="47">
        <v>-0.6017954099676752</v>
      </c>
      <c r="C38" s="47">
        <v>-0.163383012050885</v>
      </c>
      <c r="D38" s="47">
        <v>0.27502938586590536</v>
      </c>
      <c r="E38" s="47">
        <v>1.0903489284221077</v>
      </c>
      <c r="F38" s="47">
        <v>1.8405291618190702</v>
      </c>
    </row>
    <row r="39">
      <c r="A39" s="50" t="n">
        <v>1</v>
      </c>
      <c r="B39" s="47">
        <v>-0.3985772263140143</v>
      </c>
      <c r="C39" s="47">
        <v>0.14943827108197325</v>
      </c>
      <c r="D39" s="47">
        <v>0.6900222150538372</v>
      </c>
      <c r="E39" s="47">
        <v>1.6410414155528714</v>
      </c>
      <c r="F39" s="47">
        <v>2.560154377209125</v>
      </c>
    </row>
    <row r="40">
      <c r="A40" s="50" t="n">
        <v>1.2</v>
      </c>
      <c r="B40" s="47">
        <v>-0.19535904266035348</v>
      </c>
      <c r="C40" s="47">
        <v>0.46225955421483145</v>
      </c>
      <c r="D40" s="47">
        <v>1.0617715039052413</v>
      </c>
      <c r="E40" s="47">
        <v>2.1806510904113496</v>
      </c>
      <c r="F40" s="47">
        <v>3.269135331640904</v>
      </c>
    </row>
    <row r="41">
      <c r="A41" s="50" t="n">
        <v>1.4</v>
      </c>
      <c r="B41" s="47">
        <v>0.007859140993307274</v>
      </c>
      <c r="C41" s="47">
        <v>0.7586637155808946</v>
      </c>
      <c r="D41" s="47">
        <v>1.426023541992549</v>
      </c>
      <c r="E41" s="47">
        <v>2.713541456052117</v>
      </c>
      <c r="F41" s="47">
        <v>3.9707934657987067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PDS Biotechnology Corp: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Head and neck cancer</t>
        </is>
      </c>
      <c r="C4" s="14" t="inlineStr"/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1000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122.6926425359558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10.8</v>
      </c>
      <c r="S4" s="23">
        <f>IF(S$3&lt;$I4,0,$G4*Assumptions!$E$11*INDEX(Assumptions!$B$24:$G$24,MIN(6,S$3-$I4+1))*IF(S$3&gt;$J4,(1-Assumptions!$B$26)^(S$3-$J4),1)*IF($H4&gt;=1,1,MIN(0.97,$H4*Assumptions!$E$12)))</f>
        <v>27.0</v>
      </c>
      <c r="T4" s="23">
        <f>IF(T$3&lt;$I4,0,$G4*Assumptions!$E$11*INDEX(Assumptions!$B$24:$G$24,MIN(6,T$3-$I4+1))*IF(T$3&gt;$J4,(1-Assumptions!$B$26)^(T$3-$J4),1)*IF($H4&gt;=1,1,MIN(0.97,$H4*Assumptions!$E$12)))</f>
        <v>48.6</v>
      </c>
      <c r="U4" s="23">
        <f>IF(U$3&lt;$I4,0,$G4*Assumptions!$E$11*INDEX(Assumptions!$B$24:$G$24,MIN(6,U$3-$I4+1))*IF(U$3&gt;$J4,(1-Assumptions!$B$26)^(U$3-$J4),1)*IF($H4&gt;=1,1,MIN(0.97,$H4*Assumptions!$E$12)))</f>
        <v>70.2</v>
      </c>
      <c r="V4" s="23">
        <f>IF(V$3&lt;$I4,0,$G4*Assumptions!$E$11*INDEX(Assumptions!$B$24:$G$24,MIN(6,V$3-$I4+1))*IF(V$3&gt;$J4,(1-Assumptions!$B$26)^(V$3-$J4),1)*IF($H4&gt;=1,1,MIN(0.97,$H4*Assumptions!$E$12)))</f>
        <v>91.8</v>
      </c>
      <c r="W4" s="23">
        <f>IF(W$3&lt;$I4,0,$G4*Assumptions!$E$11*INDEX(Assumptions!$B$24:$G$24,MIN(6,W$3-$I4+1))*IF(W$3&gt;$J4,(1-Assumptions!$B$26)^(W$3-$J4),1)*IF($H4&gt;=1,1,MIN(0.97,$H4*Assumptions!$E$12)))</f>
        <v>108.0</v>
      </c>
      <c r="X4" s="23">
        <f>IF(X$3&lt;$I4,0,$G4*Assumptions!$E$11*INDEX(Assumptions!$B$24:$G$24,MIN(6,X$3-$I4+1))*IF(X$3&gt;$J4,(1-Assumptions!$B$26)^(X$3-$J4),1)*IF($H4&gt;=1,1,MIN(0.97,$H4*Assumptions!$E$12)))</f>
        <v>108.0</v>
      </c>
      <c r="Y4" s="23">
        <f>IF(Y$3&lt;$I4,0,$G4*Assumptions!$E$11*INDEX(Assumptions!$B$24:$G$24,MIN(6,Y$3-$I4+1))*IF(Y$3&gt;$J4,(1-Assumptions!$B$26)^(Y$3-$J4),1)*IF($H4&gt;=1,1,MIN(0.97,$H4*Assumptions!$E$12)))</f>
        <v>108.0</v>
      </c>
      <c r="Z4" s="23">
        <f>IF(Z$3&lt;$I4,0,$G4*Assumptions!$E$11*INDEX(Assumptions!$B$24:$G$24,MIN(6,Z$3-$I4+1))*IF(Z$3&gt;$J4,(1-Assumptions!$B$26)^(Z$3-$J4),1)*IF($H4&gt;=1,1,MIN(0.97,$H4*Assumptions!$E$12)))</f>
        <v>108.0</v>
      </c>
      <c r="AA4" s="23">
        <f>IF(AA$3&lt;$I4,0,$G4*Assumptions!$E$11*INDEX(Assumptions!$B$24:$G$24,MIN(6,AA$3-$I4+1))*IF(AA$3&gt;$J4,(1-Assumptions!$B$26)^(AA$3-$J4),1)*IF($H4&gt;=1,1,MIN(0.97,$H4*Assumptions!$E$12)))</f>
        <v>108.0</v>
      </c>
      <c r="AB4" s="23">
        <f>IF(AB$3&lt;$I4,0,$G4*Assumptions!$E$11*INDEX(Assumptions!$B$24:$G$24,MIN(6,AB$3-$I4+1))*IF(AB$3&gt;$J4,(1-Assumptions!$B$26)^(AB$3-$J4),1)*IF($H4&gt;=1,1,MIN(0.97,$H4*Assumptions!$E$12)))</f>
        <v>108.0</v>
      </c>
      <c r="AC4" s="23">
        <f>IF(AC$3&lt;$I4,0,$G4*Assumptions!$E$11*INDEX(Assumptions!$B$24:$G$24,MIN(6,AC$3-$I4+1))*IF(AC$3&gt;$J4,(1-Assumptions!$B$26)^(AC$3-$J4),1)*IF($H4&gt;=1,1,MIN(0.97,$H4*Assumptions!$E$12)))</f>
        <v>108.0</v>
      </c>
      <c r="AD4" s="23">
        <f>IF(AD$3&lt;$I4,0,$G4*Assumptions!$E$11*INDEX(Assumptions!$B$24:$G$24,MIN(6,AD$3-$I4+1))*IF(AD$3&gt;$J4,(1-Assumptions!$B$26)^(AD$3-$J4),1)*IF($H4&gt;=1,1,MIN(0.97,$H4*Assumptions!$E$12)))</f>
        <v>108.0</v>
      </c>
      <c r="AE4" s="23">
        <f>IF(AE$3&lt;$I4,0,$G4*Assumptions!$E$11*INDEX(Assumptions!$B$24:$G$24,MIN(6,AE$3-$I4+1))*IF(AE$3&gt;$J4,(1-Assumptions!$B$26)^(AE$3-$J4),1)*IF($H4&gt;=1,1,MIN(0.97,$H4*Assumptions!$E$12)))</f>
        <v>54.0</v>
      </c>
      <c r="AF4" s="23">
        <f>IF(AF$3&lt;$I4,0,$G4*Assumptions!$E$11*INDEX(Assumptions!$B$24:$G$24,MIN(6,AF$3-$I4+1))*IF(AF$3&gt;$J4,(1-Assumptions!$B$26)^(AF$3-$J4),1)*IF($H4&gt;=1,1,MIN(0.97,$H4*Assumptions!$E$12)))</f>
        <v>27.0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122.6926425359558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10.8</v>
      </c>
      <c r="S5" s="54">
        <f>SUM(S4:S4)</f>
        <v>27.0</v>
      </c>
      <c r="T5" s="54">
        <f>SUM(T4:T4)</f>
        <v>48.6</v>
      </c>
      <c r="U5" s="54">
        <f>SUM(U4:U4)</f>
        <v>70.2</v>
      </c>
      <c r="V5" s="54">
        <f>SUM(V4:V4)</f>
        <v>91.8</v>
      </c>
      <c r="W5" s="54">
        <f>SUM(W4:W4)</f>
        <v>108.0</v>
      </c>
      <c r="X5" s="54">
        <f>SUM(X4:X4)</f>
        <v>108.0</v>
      </c>
      <c r="Y5" s="54">
        <f>SUM(Y4:Y4)</f>
        <v>108.0</v>
      </c>
      <c r="Z5" s="54">
        <f>SUM(Z4:Z4)</f>
        <v>108.0</v>
      </c>
      <c r="AA5" s="54">
        <f>SUM(AA4:AA4)</f>
        <v>108.0</v>
      </c>
      <c r="AB5" s="54">
        <f>SUM(AB4:AB4)</f>
        <v>108.0</v>
      </c>
      <c r="AC5" s="54">
        <f>SUM(AC4:AC4)</f>
        <v>108.0</v>
      </c>
      <c r="AD5" s="54">
        <f>SUM(AD4:AD4)</f>
        <v>108.0</v>
      </c>
      <c r="AE5" s="54">
        <f>SUM(AE4:AE4)</f>
        <v>54.0</v>
      </c>
      <c r="AF5" s="54">
        <f>SUM(AF4:AF4)</f>
        <v>27.0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4.32</v>
      </c>
      <c r="S6" s="55">
        <f>SUMPRODUCT(S4:S4,$K$4:$K$4)</f>
        <v>10.8</v>
      </c>
      <c r="T6" s="55">
        <f>SUMPRODUCT(T4:T4,$K$4:$K$4)</f>
        <v>19.44</v>
      </c>
      <c r="U6" s="55">
        <f>SUMPRODUCT(U4:U4,$K$4:$K$4)</f>
        <v>28.080000000000002</v>
      </c>
      <c r="V6" s="55">
        <f>SUMPRODUCT(V4:V4,$K$4:$K$4)</f>
        <v>36.72</v>
      </c>
      <c r="W6" s="55">
        <f>SUMPRODUCT(W4:W4,$K$4:$K$4)</f>
        <v>43.2</v>
      </c>
      <c r="X6" s="55">
        <f>SUMPRODUCT(X4:X4,$K$4:$K$4)</f>
        <v>43.2</v>
      </c>
      <c r="Y6" s="55">
        <f>SUMPRODUCT(Y4:Y4,$K$4:$K$4)</f>
        <v>43.2</v>
      </c>
      <c r="Z6" s="55">
        <f>SUMPRODUCT(Z4:Z4,$K$4:$K$4)</f>
        <v>43.2</v>
      </c>
      <c r="AA6" s="55">
        <f>SUMPRODUCT(AA4:AA4,$K$4:$K$4)</f>
        <v>43.2</v>
      </c>
      <c r="AB6" s="55">
        <f>SUMPRODUCT(AB4:AB4,$K$4:$K$4)</f>
        <v>43.2</v>
      </c>
      <c r="AC6" s="55">
        <f>SUMPRODUCT(AC4:AC4,$K$4:$K$4)</f>
        <v>43.2</v>
      </c>
      <c r="AD6" s="55">
        <f>SUMPRODUCT(AD4:AD4,$K$4:$K$4)</f>
        <v>43.2</v>
      </c>
      <c r="AE6" s="55">
        <f>SUMPRODUCT(AE4:AE4,$K$4:$K$4)</f>
        <v>21.6</v>
      </c>
      <c r="AF6" s="55">
        <f>SUMPRODUCT(AF4:AF4,$K$4:$K$4)</f>
        <v>10.8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PDS Biotechnology Corp: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10.8</v>
      </c>
      <c r="I4" s="57">
        <f>Pipeline!S5</f>
        <v>27.0</v>
      </c>
      <c r="J4" s="57">
        <f>Pipeline!T5</f>
        <v>48.6</v>
      </c>
      <c r="K4" s="57">
        <f>Pipeline!U5</f>
        <v>70.2</v>
      </c>
      <c r="L4" s="57">
        <f>Pipeline!V5</f>
        <v>91.8</v>
      </c>
      <c r="M4" s="57">
        <f>Pipeline!W5</f>
        <v>108.0</v>
      </c>
      <c r="N4" s="57">
        <f>Pipeline!X5</f>
        <v>108.0</v>
      </c>
      <c r="O4" s="57">
        <f>Pipeline!Y5</f>
        <v>108.0</v>
      </c>
      <c r="P4" s="57">
        <f>Pipeline!Z5</f>
        <v>108.0</v>
      </c>
      <c r="Q4" s="57">
        <f>Pipeline!AA5</f>
        <v>108.0</v>
      </c>
      <c r="R4" s="57">
        <f>Pipeline!AB5</f>
        <v>108.0</v>
      </c>
      <c r="S4" s="57">
        <f>Pipeline!AC5</f>
        <v>108.0</v>
      </c>
      <c r="T4" s="57">
        <f>Pipeline!AD5</f>
        <v>108.0</v>
      </c>
      <c r="U4" s="57">
        <f>Pipeline!AE5</f>
        <v>54.0</v>
      </c>
      <c r="V4" s="57">
        <f>Pipeline!AF5</f>
        <v>27.0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4.32</v>
      </c>
      <c r="I5" s="57">
        <f>Pipeline!S6</f>
        <v>10.8</v>
      </c>
      <c r="J5" s="57">
        <f>Pipeline!T6</f>
        <v>19.44</v>
      </c>
      <c r="K5" s="57">
        <f>Pipeline!U6</f>
        <v>28.080000000000002</v>
      </c>
      <c r="L5" s="57">
        <f>Pipeline!V6</f>
        <v>36.72</v>
      </c>
      <c r="M5" s="57">
        <f>Pipeline!W6</f>
        <v>43.2</v>
      </c>
      <c r="N5" s="57">
        <f>Pipeline!X6</f>
        <v>43.2</v>
      </c>
      <c r="O5" s="57">
        <f>Pipeline!Y6</f>
        <v>43.2</v>
      </c>
      <c r="P5" s="57">
        <f>Pipeline!Z6</f>
        <v>43.2</v>
      </c>
      <c r="Q5" s="57">
        <f>Pipeline!AA6</f>
        <v>43.2</v>
      </c>
      <c r="R5" s="57">
        <f>Pipeline!AB6</f>
        <v>43.2</v>
      </c>
      <c r="S5" s="57">
        <f>Pipeline!AC6</f>
        <v>43.2</v>
      </c>
      <c r="T5" s="57">
        <f>Pipeline!AD6</f>
        <v>43.2</v>
      </c>
      <c r="U5" s="57">
        <f>Pipeline!AE6</f>
        <v>21.6</v>
      </c>
      <c r="V5" s="57">
        <f>Pipeline!AF6</f>
        <v>10.8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-27.833</v>
      </c>
      <c r="D6" s="23">
        <f>-IF(D3-2026&lt;Assumptions!$B$19,Assumptions!$B$18,Assumptions!$B$18*Assumptions!$B$20*Assumptions!$B$16)</f>
        <v>-27.833</v>
      </c>
      <c r="E6" s="23">
        <f>-IF(E3-2026&lt;Assumptions!$B$19,Assumptions!$B$18,Assumptions!$B$18*Assumptions!$B$20*Assumptions!$B$16)</f>
        <v>-27.833</v>
      </c>
      <c r="F6" s="23">
        <f>-IF(F3-2026&lt;Assumptions!$B$19,Assumptions!$B$18,Assumptions!$B$18*Assumptions!$B$20*Assumptions!$B$16)</f>
        <v>-27.833</v>
      </c>
      <c r="G6" s="23">
        <f>-IF(G3-2026&lt;Assumptions!$B$19,Assumptions!$B$18,Assumptions!$B$18*Assumptions!$B$20*Assumptions!$B$16)</f>
        <v>-0.9017891999999998</v>
      </c>
      <c r="H6" s="23">
        <f>-IF(H3-2026&lt;Assumptions!$B$19,Assumptions!$B$18,Assumptions!$B$18*Assumptions!$B$20*Assumptions!$B$16)</f>
        <v>-0.9017891999999998</v>
      </c>
      <c r="I6" s="23">
        <f>-IF(I3-2026&lt;Assumptions!$B$19,Assumptions!$B$18,Assumptions!$B$18*Assumptions!$B$20*Assumptions!$B$16)</f>
        <v>-0.9017891999999998</v>
      </c>
      <c r="J6" s="23">
        <f>-IF(J3-2026&lt;Assumptions!$B$19,Assumptions!$B$18,Assumptions!$B$18*Assumptions!$B$20*Assumptions!$B$16)</f>
        <v>-0.9017891999999998</v>
      </c>
      <c r="K6" s="23">
        <f>-IF(K3-2026&lt;Assumptions!$B$19,Assumptions!$B$18,Assumptions!$B$18*Assumptions!$B$20*Assumptions!$B$16)</f>
        <v>-0.9017891999999998</v>
      </c>
      <c r="L6" s="23">
        <f>-IF(L3-2026&lt;Assumptions!$B$19,Assumptions!$B$18,Assumptions!$B$18*Assumptions!$B$20*Assumptions!$B$16)</f>
        <v>-0.9017891999999998</v>
      </c>
      <c r="M6" s="23">
        <f>-IF(M3-2026&lt;Assumptions!$B$19,Assumptions!$B$18,Assumptions!$B$18*Assumptions!$B$20*Assumptions!$B$16)</f>
        <v>-0.9017891999999998</v>
      </c>
      <c r="N6" s="23">
        <f>-IF(N3-2026&lt;Assumptions!$B$19,Assumptions!$B$18,Assumptions!$B$18*Assumptions!$B$20*Assumptions!$B$16)</f>
        <v>-0.9017891999999998</v>
      </c>
      <c r="O6" s="23">
        <f>-IF(O3-2026&lt;Assumptions!$B$19,Assumptions!$B$18,Assumptions!$B$18*Assumptions!$B$20*Assumptions!$B$16)</f>
        <v>-0.9017891999999998</v>
      </c>
      <c r="P6" s="23">
        <f>-IF(P3-2026&lt;Assumptions!$B$19,Assumptions!$B$18,Assumptions!$B$18*Assumptions!$B$20*Assumptions!$B$16)</f>
        <v>-0.9017891999999998</v>
      </c>
      <c r="Q6" s="23">
        <f>-IF(Q3-2026&lt;Assumptions!$B$19,Assumptions!$B$18,Assumptions!$B$18*Assumptions!$B$20*Assumptions!$B$16)</f>
        <v>-0.9017891999999998</v>
      </c>
      <c r="R6" s="23">
        <f>-IF(R3-2026&lt;Assumptions!$B$19,Assumptions!$B$18,Assumptions!$B$18*Assumptions!$B$20*Assumptions!$B$16)</f>
        <v>-0.9017891999999998</v>
      </c>
      <c r="S6" s="23">
        <f>-IF(S3-2026&lt;Assumptions!$B$19,Assumptions!$B$18,Assumptions!$B$18*Assumptions!$B$20*Assumptions!$B$16)</f>
        <v>-0.9017891999999998</v>
      </c>
      <c r="T6" s="23">
        <f>-IF(T3-2026&lt;Assumptions!$B$19,Assumptions!$B$18,Assumptions!$B$18*Assumptions!$B$20*Assumptions!$B$16)</f>
        <v>-0.9017891999999998</v>
      </c>
      <c r="U6" s="23">
        <f>-IF(U3-2026&lt;Assumptions!$B$19,Assumptions!$B$18,Assumptions!$B$18*Assumptions!$B$20*Assumptions!$B$16)</f>
        <v>-0.9017891999999998</v>
      </c>
      <c r="V6" s="23">
        <f>-IF(V3-2026&lt;Assumptions!$B$19,Assumptions!$B$18,Assumptions!$B$18*Assumptions!$B$20*Assumptions!$B$16)</f>
        <v>-0.9017891999999998</v>
      </c>
    </row>
    <row r="7">
      <c r="A7" s="14" t="inlineStr">
        <is>
          <t>Pre-tax cash flow</t>
        </is>
      </c>
      <c r="C7" s="23">
        <f>C5+C6</f>
        <v>-27.833</v>
      </c>
      <c r="D7" s="23">
        <f>D5+D6</f>
        <v>-27.833</v>
      </c>
      <c r="E7" s="23">
        <f>E5+E6</f>
        <v>-27.833</v>
      </c>
      <c r="F7" s="23">
        <f>F5+F6</f>
        <v>-27.833</v>
      </c>
      <c r="G7" s="23">
        <f>G5+G6</f>
        <v>-0.9017891999999998</v>
      </c>
      <c r="H7" s="23">
        <f>H5+H6</f>
        <v>3.4182108000000007</v>
      </c>
      <c r="I7" s="23">
        <f>I5+I6</f>
        <v>9.898210800000001</v>
      </c>
      <c r="J7" s="23">
        <f>J5+J6</f>
        <v>18.5382108</v>
      </c>
      <c r="K7" s="23">
        <f>K5+K6</f>
        <v>27.178210800000002</v>
      </c>
      <c r="L7" s="23">
        <f>L5+L6</f>
        <v>35.818210799999996</v>
      </c>
      <c r="M7" s="23">
        <f>M5+M6</f>
        <v>42.2982108</v>
      </c>
      <c r="N7" s="23">
        <f>N5+N6</f>
        <v>42.2982108</v>
      </c>
      <c r="O7" s="23">
        <f>O5+O6</f>
        <v>42.2982108</v>
      </c>
      <c r="P7" s="23">
        <f>P5+P6</f>
        <v>42.2982108</v>
      </c>
      <c r="Q7" s="23">
        <f>Q5+Q6</f>
        <v>42.2982108</v>
      </c>
      <c r="R7" s="23">
        <f>R5+R6</f>
        <v>42.2982108</v>
      </c>
      <c r="S7" s="23">
        <f>S5+S6</f>
        <v>42.2982108</v>
      </c>
      <c r="T7" s="23">
        <f>T5+T6</f>
        <v>42.2982108</v>
      </c>
      <c r="U7" s="23">
        <f>U5+U6</f>
        <v>20.698210800000002</v>
      </c>
      <c r="V7" s="23">
        <f>V5+V6</f>
        <v>9.898210800000001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3.4182108000000007</v>
      </c>
      <c r="I8" s="23">
        <f>MIN(H17,MAX(0,I7))</f>
        <v>9.898210800000001</v>
      </c>
      <c r="J8" s="23">
        <f>MIN(I17,MAX(0,J7))</f>
        <v>18.5382108</v>
      </c>
      <c r="K8" s="23">
        <f>MIN(J17,MAX(0,K7))</f>
        <v>27.178210800000002</v>
      </c>
      <c r="L8" s="23">
        <f>MIN(K17,MAX(0,L7))</f>
        <v>35.818210799999996</v>
      </c>
      <c r="M8" s="23">
        <f>MIN(L17,MAX(0,M7))</f>
        <v>42.2982108</v>
      </c>
      <c r="N8" s="23">
        <f>MIN(M17,MAX(0,N7))</f>
        <v>42.2982108</v>
      </c>
      <c r="O8" s="23">
        <f>MIN(N17,MAX(0,O7))</f>
        <v>42.2982108</v>
      </c>
      <c r="P8" s="23">
        <f>MIN(O17,MAX(0,P7))</f>
        <v>42.2982108</v>
      </c>
      <c r="Q8" s="23">
        <f>MIN(P17,MAX(0,Q7))</f>
        <v>42.2982108</v>
      </c>
      <c r="R8" s="23">
        <f>MIN(Q17,MAX(0,R7))</f>
        <v>42.2982108</v>
      </c>
      <c r="S8" s="23">
        <f>MIN(R17,MAX(0,S7))</f>
        <v>42.2982108</v>
      </c>
      <c r="T8" s="23">
        <f>MIN(S17,MAX(0,T7))</f>
        <v>42.2982108</v>
      </c>
      <c r="U8" s="23">
        <f>MIN(T17,MAX(0,U7))</f>
        <v>14.297048800000013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6.401161999999989</v>
      </c>
      <c r="V9" s="23">
        <f>MAX(0,V7)-V8</f>
        <v>9.898210800000001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1.3442440199999977</v>
      </c>
      <c r="V10" s="23">
        <f>V9*Assumptions!$E$15</f>
        <v>2.078624268</v>
      </c>
    </row>
    <row r="11">
      <c r="A11" s="24" t="inlineStr">
        <is>
          <t>Free cash flow</t>
        </is>
      </c>
      <c r="C11" s="55">
        <f>C7-C10</f>
        <v>-27.833</v>
      </c>
      <c r="D11" s="55">
        <f>D7-D10</f>
        <v>-27.833</v>
      </c>
      <c r="E11" s="55">
        <f>E7-E10</f>
        <v>-27.833</v>
      </c>
      <c r="F11" s="55">
        <f>F7-F10</f>
        <v>-27.833</v>
      </c>
      <c r="G11" s="55">
        <f>G7-G10</f>
        <v>-0.9017891999999998</v>
      </c>
      <c r="H11" s="55">
        <f>H7-H10</f>
        <v>3.4182108000000007</v>
      </c>
      <c r="I11" s="55">
        <f>I7-I10</f>
        <v>9.898210800000001</v>
      </c>
      <c r="J11" s="55">
        <f>J7-J10</f>
        <v>18.5382108</v>
      </c>
      <c r="K11" s="55">
        <f>K7-K10</f>
        <v>27.178210800000002</v>
      </c>
      <c r="L11" s="55">
        <f>L7-L10</f>
        <v>35.818210799999996</v>
      </c>
      <c r="M11" s="55">
        <f>M7-M10</f>
        <v>42.2982108</v>
      </c>
      <c r="N11" s="55">
        <f>N7-N10</f>
        <v>42.2982108</v>
      </c>
      <c r="O11" s="55">
        <f>O7-O10</f>
        <v>42.2982108</v>
      </c>
      <c r="P11" s="55">
        <f>P7-P10</f>
        <v>42.2982108</v>
      </c>
      <c r="Q11" s="55">
        <f>Q7-Q10</f>
        <v>42.2982108</v>
      </c>
      <c r="R11" s="55">
        <f>R7-R10</f>
        <v>42.2982108</v>
      </c>
      <c r="S11" s="55">
        <f>S7-S10</f>
        <v>42.2982108</v>
      </c>
      <c r="T11" s="55">
        <f>T7-T10</f>
        <v>42.2982108</v>
      </c>
      <c r="U11" s="55">
        <f>U7-U10</f>
        <v>19.353966780000004</v>
      </c>
      <c r="V11" s="55">
        <f>V7-V10</f>
        <v>7.819586532000001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-13.635507746125064</v>
      </c>
      <c r="D16" s="55">
        <f>D11*D15</f>
        <v>-24.839348631382563</v>
      </c>
      <c r="E16" s="55">
        <f>E11*E15</f>
        <v>-22.17798984944871</v>
      </c>
      <c r="F16" s="55">
        <f>F11*F15</f>
        <v>-19.801776651293494</v>
      </c>
      <c r="G16" s="55">
        <f>G11*G15</f>
        <v>-0.5728371102695616</v>
      </c>
      <c r="H16" s="55">
        <f>H11*H15</f>
        <v>1.9386835924192696</v>
      </c>
      <c r="I16" s="55">
        <f>I11*I15</f>
        <v>5.012412088790096</v>
      </c>
      <c r="J16" s="55">
        <f>J11*J15</f>
        <v>8.38184959779902</v>
      </c>
      <c r="K16" s="55">
        <f>K11*K15</f>
        <v>10.971724338552061</v>
      </c>
      <c r="L16" s="55">
        <f>L11*L15</f>
        <v>12.910405708352675</v>
      </c>
      <c r="M16" s="55">
        <f>M11*M15</f>
        <v>13.61256531764764</v>
      </c>
      <c r="N16" s="55">
        <f>N11*N15</f>
        <v>12.154076176471104</v>
      </c>
      <c r="O16" s="55">
        <f>O11*O15</f>
        <v>10.851853728992056</v>
      </c>
      <c r="P16" s="55">
        <f>P11*P15</f>
        <v>9.689155115171477</v>
      </c>
      <c r="Q16" s="55">
        <f>Q11*Q15</f>
        <v>8.651031352831676</v>
      </c>
      <c r="R16" s="55">
        <f>R11*R15</f>
        <v>7.724135136456854</v>
      </c>
      <c r="S16" s="55">
        <f>S11*S15</f>
        <v>6.896549228979333</v>
      </c>
      <c r="T16" s="55">
        <f>T11*T15</f>
        <v>6.157633240160118</v>
      </c>
      <c r="U16" s="55">
        <f>U11*U15</f>
        <v>2.5156127621571946</v>
      </c>
      <c r="V16" s="55">
        <f>V11*V15</f>
        <v>0.9074852300258239</v>
      </c>
    </row>
    <row r="17">
      <c r="A17" s="14" t="inlineStr">
        <is>
          <t>Tax-loss carryforward, end of year</t>
        </is>
      </c>
      <c r="C17" s="23">
        <f>Assumptions!$B$21-C8+MAX(0,-C7)</f>
        <v>363.13300000000004</v>
      </c>
      <c r="D17" s="23">
        <f>C17-D8+MAX(0,-D7)</f>
        <v>390.966</v>
      </c>
      <c r="E17" s="23">
        <f>D17-E8+MAX(0,-E7)</f>
        <v>418.799</v>
      </c>
      <c r="F17" s="23">
        <f>E17-F8+MAX(0,-F7)</f>
        <v>446.63199999999995</v>
      </c>
      <c r="G17" s="23">
        <f>F17-G8+MAX(0,-G7)</f>
        <v>447.53378919999994</v>
      </c>
      <c r="H17" s="23">
        <f>G17-H8+MAX(0,-H7)</f>
        <v>444.11557839999995</v>
      </c>
      <c r="I17" s="23">
        <f>H17-I8+MAX(0,-I7)</f>
        <v>434.21736759999993</v>
      </c>
      <c r="J17" s="23">
        <f>I17-J8+MAX(0,-J7)</f>
        <v>415.67915679999993</v>
      </c>
      <c r="K17" s="23">
        <f>J17-K8+MAX(0,-K7)</f>
        <v>388.50094599999994</v>
      </c>
      <c r="L17" s="23">
        <f>K17-L8+MAX(0,-L7)</f>
        <v>352.68273519999997</v>
      </c>
      <c r="M17" s="23">
        <f>L17-M8+MAX(0,-M7)</f>
        <v>310.3845244</v>
      </c>
      <c r="N17" s="23">
        <f>M17-N8+MAX(0,-N7)</f>
        <v>268.0863136</v>
      </c>
      <c r="O17" s="23">
        <f>N17-O8+MAX(0,-O7)</f>
        <v>225.7881028</v>
      </c>
      <c r="P17" s="23">
        <f>O17-P8+MAX(0,-P7)</f>
        <v>183.489892</v>
      </c>
      <c r="Q17" s="23">
        <f>P17-Q8+MAX(0,-Q7)</f>
        <v>141.1916812</v>
      </c>
      <c r="R17" s="23">
        <f>Q17-R8+MAX(0,-R7)</f>
        <v>98.89347040000001</v>
      </c>
      <c r="S17" s="23">
        <f>R17-S8+MAX(0,-S7)</f>
        <v>56.59525960000001</v>
      </c>
      <c r="T17" s="23">
        <f>S17-T8+MAX(0,-T7)</f>
        <v>14.297048800000013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122.69264253595581</v>
      </c>
    </row>
    <row r="20">
      <c r="A20" s="14" t="inlineStr">
        <is>
          <t>PV of corporate burn</t>
        </is>
      </c>
      <c r="B20" s="23">
        <f>SUMPRODUCT(C6:V6,C15:V15)</f>
        <v>-84.92897592110211</v>
      </c>
    </row>
    <row r="21">
      <c r="A21" s="14" t="inlineStr">
        <is>
          <t>PV of taxes</t>
        </is>
      </c>
      <c r="B21" s="23">
        <f>-SUMPRODUCT(C10:V10,C15:V15)</f>
        <v>-0.41595398856669885</v>
      </c>
    </row>
    <row r="22">
      <c r="A22" s="24" t="inlineStr">
        <is>
          <t>Pipeline rNPV (operations)</t>
        </is>
      </c>
      <c r="B22" s="54">
        <f>SUM(C16:V16)</f>
        <v>37.347712626287006</v>
      </c>
    </row>
    <row r="23">
      <c r="A23" s="14" t="inlineStr">
        <is>
          <t>Cash &amp; investments</t>
        </is>
      </c>
      <c r="B23" s="57">
        <f>Main!C7</f>
        <v>5.596254</v>
      </c>
    </row>
    <row r="24">
      <c r="A24" s="14" t="inlineStr">
        <is>
          <t>Debt</t>
        </is>
      </c>
      <c r="B24" s="57">
        <f>Main!C8</f>
        <v>4.3225</v>
      </c>
    </row>
    <row r="25">
      <c r="A25" s="24" t="inlineStr">
        <is>
          <t>Equity value</t>
        </is>
      </c>
      <c r="B25" s="54">
        <f>B22+B23-B24</f>
        <v>38.62146662628701</v>
      </c>
    </row>
    <row r="26">
      <c r="A26" s="14" t="inlineStr">
        <is>
          <t>Shares (mm)</t>
        </is>
      </c>
      <c r="B26" s="57">
        <f>Main!C4</f>
        <v>55.971338</v>
      </c>
    </row>
    <row r="27">
      <c r="A27" s="24" t="inlineStr">
        <is>
          <t>rNPV / share</t>
        </is>
      </c>
      <c r="B27" s="60">
        <f>B25/B26</f>
        <v>0.6900222150538372</v>
      </c>
    </row>
    <row r="28">
      <c r="A28" s="14" t="inlineStr">
        <is>
          <t>Price</t>
        </is>
      </c>
      <c r="B28" s="61">
        <f>Main!C3</f>
        <v>0.9605</v>
      </c>
    </row>
    <row r="29">
      <c r="A29" s="14" t="inlineStr">
        <is>
          <t>Upside</t>
        </is>
      </c>
      <c r="B29" s="62">
        <f>B27/B28-1</f>
        <v>-0.2816010254514969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2026-10-21T06:28:53Z</dcterms:modified>
  <cp:lastModifiedBy>Wang, Eric</cp:lastModifiedBy>
</cp:coreProperties>
</file>