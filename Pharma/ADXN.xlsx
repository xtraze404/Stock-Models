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Addex Therapeutics Ltd</t>
        </is>
      </c>
      <c r="C2" s="10" t="n"/>
    </row>
    <row r="3">
      <c r="B3" t="inlineStr">
        <is>
          <t>Price</t>
        </is>
      </c>
      <c r="C3" s="11">
        <f>INDEX([1]Pharma!$F$1:$F$1000,MATCH("ADXN",[1]Pharma!$B$1:$B$1000,0))</f>
        <v>3.05</v>
      </c>
      <c r="F3" s="1" t="n"/>
    </row>
    <row r="4">
      <c r="B4" t="inlineStr">
        <is>
          <t>Shares</t>
        </is>
      </c>
      <c r="C4" s="21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21">
        <f>(2.301+0.007)/0.82396</f>
        <v>2.80110684984708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-2.80110684984708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-1.748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1.602463872910229</v>
      </c>
    </row>
    <row r="19">
      <c r="B19" s="14" t="inlineStr">
        <is>
          <t>Implied Pipeline Value</t>
        </is>
      </c>
      <c r="C19" s="13">
        <f>C9</f>
        <v>-2.80110684984708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0.607</v>
      </c>
      <c r="C2" s="23" t="n">
        <v>8.135</v>
      </c>
      <c r="D2" s="23" t="n">
        <v>3.439</v>
      </c>
      <c r="E2" s="23" t="n">
        <v>4.708</v>
      </c>
      <c r="F2" s="23" t="n">
        <v>3.827</v>
      </c>
      <c r="G2" s="23" t="n">
        <v>1.754</v>
      </c>
      <c r="H2" s="23" t="n">
        <v>1.963</v>
      </c>
      <c r="I2" s="23" t="n">
        <v>0.498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0.607</v>
      </c>
      <c r="C4" s="23">
        <f>C2-C3</f>
        <v>8.135</v>
      </c>
      <c r="D4" s="23">
        <f>D2-D3</f>
        <v>3.439</v>
      </c>
      <c r="E4" s="23">
        <f>E2-E3</f>
        <v>4.708</v>
      </c>
      <c r="F4" s="23">
        <f>F2-F3</f>
        <v>3.827</v>
      </c>
      <c r="G4" s="23">
        <f>G2-G3</f>
        <v>1.754</v>
      </c>
      <c r="H4" s="23">
        <f>H2-H3</f>
        <v>1.963</v>
      </c>
      <c r="I4" s="23">
        <f>I2-I3</f>
        <v>0.498</v>
      </c>
      <c r="J4" s="1" t="n"/>
      <c r="K4" s="1" t="n"/>
    </row>
    <row r="5">
      <c r="A5" s="2" t="inlineStr">
        <is>
          <t>Research &amp; Dev.</t>
        </is>
      </c>
      <c r="B5" s="23" t="n">
        <v>3.191</v>
      </c>
      <c r="C5" s="23" t="n">
        <v>5.97</v>
      </c>
      <c r="D5" s="23" t="n">
        <v>15.115</v>
      </c>
      <c r="E5" s="23" t="n">
        <v>12.589</v>
      </c>
      <c r="F5" s="23" t="n">
        <v>15.584</v>
      </c>
      <c r="G5" s="23" t="n">
        <v>10.005</v>
      </c>
      <c r="H5" s="23" t="n">
        <v>1.44</v>
      </c>
      <c r="I5" s="23" t="n">
        <v>1.037</v>
      </c>
      <c r="J5" s="1" t="n"/>
      <c r="K5" s="1" t="n"/>
    </row>
    <row r="6">
      <c r="A6" s="19" t="inlineStr">
        <is>
          <t>SG&amp;A &amp; Other</t>
        </is>
      </c>
      <c r="B6" s="23" t="n">
        <v>1.342</v>
      </c>
      <c r="C6" s="23" t="n">
        <v>3.894</v>
      </c>
      <c r="D6" s="23" t="n">
        <v>6.049</v>
      </c>
      <c r="E6" s="23" t="n">
        <v>6.978</v>
      </c>
      <c r="F6" s="23" t="n">
        <v>7.062</v>
      </c>
      <c r="G6" s="23" t="n">
        <v>4.541</v>
      </c>
      <c r="H6" s="23" t="n">
        <v>3.245</v>
      </c>
      <c r="I6" s="23" t="n">
        <v>2.805</v>
      </c>
      <c r="J6" s="1" t="n"/>
      <c r="K6" s="1" t="n"/>
    </row>
    <row r="7">
      <c r="A7" s="2" t="inlineStr">
        <is>
          <t>Operating Expense</t>
        </is>
      </c>
      <c r="B7" s="23">
        <f>SUM(B5:B6)</f>
        <v>4.5329999999999995</v>
      </c>
      <c r="C7" s="23">
        <f>SUM(C5:C6)</f>
        <v>9.864</v>
      </c>
      <c r="D7" s="23">
        <f>SUM(D5:D6)</f>
        <v>21.164</v>
      </c>
      <c r="E7" s="23">
        <f>SUM(E5:E6)</f>
        <v>19.567</v>
      </c>
      <c r="F7" s="23">
        <f>SUM(F5:F6)</f>
        <v>22.646</v>
      </c>
      <c r="G7" s="23">
        <f>SUM(G5:G6)</f>
        <v>14.546000000000001</v>
      </c>
      <c r="H7" s="23">
        <f>SUM(H5:H6)</f>
        <v>4.6850000000000005</v>
      </c>
      <c r="I7" s="23">
        <f>SUM(I5:I6)</f>
        <v>3.842</v>
      </c>
      <c r="J7" s="1" t="n"/>
      <c r="K7" s="1" t="n"/>
    </row>
    <row r="8">
      <c r="A8" s="2" t="inlineStr">
        <is>
          <t>Operating Income</t>
        </is>
      </c>
      <c r="B8" s="23">
        <f>B4-B7</f>
        <v>-3.9259999999999993</v>
      </c>
      <c r="C8" s="23">
        <f>C4-C7</f>
        <v>-1.729000000000001</v>
      </c>
      <c r="D8" s="23">
        <f>D4-D7</f>
        <v>-17.725</v>
      </c>
      <c r="E8" s="23">
        <f>E4-E7</f>
        <v>-14.859</v>
      </c>
      <c r="F8" s="23">
        <f>F4-F7</f>
        <v>-18.819000000000003</v>
      </c>
      <c r="G8" s="23">
        <f>G4-G7</f>
        <v>-12.792000000000002</v>
      </c>
      <c r="H8" s="23">
        <f>H4-H7</f>
        <v>-2.7220000000000004</v>
      </c>
      <c r="I8" s="23">
        <f>I4-I7</f>
        <v>-3.3440000000000003</v>
      </c>
      <c r="J8" s="1" t="n"/>
      <c r="K8" s="1" t="n"/>
    </row>
    <row r="9">
      <c r="A9" s="19" t="inlineStr">
        <is>
          <t>Interest &amp; Other</t>
        </is>
      </c>
      <c r="B9" s="23" t="n">
        <v>-0.055</v>
      </c>
      <c r="C9" s="23" t="n">
        <v>-0.267</v>
      </c>
      <c r="D9" s="23" t="n">
        <v>-0.214</v>
      </c>
      <c r="E9" s="23" t="n">
        <v>-0.747</v>
      </c>
      <c r="F9" s="23" t="n">
        <v>0.187</v>
      </c>
      <c r="G9" s="23" t="n">
        <v>-12.456</v>
      </c>
      <c r="H9" s="23" t="n">
        <v>-10.089</v>
      </c>
      <c r="I9" s="23" t="n">
        <v>11.907</v>
      </c>
    </row>
    <row r="10">
      <c r="A10" s="2" t="inlineStr">
        <is>
          <t>Pretax</t>
        </is>
      </c>
      <c r="B10" s="23">
        <f>B8+B9</f>
        <v>-3.9809999999999994</v>
      </c>
      <c r="C10" s="23">
        <f>C8+C9</f>
        <v>-1.9960000000000009</v>
      </c>
      <c r="D10" s="23">
        <f>D8+D9</f>
        <v>-17.939</v>
      </c>
      <c r="E10" s="23">
        <f>E8+E9</f>
        <v>-15.606</v>
      </c>
      <c r="F10" s="23">
        <f>F8+F9</f>
        <v>-18.632</v>
      </c>
      <c r="G10" s="23">
        <f>G8+G9</f>
        <v>-25.248</v>
      </c>
      <c r="H10" s="23">
        <f>H8+H9</f>
        <v>-12.811</v>
      </c>
      <c r="I10" s="23">
        <f>I8+I9</f>
        <v>8.562999999999999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-3.981</v>
      </c>
      <c r="C12" s="23" t="n">
        <v>-1.996</v>
      </c>
      <c r="D12" s="23" t="n">
        <v>-17.938</v>
      </c>
      <c r="E12" s="23" t="n">
        <v>-15.606</v>
      </c>
      <c r="F12" s="23" t="n">
        <v>-18.632</v>
      </c>
      <c r="G12" s="23" t="n">
        <v>-25.249</v>
      </c>
      <c r="H12" s="23" t="n">
        <v>-12.812</v>
      </c>
      <c r="I12" s="23" t="n">
        <v>8.563000000000001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-0.3076269221853025</v>
      </c>
      <c r="C13" s="11">
        <f>IFERROR(C12/C14,0)</f>
        <v>-0.08569098012278367</v>
      </c>
      <c r="D13" s="11">
        <f>IFERROR(D12/D14,0)</f>
        <v>-0.67874981080672</v>
      </c>
      <c r="E13" s="11">
        <f>IFERROR(E12/E14,0)</f>
        <v>-0.5848886890038228</v>
      </c>
      <c r="F13" s="11">
        <f>IFERROR(F12/F14,0)</f>
        <v>-0.5460726846424385</v>
      </c>
      <c r="G13" s="11">
        <f>IFERROR(G12/G14,0)</f>
        <v>-0.5587916343919441</v>
      </c>
      <c r="H13" s="11">
        <f>IFERROR(H12/H14,0)</f>
        <v>-0.17241750551757548</v>
      </c>
      <c r="I13" s="11">
        <f>IFERROR(I12/I14,0)</f>
        <v>0.08727691539347487</v>
      </c>
    </row>
    <row r="14">
      <c r="A14" s="2" t="inlineStr">
        <is>
          <t>Shares</t>
        </is>
      </c>
      <c r="B14" s="23" t="n">
        <v>12.941</v>
      </c>
      <c r="C14" s="23" t="n">
        <v>23.293</v>
      </c>
      <c r="D14" s="23" t="n">
        <v>26.428</v>
      </c>
      <c r="E14" s="23" t="n">
        <v>26.682</v>
      </c>
      <c r="F14" s="23" t="n">
        <v>34.12</v>
      </c>
      <c r="G14" s="23" t="n">
        <v>45.185</v>
      </c>
      <c r="H14" s="23" t="n">
        <v>74.30800000000001</v>
      </c>
      <c r="I14" s="23" t="n">
        <v>98.113</v>
      </c>
    </row>
    <row r="15"/>
    <row r="16" customFormat="1" s="4">
      <c r="A16" s="3" t="inlineStr">
        <is>
          <t>Revenue Change</t>
        </is>
      </c>
      <c r="C16" s="15">
        <f>IFERROR(C2/B2-1,"")</f>
        <v>12.401976935749587</v>
      </c>
      <c r="D16" s="15">
        <f>IFERROR(D2/C2-1,"")</f>
        <v>-0.577258758451137</v>
      </c>
      <c r="E16" s="15">
        <f>IFERROR(E2/D2-1,"")</f>
        <v>0.3690026170398373</v>
      </c>
      <c r="F16" s="15">
        <f>IFERROR(F2/E2-1,"")</f>
        <v>-0.18712829226847927</v>
      </c>
      <c r="G16" s="15">
        <f>IFERROR(G2/F2-1,"")</f>
        <v>-0.5416775542200156</v>
      </c>
      <c r="H16" s="15">
        <f>IFERROR(H2/G2-1,"")</f>
        <v>0.11915621436716073</v>
      </c>
      <c r="I16" s="15">
        <f>IFERROR(I2/H2-1,"")</f>
        <v>-0.7463066734589914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>-6.467874794069192</v>
      </c>
      <c r="C18" s="15">
        <f>IFERROR(C8/C2,"")</f>
        <v>-0.2125384142593732</v>
      </c>
      <c r="D18" s="15">
        <f>IFERROR(D8/D2,"")</f>
        <v>-5.154114568188427</v>
      </c>
      <c r="E18" s="15">
        <f>IFERROR(E8/E2,"")</f>
        <v>-3.1561172472387424</v>
      </c>
      <c r="F18" s="15">
        <f>IFERROR(F8/F2,"")</f>
        <v>-4.917428795401098</v>
      </c>
      <c r="G18" s="15">
        <f>IFERROR(G8/G2,"")</f>
        <v>-7.293044469783354</v>
      </c>
      <c r="H18" s="15">
        <f>IFERROR(H8/H2,"")</f>
        <v>-1.3866530820173206</v>
      </c>
      <c r="I18" s="15">
        <f>IFERROR(I8/I2,"")</f>
        <v>-6.714859437751005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2026-10-21T01:06:57Z</dcterms:modified>
  <cp:lastModifiedBy>Wang, Eric</cp:lastModifiedBy>
</cp:coreProperties>
</file>