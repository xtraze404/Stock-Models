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Telix Pharmaceuticals Limited</t>
        </is>
      </c>
      <c r="C2" s="10" t="n"/>
    </row>
    <row r="3">
      <c r="B3" t="inlineStr">
        <is>
          <t>Price</t>
        </is>
      </c>
      <c r="C3" s="11">
        <f>INDEX([1]Pharma!$F$1:$F$1000,MATCH("TLX",[1]Pharma!$B$1:$B$1000,0))</f>
        <v>11.16</v>
      </c>
      <c r="F3" s="1" t="n"/>
    </row>
    <row r="4">
      <c r="B4" t="inlineStr">
        <is>
          <t>Shares</t>
        </is>
      </c>
      <c r="C4" s="51" t="n">
        <v>338.777049</v>
      </c>
      <c r="F4" s="1" t="n"/>
    </row>
    <row r="5">
      <c r="B5" t="inlineStr">
        <is>
          <t>Market Cap.</t>
        </is>
      </c>
      <c r="C5" s="13">
        <f>C3*C4</f>
        <v>3780.75186684</v>
      </c>
      <c r="F5" s="1" t="n"/>
    </row>
    <row r="6"/>
    <row r="7">
      <c r="B7" t="inlineStr">
        <is>
          <t>Cash</t>
        </is>
      </c>
      <c r="C7" s="51" t="n">
        <v>141.866</v>
      </c>
    </row>
    <row r="8">
      <c r="B8" t="inlineStr">
        <is>
          <t>Debt</t>
        </is>
      </c>
      <c r="C8" s="51">
        <f>13.11+391.914</f>
        <v>405.024</v>
      </c>
    </row>
    <row r="9">
      <c r="B9" t="inlineStr">
        <is>
          <t>Enterprise V.</t>
        </is>
      </c>
      <c r="C9" s="13">
        <f>C5-C7+C8</f>
        <v>4043.9098668399997</v>
      </c>
    </row>
    <row r="10"/>
    <row r="11">
      <c r="B11" s="14" t="inlineStr">
        <is>
          <t>NPV / Share</t>
        </is>
      </c>
      <c r="C11" s="11">
        <f>NPV!B28</f>
        <v>11.325641162457769</v>
      </c>
    </row>
    <row r="12">
      <c r="B12" s="14" t="inlineStr">
        <is>
          <t>Upside</t>
        </is>
      </c>
      <c r="C12" s="15">
        <f>IFERROR(C11/C3-1,"")</f>
        <v>0.014842398069692564</v>
      </c>
    </row>
    <row r="13">
      <c r="B13" s="14" t="inlineStr">
        <is>
          <t>Cash / Share</t>
        </is>
      </c>
      <c r="C13" s="11">
        <f>IFERROR((C7-C8)/C4,"")</f>
        <v>-0.7767881583973536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2022</v>
      </c>
      <c r="C1" s="16" t="n">
        <v>2023</v>
      </c>
      <c r="D1" s="16" t="n">
        <v>2024</v>
      </c>
      <c r="E1" s="16" t="n">
        <v>2025</v>
      </c>
      <c r="F1" s="16" t="n">
        <v>2026</v>
      </c>
      <c r="G1" s="16" t="n">
        <v>2027</v>
      </c>
      <c r="H1" s="16" t="n">
        <v>2028</v>
      </c>
      <c r="I1" s="16" t="n">
        <v>2029</v>
      </c>
      <c r="J1" s="16" t="n">
        <v>2030</v>
      </c>
      <c r="K1" s="16" t="n">
        <v>2031</v>
      </c>
      <c r="L1" s="16" t="n">
        <v>2032</v>
      </c>
      <c r="M1" s="16" t="n">
        <v>2033</v>
      </c>
      <c r="N1" s="16" t="n">
        <v>2034</v>
      </c>
      <c r="O1" s="16" t="n">
        <v>2035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111.41</v>
      </c>
      <c r="C2" s="52" t="n">
        <v>332.978</v>
      </c>
      <c r="D2" s="52" t="n">
        <v>516.551</v>
      </c>
      <c r="E2" s="52" t="n">
        <v>803.794</v>
      </c>
      <c r="F2" s="52">
        <f>E2*(1+NPV!C5)</f>
        <v>1085.1219</v>
      </c>
      <c r="G2" s="52">
        <f>F2*(1+NPV!D5)</f>
        <v>1425.7296075000002</v>
      </c>
      <c r="H2" s="52">
        <f>G2*(1+NPV!E5)</f>
        <v>1821.7656095833333</v>
      </c>
      <c r="I2" s="52">
        <f>H2*(1+NPV!F5)</f>
        <v>2262.0256318993056</v>
      </c>
      <c r="J2" s="52">
        <f>I2*(1+NPV!G5)</f>
        <v>2726.9975673452736</v>
      </c>
      <c r="K2" s="52">
        <f>J2*(1+NPV!H5)</f>
        <v>3189.0721551454453</v>
      </c>
      <c r="L2" s="52">
        <f>K2*(1+NPV!I5)</f>
        <v>3614.2817758315045</v>
      </c>
      <c r="M2" s="52">
        <f>L2*(1+NPV!J5)</f>
        <v>3965.6702818151234</v>
      </c>
      <c r="N2" s="52">
        <f>M2*(1+NPV!K5)</f>
        <v>4208.016799037158</v>
      </c>
      <c r="O2" s="52">
        <f>N2*(1+NPV!L5)</f>
        <v>4313.217219013087</v>
      </c>
    </row>
    <row r="3" customFormat="1" s="1">
      <c r="A3" s="5" t="inlineStr">
        <is>
          <t>Cost of Sales</t>
        </is>
      </c>
      <c r="B3" s="52" t="n">
        <v>45.351</v>
      </c>
      <c r="C3" s="52" t="n">
        <v>123.445</v>
      </c>
      <c r="D3" s="52" t="n">
        <v>180.388</v>
      </c>
      <c r="E3" s="52" t="n">
        <v>377.356</v>
      </c>
      <c r="F3" s="52">
        <f>F2*(1-Assumptions!$B$19)</f>
        <v>509.46473205000007</v>
      </c>
      <c r="G3" s="52">
        <f>G2*(1-Assumptions!$B$19)</f>
        <v>669.3800507212501</v>
      </c>
      <c r="H3" s="52">
        <f>H2*(1-Assumptions!$B$19)</f>
        <v>855.318953699375</v>
      </c>
      <c r="I3" s="52">
        <f>I2*(1-Assumptions!$B$19)</f>
        <v>1062.021034176724</v>
      </c>
      <c r="J3" s="52">
        <f>J2*(1-Assumptions!$B$19)</f>
        <v>1280.325357868606</v>
      </c>
      <c r="K3" s="52">
        <f>K2*(1-Assumptions!$B$19)</f>
        <v>1497.2693768407867</v>
      </c>
      <c r="L3" s="52">
        <f>L2*(1-Assumptions!$B$19)</f>
        <v>1696.9052937528916</v>
      </c>
      <c r="M3" s="52">
        <f>M2*(1-Assumptions!$B$19)</f>
        <v>1861.8821973122006</v>
      </c>
      <c r="N3" s="52">
        <f>N2*(1-Assumptions!$B$19)</f>
        <v>1975.6638871479458</v>
      </c>
      <c r="O3" s="52">
        <f>O2*(1-Assumptions!$B$19)</f>
        <v>2025.0554843266443</v>
      </c>
    </row>
    <row r="4" customFormat="1" s="1">
      <c r="A4" s="5" t="inlineStr">
        <is>
          <t>Gross Margin</t>
        </is>
      </c>
      <c r="B4" s="52">
        <f>B2-B3</f>
        <v>66.059</v>
      </c>
      <c r="C4" s="52">
        <f>C2-C3</f>
        <v>209.53300000000002</v>
      </c>
      <c r="D4" s="52">
        <f>D2-D3</f>
        <v>336.163</v>
      </c>
      <c r="E4" s="52">
        <f>E2-E3</f>
        <v>426.438</v>
      </c>
      <c r="F4" s="52">
        <f>F2-F3</f>
        <v>575.65716795</v>
      </c>
      <c r="G4" s="52">
        <f>G2-G3</f>
        <v>756.3495567787501</v>
      </c>
      <c r="H4" s="52">
        <f>H2-H3</f>
        <v>966.4466558839583</v>
      </c>
      <c r="I4" s="52">
        <f>I2-I3</f>
        <v>1200.0045977225816</v>
      </c>
      <c r="J4" s="52">
        <f>J2-J3</f>
        <v>1446.6722094766676</v>
      </c>
      <c r="K4" s="52">
        <f>K2-K3</f>
        <v>1691.8027783046587</v>
      </c>
      <c r="L4" s="52">
        <f>L2-L3</f>
        <v>1917.376482078613</v>
      </c>
      <c r="M4" s="52">
        <f>M2-M3</f>
        <v>2103.788084502923</v>
      </c>
      <c r="N4" s="52">
        <f>N2-N3</f>
        <v>2232.3529118892125</v>
      </c>
      <c r="O4" s="52">
        <f>O2-O3</f>
        <v>2288.1617346864423</v>
      </c>
    </row>
    <row r="5">
      <c r="A5" s="2" t="inlineStr">
        <is>
          <t>Research &amp; Dev.</t>
        </is>
      </c>
      <c r="B5" s="52" t="n">
        <v>56.15</v>
      </c>
      <c r="C5" s="52" t="n">
        <v>85.315</v>
      </c>
      <c r="D5" s="52" t="n">
        <v>127.93</v>
      </c>
      <c r="E5" s="52" t="n">
        <v>171.249</v>
      </c>
      <c r="F5" s="52">
        <f>F7*Assumptions!$B$20</f>
        <v>223.542967682556</v>
      </c>
      <c r="G5" s="52">
        <f>G7*Assumptions!$B$20</f>
        <v>283.67817564096697</v>
      </c>
      <c r="H5" s="52">
        <f>H7*Assumptions!$B$20</f>
        <v>349.65843259195776</v>
      </c>
      <c r="I5" s="52">
        <f>I7*Assumptions!$B$20</f>
        <v>418.24200208410537</v>
      </c>
      <c r="J5" s="52">
        <f>J7*Assumptions!$B$20</f>
        <v>485.02487812705726</v>
      </c>
      <c r="K5" s="52">
        <f>K7*Assumptions!$B$20</f>
        <v>544.7690732181974</v>
      </c>
      <c r="L5" s="52">
        <f>L7*Assumptions!$B$20</f>
        <v>591.9722969324789</v>
      </c>
      <c r="M5" s="52">
        <f>M7*Assumptions!$B$20</f>
        <v>621.6198874054967</v>
      </c>
      <c r="N5" s="52">
        <f>N7*Assumptions!$B$20</f>
        <v>629.9971755236575</v>
      </c>
      <c r="O5" s="52">
        <f>O7*Assumptions!$B$20</f>
        <v>615.3962461745472</v>
      </c>
    </row>
    <row r="6">
      <c r="A6" s="18" t="inlineStr">
        <is>
          <t>SG&amp;A &amp; Other</t>
        </is>
      </c>
      <c r="B6" s="52" t="n">
        <v>73.88200000000001</v>
      </c>
      <c r="C6" s="52" t="n">
        <v>113.21</v>
      </c>
      <c r="D6" s="52" t="n">
        <v>153.056</v>
      </c>
      <c r="E6" s="52" t="n">
        <v>225.413</v>
      </c>
      <c r="F6" s="52">
        <f>F7-F5</f>
        <v>294.2772029974441</v>
      </c>
      <c r="G6" s="52">
        <f>G7-G5</f>
        <v>373.44060045578306</v>
      </c>
      <c r="H6" s="52">
        <f>H7-H5</f>
        <v>460.29855742879226</v>
      </c>
      <c r="I6" s="52">
        <f>I7-I5</f>
        <v>550.5835760583672</v>
      </c>
      <c r="J6" s="52">
        <f>J7-J5</f>
        <v>638.4981196191954</v>
      </c>
      <c r="K6" s="52">
        <f>K7-K5</f>
        <v>717.1467785728552</v>
      </c>
      <c r="L6" s="52">
        <f>L7-L5</f>
        <v>779.2862088179936</v>
      </c>
      <c r="M6" s="52">
        <f>M7-M5</f>
        <v>818.3149919215748</v>
      </c>
      <c r="N6" s="52">
        <f>N7-N5</f>
        <v>829.343050382429</v>
      </c>
      <c r="O6" s="52">
        <f>O7-O5</f>
        <v>810.1220447092777</v>
      </c>
    </row>
    <row r="7">
      <c r="A7" s="2" t="inlineStr">
        <is>
          <t>Operating Expense</t>
        </is>
      </c>
      <c r="B7" s="52">
        <f>SUM(B5:B6)</f>
        <v>130.032</v>
      </c>
      <c r="C7" s="52">
        <f>SUM(C5:C6)</f>
        <v>198.52499999999998</v>
      </c>
      <c r="D7" s="52">
        <f>SUM(D5:D6)</f>
        <v>280.986</v>
      </c>
      <c r="E7" s="52">
        <f>SUM(E5:E6)</f>
        <v>396.66200000000003</v>
      </c>
      <c r="F7" s="52">
        <f>F4-F2*NPV!C6</f>
        <v>517.82017068</v>
      </c>
      <c r="G7" s="52">
        <f>G4-G2*NPV!D6</f>
        <v>657.11877609675</v>
      </c>
      <c r="H7" s="52">
        <f>H4-H2*NPV!E6</f>
        <v>809.95699002075</v>
      </c>
      <c r="I7" s="52">
        <f>I4-I2*NPV!F6</f>
        <v>968.8255781424725</v>
      </c>
      <c r="J7" s="52">
        <f>J4-J2*NPV!G6</f>
        <v>1123.5229977462527</v>
      </c>
      <c r="K7" s="52">
        <f>K4-K2*NPV!H6</f>
        <v>1261.9158517910525</v>
      </c>
      <c r="L7" s="52">
        <f>L4-L2*NPV!I6</f>
        <v>1371.2585057504725</v>
      </c>
      <c r="M7" s="52">
        <f>M4-M2*NPV!J6</f>
        <v>1439.9348793270715</v>
      </c>
      <c r="N7" s="52">
        <f>N4-N2*NPV!K6</f>
        <v>1459.3402259060865</v>
      </c>
      <c r="O7" s="52">
        <f>O4-O2*NPV!L6</f>
        <v>1425.5182908838249</v>
      </c>
    </row>
    <row r="8">
      <c r="A8" s="2" t="inlineStr">
        <is>
          <t>Operating Income</t>
        </is>
      </c>
      <c r="B8" s="52">
        <f>B4-B7</f>
        <v>-63.97300000000001</v>
      </c>
      <c r="C8" s="52">
        <f>C4-C7</f>
        <v>11.008000000000038</v>
      </c>
      <c r="D8" s="52">
        <f>D4-D7</f>
        <v>55.17700000000002</v>
      </c>
      <c r="E8" s="52">
        <f>E4-E7</f>
        <v>29.775999999999954</v>
      </c>
      <c r="F8" s="52">
        <f>F4-F7</f>
        <v>57.83699726999998</v>
      </c>
      <c r="G8" s="52">
        <f>G4-G7</f>
        <v>99.23078068200005</v>
      </c>
      <c r="H8" s="52">
        <f>H4-H7</f>
        <v>156.4896658632083</v>
      </c>
      <c r="I8" s="52">
        <f>I4-I7</f>
        <v>231.17901958010907</v>
      </c>
      <c r="J8" s="52">
        <f>J4-J7</f>
        <v>323.1492117304149</v>
      </c>
      <c r="K8" s="52">
        <f>K4-K7</f>
        <v>429.8869265136061</v>
      </c>
      <c r="L8" s="52">
        <f>L4-L7</f>
        <v>546.1179763281405</v>
      </c>
      <c r="M8" s="52">
        <f>M4-M7</f>
        <v>663.8532051758516</v>
      </c>
      <c r="N8" s="52">
        <f>N4-N7</f>
        <v>773.012685983126</v>
      </c>
      <c r="O8" s="52">
        <f>O4-O7</f>
        <v>862.6434438026174</v>
      </c>
    </row>
    <row r="9">
      <c r="A9" s="18" t="inlineStr">
        <is>
          <t>Interest &amp; Other</t>
        </is>
      </c>
      <c r="B9" s="52" t="n">
        <v>-4.657</v>
      </c>
      <c r="C9" s="52" t="n">
        <v>-8.414</v>
      </c>
      <c r="D9" s="52" t="n">
        <v>-17.262</v>
      </c>
      <c r="E9" s="52" t="n">
        <v>-35.042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</row>
    <row r="10">
      <c r="A10" s="2" t="inlineStr">
        <is>
          <t>Pretax</t>
        </is>
      </c>
      <c r="B10" s="52">
        <f>B8+B9</f>
        <v>-68.63000000000001</v>
      </c>
      <c r="C10" s="52">
        <f>C8+C9</f>
        <v>2.5940000000000385</v>
      </c>
      <c r="D10" s="52">
        <f>D8+D9</f>
        <v>37.91500000000002</v>
      </c>
      <c r="E10" s="52">
        <f>E8+E9</f>
        <v>-5.266000000000048</v>
      </c>
      <c r="F10" s="52">
        <f>F8+F9</f>
        <v>57.83699726999998</v>
      </c>
      <c r="G10" s="52">
        <f>G8+G9</f>
        <v>99.23078068200005</v>
      </c>
      <c r="H10" s="52">
        <f>H8+H9</f>
        <v>156.4896658632083</v>
      </c>
      <c r="I10" s="52">
        <f>I8+I9</f>
        <v>231.17901958010907</v>
      </c>
      <c r="J10" s="52">
        <f>J8+J9</f>
        <v>323.1492117304149</v>
      </c>
      <c r="K10" s="52">
        <f>K8+K9</f>
        <v>429.8869265136061</v>
      </c>
      <c r="L10" s="52">
        <f>L8+L9</f>
        <v>546.1179763281405</v>
      </c>
      <c r="M10" s="52">
        <f>M8+M9</f>
        <v>663.8532051758516</v>
      </c>
      <c r="N10" s="52">
        <f>N8+N9</f>
        <v>773.012685983126</v>
      </c>
      <c r="O10" s="52">
        <f>O8+O9</f>
        <v>862.6434438026174</v>
      </c>
    </row>
    <row r="11">
      <c r="A11" s="2" t="inlineStr">
        <is>
          <t>Taxes</t>
        </is>
      </c>
      <c r="B11" s="52" t="n">
        <v>3.797</v>
      </c>
      <c r="C11" s="52" t="n">
        <v>-1.614</v>
      </c>
      <c r="D11" s="52" t="n">
        <v>4.23</v>
      </c>
      <c r="E11" s="52" t="n">
        <v>1.859</v>
      </c>
      <c r="F11" s="52">
        <f>MAX(0,F10)*Assumptions!$E$14</f>
        <v>9.832289535899998</v>
      </c>
      <c r="G11" s="52">
        <f>MAX(0,G10)*Assumptions!$E$14</f>
        <v>16.869232715940008</v>
      </c>
      <c r="H11" s="52">
        <f>MAX(0,H10)*Assumptions!$E$14</f>
        <v>26.603243196745414</v>
      </c>
      <c r="I11" s="52">
        <f>MAX(0,I10)*Assumptions!$E$14</f>
        <v>39.300433328618546</v>
      </c>
      <c r="J11" s="52">
        <f>MAX(0,J10)*Assumptions!$E$14</f>
        <v>54.93536599417054</v>
      </c>
      <c r="K11" s="52">
        <f>MAX(0,K10)*Assumptions!$E$14</f>
        <v>73.08077750731304</v>
      </c>
      <c r="L11" s="52">
        <f>MAX(0,L10)*Assumptions!$E$14</f>
        <v>92.84005597578388</v>
      </c>
      <c r="M11" s="52">
        <f>MAX(0,M10)*Assumptions!$E$14</f>
        <v>112.85504487989478</v>
      </c>
      <c r="N11" s="52">
        <f>MAX(0,N10)*Assumptions!$E$14</f>
        <v>131.41215661713142</v>
      </c>
      <c r="O11" s="52">
        <f>MAX(0,O10)*Assumptions!$E$14</f>
        <v>146.64938544644497</v>
      </c>
    </row>
    <row r="12">
      <c r="A12" s="2" t="inlineStr">
        <is>
          <t>Net Income</t>
        </is>
      </c>
      <c r="B12" s="52" t="n">
        <v>-72.428</v>
      </c>
      <c r="C12" s="52" t="n">
        <v>4.208</v>
      </c>
      <c r="D12" s="52" t="n">
        <v>33.685</v>
      </c>
      <c r="E12" s="52" t="n">
        <v>-7.125</v>
      </c>
      <c r="F12" s="52">
        <f>F10-F11</f>
        <v>48.00470773409999</v>
      </c>
      <c r="G12" s="52">
        <f>G10-G11</f>
        <v>82.36154796606004</v>
      </c>
      <c r="H12" s="52">
        <f>H10-H11</f>
        <v>129.8864226664629</v>
      </c>
      <c r="I12" s="52">
        <f>I10-I11</f>
        <v>191.87858625149053</v>
      </c>
      <c r="J12" s="52">
        <f>J10-J11</f>
        <v>268.21384573624437</v>
      </c>
      <c r="K12" s="52">
        <f>K10-K11</f>
        <v>356.8061490062931</v>
      </c>
      <c r="L12" s="52">
        <f>L10-L11</f>
        <v>453.27792035235655</v>
      </c>
      <c r="M12" s="52">
        <f>M10-M11</f>
        <v>550.9981602959568</v>
      </c>
      <c r="N12" s="52">
        <f>N10-N11</f>
        <v>641.6005293659946</v>
      </c>
      <c r="O12" s="52">
        <f>O10-O11</f>
        <v>715.9940583561724</v>
      </c>
    </row>
    <row r="13">
      <c r="A13" s="2" t="inlineStr">
        <is>
          <t>Earnings per Share</t>
        </is>
      </c>
      <c r="B13" s="11">
        <f>IFERROR(B12/B14,0)</f>
        <v>-0.2331543503174051</v>
      </c>
      <c r="C13" s="11">
        <f>IFERROR(C12/C14,0)</f>
        <v>0.01299928948750425</v>
      </c>
      <c r="D13" s="11">
        <f>IFERROR(D12/D14,0)</f>
        <v>0.09758450467571296</v>
      </c>
      <c r="E13" s="11">
        <f>IFERROR(E12/E14,0)</f>
        <v>-0.021087368296436607</v>
      </c>
      <c r="F13" s="11">
        <f>IFERROR(F12/F14,0)</f>
        <v>0.14169999967766408</v>
      </c>
      <c r="G13" s="11">
        <f>IFERROR(G12/G14,0)</f>
        <v>0.24311430839005876</v>
      </c>
      <c r="H13" s="11">
        <f>IFERROR(H12/H14,0)</f>
        <v>0.3833979398836516</v>
      </c>
      <c r="I13" s="11">
        <f>IFERROR(I12/I14,0)</f>
        <v>0.5663860253162857</v>
      </c>
      <c r="J13" s="11">
        <f>IFERROR(J12/J14,0)</f>
        <v>0.7917119726025017</v>
      </c>
      <c r="K13" s="11">
        <f>IFERROR(K12/K14,0)</f>
        <v>1.053218186000236</v>
      </c>
      <c r="L13" s="11">
        <f>IFERROR(L12/L14,0)</f>
        <v>1.3379829645790338</v>
      </c>
      <c r="M13" s="11">
        <f>IFERROR(M12/M14,0)</f>
        <v>1.6264329650499934</v>
      </c>
      <c r="N13" s="11">
        <f>IFERROR(N12/N14,0)</f>
        <v>1.8938724782563257</v>
      </c>
      <c r="O13" s="11">
        <f>IFERROR(O12/O14,0)</f>
        <v>2.1134668374662313</v>
      </c>
    </row>
    <row r="14">
      <c r="A14" s="2" t="inlineStr">
        <is>
          <t>Shares</t>
        </is>
      </c>
      <c r="B14" s="52" t="n">
        <v>310.644</v>
      </c>
      <c r="C14" s="52" t="n">
        <v>323.71</v>
      </c>
      <c r="D14" s="52" t="n">
        <v>345.188</v>
      </c>
      <c r="E14" s="52" t="n">
        <v>337.88</v>
      </c>
      <c r="F14" s="52">
        <f>Main!$C$4</f>
        <v>338.777049</v>
      </c>
      <c r="G14" s="52">
        <f>Main!$C$4</f>
        <v>338.777049</v>
      </c>
      <c r="H14" s="52">
        <f>Main!$C$4</f>
        <v>338.777049</v>
      </c>
      <c r="I14" s="52">
        <f>Main!$C$4</f>
        <v>338.777049</v>
      </c>
      <c r="J14" s="52">
        <f>Main!$C$4</f>
        <v>338.777049</v>
      </c>
      <c r="K14" s="52">
        <f>Main!$C$4</f>
        <v>338.777049</v>
      </c>
      <c r="L14" s="52">
        <f>Main!$C$4</f>
        <v>338.777049</v>
      </c>
      <c r="M14" s="52">
        <f>Main!$C$4</f>
        <v>338.777049</v>
      </c>
      <c r="N14" s="52">
        <f>Main!$C$4</f>
        <v>338.777049</v>
      </c>
      <c r="O14" s="52">
        <f>Main!$C$4</f>
        <v>338.777049</v>
      </c>
    </row>
    <row r="15"/>
    <row r="16" customFormat="1" s="4">
      <c r="A16" s="3" t="inlineStr">
        <is>
          <t>Revenue Change</t>
        </is>
      </c>
      <c r="C16" s="15">
        <f>IFERROR(C2/B2-1,"")</f>
        <v>1.98876222960237</v>
      </c>
      <c r="D16" s="15">
        <f>IFERROR(D2/C2-1,"")</f>
        <v>0.5513066929346684</v>
      </c>
      <c r="E16" s="15">
        <f>IFERROR(E2/D2-1,"")</f>
        <v>0.5560786834213851</v>
      </c>
      <c r="F16" s="15">
        <f>IFERROR(F2/E2-1,"")</f>
        <v>0.3500000000000001</v>
      </c>
      <c r="G16" s="15">
        <f>IFERROR(G2/F2-1,"")</f>
        <v>0.3138888888888889</v>
      </c>
      <c r="H16" s="15">
        <f>IFERROR(H2/G2-1,"")</f>
        <v>0.2777777777777777</v>
      </c>
      <c r="I16" s="15">
        <f>IFERROR(I2/H2-1,"")</f>
        <v>0.2416666666666667</v>
      </c>
      <c r="J16" s="15">
        <f>IFERROR(J2/I2-1,"")</f>
        <v>0.2055555555555555</v>
      </c>
      <c r="K16" s="15">
        <f>IFERROR(K2/J2-1,"")</f>
        <v>0.1694444444444445</v>
      </c>
      <c r="L16" s="15">
        <f>IFERROR(L2/K2-1,"")</f>
        <v>0.1333333333333333</v>
      </c>
      <c r="M16" s="15">
        <f>IFERROR(M2/L2-1,"")</f>
        <v>0.09722222222222232</v>
      </c>
      <c r="N16" s="15">
        <f>IFERROR(N2/M2-1,"")</f>
        <v>0.061111111111110894</v>
      </c>
      <c r="O16" s="15">
        <f>IFERROR(O2/N2-1,"")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0.5929360021542052</v>
      </c>
      <c r="C17" s="15">
        <f>IFERROR(C4/C2,"")</f>
        <v>0.6292698016085148</v>
      </c>
      <c r="D17" s="15">
        <f>IFERROR(D4/D2,"")</f>
        <v>0.6507837561053991</v>
      </c>
      <c r="E17" s="15">
        <f>IFERROR(E4/E2,"")</f>
        <v>0.5305314545766702</v>
      </c>
      <c r="F17" s="15">
        <f>IFERROR(F4/F2,"")</f>
        <v>0.5305</v>
      </c>
      <c r="G17" s="15">
        <f>IFERROR(G4/G2,"")</f>
        <v>0.5305</v>
      </c>
      <c r="H17" s="15">
        <f>IFERROR(H4/H2,"")</f>
        <v>0.5305</v>
      </c>
      <c r="I17" s="15">
        <f>IFERROR(I4/I2,"")</f>
        <v>0.5305</v>
      </c>
      <c r="J17" s="15">
        <f>IFERROR(J4/J2,"")</f>
        <v>0.5305</v>
      </c>
      <c r="K17" s="15">
        <f>IFERROR(K4/K2,"")</f>
        <v>0.5305</v>
      </c>
      <c r="L17" s="15">
        <f>IFERROR(L4/L2,"")</f>
        <v>0.5305</v>
      </c>
      <c r="M17" s="15">
        <f>IFERROR(M4/M2,"")</f>
        <v>0.5305000000000001</v>
      </c>
      <c r="N17" s="15">
        <f>IFERROR(N4/N2,"")</f>
        <v>0.5305</v>
      </c>
      <c r="O17" s="15">
        <f>IFERROR(O4/O2,"")</f>
        <v>0.5305</v>
      </c>
    </row>
    <row r="18">
      <c r="A18" s="14" t="inlineStr">
        <is>
          <t>Operating Margin</t>
        </is>
      </c>
      <c r="B18" s="15">
        <f>IFERROR(B8/B2,"")</f>
        <v>-0.5742123687281215</v>
      </c>
      <c r="C18" s="15">
        <f>IFERROR(C8/C2,"")</f>
        <v>0.03305924115106715</v>
      </c>
      <c r="D18" s="15">
        <f>IFERROR(D8/D2,"")</f>
        <v>0.10681810702137837</v>
      </c>
      <c r="E18" s="15">
        <f>IFERROR(E8/E2,"")</f>
        <v>0.03704431732508572</v>
      </c>
      <c r="F18" s="15">
        <f>IFERROR(F8/F2,"")</f>
        <v>0.05329999999999998</v>
      </c>
      <c r="G18" s="15">
        <f>IFERROR(G8/G2,"")</f>
        <v>0.06960000000000002</v>
      </c>
      <c r="H18" s="15">
        <f>IFERROR(H8/H2,"")</f>
        <v>0.08589999999999998</v>
      </c>
      <c r="I18" s="15">
        <f>IFERROR(I8/I2,"")</f>
        <v>0.10220000000000001</v>
      </c>
      <c r="J18" s="15">
        <f>IFERROR(J8/J2,"")</f>
        <v>0.11849999999999998</v>
      </c>
      <c r="K18" s="15">
        <f>IFERROR(K8/K2,"")</f>
        <v>0.13480000000000003</v>
      </c>
      <c r="L18" s="15">
        <f>IFERROR(L8/L2,"")</f>
        <v>0.15110000000000004</v>
      </c>
      <c r="M18" s="15">
        <f>IFERROR(M8/M2,"")</f>
        <v>0.1674</v>
      </c>
      <c r="N18" s="15">
        <f>IFERROR(N8/N2,"")</f>
        <v>0.1837</v>
      </c>
      <c r="O18" s="15">
        <f>IFERROR(O8/O2,"")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E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Telix Pharmaceuticals Limited: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0.037</v>
      </c>
    </row>
    <row r="19">
      <c r="A19" s="14" t="inlineStr">
        <is>
          <t>Gross margin (forecast)</t>
        </is>
      </c>
      <c r="B19" s="53" t="n">
        <v>0.5305</v>
      </c>
    </row>
    <row r="20">
      <c r="A20" s="14" t="inlineStr">
        <is>
          <t>R&amp;D share of operating expense (forecast)</t>
        </is>
      </c>
      <c r="B20" s="53" t="n">
        <v>0.4317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Model'!E2</f>
        <v>803.794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4100.025291050372</v>
      </c>
      <c r="C29" s="56">
        <f>NPV!B26</f>
        <v>3836.8672910503724</v>
      </c>
      <c r="D29" s="35">
        <f>NPV!B28</f>
        <v>11.325641162457769</v>
      </c>
      <c r="E29" s="57">
        <f>NPV!B30</f>
        <v>0.014842398069692564</v>
      </c>
    </row>
    <row r="30">
      <c r="A30" s="58" t="n">
        <v>1</v>
      </c>
      <c r="B30" s="59">
        <f t="dataTable" ref="B30:E32" r1="B4"/>
        <v>2005.7685889036225</v>
      </c>
      <c r="C30" s="59">
        <v>1742.6105889036226</v>
      </c>
      <c r="D30" s="39">
        <v>5.143827169070189</v>
      </c>
      <c r="E30" s="60">
        <v>-0.5390835870008792</v>
      </c>
    </row>
    <row r="31">
      <c r="A31" s="58" t="n">
        <v>2</v>
      </c>
      <c r="B31" s="59">
        <v>4100.025291050372</v>
      </c>
      <c r="C31" s="59">
        <v>3836.8672910503724</v>
      </c>
      <c r="D31" s="39">
        <v>11.325641162457769</v>
      </c>
      <c r="E31" s="60">
        <v>0.014842398069692564</v>
      </c>
    </row>
    <row r="32">
      <c r="A32" s="58" t="n">
        <v>3</v>
      </c>
      <c r="B32" s="59">
        <v>8039.193409400348</v>
      </c>
      <c r="C32" s="59">
        <v>7776.035409400348</v>
      </c>
      <c r="D32" s="39">
        <v>22.95325327484138</v>
      </c>
      <c r="E32" s="60">
        <v>1.0567431249857866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11.325641162457769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14.41841965750516</v>
      </c>
      <c r="C37" s="39">
        <v>15.49474922196598</v>
      </c>
      <c r="D37" s="39">
        <v>16.737098612099672</v>
      </c>
      <c r="E37" s="39">
        <v>18.186980075076274</v>
      </c>
      <c r="F37" s="39">
        <v>19.90100133955695</v>
      </c>
    </row>
    <row r="38">
      <c r="A38" s="62" t="n">
        <v>0.1</v>
      </c>
      <c r="B38" s="39">
        <v>11.965986983592266</v>
      </c>
      <c r="C38" s="39">
        <v>12.75287736753366</v>
      </c>
      <c r="D38" s="39">
        <v>13.645026606725255</v>
      </c>
      <c r="E38" s="39">
        <v>14.664995872651968</v>
      </c>
      <c r="F38" s="39">
        <v>15.842288328643743</v>
      </c>
    </row>
    <row r="39">
      <c r="A39" s="62" t="n">
        <v>0.11</v>
      </c>
      <c r="B39" s="39">
        <v>10.06982750308178</v>
      </c>
      <c r="C39" s="39">
        <v>10.662721095442963</v>
      </c>
      <c r="D39" s="39">
        <v>11.325641162457769</v>
      </c>
      <c r="E39" s="39">
        <v>12.071722229590538</v>
      </c>
      <c r="F39" s="39">
        <v>12.91760143691207</v>
      </c>
    </row>
    <row r="40">
      <c r="A40" s="62" t="n">
        <v>0.12</v>
      </c>
      <c r="B40" s="39">
        <v>8.567966529589357</v>
      </c>
      <c r="C40" s="39">
        <v>9.025549240988553</v>
      </c>
      <c r="D40" s="39">
        <v>9.531523501059498</v>
      </c>
      <c r="E40" s="39">
        <v>10.093958281345925</v>
      </c>
      <c r="F40" s="39">
        <v>10.722821195779138</v>
      </c>
    </row>
    <row r="41">
      <c r="A41" s="62" t="n">
        <v>0.13</v>
      </c>
      <c r="B41" s="39">
        <v>7.355041222039766</v>
      </c>
      <c r="C41" s="39">
        <v>7.715184633912846</v>
      </c>
      <c r="D41" s="39">
        <v>8.109814525379885</v>
      </c>
      <c r="E41" s="39">
        <v>8.544106934819984</v>
      </c>
      <c r="F41" s="39">
        <v>9.024327643364535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Telix Pharmaceuticals Limited: free-cash-flow DCF ($mm)</t>
        </is>
      </c>
    </row>
    <row r="3">
      <c r="A3" s="20" t="inlineStr">
        <is>
          <t>Fiscal year</t>
        </is>
      </c>
      <c r="B3" s="43">
        <f>'Yearly Model'!E1</f>
        <v>2025</v>
      </c>
      <c r="C3" s="43">
        <f>'Yearly Model'!F1</f>
        <v>2026</v>
      </c>
      <c r="D3" s="43">
        <f>'Yearly Model'!G1</f>
        <v>2027</v>
      </c>
      <c r="E3" s="43">
        <f>'Yearly Model'!H1</f>
        <v>2028</v>
      </c>
      <c r="F3" s="43">
        <f>'Yearly Model'!I1</f>
        <v>2029</v>
      </c>
      <c r="G3" s="43">
        <f>'Yearly Model'!J1</f>
        <v>2030</v>
      </c>
      <c r="H3" s="43">
        <f>'Yearly Model'!K1</f>
        <v>2031</v>
      </c>
      <c r="I3" s="43">
        <f>'Yearly Model'!L1</f>
        <v>2032</v>
      </c>
      <c r="J3" s="43">
        <f>'Yearly Model'!M1</f>
        <v>2033</v>
      </c>
      <c r="K3" s="43">
        <f>'Yearly Model'!N1</f>
        <v>2034</v>
      </c>
      <c r="L3" s="43">
        <f>'Yearly Model'!O1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0.03704431732508572</v>
      </c>
      <c r="C6" s="63">
        <f>Assumptions!$B$18+(Assumptions!$E$13-Assumptions!$B$18)*C4/Assumptions!$B$21</f>
        <v>0.0533</v>
      </c>
      <c r="D6" s="63">
        <f>Assumptions!$B$18+(Assumptions!$E$13-Assumptions!$B$18)*D4/Assumptions!$B$21</f>
        <v>0.0696</v>
      </c>
      <c r="E6" s="63">
        <f>Assumptions!$B$18+(Assumptions!$E$13-Assumptions!$B$18)*E4/Assumptions!$B$21</f>
        <v>0.0859</v>
      </c>
      <c r="F6" s="63">
        <f>Assumptions!$B$18+(Assumptions!$E$13-Assumptions!$B$18)*F4/Assumptions!$B$21</f>
        <v>0.10220000000000001</v>
      </c>
      <c r="G6" s="63">
        <f>Assumptions!$B$18+(Assumptions!$E$13-Assumptions!$B$18)*G4/Assumptions!$B$21</f>
        <v>0.1185</v>
      </c>
      <c r="H6" s="63">
        <f>Assumptions!$B$18+(Assumptions!$E$13-Assumptions!$B$18)*H4/Assumptions!$B$21</f>
        <v>0.1348</v>
      </c>
      <c r="I6" s="63">
        <f>Assumptions!$B$18+(Assumptions!$E$13-Assumptions!$B$18)*I4/Assumptions!$B$21</f>
        <v>0.1511</v>
      </c>
      <c r="J6" s="63">
        <f>Assumptions!$B$18+(Assumptions!$E$13-Assumptions!$B$18)*J4/Assumptions!$B$21</f>
        <v>0.16740000000000002</v>
      </c>
      <c r="K6" s="63">
        <f>Assumptions!$B$18+(Assumptions!$E$13-Assumptions!$B$18)*K4/Assumptions!$B$21</f>
        <v>0.1837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Model'!E2</f>
        <v>803.794</v>
      </c>
      <c r="C7" s="55">
        <f>'Yearly Model'!F2</f>
        <v>1085.1219</v>
      </c>
      <c r="D7" s="55">
        <f>'Yearly Model'!G2</f>
        <v>1425.7296075000002</v>
      </c>
      <c r="E7" s="55">
        <f>'Yearly Model'!H2</f>
        <v>1821.7656095833333</v>
      </c>
      <c r="F7" s="55">
        <f>'Yearly Model'!I2</f>
        <v>2262.0256318993056</v>
      </c>
      <c r="G7" s="55">
        <f>'Yearly Model'!J2</f>
        <v>2726.9975673452736</v>
      </c>
      <c r="H7" s="55">
        <f>'Yearly Model'!K2</f>
        <v>3189.0721551454453</v>
      </c>
      <c r="I7" s="55">
        <f>'Yearly Model'!L2</f>
        <v>3614.2817758315045</v>
      </c>
      <c r="J7" s="55">
        <f>'Yearly Model'!M2</f>
        <v>3965.6702818151234</v>
      </c>
      <c r="K7" s="55">
        <f>'Yearly Model'!N2</f>
        <v>4208.016799037158</v>
      </c>
      <c r="L7" s="55">
        <f>'Yearly Model'!O2</f>
        <v>4313.217219013087</v>
      </c>
    </row>
    <row r="8">
      <c r="A8" s="14" t="inlineStr">
        <is>
          <t>Operating income</t>
        </is>
      </c>
      <c r="B8" s="55">
        <f>'Yearly Model'!E8</f>
        <v>29.775999999999954</v>
      </c>
      <c r="C8" s="55">
        <f>'Yearly Model'!F8</f>
        <v>57.83699726999998</v>
      </c>
      <c r="D8" s="55">
        <f>'Yearly Model'!G8</f>
        <v>99.23078068200005</v>
      </c>
      <c r="E8" s="55">
        <f>'Yearly Model'!H8</f>
        <v>156.4896658632083</v>
      </c>
      <c r="F8" s="55">
        <f>'Yearly Model'!I8</f>
        <v>231.17901958010907</v>
      </c>
      <c r="G8" s="55">
        <f>'Yearly Model'!J8</f>
        <v>323.1492117304149</v>
      </c>
      <c r="H8" s="55">
        <f>'Yearly Model'!K8</f>
        <v>429.8869265136061</v>
      </c>
      <c r="I8" s="55">
        <f>'Yearly Model'!L8</f>
        <v>546.1179763281405</v>
      </c>
      <c r="J8" s="55">
        <f>'Yearly Model'!M8</f>
        <v>663.8532051758516</v>
      </c>
      <c r="K8" s="55">
        <f>'Yearly Model'!N8</f>
        <v>773.012685983126</v>
      </c>
      <c r="L8" s="55">
        <f>'Yearly Model'!O8</f>
        <v>862.6434438026174</v>
      </c>
    </row>
    <row r="9">
      <c r="A9" s="14" t="inlineStr">
        <is>
          <t>Tax on operating income</t>
        </is>
      </c>
      <c r="C9" s="52">
        <f>MAX(0,C8)*Assumptions!$E$14</f>
        <v>9.832289535899998</v>
      </c>
      <c r="D9" s="52">
        <f>MAX(0,D8)*Assumptions!$E$14</f>
        <v>16.869232715940008</v>
      </c>
      <c r="E9" s="52">
        <f>MAX(0,E8)*Assumptions!$E$14</f>
        <v>26.603243196745414</v>
      </c>
      <c r="F9" s="52">
        <f>MAX(0,F8)*Assumptions!$E$14</f>
        <v>39.300433328618546</v>
      </c>
      <c r="G9" s="52">
        <f>MAX(0,G8)*Assumptions!$E$14</f>
        <v>54.93536599417054</v>
      </c>
      <c r="H9" s="52">
        <f>MAX(0,H8)*Assumptions!$E$14</f>
        <v>73.08077750731304</v>
      </c>
      <c r="I9" s="52">
        <f>MAX(0,I8)*Assumptions!$E$14</f>
        <v>92.84005597578388</v>
      </c>
      <c r="J9" s="52">
        <f>MAX(0,J8)*Assumptions!$E$14</f>
        <v>112.85504487989478</v>
      </c>
      <c r="K9" s="52">
        <f>MAX(0,K8)*Assumptions!$E$14</f>
        <v>131.41215661713142</v>
      </c>
      <c r="L9" s="52">
        <f>MAX(0,L8)*Assumptions!$E$14</f>
        <v>146.64938544644497</v>
      </c>
    </row>
    <row r="10">
      <c r="A10" s="14" t="inlineStr">
        <is>
          <t>NOPAT</t>
        </is>
      </c>
      <c r="C10" s="52">
        <f>C8-C9</f>
        <v>48.00470773409999</v>
      </c>
      <c r="D10" s="52">
        <f>D8-D9</f>
        <v>82.36154796606004</v>
      </c>
      <c r="E10" s="52">
        <f>E8-E9</f>
        <v>129.8864226664629</v>
      </c>
      <c r="F10" s="52">
        <f>F8-F9</f>
        <v>191.87858625149053</v>
      </c>
      <c r="G10" s="52">
        <f>G8-G9</f>
        <v>268.21384573624437</v>
      </c>
      <c r="H10" s="52">
        <f>H8-H9</f>
        <v>356.8061490062931</v>
      </c>
      <c r="I10" s="52">
        <f>I8-I9</f>
        <v>453.27792035235655</v>
      </c>
      <c r="J10" s="52">
        <f>J8-J9</f>
        <v>550.9981602959568</v>
      </c>
      <c r="K10" s="52">
        <f>K8-K9</f>
        <v>641.6005293659946</v>
      </c>
      <c r="L10" s="52">
        <f>L8-L9</f>
        <v>715.9940583561724</v>
      </c>
    </row>
    <row r="11">
      <c r="A11" s="14" t="inlineStr">
        <is>
          <t>Reinvestment</t>
        </is>
      </c>
      <c r="C11" s="52">
        <f>(C7-B7)*Assumptions!$E$15</f>
        <v>70.33197500000003</v>
      </c>
      <c r="D11" s="52">
        <f>(D7-C7)*Assumptions!$E$15</f>
        <v>85.15192687500002</v>
      </c>
      <c r="E11" s="52">
        <f>(E7-D7)*Assumptions!$E$15</f>
        <v>99.0090005208333</v>
      </c>
      <c r="F11" s="52">
        <f>(F7-E7)*Assumptions!$E$15</f>
        <v>110.06500557899307</v>
      </c>
      <c r="G11" s="52">
        <f>(G7-F7)*Assumptions!$E$15</f>
        <v>116.24298386149201</v>
      </c>
      <c r="H11" s="52">
        <f>(H7-G7)*Assumptions!$E$15</f>
        <v>115.51864695004292</v>
      </c>
      <c r="I11" s="52">
        <f>(I7-H7)*Assumptions!$E$15</f>
        <v>106.3024051715148</v>
      </c>
      <c r="J11" s="52">
        <f>(J7-I7)*Assumptions!$E$15</f>
        <v>87.84712649590472</v>
      </c>
      <c r="K11" s="52">
        <f>(K7-J7)*Assumptions!$E$15</f>
        <v>60.58662930550872</v>
      </c>
      <c r="L11" s="52">
        <f>(L7-K7)*Assumptions!$E$15</f>
        <v>26.30010499398213</v>
      </c>
    </row>
    <row r="12">
      <c r="A12" s="20" t="inlineStr">
        <is>
          <t>Free cash flow</t>
        </is>
      </c>
      <c r="C12" s="64">
        <f>C10-C11</f>
        <v>-22.32726726590004</v>
      </c>
      <c r="D12" s="64">
        <f>D10-D11</f>
        <v>-2.790378908939971</v>
      </c>
      <c r="E12" s="64">
        <f>E10-E11</f>
        <v>30.877422145629595</v>
      </c>
      <c r="F12" s="64">
        <f>F10-F11</f>
        <v>81.81358067249747</v>
      </c>
      <c r="G12" s="64">
        <f>G10-G11</f>
        <v>151.97086187475236</v>
      </c>
      <c r="H12" s="64">
        <f>H10-H11</f>
        <v>241.28750205625016</v>
      </c>
      <c r="I12" s="64">
        <f>I10-I11</f>
        <v>346.97551518084174</v>
      </c>
      <c r="J12" s="64">
        <f>J10-J11</f>
        <v>463.1510338000521</v>
      </c>
      <c r="K12" s="64">
        <f>K10-K11</f>
        <v>581.0139000604859</v>
      </c>
      <c r="L12" s="64">
        <f>L10-L11</f>
        <v>689.6939533621903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0.949157995752499</v>
      </c>
      <c r="D15" s="65">
        <f>1/(1+Assumptions!$E$10)^D14</f>
        <v>0.8550972934707196</v>
      </c>
      <c r="E15" s="65">
        <f>1/(1+Assumptions!$E$10)^E14</f>
        <v>0.7703579220456934</v>
      </c>
      <c r="F15" s="65">
        <f>1/(1+Assumptions!$E$10)^F14</f>
        <v>0.694016145987111</v>
      </c>
      <c r="G15" s="65">
        <f>1/(1+Assumptions!$E$10)^G14</f>
        <v>0.6252397711595595</v>
      </c>
      <c r="H15" s="65">
        <f>1/(1+Assumptions!$E$10)^H14</f>
        <v>0.5632790731167202</v>
      </c>
      <c r="I15" s="65">
        <f>1/(1+Assumptions!$E$10)^I14</f>
        <v>0.5074586244294776</v>
      </c>
      <c r="J15" s="65">
        <f>1/(1+Assumptions!$E$10)^J14</f>
        <v>0.4571699319184483</v>
      </c>
      <c r="K15" s="65">
        <f>1/(1+Assumptions!$E$10)^K14</f>
        <v>0.4118648035301335</v>
      </c>
      <c r="L15" s="65">
        <f>1/(1+Assumptions!$E$10)^L14</f>
        <v>0.37104937254966985</v>
      </c>
    </row>
    <row r="16">
      <c r="A16" s="20" t="inlineStr">
        <is>
          <t>PV of free cash flow</t>
        </is>
      </c>
      <c r="C16" s="64">
        <f>C12*C13*C15</f>
        <v>-21.19210424873206</v>
      </c>
      <c r="D16" s="64">
        <f>D12*D13*D15</f>
        <v>-2.3860454527923487</v>
      </c>
      <c r="E16" s="64">
        <f>E12*E13*E15</f>
        <v>23.78666676223489</v>
      </c>
      <c r="F16" s="64">
        <f>F12*F13*F15</f>
        <v>56.77994594773229</v>
      </c>
      <c r="G16" s="64">
        <f>G12*G13*G15</f>
        <v>95.01822690149119</v>
      </c>
      <c r="H16" s="64">
        <f>H12*H13*H15</f>
        <v>135.91220051289332</v>
      </c>
      <c r="I16" s="64">
        <f>I12*I13*I15</f>
        <v>176.0757176443793</v>
      </c>
      <c r="J16" s="64">
        <f>J12*J13*J15</f>
        <v>211.73872659032878</v>
      </c>
      <c r="K16" s="64">
        <f>K12*K13*K15</f>
        <v>239.29917579668862</v>
      </c>
      <c r="L16" s="64">
        <f>L12*L13*L15</f>
        <v>255.91050864634198</v>
      </c>
    </row>
    <row r="19">
      <c r="A19" s="14" t="inlineStr">
        <is>
          <t>PV of forecast free cash flow</t>
        </is>
      </c>
      <c r="B19" s="52">
        <f>SUM(C16:L16)</f>
        <v>1170.9430191005658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706.9363021962448</v>
      </c>
    </row>
    <row r="21">
      <c r="A21" s="14" t="inlineStr">
        <is>
          <t>Terminal value</t>
        </is>
      </c>
      <c r="B21" s="52">
        <f>B20/(Assumptions!$E$10-Assumptions!$E$11)</f>
        <v>8316.897672897</v>
      </c>
    </row>
    <row r="22">
      <c r="A22" s="14" t="inlineStr">
        <is>
          <t>PV of terminal value</t>
        </is>
      </c>
      <c r="B22" s="52">
        <f>B21/(1+Assumptions!$E$10)^(L14+0.5)</f>
        <v>2929.0822719498065</v>
      </c>
    </row>
    <row r="23">
      <c r="A23" s="20" t="inlineStr">
        <is>
          <t>Enterprise value</t>
        </is>
      </c>
      <c r="B23" s="66">
        <f>B19+B22</f>
        <v>4100.025291050372</v>
      </c>
    </row>
    <row r="24">
      <c r="A24" s="14" t="inlineStr">
        <is>
          <t>Cash &amp; investments</t>
        </is>
      </c>
      <c r="B24" s="55">
        <f>Main!C7</f>
        <v>141.866</v>
      </c>
    </row>
    <row r="25">
      <c r="A25" s="14" t="inlineStr">
        <is>
          <t>Debt</t>
        </is>
      </c>
      <c r="B25" s="55">
        <f>Main!C8</f>
        <v>405.024</v>
      </c>
    </row>
    <row r="26">
      <c r="A26" s="20" t="inlineStr">
        <is>
          <t>Equity value</t>
        </is>
      </c>
      <c r="B26" s="66">
        <f>B23+B24-B25</f>
        <v>3836.8672910503724</v>
      </c>
    </row>
    <row r="27">
      <c r="A27" s="14" t="inlineStr">
        <is>
          <t>Shares (mm)</t>
        </is>
      </c>
      <c r="B27" s="55">
        <f>Main!C4</f>
        <v>338.777049</v>
      </c>
    </row>
    <row r="28">
      <c r="A28" s="20" t="inlineStr">
        <is>
          <t>NPV / share</t>
        </is>
      </c>
      <c r="B28" s="49">
        <f>B26/B27</f>
        <v>11.325641162457769</v>
      </c>
    </row>
    <row r="29">
      <c r="A29" s="14" t="inlineStr">
        <is>
          <t>Price</t>
        </is>
      </c>
      <c r="B29" s="50">
        <f>Main!C3</f>
        <v>11.16</v>
      </c>
    </row>
    <row r="30">
      <c r="A30" s="14" t="inlineStr">
        <is>
          <t>Upside</t>
        </is>
      </c>
      <c r="B30" s="63">
        <f>B28/B29-1</f>
        <v>0.014842398069692564</v>
      </c>
    </row>
    <row r="31">
      <c r="A31" s="14" t="inlineStr">
        <is>
          <t>Terminal value, % of EV</t>
        </is>
      </c>
      <c r="B31" s="63">
        <f>IFERROR(B22/B23,0)</f>
        <v>0.7144059033839312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2026-10-21T01:04:10Z</dcterms:modified>
  <cp:lastModifiedBy>Wang, Eric</cp:lastModifiedBy>
</cp:coreProperties>
</file>