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GSK plc</t>
        </is>
      </c>
      <c r="C2" s="10" t="n"/>
    </row>
    <row r="3">
      <c r="B3" t="inlineStr">
        <is>
          <t>Price</t>
        </is>
      </c>
      <c r="C3" s="11">
        <f>INDEX([1]Pharma!$F$1:$F$1000,MATCH("GSK",[1]Pharma!$B$1:$B$1000,0))</f>
        <v>50.645</v>
      </c>
      <c r="F3" s="1" t="n"/>
    </row>
    <row r="4">
      <c r="B4" t="inlineStr">
        <is>
          <t>Shares</t>
        </is>
      </c>
      <c r="C4" s="57">
        <f>4315.445026/2</f>
        <v>2157.722513</v>
      </c>
      <c r="F4" s="1" t="n"/>
    </row>
    <row r="5">
      <c r="B5" t="inlineStr">
        <is>
          <t>Market Cap.</t>
        </is>
      </c>
      <c r="C5" s="13">
        <f>C3*C4</f>
        <v>109277.85667088501</v>
      </c>
      <c r="F5" s="1" t="n"/>
    </row>
    <row r="6"/>
    <row r="7">
      <c r="B7" t="inlineStr">
        <is>
          <t>Cash</t>
        </is>
      </c>
      <c r="C7" s="57">
        <f>(3397)/0.74989</f>
        <v>4529.9977330008405</v>
      </c>
    </row>
    <row r="8">
      <c r="B8" t="inlineStr">
        <is>
          <t>Debt</t>
        </is>
      </c>
      <c r="C8" s="57">
        <f>(3012+14708)/0.74989</f>
        <v>23630.132419421516</v>
      </c>
    </row>
    <row r="9">
      <c r="B9" t="inlineStr">
        <is>
          <t>Enterprise V.</t>
        </is>
      </c>
      <c r="C9" s="13">
        <f>C5-C7+C8</f>
        <v>128377.99135730568</v>
      </c>
    </row>
    <row r="10"/>
    <row r="11">
      <c r="B11" s="14" t="inlineStr">
        <is>
          <t>NPV / Share</t>
        </is>
      </c>
      <c r="C11" s="11">
        <f>NPV!B28</f>
        <v>66.38616887121952</v>
      </c>
    </row>
    <row r="12">
      <c r="B12" s="14" t="inlineStr">
        <is>
          <t>Upside</t>
        </is>
      </c>
      <c r="C12" s="15">
        <f>IFERROR(C11/C3-1,"")</f>
        <v>0.31081387839311914</v>
      </c>
    </row>
    <row r="13">
      <c r="B13" s="14" t="inlineStr">
        <is>
          <t>Cash / Share</t>
        </is>
      </c>
      <c r="C13" s="11">
        <f>IFERROR((C7-C8)/C4,"")</f>
        <v>-8.851988414332624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31902.012</v>
      </c>
      <c r="C2" s="58" t="n">
        <v>37190.788</v>
      </c>
      <c r="D2" s="58" t="n">
        <v>40253.904</v>
      </c>
      <c r="E2" s="58" t="n">
        <v>41100.695</v>
      </c>
      <c r="F2" s="58" t="n">
        <v>45011.935</v>
      </c>
      <c r="G2" s="58" t="n">
        <v>32476.763</v>
      </c>
      <c r="H2" s="58" t="n">
        <v>32932.83</v>
      </c>
      <c r="I2" s="58" t="n">
        <v>39104.402</v>
      </c>
      <c r="J2" s="58" t="n">
        <v>40443.265</v>
      </c>
      <c r="K2" s="58" t="n">
        <v>41840.803</v>
      </c>
      <c r="L2" s="58" t="n">
        <v>43562.389</v>
      </c>
      <c r="M2" s="58">
        <f>L2*(1+NPV!C5)</f>
        <v>45304.884560000006</v>
      </c>
      <c r="N2" s="58">
        <f>M2*(1+NPV!D5)</f>
        <v>47117.07994240001</v>
      </c>
      <c r="O2" s="58">
        <f>N2*(1+NPV!E5)</f>
        <v>47117.07994240001</v>
      </c>
      <c r="P2" s="58">
        <f>O2*(1+NPV!F5)</f>
        <v>46174.73834355201</v>
      </c>
      <c r="Q2" s="58">
        <f>P2*(1+NPV!G5)</f>
        <v>47098.23311042305</v>
      </c>
      <c r="R2" s="58">
        <f>Q2*(1+NPV!H5)</f>
        <v>48982.16243483997</v>
      </c>
      <c r="S2" s="58">
        <f>R2*(1+NPV!I5)</f>
        <v>50451.627307885174</v>
      </c>
      <c r="T2" s="58">
        <f>S2*(1+NPV!J5)</f>
        <v>51965.17612712173</v>
      </c>
      <c r="U2" s="58">
        <f>T2*(1+NPV!K5)</f>
        <v>53264.305530299775</v>
      </c>
      <c r="V2" s="58">
        <f>U2*(1+NPV!L5)</f>
        <v>54595.913168557265</v>
      </c>
    </row>
    <row r="3" customFormat="1" s="1">
      <c r="A3" s="5" t="inlineStr">
        <is>
          <t>Cost of Sales</t>
        </is>
      </c>
      <c r="B3" s="58" t="n">
        <v>11805.732</v>
      </c>
      <c r="C3" s="58" t="n">
        <v>12388.484</v>
      </c>
      <c r="D3" s="58" t="n">
        <v>13791.356</v>
      </c>
      <c r="E3" s="58" t="n">
        <v>13656.67</v>
      </c>
      <c r="F3" s="58" t="n">
        <v>15819.654</v>
      </c>
      <c r="G3" s="58" t="n">
        <v>10573.551</v>
      </c>
      <c r="H3" s="58" t="n">
        <v>10885.597</v>
      </c>
      <c r="I3" s="58" t="n">
        <v>12740.535</v>
      </c>
      <c r="J3" s="58" t="n">
        <v>11421.675</v>
      </c>
      <c r="K3" s="58" t="n">
        <v>12065.77</v>
      </c>
      <c r="L3" s="58" t="n">
        <v>12024.43</v>
      </c>
      <c r="M3" s="58">
        <f>M2*(1-Assumptions!$B$19)</f>
        <v>12504.148138560002</v>
      </c>
      <c r="N3" s="58">
        <f>N2*(1-Assumptions!$B$19)</f>
        <v>13004.314064102404</v>
      </c>
      <c r="O3" s="58">
        <f>O2*(1-Assumptions!$B$19)</f>
        <v>13004.314064102404</v>
      </c>
      <c r="P3" s="58">
        <f>P2*(1-Assumptions!$B$19)</f>
        <v>12744.227782820355</v>
      </c>
      <c r="Q3" s="58">
        <f>Q2*(1-Assumptions!$B$19)</f>
        <v>12999.112338476762</v>
      </c>
      <c r="R3" s="58">
        <f>R2*(1-Assumptions!$B$19)</f>
        <v>13519.076832015833</v>
      </c>
      <c r="S3" s="58">
        <f>S2*(1-Assumptions!$B$19)</f>
        <v>13924.64913697631</v>
      </c>
      <c r="T3" s="58">
        <f>T2*(1-Assumptions!$B$19)</f>
        <v>14342.3886110856</v>
      </c>
      <c r="U3" s="58">
        <f>U2*(1-Assumptions!$B$19)</f>
        <v>14700.948326362739</v>
      </c>
      <c r="V3" s="58">
        <f>V2*(1-Assumptions!$B$19)</f>
        <v>15068.472034521807</v>
      </c>
    </row>
    <row r="4" customFormat="1" s="1">
      <c r="A4" s="5" t="inlineStr">
        <is>
          <t>Gross Margin</t>
        </is>
      </c>
      <c r="B4" s="58">
        <f>B2-B3</f>
        <v>20096.28</v>
      </c>
      <c r="C4" s="58">
        <f>C2-C3</f>
        <v>24802.304</v>
      </c>
      <c r="D4" s="58">
        <f>D2-D3</f>
        <v>26462.548000000003</v>
      </c>
      <c r="E4" s="58">
        <f>E2-E3</f>
        <v>27444.025</v>
      </c>
      <c r="F4" s="58">
        <f>F2-F3</f>
        <v>29192.280999999995</v>
      </c>
      <c r="G4" s="58">
        <f>G2-G3</f>
        <v>21903.212</v>
      </c>
      <c r="H4" s="58">
        <f>H2-H3</f>
        <v>22047.233</v>
      </c>
      <c r="I4" s="58">
        <f>I2-I3</f>
        <v>26363.867000000002</v>
      </c>
      <c r="J4" s="58">
        <f>J2-J3</f>
        <v>29021.59</v>
      </c>
      <c r="K4" s="58">
        <f>K2-K3</f>
        <v>29775.033</v>
      </c>
      <c r="L4" s="58">
        <f>L2-L3</f>
        <v>31537.959000000003</v>
      </c>
      <c r="M4" s="58">
        <f>M2-M3</f>
        <v>32800.73642144</v>
      </c>
      <c r="N4" s="58">
        <f>N2-N3</f>
        <v>34112.76587829761</v>
      </c>
      <c r="O4" s="58">
        <f>O2-O3</f>
        <v>34112.76587829761</v>
      </c>
      <c r="P4" s="58">
        <f>P2-P3</f>
        <v>33430.51056073165</v>
      </c>
      <c r="Q4" s="58">
        <f>Q2-Q3</f>
        <v>34099.120771946284</v>
      </c>
      <c r="R4" s="58">
        <f>R2-R3</f>
        <v>35463.08560282414</v>
      </c>
      <c r="S4" s="58">
        <f>S2-S3</f>
        <v>36526.978170908864</v>
      </c>
      <c r="T4" s="58">
        <f>T2-T3</f>
        <v>37622.78751603613</v>
      </c>
      <c r="U4" s="58">
        <f>U2-U3</f>
        <v>38563.357203937034</v>
      </c>
      <c r="V4" s="58">
        <f>V2-V3</f>
        <v>39527.441134035456</v>
      </c>
    </row>
    <row r="5">
      <c r="A5" s="2" t="inlineStr">
        <is>
          <t>Research &amp; Dev.</t>
        </is>
      </c>
      <c r="B5" s="58" t="n">
        <v>4747.363</v>
      </c>
      <c r="C5" s="58" t="n">
        <v>4838.043</v>
      </c>
      <c r="D5" s="58" t="n">
        <v>5968.875</v>
      </c>
      <c r="E5" s="58" t="n">
        <v>5191.428</v>
      </c>
      <c r="F5" s="58" t="n">
        <v>6091.56</v>
      </c>
      <c r="G5" s="58" t="n">
        <v>6391.604</v>
      </c>
      <c r="H5" s="58" t="n">
        <v>6692.982</v>
      </c>
      <c r="I5" s="58" t="n">
        <v>7318.407</v>
      </c>
      <c r="J5" s="58" t="n">
        <v>8298.549999999999</v>
      </c>
      <c r="K5" s="58" t="n">
        <v>8535.919</v>
      </c>
      <c r="L5" s="58" t="n">
        <v>10034.805</v>
      </c>
      <c r="M5" s="58">
        <f>M7*Assumptions!$B$20</f>
        <v>10422.561938906556</v>
      </c>
      <c r="N5" s="58">
        <f>N7*Assumptions!$B$20</f>
        <v>10823.2214627918</v>
      </c>
      <c r="O5" s="58">
        <f>O7*Assumptions!$B$20</f>
        <v>10806.978509120776</v>
      </c>
      <c r="P5" s="58">
        <f>P7*Assumptions!$B$20</f>
        <v>10574.920844340755</v>
      </c>
      <c r="Q5" s="58">
        <f>Q7*Assumptions!$B$20</f>
        <v>10770.182804738017</v>
      </c>
      <c r="R5" s="58">
        <f>R7*Assumptions!$B$20</f>
        <v>11184.104202178403</v>
      </c>
      <c r="S5" s="58">
        <f>S7*Assumptions!$B$20</f>
        <v>11502.234836052141</v>
      </c>
      <c r="T5" s="58">
        <f>T7*Assumptions!$B$20</f>
        <v>11829.387614176347</v>
      </c>
      <c r="U5" s="58">
        <f>U7*Assumptions!$B$20</f>
        <v>12106.76018089946</v>
      </c>
      <c r="V5" s="58">
        <f>V7*Assumptions!$B$20</f>
        <v>12390.608008699872</v>
      </c>
    </row>
    <row r="6">
      <c r="A6" s="18" t="inlineStr">
        <is>
          <t>SG&amp;A &amp; Other</t>
        </is>
      </c>
      <c r="B6" s="58" t="n">
        <v>1584.232</v>
      </c>
      <c r="C6" s="58" t="n">
        <v>16499.753</v>
      </c>
      <c r="D6" s="58" t="n">
        <v>15043.54</v>
      </c>
      <c r="E6" s="58" t="n">
        <v>14940.858</v>
      </c>
      <c r="F6" s="58" t="n">
        <v>13818.027</v>
      </c>
      <c r="G6" s="58" t="n">
        <v>7538.439</v>
      </c>
      <c r="H6" s="58" t="n">
        <v>9544.066000000001</v>
      </c>
      <c r="I6" s="58" t="n">
        <v>10466.868</v>
      </c>
      <c r="J6" s="58" t="n">
        <v>11728.387</v>
      </c>
      <c r="K6" s="58" t="n">
        <v>15876.995</v>
      </c>
      <c r="L6" s="58" t="n">
        <v>10925.602</v>
      </c>
      <c r="M6" s="58">
        <f>M7-M5</f>
        <v>11345.528994482242</v>
      </c>
      <c r="N6" s="58">
        <f>N7-N5</f>
        <v>11781.66881037403</v>
      </c>
      <c r="O6" s="58">
        <f>O7-O5</f>
        <v>11763.987466486526</v>
      </c>
      <c r="P6" s="58">
        <f>P7-P5</f>
        <v>11511.380000147037</v>
      </c>
      <c r="Q6" s="58">
        <f>Q7-Q5</f>
        <v>11723.933328800029</v>
      </c>
      <c r="R6" s="58">
        <f>R7-R5</f>
        <v>12174.509419748085</v>
      </c>
      <c r="S6" s="58">
        <f>S7-S5</f>
        <v>12520.81202287046</v>
      </c>
      <c r="T6" s="58">
        <f>T7-T5</f>
        <v>12876.935723702405</v>
      </c>
      <c r="U6" s="58">
        <f>U7-U5</f>
        <v>13178.870940444443</v>
      </c>
      <c r="V6" s="58">
        <f>V7-V5</f>
        <v>13487.854833196268</v>
      </c>
    </row>
    <row r="7">
      <c r="A7" s="2" t="inlineStr">
        <is>
          <t>Operating Expense</t>
        </is>
      </c>
      <c r="B7" s="58">
        <f>SUM(B5:B6)</f>
        <v>6331.595</v>
      </c>
      <c r="C7" s="58">
        <f>SUM(C5:C6)</f>
        <v>21337.796000000002</v>
      </c>
      <c r="D7" s="58">
        <f>SUM(D5:D6)</f>
        <v>21012.415</v>
      </c>
      <c r="E7" s="58">
        <f>SUM(E5:E6)</f>
        <v>20132.286</v>
      </c>
      <c r="F7" s="58">
        <f>SUM(F5:F6)</f>
        <v>19909.587</v>
      </c>
      <c r="G7" s="58">
        <f>SUM(G5:G6)</f>
        <v>13930.043000000001</v>
      </c>
      <c r="H7" s="58">
        <f>SUM(H5:H6)</f>
        <v>16237.048</v>
      </c>
      <c r="I7" s="58">
        <f>SUM(I5:I6)</f>
        <v>17785.275</v>
      </c>
      <c r="J7" s="58">
        <f>SUM(J5:J6)</f>
        <v>20026.936999999998</v>
      </c>
      <c r="K7" s="58">
        <f>SUM(K5:K6)</f>
        <v>24412.914</v>
      </c>
      <c r="L7" s="58">
        <f>SUM(L5:L6)</f>
        <v>20960.407</v>
      </c>
      <c r="M7" s="58">
        <f>M4-M2*NPV!C6</f>
        <v>21768.090933388798</v>
      </c>
      <c r="N7" s="58">
        <f>N4-N2*NPV!D6</f>
        <v>22604.89027316583</v>
      </c>
      <c r="O7" s="58">
        <f>O4-O2*NPV!E6</f>
        <v>22570.9659756073</v>
      </c>
      <c r="P7" s="58">
        <f>P4-P2*NPV!F6</f>
        <v>22086.300844487792</v>
      </c>
      <c r="Q7" s="58">
        <f>Q4-Q2*NPV!G6</f>
        <v>22494.116133538046</v>
      </c>
      <c r="R7" s="58">
        <f>R4-R2*NPV!H6</f>
        <v>23358.613621926488</v>
      </c>
      <c r="S7" s="58">
        <f>S4-S2*NPV!I6</f>
        <v>24023.0468589226</v>
      </c>
      <c r="T7" s="58">
        <f>T4-T2*NPV!J6</f>
        <v>24706.32333787875</v>
      </c>
      <c r="U7" s="58">
        <f>U4-U2*NPV!K6</f>
        <v>25285.631121343904</v>
      </c>
      <c r="V7" s="58">
        <f>V4-V2*NPV!L6</f>
        <v>25878.46284189614</v>
      </c>
    </row>
    <row r="8">
      <c r="A8" s="2" t="inlineStr">
        <is>
          <t>Operating Income</t>
        </is>
      </c>
      <c r="B8" s="58">
        <f>B4-B7</f>
        <v>13764.684999999998</v>
      </c>
      <c r="C8" s="58">
        <f>C4-C7</f>
        <v>3464.507999999998</v>
      </c>
      <c r="D8" s="58">
        <f>D4-D7</f>
        <v>5450.133000000002</v>
      </c>
      <c r="E8" s="58">
        <f>E4-E7</f>
        <v>7311.739000000001</v>
      </c>
      <c r="F8" s="58">
        <f>F4-F7</f>
        <v>9282.693999999996</v>
      </c>
      <c r="G8" s="58">
        <f>G4-G7</f>
        <v>7973.168999999998</v>
      </c>
      <c r="H8" s="58">
        <f>H4-H7</f>
        <v>5810.1849999999995</v>
      </c>
      <c r="I8" s="58">
        <f>I4-I7</f>
        <v>8578.592</v>
      </c>
      <c r="J8" s="58">
        <f>J4-J7</f>
        <v>8994.653000000002</v>
      </c>
      <c r="K8" s="58">
        <f>K4-K7</f>
        <v>5362.118999999999</v>
      </c>
      <c r="L8" s="58">
        <f>L4-L7</f>
        <v>10577.552000000003</v>
      </c>
      <c r="M8" s="58">
        <f>M4-M7</f>
        <v>11032.645488051203</v>
      </c>
      <c r="N8" s="58">
        <f>N4-N7</f>
        <v>11507.875605131776</v>
      </c>
      <c r="O8" s="58">
        <f>O4-O7</f>
        <v>11541.799902690305</v>
      </c>
      <c r="P8" s="58">
        <f>P4-P7</f>
        <v>11344.209716243859</v>
      </c>
      <c r="Q8" s="58">
        <f>Q4-Q7</f>
        <v>11605.004638408238</v>
      </c>
      <c r="R8" s="58">
        <f>R4-R7</f>
        <v>12104.471980897652</v>
      </c>
      <c r="S8" s="58">
        <f>S4-S7</f>
        <v>12503.931311986264</v>
      </c>
      <c r="T8" s="58">
        <f>T4-T7</f>
        <v>12916.464178157377</v>
      </c>
      <c r="U8" s="58">
        <f>U4-U7</f>
        <v>13277.72608259313</v>
      </c>
      <c r="V8" s="58">
        <f>V4-V7</f>
        <v>13648.978292139316</v>
      </c>
    </row>
    <row r="9">
      <c r="A9" s="18" t="inlineStr">
        <is>
          <t>Interest &amp; Other</t>
        </is>
      </c>
      <c r="B9" s="58" t="n">
        <v>338.716</v>
      </c>
      <c r="C9" s="58" t="n">
        <v>-1078.825</v>
      </c>
      <c r="D9" s="58" t="n">
        <v>-1598.901</v>
      </c>
      <c r="E9" s="58" t="n">
        <v>-1474.883</v>
      </c>
      <c r="F9" s="58" t="n">
        <v>-1817.6</v>
      </c>
      <c r="G9" s="58" t="n">
        <v>-217.365</v>
      </c>
      <c r="H9" s="58" t="n">
        <v>148.022</v>
      </c>
      <c r="I9" s="58" t="n">
        <v>12308.472</v>
      </c>
      <c r="J9" s="58" t="n">
        <v>-1414.874</v>
      </c>
      <c r="K9" s="58" t="n">
        <v>-1226.847</v>
      </c>
      <c r="L9" s="58" t="n">
        <v>-1472.216</v>
      </c>
      <c r="M9" s="58" t="n">
        <v>0</v>
      </c>
      <c r="N9" s="58" t="n">
        <v>0</v>
      </c>
      <c r="O9" s="58" t="n">
        <v>0</v>
      </c>
      <c r="P9" s="58" t="n">
        <v>0</v>
      </c>
      <c r="Q9" s="58" t="n">
        <v>0</v>
      </c>
      <c r="R9" s="58" t="n">
        <v>0</v>
      </c>
      <c r="S9" s="58" t="n">
        <v>0</v>
      </c>
      <c r="T9" s="58" t="n">
        <v>0</v>
      </c>
      <c r="U9" s="58" t="n">
        <v>0</v>
      </c>
      <c r="V9" s="58" t="n">
        <v>0</v>
      </c>
    </row>
    <row r="10">
      <c r="A10" s="2" t="inlineStr">
        <is>
          <t>Pretax</t>
        </is>
      </c>
      <c r="B10" s="58">
        <f>B8+B9</f>
        <v>14103.400999999998</v>
      </c>
      <c r="C10" s="58">
        <f>C8+C9</f>
        <v>2385.682999999998</v>
      </c>
      <c r="D10" s="58">
        <f>D8+D9</f>
        <v>3851.232000000002</v>
      </c>
      <c r="E10" s="58">
        <f>E8+E9</f>
        <v>5836.856000000002</v>
      </c>
      <c r="F10" s="58">
        <f>F8+F9</f>
        <v>7465.0939999999955</v>
      </c>
      <c r="G10" s="58">
        <f>G8+G9</f>
        <v>7755.803999999998</v>
      </c>
      <c r="H10" s="58">
        <f>H8+H9</f>
        <v>5958.206999999999</v>
      </c>
      <c r="I10" s="58">
        <f>I8+I9</f>
        <v>20887.064</v>
      </c>
      <c r="J10" s="58">
        <f>J8+J9</f>
        <v>7579.779000000002</v>
      </c>
      <c r="K10" s="58">
        <f>K8+K9</f>
        <v>4135.271999999999</v>
      </c>
      <c r="L10" s="58">
        <f>L8+L9</f>
        <v>9105.336000000003</v>
      </c>
      <c r="M10" s="58">
        <f>M8+M9</f>
        <v>11032.645488051203</v>
      </c>
      <c r="N10" s="58">
        <f>N8+N9</f>
        <v>11507.875605131776</v>
      </c>
      <c r="O10" s="58">
        <f>O8+O9</f>
        <v>11541.799902690305</v>
      </c>
      <c r="P10" s="58">
        <f>P8+P9</f>
        <v>11344.209716243859</v>
      </c>
      <c r="Q10" s="58">
        <f>Q8+Q9</f>
        <v>11605.004638408238</v>
      </c>
      <c r="R10" s="58">
        <f>R8+R9</f>
        <v>12104.471980897652</v>
      </c>
      <c r="S10" s="58">
        <f>S8+S9</f>
        <v>12503.931311986264</v>
      </c>
      <c r="T10" s="58">
        <f>T8+T9</f>
        <v>12916.464178157377</v>
      </c>
      <c r="U10" s="58">
        <f>U8+U9</f>
        <v>13277.72608259313</v>
      </c>
      <c r="V10" s="58">
        <f>V8+V9</f>
        <v>13648.978292139316</v>
      </c>
    </row>
    <row r="11">
      <c r="A11" s="2" t="inlineStr">
        <is>
          <t>Taxes</t>
        </is>
      </c>
      <c r="B11" s="58" t="n">
        <v>2872.421</v>
      </c>
      <c r="C11" s="58" t="n">
        <v>1169.505</v>
      </c>
      <c r="D11" s="58" t="n">
        <v>1808.265</v>
      </c>
      <c r="E11" s="58" t="n">
        <v>1005.481</v>
      </c>
      <c r="F11" s="58" t="n">
        <v>1270.853</v>
      </c>
      <c r="G11" s="58" t="n">
        <v>89.346</v>
      </c>
      <c r="H11" s="58" t="n">
        <v>110.683</v>
      </c>
      <c r="I11" s="58" t="n">
        <v>942.8049999999999</v>
      </c>
      <c r="J11" s="58" t="n">
        <v>1008.148</v>
      </c>
      <c r="K11" s="58" t="n">
        <v>701.436</v>
      </c>
      <c r="L11" s="58" t="n">
        <v>1482.884</v>
      </c>
      <c r="M11" s="58">
        <f>MAX(0,M10)*Assumptions!$E$14</f>
        <v>1875.5497329687046</v>
      </c>
      <c r="N11" s="58">
        <f>MAX(0,N10)*Assumptions!$E$14</f>
        <v>1956.338852872402</v>
      </c>
      <c r="O11" s="58">
        <f>MAX(0,O10)*Assumptions!$E$14</f>
        <v>1962.105983457352</v>
      </c>
      <c r="P11" s="58">
        <f>MAX(0,P10)*Assumptions!$E$14</f>
        <v>1928.5156517614562</v>
      </c>
      <c r="Q11" s="58">
        <f>MAX(0,Q10)*Assumptions!$E$14</f>
        <v>1972.8507885294007</v>
      </c>
      <c r="R11" s="58">
        <f>MAX(0,R10)*Assumptions!$E$14</f>
        <v>2057.760236752601</v>
      </c>
      <c r="S11" s="58">
        <f>MAX(0,S10)*Assumptions!$E$14</f>
        <v>2125.668323037665</v>
      </c>
      <c r="T11" s="58">
        <f>MAX(0,T10)*Assumptions!$E$14</f>
        <v>2195.798910286754</v>
      </c>
      <c r="U11" s="58">
        <f>MAX(0,U10)*Assumptions!$E$14</f>
        <v>2257.2134340408325</v>
      </c>
      <c r="V11" s="58">
        <f>MAX(0,V10)*Assumptions!$E$14</f>
        <v>2320.326309663684</v>
      </c>
    </row>
    <row r="12">
      <c r="A12" s="2" t="inlineStr">
        <is>
          <t>Net Income</t>
        </is>
      </c>
      <c r="B12" s="58" t="n">
        <v>11230.981</v>
      </c>
      <c r="C12" s="58" t="n">
        <v>1216.178</v>
      </c>
      <c r="D12" s="58" t="n">
        <v>2042.966</v>
      </c>
      <c r="E12" s="58" t="n">
        <v>4831.375</v>
      </c>
      <c r="F12" s="58" t="n">
        <v>6194.242</v>
      </c>
      <c r="G12" s="58" t="n">
        <v>7666.458</v>
      </c>
      <c r="H12" s="58" t="n">
        <v>5847.524</v>
      </c>
      <c r="I12" s="58" t="n">
        <v>19944.258</v>
      </c>
      <c r="J12" s="58" t="n">
        <v>6571.631</v>
      </c>
      <c r="K12" s="58" t="n">
        <v>3433.837</v>
      </c>
      <c r="L12" s="58" t="n">
        <v>7622.451</v>
      </c>
      <c r="M12" s="58">
        <f>M10-M11</f>
        <v>9157.095755082499</v>
      </c>
      <c r="N12" s="58">
        <f>N10-N11</f>
        <v>9551.536752259373</v>
      </c>
      <c r="O12" s="58">
        <f>O10-O11</f>
        <v>9579.693919232954</v>
      </c>
      <c r="P12" s="58">
        <f>P10-P11</f>
        <v>9415.694064482403</v>
      </c>
      <c r="Q12" s="58">
        <f>Q10-Q11</f>
        <v>9632.153849878838</v>
      </c>
      <c r="R12" s="58">
        <f>R10-R11</f>
        <v>10046.71174414505</v>
      </c>
      <c r="S12" s="58">
        <f>S10-S11</f>
        <v>10378.262988948598</v>
      </c>
      <c r="T12" s="58">
        <f>T10-T11</f>
        <v>10720.665267870623</v>
      </c>
      <c r="U12" s="58">
        <f>U10-U11</f>
        <v>11020.512648552298</v>
      </c>
      <c r="V12" s="58">
        <f>V10-V11</f>
        <v>11328.651982475632</v>
      </c>
    </row>
    <row r="13">
      <c r="A13" s="2" t="inlineStr">
        <is>
          <t>Earnings per Share</t>
        </is>
      </c>
      <c r="B13" s="11">
        <f>IFERROR(B12/B14,0)</f>
        <v>2.297663870703764</v>
      </c>
      <c r="C13" s="11">
        <f>IFERROR(C12/C14,0)</f>
        <v>0.24774455082501531</v>
      </c>
      <c r="D13" s="11">
        <f>IFERROR(D12/D14,0)</f>
        <v>0.4134721716251771</v>
      </c>
      <c r="E13" s="11">
        <f>IFERROR(E12/E14,0)</f>
        <v>0.9719120901227117</v>
      </c>
      <c r="F13" s="11">
        <f>IFERROR(F12/F14,0)</f>
        <v>1.23489673046252</v>
      </c>
      <c r="G13" s="11">
        <f>IFERROR(G12/G14,0)</f>
        <v>1.9023468982630272</v>
      </c>
      <c r="H13" s="11">
        <f>IFERROR(H12/H14,0)</f>
        <v>1.4431204343534059</v>
      </c>
      <c r="I13" s="11">
        <f>IFERROR(I12/I14,0)</f>
        <v>4.883510773751225</v>
      </c>
      <c r="J13" s="11">
        <f>IFERROR(J12/J14,0)</f>
        <v>1.5985480418389686</v>
      </c>
      <c r="K13" s="11">
        <f>IFERROR(K12/K14,0)</f>
        <v>0.829028730082086</v>
      </c>
      <c r="L13" s="11">
        <f>IFERROR(L12/L14,0)</f>
        <v>1.851457614768035</v>
      </c>
      <c r="M13" s="11">
        <f>IFERROR(M12/M14,0)</f>
        <v>4.24387088697095</v>
      </c>
      <c r="N13" s="11">
        <f>IFERROR(N12/N14,0)</f>
        <v>4.426675207174507</v>
      </c>
      <c r="O13" s="11">
        <f>IFERROR(O12/O14,0)</f>
        <v>4.439724691899228</v>
      </c>
      <c r="P13" s="11">
        <f>IFERROR(P12/P14,0)</f>
        <v>4.36371869309147</v>
      </c>
      <c r="Q13" s="11">
        <f>IFERROR(Q12/Q14,0)</f>
        <v>4.464037331884128</v>
      </c>
      <c r="R13" s="11">
        <f>IFERROR(R12/R14,0)</f>
        <v>4.656164860687556</v>
      </c>
      <c r="S13" s="11">
        <f>IFERROR(S12/S14,0)</f>
        <v>4.80982282310209</v>
      </c>
      <c r="T13" s="11">
        <f>IFERROR(T12/T14,0)</f>
        <v>4.968509714886875</v>
      </c>
      <c r="U13" s="11">
        <f>IFERROR(U12/U14,0)</f>
        <v>5.107474470028063</v>
      </c>
      <c r="V13" s="11">
        <f>IFERROR(V12/V14,0)</f>
        <v>5.250282144354505</v>
      </c>
    </row>
    <row r="14">
      <c r="A14" s="2" t="inlineStr">
        <is>
          <t>Shares</t>
        </is>
      </c>
      <c r="B14" s="58" t="n">
        <v>4888</v>
      </c>
      <c r="C14" s="58" t="n">
        <v>4909</v>
      </c>
      <c r="D14" s="58" t="n">
        <v>4941</v>
      </c>
      <c r="E14" s="58" t="n">
        <v>4971</v>
      </c>
      <c r="F14" s="58" t="n">
        <v>5016</v>
      </c>
      <c r="G14" s="58" t="n">
        <v>4030</v>
      </c>
      <c r="H14" s="58" t="n">
        <v>4052</v>
      </c>
      <c r="I14" s="58" t="n">
        <v>4084</v>
      </c>
      <c r="J14" s="58" t="n">
        <v>4111</v>
      </c>
      <c r="K14" s="58" t="n">
        <v>4142</v>
      </c>
      <c r="L14" s="58" t="n">
        <v>4117</v>
      </c>
      <c r="M14" s="58">
        <f>Main!$C$4</f>
        <v>2157.722513</v>
      </c>
      <c r="N14" s="58">
        <f>Main!$C$4</f>
        <v>2157.722513</v>
      </c>
      <c r="O14" s="58">
        <f>Main!$C$4</f>
        <v>2157.722513</v>
      </c>
      <c r="P14" s="58">
        <f>Main!$C$4</f>
        <v>2157.722513</v>
      </c>
      <c r="Q14" s="58">
        <f>Main!$C$4</f>
        <v>2157.722513</v>
      </c>
      <c r="R14" s="58">
        <f>Main!$C$4</f>
        <v>2157.722513</v>
      </c>
      <c r="S14" s="58">
        <f>Main!$C$4</f>
        <v>2157.722513</v>
      </c>
      <c r="T14" s="58">
        <f>Main!$C$4</f>
        <v>2157.722513</v>
      </c>
      <c r="U14" s="58">
        <f>Main!$C$4</f>
        <v>2157.722513</v>
      </c>
      <c r="V14" s="58">
        <f>Main!$C$4</f>
        <v>2157.722513</v>
      </c>
    </row>
    <row r="15"/>
    <row r="16" customFormat="1" s="4">
      <c r="A16" s="3" t="inlineStr">
        <is>
          <t>Revenue Change</t>
        </is>
      </c>
      <c r="C16" s="15">
        <f>IFERROR(C2/B2-1,"")</f>
        <v>0.16578189488487438</v>
      </c>
      <c r="D16" s="15">
        <f>IFERROR(D2/C2-1,"")</f>
        <v>0.08236222367754076</v>
      </c>
      <c r="E16" s="15">
        <f>IFERROR(E2/D2-1,"")</f>
        <v>0.021036245329148606</v>
      </c>
      <c r="F16" s="15">
        <f>IFERROR(F2/E2-1,"")</f>
        <v>0.09516238107409136</v>
      </c>
      <c r="G16" s="15">
        <f>IFERROR(G2/F2-1,"")</f>
        <v>-0.27848551723004134</v>
      </c>
      <c r="H16" s="15">
        <f>IFERROR(H2/G2-1,"")</f>
        <v>0.01404287120609915</v>
      </c>
      <c r="I16" s="15">
        <f>IFERROR(I2/H2-1,"")</f>
        <v>0.18739877502176405</v>
      </c>
      <c r="J16" s="15">
        <f>IFERROR(J2/I2-1,"")</f>
        <v>0.03423816582081973</v>
      </c>
      <c r="K16" s="15">
        <f>IFERROR(K2/J2-1,"")</f>
        <v>0.03455551870008522</v>
      </c>
      <c r="L16" s="15">
        <f>IFERROR(L2/K2-1,"")</f>
        <v>0.04114610324280821</v>
      </c>
      <c r="M16" s="15">
        <f>IFERROR(M2/L2-1,"")</f>
        <v>0.040000000000000036</v>
      </c>
      <c r="N16" s="15">
        <f>IFERROR(N2/M2-1,"")</f>
        <v>0.040000000000000036</v>
      </c>
      <c r="O16" s="15">
        <f>IFERROR(O2/N2-1,"")</f>
        <v>0.0</v>
      </c>
      <c r="P16" s="15">
        <f>IFERROR(P2/O2-1,"")</f>
        <v>-0.019999999999999907</v>
      </c>
      <c r="Q16" s="15">
        <f>IFERROR(Q2/P2-1,"")</f>
        <v>0.020000000000000018</v>
      </c>
      <c r="R16" s="15">
        <f>IFERROR(R2/Q2-1,"")</f>
        <v>0.040000000000000036</v>
      </c>
      <c r="S16" s="15">
        <f>IFERROR(S2/R2-1,"")</f>
        <v>0.030000000000000027</v>
      </c>
      <c r="T16" s="15">
        <f>IFERROR(T2/S2-1,"")</f>
        <v>0.030000000000000027</v>
      </c>
      <c r="U16" s="15">
        <f>IFERROR(U2/T2-1,"")</f>
        <v>0.02499999999999991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0.6299376979734068</v>
      </c>
      <c r="C17" s="15">
        <f>IFERROR(C4/C2,"")</f>
        <v>0.6668937479894215</v>
      </c>
      <c r="D17" s="15">
        <f>IFERROR(D4/D2,"")</f>
        <v>0.6573908458667761</v>
      </c>
      <c r="E17" s="15">
        <f>IFERROR(E4/E2,"")</f>
        <v>0.6677265433102774</v>
      </c>
      <c r="F17" s="15">
        <f>IFERROR(F4/F2,"")</f>
        <v>0.6485453469174342</v>
      </c>
      <c r="G17" s="15">
        <f>IFERROR(G4/G2,"")</f>
        <v>0.6744271896802031</v>
      </c>
      <c r="H17" s="15">
        <f>IFERROR(H4/H2,"")</f>
        <v>0.6694606263719213</v>
      </c>
      <c r="I17" s="15">
        <f>IFERROR(I4/I2,"")</f>
        <v>0.6741917955937544</v>
      </c>
      <c r="J17" s="15">
        <f>IFERROR(J4/J2,"")</f>
        <v>0.7175877120702298</v>
      </c>
      <c r="K17" s="15">
        <f>IFERROR(K4/K2,"")</f>
        <v>0.7116267104147117</v>
      </c>
      <c r="L17" s="15">
        <f>IFERROR(L4/L2,"")</f>
        <v>0.7239722091458299</v>
      </c>
      <c r="M17" s="15">
        <f>IFERROR(M4/M2,"")</f>
        <v>0.7239999999999999</v>
      </c>
      <c r="N17" s="15">
        <f>IFERROR(N4/N2,"")</f>
        <v>0.7240000000000001</v>
      </c>
      <c r="O17" s="15">
        <f>IFERROR(O4/O2,"")</f>
        <v>0.7240000000000001</v>
      </c>
      <c r="P17" s="15">
        <f>IFERROR(P4/P2,"")</f>
        <v>0.7239999999999999</v>
      </c>
      <c r="Q17" s="15">
        <f>IFERROR(Q4/Q2,"")</f>
        <v>0.724</v>
      </c>
      <c r="R17" s="15">
        <f>IFERROR(R4/R2,"")</f>
        <v>0.724</v>
      </c>
      <c r="S17" s="15">
        <f>IFERROR(S4/S2,"")</f>
        <v>0.724</v>
      </c>
      <c r="T17" s="15">
        <f>IFERROR(T4/T2,"")</f>
        <v>0.7239999999999999</v>
      </c>
      <c r="U17" s="15">
        <f>IFERROR(U4/U2,"")</f>
        <v>0.724</v>
      </c>
      <c r="V17" s="15">
        <f>IFERROR(V4/V2,"")</f>
        <v>0.724</v>
      </c>
    </row>
    <row r="18">
      <c r="A18" s="14" t="inlineStr">
        <is>
          <t>Operating Margin</t>
        </is>
      </c>
      <c r="B18" s="15">
        <f>IFERROR(B8/B2,"")</f>
        <v>0.4314676140175735</v>
      </c>
      <c r="C18" s="15">
        <f>IFERROR(C8/C2,"")</f>
        <v>0.09315500386816214</v>
      </c>
      <c r="D18" s="15">
        <f>IFERROR(D8/D2,"")</f>
        <v>0.13539389868868373</v>
      </c>
      <c r="E18" s="15">
        <f>IFERROR(E8/E2,"")</f>
        <v>0.17789818396014961</v>
      </c>
      <c r="F18" s="15">
        <f>IFERROR(F8/F2,"")</f>
        <v>0.20622739280148691</v>
      </c>
      <c r="G18" s="15">
        <f>IFERROR(G8/G2,"")</f>
        <v>0.2455038083690791</v>
      </c>
      <c r="H18" s="15">
        <f>IFERROR(H8/H2,"")</f>
        <v>0.17642531783633533</v>
      </c>
      <c r="I18" s="15">
        <f>IFERROR(I8/I2,"")</f>
        <v>0.21937663181756367</v>
      </c>
      <c r="J18" s="15">
        <f>IFERROR(J8/J2,"")</f>
        <v>0.2224017521829655</v>
      </c>
      <c r="K18" s="15">
        <f>IFERROR(K8/K2,"")</f>
        <v>0.12815526030893812</v>
      </c>
      <c r="L18" s="15">
        <f>IFERROR(L8/L2,"")</f>
        <v>0.24281386404221317</v>
      </c>
      <c r="M18" s="15">
        <f>IFERROR(M8/M2,"")</f>
        <v>0.24352000000000004</v>
      </c>
      <c r="N18" s="15">
        <f>IFERROR(N8/N2,"")</f>
        <v>0.24423999999999996</v>
      </c>
      <c r="O18" s="15">
        <f>IFERROR(O8/O2,"")</f>
        <v>0.24495999999999998</v>
      </c>
      <c r="P18" s="15">
        <f>IFERROR(P8/P2,"")</f>
        <v>0.24568</v>
      </c>
      <c r="Q18" s="15">
        <f>IFERROR(Q8/Q2,"")</f>
        <v>0.24639999999999998</v>
      </c>
      <c r="R18" s="15">
        <f>IFERROR(R8/R2,"")</f>
        <v>0.24711999999999995</v>
      </c>
      <c r="S18" s="15">
        <f>IFERROR(S8/S2,"")</f>
        <v>0.24784000000000003</v>
      </c>
      <c r="T18" s="15">
        <f>IFERROR(T8/T2,"")</f>
        <v>0.24855999999999998</v>
      </c>
      <c r="U18" s="15">
        <f>IFERROR(U8/U2,"")</f>
        <v>0.24928000000000003</v>
      </c>
      <c r="V18" s="15">
        <f>IFERROR(V8/V2,"")</f>
        <v>0.25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GSK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0.09</v>
      </c>
      <c r="C10" s="59" t="n">
        <v>0.08</v>
      </c>
      <c r="D10" s="59" t="n">
        <v>0.07000000000000001</v>
      </c>
      <c r="E10" s="60">
        <f>IF(ISNUMBER($B$6),$B$6,CHOOSE($B$4,B10,C10,D10))</f>
        <v>0.08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-0.01</v>
      </c>
      <c r="C12" s="59" t="n">
        <v>0.04</v>
      </c>
      <c r="D12" s="59" t="n">
        <v>0.09</v>
      </c>
      <c r="E12" s="60">
        <f>CHOOSE($B$4,B12,C12,D12)</f>
        <v>0.04</v>
      </c>
    </row>
    <row r="13">
      <c r="A13" s="14" t="inlineStr">
        <is>
          <t>Operating margin, year 10</t>
        </is>
      </c>
      <c r="B13" s="59" t="n">
        <v>0.2</v>
      </c>
      <c r="C13" s="59" t="n">
        <v>0.25</v>
      </c>
      <c r="D13" s="59" t="n">
        <v>0.3</v>
      </c>
      <c r="E13" s="60">
        <f>CHOOSE($B$4,B13,C13,D13)</f>
        <v>0.25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0.2428</v>
      </c>
    </row>
    <row r="19">
      <c r="A19" s="14" t="inlineStr">
        <is>
          <t>Gross margin (forecast)</t>
        </is>
      </c>
      <c r="B19" s="59" t="n">
        <v>0.724</v>
      </c>
    </row>
    <row r="20">
      <c r="A20" s="14" t="inlineStr">
        <is>
          <t>R&amp;D share of operating expense (forecast)</t>
        </is>
      </c>
      <c r="B20" s="59" t="n">
        <v>0.4788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(GBP)</t>
        </is>
      </c>
      <c r="B24" s="32" t="n">
        <v>0.7498899999999999</v>
      </c>
    </row>
    <row r="25">
      <c r="A25" s="14" t="inlineStr">
        <is>
          <t>Base revenue, FY2025</t>
        </is>
      </c>
      <c r="B25" s="61">
        <f>'Yearly Model'!L2</f>
        <v>43562.389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162343.06581167085</v>
      </c>
      <c r="C29" s="62">
        <f>NPV!B26</f>
        <v>143242.93112525018</v>
      </c>
      <c r="D29" s="35">
        <f>NPV!B28</f>
        <v>66.38616887121952</v>
      </c>
      <c r="E29" s="63">
        <f>NPV!B30</f>
        <v>0.31081387839311914</v>
      </c>
    </row>
    <row r="30">
      <c r="A30" s="64" t="n">
        <v>1</v>
      </c>
      <c r="B30" s="65">
        <f t="dataTable" ref="B30:E32" r1="B4"/>
        <v>93414.25063041484</v>
      </c>
      <c r="C30" s="65">
        <v>74314.11594399417</v>
      </c>
      <c r="D30" s="39">
        <v>34.440997624236296</v>
      </c>
      <c r="E30" s="66">
        <v>-0.3199526582241822</v>
      </c>
    </row>
    <row r="31">
      <c r="A31" s="64" t="n">
        <v>2</v>
      </c>
      <c r="B31" s="65">
        <v>162343.06581167085</v>
      </c>
      <c r="C31" s="65">
        <v>143242.93112525018</v>
      </c>
      <c r="D31" s="39">
        <v>66.38616887121952</v>
      </c>
      <c r="E31" s="66">
        <v>0.31081387839311914</v>
      </c>
    </row>
    <row r="32">
      <c r="A32" s="64" t="n">
        <v>3</v>
      </c>
      <c r="B32" s="65">
        <v>309783.61442069104</v>
      </c>
      <c r="C32" s="65">
        <v>290683.47973427037</v>
      </c>
      <c r="D32" s="39">
        <v>134.71773037679304</v>
      </c>
      <c r="E32" s="66">
        <v>1.6600400903700865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66.38616887121952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0.06</v>
      </c>
      <c r="B37" s="39">
        <f t="dataTable" ref="B37:F41" dt2D="1" r1="B7" r2="B6"/>
        <v>90.16925071403628</v>
      </c>
      <c r="C37" s="39">
        <v>98.2128663696589</v>
      </c>
      <c r="D37" s="39">
        <v>108.5546579268879</v>
      </c>
      <c r="E37" s="39">
        <v>122.34371333652662</v>
      </c>
      <c r="F37" s="39">
        <v>141.64839091002082</v>
      </c>
    </row>
    <row r="38">
      <c r="A38" s="68" t="n">
        <v>0.07000000000000001</v>
      </c>
      <c r="B38" s="39">
        <v>72.13703189221269</v>
      </c>
      <c r="C38" s="39">
        <v>76.92014307907341</v>
      </c>
      <c r="D38" s="39">
        <v>82.76616786301425</v>
      </c>
      <c r="E38" s="39">
        <v>90.07369884294033</v>
      </c>
      <c r="F38" s="39">
        <v>99.46909581713098</v>
      </c>
    </row>
    <row r="39">
      <c r="A39" s="68" t="n">
        <v>0.08</v>
      </c>
      <c r="B39" s="39">
        <v>59.69512395590823</v>
      </c>
      <c r="C39" s="39">
        <v>62.76185287542591</v>
      </c>
      <c r="D39" s="39">
        <v>66.38616887121952</v>
      </c>
      <c r="E39" s="39">
        <v>70.73534806617187</v>
      </c>
      <c r="F39" s="39">
        <v>76.05101152666919</v>
      </c>
    </row>
    <row r="40">
      <c r="A40" s="68" t="n">
        <v>0.09</v>
      </c>
      <c r="B40" s="39">
        <v>50.602404547658395</v>
      </c>
      <c r="C40" s="39">
        <v>52.67563695110274</v>
      </c>
      <c r="D40" s="39">
        <v>55.067828185846196</v>
      </c>
      <c r="E40" s="39">
        <v>57.8587179597136</v>
      </c>
      <c r="F40" s="39">
        <v>61.15704223792051</v>
      </c>
    </row>
    <row r="41">
      <c r="A41" s="68" t="n">
        <v>0.1</v>
      </c>
      <c r="B41" s="39">
        <v>43.67299555627484</v>
      </c>
      <c r="C41" s="39">
        <v>45.13090092686559</v>
      </c>
      <c r="D41" s="39">
        <v>46.78319368020177</v>
      </c>
      <c r="E41" s="39">
        <v>48.67152825544312</v>
      </c>
      <c r="F41" s="39">
        <v>50.850375842260064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0.04</v>
      </c>
      <c r="C46" s="59" t="n">
        <v>0.04</v>
      </c>
      <c r="D46" s="59" t="n">
        <v>0</v>
      </c>
      <c r="E46" s="59" t="n">
        <v>-0.02</v>
      </c>
      <c r="F46" s="59" t="n">
        <v>0.02</v>
      </c>
      <c r="G46" s="59" t="n">
        <v>0.04</v>
      </c>
      <c r="H46" s="59" t="n">
        <v>0.03</v>
      </c>
      <c r="I46" s="59" t="n">
        <v>0.03</v>
      </c>
      <c r="J46" s="59" t="n">
        <v>0.025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GSK plc: free-cash-flow DCF ($mm)</t>
        </is>
      </c>
    </row>
    <row r="3">
      <c r="A3" s="20" t="inlineStr">
        <is>
          <t>Fiscal year</t>
        </is>
      </c>
      <c r="B3" s="44">
        <f>'Yearly Model'!L1</f>
        <v>2025</v>
      </c>
      <c r="C3" s="44">
        <f>'Yearly Model'!M1</f>
        <v>2026</v>
      </c>
      <c r="D3" s="44">
        <f>'Yearly Model'!N1</f>
        <v>2027</v>
      </c>
      <c r="E3" s="44">
        <f>'Yearly Model'!O1</f>
        <v>2028</v>
      </c>
      <c r="F3" s="44">
        <f>'Yearly Model'!P1</f>
        <v>2029</v>
      </c>
      <c r="G3" s="44">
        <f>'Yearly Model'!Q1</f>
        <v>2030</v>
      </c>
      <c r="H3" s="44">
        <f>'Yearly Model'!R1</f>
        <v>2031</v>
      </c>
      <c r="I3" s="44">
        <f>'Yearly Model'!S1</f>
        <v>2032</v>
      </c>
      <c r="J3" s="44">
        <f>'Yearly Model'!T1</f>
        <v>2033</v>
      </c>
      <c r="K3" s="44">
        <f>'Yearly Model'!U1</f>
        <v>2034</v>
      </c>
      <c r="L3" s="44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0.04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0.04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-0.02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0.02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0.04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0.03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0.03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0.025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0.24281386404221317</v>
      </c>
      <c r="C6" s="69">
        <f>Assumptions!$B$18+(Assumptions!$E$13-Assumptions!$B$18)*C4/Assumptions!$B$21</f>
        <v>0.24352</v>
      </c>
      <c r="D6" s="69">
        <f>Assumptions!$B$18+(Assumptions!$E$13-Assumptions!$B$18)*D4/Assumptions!$B$21</f>
        <v>0.24423999999999998</v>
      </c>
      <c r="E6" s="69">
        <f>Assumptions!$B$18+(Assumptions!$E$13-Assumptions!$B$18)*E4/Assumptions!$B$21</f>
        <v>0.24495999999999998</v>
      </c>
      <c r="F6" s="69">
        <f>Assumptions!$B$18+(Assumptions!$E$13-Assumptions!$B$18)*F4/Assumptions!$B$21</f>
        <v>0.24567999999999998</v>
      </c>
      <c r="G6" s="69">
        <f>Assumptions!$B$18+(Assumptions!$E$13-Assumptions!$B$18)*G4/Assumptions!$B$21</f>
        <v>0.2464</v>
      </c>
      <c r="H6" s="69">
        <f>Assumptions!$B$18+(Assumptions!$E$13-Assumptions!$B$18)*H4/Assumptions!$B$21</f>
        <v>0.24712</v>
      </c>
      <c r="I6" s="69">
        <f>Assumptions!$B$18+(Assumptions!$E$13-Assumptions!$B$18)*I4/Assumptions!$B$21</f>
        <v>0.24784</v>
      </c>
      <c r="J6" s="69">
        <f>Assumptions!$B$18+(Assumptions!$E$13-Assumptions!$B$18)*J4/Assumptions!$B$21</f>
        <v>0.24856</v>
      </c>
      <c r="K6" s="69">
        <f>Assumptions!$B$18+(Assumptions!$E$13-Assumptions!$B$18)*K4/Assumptions!$B$21</f>
        <v>0.24928</v>
      </c>
      <c r="L6" s="69">
        <f>Assumptions!$B$18+(Assumptions!$E$13-Assumptions!$B$18)*L4/Assumptions!$B$21</f>
        <v>0.25</v>
      </c>
    </row>
    <row r="7">
      <c r="A7" s="14" t="inlineStr">
        <is>
          <t>Revenue</t>
        </is>
      </c>
      <c r="B7" s="61">
        <f>'Yearly Model'!L2</f>
        <v>43562.389</v>
      </c>
      <c r="C7" s="61">
        <f>'Yearly Model'!M2</f>
        <v>45304.884560000006</v>
      </c>
      <c r="D7" s="61">
        <f>'Yearly Model'!N2</f>
        <v>47117.07994240001</v>
      </c>
      <c r="E7" s="61">
        <f>'Yearly Model'!O2</f>
        <v>47117.07994240001</v>
      </c>
      <c r="F7" s="61">
        <f>'Yearly Model'!P2</f>
        <v>46174.73834355201</v>
      </c>
      <c r="G7" s="61">
        <f>'Yearly Model'!Q2</f>
        <v>47098.23311042305</v>
      </c>
      <c r="H7" s="61">
        <f>'Yearly Model'!R2</f>
        <v>48982.16243483997</v>
      </c>
      <c r="I7" s="61">
        <f>'Yearly Model'!S2</f>
        <v>50451.627307885174</v>
      </c>
      <c r="J7" s="61">
        <f>'Yearly Model'!T2</f>
        <v>51965.17612712173</v>
      </c>
      <c r="K7" s="61">
        <f>'Yearly Model'!U2</f>
        <v>53264.305530299775</v>
      </c>
      <c r="L7" s="61">
        <f>'Yearly Model'!V2</f>
        <v>54595.913168557265</v>
      </c>
    </row>
    <row r="8">
      <c r="A8" s="14" t="inlineStr">
        <is>
          <t>Operating income</t>
        </is>
      </c>
      <c r="B8" s="61">
        <f>'Yearly Model'!L8</f>
        <v>10577.552000000003</v>
      </c>
      <c r="C8" s="61">
        <f>'Yearly Model'!M8</f>
        <v>11032.645488051203</v>
      </c>
      <c r="D8" s="61">
        <f>'Yearly Model'!N8</f>
        <v>11507.875605131776</v>
      </c>
      <c r="E8" s="61">
        <f>'Yearly Model'!O8</f>
        <v>11541.799902690305</v>
      </c>
      <c r="F8" s="61">
        <f>'Yearly Model'!P8</f>
        <v>11344.209716243859</v>
      </c>
      <c r="G8" s="61">
        <f>'Yearly Model'!Q8</f>
        <v>11605.004638408238</v>
      </c>
      <c r="H8" s="61">
        <f>'Yearly Model'!R8</f>
        <v>12104.471980897652</v>
      </c>
      <c r="I8" s="61">
        <f>'Yearly Model'!S8</f>
        <v>12503.931311986264</v>
      </c>
      <c r="J8" s="61">
        <f>'Yearly Model'!T8</f>
        <v>12916.464178157377</v>
      </c>
      <c r="K8" s="61">
        <f>'Yearly Model'!U8</f>
        <v>13277.72608259313</v>
      </c>
      <c r="L8" s="61">
        <f>'Yearly Model'!V8</f>
        <v>13648.978292139316</v>
      </c>
    </row>
    <row r="9">
      <c r="A9" s="14" t="inlineStr">
        <is>
          <t>Tax on operating income</t>
        </is>
      </c>
      <c r="C9" s="58">
        <f>MAX(0,C8)*Assumptions!$E$14</f>
        <v>1875.5497329687046</v>
      </c>
      <c r="D9" s="58">
        <f>MAX(0,D8)*Assumptions!$E$14</f>
        <v>1956.338852872402</v>
      </c>
      <c r="E9" s="58">
        <f>MAX(0,E8)*Assumptions!$E$14</f>
        <v>1962.105983457352</v>
      </c>
      <c r="F9" s="58">
        <f>MAX(0,F8)*Assumptions!$E$14</f>
        <v>1928.5156517614562</v>
      </c>
      <c r="G9" s="58">
        <f>MAX(0,G8)*Assumptions!$E$14</f>
        <v>1972.8507885294007</v>
      </c>
      <c r="H9" s="58">
        <f>MAX(0,H8)*Assumptions!$E$14</f>
        <v>2057.760236752601</v>
      </c>
      <c r="I9" s="58">
        <f>MAX(0,I8)*Assumptions!$E$14</f>
        <v>2125.668323037665</v>
      </c>
      <c r="J9" s="58">
        <f>MAX(0,J8)*Assumptions!$E$14</f>
        <v>2195.798910286754</v>
      </c>
      <c r="K9" s="58">
        <f>MAX(0,K8)*Assumptions!$E$14</f>
        <v>2257.2134340408325</v>
      </c>
      <c r="L9" s="58">
        <f>MAX(0,L8)*Assumptions!$E$14</f>
        <v>2320.326309663684</v>
      </c>
    </row>
    <row r="10">
      <c r="A10" s="14" t="inlineStr">
        <is>
          <t>NOPAT</t>
        </is>
      </c>
      <c r="C10" s="58">
        <f>C8-C9</f>
        <v>9157.095755082499</v>
      </c>
      <c r="D10" s="58">
        <f>D8-D9</f>
        <v>9551.536752259373</v>
      </c>
      <c r="E10" s="58">
        <f>E8-E9</f>
        <v>9579.693919232954</v>
      </c>
      <c r="F10" s="58">
        <f>F8-F9</f>
        <v>9415.694064482403</v>
      </c>
      <c r="G10" s="58">
        <f>G8-G9</f>
        <v>9632.153849878838</v>
      </c>
      <c r="H10" s="58">
        <f>H8-H9</f>
        <v>10046.71174414505</v>
      </c>
      <c r="I10" s="58">
        <f>I8-I9</f>
        <v>10378.262988948598</v>
      </c>
      <c r="J10" s="58">
        <f>J8-J9</f>
        <v>10720.665267870623</v>
      </c>
      <c r="K10" s="58">
        <f>K8-K9</f>
        <v>11020.512648552298</v>
      </c>
      <c r="L10" s="58">
        <f>L8-L9</f>
        <v>11328.651982475632</v>
      </c>
    </row>
    <row r="11">
      <c r="A11" s="14" t="inlineStr">
        <is>
          <t>Reinvestment</t>
        </is>
      </c>
      <c r="C11" s="58">
        <f>(C7-B7)*Assumptions!$E$15</f>
        <v>435.62389000000076</v>
      </c>
      <c r="D11" s="58">
        <f>(D7-C7)*Assumptions!$E$15</f>
        <v>453.0488456000003</v>
      </c>
      <c r="E11" s="58">
        <f>(E7-D7)*Assumptions!$E$15</f>
        <v>0.0</v>
      </c>
      <c r="F11" s="58">
        <f>(F7-E7)*Assumptions!$E$15</f>
        <v>-235.58539971199934</v>
      </c>
      <c r="G11" s="58">
        <f>(G7-F7)*Assumptions!$E$15</f>
        <v>230.87369171775936</v>
      </c>
      <c r="H11" s="58">
        <f>(H7-G7)*Assumptions!$E$15</f>
        <v>470.982331104231</v>
      </c>
      <c r="I11" s="58">
        <f>(I7-H7)*Assumptions!$E$15</f>
        <v>367.3662182613007</v>
      </c>
      <c r="J11" s="58">
        <f>(J7-I7)*Assumptions!$E$15</f>
        <v>378.3872048091398</v>
      </c>
      <c r="K11" s="58">
        <f>(K7-J7)*Assumptions!$E$15</f>
        <v>324.7823507945104</v>
      </c>
      <c r="L11" s="58">
        <f>(L7-K7)*Assumptions!$E$15</f>
        <v>332.90190956437254</v>
      </c>
    </row>
    <row r="12">
      <c r="A12" s="20" t="inlineStr">
        <is>
          <t>Free cash flow</t>
        </is>
      </c>
      <c r="C12" s="70">
        <f>C10-C11</f>
        <v>8721.471865082498</v>
      </c>
      <c r="D12" s="70">
        <f>D10-D11</f>
        <v>9098.487906659373</v>
      </c>
      <c r="E12" s="70">
        <f>E10-E11</f>
        <v>9579.693919232954</v>
      </c>
      <c r="F12" s="70">
        <f>F10-F11</f>
        <v>9651.279464194402</v>
      </c>
      <c r="G12" s="70">
        <f>G10-G11</f>
        <v>9401.280158161078</v>
      </c>
      <c r="H12" s="70">
        <f>H10-H11</f>
        <v>9575.729413040819</v>
      </c>
      <c r="I12" s="70">
        <f>I10-I11</f>
        <v>10010.896770687297</v>
      </c>
      <c r="J12" s="70">
        <f>J10-J11</f>
        <v>10342.278063061483</v>
      </c>
      <c r="K12" s="70">
        <f>K10-K11</f>
        <v>10695.730297757787</v>
      </c>
      <c r="L12" s="70">
        <f>L10-L11</f>
        <v>10995.75007291126</v>
      </c>
    </row>
    <row r="13">
      <c r="A13" s="14" t="inlineStr">
        <is>
          <t>Year fraction</t>
        </is>
      </c>
      <c r="C13" s="47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71">
        <f>1/(1+Assumptions!$E$10)^C14</f>
        <v>0.9622504486493761</v>
      </c>
      <c r="D15" s="71">
        <f>1/(1+Assumptions!$E$10)^D14</f>
        <v>0.8909726376383114</v>
      </c>
      <c r="E15" s="71">
        <f>1/(1+Assumptions!$E$10)^E14</f>
        <v>0.8249746644799177</v>
      </c>
      <c r="F15" s="71">
        <f>1/(1+Assumptions!$E$10)^F14</f>
        <v>0.763865430073998</v>
      </c>
      <c r="G15" s="71">
        <f>1/(1+Assumptions!$E$10)^G14</f>
        <v>0.7072828056240721</v>
      </c>
      <c r="H15" s="71">
        <f>1/(1+Assumptions!$E$10)^H14</f>
        <v>0.6548914866889556</v>
      </c>
      <c r="I15" s="71">
        <f>1/(1+Assumptions!$E$10)^I14</f>
        <v>0.6063810061934773</v>
      </c>
      <c r="J15" s="71">
        <f>1/(1+Assumptions!$E$10)^J14</f>
        <v>0.5614638946235901</v>
      </c>
      <c r="K15" s="71">
        <f>1/(1+Assumptions!$E$10)^K14</f>
        <v>0.5198739765033241</v>
      </c>
      <c r="L15" s="71">
        <f>1/(1+Assumptions!$E$10)^L14</f>
        <v>0.48136479305863344</v>
      </c>
    </row>
    <row r="16">
      <c r="A16" s="20" t="inlineStr">
        <is>
          <t>PV of free cash flow</t>
        </is>
      </c>
      <c r="C16" s="70">
        <f>C12*C13*C15</f>
        <v>8392.240215058546</v>
      </c>
      <c r="D16" s="70">
        <f>D12*D13*D15</f>
        <v>8106.5037687165795</v>
      </c>
      <c r="E16" s="70">
        <f>E12*E13*E15</f>
        <v>7903.004776839514</v>
      </c>
      <c r="F16" s="70">
        <f>F12*F13*F15</f>
        <v>7372.2787386812015</v>
      </c>
      <c r="G16" s="70">
        <f>G12*G13*G15</f>
        <v>6649.363806722087</v>
      </c>
      <c r="H16" s="70">
        <f>H12*H13*H15</f>
        <v>6271.063671437462</v>
      </c>
      <c r="I16" s="70">
        <f>I12*I13*I15</f>
        <v>6070.417656708396</v>
      </c>
      <c r="J16" s="70">
        <f>J12*J13*J15</f>
        <v>5806.81572056662</v>
      </c>
      <c r="K16" s="70">
        <f>K12*K13*K15</f>
        <v>5560.431841502424</v>
      </c>
      <c r="L16" s="70">
        <f>L12*L13*L15</f>
        <v>5292.966958371382</v>
      </c>
    </row>
    <row r="19">
      <c r="A19" s="14" t="inlineStr">
        <is>
          <t>PV of forecast free cash flow</t>
        </is>
      </c>
      <c r="B19" s="58">
        <f>SUM(C16:L16)</f>
        <v>67425.08715460422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11270.64382473404</v>
      </c>
    </row>
    <row r="21">
      <c r="A21" s="14" t="inlineStr">
        <is>
          <t>Terminal value</t>
        </is>
      </c>
      <c r="B21" s="58">
        <f>B20/(Assumptions!$E$10-Assumptions!$E$11)</f>
        <v>204920.79681334615</v>
      </c>
    </row>
    <row r="22">
      <c r="A22" s="14" t="inlineStr">
        <is>
          <t>PV of terminal value</t>
        </is>
      </c>
      <c r="B22" s="58">
        <f>B21/(1+Assumptions!$E$10)^(L14+0.5)</f>
        <v>94917.97865706663</v>
      </c>
    </row>
    <row r="23">
      <c r="A23" s="20" t="inlineStr">
        <is>
          <t>Enterprise value</t>
        </is>
      </c>
      <c r="B23" s="72">
        <f>B19+B22</f>
        <v>162343.06581167085</v>
      </c>
    </row>
    <row r="24">
      <c r="A24" s="14" t="inlineStr">
        <is>
          <t>Cash &amp; investments</t>
        </is>
      </c>
      <c r="B24" s="61">
        <f>Main!C7</f>
        <v>4529.9977330008405</v>
      </c>
    </row>
    <row r="25">
      <c r="A25" s="14" t="inlineStr">
        <is>
          <t>Debt</t>
        </is>
      </c>
      <c r="B25" s="61">
        <f>Main!C8</f>
        <v>23630.132419421516</v>
      </c>
    </row>
    <row r="26">
      <c r="A26" s="20" t="inlineStr">
        <is>
          <t>Equity value</t>
        </is>
      </c>
      <c r="B26" s="72">
        <f>B23+B24-B25</f>
        <v>143242.93112525018</v>
      </c>
    </row>
    <row r="27">
      <c r="A27" s="14" t="inlineStr">
        <is>
          <t>Shares (mm)</t>
        </is>
      </c>
      <c r="B27" s="61">
        <f>Main!C4</f>
        <v>2157.722513</v>
      </c>
    </row>
    <row r="28">
      <c r="A28" s="20" t="inlineStr">
        <is>
          <t>NPV / share</t>
        </is>
      </c>
      <c r="B28" s="50">
        <f>B26/B27</f>
        <v>66.38616887121952</v>
      </c>
    </row>
    <row r="29">
      <c r="A29" s="14" t="inlineStr">
        <is>
          <t>Price</t>
        </is>
      </c>
      <c r="B29" s="51">
        <f>Main!C3</f>
        <v>50.645</v>
      </c>
    </row>
    <row r="30">
      <c r="A30" s="14" t="inlineStr">
        <is>
          <t>Upside</t>
        </is>
      </c>
      <c r="B30" s="69">
        <f>B28/B29-1</f>
        <v>0.31081387839311914</v>
      </c>
    </row>
    <row r="31">
      <c r="A31" s="14" t="inlineStr">
        <is>
          <t>Terminal value, % of EV</t>
        </is>
      </c>
      <c r="B31" s="69">
        <f>IFERROR(B22/B23,0)</f>
        <v>0.5846752873767829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GSK: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50.63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46773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1.2547945205479452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0.032</v>
      </c>
    </row>
    <row r="12">
      <c r="A12" s="14" t="inlineStr">
        <is>
          <t>ATM implied volatility, near</t>
        </is>
      </c>
      <c r="B12" s="59" t="n">
        <v>0.2605</v>
      </c>
    </row>
    <row r="13">
      <c r="A13" s="14" t="inlineStr">
        <is>
          <t>ATM implied volatility, long</t>
        </is>
      </c>
      <c r="B13" s="59" t="n">
        <v>0.2586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50</v>
      </c>
    </row>
    <row r="18">
      <c r="A18" s="14" t="inlineStr">
        <is>
          <t>ATM call (mid)</t>
        </is>
      </c>
      <c r="B18" s="52" t="n">
        <v>2.8</v>
      </c>
    </row>
    <row r="19">
      <c r="A19" s="14" t="inlineStr">
        <is>
          <t>ATM put (theo)</t>
        </is>
      </c>
      <c r="B19" s="52" t="n">
        <v>2.1857</v>
      </c>
    </row>
    <row r="20">
      <c r="A20" s="14" t="inlineStr">
        <is>
          <t>Straddle, % of spot (expected move)</t>
        </is>
      </c>
      <c r="B20" s="69">
        <f>(B18+B19)/B4</f>
        <v>0.09847323721113962</v>
      </c>
    </row>
    <row r="21">
      <c r="A21" s="14" t="inlineStr">
        <is>
          <t>Expected range, low</t>
        </is>
      </c>
      <c r="B21" s="53">
        <f>B4*(1-B20)</f>
        <v>45.6443</v>
      </c>
    </row>
    <row r="22">
      <c r="A22" s="14" t="inlineStr">
        <is>
          <t>Expected range, high</t>
        </is>
      </c>
      <c r="B22" s="53">
        <f>B4*(1+B20)</f>
        <v>55.615700000000004</v>
      </c>
    </row>
    <row r="23">
      <c r="A23" s="14" t="inlineStr">
        <is>
          <t>1-SD move by long expiry (ATM IV)</t>
        </is>
      </c>
      <c r="B23" s="69">
        <f>B13*SQRT(B9)</f>
        <v>0.2896775424076614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51.14080148684139</v>
      </c>
    </row>
    <row r="28">
      <c r="A28" s="14" t="inlineStr">
        <is>
          <t>Bear</t>
        </is>
      </c>
      <c r="B28" s="51">
        <f>Assumptions!D30</f>
        <v>34.440997624236296</v>
      </c>
      <c r="C28" s="69">
        <f>B28/$B$4-1</f>
        <v>-0.31975118261433355</v>
      </c>
      <c r="D28" s="69">
        <f>IF(B28&gt;0,(B28/$B$4)^(1/$B$9)-1,"")</f>
        <v>-0.2643932051942328</v>
      </c>
      <c r="E28" s="69">
        <f>IF(B28&gt;0,NORMSDIST((LN($B$27/B28)-$B$13^2*$B$9/2)/($B$13*SQRT($B$9))),1)</f>
        <v>0.8887491454665792</v>
      </c>
    </row>
    <row r="29">
      <c r="A29" s="14" t="inlineStr">
        <is>
          <t>Base (reviewed)</t>
        </is>
      </c>
      <c r="B29" s="51">
        <f>Assumptions!D31</f>
        <v>66.38616887121952</v>
      </c>
      <c r="C29" s="69">
        <f>B29/$B$4-1</f>
        <v>0.31120222933477226</v>
      </c>
      <c r="D29" s="69">
        <f>IF(B29&gt;0,(B29/$B$4)^(1/$B$9)-1,"")</f>
        <v>0.24101220931873968</v>
      </c>
      <c r="E29" s="69">
        <f>IF(B29&gt;0,NORMSDIST((LN($B$27/B29)-$B$13^2*$B$9/2)/($B$13*SQRT($B$9))),1)</f>
        <v>0.1478921740734944</v>
      </c>
    </row>
    <row r="30">
      <c r="A30" s="14" t="inlineStr">
        <is>
          <t>Bull</t>
        </is>
      </c>
      <c r="B30" s="51">
        <f>Assumptions!D32</f>
        <v>134.71773037679304</v>
      </c>
      <c r="C30" s="69">
        <f>B30/$B$4-1</f>
        <v>1.6608281725615845</v>
      </c>
      <c r="D30" s="69">
        <f>IF(B30&gt;0,(B30/$B$4)^(1/$B$9)-1,"")</f>
        <v>1.1812944082307038</v>
      </c>
      <c r="E30" s="69">
        <f>IF(B30&gt;0,NORMSDIST((LN($B$27/B30)-$B$13^2*$B$9/2)/($B$13*SQRT($B$9))),1)</f>
        <v>0.00024282082475268478</v>
      </c>
    </row>
    <row r="32">
      <c r="A32" s="27" t="inlineStr">
        <is>
          <t>Chain, 2028-01-21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35</v>
      </c>
      <c r="B34" s="52" t="n">
        <v>14</v>
      </c>
      <c r="C34" s="52" t="n">
        <v>19</v>
      </c>
      <c r="D34" s="59" t="n">
        <v>0.2954</v>
      </c>
      <c r="E34" s="52" t="n">
        <v>0.8</v>
      </c>
      <c r="F34" s="52" t="n">
        <v>1.5</v>
      </c>
      <c r="G34" s="59" t="n">
        <v>0.3331</v>
      </c>
      <c r="H34" s="55" t="n">
        <v>237</v>
      </c>
      <c r="I34" s="55" t="n">
        <v>186</v>
      </c>
    </row>
    <row r="35">
      <c r="A35" s="11" t="n">
        <v>38</v>
      </c>
      <c r="B35" s="52" t="n">
        <v>13.4</v>
      </c>
      <c r="C35" s="52" t="n">
        <v>15.5</v>
      </c>
      <c r="D35" s="59" t="n">
        <v>0.3171</v>
      </c>
      <c r="E35" s="52" t="n">
        <v>0.8</v>
      </c>
      <c r="F35" s="52" t="n">
        <v>3.3</v>
      </c>
      <c r="G35" s="59" t="n">
        <v>0.351</v>
      </c>
      <c r="H35" s="55" t="n">
        <v>73</v>
      </c>
      <c r="I35" s="55" t="n">
        <v>47</v>
      </c>
    </row>
    <row r="36">
      <c r="A36" s="11" t="n">
        <v>40</v>
      </c>
      <c r="B36" s="52" t="n">
        <v>12</v>
      </c>
      <c r="C36" s="52" t="n">
        <v>13.3</v>
      </c>
      <c r="D36" s="59" t="n">
        <v>0.2875</v>
      </c>
      <c r="E36" s="52" t="n">
        <v>1.05</v>
      </c>
      <c r="F36" s="52" t="n">
        <v>2.05</v>
      </c>
      <c r="G36" s="59" t="n">
        <v>0.2768</v>
      </c>
      <c r="H36" s="55" t="n">
        <v>102</v>
      </c>
      <c r="I36" s="55" t="n">
        <v>1443</v>
      </c>
    </row>
    <row r="37">
      <c r="A37" s="11" t="n">
        <v>42</v>
      </c>
      <c r="B37" s="52" t="n">
        <v>10.6</v>
      </c>
      <c r="C37" s="52" t="n">
        <v>11.8</v>
      </c>
      <c r="D37" s="59" t="n">
        <v>0.2809</v>
      </c>
      <c r="E37" s="52" t="n">
        <v>2</v>
      </c>
      <c r="F37" s="52" t="n">
        <v>3.7</v>
      </c>
      <c r="G37" s="59" t="n">
        <v>0.324</v>
      </c>
      <c r="H37" s="55" t="n">
        <v>257</v>
      </c>
      <c r="I37" s="55" t="n">
        <v>37</v>
      </c>
    </row>
    <row r="38">
      <c r="A38" s="11" t="n">
        <v>45</v>
      </c>
      <c r="B38" s="52" t="n">
        <v>8.300000000000001</v>
      </c>
      <c r="C38" s="52" t="n">
        <v>10.5</v>
      </c>
      <c r="D38" s="59" t="n">
        <v>0.2831</v>
      </c>
      <c r="E38" s="52" t="n">
        <v>2.45</v>
      </c>
      <c r="F38" s="52" t="n">
        <v>3.6</v>
      </c>
      <c r="G38" s="59" t="n">
        <v>0.2731</v>
      </c>
      <c r="H38" s="55" t="n">
        <v>215</v>
      </c>
      <c r="I38" s="55" t="n">
        <v>1131</v>
      </c>
    </row>
    <row r="39">
      <c r="A39" s="11" t="n">
        <v>47</v>
      </c>
      <c r="B39" s="52" t="n">
        <v>7.5</v>
      </c>
      <c r="C39" s="52" t="n">
        <v>9.300000000000001</v>
      </c>
      <c r="D39" s="59" t="n">
        <v>0.2881</v>
      </c>
      <c r="E39" s="52" t="n">
        <v>3.1</v>
      </c>
      <c r="F39" s="52" t="n">
        <v>4.1</v>
      </c>
      <c r="G39" s="59" t="n">
        <v>0.2617</v>
      </c>
      <c r="H39" s="55" t="n">
        <v>335</v>
      </c>
      <c r="I39" s="55" t="n">
        <v>54</v>
      </c>
    </row>
    <row r="40">
      <c r="A40" s="11" t="n">
        <v>50</v>
      </c>
      <c r="B40" s="52" t="n">
        <v>4</v>
      </c>
      <c r="C40" s="52" t="n">
        <v>6.5</v>
      </c>
      <c r="D40" s="59" t="n">
        <v>0.2621</v>
      </c>
      <c r="E40" s="52" t="n">
        <v>4.1</v>
      </c>
      <c r="F40" s="52" t="n">
        <v>5.6</v>
      </c>
      <c r="G40" s="59" t="n">
        <v>0.2552</v>
      </c>
      <c r="H40" s="55" t="n">
        <v>1354</v>
      </c>
      <c r="I40" s="55" t="n">
        <v>454</v>
      </c>
    </row>
    <row r="41">
      <c r="A41" s="11" t="n">
        <v>55</v>
      </c>
      <c r="B41" s="52" t="n">
        <v>4</v>
      </c>
      <c r="C41" s="52" t="n">
        <v>4.9</v>
      </c>
      <c r="D41" s="59" t="n">
        <v>0.2632</v>
      </c>
      <c r="E41" s="52" t="n">
        <v>6.4</v>
      </c>
      <c r="F41" s="52" t="n">
        <v>8.300000000000001</v>
      </c>
      <c r="G41" s="59" t="n">
        <v>0.2381</v>
      </c>
      <c r="H41" s="55" t="n">
        <v>959</v>
      </c>
      <c r="I41" s="55" t="n">
        <v>82</v>
      </c>
    </row>
    <row r="42">
      <c r="A42" s="11" t="n">
        <v>60</v>
      </c>
      <c r="B42" s="52" t="n">
        <v>2.4</v>
      </c>
      <c r="C42" s="52" t="n">
        <v>3.4</v>
      </c>
      <c r="D42" s="59" t="n">
        <v>0.2578</v>
      </c>
      <c r="E42" s="52" t="n">
        <v>9.9</v>
      </c>
      <c r="F42" s="52" t="n">
        <v>12.1</v>
      </c>
      <c r="G42" s="59" t="n">
        <v>0.2445</v>
      </c>
      <c r="H42" s="55" t="n">
        <v>296</v>
      </c>
      <c r="I42" s="55" t="n">
        <v>191</v>
      </c>
    </row>
    <row r="43">
      <c r="A43" s="11" t="n">
        <v>65</v>
      </c>
      <c r="B43" s="52" t="n">
        <v>1.45</v>
      </c>
      <c r="C43" s="52" t="n">
        <v>2.4</v>
      </c>
      <c r="D43" s="59" t="n">
        <v>0.2591</v>
      </c>
      <c r="E43" s="52" t="n">
        <v>13.8</v>
      </c>
      <c r="F43" s="52" t="n">
        <v>16.1</v>
      </c>
      <c r="G43" s="59" t="n">
        <v>0.2315</v>
      </c>
      <c r="H43" s="55" t="n">
        <v>1556</v>
      </c>
      <c r="I43" s="55" t="n">
        <v>35</v>
      </c>
    </row>
    <row r="44">
      <c r="A44" s="11" t="n">
        <v>90</v>
      </c>
      <c r="B44" s="52" t="n">
        <v>0</v>
      </c>
      <c r="C44" s="52" t="n">
        <v>2.65</v>
      </c>
      <c r="D44" s="59" t="n">
        <v>0.3892</v>
      </c>
      <c r="E44" s="52" t="n">
        <v>37</v>
      </c>
      <c r="F44" s="52" t="n">
        <v>42</v>
      </c>
      <c r="G44" s="59" t="n">
        <v>0</v>
      </c>
      <c r="H44" s="55" t="n">
        <v>94</v>
      </c>
      <c r="I44" s="55" t="n">
        <v>0</v>
      </c>
    </row>
    <row r="46">
      <c r="A46" s="27" t="inlineStr">
        <is>
          <t>Strategies, 2028-01-21 expiry (premium: + = credit; P/L at expiry per contract)</t>
        </is>
      </c>
    </row>
    <row r="47">
      <c r="A47" s="20" t="inlineStr">
        <is>
          <t>Leg prices</t>
        </is>
      </c>
    </row>
    <row r="48">
      <c r="A48" s="14" t="inlineStr">
        <is>
          <t>ATM call (theo)</t>
        </is>
      </c>
      <c r="B48" s="30" t="n">
        <v>50</v>
      </c>
      <c r="C48" s="52" t="n">
        <v>6.0989</v>
      </c>
    </row>
    <row r="49">
      <c r="A49" s="14" t="inlineStr">
        <is>
          <t>Upper call (theo)</t>
        </is>
      </c>
      <c r="B49" s="30" t="n">
        <v>65</v>
      </c>
      <c r="C49" s="52" t="n">
        <v>1.807</v>
      </c>
    </row>
    <row r="50">
      <c r="A50" s="14" t="inlineStr">
        <is>
          <t>ATM put (mid)</t>
        </is>
      </c>
      <c r="B50" s="30" t="n">
        <v>50</v>
      </c>
      <c r="C50" s="52" t="n">
        <v>4.85</v>
      </c>
    </row>
    <row r="51">
      <c r="A51" s="14" t="inlineStr">
        <is>
          <t>Lower put (theo)</t>
        </is>
      </c>
      <c r="B51" s="30" t="n">
        <v>35</v>
      </c>
      <c r="C51" s="52" t="n">
        <v>0.517</v>
      </c>
    </row>
    <row r="52">
      <c r="A52" s="14" t="inlineStr">
        <is>
          <t>Short-put strike (theo)</t>
        </is>
      </c>
      <c r="B52" s="30" t="n">
        <v>45</v>
      </c>
      <c r="C52" s="52" t="n">
        <v>2.8465</v>
      </c>
    </row>
    <row r="54">
      <c r="A54" s="24" t="inlineStr">
        <is>
          <t>Strategy</t>
        </is>
      </c>
      <c r="B54" s="25" t="inlineStr">
        <is>
          <t>Premium</t>
        </is>
      </c>
      <c r="C54" s="25" t="inlineStr">
        <is>
          <t>Max profit</t>
        </is>
      </c>
      <c r="D54" s="25" t="inlineStr">
        <is>
          <t>Max loss</t>
        </is>
      </c>
      <c r="E54" s="25" t="inlineStr">
        <is>
          <t>Breakeven</t>
        </is>
      </c>
      <c r="F54" s="25" t="inlineStr">
        <is>
          <t>P/L at bear</t>
        </is>
      </c>
      <c r="G54" s="25" t="inlineStr">
        <is>
          <t>P/L at spot</t>
        </is>
      </c>
      <c r="H54" s="25" t="inlineStr">
        <is>
          <t>P/L at base</t>
        </is>
      </c>
      <c r="I54" s="25" t="inlineStr">
        <is>
          <t>P/L at bull</t>
        </is>
      </c>
      <c r="J54" s="25" t="inlineStr">
        <is>
          <t>Market P(profit)</t>
        </is>
      </c>
    </row>
    <row r="55">
      <c r="A55" s="14" t="inlineStr">
        <is>
          <t>Long ATM call</t>
        </is>
      </c>
      <c r="B55" s="73">
        <f>-$C$48*$B$14</f>
        <v>-609.8900000000001</v>
      </c>
      <c r="C55" s="73" t="str">
        <f>"Unlimited"</f>
        <v>Unlimited</v>
      </c>
      <c r="D55" s="73">
        <f>B55</f>
        <v>-609.8900000000001</v>
      </c>
      <c r="E55" s="53">
        <f>$B$48+$C$48</f>
        <v>56.0989</v>
      </c>
      <c r="F55" s="73">
        <f>(MAX($B$28-$B$48,0)-$C$48)*$B$14</f>
        <v>-609.8900000000001</v>
      </c>
      <c r="G55" s="73">
        <f>(MAX($B$4-$B$48,0)-$C$48)*$B$14</f>
        <v>-546.8899999999998</v>
      </c>
      <c r="H55" s="73">
        <f>(MAX($B$29-$B$48,0)-$C$48)*$B$14</f>
        <v>1028.7268871219524</v>
      </c>
      <c r="I55" s="73">
        <f>(MAX($B$30-$B$48,0)-$C$48)*$B$14</f>
        <v>7861.883037679304</v>
      </c>
      <c r="J55" s="69">
        <f>NORMSDIST((LN($B$27/(E55))-$B$13^2*$B$9/2)/($B$13*SQRT($B$9)))</f>
        <v>0.32122529151903356</v>
      </c>
    </row>
    <row r="56">
      <c r="A56" s="14" t="inlineStr">
        <is>
          <t>Bull call spread (ATM / upper)</t>
        </is>
      </c>
      <c r="B56" s="73">
        <f>-($C$48-$C$49)*$B$14</f>
        <v>-429.19</v>
      </c>
      <c r="C56" s="73">
        <f>($B$49-$B$48)*$B$14+B56</f>
        <v>1070.81</v>
      </c>
      <c r="D56" s="73">
        <f>B56</f>
        <v>-429.19</v>
      </c>
      <c r="E56" s="53">
        <f>$B$48+$C$48-$C$49</f>
        <v>54.2919</v>
      </c>
      <c r="F56" s="73">
        <f>(MAX($B$28-$B$48,0)-MAX($B$28-$B$49,0)-$C$48+$C$49)*$B$14</f>
        <v>-429.19</v>
      </c>
      <c r="G56" s="73">
        <f>(MAX($B$4-$B$48,0)-MAX($B$4-$B$49,0)-$C$48+$C$49)*$B$14</f>
        <v>-366.18999999999977</v>
      </c>
      <c r="H56" s="73">
        <f>(MAX($B$29-$B$48,0)-MAX($B$29-$B$49,0)-$C$48+$C$49)*$B$14</f>
        <v>1070.81</v>
      </c>
      <c r="I56" s="73">
        <f>(MAX($B$30-$B$48,0)-MAX($B$30-$B$49,0)-$C$48+$C$49)*$B$14</f>
        <v>1070.81</v>
      </c>
      <c r="J56" s="69">
        <f>NORMSDIST((LN($B$27/(E56))-$B$13^2*$B$9/2)/($B$13*SQRT($B$9)))</f>
        <v>0.36270078318309346</v>
      </c>
    </row>
    <row r="57">
      <c r="A57" s="14" t="inlineStr">
        <is>
          <t>Cash-secured put (~10% below spot)</t>
        </is>
      </c>
      <c r="B57" s="73">
        <f>$C$52*$B$14</f>
        <v>284.65</v>
      </c>
      <c r="C57" s="73">
        <f>B57</f>
        <v>284.65</v>
      </c>
      <c r="D57" s="73">
        <f>-($B$52*$B$14-B57)</f>
        <v>-4215.35</v>
      </c>
      <c r="E57" s="53">
        <f>$B$52-$C$52</f>
        <v>42.1535</v>
      </c>
      <c r="F57" s="73">
        <f>($C$52-MAX($B$52-$B$28,0))*$B$14</f>
        <v>-771.2502375763704</v>
      </c>
      <c r="G57" s="73">
        <f>($C$52-MAX($B$52-$B$4,0))*$B$14</f>
        <v>284.65</v>
      </c>
      <c r="H57" s="73">
        <f>($C$52-MAX($B$52-$B$29,0))*$B$14</f>
        <v>284.65</v>
      </c>
      <c r="I57" s="73">
        <f>($C$52-MAX($B$52-$B$30,0))*$B$14</f>
        <v>284.65</v>
      </c>
      <c r="J57" s="69">
        <f>NORMSDIST((LN($B$27/(E57))-$B$13^2*$B$9/2)/($B$13*SQRT($B$9)))</f>
        <v>0.6992810465557517</v>
      </c>
    </row>
    <row r="58">
      <c r="A58" s="14" t="inlineStr">
        <is>
          <t>Covered call (100 shares + upper call, incl. dividends)</t>
        </is>
      </c>
      <c r="B58" s="73">
        <f>$C$49*$B$14</f>
        <v>180.7</v>
      </c>
      <c r="C58" s="73">
        <f>($B$49-$B$4)*$B$14+B58+$B$4*$B$11*$B$9*$B$14</f>
        <v>1820.9967890410958</v>
      </c>
      <c r="D58" s="73">
        <f>-($B$4*$B$14-B58-$B$4*$B$11*$B$9*$B$14)</f>
        <v>-4679.003210958905</v>
      </c>
      <c r="E58" s="53">
        <f>$B$4-$C$49-$B$4*$B$11*$B$9</f>
        <v>46.79003210958904</v>
      </c>
      <c r="F58" s="73">
        <f>($B$28-$B$4+$C$49-MAX($B$28-$B$49,0)+$B$4*$B$11*$B$9)*$B$14</f>
        <v>-1234.9034485352747</v>
      </c>
      <c r="G58" s="73">
        <f>($B$4-$B$4+$C$49-MAX($B$4-$B$49,0)+$B$4*$B$11*$B$9)*$B$14</f>
        <v>383.9967890410959</v>
      </c>
      <c r="H58" s="73">
        <f>($B$29-$B$4+$C$49-MAX($B$29-$B$49,0)+$B$4*$B$11*$B$9)*$B$14</f>
        <v>1820.9967890410956</v>
      </c>
      <c r="I58" s="73">
        <f>($B$30-$B$4+$C$49-MAX($B$30-$B$49,0)+$B$4*$B$11*$B$9)*$B$14</f>
        <v>1820.9967890410965</v>
      </c>
      <c r="J58" s="69">
        <f>NORMSDIST((LN($B$27/(E58))-$B$13^2*$B$9/2)/($B$13*SQRT($B$9)))</f>
        <v>0.5643853352064478</v>
      </c>
    </row>
    <row r="59">
      <c r="A59" s="14" t="inlineStr">
        <is>
          <t>Bear put spread (ATM / lower)</t>
        </is>
      </c>
      <c r="B59" s="73">
        <f>-($C$50-$C$51)*$B$14</f>
        <v>-433.29999999999995</v>
      </c>
      <c r="C59" s="73">
        <f>($B$50-$B$51)*$B$14+B59</f>
        <v>1066.7</v>
      </c>
      <c r="D59" s="73">
        <f>B59</f>
        <v>-433.29999999999995</v>
      </c>
      <c r="E59" s="53">
        <f>$B$50-$C$50+$C$51</f>
        <v>45.667</v>
      </c>
      <c r="F59" s="73">
        <f>(MAX($B$50-$B$28,0)-MAX($B$51-$B$28,0)-$C$50+$C$51)*$B$14</f>
        <v>1066.7</v>
      </c>
      <c r="G59" s="73">
        <f>(MAX($B$50-$B$4,0)-MAX($B$51-$B$4,0)-$C$50+$C$51)*$B$14</f>
        <v>-433.29999999999995</v>
      </c>
      <c r="H59" s="73">
        <f>(MAX($B$50-$B$29,0)-MAX($B$51-$B$29,0)-$C$50+$C$51)*$B$14</f>
        <v>-433.29999999999995</v>
      </c>
      <c r="I59" s="73">
        <f>(MAX($B$50-$B$30,0)-MAX($B$51-$B$30,0)-$C$50+$C$51)*$B$14</f>
        <v>-433.29999999999995</v>
      </c>
      <c r="J59" s="69">
        <f>1-NORMSDIST((LN($B$27/(E59))-$B$13^2*$B$9/2)/($B$13*SQRT($B$9)))</f>
        <v>0.40285515785556014</v>
      </c>
    </row>
    <row r="61">
      <c r="A61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2026-10-21T06:21:01Z</dcterms:modified>
  <cp:lastModifiedBy>Wang, Eric</cp:lastModifiedBy>
</cp:coreProperties>
</file>