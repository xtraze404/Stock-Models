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Ensysce Biosciences Inc</t>
        </is>
      </c>
      <c r="C2" s="10" t="n"/>
    </row>
    <row r="3">
      <c r="B3" t="inlineStr">
        <is>
          <t>Price</t>
        </is>
      </c>
      <c r="C3" s="11">
        <f>INDEX([1]Pharma!$F$1:$F$1000,MATCH("ENSC",[1]Pharma!$B$1:$B$1000,0))</f>
        <v>0.4986</v>
      </c>
      <c r="F3" s="1" t="n"/>
    </row>
    <row r="4">
      <c r="B4" t="inlineStr">
        <is>
          <t>Shares</t>
        </is>
      </c>
      <c r="C4" s="21" t="n">
        <v>19.456794</v>
      </c>
      <c r="F4" s="1" t="n"/>
    </row>
    <row r="5">
      <c r="B5" t="inlineStr">
        <is>
          <t>Market Cap.</t>
        </is>
      </c>
      <c r="C5" s="13">
        <f>C3*C4</f>
        <v>9.7011574884</v>
      </c>
      <c r="F5" s="1" t="n"/>
    </row>
    <row r="6"/>
    <row r="7">
      <c r="B7" t="inlineStr">
        <is>
          <t>Cash</t>
        </is>
      </c>
      <c r="C7" s="21" t="n">
        <v>0.676704</v>
      </c>
    </row>
    <row r="8">
      <c r="B8" t="inlineStr">
        <is>
          <t>Debt</t>
        </is>
      </c>
      <c r="C8" s="21" t="n">
        <v>0.196842</v>
      </c>
    </row>
    <row r="9">
      <c r="B9" t="inlineStr">
        <is>
          <t>Enterprise V.</t>
        </is>
      </c>
      <c r="C9" s="13">
        <f>C5-C7+C8</f>
        <v>9.2212954884</v>
      </c>
    </row>
    <row r="10"/>
    <row r="11">
      <c r="B11" s="14" t="inlineStr">
        <is>
          <t>Net Cash / Share</t>
        </is>
      </c>
      <c r="C11" s="11">
        <f>(C7-C8)/C4</f>
        <v>0.024662953208015672</v>
      </c>
    </row>
    <row r="12">
      <c r="B12" s="14" t="inlineStr">
        <is>
          <t>Upside</t>
        </is>
      </c>
      <c r="C12" s="15">
        <f>IFERROR(C11/C3-1,"")</f>
        <v>-0.9505355932450548</v>
      </c>
    </row>
    <row r="13">
      <c r="B13" s="14" t="inlineStr">
        <is>
          <t>Cash / Share</t>
        </is>
      </c>
      <c r="C13" s="11">
        <f>IFERROR((C7-C8)/C4,"")</f>
        <v>0.024662953208015672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-8.855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0.05419107848673066</v>
      </c>
    </row>
    <row r="19">
      <c r="B19" s="14" t="inlineStr">
        <is>
          <t>Implied Pipeline Value</t>
        </is>
      </c>
      <c r="C19" s="13">
        <f>C9</f>
        <v>9.2212954884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3.931</v>
      </c>
      <c r="E2" s="23" t="n">
        <v>3.531</v>
      </c>
      <c r="F2" s="23" t="n">
        <v>2.523</v>
      </c>
      <c r="G2" s="23" t="n">
        <v>2.231</v>
      </c>
      <c r="H2" s="23" t="n">
        <v>5.21</v>
      </c>
      <c r="I2" s="23" t="n">
        <v>5.067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3.931</v>
      </c>
      <c r="E4" s="23">
        <f>E2-E3</f>
        <v>3.531</v>
      </c>
      <c r="F4" s="23">
        <f>F2-F3</f>
        <v>2.523</v>
      </c>
      <c r="G4" s="23">
        <f>G2-G3</f>
        <v>2.231</v>
      </c>
      <c r="H4" s="23">
        <f>H2-H3</f>
        <v>5.21</v>
      </c>
      <c r="I4" s="23">
        <f>I2-I3</f>
        <v>5.067</v>
      </c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4.39</v>
      </c>
      <c r="E5" s="23" t="n">
        <v>4.69</v>
      </c>
      <c r="F5" s="23" t="n">
        <v>19.836</v>
      </c>
      <c r="G5" s="23" t="n">
        <v>7.587</v>
      </c>
      <c r="H5" s="23" t="n">
        <v>7.219</v>
      </c>
      <c r="I5" s="23" t="n">
        <v>10.377</v>
      </c>
      <c r="J5" s="1" t="n"/>
      <c r="K5" s="1" t="n"/>
    </row>
    <row r="6">
      <c r="A6" s="19" t="inlineStr">
        <is>
          <t>SG&amp;A &amp; Other</t>
        </is>
      </c>
      <c r="B6" s="23" t="n">
        <v>0.959</v>
      </c>
      <c r="C6" s="23" t="n">
        <v>3.329</v>
      </c>
      <c r="D6" s="23" t="n">
        <v>1.155</v>
      </c>
      <c r="E6" s="23" t="n">
        <v>18.712</v>
      </c>
      <c r="F6" s="23" t="n">
        <v>6.91</v>
      </c>
      <c r="G6" s="23" t="n">
        <v>5.361</v>
      </c>
      <c r="H6" s="23" t="n">
        <v>4.721</v>
      </c>
      <c r="I6" s="23" t="n">
        <v>4.931</v>
      </c>
      <c r="J6" s="1" t="n"/>
      <c r="K6" s="1" t="n"/>
    </row>
    <row r="7">
      <c r="A7" s="2" t="inlineStr">
        <is>
          <t>Operating Expense</t>
        </is>
      </c>
      <c r="B7" s="23">
        <f>SUM(B5:B6)</f>
        <v>0.959</v>
      </c>
      <c r="C7" s="23">
        <f>SUM(C5:C6)</f>
        <v>3.329</v>
      </c>
      <c r="D7" s="23">
        <f>SUM(D5:D6)</f>
        <v>5.545</v>
      </c>
      <c r="E7" s="23">
        <f>SUM(E5:E6)</f>
        <v>23.402</v>
      </c>
      <c r="F7" s="23">
        <f>SUM(F5:F6)</f>
        <v>26.746</v>
      </c>
      <c r="G7" s="23">
        <f>SUM(G5:G6)</f>
        <v>12.948</v>
      </c>
      <c r="H7" s="23">
        <f>SUM(H5:H6)</f>
        <v>11.940000000000001</v>
      </c>
      <c r="I7" s="23">
        <f>SUM(I5:I6)</f>
        <v>15.308</v>
      </c>
      <c r="J7" s="1" t="n"/>
      <c r="K7" s="1" t="n"/>
    </row>
    <row r="8">
      <c r="A8" s="2" t="inlineStr">
        <is>
          <t>Operating Income</t>
        </is>
      </c>
      <c r="B8" s="23">
        <f>B4-B7</f>
        <v>-0.959</v>
      </c>
      <c r="C8" s="23">
        <f>C4-C7</f>
        <v>-3.329</v>
      </c>
      <c r="D8" s="23">
        <f>D4-D7</f>
        <v>-1.6139999999999999</v>
      </c>
      <c r="E8" s="23">
        <f>E4-E7</f>
        <v>-19.871000000000002</v>
      </c>
      <c r="F8" s="23">
        <f>F4-F7</f>
        <v>-24.223</v>
      </c>
      <c r="G8" s="23">
        <f>G4-G7</f>
        <v>-10.717</v>
      </c>
      <c r="H8" s="23">
        <f>H4-H7</f>
        <v>-6.730000000000001</v>
      </c>
      <c r="I8" s="23">
        <f>I4-I7</f>
        <v>-10.241</v>
      </c>
      <c r="J8" s="1" t="n"/>
      <c r="K8" s="1" t="n"/>
    </row>
    <row r="9">
      <c r="A9" s="19" t="inlineStr">
        <is>
          <t>Interest &amp; Other</t>
        </is>
      </c>
      <c r="B9" s="23" t="n">
        <v>3.635</v>
      </c>
      <c r="C9" s="23" t="n">
        <v>2.817</v>
      </c>
      <c r="D9" s="23" t="n">
        <v>6.169</v>
      </c>
      <c r="E9" s="23" t="n">
        <v>-10.016</v>
      </c>
      <c r="F9" s="23" t="n">
        <v>-0.863</v>
      </c>
      <c r="G9" s="23" t="n">
        <v>0.092</v>
      </c>
      <c r="H9" s="23" t="n">
        <v>-1.257</v>
      </c>
      <c r="I9" s="23" t="n">
        <v>0.065</v>
      </c>
    </row>
    <row r="10">
      <c r="A10" s="2" t="inlineStr">
        <is>
          <t>Pretax</t>
        </is>
      </c>
      <c r="B10" s="23">
        <f>B8+B9</f>
        <v>2.6759999999999997</v>
      </c>
      <c r="C10" s="23">
        <f>C8+C9</f>
        <v>-0.512</v>
      </c>
      <c r="D10" s="23">
        <f>D8+D9</f>
        <v>4.555</v>
      </c>
      <c r="E10" s="23">
        <f>E8+E9</f>
        <v>-29.887</v>
      </c>
      <c r="F10" s="23">
        <f>F8+F9</f>
        <v>-25.086</v>
      </c>
      <c r="G10" s="23">
        <f>G8+G9</f>
        <v>-10.625</v>
      </c>
      <c r="H10" s="23">
        <f>H8+H9</f>
        <v>-7.987000000000001</v>
      </c>
      <c r="I10" s="23">
        <f>I8+I9</f>
        <v>-10.176</v>
      </c>
      <c r="J10" s="1" t="n"/>
      <c r="K10" s="1" t="n"/>
    </row>
    <row r="11">
      <c r="A11" s="2" t="inlineStr">
        <is>
          <t>Taxes</t>
        </is>
      </c>
      <c r="B11" s="23" t="n">
        <v>0.554</v>
      </c>
      <c r="C11" s="23" t="n">
        <v>0.555</v>
      </c>
      <c r="D11" s="23" t="n">
        <v>0.244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2.122</v>
      </c>
      <c r="C12" s="23" t="n">
        <v>-1.067</v>
      </c>
      <c r="D12" s="23" t="n">
        <v>4.311</v>
      </c>
      <c r="E12" s="23" t="n">
        <v>-29.887</v>
      </c>
      <c r="F12" s="23" t="n">
        <v>-25.085</v>
      </c>
      <c r="G12" s="23" t="n">
        <v>-10.626</v>
      </c>
      <c r="H12" s="23" t="n">
        <v>-7.987</v>
      </c>
      <c r="I12" s="23" t="n">
        <v>-10.176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35.96610169491525</v>
      </c>
      <c r="C13" s="11">
        <f>IFERROR(C12/C14,0)</f>
        <v>-18.084745762711865</v>
      </c>
      <c r="D13" s="11">
        <f>IFERROR(D12/D14,0)</f>
        <v>29.3265306122449</v>
      </c>
      <c r="E13" s="11">
        <f>IFERROR(E12/E14,0)</f>
        <v>-166.0388888888889</v>
      </c>
      <c r="F13" s="11">
        <f>IFERROR(F12/F14,0)</f>
        <v>-139.36111111111111</v>
      </c>
      <c r="G13" s="11">
        <f>IFERROR(G12/G14,0)</f>
        <v>-70.37086092715232</v>
      </c>
      <c r="H13" s="11">
        <f>IFERROR(H12/H14,0)</f>
        <v>-11.442693409742121</v>
      </c>
      <c r="I13" s="11">
        <f>IFERROR(I12/I14,0)</f>
        <v>-3.9796636683613613</v>
      </c>
    </row>
    <row r="14">
      <c r="A14" s="2" t="inlineStr">
        <is>
          <t>Shares</t>
        </is>
      </c>
      <c r="B14" s="23" t="n">
        <v>0.059</v>
      </c>
      <c r="C14" s="23" t="n">
        <v>0.059</v>
      </c>
      <c r="D14" s="23" t="n">
        <v>0.147</v>
      </c>
      <c r="E14" s="23" t="n">
        <v>0.18</v>
      </c>
      <c r="F14" s="23" t="n">
        <v>0.18</v>
      </c>
      <c r="G14" s="23" t="n">
        <v>0.151</v>
      </c>
      <c r="H14" s="23" t="n">
        <v>0.698</v>
      </c>
      <c r="I14" s="23" t="n">
        <v>2.557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-0.10175527855507505</v>
      </c>
      <c r="F16" s="15">
        <f>IFERROR(F2/E2-1,"")</f>
        <v>-0.2854715378079864</v>
      </c>
      <c r="G16" s="15">
        <f>IFERROR(G2/F2-1,"")</f>
        <v>-0.11573523583036083</v>
      </c>
      <c r="H16" s="15">
        <f>IFERROR(H2/G2-1,"")</f>
        <v>1.3352756611385028</v>
      </c>
      <c r="I16" s="15">
        <f>IFERROR(I2/H2-1,"")</f>
        <v>-0.027447216890594928</v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-0.4105825489697278</v>
      </c>
      <c r="E18" s="15">
        <f>IFERROR(E8/E2,"")</f>
        <v>-5.627584253752478</v>
      </c>
      <c r="F18" s="15">
        <f>IFERROR(F8/F2,"")</f>
        <v>-9.6008719778042</v>
      </c>
      <c r="G18" s="15">
        <f>IFERROR(G8/G2,"")</f>
        <v>-4.803675481846706</v>
      </c>
      <c r="H18" s="15">
        <f>IFERROR(H8/H2,"")</f>
        <v>-1.2917466410748564</v>
      </c>
      <c r="I18" s="15">
        <f>IFERROR(I8/I2,"")</f>
        <v>-2.0211170317742253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2026-10-21T01:06:34Z</dcterms:modified>
  <cp:lastModifiedBy>Wang, Eric</cp:lastModifiedBy>
</cp:coreProperties>
</file>