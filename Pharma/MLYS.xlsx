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  <sheet name="Options" sheetId="7" state="visible" r:id="rId7"/>
  </sheets>
  <externalReferences>
    <externalReference r:id="rId8"/>
  </externalReferences>
  <definedNames/>
  <calcPr calcId="191029" fullCalcOnLoad="1"/>
</workbook>
</file>

<file path=xl/styles.xml><?xml version="1.0" encoding="utf-8"?>
<styleSheet xmlns="http://schemas.openxmlformats.org/spreadsheetml/2006/main">
  <numFmts count="12">
    <numFmt numFmtId="164" formatCode="0.0%;(0.0%);&quot;-&quot;"/>
    <numFmt numFmtId="165" formatCode="#,##0;(#,##0);&quot;-&quot;"/>
    <numFmt numFmtId="166" formatCode="yyyy-mm-dd"/>
    <numFmt numFmtId="167" formatCode="0%;(0%);&quot;-&quot;"/>
    <numFmt numFmtId="168" formatCode="#,##0.0;(#,##0.0);&quot;-&quot;"/>
    <numFmt numFmtId="169" formatCode="0.0%"/>
    <numFmt numFmtId="170" formatCode="0.000"/>
    <numFmt numFmtId="171" formatCode="$#,##0.00;($#,##0.00);&quot;-&quot;"/>
    <numFmt numFmtId="172" formatCode="0.000000"/>
    <numFmt numFmtId="173" formatCode="0.00x"/>
    <numFmt numFmtId="174" formatCode="$#,##0;($#,##0);&quot;-&quot;"/>
    <numFmt numFmtId="175" formatCode="#,##0.0"/>
  </numFmts>
  <fonts count="12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b val="1"/>
      <color rgb="00000000"/>
      <sz val="14"/>
    </font>
    <font>
      <name val="Aptos Narrow"/>
      <b val="1"/>
      <color rgb="00000000"/>
      <sz val="12"/>
    </font>
    <font>
      <name val="Aptos Narrow"/>
      <color rgb="000000FF"/>
      <sz val="12"/>
    </font>
    <font>
      <name val="Aptos Narrow"/>
      <i val="1"/>
      <color rgb="00000000"/>
      <sz val="12"/>
    </font>
    <font>
      <name val="Aptos Narrow"/>
      <color rgb="00000000"/>
      <sz val="12"/>
    </font>
    <font>
      <name val="Aptos Narrow"/>
      <b val="1"/>
      <color rgb="000000FF"/>
      <sz val="12"/>
    </font>
    <font>
      <name val="Aptos Narrow"/>
      <b val="1"/>
      <color rgb="00008000"/>
      <sz val="12"/>
    </font>
    <font>
      <name val="Aptos Narrow"/>
      <color rgb="00008000"/>
      <sz val="12"/>
    </font>
    <font>
      <name val="Aptos Narrow"/>
      <b val="1"/>
      <color rgb="00000000"/>
      <sz val="13"/>
    </font>
    <font>
      <name val="Aptos Narrow"/>
      <i val="1"/>
      <color rgb="00008000"/>
      <sz val="12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95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6" fillId="0" borderId="0" pivotButton="0" quotePrefix="0" xfId="0"/>
    <xf numFmtId="175" fontId="6" fillId="0" borderId="0" pivotButton="0" quotePrefix="0" xfId="0"/>
    <xf numFmtId="0" fontId="6" fillId="0" borderId="0" pivotButton="0" quotePrefix="0" xfId="0"/>
    <xf numFmtId="169" fontId="6" fillId="0" borderId="0" pivotButton="0" quotePrefix="0" xfId="0"/>
    <xf numFmtId="166" fontId="6" fillId="0" borderId="0" pivotButton="0" quotePrefix="0" xfId="0"/>
    <xf numFmtId="9" fontId="6" fillId="0" borderId="0" pivotButton="0" quotePrefix="0" xfId="0"/>
    <xf numFmtId="0" fontId="3" fillId="0" borderId="1" pivotButton="0" quotePrefix="0" xfId="0"/>
    <xf numFmtId="168" fontId="6" fillId="0" borderId="0" pivotButton="0" quotePrefix="0" xfId="0"/>
    <xf numFmtId="0" fontId="6" fillId="0" borderId="2" pivotButton="0" quotePrefix="0" xfId="0"/>
    <xf numFmtId="0" fontId="6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164" fontId="4" fillId="2" borderId="0" pivotButton="0" quotePrefix="0" xfId="0"/>
    <xf numFmtId="165" fontId="4" fillId="2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pivotButton="0" quotePrefix="0" xfId="0"/>
    <xf numFmtId="0" fontId="0" fillId="4" borderId="0" pivotButton="0" quotePrefix="0" xfId="0"/>
    <xf numFmtId="166" fontId="7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4" fillId="2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165" fontId="3" fillId="0" borderId="0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1" fontId="3" fillId="0" borderId="0" applyAlignment="1" pivotButton="0" quotePrefix="0" xfId="0">
      <alignment horizontal="center"/>
    </xf>
    <xf numFmtId="1" fontId="4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7" fontId="4" fillId="0" borderId="0" applyAlignment="1" pivotButton="0" quotePrefix="0" xfId="0">
      <alignment horizontal="center"/>
    </xf>
    <xf numFmtId="165" fontId="4" fillId="2" borderId="0" applyAlignment="1" pivotButton="0" quotePrefix="0" xfId="0">
      <alignment horizontal="center"/>
    </xf>
    <xf numFmtId="0" fontId="10" fillId="0" borderId="0" pivotButton="0" quotePrefix="0" xfId="0"/>
    <xf numFmtId="165" fontId="11" fillId="0" borderId="0" pivotButton="0" quotePrefix="0" xfId="0"/>
    <xf numFmtId="171" fontId="11" fillId="0" borderId="0" pivotButton="0" quotePrefix="0" xfId="0"/>
    <xf numFmtId="164" fontId="11" fillId="0" borderId="0" pivotButton="0" quotePrefix="0" xfId="0"/>
    <xf numFmtId="167" fontId="5" fillId="0" borderId="0" pivotButton="0" quotePrefix="0" xfId="0"/>
    <xf numFmtId="164" fontId="5" fillId="0" borderId="0" pivotButton="0" quotePrefix="0" xfId="0"/>
    <xf numFmtId="0" fontId="6" fillId="0" borderId="0" applyAlignment="1" pivotButton="0" quotePrefix="0" xfId="0">
      <alignment horizontal="center"/>
    </xf>
    <xf numFmtId="165" fontId="6" fillId="0" borderId="0" pivotButton="0" quotePrefix="0" xfId="0"/>
    <xf numFmtId="171" fontId="6" fillId="0" borderId="0" pivotButton="0" quotePrefix="0" xfId="0"/>
    <xf numFmtId="164" fontId="6" fillId="0" borderId="0" pivotButton="0" quotePrefix="0" xfId="0"/>
    <xf numFmtId="167" fontId="6" fillId="0" borderId="0" pivotButton="0" quotePrefix="0" xfId="0"/>
    <xf numFmtId="165" fontId="3" fillId="0" borderId="0" pivotButton="0" quotePrefix="0" xfId="0"/>
    <xf numFmtId="171" fontId="3" fillId="0" borderId="0" pivotButton="0" quotePrefix="0" xfId="0"/>
    <xf numFmtId="164" fontId="3" fillId="0" borderId="0" pivotButton="0" quotePrefix="0" xfId="0"/>
    <xf numFmtId="167" fontId="3" fillId="0" borderId="0" pivotButton="0" quotePrefix="0" xfId="0"/>
    <xf numFmtId="167" fontId="5" fillId="0" borderId="0" applyAlignment="1" pivotButton="0" quotePrefix="0" xfId="0">
      <alignment horizontal="center"/>
    </xf>
    <xf numFmtId="167" fontId="6" fillId="0" borderId="0" applyAlignment="1" pivotButton="0" quotePrefix="0" xfId="0">
      <alignment horizontal="center"/>
    </xf>
    <xf numFmtId="167" fontId="3" fillId="0" borderId="0" applyAlignment="1" pivotButton="0" quotePrefix="0" xfId="0">
      <alignment horizontal="center"/>
    </xf>
    <xf numFmtId="1" fontId="6" fillId="0" borderId="0" pivotButton="0" quotePrefix="0" xfId="0"/>
    <xf numFmtId="165" fontId="3" fillId="0" borderId="6" pivotButton="0" quotePrefix="0" xfId="0"/>
    <xf numFmtId="0" fontId="8" fillId="0" borderId="0" pivotButton="0" quotePrefix="0" xfId="0"/>
    <xf numFmtId="166" fontId="9" fillId="0" borderId="0" pivotButton="0" quotePrefix="0" xfId="0"/>
    <xf numFmtId="164" fontId="9" fillId="0" borderId="0" pivotButton="0" quotePrefix="0" xfId="0"/>
    <xf numFmtId="0" fontId="6" fillId="3" borderId="0" pivotButton="0" quotePrefix="0" xfId="0"/>
    <xf numFmtId="0" fontId="3" fillId="3" borderId="0" applyAlignment="1" pivotButton="0" quotePrefix="0" xfId="0">
      <alignment horizontal="right"/>
    </xf>
    <xf numFmtId="165" fontId="9" fillId="0" borderId="0" pivotButton="0" quotePrefix="0" xfId="0"/>
    <xf numFmtId="166" fontId="6" fillId="0" borderId="0" applyAlignment="1" pivotButton="0" quotePrefix="0" xfId="0">
      <alignment horizontal="right"/>
    </xf>
    <xf numFmtId="170" fontId="6" fillId="0" borderId="0" pivotButton="0" quotePrefix="0" xfId="0"/>
    <xf numFmtId="168" fontId="9" fillId="0" borderId="0" pivotButton="0" quotePrefix="0" xfId="0"/>
    <xf numFmtId="1" fontId="6" fillId="0" borderId="0" applyAlignment="1" pivotButton="0" quotePrefix="0" xfId="0">
      <alignment horizontal="center"/>
    </xf>
    <xf numFmtId="170" fontId="4" fillId="0" borderId="0" pivotButton="0" quotePrefix="0" xfId="0"/>
    <xf numFmtId="171" fontId="4" fillId="0" borderId="0" pivotButton="0" quotePrefix="0" xfId="0"/>
    <xf numFmtId="171" fontId="3" fillId="2" borderId="0" pivotButton="0" quotePrefix="0" xfId="0"/>
    <xf numFmtId="171" fontId="9" fillId="0" borderId="0" pivotButton="0" quotePrefix="0" xfId="0"/>
    <xf numFmtId="0" fontId="3" fillId="4" borderId="0" applyAlignment="1" pivotButton="0" quotePrefix="0" xfId="0">
      <alignment horizontal="right"/>
    </xf>
    <xf numFmtId="171" fontId="3" fillId="0" borderId="6" pivotButton="0" quotePrefix="0" xfId="0"/>
    <xf numFmtId="172" fontId="5" fillId="0" borderId="0" pivotButton="0" quotePrefix="0" xfId="0"/>
    <xf numFmtId="166" fontId="4" fillId="0" borderId="0" pivotButton="0" quotePrefix="0" xfId="0"/>
    <xf numFmtId="164" fontId="4" fillId="0" borderId="0" pivotButton="0" quotePrefix="0" xfId="0"/>
    <xf numFmtId="1" fontId="4" fillId="0" borderId="0" pivotButton="0" quotePrefix="0" xfId="0"/>
    <xf numFmtId="173" fontId="3" fillId="0" borderId="0" pivotButton="0" quotePrefix="0" xfId="0"/>
    <xf numFmtId="2" fontId="4" fillId="0" borderId="0" applyAlignment="1" pivotButton="0" quotePrefix="0" xfId="0">
      <alignment horizontal="center"/>
    </xf>
    <xf numFmtId="3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174" fontId="6" fillId="0" borderId="0" pivotButton="0" quotePrefix="0" xfId="0"/>
    <xf numFmtId="174" fontId="6" fillId="0" borderId="0" applyAlignment="1" pivotButton="0" quotePrefix="0" xfId="0">
      <alignment horizontal="right"/>
    </xf>
    <xf numFmtId="171" fontId="6" fillId="0" borderId="0" applyAlignment="1" pivotButton="0" quotePrefix="0" xfId="0">
      <alignment horizontal="right"/>
    </xf>
    <xf numFmtId="174" fontId="3" fillId="0" borderId="0" pivotButton="0" quotePrefix="0" xfId="0"/>
    <xf numFmtId="171" fontId="6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externalLink" Target="/xl/externalLinks/externalLink1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P/L at expiry per contract (Jan 15, 2027)</a:t>
            </a:r>
          </a:p>
        </rich>
      </tx>
    </title>
    <plotArea>
      <scatterChart>
        <ser>
          <idx val="0"/>
          <order val="0"/>
          <tx>
            <strRef>
              <f>'Options'!B62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'Options'!$A$63:$A$93</f>
            </numRef>
          </xVal>
          <yVal>
            <numRef>
              <f>'Options'!$B$63:$B$93</f>
            </numRef>
          </yVal>
        </ser>
        <ser>
          <idx val="1"/>
          <order val="1"/>
          <tx>
            <strRef>
              <f>'Options'!C62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'Options'!$A$63:$A$93</f>
            </numRef>
          </xVal>
          <yVal>
            <numRef>
              <f>'Options'!$C$63:$C$93</f>
            </numRef>
          </yVal>
        </ser>
        <ser>
          <idx val="2"/>
          <order val="2"/>
          <tx>
            <strRef>
              <f>'Options'!D62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'Options'!$A$63:$A$93</f>
            </numRef>
          </xVal>
          <yVal>
            <numRef>
              <f>'Options'!$D$63:$D$93</f>
            </numRef>
          </yVal>
        </ser>
        <ser>
          <idx val="3"/>
          <order val="3"/>
          <tx>
            <strRef>
              <f>'Options'!E62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'Options'!$A$63:$A$93</f>
            </numRef>
          </xVal>
          <yVal>
            <numRef>
              <f>'Options'!$E$63:$E$93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MLYS price at expiry ($)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P/L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61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1">
          <cell r="F1" t="str">
            <v>Close 2026-10-16</v>
          </cell>
        </row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SNY</v>
          </cell>
          <cell r="F15">
            <v>50.645</v>
          </cell>
        </row>
        <row r="16">
          <cell r="B16" t="str">
            <v>MRNA</v>
          </cell>
          <cell r="F16">
            <v>41.4</v>
          </cell>
        </row>
        <row r="17">
          <cell r="B17" t="str">
            <v>REGN</v>
          </cell>
          <cell r="F17">
            <v>242.08</v>
          </cell>
        </row>
        <row r="18">
          <cell r="B18" t="str">
            <v>NTRA</v>
          </cell>
          <cell r="F18">
            <v>807.48</v>
          </cell>
        </row>
        <row r="19">
          <cell r="B19" t="str">
            <v>ARGX</v>
          </cell>
          <cell r="F19">
            <v>20.08</v>
          </cell>
        </row>
        <row r="20">
          <cell r="B20" t="str">
            <v>TEVA</v>
          </cell>
          <cell r="F20">
            <v>405.92</v>
          </cell>
        </row>
        <row r="21">
          <cell r="B21" t="str">
            <v>HLN</v>
          </cell>
          <cell r="F21">
            <v>869.72</v>
          </cell>
        </row>
        <row r="22">
          <cell r="B22" t="str">
            <v>RVMD</v>
          </cell>
          <cell r="F22">
            <v>40.855</v>
          </cell>
        </row>
        <row r="23">
          <cell r="B23" t="str">
            <v>ONC</v>
          </cell>
          <cell r="F23">
            <v>10.17</v>
          </cell>
        </row>
        <row r="24">
          <cell r="B24" t="str">
            <v>BIIB</v>
          </cell>
          <cell r="F24">
            <v>384.5</v>
          </cell>
        </row>
        <row r="25">
          <cell r="B25" t="str">
            <v>RPRX</v>
          </cell>
          <cell r="F25">
            <v>196.55</v>
          </cell>
        </row>
        <row r="26">
          <cell r="B26" t="str">
            <v>ALNY</v>
          </cell>
          <cell r="F26">
            <v>62.25</v>
          </cell>
        </row>
        <row r="27">
          <cell r="B27" t="str">
            <v>ZTS</v>
          </cell>
          <cell r="F27">
            <v>243.1</v>
          </cell>
        </row>
        <row r="28">
          <cell r="B28" t="str">
            <v>ROIV</v>
          </cell>
          <cell r="F28">
            <v>80.04</v>
          </cell>
        </row>
        <row r="29">
          <cell r="B29" t="str">
            <v>BNTX</v>
          </cell>
          <cell r="F29">
            <v>230.71</v>
          </cell>
        </row>
        <row r="30">
          <cell r="B30" t="str">
            <v>GMAB</v>
          </cell>
          <cell r="F30">
            <v>34.92</v>
          </cell>
        </row>
        <row r="31">
          <cell r="B31" t="str">
            <v>UTHR</v>
          </cell>
          <cell r="F31">
            <v>39.07</v>
          </cell>
        </row>
        <row r="32">
          <cell r="B32" t="str">
            <v>INCY</v>
          </cell>
          <cell r="F32">
            <v>553.88</v>
          </cell>
        </row>
        <row r="33">
          <cell r="B33" t="str">
            <v>INSM</v>
          </cell>
          <cell r="F33">
            <v>116.615</v>
          </cell>
        </row>
        <row r="34">
          <cell r="B34" t="str">
            <v>VTRS</v>
          </cell>
          <cell r="F34">
            <v>91.17</v>
          </cell>
        </row>
        <row r="35">
          <cell r="B35" t="str">
            <v>EXEL</v>
          </cell>
          <cell r="F35">
            <v>18.65</v>
          </cell>
        </row>
        <row r="36">
          <cell r="B36" t="str">
            <v>NBIX</v>
          </cell>
          <cell r="F36">
            <v>95.67</v>
          </cell>
        </row>
        <row r="37">
          <cell r="B37" t="str">
            <v>JAZZ</v>
          </cell>
          <cell r="F37">
            <v>64.39</v>
          </cell>
        </row>
        <row r="38">
          <cell r="B38" t="str">
            <v>SMMT</v>
          </cell>
          <cell r="F38">
            <v>234.33</v>
          </cell>
        </row>
        <row r="39">
          <cell r="B39" t="str">
            <v>CORT</v>
          </cell>
          <cell r="F39">
            <v>124.37</v>
          </cell>
        </row>
        <row r="40">
          <cell r="B40" t="str">
            <v>BBIO</v>
          </cell>
          <cell r="F40">
            <v>142.0</v>
          </cell>
        </row>
        <row r="41">
          <cell r="B41" t="str">
            <v>HALO</v>
          </cell>
          <cell r="F41">
            <v>213.76</v>
          </cell>
        </row>
        <row r="42">
          <cell r="B42" t="str">
            <v>KNSA</v>
          </cell>
          <cell r="F42">
            <v>16.09</v>
          </cell>
        </row>
        <row r="43">
          <cell r="B43" t="str">
            <v>ELAN</v>
          </cell>
          <cell r="F43">
            <v>67.55</v>
          </cell>
        </row>
        <row r="44">
          <cell r="B44" t="str">
            <v>IBRX</v>
          </cell>
          <cell r="F44">
            <v>83.17</v>
          </cell>
        </row>
        <row r="45">
          <cell r="B45" t="str">
            <v>MDGL</v>
          </cell>
          <cell r="F45">
            <v>116.45</v>
          </cell>
        </row>
        <row r="46">
          <cell r="B46" t="str">
            <v>PCVX</v>
          </cell>
          <cell r="F46">
            <v>22.7</v>
          </cell>
        </row>
        <row r="47">
          <cell r="B47" t="str">
            <v>BMRN</v>
          </cell>
          <cell r="F47">
            <v>13.26</v>
          </cell>
        </row>
        <row r="48">
          <cell r="B48" t="str">
            <v>RDY</v>
          </cell>
          <cell r="F48">
            <v>56.44</v>
          </cell>
        </row>
        <row r="49">
          <cell r="B49" t="str">
            <v>TWST</v>
          </cell>
          <cell r="F49">
            <v>467.54</v>
          </cell>
        </row>
        <row r="50">
          <cell r="B50" t="str">
            <v>KRYS</v>
          </cell>
          <cell r="F50">
            <v>8.77</v>
          </cell>
        </row>
        <row r="51">
          <cell r="B51" t="str">
            <v>KYMR</v>
          </cell>
          <cell r="F51">
            <v>66.23</v>
          </cell>
        </row>
        <row r="52">
          <cell r="B52" t="str">
            <v>PTGX</v>
          </cell>
          <cell r="F52">
            <v>325.42</v>
          </cell>
        </row>
        <row r="53">
          <cell r="B53" t="str">
            <v>ARWR</v>
          </cell>
          <cell r="F53">
            <v>113.46</v>
          </cell>
        </row>
        <row r="54">
          <cell r="B54" t="str">
            <v>AXSM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TGTX</v>
          </cell>
          <cell r="F56">
            <v>159.58</v>
          </cell>
        </row>
        <row r="57">
          <cell r="B57" t="str">
            <v>CAI</v>
          </cell>
          <cell r="F57">
            <v>137.99</v>
          </cell>
        </row>
        <row r="58">
          <cell r="B58" t="str">
            <v>SYRE</v>
          </cell>
          <cell r="F58">
            <v>142.7</v>
          </cell>
        </row>
        <row r="59">
          <cell r="B59" t="str">
            <v>IONS</v>
          </cell>
          <cell r="F59">
            <v>54.53</v>
          </cell>
        </row>
        <row r="60">
          <cell r="B60" t="str">
            <v>PRAX</v>
          </cell>
          <cell r="F60">
            <v>58.92</v>
          </cell>
        </row>
        <row r="61">
          <cell r="B61" t="str">
            <v>ABVX</v>
          </cell>
          <cell r="F61">
            <v>45.4</v>
          </cell>
        </row>
        <row r="62">
          <cell r="B62" t="str">
            <v>ALKS</v>
          </cell>
          <cell r="F62">
            <v>264.49</v>
          </cell>
        </row>
        <row r="63">
          <cell r="B63" t="str">
            <v>IOVA</v>
          </cell>
          <cell r="F63">
            <v>91.4</v>
          </cell>
        </row>
        <row r="64">
          <cell r="B64" t="str">
            <v>AMRX</v>
          </cell>
          <cell r="F64">
            <v>92.59</v>
          </cell>
        </row>
        <row r="65">
          <cell r="B65" t="str">
            <v>IMVT</v>
          </cell>
          <cell r="F65">
            <v>44.11</v>
          </cell>
        </row>
        <row r="66">
          <cell r="B66" t="str">
            <v>GRAL</v>
          </cell>
          <cell r="F66">
            <v>14.86</v>
          </cell>
        </row>
        <row r="67">
          <cell r="B67" t="str">
            <v>KOD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BLTE</v>
          </cell>
          <cell r="F69">
            <v>306.4</v>
          </cell>
        </row>
        <row r="70">
          <cell r="B70" t="str">
            <v>LGND</v>
          </cell>
          <cell r="F70">
            <v>154.45</v>
          </cell>
        </row>
        <row r="71">
          <cell r="B71" t="str">
            <v>BLRX</v>
          </cell>
          <cell r="F71">
            <v>31.24</v>
          </cell>
        </row>
        <row r="72">
          <cell r="B72" t="str">
            <v>CGON</v>
          </cell>
          <cell r="F72">
            <v>28.59</v>
          </cell>
        </row>
        <row r="73">
          <cell r="B73" t="str">
            <v>ERAS</v>
          </cell>
          <cell r="F73">
            <v>92.97</v>
          </cell>
        </row>
        <row r="74">
          <cell r="B74" t="str">
            <v>MIRM</v>
          </cell>
          <cell r="F74">
            <v>61.93</v>
          </cell>
        </row>
        <row r="75">
          <cell r="B75" t="str">
            <v>MANE</v>
          </cell>
          <cell r="F75">
            <v>124.67</v>
          </cell>
        </row>
        <row r="76">
          <cell r="B76" t="str">
            <v>ORKA</v>
          </cell>
          <cell r="F76">
            <v>2.2145</v>
          </cell>
        </row>
        <row r="77">
          <cell r="B77" t="str">
            <v>PTCT</v>
          </cell>
          <cell r="F77">
            <v>85.07</v>
          </cell>
        </row>
        <row r="78">
          <cell r="B78" t="str">
            <v>COGT</v>
          </cell>
          <cell r="F78">
            <v>62.92</v>
          </cell>
        </row>
        <row r="79">
          <cell r="B79" t="str">
            <v>CRSP</v>
          </cell>
          <cell r="F79">
            <v>41.36</v>
          </cell>
        </row>
        <row r="80">
          <cell r="B80" t="str">
            <v>SRRK</v>
          </cell>
          <cell r="F80">
            <v>79.09</v>
          </cell>
        </row>
        <row r="81">
          <cell r="B81" t="str">
            <v>DFTX</v>
          </cell>
          <cell r="F81">
            <v>49.88</v>
          </cell>
        </row>
        <row r="82">
          <cell r="B82" t="str">
            <v>TVTX</v>
          </cell>
          <cell r="F82">
            <v>10.45</v>
          </cell>
        </row>
        <row r="83">
          <cell r="B83" t="str">
            <v>DNTH</v>
          </cell>
          <cell r="F83">
            <v>14.62</v>
          </cell>
        </row>
        <row r="84">
          <cell r="B84" t="str">
            <v>GOSS</v>
          </cell>
          <cell r="F84">
            <v>52.3</v>
          </cell>
        </row>
        <row r="85">
          <cell r="B85" t="str">
            <v>EWTX</v>
          </cell>
          <cell r="F85">
            <v>127.23</v>
          </cell>
        </row>
        <row r="86">
          <cell r="B86" t="str">
            <v>INDV</v>
          </cell>
          <cell r="F86">
            <v>35.09</v>
          </cell>
        </row>
        <row r="87">
          <cell r="B87" t="str">
            <v>TNGX</v>
          </cell>
          <cell r="F87">
            <v>9.58</v>
          </cell>
        </row>
        <row r="88">
          <cell r="B88" t="str">
            <v>RLAY</v>
          </cell>
          <cell r="F88">
            <v>39.75</v>
          </cell>
        </row>
        <row r="89">
          <cell r="B89" t="str">
            <v>RGC</v>
          </cell>
          <cell r="F89">
            <v>78.75</v>
          </cell>
        </row>
        <row r="90">
          <cell r="B90" t="str">
            <v>VCYT</v>
          </cell>
          <cell r="F90">
            <v>34.77</v>
          </cell>
        </row>
        <row r="91">
          <cell r="B91" t="str">
            <v>OGN</v>
          </cell>
          <cell r="F91">
            <v>25.255</v>
          </cell>
        </row>
        <row r="92">
          <cell r="B92" t="str">
            <v>XENE</v>
          </cell>
          <cell r="F92">
            <v>32.82</v>
          </cell>
        </row>
        <row r="93">
          <cell r="B93" t="str">
            <v>IDYA</v>
          </cell>
          <cell r="F93">
            <v>11.16</v>
          </cell>
        </row>
        <row r="94">
          <cell r="B94" t="str">
            <v>LEGN</v>
          </cell>
          <cell r="F94">
            <v>13.755</v>
          </cell>
        </row>
        <row r="95">
          <cell r="B95" t="str">
            <v>ACAD</v>
          </cell>
          <cell r="F95">
            <v>18.45</v>
          </cell>
        </row>
        <row r="96">
          <cell r="B96" t="str">
            <v>PBLS</v>
          </cell>
          <cell r="F96">
            <v>44.79</v>
          </cell>
        </row>
        <row r="97">
          <cell r="B97" t="str">
            <v>ARQT</v>
          </cell>
          <cell r="F97">
            <v>19.01</v>
          </cell>
        </row>
        <row r="98">
          <cell r="B98" t="str">
            <v>VKTX</v>
          </cell>
          <cell r="F98">
            <v>69.2</v>
          </cell>
        </row>
        <row r="99">
          <cell r="B99" t="str">
            <v>CELC</v>
          </cell>
          <cell r="F99">
            <v>20.44</v>
          </cell>
        </row>
        <row r="100">
          <cell r="B100" t="str">
            <v>CDNA</v>
          </cell>
          <cell r="F100">
            <v>36.27</v>
          </cell>
        </row>
        <row r="101">
          <cell r="B101" t="str">
            <v>TARS</v>
          </cell>
          <cell r="F101">
            <v>35.36</v>
          </cell>
        </row>
        <row r="102">
          <cell r="B102" t="str">
            <v>AMLX</v>
          </cell>
          <cell r="F102">
            <v>36.35</v>
          </cell>
        </row>
        <row r="103">
          <cell r="B103" t="str">
            <v>DNLI</v>
          </cell>
          <cell r="F103">
            <v>71.225</v>
          </cell>
        </row>
        <row r="104">
          <cell r="B104" t="str">
            <v>RCUS</v>
          </cell>
          <cell r="F104">
            <v>26.71</v>
          </cell>
        </row>
        <row r="105">
          <cell r="B105" t="str">
            <v>DYN</v>
          </cell>
          <cell r="F105">
            <v>28.77</v>
          </cell>
        </row>
        <row r="106">
          <cell r="B106" t="str">
            <v>ELVN</v>
          </cell>
          <cell r="F106">
            <v>23.75</v>
          </cell>
        </row>
        <row r="107">
          <cell r="B107" t="str">
            <v>ZLAB</v>
          </cell>
          <cell r="F107">
            <v>18.93</v>
          </cell>
        </row>
        <row r="108">
          <cell r="B108" t="str">
            <v>PGEN</v>
          </cell>
          <cell r="F108">
            <v>27.08</v>
          </cell>
        </row>
        <row r="109">
          <cell r="B109" t="str">
            <v>BEAM</v>
          </cell>
          <cell r="F109">
            <v>60.0</v>
          </cell>
        </row>
        <row r="110">
          <cell r="B110" t="str">
            <v>NAMS</v>
          </cell>
          <cell r="F110">
            <v>41.25</v>
          </cell>
        </row>
        <row r="111">
          <cell r="B111" t="str">
            <v>MBX</v>
          </cell>
          <cell r="F111">
            <v>16.27</v>
          </cell>
        </row>
        <row r="112">
          <cell r="B112" t="str">
            <v>SUPN</v>
          </cell>
          <cell r="F112">
            <v>25.08</v>
          </cell>
        </row>
        <row r="113">
          <cell r="B113" t="str">
            <v>HCM</v>
          </cell>
          <cell r="F113">
            <v>26.1</v>
          </cell>
        </row>
        <row r="114">
          <cell r="B114" t="str">
            <v>LQDA</v>
          </cell>
          <cell r="F114">
            <v>14.74</v>
          </cell>
        </row>
        <row r="115">
          <cell r="B115" t="str">
            <v>IRON</v>
          </cell>
          <cell r="F115">
            <v>24.93</v>
          </cell>
        </row>
        <row r="116">
          <cell r="B116" t="str">
            <v>SLS</v>
          </cell>
          <cell r="F116">
            <v>11.23</v>
          </cell>
        </row>
        <row r="117">
          <cell r="B117" t="str">
            <v>CLDX</v>
          </cell>
          <cell r="F117">
            <v>53.5</v>
          </cell>
        </row>
        <row r="118">
          <cell r="B118" t="str">
            <v>HRMY</v>
          </cell>
          <cell r="F118">
            <v>21.5</v>
          </cell>
        </row>
        <row r="119">
          <cell r="B119" t="str">
            <v>RXRX</v>
          </cell>
          <cell r="F119">
            <v>49.35</v>
          </cell>
        </row>
        <row r="120">
          <cell r="B120" t="str">
            <v>ADMA</v>
          </cell>
          <cell r="F120">
            <v>6.415</v>
          </cell>
        </row>
        <row r="121">
          <cell r="B121" t="str">
            <v>NRIX</v>
          </cell>
          <cell r="F121">
            <v>16.17</v>
          </cell>
        </row>
        <row r="122">
          <cell r="B122" t="str">
            <v>PBH</v>
          </cell>
          <cell r="F122">
            <v>6.83</v>
          </cell>
        </row>
        <row r="123">
          <cell r="B123" t="str">
            <v>BHC</v>
          </cell>
          <cell r="F123">
            <v>38.7</v>
          </cell>
        </row>
        <row r="124">
          <cell r="B124" t="str">
            <v>IMNM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PURR</v>
          </cell>
          <cell r="F126">
            <v>79.48</v>
          </cell>
        </row>
        <row r="127">
          <cell r="B127" t="str">
            <v>BCRX</v>
          </cell>
          <cell r="F127">
            <v>30.29</v>
          </cell>
        </row>
        <row r="128">
          <cell r="B128" t="str">
            <v>BGM</v>
          </cell>
          <cell r="F128">
            <v>22.43</v>
          </cell>
        </row>
        <row r="129">
          <cell r="B129" t="str">
            <v>VERA</v>
          </cell>
          <cell r="F129">
            <v>40.58</v>
          </cell>
        </row>
        <row r="130">
          <cell r="B130" t="str">
            <v>VRDN</v>
          </cell>
          <cell r="F130">
            <v>11.98</v>
          </cell>
        </row>
        <row r="131">
          <cell r="B131" t="str">
            <v>NVAX</v>
          </cell>
          <cell r="F131">
            <v>30.06</v>
          </cell>
        </row>
        <row r="132">
          <cell r="B132" t="str">
            <v>PRGO</v>
          </cell>
          <cell r="F132">
            <v>7.94</v>
          </cell>
        </row>
        <row r="133">
          <cell r="B133" t="str">
            <v>MLYS</v>
          </cell>
          <cell r="F133">
            <v>30.75</v>
          </cell>
        </row>
        <row r="134">
          <cell r="B134" t="str">
            <v>VCEL</v>
          </cell>
          <cell r="F134">
            <v>10.78</v>
          </cell>
        </row>
        <row r="135">
          <cell r="B135" t="str">
            <v>TRLV</v>
          </cell>
          <cell r="F135">
            <v>11.13</v>
          </cell>
        </row>
        <row r="136">
          <cell r="B136" t="str">
            <v>PHVS</v>
          </cell>
          <cell r="F136">
            <v>17.92</v>
          </cell>
        </row>
        <row r="137">
          <cell r="B137" t="str">
            <v>PVLA</v>
          </cell>
          <cell r="F137">
            <v>36.64</v>
          </cell>
        </row>
        <row r="138">
          <cell r="B138" t="str">
            <v>VIR</v>
          </cell>
          <cell r="F138">
            <v>8.97</v>
          </cell>
        </row>
        <row r="139">
          <cell r="B139" t="str">
            <v>LKFT</v>
          </cell>
          <cell r="F139">
            <v>11.43</v>
          </cell>
        </row>
        <row r="140">
          <cell r="B140" t="str">
            <v>XERS</v>
          </cell>
          <cell r="F140">
            <v>3.66</v>
          </cell>
        </row>
        <row r="141">
          <cell r="B141" t="str">
            <v>AGIO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TRVI</v>
          </cell>
          <cell r="F143">
            <v>21.58</v>
          </cell>
        </row>
        <row r="144">
          <cell r="B144" t="str">
            <v>MESO</v>
          </cell>
          <cell r="F144">
            <v>9.15</v>
          </cell>
        </row>
        <row r="145">
          <cell r="B145" t="str">
            <v>GENB</v>
          </cell>
          <cell r="F145">
            <v>26.91</v>
          </cell>
        </row>
        <row r="146">
          <cell r="B146" t="str">
            <v>NTLA</v>
          </cell>
          <cell r="F146">
            <v>39.35</v>
          </cell>
        </row>
        <row r="147">
          <cell r="B147" t="str">
            <v>XNCR</v>
          </cell>
          <cell r="F147">
            <v>123.92</v>
          </cell>
        </row>
        <row r="148">
          <cell r="B148" t="str">
            <v>ZYME</v>
          </cell>
          <cell r="F148">
            <v>12.41</v>
          </cell>
        </row>
        <row r="149">
          <cell r="B149" t="str">
            <v>BHVN</v>
          </cell>
          <cell r="F149">
            <v>24.94</v>
          </cell>
        </row>
        <row r="150">
          <cell r="B150" t="str">
            <v>GPCR</v>
          </cell>
          <cell r="F150">
            <v>12.83</v>
          </cell>
        </row>
        <row r="151">
          <cell r="B151" t="str">
            <v>ALVO</v>
          </cell>
          <cell r="F151">
            <v>35.01</v>
          </cell>
        </row>
        <row r="152">
          <cell r="B152" t="str">
            <v>BRVE</v>
          </cell>
          <cell r="F152">
            <v>10.74</v>
          </cell>
        </row>
        <row r="153">
          <cell r="B153" t="str">
            <v>URGN</v>
          </cell>
          <cell r="F153">
            <v>20.27</v>
          </cell>
        </row>
        <row r="154">
          <cell r="B154" t="str">
            <v>SEPN</v>
          </cell>
          <cell r="F154">
            <v>72.67</v>
          </cell>
        </row>
        <row r="155">
          <cell r="B155" t="str">
            <v>ZBIO</v>
          </cell>
          <cell r="F155">
            <v>11.82</v>
          </cell>
        </row>
        <row r="156">
          <cell r="B156" t="str">
            <v>NUVB</v>
          </cell>
          <cell r="F156">
            <v>28.18</v>
          </cell>
        </row>
        <row r="157">
          <cell r="B157" t="str">
            <v>ABSI</v>
          </cell>
          <cell r="F157">
            <v>11.84</v>
          </cell>
        </row>
        <row r="158">
          <cell r="B158" t="str">
            <v>ANIP</v>
          </cell>
          <cell r="F158">
            <v>38.8</v>
          </cell>
        </row>
        <row r="159">
          <cell r="B159" t="str">
            <v>CMPS</v>
          </cell>
          <cell r="F159">
            <v>5.03</v>
          </cell>
        </row>
        <row r="160">
          <cell r="B160" t="str">
            <v>OCUL</v>
          </cell>
          <cell r="F160">
            <v>26.61</v>
          </cell>
        </row>
        <row r="161">
          <cell r="B161" t="str">
            <v>STOK</v>
          </cell>
          <cell r="F161">
            <v>4.765</v>
          </cell>
        </row>
        <row r="162">
          <cell r="B162" t="str">
            <v>ETON</v>
          </cell>
          <cell r="F162">
            <v>12.9</v>
          </cell>
        </row>
        <row r="163">
          <cell r="B163" t="str">
            <v>PAHC</v>
          </cell>
          <cell r="F163">
            <v>32.45</v>
          </cell>
        </row>
        <row r="164">
          <cell r="B164" t="str">
            <v>INVA</v>
          </cell>
          <cell r="F164">
            <v>32.6</v>
          </cell>
        </row>
        <row r="165">
          <cell r="B165" t="str">
            <v>RARE</v>
          </cell>
          <cell r="F165">
            <v>6.65</v>
          </cell>
        </row>
        <row r="166">
          <cell r="B166" t="str">
            <v>SNDX</v>
          </cell>
          <cell r="F166">
            <v>22.88</v>
          </cell>
        </row>
        <row r="167">
          <cell r="B167" t="str">
            <v>IMCR</v>
          </cell>
          <cell r="F167">
            <v>21.28</v>
          </cell>
        </row>
        <row r="168">
          <cell r="B168" t="str">
            <v>MAZE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COAG</v>
          </cell>
          <cell r="F170">
            <v>36.38</v>
          </cell>
        </row>
        <row r="171">
          <cell r="B171" t="str">
            <v>RAPP</v>
          </cell>
          <cell r="F171">
            <v>50.19</v>
          </cell>
        </row>
        <row r="172">
          <cell r="B172" t="str">
            <v>TSHA</v>
          </cell>
          <cell r="F172">
            <v>15.89</v>
          </cell>
        </row>
        <row r="173">
          <cell r="B173" t="str">
            <v>PCRX</v>
          </cell>
          <cell r="F173">
            <v>16.02</v>
          </cell>
        </row>
        <row r="174">
          <cell r="B174" t="str">
            <v>OMER</v>
          </cell>
          <cell r="F174">
            <v>9.07</v>
          </cell>
        </row>
        <row r="175">
          <cell r="B175" t="str">
            <v>QURE</v>
          </cell>
          <cell r="F175">
            <v>34.17</v>
          </cell>
        </row>
        <row r="176">
          <cell r="B176" t="str">
            <v>NKTR</v>
          </cell>
          <cell r="F176">
            <v>45.43</v>
          </cell>
        </row>
        <row r="177">
          <cell r="B177" t="str">
            <v>INBX</v>
          </cell>
          <cell r="F177">
            <v>22.715</v>
          </cell>
        </row>
        <row r="178">
          <cell r="B178" t="str">
            <v>ANAB</v>
          </cell>
          <cell r="F178">
            <v>29.37</v>
          </cell>
        </row>
        <row r="179">
          <cell r="B179" t="str">
            <v>KARD</v>
          </cell>
          <cell r="F179">
            <v>95.3</v>
          </cell>
        </row>
        <row r="180">
          <cell r="B180" t="str">
            <v>GHRS</v>
          </cell>
          <cell r="F180">
            <v>13.78</v>
          </cell>
        </row>
        <row r="181">
          <cell r="B181" t="str">
            <v>DMRA</v>
          </cell>
          <cell r="F181">
            <v>41.25</v>
          </cell>
        </row>
        <row r="182">
          <cell r="B182" t="str">
            <v>REPL</v>
          </cell>
          <cell r="F182">
            <v>39.22</v>
          </cell>
        </row>
        <row r="183">
          <cell r="B183" t="str">
            <v>ORIC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TYRA</v>
          </cell>
          <cell r="F186">
            <v>4.11</v>
          </cell>
        </row>
        <row r="187">
          <cell r="B187" t="str">
            <v>VOR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NBTX</v>
          </cell>
          <cell r="F189">
            <v>13.25</v>
          </cell>
        </row>
        <row r="190">
          <cell r="B190" t="str">
            <v>AVLN</v>
          </cell>
          <cell r="F190">
            <v>19.03</v>
          </cell>
        </row>
        <row r="191">
          <cell r="B191" t="str">
            <v>TRAX</v>
          </cell>
          <cell r="F191">
            <v>20.67</v>
          </cell>
        </row>
        <row r="192">
          <cell r="B192" t="str">
            <v>AMPH</v>
          </cell>
          <cell r="F192">
            <v>4.76</v>
          </cell>
        </row>
        <row r="193">
          <cell r="B193" t="str">
            <v>JANX</v>
          </cell>
          <cell r="F193">
            <v>19.165</v>
          </cell>
        </row>
        <row r="194">
          <cell r="B194" t="str">
            <v>HROW</v>
          </cell>
          <cell r="F194">
            <v>20.47</v>
          </cell>
        </row>
        <row r="195">
          <cell r="B195" t="str">
            <v>LTGO</v>
          </cell>
          <cell r="F195">
            <v>25.94</v>
          </cell>
        </row>
        <row r="196">
          <cell r="B196" t="str">
            <v>MNKD</v>
          </cell>
          <cell r="F196">
            <v>24.63</v>
          </cell>
        </row>
        <row r="197">
          <cell r="B197" t="str">
            <v>MGTX</v>
          </cell>
          <cell r="F197">
            <v>24.14</v>
          </cell>
        </row>
        <row r="198">
          <cell r="B198" t="str">
            <v>SVRA</v>
          </cell>
          <cell r="F198">
            <v>11.42</v>
          </cell>
        </row>
        <row r="199">
          <cell r="B199" t="str">
            <v>CGEM</v>
          </cell>
          <cell r="F199">
            <v>28.07</v>
          </cell>
        </row>
        <row r="200">
          <cell r="B200" t="str">
            <v>IMTX</v>
          </cell>
          <cell r="F200">
            <v>16.74</v>
          </cell>
        </row>
        <row r="201">
          <cell r="B201" t="str">
            <v>SPTX</v>
          </cell>
          <cell r="F201">
            <v>3.1</v>
          </cell>
        </row>
        <row r="202">
          <cell r="B202" t="str">
            <v>AKTS</v>
          </cell>
          <cell r="F202">
            <v>19.28</v>
          </cell>
        </row>
        <row r="203">
          <cell r="B203" t="str">
            <v>ANRO</v>
          </cell>
          <cell r="F203">
            <v>6.2</v>
          </cell>
        </row>
        <row r="204">
          <cell r="B204" t="str">
            <v>KURA</v>
          </cell>
          <cell r="F204">
            <v>15.25</v>
          </cell>
        </row>
        <row r="205">
          <cell r="B205" t="str">
            <v>ALMS</v>
          </cell>
          <cell r="F205">
            <v>7.51</v>
          </cell>
        </row>
        <row r="206">
          <cell r="B206" t="str">
            <v>MLTX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JBIO</v>
          </cell>
          <cell r="F208">
            <v>24.415</v>
          </cell>
        </row>
        <row r="209">
          <cell r="B209" t="str">
            <v>ODTX</v>
          </cell>
          <cell r="F209">
            <v>14.86</v>
          </cell>
        </row>
        <row r="210">
          <cell r="B210" t="str">
            <v>CRVS</v>
          </cell>
          <cell r="F210">
            <v>18.99</v>
          </cell>
        </row>
        <row r="211">
          <cell r="B211" t="str">
            <v>GLUE</v>
          </cell>
          <cell r="F211">
            <v>4.33</v>
          </cell>
        </row>
        <row r="212">
          <cell r="B212" t="str">
            <v>SANA</v>
          </cell>
          <cell r="F212">
            <v>14.83</v>
          </cell>
        </row>
        <row r="213">
          <cell r="B213" t="str">
            <v>ABUS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ANNX</v>
          </cell>
          <cell r="F216">
            <v>3.21</v>
          </cell>
        </row>
        <row r="217">
          <cell r="B217" t="str">
            <v>GRML</v>
          </cell>
          <cell r="F217">
            <v>10.32</v>
          </cell>
        </row>
        <row r="218">
          <cell r="B218" t="str">
            <v>ARDX</v>
          </cell>
          <cell r="F218">
            <v>9.98</v>
          </cell>
        </row>
        <row r="219">
          <cell r="B219" t="str">
            <v>OBX</v>
          </cell>
          <cell r="F219">
            <v>16.08</v>
          </cell>
        </row>
        <row r="220">
          <cell r="B220" t="str">
            <v>GERN</v>
          </cell>
          <cell r="F220">
            <v>10.23</v>
          </cell>
        </row>
        <row r="221">
          <cell r="B221" t="str">
            <v>GYRE</v>
          </cell>
          <cell r="F221">
            <v>6.7</v>
          </cell>
        </row>
        <row r="222">
          <cell r="B222" t="str">
            <v>APMD</v>
          </cell>
          <cell r="F222">
            <v>9.34</v>
          </cell>
        </row>
        <row r="223">
          <cell r="B223" t="str">
            <v>ACHV</v>
          </cell>
          <cell r="F223">
            <v>18.51</v>
          </cell>
        </row>
        <row r="224">
          <cell r="B224" t="str">
            <v>CADL</v>
          </cell>
          <cell r="F224">
            <v>23.33</v>
          </cell>
        </row>
        <row r="225">
          <cell r="B225" t="str">
            <v>VSTM</v>
          </cell>
          <cell r="F225">
            <v>13.25</v>
          </cell>
        </row>
        <row r="226">
          <cell r="B226" t="str">
            <v>LXRX</v>
          </cell>
          <cell r="F226">
            <v>1.24</v>
          </cell>
        </row>
        <row r="227">
          <cell r="B227" t="str">
            <v>ATTO</v>
          </cell>
          <cell r="F227">
            <v>2.36</v>
          </cell>
        </row>
        <row r="228">
          <cell r="B228" t="str">
            <v>SLDB</v>
          </cell>
          <cell r="F228">
            <v>13.1</v>
          </cell>
        </row>
        <row r="229">
          <cell r="B229" t="str">
            <v>FDMT</v>
          </cell>
          <cell r="F229">
            <v>3.83</v>
          </cell>
        </row>
        <row r="230">
          <cell r="B230" t="str">
            <v>AVTX</v>
          </cell>
          <cell r="F230">
            <v>6.17</v>
          </cell>
        </row>
        <row r="231">
          <cell r="B231" t="str">
            <v>DSGN</v>
          </cell>
          <cell r="F231">
            <v>1.55</v>
          </cell>
        </row>
        <row r="232">
          <cell r="B232" t="str">
            <v>PRME</v>
          </cell>
          <cell r="F232">
            <v>14.04</v>
          </cell>
        </row>
        <row r="233">
          <cell r="B233" t="str">
            <v>COLL</v>
          </cell>
          <cell r="F233">
            <v>9.75</v>
          </cell>
        </row>
        <row r="234">
          <cell r="B234" t="str">
            <v>NVCT</v>
          </cell>
          <cell r="F234">
            <v>6.51</v>
          </cell>
        </row>
        <row r="235">
          <cell r="B235" t="str">
            <v>PHAR</v>
          </cell>
          <cell r="F235">
            <v>4.23</v>
          </cell>
        </row>
        <row r="236">
          <cell r="B236" t="str">
            <v>OLMA</v>
          </cell>
          <cell r="F236">
            <v>11.1</v>
          </cell>
        </row>
        <row r="237">
          <cell r="B237" t="str">
            <v>WVE</v>
          </cell>
          <cell r="F237">
            <v>12.36</v>
          </cell>
        </row>
        <row r="238">
          <cell r="B238" t="str">
            <v>MDXG</v>
          </cell>
          <cell r="F238">
            <v>6.56</v>
          </cell>
        </row>
        <row r="239">
          <cell r="B239" t="str">
            <v>AURA</v>
          </cell>
          <cell r="F239">
            <v>3.92</v>
          </cell>
        </row>
        <row r="240">
          <cell r="B240" t="str">
            <v>IMMX</v>
          </cell>
          <cell r="F240">
            <v>8.64</v>
          </cell>
        </row>
        <row r="241">
          <cell r="B241" t="str">
            <v>ZVRA</v>
          </cell>
          <cell r="F241">
            <v>10.8</v>
          </cell>
        </row>
        <row r="242">
          <cell r="B242" t="str">
            <v>FTH</v>
          </cell>
          <cell r="F242">
            <v>3.63</v>
          </cell>
        </row>
        <row r="243">
          <cell r="B243" t="str">
            <v>NNNN</v>
          </cell>
          <cell r="F243">
            <v>8.91</v>
          </cell>
        </row>
        <row r="244">
          <cell r="B244" t="str">
            <v>CLYM</v>
          </cell>
          <cell r="F244">
            <v>20.59</v>
          </cell>
        </row>
        <row r="245">
          <cell r="B245" t="str">
            <v>IRWD</v>
          </cell>
          <cell r="F245">
            <v>3.385</v>
          </cell>
        </row>
        <row r="246">
          <cell r="B246" t="str">
            <v>IVA</v>
          </cell>
          <cell r="F246">
            <v>10.47</v>
          </cell>
        </row>
        <row r="247">
          <cell r="B247" t="str">
            <v>AQST</v>
          </cell>
          <cell r="F247">
            <v>6.4</v>
          </cell>
        </row>
        <row r="248">
          <cell r="B248" t="str">
            <v>STTK</v>
          </cell>
          <cell r="F248">
            <v>7.25</v>
          </cell>
        </row>
        <row r="249">
          <cell r="B249" t="str">
            <v>PHAT</v>
          </cell>
          <cell r="F249">
            <v>3.26</v>
          </cell>
        </row>
        <row r="250">
          <cell r="B250" t="str">
            <v>DBVT</v>
          </cell>
          <cell r="F250">
            <v>7.57</v>
          </cell>
        </row>
        <row r="251">
          <cell r="B251" t="str">
            <v>CRMD</v>
          </cell>
          <cell r="F251">
            <v>7.31</v>
          </cell>
        </row>
        <row r="252">
          <cell r="B252" t="str">
            <v>ACRS</v>
          </cell>
          <cell r="F252">
            <v>5.84</v>
          </cell>
        </row>
        <row r="253">
          <cell r="B253" t="str">
            <v>CTMX</v>
          </cell>
          <cell r="F253">
            <v>9.48</v>
          </cell>
        </row>
        <row r="254">
          <cell r="B254" t="str">
            <v>BLSM</v>
          </cell>
          <cell r="F254">
            <v>5.69</v>
          </cell>
        </row>
        <row r="255">
          <cell r="B255" t="str">
            <v>SGMT</v>
          </cell>
          <cell r="F255">
            <v>4.05</v>
          </cell>
        </row>
        <row r="256">
          <cell r="B256" t="str">
            <v>CBIO</v>
          </cell>
          <cell r="F256">
            <v>9.74</v>
          </cell>
        </row>
        <row r="257">
          <cell r="B257" t="str">
            <v>RGNX</v>
          </cell>
          <cell r="F257">
            <v>10.76</v>
          </cell>
        </row>
        <row r="258">
          <cell r="B258" t="str">
            <v>PBYI</v>
          </cell>
          <cell r="F258">
            <v>2.51</v>
          </cell>
        </row>
        <row r="259">
          <cell r="B259" t="str">
            <v>IMMP</v>
          </cell>
          <cell r="F259">
            <v>20.79</v>
          </cell>
        </row>
        <row r="260">
          <cell r="B260" t="str">
            <v>MNPR</v>
          </cell>
          <cell r="F260">
            <v>3.48</v>
          </cell>
        </row>
        <row r="261">
          <cell r="B261" t="str">
            <v>NGNE</v>
          </cell>
          <cell r="F261">
            <v>14.4</v>
          </cell>
        </row>
        <row r="262">
          <cell r="B262" t="str">
            <v>PROK</v>
          </cell>
          <cell r="F262">
            <v>7.37</v>
          </cell>
        </row>
        <row r="263">
          <cell r="B263" t="str">
            <v>TLRY</v>
          </cell>
          <cell r="F263">
            <v>3.26</v>
          </cell>
        </row>
        <row r="264">
          <cell r="B264" t="str">
            <v>EOLS</v>
          </cell>
          <cell r="F264">
            <v>25.4</v>
          </cell>
        </row>
        <row r="265">
          <cell r="B265" t="str">
            <v>ALT</v>
          </cell>
          <cell r="F265">
            <v>74.23</v>
          </cell>
        </row>
        <row r="266">
          <cell r="B266" t="str">
            <v>ALLO</v>
          </cell>
          <cell r="F266">
            <v>3.02</v>
          </cell>
        </row>
        <row r="267">
          <cell r="B267" t="str">
            <v>VALN</v>
          </cell>
          <cell r="F267">
            <v>7.4</v>
          </cell>
        </row>
        <row r="268">
          <cell r="B268" t="str">
            <v>OCS</v>
          </cell>
          <cell r="F268">
            <v>7.66</v>
          </cell>
        </row>
        <row r="269">
          <cell r="B269" t="str">
            <v>ARVN</v>
          </cell>
          <cell r="F269">
            <v>1.33</v>
          </cell>
        </row>
        <row r="270">
          <cell r="B270" t="str">
            <v>AUTL</v>
          </cell>
          <cell r="F270">
            <v>3.73</v>
          </cell>
        </row>
        <row r="271">
          <cell r="B271" t="str">
            <v>OVID</v>
          </cell>
          <cell r="F271">
            <v>3.03</v>
          </cell>
        </row>
        <row r="272">
          <cell r="B272" t="str">
            <v>ASMB</v>
          </cell>
          <cell r="F272">
            <v>7.85</v>
          </cell>
        </row>
        <row r="273">
          <cell r="B273" t="str">
            <v>YDES</v>
          </cell>
          <cell r="F273">
            <v>19.61</v>
          </cell>
        </row>
        <row r="274">
          <cell r="B274" t="str">
            <v>RZLT</v>
          </cell>
          <cell r="F274">
            <v>13.07</v>
          </cell>
        </row>
        <row r="275">
          <cell r="B275" t="str">
            <v>KMDA</v>
          </cell>
          <cell r="F275">
            <v>7.49</v>
          </cell>
        </row>
        <row r="276">
          <cell r="B276" t="str">
            <v>SLN</v>
          </cell>
          <cell r="F276">
            <v>8.5</v>
          </cell>
        </row>
        <row r="277">
          <cell r="B277" t="str">
            <v>ENTX</v>
          </cell>
          <cell r="F277">
            <v>2.3</v>
          </cell>
        </row>
        <row r="278">
          <cell r="B278" t="str">
            <v>IBO</v>
          </cell>
          <cell r="F278">
            <v>1.66</v>
          </cell>
        </row>
        <row r="279">
          <cell r="B279" t="str">
            <v>TECX</v>
          </cell>
          <cell r="F279">
            <v>2.36</v>
          </cell>
        </row>
        <row r="280">
          <cell r="B280" t="str">
            <v>CAPR</v>
          </cell>
          <cell r="F280">
            <v>5.84</v>
          </cell>
        </row>
        <row r="281">
          <cell r="B281" t="str">
            <v>PRTA</v>
          </cell>
          <cell r="F281">
            <v>21.19</v>
          </cell>
        </row>
        <row r="282">
          <cell r="B282" t="str">
            <v>DMAC</v>
          </cell>
          <cell r="F282">
            <v>8.18</v>
          </cell>
        </row>
        <row r="283">
          <cell r="B283" t="str">
            <v>EDIT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AVIR</v>
          </cell>
          <cell r="F285">
            <v>21.825</v>
          </cell>
        </row>
        <row r="286">
          <cell r="B286" t="str">
            <v>MYGN</v>
          </cell>
          <cell r="F286">
            <v>13.8</v>
          </cell>
        </row>
        <row r="287">
          <cell r="B287" t="str">
            <v>RCEL</v>
          </cell>
          <cell r="F287">
            <v>1.44</v>
          </cell>
        </row>
        <row r="288">
          <cell r="B288" t="str">
            <v>EIKN</v>
          </cell>
          <cell r="F288">
            <v>19.81</v>
          </cell>
        </row>
        <row r="289">
          <cell r="B289" t="str">
            <v>MPLT</v>
          </cell>
          <cell r="F289">
            <v>6.755</v>
          </cell>
        </row>
        <row r="290">
          <cell r="B290" t="str">
            <v>SCTX</v>
          </cell>
          <cell r="F290">
            <v>5.54</v>
          </cell>
        </row>
        <row r="291">
          <cell r="B291" t="str">
            <v>GALT</v>
          </cell>
          <cell r="F291">
            <v>2.58</v>
          </cell>
        </row>
        <row r="292">
          <cell r="B292" t="str">
            <v>KYTX</v>
          </cell>
          <cell r="F292">
            <v>4.0</v>
          </cell>
        </row>
        <row r="293">
          <cell r="B293" t="str">
            <v>ARCT</v>
          </cell>
          <cell r="F293">
            <v>6.04</v>
          </cell>
        </row>
        <row r="294">
          <cell r="B294" t="str">
            <v>CCCC</v>
          </cell>
          <cell r="F294">
            <v>3.43</v>
          </cell>
        </row>
        <row r="295">
          <cell r="B295" t="str">
            <v>EPRX</v>
          </cell>
          <cell r="F295">
            <v>8.24</v>
          </cell>
        </row>
        <row r="296">
          <cell r="B296" t="str">
            <v>IRD</v>
          </cell>
          <cell r="F296">
            <v>4.465</v>
          </cell>
        </row>
        <row r="297">
          <cell r="B297" t="str">
            <v>ZURA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ENTA</v>
          </cell>
          <cell r="F299">
            <v>3.7</v>
          </cell>
        </row>
        <row r="300">
          <cell r="B300" t="str">
            <v>EBS</v>
          </cell>
          <cell r="F300">
            <v>10.47</v>
          </cell>
        </row>
        <row r="301">
          <cell r="B301" t="str">
            <v>RLMD</v>
          </cell>
          <cell r="F301">
            <v>7.59</v>
          </cell>
        </row>
        <row r="302">
          <cell r="B302" t="str">
            <v>TTRX</v>
          </cell>
          <cell r="F302">
            <v>3.36</v>
          </cell>
        </row>
        <row r="303">
          <cell r="B303" t="str">
            <v>CGC</v>
          </cell>
          <cell r="F303">
            <v>3.16</v>
          </cell>
        </row>
        <row r="304">
          <cell r="B304" t="str">
            <v>SRZN</v>
          </cell>
          <cell r="F304">
            <v>1.28</v>
          </cell>
        </row>
        <row r="305">
          <cell r="B305" t="str">
            <v>AGEN</v>
          </cell>
          <cell r="F305">
            <v>6.29</v>
          </cell>
        </row>
        <row r="306">
          <cell r="B306" t="str">
            <v>ARTV</v>
          </cell>
          <cell r="F306">
            <v>11.67</v>
          </cell>
        </row>
        <row r="307">
          <cell r="B307" t="str">
            <v>INDP</v>
          </cell>
          <cell r="F307">
            <v>4.01</v>
          </cell>
        </row>
        <row r="308">
          <cell r="B308" t="str">
            <v>CABA</v>
          </cell>
          <cell r="F308">
            <v>7.31</v>
          </cell>
        </row>
        <row r="309">
          <cell r="B309" t="str">
            <v>OCGN</v>
          </cell>
          <cell r="F309">
            <v>0.72</v>
          </cell>
        </row>
        <row r="310">
          <cell r="B310" t="str">
            <v>SNDL</v>
          </cell>
          <cell r="F310">
            <v>6.56</v>
          </cell>
        </row>
        <row r="311">
          <cell r="B311" t="str">
            <v>CYPH</v>
          </cell>
          <cell r="F311">
            <v>9.04</v>
          </cell>
        </row>
        <row r="312">
          <cell r="B312" t="str">
            <v>PRLD</v>
          </cell>
          <cell r="F312">
            <v>10.98</v>
          </cell>
        </row>
        <row r="313">
          <cell r="B313" t="str">
            <v>BNTC</v>
          </cell>
          <cell r="F313">
            <v>3.2</v>
          </cell>
        </row>
        <row r="314">
          <cell r="B314" t="str">
            <v>CTNM</v>
          </cell>
          <cell r="F314">
            <v>3.72</v>
          </cell>
        </row>
        <row r="315">
          <cell r="B315" t="str">
            <v>CATX</v>
          </cell>
          <cell r="F315">
            <v>2.81</v>
          </cell>
        </row>
        <row r="316">
          <cell r="B316" t="str">
            <v>GTBP</v>
          </cell>
          <cell r="F316">
            <v>25.14</v>
          </cell>
        </row>
        <row r="317">
          <cell r="B317" t="str">
            <v>EYPT</v>
          </cell>
          <cell r="F317">
            <v>6.42</v>
          </cell>
        </row>
        <row r="318">
          <cell r="B318" t="str">
            <v>BIOA</v>
          </cell>
          <cell r="F318">
            <v>1.43</v>
          </cell>
        </row>
        <row r="319">
          <cell r="B319" t="str">
            <v>XFOR</v>
          </cell>
          <cell r="F319">
            <v>20.44</v>
          </cell>
        </row>
        <row r="320">
          <cell r="B320" t="str">
            <v>FULC</v>
          </cell>
          <cell r="F320">
            <v>2.3</v>
          </cell>
        </row>
        <row r="321">
          <cell r="B321" t="str">
            <v>ABEO</v>
          </cell>
          <cell r="F321">
            <v>0.8125</v>
          </cell>
        </row>
        <row r="322">
          <cell r="B322" t="str">
            <v>RCKT</v>
          </cell>
          <cell r="F322">
            <v>3.02</v>
          </cell>
        </row>
        <row r="323">
          <cell r="B323" t="str">
            <v>LRMR</v>
          </cell>
          <cell r="F323">
            <v>3.53</v>
          </cell>
        </row>
        <row r="324">
          <cell r="B324" t="str">
            <v>VNDA</v>
          </cell>
          <cell r="F324">
            <v>2.34</v>
          </cell>
        </row>
        <row r="325">
          <cell r="B325" t="str">
            <v>IKT</v>
          </cell>
          <cell r="F325">
            <v>0.4052</v>
          </cell>
        </row>
        <row r="326">
          <cell r="B326" t="str">
            <v>BCYC</v>
          </cell>
          <cell r="F326">
            <v>4.43</v>
          </cell>
        </row>
        <row r="327">
          <cell r="B327" t="str">
            <v>SABS</v>
          </cell>
          <cell r="F327">
            <v>4.6</v>
          </cell>
        </row>
        <row r="328">
          <cell r="B328" t="str">
            <v>PALI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BBOT</v>
          </cell>
          <cell r="F330">
            <v>4.17</v>
          </cell>
        </row>
        <row r="331">
          <cell r="B331" t="str">
            <v>LXEO</v>
          </cell>
          <cell r="F331">
            <v>2.49</v>
          </cell>
        </row>
        <row r="332">
          <cell r="B332" t="str">
            <v>ANIK</v>
          </cell>
          <cell r="F332">
            <v>3.6</v>
          </cell>
        </row>
        <row r="333">
          <cell r="B333" t="str">
            <v>FATE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UPB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HELP</v>
          </cell>
          <cell r="F337">
            <v>1.71</v>
          </cell>
        </row>
        <row r="338">
          <cell r="B338" t="str">
            <v>ACIU</v>
          </cell>
          <cell r="F338">
            <v>2.88</v>
          </cell>
        </row>
        <row r="339">
          <cell r="B339" t="str">
            <v>AMRN</v>
          </cell>
          <cell r="F339">
            <v>10.94</v>
          </cell>
        </row>
        <row r="340">
          <cell r="B340" t="str">
            <v>LIMN</v>
          </cell>
          <cell r="F340">
            <v>3.15</v>
          </cell>
        </row>
        <row r="341">
          <cell r="B341" t="str">
            <v>ACB</v>
          </cell>
          <cell r="F341">
            <v>3.02</v>
          </cell>
        </row>
        <row r="342">
          <cell r="B342" t="str">
            <v>LCTX</v>
          </cell>
          <cell r="F342">
            <v>2.72</v>
          </cell>
        </row>
        <row r="343">
          <cell r="B343" t="str">
            <v>TLSI</v>
          </cell>
          <cell r="F343">
            <v>3.97</v>
          </cell>
        </row>
        <row r="344">
          <cell r="B344" t="str">
            <v>QTTB</v>
          </cell>
          <cell r="F344">
            <v>2.65</v>
          </cell>
        </row>
        <row r="345">
          <cell r="B345" t="str">
            <v>GLSI</v>
          </cell>
          <cell r="F345">
            <v>8.62</v>
          </cell>
        </row>
        <row r="346">
          <cell r="B346" t="str">
            <v>MGNX</v>
          </cell>
          <cell r="F346">
            <v>3.66</v>
          </cell>
        </row>
        <row r="347">
          <cell r="B347" t="str">
            <v>KROS</v>
          </cell>
          <cell r="F347">
            <v>5.28</v>
          </cell>
        </row>
        <row r="348">
          <cell r="B348" t="str">
            <v>STRO</v>
          </cell>
          <cell r="F348">
            <v>11.4</v>
          </cell>
        </row>
        <row r="349">
          <cell r="B349" t="str">
            <v>CAMP</v>
          </cell>
          <cell r="F349">
            <v>2.06</v>
          </cell>
        </row>
        <row r="350">
          <cell r="B350" t="str">
            <v>SIGA</v>
          </cell>
          <cell r="F350">
            <v>16.24</v>
          </cell>
        </row>
        <row r="351">
          <cell r="B351" t="str">
            <v>ALEC</v>
          </cell>
          <cell r="F351">
            <v>2.635</v>
          </cell>
        </row>
        <row r="352">
          <cell r="B352" t="str">
            <v>HITI</v>
          </cell>
          <cell r="F352">
            <v>3.49</v>
          </cell>
        </row>
        <row r="353">
          <cell r="B353" t="str">
            <v>EVMN</v>
          </cell>
          <cell r="F353">
            <v>2.44</v>
          </cell>
        </row>
        <row r="354">
          <cell r="B354" t="str">
            <v>PLX</v>
          </cell>
          <cell r="F354">
            <v>1.97</v>
          </cell>
        </row>
        <row r="355">
          <cell r="B355" t="str">
            <v>AKBA</v>
          </cell>
          <cell r="F355">
            <v>2.72</v>
          </cell>
        </row>
        <row r="356">
          <cell r="B356" t="str">
            <v>SION</v>
          </cell>
          <cell r="F356">
            <v>3.19</v>
          </cell>
        </row>
        <row r="357">
          <cell r="B357" t="str">
            <v>ADCT</v>
          </cell>
          <cell r="F357">
            <v>9.7</v>
          </cell>
        </row>
        <row r="358">
          <cell r="B358" t="str">
            <v>TRDA</v>
          </cell>
          <cell r="F358">
            <v>6.395</v>
          </cell>
        </row>
        <row r="359">
          <cell r="B359" t="str">
            <v>RNAC</v>
          </cell>
          <cell r="F359">
            <v>3.16</v>
          </cell>
        </row>
        <row r="360">
          <cell r="B360" t="str">
            <v>LYEL</v>
          </cell>
          <cell r="F360">
            <v>2.14</v>
          </cell>
        </row>
        <row r="361">
          <cell r="B361" t="str">
            <v>IVVD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ELDN</v>
          </cell>
          <cell r="F363">
            <v>4.99</v>
          </cell>
        </row>
        <row r="364">
          <cell r="B364" t="str">
            <v>CGEN</v>
          </cell>
          <cell r="F364">
            <v>0.6181</v>
          </cell>
        </row>
        <row r="365">
          <cell r="B365" t="str">
            <v>CUE</v>
          </cell>
          <cell r="F365">
            <v>2.255</v>
          </cell>
        </row>
        <row r="366">
          <cell r="B366" t="str">
            <v>WHWK</v>
          </cell>
          <cell r="F366">
            <v>0.6366</v>
          </cell>
        </row>
        <row r="367">
          <cell r="B367" t="str">
            <v>SLGL</v>
          </cell>
          <cell r="F367">
            <v>11.54</v>
          </cell>
        </row>
        <row r="368">
          <cell r="B368" t="str">
            <v>ACOG</v>
          </cell>
          <cell r="F368">
            <v>2.875</v>
          </cell>
        </row>
        <row r="369">
          <cell r="B369" t="str">
            <v>ZNTL</v>
          </cell>
          <cell r="F369">
            <v>1.53</v>
          </cell>
        </row>
        <row r="370">
          <cell r="B370" t="str">
            <v>DTIL</v>
          </cell>
          <cell r="F370">
            <v>65.81</v>
          </cell>
        </row>
        <row r="371">
          <cell r="B371" t="str">
            <v>PEPG</v>
          </cell>
          <cell r="F371">
            <v>8.58</v>
          </cell>
        </row>
        <row r="372">
          <cell r="B372" t="str">
            <v>ORMP</v>
          </cell>
          <cell r="F372">
            <v>4.15</v>
          </cell>
        </row>
        <row r="373">
          <cell r="B373" t="str">
            <v>CMPX</v>
          </cell>
          <cell r="F373">
            <v>4.15</v>
          </cell>
        </row>
        <row r="374">
          <cell r="B374" t="str">
            <v>DERM</v>
          </cell>
          <cell r="F374">
            <v>3.19</v>
          </cell>
        </row>
        <row r="375">
          <cell r="B375" t="str">
            <v>ALXO</v>
          </cell>
          <cell r="F375">
            <v>8.46</v>
          </cell>
        </row>
        <row r="376">
          <cell r="B376" t="str">
            <v>PRQR</v>
          </cell>
          <cell r="F376">
            <v>6.56</v>
          </cell>
        </row>
        <row r="377">
          <cell r="B377" t="str">
            <v>PYXS</v>
          </cell>
          <cell r="F377">
            <v>0.8333</v>
          </cell>
        </row>
        <row r="378">
          <cell r="B378" t="str">
            <v>CNTN</v>
          </cell>
          <cell r="F378">
            <v>1.0</v>
          </cell>
        </row>
        <row r="379">
          <cell r="B379" t="str">
            <v>CURX</v>
          </cell>
          <cell r="F379">
            <v>1.38</v>
          </cell>
        </row>
        <row r="380">
          <cell r="B380" t="str">
            <v>ANTX</v>
          </cell>
          <cell r="F380">
            <v>2.39</v>
          </cell>
        </row>
        <row r="381">
          <cell r="B381" t="str">
            <v>ORGO</v>
          </cell>
          <cell r="F381">
            <v>12.1</v>
          </cell>
        </row>
        <row r="382">
          <cell r="B382" t="str">
            <v>CHRS</v>
          </cell>
          <cell r="F382">
            <v>31.03</v>
          </cell>
        </row>
        <row r="383">
          <cell r="B383" t="str">
            <v>TARA</v>
          </cell>
          <cell r="F383">
            <v>2.82</v>
          </cell>
        </row>
        <row r="384">
          <cell r="B384" t="str">
            <v>NKTX</v>
          </cell>
          <cell r="F384">
            <v>1.86</v>
          </cell>
        </row>
        <row r="385">
          <cell r="B385" t="str">
            <v>NBP</v>
          </cell>
          <cell r="F385">
            <v>1.84</v>
          </cell>
        </row>
        <row r="386">
          <cell r="B386" t="str">
            <v>MDWD</v>
          </cell>
          <cell r="F386">
            <v>1.73</v>
          </cell>
        </row>
        <row r="387">
          <cell r="B387" t="str">
            <v>MENS</v>
          </cell>
          <cell r="F387">
            <v>1.14</v>
          </cell>
        </row>
        <row r="388">
          <cell r="B388" t="str">
            <v>KRSA</v>
          </cell>
          <cell r="F388">
            <v>1.425</v>
          </cell>
        </row>
        <row r="389">
          <cell r="B389" t="str">
            <v>MOLN</v>
          </cell>
          <cell r="F389">
            <v>4.92</v>
          </cell>
        </row>
        <row r="390">
          <cell r="B390" t="str">
            <v>ABOS</v>
          </cell>
          <cell r="F390">
            <v>3.7</v>
          </cell>
        </row>
        <row r="391">
          <cell r="B391" t="str">
            <v>NERV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VYGR</v>
          </cell>
          <cell r="F393">
            <v>2.56</v>
          </cell>
        </row>
        <row r="394">
          <cell r="B394" t="str">
            <v>KRRO</v>
          </cell>
          <cell r="F394">
            <v>7.98</v>
          </cell>
        </row>
        <row r="395">
          <cell r="B395" t="str">
            <v>OTLK</v>
          </cell>
          <cell r="F395">
            <v>1.74</v>
          </cell>
        </row>
        <row r="396">
          <cell r="B396" t="str">
            <v>RNA</v>
          </cell>
          <cell r="F396">
            <v>1.02</v>
          </cell>
        </row>
        <row r="397">
          <cell r="B397" t="str">
            <v>FRNM</v>
          </cell>
          <cell r="F397">
            <v>3.56</v>
          </cell>
        </row>
        <row r="398">
          <cell r="B398" t="str">
            <v>AVXL</v>
          </cell>
          <cell r="F398">
            <v>1.54</v>
          </cell>
        </row>
        <row r="399">
          <cell r="B399" t="str">
            <v>NGEN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TNYA</v>
          </cell>
          <cell r="F401">
            <v>9.44</v>
          </cell>
        </row>
        <row r="402">
          <cell r="B402" t="str">
            <v>SPRB</v>
          </cell>
          <cell r="F402">
            <v>2.015</v>
          </cell>
        </row>
        <row r="403">
          <cell r="B403" t="str">
            <v>CLLS</v>
          </cell>
          <cell r="F403">
            <v>1.36</v>
          </cell>
        </row>
        <row r="404">
          <cell r="B404" t="str">
            <v>TNXP</v>
          </cell>
          <cell r="F404">
            <v>17.04</v>
          </cell>
        </row>
        <row r="405">
          <cell r="B405" t="str">
            <v>HURA</v>
          </cell>
          <cell r="F405">
            <v>0.406</v>
          </cell>
        </row>
        <row r="406">
          <cell r="B406" t="str">
            <v>NRXP</v>
          </cell>
          <cell r="F406">
            <v>0.52</v>
          </cell>
        </row>
        <row r="407">
          <cell r="B407" t="str">
            <v>CRDL</v>
          </cell>
          <cell r="F407">
            <v>2.19</v>
          </cell>
        </row>
        <row r="408">
          <cell r="B408" t="str">
            <v>VTVT</v>
          </cell>
          <cell r="F408">
            <v>41.23</v>
          </cell>
        </row>
        <row r="409">
          <cell r="B409" t="str">
            <v>NRSN</v>
          </cell>
          <cell r="F409">
            <v>2.62</v>
          </cell>
        </row>
        <row r="410">
          <cell r="B410" t="str">
            <v>INO</v>
          </cell>
          <cell r="F410">
            <v>2.53</v>
          </cell>
        </row>
        <row r="411">
          <cell r="B411" t="str">
            <v>FHTX</v>
          </cell>
          <cell r="F411">
            <v>1.76</v>
          </cell>
        </row>
        <row r="412">
          <cell r="B412" t="str">
            <v>CBUS</v>
          </cell>
          <cell r="F412">
            <v>1.67</v>
          </cell>
        </row>
        <row r="413">
          <cell r="B413" t="str">
            <v>COYA</v>
          </cell>
          <cell r="F413">
            <v>1.15</v>
          </cell>
        </row>
        <row r="414">
          <cell r="B414" t="str">
            <v>ENGN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MSLE</v>
          </cell>
          <cell r="F416">
            <v>5.15</v>
          </cell>
        </row>
        <row r="417">
          <cell r="B417" t="str">
            <v>IFRX</v>
          </cell>
          <cell r="F417">
            <v>7.96</v>
          </cell>
        </row>
        <row r="418">
          <cell r="B418" t="str">
            <v>LENZ</v>
          </cell>
          <cell r="F418">
            <v>7.0</v>
          </cell>
        </row>
        <row r="419">
          <cell r="B419" t="str">
            <v>UNCY</v>
          </cell>
          <cell r="F419">
            <v>27.845</v>
          </cell>
        </row>
        <row r="420">
          <cell r="B420" t="str">
            <v>QUCY</v>
          </cell>
          <cell r="F420">
            <v>14.06</v>
          </cell>
        </row>
        <row r="421">
          <cell r="B421" t="str">
            <v>HUMA</v>
          </cell>
          <cell r="F421">
            <v>0.99</v>
          </cell>
        </row>
        <row r="422">
          <cell r="B422" t="str">
            <v>IMUX</v>
          </cell>
          <cell r="F422">
            <v>1.54</v>
          </cell>
        </row>
        <row r="423">
          <cell r="B423" t="str">
            <v>RANI</v>
          </cell>
          <cell r="F423">
            <v>5.78</v>
          </cell>
        </row>
        <row r="424">
          <cell r="B424" t="str">
            <v>IMDX</v>
          </cell>
          <cell r="F424">
            <v>3.19</v>
          </cell>
        </row>
        <row r="425">
          <cell r="B425" t="str">
            <v>CNXU</v>
          </cell>
          <cell r="F425">
            <v>1.01</v>
          </cell>
        </row>
        <row r="426">
          <cell r="B426" t="str">
            <v>CPIX</v>
          </cell>
          <cell r="F426">
            <v>4.21</v>
          </cell>
        </row>
        <row r="427">
          <cell r="B427" t="str">
            <v>BDTX</v>
          </cell>
          <cell r="F427">
            <v>1.39</v>
          </cell>
        </row>
        <row r="428">
          <cell r="B428" t="str">
            <v>AARD</v>
          </cell>
          <cell r="F428">
            <v>3.03</v>
          </cell>
        </row>
        <row r="429">
          <cell r="B429" t="str">
            <v>CRBP</v>
          </cell>
          <cell r="F429">
            <v>2.39</v>
          </cell>
        </row>
        <row r="430">
          <cell r="B430" t="str">
            <v>BMEA</v>
          </cell>
          <cell r="F430">
            <v>2.07</v>
          </cell>
        </row>
        <row r="431">
          <cell r="B431" t="str">
            <v>ANIX</v>
          </cell>
          <cell r="F431">
            <v>10.45</v>
          </cell>
        </row>
        <row r="432">
          <cell r="B432" t="str">
            <v>PLYX</v>
          </cell>
          <cell r="F432">
            <v>2.5</v>
          </cell>
        </row>
        <row r="433">
          <cell r="B433" t="str">
            <v>OKUR</v>
          </cell>
          <cell r="F433">
            <v>9.16</v>
          </cell>
        </row>
        <row r="434">
          <cell r="B434" t="str">
            <v>MIST</v>
          </cell>
          <cell r="F434">
            <v>7.41</v>
          </cell>
        </row>
        <row r="435">
          <cell r="B435" t="str">
            <v>ATRA</v>
          </cell>
          <cell r="F435">
            <v>1.91</v>
          </cell>
        </row>
        <row r="436">
          <cell r="B436" t="str">
            <v>ALP</v>
          </cell>
          <cell r="F436">
            <v>3.8</v>
          </cell>
        </row>
        <row r="437">
          <cell r="B437" t="str">
            <v>PYPD</v>
          </cell>
          <cell r="F437">
            <v>2.68</v>
          </cell>
        </row>
        <row r="438">
          <cell r="B438" t="str">
            <v>RLYB</v>
          </cell>
          <cell r="F438">
            <v>1.07</v>
          </cell>
        </row>
        <row r="439">
          <cell r="B439" t="str">
            <v>EQ</v>
          </cell>
          <cell r="F439">
            <v>0.41</v>
          </cell>
        </row>
        <row r="440">
          <cell r="B440" t="str">
            <v>NMRA</v>
          </cell>
          <cell r="F440">
            <v>0.6528</v>
          </cell>
        </row>
        <row r="441">
          <cell r="B441" t="str">
            <v>ICCC</v>
          </cell>
          <cell r="F441">
            <v>16.38</v>
          </cell>
        </row>
        <row r="442">
          <cell r="B442" t="str">
            <v>PMN</v>
          </cell>
          <cell r="F442">
            <v>0.465</v>
          </cell>
        </row>
        <row r="443">
          <cell r="B443" t="str">
            <v>CRDF</v>
          </cell>
          <cell r="F443">
            <v>0.7185</v>
          </cell>
        </row>
        <row r="444">
          <cell r="B444" t="str">
            <v>CGTX</v>
          </cell>
          <cell r="F444">
            <v>4.42</v>
          </cell>
        </row>
        <row r="445">
          <cell r="B445" t="str">
            <v>RFL</v>
          </cell>
          <cell r="F445">
            <v>2.99</v>
          </cell>
        </row>
        <row r="446">
          <cell r="B446" t="str">
            <v>LEXX</v>
          </cell>
          <cell r="F446">
            <v>2.36</v>
          </cell>
        </row>
        <row r="447">
          <cell r="B447" t="str">
            <v>ZYBT</v>
          </cell>
          <cell r="F447">
            <v>3.9</v>
          </cell>
        </row>
        <row r="448">
          <cell r="B448" t="str">
            <v>ACRV</v>
          </cell>
          <cell r="F448">
            <v>3.38</v>
          </cell>
        </row>
        <row r="449">
          <cell r="B449" t="str">
            <v>PMVP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LGVN</v>
          </cell>
          <cell r="F451">
            <v>1.38</v>
          </cell>
        </row>
        <row r="452">
          <cell r="B452" t="str">
            <v>PTHS</v>
          </cell>
          <cell r="F452">
            <v>1.37</v>
          </cell>
        </row>
        <row r="453">
          <cell r="B453" t="str">
            <v>CTOR</v>
          </cell>
          <cell r="F453">
            <v>8.09</v>
          </cell>
        </row>
        <row r="454">
          <cell r="B454" t="str">
            <v>SDEV</v>
          </cell>
          <cell r="F454">
            <v>1.01</v>
          </cell>
        </row>
        <row r="455">
          <cell r="B455" t="str">
            <v>PDSB</v>
          </cell>
          <cell r="F455">
            <v>1.31</v>
          </cell>
        </row>
        <row r="456">
          <cell r="B456" t="str">
            <v>HRTX</v>
          </cell>
          <cell r="F456">
            <v>0.671</v>
          </cell>
        </row>
        <row r="457">
          <cell r="B457" t="str">
            <v>TELO</v>
          </cell>
          <cell r="F457">
            <v>2.65</v>
          </cell>
        </row>
        <row r="458">
          <cell r="B458" t="str">
            <v>MNOV</v>
          </cell>
          <cell r="F458">
            <v>1.795</v>
          </cell>
        </row>
        <row r="459">
          <cell r="B459" t="str">
            <v>OSTX</v>
          </cell>
          <cell r="F459">
            <v>0.9315</v>
          </cell>
        </row>
        <row r="460">
          <cell r="B460" t="str">
            <v>OKYO</v>
          </cell>
          <cell r="F460">
            <v>2.77</v>
          </cell>
        </row>
        <row r="461">
          <cell r="B461" t="str">
            <v>MAIA</v>
          </cell>
          <cell r="F461">
            <v>1.36</v>
          </cell>
        </row>
        <row r="462">
          <cell r="B462" t="str">
            <v>NMAD</v>
          </cell>
          <cell r="F462">
            <v>0.7338</v>
          </cell>
        </row>
        <row r="463">
          <cell r="B463" t="str">
            <v>NTHI</v>
          </cell>
          <cell r="F463">
            <v>0.3545</v>
          </cell>
        </row>
        <row r="464">
          <cell r="B464" t="str">
            <v>GANX</v>
          </cell>
          <cell r="F464">
            <v>1.12</v>
          </cell>
        </row>
        <row r="465">
          <cell r="B465" t="str">
            <v>FBIO</v>
          </cell>
          <cell r="F465">
            <v>1.49</v>
          </cell>
        </row>
        <row r="466">
          <cell r="B466" t="str">
            <v>CING</v>
          </cell>
          <cell r="F466">
            <v>1.22</v>
          </cell>
        </row>
        <row r="467">
          <cell r="B467" t="str">
            <v>ONCY</v>
          </cell>
          <cell r="F467">
            <v>1.27</v>
          </cell>
        </row>
        <row r="468">
          <cell r="B468" t="str">
            <v>VRCA</v>
          </cell>
          <cell r="F468">
            <v>1.39</v>
          </cell>
        </row>
        <row r="469">
          <cell r="B469" t="str">
            <v>TENX</v>
          </cell>
          <cell r="F469">
            <v>2.02</v>
          </cell>
        </row>
        <row r="470">
          <cell r="B470" t="str">
            <v>SPRO</v>
          </cell>
          <cell r="F470">
            <v>0.4986</v>
          </cell>
        </row>
        <row r="471">
          <cell r="B471" t="str">
            <v>XBIT</v>
          </cell>
          <cell r="F471">
            <v>4.53</v>
          </cell>
        </row>
        <row r="472">
          <cell r="B472" t="str">
            <v>RNTX</v>
          </cell>
          <cell r="F472">
            <v>0.9605</v>
          </cell>
        </row>
        <row r="473">
          <cell r="B473" t="str">
            <v>PLRX</v>
          </cell>
          <cell r="F473">
            <v>3.72</v>
          </cell>
        </row>
        <row r="474">
          <cell r="B474" t="str">
            <v>ENLV</v>
          </cell>
          <cell r="F474">
            <v>1.94</v>
          </cell>
        </row>
        <row r="475">
          <cell r="B475" t="str">
            <v>SKYE</v>
          </cell>
          <cell r="F475">
            <v>3.47</v>
          </cell>
        </row>
        <row r="476">
          <cell r="B476" t="str">
            <v>XLO</v>
          </cell>
          <cell r="F476">
            <v>0.7356</v>
          </cell>
        </row>
        <row r="477">
          <cell r="B477" t="str">
            <v>RNXT</v>
          </cell>
          <cell r="F477">
            <v>1.19</v>
          </cell>
        </row>
        <row r="478">
          <cell r="B478" t="str">
            <v>BOLD</v>
          </cell>
          <cell r="F478">
            <v>0.8752</v>
          </cell>
        </row>
        <row r="479">
          <cell r="B479" t="str">
            <v>ATHE</v>
          </cell>
          <cell r="F479">
            <v>0.33</v>
          </cell>
        </row>
        <row r="480">
          <cell r="B480" t="str">
            <v>KLRS</v>
          </cell>
          <cell r="F480">
            <v>8.54</v>
          </cell>
        </row>
        <row r="481">
          <cell r="B481" t="str">
            <v>TLPH</v>
          </cell>
          <cell r="F481">
            <v>0.9124</v>
          </cell>
        </row>
        <row r="482">
          <cell r="B482" t="str">
            <v>IBIO</v>
          </cell>
          <cell r="F482">
            <v>1.07</v>
          </cell>
        </row>
        <row r="483">
          <cell r="B483" t="str">
            <v>MREO</v>
          </cell>
          <cell r="F483">
            <v>1.62</v>
          </cell>
        </row>
        <row r="484">
          <cell r="B484" t="str">
            <v>ALDX</v>
          </cell>
          <cell r="F484">
            <v>0.5951</v>
          </cell>
        </row>
        <row r="485">
          <cell r="B485" t="str">
            <v>CNTB</v>
          </cell>
          <cell r="F485">
            <v>1.2</v>
          </cell>
        </row>
        <row r="486">
          <cell r="B486" t="str">
            <v>INKT</v>
          </cell>
          <cell r="F486">
            <v>20.21</v>
          </cell>
        </row>
        <row r="487">
          <cell r="B487" t="str">
            <v>LONA</v>
          </cell>
          <cell r="F487">
            <v>2.43</v>
          </cell>
        </row>
        <row r="488">
          <cell r="B488" t="str">
            <v>HYPD</v>
          </cell>
          <cell r="F488">
            <v>2.07</v>
          </cell>
        </row>
        <row r="489">
          <cell r="B489" t="str">
            <v>YARW</v>
          </cell>
          <cell r="F489">
            <v>1.63</v>
          </cell>
        </row>
        <row r="490">
          <cell r="B490" t="str">
            <v>ACET</v>
          </cell>
          <cell r="F490">
            <v>9.86</v>
          </cell>
        </row>
        <row r="491">
          <cell r="B491" t="str">
            <v>INMB</v>
          </cell>
          <cell r="F491">
            <v>0.519</v>
          </cell>
        </row>
        <row r="492">
          <cell r="B492" t="str">
            <v>ANVS</v>
          </cell>
          <cell r="F492">
            <v>5.27</v>
          </cell>
        </row>
        <row r="493">
          <cell r="B493" t="str">
            <v>SER</v>
          </cell>
          <cell r="F493">
            <v>2.37</v>
          </cell>
        </row>
        <row r="494">
          <cell r="B494" t="str">
            <v>CELU</v>
          </cell>
          <cell r="F494">
            <v>0.821</v>
          </cell>
        </row>
        <row r="495">
          <cell r="B495" t="str">
            <v>ELTX</v>
          </cell>
          <cell r="F495">
            <v>2.975</v>
          </cell>
        </row>
        <row r="496">
          <cell r="B496" t="str">
            <v>CLNN</v>
          </cell>
          <cell r="F496">
            <v>0.2237</v>
          </cell>
        </row>
        <row r="497">
          <cell r="B497" t="str">
            <v>CRBU</v>
          </cell>
          <cell r="F497">
            <v>0.2951</v>
          </cell>
        </row>
        <row r="498">
          <cell r="B498" t="str">
            <v>EXOZ</v>
          </cell>
          <cell r="F498">
            <v>1.05</v>
          </cell>
        </row>
        <row r="499">
          <cell r="B499" t="str">
            <v>CRVO</v>
          </cell>
          <cell r="F499">
            <v>3.88</v>
          </cell>
        </row>
        <row r="500">
          <cell r="B500" t="str">
            <v>BRTX</v>
          </cell>
          <cell r="F500">
            <v>1.57</v>
          </cell>
        </row>
        <row r="501">
          <cell r="B501" t="str">
            <v>IMA</v>
          </cell>
          <cell r="F501">
            <v>22.0481</v>
          </cell>
        </row>
        <row r="502">
          <cell r="B502" t="str">
            <v>HOWL</v>
          </cell>
          <cell r="F502">
            <v>6.43</v>
          </cell>
        </row>
        <row r="503">
          <cell r="B503" t="str">
            <v>DWTX</v>
          </cell>
          <cell r="F503">
            <v>1.6</v>
          </cell>
        </row>
        <row r="504">
          <cell r="B504" t="str">
            <v>VBIO</v>
          </cell>
          <cell r="F504">
            <v>4.13</v>
          </cell>
        </row>
        <row r="505">
          <cell r="B505" t="str">
            <v>TIL</v>
          </cell>
          <cell r="F505">
            <v>1.66</v>
          </cell>
        </row>
        <row r="506">
          <cell r="B506" t="str">
            <v>CLGN</v>
          </cell>
          <cell r="F506">
            <v>0.8935</v>
          </cell>
        </row>
        <row r="507">
          <cell r="B507" t="str">
            <v>LNAI</v>
          </cell>
          <cell r="F507">
            <v>1.5</v>
          </cell>
        </row>
        <row r="508">
          <cell r="B508" t="str">
            <v>TVGN</v>
          </cell>
          <cell r="F508">
            <v>4.52</v>
          </cell>
        </row>
        <row r="509">
          <cell r="B509" t="str">
            <v>BSEM</v>
          </cell>
          <cell r="F509">
            <v>0.9932</v>
          </cell>
        </row>
        <row r="510">
          <cell r="B510" t="str">
            <v>GRCE</v>
          </cell>
          <cell r="F510">
            <v>0.6651</v>
          </cell>
        </row>
        <row r="511">
          <cell r="B511" t="str">
            <v>CALC</v>
          </cell>
          <cell r="F511">
            <v>1.15</v>
          </cell>
        </row>
        <row r="512">
          <cell r="B512" t="str">
            <v>MTNB</v>
          </cell>
          <cell r="F512">
            <v>1.26</v>
          </cell>
        </row>
        <row r="513">
          <cell r="B513" t="str">
            <v>VERU</v>
          </cell>
          <cell r="F513">
            <v>5.94</v>
          </cell>
        </row>
        <row r="514">
          <cell r="B514" t="str">
            <v>BTMD</v>
          </cell>
          <cell r="F514">
            <v>3.73</v>
          </cell>
        </row>
        <row r="515">
          <cell r="B515" t="str">
            <v>SCYX</v>
          </cell>
          <cell r="F515">
            <v>1.98</v>
          </cell>
        </row>
        <row r="516">
          <cell r="B516" t="str">
            <v>FLNA</v>
          </cell>
          <cell r="F516">
            <v>2.38</v>
          </cell>
        </row>
        <row r="517">
          <cell r="B517" t="str">
            <v>IXHL</v>
          </cell>
          <cell r="F517">
            <v>1.07</v>
          </cell>
        </row>
        <row r="518">
          <cell r="B518" t="str">
            <v>LITS</v>
          </cell>
          <cell r="F518">
            <v>1.56</v>
          </cell>
        </row>
        <row r="519">
          <cell r="B519" t="str">
            <v>BIAF</v>
          </cell>
          <cell r="F519">
            <v>4.12</v>
          </cell>
        </row>
        <row r="520">
          <cell r="B520" t="str">
            <v>MGX</v>
          </cell>
          <cell r="F520">
            <v>1.64</v>
          </cell>
        </row>
        <row r="521">
          <cell r="B521" t="str">
            <v>CPHI</v>
          </cell>
          <cell r="F521">
            <v>3.8</v>
          </cell>
        </row>
        <row r="522">
          <cell r="B522" t="str">
            <v>ELUT</v>
          </cell>
          <cell r="F522">
            <v>1.7</v>
          </cell>
        </row>
        <row r="523">
          <cell r="B523" t="str">
            <v>FFR</v>
          </cell>
          <cell r="F523">
            <v>1.065</v>
          </cell>
        </row>
        <row r="524">
          <cell r="B524" t="str">
            <v>GRDX</v>
          </cell>
          <cell r="F524">
            <v>2.78</v>
          </cell>
        </row>
        <row r="525">
          <cell r="B525" t="str">
            <v>ATNM</v>
          </cell>
          <cell r="F525">
            <v>1.5</v>
          </cell>
        </row>
        <row r="526">
          <cell r="B526" t="str">
            <v>CVM</v>
          </cell>
          <cell r="F526">
            <v>0.8105</v>
          </cell>
        </row>
        <row r="527">
          <cell r="B527" t="str">
            <v>BCTX</v>
          </cell>
          <cell r="F527">
            <v>1.19</v>
          </cell>
        </row>
        <row r="528">
          <cell r="B528" t="str">
            <v>EDSA</v>
          </cell>
          <cell r="F528">
            <v>0.6885</v>
          </cell>
        </row>
        <row r="529">
          <cell r="B529" t="str">
            <v>ALGS</v>
          </cell>
          <cell r="F529">
            <v>2.29</v>
          </cell>
        </row>
        <row r="530">
          <cell r="B530" t="str">
            <v>NNVC</v>
          </cell>
          <cell r="F530">
            <v>1.395</v>
          </cell>
        </row>
        <row r="531">
          <cell r="B531" t="str">
            <v>NXTC</v>
          </cell>
          <cell r="F531">
            <v>40.27</v>
          </cell>
        </row>
        <row r="532">
          <cell r="B532" t="str">
            <v>QNCX</v>
          </cell>
          <cell r="F532">
            <v>3.66</v>
          </cell>
        </row>
        <row r="533">
          <cell r="B533" t="str">
            <v>NSRX</v>
          </cell>
          <cell r="F533">
            <v>1.56</v>
          </cell>
        </row>
        <row r="534">
          <cell r="B534" t="str">
            <v>RNAZ</v>
          </cell>
          <cell r="F534">
            <v>5.03</v>
          </cell>
        </row>
        <row r="535">
          <cell r="B535" t="str">
            <v>MIRA</v>
          </cell>
          <cell r="F535">
            <v>4.63</v>
          </cell>
        </row>
        <row r="536">
          <cell r="B536" t="str">
            <v>MDXH</v>
          </cell>
          <cell r="F536">
            <v>0.8313</v>
          </cell>
        </row>
        <row r="537">
          <cell r="B537" t="str">
            <v>IGC</v>
          </cell>
          <cell r="F537">
            <v>3.46</v>
          </cell>
        </row>
        <row r="538">
          <cell r="B538" t="str">
            <v>CNTX</v>
          </cell>
          <cell r="F538">
            <v>0.7243</v>
          </cell>
        </row>
        <row r="539">
          <cell r="B539" t="str">
            <v>MCRB</v>
          </cell>
          <cell r="F539">
            <v>2.54</v>
          </cell>
        </row>
        <row r="540">
          <cell r="B540" t="str">
            <v>ABVC</v>
          </cell>
          <cell r="F540">
            <v>1.66</v>
          </cell>
        </row>
        <row r="541">
          <cell r="B541" t="str">
            <v>EVAX</v>
          </cell>
          <cell r="F541">
            <v>5.44</v>
          </cell>
        </row>
        <row r="542">
          <cell r="B542" t="str">
            <v>SHPH</v>
          </cell>
          <cell r="F542">
            <v>3.24</v>
          </cell>
        </row>
        <row r="543">
          <cell r="B543" t="str">
            <v>BYSI</v>
          </cell>
          <cell r="F543">
            <v>0.6501</v>
          </cell>
        </row>
        <row r="544">
          <cell r="B544" t="str">
            <v>SCLX</v>
          </cell>
          <cell r="F544">
            <v>4.91</v>
          </cell>
        </row>
        <row r="545">
          <cell r="B545" t="str">
            <v>JAGX</v>
          </cell>
          <cell r="F545">
            <v>0.245</v>
          </cell>
        </row>
        <row r="546">
          <cell r="B546" t="str">
            <v>KYNB</v>
          </cell>
          <cell r="F546">
            <v>1.19</v>
          </cell>
        </row>
        <row r="547">
          <cell r="B547" t="str">
            <v>ATOS</v>
          </cell>
          <cell r="F547">
            <v>2.31</v>
          </cell>
        </row>
        <row r="548">
          <cell r="B548" t="str">
            <v>ATYR</v>
          </cell>
          <cell r="F548">
            <v>2.82</v>
          </cell>
        </row>
        <row r="549">
          <cell r="B549" t="str">
            <v>TXMD</v>
          </cell>
          <cell r="F549">
            <v>0.515</v>
          </cell>
        </row>
        <row r="550">
          <cell r="B550" t="str">
            <v>AYTU</v>
          </cell>
          <cell r="F550">
            <v>0.93</v>
          </cell>
        </row>
        <row r="551">
          <cell r="B551" t="str">
            <v>COCP</v>
          </cell>
          <cell r="F551">
            <v>2.53</v>
          </cell>
        </row>
        <row r="552">
          <cell r="B552" t="str">
            <v>KAPA</v>
          </cell>
          <cell r="F552">
            <v>1.08</v>
          </cell>
        </row>
        <row r="553">
          <cell r="B553" t="str">
            <v>JSPR</v>
          </cell>
          <cell r="F553">
            <v>4.05</v>
          </cell>
        </row>
        <row r="554">
          <cell r="B554" t="str">
            <v>GNTA</v>
          </cell>
          <cell r="F554">
            <v>0.5227</v>
          </cell>
        </row>
        <row r="555">
          <cell r="B555" t="str">
            <v>NEUP</v>
          </cell>
          <cell r="F555">
            <v>0.2438</v>
          </cell>
        </row>
        <row r="556">
          <cell r="B556" t="str">
            <v>ESLA</v>
          </cell>
          <cell r="F556">
            <v>1.88</v>
          </cell>
        </row>
        <row r="557">
          <cell r="B557" t="str">
            <v>AKTX</v>
          </cell>
          <cell r="F557">
            <v>5.28</v>
          </cell>
        </row>
        <row r="558">
          <cell r="B558" t="str">
            <v>MRKR</v>
          </cell>
          <cell r="F558">
            <v>2.01</v>
          </cell>
        </row>
        <row r="559">
          <cell r="B559" t="str">
            <v>DYAI</v>
          </cell>
          <cell r="F559">
            <v>0.9429</v>
          </cell>
        </row>
        <row r="560">
          <cell r="B560" t="str">
            <v>RKTO</v>
          </cell>
          <cell r="F560">
            <v>0.4</v>
          </cell>
        </row>
        <row r="561">
          <cell r="B561" t="str">
            <v>TCRX</v>
          </cell>
          <cell r="F561">
            <v>2.63</v>
          </cell>
        </row>
        <row r="562">
          <cell r="B562" t="str">
            <v>ALLR</v>
          </cell>
          <cell r="F562">
            <v>1.94</v>
          </cell>
        </row>
        <row r="563">
          <cell r="B563" t="str">
            <v>BCDA</v>
          </cell>
          <cell r="F563">
            <v>3.39</v>
          </cell>
        </row>
        <row r="564">
          <cell r="B564" t="str">
            <v>KTTA</v>
          </cell>
          <cell r="F564">
            <v>1.16</v>
          </cell>
        </row>
        <row r="565">
          <cell r="B565" t="str">
            <v>PTN</v>
          </cell>
          <cell r="F565">
            <v>0.1733</v>
          </cell>
        </row>
        <row r="566">
          <cell r="B566" t="str">
            <v>ARTL</v>
          </cell>
          <cell r="F566">
            <v>9.29</v>
          </cell>
        </row>
        <row r="567">
          <cell r="B567" t="str">
            <v>HIND</v>
          </cell>
          <cell r="F567">
            <v>0.4999</v>
          </cell>
        </row>
        <row r="568">
          <cell r="B568" t="str">
            <v>ACTU</v>
          </cell>
          <cell r="F568">
            <v>0.5837</v>
          </cell>
        </row>
        <row r="569">
          <cell r="B569" t="str">
            <v>CNSY</v>
          </cell>
          <cell r="F569">
            <v>0.615</v>
          </cell>
        </row>
        <row r="570">
          <cell r="B570" t="str">
            <v>NCEL</v>
          </cell>
          <cell r="F570">
            <v>0.224</v>
          </cell>
        </row>
        <row r="571">
          <cell r="B571" t="str">
            <v>KZIA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BFRI</v>
          </cell>
          <cell r="F573">
            <v>0.6161</v>
          </cell>
        </row>
        <row r="574">
          <cell r="B574" t="str">
            <v>LPCN</v>
          </cell>
          <cell r="F574">
            <v>0.8758</v>
          </cell>
        </row>
        <row r="575">
          <cell r="B575" t="str">
            <v>AEON</v>
          </cell>
          <cell r="F575">
            <v>0.41</v>
          </cell>
        </row>
        <row r="576">
          <cell r="B576" t="str">
            <v>TVRD</v>
          </cell>
          <cell r="F576">
            <v>1.04</v>
          </cell>
        </row>
        <row r="577">
          <cell r="B577" t="str">
            <v>KPTI</v>
          </cell>
          <cell r="F577">
            <v>1.62</v>
          </cell>
        </row>
        <row r="578">
          <cell r="B578" t="str">
            <v>CTXR</v>
          </cell>
          <cell r="F578">
            <v>2.61</v>
          </cell>
        </row>
        <row r="579">
          <cell r="B579" t="str">
            <v>CLRB</v>
          </cell>
          <cell r="F579">
            <v>0.992</v>
          </cell>
        </row>
        <row r="580">
          <cell r="B580" t="str">
            <v>INAB</v>
          </cell>
          <cell r="F580">
            <v>0.5311</v>
          </cell>
        </row>
        <row r="581">
          <cell r="B581" t="str">
            <v>TPST</v>
          </cell>
          <cell r="F581">
            <v>1.84</v>
          </cell>
        </row>
        <row r="582">
          <cell r="B582" t="str">
            <v>PASG</v>
          </cell>
          <cell r="F582">
            <v>1.68</v>
          </cell>
        </row>
        <row r="583">
          <cell r="B583" t="str">
            <v>INTS</v>
          </cell>
          <cell r="F583">
            <v>0.4175</v>
          </cell>
        </row>
        <row r="584">
          <cell r="B584" t="str">
            <v>DARE</v>
          </cell>
          <cell r="F584">
            <v>2.62</v>
          </cell>
        </row>
        <row r="585">
          <cell r="B585" t="str">
            <v>PLUR</v>
          </cell>
          <cell r="F585">
            <v>0.804</v>
          </cell>
        </row>
        <row r="586">
          <cell r="B586" t="str">
            <v>ASBP</v>
          </cell>
          <cell r="F586">
            <v>0.2315</v>
          </cell>
        </row>
        <row r="587">
          <cell r="B587" t="str">
            <v>QNTM</v>
          </cell>
          <cell r="F587">
            <v>8.72</v>
          </cell>
        </row>
        <row r="588">
          <cell r="B588" t="str">
            <v>PBM</v>
          </cell>
          <cell r="F588">
            <v>7.88</v>
          </cell>
        </row>
        <row r="589">
          <cell r="B589" t="str">
            <v>PHIO</v>
          </cell>
          <cell r="F589">
            <v>0.4986</v>
          </cell>
        </row>
        <row r="590">
          <cell r="B590" t="str">
            <v>KPRX</v>
          </cell>
          <cell r="F590">
            <v>5.52</v>
          </cell>
        </row>
        <row r="591">
          <cell r="B591" t="str">
            <v>GDTC</v>
          </cell>
          <cell r="F591">
            <v>3.6</v>
          </cell>
        </row>
        <row r="592">
          <cell r="B592" t="str">
            <v>BIVI</v>
          </cell>
          <cell r="F592">
            <v>0.689</v>
          </cell>
        </row>
        <row r="593">
          <cell r="B593" t="str">
            <v>VTGN</v>
          </cell>
          <cell r="F593">
            <v>0.9</v>
          </cell>
        </row>
        <row r="594">
          <cell r="B594" t="str">
            <v>LTRN</v>
          </cell>
          <cell r="F594">
            <v>1.14</v>
          </cell>
        </row>
        <row r="595">
          <cell r="B595" t="str">
            <v>ENSC</v>
          </cell>
          <cell r="F595">
            <v>3.28</v>
          </cell>
        </row>
        <row r="596">
          <cell r="B596" t="str">
            <v>ADIL</v>
          </cell>
          <cell r="F596">
            <v>1.23</v>
          </cell>
        </row>
        <row r="597">
          <cell r="B597" t="str">
            <v>TOVX</v>
          </cell>
          <cell r="F597">
            <v>2.33</v>
          </cell>
        </row>
        <row r="598">
          <cell r="B598" t="str">
            <v>CMMB</v>
          </cell>
          <cell r="F598">
            <v>0.1944</v>
          </cell>
        </row>
        <row r="599">
          <cell r="B599" t="str">
            <v>SNTI</v>
          </cell>
          <cell r="F599">
            <v>2.43</v>
          </cell>
        </row>
        <row r="600">
          <cell r="B600" t="str">
            <v>LSTA</v>
          </cell>
          <cell r="F600">
            <v>0.8715</v>
          </cell>
        </row>
        <row r="601">
          <cell r="B601" t="str">
            <v>IMCC</v>
          </cell>
          <cell r="F601">
            <v>0.8921</v>
          </cell>
        </row>
        <row r="602">
          <cell r="B602" t="str">
            <v>MTVA</v>
          </cell>
          <cell r="F602">
            <v>0.5762</v>
          </cell>
        </row>
        <row r="603">
          <cell r="B603" t="str">
            <v>IMRN</v>
          </cell>
          <cell r="F603">
            <v>4.24</v>
          </cell>
        </row>
        <row r="604">
          <cell r="B604" t="str">
            <v>MBRX</v>
          </cell>
          <cell r="F604">
            <v>0.2047</v>
          </cell>
        </row>
        <row r="605">
          <cell r="B605" t="str">
            <v>RGNT</v>
          </cell>
          <cell r="F605">
            <v>1.04</v>
          </cell>
        </row>
        <row r="606">
          <cell r="B606" t="str">
            <v>BOLT</v>
          </cell>
          <cell r="F606">
            <v>1.18</v>
          </cell>
        </row>
        <row r="607">
          <cell r="B607" t="str">
            <v>SNGX</v>
          </cell>
          <cell r="F607">
            <v>3.82</v>
          </cell>
        </row>
        <row r="608">
          <cell r="B608" t="str">
            <v>AZTR</v>
          </cell>
          <cell r="F608">
            <v>1.29</v>
          </cell>
        </row>
        <row r="609">
          <cell r="B609" t="str">
            <v>CNSP</v>
          </cell>
          <cell r="F609">
            <v>0.1978</v>
          </cell>
        </row>
        <row r="610">
          <cell r="B610" t="str">
            <v>HLSQ</v>
          </cell>
          <cell r="F610">
            <v>0.3586</v>
          </cell>
        </row>
        <row r="611">
          <cell r="B611" t="str">
            <v>APRE</v>
          </cell>
          <cell r="F611">
            <v>0.6564</v>
          </cell>
        </row>
        <row r="612">
          <cell r="B612" t="str">
            <v>APUS</v>
          </cell>
          <cell r="F612">
            <v>1.37</v>
          </cell>
        </row>
        <row r="613">
          <cell r="B613" t="str">
            <v>FBLG</v>
          </cell>
          <cell r="F613">
            <v>1.4</v>
          </cell>
        </row>
        <row r="614">
          <cell r="B614" t="str">
            <v>INM</v>
          </cell>
          <cell r="F614">
            <v>4.31</v>
          </cell>
        </row>
        <row r="615">
          <cell r="B615" t="str">
            <v>XCUR</v>
          </cell>
          <cell r="F615">
            <v>1.47</v>
          </cell>
        </row>
        <row r="616">
          <cell r="B616" t="str">
            <v>TRAW</v>
          </cell>
          <cell r="F616">
            <v>0.9564</v>
          </cell>
        </row>
        <row r="617">
          <cell r="B617" t="str">
            <v>ACXP</v>
          </cell>
          <cell r="F617">
            <v>0.3546</v>
          </cell>
        </row>
        <row r="618">
          <cell r="B618" t="str">
            <v>ENVB</v>
          </cell>
          <cell r="F618">
            <v>0.5612</v>
          </cell>
        </row>
        <row r="619">
          <cell r="B619" t="str">
            <v>ALZN</v>
          </cell>
          <cell r="F619">
            <v>1.34</v>
          </cell>
        </row>
        <row r="620">
          <cell r="B620" t="str">
            <v>IMNN</v>
          </cell>
          <cell r="F620">
            <v>0.9987</v>
          </cell>
        </row>
        <row r="621">
          <cell r="B621" t="str">
            <v>SNOA</v>
          </cell>
          <cell r="F621">
            <v>4.99</v>
          </cell>
        </row>
        <row r="622">
          <cell r="B622" t="str">
            <v>MDCX</v>
          </cell>
          <cell r="F622">
            <v>0.2277</v>
          </cell>
        </row>
        <row r="623">
          <cell r="B623" t="str">
            <v>KALA</v>
          </cell>
          <cell r="F623">
            <v>2.97</v>
          </cell>
        </row>
        <row r="624">
          <cell r="B624" t="str">
            <v>BGMS</v>
          </cell>
          <cell r="F624">
            <v>0.9199</v>
          </cell>
        </row>
        <row r="625">
          <cell r="B625" t="str">
            <v>GELS</v>
          </cell>
          <cell r="F625">
            <v>1.3</v>
          </cell>
        </row>
        <row r="626">
          <cell r="B626" t="str">
            <v>CDIO</v>
          </cell>
          <cell r="F626">
            <v>0.3767</v>
          </cell>
        </row>
        <row r="627">
          <cell r="B627" t="str">
            <v>CELZ</v>
          </cell>
          <cell r="F627">
            <v>1.44</v>
          </cell>
        </row>
        <row r="628">
          <cell r="B628" t="str">
            <v>AIM</v>
          </cell>
          <cell r="F628">
            <v>0.94</v>
          </cell>
        </row>
        <row r="629">
          <cell r="B629" t="str">
            <v>AQB</v>
          </cell>
          <cell r="F629">
            <v>3.41</v>
          </cell>
        </row>
        <row r="630">
          <cell r="B630" t="str">
            <v>PULM</v>
          </cell>
          <cell r="F630">
            <v>0.2323</v>
          </cell>
        </row>
        <row r="631">
          <cell r="B631" t="str">
            <v>QCLS</v>
          </cell>
          <cell r="F631">
            <v>1.14</v>
          </cell>
        </row>
        <row r="632">
          <cell r="B632" t="str">
            <v>XBIO</v>
          </cell>
          <cell r="F632">
            <v>1.005</v>
          </cell>
        </row>
        <row r="633">
          <cell r="B633" t="str">
            <v>NCNA</v>
          </cell>
          <cell r="F633">
            <v>1.15</v>
          </cell>
        </row>
        <row r="634">
          <cell r="B634" t="str">
            <v>YCBD</v>
          </cell>
          <cell r="F634">
            <v>6.19</v>
          </cell>
        </row>
        <row r="635">
          <cell r="B635" t="str">
            <v>PMCB</v>
          </cell>
          <cell r="F635">
            <v>1.15</v>
          </cell>
        </row>
        <row r="636">
          <cell r="B636" t="str">
            <v>PCSA</v>
          </cell>
          <cell r="F636">
            <v>1.43</v>
          </cell>
        </row>
        <row r="637">
          <cell r="B637" t="str">
            <v>DRMA</v>
          </cell>
          <cell r="F637">
            <v>0.1679</v>
          </cell>
        </row>
        <row r="638">
          <cell r="B638" t="str">
            <v>SCNI</v>
          </cell>
          <cell r="F638">
            <v>1.72</v>
          </cell>
        </row>
        <row r="639">
          <cell r="B639" t="str">
            <v>ERNA</v>
          </cell>
          <cell r="F639">
            <v>0.7547</v>
          </cell>
        </row>
        <row r="640">
          <cell r="B640" t="str">
            <v>GRI</v>
          </cell>
          <cell r="F640">
            <v>0.448</v>
          </cell>
        </row>
        <row r="641">
          <cell r="B641" t="str">
            <v>SNES</v>
          </cell>
          <cell r="F641">
            <v>1.79</v>
          </cell>
        </row>
        <row r="642">
          <cell r="B642" t="str">
            <v>EOCN</v>
          </cell>
          <cell r="F642">
            <v>2.0</v>
          </cell>
        </row>
        <row r="643">
          <cell r="B643" t="str">
            <v>AKAN</v>
          </cell>
          <cell r="F643">
            <v>0.5</v>
          </cell>
        </row>
        <row r="644">
          <cell r="B644" t="str">
            <v>SXTP</v>
          </cell>
          <cell r="F644">
            <v>0.0715</v>
          </cell>
        </row>
        <row r="645">
          <cell r="B645" t="str">
            <v>EVGN</v>
          </cell>
          <cell r="F645">
            <v>1.0056</v>
          </cell>
        </row>
        <row r="646">
          <cell r="B646" t="str">
            <v>CVKD</v>
          </cell>
          <cell r="F646">
            <v>0.3873</v>
          </cell>
        </row>
        <row r="647">
          <cell r="B647" t="str">
            <v>APVO</v>
          </cell>
          <cell r="F647">
            <v>1.04</v>
          </cell>
        </row>
        <row r="648">
          <cell r="B648" t="str">
            <v>PPCB</v>
          </cell>
          <cell r="F648">
            <v>0.3422</v>
          </cell>
        </row>
        <row r="649">
          <cell r="B649" t="str">
            <v>MBIO</v>
          </cell>
          <cell r="F649">
            <v>0.1897</v>
          </cell>
        </row>
        <row r="650">
          <cell r="B650" t="str">
            <v>REVB</v>
          </cell>
          <cell r="F650">
            <v>2.24</v>
          </cell>
        </row>
        <row r="651">
          <cell r="B651" t="str">
            <v>HCWB</v>
          </cell>
          <cell r="F651">
            <v>0.6893</v>
          </cell>
        </row>
        <row r="652">
          <cell r="B652" t="str">
            <v>RDHL</v>
          </cell>
          <cell r="F652">
            <v>0.8699</v>
          </cell>
        </row>
        <row r="653">
          <cell r="B653" t="str">
            <v>VIVS</v>
          </cell>
          <cell r="F653">
            <v>0.3716</v>
          </cell>
        </row>
        <row r="654">
          <cell r="B654" t="str">
            <v>CLDI</v>
          </cell>
          <cell r="F654">
            <v>1.615</v>
          </cell>
        </row>
        <row r="655">
          <cell r="B655" t="str">
            <v>CANF</v>
          </cell>
          <cell r="F655">
            <v>0.9222</v>
          </cell>
        </row>
        <row r="656">
          <cell r="B656" t="str">
            <v>ONCO</v>
          </cell>
          <cell r="F656">
            <v>1.46</v>
          </cell>
        </row>
        <row r="657">
          <cell r="B657" t="str">
            <v>UPC</v>
          </cell>
          <cell r="F657">
            <v>3.07</v>
          </cell>
        </row>
        <row r="658">
          <cell r="B658" t="str">
            <v>SILO</v>
          </cell>
          <cell r="F658">
            <v>0.3795</v>
          </cell>
        </row>
        <row r="659">
          <cell r="B659" t="str">
            <v>GNPX</v>
          </cell>
          <cell r="F659">
            <v>0.6813</v>
          </cell>
        </row>
        <row r="660">
          <cell r="B660" t="str">
            <v>JUNS</v>
          </cell>
          <cell r="F660">
            <v>0.5073</v>
          </cell>
        </row>
        <row r="661">
          <cell r="B661" t="str">
            <v>GOVX</v>
          </cell>
          <cell r="F661">
            <v>1.89</v>
          </cell>
        </row>
        <row r="662">
          <cell r="B662" t="str">
            <v>OGEN</v>
          </cell>
          <cell r="F662">
            <v>1.08</v>
          </cell>
        </row>
        <row r="663">
          <cell r="B663" t="str">
            <v>TCRT</v>
          </cell>
          <cell r="F663">
            <v>3.54</v>
          </cell>
        </row>
        <row r="664">
          <cell r="B664" t="str">
            <v>LABT</v>
          </cell>
          <cell r="F664">
            <v>0.1713</v>
          </cell>
        </row>
        <row r="665">
          <cell r="B665" t="str">
            <v>SPRC</v>
          </cell>
          <cell r="F665">
            <v>1.23</v>
          </cell>
        </row>
        <row r="666">
          <cell r="B666" t="str">
            <v>CRIS</v>
          </cell>
          <cell r="F666">
            <v>0.77</v>
          </cell>
        </row>
        <row r="667">
          <cell r="B667" t="str">
            <v>SBFM</v>
          </cell>
          <cell r="F667">
            <v>2.8</v>
          </cell>
        </row>
        <row r="668">
          <cell r="B668" t="str">
            <v>BBLG</v>
          </cell>
          <cell r="F668">
            <v>0.321</v>
          </cell>
        </row>
        <row r="669">
          <cell r="B669" t="str">
            <v>PPBT</v>
          </cell>
          <cell r="F669">
            <v>0.434</v>
          </cell>
        </row>
        <row r="670">
          <cell r="B670" t="str">
            <v>SLXN</v>
          </cell>
          <cell r="F670">
            <v>3.75</v>
          </cell>
        </row>
        <row r="671">
          <cell r="B671" t="str">
            <v>CMND</v>
          </cell>
          <cell r="F671">
            <v>0.4064</v>
          </cell>
        </row>
        <row r="672">
          <cell r="B672" t="str">
            <v>BDRX</v>
          </cell>
          <cell r="F672">
            <v>1.2</v>
          </cell>
        </row>
        <row r="673">
          <cell r="B673" t="str">
            <v>DCOY</v>
          </cell>
          <cell r="F673">
            <v>0.2271</v>
          </cell>
        </row>
        <row r="674">
          <cell r="B674" t="str">
            <v>PRFX</v>
          </cell>
          <cell r="F674">
            <v>2.13</v>
          </cell>
        </row>
        <row r="675">
          <cell r="B675" t="str">
            <v>SXTC</v>
          </cell>
          <cell r="F675">
            <v>0.5775</v>
          </cell>
        </row>
        <row r="676">
          <cell r="B676" t="str">
            <v>AAPG</v>
          </cell>
          <cell r="F676">
            <v>0.43</v>
          </cell>
        </row>
        <row r="677">
          <cell r="B677" t="str">
            <v>ADAG</v>
          </cell>
          <cell r="F677">
            <v>1.085</v>
          </cell>
        </row>
        <row r="678">
          <cell r="B678" t="str">
            <v>ADRX</v>
          </cell>
          <cell r="F678">
            <v>0.3855</v>
          </cell>
        </row>
        <row r="679">
          <cell r="B679" t="str">
            <v>ADXN</v>
          </cell>
          <cell r="F679">
            <v>6.12</v>
          </cell>
        </row>
        <row r="680">
          <cell r="B680" t="str">
            <v>AGMB</v>
          </cell>
          <cell r="F680">
            <v>0.2418</v>
          </cell>
        </row>
        <row r="681">
          <cell r="B681" t="str">
            <v>ALPS</v>
          </cell>
          <cell r="F681">
            <v>0.3996</v>
          </cell>
        </row>
        <row r="682">
          <cell r="B682" t="str">
            <v>ANL</v>
          </cell>
          <cell r="F682">
            <v>0.153</v>
          </cell>
        </row>
        <row r="683">
          <cell r="B683" t="str">
            <v>APLM</v>
          </cell>
          <cell r="F683">
            <v>1.135</v>
          </cell>
        </row>
        <row r="684">
          <cell r="B684" t="str">
            <v>ASND</v>
          </cell>
          <cell r="F684">
            <v>0.7246</v>
          </cell>
        </row>
        <row r="685">
          <cell r="B685" t="str">
            <v>BNR</v>
          </cell>
          <cell r="F685">
            <v>1.33</v>
          </cell>
        </row>
        <row r="686">
          <cell r="B686" t="str">
            <v>CUVL</v>
          </cell>
          <cell r="F686">
            <v>0.0653</v>
          </cell>
        </row>
        <row r="687">
          <cell r="B687" t="str">
            <v>DRUG</v>
          </cell>
          <cell r="F687">
            <v>17.68</v>
          </cell>
        </row>
        <row r="688">
          <cell r="B688" t="str">
            <v>ETRA</v>
          </cell>
          <cell r="F688">
            <v>3.05</v>
          </cell>
        </row>
        <row r="689">
          <cell r="B689" t="str">
            <v>GRFS</v>
          </cell>
          <cell r="F689">
            <v>8.73</v>
          </cell>
        </row>
        <row r="690">
          <cell r="B690" t="str">
            <v>GSK</v>
          </cell>
          <cell r="F690">
            <v>10.64</v>
          </cell>
        </row>
        <row r="691">
          <cell r="B691" t="str">
            <v>INCR</v>
          </cell>
          <cell r="F691">
            <v>12.66</v>
          </cell>
        </row>
        <row r="692">
          <cell r="B692" t="str">
            <v>NIKI</v>
          </cell>
          <cell r="F692">
            <v>5.19</v>
          </cell>
        </row>
        <row r="693">
          <cell r="B693" t="str">
            <v>OGI</v>
          </cell>
          <cell r="F693">
            <v>55.2</v>
          </cell>
        </row>
        <row r="694">
          <cell r="B694" t="str">
            <v>OPTH</v>
          </cell>
          <cell r="F694">
            <v>8.81</v>
          </cell>
        </row>
        <row r="695">
          <cell r="B695" t="str">
            <v>QNRX</v>
          </cell>
          <cell r="F695">
            <v>7.64</v>
          </cell>
        </row>
        <row r="696">
          <cell r="B696" t="str">
            <v>RADX</v>
          </cell>
          <cell r="F696">
            <v>2.03</v>
          </cell>
        </row>
        <row r="697">
          <cell r="B697" t="str">
            <v>SERA</v>
          </cell>
          <cell r="F697">
            <v>0.937</v>
          </cell>
        </row>
        <row r="698">
          <cell r="B698" t="str">
            <v>SLBT</v>
          </cell>
          <cell r="F698">
            <v>3.36</v>
          </cell>
        </row>
        <row r="699">
          <cell r="B699" t="str">
            <v>TAK</v>
          </cell>
          <cell r="F699">
            <v>4.04</v>
          </cell>
        </row>
        <row r="700">
          <cell r="B700" t="str">
            <v>TLSA</v>
          </cell>
          <cell r="F700">
            <v>0.99</v>
          </cell>
        </row>
        <row r="701">
          <cell r="B701" t="str">
            <v>TLX</v>
          </cell>
          <cell r="F701">
            <v>2.03</v>
          </cell>
        </row>
        <row r="702">
          <cell r="B702" t="str">
            <v>VCRE</v>
          </cell>
          <cell r="F702">
            <v>1.5</v>
          </cell>
        </row>
        <row r="703">
          <cell r="B703" t="str">
            <v>VRXA</v>
          </cell>
          <cell r="F703">
            <v>9.0</v>
          </cell>
        </row>
        <row r="704">
          <cell r="B704" t="str">
            <v>XRTX</v>
          </cell>
          <cell r="F704">
            <v>1.01</v>
          </cell>
        </row>
        <row r="705">
          <cell r="B705" t="str">
            <v>XTLB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Mineralys Therapeutics, Inc.</t>
        </is>
      </c>
      <c r="C2" s="10" t="n"/>
    </row>
    <row r="3">
      <c r="B3" t="inlineStr">
        <is>
          <t>Price</t>
        </is>
      </c>
      <c r="C3" s="11">
        <f>INDEX([1]Pharma!$F$1:$F$1000,MATCH("MLYS",[1]Pharma!$B$1:$B$1000,0))</f>
        <v>21.58</v>
      </c>
      <c r="F3" s="1" t="n"/>
    </row>
    <row r="4">
      <c r="B4" t="inlineStr">
        <is>
          <t>Shares</t>
        </is>
      </c>
      <c r="C4" s="12">
        <f>88.406885</f>
        <v>88.406885</v>
      </c>
      <c r="F4" s="1" t="n"/>
    </row>
    <row r="5">
      <c r="B5" t="inlineStr">
        <is>
          <t>Market Cap.</t>
        </is>
      </c>
      <c r="C5" s="1">
        <f>C3*C4</f>
        <v>1907.8205782999999</v>
      </c>
      <c r="F5" s="1" t="n"/>
    </row>
    <row r="6"/>
    <row r="7">
      <c r="B7" t="inlineStr">
        <is>
          <t>Cash</t>
        </is>
      </c>
      <c r="C7" s="12">
        <f>661.4</f>
        <v>661.4</v>
      </c>
    </row>
    <row r="8">
      <c r="B8" t="inlineStr">
        <is>
          <t>Debt</t>
        </is>
      </c>
      <c r="C8" s="12" t="n">
        <v>100</v>
      </c>
    </row>
    <row r="9">
      <c r="B9" t="inlineStr">
        <is>
          <t>Enterprise V.</t>
        </is>
      </c>
      <c r="C9" s="1">
        <f>C5-C7+C8</f>
        <v>1346.4205782999998</v>
      </c>
    </row>
    <row r="11">
      <c r="B11" s="13" t="inlineStr">
        <is>
          <t>rNPV / Share</t>
        </is>
      </c>
      <c r="C11" s="11">
        <f>NPV!C43</f>
        <v>23.020628641109727</v>
      </c>
    </row>
    <row r="12">
      <c r="B12" s="13" t="inlineStr">
        <is>
          <t>Upside</t>
        </is>
      </c>
      <c r="C12" s="14">
        <f>C11/C3-1</f>
        <v>0.06675758299859735</v>
      </c>
    </row>
    <row r="13">
      <c r="B13" s="13" t="inlineStr">
        <is>
          <t>Cash / Share</t>
        </is>
      </c>
      <c r="C13" s="11">
        <f>(C7-C8)/C4</f>
        <v>6.350184151381422</v>
      </c>
    </row>
    <row r="14">
      <c r="B14" s="13" t="inlineStr">
        <is>
          <t>Scenario</t>
        </is>
      </c>
      <c r="C14" s="13" t="str">
        <f>Assumptions!$C$4</f>
        <v>Base</v>
      </c>
    </row>
    <row r="16">
      <c r="B16" s="13" t="inlineStr">
        <is>
          <t>PDUFA Date</t>
        </is>
      </c>
      <c r="C16" s="15">
        <f>Assumptions!$B$30</f>
        <v>46378</v>
      </c>
    </row>
    <row r="17">
      <c r="B17" s="13" t="inlineStr">
        <is>
          <t>P(Approval)</t>
        </is>
      </c>
      <c r="C17" s="16">
        <f>Assumptions!$B$32</f>
        <v>0.88</v>
      </c>
    </row>
    <row r="18">
      <c r="B18" s="13" t="inlineStr">
        <is>
          <t>If Approved</t>
        </is>
      </c>
      <c r="C18" s="11">
        <f>Assumptions!$D$92</f>
        <v>23.860342981560407</v>
      </c>
    </row>
    <row r="19">
      <c r="B19" s="13" t="inlineStr">
        <is>
          <t>If CRL</t>
        </is>
      </c>
      <c r="C19" s="11">
        <f>Assumptions!$D$91</f>
        <v>17.04740145090697</v>
      </c>
    </row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</cols>
  <sheetData>
    <row r="1" customFormat="1" s="6">
      <c r="A1" s="7" t="n"/>
      <c r="B1" s="17" t="n">
        <v>2021</v>
      </c>
      <c r="C1" s="17" t="n">
        <v>2022</v>
      </c>
      <c r="D1" s="17" t="n">
        <v>2023</v>
      </c>
      <c r="E1" s="17" t="n">
        <v>2024</v>
      </c>
      <c r="F1" s="17" t="n">
        <v>2025</v>
      </c>
      <c r="G1" s="17" t="n">
        <v>2026</v>
      </c>
      <c r="H1" s="17" t="n">
        <v>2027</v>
      </c>
      <c r="I1" s="17" t="n">
        <v>2028</v>
      </c>
      <c r="J1" s="17" t="n">
        <v>2029</v>
      </c>
      <c r="K1" s="17" t="n">
        <v>2030</v>
      </c>
      <c r="L1" s="17" t="n">
        <v>2031</v>
      </c>
      <c r="M1" s="17" t="n">
        <v>2032</v>
      </c>
      <c r="N1" s="17" t="n">
        <v>2033</v>
      </c>
      <c r="O1" s="17" t="n">
        <v>2034</v>
      </c>
      <c r="P1" s="17" t="n">
        <v>2035</v>
      </c>
      <c r="Q1" s="17" t="n">
        <v>2036</v>
      </c>
      <c r="R1" s="17" t="n">
        <v>2037</v>
      </c>
      <c r="S1" s="17" t="n">
        <v>2038</v>
      </c>
      <c r="T1" s="17" t="n">
        <v>2039</v>
      </c>
      <c r="U1" s="17" t="n">
        <v>2040</v>
      </c>
      <c r="V1" s="17" t="n">
        <v>2041</v>
      </c>
      <c r="W1" s="17" t="n">
        <v>2042</v>
      </c>
      <c r="X1" s="17" t="n">
        <v>2043</v>
      </c>
      <c r="Y1" s="17" t="n">
        <v>2044</v>
      </c>
      <c r="Z1" s="17" t="n">
        <v>2045</v>
      </c>
      <c r="AA1" s="17" t="n">
        <v>2046</v>
      </c>
      <c r="AB1" s="17" t="n">
        <v>2047</v>
      </c>
      <c r="AC1" s="17" t="n">
        <v>2048</v>
      </c>
      <c r="AD1" s="17" t="n">
        <v>2049</v>
      </c>
      <c r="AE1" s="17" t="n">
        <v>2050</v>
      </c>
    </row>
    <row r="2" customFormat="1" s="1">
      <c r="A2" s="5" t="inlineStr">
        <is>
          <t>Revenue</t>
        </is>
      </c>
      <c r="C2" s="18" t="n">
        <v>0</v>
      </c>
      <c r="D2" s="18" t="n">
        <v>0</v>
      </c>
      <c r="E2" s="18" t="n">
        <v>0</v>
      </c>
      <c r="F2" s="18" t="n">
        <v>0</v>
      </c>
      <c r="G2" s="18">
        <f>SUM('Quarterly Model'!F2:I2)</f>
        <v>0.0</v>
      </c>
      <c r="H2" s="18">
        <f>Pipeline!C27</f>
        <v>88.0</v>
      </c>
      <c r="I2" s="18">
        <f>Pipeline!D27</f>
        <v>229.0</v>
      </c>
      <c r="J2" s="18">
        <f>Pipeline!E27</f>
        <v>418.5</v>
      </c>
      <c r="K2" s="18">
        <f>Pipeline!F27</f>
        <v>612.5</v>
      </c>
      <c r="L2" s="18">
        <f>Pipeline!G27</f>
        <v>810.1</v>
      </c>
      <c r="M2" s="18">
        <f>Pipeline!H27</f>
        <v>967.1999999999999</v>
      </c>
      <c r="N2" s="18">
        <f>Pipeline!I27</f>
        <v>1098.7</v>
      </c>
      <c r="O2" s="18">
        <f>Pipeline!J27</f>
        <v>1165.0</v>
      </c>
      <c r="P2" s="18">
        <f>Pipeline!K27</f>
        <v>1216.0</v>
      </c>
      <c r="Q2" s="18">
        <f>Pipeline!L27</f>
        <v>1249.0</v>
      </c>
      <c r="R2" s="18">
        <f>Pipeline!M27</f>
        <v>1270.0</v>
      </c>
      <c r="S2" s="18">
        <f>Pipeline!N27</f>
        <v>1270.0</v>
      </c>
      <c r="T2" s="18">
        <f>Pipeline!O27</f>
        <v>1270.0</v>
      </c>
      <c r="U2" s="18">
        <f>Pipeline!P27</f>
        <v>1270.0</v>
      </c>
      <c r="V2" s="18">
        <f>Pipeline!Q27</f>
        <v>508.0</v>
      </c>
      <c r="W2" s="18">
        <f>Pipeline!R27</f>
        <v>203.20000000000002</v>
      </c>
      <c r="X2" s="18">
        <f>Pipeline!S27</f>
        <v>81.28</v>
      </c>
      <c r="Y2" s="18">
        <f>Pipeline!T27</f>
        <v>32.512</v>
      </c>
      <c r="Z2" s="18">
        <f>Pipeline!U27</f>
        <v>13.004800000000003</v>
      </c>
      <c r="AA2" s="18">
        <f>Pipeline!V27</f>
        <v>5.201920000000001</v>
      </c>
      <c r="AB2" s="18">
        <f>Pipeline!W27</f>
        <v>2.0807680000000004</v>
      </c>
      <c r="AC2" s="18">
        <f>Pipeline!X27</f>
        <v>0.8323072000000004</v>
      </c>
      <c r="AD2" s="18">
        <f>Pipeline!Y27</f>
        <v>0.33292288000000014</v>
      </c>
      <c r="AE2" s="18">
        <f>Pipeline!Z27</f>
        <v>0.13316915200000007</v>
      </c>
    </row>
    <row r="3" customFormat="1" s="1">
      <c r="A3" s="5" t="inlineStr">
        <is>
          <t>Cost of Sales</t>
        </is>
      </c>
      <c r="C3" s="18" t="n">
        <v>0</v>
      </c>
      <c r="D3" s="18" t="n">
        <v>0</v>
      </c>
      <c r="E3" s="18" t="n">
        <v>0</v>
      </c>
      <c r="F3" s="18" t="n">
        <v>0</v>
      </c>
      <c r="G3" s="18">
        <f>SUM('Quarterly Model'!F3:I3)</f>
        <v>0.0</v>
      </c>
      <c r="H3" s="18">
        <f>Pipeline!C28</f>
        <v>4.4</v>
      </c>
      <c r="I3" s="18">
        <f>Pipeline!D28</f>
        <v>11.450000000000001</v>
      </c>
      <c r="J3" s="18">
        <f>Pipeline!E28</f>
        <v>20.925</v>
      </c>
      <c r="K3" s="18">
        <f>Pipeline!F28</f>
        <v>30.625</v>
      </c>
      <c r="L3" s="18">
        <f>Pipeline!G28</f>
        <v>40.505</v>
      </c>
      <c r="M3" s="18">
        <f>Pipeline!H28</f>
        <v>48.36</v>
      </c>
      <c r="N3" s="18">
        <f>Pipeline!I28</f>
        <v>54.935</v>
      </c>
      <c r="O3" s="18">
        <f>Pipeline!J28</f>
        <v>58.25</v>
      </c>
      <c r="P3" s="18">
        <f>Pipeline!K28</f>
        <v>60.8</v>
      </c>
      <c r="Q3" s="18">
        <f>Pipeline!L28</f>
        <v>62.45</v>
      </c>
      <c r="R3" s="18">
        <f>Pipeline!M28</f>
        <v>63.5</v>
      </c>
      <c r="S3" s="18">
        <f>Pipeline!N28</f>
        <v>63.5</v>
      </c>
      <c r="T3" s="18">
        <f>Pipeline!O28</f>
        <v>63.5</v>
      </c>
      <c r="U3" s="18">
        <f>Pipeline!P28</f>
        <v>63.5</v>
      </c>
      <c r="V3" s="18">
        <f>Pipeline!Q28</f>
        <v>25.400000000000002</v>
      </c>
      <c r="W3" s="18">
        <f>Pipeline!R28</f>
        <v>10.160000000000002</v>
      </c>
      <c r="X3" s="18">
        <f>Pipeline!S28</f>
        <v>4.064</v>
      </c>
      <c r="Y3" s="18">
        <f>Pipeline!T28</f>
        <v>1.6256</v>
      </c>
      <c r="Z3" s="18">
        <f>Pipeline!U28</f>
        <v>0.6502400000000002</v>
      </c>
      <c r="AA3" s="18">
        <f>Pipeline!V28</f>
        <v>0.2600960000000001</v>
      </c>
      <c r="AB3" s="18">
        <f>Pipeline!W28</f>
        <v>0.10403840000000003</v>
      </c>
      <c r="AC3" s="18">
        <f>Pipeline!X28</f>
        <v>0.04161536000000002</v>
      </c>
      <c r="AD3" s="18">
        <f>Pipeline!Y28</f>
        <v>0.01664614400000001</v>
      </c>
      <c r="AE3" s="18">
        <f>Pipeline!Z28</f>
        <v>0.006658457600000004</v>
      </c>
    </row>
    <row r="4" customFormat="1" s="1">
      <c r="A4" s="5" t="inlineStr">
        <is>
          <t>Gross Margin</t>
        </is>
      </c>
      <c r="C4" s="18">
        <f>C2-C3</f>
        <v>0.0</v>
      </c>
      <c r="D4" s="18">
        <f>D2-D3</f>
        <v>0.0</v>
      </c>
      <c r="E4" s="18">
        <f>E2-E3</f>
        <v>0.0</v>
      </c>
      <c r="F4" s="18">
        <f>F2-F3</f>
        <v>0.0</v>
      </c>
      <c r="G4" s="18">
        <f>G2-G3</f>
        <v>0.0</v>
      </c>
      <c r="H4" s="18">
        <f>H2-H3</f>
        <v>83.6</v>
      </c>
      <c r="I4" s="18">
        <f>I2-I3</f>
        <v>217.55</v>
      </c>
      <c r="J4" s="18">
        <f>J2-J3</f>
        <v>397.575</v>
      </c>
      <c r="K4" s="18">
        <f>K2-K3</f>
        <v>581.875</v>
      </c>
      <c r="L4" s="18">
        <f>L2-L3</f>
        <v>769.595</v>
      </c>
      <c r="M4" s="18">
        <f>M2-M3</f>
        <v>918.8399999999999</v>
      </c>
      <c r="N4" s="18">
        <f>N2-N3</f>
        <v>1043.765</v>
      </c>
      <c r="O4" s="18">
        <f>O2-O3</f>
        <v>1106.75</v>
      </c>
      <c r="P4" s="18">
        <f>P2-P3</f>
        <v>1155.2</v>
      </c>
      <c r="Q4" s="18">
        <f>Q2-Q3</f>
        <v>1186.55</v>
      </c>
      <c r="R4" s="18">
        <f>R2-R3</f>
        <v>1206.5</v>
      </c>
      <c r="S4" s="18">
        <f>S2-S3</f>
        <v>1206.5</v>
      </c>
      <c r="T4" s="18">
        <f>T2-T3</f>
        <v>1206.5</v>
      </c>
      <c r="U4" s="18">
        <f>U2-U3</f>
        <v>1206.5</v>
      </c>
      <c r="V4" s="18">
        <f>V2-V3</f>
        <v>482.6</v>
      </c>
      <c r="W4" s="18">
        <f>W2-W3</f>
        <v>193.04000000000002</v>
      </c>
      <c r="X4" s="18">
        <f>X2-X3</f>
        <v>77.21600000000001</v>
      </c>
      <c r="Y4" s="18">
        <f>Y2-Y3</f>
        <v>30.886400000000002</v>
      </c>
      <c r="Z4" s="18">
        <f>Z2-Z3</f>
        <v>12.354560000000003</v>
      </c>
      <c r="AA4" s="18">
        <f>AA2-AA3</f>
        <v>4.941824000000001</v>
      </c>
      <c r="AB4" s="18">
        <f>AB2-AB3</f>
        <v>1.9767296000000003</v>
      </c>
      <c r="AC4" s="18">
        <f>AC2-AC3</f>
        <v>0.7906918400000004</v>
      </c>
      <c r="AD4" s="18">
        <f>AD2-AD3</f>
        <v>0.3162767360000001</v>
      </c>
      <c r="AE4" s="18">
        <f>AE2-AE3</f>
        <v>0.12651069440000007</v>
      </c>
    </row>
    <row r="5">
      <c r="A5" s="2" t="inlineStr">
        <is>
          <t>Research &amp; Dev.</t>
        </is>
      </c>
      <c r="C5" s="18" t="n">
        <v>26.25</v>
      </c>
      <c r="D5" s="18" t="n">
        <v>70.361</v>
      </c>
      <c r="E5" s="18" t="n">
        <v>168.581</v>
      </c>
      <c r="F5" s="18" t="n">
        <v>132.009</v>
      </c>
      <c r="G5" s="18">
        <f>SUM('Quarterly Model'!F5:I5)</f>
        <v>295.742</v>
      </c>
      <c r="H5" s="18">
        <f>Pipeline!C31</f>
        <v>86.1</v>
      </c>
      <c r="I5" s="18">
        <f>Pipeline!D31</f>
        <v>84.82300000000001</v>
      </c>
      <c r="J5" s="18">
        <f>Pipeline!E31</f>
        <v>91.56769</v>
      </c>
      <c r="K5" s="18">
        <f>Pipeline!F31</f>
        <v>86.0</v>
      </c>
      <c r="L5" s="18">
        <f>Pipeline!G31</f>
        <v>101.106</v>
      </c>
      <c r="M5" s="18">
        <f>Pipeline!H31</f>
        <v>58.032</v>
      </c>
      <c r="N5" s="18">
        <f>Pipeline!I31</f>
        <v>65.922</v>
      </c>
      <c r="O5" s="18">
        <f>Pipeline!J31</f>
        <v>69.89999999999999</v>
      </c>
      <c r="P5" s="18">
        <f>Pipeline!K31</f>
        <v>72.96</v>
      </c>
      <c r="Q5" s="18">
        <f>Pipeline!L31</f>
        <v>74.94</v>
      </c>
      <c r="R5" s="18">
        <f>Pipeline!M31</f>
        <v>76.2</v>
      </c>
      <c r="S5" s="18">
        <f>Pipeline!N31</f>
        <v>76.2</v>
      </c>
      <c r="T5" s="18">
        <f>Pipeline!O31</f>
        <v>76.2</v>
      </c>
      <c r="U5" s="18">
        <f>Pipeline!P31</f>
        <v>76.2</v>
      </c>
      <c r="V5" s="18">
        <f>Pipeline!Q31</f>
        <v>36.45341236900819</v>
      </c>
      <c r="W5" s="18">
        <f>Pipeline!R31</f>
        <v>12.192</v>
      </c>
      <c r="X5" s="18">
        <f>Pipeline!S31</f>
        <v>4.8768</v>
      </c>
      <c r="Y5" s="18">
        <f>Pipeline!T31</f>
        <v>1.95072</v>
      </c>
      <c r="Z5" s="18">
        <f>Pipeline!U31</f>
        <v>0.7802880000000002</v>
      </c>
      <c r="AA5" s="18">
        <f>Pipeline!V31</f>
        <v>0.31211520000000004</v>
      </c>
      <c r="AB5" s="18">
        <f>Pipeline!W31</f>
        <v>0.12484608000000003</v>
      </c>
      <c r="AC5" s="18">
        <f>Pipeline!X31</f>
        <v>0.04993843200000002</v>
      </c>
      <c r="AD5" s="18">
        <f>Pipeline!Y31</f>
        <v>0.01997537280000001</v>
      </c>
      <c r="AE5" s="18">
        <f>Pipeline!Z31</f>
        <v>0.007990149120000003</v>
      </c>
    </row>
    <row r="6">
      <c r="A6" s="2" t="inlineStr">
        <is>
          <t>General &amp; Admin</t>
        </is>
      </c>
      <c r="C6" s="18" t="n">
        <v>5.229</v>
      </c>
      <c r="D6" s="18" t="n">
        <v>14.296</v>
      </c>
      <c r="E6" s="18" t="n">
        <v>23.822</v>
      </c>
      <c r="F6" s="18" t="n">
        <v>38.595</v>
      </c>
      <c r="G6" s="18">
        <f>SUM('Quarterly Model'!F6:I6)</f>
        <v>115.638</v>
      </c>
      <c r="H6" s="18">
        <f>Pipeline!C34</f>
        <v>132.8</v>
      </c>
      <c r="I6" s="18">
        <f>Pipeline!D34</f>
        <v>178.74599999999998</v>
      </c>
      <c r="J6" s="18">
        <f>Pipeline!E34</f>
        <v>221.91038</v>
      </c>
      <c r="K6" s="18">
        <f>Pipeline!F34</f>
        <v>275.06944139999996</v>
      </c>
      <c r="L6" s="18">
        <f>Pipeline!G34</f>
        <v>364.843</v>
      </c>
      <c r="M6" s="18">
        <f>Pipeline!H34</f>
        <v>430.89599999999996</v>
      </c>
      <c r="N6" s="18">
        <f>Pipeline!I34</f>
        <v>479.19100000000003</v>
      </c>
      <c r="O6" s="18">
        <f>Pipeline!J34</f>
        <v>495.09999999999997</v>
      </c>
      <c r="P6" s="18">
        <f>Pipeline!K34</f>
        <v>505.65999999999997</v>
      </c>
      <c r="Q6" s="18">
        <f>Pipeline!L34</f>
        <v>509.17</v>
      </c>
      <c r="R6" s="18">
        <f>Pipeline!M34</f>
        <v>516.1</v>
      </c>
      <c r="S6" s="18">
        <f>Pipeline!N34</f>
        <v>516.1</v>
      </c>
      <c r="T6" s="18">
        <f>Pipeline!O34</f>
        <v>516.1</v>
      </c>
      <c r="U6" s="18">
        <f>Pipeline!P34</f>
        <v>516.1</v>
      </c>
      <c r="V6" s="18">
        <f>Pipeline!Q34</f>
        <v>238.7068247380164</v>
      </c>
      <c r="W6" s="18">
        <f>Pipeline!R34</f>
        <v>82.576</v>
      </c>
      <c r="X6" s="18">
        <f>Pipeline!S34</f>
        <v>33.0304</v>
      </c>
      <c r="Y6" s="18">
        <f>Pipeline!T34</f>
        <v>13.212159999999999</v>
      </c>
      <c r="Z6" s="18">
        <f>Pipeline!U34</f>
        <v>5.284864000000001</v>
      </c>
      <c r="AA6" s="18">
        <f>Pipeline!V34</f>
        <v>2.1139456000000005</v>
      </c>
      <c r="AB6" s="18">
        <f>Pipeline!W34</f>
        <v>0.8455782400000003</v>
      </c>
      <c r="AC6" s="18">
        <f>Pipeline!X34</f>
        <v>0.3382312960000001</v>
      </c>
      <c r="AD6" s="18">
        <f>Pipeline!Y34</f>
        <v>0.13529251840000003</v>
      </c>
      <c r="AE6" s="18">
        <f>Pipeline!Z34</f>
        <v>0.05411700736000002</v>
      </c>
    </row>
    <row r="7">
      <c r="A7" s="2" t="inlineStr">
        <is>
          <t>Operating Expense</t>
        </is>
      </c>
      <c r="C7" s="18">
        <f>SUM(C5:C6)</f>
        <v>31.479</v>
      </c>
      <c r="D7" s="18">
        <f>SUM(D5:D6)</f>
        <v>84.65700000000001</v>
      </c>
      <c r="E7" s="18">
        <f>SUM(E5:E6)</f>
        <v>192.403</v>
      </c>
      <c r="F7" s="18">
        <f>SUM(F5:F6)</f>
        <v>170.60399999999998</v>
      </c>
      <c r="G7" s="18">
        <f>SUM(G5:G6)</f>
        <v>411.38</v>
      </c>
      <c r="H7" s="18">
        <f>SUM(H5:H6)</f>
        <v>218.9</v>
      </c>
      <c r="I7" s="18">
        <f>SUM(I5:I6)</f>
        <v>263.56899999999996</v>
      </c>
      <c r="J7" s="18">
        <f>SUM(J5:J6)</f>
        <v>313.47807</v>
      </c>
      <c r="K7" s="18">
        <f>SUM(K5:K6)</f>
        <v>361.06944139999996</v>
      </c>
      <c r="L7" s="18">
        <f>SUM(L5:L6)</f>
        <v>465.949</v>
      </c>
      <c r="M7" s="18">
        <f>SUM(M5:M6)</f>
        <v>488.92799999999994</v>
      </c>
      <c r="N7" s="18">
        <f>SUM(N5:N6)</f>
        <v>545.113</v>
      </c>
      <c r="O7" s="18">
        <f>SUM(O5:O6)</f>
        <v>565.0</v>
      </c>
      <c r="P7" s="18">
        <f>SUM(P5:P6)</f>
        <v>578.62</v>
      </c>
      <c r="Q7" s="18">
        <f>SUM(Q5:Q6)</f>
        <v>584.11</v>
      </c>
      <c r="R7" s="18">
        <f>SUM(R5:R6)</f>
        <v>592.3000000000001</v>
      </c>
      <c r="S7" s="18">
        <f>SUM(S5:S6)</f>
        <v>592.3000000000001</v>
      </c>
      <c r="T7" s="18">
        <f>SUM(T5:T6)</f>
        <v>592.3000000000001</v>
      </c>
      <c r="U7" s="18">
        <f>SUM(U5:U6)</f>
        <v>592.3000000000001</v>
      </c>
      <c r="V7" s="18">
        <f>SUM(V5:V6)</f>
        <v>275.1602371070246</v>
      </c>
      <c r="W7" s="18">
        <f>SUM(W5:W6)</f>
        <v>94.768</v>
      </c>
      <c r="X7" s="18">
        <f>SUM(X5:X6)</f>
        <v>37.9072</v>
      </c>
      <c r="Y7" s="18">
        <f>SUM(Y5:Y6)</f>
        <v>15.16288</v>
      </c>
      <c r="Z7" s="18">
        <f>SUM(Z5:Z6)</f>
        <v>6.065152000000001</v>
      </c>
      <c r="AA7" s="18">
        <f>SUM(AA5:AA6)</f>
        <v>2.4260608000000006</v>
      </c>
      <c r="AB7" s="18">
        <f>SUM(AB5:AB6)</f>
        <v>0.9704243200000002</v>
      </c>
      <c r="AC7" s="18">
        <f>SUM(AC5:AC6)</f>
        <v>0.38816972800000016</v>
      </c>
      <c r="AD7" s="18">
        <f>SUM(AD5:AD6)</f>
        <v>0.15526789120000004</v>
      </c>
      <c r="AE7" s="18">
        <f>SUM(AE5:AE6)</f>
        <v>0.06210715648000002</v>
      </c>
    </row>
    <row r="8">
      <c r="A8" s="2" t="inlineStr">
        <is>
          <t>Operating Income</t>
        </is>
      </c>
      <c r="C8" s="18">
        <f>C4-C7</f>
        <v>-31.479</v>
      </c>
      <c r="D8" s="18">
        <f>D4-D7</f>
        <v>-84.65700000000001</v>
      </c>
      <c r="E8" s="18">
        <f>E4-E7</f>
        <v>-192.403</v>
      </c>
      <c r="F8" s="18">
        <f>F4-F7</f>
        <v>-170.60399999999998</v>
      </c>
      <c r="G8" s="18">
        <f>G4-G7</f>
        <v>-411.38</v>
      </c>
      <c r="H8" s="18">
        <f>H4-H7</f>
        <v>-135.3</v>
      </c>
      <c r="I8" s="18">
        <f>I4-I7</f>
        <v>-46.01899999999995</v>
      </c>
      <c r="J8" s="18">
        <f>J4-J7</f>
        <v>84.09692999999999</v>
      </c>
      <c r="K8" s="18">
        <f>K4-K7</f>
        <v>220.80555860000004</v>
      </c>
      <c r="L8" s="18">
        <f>L4-L7</f>
        <v>303.646</v>
      </c>
      <c r="M8" s="18">
        <f>M4-M7</f>
        <v>429.912</v>
      </c>
      <c r="N8" s="18">
        <f>N4-N7</f>
        <v>498.65200000000004</v>
      </c>
      <c r="O8" s="18">
        <f>O4-O7</f>
        <v>541.75</v>
      </c>
      <c r="P8" s="18">
        <f>P4-P7</f>
        <v>576.58</v>
      </c>
      <c r="Q8" s="18">
        <f>Q4-Q7</f>
        <v>602.4399999999999</v>
      </c>
      <c r="R8" s="18">
        <f>R4-R7</f>
        <v>614.1999999999999</v>
      </c>
      <c r="S8" s="18">
        <f>S4-S7</f>
        <v>614.1999999999999</v>
      </c>
      <c r="T8" s="18">
        <f>T4-T7</f>
        <v>614.1999999999999</v>
      </c>
      <c r="U8" s="18">
        <f>U4-U7</f>
        <v>614.1999999999999</v>
      </c>
      <c r="V8" s="18">
        <f>V4-V7</f>
        <v>207.4397628929754</v>
      </c>
      <c r="W8" s="18">
        <f>W4-W7</f>
        <v>98.27200000000002</v>
      </c>
      <c r="X8" s="18">
        <f>X4-X7</f>
        <v>39.308800000000005</v>
      </c>
      <c r="Y8" s="18">
        <f>Y4-Y7</f>
        <v>15.723520000000002</v>
      </c>
      <c r="Z8" s="18">
        <f>Z4-Z7</f>
        <v>6.289408000000002</v>
      </c>
      <c r="AA8" s="18">
        <f>AA4-AA7</f>
        <v>2.5157632000000008</v>
      </c>
      <c r="AB8" s="18">
        <f>AB4-AB7</f>
        <v>1.00630528</v>
      </c>
      <c r="AC8" s="18">
        <f>AC4-AC7</f>
        <v>0.4025221120000002</v>
      </c>
      <c r="AD8" s="18">
        <f>AD4-AD7</f>
        <v>0.16100884480000008</v>
      </c>
      <c r="AE8" s="18">
        <f>AE4-AE7</f>
        <v>0.06440353792000005</v>
      </c>
    </row>
    <row r="9">
      <c r="A9" s="19" t="inlineStr">
        <is>
          <t>Interest &amp; Other</t>
        </is>
      </c>
      <c r="C9" s="18" t="n">
        <v>1.68</v>
      </c>
      <c r="D9" s="18" t="n">
        <v>12.759</v>
      </c>
      <c r="E9" s="18" t="n">
        <v>14.593</v>
      </c>
      <c r="F9" s="18" t="n">
        <v>15.953</v>
      </c>
      <c r="G9" s="18">
        <f>SUM('Quarterly Model'!F9:I9)</f>
        <v>19.47</v>
      </c>
      <c r="H9" s="18">
        <f>Assumptions!$B$16*MAX(0,G20)-Assumptions!$B$17*Main!$C$8</f>
        <v>18.12125</v>
      </c>
      <c r="I9" s="18">
        <f>Assumptions!$B$16*MAX(0,H20)-Assumptions!$B$17*Main!$C$8</f>
        <v>13.727046874999996</v>
      </c>
      <c r="J9" s="18">
        <f>Assumptions!$B$16*MAX(0,I20)-Assumptions!$B$17*Main!$C$8</f>
        <v>12.516098632812499</v>
      </c>
      <c r="K9" s="18">
        <f>Assumptions!$B$16*MAX(0,J20)-Assumptions!$B$17*Main!$C$8</f>
        <v>16.139087206542968</v>
      </c>
      <c r="L9" s="18">
        <f>Assumptions!$B$16*MAX(0,K20)-Assumptions!$B$17*Main!$C$8</f>
        <v>25.02451142428833</v>
      </c>
      <c r="M9" s="18">
        <f>Assumptions!$B$16*MAX(0,L20)-Assumptions!$B$17*Main!$C$8</f>
        <v>37.349655602699144</v>
      </c>
      <c r="N9" s="18">
        <f>Assumptions!$B$16*MAX(0,M20)-Assumptions!$B$17*Main!$C$8</f>
        <v>54.871967687800364</v>
      </c>
      <c r="O9" s="18">
        <f>Assumptions!$B$16*MAX(0,N20)-Assumptions!$B$17*Main!$C$8</f>
        <v>71.36375576611339</v>
      </c>
      <c r="P9" s="18">
        <f>Assumptions!$B$16*MAX(0,O20)-Assumptions!$B$17*Main!$C$8</f>
        <v>89.5272507806845</v>
      </c>
      <c r="Q9" s="18">
        <f>Assumptions!$B$16*MAX(0,P20)-Assumptions!$B$17*Main!$C$8</f>
        <v>109.26067808506228</v>
      </c>
      <c r="R9" s="18">
        <f>Assumptions!$B$16*MAX(0,Q20)-Assumptions!$B$17*Main!$C$8</f>
        <v>130.34481067333226</v>
      </c>
      <c r="S9" s="18">
        <f>Assumptions!$B$16*MAX(0,R20)-Assumptions!$B$17*Main!$C$8</f>
        <v>152.4019506895297</v>
      </c>
      <c r="T9" s="18">
        <f>Assumptions!$B$16*MAX(0,S20)-Assumptions!$B$17*Main!$C$8</f>
        <v>175.112533478707</v>
      </c>
      <c r="U9" s="18">
        <f>Assumptions!$B$16*MAX(0,T20)-Assumptions!$B$17*Main!$C$8</f>
        <v>198.4959172830137</v>
      </c>
      <c r="V9" s="18">
        <f>Assumptions!$B$16*MAX(0,U20)-Assumptions!$B$17*Main!$C$8</f>
        <v>222.572033832523</v>
      </c>
      <c r="W9" s="18">
        <f>Assumptions!$B$16*MAX(0,V20)-Assumptions!$B$17*Main!$C$8</f>
        <v>235.31113331051588</v>
      </c>
      <c r="X9" s="18">
        <f>Assumptions!$B$16*MAX(0,W20)-Assumptions!$B$17*Main!$C$8</f>
        <v>245.19353363483992</v>
      </c>
      <c r="Y9" s="18">
        <f>Assumptions!$B$16*MAX(0,X20)-Assumptions!$B$17*Main!$C$8</f>
        <v>253.62191526877206</v>
      </c>
      <c r="Z9" s="18">
        <f>Assumptions!$B$16*MAX(0,Y20)-Assumptions!$B$17*Main!$C$8</f>
        <v>261.60127378860943</v>
      </c>
      <c r="AA9" s="18">
        <f>Assumptions!$B$16*MAX(0,Z20)-Assumptions!$B$17*Main!$C$8</f>
        <v>269.53753523659697</v>
      </c>
      <c r="AB9" s="18">
        <f>Assumptions!$B$16*MAX(0,AA20)-Assumptions!$B$17*Main!$C$8</f>
        <v>277.5971142027812</v>
      </c>
      <c r="AC9" s="18">
        <f>Assumptions!$B$16*MAX(0,AB20)-Assumptions!$B$17*Main!$C$8</f>
        <v>285.85074050495854</v>
      </c>
      <c r="AD9" s="18">
        <f>Assumptions!$B$16*MAX(0,AC20)-Assumptions!$B$17*Main!$C$8</f>
        <v>294.330993409986</v>
      </c>
      <c r="AE9" s="18">
        <f>Assumptions!$B$16*MAX(0,AD20)-Assumptions!$B$17*Main!$C$8</f>
        <v>303.055318976784</v>
      </c>
    </row>
    <row r="10">
      <c r="A10" s="2" t="inlineStr">
        <is>
          <t>Pretax</t>
        </is>
      </c>
      <c r="C10" s="18">
        <f>C8+C9</f>
        <v>-29.799</v>
      </c>
      <c r="D10" s="18">
        <f>D8+D9</f>
        <v>-71.89800000000001</v>
      </c>
      <c r="E10" s="18">
        <f>E8+E9</f>
        <v>-177.81</v>
      </c>
      <c r="F10" s="18">
        <f>F8+F9</f>
        <v>-154.65099999999998</v>
      </c>
      <c r="G10" s="18">
        <f>G8+G9</f>
        <v>-391.90999999999997</v>
      </c>
      <c r="H10" s="18">
        <f>H8+H9</f>
        <v>-117.17875000000001</v>
      </c>
      <c r="I10" s="18">
        <f>I8+I9</f>
        <v>-32.29195312499995</v>
      </c>
      <c r="J10" s="18">
        <f>J8+J9</f>
        <v>96.61302863281249</v>
      </c>
      <c r="K10" s="18">
        <f>K8+K9</f>
        <v>236.944645806543</v>
      </c>
      <c r="L10" s="18">
        <f>L8+L9</f>
        <v>328.67051142428835</v>
      </c>
      <c r="M10" s="18">
        <f>M8+M9</f>
        <v>467.26165560269914</v>
      </c>
      <c r="N10" s="18">
        <f>N8+N9</f>
        <v>553.5239676878005</v>
      </c>
      <c r="O10" s="18">
        <f>O8+O9</f>
        <v>613.1137557661134</v>
      </c>
      <c r="P10" s="18">
        <f>P8+P9</f>
        <v>666.1072507806846</v>
      </c>
      <c r="Q10" s="18">
        <f>Q8+Q9</f>
        <v>711.7006780850622</v>
      </c>
      <c r="R10" s="18">
        <f>R8+R9</f>
        <v>744.5448106733322</v>
      </c>
      <c r="S10" s="18">
        <f>S8+S9</f>
        <v>766.6019506895296</v>
      </c>
      <c r="T10" s="18">
        <f>T8+T9</f>
        <v>789.3125334787069</v>
      </c>
      <c r="U10" s="18">
        <f>U8+U9</f>
        <v>812.6959172830136</v>
      </c>
      <c r="V10" s="18">
        <f>V8+V9</f>
        <v>430.0117967254984</v>
      </c>
      <c r="W10" s="18">
        <f>W8+W9</f>
        <v>333.5831333105159</v>
      </c>
      <c r="X10" s="18">
        <f>X8+X9</f>
        <v>284.50233363483994</v>
      </c>
      <c r="Y10" s="18">
        <f>Y8+Y9</f>
        <v>269.34543526877206</v>
      </c>
      <c r="Z10" s="18">
        <f>Z8+Z9</f>
        <v>267.8906817886094</v>
      </c>
      <c r="AA10" s="18">
        <f>AA8+AA9</f>
        <v>272.05329843659695</v>
      </c>
      <c r="AB10" s="18">
        <f>AB8+AB9</f>
        <v>278.6034194827812</v>
      </c>
      <c r="AC10" s="18">
        <f>AC8+AC9</f>
        <v>286.2532626169585</v>
      </c>
      <c r="AD10" s="18">
        <f>AD8+AD9</f>
        <v>294.492002254786</v>
      </c>
      <c r="AE10" s="18">
        <f>AE8+AE9</f>
        <v>303.119722514704</v>
      </c>
    </row>
    <row r="11">
      <c r="A11" s="2" t="inlineStr">
        <is>
          <t>Taxes</t>
        </is>
      </c>
      <c r="C11" s="18" t="n">
        <v>0</v>
      </c>
      <c r="D11" s="18" t="n">
        <v>0</v>
      </c>
      <c r="E11" s="18" t="n">
        <v>0</v>
      </c>
      <c r="F11" s="18" t="n">
        <v>0</v>
      </c>
      <c r="G11" s="18">
        <f>SUM('Quarterly Model'!F11:I11)</f>
        <v>0.0</v>
      </c>
      <c r="H11" s="18">
        <f>MAX(0,H10-G21)*Assumptions!$B$15</f>
        <v>0.0</v>
      </c>
      <c r="I11" s="18">
        <f>MAX(0,I10-H21)*Assumptions!$B$15</f>
        <v>0.0</v>
      </c>
      <c r="J11" s="18">
        <f>MAX(0,J10-I21)*Assumptions!$B$15</f>
        <v>0.0</v>
      </c>
      <c r="K11" s="18">
        <f>MAX(0,K10-J21)*Assumptions!$B$15</f>
        <v>0.0</v>
      </c>
      <c r="L11" s="18">
        <f>MAX(0,L10-K21)*Assumptions!$B$15</f>
        <v>0.0</v>
      </c>
      <c r="M11" s="18">
        <f>MAX(0,M10-L21)*Assumptions!$B$15</f>
        <v>0.0</v>
      </c>
      <c r="N11" s="18">
        <f>MAX(0,N10-M21)*Assumptions!$B$15</f>
        <v>113.74295226612016</v>
      </c>
      <c r="O11" s="18">
        <f>MAX(0,O10-N21)*Assumptions!$B$15</f>
        <v>128.7538887108838</v>
      </c>
      <c r="P11" s="18">
        <f>MAX(0,P10-O21)*Assumptions!$B$15</f>
        <v>139.88252266394375</v>
      </c>
      <c r="Q11" s="18">
        <f>MAX(0,Q10-P21)*Assumptions!$B$15</f>
        <v>149.45714239786307</v>
      </c>
      <c r="R11" s="18">
        <f>MAX(0,R10-Q21)*Assumptions!$B$15</f>
        <v>156.35441024139976</v>
      </c>
      <c r="S11" s="18">
        <f>MAX(0,S10-R21)*Assumptions!$B$15</f>
        <v>160.98640964480123</v>
      </c>
      <c r="T11" s="18">
        <f>MAX(0,T10-S21)*Assumptions!$B$15</f>
        <v>165.75563203052843</v>
      </c>
      <c r="U11" s="18">
        <f>MAX(0,U10-T21)*Assumptions!$B$15</f>
        <v>170.66614262943284</v>
      </c>
      <c r="V11" s="18">
        <f>MAX(0,V10-U21)*Assumptions!$B$15</f>
        <v>90.30247731235467</v>
      </c>
      <c r="W11" s="18">
        <f>MAX(0,W10-V21)*Assumptions!$B$15</f>
        <v>70.05245799520834</v>
      </c>
      <c r="X11" s="18">
        <f>MAX(0,X10-W21)*Assumptions!$B$15</f>
        <v>59.74549006331639</v>
      </c>
      <c r="Y11" s="18">
        <f>MAX(0,Y10-X21)*Assumptions!$B$15</f>
        <v>56.56254140644213</v>
      </c>
      <c r="Z11" s="18">
        <f>MAX(0,Z10-Y21)*Assumptions!$B$15</f>
        <v>56.257043175607976</v>
      </c>
      <c r="AA11" s="18">
        <f>MAX(0,AA10-Z21)*Assumptions!$B$15</f>
        <v>57.131192671685355</v>
      </c>
      <c r="AB11" s="18">
        <f>MAX(0,AB10-AA21)*Assumptions!$B$15</f>
        <v>58.506718091384045</v>
      </c>
      <c r="AC11" s="18">
        <f>MAX(0,AC10-AB21)*Assumptions!$B$15</f>
        <v>60.11318514956129</v>
      </c>
      <c r="AD11" s="18">
        <f>MAX(0,AD10-AC21)*Assumptions!$B$15</f>
        <v>61.84332047350505</v>
      </c>
      <c r="AE11" s="18">
        <f>MAX(0,AE10-AD21)*Assumptions!$B$15</f>
        <v>63.655141728087834</v>
      </c>
    </row>
    <row r="12">
      <c r="A12" s="2" t="inlineStr">
        <is>
          <t>Net Income</t>
        </is>
      </c>
      <c r="C12" s="18" t="n">
        <v>-29.799</v>
      </c>
      <c r="D12" s="18" t="n">
        <v>-71.898</v>
      </c>
      <c r="E12" s="18" t="n">
        <v>-177.81</v>
      </c>
      <c r="F12" s="18" t="n">
        <v>-154.651</v>
      </c>
      <c r="G12" s="18">
        <f>G10-G11</f>
        <v>-391.90999999999997</v>
      </c>
      <c r="H12" s="18">
        <f>H10-H11</f>
        <v>-117.17875000000001</v>
      </c>
      <c r="I12" s="18">
        <f>I10-I11</f>
        <v>-32.29195312499995</v>
      </c>
      <c r="J12" s="18">
        <f>J10-J11</f>
        <v>96.61302863281249</v>
      </c>
      <c r="K12" s="18">
        <f>K10-K11</f>
        <v>236.944645806543</v>
      </c>
      <c r="L12" s="18">
        <f>L10-L11</f>
        <v>328.67051142428835</v>
      </c>
      <c r="M12" s="18">
        <f>M10-M11</f>
        <v>467.26165560269914</v>
      </c>
      <c r="N12" s="18">
        <f>N10-N11</f>
        <v>439.7810154216803</v>
      </c>
      <c r="O12" s="18">
        <f>O10-O11</f>
        <v>484.3598670552296</v>
      </c>
      <c r="P12" s="18">
        <f>P10-P11</f>
        <v>526.2247281167408</v>
      </c>
      <c r="Q12" s="18">
        <f>Q10-Q11</f>
        <v>562.2435356871991</v>
      </c>
      <c r="R12" s="18">
        <f>R10-R11</f>
        <v>588.1904004319324</v>
      </c>
      <c r="S12" s="18">
        <f>S10-S11</f>
        <v>605.6155410447284</v>
      </c>
      <c r="T12" s="18">
        <f>T10-T11</f>
        <v>623.5569014481785</v>
      </c>
      <c r="U12" s="18">
        <f>U10-U11</f>
        <v>642.0297746535807</v>
      </c>
      <c r="V12" s="18">
        <f>V10-V11</f>
        <v>339.70931941314376</v>
      </c>
      <c r="W12" s="18">
        <f>W10-W11</f>
        <v>263.5306753153076</v>
      </c>
      <c r="X12" s="18">
        <f>X10-X11</f>
        <v>224.75684357152355</v>
      </c>
      <c r="Y12" s="18">
        <f>Y10-Y11</f>
        <v>212.78289386232993</v>
      </c>
      <c r="Z12" s="18">
        <f>Z10-Z11</f>
        <v>211.63363861300144</v>
      </c>
      <c r="AA12" s="18">
        <f>AA10-AA11</f>
        <v>214.92210576491158</v>
      </c>
      <c r="AB12" s="18">
        <f>AB10-AB11</f>
        <v>220.09670139139715</v>
      </c>
      <c r="AC12" s="18">
        <f>AC10-AC11</f>
        <v>226.14007746739725</v>
      </c>
      <c r="AD12" s="18">
        <f>AD10-AD11</f>
        <v>232.6486817812809</v>
      </c>
      <c r="AE12" s="18">
        <f>AE10-AE11</f>
        <v>239.46458078661615</v>
      </c>
    </row>
    <row r="13">
      <c r="A13" s="2" t="inlineStr">
        <is>
          <t>Earnings per Share</t>
        </is>
      </c>
      <c r="C13" s="11">
        <f>IFERROR(C12/C14,0)</f>
        <v>-5.767176311205729</v>
      </c>
      <c r="D13" s="11">
        <f>IFERROR(D12/D14,0)</f>
        <v>-1.9867912015032605</v>
      </c>
      <c r="E13" s="11">
        <f>IFERROR(E12/E14,0)</f>
        <v>-3.6631644004944377</v>
      </c>
      <c r="F13" s="11">
        <f>IFERROR(F12/F14,0)</f>
        <v>-2.2858430885656853</v>
      </c>
      <c r="G13" s="11">
        <f>IFERROR(G12/G14,0)</f>
        <v>-4.548340112922224</v>
      </c>
      <c r="H13" s="11">
        <f>IFERROR(H12/H14,0)</f>
        <v>-1.3254482385619628</v>
      </c>
      <c r="I13" s="11">
        <f>IFERROR(I12/I14,0)</f>
        <v>-0.36526513885202433</v>
      </c>
      <c r="J13" s="11">
        <f>IFERROR(J12/J14,0)</f>
        <v>1.0928224496634225</v>
      </c>
      <c r="K13" s="11">
        <f>IFERROR(K12/K14,0)</f>
        <v>2.680160553180253</v>
      </c>
      <c r="L13" s="11">
        <f>IFERROR(L12/L14,0)</f>
        <v>3.7177026588402966</v>
      </c>
      <c r="M13" s="11">
        <f>IFERROR(M12/M14,0)</f>
        <v>5.285353687133068</v>
      </c>
      <c r="N13" s="11">
        <f>IFERROR(N12/N14,0)</f>
        <v>4.974510926628398</v>
      </c>
      <c r="O13" s="11">
        <f>IFERROR(O12/O14,0)</f>
        <v>5.478757305556344</v>
      </c>
      <c r="P13" s="11">
        <f>IFERROR(P12/P14,0)</f>
        <v>5.952304824638271</v>
      </c>
      <c r="Q13" s="11">
        <f>IFERROR(Q12/Q14,0)</f>
        <v>6.359725667149104</v>
      </c>
      <c r="R13" s="11">
        <f>IFERROR(R12/R14,0)</f>
        <v>6.653219378014873</v>
      </c>
      <c r="S13" s="11">
        <f>IFERROR(S12/S14,0)</f>
        <v>6.850321002088563</v>
      </c>
      <c r="T13" s="11">
        <f>IFERROR(T12/T14,0)</f>
        <v>7.0532617617754365</v>
      </c>
      <c r="U13" s="11">
        <f>IFERROR(U12/U14,0)</f>
        <v>7.2622146414680335</v>
      </c>
      <c r="V13" s="11">
        <f>IFERROR(V12/V14,0)</f>
        <v>3.842566327420582</v>
      </c>
      <c r="W13" s="11">
        <f>IFERROR(W12/W14,0)</f>
        <v>2.98088407158908</v>
      </c>
      <c r="X13" s="11">
        <f>IFERROR(X12/X14,0)</f>
        <v>2.5423002243719313</v>
      </c>
      <c r="Y13" s="11">
        <f>IFERROR(Y12/Y14,0)</f>
        <v>2.40685885338376</v>
      </c>
      <c r="Z13" s="11">
        <f>IFERROR(Z12/Z14,0)</f>
        <v>2.3938592408611776</v>
      </c>
      <c r="AA13" s="11">
        <f>IFERROR(AA12/AA14,0)</f>
        <v>2.4310561984500594</v>
      </c>
      <c r="AB13" s="11">
        <f>IFERROR(AB12/AB14,0)</f>
        <v>2.489587789360491</v>
      </c>
      <c r="AC13" s="11">
        <f>IFERROR(AC12/AC14,0)</f>
        <v>2.557946448032834</v>
      </c>
      <c r="AD13" s="11">
        <f>IFERROR(AD12/AD14,0)</f>
        <v>2.6315674597208227</v>
      </c>
      <c r="AE13" s="11">
        <f>IFERROR(AE12/AE14,0)</f>
        <v>2.7086643849810583</v>
      </c>
    </row>
    <row r="14">
      <c r="A14" s="2" t="inlineStr">
        <is>
          <t>Shares</t>
        </is>
      </c>
      <c r="C14" s="18" t="n">
        <v>5.167</v>
      </c>
      <c r="D14" s="18" t="n">
        <v>36.188</v>
      </c>
      <c r="E14" s="18" t="n">
        <v>48.54</v>
      </c>
      <c r="F14" s="18" t="n">
        <v>67.65600000000001</v>
      </c>
      <c r="G14" s="18">
        <f>AVERAGE('Quarterly Model'!F14:I14)</f>
        <v>86.16550000000001</v>
      </c>
      <c r="H14" s="18">
        <f>Main!$C$4*(1+Assumptions!$B$26)^(H1-2026)</f>
        <v>88.406885</v>
      </c>
      <c r="I14" s="18">
        <f>Main!$C$4*(1+Assumptions!$B$26)^(I1-2026)</f>
        <v>88.406885</v>
      </c>
      <c r="J14" s="18">
        <f>Main!$C$4*(1+Assumptions!$B$26)^(J1-2026)</f>
        <v>88.406885</v>
      </c>
      <c r="K14" s="18">
        <f>Main!$C$4*(1+Assumptions!$B$26)^(K1-2026)</f>
        <v>88.406885</v>
      </c>
      <c r="L14" s="18">
        <f>Main!$C$4*(1+Assumptions!$B$26)^(L1-2026)</f>
        <v>88.406885</v>
      </c>
      <c r="M14" s="18">
        <f>Main!$C$4*(1+Assumptions!$B$26)^(M1-2026)</f>
        <v>88.406885</v>
      </c>
      <c r="N14" s="18">
        <f>Main!$C$4*(1+Assumptions!$B$26)^(N1-2026)</f>
        <v>88.406885</v>
      </c>
      <c r="O14" s="18">
        <f>Main!$C$4*(1+Assumptions!$B$26)^(O1-2026)</f>
        <v>88.406885</v>
      </c>
      <c r="P14" s="18">
        <f>Main!$C$4*(1+Assumptions!$B$26)^(P1-2026)</f>
        <v>88.406885</v>
      </c>
      <c r="Q14" s="18">
        <f>Main!$C$4*(1+Assumptions!$B$26)^(Q1-2026)</f>
        <v>88.406885</v>
      </c>
      <c r="R14" s="18">
        <f>Main!$C$4*(1+Assumptions!$B$26)^(R1-2026)</f>
        <v>88.406885</v>
      </c>
      <c r="S14" s="18">
        <f>Main!$C$4*(1+Assumptions!$B$26)^(S1-2026)</f>
        <v>88.406885</v>
      </c>
      <c r="T14" s="18">
        <f>Main!$C$4*(1+Assumptions!$B$26)^(T1-2026)</f>
        <v>88.406885</v>
      </c>
      <c r="U14" s="18">
        <f>Main!$C$4*(1+Assumptions!$B$26)^(U1-2026)</f>
        <v>88.406885</v>
      </c>
      <c r="V14" s="18">
        <f>Main!$C$4*(1+Assumptions!$B$26)^(V1-2026)</f>
        <v>88.406885</v>
      </c>
      <c r="W14" s="18">
        <f>Main!$C$4*(1+Assumptions!$B$26)^(W1-2026)</f>
        <v>88.406885</v>
      </c>
      <c r="X14" s="18">
        <f>Main!$C$4*(1+Assumptions!$B$26)^(X1-2026)</f>
        <v>88.406885</v>
      </c>
      <c r="Y14" s="18">
        <f>Main!$C$4*(1+Assumptions!$B$26)^(Y1-2026)</f>
        <v>88.406885</v>
      </c>
      <c r="Z14" s="18">
        <f>Main!$C$4*(1+Assumptions!$B$26)^(Z1-2026)</f>
        <v>88.406885</v>
      </c>
      <c r="AA14" s="18">
        <f>Main!$C$4*(1+Assumptions!$B$26)^(AA1-2026)</f>
        <v>88.406885</v>
      </c>
      <c r="AB14" s="18">
        <f>Main!$C$4*(1+Assumptions!$B$26)^(AB1-2026)</f>
        <v>88.406885</v>
      </c>
      <c r="AC14" s="18">
        <f>Main!$C$4*(1+Assumptions!$B$26)^(AC1-2026)</f>
        <v>88.406885</v>
      </c>
      <c r="AD14" s="18">
        <f>Main!$C$4*(1+Assumptions!$B$26)^(AD1-2026)</f>
        <v>88.406885</v>
      </c>
      <c r="AE14" s="18">
        <f>Main!$C$4*(1+Assumptions!$B$26)^(AE1-2026)</f>
        <v>88.406885</v>
      </c>
    </row>
    <row r="15"/>
    <row r="16" customFormat="1" s="4">
      <c r="A16" s="3" t="inlineStr">
        <is>
          <t>Revenue Change</t>
        </is>
      </c>
      <c r="B16" s="4" t="n"/>
      <c r="C16" s="14">
        <f>IFERROR(C2/B2-1,"")</f>
        <v/>
      </c>
      <c r="D16" s="14">
        <f>IFERROR(D2/C2-1,"")</f>
        <v/>
      </c>
      <c r="E16" s="14">
        <f>IFERROR(E2/D2-1,"")</f>
        <v/>
      </c>
      <c r="F16" s="14">
        <f>IFERROR(F2/E2-1,"")</f>
        <v/>
      </c>
      <c r="G16" s="14">
        <f>IFERROR(G2/F2-1,"")</f>
        <v/>
      </c>
      <c r="H16" s="14">
        <f>IFERROR(H2/G2-1,"")</f>
        <v/>
      </c>
      <c r="I16" s="14">
        <f>IFERROR(I2/H2-1,"")</f>
        <v>1.602272727272727</v>
      </c>
      <c r="J16" s="14">
        <f>IFERROR(J2/I2-1,"")</f>
        <v>0.8275109170305677</v>
      </c>
      <c r="K16" s="14">
        <f>IFERROR(K2/J2-1,"")</f>
        <v>0.46356033452807655</v>
      </c>
      <c r="L16" s="14">
        <f>IFERROR(L2/K2-1,"")</f>
        <v>0.32261224489795914</v>
      </c>
      <c r="M16" s="14">
        <f>IFERROR(M2/L2-1,"")</f>
        <v>0.19392667571904698</v>
      </c>
      <c r="N16" s="14">
        <f>IFERROR(N2/M2-1,"")</f>
        <v>0.13595947063689007</v>
      </c>
      <c r="O16" s="14">
        <f>IFERROR(O2/N2-1,"")</f>
        <v>0.06034404295986162</v>
      </c>
      <c r="P16" s="14">
        <f>IFERROR(P2/O2-1,"")</f>
        <v>0.043776824034334805</v>
      </c>
      <c r="Q16" s="14">
        <f>IFERROR(Q2/P2-1,"")</f>
        <v>0.027138157894736947</v>
      </c>
      <c r="R16" s="14">
        <f>IFERROR(R2/Q2-1,"")</f>
        <v>0.016813450760608584</v>
      </c>
      <c r="S16" s="14">
        <f>IFERROR(S2/R2-1,"")</f>
        <v>0.0</v>
      </c>
      <c r="T16" s="14">
        <f>IFERROR(T2/S2-1,"")</f>
        <v>0.0</v>
      </c>
      <c r="U16" s="14">
        <f>IFERROR(U2/T2-1,"")</f>
        <v>0.0</v>
      </c>
      <c r="V16" s="14">
        <f>IFERROR(V2/U2-1,"")</f>
        <v>-0.6</v>
      </c>
      <c r="W16" s="14">
        <f>IFERROR(W2/V2-1,"")</f>
        <v>-0.6</v>
      </c>
      <c r="X16" s="14">
        <f>IFERROR(X2/W2-1,"")</f>
        <v>-0.6000000000000001</v>
      </c>
      <c r="Y16" s="14">
        <f>IFERROR(Y2/X2-1,"")</f>
        <v>-0.6</v>
      </c>
      <c r="Z16" s="14">
        <f>IFERROR(Z2/Y2-1,"")</f>
        <v>-0.5999999999999999</v>
      </c>
      <c r="AA16" s="14">
        <f>IFERROR(AA2/Z2-1,"")</f>
        <v>-0.6</v>
      </c>
      <c r="AB16" s="14">
        <f>IFERROR(AB2/AA2-1,"")</f>
        <v>-0.6000000000000001</v>
      </c>
      <c r="AC16" s="14">
        <f>IFERROR(AC2/AB2-1,"")</f>
        <v>-0.5999999999999999</v>
      </c>
      <c r="AD16" s="14">
        <f>IFERROR(AD2/AC2-1,"")</f>
        <v>-0.6</v>
      </c>
      <c r="AE16" s="14">
        <f>IFERROR(AE2/AD2-1,"")</f>
        <v>-0.6</v>
      </c>
    </row>
    <row r="17" customFormat="1" s="4">
      <c r="A17" s="3" t="inlineStr">
        <is>
          <t>Gross Margin</t>
        </is>
      </c>
      <c r="B17" s="4" t="n"/>
      <c r="C17" s="14">
        <f>IFERROR(C4/C2,"")</f>
        <v/>
      </c>
      <c r="D17" s="14">
        <f>IFERROR(D4/D2,"")</f>
        <v/>
      </c>
      <c r="E17" s="14">
        <f>IFERROR(E4/E2,"")</f>
        <v/>
      </c>
      <c r="F17" s="14">
        <f>IFERROR(F4/F2,"")</f>
        <v/>
      </c>
      <c r="G17" s="14">
        <f>IFERROR(G4/G2,"")</f>
        <v/>
      </c>
      <c r="H17" s="14">
        <f>IFERROR(H4/H2,"")</f>
        <v>0.95</v>
      </c>
      <c r="I17" s="14">
        <f>IFERROR(I4/I2,"")</f>
        <v>0.9500000000000001</v>
      </c>
      <c r="J17" s="14">
        <f>IFERROR(J4/J2,"")</f>
        <v>0.95</v>
      </c>
      <c r="K17" s="14">
        <f>IFERROR(K4/K2,"")</f>
        <v>0.95</v>
      </c>
      <c r="L17" s="14">
        <f>IFERROR(L4/L2,"")</f>
        <v>0.95</v>
      </c>
      <c r="M17" s="14">
        <f>IFERROR(M4/M2,"")</f>
        <v>0.95</v>
      </c>
      <c r="N17" s="14">
        <f>IFERROR(N4/N2,"")</f>
        <v>0.9500000000000001</v>
      </c>
      <c r="O17" s="14">
        <f>IFERROR(O4/O2,"")</f>
        <v>0.95</v>
      </c>
      <c r="P17" s="14">
        <f>IFERROR(P4/P2,"")</f>
        <v>0.9500000000000001</v>
      </c>
      <c r="Q17" s="14">
        <f>IFERROR(Q4/Q2,"")</f>
        <v>0.95</v>
      </c>
      <c r="R17" s="14">
        <f>IFERROR(R4/R2,"")</f>
        <v>0.95</v>
      </c>
      <c r="S17" s="14">
        <f>IFERROR(S4/S2,"")</f>
        <v>0.95</v>
      </c>
      <c r="T17" s="14">
        <f>IFERROR(T4/T2,"")</f>
        <v>0.95</v>
      </c>
      <c r="U17" s="14">
        <f>IFERROR(U4/U2,"")</f>
        <v>0.95</v>
      </c>
      <c r="V17" s="14">
        <f>IFERROR(V4/V2,"")</f>
        <v>0.9500000000000001</v>
      </c>
      <c r="W17" s="14">
        <f>IFERROR(W4/W2,"")</f>
        <v>0.9500000000000001</v>
      </c>
      <c r="X17" s="14">
        <f>IFERROR(X4/X2,"")</f>
        <v>0.9500000000000001</v>
      </c>
      <c r="Y17" s="14">
        <f>IFERROR(Y4/Y2,"")</f>
        <v>0.9500000000000001</v>
      </c>
      <c r="Z17" s="14">
        <f>IFERROR(Z4/Z2,"")</f>
        <v>0.95</v>
      </c>
      <c r="AA17" s="14">
        <f>IFERROR(AA4/AA2,"")</f>
        <v>0.9500000000000001</v>
      </c>
      <c r="AB17" s="14">
        <f>IFERROR(AB4/AB2,"")</f>
        <v>0.95</v>
      </c>
      <c r="AC17" s="14">
        <f>IFERROR(AC4/AC2,"")</f>
        <v>0.9500000000000001</v>
      </c>
      <c r="AD17" s="14">
        <f>IFERROR(AD4/AD2,"")</f>
        <v>0.95</v>
      </c>
      <c r="AE17" s="14">
        <f>IFERROR(AE4/AE2,"")</f>
        <v>0.9500000000000001</v>
      </c>
    </row>
    <row r="18"/>
    <row r="19">
      <c r="A19" s="13" t="inlineStr">
        <is>
          <t>Actual / Estimate</t>
        </is>
      </c>
      <c r="B19" s="20" t="inlineStr">
        <is>
          <t>n/a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A+E</t>
        </is>
      </c>
      <c r="H19" s="20" t="inlineStr">
        <is>
          <t>E</t>
        </is>
      </c>
      <c r="I19" s="20" t="inlineStr">
        <is>
          <t>E</t>
        </is>
      </c>
      <c r="J19" s="20" t="inlineStr">
        <is>
          <t>E</t>
        </is>
      </c>
      <c r="K19" s="20" t="inlineStr">
        <is>
          <t>E</t>
        </is>
      </c>
      <c r="L19" s="20" t="inlineStr">
        <is>
          <t>E</t>
        </is>
      </c>
      <c r="M19" s="20" t="inlineStr">
        <is>
          <t>E</t>
        </is>
      </c>
      <c r="N19" s="20" t="inlineStr">
        <is>
          <t>E</t>
        </is>
      </c>
      <c r="O19" s="20" t="inlineStr">
        <is>
          <t>E</t>
        </is>
      </c>
      <c r="P19" s="20" t="inlineStr">
        <is>
          <t>E</t>
        </is>
      </c>
      <c r="Q19" s="20" t="inlineStr">
        <is>
          <t>E</t>
        </is>
      </c>
      <c r="R19" s="20" t="inlineStr">
        <is>
          <t>E</t>
        </is>
      </c>
      <c r="S19" s="20" t="inlineStr">
        <is>
          <t>E</t>
        </is>
      </c>
      <c r="T19" s="20" t="inlineStr">
        <is>
          <t>E</t>
        </is>
      </c>
      <c r="U19" s="20" t="inlineStr">
        <is>
          <t>E</t>
        </is>
      </c>
      <c r="V19" s="20" t="inlineStr">
        <is>
          <t>E</t>
        </is>
      </c>
      <c r="W19" s="20" t="inlineStr">
        <is>
          <t>E</t>
        </is>
      </c>
      <c r="X19" s="20" t="inlineStr">
        <is>
          <t>E</t>
        </is>
      </c>
      <c r="Y19" s="20" t="inlineStr">
        <is>
          <t>E</t>
        </is>
      </c>
      <c r="Z19" s="20" t="inlineStr">
        <is>
          <t>E</t>
        </is>
      </c>
      <c r="AA19" s="20" t="inlineStr">
        <is>
          <t>E</t>
        </is>
      </c>
      <c r="AB19" s="20" t="inlineStr">
        <is>
          <t>E</t>
        </is>
      </c>
      <c r="AC19" s="20" t="inlineStr">
        <is>
          <t>E</t>
        </is>
      </c>
      <c r="AD19" s="20" t="inlineStr">
        <is>
          <t>E</t>
        </is>
      </c>
      <c r="AE19" s="20" t="inlineStr">
        <is>
          <t>E</t>
        </is>
      </c>
    </row>
    <row r="20">
      <c r="A20" s="13" t="inlineStr">
        <is>
          <t>Cash &amp; Investments</t>
        </is>
      </c>
      <c r="G20" s="18">
        <f>'Quarterly Model'!I20</f>
        <v>549.9</v>
      </c>
      <c r="H20" s="18">
        <f>G20+H12</f>
        <v>432.72124999999994</v>
      </c>
      <c r="I20" s="18">
        <f>H20+I12</f>
        <v>400.429296875</v>
      </c>
      <c r="J20" s="18">
        <f>I20+J12</f>
        <v>497.04232550781245</v>
      </c>
      <c r="K20" s="18">
        <f>J20+K12</f>
        <v>733.9869713143555</v>
      </c>
      <c r="L20" s="18">
        <f>K20+L12</f>
        <v>1062.657482738644</v>
      </c>
      <c r="M20" s="18">
        <f>L20+M12</f>
        <v>1529.9191383413431</v>
      </c>
      <c r="N20" s="18">
        <f>M20+N12</f>
        <v>1969.7001537630235</v>
      </c>
      <c r="O20" s="18">
        <f>N20+O12</f>
        <v>2454.060020818253</v>
      </c>
      <c r="P20" s="18">
        <f>O20+P12</f>
        <v>2980.2847489349942</v>
      </c>
      <c r="Q20" s="18">
        <f>P20+Q12</f>
        <v>3542.5282846221935</v>
      </c>
      <c r="R20" s="18">
        <f>Q20+R12</f>
        <v>4130.718685054126</v>
      </c>
      <c r="S20" s="18">
        <f>R20+S12</f>
        <v>4736.334226098854</v>
      </c>
      <c r="T20" s="18">
        <f>S20+T12</f>
        <v>5359.891127547033</v>
      </c>
      <c r="U20" s="18">
        <f>T20+U12</f>
        <v>6001.920902200613</v>
      </c>
      <c r="V20" s="18">
        <f>U20+V12</f>
        <v>6341.630221613757</v>
      </c>
      <c r="W20" s="18">
        <f>V20+W12</f>
        <v>6605.160896929065</v>
      </c>
      <c r="X20" s="18">
        <f>W20+X12</f>
        <v>6829.9177405005885</v>
      </c>
      <c r="Y20" s="18">
        <f>X20+Y12</f>
        <v>7042.700634362918</v>
      </c>
      <c r="Z20" s="18">
        <f>Y20+Z12</f>
        <v>7254.33427297592</v>
      </c>
      <c r="AA20" s="18">
        <f>Z20+AA12</f>
        <v>7469.256378740832</v>
      </c>
      <c r="AB20" s="18">
        <f>AA20+AB12</f>
        <v>7689.353080132229</v>
      </c>
      <c r="AC20" s="18">
        <f>AB20+AC12</f>
        <v>7915.493157599626</v>
      </c>
      <c r="AD20" s="18">
        <f>AC20+AD12</f>
        <v>8148.141839380907</v>
      </c>
      <c r="AE20" s="18">
        <f>AD20+AE12</f>
        <v>8387.606420167524</v>
      </c>
    </row>
    <row r="21">
      <c r="A21" s="13" t="inlineStr">
        <is>
          <t>Tax-Loss Pool</t>
        </is>
      </c>
      <c r="F21" s="18">
        <f>Assumptions!$B$18</f>
        <v>600</v>
      </c>
      <c r="G21" s="18">
        <f>F21-MIN(F21,MAX(0,G10))+MAX(0,-G10)</f>
        <v>991.91</v>
      </c>
      <c r="H21" s="18">
        <f>G21-MIN(G21,MAX(0,H10))+MAX(0,-H10)</f>
        <v>1109.08875</v>
      </c>
      <c r="I21" s="18">
        <f>H21-MIN(H21,MAX(0,I10))+MAX(0,-I10)</f>
        <v>1141.3807031249999</v>
      </c>
      <c r="J21" s="18">
        <f>I21-MIN(I21,MAX(0,J10))+MAX(0,-J10)</f>
        <v>1044.7676744921873</v>
      </c>
      <c r="K21" s="18">
        <f>J21-MIN(J21,MAX(0,K10))+MAX(0,-K10)</f>
        <v>807.8230286856443</v>
      </c>
      <c r="L21" s="18">
        <f>K21-MIN(K21,MAX(0,L10))+MAX(0,-L10)</f>
        <v>479.15251726135597</v>
      </c>
      <c r="M21" s="18">
        <f>L21-MIN(L21,MAX(0,M10))+MAX(0,-M10)</f>
        <v>11.890861658656831</v>
      </c>
      <c r="N21" s="18">
        <f>M21-MIN(M21,MAX(0,N10))+MAX(0,-N10)</f>
        <v>0.0</v>
      </c>
      <c r="O21" s="18">
        <f>N21-MIN(N21,MAX(0,O10))+MAX(0,-O10)</f>
        <v>0.0</v>
      </c>
      <c r="P21" s="18">
        <f>O21-MIN(O21,MAX(0,P10))+MAX(0,-P10)</f>
        <v>0.0</v>
      </c>
      <c r="Q21" s="18">
        <f>P21-MIN(P21,MAX(0,Q10))+MAX(0,-Q10)</f>
        <v>0.0</v>
      </c>
      <c r="R21" s="18">
        <f>Q21-MIN(Q21,MAX(0,R10))+MAX(0,-R10)</f>
        <v>0.0</v>
      </c>
      <c r="S21" s="18">
        <f>R21-MIN(R21,MAX(0,S10))+MAX(0,-S10)</f>
        <v>0.0</v>
      </c>
      <c r="T21" s="18">
        <f>S21-MIN(S21,MAX(0,T10))+MAX(0,-T10)</f>
        <v>0.0</v>
      </c>
      <c r="U21" s="18">
        <f>T21-MIN(T21,MAX(0,U10))+MAX(0,-U10)</f>
        <v>0.0</v>
      </c>
      <c r="V21" s="18">
        <f>U21-MIN(U21,MAX(0,V10))+MAX(0,-V10)</f>
        <v>0.0</v>
      </c>
      <c r="W21" s="18">
        <f>V21-MIN(V21,MAX(0,W10))+MAX(0,-W10)</f>
        <v>0.0</v>
      </c>
      <c r="X21" s="18">
        <f>W21-MIN(W21,MAX(0,X10))+MAX(0,-X10)</f>
        <v>0.0</v>
      </c>
      <c r="Y21" s="18">
        <f>X21-MIN(X21,MAX(0,Y10))+MAX(0,-Y10)</f>
        <v>0.0</v>
      </c>
      <c r="Z21" s="18">
        <f>Y21-MIN(Y21,MAX(0,Z10))+MAX(0,-Z10)</f>
        <v>0.0</v>
      </c>
      <c r="AA21" s="18">
        <f>Z21-MIN(Z21,MAX(0,AA10))+MAX(0,-AA10)</f>
        <v>0.0</v>
      </c>
      <c r="AB21" s="18">
        <f>AA21-MIN(AA21,MAX(0,AB10))+MAX(0,-AB10)</f>
        <v>0.0</v>
      </c>
      <c r="AC21" s="18">
        <f>AB21-MIN(AB21,MAX(0,AC10))+MAX(0,-AC10)</f>
        <v>0.0</v>
      </c>
      <c r="AD21" s="18">
        <f>AC21-MIN(AC21,MAX(0,AD10))+MAX(0,-AD10)</f>
        <v>0.0</v>
      </c>
      <c r="AE21" s="18">
        <f>AD21-MIN(AD21,MAX(0,AE10))+MAX(0,-AE10)</f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10" defaultRowHeight="16"/>
  <cols>
    <col width="26" customWidth="1" style="9" min="1" max="1"/>
    <col width="10" customWidth="1" style="9" min="2" max="2"/>
    <col width="10" customWidth="1" style="9" min="3" max="3"/>
    <col width="10" customWidth="1" style="9" min="4" max="4"/>
    <col width="10" customWidth="1" style="9" min="5" max="5"/>
    <col width="10" customWidth="1" style="9" min="6" max="6"/>
    <col width="10" customWidth="1" style="9" min="7" max="7"/>
    <col width="10" customWidth="1" style="9" min="8" max="8"/>
    <col width="10" customWidth="1" style="9" min="9" max="9"/>
  </cols>
  <sheetData>
    <row r="1">
      <c r="B1" s="21" t="inlineStr">
        <is>
          <t>Q1 2025</t>
        </is>
      </c>
      <c r="C1" s="21" t="inlineStr">
        <is>
          <t>Q2 2025</t>
        </is>
      </c>
      <c r="D1" s="21" t="inlineStr">
        <is>
          <t>Q3 2025</t>
        </is>
      </c>
      <c r="E1" s="21" t="inlineStr">
        <is>
          <t>Q4 2025</t>
        </is>
      </c>
      <c r="F1" s="21" t="inlineStr">
        <is>
          <t>Q1 2026</t>
        </is>
      </c>
      <c r="G1" s="21" t="inlineStr">
        <is>
          <t>Q2 2026</t>
        </is>
      </c>
      <c r="H1" s="21" t="inlineStr">
        <is>
          <t>Q3 2026</t>
        </is>
      </c>
      <c r="I1" s="21" t="inlineStr">
        <is>
          <t>Q4 2026</t>
        </is>
      </c>
    </row>
    <row r="2">
      <c r="A2" s="13" t="inlineStr">
        <is>
          <t>Revenue</t>
        </is>
      </c>
      <c r="B2" s="18" t="n">
        <v>0</v>
      </c>
      <c r="C2" s="18" t="n">
        <v>0</v>
      </c>
      <c r="D2" s="18" t="n">
        <v>0</v>
      </c>
      <c r="E2" s="18" t="n">
        <v>0</v>
      </c>
      <c r="F2" s="18" t="n">
        <v>0</v>
      </c>
      <c r="G2" s="18" t="n">
        <v>0</v>
      </c>
      <c r="H2" s="18" t="n">
        <v>0</v>
      </c>
      <c r="I2" s="18" t="n">
        <v>0</v>
      </c>
    </row>
    <row r="3">
      <c r="A3" s="13" t="inlineStr">
        <is>
          <t>Cost of Sales</t>
        </is>
      </c>
      <c r="B3" s="18" t="n">
        <v>0</v>
      </c>
      <c r="C3" s="18" t="n">
        <v>0</v>
      </c>
      <c r="D3" s="18" t="n">
        <v>0</v>
      </c>
      <c r="E3" s="18" t="n">
        <v>0</v>
      </c>
      <c r="F3" s="18" t="n">
        <v>0</v>
      </c>
      <c r="G3" s="18" t="n">
        <v>0</v>
      </c>
      <c r="H3" s="18">
        <f>H2*0.0</f>
        <v>0.0</v>
      </c>
      <c r="I3" s="18">
        <f>I2*0.0</f>
        <v>0.0</v>
      </c>
    </row>
    <row r="4">
      <c r="A4" s="13" t="inlineStr">
        <is>
          <t>Gross Margin</t>
        </is>
      </c>
      <c r="B4" s="18">
        <f>B2-B3</f>
        <v>0.0</v>
      </c>
      <c r="C4" s="18">
        <f>C2-C3</f>
        <v>0.0</v>
      </c>
      <c r="D4" s="18">
        <f>D2-D3</f>
        <v>0.0</v>
      </c>
      <c r="E4" s="18">
        <f>E2-E3</f>
        <v>0.0</v>
      </c>
      <c r="F4" s="18">
        <f>F2-F3</f>
        <v>0.0</v>
      </c>
      <c r="G4" s="18">
        <f>G2-G3</f>
        <v>0.0</v>
      </c>
      <c r="H4" s="18">
        <f>H2-H3</f>
        <v>0.0</v>
      </c>
      <c r="I4" s="18">
        <f>I2-I3</f>
        <v>0.0</v>
      </c>
    </row>
    <row r="5">
      <c r="A5" s="13" t="inlineStr">
        <is>
          <t>Research &amp; Dev.</t>
        </is>
      </c>
      <c r="B5" s="18" t="n">
        <v>37.879</v>
      </c>
      <c r="C5" s="18" t="n">
        <v>38.278</v>
      </c>
      <c r="D5" s="18" t="n">
        <v>31.45</v>
      </c>
      <c r="E5" s="18" t="n">
        <v>24.402</v>
      </c>
      <c r="F5" s="18" t="n">
        <v>24.365</v>
      </c>
      <c r="G5" s="18" t="n">
        <v>221.377</v>
      </c>
      <c r="H5" s="18" t="n">
        <v>25</v>
      </c>
      <c r="I5" s="18" t="n">
        <v>25</v>
      </c>
    </row>
    <row r="6">
      <c r="A6" s="13" t="inlineStr">
        <is>
          <t>General &amp; Admin</t>
        </is>
      </c>
      <c r="B6" s="18" t="n">
        <v>6.568</v>
      </c>
      <c r="C6" s="18" t="n">
        <v>8.468</v>
      </c>
      <c r="D6" s="18" t="n">
        <v>9.680999999999999</v>
      </c>
      <c r="E6" s="18" t="n">
        <v>13.878</v>
      </c>
      <c r="F6" s="18" t="n">
        <v>20.975</v>
      </c>
      <c r="G6" s="18" t="n">
        <v>24.663</v>
      </c>
      <c r="H6" s="18" t="n">
        <v>30</v>
      </c>
      <c r="I6" s="18" t="n">
        <v>40</v>
      </c>
    </row>
    <row r="7">
      <c r="A7" s="13" t="inlineStr">
        <is>
          <t>Operating Expense</t>
        </is>
      </c>
      <c r="B7" s="18">
        <f>SUM(B5:B6)</f>
        <v>44.446999999999996</v>
      </c>
      <c r="C7" s="18">
        <f>SUM(C5:C6)</f>
        <v>46.745999999999995</v>
      </c>
      <c r="D7" s="18">
        <f>SUM(D5:D6)</f>
        <v>41.131</v>
      </c>
      <c r="E7" s="18">
        <f>SUM(E5:E6)</f>
        <v>38.28</v>
      </c>
      <c r="F7" s="18">
        <f>SUM(F5:F6)</f>
        <v>45.34</v>
      </c>
      <c r="G7" s="18">
        <f>SUM(G5:G6)</f>
        <v>246.04000000000002</v>
      </c>
      <c r="H7" s="18">
        <f>SUM(H5:H6)</f>
        <v>55.0</v>
      </c>
      <c r="I7" s="18">
        <f>SUM(I5:I6)</f>
        <v>65.0</v>
      </c>
    </row>
    <row r="8">
      <c r="A8" s="13" t="inlineStr">
        <is>
          <t>Operating Income</t>
        </is>
      </c>
      <c r="B8" s="18">
        <f>B4-B7</f>
        <v>-44.446999999999996</v>
      </c>
      <c r="C8" s="18">
        <f>C4-C7</f>
        <v>-46.745999999999995</v>
      </c>
      <c r="D8" s="18">
        <f>D4-D7</f>
        <v>-41.131</v>
      </c>
      <c r="E8" s="18">
        <f>E4-E7</f>
        <v>-38.28</v>
      </c>
      <c r="F8" s="18">
        <f>F4-F7</f>
        <v>-45.34</v>
      </c>
      <c r="G8" s="18">
        <f>G4-G7</f>
        <v>-246.04000000000002</v>
      </c>
      <c r="H8" s="18">
        <f>H4-H7</f>
        <v>-55.0</v>
      </c>
      <c r="I8" s="18">
        <f>I4-I7</f>
        <v>-65.0</v>
      </c>
    </row>
    <row r="9">
      <c r="A9" s="13" t="inlineStr">
        <is>
          <t>Interest &amp; Other</t>
        </is>
      </c>
      <c r="B9" s="18" t="n">
        <v>2.236</v>
      </c>
      <c r="C9" s="18" t="n">
        <v>3.472</v>
      </c>
      <c r="D9" s="18" t="n">
        <v>4.199</v>
      </c>
      <c r="E9" s="18" t="n">
        <v>6.046</v>
      </c>
      <c r="F9" s="18" t="n">
        <v>6.001</v>
      </c>
      <c r="G9" s="18" t="n">
        <v>4.969</v>
      </c>
      <c r="H9" s="18" t="n">
        <v>4.5</v>
      </c>
      <c r="I9" s="18" t="n">
        <v>4</v>
      </c>
    </row>
    <row r="10">
      <c r="A10" s="13" t="inlineStr">
        <is>
          <t>Pretax</t>
        </is>
      </c>
      <c r="B10" s="18">
        <f>B8+B9</f>
        <v>-42.211</v>
      </c>
      <c r="C10" s="18">
        <f>C8+C9</f>
        <v>-43.273999999999994</v>
      </c>
      <c r="D10" s="18">
        <f>D8+D9</f>
        <v>-36.932</v>
      </c>
      <c r="E10" s="18">
        <f>E8+E9</f>
        <v>-32.234</v>
      </c>
      <c r="F10" s="18">
        <f>F8+F9</f>
        <v>-39.339000000000006</v>
      </c>
      <c r="G10" s="18">
        <f>G8+G9</f>
        <v>-241.07100000000003</v>
      </c>
      <c r="H10" s="18">
        <f>H8+H9</f>
        <v>-50.5</v>
      </c>
      <c r="I10" s="18">
        <f>I8+I9</f>
        <v>-61.0</v>
      </c>
    </row>
    <row r="11">
      <c r="A11" s="13" t="inlineStr">
        <is>
          <t>Taxes</t>
        </is>
      </c>
      <c r="B11" s="18" t="n">
        <v>0</v>
      </c>
      <c r="C11" s="18" t="n">
        <v>0</v>
      </c>
      <c r="D11" s="18" t="n">
        <v>0</v>
      </c>
      <c r="E11" s="18" t="n">
        <v>0</v>
      </c>
      <c r="F11" s="18" t="n">
        <v>0</v>
      </c>
      <c r="G11" s="18" t="n">
        <v>0</v>
      </c>
      <c r="H11" s="18" t="n">
        <v>0</v>
      </c>
      <c r="I11" s="18" t="n">
        <v>0</v>
      </c>
    </row>
    <row r="12">
      <c r="A12" s="13" t="inlineStr">
        <is>
          <t>Net Income</t>
        </is>
      </c>
      <c r="B12" s="18">
        <f>B10-B11</f>
        <v>-42.211</v>
      </c>
      <c r="C12" s="18">
        <f>C10-C11</f>
        <v>-43.273999999999994</v>
      </c>
      <c r="D12" s="18">
        <f>D10-D11</f>
        <v>-36.932</v>
      </c>
      <c r="E12" s="18">
        <f>E10-E11</f>
        <v>-32.234</v>
      </c>
      <c r="F12" s="18">
        <f>F10-F11</f>
        <v>-39.339000000000006</v>
      </c>
      <c r="G12" s="18">
        <f>G10-G11</f>
        <v>-241.07100000000003</v>
      </c>
      <c r="H12" s="18">
        <f>H10-H11</f>
        <v>-50.5</v>
      </c>
      <c r="I12" s="18">
        <f>I10-I11</f>
        <v>-61.0</v>
      </c>
    </row>
    <row r="13">
      <c r="A13" s="13" t="inlineStr">
        <is>
          <t>Earnings per Share</t>
        </is>
      </c>
      <c r="B13" s="11">
        <f>IFERROR(B12/B14,0)</f>
        <v>-0.7939771273794296</v>
      </c>
      <c r="C13" s="11">
        <f>IFERROR(C12/C14,0)</f>
        <v>-0.6611663687338619</v>
      </c>
      <c r="D13" s="11">
        <f>IFERROR(D12/D14,0)</f>
        <v>-0.5231531978185424</v>
      </c>
      <c r="E13" s="11">
        <f>IFERROR(E12/E14,0)</f>
        <v>-0.3959172644197701</v>
      </c>
      <c r="F13" s="11">
        <f>IFERROR(F12/F14,0)</f>
        <v>-0.4749079495382388</v>
      </c>
      <c r="G13" s="11">
        <f>IFERROR(G12/G14,0)</f>
        <v>-2.8452677422781405</v>
      </c>
      <c r="H13" s="11">
        <f>IFERROR(H12/H14,0)</f>
        <v>-0.5706214689265536</v>
      </c>
      <c r="I13" s="11">
        <f>IFERROR(I12/I14,0)</f>
        <v>-0.688487584650113</v>
      </c>
    </row>
    <row r="14">
      <c r="A14" s="13" t="inlineStr">
        <is>
          <t>Shares</t>
        </is>
      </c>
      <c r="B14" s="18" t="n">
        <v>53.164</v>
      </c>
      <c r="C14" s="18" t="n">
        <v>65.45099999999999</v>
      </c>
      <c r="D14" s="18" t="n">
        <v>70.595</v>
      </c>
      <c r="E14" s="18" t="n">
        <v>81.416</v>
      </c>
      <c r="F14" s="18" t="n">
        <v>82.83499999999999</v>
      </c>
      <c r="G14" s="18" t="n">
        <v>84.727</v>
      </c>
      <c r="H14" s="18" t="n">
        <v>88.5</v>
      </c>
      <c r="I14" s="18" t="n">
        <v>88.59999999999999</v>
      </c>
    </row>
    <row r="16">
      <c r="A16" s="13" t="inlineStr">
        <is>
          <t>Revenue Change (YoY)</t>
        </is>
      </c>
      <c r="F16" s="14">
        <f>IFERROR(F2/B2-1,"")</f>
        <v/>
      </c>
      <c r="G16" s="14">
        <f>IFERROR(G2/C2-1,"")</f>
        <v/>
      </c>
      <c r="H16" s="14">
        <f>IFERROR(H2/D2-1,"")</f>
        <v/>
      </c>
      <c r="I16" s="14">
        <f>IFERROR(I2/E2-1,"")</f>
        <v/>
      </c>
    </row>
    <row r="17">
      <c r="A17" s="13" t="inlineStr">
        <is>
          <t>Gross Margin</t>
        </is>
      </c>
      <c r="B17" s="14">
        <f>IFERROR(B4/B2,"")</f>
        <v/>
      </c>
      <c r="C17" s="14">
        <f>IFERROR(C4/C2,"")</f>
        <v/>
      </c>
      <c r="D17" s="14">
        <f>IFERROR(D4/D2,"")</f>
        <v/>
      </c>
      <c r="E17" s="14">
        <f>IFERROR(E4/E2,"")</f>
        <v/>
      </c>
      <c r="F17" s="14">
        <f>IFERROR(F4/F2,"")</f>
        <v/>
      </c>
      <c r="G17" s="14">
        <f>IFERROR(G4/G2,"")</f>
        <v/>
      </c>
      <c r="H17" s="14">
        <f>IFERROR(H4/H2,"")</f>
        <v/>
      </c>
      <c r="I17" s="14">
        <f>IFERROR(I4/I2,"")</f>
        <v/>
      </c>
    </row>
    <row r="19">
      <c r="A19" s="13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E</t>
        </is>
      </c>
      <c r="I19" s="20" t="inlineStr">
        <is>
          <t>E</t>
        </is>
      </c>
    </row>
    <row r="20">
      <c r="A20" s="13" t="inlineStr">
        <is>
          <t>Cash &amp; Investments</t>
        </is>
      </c>
      <c r="G20" s="18" t="n">
        <v>661.4</v>
      </c>
      <c r="H20" s="18">
        <f>G20+H12+H21</f>
        <v>610.9</v>
      </c>
      <c r="I20" s="18">
        <f>H20+I12+I21</f>
        <v>549.9</v>
      </c>
    </row>
    <row r="21">
      <c r="A21" s="13" t="inlineStr">
        <is>
          <t>Other Cash Flows (est.)</t>
        </is>
      </c>
      <c r="H21" s="18" t="n">
        <v>0</v>
      </c>
      <c r="I21" s="18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style="9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2" t="inlineStr">
        <is>
          <t>MLYS — rNPV assumptions ($mm unless noted)</t>
        </is>
      </c>
    </row>
    <row r="4">
      <c r="A4" s="23" t="inlineStr">
        <is>
          <t>Scenario (1 = Bear, 2 = Base, 3 = Bull)</t>
        </is>
      </c>
      <c r="B4" s="24" t="n">
        <v>2</v>
      </c>
      <c r="C4" s="23" t="str">
        <f>CHOOSE($B$4,"Bear","Base","Bull")</f>
        <v>Base</v>
      </c>
    </row>
    <row r="5">
      <c r="A5" s="25" t="inlineStr">
        <is>
          <t>Overrides (blank = scenario value; the sensitivity tables drive these)</t>
        </is>
      </c>
    </row>
    <row r="6">
      <c r="A6" s="13" t="inlineStr">
        <is>
          <t>Discount rate override</t>
        </is>
      </c>
      <c r="B6" s="26" t="n"/>
    </row>
    <row r="7">
      <c r="A7" s="13" t="inlineStr">
        <is>
          <t>PDUFA approval probability override</t>
        </is>
      </c>
      <c r="B7" s="26" t="n"/>
    </row>
    <row r="8">
      <c r="A8" s="13" t="inlineStr">
        <is>
          <t>PDUFA program peak sales override ($mm)</t>
        </is>
      </c>
      <c r="B8" s="27" t="n"/>
    </row>
    <row r="10">
      <c r="A10" s="28" t="inlineStr">
        <is>
          <t>Parameter</t>
        </is>
      </c>
      <c r="B10" s="29" t="inlineStr">
        <is>
          <t>Active</t>
        </is>
      </c>
      <c r="C10" s="29" t="inlineStr">
        <is>
          <t>Bear</t>
        </is>
      </c>
      <c r="D10" s="29" t="inlineStr">
        <is>
          <t>Base</t>
        </is>
      </c>
      <c r="E10" s="29" t="inlineStr">
        <is>
          <t>Bull</t>
        </is>
      </c>
    </row>
    <row r="12">
      <c r="A12" s="30" t="inlineStr">
        <is>
          <t>Valuation &amp; corporate</t>
        </is>
      </c>
      <c r="B12" s="31" t="n"/>
      <c r="C12" s="31" t="n"/>
      <c r="D12" s="31" t="n"/>
      <c r="E12" s="31" t="n"/>
    </row>
    <row r="13">
      <c r="A13" s="13" t="inlineStr">
        <is>
          <t>Valuation date</t>
        </is>
      </c>
      <c r="B13" s="32">
        <f>DATE(2026,10,16)</f>
        <v>46311</v>
      </c>
    </row>
    <row r="14">
      <c r="A14" s="13" t="inlineStr">
        <is>
          <t>Discount rate (cost of equity)</t>
        </is>
      </c>
      <c r="B14" s="33">
        <f>IF(ISNUMBER($B$6),$B$6,CHOOSE($B$4,C14,D14,E14))</f>
        <v>0.12</v>
      </c>
      <c r="C14" s="34" t="n">
        <v>0.14</v>
      </c>
      <c r="D14" s="34" t="n">
        <v>0.12</v>
      </c>
      <c r="E14" s="34" t="n">
        <v>0.105</v>
      </c>
    </row>
    <row r="15">
      <c r="A15" s="13" t="inlineStr">
        <is>
          <t>Tax rate</t>
        </is>
      </c>
      <c r="B15" s="33">
        <f>CHOOSE($B$4,C15,D15,E15)</f>
        <v>0.21</v>
      </c>
      <c r="C15" s="35" t="n">
        <v>0.21</v>
      </c>
      <c r="D15" s="35" t="n">
        <v>0.21</v>
      </c>
      <c r="E15" s="35" t="n">
        <v>0.21</v>
      </c>
    </row>
    <row r="16">
      <c r="A16" s="13" t="inlineStr">
        <is>
          <t>Interest yield on cash</t>
        </is>
      </c>
      <c r="B16" s="33">
        <f>CHOOSE($B$4,C16,D16,E16)</f>
        <v>0.0375</v>
      </c>
      <c r="C16" s="35" t="n">
        <v>0.0375</v>
      </c>
      <c r="D16" s="35" t="n">
        <v>0.0375</v>
      </c>
      <c r="E16" s="35" t="n">
        <v>0.0375</v>
      </c>
    </row>
    <row r="17">
      <c r="A17" s="13" t="inlineStr">
        <is>
          <t>Average cash cost of debt (P&amp;L display only)</t>
        </is>
      </c>
      <c r="B17" s="33">
        <f>CHOOSE($B$4,C17,D17,E17)</f>
        <v>0.025</v>
      </c>
      <c r="C17" s="35" t="n">
        <v>0.025</v>
      </c>
      <c r="D17" s="35" t="n">
        <v>0.025</v>
      </c>
      <c r="E17" s="35" t="n">
        <v>0.025</v>
      </c>
    </row>
    <row r="18">
      <c r="A18" s="13" t="inlineStr">
        <is>
          <t>Tax-loss pool at 12/31/2025</t>
        </is>
      </c>
      <c r="B18" s="36">
        <f>CHOOSE($B$4,C18,D18,E18)</f>
        <v>600</v>
      </c>
      <c r="C18" s="37" t="n">
        <v>600</v>
      </c>
      <c r="D18" s="37" t="n">
        <v>600</v>
      </c>
      <c r="E18" s="37" t="n">
        <v>600</v>
      </c>
    </row>
    <row r="19">
      <c r="A19" s="13" t="inlineStr">
        <is>
          <t>Corporate G&amp;A, 2027</t>
        </is>
      </c>
      <c r="B19" s="36">
        <f>CHOOSE($B$4,C19,D19,E19)</f>
        <v>50</v>
      </c>
      <c r="C19" s="37" t="n">
        <v>50</v>
      </c>
      <c r="D19" s="37" t="n">
        <v>50</v>
      </c>
      <c r="E19" s="37" t="n">
        <v>50</v>
      </c>
    </row>
    <row r="20">
      <c r="A20" s="13" t="inlineStr">
        <is>
          <t>Platform / unallocated R&amp;D, 2027</t>
        </is>
      </c>
      <c r="B20" s="36">
        <f>CHOOSE($B$4,C20,D20,E20)</f>
        <v>25</v>
      </c>
      <c r="C20" s="37" t="n">
        <v>25</v>
      </c>
      <c r="D20" s="37" t="n">
        <v>25</v>
      </c>
      <c r="E20" s="37" t="n">
        <v>25</v>
      </c>
    </row>
    <row r="21">
      <c r="A21" s="13" t="inlineStr">
        <is>
          <t>Cost inflation</t>
        </is>
      </c>
      <c r="B21" s="33">
        <f>CHOOSE($B$4,C21,D21,E21)</f>
        <v>0.03</v>
      </c>
      <c r="C21" s="35" t="n">
        <v>0.03</v>
      </c>
      <c r="D21" s="35" t="n">
        <v>0.03</v>
      </c>
      <c r="E21" s="35" t="n">
        <v>0.03</v>
      </c>
    </row>
    <row r="22">
      <c r="A22" s="13" t="inlineStr">
        <is>
          <t>Corporate G&amp;A floor, % of revenue</t>
        </is>
      </c>
      <c r="B22" s="33">
        <f>CHOOSE($B$4,C22,D22,E22)</f>
        <v>0.08</v>
      </c>
      <c r="C22" s="35" t="n">
        <v>0.08</v>
      </c>
      <c r="D22" s="35" t="n">
        <v>0.08</v>
      </c>
      <c r="E22" s="35" t="n">
        <v>0.08</v>
      </c>
    </row>
    <row r="23">
      <c r="A23" s="13" t="inlineStr">
        <is>
          <t>Platform R&amp;D floor, % of revenue</t>
        </is>
      </c>
      <c r="B23" s="33">
        <f>CHOOSE($B$4,C23,D23,E23)</f>
        <v>0.06</v>
      </c>
      <c r="C23" s="35" t="n">
        <v>0.06</v>
      </c>
      <c r="D23" s="35" t="n">
        <v>0.06</v>
      </c>
      <c r="E23" s="35" t="n">
        <v>0.06</v>
      </c>
    </row>
    <row r="24">
      <c r="A24" s="13" t="inlineStr">
        <is>
          <t>Corporate cost cut after a CRL (2027+)</t>
        </is>
      </c>
      <c r="B24" s="33">
        <f>CHOOSE($B$4,C24,D24,E24)</f>
        <v>0.3</v>
      </c>
      <c r="C24" s="35" t="n">
        <v>0.3</v>
      </c>
      <c r="D24" s="35" t="n">
        <v>0.3</v>
      </c>
      <c r="E24" s="35" t="n">
        <v>0.3</v>
      </c>
    </row>
    <row r="25">
      <c r="A25" s="13" t="inlineStr">
        <is>
          <t>Last year of base-level corporate costs (then % of revenue only)</t>
        </is>
      </c>
      <c r="B25" s="38">
        <f>CHOOSE($B$4,C25,D25,E25)</f>
        <v>2041</v>
      </c>
      <c r="C25" s="39" t="n">
        <v>2041</v>
      </c>
      <c r="D25" s="39" t="n">
        <v>2041</v>
      </c>
      <c r="E25" s="39" t="n">
        <v>2041</v>
      </c>
    </row>
    <row r="26">
      <c r="A26" s="13" t="inlineStr">
        <is>
          <t>Annual share count growth (EPS display only)</t>
        </is>
      </c>
      <c r="B26" s="33">
        <f>CHOOSE($B$4,C26,D26,E26)</f>
        <v>0</v>
      </c>
      <c r="C26" s="35" t="n">
        <v>0</v>
      </c>
      <c r="D26" s="35" t="n">
        <v>0</v>
      </c>
      <c r="E26" s="35" t="n">
        <v>0</v>
      </c>
    </row>
    <row r="27">
      <c r="A27" s="13" t="inlineStr">
        <is>
          <t>Wind-down cost for liquidation value</t>
        </is>
      </c>
      <c r="B27" s="36">
        <f>CHOOSE($B$4,C27,D27,E27)</f>
        <v>25</v>
      </c>
      <c r="C27" s="37" t="n">
        <v>25</v>
      </c>
      <c r="D27" s="37" t="n">
        <v>25</v>
      </c>
      <c r="E27" s="37" t="n">
        <v>25</v>
      </c>
    </row>
    <row r="29">
      <c r="A29" s="30" t="inlineStr">
        <is>
          <t>PDUFA event</t>
        </is>
      </c>
      <c r="B29" s="31" t="n"/>
      <c r="C29" s="31" t="n"/>
      <c r="D29" s="31" t="n"/>
      <c r="E29" s="31" t="n"/>
    </row>
    <row r="30">
      <c r="A30" s="13" t="inlineStr">
        <is>
          <t>PDUFA target action date</t>
        </is>
      </c>
      <c r="B30" s="32">
        <f>DATE(2026,12,22)</f>
        <v>46378</v>
      </c>
    </row>
    <row r="31">
      <c r="A31" s="13" t="inlineStr">
        <is>
          <t>Application</t>
        </is>
      </c>
      <c r="B31" s="25" t="inlineStr">
        <is>
          <t>Lorundrostat NDA, uncontrolled / resistant hypertension</t>
        </is>
      </c>
    </row>
    <row r="32">
      <c r="A32" s="13" t="inlineStr">
        <is>
          <t>Probability of approval at this PDUFA</t>
        </is>
      </c>
      <c r="B32" s="33">
        <f>IF(ISNUMBER($B$7),$B$7,CHOOSE($B$4,C32,D32,E32))</f>
        <v>0.88</v>
      </c>
      <c r="C32" s="34" t="n">
        <v>0.82</v>
      </c>
      <c r="D32" s="34" t="n">
        <v>0.88</v>
      </c>
      <c r="E32" s="34" t="n">
        <v>0.93</v>
      </c>
    </row>
    <row r="33">
      <c r="A33" s="13" t="inlineStr">
        <is>
          <t>Probability of approval later, after a CRL</t>
        </is>
      </c>
      <c r="B33" s="33">
        <f>CHOOSE($B$4,C33,D33,E33)</f>
        <v>0.75</v>
      </c>
      <c r="C33" s="35" t="n">
        <v>0.7</v>
      </c>
      <c r="D33" s="35" t="n">
        <v>0.75</v>
      </c>
      <c r="E33" s="35" t="n">
        <v>0.8</v>
      </c>
    </row>
    <row r="34">
      <c r="A34" s="13" t="inlineStr">
        <is>
          <t>Launch delay after a CRL (years)</t>
        </is>
      </c>
      <c r="B34" s="38">
        <f>CHOOSE($B$4,C34,D34,E34)</f>
        <v>1</v>
      </c>
      <c r="C34" s="39" t="n">
        <v>1</v>
      </c>
      <c r="D34" s="39" t="n">
        <v>1</v>
      </c>
      <c r="E34" s="39" t="n">
        <v>1</v>
      </c>
    </row>
    <row r="35">
      <c r="A35" s="13" t="inlineStr">
        <is>
          <t>Probability of approval, scenario value (before override)</t>
        </is>
      </c>
      <c r="B35" s="40">
        <f>CHOOSE($B$4,C32,D32,E32)</f>
        <v>0.88</v>
      </c>
    </row>
    <row r="36">
      <c r="A36" s="13" t="inlineStr">
        <is>
          <t>Read-through: relative cut to other programs' PoS after a CRL</t>
        </is>
      </c>
      <c r="B36" s="33">
        <f>CHOOSE($B$4,C36,D36,E36)</f>
        <v>0</v>
      </c>
      <c r="C36" s="35" t="n">
        <v>0</v>
      </c>
      <c r="D36" s="35" t="n">
        <v>0</v>
      </c>
      <c r="E36" s="35" t="n">
        <v>0</v>
      </c>
    </row>
    <row r="37">
      <c r="A37" s="13" t="inlineStr">
        <is>
          <t>Read-through multiplier on other programs' PoS (1 = none)</t>
        </is>
      </c>
      <c r="B37" s="41">
        <f>1+$B$36*($B$32-$B$35)/$B$35</f>
        <v>1.0</v>
      </c>
    </row>
    <row r="38">
      <c r="A38" s="13" t="inlineStr">
        <is>
          <t>Expected corporate cost multiplier (2027+)</t>
        </is>
      </c>
      <c r="B38" s="41">
        <f>$B$32+(1-$B$32)*(1-$B$24)</f>
        <v>0.964</v>
      </c>
    </row>
    <row r="40">
      <c r="A40" s="30" t="inlineStr">
        <is>
          <t>Commercial curves (by year since launch)</t>
        </is>
      </c>
      <c r="B40" s="31" t="n"/>
      <c r="C40" s="31" t="n"/>
      <c r="D40" s="31" t="n"/>
      <c r="E40" s="31" t="n"/>
      <c r="F40" s="31" t="n"/>
      <c r="G40" s="31" t="n"/>
      <c r="H40" s="31" t="n"/>
    </row>
    <row r="41">
      <c r="A41" s="23" t="inlineStr">
        <is>
          <t>Year since launch</t>
        </is>
      </c>
      <c r="B41" s="42" t="n">
        <v>1</v>
      </c>
      <c r="C41" s="42" t="n">
        <v>2</v>
      </c>
      <c r="D41" s="42" t="n">
        <v>3</v>
      </c>
      <c r="E41" s="42" t="n">
        <v>4</v>
      </c>
      <c r="F41" s="42" t="n">
        <v>5</v>
      </c>
      <c r="G41" s="42" t="n">
        <v>6</v>
      </c>
      <c r="H41" s="42" t="n">
        <v>7</v>
      </c>
    </row>
    <row r="42">
      <c r="A42" s="13" t="inlineStr">
        <is>
          <t>Ramp 1 — standard launch, % of peak</t>
        </is>
      </c>
      <c r="B42" s="43" t="n">
        <v>0.1</v>
      </c>
      <c r="C42" s="43" t="n">
        <v>0.25</v>
      </c>
      <c r="D42" s="43" t="n">
        <v>0.45</v>
      </c>
      <c r="E42" s="43" t="n">
        <v>0.65</v>
      </c>
      <c r="F42" s="43" t="n">
        <v>0.82</v>
      </c>
      <c r="G42" s="43" t="n">
        <v>0.93</v>
      </c>
      <c r="H42" s="43" t="n">
        <v>1</v>
      </c>
    </row>
    <row r="43">
      <c r="A43" s="13" t="inlineStr">
        <is>
          <t>Ramp 2 — orphan-disease launch, % of peak</t>
        </is>
      </c>
      <c r="B43" s="43" t="n">
        <v>0.15</v>
      </c>
      <c r="C43" s="43" t="n">
        <v>0.35</v>
      </c>
      <c r="D43" s="43" t="n">
        <v>0.55</v>
      </c>
      <c r="E43" s="43" t="n">
        <v>0.75</v>
      </c>
      <c r="F43" s="43" t="n">
        <v>0.9</v>
      </c>
      <c r="G43" s="43" t="n">
        <v>1</v>
      </c>
      <c r="H43" s="43" t="n">
        <v>1</v>
      </c>
    </row>
    <row r="44">
      <c r="A44" s="13" t="inlineStr">
        <is>
          <t>Commercial SG&amp;A, % of sales (years 1–5; floor = program maturity %)</t>
        </is>
      </c>
      <c r="B44" s="43" t="n">
        <v>0.9</v>
      </c>
      <c r="C44" s="43" t="n">
        <v>0.55</v>
      </c>
      <c r="D44" s="43" t="n">
        <v>0.4</v>
      </c>
      <c r="E44" s="43" t="n">
        <v>0.32</v>
      </c>
      <c r="F44" s="43" t="n">
        <v>0.28</v>
      </c>
    </row>
    <row r="46">
      <c r="A46" s="30" t="inlineStr">
        <is>
          <t>Lorundrostat — uncontrolled / resistant hypertension  (PDUFA)</t>
        </is>
      </c>
      <c r="B46" s="31" t="n"/>
      <c r="C46" s="31" t="n"/>
      <c r="D46" s="31" t="n"/>
      <c r="E46" s="31" t="n"/>
    </row>
    <row r="47">
      <c r="A47" s="13" t="inlineStr">
        <is>
          <t>Launch year (first full year of sales)</t>
        </is>
      </c>
      <c r="B47" s="38">
        <f>CHOOSE($B$4,C47,D47,E47)</f>
        <v>2027</v>
      </c>
      <c r="C47" s="39" t="n">
        <v>2027</v>
      </c>
      <c r="D47" s="39" t="n">
        <v>2027</v>
      </c>
      <c r="E47" s="39" t="n">
        <v>2027</v>
      </c>
    </row>
    <row r="48">
      <c r="A48" s="13" t="inlineStr">
        <is>
          <t>Peak net sales, unrisked</t>
        </is>
      </c>
      <c r="B48" s="36">
        <f>IF(ISNUMBER($B$8),$B$8,CHOOSE($B$4,C48,D48,E48))</f>
        <v>1000</v>
      </c>
      <c r="C48" s="44" t="n">
        <v>500</v>
      </c>
      <c r="D48" s="44" t="n">
        <v>1000</v>
      </c>
      <c r="E48" s="44" t="n">
        <v>2000</v>
      </c>
    </row>
    <row r="49">
      <c r="A49" s="13" t="inlineStr">
        <is>
          <t>Probability of approval (PDUFA event above)</t>
        </is>
      </c>
      <c r="B49" s="33">
        <f>$B$32</f>
        <v>0.88</v>
      </c>
    </row>
    <row r="50">
      <c r="A50" s="13" t="inlineStr">
        <is>
          <t>Company revenue, % of product net sales</t>
        </is>
      </c>
      <c r="B50" s="35" t="n">
        <v>1</v>
      </c>
    </row>
    <row r="51">
      <c r="A51" s="13" t="inlineStr">
        <is>
          <t>Cost of goods, % of product sales</t>
        </is>
      </c>
      <c r="B51" s="35" t="n">
        <v>0.05</v>
      </c>
    </row>
    <row r="52">
      <c r="A52" s="13" t="inlineStr">
        <is>
          <t>Royalties owed, % of product sales</t>
        </is>
      </c>
      <c r="B52" s="35" t="n">
        <v>0</v>
      </c>
    </row>
    <row r="53">
      <c r="A53" s="13" t="inlineStr">
        <is>
          <t>Commercial SG&amp;A at maturity, % of sales</t>
        </is>
      </c>
      <c r="B53" s="35" t="n">
        <v>0.35</v>
      </c>
    </row>
    <row r="54">
      <c r="A54" s="13" t="inlineStr">
        <is>
          <t>Pre-launch commercial spend, year before launch</t>
        </is>
      </c>
      <c r="B54" s="37" t="n">
        <v>60</v>
      </c>
    </row>
    <row r="55">
      <c r="A55" s="13" t="inlineStr">
        <is>
          <t>Launch ramp (1 = standard, 2 = orphan)</t>
        </is>
      </c>
      <c r="B55" s="39" t="n">
        <v>1</v>
      </c>
    </row>
    <row r="56">
      <c r="A56" s="13" t="inlineStr">
        <is>
          <t>Loss of exclusivity (year)</t>
        </is>
      </c>
      <c r="B56" s="38">
        <f>CHOOSE($B$4,C56,D56,E56)</f>
        <v>2040</v>
      </c>
      <c r="C56" s="39" t="n">
        <v>2040</v>
      </c>
      <c r="D56" s="39" t="n">
        <v>2040</v>
      </c>
      <c r="E56" s="39" t="n">
        <v>2040</v>
      </c>
    </row>
    <row r="57">
      <c r="A57" s="13" t="inlineStr">
        <is>
          <t>Post-LOE annual sales erosion</t>
        </is>
      </c>
      <c r="B57" s="35" t="n">
        <v>0.6</v>
      </c>
    </row>
    <row r="58">
      <c r="A58" s="25" t="inlineStr">
        <is>
          <t>Development spend, unrisked ($mm) by year</t>
        </is>
      </c>
      <c r="B58" s="42" t="n">
        <v>2027</v>
      </c>
      <c r="C58" s="42" t="n">
        <v>2028</v>
      </c>
      <c r="D58" s="42" t="n">
        <v>2029</v>
      </c>
      <c r="E58" s="42" t="n">
        <v>2030</v>
      </c>
      <c r="F58" s="42" t="n">
        <v>2031</v>
      </c>
      <c r="G58" s="42" t="n">
        <v>2032</v>
      </c>
      <c r="H58" s="42" t="n">
        <v>2033</v>
      </c>
      <c r="I58" s="42" t="n">
        <v>2034</v>
      </c>
    </row>
    <row r="59">
      <c r="A59" s="13" t="inlineStr">
        <is>
          <t xml:space="preserve">  Cost</t>
        </is>
      </c>
      <c r="B59" s="37" t="n">
        <v>25</v>
      </c>
      <c r="C59" s="37" t="n">
        <v>0</v>
      </c>
      <c r="D59" s="37" t="n">
        <v>50</v>
      </c>
      <c r="E59" s="37" t="n">
        <v>75</v>
      </c>
      <c r="F59" s="37" t="n">
        <v>105</v>
      </c>
      <c r="G59" s="37" t="n">
        <v>0</v>
      </c>
      <c r="H59" s="37" t="n">
        <v>0</v>
      </c>
      <c r="I59" s="37" t="n">
        <v>0</v>
      </c>
    </row>
    <row r="60">
      <c r="A60" s="13" t="inlineStr">
        <is>
          <t xml:space="preserve">  Probability the cost is incurred</t>
        </is>
      </c>
      <c r="B60" s="43" t="n">
        <v>0.88</v>
      </c>
      <c r="C60" s="43" t="n">
        <v>1</v>
      </c>
      <c r="D60" s="43" t="n">
        <v>0.6</v>
      </c>
      <c r="E60" s="43" t="n">
        <v>0.55</v>
      </c>
      <c r="F60" s="43" t="n">
        <v>0.5</v>
      </c>
      <c r="G60" s="43" t="n">
        <v>1</v>
      </c>
      <c r="H60" s="43" t="n">
        <v>1</v>
      </c>
      <c r="I60" s="43" t="n">
        <v>1</v>
      </c>
    </row>
    <row r="62">
      <c r="A62" s="30" t="inlineStr">
        <is>
          <t>Lorundrostat — chronic kidney disease (option value)  (pipeline)</t>
        </is>
      </c>
      <c r="B62" s="31" t="n"/>
      <c r="C62" s="31" t="n"/>
      <c r="D62" s="31" t="n"/>
      <c r="E62" s="31" t="n"/>
    </row>
    <row r="63">
      <c r="A63" s="13" t="inlineStr">
        <is>
          <t>Launch year (first full year of sales)</t>
        </is>
      </c>
      <c r="B63" s="38">
        <f>CHOOSE($B$4,C63,D63,E63)</f>
        <v>2031</v>
      </c>
      <c r="C63" s="39" t="n">
        <v>2031</v>
      </c>
      <c r="D63" s="39" t="n">
        <v>2031</v>
      </c>
      <c r="E63" s="39" t="n">
        <v>2031</v>
      </c>
    </row>
    <row r="64">
      <c r="A64" s="13" t="inlineStr">
        <is>
          <t>Peak net sales, unrisked</t>
        </is>
      </c>
      <c r="B64" s="36">
        <f>CHOOSE($B$4,C64,D64,E64)</f>
        <v>1000</v>
      </c>
      <c r="C64" s="44" t="n">
        <v>500</v>
      </c>
      <c r="D64" s="44" t="n">
        <v>1000</v>
      </c>
      <c r="E64" s="44" t="n">
        <v>1500</v>
      </c>
    </row>
    <row r="65">
      <c r="A65" s="13" t="inlineStr">
        <is>
          <t>Probability of reaching market</t>
        </is>
      </c>
      <c r="B65" s="33">
        <f>CHOOSE($B$4,C65,D65,E65)</f>
        <v>0.3</v>
      </c>
      <c r="C65" s="34" t="n">
        <v>0.2</v>
      </c>
      <c r="D65" s="34" t="n">
        <v>0.3</v>
      </c>
      <c r="E65" s="34" t="n">
        <v>0.4</v>
      </c>
    </row>
    <row r="66">
      <c r="A66" s="13" t="inlineStr">
        <is>
          <t>Company revenue, % of product net sales</t>
        </is>
      </c>
      <c r="B66" s="35" t="n">
        <v>1</v>
      </c>
    </row>
    <row r="67">
      <c r="A67" s="13" t="inlineStr">
        <is>
          <t>Cost of goods, % of product sales</t>
        </is>
      </c>
      <c r="B67" s="35" t="n">
        <v>0.05</v>
      </c>
    </row>
    <row r="68">
      <c r="A68" s="13" t="inlineStr">
        <is>
          <t>Royalties owed, % of product sales</t>
        </is>
      </c>
      <c r="B68" s="35" t="n">
        <v>0</v>
      </c>
    </row>
    <row r="69">
      <c r="A69" s="13" t="inlineStr">
        <is>
          <t>Commercial SG&amp;A at maturity, % of sales</t>
        </is>
      </c>
      <c r="B69" s="35" t="n">
        <v>0.25</v>
      </c>
    </row>
    <row r="70">
      <c r="A70" s="13" t="inlineStr">
        <is>
          <t>Pre-launch commercial spend, year before launch</t>
        </is>
      </c>
      <c r="B70" s="37" t="n">
        <v>20</v>
      </c>
    </row>
    <row r="71">
      <c r="A71" s="13" t="inlineStr">
        <is>
          <t>Launch ramp (1 = standard, 2 = orphan)</t>
        </is>
      </c>
      <c r="B71" s="39" t="n">
        <v>1</v>
      </c>
    </row>
    <row r="72">
      <c r="A72" s="13" t="inlineStr">
        <is>
          <t>Loss of exclusivity (year)</t>
        </is>
      </c>
      <c r="B72" s="38">
        <f>CHOOSE($B$4,C72,D72,E72)</f>
        <v>2040</v>
      </c>
      <c r="C72" s="39" t="n">
        <v>2040</v>
      </c>
      <c r="D72" s="39" t="n">
        <v>2040</v>
      </c>
      <c r="E72" s="39" t="n">
        <v>2040</v>
      </c>
    </row>
    <row r="73">
      <c r="A73" s="13" t="inlineStr">
        <is>
          <t>Post-LOE annual sales erosion</t>
        </is>
      </c>
      <c r="B73" s="35" t="n">
        <v>0.6</v>
      </c>
    </row>
    <row r="74">
      <c r="A74" s="25" t="inlineStr">
        <is>
          <t>Development spend, unrisked ($mm) by year</t>
        </is>
      </c>
      <c r="B74" s="42" t="n">
        <v>2027</v>
      </c>
      <c r="C74" s="42" t="n">
        <v>2028</v>
      </c>
      <c r="D74" s="42" t="n">
        <v>2029</v>
      </c>
      <c r="E74" s="42" t="n">
        <v>2030</v>
      </c>
      <c r="F74" s="42" t="n">
        <v>2031</v>
      </c>
      <c r="G74" s="42" t="n">
        <v>2032</v>
      </c>
      <c r="H74" s="42" t="n">
        <v>2033</v>
      </c>
      <c r="I74" s="42" t="n">
        <v>2034</v>
      </c>
    </row>
    <row r="75">
      <c r="A75" s="13" t="inlineStr">
        <is>
          <t xml:space="preserve">  Cost</t>
        </is>
      </c>
      <c r="B75" s="37" t="n">
        <v>40</v>
      </c>
      <c r="C75" s="37" t="n">
        <v>60</v>
      </c>
      <c r="D75" s="37" t="n">
        <v>60</v>
      </c>
      <c r="E75" s="37" t="n">
        <v>20</v>
      </c>
      <c r="F75" s="37" t="n">
        <v>0</v>
      </c>
      <c r="G75" s="37" t="n">
        <v>0</v>
      </c>
      <c r="H75" s="37" t="n">
        <v>0</v>
      </c>
      <c r="I75" s="37" t="n">
        <v>0</v>
      </c>
    </row>
    <row r="76">
      <c r="A76" s="13" t="inlineStr">
        <is>
          <t xml:space="preserve">  Probability the cost is incurred</t>
        </is>
      </c>
      <c r="B76" s="43" t="n">
        <v>1</v>
      </c>
      <c r="C76" s="43" t="n">
        <v>1</v>
      </c>
      <c r="D76" s="43" t="n">
        <v>0.6</v>
      </c>
      <c r="E76" s="43" t="n">
        <v>0.4</v>
      </c>
      <c r="F76" s="43" t="n">
        <v>1</v>
      </c>
      <c r="G76" s="43" t="n">
        <v>1</v>
      </c>
      <c r="H76" s="43" t="n">
        <v>1</v>
      </c>
      <c r="I76" s="43" t="n">
        <v>1</v>
      </c>
    </row>
    <row r="79">
      <c r="A79" s="45" t="inlineStr">
        <is>
          <t>Sensitivity tables (Excel data tables)</t>
        </is>
      </c>
    </row>
    <row r="81">
      <c r="A81" s="30" t="inlineStr">
        <is>
          <t>Scenario summary</t>
        </is>
      </c>
    </row>
    <row r="82">
      <c r="A82" s="13" t="inlineStr">
        <is>
          <t>Scenario</t>
        </is>
      </c>
      <c r="B82" s="42" t="inlineStr">
        <is>
          <t>Case</t>
        </is>
      </c>
      <c r="C82" s="42" t="inlineStr">
        <is>
          <t>Equity value</t>
        </is>
      </c>
      <c r="D82" s="42" t="inlineStr">
        <is>
          <t>rNPV / share</t>
        </is>
      </c>
      <c r="E82" s="42" t="inlineStr">
        <is>
          <t>Upside</t>
        </is>
      </c>
      <c r="F82" s="42" t="inlineStr">
        <is>
          <t>Lorundrostat PV / share</t>
        </is>
      </c>
      <c r="G82" s="42" t="inlineStr">
        <is>
          <t>P(approval)</t>
        </is>
      </c>
      <c r="H82" s="42" t="inlineStr">
        <is>
          <t>Discount rate</t>
        </is>
      </c>
    </row>
    <row r="83">
      <c r="A83" s="25" t="inlineStr">
        <is>
          <t>Live (active scenario)</t>
        </is>
      </c>
      <c r="C83" s="46">
        <f>NPV!C31</f>
        <v>2122.860239925599</v>
      </c>
      <c r="D83" s="47">
        <f>NPV!C43</f>
        <v>23.020628641109727</v>
      </c>
      <c r="E83" s="48">
        <f>NPV!C45</f>
        <v>0.06675758299859735</v>
      </c>
      <c r="F83" s="47">
        <f>NPV!C52</f>
        <v>27.26565242562693</v>
      </c>
      <c r="G83" s="49">
        <f>$B$32</f>
        <v>0.88</v>
      </c>
      <c r="H83" s="50">
        <f>$B$14</f>
        <v>0.12</v>
      </c>
    </row>
    <row r="84">
      <c r="A84" s="23" t="inlineStr">
        <is>
          <t>Bear</t>
        </is>
      </c>
      <c r="B84" s="51" t="n">
        <v>1</v>
      </c>
      <c r="C84" s="52">
        <f t="dataTable" ref="C84:H86" r1="B4"/>
        <v>873.3365486952927</v>
      </c>
      <c r="D84" s="53">
        <v>9.784090183458215</v>
      </c>
      <c r="E84" s="54">
        <v>-0.5466130591539289</v>
      </c>
      <c r="F84" s="53">
        <v>11.308818249674294</v>
      </c>
      <c r="G84" s="55">
        <v>0.82</v>
      </c>
      <c r="H84" s="54">
        <v>0.14</v>
      </c>
    </row>
    <row r="85">
      <c r="A85" s="23" t="inlineStr">
        <is>
          <t>Base</t>
        </is>
      </c>
      <c r="B85" s="51" t="n">
        <v>2</v>
      </c>
      <c r="C85" s="56">
        <v>2122.860239925599</v>
      </c>
      <c r="D85" s="57">
        <v>23.020628641109727</v>
      </c>
      <c r="E85" s="58">
        <v>0.06675758299859735</v>
      </c>
      <c r="F85" s="57">
        <v>27.26565242562693</v>
      </c>
      <c r="G85" s="59">
        <v>0.88</v>
      </c>
      <c r="H85" s="58">
        <v>0.12</v>
      </c>
    </row>
    <row r="86">
      <c r="A86" s="23" t="inlineStr">
        <is>
          <t>Bull</t>
        </is>
      </c>
      <c r="B86" s="51" t="n">
        <v>3</v>
      </c>
      <c r="C86" s="52">
        <v>4562.792074192186</v>
      </c>
      <c r="D86" s="53">
        <v>48.32195284185656</v>
      </c>
      <c r="E86" s="54">
        <v>1.2392007804382095</v>
      </c>
      <c r="F86" s="53">
        <v>61.74407613219022</v>
      </c>
      <c r="G86" s="55">
        <v>0.93</v>
      </c>
      <c r="H86" s="54">
        <v>0.105</v>
      </c>
    </row>
    <row r="88">
      <c r="A88" s="30" t="inlineStr">
        <is>
          <t>PDUFA outcome (Lorundrostat): value if the FDA approves vs. issues a CRL</t>
        </is>
      </c>
    </row>
    <row r="89">
      <c r="A89" s="13" t="inlineStr">
        <is>
          <t>Outcome</t>
        </is>
      </c>
      <c r="B89" s="42" t="inlineStr">
        <is>
          <t>P(approval)</t>
        </is>
      </c>
      <c r="C89" s="42" t="inlineStr">
        <is>
          <t>Equity value</t>
        </is>
      </c>
      <c r="D89" s="42" t="inlineStr">
        <is>
          <t>rNPV / share</t>
        </is>
      </c>
      <c r="E89" s="42" t="inlineStr">
        <is>
          <t>Upside</t>
        </is>
      </c>
      <c r="F89" s="42" t="inlineStr">
        <is>
          <t>Lorundrostat PV / share</t>
        </is>
      </c>
    </row>
    <row r="90">
      <c r="A90" s="25" t="inlineStr">
        <is>
          <t>Live (probability-weighted)</t>
        </is>
      </c>
      <c r="B90" s="60">
        <f>$B$32</f>
        <v>0.88</v>
      </c>
      <c r="C90" s="46">
        <f>NPV!C31</f>
        <v>2122.860239925599</v>
      </c>
      <c r="D90" s="47">
        <f>NPV!C43</f>
        <v>23.020628641109727</v>
      </c>
      <c r="E90" s="48">
        <f>NPV!C45</f>
        <v>0.06675758299859735</v>
      </c>
      <c r="F90" s="47">
        <f>NPV!C52</f>
        <v>27.26565242562693</v>
      </c>
    </row>
    <row r="91">
      <c r="A91" s="23" t="inlineStr">
        <is>
          <t>Complete response letter (CRL)</t>
        </is>
      </c>
      <c r="B91" s="61" t="n">
        <v>0</v>
      </c>
      <c r="C91" s="56">
        <f t="dataTable" ref="C91:F92" r1="B7"/>
        <v>1545.7397738769916</v>
      </c>
      <c r="D91" s="57">
        <v>17.04740145090697</v>
      </c>
      <c r="E91" s="58">
        <v>-0.2100370041284999</v>
      </c>
      <c r="F91" s="57">
        <v>17.77926518427797</v>
      </c>
    </row>
    <row r="92">
      <c r="A92" s="23" t="inlineStr">
        <is>
          <t>Approved on time</t>
        </is>
      </c>
      <c r="B92" s="61" t="n">
        <v>1</v>
      </c>
      <c r="C92" s="56">
        <v>2203.920657298023</v>
      </c>
      <c r="D92" s="57">
        <v>23.860342981560407</v>
      </c>
      <c r="E92" s="58">
        <v>0.10566927625395772</v>
      </c>
      <c r="F92" s="57">
        <v>28.552755420257977</v>
      </c>
    </row>
    <row r="94">
      <c r="A94" s="30" t="inlineStr">
        <is>
          <t>rNPV / share: Lorundrostat peak sales × probability of approval</t>
        </is>
      </c>
    </row>
    <row r="95">
      <c r="C95" s="25" t="inlineStr">
        <is>
          <t>Probability of approval →</t>
        </is>
      </c>
    </row>
    <row r="96">
      <c r="A96" s="25" t="inlineStr">
        <is>
          <t>Peak sales ($mm) ↓</t>
        </is>
      </c>
      <c r="B96" s="47">
        <f>NPV!C43</f>
        <v>23.020628641109727</v>
      </c>
      <c r="C96" s="62" t="n">
        <v>0</v>
      </c>
      <c r="D96" s="62" t="n">
        <v>0.25</v>
      </c>
      <c r="E96" s="62" t="n">
        <v>0.5</v>
      </c>
      <c r="F96" s="62" t="n">
        <v>0.75</v>
      </c>
      <c r="G96" s="62" t="n">
        <v>1</v>
      </c>
    </row>
    <row r="97">
      <c r="B97" s="56" t="n">
        <v>400</v>
      </c>
      <c r="C97" s="53">
        <f t="dataTable" ref="C97:G103" dt2D="1" r1="B7" r2="B8"/>
        <v>9.235281751390925</v>
      </c>
      <c r="D97" s="53">
        <v>9.863019240641876</v>
      </c>
      <c r="E97" s="53">
        <v>10.514864467288701</v>
      </c>
      <c r="F97" s="53">
        <v>11.131333725587302</v>
      </c>
      <c r="G97" s="53">
        <v>11.747802983885906</v>
      </c>
    </row>
    <row r="98">
      <c r="B98" s="56" t="n">
        <v>600</v>
      </c>
      <c r="C98" s="53">
        <v>12.053412224872922</v>
      </c>
      <c r="D98" s="53">
        <v>13.179092508304267</v>
      </c>
      <c r="E98" s="53">
        <v>14.23166050957616</v>
      </c>
      <c r="F98" s="53">
        <v>15.263112507873512</v>
      </c>
      <c r="G98" s="53">
        <v>16.24734614153613</v>
      </c>
    </row>
    <row r="99">
      <c r="B99" s="56" t="n">
        <v>800</v>
      </c>
      <c r="C99" s="53">
        <v>14.649187009771776</v>
      </c>
      <c r="D99" s="53">
        <v>16.048875519875224</v>
      </c>
      <c r="E99" s="53">
        <v>17.403711094354893</v>
      </c>
      <c r="F99" s="53">
        <v>18.78891234508104</v>
      </c>
      <c r="G99" s="53">
        <v>20.12383366695582</v>
      </c>
    </row>
    <row r="100">
      <c r="B100" s="56" t="n">
        <v>1000</v>
      </c>
      <c r="C100" s="53">
        <v>17.04740145090697</v>
      </c>
      <c r="D100" s="53">
        <v>18.74402449157186</v>
      </c>
      <c r="E100" s="53">
        <v>20.46620318855569</v>
      </c>
      <c r="F100" s="53">
        <v>22.146579498907073</v>
      </c>
      <c r="G100" s="53">
        <v>23.860342981560407</v>
      </c>
    </row>
    <row r="101">
      <c r="B101" s="56" t="n">
        <v>1250</v>
      </c>
      <c r="C101" s="53">
        <v>19.93210091680476</v>
      </c>
      <c r="D101" s="53">
        <v>22.08908677000775</v>
      </c>
      <c r="E101" s="53">
        <v>24.184023567480992</v>
      </c>
      <c r="F101" s="53">
        <v>26.286714559561297</v>
      </c>
      <c r="G101" s="53">
        <v>28.346375128653573</v>
      </c>
    </row>
    <row r="102">
      <c r="B102" s="56" t="n">
        <v>1500</v>
      </c>
      <c r="C102" s="53">
        <v>22.8187153016289</v>
      </c>
      <c r="D102" s="53">
        <v>25.332502114389538</v>
      </c>
      <c r="E102" s="53">
        <v>27.852449388197147</v>
      </c>
      <c r="F102" s="53">
        <v>30.33160648736774</v>
      </c>
      <c r="G102" s="53">
        <v>32.83917181575122</v>
      </c>
    </row>
    <row r="103">
      <c r="B103" s="56" t="n">
        <v>2000</v>
      </c>
      <c r="C103" s="53">
        <v>28.468183467054278</v>
      </c>
      <c r="D103" s="53">
        <v>31.78658164434468</v>
      </c>
      <c r="E103" s="53">
        <v>35.10731151042806</v>
      </c>
      <c r="F103" s="53">
        <v>38.348133978780375</v>
      </c>
      <c r="G103" s="53">
        <v>41.57019020119184</v>
      </c>
    </row>
    <row r="105">
      <c r="A105" s="30" t="inlineStr">
        <is>
          <t>rNPV / share: discount rate × scenario</t>
        </is>
      </c>
    </row>
    <row r="106">
      <c r="C106" s="25" t="inlineStr">
        <is>
          <t>Scenario →</t>
        </is>
      </c>
    </row>
    <row r="107">
      <c r="A107" s="25" t="inlineStr">
        <is>
          <t>Discount rate ↓</t>
        </is>
      </c>
      <c r="B107" s="47">
        <f>NPV!C43</f>
        <v>23.020628641109727</v>
      </c>
      <c r="C107" s="38" t="n">
        <v>1</v>
      </c>
      <c r="D107" s="38" t="n">
        <v>2</v>
      </c>
      <c r="E107" s="38" t="n">
        <v>3</v>
      </c>
      <c r="F107" s="25" t="inlineStr">
        <is>
          <t>1 = Bear, 2 = Base, 3 = Bull</t>
        </is>
      </c>
    </row>
    <row r="108">
      <c r="B108" s="58" t="n">
        <v>0.09</v>
      </c>
      <c r="C108" s="53">
        <f t="dataTable" ref="C108:E114" dt2D="1" r1="B4" r2="B6"/>
        <v>13.088670905094224</v>
      </c>
      <c r="D108" s="53">
        <v>27.85476789879134</v>
      </c>
      <c r="E108" s="53">
        <v>53.61282339831443</v>
      </c>
    </row>
    <row r="109">
      <c r="B109" s="58" t="n">
        <v>0.1</v>
      </c>
      <c r="C109" s="53">
        <v>12.291442160856915</v>
      </c>
      <c r="D109" s="53">
        <v>26.08346940373912</v>
      </c>
      <c r="E109" s="53">
        <v>49.99977085527415</v>
      </c>
    </row>
    <row r="110">
      <c r="B110" s="58" t="n">
        <v>0.11</v>
      </c>
      <c r="C110" s="53">
        <v>11.57002163437091</v>
      </c>
      <c r="D110" s="53">
        <v>24.478069823722166</v>
      </c>
      <c r="E110" s="53">
        <v>46.72354920536285</v>
      </c>
    </row>
    <row r="111">
      <c r="B111" s="58" t="n">
        <v>0.12</v>
      </c>
      <c r="C111" s="53">
        <v>10.91628553180479</v>
      </c>
      <c r="D111" s="53">
        <v>23.020628641109727</v>
      </c>
      <c r="E111" s="53">
        <v>43.74759947961307</v>
      </c>
    </row>
    <row r="112">
      <c r="B112" s="58" t="n">
        <v>0.13</v>
      </c>
      <c r="C112" s="53">
        <v>10.32307912397912</v>
      </c>
      <c r="D112" s="53">
        <v>21.695377425364505</v>
      </c>
      <c r="E112" s="53">
        <v>41.039807109135836</v>
      </c>
    </row>
    <row r="113">
      <c r="B113" s="58" t="n">
        <v>0.14</v>
      </c>
      <c r="C113" s="53">
        <v>9.784090183458215</v>
      </c>
      <c r="D113" s="53">
        <v>20.48843183164387</v>
      </c>
      <c r="E113" s="53">
        <v>38.57191072006663</v>
      </c>
    </row>
    <row r="114">
      <c r="B114" s="58" t="n">
        <v>0.15</v>
      </c>
      <c r="C114" s="53">
        <v>9.293740283837053</v>
      </c>
      <c r="D114" s="53">
        <v>19.38754478651298</v>
      </c>
      <c r="E114" s="53">
        <v>36.318995706818214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style="9" min="1" max="1"/>
    <col width="2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</cols>
  <sheetData>
    <row r="1">
      <c r="A1" s="22" t="inlineStr">
        <is>
          <t>MLYS — risk-adjusted program build ($mm)</t>
        </is>
      </c>
    </row>
    <row r="2">
      <c r="A2" s="23" t="inlineStr">
        <is>
          <t>Year</t>
        </is>
      </c>
      <c r="C2" s="23" t="n">
        <v>2027</v>
      </c>
      <c r="D2" s="23" t="n">
        <v>2028</v>
      </c>
      <c r="E2" s="23" t="n">
        <v>2029</v>
      </c>
      <c r="F2" s="23" t="n">
        <v>2030</v>
      </c>
      <c r="G2" s="23" t="n">
        <v>2031</v>
      </c>
      <c r="H2" s="23" t="n">
        <v>2032</v>
      </c>
      <c r="I2" s="23" t="n">
        <v>2033</v>
      </c>
      <c r="J2" s="23" t="n">
        <v>2034</v>
      </c>
      <c r="K2" s="23" t="n">
        <v>2035</v>
      </c>
      <c r="L2" s="23" t="n">
        <v>2036</v>
      </c>
      <c r="M2" s="23" t="n">
        <v>2037</v>
      </c>
      <c r="N2" s="23" t="n">
        <v>2038</v>
      </c>
      <c r="O2" s="23" t="n">
        <v>2039</v>
      </c>
      <c r="P2" s="23" t="n">
        <v>2040</v>
      </c>
      <c r="Q2" s="23" t="n">
        <v>2041</v>
      </c>
      <c r="R2" s="23" t="n">
        <v>2042</v>
      </c>
      <c r="S2" s="23" t="n">
        <v>2043</v>
      </c>
      <c r="T2" s="23" t="n">
        <v>2044</v>
      </c>
      <c r="U2" s="23" t="n">
        <v>2045</v>
      </c>
      <c r="V2" s="23" t="n">
        <v>2046</v>
      </c>
      <c r="W2" s="23" t="n">
        <v>2047</v>
      </c>
      <c r="X2" s="23" t="n">
        <v>2048</v>
      </c>
      <c r="Y2" s="23" t="n">
        <v>2049</v>
      </c>
      <c r="Z2" s="23" t="n">
        <v>2050</v>
      </c>
    </row>
    <row r="4">
      <c r="A4" s="30" t="inlineStr">
        <is>
          <t>Lorundrostat — uncontrolled / resistant hypertension</t>
        </is>
      </c>
    </row>
    <row r="5">
      <c r="A5" s="13" t="inlineStr">
        <is>
          <t>Years since launch (approved on time)</t>
        </is>
      </c>
      <c r="C5" s="63">
        <f>C$2-Assumptions!$B$47+1</f>
        <v>1.0</v>
      </c>
      <c r="D5" s="63">
        <f>D$2-Assumptions!$B$47+1</f>
        <v>2.0</v>
      </c>
      <c r="E5" s="63">
        <f>E$2-Assumptions!$B$47+1</f>
        <v>3.0</v>
      </c>
      <c r="F5" s="63">
        <f>F$2-Assumptions!$B$47+1</f>
        <v>4.0</v>
      </c>
      <c r="G5" s="63">
        <f>G$2-Assumptions!$B$47+1</f>
        <v>5.0</v>
      </c>
      <c r="H5" s="63">
        <f>H$2-Assumptions!$B$47+1</f>
        <v>6.0</v>
      </c>
      <c r="I5" s="63">
        <f>I$2-Assumptions!$B$47+1</f>
        <v>7.0</v>
      </c>
      <c r="J5" s="63">
        <f>J$2-Assumptions!$B$47+1</f>
        <v>8.0</v>
      </c>
      <c r="K5" s="63">
        <f>K$2-Assumptions!$B$47+1</f>
        <v>9.0</v>
      </c>
      <c r="L5" s="63">
        <f>L$2-Assumptions!$B$47+1</f>
        <v>10.0</v>
      </c>
      <c r="M5" s="63">
        <f>M$2-Assumptions!$B$47+1</f>
        <v>11.0</v>
      </c>
      <c r="N5" s="63">
        <f>N$2-Assumptions!$B$47+1</f>
        <v>12.0</v>
      </c>
      <c r="O5" s="63">
        <f>O$2-Assumptions!$B$47+1</f>
        <v>13.0</v>
      </c>
      <c r="P5" s="63">
        <f>P$2-Assumptions!$B$47+1</f>
        <v>14.0</v>
      </c>
      <c r="Q5" s="63">
        <f>Q$2-Assumptions!$B$47+1</f>
        <v>15.0</v>
      </c>
      <c r="R5" s="63">
        <f>R$2-Assumptions!$B$47+1</f>
        <v>16.0</v>
      </c>
      <c r="S5" s="63">
        <f>S$2-Assumptions!$B$47+1</f>
        <v>17.0</v>
      </c>
      <c r="T5" s="63">
        <f>T$2-Assumptions!$B$47+1</f>
        <v>18.0</v>
      </c>
      <c r="U5" s="63">
        <f>U$2-Assumptions!$B$47+1</f>
        <v>19.0</v>
      </c>
      <c r="V5" s="63">
        <f>V$2-Assumptions!$B$47+1</f>
        <v>20.0</v>
      </c>
      <c r="W5" s="63">
        <f>W$2-Assumptions!$B$47+1</f>
        <v>21.0</v>
      </c>
      <c r="X5" s="63">
        <f>X$2-Assumptions!$B$47+1</f>
        <v>22.0</v>
      </c>
      <c r="Y5" s="63">
        <f>Y$2-Assumptions!$B$47+1</f>
        <v>23.0</v>
      </c>
      <c r="Z5" s="63">
        <f>Z$2-Assumptions!$B$47+1</f>
        <v>24.0</v>
      </c>
    </row>
    <row r="6">
      <c r="A6" s="13" t="inlineStr">
        <is>
          <t>Net sales, unrisked (approved on time)</t>
        </is>
      </c>
      <c r="C6" s="52">
        <f>IF(C$2&gt;Assumptions!$B$56,0*(1-Assumptions!$B$57),IF(C5&gt;=1,Assumptions!$B$48*CHOOSE(Assumptions!$B$55,INDEX(Assumptions!$B$42:$H$42,MIN(C5,7)),INDEX(Assumptions!$B$43:$H$43,MIN(C5,7))),0))</f>
        <v>100.0</v>
      </c>
      <c r="D6" s="52">
        <f>IF(D$2&gt;Assumptions!$B$56,C6*(1-Assumptions!$B$57),IF(D5&gt;=1,Assumptions!$B$48*CHOOSE(Assumptions!$B$55,INDEX(Assumptions!$B$42:$H$42,MIN(D5,7)),INDEX(Assumptions!$B$43:$H$43,MIN(D5,7))),0))</f>
        <v>250.0</v>
      </c>
      <c r="E6" s="52">
        <f>IF(E$2&gt;Assumptions!$B$56,D6*(1-Assumptions!$B$57),IF(E5&gt;=1,Assumptions!$B$48*CHOOSE(Assumptions!$B$55,INDEX(Assumptions!$B$42:$H$42,MIN(E5,7)),INDEX(Assumptions!$B$43:$H$43,MIN(E5,7))),0))</f>
        <v>450.0</v>
      </c>
      <c r="F6" s="52">
        <f>IF(F$2&gt;Assumptions!$B$56,E6*(1-Assumptions!$B$57),IF(F5&gt;=1,Assumptions!$B$48*CHOOSE(Assumptions!$B$55,INDEX(Assumptions!$B$42:$H$42,MIN(F5,7)),INDEX(Assumptions!$B$43:$H$43,MIN(F5,7))),0))</f>
        <v>650.0</v>
      </c>
      <c r="G6" s="52">
        <f>IF(G$2&gt;Assumptions!$B$56,F6*(1-Assumptions!$B$57),IF(G5&gt;=1,Assumptions!$B$48*CHOOSE(Assumptions!$B$55,INDEX(Assumptions!$B$42:$H$42,MIN(G5,7)),INDEX(Assumptions!$B$43:$H$43,MIN(G5,7))),0))</f>
        <v>820.0</v>
      </c>
      <c r="H6" s="52">
        <f>IF(H$2&gt;Assumptions!$B$56,G6*(1-Assumptions!$B$57),IF(H5&gt;=1,Assumptions!$B$48*CHOOSE(Assumptions!$B$55,INDEX(Assumptions!$B$42:$H$42,MIN(H5,7)),INDEX(Assumptions!$B$43:$H$43,MIN(H5,7))),0))</f>
        <v>930.0</v>
      </c>
      <c r="I6" s="52">
        <f>IF(I$2&gt;Assumptions!$B$56,H6*(1-Assumptions!$B$57),IF(I5&gt;=1,Assumptions!$B$48*CHOOSE(Assumptions!$B$55,INDEX(Assumptions!$B$42:$H$42,MIN(I5,7)),INDEX(Assumptions!$B$43:$H$43,MIN(I5,7))),0))</f>
        <v>1000.0</v>
      </c>
      <c r="J6" s="52">
        <f>IF(J$2&gt;Assumptions!$B$56,I6*(1-Assumptions!$B$57),IF(J5&gt;=1,Assumptions!$B$48*CHOOSE(Assumptions!$B$55,INDEX(Assumptions!$B$42:$H$42,MIN(J5,7)),INDEX(Assumptions!$B$43:$H$43,MIN(J5,7))),0))</f>
        <v>1000.0</v>
      </c>
      <c r="K6" s="52">
        <f>IF(K$2&gt;Assumptions!$B$56,J6*(1-Assumptions!$B$57),IF(K5&gt;=1,Assumptions!$B$48*CHOOSE(Assumptions!$B$55,INDEX(Assumptions!$B$42:$H$42,MIN(K5,7)),INDEX(Assumptions!$B$43:$H$43,MIN(K5,7))),0))</f>
        <v>1000.0</v>
      </c>
      <c r="L6" s="52">
        <f>IF(L$2&gt;Assumptions!$B$56,K6*(1-Assumptions!$B$57),IF(L5&gt;=1,Assumptions!$B$48*CHOOSE(Assumptions!$B$55,INDEX(Assumptions!$B$42:$H$42,MIN(L5,7)),INDEX(Assumptions!$B$43:$H$43,MIN(L5,7))),0))</f>
        <v>1000.0</v>
      </c>
      <c r="M6" s="52">
        <f>IF(M$2&gt;Assumptions!$B$56,L6*(1-Assumptions!$B$57),IF(M5&gt;=1,Assumptions!$B$48*CHOOSE(Assumptions!$B$55,INDEX(Assumptions!$B$42:$H$42,MIN(M5,7)),INDEX(Assumptions!$B$43:$H$43,MIN(M5,7))),0))</f>
        <v>1000.0</v>
      </c>
      <c r="N6" s="52">
        <f>IF(N$2&gt;Assumptions!$B$56,M6*(1-Assumptions!$B$57),IF(N5&gt;=1,Assumptions!$B$48*CHOOSE(Assumptions!$B$55,INDEX(Assumptions!$B$42:$H$42,MIN(N5,7)),INDEX(Assumptions!$B$43:$H$43,MIN(N5,7))),0))</f>
        <v>1000.0</v>
      </c>
      <c r="O6" s="52">
        <f>IF(O$2&gt;Assumptions!$B$56,N6*(1-Assumptions!$B$57),IF(O5&gt;=1,Assumptions!$B$48*CHOOSE(Assumptions!$B$55,INDEX(Assumptions!$B$42:$H$42,MIN(O5,7)),INDEX(Assumptions!$B$43:$H$43,MIN(O5,7))),0))</f>
        <v>1000.0</v>
      </c>
      <c r="P6" s="52">
        <f>IF(P$2&gt;Assumptions!$B$56,O6*(1-Assumptions!$B$57),IF(P5&gt;=1,Assumptions!$B$48*CHOOSE(Assumptions!$B$55,INDEX(Assumptions!$B$42:$H$42,MIN(P5,7)),INDEX(Assumptions!$B$43:$H$43,MIN(P5,7))),0))</f>
        <v>1000.0</v>
      </c>
      <c r="Q6" s="52">
        <f>IF(Q$2&gt;Assumptions!$B$56,P6*(1-Assumptions!$B$57),IF(Q5&gt;=1,Assumptions!$B$48*CHOOSE(Assumptions!$B$55,INDEX(Assumptions!$B$42:$H$42,MIN(Q5,7)),INDEX(Assumptions!$B$43:$H$43,MIN(Q5,7))),0))</f>
        <v>400.0</v>
      </c>
      <c r="R6" s="52">
        <f>IF(R$2&gt;Assumptions!$B$56,Q6*(1-Assumptions!$B$57),IF(R5&gt;=1,Assumptions!$B$48*CHOOSE(Assumptions!$B$55,INDEX(Assumptions!$B$42:$H$42,MIN(R5,7)),INDEX(Assumptions!$B$43:$H$43,MIN(R5,7))),0))</f>
        <v>160.0</v>
      </c>
      <c r="S6" s="52">
        <f>IF(S$2&gt;Assumptions!$B$56,R6*(1-Assumptions!$B$57),IF(S5&gt;=1,Assumptions!$B$48*CHOOSE(Assumptions!$B$55,INDEX(Assumptions!$B$42:$H$42,MIN(S5,7)),INDEX(Assumptions!$B$43:$H$43,MIN(S5,7))),0))</f>
        <v>64.0</v>
      </c>
      <c r="T6" s="52">
        <f>IF(T$2&gt;Assumptions!$B$56,S6*(1-Assumptions!$B$57),IF(T5&gt;=1,Assumptions!$B$48*CHOOSE(Assumptions!$B$55,INDEX(Assumptions!$B$42:$H$42,MIN(T5,7)),INDEX(Assumptions!$B$43:$H$43,MIN(T5,7))),0))</f>
        <v>25.6</v>
      </c>
      <c r="U6" s="52">
        <f>IF(U$2&gt;Assumptions!$B$56,T6*(1-Assumptions!$B$57),IF(U5&gt;=1,Assumptions!$B$48*CHOOSE(Assumptions!$B$55,INDEX(Assumptions!$B$42:$H$42,MIN(U5,7)),INDEX(Assumptions!$B$43:$H$43,MIN(U5,7))),0))</f>
        <v>10.240000000000002</v>
      </c>
      <c r="V6" s="52">
        <f>IF(V$2&gt;Assumptions!$B$56,U6*(1-Assumptions!$B$57),IF(V5&gt;=1,Assumptions!$B$48*CHOOSE(Assumptions!$B$55,INDEX(Assumptions!$B$42:$H$42,MIN(V5,7)),INDEX(Assumptions!$B$43:$H$43,MIN(V5,7))),0))</f>
        <v>4.096000000000001</v>
      </c>
      <c r="W6" s="52">
        <f>IF(W$2&gt;Assumptions!$B$56,V6*(1-Assumptions!$B$57),IF(W5&gt;=1,Assumptions!$B$48*CHOOSE(Assumptions!$B$55,INDEX(Assumptions!$B$42:$H$42,MIN(W5,7)),INDEX(Assumptions!$B$43:$H$43,MIN(W5,7))),0))</f>
        <v>1.6384000000000005</v>
      </c>
      <c r="X6" s="52">
        <f>IF(X$2&gt;Assumptions!$B$56,W6*(1-Assumptions!$B$57),IF(X5&gt;=1,Assumptions!$B$48*CHOOSE(Assumptions!$B$55,INDEX(Assumptions!$B$42:$H$42,MIN(X5,7)),INDEX(Assumptions!$B$43:$H$43,MIN(X5,7))),0))</f>
        <v>0.6553600000000003</v>
      </c>
      <c r="Y6" s="52">
        <f>IF(Y$2&gt;Assumptions!$B$56,X6*(1-Assumptions!$B$57),IF(Y5&gt;=1,Assumptions!$B$48*CHOOSE(Assumptions!$B$55,INDEX(Assumptions!$B$42:$H$42,MIN(Y5,7)),INDEX(Assumptions!$B$43:$H$43,MIN(Y5,7))),0))</f>
        <v>0.2621440000000001</v>
      </c>
      <c r="Z6" s="52">
        <f>IF(Z$2&gt;Assumptions!$B$56,Y6*(1-Assumptions!$B$57),IF(Z5&gt;=1,Assumptions!$B$48*CHOOSE(Assumptions!$B$55,INDEX(Assumptions!$B$42:$H$42,MIN(Z5,7)),INDEX(Assumptions!$B$43:$H$43,MIN(Z5,7))),0))</f>
        <v>0.10485760000000005</v>
      </c>
    </row>
    <row r="7">
      <c r="A7" s="13" t="inlineStr">
        <is>
          <t>Years since launch (approved after a CRL)</t>
        </is>
      </c>
      <c r="C7" s="63">
        <f>C$2-(Assumptions!$B$47+Assumptions!$B$34)+1</f>
        <v>0.0</v>
      </c>
      <c r="D7" s="63">
        <f>D$2-(Assumptions!$B$47+Assumptions!$B$34)+1</f>
        <v>1.0</v>
      </c>
      <c r="E7" s="63">
        <f>E$2-(Assumptions!$B$47+Assumptions!$B$34)+1</f>
        <v>2.0</v>
      </c>
      <c r="F7" s="63">
        <f>F$2-(Assumptions!$B$47+Assumptions!$B$34)+1</f>
        <v>3.0</v>
      </c>
      <c r="G7" s="63">
        <f>G$2-(Assumptions!$B$47+Assumptions!$B$34)+1</f>
        <v>4.0</v>
      </c>
      <c r="H7" s="63">
        <f>H$2-(Assumptions!$B$47+Assumptions!$B$34)+1</f>
        <v>5.0</v>
      </c>
      <c r="I7" s="63">
        <f>I$2-(Assumptions!$B$47+Assumptions!$B$34)+1</f>
        <v>6.0</v>
      </c>
      <c r="J7" s="63">
        <f>J$2-(Assumptions!$B$47+Assumptions!$B$34)+1</f>
        <v>7.0</v>
      </c>
      <c r="K7" s="63">
        <f>K$2-(Assumptions!$B$47+Assumptions!$B$34)+1</f>
        <v>8.0</v>
      </c>
      <c r="L7" s="63">
        <f>L$2-(Assumptions!$B$47+Assumptions!$B$34)+1</f>
        <v>9.0</v>
      </c>
      <c r="M7" s="63">
        <f>M$2-(Assumptions!$B$47+Assumptions!$B$34)+1</f>
        <v>10.0</v>
      </c>
      <c r="N7" s="63">
        <f>N$2-(Assumptions!$B$47+Assumptions!$B$34)+1</f>
        <v>11.0</v>
      </c>
      <c r="O7" s="63">
        <f>O$2-(Assumptions!$B$47+Assumptions!$B$34)+1</f>
        <v>12.0</v>
      </c>
      <c r="P7" s="63">
        <f>P$2-(Assumptions!$B$47+Assumptions!$B$34)+1</f>
        <v>13.0</v>
      </c>
      <c r="Q7" s="63">
        <f>Q$2-(Assumptions!$B$47+Assumptions!$B$34)+1</f>
        <v>14.0</v>
      </c>
      <c r="R7" s="63">
        <f>R$2-(Assumptions!$B$47+Assumptions!$B$34)+1</f>
        <v>15.0</v>
      </c>
      <c r="S7" s="63">
        <f>S$2-(Assumptions!$B$47+Assumptions!$B$34)+1</f>
        <v>16.0</v>
      </c>
      <c r="T7" s="63">
        <f>T$2-(Assumptions!$B$47+Assumptions!$B$34)+1</f>
        <v>17.0</v>
      </c>
      <c r="U7" s="63">
        <f>U$2-(Assumptions!$B$47+Assumptions!$B$34)+1</f>
        <v>18.0</v>
      </c>
      <c r="V7" s="63">
        <f>V$2-(Assumptions!$B$47+Assumptions!$B$34)+1</f>
        <v>19.0</v>
      </c>
      <c r="W7" s="63">
        <f>W$2-(Assumptions!$B$47+Assumptions!$B$34)+1</f>
        <v>20.0</v>
      </c>
      <c r="X7" s="63">
        <f>X$2-(Assumptions!$B$47+Assumptions!$B$34)+1</f>
        <v>21.0</v>
      </c>
      <c r="Y7" s="63">
        <f>Y$2-(Assumptions!$B$47+Assumptions!$B$34)+1</f>
        <v>22.0</v>
      </c>
      <c r="Z7" s="63">
        <f>Z$2-(Assumptions!$B$47+Assumptions!$B$34)+1</f>
        <v>23.0</v>
      </c>
    </row>
    <row r="8">
      <c r="A8" s="13" t="inlineStr">
        <is>
          <t>Net sales, unrisked (approved after a CRL)</t>
        </is>
      </c>
      <c r="C8" s="52">
        <f>IF(C$2&gt;Assumptions!$B$56,0*(1-Assumptions!$B$57),IF(C7&gt;=1,Assumptions!$B$48*CHOOSE(Assumptions!$B$55,INDEX(Assumptions!$B$42:$H$42,MIN(C7,7)),INDEX(Assumptions!$B$43:$H$43,MIN(C7,7))),0))</f>
        <v>0</v>
      </c>
      <c r="D8" s="52">
        <f>IF(D$2&gt;Assumptions!$B$56,C8*(1-Assumptions!$B$57),IF(D7&gt;=1,Assumptions!$B$48*CHOOSE(Assumptions!$B$55,INDEX(Assumptions!$B$42:$H$42,MIN(D7,7)),INDEX(Assumptions!$B$43:$H$43,MIN(D7,7))),0))</f>
        <v>100.0</v>
      </c>
      <c r="E8" s="52">
        <f>IF(E$2&gt;Assumptions!$B$56,D8*(1-Assumptions!$B$57),IF(E7&gt;=1,Assumptions!$B$48*CHOOSE(Assumptions!$B$55,INDEX(Assumptions!$B$42:$H$42,MIN(E7,7)),INDEX(Assumptions!$B$43:$H$43,MIN(E7,7))),0))</f>
        <v>250.0</v>
      </c>
      <c r="F8" s="52">
        <f>IF(F$2&gt;Assumptions!$B$56,E8*(1-Assumptions!$B$57),IF(F7&gt;=1,Assumptions!$B$48*CHOOSE(Assumptions!$B$55,INDEX(Assumptions!$B$42:$H$42,MIN(F7,7)),INDEX(Assumptions!$B$43:$H$43,MIN(F7,7))),0))</f>
        <v>450.0</v>
      </c>
      <c r="G8" s="52">
        <f>IF(G$2&gt;Assumptions!$B$56,F8*(1-Assumptions!$B$57),IF(G7&gt;=1,Assumptions!$B$48*CHOOSE(Assumptions!$B$55,INDEX(Assumptions!$B$42:$H$42,MIN(G7,7)),INDEX(Assumptions!$B$43:$H$43,MIN(G7,7))),0))</f>
        <v>650.0</v>
      </c>
      <c r="H8" s="52">
        <f>IF(H$2&gt;Assumptions!$B$56,G8*(1-Assumptions!$B$57),IF(H7&gt;=1,Assumptions!$B$48*CHOOSE(Assumptions!$B$55,INDEX(Assumptions!$B$42:$H$42,MIN(H7,7)),INDEX(Assumptions!$B$43:$H$43,MIN(H7,7))),0))</f>
        <v>820.0</v>
      </c>
      <c r="I8" s="52">
        <f>IF(I$2&gt;Assumptions!$B$56,H8*(1-Assumptions!$B$57),IF(I7&gt;=1,Assumptions!$B$48*CHOOSE(Assumptions!$B$55,INDEX(Assumptions!$B$42:$H$42,MIN(I7,7)),INDEX(Assumptions!$B$43:$H$43,MIN(I7,7))),0))</f>
        <v>930.0</v>
      </c>
      <c r="J8" s="52">
        <f>IF(J$2&gt;Assumptions!$B$56,I8*(1-Assumptions!$B$57),IF(J7&gt;=1,Assumptions!$B$48*CHOOSE(Assumptions!$B$55,INDEX(Assumptions!$B$42:$H$42,MIN(J7,7)),INDEX(Assumptions!$B$43:$H$43,MIN(J7,7))),0))</f>
        <v>1000.0</v>
      </c>
      <c r="K8" s="52">
        <f>IF(K$2&gt;Assumptions!$B$56,J8*(1-Assumptions!$B$57),IF(K7&gt;=1,Assumptions!$B$48*CHOOSE(Assumptions!$B$55,INDEX(Assumptions!$B$42:$H$42,MIN(K7,7)),INDEX(Assumptions!$B$43:$H$43,MIN(K7,7))),0))</f>
        <v>1000.0</v>
      </c>
      <c r="L8" s="52">
        <f>IF(L$2&gt;Assumptions!$B$56,K8*(1-Assumptions!$B$57),IF(L7&gt;=1,Assumptions!$B$48*CHOOSE(Assumptions!$B$55,INDEX(Assumptions!$B$42:$H$42,MIN(L7,7)),INDEX(Assumptions!$B$43:$H$43,MIN(L7,7))),0))</f>
        <v>1000.0</v>
      </c>
      <c r="M8" s="52">
        <f>IF(M$2&gt;Assumptions!$B$56,L8*(1-Assumptions!$B$57),IF(M7&gt;=1,Assumptions!$B$48*CHOOSE(Assumptions!$B$55,INDEX(Assumptions!$B$42:$H$42,MIN(M7,7)),INDEX(Assumptions!$B$43:$H$43,MIN(M7,7))),0))</f>
        <v>1000.0</v>
      </c>
      <c r="N8" s="52">
        <f>IF(N$2&gt;Assumptions!$B$56,M8*(1-Assumptions!$B$57),IF(N7&gt;=1,Assumptions!$B$48*CHOOSE(Assumptions!$B$55,INDEX(Assumptions!$B$42:$H$42,MIN(N7,7)),INDEX(Assumptions!$B$43:$H$43,MIN(N7,7))),0))</f>
        <v>1000.0</v>
      </c>
      <c r="O8" s="52">
        <f>IF(O$2&gt;Assumptions!$B$56,N8*(1-Assumptions!$B$57),IF(O7&gt;=1,Assumptions!$B$48*CHOOSE(Assumptions!$B$55,INDEX(Assumptions!$B$42:$H$42,MIN(O7,7)),INDEX(Assumptions!$B$43:$H$43,MIN(O7,7))),0))</f>
        <v>1000.0</v>
      </c>
      <c r="P8" s="52">
        <f>IF(P$2&gt;Assumptions!$B$56,O8*(1-Assumptions!$B$57),IF(P7&gt;=1,Assumptions!$B$48*CHOOSE(Assumptions!$B$55,INDEX(Assumptions!$B$42:$H$42,MIN(P7,7)),INDEX(Assumptions!$B$43:$H$43,MIN(P7,7))),0))</f>
        <v>1000.0</v>
      </c>
      <c r="Q8" s="52">
        <f>IF(Q$2&gt;Assumptions!$B$56,P8*(1-Assumptions!$B$57),IF(Q7&gt;=1,Assumptions!$B$48*CHOOSE(Assumptions!$B$55,INDEX(Assumptions!$B$42:$H$42,MIN(Q7,7)),INDEX(Assumptions!$B$43:$H$43,MIN(Q7,7))),0))</f>
        <v>400.0</v>
      </c>
      <c r="R8" s="52">
        <f>IF(R$2&gt;Assumptions!$B$56,Q8*(1-Assumptions!$B$57),IF(R7&gt;=1,Assumptions!$B$48*CHOOSE(Assumptions!$B$55,INDEX(Assumptions!$B$42:$H$42,MIN(R7,7)),INDEX(Assumptions!$B$43:$H$43,MIN(R7,7))),0))</f>
        <v>160.0</v>
      </c>
      <c r="S8" s="52">
        <f>IF(S$2&gt;Assumptions!$B$56,R8*(1-Assumptions!$B$57),IF(S7&gt;=1,Assumptions!$B$48*CHOOSE(Assumptions!$B$55,INDEX(Assumptions!$B$42:$H$42,MIN(S7,7)),INDEX(Assumptions!$B$43:$H$43,MIN(S7,7))),0))</f>
        <v>64.0</v>
      </c>
      <c r="T8" s="52">
        <f>IF(T$2&gt;Assumptions!$B$56,S8*(1-Assumptions!$B$57),IF(T7&gt;=1,Assumptions!$B$48*CHOOSE(Assumptions!$B$55,INDEX(Assumptions!$B$42:$H$42,MIN(T7,7)),INDEX(Assumptions!$B$43:$H$43,MIN(T7,7))),0))</f>
        <v>25.6</v>
      </c>
      <c r="U8" s="52">
        <f>IF(U$2&gt;Assumptions!$B$56,T8*(1-Assumptions!$B$57),IF(U7&gt;=1,Assumptions!$B$48*CHOOSE(Assumptions!$B$55,INDEX(Assumptions!$B$42:$H$42,MIN(U7,7)),INDEX(Assumptions!$B$43:$H$43,MIN(U7,7))),0))</f>
        <v>10.240000000000002</v>
      </c>
      <c r="V8" s="52">
        <f>IF(V$2&gt;Assumptions!$B$56,U8*(1-Assumptions!$B$57),IF(V7&gt;=1,Assumptions!$B$48*CHOOSE(Assumptions!$B$55,INDEX(Assumptions!$B$42:$H$42,MIN(V7,7)),INDEX(Assumptions!$B$43:$H$43,MIN(V7,7))),0))</f>
        <v>4.096000000000001</v>
      </c>
      <c r="W8" s="52">
        <f>IF(W$2&gt;Assumptions!$B$56,V8*(1-Assumptions!$B$57),IF(W7&gt;=1,Assumptions!$B$48*CHOOSE(Assumptions!$B$55,INDEX(Assumptions!$B$42:$H$42,MIN(W7,7)),INDEX(Assumptions!$B$43:$H$43,MIN(W7,7))),0))</f>
        <v>1.6384000000000005</v>
      </c>
      <c r="X8" s="52">
        <f>IF(X$2&gt;Assumptions!$B$56,W8*(1-Assumptions!$B$57),IF(X7&gt;=1,Assumptions!$B$48*CHOOSE(Assumptions!$B$55,INDEX(Assumptions!$B$42:$H$42,MIN(X7,7)),INDEX(Assumptions!$B$43:$H$43,MIN(X7,7))),0))</f>
        <v>0.6553600000000003</v>
      </c>
      <c r="Y8" s="52">
        <f>IF(Y$2&gt;Assumptions!$B$56,X8*(1-Assumptions!$B$57),IF(Y7&gt;=1,Assumptions!$B$48*CHOOSE(Assumptions!$B$55,INDEX(Assumptions!$B$42:$H$42,MIN(Y7,7)),INDEX(Assumptions!$B$43:$H$43,MIN(Y7,7))),0))</f>
        <v>0.2621440000000001</v>
      </c>
      <c r="Z8" s="52">
        <f>IF(Z$2&gt;Assumptions!$B$56,Y8*(1-Assumptions!$B$57),IF(Z7&gt;=1,Assumptions!$B$48*CHOOSE(Assumptions!$B$55,INDEX(Assumptions!$B$42:$H$42,MIN(Z7,7)),INDEX(Assumptions!$B$43:$H$43,MIN(Z7,7))),0))</f>
        <v>0.10485760000000005</v>
      </c>
    </row>
    <row r="9">
      <c r="A9" s="13" t="inlineStr">
        <is>
          <t>Product net sales, risk-adjusted</t>
        </is>
      </c>
      <c r="C9" s="52">
        <f>Assumptions!$B$32*C6+(1-Assumptions!$B$32)*Assumptions!$B$33*C8</f>
        <v>88.0</v>
      </c>
      <c r="D9" s="52">
        <f>Assumptions!$B$32*D6+(1-Assumptions!$B$32)*Assumptions!$B$33*D8</f>
        <v>229.0</v>
      </c>
      <c r="E9" s="52">
        <f>Assumptions!$B$32*E6+(1-Assumptions!$B$32)*Assumptions!$B$33*E8</f>
        <v>418.5</v>
      </c>
      <c r="F9" s="52">
        <f>Assumptions!$B$32*F6+(1-Assumptions!$B$32)*Assumptions!$B$33*F8</f>
        <v>612.5</v>
      </c>
      <c r="G9" s="52">
        <f>Assumptions!$B$32*G6+(1-Assumptions!$B$32)*Assumptions!$B$33*G8</f>
        <v>780.1</v>
      </c>
      <c r="H9" s="52">
        <f>Assumptions!$B$32*H6+(1-Assumptions!$B$32)*Assumptions!$B$33*H8</f>
        <v>892.1999999999999</v>
      </c>
      <c r="I9" s="52">
        <f>Assumptions!$B$32*I6+(1-Assumptions!$B$32)*Assumptions!$B$33*I8</f>
        <v>963.7</v>
      </c>
      <c r="J9" s="52">
        <f>Assumptions!$B$32*J6+(1-Assumptions!$B$32)*Assumptions!$B$33*J8</f>
        <v>970.0</v>
      </c>
      <c r="K9" s="52">
        <f>Assumptions!$B$32*K6+(1-Assumptions!$B$32)*Assumptions!$B$33*K8</f>
        <v>970.0</v>
      </c>
      <c r="L9" s="52">
        <f>Assumptions!$B$32*L6+(1-Assumptions!$B$32)*Assumptions!$B$33*L8</f>
        <v>970.0</v>
      </c>
      <c r="M9" s="52">
        <f>Assumptions!$B$32*M6+(1-Assumptions!$B$32)*Assumptions!$B$33*M8</f>
        <v>970.0</v>
      </c>
      <c r="N9" s="52">
        <f>Assumptions!$B$32*N6+(1-Assumptions!$B$32)*Assumptions!$B$33*N8</f>
        <v>970.0</v>
      </c>
      <c r="O9" s="52">
        <f>Assumptions!$B$32*O6+(1-Assumptions!$B$32)*Assumptions!$B$33*O8</f>
        <v>970.0</v>
      </c>
      <c r="P9" s="52">
        <f>Assumptions!$B$32*P6+(1-Assumptions!$B$32)*Assumptions!$B$33*P8</f>
        <v>970.0</v>
      </c>
      <c r="Q9" s="52">
        <f>Assumptions!$B$32*Q6+(1-Assumptions!$B$32)*Assumptions!$B$33*Q8</f>
        <v>388.0</v>
      </c>
      <c r="R9" s="52">
        <f>Assumptions!$B$32*R6+(1-Assumptions!$B$32)*Assumptions!$B$33*R8</f>
        <v>155.20000000000002</v>
      </c>
      <c r="S9" s="52">
        <f>Assumptions!$B$32*S6+(1-Assumptions!$B$32)*Assumptions!$B$33*S8</f>
        <v>62.08</v>
      </c>
      <c r="T9" s="52">
        <f>Assumptions!$B$32*T6+(1-Assumptions!$B$32)*Assumptions!$B$33*T8</f>
        <v>24.832</v>
      </c>
      <c r="U9" s="52">
        <f>Assumptions!$B$32*U6+(1-Assumptions!$B$32)*Assumptions!$B$33*U8</f>
        <v>9.932800000000002</v>
      </c>
      <c r="V9" s="52">
        <f>Assumptions!$B$32*V6+(1-Assumptions!$B$32)*Assumptions!$B$33*V8</f>
        <v>3.973120000000001</v>
      </c>
      <c r="W9" s="52">
        <f>Assumptions!$B$32*W6+(1-Assumptions!$B$32)*Assumptions!$B$33*W8</f>
        <v>1.5892480000000004</v>
      </c>
      <c r="X9" s="52">
        <f>Assumptions!$B$32*X6+(1-Assumptions!$B$32)*Assumptions!$B$33*X8</f>
        <v>0.6356992000000002</v>
      </c>
      <c r="Y9" s="52">
        <f>Assumptions!$B$32*Y6+(1-Assumptions!$B$32)*Assumptions!$B$33*Y8</f>
        <v>0.2542796800000001</v>
      </c>
      <c r="Z9" s="52">
        <f>Assumptions!$B$32*Z6+(1-Assumptions!$B$32)*Assumptions!$B$33*Z8</f>
        <v>0.10171187200000005</v>
      </c>
    </row>
    <row r="10">
      <c r="A10" s="13" t="inlineStr">
        <is>
          <t>Company revenue, risk-adjusted (incl. milestones)</t>
        </is>
      </c>
      <c r="C10" s="52">
        <f>C9*Assumptions!$B$50</f>
        <v>88.0</v>
      </c>
      <c r="D10" s="52">
        <f>D9*Assumptions!$B$50</f>
        <v>229.0</v>
      </c>
      <c r="E10" s="52">
        <f>E9*Assumptions!$B$50</f>
        <v>418.5</v>
      </c>
      <c r="F10" s="52">
        <f>F9*Assumptions!$B$50</f>
        <v>612.5</v>
      </c>
      <c r="G10" s="52">
        <f>G9*Assumptions!$B$50</f>
        <v>780.1</v>
      </c>
      <c r="H10" s="52">
        <f>H9*Assumptions!$B$50</f>
        <v>892.1999999999999</v>
      </c>
      <c r="I10" s="52">
        <f>I9*Assumptions!$B$50</f>
        <v>963.7</v>
      </c>
      <c r="J10" s="52">
        <f>J9*Assumptions!$B$50</f>
        <v>970.0</v>
      </c>
      <c r="K10" s="52">
        <f>K9*Assumptions!$B$50</f>
        <v>970.0</v>
      </c>
      <c r="L10" s="52">
        <f>L9*Assumptions!$B$50</f>
        <v>970.0</v>
      </c>
      <c r="M10" s="52">
        <f>M9*Assumptions!$B$50</f>
        <v>970.0</v>
      </c>
      <c r="N10" s="52">
        <f>N9*Assumptions!$B$50</f>
        <v>970.0</v>
      </c>
      <c r="O10" s="52">
        <f>O9*Assumptions!$B$50</f>
        <v>970.0</v>
      </c>
      <c r="P10" s="52">
        <f>P9*Assumptions!$B$50</f>
        <v>970.0</v>
      </c>
      <c r="Q10" s="52">
        <f>Q9*Assumptions!$B$50</f>
        <v>388.0</v>
      </c>
      <c r="R10" s="52">
        <f>R9*Assumptions!$B$50</f>
        <v>155.20000000000002</v>
      </c>
      <c r="S10" s="52">
        <f>S9*Assumptions!$B$50</f>
        <v>62.08</v>
      </c>
      <c r="T10" s="52">
        <f>T9*Assumptions!$B$50</f>
        <v>24.832</v>
      </c>
      <c r="U10" s="52">
        <f>U9*Assumptions!$B$50</f>
        <v>9.932800000000002</v>
      </c>
      <c r="V10" s="52">
        <f>V9*Assumptions!$B$50</f>
        <v>3.973120000000001</v>
      </c>
      <c r="W10" s="52">
        <f>W9*Assumptions!$B$50</f>
        <v>1.5892480000000004</v>
      </c>
      <c r="X10" s="52">
        <f>X9*Assumptions!$B$50</f>
        <v>0.6356992000000002</v>
      </c>
      <c r="Y10" s="52">
        <f>Y9*Assumptions!$B$50</f>
        <v>0.2542796800000001</v>
      </c>
      <c r="Z10" s="52">
        <f>Z9*Assumptions!$B$50</f>
        <v>0.10171187200000005</v>
      </c>
    </row>
    <row r="11">
      <c r="A11" s="13" t="inlineStr">
        <is>
          <t>COGS + royalties, risk-adjusted</t>
        </is>
      </c>
      <c r="C11" s="52">
        <f>C9*(Assumptions!$B$51+Assumptions!$B$52)</f>
        <v>4.4</v>
      </c>
      <c r="D11" s="52">
        <f>D9*(Assumptions!$B$51+Assumptions!$B$52)</f>
        <v>11.450000000000001</v>
      </c>
      <c r="E11" s="52">
        <f>E9*(Assumptions!$B$51+Assumptions!$B$52)</f>
        <v>20.925</v>
      </c>
      <c r="F11" s="52">
        <f>F9*(Assumptions!$B$51+Assumptions!$B$52)</f>
        <v>30.625</v>
      </c>
      <c r="G11" s="52">
        <f>G9*(Assumptions!$B$51+Assumptions!$B$52)</f>
        <v>39.005</v>
      </c>
      <c r="H11" s="52">
        <f>H9*(Assumptions!$B$51+Assumptions!$B$52)</f>
        <v>44.61</v>
      </c>
      <c r="I11" s="52">
        <f>I9*(Assumptions!$B$51+Assumptions!$B$52)</f>
        <v>48.185</v>
      </c>
      <c r="J11" s="52">
        <f>J9*(Assumptions!$B$51+Assumptions!$B$52)</f>
        <v>48.5</v>
      </c>
      <c r="K11" s="52">
        <f>K9*(Assumptions!$B$51+Assumptions!$B$52)</f>
        <v>48.5</v>
      </c>
      <c r="L11" s="52">
        <f>L9*(Assumptions!$B$51+Assumptions!$B$52)</f>
        <v>48.5</v>
      </c>
      <c r="M11" s="52">
        <f>M9*(Assumptions!$B$51+Assumptions!$B$52)</f>
        <v>48.5</v>
      </c>
      <c r="N11" s="52">
        <f>N9*(Assumptions!$B$51+Assumptions!$B$52)</f>
        <v>48.5</v>
      </c>
      <c r="O11" s="52">
        <f>O9*(Assumptions!$B$51+Assumptions!$B$52)</f>
        <v>48.5</v>
      </c>
      <c r="P11" s="52">
        <f>P9*(Assumptions!$B$51+Assumptions!$B$52)</f>
        <v>48.5</v>
      </c>
      <c r="Q11" s="52">
        <f>Q9*(Assumptions!$B$51+Assumptions!$B$52)</f>
        <v>19.400000000000002</v>
      </c>
      <c r="R11" s="52">
        <f>R9*(Assumptions!$B$51+Assumptions!$B$52)</f>
        <v>7.760000000000002</v>
      </c>
      <c r="S11" s="52">
        <f>S9*(Assumptions!$B$51+Assumptions!$B$52)</f>
        <v>3.104</v>
      </c>
      <c r="T11" s="52">
        <f>T9*(Assumptions!$B$51+Assumptions!$B$52)</f>
        <v>1.2416</v>
      </c>
      <c r="U11" s="52">
        <f>U9*(Assumptions!$B$51+Assumptions!$B$52)</f>
        <v>0.49664000000000014</v>
      </c>
      <c r="V11" s="52">
        <f>V9*(Assumptions!$B$51+Assumptions!$B$52)</f>
        <v>0.19865600000000005</v>
      </c>
      <c r="W11" s="52">
        <f>W9*(Assumptions!$B$51+Assumptions!$B$52)</f>
        <v>0.07946240000000003</v>
      </c>
      <c r="X11" s="52">
        <f>X9*(Assumptions!$B$51+Assumptions!$B$52)</f>
        <v>0.031784960000000015</v>
      </c>
      <c r="Y11" s="52">
        <f>Y9*(Assumptions!$B$51+Assumptions!$B$52)</f>
        <v>0.012713984000000006</v>
      </c>
      <c r="Z11" s="52">
        <f>Z9*(Assumptions!$B$51+Assumptions!$B$52)</f>
        <v>0.005085593600000003</v>
      </c>
    </row>
    <row r="12">
      <c r="A12" s="13" t="inlineStr">
        <is>
          <t>Commercial SG&amp;A, risk-adjusted</t>
        </is>
      </c>
      <c r="C12" s="52">
        <f>Assumptions!$B$32*IF(Assumptions!$B$53=0,0,IF(C5=0,Assumptions!$B$54,IF(C5&gt;=1,C6*IF(OR(Assumptions!$B$50&lt;1,C5&gt;5),Assumptions!$B$53,MAX(Assumptions!$B$53,INDEX(Assumptions!$B$44:$F$44,C5))),0)))+(1-Assumptions!$B$32)*Assumptions!$B$33*IF(Assumptions!$B$53=0,0,IF(C7=0,Assumptions!$B$54,IF(C7&gt;=1,C8*IF(OR(Assumptions!$B$50&lt;1,C7&gt;5),Assumptions!$B$53,MAX(Assumptions!$B$53,INDEX(Assumptions!$B$44:$F$44,C7))),0)))</f>
        <v>84.60000000000001</v>
      </c>
      <c r="D12" s="52">
        <f>Assumptions!$B$32*IF(Assumptions!$B$53=0,0,IF(D5=0,Assumptions!$B$54,IF(D5&gt;=1,D6*IF(OR(Assumptions!$B$50&lt;1,D5&gt;5),Assumptions!$B$53,MAX(Assumptions!$B$53,INDEX(Assumptions!$B$44:$F$44,D5))),0)))+(1-Assumptions!$B$32)*Assumptions!$B$33*IF(Assumptions!$B$53=0,0,IF(D7=0,Assumptions!$B$54,IF(D7&gt;=1,D8*IF(OR(Assumptions!$B$50&lt;1,D7&gt;5),Assumptions!$B$53,MAX(Assumptions!$B$53,INDEX(Assumptions!$B$44:$F$44,D7))),0)))</f>
        <v>129.1</v>
      </c>
      <c r="E12" s="52">
        <f>Assumptions!$B$32*IF(Assumptions!$B$53=0,0,IF(E5=0,Assumptions!$B$54,IF(E5&gt;=1,E6*IF(OR(Assumptions!$B$50&lt;1,E5&gt;5),Assumptions!$B$53,MAX(Assumptions!$B$53,INDEX(Assumptions!$B$44:$F$44,E5))),0)))+(1-Assumptions!$B$32)*Assumptions!$B$33*IF(Assumptions!$B$53=0,0,IF(E7=0,Assumptions!$B$54,IF(E7&gt;=1,E8*IF(OR(Assumptions!$B$50&lt;1,E7&gt;5),Assumptions!$B$53,MAX(Assumptions!$B$53,INDEX(Assumptions!$B$44:$F$44,E7))),0)))</f>
        <v>170.775</v>
      </c>
      <c r="F12" s="52">
        <f>Assumptions!$B$32*IF(Assumptions!$B$53=0,0,IF(F5=0,Assumptions!$B$54,IF(F5&gt;=1,F6*IF(OR(Assumptions!$B$50&lt;1,F5&gt;5),Assumptions!$B$53,MAX(Assumptions!$B$53,INDEX(Assumptions!$B$44:$F$44,F5))),0)))+(1-Assumptions!$B$32)*Assumptions!$B$33*IF(Assumptions!$B$53=0,0,IF(F7=0,Assumptions!$B$54,IF(F7&gt;=1,F8*IF(OR(Assumptions!$B$50&lt;1,F7&gt;5),Assumptions!$B$53,MAX(Assumptions!$B$53,INDEX(Assumptions!$B$44:$F$44,F7))),0)))</f>
        <v>216.39999999999998</v>
      </c>
      <c r="G12" s="52">
        <f>Assumptions!$B$32*IF(Assumptions!$B$53=0,0,IF(G5=0,Assumptions!$B$54,IF(G5&gt;=1,G6*IF(OR(Assumptions!$B$50&lt;1,G5&gt;5),Assumptions!$B$53,MAX(Assumptions!$B$53,INDEX(Assumptions!$B$44:$F$44,G5))),0)))+(1-Assumptions!$B$32)*Assumptions!$B$33*IF(Assumptions!$B$53=0,0,IF(G7=0,Assumptions!$B$54,IF(G7&gt;=1,G8*IF(OR(Assumptions!$B$50&lt;1,G7&gt;5),Assumptions!$B$53,MAX(Assumptions!$B$53,INDEX(Assumptions!$B$44:$F$44,G7))),0)))</f>
        <v>273.035</v>
      </c>
      <c r="H12" s="52">
        <f>Assumptions!$B$32*IF(Assumptions!$B$53=0,0,IF(H5=0,Assumptions!$B$54,IF(H5&gt;=1,H6*IF(OR(Assumptions!$B$50&lt;1,H5&gt;5),Assumptions!$B$53,MAX(Assumptions!$B$53,INDEX(Assumptions!$B$44:$F$44,H5))),0)))+(1-Assumptions!$B$32)*Assumptions!$B$33*IF(Assumptions!$B$53=0,0,IF(H7=0,Assumptions!$B$54,IF(H7&gt;=1,H8*IF(OR(Assumptions!$B$50&lt;1,H7&gt;5),Assumptions!$B$53,MAX(Assumptions!$B$53,INDEX(Assumptions!$B$44:$F$44,H7))),0)))</f>
        <v>312.27</v>
      </c>
      <c r="I12" s="52">
        <f>Assumptions!$B$32*IF(Assumptions!$B$53=0,0,IF(I5=0,Assumptions!$B$54,IF(I5&gt;=1,I6*IF(OR(Assumptions!$B$50&lt;1,I5&gt;5),Assumptions!$B$53,MAX(Assumptions!$B$53,INDEX(Assumptions!$B$44:$F$44,I5))),0)))+(1-Assumptions!$B$32)*Assumptions!$B$33*IF(Assumptions!$B$53=0,0,IF(I7=0,Assumptions!$B$54,IF(I7&gt;=1,I8*IF(OR(Assumptions!$B$50&lt;1,I7&gt;5),Assumptions!$B$53,MAX(Assumptions!$B$53,INDEX(Assumptions!$B$44:$F$44,I7))),0)))</f>
        <v>337.295</v>
      </c>
      <c r="J12" s="52">
        <f>Assumptions!$B$32*IF(Assumptions!$B$53=0,0,IF(J5=0,Assumptions!$B$54,IF(J5&gt;=1,J6*IF(OR(Assumptions!$B$50&lt;1,J5&gt;5),Assumptions!$B$53,MAX(Assumptions!$B$53,INDEX(Assumptions!$B$44:$F$44,J5))),0)))+(1-Assumptions!$B$32)*Assumptions!$B$33*IF(Assumptions!$B$53=0,0,IF(J7=0,Assumptions!$B$54,IF(J7&gt;=1,J8*IF(OR(Assumptions!$B$50&lt;1,J7&gt;5),Assumptions!$B$53,MAX(Assumptions!$B$53,INDEX(Assumptions!$B$44:$F$44,J7))),0)))</f>
        <v>339.5</v>
      </c>
      <c r="K12" s="52">
        <f>Assumptions!$B$32*IF(Assumptions!$B$53=0,0,IF(K5=0,Assumptions!$B$54,IF(K5&gt;=1,K6*IF(OR(Assumptions!$B$50&lt;1,K5&gt;5),Assumptions!$B$53,MAX(Assumptions!$B$53,INDEX(Assumptions!$B$44:$F$44,K5))),0)))+(1-Assumptions!$B$32)*Assumptions!$B$33*IF(Assumptions!$B$53=0,0,IF(K7=0,Assumptions!$B$54,IF(K7&gt;=1,K8*IF(OR(Assumptions!$B$50&lt;1,K7&gt;5),Assumptions!$B$53,MAX(Assumptions!$B$53,INDEX(Assumptions!$B$44:$F$44,K7))),0)))</f>
        <v>339.5</v>
      </c>
      <c r="L12" s="52">
        <f>Assumptions!$B$32*IF(Assumptions!$B$53=0,0,IF(L5=0,Assumptions!$B$54,IF(L5&gt;=1,L6*IF(OR(Assumptions!$B$50&lt;1,L5&gt;5),Assumptions!$B$53,MAX(Assumptions!$B$53,INDEX(Assumptions!$B$44:$F$44,L5))),0)))+(1-Assumptions!$B$32)*Assumptions!$B$33*IF(Assumptions!$B$53=0,0,IF(L7=0,Assumptions!$B$54,IF(L7&gt;=1,L8*IF(OR(Assumptions!$B$50&lt;1,L7&gt;5),Assumptions!$B$53,MAX(Assumptions!$B$53,INDEX(Assumptions!$B$44:$F$44,L7))),0)))</f>
        <v>339.5</v>
      </c>
      <c r="M12" s="52">
        <f>Assumptions!$B$32*IF(Assumptions!$B$53=0,0,IF(M5=0,Assumptions!$B$54,IF(M5&gt;=1,M6*IF(OR(Assumptions!$B$50&lt;1,M5&gt;5),Assumptions!$B$53,MAX(Assumptions!$B$53,INDEX(Assumptions!$B$44:$F$44,M5))),0)))+(1-Assumptions!$B$32)*Assumptions!$B$33*IF(Assumptions!$B$53=0,0,IF(M7=0,Assumptions!$B$54,IF(M7&gt;=1,M8*IF(OR(Assumptions!$B$50&lt;1,M7&gt;5),Assumptions!$B$53,MAX(Assumptions!$B$53,INDEX(Assumptions!$B$44:$F$44,M7))),0)))</f>
        <v>339.5</v>
      </c>
      <c r="N12" s="52">
        <f>Assumptions!$B$32*IF(Assumptions!$B$53=0,0,IF(N5=0,Assumptions!$B$54,IF(N5&gt;=1,N6*IF(OR(Assumptions!$B$50&lt;1,N5&gt;5),Assumptions!$B$53,MAX(Assumptions!$B$53,INDEX(Assumptions!$B$44:$F$44,N5))),0)))+(1-Assumptions!$B$32)*Assumptions!$B$33*IF(Assumptions!$B$53=0,0,IF(N7=0,Assumptions!$B$54,IF(N7&gt;=1,N8*IF(OR(Assumptions!$B$50&lt;1,N7&gt;5),Assumptions!$B$53,MAX(Assumptions!$B$53,INDEX(Assumptions!$B$44:$F$44,N7))),0)))</f>
        <v>339.5</v>
      </c>
      <c r="O12" s="52">
        <f>Assumptions!$B$32*IF(Assumptions!$B$53=0,0,IF(O5=0,Assumptions!$B$54,IF(O5&gt;=1,O6*IF(OR(Assumptions!$B$50&lt;1,O5&gt;5),Assumptions!$B$53,MAX(Assumptions!$B$53,INDEX(Assumptions!$B$44:$F$44,O5))),0)))+(1-Assumptions!$B$32)*Assumptions!$B$33*IF(Assumptions!$B$53=0,0,IF(O7=0,Assumptions!$B$54,IF(O7&gt;=1,O8*IF(OR(Assumptions!$B$50&lt;1,O7&gt;5),Assumptions!$B$53,MAX(Assumptions!$B$53,INDEX(Assumptions!$B$44:$F$44,O7))),0)))</f>
        <v>339.5</v>
      </c>
      <c r="P12" s="52">
        <f>Assumptions!$B$32*IF(Assumptions!$B$53=0,0,IF(P5=0,Assumptions!$B$54,IF(P5&gt;=1,P6*IF(OR(Assumptions!$B$50&lt;1,P5&gt;5),Assumptions!$B$53,MAX(Assumptions!$B$53,INDEX(Assumptions!$B$44:$F$44,P5))),0)))+(1-Assumptions!$B$32)*Assumptions!$B$33*IF(Assumptions!$B$53=0,0,IF(P7=0,Assumptions!$B$54,IF(P7&gt;=1,P8*IF(OR(Assumptions!$B$50&lt;1,P7&gt;5),Assumptions!$B$53,MAX(Assumptions!$B$53,INDEX(Assumptions!$B$44:$F$44,P7))),0)))</f>
        <v>339.5</v>
      </c>
      <c r="Q12" s="52">
        <f>Assumptions!$B$32*IF(Assumptions!$B$53=0,0,IF(Q5=0,Assumptions!$B$54,IF(Q5&gt;=1,Q6*IF(OR(Assumptions!$B$50&lt;1,Q5&gt;5),Assumptions!$B$53,MAX(Assumptions!$B$53,INDEX(Assumptions!$B$44:$F$44,Q5))),0)))+(1-Assumptions!$B$32)*Assumptions!$B$33*IF(Assumptions!$B$53=0,0,IF(Q7=0,Assumptions!$B$54,IF(Q7&gt;=1,Q8*IF(OR(Assumptions!$B$50&lt;1,Q7&gt;5),Assumptions!$B$53,MAX(Assumptions!$B$53,INDEX(Assumptions!$B$44:$F$44,Q7))),0)))</f>
        <v>135.8</v>
      </c>
      <c r="R12" s="52">
        <f>Assumptions!$B$32*IF(Assumptions!$B$53=0,0,IF(R5=0,Assumptions!$B$54,IF(R5&gt;=1,R6*IF(OR(Assumptions!$B$50&lt;1,R5&gt;5),Assumptions!$B$53,MAX(Assumptions!$B$53,INDEX(Assumptions!$B$44:$F$44,R5))),0)))+(1-Assumptions!$B$32)*Assumptions!$B$33*IF(Assumptions!$B$53=0,0,IF(R7=0,Assumptions!$B$54,IF(R7&gt;=1,R8*IF(OR(Assumptions!$B$50&lt;1,R7&gt;5),Assumptions!$B$53,MAX(Assumptions!$B$53,INDEX(Assumptions!$B$44:$F$44,R7))),0)))</f>
        <v>54.32</v>
      </c>
      <c r="S12" s="52">
        <f>Assumptions!$B$32*IF(Assumptions!$B$53=0,0,IF(S5=0,Assumptions!$B$54,IF(S5&gt;=1,S6*IF(OR(Assumptions!$B$50&lt;1,S5&gt;5),Assumptions!$B$53,MAX(Assumptions!$B$53,INDEX(Assumptions!$B$44:$F$44,S5))),0)))+(1-Assumptions!$B$32)*Assumptions!$B$33*IF(Assumptions!$B$53=0,0,IF(S7=0,Assumptions!$B$54,IF(S7&gt;=1,S8*IF(OR(Assumptions!$B$50&lt;1,S7&gt;5),Assumptions!$B$53,MAX(Assumptions!$B$53,INDEX(Assumptions!$B$44:$F$44,S7))),0)))</f>
        <v>21.728</v>
      </c>
      <c r="T12" s="52">
        <f>Assumptions!$B$32*IF(Assumptions!$B$53=0,0,IF(T5=0,Assumptions!$B$54,IF(T5&gt;=1,T6*IF(OR(Assumptions!$B$50&lt;1,T5&gt;5),Assumptions!$B$53,MAX(Assumptions!$B$53,INDEX(Assumptions!$B$44:$F$44,T5))),0)))+(1-Assumptions!$B$32)*Assumptions!$B$33*IF(Assumptions!$B$53=0,0,IF(T7=0,Assumptions!$B$54,IF(T7&gt;=1,T8*IF(OR(Assumptions!$B$50&lt;1,T7&gt;5),Assumptions!$B$53,MAX(Assumptions!$B$53,INDEX(Assumptions!$B$44:$F$44,T7))),0)))</f>
        <v>8.691199999999998</v>
      </c>
      <c r="U12" s="52">
        <f>Assumptions!$B$32*IF(Assumptions!$B$53=0,0,IF(U5=0,Assumptions!$B$54,IF(U5&gt;=1,U6*IF(OR(Assumptions!$B$50&lt;1,U5&gt;5),Assumptions!$B$53,MAX(Assumptions!$B$53,INDEX(Assumptions!$B$44:$F$44,U5))),0)))+(1-Assumptions!$B$32)*Assumptions!$B$33*IF(Assumptions!$B$53=0,0,IF(U7=0,Assumptions!$B$54,IF(U7&gt;=1,U8*IF(OR(Assumptions!$B$50&lt;1,U7&gt;5),Assumptions!$B$53,MAX(Assumptions!$B$53,INDEX(Assumptions!$B$44:$F$44,U7))),0)))</f>
        <v>3.4764800000000005</v>
      </c>
      <c r="V12" s="52">
        <f>Assumptions!$B$32*IF(Assumptions!$B$53=0,0,IF(V5=0,Assumptions!$B$54,IF(V5&gt;=1,V6*IF(OR(Assumptions!$B$50&lt;1,V5&gt;5),Assumptions!$B$53,MAX(Assumptions!$B$53,INDEX(Assumptions!$B$44:$F$44,V5))),0)))+(1-Assumptions!$B$32)*Assumptions!$B$33*IF(Assumptions!$B$53=0,0,IF(V7=0,Assumptions!$B$54,IF(V7&gt;=1,V8*IF(OR(Assumptions!$B$50&lt;1,V7&gt;5),Assumptions!$B$53,MAX(Assumptions!$B$53,INDEX(Assumptions!$B$44:$F$44,V7))),0)))</f>
        <v>1.3905920000000003</v>
      </c>
      <c r="W12" s="52">
        <f>Assumptions!$B$32*IF(Assumptions!$B$53=0,0,IF(W5=0,Assumptions!$B$54,IF(W5&gt;=1,W6*IF(OR(Assumptions!$B$50&lt;1,W5&gt;5),Assumptions!$B$53,MAX(Assumptions!$B$53,INDEX(Assumptions!$B$44:$F$44,W5))),0)))+(1-Assumptions!$B$32)*Assumptions!$B$33*IF(Assumptions!$B$53=0,0,IF(W7=0,Assumptions!$B$54,IF(W7&gt;=1,W8*IF(OR(Assumptions!$B$50&lt;1,W7&gt;5),Assumptions!$B$53,MAX(Assumptions!$B$53,INDEX(Assumptions!$B$44:$F$44,W7))),0)))</f>
        <v>0.5562368000000002</v>
      </c>
      <c r="X12" s="52">
        <f>Assumptions!$B$32*IF(Assumptions!$B$53=0,0,IF(X5=0,Assumptions!$B$54,IF(X5&gt;=1,X6*IF(OR(Assumptions!$B$50&lt;1,X5&gt;5),Assumptions!$B$53,MAX(Assumptions!$B$53,INDEX(Assumptions!$B$44:$F$44,X5))),0)))+(1-Assumptions!$B$32)*Assumptions!$B$33*IF(Assumptions!$B$53=0,0,IF(X7=0,Assumptions!$B$54,IF(X7&gt;=1,X8*IF(OR(Assumptions!$B$50&lt;1,X7&gt;5),Assumptions!$B$53,MAX(Assumptions!$B$53,INDEX(Assumptions!$B$44:$F$44,X7))),0)))</f>
        <v>0.22249472000000006</v>
      </c>
      <c r="Y12" s="52">
        <f>Assumptions!$B$32*IF(Assumptions!$B$53=0,0,IF(Y5=0,Assumptions!$B$54,IF(Y5&gt;=1,Y6*IF(OR(Assumptions!$B$50&lt;1,Y5&gt;5),Assumptions!$B$53,MAX(Assumptions!$B$53,INDEX(Assumptions!$B$44:$F$44,Y5))),0)))+(1-Assumptions!$B$32)*Assumptions!$B$33*IF(Assumptions!$B$53=0,0,IF(Y7=0,Assumptions!$B$54,IF(Y7&gt;=1,Y8*IF(OR(Assumptions!$B$50&lt;1,Y7&gt;5),Assumptions!$B$53,MAX(Assumptions!$B$53,INDEX(Assumptions!$B$44:$F$44,Y7))),0)))</f>
        <v>0.08899788800000001</v>
      </c>
      <c r="Z12" s="52">
        <f>Assumptions!$B$32*IF(Assumptions!$B$53=0,0,IF(Z5=0,Assumptions!$B$54,IF(Z5&gt;=1,Z6*IF(OR(Assumptions!$B$50&lt;1,Z5&gt;5),Assumptions!$B$53,MAX(Assumptions!$B$53,INDEX(Assumptions!$B$44:$F$44,Z5))),0)))+(1-Assumptions!$B$32)*Assumptions!$B$33*IF(Assumptions!$B$53=0,0,IF(Z7=0,Assumptions!$B$54,IF(Z7&gt;=1,Z8*IF(OR(Assumptions!$B$50&lt;1,Z7&gt;5),Assumptions!$B$53,MAX(Assumptions!$B$53,INDEX(Assumptions!$B$44:$F$44,Z7))),0)))</f>
        <v>0.03559915520000001</v>
      </c>
    </row>
    <row r="13">
      <c r="A13" s="13" t="inlineStr">
        <is>
          <t>Development R&amp;D, risk-adjusted</t>
        </is>
      </c>
      <c r="C13" s="52">
        <f>IFERROR(INDEX(Assumptions!$B$59:$I$59,MATCH(C$2,Assumptions!$B$58:$I$58,0))*INDEX(Assumptions!$B$60:$I$60,MATCH(C$2,Assumptions!$B$58:$I$58,0)),0)</f>
        <v>22.0</v>
      </c>
      <c r="D13" s="52">
        <f>IFERROR(INDEX(Assumptions!$B$59:$I$59,MATCH(D$2,Assumptions!$B$58:$I$58,0))*INDEX(Assumptions!$B$60:$I$60,MATCH(D$2,Assumptions!$B$58:$I$58,0)),0)</f>
        <v>0.0</v>
      </c>
      <c r="E13" s="52">
        <f>IFERROR(INDEX(Assumptions!$B$59:$I$59,MATCH(E$2,Assumptions!$B$58:$I$58,0))*INDEX(Assumptions!$B$60:$I$60,MATCH(E$2,Assumptions!$B$58:$I$58,0)),0)</f>
        <v>30.0</v>
      </c>
      <c r="F13" s="52">
        <f>IFERROR(INDEX(Assumptions!$B$59:$I$59,MATCH(F$2,Assumptions!$B$58:$I$58,0))*INDEX(Assumptions!$B$60:$I$60,MATCH(F$2,Assumptions!$B$58:$I$58,0)),0)</f>
        <v>41.25</v>
      </c>
      <c r="G13" s="52">
        <f>IFERROR(INDEX(Assumptions!$B$59:$I$59,MATCH(G$2,Assumptions!$B$58:$I$58,0))*INDEX(Assumptions!$B$60:$I$60,MATCH(G$2,Assumptions!$B$58:$I$58,0)),0)</f>
        <v>52.5</v>
      </c>
      <c r="H13" s="52">
        <f>IFERROR(INDEX(Assumptions!$B$59:$I$59,MATCH(H$2,Assumptions!$B$58:$I$58,0))*INDEX(Assumptions!$B$60:$I$60,MATCH(H$2,Assumptions!$B$58:$I$58,0)),0)</f>
        <v>0.0</v>
      </c>
      <c r="I13" s="52">
        <f>IFERROR(INDEX(Assumptions!$B$59:$I$59,MATCH(I$2,Assumptions!$B$58:$I$58,0))*INDEX(Assumptions!$B$60:$I$60,MATCH(I$2,Assumptions!$B$58:$I$58,0)),0)</f>
        <v>0.0</v>
      </c>
      <c r="J13" s="52">
        <f>IFERROR(INDEX(Assumptions!$B$59:$I$59,MATCH(J$2,Assumptions!$B$58:$I$58,0))*INDEX(Assumptions!$B$60:$I$60,MATCH(J$2,Assumptions!$B$58:$I$58,0)),0)</f>
        <v>0.0</v>
      </c>
      <c r="K13" s="52">
        <f>IFERROR(INDEX(Assumptions!$B$59:$I$59,MATCH(K$2,Assumptions!$B$58:$I$58,0))*INDEX(Assumptions!$B$60:$I$60,MATCH(K$2,Assumptions!$B$58:$I$58,0)),0)</f>
        <v>0</v>
      </c>
      <c r="L13" s="52">
        <f>IFERROR(INDEX(Assumptions!$B$59:$I$59,MATCH(L$2,Assumptions!$B$58:$I$58,0))*INDEX(Assumptions!$B$60:$I$60,MATCH(L$2,Assumptions!$B$58:$I$58,0)),0)</f>
        <v>0</v>
      </c>
      <c r="M13" s="52">
        <f>IFERROR(INDEX(Assumptions!$B$59:$I$59,MATCH(M$2,Assumptions!$B$58:$I$58,0))*INDEX(Assumptions!$B$60:$I$60,MATCH(M$2,Assumptions!$B$58:$I$58,0)),0)</f>
        <v>0</v>
      </c>
      <c r="N13" s="52">
        <f>IFERROR(INDEX(Assumptions!$B$59:$I$59,MATCH(N$2,Assumptions!$B$58:$I$58,0))*INDEX(Assumptions!$B$60:$I$60,MATCH(N$2,Assumptions!$B$58:$I$58,0)),0)</f>
        <v>0</v>
      </c>
      <c r="O13" s="52">
        <f>IFERROR(INDEX(Assumptions!$B$59:$I$59,MATCH(O$2,Assumptions!$B$58:$I$58,0))*INDEX(Assumptions!$B$60:$I$60,MATCH(O$2,Assumptions!$B$58:$I$58,0)),0)</f>
        <v>0</v>
      </c>
      <c r="P13" s="52">
        <f>IFERROR(INDEX(Assumptions!$B$59:$I$59,MATCH(P$2,Assumptions!$B$58:$I$58,0))*INDEX(Assumptions!$B$60:$I$60,MATCH(P$2,Assumptions!$B$58:$I$58,0)),0)</f>
        <v>0</v>
      </c>
      <c r="Q13" s="52">
        <f>IFERROR(INDEX(Assumptions!$B$59:$I$59,MATCH(Q$2,Assumptions!$B$58:$I$58,0))*INDEX(Assumptions!$B$60:$I$60,MATCH(Q$2,Assumptions!$B$58:$I$58,0)),0)</f>
        <v>0</v>
      </c>
      <c r="R13" s="52">
        <f>IFERROR(INDEX(Assumptions!$B$59:$I$59,MATCH(R$2,Assumptions!$B$58:$I$58,0))*INDEX(Assumptions!$B$60:$I$60,MATCH(R$2,Assumptions!$B$58:$I$58,0)),0)</f>
        <v>0</v>
      </c>
      <c r="S13" s="52">
        <f>IFERROR(INDEX(Assumptions!$B$59:$I$59,MATCH(S$2,Assumptions!$B$58:$I$58,0))*INDEX(Assumptions!$B$60:$I$60,MATCH(S$2,Assumptions!$B$58:$I$58,0)),0)</f>
        <v>0</v>
      </c>
      <c r="T13" s="52">
        <f>IFERROR(INDEX(Assumptions!$B$59:$I$59,MATCH(T$2,Assumptions!$B$58:$I$58,0))*INDEX(Assumptions!$B$60:$I$60,MATCH(T$2,Assumptions!$B$58:$I$58,0)),0)</f>
        <v>0</v>
      </c>
      <c r="U13" s="52">
        <f>IFERROR(INDEX(Assumptions!$B$59:$I$59,MATCH(U$2,Assumptions!$B$58:$I$58,0))*INDEX(Assumptions!$B$60:$I$60,MATCH(U$2,Assumptions!$B$58:$I$58,0)),0)</f>
        <v>0</v>
      </c>
      <c r="V13" s="52">
        <f>IFERROR(INDEX(Assumptions!$B$59:$I$59,MATCH(V$2,Assumptions!$B$58:$I$58,0))*INDEX(Assumptions!$B$60:$I$60,MATCH(V$2,Assumptions!$B$58:$I$58,0)),0)</f>
        <v>0</v>
      </c>
      <c r="W13" s="52">
        <f>IFERROR(INDEX(Assumptions!$B$59:$I$59,MATCH(W$2,Assumptions!$B$58:$I$58,0))*INDEX(Assumptions!$B$60:$I$60,MATCH(W$2,Assumptions!$B$58:$I$58,0)),0)</f>
        <v>0</v>
      </c>
      <c r="X13" s="52">
        <f>IFERROR(INDEX(Assumptions!$B$59:$I$59,MATCH(X$2,Assumptions!$B$58:$I$58,0))*INDEX(Assumptions!$B$60:$I$60,MATCH(X$2,Assumptions!$B$58:$I$58,0)),0)</f>
        <v>0</v>
      </c>
      <c r="Y13" s="52">
        <f>IFERROR(INDEX(Assumptions!$B$59:$I$59,MATCH(Y$2,Assumptions!$B$58:$I$58,0))*INDEX(Assumptions!$B$60:$I$60,MATCH(Y$2,Assumptions!$B$58:$I$58,0)),0)</f>
        <v>0</v>
      </c>
      <c r="Z13" s="52">
        <f>IFERROR(INDEX(Assumptions!$B$59:$I$59,MATCH(Z$2,Assumptions!$B$58:$I$58,0))*INDEX(Assumptions!$B$60:$I$60,MATCH(Z$2,Assumptions!$B$58:$I$58,0)),0)</f>
        <v>0</v>
      </c>
    </row>
    <row r="14">
      <c r="A14" s="23" t="inlineStr">
        <is>
          <t>Program contribution (pre-tax)</t>
        </is>
      </c>
      <c r="C14" s="56">
        <f>C10-C11-C12-C13</f>
        <v>-23.000000000000014</v>
      </c>
      <c r="D14" s="56">
        <f>D10-D11-D12-D13</f>
        <v>88.45000000000002</v>
      </c>
      <c r="E14" s="56">
        <f>E10-E11-E12-E13</f>
        <v>196.79999999999998</v>
      </c>
      <c r="F14" s="56">
        <f>F10-F11-F12-F13</f>
        <v>324.225</v>
      </c>
      <c r="G14" s="56">
        <f>G10-G11-G12-G13</f>
        <v>415.56</v>
      </c>
      <c r="H14" s="56">
        <f>H10-H11-H12-H13</f>
        <v>535.3199999999999</v>
      </c>
      <c r="I14" s="56">
        <f>I10-I11-I12-I13</f>
        <v>578.22</v>
      </c>
      <c r="J14" s="56">
        <f>J10-J11-J12-J13</f>
        <v>582.0</v>
      </c>
      <c r="K14" s="56">
        <f>K10-K11-K12-K13</f>
        <v>582.0</v>
      </c>
      <c r="L14" s="56">
        <f>L10-L11-L12-L13</f>
        <v>582.0</v>
      </c>
      <c r="M14" s="56">
        <f>M10-M11-M12-M13</f>
        <v>582.0</v>
      </c>
      <c r="N14" s="56">
        <f>N10-N11-N12-N13</f>
        <v>582.0</v>
      </c>
      <c r="O14" s="56">
        <f>O10-O11-O12-O13</f>
        <v>582.0</v>
      </c>
      <c r="P14" s="56">
        <f>P10-P11-P12-P13</f>
        <v>582.0</v>
      </c>
      <c r="Q14" s="56">
        <f>Q10-Q11-Q12-Q13</f>
        <v>232.8</v>
      </c>
      <c r="R14" s="56">
        <f>R10-R11-R12-R13</f>
        <v>93.12000000000003</v>
      </c>
      <c r="S14" s="56">
        <f>S10-S11-S12-S13</f>
        <v>37.248</v>
      </c>
      <c r="T14" s="56">
        <f>T10-T11-T12-T13</f>
        <v>14.899200000000004</v>
      </c>
      <c r="U14" s="56">
        <f>U10-U11-U12-U13</f>
        <v>5.959680000000002</v>
      </c>
      <c r="V14" s="56">
        <f>V10-V11-V12-V13</f>
        <v>2.3838720000000007</v>
      </c>
      <c r="W14" s="56">
        <f>W10-W11-W12-W13</f>
        <v>0.9535488000000003</v>
      </c>
      <c r="X14" s="56">
        <f>X10-X11-X12-X13</f>
        <v>0.38141952000000023</v>
      </c>
      <c r="Y14" s="56">
        <f>Y10-Y11-Y12-Y13</f>
        <v>0.15256780800000008</v>
      </c>
      <c r="Z14" s="56">
        <f>Z10-Z11-Z12-Z13</f>
        <v>0.06102712320000003</v>
      </c>
    </row>
    <row r="16">
      <c r="A16" s="30" t="inlineStr">
        <is>
          <t>Lorundrostat — chronic kidney disease (option value)</t>
        </is>
      </c>
    </row>
    <row r="17">
      <c r="A17" s="13" t="inlineStr">
        <is>
          <t>Years since launch</t>
        </is>
      </c>
      <c r="C17" s="63">
        <f>C$2-Assumptions!$B$63+1</f>
        <v>-3.0</v>
      </c>
      <c r="D17" s="63">
        <f>D$2-Assumptions!$B$63+1</f>
        <v>-2.0</v>
      </c>
      <c r="E17" s="63">
        <f>E$2-Assumptions!$B$63+1</f>
        <v>-1.0</v>
      </c>
      <c r="F17" s="63">
        <f>F$2-Assumptions!$B$63+1</f>
        <v>0.0</v>
      </c>
      <c r="G17" s="63">
        <f>G$2-Assumptions!$B$63+1</f>
        <v>1.0</v>
      </c>
      <c r="H17" s="63">
        <f>H$2-Assumptions!$B$63+1</f>
        <v>2.0</v>
      </c>
      <c r="I17" s="63">
        <f>I$2-Assumptions!$B$63+1</f>
        <v>3.0</v>
      </c>
      <c r="J17" s="63">
        <f>J$2-Assumptions!$B$63+1</f>
        <v>4.0</v>
      </c>
      <c r="K17" s="63">
        <f>K$2-Assumptions!$B$63+1</f>
        <v>5.0</v>
      </c>
      <c r="L17" s="63">
        <f>L$2-Assumptions!$B$63+1</f>
        <v>6.0</v>
      </c>
      <c r="M17" s="63">
        <f>M$2-Assumptions!$B$63+1</f>
        <v>7.0</v>
      </c>
      <c r="N17" s="63">
        <f>N$2-Assumptions!$B$63+1</f>
        <v>8.0</v>
      </c>
      <c r="O17" s="63">
        <f>O$2-Assumptions!$B$63+1</f>
        <v>9.0</v>
      </c>
      <c r="P17" s="63">
        <f>P$2-Assumptions!$B$63+1</f>
        <v>10.0</v>
      </c>
      <c r="Q17" s="63">
        <f>Q$2-Assumptions!$B$63+1</f>
        <v>11.0</v>
      </c>
      <c r="R17" s="63">
        <f>R$2-Assumptions!$B$63+1</f>
        <v>12.0</v>
      </c>
      <c r="S17" s="63">
        <f>S$2-Assumptions!$B$63+1</f>
        <v>13.0</v>
      </c>
      <c r="T17" s="63">
        <f>T$2-Assumptions!$B$63+1</f>
        <v>14.0</v>
      </c>
      <c r="U17" s="63">
        <f>U$2-Assumptions!$B$63+1</f>
        <v>15.0</v>
      </c>
      <c r="V17" s="63">
        <f>V$2-Assumptions!$B$63+1</f>
        <v>16.0</v>
      </c>
      <c r="W17" s="63">
        <f>W$2-Assumptions!$B$63+1</f>
        <v>17.0</v>
      </c>
      <c r="X17" s="63">
        <f>X$2-Assumptions!$B$63+1</f>
        <v>18.0</v>
      </c>
      <c r="Y17" s="63">
        <f>Y$2-Assumptions!$B$63+1</f>
        <v>19.0</v>
      </c>
      <c r="Z17" s="63">
        <f>Z$2-Assumptions!$B$63+1</f>
        <v>20.0</v>
      </c>
    </row>
    <row r="18">
      <c r="A18" s="13" t="inlineStr">
        <is>
          <t>Net sales, unrisked</t>
        </is>
      </c>
      <c r="C18" s="52">
        <f>IF(C$2&gt;Assumptions!$B$72,0*(1-Assumptions!$B$73),IF(C17&gt;=1,Assumptions!$B$64*CHOOSE(Assumptions!$B$71,INDEX(Assumptions!$B$42:$H$42,MIN(C17,7)),INDEX(Assumptions!$B$43:$H$43,MIN(C17,7))),0))</f>
        <v>0</v>
      </c>
      <c r="D18" s="52">
        <f>IF(D$2&gt;Assumptions!$B$72,C18*(1-Assumptions!$B$73),IF(D17&gt;=1,Assumptions!$B$64*CHOOSE(Assumptions!$B$71,INDEX(Assumptions!$B$42:$H$42,MIN(D17,7)),INDEX(Assumptions!$B$43:$H$43,MIN(D17,7))),0))</f>
        <v>0</v>
      </c>
      <c r="E18" s="52">
        <f>IF(E$2&gt;Assumptions!$B$72,D18*(1-Assumptions!$B$73),IF(E17&gt;=1,Assumptions!$B$64*CHOOSE(Assumptions!$B$71,INDEX(Assumptions!$B$42:$H$42,MIN(E17,7)),INDEX(Assumptions!$B$43:$H$43,MIN(E17,7))),0))</f>
        <v>0</v>
      </c>
      <c r="F18" s="52">
        <f>IF(F$2&gt;Assumptions!$B$72,E18*(1-Assumptions!$B$73),IF(F17&gt;=1,Assumptions!$B$64*CHOOSE(Assumptions!$B$71,INDEX(Assumptions!$B$42:$H$42,MIN(F17,7)),INDEX(Assumptions!$B$43:$H$43,MIN(F17,7))),0))</f>
        <v>0</v>
      </c>
      <c r="G18" s="52">
        <f>IF(G$2&gt;Assumptions!$B$72,F18*(1-Assumptions!$B$73),IF(G17&gt;=1,Assumptions!$B$64*CHOOSE(Assumptions!$B$71,INDEX(Assumptions!$B$42:$H$42,MIN(G17,7)),INDEX(Assumptions!$B$43:$H$43,MIN(G17,7))),0))</f>
        <v>100.0</v>
      </c>
      <c r="H18" s="52">
        <f>IF(H$2&gt;Assumptions!$B$72,G18*(1-Assumptions!$B$73),IF(H17&gt;=1,Assumptions!$B$64*CHOOSE(Assumptions!$B$71,INDEX(Assumptions!$B$42:$H$42,MIN(H17,7)),INDEX(Assumptions!$B$43:$H$43,MIN(H17,7))),0))</f>
        <v>250.0</v>
      </c>
      <c r="I18" s="52">
        <f>IF(I$2&gt;Assumptions!$B$72,H18*(1-Assumptions!$B$73),IF(I17&gt;=1,Assumptions!$B$64*CHOOSE(Assumptions!$B$71,INDEX(Assumptions!$B$42:$H$42,MIN(I17,7)),INDEX(Assumptions!$B$43:$H$43,MIN(I17,7))),0))</f>
        <v>450.0</v>
      </c>
      <c r="J18" s="52">
        <f>IF(J$2&gt;Assumptions!$B$72,I18*(1-Assumptions!$B$73),IF(J17&gt;=1,Assumptions!$B$64*CHOOSE(Assumptions!$B$71,INDEX(Assumptions!$B$42:$H$42,MIN(J17,7)),INDEX(Assumptions!$B$43:$H$43,MIN(J17,7))),0))</f>
        <v>650.0</v>
      </c>
      <c r="K18" s="52">
        <f>IF(K$2&gt;Assumptions!$B$72,J18*(1-Assumptions!$B$73),IF(K17&gt;=1,Assumptions!$B$64*CHOOSE(Assumptions!$B$71,INDEX(Assumptions!$B$42:$H$42,MIN(K17,7)),INDEX(Assumptions!$B$43:$H$43,MIN(K17,7))),0))</f>
        <v>820.0</v>
      </c>
      <c r="L18" s="52">
        <f>IF(L$2&gt;Assumptions!$B$72,K18*(1-Assumptions!$B$73),IF(L17&gt;=1,Assumptions!$B$64*CHOOSE(Assumptions!$B$71,INDEX(Assumptions!$B$42:$H$42,MIN(L17,7)),INDEX(Assumptions!$B$43:$H$43,MIN(L17,7))),0))</f>
        <v>930.0</v>
      </c>
      <c r="M18" s="52">
        <f>IF(M$2&gt;Assumptions!$B$72,L18*(1-Assumptions!$B$73),IF(M17&gt;=1,Assumptions!$B$64*CHOOSE(Assumptions!$B$71,INDEX(Assumptions!$B$42:$H$42,MIN(M17,7)),INDEX(Assumptions!$B$43:$H$43,MIN(M17,7))),0))</f>
        <v>1000.0</v>
      </c>
      <c r="N18" s="52">
        <f>IF(N$2&gt;Assumptions!$B$72,M18*(1-Assumptions!$B$73),IF(N17&gt;=1,Assumptions!$B$64*CHOOSE(Assumptions!$B$71,INDEX(Assumptions!$B$42:$H$42,MIN(N17,7)),INDEX(Assumptions!$B$43:$H$43,MIN(N17,7))),0))</f>
        <v>1000.0</v>
      </c>
      <c r="O18" s="52">
        <f>IF(O$2&gt;Assumptions!$B$72,N18*(1-Assumptions!$B$73),IF(O17&gt;=1,Assumptions!$B$64*CHOOSE(Assumptions!$B$71,INDEX(Assumptions!$B$42:$H$42,MIN(O17,7)),INDEX(Assumptions!$B$43:$H$43,MIN(O17,7))),0))</f>
        <v>1000.0</v>
      </c>
      <c r="P18" s="52">
        <f>IF(P$2&gt;Assumptions!$B$72,O18*(1-Assumptions!$B$73),IF(P17&gt;=1,Assumptions!$B$64*CHOOSE(Assumptions!$B$71,INDEX(Assumptions!$B$42:$H$42,MIN(P17,7)),INDEX(Assumptions!$B$43:$H$43,MIN(P17,7))),0))</f>
        <v>1000.0</v>
      </c>
      <c r="Q18" s="52">
        <f>IF(Q$2&gt;Assumptions!$B$72,P18*(1-Assumptions!$B$73),IF(Q17&gt;=1,Assumptions!$B$64*CHOOSE(Assumptions!$B$71,INDEX(Assumptions!$B$42:$H$42,MIN(Q17,7)),INDEX(Assumptions!$B$43:$H$43,MIN(Q17,7))),0))</f>
        <v>400.0</v>
      </c>
      <c r="R18" s="52">
        <f>IF(R$2&gt;Assumptions!$B$72,Q18*(1-Assumptions!$B$73),IF(R17&gt;=1,Assumptions!$B$64*CHOOSE(Assumptions!$B$71,INDEX(Assumptions!$B$42:$H$42,MIN(R17,7)),INDEX(Assumptions!$B$43:$H$43,MIN(R17,7))),0))</f>
        <v>160.0</v>
      </c>
      <c r="S18" s="52">
        <f>IF(S$2&gt;Assumptions!$B$72,R18*(1-Assumptions!$B$73),IF(S17&gt;=1,Assumptions!$B$64*CHOOSE(Assumptions!$B$71,INDEX(Assumptions!$B$42:$H$42,MIN(S17,7)),INDEX(Assumptions!$B$43:$H$43,MIN(S17,7))),0))</f>
        <v>64.0</v>
      </c>
      <c r="T18" s="52">
        <f>IF(T$2&gt;Assumptions!$B$72,S18*(1-Assumptions!$B$73),IF(T17&gt;=1,Assumptions!$B$64*CHOOSE(Assumptions!$B$71,INDEX(Assumptions!$B$42:$H$42,MIN(T17,7)),INDEX(Assumptions!$B$43:$H$43,MIN(T17,7))),0))</f>
        <v>25.6</v>
      </c>
      <c r="U18" s="52">
        <f>IF(U$2&gt;Assumptions!$B$72,T18*(1-Assumptions!$B$73),IF(U17&gt;=1,Assumptions!$B$64*CHOOSE(Assumptions!$B$71,INDEX(Assumptions!$B$42:$H$42,MIN(U17,7)),INDEX(Assumptions!$B$43:$H$43,MIN(U17,7))),0))</f>
        <v>10.240000000000002</v>
      </c>
      <c r="V18" s="52">
        <f>IF(V$2&gt;Assumptions!$B$72,U18*(1-Assumptions!$B$73),IF(V17&gt;=1,Assumptions!$B$64*CHOOSE(Assumptions!$B$71,INDEX(Assumptions!$B$42:$H$42,MIN(V17,7)),INDEX(Assumptions!$B$43:$H$43,MIN(V17,7))),0))</f>
        <v>4.096000000000001</v>
      </c>
      <c r="W18" s="52">
        <f>IF(W$2&gt;Assumptions!$B$72,V18*(1-Assumptions!$B$73),IF(W17&gt;=1,Assumptions!$B$64*CHOOSE(Assumptions!$B$71,INDEX(Assumptions!$B$42:$H$42,MIN(W17,7)),INDEX(Assumptions!$B$43:$H$43,MIN(W17,7))),0))</f>
        <v>1.6384000000000005</v>
      </c>
      <c r="X18" s="52">
        <f>IF(X$2&gt;Assumptions!$B$72,W18*(1-Assumptions!$B$73),IF(X17&gt;=1,Assumptions!$B$64*CHOOSE(Assumptions!$B$71,INDEX(Assumptions!$B$42:$H$42,MIN(X17,7)),INDEX(Assumptions!$B$43:$H$43,MIN(X17,7))),0))</f>
        <v>0.6553600000000003</v>
      </c>
      <c r="Y18" s="52">
        <f>IF(Y$2&gt;Assumptions!$B$72,X18*(1-Assumptions!$B$73),IF(Y17&gt;=1,Assumptions!$B$64*CHOOSE(Assumptions!$B$71,INDEX(Assumptions!$B$42:$H$42,MIN(Y17,7)),INDEX(Assumptions!$B$43:$H$43,MIN(Y17,7))),0))</f>
        <v>0.2621440000000001</v>
      </c>
      <c r="Z18" s="52">
        <f>IF(Z$2&gt;Assumptions!$B$72,Y18*(1-Assumptions!$B$73),IF(Z17&gt;=1,Assumptions!$B$64*CHOOSE(Assumptions!$B$71,INDEX(Assumptions!$B$42:$H$42,MIN(Z17,7)),INDEX(Assumptions!$B$43:$H$43,MIN(Z17,7))),0))</f>
        <v>0.10485760000000005</v>
      </c>
    </row>
    <row r="19">
      <c r="A19" s="13" t="inlineStr">
        <is>
          <t>Product net sales, risk-adjusted</t>
        </is>
      </c>
      <c r="C19" s="52">
        <f>C18*MIN(1,Assumptions!$B$65*Assumptions!$B$37)</f>
        <v>0.0</v>
      </c>
      <c r="D19" s="52">
        <f>D18*MIN(1,Assumptions!$B$65*Assumptions!$B$37)</f>
        <v>0.0</v>
      </c>
      <c r="E19" s="52">
        <f>E18*MIN(1,Assumptions!$B$65*Assumptions!$B$37)</f>
        <v>0.0</v>
      </c>
      <c r="F19" s="52">
        <f>F18*MIN(1,Assumptions!$B$65*Assumptions!$B$37)</f>
        <v>0.0</v>
      </c>
      <c r="G19" s="52">
        <f>G18*MIN(1,Assumptions!$B$65*Assumptions!$B$37)</f>
        <v>30.0</v>
      </c>
      <c r="H19" s="52">
        <f>H18*MIN(1,Assumptions!$B$65*Assumptions!$B$37)</f>
        <v>75.0</v>
      </c>
      <c r="I19" s="52">
        <f>I18*MIN(1,Assumptions!$B$65*Assumptions!$B$37)</f>
        <v>135.0</v>
      </c>
      <c r="J19" s="52">
        <f>J18*MIN(1,Assumptions!$B$65*Assumptions!$B$37)</f>
        <v>195.0</v>
      </c>
      <c r="K19" s="52">
        <f>K18*MIN(1,Assumptions!$B$65*Assumptions!$B$37)</f>
        <v>246.0</v>
      </c>
      <c r="L19" s="52">
        <f>L18*MIN(1,Assumptions!$B$65*Assumptions!$B$37)</f>
        <v>279.0</v>
      </c>
      <c r="M19" s="52">
        <f>M18*MIN(1,Assumptions!$B$65*Assumptions!$B$37)</f>
        <v>300.0</v>
      </c>
      <c r="N19" s="52">
        <f>N18*MIN(1,Assumptions!$B$65*Assumptions!$B$37)</f>
        <v>300.0</v>
      </c>
      <c r="O19" s="52">
        <f>O18*MIN(1,Assumptions!$B$65*Assumptions!$B$37)</f>
        <v>300.0</v>
      </c>
      <c r="P19" s="52">
        <f>P18*MIN(1,Assumptions!$B$65*Assumptions!$B$37)</f>
        <v>300.0</v>
      </c>
      <c r="Q19" s="52">
        <f>Q18*MIN(1,Assumptions!$B$65*Assumptions!$B$37)</f>
        <v>120.0</v>
      </c>
      <c r="R19" s="52">
        <f>R18*MIN(1,Assumptions!$B$65*Assumptions!$B$37)</f>
        <v>48.0</v>
      </c>
      <c r="S19" s="52">
        <f>S18*MIN(1,Assumptions!$B$65*Assumptions!$B$37)</f>
        <v>19.2</v>
      </c>
      <c r="T19" s="52">
        <f>T18*MIN(1,Assumptions!$B$65*Assumptions!$B$37)</f>
        <v>7.68</v>
      </c>
      <c r="U19" s="52">
        <f>U18*MIN(1,Assumptions!$B$65*Assumptions!$B$37)</f>
        <v>3.0720000000000005</v>
      </c>
      <c r="V19" s="52">
        <f>V18*MIN(1,Assumptions!$B$65*Assumptions!$B$37)</f>
        <v>1.2288000000000003</v>
      </c>
      <c r="W19" s="52">
        <f>W18*MIN(1,Assumptions!$B$65*Assumptions!$B$37)</f>
        <v>0.4915200000000001</v>
      </c>
      <c r="X19" s="52">
        <f>X18*MIN(1,Assumptions!$B$65*Assumptions!$B$37)</f>
        <v>0.1966080000000001</v>
      </c>
      <c r="Y19" s="52">
        <f>Y18*MIN(1,Assumptions!$B$65*Assumptions!$B$37)</f>
        <v>0.07864320000000002</v>
      </c>
      <c r="Z19" s="52">
        <f>Z18*MIN(1,Assumptions!$B$65*Assumptions!$B$37)</f>
        <v>0.03145728000000001</v>
      </c>
    </row>
    <row r="20">
      <c r="A20" s="13" t="inlineStr">
        <is>
          <t>Company revenue, risk-adjusted (incl. milestones)</t>
        </is>
      </c>
      <c r="C20" s="52">
        <f>C19*Assumptions!$B$66</f>
        <v>0.0</v>
      </c>
      <c r="D20" s="52">
        <f>D19*Assumptions!$B$66</f>
        <v>0.0</v>
      </c>
      <c r="E20" s="52">
        <f>E19*Assumptions!$B$66</f>
        <v>0.0</v>
      </c>
      <c r="F20" s="52">
        <f>F19*Assumptions!$B$66</f>
        <v>0.0</v>
      </c>
      <c r="G20" s="52">
        <f>G19*Assumptions!$B$66</f>
        <v>30.0</v>
      </c>
      <c r="H20" s="52">
        <f>H19*Assumptions!$B$66</f>
        <v>75.0</v>
      </c>
      <c r="I20" s="52">
        <f>I19*Assumptions!$B$66</f>
        <v>135.0</v>
      </c>
      <c r="J20" s="52">
        <f>J19*Assumptions!$B$66</f>
        <v>195.0</v>
      </c>
      <c r="K20" s="52">
        <f>K19*Assumptions!$B$66</f>
        <v>246.0</v>
      </c>
      <c r="L20" s="52">
        <f>L19*Assumptions!$B$66</f>
        <v>279.0</v>
      </c>
      <c r="M20" s="52">
        <f>M19*Assumptions!$B$66</f>
        <v>300.0</v>
      </c>
      <c r="N20" s="52">
        <f>N19*Assumptions!$B$66</f>
        <v>300.0</v>
      </c>
      <c r="O20" s="52">
        <f>O19*Assumptions!$B$66</f>
        <v>300.0</v>
      </c>
      <c r="P20" s="52">
        <f>P19*Assumptions!$B$66</f>
        <v>300.0</v>
      </c>
      <c r="Q20" s="52">
        <f>Q19*Assumptions!$B$66</f>
        <v>120.0</v>
      </c>
      <c r="R20" s="52">
        <f>R19*Assumptions!$B$66</f>
        <v>48.0</v>
      </c>
      <c r="S20" s="52">
        <f>S19*Assumptions!$B$66</f>
        <v>19.2</v>
      </c>
      <c r="T20" s="52">
        <f>T19*Assumptions!$B$66</f>
        <v>7.68</v>
      </c>
      <c r="U20" s="52">
        <f>U19*Assumptions!$B$66</f>
        <v>3.0720000000000005</v>
      </c>
      <c r="V20" s="52">
        <f>V19*Assumptions!$B$66</f>
        <v>1.2288000000000003</v>
      </c>
      <c r="W20" s="52">
        <f>W19*Assumptions!$B$66</f>
        <v>0.4915200000000001</v>
      </c>
      <c r="X20" s="52">
        <f>X19*Assumptions!$B$66</f>
        <v>0.1966080000000001</v>
      </c>
      <c r="Y20" s="52">
        <f>Y19*Assumptions!$B$66</f>
        <v>0.07864320000000002</v>
      </c>
      <c r="Z20" s="52">
        <f>Z19*Assumptions!$B$66</f>
        <v>0.03145728000000001</v>
      </c>
    </row>
    <row r="21">
      <c r="A21" s="13" t="inlineStr">
        <is>
          <t>COGS + royalties, risk-adjusted</t>
        </is>
      </c>
      <c r="C21" s="52">
        <f>C19*(Assumptions!$B$67+Assumptions!$B$68)</f>
        <v>0.0</v>
      </c>
      <c r="D21" s="52">
        <f>D19*(Assumptions!$B$67+Assumptions!$B$68)</f>
        <v>0.0</v>
      </c>
      <c r="E21" s="52">
        <f>E19*(Assumptions!$B$67+Assumptions!$B$68)</f>
        <v>0.0</v>
      </c>
      <c r="F21" s="52">
        <f>F19*(Assumptions!$B$67+Assumptions!$B$68)</f>
        <v>0.0</v>
      </c>
      <c r="G21" s="52">
        <f>G19*(Assumptions!$B$67+Assumptions!$B$68)</f>
        <v>1.5</v>
      </c>
      <c r="H21" s="52">
        <f>H19*(Assumptions!$B$67+Assumptions!$B$68)</f>
        <v>3.75</v>
      </c>
      <c r="I21" s="52">
        <f>I19*(Assumptions!$B$67+Assumptions!$B$68)</f>
        <v>6.75</v>
      </c>
      <c r="J21" s="52">
        <f>J19*(Assumptions!$B$67+Assumptions!$B$68)</f>
        <v>9.75</v>
      </c>
      <c r="K21" s="52">
        <f>K19*(Assumptions!$B$67+Assumptions!$B$68)</f>
        <v>12.3</v>
      </c>
      <c r="L21" s="52">
        <f>L19*(Assumptions!$B$67+Assumptions!$B$68)</f>
        <v>13.950000000000001</v>
      </c>
      <c r="M21" s="52">
        <f>M19*(Assumptions!$B$67+Assumptions!$B$68)</f>
        <v>15.0</v>
      </c>
      <c r="N21" s="52">
        <f>N19*(Assumptions!$B$67+Assumptions!$B$68)</f>
        <v>15.0</v>
      </c>
      <c r="O21" s="52">
        <f>O19*(Assumptions!$B$67+Assumptions!$B$68)</f>
        <v>15.0</v>
      </c>
      <c r="P21" s="52">
        <f>P19*(Assumptions!$B$67+Assumptions!$B$68)</f>
        <v>15.0</v>
      </c>
      <c r="Q21" s="52">
        <f>Q19*(Assumptions!$B$67+Assumptions!$B$68)</f>
        <v>6.0</v>
      </c>
      <c r="R21" s="52">
        <f>R19*(Assumptions!$B$67+Assumptions!$B$68)</f>
        <v>2.4000000000000004</v>
      </c>
      <c r="S21" s="52">
        <f>S19*(Assumptions!$B$67+Assumptions!$B$68)</f>
        <v>0.96</v>
      </c>
      <c r="T21" s="52">
        <f>T19*(Assumptions!$B$67+Assumptions!$B$68)</f>
        <v>0.384</v>
      </c>
      <c r="U21" s="52">
        <f>U19*(Assumptions!$B$67+Assumptions!$B$68)</f>
        <v>0.15360000000000004</v>
      </c>
      <c r="V21" s="52">
        <f>V19*(Assumptions!$B$67+Assumptions!$B$68)</f>
        <v>0.06144000000000002</v>
      </c>
      <c r="W21" s="52">
        <f>W19*(Assumptions!$B$67+Assumptions!$B$68)</f>
        <v>0.024576000000000008</v>
      </c>
      <c r="X21" s="52">
        <f>X19*(Assumptions!$B$67+Assumptions!$B$68)</f>
        <v>0.009830400000000005</v>
      </c>
      <c r="Y21" s="52">
        <f>Y19*(Assumptions!$B$67+Assumptions!$B$68)</f>
        <v>0.003932160000000001</v>
      </c>
      <c r="Z21" s="52">
        <f>Z19*(Assumptions!$B$67+Assumptions!$B$68)</f>
        <v>0.0015728640000000006</v>
      </c>
    </row>
    <row r="22">
      <c r="A22" s="13" t="inlineStr">
        <is>
          <t>Commercial SG&amp;A, risk-adjusted</t>
        </is>
      </c>
      <c r="C22" s="52">
        <f>MIN(1,Assumptions!$B$65*Assumptions!$B$37)*IF(Assumptions!$B$69=0,0,IF(C17=0,Assumptions!$B$70,IF(C17&gt;=1,C18*IF(OR(Assumptions!$B$66&lt;1,C17&gt;5),Assumptions!$B$69,MAX(Assumptions!$B$69,INDEX(Assumptions!$B$44:$F$44,C17))),0)))</f>
        <v>0.0</v>
      </c>
      <c r="D22" s="52">
        <f>MIN(1,Assumptions!$B$65*Assumptions!$B$37)*IF(Assumptions!$B$69=0,0,IF(D17=0,Assumptions!$B$70,IF(D17&gt;=1,D18*IF(OR(Assumptions!$B$66&lt;1,D17&gt;5),Assumptions!$B$69,MAX(Assumptions!$B$69,INDEX(Assumptions!$B$44:$F$44,D17))),0)))</f>
        <v>0.0</v>
      </c>
      <c r="E22" s="52">
        <f>MIN(1,Assumptions!$B$65*Assumptions!$B$37)*IF(Assumptions!$B$69=0,0,IF(E17=0,Assumptions!$B$70,IF(E17&gt;=1,E18*IF(OR(Assumptions!$B$66&lt;1,E17&gt;5),Assumptions!$B$69,MAX(Assumptions!$B$69,INDEX(Assumptions!$B$44:$F$44,E17))),0)))</f>
        <v>0.0</v>
      </c>
      <c r="F22" s="52">
        <f>MIN(1,Assumptions!$B$65*Assumptions!$B$37)*IF(Assumptions!$B$69=0,0,IF(F17=0,Assumptions!$B$70,IF(F17&gt;=1,F18*IF(OR(Assumptions!$B$66&lt;1,F17&gt;5),Assumptions!$B$69,MAX(Assumptions!$B$69,INDEX(Assumptions!$B$44:$F$44,F17))),0)))</f>
        <v>6.0</v>
      </c>
      <c r="G22" s="52">
        <f>MIN(1,Assumptions!$B$65*Assumptions!$B$37)*IF(Assumptions!$B$69=0,0,IF(G17=0,Assumptions!$B$70,IF(G17&gt;=1,G18*IF(OR(Assumptions!$B$66&lt;1,G17&gt;5),Assumptions!$B$69,MAX(Assumptions!$B$69,INDEX(Assumptions!$B$44:$F$44,G17))),0)))</f>
        <v>27.0</v>
      </c>
      <c r="H22" s="52">
        <f>MIN(1,Assumptions!$B$65*Assumptions!$B$37)*IF(Assumptions!$B$69=0,0,IF(H17=0,Assumptions!$B$70,IF(H17&gt;=1,H18*IF(OR(Assumptions!$B$66&lt;1,H17&gt;5),Assumptions!$B$69,MAX(Assumptions!$B$69,INDEX(Assumptions!$B$44:$F$44,H17))),0)))</f>
        <v>41.25</v>
      </c>
      <c r="I22" s="52">
        <f>MIN(1,Assumptions!$B$65*Assumptions!$B$37)*IF(Assumptions!$B$69=0,0,IF(I17=0,Assumptions!$B$70,IF(I17&gt;=1,I18*IF(OR(Assumptions!$B$66&lt;1,I17&gt;5),Assumptions!$B$69,MAX(Assumptions!$B$69,INDEX(Assumptions!$B$44:$F$44,I17))),0)))</f>
        <v>54.0</v>
      </c>
      <c r="J22" s="52">
        <f>MIN(1,Assumptions!$B$65*Assumptions!$B$37)*IF(Assumptions!$B$69=0,0,IF(J17=0,Assumptions!$B$70,IF(J17&gt;=1,J18*IF(OR(Assumptions!$B$66&lt;1,J17&gt;5),Assumptions!$B$69,MAX(Assumptions!$B$69,INDEX(Assumptions!$B$44:$F$44,J17))),0)))</f>
        <v>62.4</v>
      </c>
      <c r="K22" s="52">
        <f>MIN(1,Assumptions!$B$65*Assumptions!$B$37)*IF(Assumptions!$B$69=0,0,IF(K17=0,Assumptions!$B$70,IF(K17&gt;=1,K18*IF(OR(Assumptions!$B$66&lt;1,K17&gt;5),Assumptions!$B$69,MAX(Assumptions!$B$69,INDEX(Assumptions!$B$44:$F$44,K17))),0)))</f>
        <v>68.88000000000001</v>
      </c>
      <c r="L22" s="52">
        <f>MIN(1,Assumptions!$B$65*Assumptions!$B$37)*IF(Assumptions!$B$69=0,0,IF(L17=0,Assumptions!$B$70,IF(L17&gt;=1,L18*IF(OR(Assumptions!$B$66&lt;1,L17&gt;5),Assumptions!$B$69,MAX(Assumptions!$B$69,INDEX(Assumptions!$B$44:$F$44,L17))),0)))</f>
        <v>69.75</v>
      </c>
      <c r="M22" s="52">
        <f>MIN(1,Assumptions!$B$65*Assumptions!$B$37)*IF(Assumptions!$B$69=0,0,IF(M17=0,Assumptions!$B$70,IF(M17&gt;=1,M18*IF(OR(Assumptions!$B$66&lt;1,M17&gt;5),Assumptions!$B$69,MAX(Assumptions!$B$69,INDEX(Assumptions!$B$44:$F$44,M17))),0)))</f>
        <v>75.0</v>
      </c>
      <c r="N22" s="52">
        <f>MIN(1,Assumptions!$B$65*Assumptions!$B$37)*IF(Assumptions!$B$69=0,0,IF(N17=0,Assumptions!$B$70,IF(N17&gt;=1,N18*IF(OR(Assumptions!$B$66&lt;1,N17&gt;5),Assumptions!$B$69,MAX(Assumptions!$B$69,INDEX(Assumptions!$B$44:$F$44,N17))),0)))</f>
        <v>75.0</v>
      </c>
      <c r="O22" s="52">
        <f>MIN(1,Assumptions!$B$65*Assumptions!$B$37)*IF(Assumptions!$B$69=0,0,IF(O17=0,Assumptions!$B$70,IF(O17&gt;=1,O18*IF(OR(Assumptions!$B$66&lt;1,O17&gt;5),Assumptions!$B$69,MAX(Assumptions!$B$69,INDEX(Assumptions!$B$44:$F$44,O17))),0)))</f>
        <v>75.0</v>
      </c>
      <c r="P22" s="52">
        <f>MIN(1,Assumptions!$B$65*Assumptions!$B$37)*IF(Assumptions!$B$69=0,0,IF(P17=0,Assumptions!$B$70,IF(P17&gt;=1,P18*IF(OR(Assumptions!$B$66&lt;1,P17&gt;5),Assumptions!$B$69,MAX(Assumptions!$B$69,INDEX(Assumptions!$B$44:$F$44,P17))),0)))</f>
        <v>75.0</v>
      </c>
      <c r="Q22" s="52">
        <f>MIN(1,Assumptions!$B$65*Assumptions!$B$37)*IF(Assumptions!$B$69=0,0,IF(Q17=0,Assumptions!$B$70,IF(Q17&gt;=1,Q18*IF(OR(Assumptions!$B$66&lt;1,Q17&gt;5),Assumptions!$B$69,MAX(Assumptions!$B$69,INDEX(Assumptions!$B$44:$F$44,Q17))),0)))</f>
        <v>30.0</v>
      </c>
      <c r="R22" s="52">
        <f>MIN(1,Assumptions!$B$65*Assumptions!$B$37)*IF(Assumptions!$B$69=0,0,IF(R17=0,Assumptions!$B$70,IF(R17&gt;=1,R18*IF(OR(Assumptions!$B$66&lt;1,R17&gt;5),Assumptions!$B$69,MAX(Assumptions!$B$69,INDEX(Assumptions!$B$44:$F$44,R17))),0)))</f>
        <v>12.0</v>
      </c>
      <c r="S22" s="52">
        <f>MIN(1,Assumptions!$B$65*Assumptions!$B$37)*IF(Assumptions!$B$69=0,0,IF(S17=0,Assumptions!$B$70,IF(S17&gt;=1,S18*IF(OR(Assumptions!$B$66&lt;1,S17&gt;5),Assumptions!$B$69,MAX(Assumptions!$B$69,INDEX(Assumptions!$B$44:$F$44,S17))),0)))</f>
        <v>4.8</v>
      </c>
      <c r="T22" s="52">
        <f>MIN(1,Assumptions!$B$65*Assumptions!$B$37)*IF(Assumptions!$B$69=0,0,IF(T17=0,Assumptions!$B$70,IF(T17&gt;=1,T18*IF(OR(Assumptions!$B$66&lt;1,T17&gt;5),Assumptions!$B$69,MAX(Assumptions!$B$69,INDEX(Assumptions!$B$44:$F$44,T17))),0)))</f>
        <v>1.92</v>
      </c>
      <c r="U22" s="52">
        <f>MIN(1,Assumptions!$B$65*Assumptions!$B$37)*IF(Assumptions!$B$69=0,0,IF(U17=0,Assumptions!$B$70,IF(U17&gt;=1,U18*IF(OR(Assumptions!$B$66&lt;1,U17&gt;5),Assumptions!$B$69,MAX(Assumptions!$B$69,INDEX(Assumptions!$B$44:$F$44,U17))),0)))</f>
        <v>0.7680000000000001</v>
      </c>
      <c r="V22" s="52">
        <f>MIN(1,Assumptions!$B$65*Assumptions!$B$37)*IF(Assumptions!$B$69=0,0,IF(V17=0,Assumptions!$B$70,IF(V17&gt;=1,V18*IF(OR(Assumptions!$B$66&lt;1,V17&gt;5),Assumptions!$B$69,MAX(Assumptions!$B$69,INDEX(Assumptions!$B$44:$F$44,V17))),0)))</f>
        <v>0.3072000000000001</v>
      </c>
      <c r="W22" s="52">
        <f>MIN(1,Assumptions!$B$65*Assumptions!$B$37)*IF(Assumptions!$B$69=0,0,IF(W17=0,Assumptions!$B$70,IF(W17&gt;=1,W18*IF(OR(Assumptions!$B$66&lt;1,W17&gt;5),Assumptions!$B$69,MAX(Assumptions!$B$69,INDEX(Assumptions!$B$44:$F$44,W17))),0)))</f>
        <v>0.12288000000000003</v>
      </c>
      <c r="X22" s="52">
        <f>MIN(1,Assumptions!$B$65*Assumptions!$B$37)*IF(Assumptions!$B$69=0,0,IF(X17=0,Assumptions!$B$70,IF(X17&gt;=1,X18*IF(OR(Assumptions!$B$66&lt;1,X17&gt;5),Assumptions!$B$69,MAX(Assumptions!$B$69,INDEX(Assumptions!$B$44:$F$44,X17))),0)))</f>
        <v>0.04915200000000002</v>
      </c>
      <c r="Y22" s="52">
        <f>MIN(1,Assumptions!$B$65*Assumptions!$B$37)*IF(Assumptions!$B$69=0,0,IF(Y17=0,Assumptions!$B$70,IF(Y17&gt;=1,Y18*IF(OR(Assumptions!$B$66&lt;1,Y17&gt;5),Assumptions!$B$69,MAX(Assumptions!$B$69,INDEX(Assumptions!$B$44:$F$44,Y17))),0)))</f>
        <v>0.019660800000000006</v>
      </c>
      <c r="Z22" s="52">
        <f>MIN(1,Assumptions!$B$65*Assumptions!$B$37)*IF(Assumptions!$B$69=0,0,IF(Z17=0,Assumptions!$B$70,IF(Z17&gt;=1,Z18*IF(OR(Assumptions!$B$66&lt;1,Z17&gt;5),Assumptions!$B$69,MAX(Assumptions!$B$69,INDEX(Assumptions!$B$44:$F$44,Z17))),0)))</f>
        <v>0.007864320000000003</v>
      </c>
    </row>
    <row r="23">
      <c r="A23" s="13" t="inlineStr">
        <is>
          <t>Development R&amp;D, risk-adjusted</t>
        </is>
      </c>
      <c r="C23" s="52">
        <f>IFERROR(INDEX(Assumptions!$B$75:$I$75,MATCH(C$2,Assumptions!$B$74:$I$74,0))*INDEX(Assumptions!$B$76:$I$76,MATCH(C$2,Assumptions!$B$74:$I$74,0)),0)</f>
        <v>40.0</v>
      </c>
      <c r="D23" s="52">
        <f>IFERROR(INDEX(Assumptions!$B$75:$I$75,MATCH(D$2,Assumptions!$B$74:$I$74,0))*INDEX(Assumptions!$B$76:$I$76,MATCH(D$2,Assumptions!$B$74:$I$74,0)),0)</f>
        <v>60.0</v>
      </c>
      <c r="E23" s="52">
        <f>IFERROR(INDEX(Assumptions!$B$75:$I$75,MATCH(E$2,Assumptions!$B$74:$I$74,0))*INDEX(Assumptions!$B$76:$I$76,MATCH(E$2,Assumptions!$B$74:$I$74,0)),0)</f>
        <v>36.0</v>
      </c>
      <c r="F23" s="52">
        <f>IFERROR(INDEX(Assumptions!$B$75:$I$75,MATCH(F$2,Assumptions!$B$74:$I$74,0))*INDEX(Assumptions!$B$76:$I$76,MATCH(F$2,Assumptions!$B$74:$I$74,0)),0)</f>
        <v>8.0</v>
      </c>
      <c r="G23" s="52">
        <f>IFERROR(INDEX(Assumptions!$B$75:$I$75,MATCH(G$2,Assumptions!$B$74:$I$74,0))*INDEX(Assumptions!$B$76:$I$76,MATCH(G$2,Assumptions!$B$74:$I$74,0)),0)</f>
        <v>0.0</v>
      </c>
      <c r="H23" s="52">
        <f>IFERROR(INDEX(Assumptions!$B$75:$I$75,MATCH(H$2,Assumptions!$B$74:$I$74,0))*INDEX(Assumptions!$B$76:$I$76,MATCH(H$2,Assumptions!$B$74:$I$74,0)),0)</f>
        <v>0.0</v>
      </c>
      <c r="I23" s="52">
        <f>IFERROR(INDEX(Assumptions!$B$75:$I$75,MATCH(I$2,Assumptions!$B$74:$I$74,0))*INDEX(Assumptions!$B$76:$I$76,MATCH(I$2,Assumptions!$B$74:$I$74,0)),0)</f>
        <v>0.0</v>
      </c>
      <c r="J23" s="52">
        <f>IFERROR(INDEX(Assumptions!$B$75:$I$75,MATCH(J$2,Assumptions!$B$74:$I$74,0))*INDEX(Assumptions!$B$76:$I$76,MATCH(J$2,Assumptions!$B$74:$I$74,0)),0)</f>
        <v>0.0</v>
      </c>
      <c r="K23" s="52">
        <f>IFERROR(INDEX(Assumptions!$B$75:$I$75,MATCH(K$2,Assumptions!$B$74:$I$74,0))*INDEX(Assumptions!$B$76:$I$76,MATCH(K$2,Assumptions!$B$74:$I$74,0)),0)</f>
        <v>0</v>
      </c>
      <c r="L23" s="52">
        <f>IFERROR(INDEX(Assumptions!$B$75:$I$75,MATCH(L$2,Assumptions!$B$74:$I$74,0))*INDEX(Assumptions!$B$76:$I$76,MATCH(L$2,Assumptions!$B$74:$I$74,0)),0)</f>
        <v>0</v>
      </c>
      <c r="M23" s="52">
        <f>IFERROR(INDEX(Assumptions!$B$75:$I$75,MATCH(M$2,Assumptions!$B$74:$I$74,0))*INDEX(Assumptions!$B$76:$I$76,MATCH(M$2,Assumptions!$B$74:$I$74,0)),0)</f>
        <v>0</v>
      </c>
      <c r="N23" s="52">
        <f>IFERROR(INDEX(Assumptions!$B$75:$I$75,MATCH(N$2,Assumptions!$B$74:$I$74,0))*INDEX(Assumptions!$B$76:$I$76,MATCH(N$2,Assumptions!$B$74:$I$74,0)),0)</f>
        <v>0</v>
      </c>
      <c r="O23" s="52">
        <f>IFERROR(INDEX(Assumptions!$B$75:$I$75,MATCH(O$2,Assumptions!$B$74:$I$74,0))*INDEX(Assumptions!$B$76:$I$76,MATCH(O$2,Assumptions!$B$74:$I$74,0)),0)</f>
        <v>0</v>
      </c>
      <c r="P23" s="52">
        <f>IFERROR(INDEX(Assumptions!$B$75:$I$75,MATCH(P$2,Assumptions!$B$74:$I$74,0))*INDEX(Assumptions!$B$76:$I$76,MATCH(P$2,Assumptions!$B$74:$I$74,0)),0)</f>
        <v>0</v>
      </c>
      <c r="Q23" s="52">
        <f>IFERROR(INDEX(Assumptions!$B$75:$I$75,MATCH(Q$2,Assumptions!$B$74:$I$74,0))*INDEX(Assumptions!$B$76:$I$76,MATCH(Q$2,Assumptions!$B$74:$I$74,0)),0)</f>
        <v>0</v>
      </c>
      <c r="R23" s="52">
        <f>IFERROR(INDEX(Assumptions!$B$75:$I$75,MATCH(R$2,Assumptions!$B$74:$I$74,0))*INDEX(Assumptions!$B$76:$I$76,MATCH(R$2,Assumptions!$B$74:$I$74,0)),0)</f>
        <v>0</v>
      </c>
      <c r="S23" s="52">
        <f>IFERROR(INDEX(Assumptions!$B$75:$I$75,MATCH(S$2,Assumptions!$B$74:$I$74,0))*INDEX(Assumptions!$B$76:$I$76,MATCH(S$2,Assumptions!$B$74:$I$74,0)),0)</f>
        <v>0</v>
      </c>
      <c r="T23" s="52">
        <f>IFERROR(INDEX(Assumptions!$B$75:$I$75,MATCH(T$2,Assumptions!$B$74:$I$74,0))*INDEX(Assumptions!$B$76:$I$76,MATCH(T$2,Assumptions!$B$74:$I$74,0)),0)</f>
        <v>0</v>
      </c>
      <c r="U23" s="52">
        <f>IFERROR(INDEX(Assumptions!$B$75:$I$75,MATCH(U$2,Assumptions!$B$74:$I$74,0))*INDEX(Assumptions!$B$76:$I$76,MATCH(U$2,Assumptions!$B$74:$I$74,0)),0)</f>
        <v>0</v>
      </c>
      <c r="V23" s="52">
        <f>IFERROR(INDEX(Assumptions!$B$75:$I$75,MATCH(V$2,Assumptions!$B$74:$I$74,0))*INDEX(Assumptions!$B$76:$I$76,MATCH(V$2,Assumptions!$B$74:$I$74,0)),0)</f>
        <v>0</v>
      </c>
      <c r="W23" s="52">
        <f>IFERROR(INDEX(Assumptions!$B$75:$I$75,MATCH(W$2,Assumptions!$B$74:$I$74,0))*INDEX(Assumptions!$B$76:$I$76,MATCH(W$2,Assumptions!$B$74:$I$74,0)),0)</f>
        <v>0</v>
      </c>
      <c r="X23" s="52">
        <f>IFERROR(INDEX(Assumptions!$B$75:$I$75,MATCH(X$2,Assumptions!$B$74:$I$74,0))*INDEX(Assumptions!$B$76:$I$76,MATCH(X$2,Assumptions!$B$74:$I$74,0)),0)</f>
        <v>0</v>
      </c>
      <c r="Y23" s="52">
        <f>IFERROR(INDEX(Assumptions!$B$75:$I$75,MATCH(Y$2,Assumptions!$B$74:$I$74,0))*INDEX(Assumptions!$B$76:$I$76,MATCH(Y$2,Assumptions!$B$74:$I$74,0)),0)</f>
        <v>0</v>
      </c>
      <c r="Z23" s="52">
        <f>IFERROR(INDEX(Assumptions!$B$75:$I$75,MATCH(Z$2,Assumptions!$B$74:$I$74,0))*INDEX(Assumptions!$B$76:$I$76,MATCH(Z$2,Assumptions!$B$74:$I$74,0)),0)</f>
        <v>0</v>
      </c>
    </row>
    <row r="24">
      <c r="A24" s="23" t="inlineStr">
        <is>
          <t>Program contribution (pre-tax)</t>
        </is>
      </c>
      <c r="C24" s="56">
        <f>C20-C21-C22-C23</f>
        <v>-40.0</v>
      </c>
      <c r="D24" s="56">
        <f>D20-D21-D22-D23</f>
        <v>-60.0</v>
      </c>
      <c r="E24" s="56">
        <f>E20-E21-E22-E23</f>
        <v>-36.0</v>
      </c>
      <c r="F24" s="56">
        <f>F20-F21-F22-F23</f>
        <v>-14.0</v>
      </c>
      <c r="G24" s="56">
        <f>G20-G21-G22-G23</f>
        <v>1.5</v>
      </c>
      <c r="H24" s="56">
        <f>H20-H21-H22-H23</f>
        <v>30.0</v>
      </c>
      <c r="I24" s="56">
        <f>I20-I21-I22-I23</f>
        <v>74.25</v>
      </c>
      <c r="J24" s="56">
        <f>J20-J21-J22-J23</f>
        <v>122.85</v>
      </c>
      <c r="K24" s="56">
        <f>K20-K21-K22-K23</f>
        <v>164.82</v>
      </c>
      <c r="L24" s="56">
        <f>L20-L21-L22-L23</f>
        <v>195.3</v>
      </c>
      <c r="M24" s="56">
        <f>M20-M21-M22-M23</f>
        <v>210.0</v>
      </c>
      <c r="N24" s="56">
        <f>N20-N21-N22-N23</f>
        <v>210.0</v>
      </c>
      <c r="O24" s="56">
        <f>O20-O21-O22-O23</f>
        <v>210.0</v>
      </c>
      <c r="P24" s="56">
        <f>P20-P21-P22-P23</f>
        <v>210.0</v>
      </c>
      <c r="Q24" s="56">
        <f>Q20-Q21-Q22-Q23</f>
        <v>84.0</v>
      </c>
      <c r="R24" s="56">
        <f>R20-R21-R22-R23</f>
        <v>33.6</v>
      </c>
      <c r="S24" s="56">
        <f>S20-S21-S22-S23</f>
        <v>13.439999999999998</v>
      </c>
      <c r="T24" s="56">
        <f>T20-T21-T22-T23</f>
        <v>5.3759999999999994</v>
      </c>
      <c r="U24" s="56">
        <f>U20-U21-U22-U23</f>
        <v>2.1504000000000003</v>
      </c>
      <c r="V24" s="56">
        <f>V20-V21-V22-V23</f>
        <v>0.8601600000000003</v>
      </c>
      <c r="W24" s="56">
        <f>W20-W21-W22-W23</f>
        <v>0.3440640000000001</v>
      </c>
      <c r="X24" s="56">
        <f>X20-X21-X22-X23</f>
        <v>0.13762560000000004</v>
      </c>
      <c r="Y24" s="56">
        <f>Y20-Y21-Y22-Y23</f>
        <v>0.055050240000000014</v>
      </c>
      <c r="Z24" s="56">
        <f>Z20-Z21-Z22-Z23</f>
        <v>0.02202009600000001</v>
      </c>
    </row>
    <row r="26">
      <c r="A26" s="30" t="inlineStr">
        <is>
          <t>Company totals (risk-adjusted)</t>
        </is>
      </c>
    </row>
    <row r="27">
      <c r="A27" s="23" t="inlineStr">
        <is>
          <t>Revenue</t>
        </is>
      </c>
      <c r="C27" s="56">
        <f>C10+C20</f>
        <v>88.0</v>
      </c>
      <c r="D27" s="56">
        <f>D10+D20</f>
        <v>229.0</v>
      </c>
      <c r="E27" s="56">
        <f>E10+E20</f>
        <v>418.5</v>
      </c>
      <c r="F27" s="56">
        <f>F10+F20</f>
        <v>612.5</v>
      </c>
      <c r="G27" s="56">
        <f>G10+G20</f>
        <v>810.1</v>
      </c>
      <c r="H27" s="56">
        <f>H10+H20</f>
        <v>967.1999999999999</v>
      </c>
      <c r="I27" s="56">
        <f>I10+I20</f>
        <v>1098.7</v>
      </c>
      <c r="J27" s="56">
        <f>J10+J20</f>
        <v>1165.0</v>
      </c>
      <c r="K27" s="56">
        <f>K10+K20</f>
        <v>1216.0</v>
      </c>
      <c r="L27" s="56">
        <f>L10+L20</f>
        <v>1249.0</v>
      </c>
      <c r="M27" s="56">
        <f>M10+M20</f>
        <v>1270.0</v>
      </c>
      <c r="N27" s="56">
        <f>N10+N20</f>
        <v>1270.0</v>
      </c>
      <c r="O27" s="56">
        <f>O10+O20</f>
        <v>1270.0</v>
      </c>
      <c r="P27" s="56">
        <f>P10+P20</f>
        <v>1270.0</v>
      </c>
      <c r="Q27" s="56">
        <f>Q10+Q20</f>
        <v>508.0</v>
      </c>
      <c r="R27" s="56">
        <f>R10+R20</f>
        <v>203.20000000000002</v>
      </c>
      <c r="S27" s="56">
        <f>S10+S20</f>
        <v>81.28</v>
      </c>
      <c r="T27" s="56">
        <f>T10+T20</f>
        <v>32.512</v>
      </c>
      <c r="U27" s="56">
        <f>U10+U20</f>
        <v>13.004800000000003</v>
      </c>
      <c r="V27" s="56">
        <f>V10+V20</f>
        <v>5.201920000000001</v>
      </c>
      <c r="W27" s="56">
        <f>W10+W20</f>
        <v>2.0807680000000004</v>
      </c>
      <c r="X27" s="56">
        <f>X10+X20</f>
        <v>0.8323072000000004</v>
      </c>
      <c r="Y27" s="56">
        <f>Y10+Y20</f>
        <v>0.33292288000000014</v>
      </c>
      <c r="Z27" s="56">
        <f>Z10+Z20</f>
        <v>0.13316915200000007</v>
      </c>
    </row>
    <row r="28">
      <c r="A28" s="13" t="inlineStr">
        <is>
          <t>Cost of sales (COGS + royalties)</t>
        </is>
      </c>
      <c r="C28" s="52">
        <f>C11+C21</f>
        <v>4.4</v>
      </c>
      <c r="D28" s="52">
        <f>D11+D21</f>
        <v>11.450000000000001</v>
      </c>
      <c r="E28" s="52">
        <f>E11+E21</f>
        <v>20.925</v>
      </c>
      <c r="F28" s="52">
        <f>F11+F21</f>
        <v>30.625</v>
      </c>
      <c r="G28" s="52">
        <f>G11+G21</f>
        <v>40.505</v>
      </c>
      <c r="H28" s="52">
        <f>H11+H21</f>
        <v>48.36</v>
      </c>
      <c r="I28" s="52">
        <f>I11+I21</f>
        <v>54.935</v>
      </c>
      <c r="J28" s="52">
        <f>J11+J21</f>
        <v>58.25</v>
      </c>
      <c r="K28" s="52">
        <f>K11+K21</f>
        <v>60.8</v>
      </c>
      <c r="L28" s="52">
        <f>L11+L21</f>
        <v>62.45</v>
      </c>
      <c r="M28" s="52">
        <f>M11+M21</f>
        <v>63.5</v>
      </c>
      <c r="N28" s="52">
        <f>N11+N21</f>
        <v>63.5</v>
      </c>
      <c r="O28" s="52">
        <f>O11+O21</f>
        <v>63.5</v>
      </c>
      <c r="P28" s="52">
        <f>P11+P21</f>
        <v>63.5</v>
      </c>
      <c r="Q28" s="52">
        <f>Q11+Q21</f>
        <v>25.400000000000002</v>
      </c>
      <c r="R28" s="52">
        <f>R11+R21</f>
        <v>10.160000000000002</v>
      </c>
      <c r="S28" s="52">
        <f>S11+S21</f>
        <v>4.064</v>
      </c>
      <c r="T28" s="52">
        <f>T11+T21</f>
        <v>1.6256</v>
      </c>
      <c r="U28" s="52">
        <f>U11+U21</f>
        <v>0.6502400000000002</v>
      </c>
      <c r="V28" s="52">
        <f>V11+V21</f>
        <v>0.2600960000000001</v>
      </c>
      <c r="W28" s="52">
        <f>W11+W21</f>
        <v>0.10403840000000003</v>
      </c>
      <c r="X28" s="52">
        <f>X11+X21</f>
        <v>0.04161536000000002</v>
      </c>
      <c r="Y28" s="52">
        <f>Y11+Y21</f>
        <v>0.01664614400000001</v>
      </c>
      <c r="Z28" s="52">
        <f>Z11+Z21</f>
        <v>0.006658457600000004</v>
      </c>
    </row>
    <row r="29">
      <c r="A29" s="13" t="inlineStr">
        <is>
          <t>Program development R&amp;D</t>
        </is>
      </c>
      <c r="C29" s="52">
        <f>C13+C23</f>
        <v>62.0</v>
      </c>
      <c r="D29" s="52">
        <f>D13+D23</f>
        <v>60.0</v>
      </c>
      <c r="E29" s="52">
        <f>E13+E23</f>
        <v>66.0</v>
      </c>
      <c r="F29" s="52">
        <f>F13+F23</f>
        <v>49.25</v>
      </c>
      <c r="G29" s="52">
        <f>G13+G23</f>
        <v>52.5</v>
      </c>
      <c r="H29" s="52">
        <f>H13+H23</f>
        <v>0.0</v>
      </c>
      <c r="I29" s="52">
        <f>I13+I23</f>
        <v>0.0</v>
      </c>
      <c r="J29" s="52">
        <f>J13+J23</f>
        <v>0.0</v>
      </c>
      <c r="K29" s="52">
        <f>K13+K23</f>
        <v>0.0</v>
      </c>
      <c r="L29" s="52">
        <f>L13+L23</f>
        <v>0.0</v>
      </c>
      <c r="M29" s="52">
        <f>M13+M23</f>
        <v>0.0</v>
      </c>
      <c r="N29" s="52">
        <f>N13+N23</f>
        <v>0.0</v>
      </c>
      <c r="O29" s="52">
        <f>O13+O23</f>
        <v>0.0</v>
      </c>
      <c r="P29" s="52">
        <f>P13+P23</f>
        <v>0.0</v>
      </c>
      <c r="Q29" s="52">
        <f>Q13+Q23</f>
        <v>0.0</v>
      </c>
      <c r="R29" s="52">
        <f>R13+R23</f>
        <v>0.0</v>
      </c>
      <c r="S29" s="52">
        <f>S13+S23</f>
        <v>0.0</v>
      </c>
      <c r="T29" s="52">
        <f>T13+T23</f>
        <v>0.0</v>
      </c>
      <c r="U29" s="52">
        <f>U13+U23</f>
        <v>0.0</v>
      </c>
      <c r="V29" s="52">
        <f>V13+V23</f>
        <v>0.0</v>
      </c>
      <c r="W29" s="52">
        <f>W13+W23</f>
        <v>0.0</v>
      </c>
      <c r="X29" s="52">
        <f>X13+X23</f>
        <v>0.0</v>
      </c>
      <c r="Y29" s="52">
        <f>Y13+Y23</f>
        <v>0.0</v>
      </c>
      <c r="Z29" s="52">
        <f>Z13+Z23</f>
        <v>0.0</v>
      </c>
    </row>
    <row r="30">
      <c r="A30" s="13" t="inlineStr">
        <is>
          <t>Platform / unallocated R&amp;D</t>
        </is>
      </c>
      <c r="C30" s="52">
        <f>IF(C$2&gt;Assumptions!$B$25,Assumptions!$B$23*C27,MAX(Assumptions!$B$20*(1+Assumptions!$B$21)^(C$2-2027)*Assumptions!$B$38,Assumptions!$B$23*C27))</f>
        <v>24.099999999999998</v>
      </c>
      <c r="D30" s="52">
        <f>IF(D$2&gt;Assumptions!$B$25,Assumptions!$B$23*D27,MAX(Assumptions!$B$20*(1+Assumptions!$B$21)^(D$2-2027)*Assumptions!$B$38,Assumptions!$B$23*D27))</f>
        <v>24.823</v>
      </c>
      <c r="E30" s="52">
        <f>IF(E$2&gt;Assumptions!$B$25,Assumptions!$B$23*E27,MAX(Assumptions!$B$20*(1+Assumptions!$B$21)^(E$2-2027)*Assumptions!$B$38,Assumptions!$B$23*E27))</f>
        <v>25.567689999999995</v>
      </c>
      <c r="F30" s="52">
        <f>IF(F$2&gt;Assumptions!$B$25,Assumptions!$B$23*F27,MAX(Assumptions!$B$20*(1+Assumptions!$B$21)^(F$2-2027)*Assumptions!$B$38,Assumptions!$B$23*F27))</f>
        <v>36.75</v>
      </c>
      <c r="G30" s="52">
        <f>IF(G$2&gt;Assumptions!$B$25,Assumptions!$B$23*G27,MAX(Assumptions!$B$20*(1+Assumptions!$B$21)^(G$2-2027)*Assumptions!$B$38,Assumptions!$B$23*G27))</f>
        <v>48.606</v>
      </c>
      <c r="H30" s="52">
        <f>IF(H$2&gt;Assumptions!$B$25,Assumptions!$B$23*H27,MAX(Assumptions!$B$20*(1+Assumptions!$B$21)^(H$2-2027)*Assumptions!$B$38,Assumptions!$B$23*H27))</f>
        <v>58.032</v>
      </c>
      <c r="I30" s="52">
        <f>IF(I$2&gt;Assumptions!$B$25,Assumptions!$B$23*I27,MAX(Assumptions!$B$20*(1+Assumptions!$B$21)^(I$2-2027)*Assumptions!$B$38,Assumptions!$B$23*I27))</f>
        <v>65.922</v>
      </c>
      <c r="J30" s="52">
        <f>IF(J$2&gt;Assumptions!$B$25,Assumptions!$B$23*J27,MAX(Assumptions!$B$20*(1+Assumptions!$B$21)^(J$2-2027)*Assumptions!$B$38,Assumptions!$B$23*J27))</f>
        <v>69.89999999999999</v>
      </c>
      <c r="K30" s="52">
        <f>IF(K$2&gt;Assumptions!$B$25,Assumptions!$B$23*K27,MAX(Assumptions!$B$20*(1+Assumptions!$B$21)^(K$2-2027)*Assumptions!$B$38,Assumptions!$B$23*K27))</f>
        <v>72.96</v>
      </c>
      <c r="L30" s="52">
        <f>IF(L$2&gt;Assumptions!$B$25,Assumptions!$B$23*L27,MAX(Assumptions!$B$20*(1+Assumptions!$B$21)^(L$2-2027)*Assumptions!$B$38,Assumptions!$B$23*L27))</f>
        <v>74.94</v>
      </c>
      <c r="M30" s="52">
        <f>IF(M$2&gt;Assumptions!$B$25,Assumptions!$B$23*M27,MAX(Assumptions!$B$20*(1+Assumptions!$B$21)^(M$2-2027)*Assumptions!$B$38,Assumptions!$B$23*M27))</f>
        <v>76.2</v>
      </c>
      <c r="N30" s="52">
        <f>IF(N$2&gt;Assumptions!$B$25,Assumptions!$B$23*N27,MAX(Assumptions!$B$20*(1+Assumptions!$B$21)^(N$2-2027)*Assumptions!$B$38,Assumptions!$B$23*N27))</f>
        <v>76.2</v>
      </c>
      <c r="O30" s="52">
        <f>IF(O$2&gt;Assumptions!$B$25,Assumptions!$B$23*O27,MAX(Assumptions!$B$20*(1+Assumptions!$B$21)^(O$2-2027)*Assumptions!$B$38,Assumptions!$B$23*O27))</f>
        <v>76.2</v>
      </c>
      <c r="P30" s="52">
        <f>IF(P$2&gt;Assumptions!$B$25,Assumptions!$B$23*P27,MAX(Assumptions!$B$20*(1+Assumptions!$B$21)^(P$2-2027)*Assumptions!$B$38,Assumptions!$B$23*P27))</f>
        <v>76.2</v>
      </c>
      <c r="Q30" s="52">
        <f>IF(Q$2&gt;Assumptions!$B$25,Assumptions!$B$23*Q27,MAX(Assumptions!$B$20*(1+Assumptions!$B$21)^(Q$2-2027)*Assumptions!$B$38,Assumptions!$B$23*Q27))</f>
        <v>36.45341236900819</v>
      </c>
      <c r="R30" s="52">
        <f>IF(R$2&gt;Assumptions!$B$25,Assumptions!$B$23*R27,MAX(Assumptions!$B$20*(1+Assumptions!$B$21)^(R$2-2027)*Assumptions!$B$38,Assumptions!$B$23*R27))</f>
        <v>12.192</v>
      </c>
      <c r="S30" s="52">
        <f>IF(S$2&gt;Assumptions!$B$25,Assumptions!$B$23*S27,MAX(Assumptions!$B$20*(1+Assumptions!$B$21)^(S$2-2027)*Assumptions!$B$38,Assumptions!$B$23*S27))</f>
        <v>4.8768</v>
      </c>
      <c r="T30" s="52">
        <f>IF(T$2&gt;Assumptions!$B$25,Assumptions!$B$23*T27,MAX(Assumptions!$B$20*(1+Assumptions!$B$21)^(T$2-2027)*Assumptions!$B$38,Assumptions!$B$23*T27))</f>
        <v>1.95072</v>
      </c>
      <c r="U30" s="52">
        <f>IF(U$2&gt;Assumptions!$B$25,Assumptions!$B$23*U27,MAX(Assumptions!$B$20*(1+Assumptions!$B$21)^(U$2-2027)*Assumptions!$B$38,Assumptions!$B$23*U27))</f>
        <v>0.7802880000000002</v>
      </c>
      <c r="V30" s="52">
        <f>IF(V$2&gt;Assumptions!$B$25,Assumptions!$B$23*V27,MAX(Assumptions!$B$20*(1+Assumptions!$B$21)^(V$2-2027)*Assumptions!$B$38,Assumptions!$B$23*V27))</f>
        <v>0.31211520000000004</v>
      </c>
      <c r="W30" s="52">
        <f>IF(W$2&gt;Assumptions!$B$25,Assumptions!$B$23*W27,MAX(Assumptions!$B$20*(1+Assumptions!$B$21)^(W$2-2027)*Assumptions!$B$38,Assumptions!$B$23*W27))</f>
        <v>0.12484608000000003</v>
      </c>
      <c r="X30" s="52">
        <f>IF(X$2&gt;Assumptions!$B$25,Assumptions!$B$23*X27,MAX(Assumptions!$B$20*(1+Assumptions!$B$21)^(X$2-2027)*Assumptions!$B$38,Assumptions!$B$23*X27))</f>
        <v>0.04993843200000002</v>
      </c>
      <c r="Y30" s="52">
        <f>IF(Y$2&gt;Assumptions!$B$25,Assumptions!$B$23*Y27,MAX(Assumptions!$B$20*(1+Assumptions!$B$21)^(Y$2-2027)*Assumptions!$B$38,Assumptions!$B$23*Y27))</f>
        <v>0.01997537280000001</v>
      </c>
      <c r="Z30" s="52">
        <f>IF(Z$2&gt;Assumptions!$B$25,Assumptions!$B$23*Z27,MAX(Assumptions!$B$20*(1+Assumptions!$B$21)^(Z$2-2027)*Assumptions!$B$38,Assumptions!$B$23*Z27))</f>
        <v>0.007990149120000003</v>
      </c>
    </row>
    <row r="31">
      <c r="A31" s="13" t="inlineStr">
        <is>
          <t>Total R&amp;D</t>
        </is>
      </c>
      <c r="C31" s="52">
        <f>C29+C30</f>
        <v>86.1</v>
      </c>
      <c r="D31" s="52">
        <f>D29+D30</f>
        <v>84.82300000000001</v>
      </c>
      <c r="E31" s="52">
        <f>E29+E30</f>
        <v>91.56769</v>
      </c>
      <c r="F31" s="52">
        <f>F29+F30</f>
        <v>86.0</v>
      </c>
      <c r="G31" s="52">
        <f>G29+G30</f>
        <v>101.106</v>
      </c>
      <c r="H31" s="52">
        <f>H29+H30</f>
        <v>58.032</v>
      </c>
      <c r="I31" s="52">
        <f>I29+I30</f>
        <v>65.922</v>
      </c>
      <c r="J31" s="52">
        <f>J29+J30</f>
        <v>69.89999999999999</v>
      </c>
      <c r="K31" s="52">
        <f>K29+K30</f>
        <v>72.96</v>
      </c>
      <c r="L31" s="52">
        <f>L29+L30</f>
        <v>74.94</v>
      </c>
      <c r="M31" s="52">
        <f>M29+M30</f>
        <v>76.2</v>
      </c>
      <c r="N31" s="52">
        <f>N29+N30</f>
        <v>76.2</v>
      </c>
      <c r="O31" s="52">
        <f>O29+O30</f>
        <v>76.2</v>
      </c>
      <c r="P31" s="52">
        <f>P29+P30</f>
        <v>76.2</v>
      </c>
      <c r="Q31" s="52">
        <f>Q29+Q30</f>
        <v>36.45341236900819</v>
      </c>
      <c r="R31" s="52">
        <f>R29+R30</f>
        <v>12.192</v>
      </c>
      <c r="S31" s="52">
        <f>S29+S30</f>
        <v>4.8768</v>
      </c>
      <c r="T31" s="52">
        <f>T29+T30</f>
        <v>1.95072</v>
      </c>
      <c r="U31" s="52">
        <f>U29+U30</f>
        <v>0.7802880000000002</v>
      </c>
      <c r="V31" s="52">
        <f>V29+V30</f>
        <v>0.31211520000000004</v>
      </c>
      <c r="W31" s="52">
        <f>W29+W30</f>
        <v>0.12484608000000003</v>
      </c>
      <c r="X31" s="52">
        <f>X29+X30</f>
        <v>0.04993843200000002</v>
      </c>
      <c r="Y31" s="52">
        <f>Y29+Y30</f>
        <v>0.01997537280000001</v>
      </c>
      <c r="Z31" s="52">
        <f>Z29+Z30</f>
        <v>0.007990149120000003</v>
      </c>
    </row>
    <row r="32">
      <c r="A32" s="13" t="inlineStr">
        <is>
          <t>Commercial SG&amp;A</t>
        </is>
      </c>
      <c r="C32" s="52">
        <f>C12+C22</f>
        <v>84.60000000000001</v>
      </c>
      <c r="D32" s="52">
        <f>D12+D22</f>
        <v>129.1</v>
      </c>
      <c r="E32" s="52">
        <f>E12+E22</f>
        <v>170.775</v>
      </c>
      <c r="F32" s="52">
        <f>F12+F22</f>
        <v>222.39999999999998</v>
      </c>
      <c r="G32" s="52">
        <f>G12+G22</f>
        <v>300.035</v>
      </c>
      <c r="H32" s="52">
        <f>H12+H22</f>
        <v>353.52</v>
      </c>
      <c r="I32" s="52">
        <f>I12+I22</f>
        <v>391.295</v>
      </c>
      <c r="J32" s="52">
        <f>J12+J22</f>
        <v>401.9</v>
      </c>
      <c r="K32" s="52">
        <f>K12+K22</f>
        <v>408.38</v>
      </c>
      <c r="L32" s="52">
        <f>L12+L22</f>
        <v>409.25</v>
      </c>
      <c r="M32" s="52">
        <f>M12+M22</f>
        <v>414.5</v>
      </c>
      <c r="N32" s="52">
        <f>N12+N22</f>
        <v>414.5</v>
      </c>
      <c r="O32" s="52">
        <f>O12+O22</f>
        <v>414.5</v>
      </c>
      <c r="P32" s="52">
        <f>P12+P22</f>
        <v>414.5</v>
      </c>
      <c r="Q32" s="52">
        <f>Q12+Q22</f>
        <v>165.8</v>
      </c>
      <c r="R32" s="52">
        <f>R12+R22</f>
        <v>66.32</v>
      </c>
      <c r="S32" s="52">
        <f>S12+S22</f>
        <v>26.528000000000002</v>
      </c>
      <c r="T32" s="52">
        <f>T12+T22</f>
        <v>10.611199999999998</v>
      </c>
      <c r="U32" s="52">
        <f>U12+U22</f>
        <v>4.24448</v>
      </c>
      <c r="V32" s="52">
        <f>V12+V22</f>
        <v>1.6977920000000004</v>
      </c>
      <c r="W32" s="52">
        <f>W12+W22</f>
        <v>0.6791168000000002</v>
      </c>
      <c r="X32" s="52">
        <f>X12+X22</f>
        <v>0.27164672000000006</v>
      </c>
      <c r="Y32" s="52">
        <f>Y12+Y22</f>
        <v>0.10865868800000002</v>
      </c>
      <c r="Z32" s="52">
        <f>Z12+Z22</f>
        <v>0.04346347520000001</v>
      </c>
    </row>
    <row r="33">
      <c r="A33" s="13" t="inlineStr">
        <is>
          <t>Corporate G&amp;A</t>
        </is>
      </c>
      <c r="C33" s="52">
        <f>IF(C$2&gt;Assumptions!$B$25,Assumptions!$B$22*C27,MAX(Assumptions!$B$19*(1+Assumptions!$B$21)^(C$2-2027)*Assumptions!$B$38,Assumptions!$B$22*C27))</f>
        <v>48.199999999999996</v>
      </c>
      <c r="D33" s="52">
        <f>IF(D$2&gt;Assumptions!$B$25,Assumptions!$B$22*D27,MAX(Assumptions!$B$19*(1+Assumptions!$B$21)^(D$2-2027)*Assumptions!$B$38,Assumptions!$B$22*D27))</f>
        <v>49.646</v>
      </c>
      <c r="E33" s="52">
        <f>IF(E$2&gt;Assumptions!$B$25,Assumptions!$B$22*E27,MAX(Assumptions!$B$19*(1+Assumptions!$B$21)^(E$2-2027)*Assumptions!$B$38,Assumptions!$B$22*E27))</f>
        <v>51.13537999999999</v>
      </c>
      <c r="F33" s="52">
        <f>IF(F$2&gt;Assumptions!$B$25,Assumptions!$B$22*F27,MAX(Assumptions!$B$19*(1+Assumptions!$B$21)^(F$2-2027)*Assumptions!$B$38,Assumptions!$B$22*F27))</f>
        <v>52.6694414</v>
      </c>
      <c r="G33" s="52">
        <f>IF(G$2&gt;Assumptions!$B$25,Assumptions!$B$22*G27,MAX(Assumptions!$B$19*(1+Assumptions!$B$21)^(G$2-2027)*Assumptions!$B$38,Assumptions!$B$22*G27))</f>
        <v>64.808</v>
      </c>
      <c r="H33" s="52">
        <f>IF(H$2&gt;Assumptions!$B$25,Assumptions!$B$22*H27,MAX(Assumptions!$B$19*(1+Assumptions!$B$21)^(H$2-2027)*Assumptions!$B$38,Assumptions!$B$22*H27))</f>
        <v>77.37599999999999</v>
      </c>
      <c r="I33" s="52">
        <f>IF(I$2&gt;Assumptions!$B$25,Assumptions!$B$22*I27,MAX(Assumptions!$B$19*(1+Assumptions!$B$21)^(I$2-2027)*Assumptions!$B$38,Assumptions!$B$22*I27))</f>
        <v>87.896</v>
      </c>
      <c r="J33" s="52">
        <f>IF(J$2&gt;Assumptions!$B$25,Assumptions!$B$22*J27,MAX(Assumptions!$B$19*(1+Assumptions!$B$21)^(J$2-2027)*Assumptions!$B$38,Assumptions!$B$22*J27))</f>
        <v>93.2</v>
      </c>
      <c r="K33" s="52">
        <f>IF(K$2&gt;Assumptions!$B$25,Assumptions!$B$22*K27,MAX(Assumptions!$B$19*(1+Assumptions!$B$21)^(K$2-2027)*Assumptions!$B$38,Assumptions!$B$22*K27))</f>
        <v>97.28</v>
      </c>
      <c r="L33" s="52">
        <f>IF(L$2&gt;Assumptions!$B$25,Assumptions!$B$22*L27,MAX(Assumptions!$B$19*(1+Assumptions!$B$21)^(L$2-2027)*Assumptions!$B$38,Assumptions!$B$22*L27))</f>
        <v>99.92</v>
      </c>
      <c r="M33" s="52">
        <f>IF(M$2&gt;Assumptions!$B$25,Assumptions!$B$22*M27,MAX(Assumptions!$B$19*(1+Assumptions!$B$21)^(M$2-2027)*Assumptions!$B$38,Assumptions!$B$22*M27))</f>
        <v>101.60000000000001</v>
      </c>
      <c r="N33" s="52">
        <f>IF(N$2&gt;Assumptions!$B$25,Assumptions!$B$22*N27,MAX(Assumptions!$B$19*(1+Assumptions!$B$21)^(N$2-2027)*Assumptions!$B$38,Assumptions!$B$22*N27))</f>
        <v>101.60000000000001</v>
      </c>
      <c r="O33" s="52">
        <f>IF(O$2&gt;Assumptions!$B$25,Assumptions!$B$22*O27,MAX(Assumptions!$B$19*(1+Assumptions!$B$21)^(O$2-2027)*Assumptions!$B$38,Assumptions!$B$22*O27))</f>
        <v>101.60000000000001</v>
      </c>
      <c r="P33" s="52">
        <f>IF(P$2&gt;Assumptions!$B$25,Assumptions!$B$22*P27,MAX(Assumptions!$B$19*(1+Assumptions!$B$21)^(P$2-2027)*Assumptions!$B$38,Assumptions!$B$22*P27))</f>
        <v>101.60000000000001</v>
      </c>
      <c r="Q33" s="52">
        <f>IF(Q$2&gt;Assumptions!$B$25,Assumptions!$B$22*Q27,MAX(Assumptions!$B$19*(1+Assumptions!$B$21)^(Q$2-2027)*Assumptions!$B$38,Assumptions!$B$22*Q27))</f>
        <v>72.90682473801638</v>
      </c>
      <c r="R33" s="52">
        <f>IF(R$2&gt;Assumptions!$B$25,Assumptions!$B$22*R27,MAX(Assumptions!$B$19*(1+Assumptions!$B$21)^(R$2-2027)*Assumptions!$B$38,Assumptions!$B$22*R27))</f>
        <v>16.256</v>
      </c>
      <c r="S33" s="52">
        <f>IF(S$2&gt;Assumptions!$B$25,Assumptions!$B$22*S27,MAX(Assumptions!$B$19*(1+Assumptions!$B$21)^(S$2-2027)*Assumptions!$B$38,Assumptions!$B$22*S27))</f>
        <v>6.502400000000001</v>
      </c>
      <c r="T33" s="52">
        <f>IF(T$2&gt;Assumptions!$B$25,Assumptions!$B$22*T27,MAX(Assumptions!$B$19*(1+Assumptions!$B$21)^(T$2-2027)*Assumptions!$B$38,Assumptions!$B$22*T27))</f>
        <v>2.60096</v>
      </c>
      <c r="U33" s="52">
        <f>IF(U$2&gt;Assumptions!$B$25,Assumptions!$B$22*U27,MAX(Assumptions!$B$19*(1+Assumptions!$B$21)^(U$2-2027)*Assumptions!$B$38,Assumptions!$B$22*U27))</f>
        <v>1.0403840000000002</v>
      </c>
      <c r="V33" s="52">
        <f>IF(V$2&gt;Assumptions!$B$25,Assumptions!$B$22*V27,MAX(Assumptions!$B$19*(1+Assumptions!$B$21)^(V$2-2027)*Assumptions!$B$38,Assumptions!$B$22*V27))</f>
        <v>0.4161536000000001</v>
      </c>
      <c r="W33" s="52">
        <f>IF(W$2&gt;Assumptions!$B$25,Assumptions!$B$22*W27,MAX(Assumptions!$B$19*(1+Assumptions!$B$21)^(W$2-2027)*Assumptions!$B$38,Assumptions!$B$22*W27))</f>
        <v>0.16646144000000004</v>
      </c>
      <c r="X33" s="52">
        <f>IF(X$2&gt;Assumptions!$B$25,Assumptions!$B$22*X27,MAX(Assumptions!$B$19*(1+Assumptions!$B$21)^(X$2-2027)*Assumptions!$B$38,Assumptions!$B$22*X27))</f>
        <v>0.06658457600000003</v>
      </c>
      <c r="Y33" s="52">
        <f>IF(Y$2&gt;Assumptions!$B$25,Assumptions!$B$22*Y27,MAX(Assumptions!$B$19*(1+Assumptions!$B$21)^(Y$2-2027)*Assumptions!$B$38,Assumptions!$B$22*Y27))</f>
        <v>0.026633830400000013</v>
      </c>
      <c r="Z33" s="52">
        <f>IF(Z$2&gt;Assumptions!$B$25,Assumptions!$B$22*Z27,MAX(Assumptions!$B$19*(1+Assumptions!$B$21)^(Z$2-2027)*Assumptions!$B$38,Assumptions!$B$22*Z27))</f>
        <v>0.010653532160000005</v>
      </c>
    </row>
    <row r="34">
      <c r="A34" s="13" t="inlineStr">
        <is>
          <t>Total G&amp;A incl. SG&amp;A</t>
        </is>
      </c>
      <c r="C34" s="52">
        <f>C32+C33</f>
        <v>132.8</v>
      </c>
      <c r="D34" s="52">
        <f>D32+D33</f>
        <v>178.74599999999998</v>
      </c>
      <c r="E34" s="52">
        <f>E32+E33</f>
        <v>221.91038</v>
      </c>
      <c r="F34" s="52">
        <f>F32+F33</f>
        <v>275.06944139999996</v>
      </c>
      <c r="G34" s="52">
        <f>G32+G33</f>
        <v>364.843</v>
      </c>
      <c r="H34" s="52">
        <f>H32+H33</f>
        <v>430.89599999999996</v>
      </c>
      <c r="I34" s="52">
        <f>I32+I33</f>
        <v>479.19100000000003</v>
      </c>
      <c r="J34" s="52">
        <f>J32+J33</f>
        <v>495.09999999999997</v>
      </c>
      <c r="K34" s="52">
        <f>K32+K33</f>
        <v>505.65999999999997</v>
      </c>
      <c r="L34" s="52">
        <f>L32+L33</f>
        <v>509.17</v>
      </c>
      <c r="M34" s="52">
        <f>M32+M33</f>
        <v>516.1</v>
      </c>
      <c r="N34" s="52">
        <f>N32+N33</f>
        <v>516.1</v>
      </c>
      <c r="O34" s="52">
        <f>O32+O33</f>
        <v>516.1</v>
      </c>
      <c r="P34" s="52">
        <f>P32+P33</f>
        <v>516.1</v>
      </c>
      <c r="Q34" s="52">
        <f>Q32+Q33</f>
        <v>238.7068247380164</v>
      </c>
      <c r="R34" s="52">
        <f>R32+R33</f>
        <v>82.576</v>
      </c>
      <c r="S34" s="52">
        <f>S32+S33</f>
        <v>33.0304</v>
      </c>
      <c r="T34" s="52">
        <f>T32+T33</f>
        <v>13.212159999999999</v>
      </c>
      <c r="U34" s="52">
        <f>U32+U33</f>
        <v>5.284864000000001</v>
      </c>
      <c r="V34" s="52">
        <f>V32+V33</f>
        <v>2.1139456000000005</v>
      </c>
      <c r="W34" s="52">
        <f>W32+W33</f>
        <v>0.8455782400000003</v>
      </c>
      <c r="X34" s="52">
        <f>X32+X33</f>
        <v>0.3382312960000001</v>
      </c>
      <c r="Y34" s="52">
        <f>Y32+Y33</f>
        <v>0.13529251840000003</v>
      </c>
      <c r="Z34" s="52">
        <f>Z32+Z33</f>
        <v>0.05411700736000002</v>
      </c>
    </row>
    <row r="35">
      <c r="A35" s="23" t="inlineStr">
        <is>
          <t>Operating income (EBIT)</t>
        </is>
      </c>
      <c r="C35" s="64">
        <f>C27-C28-C31-C34</f>
        <v>-135.3</v>
      </c>
      <c r="D35" s="64">
        <f>D27-D28-D31-D34</f>
        <v>-46.01899999999998</v>
      </c>
      <c r="E35" s="64">
        <f>E27-E28-E31-E34</f>
        <v>84.09692999999996</v>
      </c>
      <c r="F35" s="64">
        <f>F27-F28-F31-F34</f>
        <v>220.80555860000004</v>
      </c>
      <c r="G35" s="64">
        <f>G27-G28-G31-G34</f>
        <v>303.646</v>
      </c>
      <c r="H35" s="64">
        <f>H27-H28-H31-H34</f>
        <v>429.9119999999999</v>
      </c>
      <c r="I35" s="64">
        <f>I27-I28-I31-I34</f>
        <v>498.65200000000004</v>
      </c>
      <c r="J35" s="64">
        <f>J27-J28-J31-J34</f>
        <v>541.75</v>
      </c>
      <c r="K35" s="64">
        <f>K27-K28-K31-K34</f>
        <v>576.58</v>
      </c>
      <c r="L35" s="64">
        <f>L27-L28-L31-L34</f>
        <v>602.4399999999998</v>
      </c>
      <c r="M35" s="64">
        <f>M27-M28-M31-M34</f>
        <v>614.1999999999999</v>
      </c>
      <c r="N35" s="64">
        <f>N27-N28-N31-N34</f>
        <v>614.1999999999999</v>
      </c>
      <c r="O35" s="64">
        <f>O27-O28-O31-O34</f>
        <v>614.1999999999999</v>
      </c>
      <c r="P35" s="64">
        <f>P27-P28-P31-P34</f>
        <v>614.1999999999999</v>
      </c>
      <c r="Q35" s="64">
        <f>Q27-Q28-Q31-Q34</f>
        <v>207.4397628929754</v>
      </c>
      <c r="R35" s="64">
        <f>R27-R28-R31-R34</f>
        <v>98.27200000000002</v>
      </c>
      <c r="S35" s="64">
        <f>S27-S28-S31-S34</f>
        <v>39.308800000000005</v>
      </c>
      <c r="T35" s="64">
        <f>T27-T28-T31-T34</f>
        <v>15.723520000000002</v>
      </c>
      <c r="U35" s="64">
        <f>U27-U28-U31-U34</f>
        <v>6.289408000000002</v>
      </c>
      <c r="V35" s="64">
        <f>V27-V28-V31-V34</f>
        <v>2.5157632000000008</v>
      </c>
      <c r="W35" s="64">
        <f>W27-W28-W31-W34</f>
        <v>1.00630528</v>
      </c>
      <c r="X35" s="64">
        <f>X27-X28-X31-X34</f>
        <v>0.4025221120000002</v>
      </c>
      <c r="Y35" s="64">
        <f>Y27-Y28-Y31-Y34</f>
        <v>0.16100884480000008</v>
      </c>
      <c r="Z35" s="64">
        <f>Z27-Z28-Z31-Z34</f>
        <v>0.06440353792000006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60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style="9" min="1" max="1"/>
    <col width="12" customWidth="1" style="9" min="2" max="2"/>
    <col width="12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</cols>
  <sheetData>
    <row r="1">
      <c r="A1" s="22" t="inlineStr">
        <is>
          <t>MLYS — risk-adjusted NPV (rNPV), $mm except per share</t>
        </is>
      </c>
    </row>
    <row r="3">
      <c r="A3" s="13" t="inlineStr">
        <is>
          <t>Scenario</t>
        </is>
      </c>
      <c r="B3" s="65" t="str">
        <f>Assumptions!$C$4</f>
        <v>Base</v>
      </c>
    </row>
    <row r="4">
      <c r="A4" s="13" t="inlineStr">
        <is>
          <t>Valuation date</t>
        </is>
      </c>
      <c r="B4" s="66">
        <f>Assumptions!$B$13</f>
        <v>46311</v>
      </c>
    </row>
    <row r="5">
      <c r="A5" s="13" t="inlineStr">
        <is>
          <t>Discount rate</t>
        </is>
      </c>
      <c r="B5" s="67">
        <f>Assumptions!$B$14</f>
        <v>0.12</v>
      </c>
    </row>
    <row r="7">
      <c r="A7" s="28" t="inlineStr">
        <is>
          <t>Period</t>
        </is>
      </c>
      <c r="B7" s="68" t="inlineStr"/>
      <c r="C7" s="69" t="inlineStr">
        <is>
          <t>2H 2026</t>
        </is>
      </c>
      <c r="D7" s="28" t="n">
        <v>2027</v>
      </c>
      <c r="E7" s="28" t="n">
        <v>2028</v>
      </c>
      <c r="F7" s="28" t="n">
        <v>2029</v>
      </c>
      <c r="G7" s="28" t="n">
        <v>2030</v>
      </c>
      <c r="H7" s="28" t="n">
        <v>2031</v>
      </c>
      <c r="I7" s="28" t="n">
        <v>2032</v>
      </c>
      <c r="J7" s="28" t="n">
        <v>2033</v>
      </c>
      <c r="K7" s="28" t="n">
        <v>2034</v>
      </c>
      <c r="L7" s="28" t="n">
        <v>2035</v>
      </c>
      <c r="M7" s="28" t="n">
        <v>2036</v>
      </c>
      <c r="N7" s="28" t="n">
        <v>2037</v>
      </c>
      <c r="O7" s="28" t="n">
        <v>2038</v>
      </c>
      <c r="P7" s="28" t="n">
        <v>2039</v>
      </c>
      <c r="Q7" s="28" t="n">
        <v>2040</v>
      </c>
      <c r="R7" s="28" t="n">
        <v>2041</v>
      </c>
      <c r="S7" s="28" t="n">
        <v>2042</v>
      </c>
      <c r="T7" s="28" t="n">
        <v>2043</v>
      </c>
      <c r="U7" s="28" t="n">
        <v>2044</v>
      </c>
      <c r="V7" s="28" t="n">
        <v>2045</v>
      </c>
      <c r="W7" s="28" t="n">
        <v>2046</v>
      </c>
      <c r="X7" s="28" t="n">
        <v>2047</v>
      </c>
      <c r="Y7" s="28" t="n">
        <v>2048</v>
      </c>
      <c r="Z7" s="28" t="n">
        <v>2049</v>
      </c>
      <c r="AA7" s="28" t="n">
        <v>2050</v>
      </c>
    </row>
    <row r="8">
      <c r="A8" s="13" t="inlineStr">
        <is>
          <t>Revenue, risk-adjusted</t>
        </is>
      </c>
      <c r="C8" s="52">
        <f>SUM('Quarterly Model'!H2:I2)</f>
        <v>0.0</v>
      </c>
      <c r="D8" s="70">
        <f>'Yearly Model'!H2</f>
        <v>88.0</v>
      </c>
      <c r="E8" s="70">
        <f>'Yearly Model'!I2</f>
        <v>229.0</v>
      </c>
      <c r="F8" s="70">
        <f>'Yearly Model'!J2</f>
        <v>418.5</v>
      </c>
      <c r="G8" s="70">
        <f>'Yearly Model'!K2</f>
        <v>612.5</v>
      </c>
      <c r="H8" s="70">
        <f>'Yearly Model'!L2</f>
        <v>810.1</v>
      </c>
      <c r="I8" s="70">
        <f>'Yearly Model'!M2</f>
        <v>967.1999999999999</v>
      </c>
      <c r="J8" s="70">
        <f>'Yearly Model'!N2</f>
        <v>1098.7</v>
      </c>
      <c r="K8" s="70">
        <f>'Yearly Model'!O2</f>
        <v>1165.0</v>
      </c>
      <c r="L8" s="70">
        <f>'Yearly Model'!P2</f>
        <v>1216.0</v>
      </c>
      <c r="M8" s="70">
        <f>'Yearly Model'!Q2</f>
        <v>1249.0</v>
      </c>
      <c r="N8" s="70">
        <f>'Yearly Model'!R2</f>
        <v>1270.0</v>
      </c>
      <c r="O8" s="70">
        <f>'Yearly Model'!S2</f>
        <v>1270.0</v>
      </c>
      <c r="P8" s="70">
        <f>'Yearly Model'!T2</f>
        <v>1270.0</v>
      </c>
      <c r="Q8" s="70">
        <f>'Yearly Model'!U2</f>
        <v>1270.0</v>
      </c>
      <c r="R8" s="70">
        <f>'Yearly Model'!V2</f>
        <v>508.0</v>
      </c>
      <c r="S8" s="70">
        <f>'Yearly Model'!W2</f>
        <v>203.20000000000002</v>
      </c>
      <c r="T8" s="70">
        <f>'Yearly Model'!X2</f>
        <v>81.28</v>
      </c>
      <c r="U8" s="70">
        <f>'Yearly Model'!Y2</f>
        <v>32.512</v>
      </c>
      <c r="V8" s="70">
        <f>'Yearly Model'!Z2</f>
        <v>13.004800000000003</v>
      </c>
      <c r="W8" s="70">
        <f>'Yearly Model'!AA2</f>
        <v>5.201920000000001</v>
      </c>
      <c r="X8" s="70">
        <f>'Yearly Model'!AB2</f>
        <v>2.0807680000000004</v>
      </c>
      <c r="Y8" s="70">
        <f>'Yearly Model'!AC2</f>
        <v>0.8323072000000004</v>
      </c>
      <c r="Z8" s="70">
        <f>'Yearly Model'!AD2</f>
        <v>0.33292288000000014</v>
      </c>
      <c r="AA8" s="70">
        <f>'Yearly Model'!AE2</f>
        <v>0.13316915200000007</v>
      </c>
    </row>
    <row r="9">
      <c r="A9" s="13" t="inlineStr">
        <is>
          <t>Operating income (EBIT)</t>
        </is>
      </c>
      <c r="C9" s="52">
        <f>SUM('Quarterly Model'!H8:I8)</f>
        <v>-120.0</v>
      </c>
      <c r="D9" s="70">
        <f>'Yearly Model'!H8</f>
        <v>-135.3</v>
      </c>
      <c r="E9" s="70">
        <f>'Yearly Model'!I8</f>
        <v>-46.01899999999995</v>
      </c>
      <c r="F9" s="70">
        <f>'Yearly Model'!J8</f>
        <v>84.09692999999999</v>
      </c>
      <c r="G9" s="70">
        <f>'Yearly Model'!K8</f>
        <v>220.80555860000004</v>
      </c>
      <c r="H9" s="70">
        <f>'Yearly Model'!L8</f>
        <v>303.646</v>
      </c>
      <c r="I9" s="70">
        <f>'Yearly Model'!M8</f>
        <v>429.912</v>
      </c>
      <c r="J9" s="70">
        <f>'Yearly Model'!N8</f>
        <v>498.65200000000004</v>
      </c>
      <c r="K9" s="70">
        <f>'Yearly Model'!O8</f>
        <v>541.75</v>
      </c>
      <c r="L9" s="70">
        <f>'Yearly Model'!P8</f>
        <v>576.58</v>
      </c>
      <c r="M9" s="70">
        <f>'Yearly Model'!Q8</f>
        <v>602.4399999999999</v>
      </c>
      <c r="N9" s="70">
        <f>'Yearly Model'!R8</f>
        <v>614.1999999999999</v>
      </c>
      <c r="O9" s="70">
        <f>'Yearly Model'!S8</f>
        <v>614.1999999999999</v>
      </c>
      <c r="P9" s="70">
        <f>'Yearly Model'!T8</f>
        <v>614.1999999999999</v>
      </c>
      <c r="Q9" s="70">
        <f>'Yearly Model'!U8</f>
        <v>614.1999999999999</v>
      </c>
      <c r="R9" s="70">
        <f>'Yearly Model'!V8</f>
        <v>207.4397628929754</v>
      </c>
      <c r="S9" s="70">
        <f>'Yearly Model'!W8</f>
        <v>98.27200000000002</v>
      </c>
      <c r="T9" s="70">
        <f>'Yearly Model'!X8</f>
        <v>39.308800000000005</v>
      </c>
      <c r="U9" s="70">
        <f>'Yearly Model'!Y8</f>
        <v>15.723520000000002</v>
      </c>
      <c r="V9" s="70">
        <f>'Yearly Model'!Z8</f>
        <v>6.289408000000002</v>
      </c>
      <c r="W9" s="70">
        <f>'Yearly Model'!AA8</f>
        <v>2.5157632000000008</v>
      </c>
      <c r="X9" s="70">
        <f>'Yearly Model'!AB8</f>
        <v>1.00630528</v>
      </c>
      <c r="Y9" s="70">
        <f>'Yearly Model'!AC8</f>
        <v>0.4025221120000002</v>
      </c>
      <c r="Z9" s="70">
        <f>'Yearly Model'!AD8</f>
        <v>0.16100884480000008</v>
      </c>
      <c r="AA9" s="70">
        <f>'Yearly Model'!AE8</f>
        <v>0.06440353792000005</v>
      </c>
    </row>
    <row r="10">
      <c r="A10" s="13" t="inlineStr">
        <is>
          <t>Taxes on EBIT (after tax-loss pool)</t>
        </is>
      </c>
      <c r="C10" s="52" t="n">
        <v>0</v>
      </c>
      <c r="D10" s="52">
        <f>IF(D9&gt;0,MAX(0,D9-'Yearly Model'!G21)*Assumptions!$B$15,0)</f>
        <v>0</v>
      </c>
      <c r="E10" s="52">
        <f>IF(E9&gt;0,MAX(0,E9-'Yearly Model'!H21)*Assumptions!$B$15,0)</f>
        <v>0</v>
      </c>
      <c r="F10" s="52">
        <f>IF(F9&gt;0,MAX(0,F9-'Yearly Model'!I21)*Assumptions!$B$15,0)</f>
        <v>0.0</v>
      </c>
      <c r="G10" s="52">
        <f>IF(G9&gt;0,MAX(0,G9-'Yearly Model'!J21)*Assumptions!$B$15,0)</f>
        <v>0.0</v>
      </c>
      <c r="H10" s="52">
        <f>IF(H9&gt;0,MAX(0,H9-'Yearly Model'!K21)*Assumptions!$B$15,0)</f>
        <v>0.0</v>
      </c>
      <c r="I10" s="52">
        <f>IF(I9&gt;0,MAX(0,I9-'Yearly Model'!L21)*Assumptions!$B$15,0)</f>
        <v>0.0</v>
      </c>
      <c r="J10" s="52">
        <f>IF(J9&gt;0,MAX(0,J9-'Yearly Model'!M21)*Assumptions!$B$15,0)</f>
        <v>102.21983905168207</v>
      </c>
      <c r="K10" s="52">
        <f>IF(K9&gt;0,MAX(0,K9-'Yearly Model'!N21)*Assumptions!$B$15,0)</f>
        <v>113.7675</v>
      </c>
      <c r="L10" s="52">
        <f>IF(L9&gt;0,MAX(0,L9-'Yearly Model'!O21)*Assumptions!$B$15,0)</f>
        <v>121.0818</v>
      </c>
      <c r="M10" s="52">
        <f>IF(M9&gt;0,MAX(0,M9-'Yearly Model'!P21)*Assumptions!$B$15,0)</f>
        <v>126.51239999999999</v>
      </c>
      <c r="N10" s="52">
        <f>IF(N9&gt;0,MAX(0,N9-'Yearly Model'!Q21)*Assumptions!$B$15,0)</f>
        <v>128.98199999999997</v>
      </c>
      <c r="O10" s="52">
        <f>IF(O9&gt;0,MAX(0,O9-'Yearly Model'!R21)*Assumptions!$B$15,0)</f>
        <v>128.98199999999997</v>
      </c>
      <c r="P10" s="52">
        <f>IF(P9&gt;0,MAX(0,P9-'Yearly Model'!S21)*Assumptions!$B$15,0)</f>
        <v>128.98199999999997</v>
      </c>
      <c r="Q10" s="52">
        <f>IF(Q9&gt;0,MAX(0,Q9-'Yearly Model'!T21)*Assumptions!$B$15,0)</f>
        <v>128.98199999999997</v>
      </c>
      <c r="R10" s="52">
        <f>IF(R9&gt;0,MAX(0,R9-'Yearly Model'!U21)*Assumptions!$B$15,0)</f>
        <v>43.56235020752484</v>
      </c>
      <c r="S10" s="52">
        <f>IF(S9&gt;0,MAX(0,S9-'Yearly Model'!V21)*Assumptions!$B$15,0)</f>
        <v>20.637120000000003</v>
      </c>
      <c r="T10" s="52">
        <f>IF(T9&gt;0,MAX(0,T9-'Yearly Model'!W21)*Assumptions!$B$15,0)</f>
        <v>8.254848</v>
      </c>
      <c r="U10" s="52">
        <f>IF(U9&gt;0,MAX(0,U9-'Yearly Model'!X21)*Assumptions!$B$15,0)</f>
        <v>3.3019392000000005</v>
      </c>
      <c r="V10" s="52">
        <f>IF(V9&gt;0,MAX(0,V9-'Yearly Model'!Y21)*Assumptions!$B$15,0)</f>
        <v>1.3207756800000003</v>
      </c>
      <c r="W10" s="52">
        <f>IF(W9&gt;0,MAX(0,W9-'Yearly Model'!Z21)*Assumptions!$B$15,0)</f>
        <v>0.5283102720000001</v>
      </c>
      <c r="X10" s="52">
        <f>IF(X9&gt;0,MAX(0,X9-'Yearly Model'!AA21)*Assumptions!$B$15,0)</f>
        <v>0.21132410880000002</v>
      </c>
      <c r="Y10" s="52">
        <f>IF(Y9&gt;0,MAX(0,Y9-'Yearly Model'!AB21)*Assumptions!$B$15,0)</f>
        <v>0.08452964352000004</v>
      </c>
      <c r="Z10" s="52">
        <f>IF(Z9&gt;0,MAX(0,Z9-'Yearly Model'!AC21)*Assumptions!$B$15,0)</f>
        <v>0.033811857408000016</v>
      </c>
      <c r="AA10" s="52">
        <f>IF(AA9&gt;0,MAX(0,AA9-'Yearly Model'!AD21)*Assumptions!$B$15,0)</f>
        <v>0.013524742963200009</v>
      </c>
    </row>
    <row r="11">
      <c r="A11" s="23" t="inlineStr">
        <is>
          <t>Unlevered free cash flow</t>
        </is>
      </c>
      <c r="C11" s="56">
        <f>C9-C10</f>
        <v>-120.0</v>
      </c>
      <c r="D11" s="56">
        <f>D9-D10</f>
        <v>-135.3</v>
      </c>
      <c r="E11" s="56">
        <f>E9-E10</f>
        <v>-46.01899999999995</v>
      </c>
      <c r="F11" s="56">
        <f>F9-F10</f>
        <v>84.09692999999999</v>
      </c>
      <c r="G11" s="56">
        <f>G9-G10</f>
        <v>220.80555860000004</v>
      </c>
      <c r="H11" s="56">
        <f>H9-H10</f>
        <v>303.646</v>
      </c>
      <c r="I11" s="56">
        <f>I9-I10</f>
        <v>429.912</v>
      </c>
      <c r="J11" s="56">
        <f>J9-J10</f>
        <v>396.43216094831797</v>
      </c>
      <c r="K11" s="56">
        <f>K9-K10</f>
        <v>427.9825</v>
      </c>
      <c r="L11" s="56">
        <f>L9-L10</f>
        <v>455.49820000000005</v>
      </c>
      <c r="M11" s="56">
        <f>M9-M10</f>
        <v>475.9276</v>
      </c>
      <c r="N11" s="56">
        <f>N9-N10</f>
        <v>485.21799999999996</v>
      </c>
      <c r="O11" s="56">
        <f>O9-O10</f>
        <v>485.21799999999996</v>
      </c>
      <c r="P11" s="56">
        <f>P9-P10</f>
        <v>485.21799999999996</v>
      </c>
      <c r="Q11" s="56">
        <f>Q9-Q10</f>
        <v>485.21799999999996</v>
      </c>
      <c r="R11" s="56">
        <f>R9-R10</f>
        <v>163.87741268545057</v>
      </c>
      <c r="S11" s="56">
        <f>S9-S10</f>
        <v>77.63488000000001</v>
      </c>
      <c r="T11" s="56">
        <f>T9-T10</f>
        <v>31.053952000000002</v>
      </c>
      <c r="U11" s="56">
        <f>U9-U10</f>
        <v>12.421580800000001</v>
      </c>
      <c r="V11" s="56">
        <f>V9-V10</f>
        <v>4.968632320000001</v>
      </c>
      <c r="W11" s="56">
        <f>W9-W10</f>
        <v>1.9874529280000006</v>
      </c>
      <c r="X11" s="56">
        <f>X9-X10</f>
        <v>0.7949811712000001</v>
      </c>
      <c r="Y11" s="56">
        <f>Y9-Y10</f>
        <v>0.3179924684800002</v>
      </c>
      <c r="Z11" s="56">
        <f>Z9-Z10</f>
        <v>0.12719698739200005</v>
      </c>
      <c r="AA11" s="56">
        <f>AA9-AA10</f>
        <v>0.05087879495680003</v>
      </c>
    </row>
    <row r="12">
      <c r="A12" s="13" t="inlineStr">
        <is>
          <t>Cash-flow date (mid-period)</t>
        </is>
      </c>
      <c r="C12" s="71">
        <f>DATE(2026,10,1)</f>
        <v>46296</v>
      </c>
      <c r="D12" s="71">
        <f>DATE(D7,7,1)</f>
        <v>46569</v>
      </c>
      <c r="E12" s="71">
        <f>DATE(E7,7,1)</f>
        <v>46935</v>
      </c>
      <c r="F12" s="71">
        <f>DATE(F7,7,1)</f>
        <v>47300</v>
      </c>
      <c r="G12" s="71">
        <f>DATE(G7,7,1)</f>
        <v>47665</v>
      </c>
      <c r="H12" s="71">
        <f>DATE(H7,7,1)</f>
        <v>48030</v>
      </c>
      <c r="I12" s="71">
        <f>DATE(I7,7,1)</f>
        <v>48396</v>
      </c>
      <c r="J12" s="71">
        <f>DATE(J7,7,1)</f>
        <v>48761</v>
      </c>
      <c r="K12" s="71">
        <f>DATE(K7,7,1)</f>
        <v>49126</v>
      </c>
      <c r="L12" s="71">
        <f>DATE(L7,7,1)</f>
        <v>49491</v>
      </c>
      <c r="M12" s="71">
        <f>DATE(M7,7,1)</f>
        <v>49857</v>
      </c>
      <c r="N12" s="71">
        <f>DATE(N7,7,1)</f>
        <v>50222</v>
      </c>
      <c r="O12" s="71">
        <f>DATE(O7,7,1)</f>
        <v>50587</v>
      </c>
      <c r="P12" s="71">
        <f>DATE(P7,7,1)</f>
        <v>50952</v>
      </c>
      <c r="Q12" s="71">
        <f>DATE(Q7,7,1)</f>
        <v>51318</v>
      </c>
      <c r="R12" s="71">
        <f>DATE(R7,7,1)</f>
        <v>51683</v>
      </c>
      <c r="S12" s="71">
        <f>DATE(S7,7,1)</f>
        <v>52048</v>
      </c>
      <c r="T12" s="71">
        <f>DATE(T7,7,1)</f>
        <v>52413</v>
      </c>
      <c r="U12" s="71">
        <f>DATE(U7,7,1)</f>
        <v>52779</v>
      </c>
      <c r="V12" s="71">
        <f>DATE(V7,7,1)</f>
        <v>53144</v>
      </c>
      <c r="W12" s="71">
        <f>DATE(W7,7,1)</f>
        <v>53509</v>
      </c>
      <c r="X12" s="71">
        <f>DATE(X7,7,1)</f>
        <v>53874</v>
      </c>
      <c r="Y12" s="71">
        <f>DATE(Y7,7,1)</f>
        <v>54240</v>
      </c>
      <c r="Z12" s="71">
        <f>DATE(Z7,7,1)</f>
        <v>54605</v>
      </c>
      <c r="AA12" s="71">
        <f>DATE(AA7,7,1)</f>
        <v>54970</v>
      </c>
    </row>
    <row r="13">
      <c r="A13" s="13" t="inlineStr">
        <is>
          <t>Years from valuation date</t>
        </is>
      </c>
      <c r="C13" s="11">
        <f>MAX(0,(C12-$B$4)/365.25)</f>
        <v>0</v>
      </c>
      <c r="D13" s="11">
        <f>MAX(0,(D12-$B$4)/365.25)</f>
        <v>0.7063655030800822</v>
      </c>
      <c r="E13" s="11">
        <f>MAX(0,(E12-$B$4)/365.25)</f>
        <v>1.7084188911704312</v>
      </c>
      <c r="F13" s="11">
        <f>MAX(0,(F12-$B$4)/365.25)</f>
        <v>2.707734428473648</v>
      </c>
      <c r="G13" s="11">
        <f>MAX(0,(G12-$B$4)/365.25)</f>
        <v>3.707049965776865</v>
      </c>
      <c r="H13" s="11">
        <f>MAX(0,(H12-$B$4)/365.25)</f>
        <v>4.706365503080082</v>
      </c>
      <c r="I13" s="11">
        <f>MAX(0,(I12-$B$4)/365.25)</f>
        <v>5.708418891170431</v>
      </c>
      <c r="J13" s="11">
        <f>MAX(0,(J12-$B$4)/365.25)</f>
        <v>6.707734428473648</v>
      </c>
      <c r="K13" s="11">
        <f>MAX(0,(K12-$B$4)/365.25)</f>
        <v>7.707049965776865</v>
      </c>
      <c r="L13" s="11">
        <f>MAX(0,(L12-$B$4)/365.25)</f>
        <v>8.706365503080082</v>
      </c>
      <c r="M13" s="11">
        <f>MAX(0,(M12-$B$4)/365.25)</f>
        <v>9.708418891170432</v>
      </c>
      <c r="N13" s="11">
        <f>MAX(0,(N12-$B$4)/365.25)</f>
        <v>10.707734428473648</v>
      </c>
      <c r="O13" s="11">
        <f>MAX(0,(O12-$B$4)/365.25)</f>
        <v>11.707049965776864</v>
      </c>
      <c r="P13" s="11">
        <f>MAX(0,(P12-$B$4)/365.25)</f>
        <v>12.706365503080082</v>
      </c>
      <c r="Q13" s="11">
        <f>MAX(0,(Q12-$B$4)/365.25)</f>
        <v>13.708418891170432</v>
      </c>
      <c r="R13" s="11">
        <f>MAX(0,(R12-$B$4)/365.25)</f>
        <v>14.707734428473648</v>
      </c>
      <c r="S13" s="11">
        <f>MAX(0,(S12-$B$4)/365.25)</f>
        <v>15.707049965776864</v>
      </c>
      <c r="T13" s="11">
        <f>MAX(0,(T12-$B$4)/365.25)</f>
        <v>16.706365503080082</v>
      </c>
      <c r="U13" s="11">
        <f>MAX(0,(U12-$B$4)/365.25)</f>
        <v>17.70841889117043</v>
      </c>
      <c r="V13" s="11">
        <f>MAX(0,(V12-$B$4)/365.25)</f>
        <v>18.70773442847365</v>
      </c>
      <c r="W13" s="11">
        <f>MAX(0,(W12-$B$4)/365.25)</f>
        <v>19.707049965776864</v>
      </c>
      <c r="X13" s="11">
        <f>MAX(0,(X12-$B$4)/365.25)</f>
        <v>20.706365503080082</v>
      </c>
      <c r="Y13" s="11">
        <f>MAX(0,(Y12-$B$4)/365.25)</f>
        <v>21.70841889117043</v>
      </c>
      <c r="Z13" s="11">
        <f>MAX(0,(Z12-$B$4)/365.25)</f>
        <v>22.70773442847365</v>
      </c>
      <c r="AA13" s="11">
        <f>MAX(0,(AA12-$B$4)/365.25)</f>
        <v>23.707049965776864</v>
      </c>
    </row>
    <row r="14">
      <c r="A14" s="13" t="inlineStr">
        <is>
          <t>Discount factor</t>
        </is>
      </c>
      <c r="C14" s="72">
        <f>1/(1+$B$5)^C13</f>
        <v>1.0</v>
      </c>
      <c r="D14" s="72">
        <f>1/(1+$B$5)^D13</f>
        <v>0.9230688312938522</v>
      </c>
      <c r="E14" s="72">
        <f>1/(1+$B$5)^E13</f>
        <v>0.8239768312442507</v>
      </c>
      <c r="F14" s="72">
        <f>1/(1+$B$5)^F13</f>
        <v>0.7357506687449087</v>
      </c>
      <c r="G14" s="72">
        <f>1/(1+$B$5)^G13</f>
        <v>0.656971198742498</v>
      </c>
      <c r="H14" s="72">
        <f>1/(1+$B$5)^H13</f>
        <v>0.5866269298992621</v>
      </c>
      <c r="I14" s="72">
        <f>1/(1+$B$5)^I13</f>
        <v>0.523652172442448</v>
      </c>
      <c r="J14" s="72">
        <f>1/(1+$B$5)^J13</f>
        <v>0.46758285118583376</v>
      </c>
      <c r="K14" s="72">
        <f>1/(1+$B$5)^K13</f>
        <v>0.4175170737921507</v>
      </c>
      <c r="L14" s="72">
        <f>1/(1+$B$5)^L13</f>
        <v>0.37281201923010465</v>
      </c>
      <c r="M14" s="72">
        <f>1/(1+$B$5)^M13</f>
        <v>0.33279042238313983</v>
      </c>
      <c r="N14" s="72">
        <f>1/(1+$B$5)^N13</f>
        <v>0.2971573550806732</v>
      </c>
      <c r="O14" s="72">
        <f>1/(1+$B$5)^O13</f>
        <v>0.2653396484375957</v>
      </c>
      <c r="P14" s="72">
        <f>1/(1+$B$5)^P13</f>
        <v>0.23692877806734103</v>
      </c>
      <c r="Q14" s="72">
        <f>1/(1+$B$5)^Q13</f>
        <v>0.21149432974446508</v>
      </c>
      <c r="R14" s="72">
        <f>1/(1+$B$5)^R13</f>
        <v>0.1888488712847315</v>
      </c>
      <c r="S14" s="72">
        <f>1/(1+$B$5)^S13</f>
        <v>0.16862814349967428</v>
      </c>
      <c r="T14" s="72">
        <f>1/(1+$B$5)^T13</f>
        <v>0.15057252175616126</v>
      </c>
      <c r="U14" s="72">
        <f>1/(1+$B$5)^U13</f>
        <v>0.13440847003272016</v>
      </c>
      <c r="V14" s="72">
        <f>1/(1+$B$5)^V13</f>
        <v>0.12001687178779381</v>
      </c>
      <c r="W14" s="72">
        <f>1/(1+$B$5)^W13</f>
        <v>0.10716623372188709</v>
      </c>
      <c r="X14" s="72">
        <f>1/(1+$B$5)^X13</f>
        <v>0.09569155968704522</v>
      </c>
      <c r="Y14" s="72">
        <f>1/(1+$B$5)^Y13</f>
        <v>0.08541901259652764</v>
      </c>
      <c r="Z14" s="72">
        <f>1/(1+$B$5)^Z13</f>
        <v>0.07627289173473771</v>
      </c>
      <c r="AA14" s="72">
        <f>1/(1+$B$5)^AA13</f>
        <v>0.0681060789248167</v>
      </c>
    </row>
    <row r="15">
      <c r="A15" s="23" t="inlineStr">
        <is>
          <t>PV of free cash flow</t>
        </is>
      </c>
      <c r="C15" s="56">
        <f>C11*C14</f>
        <v>-120.0</v>
      </c>
      <c r="D15" s="56">
        <f>D11*D14</f>
        <v>-124.89121287405821</v>
      </c>
      <c r="E15" s="56">
        <f>E11*E14</f>
        <v>-37.91858979702913</v>
      </c>
      <c r="F15" s="56">
        <f>F11*F14</f>
        <v>61.87437248689376</v>
      </c>
      <c r="G15" s="56">
        <f>G11*G14</f>
        <v>145.06289252244892</v>
      </c>
      <c r="H15" s="56">
        <f>H11*H14</f>
        <v>178.12692075619137</v>
      </c>
      <c r="I15" s="56">
        <f>I11*I14</f>
        <v>225.12435275907768</v>
      </c>
      <c r="J15" s="56">
        <f>J11*J14</f>
        <v>185.36488011797587</v>
      </c>
      <c r="K15" s="56">
        <f>K11*K14</f>
        <v>178.69000103424915</v>
      </c>
      <c r="L15" s="56">
        <f>L11*L14</f>
        <v>169.81520369767807</v>
      </c>
      <c r="M15" s="56">
        <f>M11*M14</f>
        <v>158.384147027794</v>
      </c>
      <c r="N15" s="56">
        <f>N11*N14</f>
        <v>144.18609751753408</v>
      </c>
      <c r="O15" s="56">
        <f>O11*O14</f>
        <v>128.74757353559332</v>
      </c>
      <c r="P15" s="56">
        <f>P11*P14</f>
        <v>114.96210783627907</v>
      </c>
      <c r="Q15" s="56">
        <f>Q11*Q14</f>
        <v>102.62085568994985</v>
      </c>
      <c r="R15" s="56">
        <f>R11*R14</f>
        <v>30.948064414709478</v>
      </c>
      <c r="S15" s="56">
        <f>S11*S14</f>
        <v>13.091425685219994</v>
      </c>
      <c r="T15" s="56">
        <f>T11*T14</f>
        <v>4.6758718631347875</v>
      </c>
      <c r="U15" s="56">
        <f>U11*U14</f>
        <v>1.6695656707158122</v>
      </c>
      <c r="V15" s="56">
        <f>V11*V14</f>
        <v>0.5963197081101287</v>
      </c>
      <c r="W15" s="56">
        <f>W11*W14</f>
        <v>0.2129878449932969</v>
      </c>
      <c r="X15" s="56">
        <f>X11*X14</f>
        <v>0.07607298819396192</v>
      </c>
      <c r="Y15" s="56">
        <f>Y11*Y14</f>
        <v>0.027162602670694053</v>
      </c>
      <c r="Z15" s="56">
        <f>Z11*Z14</f>
        <v>0.009701682048334818</v>
      </c>
      <c r="AA15" s="56">
        <f>AA11*AA14</f>
        <v>0.003465155224927389</v>
      </c>
    </row>
    <row r="17">
      <c r="A17" s="30" t="inlineStr">
        <is>
          <t>Valuation summary</t>
        </is>
      </c>
      <c r="B17" s="31" t="n"/>
      <c r="C17" s="31" t="n"/>
    </row>
    <row r="18">
      <c r="A18" s="13" t="inlineStr">
        <is>
          <t>PV of risk-adjusted free cash flows</t>
        </is>
      </c>
      <c r="C18" s="52">
        <f>SUM(C15:AA15)</f>
        <v>1561.4602399255994</v>
      </c>
    </row>
    <row r="19">
      <c r="A19" s="13" t="inlineStr">
        <is>
          <t>Cash &amp; investments (Main; incl. post-quarter financing)</t>
        </is>
      </c>
      <c r="C19" s="70">
        <f>Main!C7</f>
        <v>661.4</v>
      </c>
    </row>
    <row r="20">
      <c r="A20" s="13" t="inlineStr">
        <is>
          <t>Debt, convertibles &amp; preferred at face (Main)</t>
        </is>
      </c>
      <c r="C20" s="70">
        <f>Main!C8</f>
        <v>100</v>
      </c>
    </row>
    <row r="21">
      <c r="A21" s="13" t="inlineStr">
        <is>
          <t>Equity value, all claims treated as debt</t>
        </is>
      </c>
      <c r="C21" s="52">
        <f>C18+C19-C20</f>
        <v>2122.860239925599</v>
      </c>
    </row>
    <row r="22">
      <c r="A22" s="13" t="inlineStr">
        <is>
          <t>Basic shares incl. pre-funded / as-converted (Main)</t>
        </is>
      </c>
      <c r="C22" s="73">
        <f>Main!C4</f>
        <v>88.406885</v>
      </c>
    </row>
    <row r="23">
      <c r="A23" s="13" t="inlineStr">
        <is>
          <t>Value / share before conversions</t>
        </is>
      </c>
      <c r="C23" s="53">
        <f>C21/C22</f>
        <v>24.0123859123144</v>
      </c>
    </row>
    <row r="25">
      <c r="A25" s="28" t="inlineStr">
        <is>
          <t>Convertible instruments (converted if value / share before conversions &gt; conversion price)</t>
        </is>
      </c>
      <c r="B25" s="29" t="inlineStr">
        <is>
          <t>Face ($mm)</t>
        </is>
      </c>
      <c r="C25" s="29" t="inlineStr">
        <is>
          <t>Shares (mm)</t>
        </is>
      </c>
      <c r="D25" s="29" t="inlineStr">
        <is>
          <t>Conv. price</t>
        </is>
      </c>
      <c r="E25" s="29" t="inlineStr">
        <is>
          <t>Converted?</t>
        </is>
      </c>
    </row>
    <row r="26">
      <c r="A26" s="13" t="inlineStr">
        <is>
          <t>—</t>
        </is>
      </c>
      <c r="B26" s="63" t="n">
        <v>0</v>
      </c>
      <c r="C26" s="63" t="n">
        <v>0</v>
      </c>
      <c r="D26" s="63" t="n">
        <v>0</v>
      </c>
      <c r="E26" s="74">
        <f>IF(AND(C26&gt;0,$C$23&gt;D26),1,0)</f>
        <v>0</v>
      </c>
    </row>
    <row r="27">
      <c r="A27" s="13" t="inlineStr">
        <is>
          <t>—</t>
        </is>
      </c>
      <c r="B27" s="63" t="n">
        <v>0</v>
      </c>
      <c r="C27" s="63" t="n">
        <v>0</v>
      </c>
      <c r="D27" s="63" t="n">
        <v>0</v>
      </c>
      <c r="E27" s="74">
        <f>IF(AND(C27&gt;0,$C$23&gt;D27),1,0)</f>
        <v>0</v>
      </c>
    </row>
    <row r="28">
      <c r="A28" s="13" t="inlineStr">
        <is>
          <t>—</t>
        </is>
      </c>
      <c r="B28" s="63" t="n">
        <v>0</v>
      </c>
      <c r="C28" s="63" t="n">
        <v>0</v>
      </c>
      <c r="D28" s="63" t="n">
        <v>0</v>
      </c>
      <c r="E28" s="74">
        <f>IF(AND(C28&gt;0,$C$23&gt;D28),1,0)</f>
        <v>0</v>
      </c>
    </row>
    <row r="29">
      <c r="A29" s="13" t="inlineStr">
        <is>
          <t>—</t>
        </is>
      </c>
      <c r="B29" s="63" t="n">
        <v>0</v>
      </c>
      <c r="C29" s="63" t="n">
        <v>0</v>
      </c>
      <c r="D29" s="63" t="n">
        <v>0</v>
      </c>
      <c r="E29" s="74">
        <f>IF(AND(C29&gt;0,$C$23&gt;D29),1,0)</f>
        <v>0</v>
      </c>
    </row>
    <row r="30">
      <c r="A30" s="13" t="inlineStr">
        <is>
          <t>—</t>
        </is>
      </c>
      <c r="B30" s="63" t="n">
        <v>0</v>
      </c>
      <c r="C30" s="63" t="n">
        <v>0</v>
      </c>
      <c r="D30" s="63" t="n">
        <v>0</v>
      </c>
      <c r="E30" s="74">
        <f>IF(AND(C30&gt;0,$C$23&gt;D30),1,0)</f>
        <v>0</v>
      </c>
    </row>
    <row r="31">
      <c r="A31" s="23" t="inlineStr">
        <is>
          <t>Equity value (rNPV) after conversions</t>
        </is>
      </c>
      <c r="C31" s="56">
        <f>C21+SUMPRODUCT(B26:B30,E26:E30)</f>
        <v>2122.860239925599</v>
      </c>
    </row>
    <row r="32">
      <c r="A32" s="13" t="inlineStr">
        <is>
          <t>Shares after conversions (mm)</t>
        </is>
      </c>
      <c r="C32" s="18">
        <f>C22+SUMPRODUCT(C26:C30,E26:E30)</f>
        <v>88.406885</v>
      </c>
    </row>
    <row r="33">
      <c r="A33" s="13" t="inlineStr">
        <is>
          <t>Value / share before options &amp; warrants</t>
        </is>
      </c>
      <c r="C33" s="53">
        <f>C31/C32</f>
        <v>24.0123859123144</v>
      </c>
    </row>
    <row r="35">
      <c r="A35" s="28" t="inlineStr">
        <is>
          <t>Options, warrants &amp; RSUs (treasury-stock method)</t>
        </is>
      </c>
      <c r="B35" s="29" t="inlineStr">
        <is>
          <t>Count (mm)</t>
        </is>
      </c>
      <c r="C35" s="29" t="inlineStr">
        <is>
          <t>Strike</t>
        </is>
      </c>
      <c r="D35" s="29" t="inlineStr">
        <is>
          <t>Dilution (mm)</t>
        </is>
      </c>
    </row>
    <row r="36">
      <c r="A36" s="13" t="inlineStr">
        <is>
          <t>Options (strike assumed)</t>
        </is>
      </c>
      <c r="B36" s="75" t="n">
        <v>7.086111</v>
      </c>
      <c r="C36" s="76" t="n">
        <v>14</v>
      </c>
      <c r="D36" s="72">
        <f>IF(AND(B36&gt;0,$C$33&gt;C36),B36*(1-C36/$C$33),0)</f>
        <v>2.954678398414004</v>
      </c>
    </row>
    <row r="37">
      <c r="A37" s="13" t="inlineStr">
        <is>
          <t>RSUs / RSAs</t>
        </is>
      </c>
      <c r="B37" s="75" t="n">
        <v>0.854</v>
      </c>
      <c r="C37" s="76" t="n">
        <v>0</v>
      </c>
      <c r="D37" s="72">
        <f>IF(AND(B37&gt;0,$C$33&gt;C37),B37*(1-C37/$C$33),0)</f>
        <v>0.854</v>
      </c>
    </row>
    <row r="38">
      <c r="A38" s="13" t="inlineStr">
        <is>
          <t>—</t>
        </is>
      </c>
      <c r="B38" s="63" t="n">
        <v>0</v>
      </c>
      <c r="C38" s="63" t="n">
        <v>0</v>
      </c>
      <c r="D38" s="72">
        <f>IF(AND(B38&gt;0,$C$33&gt;C38),B38*(1-C38/$C$33),0)</f>
        <v>0</v>
      </c>
    </row>
    <row r="39">
      <c r="A39" s="13" t="inlineStr">
        <is>
          <t>—</t>
        </is>
      </c>
      <c r="B39" s="63" t="n">
        <v>0</v>
      </c>
      <c r="C39" s="63" t="n">
        <v>0</v>
      </c>
      <c r="D39" s="72">
        <f>IF(AND(B39&gt;0,$C$33&gt;C39),B39*(1-C39/$C$33),0)</f>
        <v>0</v>
      </c>
    </row>
    <row r="40">
      <c r="A40" s="13" t="inlineStr">
        <is>
          <t>—</t>
        </is>
      </c>
      <c r="B40" s="63" t="n">
        <v>0</v>
      </c>
      <c r="C40" s="63" t="n">
        <v>0</v>
      </c>
      <c r="D40" s="72">
        <f>IF(AND(B40&gt;0,$C$33&gt;C40),B40*(1-C40/$C$33),0)</f>
        <v>0</v>
      </c>
    </row>
    <row r="41">
      <c r="A41" s="13" t="inlineStr">
        <is>
          <t>—</t>
        </is>
      </c>
      <c r="B41" s="63" t="n">
        <v>0</v>
      </c>
      <c r="C41" s="63" t="n">
        <v>0</v>
      </c>
      <c r="D41" s="72">
        <f>IF(AND(B41&gt;0,$C$33&gt;C41),B41*(1-C41/$C$33),0)</f>
        <v>0</v>
      </c>
    </row>
    <row r="42">
      <c r="A42" s="13" t="inlineStr">
        <is>
          <t>Diluted shares (mm)</t>
        </is>
      </c>
      <c r="C42" s="18">
        <f>C32+SUM(D36:D41)</f>
        <v>92.215563398414</v>
      </c>
    </row>
    <row r="43">
      <c r="A43" s="23" t="inlineStr">
        <is>
          <t>rNPV / share, diluted</t>
        </is>
      </c>
      <c r="C43" s="77">
        <f>C31/C42</f>
        <v>23.020628641109727</v>
      </c>
    </row>
    <row r="44">
      <c r="A44" s="13" t="inlineStr">
        <is>
          <t>Current price (Main)</t>
        </is>
      </c>
      <c r="C44" s="78">
        <f>Main!C3</f>
        <v>21.58</v>
      </c>
    </row>
    <row r="45">
      <c r="A45" s="23" t="inlineStr">
        <is>
          <t>Upside / (downside) to rNPV</t>
        </is>
      </c>
      <c r="C45" s="58">
        <f>C43/C44-1</f>
        <v>0.06675758299859735</v>
      </c>
    </row>
    <row r="46">
      <c r="A46" s="13" t="inlineStr">
        <is>
          <t>Net cash / share</t>
        </is>
      </c>
      <c r="C46" s="53">
        <f>(C19-C20)/C22</f>
        <v>6.350184151381422</v>
      </c>
    </row>
    <row r="47">
      <c r="A47" s="13" t="inlineStr">
        <is>
          <t>Est. cash &amp; investments at 12/31/2026</t>
        </is>
      </c>
      <c r="C47" s="70">
        <f>'Quarterly Model'!I20</f>
        <v>549.9</v>
      </c>
    </row>
    <row r="48">
      <c r="A48" s="13" t="inlineStr">
        <is>
          <t>Liquidation value / share (12/31/2026E cash − debt − wind-down)</t>
        </is>
      </c>
      <c r="C48" s="53">
        <f>MAX(0,C47-C20-Assumptions!$B$27)/C22</f>
        <v>4.806186757965739</v>
      </c>
    </row>
    <row r="49">
      <c r="A49" s="13" t="inlineStr">
        <is>
          <t>Market-implied value of pipeline (market cap − net cash)</t>
        </is>
      </c>
      <c r="C49" s="52">
        <f>Main!C5-(C19-C20)</f>
        <v>1346.4205782999998</v>
      </c>
    </row>
    <row r="51">
      <c r="A51" s="30" t="inlineStr">
        <is>
          <t>Sum of the parts (PV)</t>
        </is>
      </c>
      <c r="B51" s="79" t="inlineStr">
        <is>
          <t>$mm</t>
        </is>
      </c>
      <c r="C51" s="79" t="inlineStr">
        <is>
          <t>$ / share</t>
        </is>
      </c>
    </row>
    <row r="52">
      <c r="A52" s="13" t="inlineStr">
        <is>
          <t>Lorundrostat — uncontrolled / resistant hypertension</t>
        </is>
      </c>
      <c r="B52" s="52">
        <f>SUMPRODUCT(Pipeline!C14:Z14,$D$14:$AA$14)</f>
        <v>2514.3174998545205</v>
      </c>
      <c r="C52" s="53">
        <f>B52/$C$42</f>
        <v>27.26565242562693</v>
      </c>
    </row>
    <row r="53">
      <c r="A53" s="13" t="inlineStr">
        <is>
          <t>Lorundrostat — chronic kidney disease (option value)</t>
        </is>
      </c>
      <c r="B53" s="52">
        <f>SUMPRODUCT(Pipeline!C24:Z24,$D$14:$AA$14)</f>
        <v>343.9637189132039</v>
      </c>
      <c r="C53" s="53">
        <f>B53/$C$42</f>
        <v>3.7299963936360836</v>
      </c>
    </row>
    <row r="54">
      <c r="A54" s="13" t="inlineStr">
        <is>
          <t>Corporate G&amp;A + platform R&amp;D (2027+)</t>
        </is>
      </c>
      <c r="B54" s="52">
        <f>-SUMPRODUCT(Pipeline!C30:Z30,$D$14:$AA$14)-SUMPRODUCT(Pipeline!C33:Z33,$D$14:$AA$14)</f>
        <v>-850.2519615944299</v>
      </c>
      <c r="C54" s="53">
        <f>B54/$C$42</f>
        <v>-9.220265324638826</v>
      </c>
    </row>
    <row r="55">
      <c r="A55" s="13" t="inlineStr">
        <is>
          <t>2H 2026 operating result</t>
        </is>
      </c>
      <c r="B55" s="52">
        <f>C11*C14</f>
        <v>-120.0</v>
      </c>
      <c r="C55" s="53">
        <f>B55/$C$42</f>
        <v>-1.3012987784019097</v>
      </c>
    </row>
    <row r="56">
      <c r="A56" s="13" t="inlineStr">
        <is>
          <t>Taxes</t>
        </is>
      </c>
      <c r="B56" s="52">
        <f>-SUMPRODUCT(D10:AA10,D14:AA14)</f>
        <v>-326.5690172476954</v>
      </c>
      <c r="C56" s="53">
        <f>B56/$C$42</f>
        <v>-3.5413655267361515</v>
      </c>
    </row>
    <row r="57">
      <c r="A57" s="13" t="inlineStr">
        <is>
          <t>Net cash (cash − all claims at face)</t>
        </is>
      </c>
      <c r="B57" s="52">
        <f>C19-C20</f>
        <v>561.4</v>
      </c>
      <c r="C57" s="53">
        <f>B57/$C$42</f>
        <v>6.0879094516236005</v>
      </c>
    </row>
    <row r="58">
      <c r="A58" s="13" t="inlineStr">
        <is>
          <t>Add back converted claims</t>
        </is>
      </c>
      <c r="B58" s="52">
        <f>SUMPRODUCT(B26:B30,E26:E30)</f>
        <v>0.0</v>
      </c>
      <c r="C58" s="53">
        <f>B58/$C$42</f>
        <v>0.0</v>
      </c>
    </row>
    <row r="59">
      <c r="A59" s="23" t="inlineStr">
        <is>
          <t>Equity value</t>
        </is>
      </c>
      <c r="B59" s="64">
        <f>SUM(B52:B58)</f>
        <v>2122.860239925599</v>
      </c>
      <c r="C59" s="80">
        <f>B59/$C$42</f>
        <v>23.020628641109727</v>
      </c>
    </row>
    <row r="60">
      <c r="A60" s="25" t="inlineStr">
        <is>
          <t>Check vs. equity value above (should be 0)</t>
        </is>
      </c>
      <c r="B60" s="81">
        <f>ROUND(B59-C31,6)</f>
        <v>0.0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3" customWidth="1" style="9" min="11" max="11"/>
    <col width="13" customWidth="1" style="9" min="12" max="12"/>
  </cols>
  <sheetData>
    <row r="1">
      <c r="A1" s="22" t="inlineStr">
        <is>
          <t>MLYS — PDUFA options analysis (per contract = 100 shares)</t>
        </is>
      </c>
    </row>
    <row r="3">
      <c r="A3" s="30" t="inlineStr">
        <is>
          <t>Inputs</t>
        </is>
      </c>
      <c r="B3" s="31" t="n"/>
    </row>
    <row r="4">
      <c r="A4" s="13" t="inlineStr">
        <is>
          <t>Spot price (close 10/19/2026)</t>
        </is>
      </c>
      <c r="B4" s="76" t="n">
        <v>20.69</v>
      </c>
    </row>
    <row r="5">
      <c r="A5" s="13" t="inlineStr">
        <is>
          <t>Pricing date</t>
        </is>
      </c>
      <c r="B5" s="82">
        <f>DATE(2026,10,19)</f>
        <v>46314</v>
      </c>
    </row>
    <row r="6">
      <c r="A6" s="13" t="inlineStr">
        <is>
          <t>PDUFA date</t>
        </is>
      </c>
      <c r="B6" s="66">
        <f>Assumptions!$B$30</f>
        <v>46378</v>
      </c>
    </row>
    <row r="7">
      <c r="A7" s="13" t="inlineStr">
        <is>
          <t>Expiry (first monthly after the PDUFA date)</t>
        </is>
      </c>
      <c r="B7" s="82">
        <f>DATE(2027,1,15)</f>
        <v>46402</v>
      </c>
    </row>
    <row r="8">
      <c r="A8" s="13" t="inlineStr">
        <is>
          <t>Years to expiry (T)</t>
        </is>
      </c>
      <c r="B8" s="72">
        <f>(B7-B5)/365</f>
        <v>0.2410958904109589</v>
      </c>
    </row>
    <row r="9">
      <c r="A9" s="13" t="inlineStr">
        <is>
          <t>Risk-free rate</t>
        </is>
      </c>
      <c r="B9" s="83" t="n">
        <v>0.04</v>
      </c>
    </row>
    <row r="10">
      <c r="A10" s="13" t="inlineStr">
        <is>
          <t>Reference IV for wide quotes (theo prices)</t>
        </is>
      </c>
      <c r="B10" s="83" t="n">
        <v>0.9494</v>
      </c>
    </row>
    <row r="11">
      <c r="A11" s="13" t="inlineStr">
        <is>
          <t>Contract multiplier</t>
        </is>
      </c>
      <c r="B11" s="84" t="n">
        <v>100</v>
      </c>
    </row>
    <row r="13">
      <c r="A13" s="30" t="inlineStr">
        <is>
          <t>Event model (two outcomes at the PDUFA)</t>
        </is>
      </c>
      <c r="B13" s="31" t="n"/>
      <c r="C13" s="31" t="n"/>
    </row>
    <row r="14">
      <c r="A14" s="13" t="inlineStr">
        <is>
          <t>Model value / share, probability-weighted</t>
        </is>
      </c>
      <c r="B14" s="78">
        <f>NPV!C43</f>
        <v>23.020628641109727</v>
      </c>
    </row>
    <row r="15">
      <c r="A15" s="13" t="inlineStr">
        <is>
          <t>Model value / share if approved</t>
        </is>
      </c>
      <c r="B15" s="78">
        <f>Assumptions!$D$92</f>
        <v>23.860342981560407</v>
      </c>
    </row>
    <row r="16">
      <c r="A16" s="13" t="inlineStr">
        <is>
          <t>Model value / share if CRL</t>
        </is>
      </c>
      <c r="B16" s="78">
        <f>Assumptions!$D$91</f>
        <v>17.04740145090697</v>
      </c>
    </row>
    <row r="17">
      <c r="A17" s="13" t="inlineStr">
        <is>
          <t>Model probability of approval</t>
        </is>
      </c>
      <c r="B17" s="67">
        <f>Assumptions!$B$32</f>
        <v>0.88</v>
      </c>
    </row>
    <row r="18">
      <c r="A18" s="13" t="inlineStr">
        <is>
          <t>Event-move scale (share of model jump priced at expiry)</t>
        </is>
      </c>
      <c r="B18" s="26" t="n">
        <v>1</v>
      </c>
    </row>
    <row r="19">
      <c r="A19" s="13" t="inlineStr">
        <is>
          <t>Floor after a CRL, % of est. 12/31/2026 net cash / share</t>
        </is>
      </c>
      <c r="B19" s="26" t="n">
        <v>0.5</v>
      </c>
    </row>
    <row r="20">
      <c r="A20" s="13" t="inlineStr">
        <is>
          <t>Floor price after a CRL</t>
        </is>
      </c>
      <c r="B20" s="53">
        <f>MAX(0,B19*(NPV!C47-NPV!C20)/NPV!C22)</f>
        <v>2.5444850816766134</v>
      </c>
    </row>
    <row r="21">
      <c r="A21" s="23" t="inlineStr">
        <is>
          <t>Price if approved (center of outcome)</t>
        </is>
      </c>
      <c r="B21" s="57">
        <f>IF(B14&gt;0,B4*(1+B18*(B15/B14-1)),B4+B18*(B15-B14))</f>
        <v>21.444700923887847</v>
      </c>
    </row>
    <row r="22">
      <c r="A22" s="23" t="inlineStr">
        <is>
          <t>Price if CRL (center of outcome)</t>
        </is>
      </c>
      <c r="B22" s="57">
        <f>MAX(B20,IF(B14&gt;0,B4*(1+B18*(B16/B14-1)),B4+B18*(B16-B14)))</f>
        <v>15.321507571231233</v>
      </c>
    </row>
    <row r="23">
      <c r="A23" s="13" t="inlineStr">
        <is>
          <t>Model expected price after the decision</t>
        </is>
      </c>
      <c r="B23" s="53">
        <f>B17*B21+(1-B17)*B22</f>
        <v>20.709917721569052</v>
      </c>
    </row>
    <row r="24">
      <c r="A24" s="13" t="inlineStr">
        <is>
          <t>Non-event volatility (6-month realized, 3 largest days removed)</t>
        </is>
      </c>
      <c r="B24" s="26" t="n">
        <v>0.504</v>
      </c>
    </row>
    <row r="25">
      <c r="A25" s="13" t="inlineStr">
        <is>
          <t>Model fair ATM straddle, % of spot (jump + non-event volatility)</t>
        </is>
      </c>
      <c r="B25" s="58">
        <f>(B17*((B21*NORMSDIST(((LN(B21/20.0)+$B$24^2*$B$8/2)/($B$24*SQRT($B$8))))-20.0*NORMSDIST((((LN(B21/20.0)+$B$24^2*$B$8/2)/($B$24*SQRT($B$8)))-$B$24*SQRT($B$8))))+(20.0*NORMSDIST(-(((LN(B21/20.0)+$B$24^2*$B$8/2)/($B$24*SQRT($B$8)))-$B$24*SQRT($B$8)))-B21*NORMSDIST(-((LN(B21/20.0)+$B$24^2*$B$8/2)/($B$24*SQRT($B$8))))))+(1-B17)*((B22*NORMSDIST(((LN(B22/20.0)+$B$24^2*$B$8/2)/($B$24*SQRT($B$8))))-20.0*NORMSDIST((((LN(B22/20.0)+$B$24^2*$B$8/2)/($B$24*SQRT($B$8)))-$B$24*SQRT($B$8))))+(20.0*NORMSDIST(-(((LN(B22/20.0)+$B$24^2*$B$8/2)/($B$24*SQRT($B$8)))-$B$24*SQRT($B$8)))-B22*NORMSDIST(-((LN(B22/20.0)+$B$24^2*$B$8/2)/($B$24*SQRT($B$8)))))))/B4</f>
        <v>0.21112459408225315</v>
      </c>
    </row>
    <row r="26">
      <c r="A26" s="13" t="inlineStr">
        <is>
          <t>Market ATM straddle, % of spot</t>
        </is>
      </c>
      <c r="B26" s="58">
        <f>($G$41+$G$42)/B4</f>
        <v>0.37249872699154407</v>
      </c>
    </row>
    <row r="27">
      <c r="A27" s="23" t="inlineStr">
        <is>
          <t>Options richness (market straddle ÷ model straddle)</t>
        </is>
      </c>
      <c r="B27" s="85">
        <f>B26/B25</f>
        <v>1.7643549706313246</v>
      </c>
    </row>
    <row r="28">
      <c r="A28" s="30" t="inlineStr">
        <is>
          <t>Market snapshot — 1/15/2027 expiry (Cboe delayed quotes, 10/19/2026 close)</t>
        </is>
      </c>
    </row>
    <row r="29">
      <c r="A29" s="29" t="inlineStr">
        <is>
          <t>Strike</t>
        </is>
      </c>
      <c r="B29" s="29" t="inlineStr">
        <is>
          <t>Call bid</t>
        </is>
      </c>
      <c r="C29" s="29" t="inlineStr">
        <is>
          <t>Call ask</t>
        </is>
      </c>
      <c r="D29" s="29" t="inlineStr">
        <is>
          <t>Call mid</t>
        </is>
      </c>
      <c r="E29" s="29" t="inlineStr">
        <is>
          <t>Call IV</t>
        </is>
      </c>
      <c r="F29" s="29" t="inlineStr">
        <is>
          <t>Put bid</t>
        </is>
      </c>
      <c r="G29" s="29" t="inlineStr">
        <is>
          <t>Put ask</t>
        </is>
      </c>
      <c r="H29" s="29" t="inlineStr">
        <is>
          <t>Put mid</t>
        </is>
      </c>
      <c r="I29" s="29" t="inlineStr">
        <is>
          <t>Put IV</t>
        </is>
      </c>
      <c r="J29" s="29" t="inlineStr">
        <is>
          <t>Call OI</t>
        </is>
      </c>
      <c r="K29" s="29" t="inlineStr">
        <is>
          <t>Put OI</t>
        </is>
      </c>
    </row>
    <row r="30">
      <c r="A30" s="86" t="n">
        <v>12.5</v>
      </c>
      <c r="B30" s="76" t="n">
        <v>7.8</v>
      </c>
      <c r="C30" s="76" t="n">
        <v>10.8</v>
      </c>
      <c r="D30" s="53">
        <f>(B30+C30)/2</f>
        <v>9.3</v>
      </c>
      <c r="E30" s="83" t="n">
        <v>1.0645</v>
      </c>
      <c r="F30" s="76" t="n">
        <v>0.1</v>
      </c>
      <c r="G30" s="76" t="n">
        <v>1.85</v>
      </c>
      <c r="H30" s="53">
        <f>(F30+G30)/2</f>
        <v>0.9750000000000001</v>
      </c>
      <c r="I30" s="83" t="n">
        <v>1.2175</v>
      </c>
      <c r="J30" s="87" t="n">
        <v>80</v>
      </c>
      <c r="K30" s="87" t="n">
        <v>3</v>
      </c>
    </row>
    <row r="31">
      <c r="A31" s="86" t="n">
        <v>15</v>
      </c>
      <c r="B31" s="76" t="n">
        <v>5.5</v>
      </c>
      <c r="C31" s="76" t="n">
        <v>9.5</v>
      </c>
      <c r="D31" s="53">
        <f>(B31+C31)/2</f>
        <v>7.5</v>
      </c>
      <c r="E31" s="83" t="n">
        <v>1.0518</v>
      </c>
      <c r="F31" s="76" t="n">
        <v>0.35</v>
      </c>
      <c r="G31" s="76" t="n">
        <v>2.65</v>
      </c>
      <c r="H31" s="53">
        <f>(F31+G31)/2</f>
        <v>1.5</v>
      </c>
      <c r="I31" s="83" t="n">
        <v>1.1059</v>
      </c>
      <c r="J31" s="87" t="n">
        <v>126</v>
      </c>
      <c r="K31" s="87" t="n">
        <v>29</v>
      </c>
    </row>
    <row r="32">
      <c r="A32" s="86" t="n">
        <v>17.5</v>
      </c>
      <c r="B32" s="76" t="n">
        <v>3.5</v>
      </c>
      <c r="C32" s="76" t="n">
        <v>8</v>
      </c>
      <c r="D32" s="53">
        <f>(B32+C32)/2</f>
        <v>5.75</v>
      </c>
      <c r="E32" s="83" t="n">
        <v>0.9737</v>
      </c>
      <c r="F32" s="76" t="n">
        <v>1.9</v>
      </c>
      <c r="G32" s="76" t="n">
        <v>2.5</v>
      </c>
      <c r="H32" s="53">
        <f>(F32+G32)/2</f>
        <v>2.2</v>
      </c>
      <c r="I32" s="83" t="n">
        <v>1.0082</v>
      </c>
      <c r="J32" s="87" t="n">
        <v>7</v>
      </c>
      <c r="K32" s="87" t="n">
        <v>1108</v>
      </c>
    </row>
    <row r="33">
      <c r="A33" s="86" t="n">
        <v>20</v>
      </c>
      <c r="B33" s="76" t="n">
        <v>3.3</v>
      </c>
      <c r="C33" s="76" t="n">
        <v>5.5</v>
      </c>
      <c r="D33" s="53">
        <f>(B33+C33)/2</f>
        <v>4.4</v>
      </c>
      <c r="E33" s="83" t="n">
        <v>0.9494</v>
      </c>
      <c r="F33" s="76" t="n">
        <v>2.9</v>
      </c>
      <c r="G33" s="76" t="n">
        <v>5.9</v>
      </c>
      <c r="H33" s="53">
        <f>(F33+G33)/2</f>
        <v>4.4</v>
      </c>
      <c r="I33" s="83" t="n">
        <v>1.2578</v>
      </c>
      <c r="J33" s="87" t="n">
        <v>198</v>
      </c>
      <c r="K33" s="87" t="n">
        <v>65</v>
      </c>
    </row>
    <row r="34">
      <c r="A34" s="86" t="n">
        <v>22.5</v>
      </c>
      <c r="B34" s="76" t="n">
        <v>3</v>
      </c>
      <c r="C34" s="76" t="n">
        <v>5.7</v>
      </c>
      <c r="D34" s="53">
        <f>(B34+C34)/2</f>
        <v>4.35</v>
      </c>
      <c r="E34" s="83" t="n">
        <v>1.1846</v>
      </c>
      <c r="F34" s="76" t="n">
        <v>4.7</v>
      </c>
      <c r="G34" s="76" t="n">
        <v>5.2</v>
      </c>
      <c r="H34" s="53">
        <f>(F34+G34)/2</f>
        <v>4.95</v>
      </c>
      <c r="I34" s="83" t="n">
        <v>1.0099</v>
      </c>
      <c r="J34" s="87" t="n">
        <v>296</v>
      </c>
      <c r="K34" s="87" t="n">
        <v>535</v>
      </c>
    </row>
    <row r="35">
      <c r="A35" s="86" t="n">
        <v>25</v>
      </c>
      <c r="B35" s="76" t="n">
        <v>2.2</v>
      </c>
      <c r="C35" s="76" t="n">
        <v>4.9</v>
      </c>
      <c r="D35" s="53">
        <f>(B35+C35)/2</f>
        <v>3.5500000000000003</v>
      </c>
      <c r="E35" s="83" t="n">
        <v>1.1792</v>
      </c>
      <c r="F35" s="76" t="n">
        <v>6.2</v>
      </c>
      <c r="G35" s="76" t="n">
        <v>6.9</v>
      </c>
      <c r="H35" s="53">
        <f>(F35+G35)/2</f>
        <v>6.550000000000001</v>
      </c>
      <c r="I35" s="83" t="n">
        <v>0.9831</v>
      </c>
      <c r="J35" s="87" t="n">
        <v>16426</v>
      </c>
      <c r="K35" s="87" t="n">
        <v>64</v>
      </c>
    </row>
    <row r="36">
      <c r="A36" s="86" t="n">
        <v>30</v>
      </c>
      <c r="B36" s="76" t="n">
        <v>1.05</v>
      </c>
      <c r="C36" s="76" t="n">
        <v>3.6</v>
      </c>
      <c r="D36" s="53">
        <f>(B36+C36)/2</f>
        <v>2.325</v>
      </c>
      <c r="E36" s="83" t="n">
        <v>1.16</v>
      </c>
      <c r="F36" s="76" t="n">
        <v>9.800000000000001</v>
      </c>
      <c r="G36" s="76" t="n">
        <v>11.3</v>
      </c>
      <c r="H36" s="53">
        <f>(F36+G36)/2</f>
        <v>10.55</v>
      </c>
      <c r="I36" s="83" t="n">
        <v>1.0066</v>
      </c>
      <c r="J36" s="87" t="n">
        <v>1371</v>
      </c>
      <c r="K36" s="87" t="n">
        <v>169</v>
      </c>
    </row>
    <row r="37">
      <c r="A37" s="86" t="n">
        <v>35</v>
      </c>
      <c r="B37" s="76" t="n">
        <v>0.2</v>
      </c>
      <c r="C37" s="76" t="n">
        <v>1.9</v>
      </c>
      <c r="D37" s="53">
        <f>(B37+C37)/2</f>
        <v>1.05</v>
      </c>
      <c r="E37" s="83" t="n">
        <v>1.0007</v>
      </c>
      <c r="F37" s="76" t="n">
        <v>13</v>
      </c>
      <c r="G37" s="76" t="n">
        <v>17</v>
      </c>
      <c r="H37" s="53">
        <f>(F37+G37)/2</f>
        <v>15.0</v>
      </c>
      <c r="I37" s="83" t="n">
        <v>1.0395</v>
      </c>
      <c r="J37" s="87" t="n">
        <v>248</v>
      </c>
      <c r="K37" s="87" t="n">
        <v>70</v>
      </c>
    </row>
    <row r="39">
      <c r="A39" s="30" t="inlineStr">
        <is>
          <t>Legs (premium = mid when the market is tight, else Black-Scholes at the reference IV)</t>
        </is>
      </c>
    </row>
    <row r="40">
      <c r="A40" s="29" t="inlineStr">
        <is>
          <t>Leg</t>
        </is>
      </c>
      <c r="B40" s="29" t="inlineStr">
        <is>
          <t>Type</t>
        </is>
      </c>
      <c r="C40" s="29" t="inlineStr">
        <is>
          <t>Strike</t>
        </is>
      </c>
      <c r="D40" s="29" t="inlineStr">
        <is>
          <t>Mid</t>
        </is>
      </c>
      <c r="E40" s="29" t="inlineStr">
        <is>
          <t>Spread % of mid</t>
        </is>
      </c>
      <c r="F40" s="29" t="inlineStr">
        <is>
          <t>BS value</t>
        </is>
      </c>
      <c r="G40" s="29" t="inlineStr">
        <is>
          <t>Premium used</t>
        </is>
      </c>
      <c r="H40" s="29" t="inlineStr">
        <is>
          <t>Source</t>
        </is>
      </c>
      <c r="I40" s="29" t="inlineStr">
        <is>
          <t>d1</t>
        </is>
      </c>
      <c r="J40" s="29" t="inlineStr">
        <is>
          <t>Delta</t>
        </is>
      </c>
      <c r="K40" s="29" t="inlineStr">
        <is>
          <t>E[payoff] if approved</t>
        </is>
      </c>
      <c r="L40" s="29" t="inlineStr">
        <is>
          <t>E[payoff] if CRL</t>
        </is>
      </c>
    </row>
    <row r="41">
      <c r="A41" s="13" t="inlineStr">
        <is>
          <t>Jan-27 $20 call</t>
        </is>
      </c>
      <c r="B41" s="88" t="inlineStr">
        <is>
          <t>C</t>
        </is>
      </c>
      <c r="C41" s="11">
        <f>A33</f>
        <v>20</v>
      </c>
      <c r="D41" s="53">
        <f>(B33+C33)/2</f>
        <v>4.4</v>
      </c>
      <c r="E41" s="55">
        <f>IF(B33&gt;0,(C33-B33)/D41,9.99)</f>
        <v>0.5</v>
      </c>
      <c r="F41" s="53">
        <f>IF(B41="C",$B$4*NORMSDIST((LN($B$4/C41)+($B$9+$B$10^2/2)*$B$8)/($B$10*SQRT($B$8)))-C41*EXP(-$B$9*$B$8)*NORMSDIST((LN($B$4/C41)+($B$9+$B$10^2/2)*$B$8)/($B$10*SQRT($B$8))-$B$10*SQRT($B$8)),C41*EXP(-$B$9*$B$8)*NORMSDIST(-((LN($B$4/C41)+($B$9+$B$10^2/2)*$B$8)/($B$10*SQRT($B$8))-$B$10*SQRT($B$8)))-$B$4*NORMSDIST(-(LN($B$4/C41)+($B$9+$B$10^2/2)*$B$8)/($B$10*SQRT($B$8))))</f>
        <v>4.18894832063933</v>
      </c>
      <c r="G41" s="57">
        <f>IF(AND(B33&gt;0,E41&lt;=0.6),D41,F41)</f>
        <v>4.4</v>
      </c>
      <c r="H41" s="51" t="str">
        <f>IF(AND(B33&gt;0,E41&lt;=0.6),"market","theo")</f>
        <v>market</v>
      </c>
      <c r="I41" s="72">
        <f>(LN($B$4/C41)+($B$9+$B$10^2/2)*$B$8)/($B$10*SQRT($B$8))</f>
        <v>0.32653165103851556</v>
      </c>
      <c r="J41" s="11">
        <f>IF(B41="C",NORMSDIST(I41),NORMSDIST(I41)-1)</f>
        <v>0.6279889268189296</v>
      </c>
      <c r="K41" s="53">
        <f>IF(B41="C",($B$21*NORMSDIST(((LN($B$21/C41)+$B$24^2*$B$8/2)/($B$24*SQRT($B$8))))-C41*NORMSDIST((((LN($B$21/C41)+$B$24^2*$B$8/2)/($B$24*SQRT($B$8)))-$B$24*SQRT($B$8)))),(C41*NORMSDIST(-(((LN($B$21/C41)+$B$24^2*$B$8/2)/($B$24*SQRT($B$8)))-$B$24*SQRT($B$8)))-$B$21*NORMSDIST(-((LN($B$21/C41)+$B$24^2*$B$8/2)/($B$24*SQRT($B$8))))))</f>
        <v>2.8430557376134793</v>
      </c>
      <c r="L41" s="53">
        <f>IF(B41="C",($B$22*NORMSDIST(((LN($B$22/C41)+$B$24^2*$B$8/2)/($B$24*SQRT($B$8))))-C41*NORMSDIST((((LN($B$22/C41)+$B$24^2*$B$8/2)/($B$24*SQRT($B$8)))-$B$24*SQRT($B$8)))),(C41*NORMSDIST(-(((LN($B$22/C41)+$B$24^2*$B$8/2)/($B$24*SQRT($B$8)))-$B$24*SQRT($B$8)))-$B$22*NORMSDIST(-((LN($B$22/C41)+$B$24^2*$B$8/2)/($B$24*SQRT($B$8))))))</f>
        <v>0.3096144788797912</v>
      </c>
    </row>
    <row r="42">
      <c r="A42" s="13" t="inlineStr">
        <is>
          <t>Jan-27 $20 put</t>
        </is>
      </c>
      <c r="B42" s="88" t="inlineStr">
        <is>
          <t>P</t>
        </is>
      </c>
      <c r="C42" s="11">
        <f>A33</f>
        <v>20</v>
      </c>
      <c r="D42" s="53">
        <f>(F33+G33)/2</f>
        <v>4.4</v>
      </c>
      <c r="E42" s="55">
        <f>IF(F33&gt;0,(G33-F33)/D42,9.99)</f>
        <v>0.6818181818181819</v>
      </c>
      <c r="F42" s="53">
        <f>IF(B42="C",$B$4*NORMSDIST((LN($B$4/C42)+($B$9+$B$10^2/2)*$B$8)/($B$10*SQRT($B$8)))-C42*EXP(-$B$9*$B$8)*NORMSDIST((LN($B$4/C42)+($B$9+$B$10^2/2)*$B$8)/($B$10*SQRT($B$8))-$B$10*SQRT($B$8)),C42*EXP(-$B$9*$B$8)*NORMSDIST(-((LN($B$4/C42)+($B$9+$B$10^2/2)*$B$8)/($B$10*SQRT($B$8))-$B$10*SQRT($B$8)))-$B$4*NORMSDIST(-(LN($B$4/C42)+($B$9+$B$10^2/2)*$B$8)/($B$10*SQRT($B$8))))</f>
        <v>3.3069986614550473</v>
      </c>
      <c r="G42" s="57">
        <f>IF(AND(F33&gt;0,E42&lt;=0.6),D42,F42)</f>
        <v>3.3069986614550473</v>
      </c>
      <c r="H42" s="51" t="str">
        <f>IF(AND(F33&gt;0,E42&lt;=0.6),"market","theo")</f>
        <v>theo</v>
      </c>
      <c r="I42" s="72">
        <f>(LN($B$4/C42)+($B$9+$B$10^2/2)*$B$8)/($B$10*SQRT($B$8))</f>
        <v>0.32653165103851556</v>
      </c>
      <c r="J42" s="11">
        <f>IF(B42="C",NORMSDIST(I42),NORMSDIST(I42)-1)</f>
        <v>-0.3720110731810704</v>
      </c>
      <c r="K42" s="53">
        <f>IF(B42="C",($B$21*NORMSDIST(((LN($B$21/C42)+$B$24^2*$B$8/2)/($B$24*SQRT($B$8))))-C42*NORMSDIST((((LN($B$21/C42)+$B$24^2*$B$8/2)/($B$24*SQRT($B$8)))-$B$24*SQRT($B$8)))),(C42*NORMSDIST(-(((LN($B$21/C42)+$B$24^2*$B$8/2)/($B$24*SQRT($B$8)))-$B$24*SQRT($B$8)))-$B$21*NORMSDIST(-((LN($B$21/C42)+$B$24^2*$B$8/2)/($B$24*SQRT($B$8))))))</f>
        <v>1.3983548137256303</v>
      </c>
      <c r="L42" s="53">
        <f>IF(B42="C",($B$22*NORMSDIST(((LN($B$22/C42)+$B$24^2*$B$8/2)/($B$24*SQRT($B$8))))-C42*NORMSDIST((((LN($B$22/C42)+$B$24^2*$B$8/2)/($B$24*SQRT($B$8)))-$B$24*SQRT($B$8)))),(C42*NORMSDIST(-(((LN($B$22/C42)+$B$24^2*$B$8/2)/($B$24*SQRT($B$8)))-$B$24*SQRT($B$8)))-$B$22*NORMSDIST(-((LN($B$22/C42)+$B$24^2*$B$8/2)/($B$24*SQRT($B$8))))))</f>
        <v>4.988106907648557</v>
      </c>
    </row>
    <row r="43">
      <c r="A43" s="13" t="inlineStr">
        <is>
          <t>Jan-27 $30 call</t>
        </is>
      </c>
      <c r="B43" s="88" t="inlineStr">
        <is>
          <t>C</t>
        </is>
      </c>
      <c r="C43" s="11">
        <f>A36</f>
        <v>30</v>
      </c>
      <c r="D43" s="53">
        <f>(B36+C36)/2</f>
        <v>2.325</v>
      </c>
      <c r="E43" s="55">
        <f>IF(B36&gt;0,(C36-B36)/D43,9.99)</f>
        <v>1.096774193548387</v>
      </c>
      <c r="F43" s="53">
        <f>IF(B43="C",$B$4*NORMSDIST((LN($B$4/C43)+($B$9+$B$10^2/2)*$B$8)/($B$10*SQRT($B$8)))-C43*EXP(-$B$9*$B$8)*NORMSDIST((LN($B$4/C43)+($B$9+$B$10^2/2)*$B$8)/($B$10*SQRT($B$8))-$B$10*SQRT($B$8)),C43*EXP(-$B$9*$B$8)*NORMSDIST(-((LN($B$4/C43)+($B$9+$B$10^2/2)*$B$8)/($B$10*SQRT($B$8))-$B$10*SQRT($B$8)))-$B$4*NORMSDIST(-(LN($B$4/C43)+($B$9+$B$10^2/2)*$B$8)/($B$10*SQRT($B$8))))</f>
        <v>1.4255045757458076</v>
      </c>
      <c r="G43" s="57">
        <f>IF(AND(B36&gt;0,E43&lt;=0.6),D43,F43)</f>
        <v>1.4255045757458076</v>
      </c>
      <c r="H43" s="51" t="str">
        <f>IF(AND(B36&gt;0,E43&lt;=0.6),"market","theo")</f>
        <v>theo</v>
      </c>
      <c r="I43" s="72">
        <f>(LN($B$4/C43)+($B$9+$B$10^2/2)*$B$8)/($B$10*SQRT($B$8))</f>
        <v>-0.5432482268216086</v>
      </c>
      <c r="J43" s="11">
        <f>IF(B43="C",NORMSDIST(I43),NORMSDIST(I43)-1)</f>
        <v>0.29347945283285415</v>
      </c>
      <c r="K43" s="53">
        <f>IF(B43="C",($B$21*NORMSDIST(((LN($B$21/C43)+$B$24^2*$B$8/2)/($B$24*SQRT($B$8))))-C43*NORMSDIST((((LN($B$21/C43)+$B$24^2*$B$8/2)/($B$24*SQRT($B$8)))-$B$24*SQRT($B$8)))),(C43*NORMSDIST(-(((LN($B$21/C43)+$B$24^2*$B$8/2)/($B$24*SQRT($B$8)))-$B$24*SQRT($B$8)))-$B$21*NORMSDIST(-((LN($B$21/C43)+$B$24^2*$B$8/2)/($B$24*SQRT($B$8))))))</f>
        <v>0.25171225751936666</v>
      </c>
      <c r="L43" s="53">
        <f>IF(B43="C",($B$22*NORMSDIST(((LN($B$22/C43)+$B$24^2*$B$8/2)/($B$24*SQRT($B$8))))-C43*NORMSDIST((((LN($B$22/C43)+$B$24^2*$B$8/2)/($B$24*SQRT($B$8)))-$B$24*SQRT($B$8)))),(C43*NORMSDIST(-(((LN($B$22/C43)+$B$24^2*$B$8/2)/($B$24*SQRT($B$8)))-$B$24*SQRT($B$8)))-$B$22*NORMSDIST(-((LN($B$22/C43)+$B$24^2*$B$8/2)/($B$24*SQRT($B$8))))))</f>
        <v>0.005316277582870579</v>
      </c>
    </row>
    <row r="44">
      <c r="A44" s="13" t="inlineStr">
        <is>
          <t>Jan-27 $12.50 put</t>
        </is>
      </c>
      <c r="B44" s="88" t="inlineStr">
        <is>
          <t>P</t>
        </is>
      </c>
      <c r="C44" s="11">
        <f>A30</f>
        <v>12.5</v>
      </c>
      <c r="D44" s="53">
        <f>(F30+G30)/2</f>
        <v>0.9750000000000001</v>
      </c>
      <c r="E44" s="55">
        <f>IF(F30&gt;0,(G30-F30)/D44,9.99)</f>
        <v>1.7948717948717947</v>
      </c>
      <c r="F44" s="53">
        <f>IF(B44="C",$B$4*NORMSDIST((LN($B$4/C44)+($B$9+$B$10^2/2)*$B$8)/($B$10*SQRT($B$8)))-C44*EXP(-$B$9*$B$8)*NORMSDIST((LN($B$4/C44)+($B$9+$B$10^2/2)*$B$8)/($B$10*SQRT($B$8))-$B$10*SQRT($B$8)),C44*EXP(-$B$9*$B$8)*NORMSDIST(-((LN($B$4/C44)+($B$9+$B$10^2/2)*$B$8)/($B$10*SQRT($B$8))-$B$10*SQRT($B$8)))-$B$4*NORMSDIST(-(LN($B$4/C44)+($B$9+$B$10^2/2)*$B$8)/($B$10*SQRT($B$8))))</f>
        <v>0.5012739599365998</v>
      </c>
      <c r="G44" s="57">
        <f>IF(AND(F30&gt;0,E44&lt;=0.6),D44,F44)</f>
        <v>0.5012739599365998</v>
      </c>
      <c r="H44" s="51" t="str">
        <f>IF(AND(F30&gt;0,E44&lt;=0.6),"market","theo")</f>
        <v>theo</v>
      </c>
      <c r="I44" s="72">
        <f>(LN($B$4/C44)+($B$9+$B$10^2/2)*$B$8)/($B$10*SQRT($B$8))</f>
        <v>1.3347557646905273</v>
      </c>
      <c r="J44" s="11">
        <f>IF(B44="C",NORMSDIST(I44),NORMSDIST(I44)-1)</f>
        <v>-0.09097814782044089</v>
      </c>
      <c r="K44" s="53">
        <f>IF(B44="C",($B$21*NORMSDIST(((LN($B$21/C44)+$B$24^2*$B$8/2)/($B$24*SQRT($B$8))))-C44*NORMSDIST((((LN($B$21/C44)+$B$24^2*$B$8/2)/($B$24*SQRT($B$8)))-$B$24*SQRT($B$8)))),(C44*NORMSDIST(-(((LN($B$21/C44)+$B$24^2*$B$8/2)/($B$24*SQRT($B$8)))-$B$24*SQRT($B$8)))-$B$21*NORMSDIST(-((LN($B$21/C44)+$B$24^2*$B$8/2)/($B$24*SQRT($B$8))))))</f>
        <v>0.020766022751727148</v>
      </c>
      <c r="L44" s="53">
        <f>IF(B44="C",($B$22*NORMSDIST(((LN($B$22/C44)+$B$24^2*$B$8/2)/($B$24*SQRT($B$8))))-C44*NORMSDIST((((LN($B$22/C44)+$B$24^2*$B$8/2)/($B$24*SQRT($B$8)))-$B$24*SQRT($B$8)))),(C44*NORMSDIST(-(((LN($B$22/C44)+$B$24^2*$B$8/2)/($B$24*SQRT($B$8)))-$B$24*SQRT($B$8)))-$B$22*NORMSDIST(-((LN($B$22/C44)+$B$24^2*$B$8/2)/($B$24*SQRT($B$8))))))</f>
        <v>0.39385511529420736</v>
      </c>
    </row>
    <row r="46">
      <c r="A46" s="30" t="inlineStr">
        <is>
          <t>Strategies (+ = credit received, − = debit paid; per share unless noted)</t>
        </is>
      </c>
    </row>
    <row r="47">
      <c r="A47" s="29" t="inlineStr">
        <is>
          <t>Metric</t>
        </is>
      </c>
      <c r="B47" s="29" t="inlineStr">
        <is>
          <t>Long straddle</t>
        </is>
      </c>
      <c r="C47" s="29" t="inlineStr">
        <is>
          <t>Bull call spread</t>
        </is>
      </c>
      <c r="D47" s="29" t="inlineStr">
        <is>
          <t>Bear put spread</t>
        </is>
      </c>
      <c r="E47" s="29" t="inlineStr">
        <is>
          <t>Iron butterfly</t>
        </is>
      </c>
    </row>
    <row r="48" ht="50" customHeight="1" s="9">
      <c r="A48" s="13" t="inlineStr">
        <is>
          <t>Structure</t>
        </is>
      </c>
      <c r="B48" s="89" t="inlineStr">
        <is>
          <t>Buy $20 call + $20 put</t>
        </is>
      </c>
      <c r="C48" s="89" t="inlineStr">
        <is>
          <t>Buy $20 / sell $30 call</t>
        </is>
      </c>
      <c r="D48" s="89" t="inlineStr">
        <is>
          <t>Buy $20 / sell $12.50 put</t>
        </is>
      </c>
      <c r="E48" s="89" t="inlineStr">
        <is>
          <t>Sell $20 straddle, buy $12.50 put + $30 call</t>
        </is>
      </c>
    </row>
    <row r="49">
      <c r="A49" s="13" t="inlineStr">
        <is>
          <t>Net premium</t>
        </is>
      </c>
      <c r="B49" s="53">
        <f>-$G$41-$G$42</f>
        <v>-7.706998661455048</v>
      </c>
      <c r="C49" s="53">
        <f>-$G$41+$G$43</f>
        <v>-2.9744954242541928</v>
      </c>
      <c r="D49" s="53">
        <f>-$G$42+$G$44</f>
        <v>-2.8057247015184474</v>
      </c>
      <c r="E49" s="53">
        <f>$G$41+$G$42-$G$43-$G$44</f>
        <v>5.78022012577264</v>
      </c>
    </row>
    <row r="50">
      <c r="A50" s="13" t="inlineStr">
        <is>
          <t>Net premium / contract</t>
        </is>
      </c>
      <c r="B50" s="90">
        <f>B49*$B$11</f>
        <v>-770.6998661455048</v>
      </c>
      <c r="C50" s="90">
        <f>C49*$B$11</f>
        <v>-297.4495424254193</v>
      </c>
      <c r="D50" s="90">
        <f>D49*$B$11</f>
        <v>-280.57247015184475</v>
      </c>
      <c r="E50" s="90">
        <f>E49*$B$11</f>
        <v>578.022012577264</v>
      </c>
    </row>
    <row r="51">
      <c r="A51" s="13" t="inlineStr">
        <is>
          <t>Max profit / contract</t>
        </is>
      </c>
      <c r="B51" s="91" t="str">
        <f>"Unlimited"</f>
        <v>Unlimited</v>
      </c>
      <c r="C51" s="91">
        <f>(30.0-20.0+C49)*$B$11</f>
        <v>702.5504575745807</v>
      </c>
      <c r="D51" s="91">
        <f>(20.0-12.5+D49)*$B$11</f>
        <v>469.42752984815525</v>
      </c>
      <c r="E51" s="91">
        <f>E49*$B$11</f>
        <v>578.022012577264</v>
      </c>
    </row>
    <row r="52">
      <c r="A52" s="13" t="inlineStr">
        <is>
          <t>Max loss / contract</t>
        </is>
      </c>
      <c r="B52" s="90">
        <f>B49*$B$11</f>
        <v>-770.6998661455048</v>
      </c>
      <c r="C52" s="90">
        <f>C49*$B$11</f>
        <v>-297.4495424254193</v>
      </c>
      <c r="D52" s="90">
        <f>D49*$B$11</f>
        <v>-280.57247015184475</v>
      </c>
      <c r="E52" s="90">
        <f>-(MAX(30.0-20.0,20.0-12.5)-E49)*$B$11</f>
        <v>-421.97798742273596</v>
      </c>
    </row>
    <row r="53">
      <c r="A53" s="13" t="inlineStr">
        <is>
          <t>Breakeven (low)</t>
        </is>
      </c>
      <c r="B53" s="92">
        <f>20.0+B49</f>
        <v>12.293001338544952</v>
      </c>
      <c r="C53" s="92" t="str">
        <f>"—"</f>
        <v>—</v>
      </c>
      <c r="D53" s="92">
        <f>20.0+D49</f>
        <v>17.194275298481553</v>
      </c>
      <c r="E53" s="92">
        <f>20.0-E49</f>
        <v>14.21977987422736</v>
      </c>
    </row>
    <row r="54">
      <c r="A54" s="13" t="inlineStr">
        <is>
          <t>Breakeven (high)</t>
        </is>
      </c>
      <c r="B54" s="92">
        <f>20.0-B49</f>
        <v>27.706998661455046</v>
      </c>
      <c r="C54" s="92">
        <f>20.0-C49</f>
        <v>22.974495424254194</v>
      </c>
      <c r="D54" s="92" t="str">
        <f>"—"</f>
        <v>—</v>
      </c>
      <c r="E54" s="92">
        <f>20.0+E49</f>
        <v>25.78022012577264</v>
      </c>
    </row>
    <row r="55">
      <c r="A55" s="13" t="inlineStr">
        <is>
          <t>Prob. of profit (market-implied, lognormal)</t>
        </is>
      </c>
      <c r="B55" s="54">
        <f>(1-NORMSDIST((LN($B$4/B53)+($B$9-IF((($E$33+$I$33)/2)&gt;0,(($E$33+$I$33)/2),$B$10)^2/2)*$B$8)/(IF((($E$33+$I$33)/2)&gt;0,(($E$33+$I$33)/2),$B$10)*SQRT($B$8))))+NORMSDIST((LN($B$4/B54)+($B$9-IF((($E$33+$I$33)/2)&gt;0,(($E$33+$I$33)/2),$B$10)^2/2)*$B$8)/(IF((($E$33+$I$33)/2)&gt;0,(($E$33+$I$33)/2),$B$10)*SQRT($B$8)))</f>
        <v>0.45375260689441355</v>
      </c>
      <c r="C55" s="54">
        <f>NORMSDIST((LN($B$4/C54)+($B$9-IF((($E$33+$I$33)/2)&gt;0,(($E$33+$I$33)/2),$B$10)^2/2)*$B$8)/(IF((($E$33+$I$33)/2)&gt;0,(($E$33+$I$33)/2),$B$10)*SQRT($B$8)))</f>
        <v>0.32764581805346876</v>
      </c>
      <c r="D55" s="54">
        <f>1-NORMSDIST((LN($B$4/D53)+($B$9-IF((($E$33+$I$33)/2)&gt;0,(($E$33+$I$33)/2),$B$10)^2/2)*$B$8)/(IF((($E$33+$I$33)/2)&gt;0,(($E$33+$I$33)/2),$B$10)*SQRT($B$8)))</f>
        <v>0.46478235832197323</v>
      </c>
      <c r="E55" s="54">
        <f>MAX(0,NORMSDIST((LN($B$4/E53)+($B$9-IF((($E$33+$I$33)/2)&gt;0,(($E$33+$I$33)/2),$B$10)^2/2)*$B$8)/(IF((($E$33+$I$33)/2)&gt;0,(($E$33+$I$33)/2),$B$10)*SQRT($B$8)))-NORMSDIST((LN($B$4/E54)+($B$9-IF((($E$33+$I$33)/2)&gt;0,(($E$33+$I$33)/2),$B$10)^2/2)*$B$8)/(IF((($E$33+$I$33)/2)&gt;0,(($E$33+$I$33)/2),$B$10)*SQRT($B$8))))</f>
        <v>0.4147087069372981</v>
      </c>
    </row>
    <row r="56">
      <c r="A56" s="13" t="inlineStr">
        <is>
          <t>Expected P/L if approved</t>
        </is>
      </c>
      <c r="B56" s="90">
        <f>((1)*$K$41+(1)*$K$42+B49)*$B$11</f>
        <v>-346.5588110115938</v>
      </c>
      <c r="C56" s="90">
        <f>((1)*$K$41+(-1)*$K$43+C49)*$B$11</f>
        <v>-38.31519441600801</v>
      </c>
      <c r="D56" s="90">
        <f>((1)*$K$42+(-1)*$K$44+D49)*$B$11</f>
        <v>-142.81359105445443</v>
      </c>
      <c r="E56" s="90">
        <f>((-1)*$K$41+(-1)*$K$42+(1)*$K$43+(1)*$K$44+E49)*$B$11</f>
        <v>181.12878547046245</v>
      </c>
    </row>
    <row r="57">
      <c r="A57" s="13" t="inlineStr">
        <is>
          <t>Expected P/L if CRL</t>
        </is>
      </c>
      <c r="B57" s="90">
        <f>((1)*$L$41+(1)*$L$42+B49)*$B$11</f>
        <v>-240.92772749266996</v>
      </c>
      <c r="C57" s="90">
        <f>((1)*$L$41+(-1)*$L$43+C49)*$B$11</f>
        <v>-267.0197222957272</v>
      </c>
      <c r="D57" s="90">
        <f>((1)*$L$42+(-1)*$L$44+D49)*$B$11</f>
        <v>178.85270908359024</v>
      </c>
      <c r="E57" s="90">
        <f>((-1)*$L$41+(-1)*$L$42+(1)*$L$43+(1)*$L$44+E49)*$B$11</f>
        <v>88.16701321213705</v>
      </c>
    </row>
    <row r="58">
      <c r="A58" s="23" t="inlineStr">
        <is>
          <t>Model expected P/L</t>
        </is>
      </c>
      <c r="B58" s="93">
        <f>$B$17*B56+(1-$B$17)*B57</f>
        <v>-333.88308098932293</v>
      </c>
      <c r="C58" s="93">
        <f>$B$17*C56+(1-$B$17)*C57</f>
        <v>-65.75973776157431</v>
      </c>
      <c r="D58" s="93">
        <f>$B$17*D56+(1-$B$17)*D57</f>
        <v>-104.21363503788908</v>
      </c>
      <c r="E58" s="93">
        <f>$B$17*E56+(1-$B$17)*E57</f>
        <v>169.97337279946342</v>
      </c>
    </row>
    <row r="59">
      <c r="A59" s="13" t="inlineStr">
        <is>
          <t>Expected P/L ÷ max loss</t>
        </is>
      </c>
      <c r="B59" s="54">
        <f>B58/-B52</f>
        <v>-0.4332206292693027</v>
      </c>
      <c r="C59" s="54">
        <f>C58/-C52</f>
        <v>-0.22107863143901968</v>
      </c>
      <c r="D59" s="54">
        <f>D58/-D52</f>
        <v>-0.37143214721490336</v>
      </c>
      <c r="E59" s="54">
        <f>E58/-E52</f>
        <v>0.4028015154003394</v>
      </c>
    </row>
    <row r="61">
      <c r="A61" s="30" t="inlineStr">
        <is>
          <t>Payoff at expiry per contract ($)</t>
        </is>
      </c>
    </row>
    <row r="62">
      <c r="A62" s="29" t="inlineStr">
        <is>
          <t>Price at expiry</t>
        </is>
      </c>
      <c r="B62" s="29" t="inlineStr">
        <is>
          <t>Long straddle</t>
        </is>
      </c>
      <c r="C62" s="29" t="inlineStr">
        <is>
          <t>Bull call spread</t>
        </is>
      </c>
      <c r="D62" s="29" t="inlineStr">
        <is>
          <t>Bear put spread</t>
        </is>
      </c>
      <c r="E62" s="29" t="inlineStr">
        <is>
          <t>Iron butterfly</t>
        </is>
      </c>
    </row>
    <row r="63">
      <c r="A63" s="94" t="n">
        <v>0</v>
      </c>
      <c r="B63" s="52">
        <f>(MAX($A63-20.0,0)+MAX(20.0-$A63,0)-$G$41-$G$42)*$B$11</f>
        <v>1229.3001338544952</v>
      </c>
      <c r="C63" s="52">
        <f>(MAX($A63-20.0,0)-MAX($A63-30.0,0)-$G$41+$G$43)*$B$11</f>
        <v>-297.4495424254193</v>
      </c>
      <c r="D63" s="52">
        <f>(MAX(20.0-$A63,0)-MAX(12.5-$A63,0)-$G$42+$G$44)*$B$11</f>
        <v>469.42752984815525</v>
      </c>
      <c r="E63" s="52">
        <f>($G$41+$G$42-$G$43-$G$44-MAX($A63-20.0,0)-MAX(20.0-$A63,0)+MAX($A63-30.0,0)+MAX(12.5-$A63,0))*$B$11</f>
        <v>-171.97798742273596</v>
      </c>
    </row>
    <row r="64">
      <c r="A64" s="94" t="n">
        <v>1.5</v>
      </c>
      <c r="B64" s="52">
        <f>(MAX($A64-20.0,0)+MAX(20.0-$A64,0)-$G$41-$G$42)*$B$11</f>
        <v>1079.3001338544952</v>
      </c>
      <c r="C64" s="52">
        <f>(MAX($A64-20.0,0)-MAX($A64-30.0,0)-$G$41+$G$43)*$B$11</f>
        <v>-297.4495424254193</v>
      </c>
      <c r="D64" s="52">
        <f>(MAX(20.0-$A64,0)-MAX(12.5-$A64,0)-$G$42+$G$44)*$B$11</f>
        <v>469.42752984815525</v>
      </c>
      <c r="E64" s="52">
        <f>($G$41+$G$42-$G$43-$G$44-MAX($A64-20.0,0)-MAX(20.0-$A64,0)+MAX($A64-30.0,0)+MAX(12.5-$A64,0))*$B$11</f>
        <v>-171.97798742273596</v>
      </c>
    </row>
    <row r="65">
      <c r="A65" s="94" t="n">
        <v>2.9</v>
      </c>
      <c r="B65" s="52">
        <f>(MAX($A65-20.0,0)+MAX(20.0-$A65,0)-$G$41-$G$42)*$B$11</f>
        <v>939.3001338544954</v>
      </c>
      <c r="C65" s="52">
        <f>(MAX($A65-20.0,0)-MAX($A65-30.0,0)-$G$41+$G$43)*$B$11</f>
        <v>-297.4495424254193</v>
      </c>
      <c r="D65" s="52">
        <f>(MAX(20.0-$A65,0)-MAX(12.5-$A65,0)-$G$42+$G$44)*$B$11</f>
        <v>469.4275298481554</v>
      </c>
      <c r="E65" s="52">
        <f>($G$41+$G$42-$G$43-$G$44-MAX($A65-20.0,0)-MAX(20.0-$A65,0)+MAX($A65-30.0,0)+MAX(12.5-$A65,0))*$B$11</f>
        <v>-171.97798742273616</v>
      </c>
    </row>
    <row r="66">
      <c r="A66" s="94" t="n">
        <v>4.4</v>
      </c>
      <c r="B66" s="52">
        <f>(MAX($A66-20.0,0)+MAX(20.0-$A66,0)-$G$41-$G$42)*$B$11</f>
        <v>789.3001338544952</v>
      </c>
      <c r="C66" s="52">
        <f>(MAX($A66-20.0,0)-MAX($A66-30.0,0)-$G$41+$G$43)*$B$11</f>
        <v>-297.4495424254193</v>
      </c>
      <c r="D66" s="52">
        <f>(MAX(20.0-$A66,0)-MAX(12.5-$A66,0)-$G$42+$G$44)*$B$11</f>
        <v>469.42752984815525</v>
      </c>
      <c r="E66" s="52">
        <f>($G$41+$G$42-$G$43-$G$44-MAX($A66-20.0,0)-MAX(20.0-$A66,0)+MAX($A66-30.0,0)+MAX(12.5-$A66,0))*$B$11</f>
        <v>-171.97798742273596</v>
      </c>
    </row>
    <row r="67">
      <c r="A67" s="94" t="n">
        <v>5.8</v>
      </c>
      <c r="B67" s="52">
        <f>(MAX($A67-20.0,0)+MAX(20.0-$A67,0)-$G$41-$G$42)*$B$11</f>
        <v>649.3001338544951</v>
      </c>
      <c r="C67" s="52">
        <f>(MAX($A67-20.0,0)-MAX($A67-30.0,0)-$G$41+$G$43)*$B$11</f>
        <v>-297.4495424254193</v>
      </c>
      <c r="D67" s="52">
        <f>(MAX(20.0-$A67,0)-MAX(12.5-$A67,0)-$G$42+$G$44)*$B$11</f>
        <v>469.4275298481552</v>
      </c>
      <c r="E67" s="52">
        <f>($G$41+$G$42-$G$43-$G$44-MAX($A67-20.0,0)-MAX(20.0-$A67,0)+MAX($A67-30.0,0)+MAX(12.5-$A67,0))*$B$11</f>
        <v>-171.97798742273588</v>
      </c>
    </row>
    <row r="68">
      <c r="A68" s="94" t="n">
        <v>7.3</v>
      </c>
      <c r="B68" s="52">
        <f>(MAX($A68-20.0,0)+MAX(20.0-$A68,0)-$G$41-$G$42)*$B$11</f>
        <v>499.3001338544952</v>
      </c>
      <c r="C68" s="52">
        <f>(MAX($A68-20.0,0)-MAX($A68-30.0,0)-$G$41+$G$43)*$B$11</f>
        <v>-297.4495424254193</v>
      </c>
      <c r="D68" s="52">
        <f>(MAX(20.0-$A68,0)-MAX(12.5-$A68,0)-$G$42+$G$44)*$B$11</f>
        <v>469.4275298481552</v>
      </c>
      <c r="E68" s="52">
        <f>($G$41+$G$42-$G$43-$G$44-MAX($A68-20.0,0)-MAX(20.0-$A68,0)+MAX($A68-30.0,0)+MAX(12.5-$A68,0))*$B$11</f>
        <v>-171.97798742273588</v>
      </c>
    </row>
    <row r="69">
      <c r="A69" s="94" t="n">
        <v>8.800000000000001</v>
      </c>
      <c r="B69" s="52">
        <f>(MAX($A69-20.0,0)+MAX(20.0-$A69,0)-$G$41-$G$42)*$B$11</f>
        <v>349.3001338544952</v>
      </c>
      <c r="C69" s="52">
        <f>(MAX($A69-20.0,0)-MAX($A69-30.0,0)-$G$41+$G$43)*$B$11</f>
        <v>-297.4495424254193</v>
      </c>
      <c r="D69" s="52">
        <f>(MAX(20.0-$A69,0)-MAX(12.5-$A69,0)-$G$42+$G$44)*$B$11</f>
        <v>469.42752984815525</v>
      </c>
      <c r="E69" s="52">
        <f>($G$41+$G$42-$G$43-$G$44-MAX($A69-20.0,0)-MAX(20.0-$A69,0)+MAX($A69-30.0,0)+MAX(12.5-$A69,0))*$B$11</f>
        <v>-171.97798742273596</v>
      </c>
    </row>
    <row r="70">
      <c r="A70" s="94" t="n">
        <v>10.2</v>
      </c>
      <c r="B70" s="52">
        <f>(MAX($A70-20.0,0)+MAX(20.0-$A70,0)-$G$41-$G$42)*$B$11</f>
        <v>209.3001338544953</v>
      </c>
      <c r="C70" s="52">
        <f>(MAX($A70-20.0,0)-MAX($A70-30.0,0)-$G$41+$G$43)*$B$11</f>
        <v>-297.4495424254193</v>
      </c>
      <c r="D70" s="52">
        <f>(MAX(20.0-$A70,0)-MAX(12.5-$A70,0)-$G$42+$G$44)*$B$11</f>
        <v>469.42752984815525</v>
      </c>
      <c r="E70" s="52">
        <f>($G$41+$G$42-$G$43-$G$44-MAX($A70-20.0,0)-MAX(20.0-$A70,0)+MAX($A70-30.0,0)+MAX(12.5-$A70,0))*$B$11</f>
        <v>-171.97798742273596</v>
      </c>
    </row>
    <row r="71">
      <c r="A71" s="94" t="n">
        <v>11.7</v>
      </c>
      <c r="B71" s="52">
        <f>(MAX($A71-20.0,0)+MAX(20.0-$A71,0)-$G$41-$G$42)*$B$11</f>
        <v>59.30013385449531</v>
      </c>
      <c r="C71" s="52">
        <f>(MAX($A71-20.0,0)-MAX($A71-30.0,0)-$G$41+$G$43)*$B$11</f>
        <v>-297.4495424254193</v>
      </c>
      <c r="D71" s="52">
        <f>(MAX(20.0-$A71,0)-MAX(12.5-$A71,0)-$G$42+$G$44)*$B$11</f>
        <v>469.42752984815525</v>
      </c>
      <c r="E71" s="52">
        <f>($G$41+$G$42-$G$43-$G$44-MAX($A71-20.0,0)-MAX(20.0-$A71,0)+MAX($A71-30.0,0)+MAX(12.5-$A71,0))*$B$11</f>
        <v>-171.97798742273596</v>
      </c>
    </row>
    <row r="72">
      <c r="A72" s="94" t="n">
        <v>13.1</v>
      </c>
      <c r="B72" s="52">
        <f>(MAX($A72-20.0,0)+MAX(20.0-$A72,0)-$G$41-$G$42)*$B$11</f>
        <v>-80.69986614550473</v>
      </c>
      <c r="C72" s="52">
        <f>(MAX($A72-20.0,0)-MAX($A72-30.0,0)-$G$41+$G$43)*$B$11</f>
        <v>-297.4495424254193</v>
      </c>
      <c r="D72" s="52">
        <f>(MAX(20.0-$A72,0)-MAX(12.5-$A72,0)-$G$42+$G$44)*$B$11</f>
        <v>409.4275298481553</v>
      </c>
      <c r="E72" s="52">
        <f>($G$41+$G$42-$G$43-$G$44-MAX($A72-20.0,0)-MAX(20.0-$A72,0)+MAX($A72-30.0,0)+MAX(12.5-$A72,0))*$B$11</f>
        <v>-111.97798742273602</v>
      </c>
    </row>
    <row r="73">
      <c r="A73" s="94" t="n">
        <v>14.6</v>
      </c>
      <c r="B73" s="52">
        <f>(MAX($A73-20.0,0)+MAX(20.0-$A73,0)-$G$41-$G$42)*$B$11</f>
        <v>-230.69986614550473</v>
      </c>
      <c r="C73" s="52">
        <f>(MAX($A73-20.0,0)-MAX($A73-30.0,0)-$G$41+$G$43)*$B$11</f>
        <v>-297.4495424254193</v>
      </c>
      <c r="D73" s="52">
        <f>(MAX(20.0-$A73,0)-MAX(12.5-$A73,0)-$G$42+$G$44)*$B$11</f>
        <v>259.4275298481553</v>
      </c>
      <c r="E73" s="52">
        <f>($G$41+$G$42-$G$43-$G$44-MAX($A73-20.0,0)-MAX(20.0-$A73,0)+MAX($A73-30.0,0)+MAX(12.5-$A73,0))*$B$11</f>
        <v>38.022012577263986</v>
      </c>
    </row>
    <row r="74">
      <c r="A74" s="94" t="n">
        <v>16.1</v>
      </c>
      <c r="B74" s="52">
        <f>(MAX($A74-20.0,0)+MAX(20.0-$A74,0)-$G$41-$G$42)*$B$11</f>
        <v>-380.6998661455049</v>
      </c>
      <c r="C74" s="52">
        <f>(MAX($A74-20.0,0)-MAX($A74-30.0,0)-$G$41+$G$43)*$B$11</f>
        <v>-297.4495424254193</v>
      </c>
      <c r="D74" s="52">
        <f>(MAX(20.0-$A74,0)-MAX(12.5-$A74,0)-$G$42+$G$44)*$B$11</f>
        <v>109.42752984815512</v>
      </c>
      <c r="E74" s="52">
        <f>($G$41+$G$42-$G$43-$G$44-MAX($A74-20.0,0)-MAX(20.0-$A74,0)+MAX($A74-30.0,0)+MAX(12.5-$A74,0))*$B$11</f>
        <v>188.02201257726415</v>
      </c>
    </row>
    <row r="75">
      <c r="A75" s="94" t="n">
        <v>17.5</v>
      </c>
      <c r="B75" s="52">
        <f>(MAX($A75-20.0,0)+MAX(20.0-$A75,0)-$G$41-$G$42)*$B$11</f>
        <v>-520.6998661455048</v>
      </c>
      <c r="C75" s="52">
        <f>(MAX($A75-20.0,0)-MAX($A75-30.0,0)-$G$41+$G$43)*$B$11</f>
        <v>-297.4495424254193</v>
      </c>
      <c r="D75" s="52">
        <f>(MAX(20.0-$A75,0)-MAX(12.5-$A75,0)-$G$42+$G$44)*$B$11</f>
        <v>-30.572470151844744</v>
      </c>
      <c r="E75" s="52">
        <f>($G$41+$G$42-$G$43-$G$44-MAX($A75-20.0,0)-MAX(20.0-$A75,0)+MAX($A75-30.0,0)+MAX(12.5-$A75,0))*$B$11</f>
        <v>328.02201257726404</v>
      </c>
    </row>
    <row r="76">
      <c r="A76" s="94" t="n">
        <v>19</v>
      </c>
      <c r="B76" s="52">
        <f>(MAX($A76-20.0,0)+MAX(20.0-$A76,0)-$G$41-$G$42)*$B$11</f>
        <v>-670.6998661455048</v>
      </c>
      <c r="C76" s="52">
        <f>(MAX($A76-20.0,0)-MAX($A76-30.0,0)-$G$41+$G$43)*$B$11</f>
        <v>-297.4495424254193</v>
      </c>
      <c r="D76" s="52">
        <f>(MAX(20.0-$A76,0)-MAX(12.5-$A76,0)-$G$42+$G$44)*$B$11</f>
        <v>-180.57247015184475</v>
      </c>
      <c r="E76" s="52">
        <f>($G$41+$G$42-$G$43-$G$44-MAX($A76-20.0,0)-MAX(20.0-$A76,0)+MAX($A76-30.0,0)+MAX(12.5-$A76,0))*$B$11</f>
        <v>478.02201257726404</v>
      </c>
    </row>
    <row r="77">
      <c r="A77" s="94" t="n">
        <v>20.4</v>
      </c>
      <c r="B77" s="52">
        <f>(MAX($A77-20.0,0)+MAX(20.0-$A77,0)-$G$41-$G$42)*$B$11</f>
        <v>-730.6998661455049</v>
      </c>
      <c r="C77" s="52">
        <f>(MAX($A77-20.0,0)-MAX($A77-30.0,0)-$G$41+$G$43)*$B$11</f>
        <v>-257.4495424254194</v>
      </c>
      <c r="D77" s="52">
        <f>(MAX(20.0-$A77,0)-MAX(12.5-$A77,0)-$G$42+$G$44)*$B$11</f>
        <v>-280.57247015184475</v>
      </c>
      <c r="E77" s="52">
        <f>($G$41+$G$42-$G$43-$G$44-MAX($A77-20.0,0)-MAX(20.0-$A77,0)+MAX($A77-30.0,0)+MAX(12.5-$A77,0))*$B$11</f>
        <v>538.0220125772641</v>
      </c>
    </row>
    <row r="78">
      <c r="A78" s="94" t="n">
        <v>21.9</v>
      </c>
      <c r="B78" s="52">
        <f>(MAX($A78-20.0,0)+MAX(20.0-$A78,0)-$G$41-$G$42)*$B$11</f>
        <v>-580.6998661455049</v>
      </c>
      <c r="C78" s="52">
        <f>(MAX($A78-20.0,0)-MAX($A78-30.0,0)-$G$41+$G$43)*$B$11</f>
        <v>-107.44954242541942</v>
      </c>
      <c r="D78" s="52">
        <f>(MAX(20.0-$A78,0)-MAX(12.5-$A78,0)-$G$42+$G$44)*$B$11</f>
        <v>-280.57247015184475</v>
      </c>
      <c r="E78" s="52">
        <f>($G$41+$G$42-$G$43-$G$44-MAX($A78-20.0,0)-MAX(20.0-$A78,0)+MAX($A78-30.0,0)+MAX(12.5-$A78,0))*$B$11</f>
        <v>388.02201257726415</v>
      </c>
    </row>
    <row r="79">
      <c r="A79" s="94" t="n">
        <v>23.4</v>
      </c>
      <c r="B79" s="52">
        <f>(MAX($A79-20.0,0)+MAX(20.0-$A79,0)-$G$41-$G$42)*$B$11</f>
        <v>-430.6998661455049</v>
      </c>
      <c r="C79" s="52">
        <f>(MAX($A79-20.0,0)-MAX($A79-30.0,0)-$G$41+$G$43)*$B$11</f>
        <v>42.55045757458058</v>
      </c>
      <c r="D79" s="52">
        <f>(MAX(20.0-$A79,0)-MAX(12.5-$A79,0)-$G$42+$G$44)*$B$11</f>
        <v>-280.57247015184475</v>
      </c>
      <c r="E79" s="52">
        <f>($G$41+$G$42-$G$43-$G$44-MAX($A79-20.0,0)-MAX(20.0-$A79,0)+MAX($A79-30.0,0)+MAX(12.5-$A79,0))*$B$11</f>
        <v>238.02201257726415</v>
      </c>
    </row>
    <row r="80">
      <c r="A80" s="94" t="n">
        <v>24.8</v>
      </c>
      <c r="B80" s="52">
        <f>(MAX($A80-20.0,0)+MAX(20.0-$A80,0)-$G$41-$G$42)*$B$11</f>
        <v>-290.6998661455047</v>
      </c>
      <c r="C80" s="52">
        <f>(MAX($A80-20.0,0)-MAX($A80-30.0,0)-$G$41+$G$43)*$B$11</f>
        <v>182.5504575745808</v>
      </c>
      <c r="D80" s="52">
        <f>(MAX(20.0-$A80,0)-MAX(12.5-$A80,0)-$G$42+$G$44)*$B$11</f>
        <v>-280.57247015184475</v>
      </c>
      <c r="E80" s="52">
        <f>($G$41+$G$42-$G$43-$G$44-MAX($A80-20.0,0)-MAX(20.0-$A80,0)+MAX($A80-30.0,0)+MAX(12.5-$A80,0))*$B$11</f>
        <v>98.02201257726395</v>
      </c>
    </row>
    <row r="81">
      <c r="A81" s="94" t="n">
        <v>26.3</v>
      </c>
      <c r="B81" s="52">
        <f>(MAX($A81-20.0,0)+MAX(20.0-$A81,0)-$G$41-$G$42)*$B$11</f>
        <v>-140.6998661455047</v>
      </c>
      <c r="C81" s="52">
        <f>(MAX($A81-20.0,0)-MAX($A81-30.0,0)-$G$41+$G$43)*$B$11</f>
        <v>332.5504575745808</v>
      </c>
      <c r="D81" s="52">
        <f>(MAX(20.0-$A81,0)-MAX(12.5-$A81,0)-$G$42+$G$44)*$B$11</f>
        <v>-280.57247015184475</v>
      </c>
      <c r="E81" s="52">
        <f>($G$41+$G$42-$G$43-$G$44-MAX($A81-20.0,0)-MAX(20.0-$A81,0)+MAX($A81-30.0,0)+MAX(12.5-$A81,0))*$B$11</f>
        <v>-51.97798742273605</v>
      </c>
    </row>
    <row r="82">
      <c r="A82" s="94" t="n">
        <v>27.7</v>
      </c>
      <c r="B82" s="52">
        <f>(MAX($A82-20.0,0)+MAX(20.0-$A82,0)-$G$41-$G$42)*$B$11</f>
        <v>-0.699866145504835</v>
      </c>
      <c r="C82" s="52">
        <f>(MAX($A82-20.0,0)-MAX($A82-30.0,0)-$G$41+$G$43)*$B$11</f>
        <v>472.55045757458066</v>
      </c>
      <c r="D82" s="52">
        <f>(MAX(20.0-$A82,0)-MAX(12.5-$A82,0)-$G$42+$G$44)*$B$11</f>
        <v>-280.57247015184475</v>
      </c>
      <c r="E82" s="52">
        <f>($G$41+$G$42-$G$43-$G$44-MAX($A82-20.0,0)-MAX(20.0-$A82,0)+MAX($A82-30.0,0)+MAX(12.5-$A82,0))*$B$11</f>
        <v>-191.9779874227359</v>
      </c>
    </row>
    <row r="83">
      <c r="A83" s="94" t="n">
        <v>29.2</v>
      </c>
      <c r="B83" s="52">
        <f>(MAX($A83-20.0,0)+MAX(20.0-$A83,0)-$G$41-$G$42)*$B$11</f>
        <v>149.30013385449516</v>
      </c>
      <c r="C83" s="52">
        <f>(MAX($A83-20.0,0)-MAX($A83-30.0,0)-$G$41+$G$43)*$B$11</f>
        <v>622.5504575745806</v>
      </c>
      <c r="D83" s="52">
        <f>(MAX(20.0-$A83,0)-MAX(12.5-$A83,0)-$G$42+$G$44)*$B$11</f>
        <v>-280.57247015184475</v>
      </c>
      <c r="E83" s="52">
        <f>($G$41+$G$42-$G$43-$G$44-MAX($A83-20.0,0)-MAX(20.0-$A83,0)+MAX($A83-30.0,0)+MAX(12.5-$A83,0))*$B$11</f>
        <v>-341.9779874227359</v>
      </c>
    </row>
    <row r="84">
      <c r="A84" s="94" t="n">
        <v>30.7</v>
      </c>
      <c r="B84" s="52">
        <f>(MAX($A84-20.0,0)+MAX(20.0-$A84,0)-$G$41-$G$42)*$B$11</f>
        <v>299.3001338544952</v>
      </c>
      <c r="C84" s="52">
        <f>(MAX($A84-20.0,0)-MAX($A84-30.0,0)-$G$41+$G$43)*$B$11</f>
        <v>702.5504575745807</v>
      </c>
      <c r="D84" s="52">
        <f>(MAX(20.0-$A84,0)-MAX(12.5-$A84,0)-$G$42+$G$44)*$B$11</f>
        <v>-280.57247015184475</v>
      </c>
      <c r="E84" s="52">
        <f>($G$41+$G$42-$G$43-$G$44-MAX($A84-20.0,0)-MAX(20.0-$A84,0)+MAX($A84-30.0,0)+MAX(12.5-$A84,0))*$B$11</f>
        <v>-421.97798742273596</v>
      </c>
    </row>
    <row r="85">
      <c r="A85" s="94" t="n">
        <v>32.1</v>
      </c>
      <c r="B85" s="52">
        <f>(MAX($A85-20.0,0)+MAX(20.0-$A85,0)-$G$41-$G$42)*$B$11</f>
        <v>439.30013385449536</v>
      </c>
      <c r="C85" s="52">
        <f>(MAX($A85-20.0,0)-MAX($A85-30.0,0)-$G$41+$G$43)*$B$11</f>
        <v>702.5504575745807</v>
      </c>
      <c r="D85" s="52">
        <f>(MAX(20.0-$A85,0)-MAX(12.5-$A85,0)-$G$42+$G$44)*$B$11</f>
        <v>-280.57247015184475</v>
      </c>
      <c r="E85" s="52">
        <f>($G$41+$G$42-$G$43-$G$44-MAX($A85-20.0,0)-MAX(20.0-$A85,0)+MAX($A85-30.0,0)+MAX(12.5-$A85,0))*$B$11</f>
        <v>-421.97798742273596</v>
      </c>
    </row>
    <row r="86">
      <c r="A86" s="94" t="n">
        <v>33.6</v>
      </c>
      <c r="B86" s="52">
        <f>(MAX($A86-20.0,0)+MAX(20.0-$A86,0)-$G$41-$G$42)*$B$11</f>
        <v>589.3001338544954</v>
      </c>
      <c r="C86" s="52">
        <f>(MAX($A86-20.0,0)-MAX($A86-30.0,0)-$G$41+$G$43)*$B$11</f>
        <v>702.5504575745807</v>
      </c>
      <c r="D86" s="52">
        <f>(MAX(20.0-$A86,0)-MAX(12.5-$A86,0)-$G$42+$G$44)*$B$11</f>
        <v>-280.57247015184475</v>
      </c>
      <c r="E86" s="52">
        <f>($G$41+$G$42-$G$43-$G$44-MAX($A86-20.0,0)-MAX(20.0-$A86,0)+MAX($A86-30.0,0)+MAX(12.5-$A86,0))*$B$11</f>
        <v>-421.97798742273596</v>
      </c>
    </row>
    <row r="87">
      <c r="A87" s="94" t="n">
        <v>35</v>
      </c>
      <c r="B87" s="52">
        <f>(MAX($A87-20.0,0)+MAX(20.0-$A87,0)-$G$41-$G$42)*$B$11</f>
        <v>729.3001338544952</v>
      </c>
      <c r="C87" s="52">
        <f>(MAX($A87-20.0,0)-MAX($A87-30.0,0)-$G$41+$G$43)*$B$11</f>
        <v>702.5504575745807</v>
      </c>
      <c r="D87" s="52">
        <f>(MAX(20.0-$A87,0)-MAX(12.5-$A87,0)-$G$42+$G$44)*$B$11</f>
        <v>-280.57247015184475</v>
      </c>
      <c r="E87" s="52">
        <f>($G$41+$G$42-$G$43-$G$44-MAX($A87-20.0,0)-MAX(20.0-$A87,0)+MAX($A87-30.0,0)+MAX(12.5-$A87,0))*$B$11</f>
        <v>-421.97798742273596</v>
      </c>
    </row>
    <row r="88">
      <c r="A88" s="94" t="n">
        <v>36.5</v>
      </c>
      <c r="B88" s="52">
        <f>(MAX($A88-20.0,0)+MAX(20.0-$A88,0)-$G$41-$G$42)*$B$11</f>
        <v>879.3001338544952</v>
      </c>
      <c r="C88" s="52">
        <f>(MAX($A88-20.0,0)-MAX($A88-30.0,0)-$G$41+$G$43)*$B$11</f>
        <v>702.5504575745807</v>
      </c>
      <c r="D88" s="52">
        <f>(MAX(20.0-$A88,0)-MAX(12.5-$A88,0)-$G$42+$G$44)*$B$11</f>
        <v>-280.57247015184475</v>
      </c>
      <c r="E88" s="52">
        <f>($G$41+$G$42-$G$43-$G$44-MAX($A88-20.0,0)-MAX(20.0-$A88,0)+MAX($A88-30.0,0)+MAX(12.5-$A88,0))*$B$11</f>
        <v>-421.97798742273596</v>
      </c>
    </row>
    <row r="89">
      <c r="A89" s="94" t="n">
        <v>38</v>
      </c>
      <c r="B89" s="52">
        <f>(MAX($A89-20.0,0)+MAX(20.0-$A89,0)-$G$41-$G$42)*$B$11</f>
        <v>1029.3001338544952</v>
      </c>
      <c r="C89" s="52">
        <f>(MAX($A89-20.0,0)-MAX($A89-30.0,0)-$G$41+$G$43)*$B$11</f>
        <v>702.5504575745807</v>
      </c>
      <c r="D89" s="52">
        <f>(MAX(20.0-$A89,0)-MAX(12.5-$A89,0)-$G$42+$G$44)*$B$11</f>
        <v>-280.57247015184475</v>
      </c>
      <c r="E89" s="52">
        <f>($G$41+$G$42-$G$43-$G$44-MAX($A89-20.0,0)-MAX(20.0-$A89,0)+MAX($A89-30.0,0)+MAX(12.5-$A89,0))*$B$11</f>
        <v>-421.97798742273596</v>
      </c>
    </row>
    <row r="90">
      <c r="A90" s="94" t="n">
        <v>39.4</v>
      </c>
      <c r="B90" s="52">
        <f>(MAX($A90-20.0,0)+MAX(20.0-$A90,0)-$G$41-$G$42)*$B$11</f>
        <v>1169.300133854495</v>
      </c>
      <c r="C90" s="52">
        <f>(MAX($A90-20.0,0)-MAX($A90-30.0,0)-$G$41+$G$43)*$B$11</f>
        <v>702.5504575745807</v>
      </c>
      <c r="D90" s="52">
        <f>(MAX(20.0-$A90,0)-MAX(12.5-$A90,0)-$G$42+$G$44)*$B$11</f>
        <v>-280.57247015184475</v>
      </c>
      <c r="E90" s="52">
        <f>($G$41+$G$42-$G$43-$G$44-MAX($A90-20.0,0)-MAX(20.0-$A90,0)+MAX($A90-30.0,0)+MAX(12.5-$A90,0))*$B$11</f>
        <v>-421.97798742273596</v>
      </c>
    </row>
    <row r="91">
      <c r="A91" s="94" t="n">
        <v>40.9</v>
      </c>
      <c r="B91" s="52">
        <f>(MAX($A91-20.0,0)+MAX(20.0-$A91,0)-$G$41-$G$42)*$B$11</f>
        <v>1319.3001338544952</v>
      </c>
      <c r="C91" s="52">
        <f>(MAX($A91-20.0,0)-MAX($A91-30.0,0)-$G$41+$G$43)*$B$11</f>
        <v>702.5504575745807</v>
      </c>
      <c r="D91" s="52">
        <f>(MAX(20.0-$A91,0)-MAX(12.5-$A91,0)-$G$42+$G$44)*$B$11</f>
        <v>-280.57247015184475</v>
      </c>
      <c r="E91" s="52">
        <f>($G$41+$G$42-$G$43-$G$44-MAX($A91-20.0,0)-MAX(20.0-$A91,0)+MAX($A91-30.0,0)+MAX(12.5-$A91,0))*$B$11</f>
        <v>-421.97798742273596</v>
      </c>
    </row>
    <row r="92">
      <c r="A92" s="94" t="n">
        <v>42.4</v>
      </c>
      <c r="B92" s="52">
        <f>(MAX($A92-20.0,0)+MAX(20.0-$A92,0)-$G$41-$G$42)*$B$11</f>
        <v>1469.3001338544952</v>
      </c>
      <c r="C92" s="52">
        <f>(MAX($A92-20.0,0)-MAX($A92-30.0,0)-$G$41+$G$43)*$B$11</f>
        <v>702.5504575745807</v>
      </c>
      <c r="D92" s="52">
        <f>(MAX(20.0-$A92,0)-MAX(12.5-$A92,0)-$G$42+$G$44)*$B$11</f>
        <v>-280.57247015184475</v>
      </c>
      <c r="E92" s="52">
        <f>($G$41+$G$42-$G$43-$G$44-MAX($A92-20.0,0)-MAX(20.0-$A92,0)+MAX($A92-30.0,0)+MAX(12.5-$A92,0))*$B$11</f>
        <v>-421.97798742273596</v>
      </c>
    </row>
    <row r="93">
      <c r="A93" s="94" t="n">
        <v>43.8</v>
      </c>
      <c r="B93" s="52">
        <f>(MAX($A93-20.0,0)+MAX(20.0-$A93,0)-$G$41-$G$42)*$B$11</f>
        <v>1609.300133854495</v>
      </c>
      <c r="C93" s="52">
        <f>(MAX($A93-20.0,0)-MAX($A93-30.0,0)-$G$41+$G$43)*$B$11</f>
        <v>702.5504575745807</v>
      </c>
      <c r="D93" s="52">
        <f>(MAX(20.0-$A93,0)-MAX(12.5-$A93,0)-$G$42+$G$44)*$B$11</f>
        <v>-280.57247015184475</v>
      </c>
      <c r="E93" s="52">
        <f>($G$41+$G$42-$G$43-$G$44-MAX($A93-20.0,0)-MAX(20.0-$A93,0)+MAX($A93-30.0,0)+MAX(12.5-$A93,0))*$B$11</f>
        <v>-421.97798742273596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2026-10-19T17:16:26Z</dcterms:modified>
  <cp:lastModifiedBy>Wang, Eric</cp:lastModifiedBy>
</cp:coreProperties>
</file>