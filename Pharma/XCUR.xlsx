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Exicure Inc</t>
        </is>
      </c>
      <c r="C2" s="10" t="n"/>
    </row>
    <row r="3">
      <c r="B3" t="inlineStr">
        <is>
          <t>Price</t>
        </is>
      </c>
      <c r="C3" s="11">
        <f>INDEX([1]Pharma!$F$1:$F$1000,MATCH("XCUR",[1]Pharma!$B$1:$B$1000,0))</f>
        <v>0.9987</v>
      </c>
      <c r="F3" s="1" t="n"/>
    </row>
    <row r="4">
      <c r="B4" t="inlineStr">
        <is>
          <t>Shares</t>
        </is>
      </c>
      <c r="C4" s="21" t="n">
        <v>6.545995</v>
      </c>
      <c r="F4" s="1" t="n"/>
    </row>
    <row r="5">
      <c r="B5" t="inlineStr">
        <is>
          <t>Market Cap.</t>
        </is>
      </c>
      <c r="C5" s="13">
        <f>C3*C4</f>
        <v>6.5374852064999995</v>
      </c>
      <c r="F5" s="1" t="n"/>
    </row>
    <row r="6"/>
    <row r="7">
      <c r="B7" t="inlineStr">
        <is>
          <t>Cash</t>
        </is>
      </c>
      <c r="C7" s="21" t="n">
        <v>1.717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4.820485206499999</v>
      </c>
    </row>
    <row r="10"/>
    <row r="11">
      <c r="B11" s="14" t="inlineStr">
        <is>
          <t>Net Cash / Share</t>
        </is>
      </c>
      <c r="C11" s="11">
        <f>(C7-C8)/C4</f>
        <v>0.2622977866619208</v>
      </c>
    </row>
    <row r="12">
      <c r="B12" s="14" t="inlineStr">
        <is>
          <t>Upside</t>
        </is>
      </c>
      <c r="C12" s="15">
        <f>IFERROR(C11/C3-1,"")</f>
        <v>-0.7373607823551409</v>
      </c>
    </row>
    <row r="13">
      <c r="B13" s="14" t="inlineStr">
        <is>
          <t>Cash / Share</t>
        </is>
      </c>
      <c r="C13" s="11">
        <f>IFERROR((C7-C8)/C4,"")</f>
        <v>0.2622977866619208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-6.704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0.25611575178997614</v>
      </c>
    </row>
    <row r="19">
      <c r="B19" s="14" t="inlineStr">
        <is>
          <t>Implied Pipeline Value</t>
        </is>
      </c>
      <c r="C19" s="13">
        <f>C9</f>
        <v>4.820485206499999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1.036</v>
      </c>
      <c r="C2" s="23" t="n">
        <v>9.718999999999999</v>
      </c>
      <c r="D2" s="23" t="n">
        <v>0.118</v>
      </c>
      <c r="E2" s="23" t="n">
        <v>1.296</v>
      </c>
      <c r="F2" s="23" t="n">
        <v>16.613</v>
      </c>
      <c r="G2" s="23" t="n">
        <v>-0.483</v>
      </c>
      <c r="H2" s="23" t="n">
        <v>28.826</v>
      </c>
      <c r="I2" s="23" t="n">
        <v>0</v>
      </c>
      <c r="J2" s="23" t="n">
        <v>0.5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1.036</v>
      </c>
      <c r="C4" s="23">
        <f>C2-C3</f>
        <v>9.719</v>
      </c>
      <c r="D4" s="23">
        <f>D2-D3</f>
        <v>0.118</v>
      </c>
      <c r="E4" s="23">
        <f>E2-E3</f>
        <v>1.296</v>
      </c>
      <c r="F4" s="23">
        <f>F2-F3</f>
        <v>16.613</v>
      </c>
      <c r="G4" s="23">
        <f>G2-G3</f>
        <v>-0.483</v>
      </c>
      <c r="H4" s="23">
        <f>H2-H3</f>
        <v>28.826</v>
      </c>
      <c r="I4" s="23">
        <f>I2-I3</f>
        <v>0.0</v>
      </c>
      <c r="J4" s="23">
        <f>J2-J3</f>
        <v>0.5</v>
      </c>
      <c r="K4" s="23">
        <f>K2-K3</f>
        <v>0.0</v>
      </c>
    </row>
    <row r="5">
      <c r="A5" s="2" t="inlineStr">
        <is>
          <t>Research &amp; Dev.</t>
        </is>
      </c>
      <c r="B5" s="23" t="n">
        <v>13.659</v>
      </c>
      <c r="C5" s="23" t="n">
        <v>13.08</v>
      </c>
      <c r="D5" s="23" t="n">
        <v>14.119</v>
      </c>
      <c r="E5" s="23" t="n">
        <v>19.34</v>
      </c>
      <c r="F5" s="23" t="n">
        <v>32.094</v>
      </c>
      <c r="G5" s="23" t="n">
        <v>48.979</v>
      </c>
      <c r="H5" s="23" t="n">
        <v>19.767</v>
      </c>
      <c r="I5" s="23" t="n">
        <v>1.423</v>
      </c>
      <c r="J5" s="23" t="n">
        <v>0</v>
      </c>
      <c r="K5" s="23" t="n">
        <v>3.286</v>
      </c>
    </row>
    <row r="6">
      <c r="A6" s="19" t="inlineStr">
        <is>
          <t>SG&amp;A &amp; Other</t>
        </is>
      </c>
      <c r="B6" s="23" t="n">
        <v>3.539</v>
      </c>
      <c r="C6" s="23" t="n">
        <v>7.046</v>
      </c>
      <c r="D6" s="23" t="n">
        <v>7.818</v>
      </c>
      <c r="E6" s="23" t="n">
        <v>8.573</v>
      </c>
      <c r="F6" s="23" t="n">
        <v>9.955</v>
      </c>
      <c r="G6" s="23" t="n">
        <v>13.087</v>
      </c>
      <c r="H6" s="23" t="n">
        <v>10.89</v>
      </c>
      <c r="I6" s="23" t="n">
        <v>13.573</v>
      </c>
      <c r="J6" s="23" t="n">
        <v>12.732</v>
      </c>
      <c r="K6" s="23" t="n">
        <v>0.947</v>
      </c>
    </row>
    <row r="7">
      <c r="A7" s="2" t="inlineStr">
        <is>
          <t>Operating Expense</t>
        </is>
      </c>
      <c r="B7" s="23">
        <f>SUM(B5:B6)</f>
        <v>17.198</v>
      </c>
      <c r="C7" s="23">
        <f>SUM(C5:C6)</f>
        <v>20.126</v>
      </c>
      <c r="D7" s="23">
        <f>SUM(D5:D6)</f>
        <v>21.936999999999998</v>
      </c>
      <c r="E7" s="23">
        <f>SUM(E5:E6)</f>
        <v>27.913</v>
      </c>
      <c r="F7" s="23">
        <f>SUM(F5:F6)</f>
        <v>42.049</v>
      </c>
      <c r="G7" s="23">
        <f>SUM(G5:G6)</f>
        <v>62.066</v>
      </c>
      <c r="H7" s="23">
        <f>SUM(H5:H6)</f>
        <v>30.657</v>
      </c>
      <c r="I7" s="23">
        <f>SUM(I5:I6)</f>
        <v>14.996</v>
      </c>
      <c r="J7" s="23">
        <f>SUM(J5:J6)</f>
        <v>12.732</v>
      </c>
      <c r="K7" s="23">
        <f>SUM(K5:K6)</f>
        <v>4.233</v>
      </c>
    </row>
    <row r="8">
      <c r="A8" s="2" t="inlineStr">
        <is>
          <t>Operating Income</t>
        </is>
      </c>
      <c r="B8" s="23">
        <f>B4-B7</f>
        <v>-16.162</v>
      </c>
      <c r="C8" s="23">
        <f>C4-C7</f>
        <v>-10.407000000000002</v>
      </c>
      <c r="D8" s="23">
        <f>D4-D7</f>
        <v>-21.819</v>
      </c>
      <c r="E8" s="23">
        <f>E4-E7</f>
        <v>-26.617</v>
      </c>
      <c r="F8" s="23">
        <f>F4-F7</f>
        <v>-25.436</v>
      </c>
      <c r="G8" s="23">
        <f>G4-G7</f>
        <v>-62.549</v>
      </c>
      <c r="H8" s="23">
        <f>H4-H7</f>
        <v>-1.8309999999999995</v>
      </c>
      <c r="I8" s="23">
        <f>I4-I7</f>
        <v>-14.996</v>
      </c>
      <c r="J8" s="23">
        <f>J4-J7</f>
        <v>-12.232</v>
      </c>
      <c r="K8" s="23">
        <f>K4-K7</f>
        <v>-4.233</v>
      </c>
    </row>
    <row r="9">
      <c r="A9" s="19" t="inlineStr">
        <is>
          <t>Interest &amp; Other</t>
        </is>
      </c>
      <c r="B9" s="23" t="n">
        <v>-0.779</v>
      </c>
      <c r="C9" s="23" t="n">
        <v>-0.604</v>
      </c>
      <c r="D9" s="23" t="n">
        <v>-0.594</v>
      </c>
      <c r="E9" s="23" t="n">
        <v>0.314</v>
      </c>
      <c r="F9" s="23" t="n">
        <v>0.768</v>
      </c>
      <c r="G9" s="23" t="n">
        <v>-1.553</v>
      </c>
      <c r="H9" s="23" t="n">
        <v>-0.542</v>
      </c>
      <c r="I9" s="23" t="n">
        <v>-1.918</v>
      </c>
      <c r="J9" s="23" t="n">
        <v>2.539</v>
      </c>
      <c r="K9" s="23" t="n">
        <v>-1.347</v>
      </c>
    </row>
    <row r="10">
      <c r="A10" s="2" t="inlineStr">
        <is>
          <t>Pretax</t>
        </is>
      </c>
      <c r="B10" s="23">
        <f>B8+B9</f>
        <v>-16.941</v>
      </c>
      <c r="C10" s="23">
        <f>C8+C9</f>
        <v>-11.011000000000001</v>
      </c>
      <c r="D10" s="23">
        <f>D8+D9</f>
        <v>-22.413</v>
      </c>
      <c r="E10" s="23">
        <f>E8+E9</f>
        <v>-26.303</v>
      </c>
      <c r="F10" s="23">
        <f>F8+F9</f>
        <v>-24.668</v>
      </c>
      <c r="G10" s="23">
        <f>G8+G9</f>
        <v>-64.102</v>
      </c>
      <c r="H10" s="23">
        <f>H8+H9</f>
        <v>-2.3729999999999993</v>
      </c>
      <c r="I10" s="23">
        <f>I8+I9</f>
        <v>-16.914</v>
      </c>
      <c r="J10" s="23">
        <f>J8+J9</f>
        <v>-9.693</v>
      </c>
      <c r="K10" s="23">
        <f>K8+K9</f>
        <v>-5.58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0.209</v>
      </c>
      <c r="I11" s="23" t="n">
        <v>0</v>
      </c>
      <c r="J11" s="23" t="n">
        <v>0.008</v>
      </c>
      <c r="K11" s="23" t="n">
        <v>-0.634</v>
      </c>
    </row>
    <row r="12">
      <c r="A12" s="2" t="inlineStr">
        <is>
          <t>Net Income</t>
        </is>
      </c>
      <c r="B12" s="23" t="n">
        <v>-16.941</v>
      </c>
      <c r="C12" s="23" t="n">
        <v>-11.011</v>
      </c>
      <c r="D12" s="23" t="n">
        <v>-22.413</v>
      </c>
      <c r="E12" s="23" t="n">
        <v>-26.303</v>
      </c>
      <c r="F12" s="23" t="n">
        <v>-24.668</v>
      </c>
      <c r="G12" s="23" t="n">
        <v>-64.102</v>
      </c>
      <c r="H12" s="23" t="n">
        <v>-2.582</v>
      </c>
      <c r="I12" s="23" t="n">
        <v>-16.914</v>
      </c>
      <c r="J12" s="23" t="n">
        <v>-9.701000000000001</v>
      </c>
      <c r="K12" s="23" t="n">
        <v>-4.946</v>
      </c>
    </row>
    <row r="13">
      <c r="A13" s="2" t="inlineStr">
        <is>
          <t>Earnings per Share</t>
        </is>
      </c>
      <c r="B13" s="11">
        <f>IFERROR(B12/B14,0)</f>
        <v>-12.586181277860325</v>
      </c>
      <c r="C13" s="11">
        <f>IFERROR(C12/C14,0)</f>
        <v>-8.16234247590808</v>
      </c>
      <c r="D13" s="11">
        <f>IFERROR(D12/D14,0)</f>
        <v>-16.32410779315368</v>
      </c>
      <c r="E13" s="11">
        <f>IFERROR(E12/E14,0)</f>
        <v>-13.68522372528616</v>
      </c>
      <c r="F13" s="11">
        <f>IFERROR(F12/F14,0)</f>
        <v>-8.485724114207086</v>
      </c>
      <c r="G13" s="11">
        <f>IFERROR(G12/G14,0)</f>
        <v>-21.70006770480704</v>
      </c>
      <c r="H13" s="11">
        <f>IFERROR(H12/H14,0)</f>
        <v>-0.5589954535613769</v>
      </c>
      <c r="I13" s="11">
        <f>IFERROR(I12/I14,0)</f>
        <v>-10.551466001247661</v>
      </c>
      <c r="J13" s="11">
        <f>IFERROR(J12/J14,0)</f>
        <v>-4.748409202153695</v>
      </c>
      <c r="K13" s="11">
        <f>IFERROR(K12/K14,0)</f>
        <v>-0.7854533905034143</v>
      </c>
    </row>
    <row r="14">
      <c r="A14" s="2" t="inlineStr">
        <is>
          <t>Shares</t>
        </is>
      </c>
      <c r="B14" s="23" t="n">
        <v>1.346</v>
      </c>
      <c r="C14" s="23" t="n">
        <v>1.349</v>
      </c>
      <c r="D14" s="23" t="n">
        <v>1.373</v>
      </c>
      <c r="E14" s="23" t="n">
        <v>1.922</v>
      </c>
      <c r="F14" s="23" t="n">
        <v>2.907</v>
      </c>
      <c r="G14" s="23" t="n">
        <v>2.954</v>
      </c>
      <c r="H14" s="23" t="n">
        <v>4.619</v>
      </c>
      <c r="I14" s="23" t="n">
        <v>1.603</v>
      </c>
      <c r="J14" s="23" t="n">
        <v>2.043</v>
      </c>
      <c r="K14" s="23" t="n">
        <v>6.297</v>
      </c>
    </row>
    <row r="15"/>
    <row r="16" customFormat="1" s="4">
      <c r="A16" s="3" t="inlineStr">
        <is>
          <t>Revenue Change</t>
        </is>
      </c>
      <c r="C16" s="15">
        <f>IFERROR(C2/B2-1,"")</f>
        <v>8.38127413127413</v>
      </c>
      <c r="D16" s="15">
        <f>IFERROR(D2/C2-1,"")</f>
        <v>-0.9878588332132936</v>
      </c>
      <c r="E16" s="15">
        <f>IFERROR(E2/D2-1,"")</f>
        <v>9.983050847457628</v>
      </c>
      <c r="F16" s="15">
        <f>IFERROR(F2/E2-1,"")</f>
        <v>11.818672839506172</v>
      </c>
      <c r="G16" s="15">
        <f>IFERROR(G2/F2-1,"")</f>
        <v>-1.029073617046891</v>
      </c>
      <c r="H16" s="15">
        <f>IFERROR(H2/G2-1,"")</f>
        <v>-60.68115942028986</v>
      </c>
      <c r="I16" s="15">
        <f>IFERROR(I2/H2-1,"")</f>
        <v>-1.0</v>
      </c>
      <c r="J16" s="15">
        <f>IFERROR(J2/I2-1,"")</f>
        <v/>
      </c>
      <c r="K16" s="15">
        <f>IFERROR(K2/J2-1,"")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>1.0</v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>-15.6003861003861</v>
      </c>
      <c r="C18" s="15">
        <f>IFERROR(C8/C2,"")</f>
        <v>-1.070789175841136</v>
      </c>
      <c r="D18" s="15">
        <f>IFERROR(D8/D2,"")</f>
        <v>-184.90677966101694</v>
      </c>
      <c r="E18" s="15">
        <f>IFERROR(E8/E2,"")</f>
        <v>-20.53780864197531</v>
      </c>
      <c r="F18" s="15">
        <f>IFERROR(F8/F2,"")</f>
        <v>-1.531090110154698</v>
      </c>
      <c r="G18" s="15">
        <f>IFERROR(G8/G2,"")</f>
        <v>129.50103519668738</v>
      </c>
      <c r="H18" s="15">
        <f>IFERROR(H8/H2,"")</f>
        <v>-0.06351904530632066</v>
      </c>
      <c r="I18" s="15">
        <f>IFERROR(I8/I2,"")</f>
        <v/>
      </c>
      <c r="J18" s="15">
        <f>IFERROR(J8/J2,"")</f>
        <v>-24.464</v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2026-10-21T06:31:10Z</dcterms:modified>
  <cp:lastModifiedBy>Wang, Eric</cp:lastModifiedBy>
</cp:coreProperties>
</file>