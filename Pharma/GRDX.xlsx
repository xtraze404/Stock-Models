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GridAI Technologies Corp</t>
        </is>
      </c>
      <c r="C2" s="10" t="n"/>
    </row>
    <row r="3">
      <c r="B3" t="inlineStr">
        <is>
          <t>Price</t>
        </is>
      </c>
      <c r="C3" s="11">
        <f>INDEX([1]Pharma!$F$1:$F$1000,MATCH("GRDX",[1]Pharma!$B$1:$B$1000,0))</f>
        <v>4.63</v>
      </c>
      <c r="F3" s="1" t="n"/>
    </row>
    <row r="4">
      <c r="B4" t="inlineStr">
        <is>
          <t>Shares</t>
        </is>
      </c>
      <c r="C4" s="21" t="n">
        <v>7.131123</v>
      </c>
      <c r="F4" s="1" t="n"/>
    </row>
    <row r="5">
      <c r="B5" t="inlineStr">
        <is>
          <t>Market Cap.</t>
        </is>
      </c>
      <c r="C5" s="13">
        <f>C3*C4</f>
        <v>33.01709949</v>
      </c>
      <c r="F5" s="1" t="n"/>
    </row>
    <row r="6"/>
    <row r="7">
      <c r="B7" t="inlineStr">
        <is>
          <t>Cash</t>
        </is>
      </c>
      <c r="C7" s="21" t="n">
        <v>1.379721</v>
      </c>
    </row>
    <row r="8">
      <c r="B8" t="inlineStr">
        <is>
          <t>Debt</t>
        </is>
      </c>
      <c r="C8" s="21" t="n">
        <v>1.676361</v>
      </c>
    </row>
    <row r="9">
      <c r="B9" t="inlineStr">
        <is>
          <t>Enterprise V.</t>
        </is>
      </c>
      <c r="C9" s="13">
        <f>C5-C7+C8</f>
        <v>33.31373949</v>
      </c>
    </row>
    <row r="10"/>
    <row r="11">
      <c r="B11" s="14" t="inlineStr">
        <is>
          <t>Net Cash / Share</t>
        </is>
      </c>
      <c r="C11" s="11">
        <f>(C7-C8)/C4</f>
        <v>-0.04159793625772547</v>
      </c>
    </row>
    <row r="12">
      <c r="B12" s="14" t="inlineStr">
        <is>
          <t>Upside</t>
        </is>
      </c>
      <c r="C12" s="15">
        <f>IFERROR(C11/C3-1,"")</f>
        <v>-1.0089844354768305</v>
      </c>
    </row>
    <row r="13">
      <c r="B13" s="14" t="inlineStr">
        <is>
          <t>Cash / Share</t>
        </is>
      </c>
      <c r="C13" s="11">
        <f>IFERROR((C7-C8)/C4,"")</f>
        <v>-0.04159793625772547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-8.121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33.31373949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0.036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0.694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-0.6579999999999999</v>
      </c>
    </row>
    <row r="5">
      <c r="A5" s="2" t="inlineStr">
        <is>
          <t>Research &amp; Dev.</t>
        </is>
      </c>
      <c r="B5" s="23" t="n">
        <v>1.398</v>
      </c>
      <c r="C5" s="23" t="n">
        <v>2.496</v>
      </c>
      <c r="D5" s="23" t="n">
        <v>2.395</v>
      </c>
      <c r="E5" s="23" t="n">
        <v>5.771</v>
      </c>
      <c r="F5" s="23" t="n">
        <v>8.680999999999999</v>
      </c>
      <c r="G5" s="23" t="n">
        <v>5.888</v>
      </c>
      <c r="H5" s="23" t="n">
        <v>16.995</v>
      </c>
      <c r="I5" s="23" t="n">
        <v>8.776</v>
      </c>
      <c r="J5" s="23" t="n">
        <v>5.033</v>
      </c>
      <c r="K5" s="23" t="n">
        <v>0.904</v>
      </c>
      <c r="L5" s="23" t="n">
        <v>0.925</v>
      </c>
    </row>
    <row r="6">
      <c r="A6" s="19" t="inlineStr">
        <is>
          <t>SG&amp;A &amp; Other</t>
        </is>
      </c>
      <c r="B6" s="23" t="n">
        <v>3.331</v>
      </c>
      <c r="C6" s="23" t="n">
        <v>3.829</v>
      </c>
      <c r="D6" s="23" t="n">
        <v>7.826</v>
      </c>
      <c r="E6" s="23" t="n">
        <v>7.66</v>
      </c>
      <c r="F6" s="23" t="n">
        <v>6.063</v>
      </c>
      <c r="G6" s="23" t="n">
        <v>20.545</v>
      </c>
      <c r="H6" s="23" t="n">
        <v>42.062</v>
      </c>
      <c r="I6" s="23" t="n">
        <v>3.902</v>
      </c>
      <c r="J6" s="23" t="n">
        <v>10.738</v>
      </c>
      <c r="K6" s="23" t="n">
        <v>14.717</v>
      </c>
      <c r="L6" s="23" t="n">
        <v>5.501</v>
      </c>
    </row>
    <row r="7">
      <c r="A7" s="2" t="inlineStr">
        <is>
          <t>Operating Expense</t>
        </is>
      </c>
      <c r="B7" s="23">
        <f>SUM(B5:B6)</f>
        <v>4.729</v>
      </c>
      <c r="C7" s="23">
        <f>SUM(C5:C6)</f>
        <v>6.325</v>
      </c>
      <c r="D7" s="23">
        <f>SUM(D5:D6)</f>
        <v>10.221</v>
      </c>
      <c r="E7" s="23">
        <f>SUM(E5:E6)</f>
        <v>13.431000000000001</v>
      </c>
      <c r="F7" s="23">
        <f>SUM(F5:F6)</f>
        <v>14.744</v>
      </c>
      <c r="G7" s="23">
        <f>SUM(G5:G6)</f>
        <v>26.433</v>
      </c>
      <c r="H7" s="23">
        <f>SUM(H5:H6)</f>
        <v>59.057</v>
      </c>
      <c r="I7" s="23">
        <f>SUM(I5:I6)</f>
        <v>12.678</v>
      </c>
      <c r="J7" s="23">
        <f>SUM(J5:J6)</f>
        <v>15.771</v>
      </c>
      <c r="K7" s="23">
        <f>SUM(K5:K6)</f>
        <v>15.621</v>
      </c>
      <c r="L7" s="23">
        <f>SUM(L5:L6)</f>
        <v>6.426</v>
      </c>
    </row>
    <row r="8">
      <c r="A8" s="2" t="inlineStr">
        <is>
          <t>Operating Income</t>
        </is>
      </c>
      <c r="B8" s="23">
        <f>B4-B7</f>
        <v>-4.729</v>
      </c>
      <c r="C8" s="23">
        <f>C4-C7</f>
        <v>-6.325</v>
      </c>
      <c r="D8" s="23">
        <f>D4-D7</f>
        <v>-10.221</v>
      </c>
      <c r="E8" s="23">
        <f>E4-E7</f>
        <v>-13.431000000000001</v>
      </c>
      <c r="F8" s="23">
        <f>F4-F7</f>
        <v>-14.744</v>
      </c>
      <c r="G8" s="23">
        <f>G4-G7</f>
        <v>-26.433</v>
      </c>
      <c r="H8" s="23">
        <f>H4-H7</f>
        <v>-59.057</v>
      </c>
      <c r="I8" s="23">
        <f>I4-I7</f>
        <v>-12.678</v>
      </c>
      <c r="J8" s="23">
        <f>J4-J7</f>
        <v>-15.771</v>
      </c>
      <c r="K8" s="23">
        <f>K4-K7</f>
        <v>-15.621</v>
      </c>
      <c r="L8" s="23">
        <f>L4-L7</f>
        <v>-7.084</v>
      </c>
    </row>
    <row r="9">
      <c r="A9" s="19" t="inlineStr">
        <is>
          <t>Interest &amp; Other</t>
        </is>
      </c>
      <c r="B9" s="23" t="n">
        <v>-1.201</v>
      </c>
      <c r="C9" s="23" t="n">
        <v>-8.266999999999999</v>
      </c>
      <c r="D9" s="23" t="n">
        <v>-0.875</v>
      </c>
      <c r="E9" s="23" t="n">
        <v>-0.102</v>
      </c>
      <c r="F9" s="23" t="n">
        <v>-0.434</v>
      </c>
      <c r="G9" s="23" t="n">
        <v>-6.239</v>
      </c>
      <c r="H9" s="23" t="n">
        <v>0.519</v>
      </c>
      <c r="I9" s="23" t="n">
        <v>-1.952</v>
      </c>
      <c r="J9" s="23" t="n">
        <v>-0.024</v>
      </c>
      <c r="K9" s="23" t="n">
        <v>-2.438</v>
      </c>
      <c r="L9" s="23" t="n">
        <v>0.292</v>
      </c>
    </row>
    <row r="10">
      <c r="A10" s="2" t="inlineStr">
        <is>
          <t>Pretax</t>
        </is>
      </c>
      <c r="B10" s="23">
        <f>B8+B9</f>
        <v>-5.93</v>
      </c>
      <c r="C10" s="23">
        <f>C8+C9</f>
        <v>-14.591999999999999</v>
      </c>
      <c r="D10" s="23">
        <f>D8+D9</f>
        <v>-11.096</v>
      </c>
      <c r="E10" s="23">
        <f>E8+E9</f>
        <v>-13.533000000000001</v>
      </c>
      <c r="F10" s="23">
        <f>F8+F9</f>
        <v>-15.177999999999999</v>
      </c>
      <c r="G10" s="23">
        <f>G8+G9</f>
        <v>-32.672</v>
      </c>
      <c r="H10" s="23">
        <f>H8+H9</f>
        <v>-58.538000000000004</v>
      </c>
      <c r="I10" s="23">
        <f>I8+I9</f>
        <v>-14.63</v>
      </c>
      <c r="J10" s="23">
        <f>J8+J9</f>
        <v>-15.795</v>
      </c>
      <c r="K10" s="23">
        <f>K8+K9</f>
        <v>-18.059</v>
      </c>
      <c r="L10" s="23">
        <f>L8+L9</f>
        <v>-6.792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-0.399</v>
      </c>
    </row>
    <row r="12">
      <c r="A12" s="2" t="inlineStr">
        <is>
          <t>Net Income</t>
        </is>
      </c>
      <c r="B12" s="23" t="n">
        <v>-5.93</v>
      </c>
      <c r="C12" s="23" t="n">
        <v>-14.592</v>
      </c>
      <c r="D12" s="23" t="n">
        <v>-11.096</v>
      </c>
      <c r="E12" s="23" t="n">
        <v>-13.534</v>
      </c>
      <c r="F12" s="23" t="n">
        <v>-15.178</v>
      </c>
      <c r="G12" s="23" t="n">
        <v>-32.671</v>
      </c>
      <c r="H12" s="23" t="n">
        <v>-58.538</v>
      </c>
      <c r="I12" s="23" t="n">
        <v>-14.63</v>
      </c>
      <c r="J12" s="23" t="n">
        <v>-15.795</v>
      </c>
      <c r="K12" s="23" t="n">
        <v>-18.059</v>
      </c>
      <c r="L12" s="23" t="n">
        <v>-6.393</v>
      </c>
    </row>
    <row r="13">
      <c r="A13" s="2" t="inlineStr">
        <is>
          <t>Earnings per Share</t>
        </is>
      </c>
      <c r="B13" s="11">
        <f>IFERROR(B12/B14,0)</f>
        <v>-2.6194012539926322e-05</v>
      </c>
      <c r="C13" s="11">
        <f>IFERROR(C12/C14,0)</f>
        <v>-3.594118768482298e-05</v>
      </c>
      <c r="D13" s="11">
        <f>IFERROR(D12/D14,0)</f>
        <v>-1.6725981041269316e-05</v>
      </c>
      <c r="E13" s="11">
        <f>IFERROR(E12/E14,0)</f>
        <v>246.0727272727273</v>
      </c>
      <c r="F13" s="11">
        <f>IFERROR(F12/F14,0)</f>
        <v>-361.38095238095235</v>
      </c>
      <c r="G13" s="11">
        <f>IFERROR(G12/G14,0)</f>
        <v>-777.8809523809523</v>
      </c>
      <c r="H13" s="11">
        <f>IFERROR(H12/H14,0)</f>
        <v>-1361.3488372093022</v>
      </c>
      <c r="I13" s="11">
        <f>IFERROR(I12/I14,0)</f>
        <v>-406.3888888888889</v>
      </c>
      <c r="J13" s="11">
        <f>IFERROR(J12/J14,0)</f>
        <v>-47.00892857142857</v>
      </c>
      <c r="K13" s="11">
        <f>IFERROR(K12/K14,0)</f>
        <v>-15.772052401746725</v>
      </c>
      <c r="L13" s="11">
        <f>IFERROR(L12/L14,0)</f>
        <v>-3.953617810760668</v>
      </c>
    </row>
    <row r="14">
      <c r="A14" s="2" t="inlineStr">
        <is>
          <t>Shares</t>
        </is>
      </c>
      <c r="B14" s="23" t="n">
        <v>226387.614</v>
      </c>
      <c r="C14" s="23" t="n">
        <v>405996.6</v>
      </c>
      <c r="D14" s="23" t="n">
        <v>663399.054</v>
      </c>
      <c r="E14" s="23" t="n">
        <v>-0.055</v>
      </c>
      <c r="F14" s="23" t="n">
        <v>0.042</v>
      </c>
      <c r="G14" s="23" t="n">
        <v>0.042</v>
      </c>
      <c r="H14" s="23" t="n">
        <v>0.043</v>
      </c>
      <c r="I14" s="23" t="n">
        <v>0.036</v>
      </c>
      <c r="J14" s="23" t="n">
        <v>0.336</v>
      </c>
      <c r="K14" s="23" t="n">
        <v>1.145</v>
      </c>
      <c r="L14" s="23" t="n">
        <v>1.617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>-18.27777777777778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>-196.77777777777777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2026-10-21T06:29:49Z</dcterms:modified>
  <cp:lastModifiedBy>Wang, Eric</cp:lastModifiedBy>
</cp:coreProperties>
</file>