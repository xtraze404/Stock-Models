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Rigel Pharmaceuticals, Inc.</t>
        </is>
      </c>
      <c r="C2" s="10" t="n"/>
    </row>
    <row r="3">
      <c r="B3" t="inlineStr">
        <is>
          <t>Price</t>
        </is>
      </c>
      <c r="C3" s="11">
        <f>INDEX([1]Pharma!$F$1:$F$1000,MATCH("RIGL",[1]Pharma!$B$1:$B$1000,0))</f>
        <v>48.11</v>
      </c>
      <c r="F3" s="1" t="n"/>
    </row>
    <row r="4">
      <c r="B4" t="inlineStr">
        <is>
          <t>Shares</t>
        </is>
      </c>
      <c r="C4" s="51" t="n">
        <v>18.679864</v>
      </c>
      <c r="F4" s="1" t="n"/>
    </row>
    <row r="5">
      <c r="B5" t="inlineStr">
        <is>
          <t>Market Cap.</t>
        </is>
      </c>
      <c r="C5" s="13">
        <f>C3*C4</f>
        <v>898.6882570399999</v>
      </c>
      <c r="F5" s="1" t="n"/>
    </row>
    <row r="6"/>
    <row r="7">
      <c r="B7" t="inlineStr">
        <is>
          <t>Cash</t>
        </is>
      </c>
      <c r="C7" s="51" t="n">
        <v>95.386</v>
      </c>
    </row>
    <row r="8">
      <c r="B8" t="inlineStr">
        <is>
          <t>Debt</t>
        </is>
      </c>
      <c r="C8" s="51" t="n">
        <v>39.236</v>
      </c>
    </row>
    <row r="9">
      <c r="B9" t="inlineStr">
        <is>
          <t>Enterprise V.</t>
        </is>
      </c>
      <c r="C9" s="13">
        <f>C5-C7+C8</f>
        <v>842.53825704</v>
      </c>
    </row>
    <row r="10"/>
    <row r="11">
      <c r="B11" s="14" t="inlineStr">
        <is>
          <t>NPV / Share</t>
        </is>
      </c>
      <c r="C11" s="11">
        <f>NPV!B28</f>
        <v>25.235480556005236</v>
      </c>
    </row>
    <row r="12">
      <c r="B12" s="14" t="inlineStr">
        <is>
          <t>Upside</t>
        </is>
      </c>
      <c r="C12" s="15">
        <f>IFERROR(C11/C3-1,"")</f>
        <v>-0.475462885969544</v>
      </c>
    </row>
    <row r="13">
      <c r="B13" s="14" t="inlineStr">
        <is>
          <t>Cash / Share</t>
        </is>
      </c>
      <c r="C13" s="11">
        <f>IFERROR((C7-C8)/C4,"")</f>
        <v>3.00591053553709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0</v>
      </c>
      <c r="G2" s="52" t="n">
        <v>0</v>
      </c>
      <c r="H2" s="52" t="n">
        <v>0</v>
      </c>
      <c r="I2" s="52" t="n">
        <v>20.383</v>
      </c>
      <c r="J2" s="52" t="n">
        <v>4.484</v>
      </c>
      <c r="K2" s="52" t="n">
        <v>44.509</v>
      </c>
      <c r="L2" s="52" t="n">
        <v>59.288</v>
      </c>
      <c r="M2" s="52" t="n">
        <v>108.621</v>
      </c>
      <c r="N2" s="52" t="n">
        <v>149.236</v>
      </c>
      <c r="O2" s="52" t="n">
        <v>120.242</v>
      </c>
      <c r="P2" s="52" t="n">
        <v>116.882</v>
      </c>
      <c r="Q2" s="52" t="n">
        <v>179.278</v>
      </c>
      <c r="R2" s="52" t="n">
        <v>294.282</v>
      </c>
      <c r="S2" s="52">
        <f>R2*(1+NPV!C5)</f>
        <v>264.8538</v>
      </c>
      <c r="T2" s="52">
        <f>S2*(1+NPV!D5)</f>
        <v>242.04694499999997</v>
      </c>
      <c r="U2" s="52">
        <f>T2*(1+NPV!E5)</f>
        <v>224.56577674999997</v>
      </c>
      <c r="V2" s="52">
        <f>U2*(1+NPV!F5)</f>
        <v>211.4661064395833</v>
      </c>
      <c r="W2" s="52">
        <f>V2*(1+NPV!G5)</f>
        <v>202.06761282004626</v>
      </c>
      <c r="X2" s="52">
        <f>W2*(1+NPV!H5)</f>
        <v>195.89332465054486</v>
      </c>
      <c r="Y2" s="52">
        <f>X2*(1+NPV!I5)</f>
        <v>192.6284359063691</v>
      </c>
      <c r="Z2" s="52">
        <f>Y2*(1+NPV!J5)</f>
        <v>192.0933569177403</v>
      </c>
      <c r="AA2" s="52">
        <f>Z2*(1+NPV!K5)</f>
        <v>194.2277275501596</v>
      </c>
      <c r="AB2" s="52">
        <f>AA2*(1+NPV!L5)</f>
        <v>199.0834207389136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0.287</v>
      </c>
      <c r="L3" s="52" t="n">
        <v>0.906</v>
      </c>
      <c r="M3" s="52" t="n">
        <v>0.895</v>
      </c>
      <c r="N3" s="52" t="n">
        <v>1.083</v>
      </c>
      <c r="O3" s="52" t="n">
        <v>1.749</v>
      </c>
      <c r="P3" s="52" t="n">
        <v>7.11</v>
      </c>
      <c r="Q3" s="52" t="n">
        <v>18.647</v>
      </c>
      <c r="R3" s="52" t="n">
        <v>19.621</v>
      </c>
      <c r="S3" s="52">
        <f>S2*(1-Assumptions!$B$19)</f>
        <v>17.665748459999993</v>
      </c>
      <c r="T3" s="52">
        <f>T2*(1-Assumptions!$B$19)</f>
        <v>16.144531231499993</v>
      </c>
      <c r="U3" s="52">
        <f>U2*(1-Assumptions!$B$19)</f>
        <v>14.978537309224993</v>
      </c>
      <c r="V3" s="52">
        <f>V2*(1-Assumptions!$B$19)</f>
        <v>14.104789299520203</v>
      </c>
      <c r="W3" s="52">
        <f>W2*(1-Assumptions!$B$19)</f>
        <v>13.477909775097082</v>
      </c>
      <c r="X3" s="52">
        <f>X2*(1-Assumptions!$B$19)</f>
        <v>13.066084754191339</v>
      </c>
      <c r="Y3" s="52">
        <f>Y2*(1-Assumptions!$B$19)</f>
        <v>12.848316674954816</v>
      </c>
      <c r="Z3" s="52">
        <f>Z2*(1-Assumptions!$B$19)</f>
        <v>12.812626906413275</v>
      </c>
      <c r="AA3" s="52">
        <f>AA2*(1-Assumptions!$B$19)</f>
        <v>12.954989427595642</v>
      </c>
      <c r="AB3" s="52">
        <f>AB2*(1-Assumptions!$B$19)</f>
        <v>13.278864163285533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0.0</v>
      </c>
      <c r="G4" s="52">
        <f>G2-G3</f>
        <v>0.0</v>
      </c>
      <c r="H4" s="52">
        <f>H2-H3</f>
        <v>0.0</v>
      </c>
      <c r="I4" s="52">
        <f>I2-I3</f>
        <v>20.383</v>
      </c>
      <c r="J4" s="52">
        <f>J2-J3</f>
        <v>4.484</v>
      </c>
      <c r="K4" s="52">
        <f>K2-K3</f>
        <v>44.222</v>
      </c>
      <c r="L4" s="52">
        <f>L2-L3</f>
        <v>58.382</v>
      </c>
      <c r="M4" s="52">
        <f>M2-M3</f>
        <v>107.726</v>
      </c>
      <c r="N4" s="52">
        <f>N2-N3</f>
        <v>148.153</v>
      </c>
      <c r="O4" s="52">
        <f>O2-O3</f>
        <v>118.49300000000001</v>
      </c>
      <c r="P4" s="52">
        <f>P2-P3</f>
        <v>109.772</v>
      </c>
      <c r="Q4" s="52">
        <f>Q2-Q3</f>
        <v>160.631</v>
      </c>
      <c r="R4" s="52">
        <f>R2-R3</f>
        <v>274.661</v>
      </c>
      <c r="S4" s="52">
        <f>S2-S3</f>
        <v>247.18805153999998</v>
      </c>
      <c r="T4" s="52">
        <f>T2-T3</f>
        <v>225.90241376849997</v>
      </c>
      <c r="U4" s="52">
        <f>U2-U3</f>
        <v>209.58723944077497</v>
      </c>
      <c r="V4" s="52">
        <f>V2-V3</f>
        <v>197.3613171400631</v>
      </c>
      <c r="W4" s="52">
        <f>W2-W3</f>
        <v>188.58970304494918</v>
      </c>
      <c r="X4" s="52">
        <f>X2-X3</f>
        <v>182.82723989635352</v>
      </c>
      <c r="Y4" s="52">
        <f>Y2-Y3</f>
        <v>179.7801192314143</v>
      </c>
      <c r="Z4" s="52">
        <f>Z2-Z3</f>
        <v>179.28073001132702</v>
      </c>
      <c r="AA4" s="52">
        <f>AA2-AA3</f>
        <v>181.27273812256396</v>
      </c>
      <c r="AB4" s="52">
        <f>AB2-AB3</f>
        <v>185.80455657562806</v>
      </c>
    </row>
    <row r="5">
      <c r="A5" s="2" t="inlineStr">
        <is>
          <t>Research &amp; Dev.</t>
        </is>
      </c>
      <c r="B5" s="52" t="n">
        <v>90.74299999999999</v>
      </c>
      <c r="C5" s="52" t="n">
        <v>64.392</v>
      </c>
      <c r="D5" s="52" t="n">
        <v>69.34999999999999</v>
      </c>
      <c r="E5" s="52" t="n">
        <v>78.77800000000001</v>
      </c>
      <c r="F5" s="52" t="n">
        <v>75.328</v>
      </c>
      <c r="G5" s="52" t="n">
        <v>67.696</v>
      </c>
      <c r="H5" s="52" t="n">
        <v>62.825</v>
      </c>
      <c r="I5" s="52" t="n">
        <v>63.446</v>
      </c>
      <c r="J5" s="52" t="n">
        <v>46.269</v>
      </c>
      <c r="K5" s="52" t="n">
        <v>46.903</v>
      </c>
      <c r="L5" s="52" t="n">
        <v>52.885</v>
      </c>
      <c r="M5" s="52" t="n">
        <v>60.101</v>
      </c>
      <c r="N5" s="52" t="n">
        <v>65.23699999999999</v>
      </c>
      <c r="O5" s="52" t="n">
        <v>60.272</v>
      </c>
      <c r="P5" s="52" t="n">
        <v>24.522</v>
      </c>
      <c r="Q5" s="52" t="n">
        <v>23.38</v>
      </c>
      <c r="R5" s="52" t="n">
        <v>33.295</v>
      </c>
      <c r="S5" s="52">
        <f>S7*Assumptions!$B$20</f>
        <v>37.11144582348479</v>
      </c>
      <c r="T5" s="52">
        <f>T7*Assumptions!$B$20</f>
        <v>34.40088139423824</v>
      </c>
      <c r="U5" s="52">
        <f>U7*Assumptions!$B$20</f>
        <v>32.366478564251246</v>
      </c>
      <c r="V5" s="52">
        <f>V7*Assumptions!$B$20</f>
        <v>30.902283111253276</v>
      </c>
      <c r="W5" s="52">
        <f>W7*Assumptions!$B$20</f>
        <v>29.93385969711796</v>
      </c>
      <c r="X5" s="52">
        <f>X7*Assumptions!$B$20</f>
        <v>29.411850026907246</v>
      </c>
      <c r="Y5" s="52">
        <f>Y7*Assumptions!$B$20</f>
        <v>29.30774463516962</v>
      </c>
      <c r="Z5" s="52">
        <f>Z7*Assumptions!$B$20</f>
        <v>29.611353864036335</v>
      </c>
      <c r="AA5" s="52">
        <f>AA7*Assumptions!$B$20</f>
        <v>30.329666533497043</v>
      </c>
      <c r="AB5" s="52">
        <f>AB7*Assumptions!$B$20</f>
        <v>31.48693826402462</v>
      </c>
    </row>
    <row r="6">
      <c r="A6" s="18" t="inlineStr">
        <is>
          <t>SG&amp;A &amp; Other</t>
        </is>
      </c>
      <c r="B6" s="52" t="n">
        <v>21.294</v>
      </c>
      <c r="C6" s="52" t="n">
        <v>-99.709</v>
      </c>
      <c r="D6" s="52" t="n">
        <v>17.018</v>
      </c>
      <c r="E6" s="52" t="n">
        <v>20.599</v>
      </c>
      <c r="F6" s="52" t="n">
        <v>14.141</v>
      </c>
      <c r="G6" s="52" t="n">
        <v>23.553</v>
      </c>
      <c r="H6" s="52" t="n">
        <v>-11.082</v>
      </c>
      <c r="I6" s="52" t="n">
        <v>26.678</v>
      </c>
      <c r="J6" s="52" t="n">
        <v>37.831</v>
      </c>
      <c r="K6" s="52" t="n">
        <v>70.002</v>
      </c>
      <c r="L6" s="52" t="n">
        <v>74.58799999999999</v>
      </c>
      <c r="M6" s="52" t="n">
        <v>76.598</v>
      </c>
      <c r="N6" s="52" t="n">
        <v>95.41200000000001</v>
      </c>
      <c r="O6" s="52" t="n">
        <v>113.771</v>
      </c>
      <c r="P6" s="52" t="n">
        <v>105.741</v>
      </c>
      <c r="Q6" s="52" t="n">
        <v>113.059</v>
      </c>
      <c r="R6" s="52" t="n">
        <v>115.9</v>
      </c>
      <c r="S6" s="52">
        <f>S7-S5</f>
        <v>129.15847274051518</v>
      </c>
      <c r="T6" s="52">
        <f>T7-T5</f>
        <v>119.72493130396174</v>
      </c>
      <c r="U6" s="52">
        <f>U7-U5</f>
        <v>112.64462611429374</v>
      </c>
      <c r="V6" s="52">
        <f>V7-V5</f>
        <v>107.54880609687072</v>
      </c>
      <c r="W6" s="52">
        <f>W7-W5</f>
        <v>104.17841493154674</v>
      </c>
      <c r="X6" s="52">
        <f>X7-X5</f>
        <v>102.36167159902126</v>
      </c>
      <c r="Y6" s="52">
        <f>Y7-Y5</f>
        <v>101.99935498476594</v>
      </c>
      <c r="Z6" s="52">
        <f>Z7-Z5</f>
        <v>103.05600215763182</v>
      </c>
      <c r="AA6" s="52">
        <f>AA7-AA5</f>
        <v>105.55593621514562</v>
      </c>
      <c r="AB6" s="52">
        <f>AB7-AB5</f>
        <v>109.58357367156955</v>
      </c>
    </row>
    <row r="7">
      <c r="A7" s="2" t="inlineStr">
        <is>
          <t>Operating Expense</t>
        </is>
      </c>
      <c r="B7" s="52">
        <f>SUM(B5:B6)</f>
        <v>112.03699999999999</v>
      </c>
      <c r="C7" s="52">
        <f>SUM(C5:C6)</f>
        <v>-35.31700000000001</v>
      </c>
      <c r="D7" s="52">
        <f>SUM(D5:D6)</f>
        <v>86.368</v>
      </c>
      <c r="E7" s="52">
        <f>SUM(E5:E6)</f>
        <v>99.37700000000001</v>
      </c>
      <c r="F7" s="52">
        <f>SUM(F5:F6)</f>
        <v>89.46900000000001</v>
      </c>
      <c r="G7" s="52">
        <f>SUM(G5:G6)</f>
        <v>91.249</v>
      </c>
      <c r="H7" s="52">
        <f>SUM(H5:H6)</f>
        <v>51.743</v>
      </c>
      <c r="I7" s="52">
        <f>SUM(I5:I6)</f>
        <v>90.124</v>
      </c>
      <c r="J7" s="52">
        <f>SUM(J5:J6)</f>
        <v>84.1</v>
      </c>
      <c r="K7" s="52">
        <f>SUM(K5:K6)</f>
        <v>116.905</v>
      </c>
      <c r="L7" s="52">
        <f>SUM(L5:L6)</f>
        <v>127.47299999999998</v>
      </c>
      <c r="M7" s="52">
        <f>SUM(M5:M6)</f>
        <v>136.699</v>
      </c>
      <c r="N7" s="52">
        <f>SUM(N5:N6)</f>
        <v>160.649</v>
      </c>
      <c r="O7" s="52">
        <f>SUM(O5:O6)</f>
        <v>174.043</v>
      </c>
      <c r="P7" s="52">
        <f>SUM(P5:P6)</f>
        <v>130.263</v>
      </c>
      <c r="Q7" s="52">
        <f>SUM(Q5:Q6)</f>
        <v>136.439</v>
      </c>
      <c r="R7" s="52">
        <f>SUM(R5:R6)</f>
        <v>149.195</v>
      </c>
      <c r="S7" s="52">
        <f>S4-S2*NPV!C6</f>
        <v>166.26991856399997</v>
      </c>
      <c r="T7" s="52">
        <f>T4-T2*NPV!D6</f>
        <v>154.12581269819998</v>
      </c>
      <c r="U7" s="52">
        <f>U4-U2*NPV!E6</f>
        <v>145.011104678545</v>
      </c>
      <c r="V7" s="52">
        <f>V4-V2*NPV!F6</f>
        <v>138.451089208124</v>
      </c>
      <c r="W7" s="52">
        <f>W4-W2*NPV!G6</f>
        <v>134.1122746286647</v>
      </c>
      <c r="X7" s="52">
        <f>X4-X2*NPV!H6</f>
        <v>131.7735216259285</v>
      </c>
      <c r="Y7" s="52">
        <f>Y4-Y2*NPV!I6</f>
        <v>131.30709961993557</v>
      </c>
      <c r="Z7" s="52">
        <f>Z4-Z2*NPV!J6</f>
        <v>132.66735602166816</v>
      </c>
      <c r="AA7" s="52">
        <f>AA4-AA2*NPV!K6</f>
        <v>135.88560274864267</v>
      </c>
      <c r="AB7" s="52">
        <f>AB4-AB2*NPV!L6</f>
        <v>141.07051193559417</v>
      </c>
    </row>
    <row r="8">
      <c r="A8" s="2" t="inlineStr">
        <is>
          <t>Operating Income</t>
        </is>
      </c>
      <c r="B8" s="52">
        <f>B4-B7</f>
        <v>-112.03699999999999</v>
      </c>
      <c r="C8" s="52">
        <f>C4-C7</f>
        <v>35.31700000000001</v>
      </c>
      <c r="D8" s="52">
        <f>D4-D7</f>
        <v>-86.368</v>
      </c>
      <c r="E8" s="52">
        <f>E4-E7</f>
        <v>-99.37700000000001</v>
      </c>
      <c r="F8" s="52">
        <f>F4-F7</f>
        <v>-89.46900000000001</v>
      </c>
      <c r="G8" s="52">
        <f>G4-G7</f>
        <v>-91.249</v>
      </c>
      <c r="H8" s="52">
        <f>H4-H7</f>
        <v>-51.743</v>
      </c>
      <c r="I8" s="52">
        <f>I4-I7</f>
        <v>-69.741</v>
      </c>
      <c r="J8" s="52">
        <f>J4-J7</f>
        <v>-79.616</v>
      </c>
      <c r="K8" s="52">
        <f>K4-K7</f>
        <v>-72.68299999999999</v>
      </c>
      <c r="L8" s="52">
        <f>L4-L7</f>
        <v>-69.09099999999998</v>
      </c>
      <c r="M8" s="52">
        <f>M4-M7</f>
        <v>-28.973000000000013</v>
      </c>
      <c r="N8" s="52">
        <f>N4-N7</f>
        <v>-12.49600000000001</v>
      </c>
      <c r="O8" s="52">
        <f>O4-O7</f>
        <v>-55.55</v>
      </c>
      <c r="P8" s="52">
        <f>P4-P7</f>
        <v>-20.491</v>
      </c>
      <c r="Q8" s="52">
        <f>Q4-Q7</f>
        <v>24.192000000000007</v>
      </c>
      <c r="R8" s="52">
        <f>R4-R7</f>
        <v>125.46600000000001</v>
      </c>
      <c r="S8" s="52">
        <f>S4-S7</f>
        <v>80.91813297600001</v>
      </c>
      <c r="T8" s="52">
        <f>T4-T7</f>
        <v>71.77660107029999</v>
      </c>
      <c r="U8" s="52">
        <f>U4-U7</f>
        <v>64.57613476222997</v>
      </c>
      <c r="V8" s="52">
        <f>V4-V7</f>
        <v>58.91022793193912</v>
      </c>
      <c r="W8" s="52">
        <f>W4-W7</f>
        <v>54.47742841628448</v>
      </c>
      <c r="X8" s="52">
        <f>X4-X7</f>
        <v>51.05371827042501</v>
      </c>
      <c r="Y8" s="52">
        <f>Y4-Y7</f>
        <v>48.47301961147872</v>
      </c>
      <c r="Z8" s="52">
        <f>Z4-Z7</f>
        <v>46.61337398965887</v>
      </c>
      <c r="AA8" s="52">
        <f>AA4-AA7</f>
        <v>45.387135373921296</v>
      </c>
      <c r="AB8" s="52">
        <f>AB4-AB7</f>
        <v>44.734044640033886</v>
      </c>
    </row>
    <row r="9">
      <c r="A9" s="18" t="inlineStr">
        <is>
          <t>Interest &amp; Other</t>
        </is>
      </c>
      <c r="B9" s="52" t="n">
        <v>0.49</v>
      </c>
      <c r="C9" s="52" t="n">
        <v>2.573</v>
      </c>
      <c r="D9" s="52" t="n">
        <v>0.395</v>
      </c>
      <c r="E9" s="52" t="n">
        <v>0.537</v>
      </c>
      <c r="F9" s="52" t="n">
        <v>0.442</v>
      </c>
      <c r="G9" s="52" t="n">
        <v>0.341</v>
      </c>
      <c r="H9" s="52" t="n">
        <v>0.279</v>
      </c>
      <c r="I9" s="52" t="n">
        <v>0.525</v>
      </c>
      <c r="J9" s="52" t="n">
        <v>1.624</v>
      </c>
      <c r="K9" s="52" t="n">
        <v>2.203</v>
      </c>
      <c r="L9" s="52" t="n">
        <v>2.197</v>
      </c>
      <c r="M9" s="52" t="n">
        <v>-0.771</v>
      </c>
      <c r="N9" s="52" t="n">
        <v>-4.813</v>
      </c>
      <c r="O9" s="52" t="n">
        <v>-3.023</v>
      </c>
      <c r="P9" s="52" t="n">
        <v>-4.6</v>
      </c>
      <c r="Q9" s="52" t="n">
        <v>-5.826</v>
      </c>
      <c r="R9" s="52" t="n">
        <v>-3.639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-111.547</v>
      </c>
      <c r="C10" s="52">
        <f>C8+C9</f>
        <v>37.89000000000001</v>
      </c>
      <c r="D10" s="52">
        <f>D8+D9</f>
        <v>-85.973</v>
      </c>
      <c r="E10" s="52">
        <f>E8+E9</f>
        <v>-98.84</v>
      </c>
      <c r="F10" s="52">
        <f>F8+F9</f>
        <v>-89.02700000000002</v>
      </c>
      <c r="G10" s="52">
        <f>G8+G9</f>
        <v>-90.908</v>
      </c>
      <c r="H10" s="52">
        <f>H8+H9</f>
        <v>-51.464</v>
      </c>
      <c r="I10" s="52">
        <f>I8+I9</f>
        <v>-69.216</v>
      </c>
      <c r="J10" s="52">
        <f>J8+J9</f>
        <v>-77.992</v>
      </c>
      <c r="K10" s="52">
        <f>K8+K9</f>
        <v>-70.47999999999999</v>
      </c>
      <c r="L10" s="52">
        <f>L8+L9</f>
        <v>-66.89399999999998</v>
      </c>
      <c r="M10" s="52">
        <f>M8+M9</f>
        <v>-29.744000000000014</v>
      </c>
      <c r="N10" s="52">
        <f>N8+N9</f>
        <v>-17.309000000000008</v>
      </c>
      <c r="O10" s="52">
        <f>O8+O9</f>
        <v>-58.573</v>
      </c>
      <c r="P10" s="52">
        <f>P8+P9</f>
        <v>-25.091</v>
      </c>
      <c r="Q10" s="52">
        <f>Q8+Q9</f>
        <v>18.366000000000007</v>
      </c>
      <c r="R10" s="52">
        <f>R8+R9</f>
        <v>121.82700000000001</v>
      </c>
      <c r="S10" s="52">
        <f>S8+S9</f>
        <v>80.91813297600001</v>
      </c>
      <c r="T10" s="52">
        <f>T8+T9</f>
        <v>71.77660107029999</v>
      </c>
      <c r="U10" s="52">
        <f>U8+U9</f>
        <v>64.57613476222997</v>
      </c>
      <c r="V10" s="52">
        <f>V8+V9</f>
        <v>58.91022793193912</v>
      </c>
      <c r="W10" s="52">
        <f>W8+W9</f>
        <v>54.47742841628448</v>
      </c>
      <c r="X10" s="52">
        <f>X8+X9</f>
        <v>51.05371827042501</v>
      </c>
      <c r="Y10" s="52">
        <f>Y8+Y9</f>
        <v>48.47301961147872</v>
      </c>
      <c r="Z10" s="52">
        <f>Z8+Z9</f>
        <v>46.61337398965887</v>
      </c>
      <c r="AA10" s="52">
        <f>AA8+AA9</f>
        <v>45.387135373921296</v>
      </c>
      <c r="AB10" s="52">
        <f>AB8+AB9</f>
        <v>44.734044640033886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0.605</v>
      </c>
      <c r="O11" s="52" t="n">
        <v>0</v>
      </c>
      <c r="P11" s="52" t="n">
        <v>0</v>
      </c>
      <c r="Q11" s="52" t="n">
        <v>0.881</v>
      </c>
      <c r="R11" s="52" t="n">
        <v>-245.197</v>
      </c>
      <c r="S11" s="52">
        <f>MAX(0,S10)*Assumptions!$E$14</f>
        <v>13.756082605920003</v>
      </c>
      <c r="T11" s="52">
        <f>MAX(0,T10)*Assumptions!$E$14</f>
        <v>12.202022181951</v>
      </c>
      <c r="U11" s="52">
        <f>MAX(0,U10)*Assumptions!$E$14</f>
        <v>10.977942909579095</v>
      </c>
      <c r="V11" s="52">
        <f>MAX(0,V10)*Assumptions!$E$14</f>
        <v>10.01473874842965</v>
      </c>
      <c r="W11" s="52">
        <f>MAX(0,W10)*Assumptions!$E$14</f>
        <v>9.261162830768363</v>
      </c>
      <c r="X11" s="52">
        <f>MAX(0,X10)*Assumptions!$E$14</f>
        <v>8.679132105972252</v>
      </c>
      <c r="Y11" s="52">
        <f>MAX(0,Y10)*Assumptions!$E$14</f>
        <v>8.240413333951382</v>
      </c>
      <c r="Z11" s="52">
        <f>MAX(0,Z10)*Assumptions!$E$14</f>
        <v>7.924273578242008</v>
      </c>
      <c r="AA11" s="52">
        <f>MAX(0,AA10)*Assumptions!$E$14</f>
        <v>7.7158130135666205</v>
      </c>
      <c r="AB11" s="52">
        <f>MAX(0,AB10)*Assumptions!$E$14</f>
        <v>7.6047875888057614</v>
      </c>
    </row>
    <row r="12">
      <c r="A12" s="2" t="inlineStr">
        <is>
          <t>Net Income</t>
        </is>
      </c>
      <c r="B12" s="52" t="n">
        <v>-111.547</v>
      </c>
      <c r="C12" s="52" t="n">
        <v>37.89</v>
      </c>
      <c r="D12" s="52" t="n">
        <v>-85.973</v>
      </c>
      <c r="E12" s="52" t="n">
        <v>-98.84</v>
      </c>
      <c r="F12" s="52" t="n">
        <v>-89.027</v>
      </c>
      <c r="G12" s="52" t="n">
        <v>-90.908</v>
      </c>
      <c r="H12" s="52" t="n">
        <v>-51.464</v>
      </c>
      <c r="I12" s="52" t="n">
        <v>-69.21599999999999</v>
      </c>
      <c r="J12" s="52" t="n">
        <v>-77.992</v>
      </c>
      <c r="K12" s="52" t="n">
        <v>-70.48</v>
      </c>
      <c r="L12" s="52" t="n">
        <v>-66.89400000000001</v>
      </c>
      <c r="M12" s="52" t="n">
        <v>-29.744</v>
      </c>
      <c r="N12" s="52" t="n">
        <v>-17.914</v>
      </c>
      <c r="O12" s="52" t="n">
        <v>-58.573</v>
      </c>
      <c r="P12" s="52" t="n">
        <v>-25.091</v>
      </c>
      <c r="Q12" s="52" t="n">
        <v>17.485</v>
      </c>
      <c r="R12" s="52" t="n">
        <v>367.024</v>
      </c>
      <c r="S12" s="52">
        <f>S10-S11</f>
        <v>67.16205037008001</v>
      </c>
      <c r="T12" s="52">
        <f>T10-T11</f>
        <v>59.57457888834899</v>
      </c>
      <c r="U12" s="52">
        <f>U10-U11</f>
        <v>53.59819185265087</v>
      </c>
      <c r="V12" s="52">
        <f>V10-V11</f>
        <v>48.89548918350947</v>
      </c>
      <c r="W12" s="52">
        <f>W10-W11</f>
        <v>45.21626558551612</v>
      </c>
      <c r="X12" s="52">
        <f>X10-X11</f>
        <v>42.37458616445276</v>
      </c>
      <c r="Y12" s="52">
        <f>Y10-Y11</f>
        <v>40.23260627752734</v>
      </c>
      <c r="Z12" s="52">
        <f>Z10-Z11</f>
        <v>38.68910041141686</v>
      </c>
      <c r="AA12" s="52">
        <f>AA10-AA11</f>
        <v>37.67132236035468</v>
      </c>
      <c r="AB12" s="52">
        <f>AB10-AB11</f>
        <v>37.12925705122812</v>
      </c>
    </row>
    <row r="13">
      <c r="A13" s="2" t="inlineStr">
        <is>
          <t>Earnings per Share</t>
        </is>
      </c>
      <c r="B13" s="11">
        <f>IFERROR(B12/B14,0)</f>
        <v>-27.286448140900195</v>
      </c>
      <c r="C13" s="11">
        <f>IFERROR(C12/C14,0)</f>
        <v>7.207532813391669</v>
      </c>
      <c r="D13" s="11">
        <f>IFERROR(D12/D14,0)</f>
        <v>-13.57539870519501</v>
      </c>
      <c r="E13" s="11">
        <f>IFERROR(E12/E14,0)</f>
        <v>-13.183940242763773</v>
      </c>
      <c r="F13" s="11">
        <f>IFERROR(F12/F14,0)</f>
        <v>-10.19899186619315</v>
      </c>
      <c r="G13" s="11">
        <f>IFERROR(G12/G14,0)</f>
        <v>-10.370522473191878</v>
      </c>
      <c r="H13" s="11">
        <f>IFERROR(H12/H14,0)</f>
        <v>-5.819744430623092</v>
      </c>
      <c r="I13" s="11">
        <f>IFERROR(I12/I14,0)</f>
        <v>-7.332980188579298</v>
      </c>
      <c r="J13" s="11">
        <f>IFERROR(J12/J14,0)</f>
        <v>-6.174160861304624</v>
      </c>
      <c r="K13" s="11">
        <f>IFERROR(K12/K14,0)</f>
        <v>-4.390456612471189</v>
      </c>
      <c r="L13" s="11">
        <f>IFERROR(L12/L14,0)</f>
        <v>-3.9960573476702517</v>
      </c>
      <c r="M13" s="11">
        <f>IFERROR(M12/M14,0)</f>
        <v>-1.7626074074074074</v>
      </c>
      <c r="N13" s="11">
        <f>IFERROR(N12/N14,0)</f>
        <v>-1.0507361135550473</v>
      </c>
      <c r="O13" s="11">
        <f>IFERROR(O12/O14,0)</f>
        <v>-3.435568068508417</v>
      </c>
      <c r="P13" s="11">
        <f>IFERROR(P12/P14,0)</f>
        <v>-1.4419286247916787</v>
      </c>
      <c r="Q13" s="11">
        <f>IFERROR(Q12/Q14,0)</f>
        <v>0.9885791824503872</v>
      </c>
      <c r="R13" s="11">
        <f>IFERROR(R12/R14,0)</f>
        <v>19.481104033970276</v>
      </c>
      <c r="S13" s="11">
        <f>IFERROR(S12/S14,0)</f>
        <v>3.5954250186232626</v>
      </c>
      <c r="T13" s="11">
        <f>IFERROR(T12/T14,0)</f>
        <v>3.1892405045534056</v>
      </c>
      <c r="U13" s="11">
        <f>IFERROR(U12/U14,0)</f>
        <v>2.869303109093882</v>
      </c>
      <c r="V13" s="11">
        <f>IFERROR(V12/V14,0)</f>
        <v>2.6175505979866593</v>
      </c>
      <c r="W13" s="11">
        <f>IFERROR(W12/W14,0)</f>
        <v>2.4205885859509535</v>
      </c>
      <c r="X13" s="11">
        <f>IFERROR(X12/X14,0)</f>
        <v>2.268463312390966</v>
      </c>
      <c r="Y13" s="11">
        <f>IFERROR(Y12/Y14,0)</f>
        <v>2.1537954600487104</v>
      </c>
      <c r="Z13" s="11">
        <f>IFERROR(Z12/Z14,0)</f>
        <v>2.07116606477525</v>
      </c>
      <c r="AA13" s="11">
        <f>IFERROR(AA12/AA14,0)</f>
        <v>2.0166807617204645</v>
      </c>
      <c r="AB13" s="11">
        <f>IFERROR(AB12/AB14,0)</f>
        <v>1.9876620649501584</v>
      </c>
    </row>
    <row r="14">
      <c r="A14" s="2" t="inlineStr">
        <is>
          <t>Shares</t>
        </is>
      </c>
      <c r="B14" s="52" t="n">
        <v>4.088</v>
      </c>
      <c r="C14" s="52" t="n">
        <v>5.257</v>
      </c>
      <c r="D14" s="52" t="n">
        <v>6.333</v>
      </c>
      <c r="E14" s="52" t="n">
        <v>7.497</v>
      </c>
      <c r="F14" s="52" t="n">
        <v>8.728999999999999</v>
      </c>
      <c r="G14" s="52" t="n">
        <v>8.766</v>
      </c>
      <c r="H14" s="52" t="n">
        <v>8.843</v>
      </c>
      <c r="I14" s="52" t="n">
        <v>9.439</v>
      </c>
      <c r="J14" s="52" t="n">
        <v>12.632</v>
      </c>
      <c r="K14" s="52" t="n">
        <v>16.053</v>
      </c>
      <c r="L14" s="52" t="n">
        <v>16.74</v>
      </c>
      <c r="M14" s="52" t="n">
        <v>16.875</v>
      </c>
      <c r="N14" s="52" t="n">
        <v>17.049</v>
      </c>
      <c r="O14" s="52" t="n">
        <v>17.049</v>
      </c>
      <c r="P14" s="52" t="n">
        <v>17.401</v>
      </c>
      <c r="Q14" s="52" t="n">
        <v>17.687</v>
      </c>
      <c r="R14" s="52" t="n">
        <v>18.84</v>
      </c>
      <c r="S14" s="52">
        <f>Main!$C$4</f>
        <v>18.679864</v>
      </c>
      <c r="T14" s="52">
        <f>Main!$C$4</f>
        <v>18.679864</v>
      </c>
      <c r="U14" s="52">
        <f>Main!$C$4</f>
        <v>18.679864</v>
      </c>
      <c r="V14" s="52">
        <f>Main!$C$4</f>
        <v>18.679864</v>
      </c>
      <c r="W14" s="52">
        <f>Main!$C$4</f>
        <v>18.679864</v>
      </c>
      <c r="X14" s="52">
        <f>Main!$C$4</f>
        <v>18.679864</v>
      </c>
      <c r="Y14" s="52">
        <f>Main!$C$4</f>
        <v>18.679864</v>
      </c>
      <c r="Z14" s="52">
        <f>Main!$C$4</f>
        <v>18.679864</v>
      </c>
      <c r="AA14" s="52">
        <f>Main!$C$4</f>
        <v>18.679864</v>
      </c>
      <c r="AB14" s="52">
        <f>Main!$C$4</f>
        <v>18.679864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>-0.7800127557278124</v>
      </c>
      <c r="K16" s="15">
        <f>IFERROR(K2/J2-1,"")</f>
        <v>8.926181980374665</v>
      </c>
      <c r="L16" s="15">
        <f>IFERROR(L2/K2-1,"")</f>
        <v>0.33204520434069495</v>
      </c>
      <c r="M16" s="15">
        <f>IFERROR(M2/L2-1,"")</f>
        <v>0.832090810956686</v>
      </c>
      <c r="N16" s="15">
        <f>IFERROR(N2/M2-1,"")</f>
        <v>0.37391480468785954</v>
      </c>
      <c r="O16" s="15">
        <f>IFERROR(O2/N2-1,"")</f>
        <v>-0.19428288080623968</v>
      </c>
      <c r="P16" s="15">
        <f>IFERROR(P2/O2-1,"")</f>
        <v>-0.027943646978593195</v>
      </c>
      <c r="Q16" s="15">
        <f>IFERROR(Q2/P2-1,"")</f>
        <v>0.5338375455587685</v>
      </c>
      <c r="R16" s="15">
        <f>IFERROR(R2/Q2-1,"")</f>
        <v>0.6414841754147189</v>
      </c>
      <c r="S16" s="15">
        <f>IFERROR(S2/R2-1,"")</f>
        <v>-0.09999999999999998</v>
      </c>
      <c r="T16" s="15">
        <f>IFERROR(T2/S2-1,"")</f>
        <v>-0.08611111111111114</v>
      </c>
      <c r="U16" s="15">
        <f>IFERROR(U2/T2-1,"")</f>
        <v>-0.07222222222222219</v>
      </c>
      <c r="V16" s="15">
        <f>IFERROR(V2/U2-1,"")</f>
        <v>-0.05833333333333324</v>
      </c>
      <c r="W16" s="15">
        <f>IFERROR(W2/V2-1,"")</f>
        <v>-0.04444444444444451</v>
      </c>
      <c r="X16" s="15">
        <f>IFERROR(X2/W2-1,"")</f>
        <v>-0.030555555555555558</v>
      </c>
      <c r="Y16" s="15">
        <f>IFERROR(Y2/X2-1,"")</f>
        <v>-0.01666666666666672</v>
      </c>
      <c r="Z16" s="15">
        <f>IFERROR(Z2/Y2-1,"")</f>
        <v>-0.002777777777777768</v>
      </c>
      <c r="AA16" s="15">
        <f>IFERROR(AA2/Z2-1,"")</f>
        <v>0.011111111111111072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>1.0</v>
      </c>
      <c r="J17" s="15">
        <f>IFERROR(J4/J2,"")</f>
        <v>1.0</v>
      </c>
      <c r="K17" s="15">
        <f>IFERROR(K4/K2,"")</f>
        <v>0.9935518659147589</v>
      </c>
      <c r="L17" s="15">
        <f>IFERROR(L4/L2,"")</f>
        <v>0.9847186614491972</v>
      </c>
      <c r="M17" s="15">
        <f>IFERROR(M4/M2,"")</f>
        <v>0.9917603410022003</v>
      </c>
      <c r="N17" s="15">
        <f>IFERROR(N4/N2,"")</f>
        <v>0.9927430378728993</v>
      </c>
      <c r="O17" s="15">
        <f>IFERROR(O4/O2,"")</f>
        <v>0.9854543337602502</v>
      </c>
      <c r="P17" s="15">
        <f>IFERROR(P4/P2,"")</f>
        <v>0.9391694187300013</v>
      </c>
      <c r="Q17" s="15">
        <f>IFERROR(Q4/Q2,"")</f>
        <v>0.895988353283727</v>
      </c>
      <c r="R17" s="15">
        <f>IFERROR(R4/R2,"")</f>
        <v>0.933325857510823</v>
      </c>
      <c r="S17" s="15">
        <f>IFERROR(S4/S2,"")</f>
        <v>0.9333</v>
      </c>
      <c r="T17" s="15">
        <f>IFERROR(T4/T2,"")</f>
        <v>0.9333</v>
      </c>
      <c r="U17" s="15">
        <f>IFERROR(U4/U2,"")</f>
        <v>0.9333</v>
      </c>
      <c r="V17" s="15">
        <f>IFERROR(V4/V2,"")</f>
        <v>0.9333</v>
      </c>
      <c r="W17" s="15">
        <f>IFERROR(W4/W2,"")</f>
        <v>0.9333</v>
      </c>
      <c r="X17" s="15">
        <f>IFERROR(X4/X2,"")</f>
        <v>0.9333</v>
      </c>
      <c r="Y17" s="15">
        <f>IFERROR(Y4/Y2,"")</f>
        <v>0.9333</v>
      </c>
      <c r="Z17" s="15">
        <f>IFERROR(Z4/Z2,"")</f>
        <v>0.9333</v>
      </c>
      <c r="AA17" s="15">
        <f>IFERROR(AA4/AA2,"")</f>
        <v>0.9333</v>
      </c>
      <c r="AB17" s="15">
        <f>IFERROR(AB4/AB2,"")</f>
        <v>0.9333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>-3.4215277437079923</v>
      </c>
      <c r="J18" s="15">
        <f>IFERROR(J8/J2,"")</f>
        <v>-17.75557537912578</v>
      </c>
      <c r="K18" s="15">
        <f>IFERROR(K8/K2,"")</f>
        <v>-1.6329955739288682</v>
      </c>
      <c r="L18" s="15">
        <f>IFERROR(L8/L2,"")</f>
        <v>-1.1653454324652541</v>
      </c>
      <c r="M18" s="15">
        <f>IFERROR(M8/M2,"")</f>
        <v>-0.2667347934561458</v>
      </c>
      <c r="N18" s="15">
        <f>IFERROR(N8/N2,"")</f>
        <v>-0.08373314749792282</v>
      </c>
      <c r="O18" s="15">
        <f>IFERROR(O8/O2,"")</f>
        <v>-0.46198499692287215</v>
      </c>
      <c r="P18" s="15">
        <f>IFERROR(P8/P2,"")</f>
        <v>-0.17531356410739035</v>
      </c>
      <c r="Q18" s="15">
        <f>IFERROR(Q8/Q2,"")</f>
        <v>0.13494126440500234</v>
      </c>
      <c r="R18" s="15">
        <f>IFERROR(R8/R2,"")</f>
        <v>0.4263461577670398</v>
      </c>
      <c r="S18" s="15">
        <f>IFERROR(S8/S2,"")</f>
        <v>0.30552000000000007</v>
      </c>
      <c r="T18" s="15">
        <f>IFERROR(T8/T2,"")</f>
        <v>0.29654</v>
      </c>
      <c r="U18" s="15">
        <f>IFERROR(U8/U2,"")</f>
        <v>0.2875599999999999</v>
      </c>
      <c r="V18" s="15">
        <f>IFERROR(V8/V2,"")</f>
        <v>0.27858</v>
      </c>
      <c r="W18" s="15">
        <f>IFERROR(W8/W2,"")</f>
        <v>0.26960000000000006</v>
      </c>
      <c r="X18" s="15">
        <f>IFERROR(X8/X2,"")</f>
        <v>0.26062</v>
      </c>
      <c r="Y18" s="15">
        <f>IFERROR(Y8/Y2,"")</f>
        <v>0.25164</v>
      </c>
      <c r="Z18" s="15">
        <f>IFERROR(Z8/Z2,"")</f>
        <v>0.24266000000000004</v>
      </c>
      <c r="AA18" s="15">
        <f>IFERROR(AA8/AA2,"")</f>
        <v>0.23368</v>
      </c>
      <c r="AB18" s="15">
        <f>IFERROR(AB8/AB2,"")</f>
        <v>0.2247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Rigel Pharmaceuticals,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-0.15</v>
      </c>
      <c r="C12" s="53" t="n">
        <v>-0.1</v>
      </c>
      <c r="D12" s="53" t="n">
        <v>-0.05</v>
      </c>
      <c r="E12" s="54">
        <f>CHOOSE($B$4,B12,C12,D12)</f>
        <v>-0.1</v>
      </c>
    </row>
    <row r="13">
      <c r="A13" s="14" t="inlineStr">
        <is>
          <t>Operating margin, year 10</t>
        </is>
      </c>
      <c r="B13" s="53" t="n">
        <v>0.1747</v>
      </c>
      <c r="C13" s="53" t="n">
        <v>0.2247</v>
      </c>
      <c r="D13" s="53" t="n">
        <v>0.2747</v>
      </c>
      <c r="E13" s="54">
        <f>CHOOSE($B$4,B13,C13,D13)</f>
        <v>0.2247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0.3145</v>
      </c>
    </row>
    <row r="19">
      <c r="A19" s="14" t="inlineStr">
        <is>
          <t>Gross margin (forecast)</t>
        </is>
      </c>
      <c r="B19" s="53" t="n">
        <v>0.9333</v>
      </c>
    </row>
    <row r="20">
      <c r="A20" s="14" t="inlineStr">
        <is>
          <t>R&amp;D share of operating expense (forecast)</t>
        </is>
      </c>
      <c r="B20" s="53" t="n">
        <v>0.2232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294.282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415.2453447608221</v>
      </c>
      <c r="C29" s="56">
        <f>NPV!B26</f>
        <v>471.3953447608221</v>
      </c>
      <c r="D29" s="35">
        <f>NPV!B28</f>
        <v>25.235480556005236</v>
      </c>
      <c r="E29" s="57">
        <f>NPV!B30</f>
        <v>-0.475462885969544</v>
      </c>
    </row>
    <row r="30">
      <c r="A30" s="58" t="n">
        <v>1</v>
      </c>
      <c r="B30" s="59">
        <f t="dataTable" ref="B30:E32" r1="B4"/>
        <v>287.69605092809917</v>
      </c>
      <c r="C30" s="59">
        <v>343.8460509280992</v>
      </c>
      <c r="D30" s="39">
        <v>18.407310188559148</v>
      </c>
      <c r="E30" s="60">
        <v>-0.6173911829441041</v>
      </c>
    </row>
    <row r="31">
      <c r="A31" s="58" t="n">
        <v>2</v>
      </c>
      <c r="B31" s="59">
        <v>415.2453447608221</v>
      </c>
      <c r="C31" s="59">
        <v>471.3953447608221</v>
      </c>
      <c r="D31" s="39">
        <v>25.235480556005236</v>
      </c>
      <c r="E31" s="60">
        <v>-0.475462885969544</v>
      </c>
    </row>
    <row r="32">
      <c r="A32" s="58" t="n">
        <v>3</v>
      </c>
      <c r="B32" s="59">
        <v>632.8223378444205</v>
      </c>
      <c r="C32" s="59">
        <v>688.9723378444205</v>
      </c>
      <c r="D32" s="39">
        <v>36.88315599323531</v>
      </c>
      <c r="E32" s="60">
        <v>-0.233357805170748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25.235480556005236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27.73837579140616</v>
      </c>
      <c r="C37" s="39">
        <v>28.48640629898628</v>
      </c>
      <c r="D37" s="39">
        <v>29.32454516083812</v>
      </c>
      <c r="E37" s="39">
        <v>30.270780270414225</v>
      </c>
      <c r="F37" s="39">
        <v>31.348238572380463</v>
      </c>
    </row>
    <row r="38">
      <c r="A38" s="62" t="n">
        <v>0.115</v>
      </c>
      <c r="B38" s="39">
        <v>25.83374063170665</v>
      </c>
      <c r="C38" s="39">
        <v>26.41707664438913</v>
      </c>
      <c r="D38" s="39">
        <v>27.062346983632658</v>
      </c>
      <c r="E38" s="39">
        <v>27.780452983379753</v>
      </c>
      <c r="F38" s="39">
        <v>28.58502102415875</v>
      </c>
    </row>
    <row r="39">
      <c r="A39" s="62" t="n">
        <v>0.125</v>
      </c>
      <c r="B39" s="39">
        <v>24.260889106347626</v>
      </c>
      <c r="C39" s="39">
        <v>24.726159082057425</v>
      </c>
      <c r="D39" s="39">
        <v>25.235480556005236</v>
      </c>
      <c r="E39" s="39">
        <v>25.7957850602264</v>
      </c>
      <c r="F39" s="39">
        <v>26.415544226152925</v>
      </c>
    </row>
    <row r="40">
      <c r="A40" s="62" t="n">
        <v>0.135</v>
      </c>
      <c r="B40" s="39">
        <v>22.937418224684954</v>
      </c>
      <c r="C40" s="39">
        <v>23.315528289269412</v>
      </c>
      <c r="D40" s="39">
        <v>23.725862538032267</v>
      </c>
      <c r="E40" s="39">
        <v>24.173003862162652</v>
      </c>
      <c r="F40" s="39">
        <v>24.662451525994562</v>
      </c>
    </row>
    <row r="41">
      <c r="A41" s="62" t="n">
        <v>0.145</v>
      </c>
      <c r="B41" s="39">
        <v>21.80626847769001</v>
      </c>
      <c r="C41" s="39">
        <v>22.118446276533117</v>
      </c>
      <c r="D41" s="39">
        <v>22.454756312400797</v>
      </c>
      <c r="E41" s="39">
        <v>22.818328460304038</v>
      </c>
      <c r="F41" s="39">
        <v>23.21286148715529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Rigel Pharmaceuticals, Inc.: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-0.1</v>
      </c>
      <c r="D5" s="63">
        <f>Assumptions!$E$12+(Assumptions!$E$11-Assumptions!$E$12)*(D4-1)/(Assumptions!$B$21-1)</f>
        <v>-0.08611111111111111</v>
      </c>
      <c r="E5" s="63">
        <f>Assumptions!$E$12+(Assumptions!$E$11-Assumptions!$E$12)*(E4-1)/(Assumptions!$B$21-1)</f>
        <v>-0.07222222222222223</v>
      </c>
      <c r="F5" s="63">
        <f>Assumptions!$E$12+(Assumptions!$E$11-Assumptions!$E$12)*(F4-1)/(Assumptions!$B$21-1)</f>
        <v>-0.05833333333333334</v>
      </c>
      <c r="G5" s="63">
        <f>Assumptions!$E$12+(Assumptions!$E$11-Assumptions!$E$12)*(G4-1)/(Assumptions!$B$21-1)</f>
        <v>-0.04444444444444445</v>
      </c>
      <c r="H5" s="63">
        <f>Assumptions!$E$12+(Assumptions!$E$11-Assumptions!$E$12)*(H4-1)/(Assumptions!$B$21-1)</f>
        <v>-0.030555555555555558</v>
      </c>
      <c r="I5" s="63">
        <f>Assumptions!$E$12+(Assumptions!$E$11-Assumptions!$E$12)*(I4-1)/(Assumptions!$B$21-1)</f>
        <v>-0.016666666666666677</v>
      </c>
      <c r="J5" s="63">
        <f>Assumptions!$E$12+(Assumptions!$E$11-Assumptions!$E$12)*(J4-1)/(Assumptions!$B$21-1)</f>
        <v>-0.002777777777777782</v>
      </c>
      <c r="K5" s="63">
        <f>Assumptions!$E$12+(Assumptions!$E$11-Assumptions!$E$12)*(K4-1)/(Assumptions!$B$21-1)</f>
        <v>0.0111111111111111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0.4263461577670398</v>
      </c>
      <c r="C6" s="63">
        <f>Assumptions!$B$18+(Assumptions!$E$13-Assumptions!$B$18)*C4/Assumptions!$B$21</f>
        <v>0.30552</v>
      </c>
      <c r="D6" s="63">
        <f>Assumptions!$B$18+(Assumptions!$E$13-Assumptions!$B$18)*D4/Assumptions!$B$21</f>
        <v>0.29654</v>
      </c>
      <c r="E6" s="63">
        <f>Assumptions!$B$18+(Assumptions!$E$13-Assumptions!$B$18)*E4/Assumptions!$B$21</f>
        <v>0.28756</v>
      </c>
      <c r="F6" s="63">
        <f>Assumptions!$B$18+(Assumptions!$E$13-Assumptions!$B$18)*F4/Assumptions!$B$21</f>
        <v>0.27858</v>
      </c>
      <c r="G6" s="63">
        <f>Assumptions!$B$18+(Assumptions!$E$13-Assumptions!$B$18)*G4/Assumptions!$B$21</f>
        <v>0.2696</v>
      </c>
      <c r="H6" s="63">
        <f>Assumptions!$B$18+(Assumptions!$E$13-Assumptions!$B$18)*H4/Assumptions!$B$21</f>
        <v>0.26062</v>
      </c>
      <c r="I6" s="63">
        <f>Assumptions!$B$18+(Assumptions!$E$13-Assumptions!$B$18)*I4/Assumptions!$B$21</f>
        <v>0.25164</v>
      </c>
      <c r="J6" s="63">
        <f>Assumptions!$B$18+(Assumptions!$E$13-Assumptions!$B$18)*J4/Assumptions!$B$21</f>
        <v>0.24266000000000001</v>
      </c>
      <c r="K6" s="63">
        <f>Assumptions!$B$18+(Assumptions!$E$13-Assumptions!$B$18)*K4/Assumptions!$B$21</f>
        <v>0.23368</v>
      </c>
      <c r="L6" s="63">
        <f>Assumptions!$B$18+(Assumptions!$E$13-Assumptions!$B$18)*L4/Assumptions!$B$21</f>
        <v>0.2247</v>
      </c>
    </row>
    <row r="7">
      <c r="A7" s="14" t="inlineStr">
        <is>
          <t>Revenue</t>
        </is>
      </c>
      <c r="B7" s="55">
        <f>'Yearly Model'!R2</f>
        <v>294.282</v>
      </c>
      <c r="C7" s="55">
        <f>'Yearly Model'!S2</f>
        <v>264.8538</v>
      </c>
      <c r="D7" s="55">
        <f>'Yearly Model'!T2</f>
        <v>242.04694499999997</v>
      </c>
      <c r="E7" s="55">
        <f>'Yearly Model'!U2</f>
        <v>224.56577674999997</v>
      </c>
      <c r="F7" s="55">
        <f>'Yearly Model'!V2</f>
        <v>211.4661064395833</v>
      </c>
      <c r="G7" s="55">
        <f>'Yearly Model'!W2</f>
        <v>202.06761282004626</v>
      </c>
      <c r="H7" s="55">
        <f>'Yearly Model'!X2</f>
        <v>195.89332465054486</v>
      </c>
      <c r="I7" s="55">
        <f>'Yearly Model'!Y2</f>
        <v>192.6284359063691</v>
      </c>
      <c r="J7" s="55">
        <f>'Yearly Model'!Z2</f>
        <v>192.0933569177403</v>
      </c>
      <c r="K7" s="55">
        <f>'Yearly Model'!AA2</f>
        <v>194.2277275501596</v>
      </c>
      <c r="L7" s="55">
        <f>'Yearly Model'!AB2</f>
        <v>199.0834207389136</v>
      </c>
    </row>
    <row r="8">
      <c r="A8" s="14" t="inlineStr">
        <is>
          <t>Operating income</t>
        </is>
      </c>
      <c r="B8" s="55">
        <f>'Yearly Model'!R8</f>
        <v>125.46600000000001</v>
      </c>
      <c r="C8" s="55">
        <f>'Yearly Model'!S8</f>
        <v>80.91813297600001</v>
      </c>
      <c r="D8" s="55">
        <f>'Yearly Model'!T8</f>
        <v>71.77660107029999</v>
      </c>
      <c r="E8" s="55">
        <f>'Yearly Model'!U8</f>
        <v>64.57613476222997</v>
      </c>
      <c r="F8" s="55">
        <f>'Yearly Model'!V8</f>
        <v>58.91022793193912</v>
      </c>
      <c r="G8" s="55">
        <f>'Yearly Model'!W8</f>
        <v>54.47742841628448</v>
      </c>
      <c r="H8" s="55">
        <f>'Yearly Model'!X8</f>
        <v>51.05371827042501</v>
      </c>
      <c r="I8" s="55">
        <f>'Yearly Model'!Y8</f>
        <v>48.47301961147872</v>
      </c>
      <c r="J8" s="55">
        <f>'Yearly Model'!Z8</f>
        <v>46.61337398965887</v>
      </c>
      <c r="K8" s="55">
        <f>'Yearly Model'!AA8</f>
        <v>45.387135373921296</v>
      </c>
      <c r="L8" s="55">
        <f>'Yearly Model'!AB8</f>
        <v>44.734044640033886</v>
      </c>
    </row>
    <row r="9">
      <c r="A9" s="14" t="inlineStr">
        <is>
          <t>Tax on operating income</t>
        </is>
      </c>
      <c r="C9" s="52">
        <f>MAX(0,C8)*Assumptions!$E$14</f>
        <v>13.756082605920003</v>
      </c>
      <c r="D9" s="52">
        <f>MAX(0,D8)*Assumptions!$E$14</f>
        <v>12.202022181951</v>
      </c>
      <c r="E9" s="52">
        <f>MAX(0,E8)*Assumptions!$E$14</f>
        <v>10.977942909579095</v>
      </c>
      <c r="F9" s="52">
        <f>MAX(0,F8)*Assumptions!$E$14</f>
        <v>10.01473874842965</v>
      </c>
      <c r="G9" s="52">
        <f>MAX(0,G8)*Assumptions!$E$14</f>
        <v>9.261162830768363</v>
      </c>
      <c r="H9" s="52">
        <f>MAX(0,H8)*Assumptions!$E$14</f>
        <v>8.679132105972252</v>
      </c>
      <c r="I9" s="52">
        <f>MAX(0,I8)*Assumptions!$E$14</f>
        <v>8.240413333951382</v>
      </c>
      <c r="J9" s="52">
        <f>MAX(0,J8)*Assumptions!$E$14</f>
        <v>7.924273578242008</v>
      </c>
      <c r="K9" s="52">
        <f>MAX(0,K8)*Assumptions!$E$14</f>
        <v>7.7158130135666205</v>
      </c>
      <c r="L9" s="52">
        <f>MAX(0,L8)*Assumptions!$E$14</f>
        <v>7.6047875888057614</v>
      </c>
    </row>
    <row r="10">
      <c r="A10" s="14" t="inlineStr">
        <is>
          <t>NOPAT</t>
        </is>
      </c>
      <c r="C10" s="52">
        <f>C8-C9</f>
        <v>67.16205037008001</v>
      </c>
      <c r="D10" s="52">
        <f>D8-D9</f>
        <v>59.57457888834899</v>
      </c>
      <c r="E10" s="52">
        <f>E8-E9</f>
        <v>53.59819185265087</v>
      </c>
      <c r="F10" s="52">
        <f>F8-F9</f>
        <v>48.89548918350947</v>
      </c>
      <c r="G10" s="52">
        <f>G8-G9</f>
        <v>45.21626558551612</v>
      </c>
      <c r="H10" s="52">
        <f>H8-H9</f>
        <v>42.37458616445276</v>
      </c>
      <c r="I10" s="52">
        <f>I8-I9</f>
        <v>40.23260627752734</v>
      </c>
      <c r="J10" s="52">
        <f>J8-J9</f>
        <v>38.68910041141686</v>
      </c>
      <c r="K10" s="52">
        <f>K8-K9</f>
        <v>37.67132236035468</v>
      </c>
      <c r="L10" s="52">
        <f>L8-L9</f>
        <v>37.12925705122812</v>
      </c>
    </row>
    <row r="11">
      <c r="A11" s="14" t="inlineStr">
        <is>
          <t>Reinvestment</t>
        </is>
      </c>
      <c r="C11" s="52">
        <f>(C7-B7)*Assumptions!$E$15</f>
        <v>-7.357050000000001</v>
      </c>
      <c r="D11" s="52">
        <f>(D7-C7)*Assumptions!$E$15</f>
        <v>-5.701713750000003</v>
      </c>
      <c r="E11" s="52">
        <f>(E7-D7)*Assumptions!$E$15</f>
        <v>-4.370292062499999</v>
      </c>
      <c r="F11" s="52">
        <f>(F7-E7)*Assumptions!$E$15</f>
        <v>-3.274917577604164</v>
      </c>
      <c r="G11" s="52">
        <f>(G7-F7)*Assumptions!$E$15</f>
        <v>-2.3496234048842624</v>
      </c>
      <c r="H11" s="52">
        <f>(H7-G7)*Assumptions!$E$15</f>
        <v>-1.5435720423753523</v>
      </c>
      <c r="I11" s="52">
        <f>(I7-H7)*Assumptions!$E$15</f>
        <v>-0.8162221860439374</v>
      </c>
      <c r="J11" s="52">
        <f>(J7-I7)*Assumptions!$E$15</f>
        <v>-0.1337697471572028</v>
      </c>
      <c r="K11" s="52">
        <f>(K7-J7)*Assumptions!$E$15</f>
        <v>0.5335926581048298</v>
      </c>
      <c r="L11" s="52">
        <f>(L7-K7)*Assumptions!$E$15</f>
        <v>1.2139232971884937</v>
      </c>
    </row>
    <row r="12">
      <c r="A12" s="20" t="inlineStr">
        <is>
          <t>Free cash flow</t>
        </is>
      </c>
      <c r="C12" s="64">
        <f>C10-C11</f>
        <v>74.51910037008001</v>
      </c>
      <c r="D12" s="64">
        <f>D10-D11</f>
        <v>65.27629263834899</v>
      </c>
      <c r="E12" s="64">
        <f>E10-E11</f>
        <v>57.96848391515087</v>
      </c>
      <c r="F12" s="64">
        <f>F10-F11</f>
        <v>52.17040676111363</v>
      </c>
      <c r="G12" s="64">
        <f>G10-G11</f>
        <v>47.56588899040038</v>
      </c>
      <c r="H12" s="64">
        <f>H10-H11</f>
        <v>43.91815820682811</v>
      </c>
      <c r="I12" s="64">
        <f>I10-I11</f>
        <v>41.048828463571276</v>
      </c>
      <c r="J12" s="64">
        <f>J10-J11</f>
        <v>38.82287015857406</v>
      </c>
      <c r="K12" s="64">
        <f>K10-K11</f>
        <v>37.13772970224985</v>
      </c>
      <c r="L12" s="64">
        <f>L10-L11</f>
        <v>35.91533375403963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36.466266993515575</v>
      </c>
      <c r="D16" s="64">
        <f>D12*D13*D15</f>
        <v>57.99535790650448</v>
      </c>
      <c r="E16" s="64">
        <f>E12*E13*E15</f>
        <v>45.78014584638272</v>
      </c>
      <c r="F16" s="64">
        <f>F12*F13*F15</f>
        <v>36.62325409456439</v>
      </c>
      <c r="G16" s="64">
        <f>G12*G13*G15</f>
        <v>29.680813692046787</v>
      </c>
      <c r="H16" s="64">
        <f>H12*H13*H15</f>
        <v>24.359691350296565</v>
      </c>
      <c r="I16" s="64">
        <f>I12*I13*I15</f>
        <v>20.238387491464135</v>
      </c>
      <c r="J16" s="64">
        <f>J12*J13*J15</f>
        <v>17.01414998692325</v>
      </c>
      <c r="K16" s="64">
        <f>K12*K13*K15</f>
        <v>14.467232003472859</v>
      </c>
      <c r="L16" s="64">
        <f>L12*L13*L15</f>
        <v>12.436480098815</v>
      </c>
    </row>
    <row r="19">
      <c r="A19" s="14" t="inlineStr">
        <is>
          <t>PV of forecast free cash flow</t>
        </is>
      </c>
      <c r="B19" s="52">
        <f>SUM(C16:L16)</f>
        <v>295.06177946398583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36.81321709789061</v>
      </c>
    </row>
    <row r="21">
      <c r="A21" s="14" t="inlineStr">
        <is>
          <t>Terminal value</t>
        </is>
      </c>
      <c r="B21" s="52">
        <f>B20/(Assumptions!$E$10-Assumptions!$E$11)</f>
        <v>368.13217097890606</v>
      </c>
    </row>
    <row r="22">
      <c r="A22" s="14" t="inlineStr">
        <is>
          <t>PV of terminal value</t>
        </is>
      </c>
      <c r="B22" s="52">
        <f>B21/(1+Assumptions!$E$10)^(L14+0.5)</f>
        <v>120.18356529683625</v>
      </c>
    </row>
    <row r="23">
      <c r="A23" s="20" t="inlineStr">
        <is>
          <t>Enterprise value</t>
        </is>
      </c>
      <c r="B23" s="66">
        <f>B19+B22</f>
        <v>415.2453447608221</v>
      </c>
    </row>
    <row r="24">
      <c r="A24" s="14" t="inlineStr">
        <is>
          <t>Cash &amp; investments</t>
        </is>
      </c>
      <c r="B24" s="55">
        <f>Main!C7</f>
        <v>95.386</v>
      </c>
    </row>
    <row r="25">
      <c r="A25" s="14" t="inlineStr">
        <is>
          <t>Debt</t>
        </is>
      </c>
      <c r="B25" s="55">
        <f>Main!C8</f>
        <v>39.236</v>
      </c>
    </row>
    <row r="26">
      <c r="A26" s="20" t="inlineStr">
        <is>
          <t>Equity value</t>
        </is>
      </c>
      <c r="B26" s="66">
        <f>B23+B24-B25</f>
        <v>471.3953447608221</v>
      </c>
    </row>
    <row r="27">
      <c r="A27" s="14" t="inlineStr">
        <is>
          <t>Shares (mm)</t>
        </is>
      </c>
      <c r="B27" s="55">
        <f>Main!C4</f>
        <v>18.679864</v>
      </c>
    </row>
    <row r="28">
      <c r="A28" s="20" t="inlineStr">
        <is>
          <t>NPV / share</t>
        </is>
      </c>
      <c r="B28" s="49">
        <f>B26/B27</f>
        <v>25.235480556005236</v>
      </c>
    </row>
    <row r="29">
      <c r="A29" s="14" t="inlineStr">
        <is>
          <t>Price</t>
        </is>
      </c>
      <c r="B29" s="50">
        <f>Main!C3</f>
        <v>48.11</v>
      </c>
    </row>
    <row r="30">
      <c r="A30" s="14" t="inlineStr">
        <is>
          <t>Upside</t>
        </is>
      </c>
      <c r="B30" s="63">
        <f>B28/B29-1</f>
        <v>-0.475462885969544</v>
      </c>
    </row>
    <row r="31">
      <c r="A31" s="14" t="inlineStr">
        <is>
          <t>Terminal value, % of EV</t>
        </is>
      </c>
      <c r="B31" s="63">
        <f>IFERROR(B22/B23,0)</f>
        <v>0.2894278450395657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2026-10-21T06:24:03Z</dcterms:modified>
  <cp:lastModifiedBy>Wang, Eric</cp:lastModifiedBy>
</cp:coreProperties>
</file>