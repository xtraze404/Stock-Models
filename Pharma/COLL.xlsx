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Collegium Pharmaceutical, Inc.</t>
        </is>
      </c>
      <c r="C2" s="10" t="n"/>
    </row>
    <row r="3">
      <c r="B3" t="inlineStr">
        <is>
          <t>Price</t>
        </is>
      </c>
      <c r="C3" s="11">
        <f>INDEX([1]Pharma!$F$1:$F$1000,MATCH("COLL",[1]Pharma!$B$1:$B$1000,0))</f>
        <v>23.33</v>
      </c>
      <c r="F3" s="1" t="n"/>
    </row>
    <row r="4">
      <c r="B4" t="inlineStr">
        <is>
          <t>Shares</t>
        </is>
      </c>
      <c r="C4" s="51" t="n">
        <v>32.555613</v>
      </c>
      <c r="F4" s="1" t="n"/>
    </row>
    <row r="5">
      <c r="B5" t="inlineStr">
        <is>
          <t>Market Cap.</t>
        </is>
      </c>
      <c r="C5" s="13">
        <f>C3*C4</f>
        <v>759.5224512899999</v>
      </c>
      <c r="F5" s="1" t="n"/>
    </row>
    <row r="6"/>
    <row r="7">
      <c r="B7" t="inlineStr">
        <is>
          <t>Cash</t>
        </is>
      </c>
      <c r="C7" s="51" t="n">
        <v>129.467</v>
      </c>
    </row>
    <row r="8">
      <c r="B8" t="inlineStr">
        <is>
          <t>Debt</t>
        </is>
      </c>
      <c r="C8" s="51">
        <f>55+238.733+797.824</f>
        <v>1091.557</v>
      </c>
    </row>
    <row r="9">
      <c r="B9" t="inlineStr">
        <is>
          <t>Enterprise V.</t>
        </is>
      </c>
      <c r="C9" s="13">
        <f>C5-C7+C8</f>
        <v>1721.61245129</v>
      </c>
    </row>
    <row r="10"/>
    <row r="11">
      <c r="B11" s="14" t="inlineStr">
        <is>
          <t>NPV / Share</t>
        </is>
      </c>
      <c r="C11" s="11">
        <f>NPV!B28</f>
        <v>28.59332536140803</v>
      </c>
    </row>
    <row r="12">
      <c r="B12" s="14" t="inlineStr">
        <is>
          <t>Upside</t>
        </is>
      </c>
      <c r="C12" s="15">
        <f>IFERROR(C11/C3-1,"")</f>
        <v>0.22560331596262473</v>
      </c>
    </row>
    <row r="13">
      <c r="B13" s="14" t="inlineStr">
        <is>
          <t>Cash / Share</t>
        </is>
      </c>
      <c r="C13" s="11">
        <f>IFERROR((C7-C8)/C4,"")</f>
        <v>-29.55220041471804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2013</v>
      </c>
      <c r="C1" s="16" t="n">
        <v>2014</v>
      </c>
      <c r="D1" s="16" t="n">
        <v>2015</v>
      </c>
      <c r="E1" s="16" t="n">
        <v>2016</v>
      </c>
      <c r="F1" s="16" t="n">
        <v>2017</v>
      </c>
      <c r="G1" s="16" t="n">
        <v>2018</v>
      </c>
      <c r="H1" s="16" t="n">
        <v>2019</v>
      </c>
      <c r="I1" s="16" t="n">
        <v>2020</v>
      </c>
      <c r="J1" s="16" t="n">
        <v>2021</v>
      </c>
      <c r="K1" s="16" t="n">
        <v>2022</v>
      </c>
      <c r="L1" s="16" t="n">
        <v>2023</v>
      </c>
      <c r="M1" s="16" t="n">
        <v>2024</v>
      </c>
      <c r="N1" s="16" t="n">
        <v>2025</v>
      </c>
      <c r="O1" s="16" t="n">
        <v>2026</v>
      </c>
      <c r="P1" s="16" t="n">
        <v>2027</v>
      </c>
      <c r="Q1" s="16" t="n">
        <v>2028</v>
      </c>
      <c r="R1" s="16" t="n">
        <v>2029</v>
      </c>
      <c r="S1" s="16" t="n">
        <v>2030</v>
      </c>
      <c r="T1" s="16" t="n">
        <v>2031</v>
      </c>
      <c r="U1" s="16" t="n">
        <v>2032</v>
      </c>
      <c r="V1" s="16" t="n">
        <v>2033</v>
      </c>
      <c r="W1" s="16" t="n">
        <v>2034</v>
      </c>
      <c r="X1" s="16" t="n">
        <v>2035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1.711</v>
      </c>
      <c r="F2" s="52" t="n">
        <v>28.476</v>
      </c>
      <c r="G2" s="52" t="n">
        <v>280.413</v>
      </c>
      <c r="H2" s="52" t="n">
        <v>296.701</v>
      </c>
      <c r="I2" s="52" t="n">
        <v>310.016</v>
      </c>
      <c r="J2" s="52" t="n">
        <v>276.868</v>
      </c>
      <c r="K2" s="52" t="n">
        <v>463.933</v>
      </c>
      <c r="L2" s="52" t="n">
        <v>566.7670000000001</v>
      </c>
      <c r="M2" s="52" t="n">
        <v>631.449</v>
      </c>
      <c r="N2" s="52" t="n">
        <v>780.567</v>
      </c>
      <c r="O2" s="52">
        <f>N2*(1+NPV!C5)</f>
        <v>839.5778652000001</v>
      </c>
      <c r="P2" s="52">
        <f>O2*(1+NPV!D5)</f>
        <v>898.3296584781067</v>
      </c>
      <c r="Q2" s="52">
        <f>P2*(1+NPV!E5)</f>
        <v>956.1421627214977</v>
      </c>
      <c r="R2" s="52">
        <f>Q2*(1+NPV!F5)</f>
        <v>1012.2995790786737</v>
      </c>
      <c r="S2" s="52">
        <f>R2*(1+NPV!G5)</f>
        <v>1066.0639345008522</v>
      </c>
      <c r="T2" s="52">
        <f>S2*(1+NPV!H5)</f>
        <v>1116.690126234815</v>
      </c>
      <c r="U2" s="52">
        <f>T2*(1+NPV!I5)</f>
        <v>1163.4422195198458</v>
      </c>
      <c r="V2" s="52">
        <f>U2*(1+NPV!J5)</f>
        <v>1205.610536409554</v>
      </c>
      <c r="W2" s="52">
        <f>V2*(1+NPV!K5)</f>
        <v>1242.52901016894</v>
      </c>
      <c r="X2" s="52">
        <f>W2*(1+NPV!L5)</f>
        <v>1273.5922354231634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0.213</v>
      </c>
      <c r="F3" s="52" t="n">
        <v>2.595</v>
      </c>
      <c r="G3" s="52" t="n">
        <v>165.677</v>
      </c>
      <c r="H3" s="52" t="n">
        <v>193.66</v>
      </c>
      <c r="I3" s="52" t="n">
        <v>130.18</v>
      </c>
      <c r="J3" s="52" t="n">
        <v>126.251</v>
      </c>
      <c r="K3" s="52" t="n">
        <v>254.445</v>
      </c>
      <c r="L3" s="52" t="n">
        <v>240.598</v>
      </c>
      <c r="M3" s="52" t="n">
        <v>254.105</v>
      </c>
      <c r="N3" s="52" t="n">
        <v>317.31</v>
      </c>
      <c r="O3" s="52">
        <f>O2*(1-Assumptions!$B$19)</f>
        <v>341.28840220380005</v>
      </c>
      <c r="P3" s="52">
        <f>P2*(1-Assumptions!$B$19)</f>
        <v>365.17100617135037</v>
      </c>
      <c r="Q3" s="52">
        <f>Q2*(1-Assumptions!$B$19)</f>
        <v>388.6717891462888</v>
      </c>
      <c r="R3" s="52">
        <f>R2*(1-Assumptions!$B$19)</f>
        <v>411.4997788954808</v>
      </c>
      <c r="S3" s="52">
        <f>S2*(1-Assumptions!$B$19)</f>
        <v>433.35498937459636</v>
      </c>
      <c r="T3" s="52">
        <f>T2*(1-Assumptions!$B$19)</f>
        <v>453.9345363144522</v>
      </c>
      <c r="U3" s="52">
        <f>U2*(1-Assumptions!$B$19)</f>
        <v>472.9392622348173</v>
      </c>
      <c r="V3" s="52">
        <f>V2*(1-Assumptions!$B$19)</f>
        <v>490.0806830504837</v>
      </c>
      <c r="W3" s="52">
        <f>W2*(1-Assumptions!$B$19)</f>
        <v>505.0880426336741</v>
      </c>
      <c r="X3" s="52">
        <f>X2*(1-Assumptions!$B$19)</f>
        <v>517.7152436995159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1.498</v>
      </c>
      <c r="F4" s="52">
        <f>F2-F3</f>
        <v>25.881</v>
      </c>
      <c r="G4" s="52">
        <f>G2-G3</f>
        <v>114.73600000000002</v>
      </c>
      <c r="H4" s="52">
        <f>H2-H3</f>
        <v>103.04100000000003</v>
      </c>
      <c r="I4" s="52">
        <f>I2-I3</f>
        <v>179.836</v>
      </c>
      <c r="J4" s="52">
        <f>J2-J3</f>
        <v>150.617</v>
      </c>
      <c r="K4" s="52">
        <f>K2-K3</f>
        <v>209.488</v>
      </c>
      <c r="L4" s="52">
        <f>L2-L3</f>
        <v>326.16900000000004</v>
      </c>
      <c r="M4" s="52">
        <f>M2-M3</f>
        <v>377.34399999999994</v>
      </c>
      <c r="N4" s="52">
        <f>N2-N3</f>
        <v>463.257</v>
      </c>
      <c r="O4" s="52">
        <f>O2-O3</f>
        <v>498.2894629962001</v>
      </c>
      <c r="P4" s="52">
        <f>P2-P3</f>
        <v>533.1586523067563</v>
      </c>
      <c r="Q4" s="52">
        <f>Q2-Q3</f>
        <v>567.4703735752089</v>
      </c>
      <c r="R4" s="52">
        <f>R2-R3</f>
        <v>600.7998001831929</v>
      </c>
      <c r="S4" s="52">
        <f>S2-S3</f>
        <v>632.7089451262558</v>
      </c>
      <c r="T4" s="52">
        <f>T2-T3</f>
        <v>662.7555899203627</v>
      </c>
      <c r="U4" s="52">
        <f>U2-U3</f>
        <v>690.5029572850285</v>
      </c>
      <c r="V4" s="52">
        <f>V2-V3</f>
        <v>715.5298533590703</v>
      </c>
      <c r="W4" s="52">
        <f>W2-W3</f>
        <v>737.4409675352658</v>
      </c>
      <c r="X4" s="52">
        <f>X2-X3</f>
        <v>755.8769917236475</v>
      </c>
    </row>
    <row r="5">
      <c r="A5" s="2" t="inlineStr">
        <is>
          <t>Research &amp; Dev.</t>
        </is>
      </c>
      <c r="B5" s="52" t="n">
        <v>14.157</v>
      </c>
      <c r="C5" s="52" t="n">
        <v>14.959</v>
      </c>
      <c r="D5" s="52" t="n">
        <v>7.975</v>
      </c>
      <c r="E5" s="52" t="n">
        <v>14.948</v>
      </c>
      <c r="F5" s="52" t="n">
        <v>8.571999999999999</v>
      </c>
      <c r="G5" s="52" t="n">
        <v>8.661</v>
      </c>
      <c r="H5" s="52" t="n">
        <v>10.34</v>
      </c>
      <c r="I5" s="52" t="n">
        <v>9.772</v>
      </c>
      <c r="J5" s="52" t="n">
        <v>9.451000000000001</v>
      </c>
      <c r="K5" s="52" t="n">
        <v>3.983</v>
      </c>
      <c r="L5" s="52" t="n">
        <v>0</v>
      </c>
      <c r="M5" s="52" t="n">
        <v>0</v>
      </c>
      <c r="N5" s="52" t="n">
        <v>0</v>
      </c>
      <c r="O5" s="52">
        <f>O7*Assumptions!$B$20</f>
        <v>0.0</v>
      </c>
      <c r="P5" s="52">
        <f>P7*Assumptions!$B$20</f>
        <v>0.0</v>
      </c>
      <c r="Q5" s="52">
        <f>Q7*Assumptions!$B$20</f>
        <v>0.0</v>
      </c>
      <c r="R5" s="52">
        <f>R7*Assumptions!$B$20</f>
        <v>0.0</v>
      </c>
      <c r="S5" s="52">
        <f>S7*Assumptions!$B$20</f>
        <v>0.0</v>
      </c>
      <c r="T5" s="52">
        <f>T7*Assumptions!$B$20</f>
        <v>0.0</v>
      </c>
      <c r="U5" s="52">
        <f>U7*Assumptions!$B$20</f>
        <v>0.0</v>
      </c>
      <c r="V5" s="52">
        <f>V7*Assumptions!$B$20</f>
        <v>0.0</v>
      </c>
      <c r="W5" s="52">
        <f>W7*Assumptions!$B$20</f>
        <v>0.0</v>
      </c>
      <c r="X5" s="52">
        <f>X7*Assumptions!$B$20</f>
        <v>0.0</v>
      </c>
    </row>
    <row r="6">
      <c r="A6" s="18" t="inlineStr">
        <is>
          <t>SG&amp;A &amp; Other</t>
        </is>
      </c>
      <c r="B6" s="52" t="n">
        <v>1.885</v>
      </c>
      <c r="C6" s="52" t="n">
        <v>2.706</v>
      </c>
      <c r="D6" s="52" t="n">
        <v>18.932</v>
      </c>
      <c r="E6" s="52" t="n">
        <v>80.63200000000001</v>
      </c>
      <c r="F6" s="52" t="n">
        <v>92.756</v>
      </c>
      <c r="G6" s="52" t="n">
        <v>126.76</v>
      </c>
      <c r="H6" s="52" t="n">
        <v>116.449</v>
      </c>
      <c r="I6" s="52" t="n">
        <v>113.832</v>
      </c>
      <c r="J6" s="52" t="n">
        <v>123.538</v>
      </c>
      <c r="K6" s="52" t="n">
        <v>172.186</v>
      </c>
      <c r="L6" s="52" t="n">
        <v>159.208</v>
      </c>
      <c r="M6" s="52" t="n">
        <v>207.449</v>
      </c>
      <c r="N6" s="52" t="n">
        <v>283.621</v>
      </c>
      <c r="O6" s="52">
        <f>O7-O5</f>
        <v>330.13880815394407</v>
      </c>
      <c r="P6" s="52">
        <f>P7-P5</f>
        <v>348.31834177830103</v>
      </c>
      <c r="Q6" s="52">
        <f>Q7-Q5</f>
        <v>365.4949031219197</v>
      </c>
      <c r="R6" s="52">
        <f>R7-R5</f>
        <v>381.4142354052628</v>
      </c>
      <c r="S6" s="52">
        <f>S7-S5</f>
        <v>395.82953888016647</v>
      </c>
      <c r="T6" s="52">
        <f>T7-T5</f>
        <v>408.50758197922005</v>
      </c>
      <c r="U6" s="52">
        <f>U7-U5</f>
        <v>419.2347693817813</v>
      </c>
      <c r="V6" s="52">
        <f>V7-V5</f>
        <v>427.8229549502944</v>
      </c>
      <c r="W6" s="52">
        <f>W7-W5</f>
        <v>434.1147855728242</v>
      </c>
      <c r="X6" s="52">
        <f>X7-X5</f>
        <v>437.9883697620259</v>
      </c>
    </row>
    <row r="7">
      <c r="A7" s="2" t="inlineStr">
        <is>
          <t>Operating Expense</t>
        </is>
      </c>
      <c r="B7" s="52">
        <f>SUM(B5:B6)</f>
        <v>16.042</v>
      </c>
      <c r="C7" s="52">
        <f>SUM(C5:C6)</f>
        <v>17.665</v>
      </c>
      <c r="D7" s="52">
        <f>SUM(D5:D6)</f>
        <v>26.906999999999996</v>
      </c>
      <c r="E7" s="52">
        <f>SUM(E5:E6)</f>
        <v>95.58000000000001</v>
      </c>
      <c r="F7" s="52">
        <f>SUM(F5:F6)</f>
        <v>101.328</v>
      </c>
      <c r="G7" s="52">
        <f>SUM(G5:G6)</f>
        <v>135.421</v>
      </c>
      <c r="H7" s="52">
        <f>SUM(H5:H6)</f>
        <v>126.789</v>
      </c>
      <c r="I7" s="52">
        <f>SUM(I5:I6)</f>
        <v>123.604</v>
      </c>
      <c r="J7" s="52">
        <f>SUM(J5:J6)</f>
        <v>132.989</v>
      </c>
      <c r="K7" s="52">
        <f>SUM(K5:K6)</f>
        <v>176.169</v>
      </c>
      <c r="L7" s="52">
        <f>SUM(L5:L6)</f>
        <v>159.208</v>
      </c>
      <c r="M7" s="52">
        <f>SUM(M5:M6)</f>
        <v>207.449</v>
      </c>
      <c r="N7" s="52">
        <f>SUM(N5:N6)</f>
        <v>283.621</v>
      </c>
      <c r="O7" s="52">
        <f>O4-O2*NPV!C6</f>
        <v>330.13880815394407</v>
      </c>
      <c r="P7" s="52">
        <f>P4-P2*NPV!D6</f>
        <v>348.31834177830103</v>
      </c>
      <c r="Q7" s="52">
        <f>Q4-Q2*NPV!E6</f>
        <v>365.4949031219197</v>
      </c>
      <c r="R7" s="52">
        <f>R4-R2*NPV!F6</f>
        <v>381.4142354052628</v>
      </c>
      <c r="S7" s="52">
        <f>S4-S2*NPV!G6</f>
        <v>395.82953888016647</v>
      </c>
      <c r="T7" s="52">
        <f>T4-T2*NPV!H6</f>
        <v>408.50758197922005</v>
      </c>
      <c r="U7" s="52">
        <f>U4-U2*NPV!I6</f>
        <v>419.2347693817813</v>
      </c>
      <c r="V7" s="52">
        <f>V4-V2*NPV!J6</f>
        <v>427.8229549502944</v>
      </c>
      <c r="W7" s="52">
        <f>W4-W2*NPV!K6</f>
        <v>434.1147855728242</v>
      </c>
      <c r="X7" s="52">
        <f>X4-X2*NPV!L6</f>
        <v>437.9883697620259</v>
      </c>
    </row>
    <row r="8">
      <c r="A8" s="2" t="inlineStr">
        <is>
          <t>Operating Income</t>
        </is>
      </c>
      <c r="B8" s="52">
        <f>B4-B7</f>
        <v>-16.042</v>
      </c>
      <c r="C8" s="52">
        <f>C4-C7</f>
        <v>-17.665</v>
      </c>
      <c r="D8" s="52">
        <f>D4-D7</f>
        <v>-26.906999999999996</v>
      </c>
      <c r="E8" s="52">
        <f>E4-E7</f>
        <v>-94.08200000000001</v>
      </c>
      <c r="F8" s="52">
        <f>F4-F7</f>
        <v>-75.447</v>
      </c>
      <c r="G8" s="52">
        <f>G4-G7</f>
        <v>-20.684999999999974</v>
      </c>
      <c r="H8" s="52">
        <f>H4-H7</f>
        <v>-23.747999999999976</v>
      </c>
      <c r="I8" s="52">
        <f>I4-I7</f>
        <v>56.23200000000001</v>
      </c>
      <c r="J8" s="52">
        <f>J4-J7</f>
        <v>17.627999999999986</v>
      </c>
      <c r="K8" s="52">
        <f>K4-K7</f>
        <v>33.31899999999999</v>
      </c>
      <c r="L8" s="52">
        <f>L4-L7</f>
        <v>166.96100000000004</v>
      </c>
      <c r="M8" s="52">
        <f>M4-M7</f>
        <v>169.89499999999992</v>
      </c>
      <c r="N8" s="52">
        <f>N4-N7</f>
        <v>179.63600000000002</v>
      </c>
      <c r="O8" s="52">
        <f>O4-O7</f>
        <v>168.15065484225602</v>
      </c>
      <c r="P8" s="52">
        <f>P4-P7</f>
        <v>184.84031052845523</v>
      </c>
      <c r="Q8" s="52">
        <f>Q4-Q7</f>
        <v>201.97547045328918</v>
      </c>
      <c r="R8" s="52">
        <f>R4-R7</f>
        <v>219.38556477793014</v>
      </c>
      <c r="S8" s="52">
        <f>S4-S7</f>
        <v>236.87940624608933</v>
      </c>
      <c r="T8" s="52">
        <f>T4-T7</f>
        <v>254.24800794114265</v>
      </c>
      <c r="U8" s="52">
        <f>U4-U7</f>
        <v>271.2681879032472</v>
      </c>
      <c r="V8" s="52">
        <f>V4-V7</f>
        <v>287.70689840877594</v>
      </c>
      <c r="W8" s="52">
        <f>W4-W7</f>
        <v>303.32618196244164</v>
      </c>
      <c r="X8" s="52">
        <f>X4-X7</f>
        <v>317.8886219616216</v>
      </c>
    </row>
    <row r="9">
      <c r="A9" s="18" t="inlineStr">
        <is>
          <t>Interest &amp; Other</t>
        </is>
      </c>
      <c r="B9" s="52" t="n">
        <v>-0.155</v>
      </c>
      <c r="C9" s="52" t="n">
        <v>-0.252</v>
      </c>
      <c r="D9" s="52" t="n">
        <v>-0.348</v>
      </c>
      <c r="E9" s="52" t="n">
        <v>-0.094</v>
      </c>
      <c r="F9" s="52" t="n">
        <v>0.582</v>
      </c>
      <c r="G9" s="52" t="n">
        <v>-18.443</v>
      </c>
      <c r="H9" s="52" t="n">
        <v>1.026</v>
      </c>
      <c r="I9" s="52" t="n">
        <v>-28.65</v>
      </c>
      <c r="J9" s="52" t="n">
        <v>-20.519</v>
      </c>
      <c r="K9" s="52" t="n">
        <v>-62.164</v>
      </c>
      <c r="L9" s="52" t="n">
        <v>-91.383</v>
      </c>
      <c r="M9" s="52" t="n">
        <v>-71.517</v>
      </c>
      <c r="N9" s="52" t="n">
        <v>-86.887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</row>
    <row r="10">
      <c r="A10" s="2" t="inlineStr">
        <is>
          <t>Pretax</t>
        </is>
      </c>
      <c r="B10" s="52">
        <f>B8+B9</f>
        <v>-16.197000000000003</v>
      </c>
      <c r="C10" s="52">
        <f>C8+C9</f>
        <v>-17.916999999999998</v>
      </c>
      <c r="D10" s="52">
        <f>D8+D9</f>
        <v>-27.254999999999995</v>
      </c>
      <c r="E10" s="52">
        <f>E8+E9</f>
        <v>-94.176</v>
      </c>
      <c r="F10" s="52">
        <f>F8+F9</f>
        <v>-74.86500000000001</v>
      </c>
      <c r="G10" s="52">
        <f>G8+G9</f>
        <v>-39.12799999999997</v>
      </c>
      <c r="H10" s="52">
        <f>H8+H9</f>
        <v>-22.721999999999976</v>
      </c>
      <c r="I10" s="52">
        <f>I8+I9</f>
        <v>27.582000000000015</v>
      </c>
      <c r="J10" s="52">
        <f>J8+J9</f>
        <v>-2.8910000000000124</v>
      </c>
      <c r="K10" s="52">
        <f>K8+K9</f>
        <v>-28.845000000000013</v>
      </c>
      <c r="L10" s="52">
        <f>L8+L9</f>
        <v>75.57800000000005</v>
      </c>
      <c r="M10" s="52">
        <f>M8+M9</f>
        <v>98.37799999999993</v>
      </c>
      <c r="N10" s="52">
        <f>N8+N9</f>
        <v>92.74900000000002</v>
      </c>
      <c r="O10" s="52">
        <f>O8+O9</f>
        <v>168.15065484225602</v>
      </c>
      <c r="P10" s="52">
        <f>P8+P9</f>
        <v>184.84031052845523</v>
      </c>
      <c r="Q10" s="52">
        <f>Q8+Q9</f>
        <v>201.97547045328918</v>
      </c>
      <c r="R10" s="52">
        <f>R8+R9</f>
        <v>219.38556477793014</v>
      </c>
      <c r="S10" s="52">
        <f>S8+S9</f>
        <v>236.87940624608933</v>
      </c>
      <c r="T10" s="52">
        <f>T8+T9</f>
        <v>254.24800794114265</v>
      </c>
      <c r="U10" s="52">
        <f>U8+U9</f>
        <v>271.2681879032472</v>
      </c>
      <c r="V10" s="52">
        <f>V8+V9</f>
        <v>287.70689840877594</v>
      </c>
      <c r="W10" s="52">
        <f>W8+W9</f>
        <v>303.32618196244164</v>
      </c>
      <c r="X10" s="52">
        <f>X8+X9</f>
        <v>317.8886219616216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0.83</v>
      </c>
      <c r="J11" s="52" t="n">
        <v>-74.89100000000001</v>
      </c>
      <c r="K11" s="52" t="n">
        <v>-3.845</v>
      </c>
      <c r="L11" s="52" t="n">
        <v>27.578</v>
      </c>
      <c r="M11" s="52" t="n">
        <v>29.378</v>
      </c>
      <c r="N11" s="52" t="n">
        <v>29.749</v>
      </c>
      <c r="O11" s="52">
        <f>MAX(0,O10)*Assumptions!$E$14</f>
        <v>28.585611323183524</v>
      </c>
      <c r="P11" s="52">
        <f>MAX(0,P10)*Assumptions!$E$14</f>
        <v>31.422852789837393</v>
      </c>
      <c r="Q11" s="52">
        <f>MAX(0,Q10)*Assumptions!$E$14</f>
        <v>34.33582997705916</v>
      </c>
      <c r="R11" s="52">
        <f>MAX(0,R10)*Assumptions!$E$14</f>
        <v>37.295546012248124</v>
      </c>
      <c r="S11" s="52">
        <f>MAX(0,S10)*Assumptions!$E$14</f>
        <v>40.26949906183519</v>
      </c>
      <c r="T11" s="52">
        <f>MAX(0,T10)*Assumptions!$E$14</f>
        <v>43.22216134999425</v>
      </c>
      <c r="U11" s="52">
        <f>MAX(0,U10)*Assumptions!$E$14</f>
        <v>46.11559194355203</v>
      </c>
      <c r="V11" s="52">
        <f>MAX(0,V10)*Assumptions!$E$14</f>
        <v>48.91017272949191</v>
      </c>
      <c r="W11" s="52">
        <f>MAX(0,W10)*Assumptions!$E$14</f>
        <v>51.56545093361508</v>
      </c>
      <c r="X11" s="52">
        <f>MAX(0,X10)*Assumptions!$E$14</f>
        <v>54.041065733475676</v>
      </c>
    </row>
    <row r="12">
      <c r="A12" s="2" t="inlineStr">
        <is>
          <t>Net Income</t>
        </is>
      </c>
      <c r="B12" s="52" t="n">
        <v>-16.197</v>
      </c>
      <c r="C12" s="52" t="n">
        <v>-17.917</v>
      </c>
      <c r="D12" s="52" t="n">
        <v>-27.255</v>
      </c>
      <c r="E12" s="52" t="n">
        <v>-94.176</v>
      </c>
      <c r="F12" s="52" t="n">
        <v>-74.86499999999999</v>
      </c>
      <c r="G12" s="52" t="n">
        <v>-39.128</v>
      </c>
      <c r="H12" s="52" t="n">
        <v>-22.722</v>
      </c>
      <c r="I12" s="52" t="n">
        <v>26.752</v>
      </c>
      <c r="J12" s="52" t="n">
        <v>72</v>
      </c>
      <c r="K12" s="52" t="n">
        <v>-25</v>
      </c>
      <c r="L12" s="52" t="n">
        <v>48</v>
      </c>
      <c r="M12" s="52" t="n">
        <v>69</v>
      </c>
      <c r="N12" s="52" t="n">
        <v>63</v>
      </c>
      <c r="O12" s="52">
        <f>O10-O11</f>
        <v>139.5650435190725</v>
      </c>
      <c r="P12" s="52">
        <f>P10-P11</f>
        <v>153.41745773861783</v>
      </c>
      <c r="Q12" s="52">
        <f>Q10-Q11</f>
        <v>167.63964047623</v>
      </c>
      <c r="R12" s="52">
        <f>R10-R11</f>
        <v>182.09001876568203</v>
      </c>
      <c r="S12" s="52">
        <f>S10-S11</f>
        <v>196.60990718425415</v>
      </c>
      <c r="T12" s="52">
        <f>T10-T11</f>
        <v>211.0258465911484</v>
      </c>
      <c r="U12" s="52">
        <f>U10-U11</f>
        <v>225.1525959596952</v>
      </c>
      <c r="V12" s="52">
        <f>V10-V11</f>
        <v>238.79672567928404</v>
      </c>
      <c r="W12" s="52">
        <f>W10-W11</f>
        <v>251.76073102882657</v>
      </c>
      <c r="X12" s="52">
        <f>X10-X11</f>
        <v>263.8475562281459</v>
      </c>
    </row>
    <row r="13">
      <c r="A13" s="2" t="inlineStr">
        <is>
          <t>Earnings per Share</t>
        </is>
      </c>
      <c r="B13" s="11">
        <f>IFERROR(B12/B14,0)</f>
        <v>-9.544490276959339</v>
      </c>
      <c r="C13" s="11">
        <f>IFERROR(C12/C14,0)</f>
        <v>-19.1830835117773</v>
      </c>
      <c r="D13" s="11">
        <f>IFERROR(D12/D14,0)</f>
        <v>-2.0126273814798403</v>
      </c>
      <c r="E13" s="11">
        <f>IFERROR(E12/E14,0)</f>
        <v>-3.8814656060668504</v>
      </c>
      <c r="F13" s="11">
        <f>IFERROR(F12/F14,0)</f>
        <v>-2.473649430034693</v>
      </c>
      <c r="G13" s="11">
        <f>IFERROR(G12/G14,0)</f>
        <v>-1.187352066516963</v>
      </c>
      <c r="H13" s="11">
        <f>IFERROR(H12/H14,0)</f>
        <v>-0.6792012913254021</v>
      </c>
      <c r="I13" s="11">
        <f>IFERROR(I12/I14,0)</f>
        <v>0.7610594293192227</v>
      </c>
      <c r="J13" s="11">
        <f>IFERROR(J12/J14,0)</f>
        <v>1.7541295132290602</v>
      </c>
      <c r="K13" s="11">
        <f>IFERROR(K12/K14,0)</f>
        <v>-0.7390109078009991</v>
      </c>
      <c r="L13" s="11">
        <f>IFERROR(L12/L14,0)</f>
        <v>1.1486551163013305</v>
      </c>
      <c r="M13" s="11">
        <f>IFERROR(M12/M14,0)</f>
        <v>1.706906788046705</v>
      </c>
      <c r="N13" s="11">
        <f>IFERROR(N12/N14,0)</f>
        <v>1.5868218225782078</v>
      </c>
      <c r="O13" s="11">
        <f>IFERROR(O12/O14,0)</f>
        <v>4.286973294561294</v>
      </c>
      <c r="P13" s="11">
        <f>IFERROR(P12/P14,0)</f>
        <v>4.712473321839089</v>
      </c>
      <c r="Q13" s="11">
        <f>IFERROR(Q12/Q14,0)</f>
        <v>5.149331406422296</v>
      </c>
      <c r="R13" s="11">
        <f>IFERROR(R12/R14,0)</f>
        <v>5.593198898318457</v>
      </c>
      <c r="S13" s="11">
        <f>IFERROR(S12/S14,0)</f>
        <v>6.039201509867259</v>
      </c>
      <c r="T13" s="11">
        <f>IFERROR(T12/T14,0)</f>
        <v>6.482011153995115</v>
      </c>
      <c r="U13" s="11">
        <f>IFERROR(U12/U14,0)</f>
        <v>6.915937843335808</v>
      </c>
      <c r="V13" s="11">
        <f>IFERROR(V12/V14,0)</f>
        <v>7.335040064497758</v>
      </c>
      <c r="W13" s="11">
        <f>IFERROR(W12/W14,0)</f>
        <v>7.733251130268275</v>
      </c>
      <c r="X13" s="11">
        <f>IFERROR(X12/X14,0)</f>
        <v>8.104518143404208</v>
      </c>
    </row>
    <row r="14">
      <c r="A14" s="2" t="inlineStr">
        <is>
          <t>Shares</t>
        </is>
      </c>
      <c r="B14" s="52" t="n">
        <v>1.697</v>
      </c>
      <c r="C14" s="52" t="n">
        <v>0.9340000000000001</v>
      </c>
      <c r="D14" s="52" t="n">
        <v>13.542</v>
      </c>
      <c r="E14" s="52" t="n">
        <v>24.263</v>
      </c>
      <c r="F14" s="52" t="n">
        <v>30.265</v>
      </c>
      <c r="G14" s="52" t="n">
        <v>32.954</v>
      </c>
      <c r="H14" s="52" t="n">
        <v>33.454</v>
      </c>
      <c r="I14" s="52" t="n">
        <v>35.151</v>
      </c>
      <c r="J14" s="52" t="n">
        <v>41.046</v>
      </c>
      <c r="K14" s="52" t="n">
        <v>33.829</v>
      </c>
      <c r="L14" s="52" t="n">
        <v>41.788</v>
      </c>
      <c r="M14" s="52" t="n">
        <v>40.424</v>
      </c>
      <c r="N14" s="52" t="n">
        <v>39.702</v>
      </c>
      <c r="O14" s="52">
        <f>Main!$C$4</f>
        <v>32.555613</v>
      </c>
      <c r="P14" s="52">
        <f>Main!$C$4</f>
        <v>32.555613</v>
      </c>
      <c r="Q14" s="52">
        <f>Main!$C$4</f>
        <v>32.555613</v>
      </c>
      <c r="R14" s="52">
        <f>Main!$C$4</f>
        <v>32.555613</v>
      </c>
      <c r="S14" s="52">
        <f>Main!$C$4</f>
        <v>32.555613</v>
      </c>
      <c r="T14" s="52">
        <f>Main!$C$4</f>
        <v>32.555613</v>
      </c>
      <c r="U14" s="52">
        <f>Main!$C$4</f>
        <v>32.555613</v>
      </c>
      <c r="V14" s="52">
        <f>Main!$C$4</f>
        <v>32.555613</v>
      </c>
      <c r="W14" s="52">
        <f>Main!$C$4</f>
        <v>32.555613</v>
      </c>
      <c r="X14" s="52">
        <f>Main!$C$4</f>
        <v>32.555613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15.64289888953828</v>
      </c>
      <c r="G16" s="15">
        <f>IFERROR(G2/F2-1,"")</f>
        <v>8.847345132743364</v>
      </c>
      <c r="H16" s="15">
        <f>IFERROR(H2/G2-1,"")</f>
        <v>0.058085752087100095</v>
      </c>
      <c r="I16" s="15">
        <f>IFERROR(I2/H2-1,"")</f>
        <v>0.044876828861379</v>
      </c>
      <c r="J16" s="15">
        <f>IFERROR(J2/I2-1,"")</f>
        <v>-0.10692351362510333</v>
      </c>
      <c r="K16" s="15">
        <f>IFERROR(K2/J2-1,"")</f>
        <v>0.6756468786569774</v>
      </c>
      <c r="L16" s="15">
        <f>IFERROR(L2/K2-1,"")</f>
        <v>0.22165700650740527</v>
      </c>
      <c r="M16" s="15">
        <f>IFERROR(M2/L2-1,"")</f>
        <v>0.11412449913280032</v>
      </c>
      <c r="N16" s="15">
        <f>IFERROR(N2/M2-1,"")</f>
        <v>0.23615208829216616</v>
      </c>
      <c r="O16" s="15">
        <f>IFERROR(O2/N2-1,"")</f>
        <v>0.07560000000000011</v>
      </c>
      <c r="P16" s="15">
        <f>IFERROR(P2/O2-1,"")</f>
        <v>0.0699777777777777</v>
      </c>
      <c r="Q16" s="15">
        <f>IFERROR(Q2/P2-1,"")</f>
        <v>0.0643555555555555</v>
      </c>
      <c r="R16" s="15">
        <f>IFERROR(R2/Q2-1,"")</f>
        <v>0.058733333333333304</v>
      </c>
      <c r="S16" s="15">
        <f>IFERROR(S2/R2-1,"")</f>
        <v>0.05311111111111111</v>
      </c>
      <c r="T16" s="15">
        <f>IFERROR(T2/S2-1,"")</f>
        <v>0.047488888888888914</v>
      </c>
      <c r="U16" s="15">
        <f>IFERROR(U2/T2-1,"")</f>
        <v>0.04186666666666672</v>
      </c>
      <c r="V16" s="15">
        <f>IFERROR(V2/U2-1,"")</f>
        <v>0.036244444444444524</v>
      </c>
      <c r="W16" s="15">
        <f>IFERROR(W2/V2-1,"")</f>
        <v>0.03062222222222233</v>
      </c>
      <c r="X16" s="15">
        <f>IFERROR(X2/W2-1,"")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0.8755113968439509</v>
      </c>
      <c r="F17" s="15">
        <f>IFERROR(F4/F2,"")</f>
        <v>0.9088706278971767</v>
      </c>
      <c r="G17" s="15">
        <f>IFERROR(G4/G2,"")</f>
        <v>0.40916790591021107</v>
      </c>
      <c r="H17" s="15">
        <f>IFERROR(H4/H2,"")</f>
        <v>0.34728902160761177</v>
      </c>
      <c r="I17" s="15">
        <f>IFERROR(I4/I2,"")</f>
        <v>0.5800861890999174</v>
      </c>
      <c r="J17" s="15">
        <f>IFERROR(J4/J2,"")</f>
        <v>0.5440029183582068</v>
      </c>
      <c r="K17" s="15">
        <f>IFERROR(K4/K2,"")</f>
        <v>0.4515479605891368</v>
      </c>
      <c r="L17" s="15">
        <f>IFERROR(L4/L2,"")</f>
        <v>0.5754904572778584</v>
      </c>
      <c r="M17" s="15">
        <f>IFERROR(M4/M2,"")</f>
        <v>0.5975842863002395</v>
      </c>
      <c r="N17" s="15">
        <f>IFERROR(N4/N2,"")</f>
        <v>0.5934878107836995</v>
      </c>
      <c r="O17" s="15">
        <f>IFERROR(O4/O2,"")</f>
        <v>0.5935</v>
      </c>
      <c r="P17" s="15">
        <f>IFERROR(P4/P2,"")</f>
        <v>0.5934999999999999</v>
      </c>
      <c r="Q17" s="15">
        <f>IFERROR(Q4/Q2,"")</f>
        <v>0.5935</v>
      </c>
      <c r="R17" s="15">
        <f>IFERROR(R4/R2,"")</f>
        <v>0.5935000000000001</v>
      </c>
      <c r="S17" s="15">
        <f>IFERROR(S4/S2,"")</f>
        <v>0.5935</v>
      </c>
      <c r="T17" s="15">
        <f>IFERROR(T4/T2,"")</f>
        <v>0.5935</v>
      </c>
      <c r="U17" s="15">
        <f>IFERROR(U4/U2,"")</f>
        <v>0.5935</v>
      </c>
      <c r="V17" s="15">
        <f>IFERROR(V4/V2,"")</f>
        <v>0.5935</v>
      </c>
      <c r="W17" s="15">
        <f>IFERROR(W4/W2,"")</f>
        <v>0.5934999999999999</v>
      </c>
      <c r="X17" s="15">
        <f>IFERROR(X4/X2,"")</f>
        <v>0.5935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-54.98655756867329</v>
      </c>
      <c r="F18" s="15">
        <f>IFERROR(F8/F2,"")</f>
        <v>-2.649494310998736</v>
      </c>
      <c r="G18" s="15">
        <f>IFERROR(G8/G2,"")</f>
        <v>-0.0737661948625776</v>
      </c>
      <c r="H18" s="15">
        <f>IFERROR(H8/H2,"")</f>
        <v>-0.08004017512579996</v>
      </c>
      <c r="I18" s="15">
        <f>IFERROR(I8/I2,"")</f>
        <v>0.18138418662262595</v>
      </c>
      <c r="J18" s="15">
        <f>IFERROR(J8/J2,"")</f>
        <v>0.06366932978892463</v>
      </c>
      <c r="K18" s="15">
        <f>IFERROR(K8/K2,"")</f>
        <v>0.07181856000758728</v>
      </c>
      <c r="L18" s="15">
        <f>IFERROR(L8/L2,"")</f>
        <v>0.29458489996771164</v>
      </c>
      <c r="M18" s="15">
        <f>IFERROR(M8/M2,"")</f>
        <v>0.26905577489235066</v>
      </c>
      <c r="N18" s="15">
        <f>IFERROR(N8/N2,"")</f>
        <v>0.23013527346147097</v>
      </c>
      <c r="O18" s="15">
        <f>IFERROR(O8/O2,"")</f>
        <v>0.20027999999999999</v>
      </c>
      <c r="P18" s="15">
        <f>IFERROR(P8/P2,"")</f>
        <v>0.20576</v>
      </c>
      <c r="Q18" s="15">
        <f>IFERROR(Q8/Q2,"")</f>
        <v>0.21124</v>
      </c>
      <c r="R18" s="15">
        <f>IFERROR(R8/R2,"")</f>
        <v>0.21672</v>
      </c>
      <c r="S18" s="15">
        <f>IFERROR(S8/S2,"")</f>
        <v>0.22219999999999998</v>
      </c>
      <c r="T18" s="15">
        <f>IFERROR(T8/T2,"")</f>
        <v>0.22768</v>
      </c>
      <c r="U18" s="15">
        <f>IFERROR(U8/U2,"")</f>
        <v>0.23315999999999998</v>
      </c>
      <c r="V18" s="15">
        <f>IFERROR(V8/V2,"")</f>
        <v>0.23863999999999996</v>
      </c>
      <c r="W18" s="15">
        <f>IFERROR(W8/W2,"")</f>
        <v>0.24412</v>
      </c>
      <c r="X18" s="15">
        <f>IFERROR(X8/X2,"")</f>
        <v>0.24960000000000002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Collegium Pharmaceutical,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0.0256</v>
      </c>
      <c r="C12" s="53" t="n">
        <v>0.0756</v>
      </c>
      <c r="D12" s="53" t="n">
        <v>0.1256</v>
      </c>
      <c r="E12" s="54">
        <f>CHOOSE($B$4,B12,C12,D12)</f>
        <v>0.0756</v>
      </c>
    </row>
    <row r="13">
      <c r="A13" s="14" t="inlineStr">
        <is>
          <t>Operating margin, year 10</t>
        </is>
      </c>
      <c r="B13" s="53" t="n">
        <v>0.1996</v>
      </c>
      <c r="C13" s="53" t="n">
        <v>0.2496</v>
      </c>
      <c r="D13" s="53" t="n">
        <v>0.2996</v>
      </c>
      <c r="E13" s="54">
        <f>CHOOSE($B$4,B13,C13,D13)</f>
        <v>0.2496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0.1948</v>
      </c>
    </row>
    <row r="19">
      <c r="A19" s="14" t="inlineStr">
        <is>
          <t>Gross margin (forecast)</t>
        </is>
      </c>
      <c r="B19" s="53" t="n">
        <v>0.5935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Model'!N2</f>
        <v>780.567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1892.963234849085</v>
      </c>
      <c r="C29" s="56">
        <f>NPV!B26</f>
        <v>930.8732348490851</v>
      </c>
      <c r="D29" s="35">
        <f>NPV!B28</f>
        <v>28.59332536140803</v>
      </c>
      <c r="E29" s="57">
        <f>NPV!B30</f>
        <v>0.22560331596262473</v>
      </c>
    </row>
    <row r="30">
      <c r="A30" s="58" t="n">
        <v>1</v>
      </c>
      <c r="B30" s="59">
        <f t="dataTable" ref="B30:E32" r1="B4"/>
        <v>1183.1838056665308</v>
      </c>
      <c r="C30" s="59">
        <v>221.0938056665309</v>
      </c>
      <c r="D30" s="39">
        <v>6.7912653239406335</v>
      </c>
      <c r="E30" s="60">
        <v>-0.7089041867149322</v>
      </c>
    </row>
    <row r="31">
      <c r="A31" s="58" t="n">
        <v>2</v>
      </c>
      <c r="B31" s="59">
        <v>1892.963234849085</v>
      </c>
      <c r="C31" s="59">
        <v>930.8732348490851</v>
      </c>
      <c r="D31" s="39">
        <v>28.59332536140803</v>
      </c>
      <c r="E31" s="60">
        <v>0.22560331596262473</v>
      </c>
    </row>
    <row r="32">
      <c r="A32" s="58" t="n">
        <v>3</v>
      </c>
      <c r="B32" s="59">
        <v>3126.4056589948573</v>
      </c>
      <c r="C32" s="59">
        <v>2164.3156589948576</v>
      </c>
      <c r="D32" s="39">
        <v>66.4805684658697</v>
      </c>
      <c r="E32" s="60">
        <v>1.8495743020089885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28.59332536140803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37.70677436407949</v>
      </c>
      <c r="C37" s="39">
        <v>40.664322256617105</v>
      </c>
      <c r="D37" s="39">
        <v>43.98682762278428</v>
      </c>
      <c r="E37" s="39">
        <v>47.74723816768721</v>
      </c>
      <c r="F37" s="39">
        <v>52.03934341839597</v>
      </c>
    </row>
    <row r="38">
      <c r="A38" s="62" t="n">
        <v>0.115</v>
      </c>
      <c r="B38" s="39">
        <v>30.581680466263332</v>
      </c>
      <c r="C38" s="39">
        <v>32.8724131883151</v>
      </c>
      <c r="D38" s="39">
        <v>35.41362887284574</v>
      </c>
      <c r="E38" s="39">
        <v>38.24949321606376</v>
      </c>
      <c r="F38" s="39">
        <v>41.43521301593882</v>
      </c>
    </row>
    <row r="39">
      <c r="A39" s="62" t="n">
        <v>0.125</v>
      </c>
      <c r="B39" s="39">
        <v>24.787840572006523</v>
      </c>
      <c r="C39" s="39">
        <v>26.60163939786264</v>
      </c>
      <c r="D39" s="39">
        <v>28.59332536140803</v>
      </c>
      <c r="E39" s="39">
        <v>30.790953933817242</v>
      </c>
      <c r="F39" s="39">
        <v>33.22881485799877</v>
      </c>
    </row>
    <row r="40">
      <c r="A40" s="62" t="n">
        <v>0.135</v>
      </c>
      <c r="B40" s="39">
        <v>19.989274240721212</v>
      </c>
      <c r="C40" s="39">
        <v>21.451879216783947</v>
      </c>
      <c r="D40" s="39">
        <v>23.044401514485006</v>
      </c>
      <c r="E40" s="39">
        <v>24.78537297921742</v>
      </c>
      <c r="F40" s="39">
        <v>26.697031584161092</v>
      </c>
    </row>
    <row r="41">
      <c r="A41" s="62" t="n">
        <v>0.145</v>
      </c>
      <c r="B41" s="39">
        <v>15.953706213263727</v>
      </c>
      <c r="C41" s="39">
        <v>17.151392278841797</v>
      </c>
      <c r="D41" s="39">
        <v>18.446206479686587</v>
      </c>
      <c r="E41" s="39">
        <v>19.850793380551956</v>
      </c>
      <c r="F41" s="39">
        <v>21.380096346342533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Collegium Pharmaceutical, Inc.: free-cash-flow DCF ($mm)</t>
        </is>
      </c>
    </row>
    <row r="3">
      <c r="A3" s="20" t="inlineStr">
        <is>
          <t>Fiscal year</t>
        </is>
      </c>
      <c r="B3" s="43">
        <f>'Yearly Model'!N1</f>
        <v>2025</v>
      </c>
      <c r="C3" s="43">
        <f>'Yearly Model'!O1</f>
        <v>2026</v>
      </c>
      <c r="D3" s="43">
        <f>'Yearly Model'!P1</f>
        <v>2027</v>
      </c>
      <c r="E3" s="43">
        <f>'Yearly Model'!Q1</f>
        <v>2028</v>
      </c>
      <c r="F3" s="43">
        <f>'Yearly Model'!R1</f>
        <v>2029</v>
      </c>
      <c r="G3" s="43">
        <f>'Yearly Model'!S1</f>
        <v>2030</v>
      </c>
      <c r="H3" s="43">
        <f>'Yearly Model'!T1</f>
        <v>2031</v>
      </c>
      <c r="I3" s="43">
        <f>'Yearly Model'!U1</f>
        <v>2032</v>
      </c>
      <c r="J3" s="43">
        <f>'Yearly Model'!V1</f>
        <v>2033</v>
      </c>
      <c r="K3" s="43">
        <f>'Yearly Model'!W1</f>
        <v>2034</v>
      </c>
      <c r="L3" s="43">
        <f>'Yearly Model'!X1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0.0756</v>
      </c>
      <c r="D5" s="63">
        <f>Assumptions!$E$12+(Assumptions!$E$11-Assumptions!$E$12)*(D4-1)/(Assumptions!$B$21-1)</f>
        <v>0.06997777777777778</v>
      </c>
      <c r="E5" s="63">
        <f>Assumptions!$E$12+(Assumptions!$E$11-Assumptions!$E$12)*(E4-1)/(Assumptions!$B$21-1)</f>
        <v>0.06435555555555555</v>
      </c>
      <c r="F5" s="63">
        <f>Assumptions!$E$12+(Assumptions!$E$11-Assumptions!$E$12)*(F4-1)/(Assumptions!$B$21-1)</f>
        <v>0.05873333333333333</v>
      </c>
      <c r="G5" s="63">
        <f>Assumptions!$E$12+(Assumptions!$E$11-Assumptions!$E$12)*(G4-1)/(Assumptions!$B$21-1)</f>
        <v>0.05311111111111111</v>
      </c>
      <c r="H5" s="63">
        <f>Assumptions!$E$12+(Assumptions!$E$11-Assumptions!$E$12)*(H4-1)/(Assumptions!$B$21-1)</f>
        <v>0.047488888888888886</v>
      </c>
      <c r="I5" s="63">
        <f>Assumptions!$E$12+(Assumptions!$E$11-Assumptions!$E$12)*(I4-1)/(Assumptions!$B$21-1)</f>
        <v>0.04186666666666667</v>
      </c>
      <c r="J5" s="63">
        <f>Assumptions!$E$12+(Assumptions!$E$11-Assumptions!$E$12)*(J4-1)/(Assumptions!$B$21-1)</f>
        <v>0.03624444444444444</v>
      </c>
      <c r="K5" s="63">
        <f>Assumptions!$E$12+(Assumptions!$E$11-Assumptions!$E$12)*(K4-1)/(Assumptions!$B$21-1)</f>
        <v>0.030622222222222224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0.23013527346147097</v>
      </c>
      <c r="C6" s="63">
        <f>Assumptions!$B$18+(Assumptions!$E$13-Assumptions!$B$18)*C4/Assumptions!$B$21</f>
        <v>0.20028</v>
      </c>
      <c r="D6" s="63">
        <f>Assumptions!$B$18+(Assumptions!$E$13-Assumptions!$B$18)*D4/Assumptions!$B$21</f>
        <v>0.20576</v>
      </c>
      <c r="E6" s="63">
        <f>Assumptions!$B$18+(Assumptions!$E$13-Assumptions!$B$18)*E4/Assumptions!$B$21</f>
        <v>0.21123999999999998</v>
      </c>
      <c r="F6" s="63">
        <f>Assumptions!$B$18+(Assumptions!$E$13-Assumptions!$B$18)*F4/Assumptions!$B$21</f>
        <v>0.21672</v>
      </c>
      <c r="G6" s="63">
        <f>Assumptions!$B$18+(Assumptions!$E$13-Assumptions!$B$18)*G4/Assumptions!$B$21</f>
        <v>0.22219999999999998</v>
      </c>
      <c r="H6" s="63">
        <f>Assumptions!$B$18+(Assumptions!$E$13-Assumptions!$B$18)*H4/Assumptions!$B$21</f>
        <v>0.22768</v>
      </c>
      <c r="I6" s="63">
        <f>Assumptions!$B$18+(Assumptions!$E$13-Assumptions!$B$18)*I4/Assumptions!$B$21</f>
        <v>0.23315999999999998</v>
      </c>
      <c r="J6" s="63">
        <f>Assumptions!$B$18+(Assumptions!$E$13-Assumptions!$B$18)*J4/Assumptions!$B$21</f>
        <v>0.23864</v>
      </c>
      <c r="K6" s="63">
        <f>Assumptions!$B$18+(Assumptions!$E$13-Assumptions!$B$18)*K4/Assumptions!$B$21</f>
        <v>0.24412</v>
      </c>
      <c r="L6" s="63">
        <f>Assumptions!$B$18+(Assumptions!$E$13-Assumptions!$B$18)*L4/Assumptions!$B$21</f>
        <v>0.2496</v>
      </c>
    </row>
    <row r="7">
      <c r="A7" s="14" t="inlineStr">
        <is>
          <t>Revenue</t>
        </is>
      </c>
      <c r="B7" s="55">
        <f>'Yearly Model'!N2</f>
        <v>780.567</v>
      </c>
      <c r="C7" s="55">
        <f>'Yearly Model'!O2</f>
        <v>839.5778652000001</v>
      </c>
      <c r="D7" s="55">
        <f>'Yearly Model'!P2</f>
        <v>898.3296584781067</v>
      </c>
      <c r="E7" s="55">
        <f>'Yearly Model'!Q2</f>
        <v>956.1421627214977</v>
      </c>
      <c r="F7" s="55">
        <f>'Yearly Model'!R2</f>
        <v>1012.2995790786737</v>
      </c>
      <c r="G7" s="55">
        <f>'Yearly Model'!S2</f>
        <v>1066.0639345008522</v>
      </c>
      <c r="H7" s="55">
        <f>'Yearly Model'!T2</f>
        <v>1116.690126234815</v>
      </c>
      <c r="I7" s="55">
        <f>'Yearly Model'!U2</f>
        <v>1163.4422195198458</v>
      </c>
      <c r="J7" s="55">
        <f>'Yearly Model'!V2</f>
        <v>1205.610536409554</v>
      </c>
      <c r="K7" s="55">
        <f>'Yearly Model'!W2</f>
        <v>1242.52901016894</v>
      </c>
      <c r="L7" s="55">
        <f>'Yearly Model'!X2</f>
        <v>1273.5922354231634</v>
      </c>
    </row>
    <row r="8">
      <c r="A8" s="14" t="inlineStr">
        <is>
          <t>Operating income</t>
        </is>
      </c>
      <c r="B8" s="55">
        <f>'Yearly Model'!N8</f>
        <v>179.63600000000002</v>
      </c>
      <c r="C8" s="55">
        <f>'Yearly Model'!O8</f>
        <v>168.15065484225602</v>
      </c>
      <c r="D8" s="55">
        <f>'Yearly Model'!P8</f>
        <v>184.84031052845523</v>
      </c>
      <c r="E8" s="55">
        <f>'Yearly Model'!Q8</f>
        <v>201.97547045328918</v>
      </c>
      <c r="F8" s="55">
        <f>'Yearly Model'!R8</f>
        <v>219.38556477793014</v>
      </c>
      <c r="G8" s="55">
        <f>'Yearly Model'!S8</f>
        <v>236.87940624608933</v>
      </c>
      <c r="H8" s="55">
        <f>'Yearly Model'!T8</f>
        <v>254.24800794114265</v>
      </c>
      <c r="I8" s="55">
        <f>'Yearly Model'!U8</f>
        <v>271.2681879032472</v>
      </c>
      <c r="J8" s="55">
        <f>'Yearly Model'!V8</f>
        <v>287.70689840877594</v>
      </c>
      <c r="K8" s="55">
        <f>'Yearly Model'!W8</f>
        <v>303.32618196244164</v>
      </c>
      <c r="L8" s="55">
        <f>'Yearly Model'!X8</f>
        <v>317.8886219616216</v>
      </c>
    </row>
    <row r="9">
      <c r="A9" s="14" t="inlineStr">
        <is>
          <t>Tax on operating income</t>
        </is>
      </c>
      <c r="C9" s="52">
        <f>MAX(0,C8)*Assumptions!$E$14</f>
        <v>28.585611323183524</v>
      </c>
      <c r="D9" s="52">
        <f>MAX(0,D8)*Assumptions!$E$14</f>
        <v>31.422852789837393</v>
      </c>
      <c r="E9" s="52">
        <f>MAX(0,E8)*Assumptions!$E$14</f>
        <v>34.33582997705916</v>
      </c>
      <c r="F9" s="52">
        <f>MAX(0,F8)*Assumptions!$E$14</f>
        <v>37.295546012248124</v>
      </c>
      <c r="G9" s="52">
        <f>MAX(0,G8)*Assumptions!$E$14</f>
        <v>40.26949906183519</v>
      </c>
      <c r="H9" s="52">
        <f>MAX(0,H8)*Assumptions!$E$14</f>
        <v>43.22216134999425</v>
      </c>
      <c r="I9" s="52">
        <f>MAX(0,I8)*Assumptions!$E$14</f>
        <v>46.11559194355203</v>
      </c>
      <c r="J9" s="52">
        <f>MAX(0,J8)*Assumptions!$E$14</f>
        <v>48.91017272949191</v>
      </c>
      <c r="K9" s="52">
        <f>MAX(0,K8)*Assumptions!$E$14</f>
        <v>51.56545093361508</v>
      </c>
      <c r="L9" s="52">
        <f>MAX(0,L8)*Assumptions!$E$14</f>
        <v>54.041065733475676</v>
      </c>
    </row>
    <row r="10">
      <c r="A10" s="14" t="inlineStr">
        <is>
          <t>NOPAT</t>
        </is>
      </c>
      <c r="C10" s="52">
        <f>C8-C9</f>
        <v>139.5650435190725</v>
      </c>
      <c r="D10" s="52">
        <f>D8-D9</f>
        <v>153.41745773861783</v>
      </c>
      <c r="E10" s="52">
        <f>E8-E9</f>
        <v>167.63964047623</v>
      </c>
      <c r="F10" s="52">
        <f>F8-F9</f>
        <v>182.09001876568203</v>
      </c>
      <c r="G10" s="52">
        <f>G8-G9</f>
        <v>196.60990718425415</v>
      </c>
      <c r="H10" s="52">
        <f>H8-H9</f>
        <v>211.0258465911484</v>
      </c>
      <c r="I10" s="52">
        <f>I8-I9</f>
        <v>225.1525959596952</v>
      </c>
      <c r="J10" s="52">
        <f>J8-J9</f>
        <v>238.79672567928404</v>
      </c>
      <c r="K10" s="52">
        <f>K8-K9</f>
        <v>251.76073102882657</v>
      </c>
      <c r="L10" s="52">
        <f>L8-L9</f>
        <v>263.8475562281459</v>
      </c>
    </row>
    <row r="11">
      <c r="A11" s="14" t="inlineStr">
        <is>
          <t>Reinvestment</t>
        </is>
      </c>
      <c r="C11" s="52">
        <f>(C7-B7)*Assumptions!$E$15</f>
        <v>14.752716300000031</v>
      </c>
      <c r="D11" s="52">
        <f>(D7-C7)*Assumptions!$E$15</f>
        <v>14.68794831952664</v>
      </c>
      <c r="E11" s="52">
        <f>(E7-D7)*Assumptions!$E$15</f>
        <v>14.453126060847751</v>
      </c>
      <c r="F11" s="52">
        <f>(F7-E7)*Assumptions!$E$15</f>
        <v>14.039354089293994</v>
      </c>
      <c r="G11" s="52">
        <f>(G7-F7)*Assumptions!$E$15</f>
        <v>13.44108885554462</v>
      </c>
      <c r="H11" s="52">
        <f>(H7-G7)*Assumptions!$E$15</f>
        <v>12.656547933490685</v>
      </c>
      <c r="I11" s="52">
        <f>(I7-H7)*Assumptions!$E$15</f>
        <v>11.688023321257731</v>
      </c>
      <c r="J11" s="52">
        <f>(J7-I7)*Assumptions!$E$15</f>
        <v>10.542079222427049</v>
      </c>
      <c r="K11" s="52">
        <f>(K7-J7)*Assumptions!$E$15</f>
        <v>9.22961843984649</v>
      </c>
      <c r="L11" s="52">
        <f>(L7-K7)*Assumptions!$E$15</f>
        <v>7.765806313555856</v>
      </c>
    </row>
    <row r="12">
      <c r="A12" s="20" t="inlineStr">
        <is>
          <t>Free cash flow</t>
        </is>
      </c>
      <c r="C12" s="64">
        <f>C10-C11</f>
        <v>124.81232721907247</v>
      </c>
      <c r="D12" s="64">
        <f>D10-D11</f>
        <v>138.7295094190912</v>
      </c>
      <c r="E12" s="64">
        <f>E10-E11</f>
        <v>153.18651441538225</v>
      </c>
      <c r="F12" s="64">
        <f>F10-F11</f>
        <v>168.05066467638804</v>
      </c>
      <c r="G12" s="64">
        <f>G10-G11</f>
        <v>183.16881832870953</v>
      </c>
      <c r="H12" s="64">
        <f>H10-H11</f>
        <v>198.3692986576577</v>
      </c>
      <c r="I12" s="64">
        <f>I10-I11</f>
        <v>213.46457263843746</v>
      </c>
      <c r="J12" s="64">
        <f>J10-J11</f>
        <v>228.254646456857</v>
      </c>
      <c r="K12" s="64">
        <f>K10-K11</f>
        <v>242.53111258898008</v>
      </c>
      <c r="L12" s="64">
        <f>L10-L11</f>
        <v>256.08174991459003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61.07749054737872</v>
      </c>
      <c r="D16" s="64">
        <f>D12*D13*D15</f>
        <v>123.2555837006474</v>
      </c>
      <c r="E16" s="64">
        <f>E12*E13*E15</f>
        <v>120.97782274071669</v>
      </c>
      <c r="F16" s="64">
        <f>F12*F13*F15</f>
        <v>117.97037008711295</v>
      </c>
      <c r="G16" s="64">
        <f>G12*G13*G15</f>
        <v>114.2961833868803</v>
      </c>
      <c r="H16" s="64">
        <f>H12*H13*H15</f>
        <v>110.02772169813029</v>
      </c>
      <c r="I16" s="64">
        <f>I12*I13*I15</f>
        <v>105.24487295880871</v>
      </c>
      <c r="J16" s="64">
        <f>J12*J13*J15</f>
        <v>100.0327583758363</v>
      </c>
      <c r="K16" s="64">
        <f>K12*K13*K15</f>
        <v>94.47949301199763</v>
      </c>
      <c r="L16" s="64">
        <f>L12*L13*L15</f>
        <v>88.6739799856185</v>
      </c>
    </row>
    <row r="19">
      <c r="A19" s="14" t="inlineStr">
        <is>
          <t>PV of forecast free cash flow</t>
        </is>
      </c>
      <c r="B19" s="52">
        <f>SUM(C16:L16)</f>
        <v>1036.0362764931276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262.48379366245473</v>
      </c>
    </row>
    <row r="21">
      <c r="A21" s="14" t="inlineStr">
        <is>
          <t>Terminal value</t>
        </is>
      </c>
      <c r="B21" s="52">
        <f>B20/(Assumptions!$E$10-Assumptions!$E$11)</f>
        <v>2624.837936624547</v>
      </c>
    </row>
    <row r="22">
      <c r="A22" s="14" t="inlineStr">
        <is>
          <t>PV of terminal value</t>
        </is>
      </c>
      <c r="B22" s="52">
        <f>B21/(1+Assumptions!$E$10)^(L14+0.5)</f>
        <v>856.9269583559574</v>
      </c>
    </row>
    <row r="23">
      <c r="A23" s="20" t="inlineStr">
        <is>
          <t>Enterprise value</t>
        </is>
      </c>
      <c r="B23" s="66">
        <f>B19+B22</f>
        <v>1892.963234849085</v>
      </c>
    </row>
    <row r="24">
      <c r="A24" s="14" t="inlineStr">
        <is>
          <t>Cash &amp; investments</t>
        </is>
      </c>
      <c r="B24" s="55">
        <f>Main!C7</f>
        <v>129.467</v>
      </c>
    </row>
    <row r="25">
      <c r="A25" s="14" t="inlineStr">
        <is>
          <t>Debt</t>
        </is>
      </c>
      <c r="B25" s="55">
        <f>Main!C8</f>
        <v>1091.557</v>
      </c>
    </row>
    <row r="26">
      <c r="A26" s="20" t="inlineStr">
        <is>
          <t>Equity value</t>
        </is>
      </c>
      <c r="B26" s="66">
        <f>B23+B24-B25</f>
        <v>930.8732348490851</v>
      </c>
    </row>
    <row r="27">
      <c r="A27" s="14" t="inlineStr">
        <is>
          <t>Shares (mm)</t>
        </is>
      </c>
      <c r="B27" s="55">
        <f>Main!C4</f>
        <v>32.555613</v>
      </c>
    </row>
    <row r="28">
      <c r="A28" s="20" t="inlineStr">
        <is>
          <t>NPV / share</t>
        </is>
      </c>
      <c r="B28" s="49">
        <f>B26/B27</f>
        <v>28.59332536140803</v>
      </c>
    </row>
    <row r="29">
      <c r="A29" s="14" t="inlineStr">
        <is>
          <t>Price</t>
        </is>
      </c>
      <c r="B29" s="50">
        <f>Main!C3</f>
        <v>23.33</v>
      </c>
    </row>
    <row r="30">
      <c r="A30" s="14" t="inlineStr">
        <is>
          <t>Upside</t>
        </is>
      </c>
      <c r="B30" s="63">
        <f>B28/B29-1</f>
        <v>0.22560331596262473</v>
      </c>
    </row>
    <row r="31">
      <c r="A31" s="14" t="inlineStr">
        <is>
          <t>Terminal value, % of EV</t>
        </is>
      </c>
      <c r="B31" s="63">
        <f>IFERROR(B22/B23,0)</f>
        <v>0.45269075625986743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2026-10-21T01:04:57Z</dcterms:modified>
  <cp:lastModifiedBy>Wang, Eric</cp:lastModifiedBy>
</cp:coreProperties>
</file>