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Ligand Pharmaceuticals Incorporated</t>
        </is>
      </c>
      <c r="C2" s="10" t="n"/>
    </row>
    <row r="3">
      <c r="B3" t="inlineStr">
        <is>
          <t>Price</t>
        </is>
      </c>
      <c r="C3" s="11">
        <f>INDEX([1]Pharma!$F$1:$F$1000,MATCH("LGND",[1]Pharma!$B$1:$B$1000,0))</f>
        <v>306.4</v>
      </c>
      <c r="F3" s="1" t="n"/>
    </row>
    <row r="4">
      <c r="B4" t="inlineStr">
        <is>
          <t>Shares</t>
        </is>
      </c>
      <c r="C4" s="51" t="n">
        <v>19.935609</v>
      </c>
      <c r="F4" s="1" t="n"/>
    </row>
    <row r="5">
      <c r="B5" t="inlineStr">
        <is>
          <t>Market Cap.</t>
        </is>
      </c>
      <c r="C5" s="13">
        <f>C3*C4</f>
        <v>6108.2705976</v>
      </c>
      <c r="F5" s="1" t="n"/>
    </row>
    <row r="6"/>
    <row r="7">
      <c r="B7" t="inlineStr">
        <is>
          <t>Cash</t>
        </is>
      </c>
      <c r="C7" s="51">
        <f>1006.702+351.056</f>
        <v>1357.758</v>
      </c>
    </row>
    <row r="8">
      <c r="B8" t="inlineStr">
        <is>
          <t>Debt</t>
        </is>
      </c>
      <c r="C8" s="51" t="n">
        <v>1126.594</v>
      </c>
    </row>
    <row r="9">
      <c r="B9" t="inlineStr">
        <is>
          <t>Enterprise V.</t>
        </is>
      </c>
      <c r="C9" s="13">
        <f>C5-C7+C8</f>
        <v>5877.1065976</v>
      </c>
    </row>
    <row r="10"/>
    <row r="11">
      <c r="B11" s="14" t="inlineStr">
        <is>
          <t>NPV / Share</t>
        </is>
      </c>
      <c r="C11" s="11">
        <f>NPV!B28</f>
        <v>94.07907295624256</v>
      </c>
    </row>
    <row r="12">
      <c r="B12" s="14" t="inlineStr">
        <is>
          <t>Upside</t>
        </is>
      </c>
      <c r="C12" s="15">
        <f>IFERROR(C11/C3-1,"")</f>
        <v>-0.6929534172446392</v>
      </c>
    </row>
    <row r="13">
      <c r="B13" s="14" t="inlineStr">
        <is>
          <t>Cash / Share</t>
        </is>
      </c>
      <c r="C13" s="11">
        <f>IFERROR((C7-C8)/C4,"")</f>
        <v>11.595532396326593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38.94</v>
      </c>
      <c r="C2" s="52" t="n">
        <v>23.538</v>
      </c>
      <c r="D2" s="52" t="n">
        <v>30.037</v>
      </c>
      <c r="E2" s="52" t="n">
        <v>31.388</v>
      </c>
      <c r="F2" s="52" t="n">
        <v>48.973</v>
      </c>
      <c r="G2" s="52" t="n">
        <v>64.538</v>
      </c>
      <c r="H2" s="52" t="n">
        <v>71.914</v>
      </c>
      <c r="I2" s="52" t="n">
        <v>108.973</v>
      </c>
      <c r="J2" s="52" t="n">
        <v>141.102</v>
      </c>
      <c r="K2" s="52" t="n">
        <v>251.453</v>
      </c>
      <c r="L2" s="52" t="n">
        <v>120.282</v>
      </c>
      <c r="M2" s="52" t="n">
        <v>163.562</v>
      </c>
      <c r="N2" s="52" t="n">
        <v>241.544</v>
      </c>
      <c r="O2" s="52" t="n">
        <v>196.245</v>
      </c>
      <c r="P2" s="52" t="n">
        <v>131.314</v>
      </c>
      <c r="Q2" s="52" t="n">
        <v>167.133</v>
      </c>
      <c r="R2" s="52" t="n">
        <v>268.087</v>
      </c>
      <c r="S2" s="52">
        <f>R2*(1+NPV!C5)</f>
        <v>332.8568192</v>
      </c>
      <c r="T2" s="52">
        <f>S2*(1+NPV!D5)</f>
        <v>405.2642726033067</v>
      </c>
      <c r="U2" s="52">
        <f>T2*(1+NPV!E5)</f>
        <v>483.6694005429598</v>
      </c>
      <c r="V2" s="52">
        <f>U2*(1+NPV!F5)</f>
        <v>565.6029969949371</v>
      </c>
      <c r="W2" s="52">
        <f>V2*(1+NPV!G5)</f>
        <v>647.8039658915346</v>
      </c>
      <c r="X2" s="52">
        <f>W2*(1+NPV!H5)</f>
        <v>726.3609934886481</v>
      </c>
      <c r="Y2" s="52">
        <f>X2*(1+NPV!I5)</f>
        <v>796.9632820557447</v>
      </c>
      <c r="Z2" s="52">
        <f>Y2*(1+NPV!J5)</f>
        <v>855.2478634167547</v>
      </c>
      <c r="AA2" s="52">
        <f>Z2*(1+NPV!K5)</f>
        <v>897.2120252484034</v>
      </c>
      <c r="AB2" s="52">
        <f>AA2*(1+NPV!L5)</f>
        <v>919.6423258796134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4.909</v>
      </c>
      <c r="E3" s="52" t="n">
        <v>3.601</v>
      </c>
      <c r="F3" s="52" t="n">
        <v>5.732</v>
      </c>
      <c r="G3" s="52" t="n">
        <v>9.135999999999999</v>
      </c>
      <c r="H3" s="52" t="n">
        <v>5.807</v>
      </c>
      <c r="I3" s="52" t="n">
        <v>5.571</v>
      </c>
      <c r="J3" s="52" t="n">
        <v>5.366</v>
      </c>
      <c r="K3" s="52" t="n">
        <v>6.337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8.38799184384</v>
      </c>
      <c r="T3" s="52">
        <f>T2*(1-Assumptions!$B$19)</f>
        <v>10.21265966960333</v>
      </c>
      <c r="U3" s="52">
        <f>U2*(1-Assumptions!$B$19)</f>
        <v>12.188468893682588</v>
      </c>
      <c r="V3" s="52">
        <f>V2*(1-Assumptions!$B$19)</f>
        <v>14.253195524272416</v>
      </c>
      <c r="W3" s="52">
        <f>W2*(1-Assumptions!$B$19)</f>
        <v>16.324659940466674</v>
      </c>
      <c r="X3" s="52">
        <f>X2*(1-Assumptions!$B$19)</f>
        <v>18.304297035913933</v>
      </c>
      <c r="Y3" s="52">
        <f>Y2*(1-Assumptions!$B$19)</f>
        <v>20.083474707804765</v>
      </c>
      <c r="Z3" s="52">
        <f>Z2*(1-Assumptions!$B$19)</f>
        <v>21.55224615810222</v>
      </c>
      <c r="AA3" s="52">
        <f>AA2*(1-Assumptions!$B$19)</f>
        <v>22.609743036259765</v>
      </c>
      <c r="AB3" s="52">
        <f>AB2*(1-Assumptions!$B$19)</f>
        <v>23.174986612166258</v>
      </c>
    </row>
    <row r="4" customFormat="1" s="1">
      <c r="A4" s="5" t="inlineStr">
        <is>
          <t>Gross Margin</t>
        </is>
      </c>
      <c r="B4" s="52">
        <f>B2-B3</f>
        <v>38.94</v>
      </c>
      <c r="C4" s="52">
        <f>C2-C3</f>
        <v>23.538</v>
      </c>
      <c r="D4" s="52">
        <f>D2-D3</f>
        <v>25.128</v>
      </c>
      <c r="E4" s="52">
        <f>E2-E3</f>
        <v>27.787000000000003</v>
      </c>
      <c r="F4" s="52">
        <f>F2-F3</f>
        <v>43.241</v>
      </c>
      <c r="G4" s="52">
        <f>G2-G3</f>
        <v>55.402</v>
      </c>
      <c r="H4" s="52">
        <f>H2-H3</f>
        <v>66.107</v>
      </c>
      <c r="I4" s="52">
        <f>I2-I3</f>
        <v>103.402</v>
      </c>
      <c r="J4" s="52">
        <f>J2-J3</f>
        <v>135.736</v>
      </c>
      <c r="K4" s="52">
        <f>K2-K3</f>
        <v>245.116</v>
      </c>
      <c r="L4" s="52">
        <f>L2-L3</f>
        <v>120.282</v>
      </c>
      <c r="M4" s="52">
        <f>M2-M3</f>
        <v>163.562</v>
      </c>
      <c r="N4" s="52">
        <f>N2-N3</f>
        <v>241.544</v>
      </c>
      <c r="O4" s="52">
        <f>O2-O3</f>
        <v>196.245</v>
      </c>
      <c r="P4" s="52">
        <f>P2-P3</f>
        <v>131.314</v>
      </c>
      <c r="Q4" s="52">
        <f>Q2-Q3</f>
        <v>167.133</v>
      </c>
      <c r="R4" s="52">
        <f>R2-R3</f>
        <v>268.087</v>
      </c>
      <c r="S4" s="52">
        <f>S2-S3</f>
        <v>324.46882735616003</v>
      </c>
      <c r="T4" s="52">
        <f>T2-T3</f>
        <v>395.0516129337034</v>
      </c>
      <c r="U4" s="52">
        <f>U2-U3</f>
        <v>471.48093164927724</v>
      </c>
      <c r="V4" s="52">
        <f>V2-V3</f>
        <v>551.3498014706647</v>
      </c>
      <c r="W4" s="52">
        <f>W2-W3</f>
        <v>631.479305951068</v>
      </c>
      <c r="X4" s="52">
        <f>X2-X3</f>
        <v>708.0566964527342</v>
      </c>
      <c r="Y4" s="52">
        <f>Y2-Y3</f>
        <v>776.87980734794</v>
      </c>
      <c r="Z4" s="52">
        <f>Z2-Z3</f>
        <v>833.6956172586525</v>
      </c>
      <c r="AA4" s="52">
        <f>AA2-AA3</f>
        <v>874.6022822121437</v>
      </c>
      <c r="AB4" s="52">
        <f>AB2-AB3</f>
        <v>896.4673392674472</v>
      </c>
    </row>
    <row r="5">
      <c r="A5" s="2" t="inlineStr">
        <is>
          <t>Research &amp; Dev.</t>
        </is>
      </c>
      <c r="B5" s="52" t="n">
        <v>39.87</v>
      </c>
      <c r="C5" s="52" t="n">
        <v>22.067</v>
      </c>
      <c r="D5" s="52" t="n">
        <v>10.291</v>
      </c>
      <c r="E5" s="52" t="n">
        <v>10.79</v>
      </c>
      <c r="F5" s="52" t="n">
        <v>9.273999999999999</v>
      </c>
      <c r="G5" s="52" t="n">
        <v>9.747</v>
      </c>
      <c r="H5" s="52" t="n">
        <v>11.005</v>
      </c>
      <c r="I5" s="52" t="n">
        <v>21.221</v>
      </c>
      <c r="J5" s="52" t="n">
        <v>26.887</v>
      </c>
      <c r="K5" s="52" t="n">
        <v>27.863</v>
      </c>
      <c r="L5" s="52" t="n">
        <v>55.908</v>
      </c>
      <c r="M5" s="52" t="n">
        <v>40.503</v>
      </c>
      <c r="N5" s="52" t="n">
        <v>32.105</v>
      </c>
      <c r="O5" s="52" t="n">
        <v>36.082</v>
      </c>
      <c r="P5" s="52" t="n">
        <v>24.537</v>
      </c>
      <c r="Q5" s="52" t="n">
        <v>21.425</v>
      </c>
      <c r="R5" s="52" t="n">
        <v>81.182</v>
      </c>
      <c r="S5" s="52">
        <f>S7*Assumptions!$B$20</f>
        <v>78.69345166009185</v>
      </c>
      <c r="T5" s="52">
        <f>T7*Assumptions!$B$20</f>
        <v>97.63886224693331</v>
      </c>
      <c r="U5" s="52">
        <f>U7*Assumptions!$B$20</f>
        <v>118.70914539582606</v>
      </c>
      <c r="V5" s="52">
        <f>V7*Assumptions!$B$20</f>
        <v>141.36825535655692</v>
      </c>
      <c r="W5" s="52">
        <f>W7*Assumptions!$B$20</f>
        <v>164.83412399857966</v>
      </c>
      <c r="X5" s="52">
        <f>X7*Assumptions!$B$20</f>
        <v>188.09749860452877</v>
      </c>
      <c r="Y5" s="52">
        <f>Y7*Assumptions!$B$20</f>
        <v>209.97334571664243</v>
      </c>
      <c r="Z5" s="52">
        <f>Z7*Assumptions!$B$20</f>
        <v>229.1849179119253</v>
      </c>
      <c r="AA5" s="52">
        <f>AA7*Assumptions!$B$20</f>
        <v>244.47495698485884</v>
      </c>
      <c r="AB5" s="52">
        <f>AB7*Assumptions!$B$20</f>
        <v>254.73264748772</v>
      </c>
    </row>
    <row r="6">
      <c r="A6" s="18" t="inlineStr">
        <is>
          <t>SG&amp;A &amp; Other</t>
        </is>
      </c>
      <c r="B6" s="52" t="n">
        <v>9.037000000000001</v>
      </c>
      <c r="C6" s="52" t="n">
        <v>30.775</v>
      </c>
      <c r="D6" s="52" t="n">
        <v>15.715</v>
      </c>
      <c r="E6" s="52" t="n">
        <v>16.804</v>
      </c>
      <c r="F6" s="52" t="n">
        <v>19.024</v>
      </c>
      <c r="G6" s="52" t="n">
        <v>26.029</v>
      </c>
      <c r="H6" s="52" t="n">
        <v>27.773</v>
      </c>
      <c r="I6" s="52" t="n">
        <v>38.296</v>
      </c>
      <c r="J6" s="52" t="n">
        <v>40.773</v>
      </c>
      <c r="K6" s="52" t="n">
        <v>53.526</v>
      </c>
      <c r="L6" s="52" t="n">
        <v>-742.702</v>
      </c>
      <c r="M6" s="52" t="n">
        <v>85.559</v>
      </c>
      <c r="N6" s="52" t="n">
        <v>105.588</v>
      </c>
      <c r="O6" s="52" t="n">
        <v>157.126</v>
      </c>
      <c r="P6" s="52" t="n">
        <v>94.83499999999999</v>
      </c>
      <c r="Q6" s="52" t="n">
        <v>168.314</v>
      </c>
      <c r="R6" s="52" t="n">
        <v>145.903</v>
      </c>
      <c r="S6" s="52">
        <f>S7-S5</f>
        <v>141.42809144506018</v>
      </c>
      <c r="T6" s="52">
        <f>T7-T5</f>
        <v>175.47683634588716</v>
      </c>
      <c r="U6" s="52">
        <f>U7-U5</f>
        <v>213.34440815893214</v>
      </c>
      <c r="V6" s="52">
        <f>V7-V5</f>
        <v>254.06742396248342</v>
      </c>
      <c r="W6" s="52">
        <f>W7-W5</f>
        <v>296.2403487247201</v>
      </c>
      <c r="X6" s="52">
        <f>X7-X5</f>
        <v>338.0493506389084</v>
      </c>
      <c r="Y6" s="52">
        <f>Y7-Y5</f>
        <v>377.3646842599798</v>
      </c>
      <c r="Z6" s="52">
        <f>Z7-Z5</f>
        <v>411.8917755480057</v>
      </c>
      <c r="AA6" s="52">
        <f>AA7-AA5</f>
        <v>439.3710765392218</v>
      </c>
      <c r="AB6" s="52">
        <f>AB7-AB5</f>
        <v>457.8062266038045</v>
      </c>
    </row>
    <row r="7">
      <c r="A7" s="2" t="inlineStr">
        <is>
          <t>Operating Expense</t>
        </is>
      </c>
      <c r="B7" s="52">
        <f>SUM(B5:B6)</f>
        <v>48.907</v>
      </c>
      <c r="C7" s="52">
        <f>SUM(C5:C6)</f>
        <v>52.842</v>
      </c>
      <c r="D7" s="52">
        <f>SUM(D5:D6)</f>
        <v>26.006</v>
      </c>
      <c r="E7" s="52">
        <f>SUM(E5:E6)</f>
        <v>27.593999999999998</v>
      </c>
      <c r="F7" s="52">
        <f>SUM(F5:F6)</f>
        <v>28.298000000000002</v>
      </c>
      <c r="G7" s="52">
        <f>SUM(G5:G6)</f>
        <v>35.775999999999996</v>
      </c>
      <c r="H7" s="52">
        <f>SUM(H5:H6)</f>
        <v>38.778</v>
      </c>
      <c r="I7" s="52">
        <f>SUM(I5:I6)</f>
        <v>59.516999999999996</v>
      </c>
      <c r="J7" s="52">
        <f>SUM(J5:J6)</f>
        <v>67.66</v>
      </c>
      <c r="K7" s="52">
        <f>SUM(K5:K6)</f>
        <v>81.38900000000001</v>
      </c>
      <c r="L7" s="52">
        <f>SUM(L5:L6)</f>
        <v>-686.794</v>
      </c>
      <c r="M7" s="52">
        <f>SUM(M5:M6)</f>
        <v>126.062</v>
      </c>
      <c r="N7" s="52">
        <f>SUM(N5:N6)</f>
        <v>137.69299999999998</v>
      </c>
      <c r="O7" s="52">
        <f>SUM(O5:O6)</f>
        <v>193.208</v>
      </c>
      <c r="P7" s="52">
        <f>SUM(P5:P6)</f>
        <v>119.37199999999999</v>
      </c>
      <c r="Q7" s="52">
        <f>SUM(Q5:Q6)</f>
        <v>189.739</v>
      </c>
      <c r="R7" s="52">
        <f>SUM(R5:R6)</f>
        <v>227.08499999999998</v>
      </c>
      <c r="S7" s="52">
        <f>S4-S2*NPV!C6</f>
        <v>220.12154310515203</v>
      </c>
      <c r="T7" s="52">
        <f>T4-T2*NPV!D6</f>
        <v>273.1156985928205</v>
      </c>
      <c r="U7" s="52">
        <f>U4-U2*NPV!E6</f>
        <v>332.0535535547582</v>
      </c>
      <c r="V7" s="52">
        <f>V4-V2*NPV!F6</f>
        <v>395.43567931904033</v>
      </c>
      <c r="W7" s="52">
        <f>W4-W2*NPV!G6</f>
        <v>461.0744727232998</v>
      </c>
      <c r="X7" s="52">
        <f>X4-X2*NPV!H6</f>
        <v>526.1468492434371</v>
      </c>
      <c r="Y7" s="52">
        <f>Y4-Y2*NPV!I6</f>
        <v>587.3380299766222</v>
      </c>
      <c r="Z7" s="52">
        <f>Z4-Z2*NPV!J6</f>
        <v>641.076693459931</v>
      </c>
      <c r="AA7" s="52">
        <f>AA4-AA2*NPV!K6</f>
        <v>683.8460335240807</v>
      </c>
      <c r="AB7" s="52">
        <f>AB4-AB2*NPV!L6</f>
        <v>712.5388740915245</v>
      </c>
    </row>
    <row r="8">
      <c r="A8" s="2" t="inlineStr">
        <is>
          <t>Operating Income</t>
        </is>
      </c>
      <c r="B8" s="52">
        <f>B4-B7</f>
        <v>-9.966999999999999</v>
      </c>
      <c r="C8" s="52">
        <f>C4-C7</f>
        <v>-29.304</v>
      </c>
      <c r="D8" s="52">
        <f>D4-D7</f>
        <v>-0.8780000000000001</v>
      </c>
      <c r="E8" s="52">
        <f>E4-E7</f>
        <v>0.19300000000000495</v>
      </c>
      <c r="F8" s="52">
        <f>F4-F7</f>
        <v>14.942999999999998</v>
      </c>
      <c r="G8" s="52">
        <f>G4-G7</f>
        <v>19.626000000000005</v>
      </c>
      <c r="H8" s="52">
        <f>H4-H7</f>
        <v>27.329</v>
      </c>
      <c r="I8" s="52">
        <f>I4-I7</f>
        <v>43.885000000000005</v>
      </c>
      <c r="J8" s="52">
        <f>J4-J7</f>
        <v>68.076</v>
      </c>
      <c r="K8" s="52">
        <f>K4-K7</f>
        <v>163.727</v>
      </c>
      <c r="L8" s="52">
        <f>L4-L7</f>
        <v>807.076</v>
      </c>
      <c r="M8" s="52">
        <f>M4-M7</f>
        <v>37.500000000000014</v>
      </c>
      <c r="N8" s="52">
        <f>N4-N7</f>
        <v>103.85100000000003</v>
      </c>
      <c r="O8" s="52">
        <f>O4-O7</f>
        <v>3.037000000000006</v>
      </c>
      <c r="P8" s="52">
        <f>P4-P7</f>
        <v>11.942000000000007</v>
      </c>
      <c r="Q8" s="52">
        <f>Q4-Q7</f>
        <v>-22.605999999999995</v>
      </c>
      <c r="R8" s="52">
        <f>R4-R7</f>
        <v>41.00200000000001</v>
      </c>
      <c r="S8" s="52">
        <f>S4-S7</f>
        <v>104.347284251008</v>
      </c>
      <c r="T8" s="52">
        <f>T4-T7</f>
        <v>121.9359143408829</v>
      </c>
      <c r="U8" s="52">
        <f>U4-U7</f>
        <v>139.42737809451904</v>
      </c>
      <c r="V8" s="52">
        <f>V4-V7</f>
        <v>155.91412215162438</v>
      </c>
      <c r="W8" s="52">
        <f>W4-W7</f>
        <v>170.40483322776822</v>
      </c>
      <c r="X8" s="52">
        <f>X4-X7</f>
        <v>181.90984720929703</v>
      </c>
      <c r="Y8" s="52">
        <f>Y4-Y7</f>
        <v>189.54177737131772</v>
      </c>
      <c r="Z8" s="52">
        <f>Z4-Z7</f>
        <v>192.61892379872154</v>
      </c>
      <c r="AA8" s="52">
        <f>AA4-AA7</f>
        <v>190.756248688063</v>
      </c>
      <c r="AB8" s="52">
        <f>AB4-AB7</f>
        <v>183.92846517592272</v>
      </c>
    </row>
    <row r="9">
      <c r="A9" s="18" t="inlineStr">
        <is>
          <t>Interest &amp; Other</t>
        </is>
      </c>
      <c r="B9" s="52" t="n">
        <v>6.484</v>
      </c>
      <c r="C9" s="52" t="n">
        <v>16.314</v>
      </c>
      <c r="D9" s="52" t="n">
        <v>-2.677</v>
      </c>
      <c r="E9" s="52" t="n">
        <v>-1.911</v>
      </c>
      <c r="F9" s="52" t="n">
        <v>-3.149</v>
      </c>
      <c r="G9" s="52" t="n">
        <v>-7.192</v>
      </c>
      <c r="H9" s="52" t="n">
        <v>10.38</v>
      </c>
      <c r="I9" s="52" t="n">
        <v>-35.194</v>
      </c>
      <c r="J9" s="52" t="n">
        <v>-10.845</v>
      </c>
      <c r="K9" s="52" t="n">
        <v>9.603</v>
      </c>
      <c r="L9" s="52" t="n">
        <v>-10.437</v>
      </c>
      <c r="M9" s="52" t="n">
        <v>-45.791</v>
      </c>
      <c r="N9" s="52" t="n">
        <v>-50.861</v>
      </c>
      <c r="O9" s="52" t="n">
        <v>4.832</v>
      </c>
      <c r="P9" s="52" t="n">
        <v>50.053</v>
      </c>
      <c r="Q9" s="52" t="n">
        <v>25.124</v>
      </c>
      <c r="R9" s="52" t="n">
        <v>117.958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-3.4829999999999988</v>
      </c>
      <c r="C10" s="52">
        <f>C8+C9</f>
        <v>-12.989999999999998</v>
      </c>
      <c r="D10" s="52">
        <f>D8+D9</f>
        <v>-3.555</v>
      </c>
      <c r="E10" s="52">
        <f>E8+E9</f>
        <v>-1.717999999999995</v>
      </c>
      <c r="F10" s="52">
        <f>F8+F9</f>
        <v>11.793999999999997</v>
      </c>
      <c r="G10" s="52">
        <f>G8+G9</f>
        <v>12.434000000000005</v>
      </c>
      <c r="H10" s="52">
        <f>H8+H9</f>
        <v>37.709</v>
      </c>
      <c r="I10" s="52">
        <f>I8+I9</f>
        <v>8.691000000000003</v>
      </c>
      <c r="J10" s="52">
        <f>J8+J9</f>
        <v>57.230999999999995</v>
      </c>
      <c r="K10" s="52">
        <f>K8+K9</f>
        <v>173.33</v>
      </c>
      <c r="L10" s="52">
        <f>L8+L9</f>
        <v>796.639</v>
      </c>
      <c r="M10" s="52">
        <f>M8+M9</f>
        <v>-8.290999999999983</v>
      </c>
      <c r="N10" s="52">
        <f>N8+N9</f>
        <v>52.99000000000003</v>
      </c>
      <c r="O10" s="52">
        <f>O8+O9</f>
        <v>7.869000000000006</v>
      </c>
      <c r="P10" s="52">
        <f>P8+P9</f>
        <v>61.995000000000005</v>
      </c>
      <c r="Q10" s="52">
        <f>Q8+Q9</f>
        <v>2.5180000000000042</v>
      </c>
      <c r="R10" s="52">
        <f>R8+R9</f>
        <v>158.96</v>
      </c>
      <c r="S10" s="52">
        <f>S8+S9</f>
        <v>104.347284251008</v>
      </c>
      <c r="T10" s="52">
        <f>T8+T9</f>
        <v>121.9359143408829</v>
      </c>
      <c r="U10" s="52">
        <f>U8+U9</f>
        <v>139.42737809451904</v>
      </c>
      <c r="V10" s="52">
        <f>V8+V9</f>
        <v>155.91412215162438</v>
      </c>
      <c r="W10" s="52">
        <f>W8+W9</f>
        <v>170.40483322776822</v>
      </c>
      <c r="X10" s="52">
        <f>X8+X9</f>
        <v>181.90984720929703</v>
      </c>
      <c r="Y10" s="52">
        <f>Y8+Y9</f>
        <v>189.54177737131772</v>
      </c>
      <c r="Z10" s="52">
        <f>Z8+Z9</f>
        <v>192.61892379872154</v>
      </c>
      <c r="AA10" s="52">
        <f>AA8+AA9</f>
        <v>190.756248688063</v>
      </c>
      <c r="AB10" s="52">
        <f>AB8+AB9</f>
        <v>183.92846517592272</v>
      </c>
    </row>
    <row r="11">
      <c r="A11" s="2" t="inlineStr">
        <is>
          <t>Taxes</t>
        </is>
      </c>
      <c r="B11" s="52" t="n">
        <v>-1.535</v>
      </c>
      <c r="C11" s="52" t="n">
        <v>-2.617</v>
      </c>
      <c r="D11" s="52" t="n">
        <v>-13.27</v>
      </c>
      <c r="E11" s="52" t="n">
        <v>-1.191</v>
      </c>
      <c r="F11" s="52" t="n">
        <v>0.374</v>
      </c>
      <c r="G11" s="52" t="n">
        <v>0.41</v>
      </c>
      <c r="H11" s="52" t="n">
        <v>-192.115</v>
      </c>
      <c r="I11" s="52" t="n">
        <v>10.327</v>
      </c>
      <c r="J11" s="52" t="n">
        <v>44.675</v>
      </c>
      <c r="K11" s="52" t="n">
        <v>30.009</v>
      </c>
      <c r="L11" s="52" t="n">
        <v>167.337</v>
      </c>
      <c r="M11" s="52" t="n">
        <v>-5.306</v>
      </c>
      <c r="N11" s="52" t="n">
        <v>-4.148</v>
      </c>
      <c r="O11" s="52" t="n">
        <v>41.23</v>
      </c>
      <c r="P11" s="52" t="n">
        <v>9.840999999999999</v>
      </c>
      <c r="Q11" s="52" t="n">
        <v>6.55</v>
      </c>
      <c r="R11" s="52" t="n">
        <v>34.507</v>
      </c>
      <c r="S11" s="52">
        <f>MAX(0,S10)*Assumptions!$E$14</f>
        <v>17.739038322671362</v>
      </c>
      <c r="T11" s="52">
        <f>MAX(0,T10)*Assumptions!$E$14</f>
        <v>20.729105437950096</v>
      </c>
      <c r="U11" s="52">
        <f>MAX(0,U10)*Assumptions!$E$14</f>
        <v>23.702654276068237</v>
      </c>
      <c r="V11" s="52">
        <f>MAX(0,V10)*Assumptions!$E$14</f>
        <v>26.505400765776148</v>
      </c>
      <c r="W11" s="52">
        <f>MAX(0,W10)*Assumptions!$E$14</f>
        <v>28.9688216487206</v>
      </c>
      <c r="X11" s="52">
        <f>MAX(0,X10)*Assumptions!$E$14</f>
        <v>30.924674025580497</v>
      </c>
      <c r="Y11" s="52">
        <f>MAX(0,Y10)*Assumptions!$E$14</f>
        <v>32.22210215312401</v>
      </c>
      <c r="Z11" s="52">
        <f>MAX(0,Z10)*Assumptions!$E$14</f>
        <v>32.74521704578267</v>
      </c>
      <c r="AA11" s="52">
        <f>MAX(0,AA10)*Assumptions!$E$14</f>
        <v>32.428562276970716</v>
      </c>
      <c r="AB11" s="52">
        <f>MAX(0,AB10)*Assumptions!$E$14</f>
        <v>31.267839079906864</v>
      </c>
    </row>
    <row r="12">
      <c r="A12" s="2" t="inlineStr">
        <is>
          <t>Net Income</t>
        </is>
      </c>
      <c r="B12" s="52" t="n">
        <v>-1.948</v>
      </c>
      <c r="C12" s="52" t="n">
        <v>-10.373</v>
      </c>
      <c r="D12" s="52" t="n">
        <v>9.715</v>
      </c>
      <c r="E12" s="52" t="n">
        <v>-0.527</v>
      </c>
      <c r="F12" s="52" t="n">
        <v>11.42</v>
      </c>
      <c r="G12" s="52" t="n">
        <v>12.024</v>
      </c>
      <c r="H12" s="52" t="n">
        <v>229.824</v>
      </c>
      <c r="I12" s="52" t="n">
        <v>-1.636</v>
      </c>
      <c r="J12" s="52" t="n">
        <v>12.556</v>
      </c>
      <c r="K12" s="52" t="n">
        <v>143.321</v>
      </c>
      <c r="L12" s="52" t="n">
        <v>629.302</v>
      </c>
      <c r="M12" s="52" t="n">
        <v>-2.985</v>
      </c>
      <c r="N12" s="52" t="n">
        <v>57.138</v>
      </c>
      <c r="O12" s="52" t="n">
        <v>-33.361</v>
      </c>
      <c r="P12" s="52" t="n">
        <v>52.154</v>
      </c>
      <c r="Q12" s="52" t="n">
        <v>-4.032</v>
      </c>
      <c r="R12" s="52" t="n">
        <v>124.453</v>
      </c>
      <c r="S12" s="52">
        <f>S10-S11</f>
        <v>86.60824592833664</v>
      </c>
      <c r="T12" s="52">
        <f>T10-T11</f>
        <v>101.2068089029328</v>
      </c>
      <c r="U12" s="52">
        <f>U10-U11</f>
        <v>115.7247238184508</v>
      </c>
      <c r="V12" s="52">
        <f>V10-V11</f>
        <v>129.40872138584822</v>
      </c>
      <c r="W12" s="52">
        <f>W10-W11</f>
        <v>141.43601157904763</v>
      </c>
      <c r="X12" s="52">
        <f>X10-X11</f>
        <v>150.98517318371654</v>
      </c>
      <c r="Y12" s="52">
        <f>Y10-Y11</f>
        <v>157.3196752181937</v>
      </c>
      <c r="Z12" s="52">
        <f>Z10-Z11</f>
        <v>159.87370675293886</v>
      </c>
      <c r="AA12" s="52">
        <f>AA10-AA11</f>
        <v>158.3276864110923</v>
      </c>
      <c r="AB12" s="52">
        <f>AB10-AB11</f>
        <v>152.66062609601585</v>
      </c>
    </row>
    <row r="13">
      <c r="A13" s="2" t="inlineStr">
        <is>
          <t>Earnings per Share</t>
        </is>
      </c>
      <c r="B13" s="11">
        <f>IFERROR(B12/B14,0)</f>
        <v>-0.10327095371892064</v>
      </c>
      <c r="C13" s="11">
        <f>IFERROR(C12/C14,0)</f>
        <v>-0.5288839035333707</v>
      </c>
      <c r="D13" s="11">
        <f>IFERROR(D12/D14,0)</f>
        <v>0.4928219956373966</v>
      </c>
      <c r="E13" s="11">
        <f>IFERROR(E12/E14,0)</f>
        <v>-0.026545106533017677</v>
      </c>
      <c r="F13" s="11">
        <f>IFERROR(F12/F14,0)</f>
        <v>0.5504940949626416</v>
      </c>
      <c r="G13" s="11">
        <f>IFERROR(G12/G14,0)</f>
        <v>0.5610040591611066</v>
      </c>
      <c r="H13" s="11">
        <f>IFERROR(H12/H14,0)</f>
        <v>10.826455624646693</v>
      </c>
      <c r="I13" s="11">
        <f>IFERROR(I12/I14,0)</f>
        <v>-0.07853679612116557</v>
      </c>
      <c r="J13" s="11">
        <f>IFERROR(J12/J14,0)</f>
        <v>0.5347302074017289</v>
      </c>
      <c r="K13" s="11">
        <f>IFERROR(K12/K14,0)</f>
        <v>5.955083724602153</v>
      </c>
      <c r="L13" s="11">
        <f>IFERROR(L12/L14,0)</f>
        <v>31.852103052082803</v>
      </c>
      <c r="M13" s="11">
        <f>IFERROR(M12/M14,0)</f>
        <v>-0.1774145616641902</v>
      </c>
      <c r="N13" s="11">
        <f>IFERROR(N12/N14,0)</f>
        <v>3.31311608488925</v>
      </c>
      <c r="O13" s="11">
        <f>IFERROR(O12/O14,0)</f>
        <v>-1.9777685558453877</v>
      </c>
      <c r="P13" s="11">
        <f>IFERROR(P12/P14,0)</f>
        <v>2.937095230050121</v>
      </c>
      <c r="Q13" s="11">
        <f>IFERROR(Q12/Q14,0)</f>
        <v>-0.22044833242208858</v>
      </c>
      <c r="R13" s="11">
        <f>IFERROR(R12/R14,0)</f>
        <v>6.132502217404159</v>
      </c>
      <c r="S13" s="11">
        <f>IFERROR(S12/S14,0)</f>
        <v>4.3443993072063485</v>
      </c>
      <c r="T13" s="11">
        <f>IFERROR(T12/T14,0)</f>
        <v>5.0766850866172595</v>
      </c>
      <c r="U13" s="11">
        <f>IFERROR(U12/U14,0)</f>
        <v>5.804925438618444</v>
      </c>
      <c r="V13" s="11">
        <f>IFERROR(V12/V14,0)</f>
        <v>6.491335247689109</v>
      </c>
      <c r="W13" s="11">
        <f>IFERROR(W12/W14,0)</f>
        <v>7.0946421340350145</v>
      </c>
      <c r="X13" s="11">
        <f>IFERROR(X12/X14,0)</f>
        <v>7.573642379508775</v>
      </c>
      <c r="Y13" s="11">
        <f>IFERROR(Y12/Y14,0)</f>
        <v>7.891390487152598</v>
      </c>
      <c r="Z13" s="11">
        <f>IFERROR(Z12/Z14,0)</f>
        <v>8.01950453346767</v>
      </c>
      <c r="AA13" s="11">
        <f>IFERROR(AA12/AA14,0)</f>
        <v>7.941953838033856</v>
      </c>
      <c r="AB13" s="11">
        <f>IFERROR(AB12/AB14,0)</f>
        <v>7.657685606495184</v>
      </c>
    </row>
    <row r="14">
      <c r="A14" s="2" t="inlineStr">
        <is>
          <t>Shares</t>
        </is>
      </c>
      <c r="B14" s="52" t="n">
        <v>18.863</v>
      </c>
      <c r="C14" s="52" t="n">
        <v>19.613</v>
      </c>
      <c r="D14" s="52" t="n">
        <v>19.713</v>
      </c>
      <c r="E14" s="52" t="n">
        <v>19.853</v>
      </c>
      <c r="F14" s="52" t="n">
        <v>20.745</v>
      </c>
      <c r="G14" s="52" t="n">
        <v>21.433</v>
      </c>
      <c r="H14" s="52" t="n">
        <v>21.228</v>
      </c>
      <c r="I14" s="52" t="n">
        <v>20.831</v>
      </c>
      <c r="J14" s="52" t="n">
        <v>23.481</v>
      </c>
      <c r="K14" s="52" t="n">
        <v>24.067</v>
      </c>
      <c r="L14" s="52" t="n">
        <v>19.757</v>
      </c>
      <c r="M14" s="52" t="n">
        <v>16.825</v>
      </c>
      <c r="N14" s="52" t="n">
        <v>17.246</v>
      </c>
      <c r="O14" s="52" t="n">
        <v>16.868</v>
      </c>
      <c r="P14" s="52" t="n">
        <v>17.757</v>
      </c>
      <c r="Q14" s="52" t="n">
        <v>18.29</v>
      </c>
      <c r="R14" s="52" t="n">
        <v>20.294</v>
      </c>
      <c r="S14" s="52">
        <f>Main!$C$4</f>
        <v>19.935609</v>
      </c>
      <c r="T14" s="52">
        <f>Main!$C$4</f>
        <v>19.935609</v>
      </c>
      <c r="U14" s="52">
        <f>Main!$C$4</f>
        <v>19.935609</v>
      </c>
      <c r="V14" s="52">
        <f>Main!$C$4</f>
        <v>19.935609</v>
      </c>
      <c r="W14" s="52">
        <f>Main!$C$4</f>
        <v>19.935609</v>
      </c>
      <c r="X14" s="52">
        <f>Main!$C$4</f>
        <v>19.935609</v>
      </c>
      <c r="Y14" s="52">
        <f>Main!$C$4</f>
        <v>19.935609</v>
      </c>
      <c r="Z14" s="52">
        <f>Main!$C$4</f>
        <v>19.935609</v>
      </c>
      <c r="AA14" s="52">
        <f>Main!$C$4</f>
        <v>19.935609</v>
      </c>
      <c r="AB14" s="52">
        <f>Main!$C$4</f>
        <v>19.935609</v>
      </c>
    </row>
    <row r="15"/>
    <row r="16" customFormat="1" s="4">
      <c r="A16" s="3" t="inlineStr">
        <is>
          <t>Revenue Change</t>
        </is>
      </c>
      <c r="C16" s="15">
        <f>IFERROR(C2/B2-1,"")</f>
        <v>-0.39553158705701075</v>
      </c>
      <c r="D16" s="15">
        <f>IFERROR(D2/C2-1,"")</f>
        <v>0.27610672104681777</v>
      </c>
      <c r="E16" s="15">
        <f>IFERROR(E2/D2-1,"")</f>
        <v>0.04497786063854581</v>
      </c>
      <c r="F16" s="15">
        <f>IFERROR(F2/E2-1,"")</f>
        <v>0.56024595386772</v>
      </c>
      <c r="G16" s="15">
        <f>IFERROR(G2/F2-1,"")</f>
        <v>0.3178281910440446</v>
      </c>
      <c r="H16" s="15">
        <f>IFERROR(H2/G2-1,"")</f>
        <v>0.11428925594223571</v>
      </c>
      <c r="I16" s="15">
        <f>IFERROR(I2/H2-1,"")</f>
        <v>0.5153238590538698</v>
      </c>
      <c r="J16" s="15">
        <f>IFERROR(J2/I2-1,"")</f>
        <v>0.29483450028906244</v>
      </c>
      <c r="K16" s="15">
        <f>IFERROR(K2/J2-1,"")</f>
        <v>0.7820654561948095</v>
      </c>
      <c r="L16" s="15">
        <f>IFERROR(L2/K2-1,"")</f>
        <v>-0.521652157659682</v>
      </c>
      <c r="M16" s="15">
        <f>IFERROR(M2/L2-1,"")</f>
        <v>0.3598210871119538</v>
      </c>
      <c r="N16" s="15">
        <f>IFERROR(N2/M2-1,"")</f>
        <v>0.47677333365940733</v>
      </c>
      <c r="O16" s="15">
        <f>IFERROR(O2/N2-1,"")</f>
        <v>-0.18753933030834968</v>
      </c>
      <c r="P16" s="15">
        <f>IFERROR(P2/O2-1,"")</f>
        <v>-0.3308670284593238</v>
      </c>
      <c r="Q16" s="15">
        <f>IFERROR(Q2/P2-1,"")</f>
        <v>0.27277365703580747</v>
      </c>
      <c r="R16" s="15">
        <f>IFERROR(R2/Q2-1,"")</f>
        <v>0.604033913111115</v>
      </c>
      <c r="S16" s="15">
        <f>IFERROR(S2/R2-1,"")</f>
        <v>0.24160000000000004</v>
      </c>
      <c r="T16" s="15">
        <f>IFERROR(T2/S2-1,"")</f>
        <v>0.21753333333333336</v>
      </c>
      <c r="U16" s="15">
        <f>IFERROR(U2/T2-1,"")</f>
        <v>0.19346666666666668</v>
      </c>
      <c r="V16" s="15">
        <f>IFERROR(V2/U2-1,"")</f>
        <v>0.1694</v>
      </c>
      <c r="W16" s="15">
        <f>IFERROR(W2/V2-1,"")</f>
        <v>0.14533333333333331</v>
      </c>
      <c r="X16" s="15">
        <f>IFERROR(X2/W2-1,"")</f>
        <v>0.12126666666666663</v>
      </c>
      <c r="Y16" s="15">
        <f>IFERROR(Y2/X2-1,"")</f>
        <v>0.09719999999999995</v>
      </c>
      <c r="Z16" s="15">
        <f>IFERROR(Z2/Y2-1,"")</f>
        <v>0.07313333333333327</v>
      </c>
      <c r="AA16" s="15">
        <f>IFERROR(AA2/Z2-1,"")</f>
        <v>0.04906666666666659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0.8365682325132338</v>
      </c>
      <c r="E17" s="15">
        <f>IFERROR(E4/E2,"")</f>
        <v>0.8852746272460813</v>
      </c>
      <c r="F17" s="15">
        <f>IFERROR(F4/F2,"")</f>
        <v>0.8829559144834909</v>
      </c>
      <c r="G17" s="15">
        <f>IFERROR(G4/G2,"")</f>
        <v>0.858439988843782</v>
      </c>
      <c r="H17" s="15">
        <f>IFERROR(H4/H2,"")</f>
        <v>0.9192507717551519</v>
      </c>
      <c r="I17" s="15">
        <f>IFERROR(I4/I2,"")</f>
        <v>0.9488772448221119</v>
      </c>
      <c r="J17" s="15">
        <f>IFERROR(J4/J2,"")</f>
        <v>0.9619707729160465</v>
      </c>
      <c r="K17" s="15">
        <f>IFERROR(K4/K2,"")</f>
        <v>0.9747984712848923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0.9748</v>
      </c>
      <c r="T17" s="15">
        <f>IFERROR(T4/T2,"")</f>
        <v>0.9748</v>
      </c>
      <c r="U17" s="15">
        <f>IFERROR(U4/U2,"")</f>
        <v>0.9748</v>
      </c>
      <c r="V17" s="15">
        <f>IFERROR(V4/V2,"")</f>
        <v>0.9748</v>
      </c>
      <c r="W17" s="15">
        <f>IFERROR(W4/W2,"")</f>
        <v>0.9748000000000001</v>
      </c>
      <c r="X17" s="15">
        <f>IFERROR(X4/X2,"")</f>
        <v>0.9748</v>
      </c>
      <c r="Y17" s="15">
        <f>IFERROR(Y4/Y2,"")</f>
        <v>0.9748</v>
      </c>
      <c r="Z17" s="15">
        <f>IFERROR(Z4/Z2,"")</f>
        <v>0.9748</v>
      </c>
      <c r="AA17" s="15">
        <f>IFERROR(AA4/AA2,"")</f>
        <v>0.9748000000000001</v>
      </c>
      <c r="AB17" s="15">
        <f>IFERROR(AB4/AB2,"")</f>
        <v>0.9748</v>
      </c>
    </row>
    <row r="18">
      <c r="A18" s="14" t="inlineStr">
        <is>
          <t>Operating Margin</t>
        </is>
      </c>
      <c r="B18" s="15">
        <f>IFERROR(B8/B2,"")</f>
        <v>-0.2559578839239856</v>
      </c>
      <c r="C18" s="15">
        <f>IFERROR(C8/C2,"")</f>
        <v>-1.2449655875605403</v>
      </c>
      <c r="D18" s="15">
        <f>IFERROR(D8/D2,"")</f>
        <v>-0.02923061557412525</v>
      </c>
      <c r="E18" s="15">
        <f>IFERROR(E8/E2,"")</f>
        <v>0.0061488466930038526</v>
      </c>
      <c r="F18" s="15">
        <f>IFERROR(F8/F2,"")</f>
        <v>0.3051273150511506</v>
      </c>
      <c r="G18" s="15">
        <f>IFERROR(G8/G2,"")</f>
        <v>0.3040999101304659</v>
      </c>
      <c r="H18" s="15">
        <f>IFERROR(H8/H2,"")</f>
        <v>0.3800233612370331</v>
      </c>
      <c r="I18" s="15">
        <f>IFERROR(I8/I2,"")</f>
        <v>0.4027144338505869</v>
      </c>
      <c r="J18" s="15">
        <f>IFERROR(J8/J2,"")</f>
        <v>0.4824594973848705</v>
      </c>
      <c r="K18" s="15">
        <f>IFERROR(K8/K2,"")</f>
        <v>0.6511236692344097</v>
      </c>
      <c r="L18" s="15">
        <f>IFERROR(L8/L2,"")</f>
        <v>6.709865150230293</v>
      </c>
      <c r="M18" s="15">
        <f>IFERROR(M8/M2,"")</f>
        <v>0.22927085753414614</v>
      </c>
      <c r="N18" s="15">
        <f>IFERROR(N8/N2,"")</f>
        <v>0.4299465107806446</v>
      </c>
      <c r="O18" s="15">
        <f>IFERROR(O8/O2,"")</f>
        <v>0.015475553517287096</v>
      </c>
      <c r="P18" s="15">
        <f>IFERROR(P8/P2,"")</f>
        <v>0.09094232145848888</v>
      </c>
      <c r="Q18" s="15">
        <f>IFERROR(Q8/Q2,"")</f>
        <v>-0.13525754937684356</v>
      </c>
      <c r="R18" s="15">
        <f>IFERROR(R8/R2,"")</f>
        <v>0.15294288794309313</v>
      </c>
      <c r="S18" s="15">
        <f>IFERROR(S8/S2,"")</f>
        <v>0.31349</v>
      </c>
      <c r="T18" s="15">
        <f>IFERROR(T8/T2,"")</f>
        <v>0.3008799999999999</v>
      </c>
      <c r="U18" s="15">
        <f>IFERROR(U8/U2,"")</f>
        <v>0.28827</v>
      </c>
      <c r="V18" s="15">
        <f>IFERROR(V8/V2,"")</f>
        <v>0.27566</v>
      </c>
      <c r="W18" s="15">
        <f>IFERROR(W8/W2,"")</f>
        <v>0.26305000000000006</v>
      </c>
      <c r="X18" s="15">
        <f>IFERROR(X8/X2,"")</f>
        <v>0.25044</v>
      </c>
      <c r="Y18" s="15">
        <f>IFERROR(Y8/Y2,"")</f>
        <v>0.23782999999999996</v>
      </c>
      <c r="Z18" s="15">
        <f>IFERROR(Z8/Z2,"")</f>
        <v>0.22522000000000003</v>
      </c>
      <c r="AA18" s="15">
        <f>IFERROR(AA8/AA2,"")</f>
        <v>0.21260999999999997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Ligand Pharmaceuticals Incorporated: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0.1916</v>
      </c>
      <c r="C12" s="53" t="n">
        <v>0.2416</v>
      </c>
      <c r="D12" s="53" t="n">
        <v>0.2916</v>
      </c>
      <c r="E12" s="54">
        <f>CHOOSE($B$4,B12,C12,D12)</f>
        <v>0.2416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0.3261</v>
      </c>
    </row>
    <row r="19">
      <c r="A19" s="14" t="inlineStr">
        <is>
          <t>Gross margin (forecast)</t>
        </is>
      </c>
      <c r="B19" s="53" t="n">
        <v>0.9748</v>
      </c>
    </row>
    <row r="20">
      <c r="A20" s="14" t="inlineStr">
        <is>
          <t>R&amp;D share of operating expense (forecast)</t>
        </is>
      </c>
      <c r="B20" s="53" t="n">
        <v>0.3575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268.087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1644.3596135381254</v>
      </c>
      <c r="C29" s="56">
        <f>NPV!B26</f>
        <v>1875.5236135381256</v>
      </c>
      <c r="D29" s="35">
        <f>NPV!B28</f>
        <v>94.07907295624256</v>
      </c>
      <c r="E29" s="57">
        <f>NPV!B30</f>
        <v>-0.6929534172446392</v>
      </c>
    </row>
    <row r="30">
      <c r="A30" s="58" t="n">
        <v>1</v>
      </c>
      <c r="B30" s="59">
        <f t="dataTable" ref="B30:E32" r1="B4"/>
        <v>939.2012333405667</v>
      </c>
      <c r="C30" s="59">
        <v>1170.3652333405666</v>
      </c>
      <c r="D30" s="39">
        <v>58.70727266674255</v>
      </c>
      <c r="E30" s="60">
        <v>-0.8083966296777332</v>
      </c>
    </row>
    <row r="31">
      <c r="A31" s="58" t="n">
        <v>2</v>
      </c>
      <c r="B31" s="59">
        <v>1644.3596135381254</v>
      </c>
      <c r="C31" s="59">
        <v>1875.5236135381256</v>
      </c>
      <c r="D31" s="39">
        <v>94.07907295624256</v>
      </c>
      <c r="E31" s="60">
        <v>-0.6929534172446392</v>
      </c>
    </row>
    <row r="32">
      <c r="A32" s="58" t="n">
        <v>3</v>
      </c>
      <c r="B32" s="59">
        <v>3015.503134963886</v>
      </c>
      <c r="C32" s="59">
        <v>3246.6671349638864</v>
      </c>
      <c r="D32" s="39">
        <v>162.8576852086077</v>
      </c>
      <c r="E32" s="60">
        <v>-0.46848013965859103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94.07907295624256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112.24620276050025</v>
      </c>
      <c r="C37" s="39">
        <v>119.3675563992045</v>
      </c>
      <c r="D37" s="39">
        <v>127.89729309493147</v>
      </c>
      <c r="E37" s="39">
        <v>138.3046979046451</v>
      </c>
      <c r="F37" s="39">
        <v>151.29369660607657</v>
      </c>
    </row>
    <row r="38">
      <c r="A38" s="62" t="n">
        <v>0.08500000000000001</v>
      </c>
      <c r="B38" s="39">
        <v>97.45653337624657</v>
      </c>
      <c r="C38" s="39">
        <v>102.39684381764219</v>
      </c>
      <c r="D38" s="39">
        <v>108.1479598854338</v>
      </c>
      <c r="E38" s="39">
        <v>114.93087454523327</v>
      </c>
      <c r="F38" s="39">
        <v>123.05497659329625</v>
      </c>
    </row>
    <row r="39">
      <c r="A39" s="62" t="n">
        <v>0.095</v>
      </c>
      <c r="B39" s="39">
        <v>86.40118900627587</v>
      </c>
      <c r="C39" s="39">
        <v>89.98898373506402</v>
      </c>
      <c r="D39" s="39">
        <v>94.07907295624256</v>
      </c>
      <c r="E39" s="39">
        <v>98.78726230135214</v>
      </c>
      <c r="F39" s="39">
        <v>104.26795821972543</v>
      </c>
    </row>
    <row r="40">
      <c r="A40" s="62" t="n">
        <v>0.105</v>
      </c>
      <c r="B40" s="39">
        <v>77.83176486197264</v>
      </c>
      <c r="C40" s="39">
        <v>80.52979727059227</v>
      </c>
      <c r="D40" s="39">
        <v>83.55655918810196</v>
      </c>
      <c r="E40" s="39">
        <v>86.97770775899997</v>
      </c>
      <c r="F40" s="39">
        <v>90.87765845999432</v>
      </c>
    </row>
    <row r="41">
      <c r="A41" s="62" t="n">
        <v>0.115</v>
      </c>
      <c r="B41" s="39">
        <v>70.99963729297036</v>
      </c>
      <c r="C41" s="39">
        <v>73.08519911764914</v>
      </c>
      <c r="D41" s="39">
        <v>75.39528397790103</v>
      </c>
      <c r="E41" s="39">
        <v>77.96943963161561</v>
      </c>
      <c r="F41" s="39">
        <v>80.85710007647032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Ligand Pharmaceuticals Incorporated: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0.2416</v>
      </c>
      <c r="D5" s="63">
        <f>Assumptions!$E$12+(Assumptions!$E$11-Assumptions!$E$12)*(D4-1)/(Assumptions!$B$21-1)</f>
        <v>0.21753333333333336</v>
      </c>
      <c r="E5" s="63">
        <f>Assumptions!$E$12+(Assumptions!$E$11-Assumptions!$E$12)*(E4-1)/(Assumptions!$B$21-1)</f>
        <v>0.19346666666666668</v>
      </c>
      <c r="F5" s="63">
        <f>Assumptions!$E$12+(Assumptions!$E$11-Assumptions!$E$12)*(F4-1)/(Assumptions!$B$21-1)</f>
        <v>0.1694</v>
      </c>
      <c r="G5" s="63">
        <f>Assumptions!$E$12+(Assumptions!$E$11-Assumptions!$E$12)*(G4-1)/(Assumptions!$B$21-1)</f>
        <v>0.14533333333333334</v>
      </c>
      <c r="H5" s="63">
        <f>Assumptions!$E$12+(Assumptions!$E$11-Assumptions!$E$12)*(H4-1)/(Assumptions!$B$21-1)</f>
        <v>0.12126666666666666</v>
      </c>
      <c r="I5" s="63">
        <f>Assumptions!$E$12+(Assumptions!$E$11-Assumptions!$E$12)*(I4-1)/(Assumptions!$B$21-1)</f>
        <v>0.09720000000000001</v>
      </c>
      <c r="J5" s="63">
        <f>Assumptions!$E$12+(Assumptions!$E$11-Assumptions!$E$12)*(J4-1)/(Assumptions!$B$21-1)</f>
        <v>0.07313333333333336</v>
      </c>
      <c r="K5" s="63">
        <f>Assumptions!$E$12+(Assumptions!$E$11-Assumptions!$E$12)*(K4-1)/(Assumptions!$B$21-1)</f>
        <v>0.049066666666666675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0.15294288794309313</v>
      </c>
      <c r="C6" s="63">
        <f>Assumptions!$B$18+(Assumptions!$E$13-Assumptions!$B$18)*C4/Assumptions!$B$21</f>
        <v>0.31349</v>
      </c>
      <c r="D6" s="63">
        <f>Assumptions!$B$18+(Assumptions!$E$13-Assumptions!$B$18)*D4/Assumptions!$B$21</f>
        <v>0.30088</v>
      </c>
      <c r="E6" s="63">
        <f>Assumptions!$B$18+(Assumptions!$E$13-Assumptions!$B$18)*E4/Assumptions!$B$21</f>
        <v>0.28827</v>
      </c>
      <c r="F6" s="63">
        <f>Assumptions!$B$18+(Assumptions!$E$13-Assumptions!$B$18)*F4/Assumptions!$B$21</f>
        <v>0.27566</v>
      </c>
      <c r="G6" s="63">
        <f>Assumptions!$B$18+(Assumptions!$E$13-Assumptions!$B$18)*G4/Assumptions!$B$21</f>
        <v>0.26305</v>
      </c>
      <c r="H6" s="63">
        <f>Assumptions!$B$18+(Assumptions!$E$13-Assumptions!$B$18)*H4/Assumptions!$B$21</f>
        <v>0.25044</v>
      </c>
      <c r="I6" s="63">
        <f>Assumptions!$B$18+(Assumptions!$E$13-Assumptions!$B$18)*I4/Assumptions!$B$21</f>
        <v>0.23783</v>
      </c>
      <c r="J6" s="63">
        <f>Assumptions!$B$18+(Assumptions!$E$13-Assumptions!$B$18)*J4/Assumptions!$B$21</f>
        <v>0.22522</v>
      </c>
      <c r="K6" s="63">
        <f>Assumptions!$B$18+(Assumptions!$E$13-Assumptions!$B$18)*K4/Assumptions!$B$21</f>
        <v>0.21261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268.087</v>
      </c>
      <c r="C7" s="55">
        <f>'Yearly Model'!S2</f>
        <v>332.8568192</v>
      </c>
      <c r="D7" s="55">
        <f>'Yearly Model'!T2</f>
        <v>405.2642726033067</v>
      </c>
      <c r="E7" s="55">
        <f>'Yearly Model'!U2</f>
        <v>483.6694005429598</v>
      </c>
      <c r="F7" s="55">
        <f>'Yearly Model'!V2</f>
        <v>565.6029969949371</v>
      </c>
      <c r="G7" s="55">
        <f>'Yearly Model'!W2</f>
        <v>647.8039658915346</v>
      </c>
      <c r="H7" s="55">
        <f>'Yearly Model'!X2</f>
        <v>726.3609934886481</v>
      </c>
      <c r="I7" s="55">
        <f>'Yearly Model'!Y2</f>
        <v>796.9632820557447</v>
      </c>
      <c r="J7" s="55">
        <f>'Yearly Model'!Z2</f>
        <v>855.2478634167547</v>
      </c>
      <c r="K7" s="55">
        <f>'Yearly Model'!AA2</f>
        <v>897.2120252484034</v>
      </c>
      <c r="L7" s="55">
        <f>'Yearly Model'!AB2</f>
        <v>919.6423258796134</v>
      </c>
    </row>
    <row r="8">
      <c r="A8" s="14" t="inlineStr">
        <is>
          <t>Operating income</t>
        </is>
      </c>
      <c r="B8" s="55">
        <f>'Yearly Model'!R8</f>
        <v>41.00200000000001</v>
      </c>
      <c r="C8" s="55">
        <f>'Yearly Model'!S8</f>
        <v>104.347284251008</v>
      </c>
      <c r="D8" s="55">
        <f>'Yearly Model'!T8</f>
        <v>121.9359143408829</v>
      </c>
      <c r="E8" s="55">
        <f>'Yearly Model'!U8</f>
        <v>139.42737809451904</v>
      </c>
      <c r="F8" s="55">
        <f>'Yearly Model'!V8</f>
        <v>155.91412215162438</v>
      </c>
      <c r="G8" s="55">
        <f>'Yearly Model'!W8</f>
        <v>170.40483322776822</v>
      </c>
      <c r="H8" s="55">
        <f>'Yearly Model'!X8</f>
        <v>181.90984720929703</v>
      </c>
      <c r="I8" s="55">
        <f>'Yearly Model'!Y8</f>
        <v>189.54177737131772</v>
      </c>
      <c r="J8" s="55">
        <f>'Yearly Model'!Z8</f>
        <v>192.61892379872154</v>
      </c>
      <c r="K8" s="55">
        <f>'Yearly Model'!AA8</f>
        <v>190.756248688063</v>
      </c>
      <c r="L8" s="55">
        <f>'Yearly Model'!AB8</f>
        <v>183.92846517592272</v>
      </c>
    </row>
    <row r="9">
      <c r="A9" s="14" t="inlineStr">
        <is>
          <t>Tax on operating income</t>
        </is>
      </c>
      <c r="C9" s="52">
        <f>MAX(0,C8)*Assumptions!$E$14</f>
        <v>17.739038322671362</v>
      </c>
      <c r="D9" s="52">
        <f>MAX(0,D8)*Assumptions!$E$14</f>
        <v>20.729105437950096</v>
      </c>
      <c r="E9" s="52">
        <f>MAX(0,E8)*Assumptions!$E$14</f>
        <v>23.702654276068237</v>
      </c>
      <c r="F9" s="52">
        <f>MAX(0,F8)*Assumptions!$E$14</f>
        <v>26.505400765776148</v>
      </c>
      <c r="G9" s="52">
        <f>MAX(0,G8)*Assumptions!$E$14</f>
        <v>28.9688216487206</v>
      </c>
      <c r="H9" s="52">
        <f>MAX(0,H8)*Assumptions!$E$14</f>
        <v>30.924674025580497</v>
      </c>
      <c r="I9" s="52">
        <f>MAX(0,I8)*Assumptions!$E$14</f>
        <v>32.22210215312401</v>
      </c>
      <c r="J9" s="52">
        <f>MAX(0,J8)*Assumptions!$E$14</f>
        <v>32.74521704578267</v>
      </c>
      <c r="K9" s="52">
        <f>MAX(0,K8)*Assumptions!$E$14</f>
        <v>32.428562276970716</v>
      </c>
      <c r="L9" s="52">
        <f>MAX(0,L8)*Assumptions!$E$14</f>
        <v>31.267839079906864</v>
      </c>
    </row>
    <row r="10">
      <c r="A10" s="14" t="inlineStr">
        <is>
          <t>NOPAT</t>
        </is>
      </c>
      <c r="C10" s="52">
        <f>C8-C9</f>
        <v>86.60824592833664</v>
      </c>
      <c r="D10" s="52">
        <f>D8-D9</f>
        <v>101.2068089029328</v>
      </c>
      <c r="E10" s="52">
        <f>E8-E9</f>
        <v>115.7247238184508</v>
      </c>
      <c r="F10" s="52">
        <f>F8-F9</f>
        <v>129.40872138584822</v>
      </c>
      <c r="G10" s="52">
        <f>G8-G9</f>
        <v>141.43601157904763</v>
      </c>
      <c r="H10" s="52">
        <f>H8-H9</f>
        <v>150.98517318371654</v>
      </c>
      <c r="I10" s="52">
        <f>I8-I9</f>
        <v>157.3196752181937</v>
      </c>
      <c r="J10" s="52">
        <f>J8-J9</f>
        <v>159.87370675293886</v>
      </c>
      <c r="K10" s="52">
        <f>K8-K9</f>
        <v>158.3276864110923</v>
      </c>
      <c r="L10" s="52">
        <f>L8-L9</f>
        <v>152.66062609601585</v>
      </c>
    </row>
    <row r="11">
      <c r="A11" s="14" t="inlineStr">
        <is>
          <t>Reinvestment</t>
        </is>
      </c>
      <c r="C11" s="52">
        <f>(C7-B7)*Assumptions!$E$15</f>
        <v>16.192454800000007</v>
      </c>
      <c r="D11" s="52">
        <f>(D7-C7)*Assumptions!$E$15</f>
        <v>18.101863350826676</v>
      </c>
      <c r="E11" s="52">
        <f>(E7-D7)*Assumptions!$E$15</f>
        <v>19.60128198491327</v>
      </c>
      <c r="F11" s="52">
        <f>(F7-E7)*Assumptions!$E$15</f>
        <v>20.483399112994334</v>
      </c>
      <c r="G11" s="52">
        <f>(G7-F7)*Assumptions!$E$15</f>
        <v>20.550242224149372</v>
      </c>
      <c r="H11" s="52">
        <f>(H7-G7)*Assumptions!$E$15</f>
        <v>19.639256899278365</v>
      </c>
      <c r="I11" s="52">
        <f>(I7-H7)*Assumptions!$E$15</f>
        <v>17.65057214177415</v>
      </c>
      <c r="J11" s="52">
        <f>(J7-I7)*Assumptions!$E$15</f>
        <v>14.571145340252514</v>
      </c>
      <c r="K11" s="52">
        <f>(K7-J7)*Assumptions!$E$15</f>
        <v>10.491040457912163</v>
      </c>
      <c r="L11" s="52">
        <f>(L7-K7)*Assumptions!$E$15</f>
        <v>5.607575157802501</v>
      </c>
    </row>
    <row r="12">
      <c r="A12" s="20" t="inlineStr">
        <is>
          <t>Free cash flow</t>
        </is>
      </c>
      <c r="C12" s="64">
        <f>C10-C11</f>
        <v>70.41579112833664</v>
      </c>
      <c r="D12" s="64">
        <f>D10-D11</f>
        <v>83.10494555210613</v>
      </c>
      <c r="E12" s="64">
        <f>E10-E11</f>
        <v>96.12344183353753</v>
      </c>
      <c r="F12" s="64">
        <f>F10-F11</f>
        <v>108.92532227285389</v>
      </c>
      <c r="G12" s="64">
        <f>G10-G11</f>
        <v>120.88576935489826</v>
      </c>
      <c r="H12" s="64">
        <f>H10-H11</f>
        <v>131.34591628443818</v>
      </c>
      <c r="I12" s="64">
        <f>I10-I11</f>
        <v>139.66910307641956</v>
      </c>
      <c r="J12" s="64">
        <f>J10-J11</f>
        <v>145.30256141268634</v>
      </c>
      <c r="K12" s="64">
        <f>K10-K11</f>
        <v>147.83664595318012</v>
      </c>
      <c r="L12" s="64">
        <f>L10-L11</f>
        <v>147.05305093821335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34.69384482507826</v>
      </c>
      <c r="D16" s="64">
        <f>D12*D13*D15</f>
        <v>75.86669273529506</v>
      </c>
      <c r="E16" s="64">
        <f>E12*E13*E15</f>
        <v>80.13818030299319</v>
      </c>
      <c r="F16" s="64">
        <f>F12*F13*F15</f>
        <v>82.93252687485186</v>
      </c>
      <c r="G16" s="64">
        <f>G12*G13*G15</f>
        <v>84.05375198834327</v>
      </c>
      <c r="H16" s="64">
        <f>H12*H13*H15</f>
        <v>83.40352011443</v>
      </c>
      <c r="I16" s="64">
        <f>I12*I13*I15</f>
        <v>80.99422072581231</v>
      </c>
      <c r="J16" s="64">
        <f>J12*J13*J15</f>
        <v>76.95074663483317</v>
      </c>
      <c r="K16" s="64">
        <f>K12*K13*K15</f>
        <v>71.50024824084763</v>
      </c>
      <c r="L16" s="64">
        <f>L12*L13*L15</f>
        <v>64.95092924547227</v>
      </c>
    </row>
    <row r="19">
      <c r="A19" s="14" t="inlineStr">
        <is>
          <t>PV of forecast free cash flow</t>
        </is>
      </c>
      <c r="B19" s="52">
        <f>SUM(C16:L16)</f>
        <v>735.484661687957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150.72937721166863</v>
      </c>
    </row>
    <row r="21">
      <c r="A21" s="14" t="inlineStr">
        <is>
          <t>Terminal value</t>
        </is>
      </c>
      <c r="B21" s="52">
        <f>B20/(Assumptions!$E$10-Assumptions!$E$11)</f>
        <v>2153.276817309552</v>
      </c>
    </row>
    <row r="22">
      <c r="A22" s="14" t="inlineStr">
        <is>
          <t>PV of terminal value</t>
        </is>
      </c>
      <c r="B22" s="52">
        <f>B21/(1+Assumptions!$E$10)^(L14+0.5)</f>
        <v>908.8749518501685</v>
      </c>
    </row>
    <row r="23">
      <c r="A23" s="20" t="inlineStr">
        <is>
          <t>Enterprise value</t>
        </is>
      </c>
      <c r="B23" s="66">
        <f>B19+B22</f>
        <v>1644.3596135381254</v>
      </c>
    </row>
    <row r="24">
      <c r="A24" s="14" t="inlineStr">
        <is>
          <t>Cash &amp; investments</t>
        </is>
      </c>
      <c r="B24" s="55">
        <f>Main!C7</f>
        <v>1357.758</v>
      </c>
    </row>
    <row r="25">
      <c r="A25" s="14" t="inlineStr">
        <is>
          <t>Debt</t>
        </is>
      </c>
      <c r="B25" s="55">
        <f>Main!C8</f>
        <v>1126.594</v>
      </c>
    </row>
    <row r="26">
      <c r="A26" s="20" t="inlineStr">
        <is>
          <t>Equity value</t>
        </is>
      </c>
      <c r="B26" s="66">
        <f>B23+B24-B25</f>
        <v>1875.5236135381256</v>
      </c>
    </row>
    <row r="27">
      <c r="A27" s="14" t="inlineStr">
        <is>
          <t>Shares (mm)</t>
        </is>
      </c>
      <c r="B27" s="55">
        <f>Main!C4</f>
        <v>19.935609</v>
      </c>
    </row>
    <row r="28">
      <c r="A28" s="20" t="inlineStr">
        <is>
          <t>NPV / share</t>
        </is>
      </c>
      <c r="B28" s="49">
        <f>B26/B27</f>
        <v>94.07907295624256</v>
      </c>
    </row>
    <row r="29">
      <c r="A29" s="14" t="inlineStr">
        <is>
          <t>Price</t>
        </is>
      </c>
      <c r="B29" s="50">
        <f>Main!C3</f>
        <v>306.4</v>
      </c>
    </row>
    <row r="30">
      <c r="A30" s="14" t="inlineStr">
        <is>
          <t>Upside</t>
        </is>
      </c>
      <c r="B30" s="63">
        <f>B28/B29-1</f>
        <v>-0.6929534172446392</v>
      </c>
    </row>
    <row r="31">
      <c r="A31" s="14" t="inlineStr">
        <is>
          <t>Terminal value, % of EV</t>
        </is>
      </c>
      <c r="B31" s="63">
        <f>IFERROR(B22/B23,0)</f>
        <v>0.5527227404318001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2026-10-21T01:04:02Z</dcterms:modified>
  <cp:lastModifiedBy>Wang, Eric</cp:lastModifiedBy>
</cp:coreProperties>
</file>