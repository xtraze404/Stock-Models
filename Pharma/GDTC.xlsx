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CytoMed Therapeutics Ltd</t>
        </is>
      </c>
      <c r="C2" s="10" t="n"/>
    </row>
    <row r="3">
      <c r="B3" t="inlineStr">
        <is>
          <t>Price</t>
        </is>
      </c>
      <c r="C3" s="11">
        <f>INDEX([1]Pharma!$F$1:$F$1000,MATCH("GDTC",[1]Pharma!$B$1:$B$1000,0))</f>
        <v>0.8715</v>
      </c>
      <c r="F3" s="1" t="n"/>
    </row>
    <row r="4">
      <c r="B4" t="inlineStr">
        <is>
          <t>Shares</t>
        </is>
      </c>
      <c r="C4" s="21" t="n">
        <v>11.828435</v>
      </c>
      <c r="F4" s="1" t="n"/>
    </row>
    <row r="5">
      <c r="B5" t="inlineStr">
        <is>
          <t>Market Cap.</t>
        </is>
      </c>
      <c r="C5" s="13">
        <f>C3*C4</f>
        <v>10.308481102500002</v>
      </c>
      <c r="F5" s="1" t="n"/>
    </row>
    <row r="6"/>
    <row r="7">
      <c r="B7" t="inlineStr">
        <is>
          <t>Cash</t>
        </is>
      </c>
      <c r="C7" s="21">
        <f>(2.095)/1.2792</f>
        <v>1.6377423389618515</v>
      </c>
    </row>
    <row r="8">
      <c r="B8" t="inlineStr">
        <is>
          <t>Debt</t>
        </is>
      </c>
      <c r="C8" s="21">
        <f>(0.041+0.369)/1.2792</f>
        <v>0.32051282051282054</v>
      </c>
    </row>
    <row r="9">
      <c r="B9" t="inlineStr">
        <is>
          <t>Enterprise V.</t>
        </is>
      </c>
      <c r="C9" s="13">
        <f>C5-C7+C8</f>
        <v>8.991251584050971</v>
      </c>
    </row>
    <row r="10"/>
    <row r="11">
      <c r="B11" s="14" t="inlineStr">
        <is>
          <t>rNPV / Share</t>
        </is>
      </c>
      <c r="C11" s="11">
        <f>NPV!B27</f>
        <v>4.202585619054135</v>
      </c>
    </row>
    <row r="12">
      <c r="B12" s="14" t="inlineStr">
        <is>
          <t>Upside</t>
        </is>
      </c>
      <c r="C12" s="15">
        <f>IFERROR(C11/C3-1,"")</f>
        <v>3.8222439690810495</v>
      </c>
    </row>
    <row r="13">
      <c r="B13" s="14" t="inlineStr">
        <is>
          <t>Cash / Share</t>
        </is>
      </c>
      <c r="C13" s="11">
        <f>IFERROR((C7-C8)/C4,"")</f>
        <v>0.11136126786417908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-2.89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0.45578876070900726</v>
      </c>
    </row>
    <row r="19">
      <c r="B19" s="14" t="inlineStr">
        <is>
          <t>Implied Pipeline Value</t>
        </is>
      </c>
      <c r="C19" s="13">
        <f>C9</f>
        <v>8.991251584050971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0.054</v>
      </c>
      <c r="G2" s="23" t="n">
        <v>0.254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0.054</v>
      </c>
      <c r="G4" s="23">
        <f>G2-G3</f>
        <v>0.254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0.8120000000000001</v>
      </c>
      <c r="C5" s="23" t="n">
        <v>0.853</v>
      </c>
      <c r="D5" s="23" t="n">
        <v>1.19</v>
      </c>
      <c r="E5" s="23" t="n">
        <v>1.243</v>
      </c>
      <c r="F5" s="23" t="n">
        <v>1.493</v>
      </c>
      <c r="G5" s="23" t="n">
        <v>1.734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0.812</v>
      </c>
      <c r="C7" s="23">
        <f>SUM(C5:C6)</f>
        <v>0.853</v>
      </c>
      <c r="D7" s="23">
        <f>SUM(D5:D6)</f>
        <v>1.19</v>
      </c>
      <c r="E7" s="23">
        <f>SUM(E5:E6)</f>
        <v>1.243</v>
      </c>
      <c r="F7" s="23">
        <f>SUM(F5:F6)</f>
        <v>1.493</v>
      </c>
      <c r="G7" s="23">
        <f>SUM(G5:G6)</f>
        <v>1.734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-0.812</v>
      </c>
      <c r="C8" s="23">
        <f>C4-C7</f>
        <v>-0.853</v>
      </c>
      <c r="D8" s="23">
        <f>D4-D7</f>
        <v>-1.19</v>
      </c>
      <c r="E8" s="23">
        <f>E4-E7</f>
        <v>-1.243</v>
      </c>
      <c r="F8" s="23">
        <f>F4-F7</f>
        <v>-1.439</v>
      </c>
      <c r="G8" s="23">
        <f>G4-G7</f>
        <v>-1.48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-0.701</v>
      </c>
      <c r="C9" s="23" t="n">
        <v>-0.751</v>
      </c>
      <c r="D9" s="23" t="n">
        <v>-1.256</v>
      </c>
      <c r="E9" s="23" t="n">
        <v>-1.988</v>
      </c>
      <c r="F9" s="23" t="n">
        <v>-0.529</v>
      </c>
      <c r="G9" s="23" t="n">
        <v>-1.632</v>
      </c>
    </row>
    <row r="10">
      <c r="A10" s="2" t="inlineStr">
        <is>
          <t>Pretax</t>
        </is>
      </c>
      <c r="B10" s="23">
        <f>B8+B9</f>
        <v>-1.513</v>
      </c>
      <c r="C10" s="23">
        <f>C8+C9</f>
        <v>-1.604</v>
      </c>
      <c r="D10" s="23">
        <f>D8+D9</f>
        <v>-2.4459999999999997</v>
      </c>
      <c r="E10" s="23">
        <f>E8+E9</f>
        <v>-3.231</v>
      </c>
      <c r="F10" s="23">
        <f>F8+F9</f>
        <v>-1.968</v>
      </c>
      <c r="G10" s="23">
        <f>G8+G9</f>
        <v>-3.112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0.001</v>
      </c>
      <c r="E11" s="23" t="n">
        <v>0.001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-1.513</v>
      </c>
      <c r="C12" s="23" t="n">
        <v>-1.604</v>
      </c>
      <c r="D12" s="23" t="n">
        <v>-2.448</v>
      </c>
      <c r="E12" s="23" t="n">
        <v>-3.231</v>
      </c>
      <c r="F12" s="23" t="n">
        <v>-1.967</v>
      </c>
      <c r="G12" s="23" t="n">
        <v>-3.112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-0.2565276364869447</v>
      </c>
      <c r="C13" s="11">
        <f>IFERROR(C12/C14,0)</f>
        <v>-0.23129055515501085</v>
      </c>
      <c r="D13" s="11">
        <f>IFERROR(D12/D14,0)</f>
        <v>-0.3092861655085281</v>
      </c>
      <c r="E13" s="11">
        <f>IFERROR(E12/E14,0)</f>
        <v>-0.3039510818438382</v>
      </c>
      <c r="F13" s="11">
        <f>IFERROR(F12/F14,0)</f>
        <v>-0.1704506065857886</v>
      </c>
      <c r="G13" s="11">
        <f>IFERROR(G12/G14,0)</f>
        <v>-0.26719326865287196</v>
      </c>
    </row>
    <row r="14">
      <c r="A14" s="2" t="inlineStr">
        <is>
          <t>Shares</t>
        </is>
      </c>
      <c r="B14" s="23" t="n">
        <v>5.898</v>
      </c>
      <c r="C14" s="23" t="n">
        <v>6.935</v>
      </c>
      <c r="D14" s="23" t="n">
        <v>7.915</v>
      </c>
      <c r="E14" s="23" t="n">
        <v>10.63</v>
      </c>
      <c r="F14" s="23" t="n">
        <v>11.54</v>
      </c>
      <c r="G14" s="23" t="n">
        <v>11.647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3.703703703703704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-26.64814814814815</v>
      </c>
      <c r="G18" s="15">
        <f>IFERROR(G8/G2,"")</f>
        <v>-5.8267716535433065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CytoMed Therapeutics Ltd: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1.48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13.9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48.39278130846757</v>
      </c>
      <c r="C29" s="42">
        <f>NPV!B25</f>
        <v>49.7100108269166</v>
      </c>
      <c r="D29" s="43">
        <f>NPV!B27</f>
        <v>4.202585619054135</v>
      </c>
      <c r="E29" s="44">
        <f>NPV!B29</f>
        <v>3.8222439690810495</v>
      </c>
    </row>
    <row r="30">
      <c r="A30" s="45" t="n">
        <v>1</v>
      </c>
      <c r="B30" s="46">
        <f t="dataTable" ref="B30:E32" r1="B4"/>
        <v>16.07576909888495</v>
      </c>
      <c r="C30" s="46">
        <v>17.39299861733398</v>
      </c>
      <c r="D30" s="47">
        <v>1.470439548201768</v>
      </c>
      <c r="E30" s="48">
        <v>0.6872513461867675</v>
      </c>
    </row>
    <row r="31">
      <c r="A31" s="45" t="n">
        <v>2</v>
      </c>
      <c r="B31" s="46">
        <v>48.39278130846757</v>
      </c>
      <c r="C31" s="46">
        <v>49.7100108269166</v>
      </c>
      <c r="D31" s="47">
        <v>4.202585619054135</v>
      </c>
      <c r="E31" s="48">
        <v>3.8222439690810495</v>
      </c>
    </row>
    <row r="32">
      <c r="A32" s="45" t="n">
        <v>3</v>
      </c>
      <c r="B32" s="46">
        <v>103.33136485849798</v>
      </c>
      <c r="C32" s="46">
        <v>104.64859437694702</v>
      </c>
      <c r="D32" s="47">
        <v>8.847205431398745</v>
      </c>
      <c r="E32" s="48">
        <v>9.151698716464423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4.202585619054135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1.1272838763215138</v>
      </c>
      <c r="C37" s="47">
        <v>1.7904825540743763</v>
      </c>
      <c r="D37" s="47">
        <v>2.450114268251425</v>
      </c>
      <c r="E37" s="47">
        <v>3.7675225485369213</v>
      </c>
      <c r="F37" s="47">
        <v>5.081867200018347</v>
      </c>
    </row>
    <row r="38">
      <c r="A38" s="50" t="n">
        <v>0.8</v>
      </c>
      <c r="B38" s="47">
        <v>1.5681286465843256</v>
      </c>
      <c r="C38" s="47">
        <v>2.4485701621220324</v>
      </c>
      <c r="D38" s="47">
        <v>3.3278817580548163</v>
      </c>
      <c r="E38" s="47">
        <v>5.080341293363383</v>
      </c>
      <c r="F38" s="47">
        <v>6.832800828671951</v>
      </c>
    </row>
    <row r="39">
      <c r="A39" s="50" t="n">
        <v>1</v>
      </c>
      <c r="B39" s="47">
        <v>2.0072715798746064</v>
      </c>
      <c r="C39" s="47">
        <v>3.106657770169688</v>
      </c>
      <c r="D39" s="47">
        <v>4.202585619054135</v>
      </c>
      <c r="E39" s="47">
        <v>6.393160038189842</v>
      </c>
      <c r="F39" s="47">
        <v>8.582139557976754</v>
      </c>
    </row>
    <row r="40">
      <c r="A40" s="50" t="n">
        <v>1.2</v>
      </c>
      <c r="B40" s="47">
        <v>2.4454819498632463</v>
      </c>
      <c r="C40" s="47">
        <v>3.7629448285720284</v>
      </c>
      <c r="D40" s="47">
        <v>5.077289480053453</v>
      </c>
      <c r="E40" s="47">
        <v>7.705978783016303</v>
      </c>
      <c r="F40" s="47">
        <v>10.329876571916346</v>
      </c>
    </row>
    <row r="41">
      <c r="A41" s="50" t="n">
        <v>1.4</v>
      </c>
      <c r="B41" s="47">
        <v>2.8836923198518862</v>
      </c>
      <c r="C41" s="47">
        <v>4.418591247657776</v>
      </c>
      <c r="D41" s="47">
        <v>5.951993341052772</v>
      </c>
      <c r="E41" s="47">
        <v>9.016433200623696</v>
      </c>
      <c r="F41" s="47">
        <v>12.077613585855932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CytoMed Therapeutics Ltd: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Allogeneic NKG2DL-targeting Chimeric Antigen Receptor-grafte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65.43885454469662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65.43885454469662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7.904999999999999</v>
      </c>
      <c r="U5" s="54">
        <f>SUM(U4:U4)</f>
        <v>19.7625</v>
      </c>
      <c r="V5" s="54">
        <f>SUM(V4:V4)</f>
        <v>35.5725</v>
      </c>
      <c r="W5" s="54">
        <f>SUM(W4:W4)</f>
        <v>51.3825</v>
      </c>
      <c r="X5" s="54">
        <f>SUM(X4:X4)</f>
        <v>67.1925</v>
      </c>
      <c r="Y5" s="54">
        <f>SUM(Y4:Y4)</f>
        <v>79.05</v>
      </c>
      <c r="Z5" s="54">
        <f>SUM(Z4:Z4)</f>
        <v>79.05</v>
      </c>
      <c r="AA5" s="54">
        <f>SUM(AA4:AA4)</f>
        <v>79.05</v>
      </c>
      <c r="AB5" s="54">
        <f>SUM(AB4:AB4)</f>
        <v>79.05</v>
      </c>
      <c r="AC5" s="54">
        <f>SUM(AC4:AC4)</f>
        <v>79.05</v>
      </c>
      <c r="AD5" s="54">
        <f>SUM(AD4:AD4)</f>
        <v>79.05</v>
      </c>
      <c r="AE5" s="54">
        <f>SUM(AE4:AE4)</f>
        <v>79.05</v>
      </c>
      <c r="AF5" s="54">
        <f>SUM(AF4:AF4)</f>
        <v>79.05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3.162</v>
      </c>
      <c r="U6" s="55">
        <f>SUMPRODUCT(U4:U4,$K$4:$K$4)</f>
        <v>7.905</v>
      </c>
      <c r="V6" s="55">
        <f>SUMPRODUCT(V4:V4,$K$4:$K$4)</f>
        <v>14.229</v>
      </c>
      <c r="W6" s="55">
        <f>SUMPRODUCT(W4:W4,$K$4:$K$4)</f>
        <v>20.553</v>
      </c>
      <c r="X6" s="55">
        <f>SUMPRODUCT(X4:X4,$K$4:$K$4)</f>
        <v>26.877</v>
      </c>
      <c r="Y6" s="55">
        <f>SUMPRODUCT(Y4:Y4,$K$4:$K$4)</f>
        <v>31.62</v>
      </c>
      <c r="Z6" s="55">
        <f>SUMPRODUCT(Z4:Z4,$K$4:$K$4)</f>
        <v>31.62</v>
      </c>
      <c r="AA6" s="55">
        <f>SUMPRODUCT(AA4:AA4,$K$4:$K$4)</f>
        <v>31.62</v>
      </c>
      <c r="AB6" s="55">
        <f>SUMPRODUCT(AB4:AB4,$K$4:$K$4)</f>
        <v>31.62</v>
      </c>
      <c r="AC6" s="55">
        <f>SUMPRODUCT(AC4:AC4,$K$4:$K$4)</f>
        <v>31.62</v>
      </c>
      <c r="AD6" s="55">
        <f>SUMPRODUCT(AD4:AD4,$K$4:$K$4)</f>
        <v>31.62</v>
      </c>
      <c r="AE6" s="55">
        <f>SUMPRODUCT(AE4:AE4,$K$4:$K$4)</f>
        <v>31.62</v>
      </c>
      <c r="AF6" s="55">
        <f>SUMPRODUCT(AF4:AF4,$K$4:$K$4)</f>
        <v>31.62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CytoMed Therapeutics Ltd: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7.904999999999999</v>
      </c>
      <c r="K4" s="57">
        <f>Pipeline!U5</f>
        <v>19.7625</v>
      </c>
      <c r="L4" s="57">
        <f>Pipeline!V5</f>
        <v>35.5725</v>
      </c>
      <c r="M4" s="57">
        <f>Pipeline!W5</f>
        <v>51.3825</v>
      </c>
      <c r="N4" s="57">
        <f>Pipeline!X5</f>
        <v>67.1925</v>
      </c>
      <c r="O4" s="57">
        <f>Pipeline!Y5</f>
        <v>79.05</v>
      </c>
      <c r="P4" s="57">
        <f>Pipeline!Z5</f>
        <v>79.05</v>
      </c>
      <c r="Q4" s="57">
        <f>Pipeline!AA5</f>
        <v>79.05</v>
      </c>
      <c r="R4" s="57">
        <f>Pipeline!AB5</f>
        <v>79.05</v>
      </c>
      <c r="S4" s="57">
        <f>Pipeline!AC5</f>
        <v>79.05</v>
      </c>
      <c r="T4" s="57">
        <f>Pipeline!AD5</f>
        <v>79.05</v>
      </c>
      <c r="U4" s="57">
        <f>Pipeline!AE5</f>
        <v>79.05</v>
      </c>
      <c r="V4" s="57">
        <f>Pipeline!AF5</f>
        <v>79.05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3.162</v>
      </c>
      <c r="K5" s="57">
        <f>Pipeline!U6</f>
        <v>7.905</v>
      </c>
      <c r="L5" s="57">
        <f>Pipeline!V6</f>
        <v>14.229</v>
      </c>
      <c r="M5" s="57">
        <f>Pipeline!W6</f>
        <v>20.553</v>
      </c>
      <c r="N5" s="57">
        <f>Pipeline!X6</f>
        <v>26.877</v>
      </c>
      <c r="O5" s="57">
        <f>Pipeline!Y6</f>
        <v>31.62</v>
      </c>
      <c r="P5" s="57">
        <f>Pipeline!Z6</f>
        <v>31.62</v>
      </c>
      <c r="Q5" s="57">
        <f>Pipeline!AA6</f>
        <v>31.62</v>
      </c>
      <c r="R5" s="57">
        <f>Pipeline!AB6</f>
        <v>31.62</v>
      </c>
      <c r="S5" s="57">
        <f>Pipeline!AC6</f>
        <v>31.62</v>
      </c>
      <c r="T5" s="57">
        <f>Pipeline!AD6</f>
        <v>31.62</v>
      </c>
      <c r="U5" s="57">
        <f>Pipeline!AE6</f>
        <v>31.62</v>
      </c>
      <c r="V5" s="57">
        <f>Pipeline!AF6</f>
        <v>31.62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-1.48</v>
      </c>
      <c r="D6" s="23">
        <f>-IF(D3-2026&lt;Assumptions!$B$19,Assumptions!$B$18,Assumptions!$B$18*Assumptions!$B$20*Assumptions!$B$16)</f>
        <v>-1.48</v>
      </c>
      <c r="E6" s="23">
        <f>-IF(E3-2026&lt;Assumptions!$B$19,Assumptions!$B$18,Assumptions!$B$18*Assumptions!$B$20*Assumptions!$B$16)</f>
        <v>-1.48</v>
      </c>
      <c r="F6" s="23">
        <f>-IF(F3-2026&lt;Assumptions!$B$19,Assumptions!$B$18,Assumptions!$B$18*Assumptions!$B$20*Assumptions!$B$16)</f>
        <v>-1.48</v>
      </c>
      <c r="G6" s="23">
        <f>-IF(G3-2026&lt;Assumptions!$B$19,Assumptions!$B$18,Assumptions!$B$18*Assumptions!$B$20*Assumptions!$B$16)</f>
        <v>-0.023398799999999987</v>
      </c>
      <c r="H6" s="23">
        <f>-IF(H3-2026&lt;Assumptions!$B$19,Assumptions!$B$18,Assumptions!$B$18*Assumptions!$B$20*Assumptions!$B$16)</f>
        <v>-0.023398799999999987</v>
      </c>
      <c r="I6" s="23">
        <f>-IF(I3-2026&lt;Assumptions!$B$19,Assumptions!$B$18,Assumptions!$B$18*Assumptions!$B$20*Assumptions!$B$16)</f>
        <v>-0.023398799999999987</v>
      </c>
      <c r="J6" s="23">
        <f>-IF(J3-2026&lt;Assumptions!$B$19,Assumptions!$B$18,Assumptions!$B$18*Assumptions!$B$20*Assumptions!$B$16)</f>
        <v>-0.023398799999999987</v>
      </c>
      <c r="K6" s="23">
        <f>-IF(K3-2026&lt;Assumptions!$B$19,Assumptions!$B$18,Assumptions!$B$18*Assumptions!$B$20*Assumptions!$B$16)</f>
        <v>-0.023398799999999987</v>
      </c>
      <c r="L6" s="23">
        <f>-IF(L3-2026&lt;Assumptions!$B$19,Assumptions!$B$18,Assumptions!$B$18*Assumptions!$B$20*Assumptions!$B$16)</f>
        <v>-0.023398799999999987</v>
      </c>
      <c r="M6" s="23">
        <f>-IF(M3-2026&lt;Assumptions!$B$19,Assumptions!$B$18,Assumptions!$B$18*Assumptions!$B$20*Assumptions!$B$16)</f>
        <v>-0.023398799999999987</v>
      </c>
      <c r="N6" s="23">
        <f>-IF(N3-2026&lt;Assumptions!$B$19,Assumptions!$B$18,Assumptions!$B$18*Assumptions!$B$20*Assumptions!$B$16)</f>
        <v>-0.023398799999999987</v>
      </c>
      <c r="O6" s="23">
        <f>-IF(O3-2026&lt;Assumptions!$B$19,Assumptions!$B$18,Assumptions!$B$18*Assumptions!$B$20*Assumptions!$B$16)</f>
        <v>-0.023398799999999987</v>
      </c>
      <c r="P6" s="23">
        <f>-IF(P3-2026&lt;Assumptions!$B$19,Assumptions!$B$18,Assumptions!$B$18*Assumptions!$B$20*Assumptions!$B$16)</f>
        <v>-0.023398799999999987</v>
      </c>
      <c r="Q6" s="23">
        <f>-IF(Q3-2026&lt;Assumptions!$B$19,Assumptions!$B$18,Assumptions!$B$18*Assumptions!$B$20*Assumptions!$B$16)</f>
        <v>-0.023398799999999987</v>
      </c>
      <c r="R6" s="23">
        <f>-IF(R3-2026&lt;Assumptions!$B$19,Assumptions!$B$18,Assumptions!$B$18*Assumptions!$B$20*Assumptions!$B$16)</f>
        <v>-0.023398799999999987</v>
      </c>
      <c r="S6" s="23">
        <f>-IF(S3-2026&lt;Assumptions!$B$19,Assumptions!$B$18,Assumptions!$B$18*Assumptions!$B$20*Assumptions!$B$16)</f>
        <v>-0.023398799999999987</v>
      </c>
      <c r="T6" s="23">
        <f>-IF(T3-2026&lt;Assumptions!$B$19,Assumptions!$B$18,Assumptions!$B$18*Assumptions!$B$20*Assumptions!$B$16)</f>
        <v>-0.023398799999999987</v>
      </c>
      <c r="U6" s="23">
        <f>-IF(U3-2026&lt;Assumptions!$B$19,Assumptions!$B$18,Assumptions!$B$18*Assumptions!$B$20*Assumptions!$B$16)</f>
        <v>-0.023398799999999987</v>
      </c>
      <c r="V6" s="23">
        <f>-IF(V3-2026&lt;Assumptions!$B$19,Assumptions!$B$18,Assumptions!$B$18*Assumptions!$B$20*Assumptions!$B$16)</f>
        <v>-0.023398799999999987</v>
      </c>
    </row>
    <row r="7">
      <c r="A7" s="14" t="inlineStr">
        <is>
          <t>Pre-tax cash flow</t>
        </is>
      </c>
      <c r="C7" s="23">
        <f>C5+C6</f>
        <v>-1.48</v>
      </c>
      <c r="D7" s="23">
        <f>D5+D6</f>
        <v>-1.48</v>
      </c>
      <c r="E7" s="23">
        <f>E5+E6</f>
        <v>-1.48</v>
      </c>
      <c r="F7" s="23">
        <f>F5+F6</f>
        <v>-1.48</v>
      </c>
      <c r="G7" s="23">
        <f>G5+G6</f>
        <v>-0.023398799999999987</v>
      </c>
      <c r="H7" s="23">
        <f>H5+H6</f>
        <v>-0.023398799999999987</v>
      </c>
      <c r="I7" s="23">
        <f>I5+I6</f>
        <v>-0.023398799999999987</v>
      </c>
      <c r="J7" s="23">
        <f>J5+J6</f>
        <v>3.1386012</v>
      </c>
      <c r="K7" s="23">
        <f>K5+K6</f>
        <v>7.8816012</v>
      </c>
      <c r="L7" s="23">
        <f>L5+L6</f>
        <v>14.205601199999998</v>
      </c>
      <c r="M7" s="23">
        <f>M5+M6</f>
        <v>20.529601200000002</v>
      </c>
      <c r="N7" s="23">
        <f>N5+N6</f>
        <v>26.8536012</v>
      </c>
      <c r="O7" s="23">
        <f>O5+O6</f>
        <v>31.596601200000002</v>
      </c>
      <c r="P7" s="23">
        <f>P5+P6</f>
        <v>31.596601200000002</v>
      </c>
      <c r="Q7" s="23">
        <f>Q5+Q6</f>
        <v>31.596601200000002</v>
      </c>
      <c r="R7" s="23">
        <f>R5+R6</f>
        <v>31.596601200000002</v>
      </c>
      <c r="S7" s="23">
        <f>S5+S6</f>
        <v>31.596601200000002</v>
      </c>
      <c r="T7" s="23">
        <f>T5+T6</f>
        <v>31.596601200000002</v>
      </c>
      <c r="U7" s="23">
        <f>U5+U6</f>
        <v>31.596601200000002</v>
      </c>
      <c r="V7" s="23">
        <f>V5+V6</f>
        <v>31.596601200000002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3.1386012</v>
      </c>
      <c r="K8" s="23">
        <f>MIN(J17,MAX(0,K7))</f>
        <v>7.8816012</v>
      </c>
      <c r="L8" s="23">
        <f>MIN(K17,MAX(0,L7))</f>
        <v>8.869993999999997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5.335607200000002</v>
      </c>
      <c r="M9" s="23">
        <f>MAX(0,M7)-M8</f>
        <v>20.529601200000002</v>
      </c>
      <c r="N9" s="23">
        <f>MAX(0,N7)-N8</f>
        <v>26.8536012</v>
      </c>
      <c r="O9" s="23">
        <f>MAX(0,O7)-O8</f>
        <v>31.596601200000002</v>
      </c>
      <c r="P9" s="23">
        <f>MAX(0,P7)-P8</f>
        <v>31.596601200000002</v>
      </c>
      <c r="Q9" s="23">
        <f>MAX(0,Q7)-Q8</f>
        <v>31.596601200000002</v>
      </c>
      <c r="R9" s="23">
        <f>MAX(0,R7)-R8</f>
        <v>31.596601200000002</v>
      </c>
      <c r="S9" s="23">
        <f>MAX(0,S7)-S8</f>
        <v>31.596601200000002</v>
      </c>
      <c r="T9" s="23">
        <f>MAX(0,T7)-T8</f>
        <v>31.596601200000002</v>
      </c>
      <c r="U9" s="23">
        <f>MAX(0,U7)-U8</f>
        <v>31.596601200000002</v>
      </c>
      <c r="V9" s="23">
        <f>MAX(0,V7)-V8</f>
        <v>31.596601200000002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1.1204775120000003</v>
      </c>
      <c r="M10" s="23">
        <f>M9*Assumptions!$E$15</f>
        <v>4.311216252</v>
      </c>
      <c r="N10" s="23">
        <f>N9*Assumptions!$E$15</f>
        <v>5.639256252</v>
      </c>
      <c r="O10" s="23">
        <f>O9*Assumptions!$E$15</f>
        <v>6.635286252</v>
      </c>
      <c r="P10" s="23">
        <f>P9*Assumptions!$E$15</f>
        <v>6.635286252</v>
      </c>
      <c r="Q10" s="23">
        <f>Q9*Assumptions!$E$15</f>
        <v>6.635286252</v>
      </c>
      <c r="R10" s="23">
        <f>R9*Assumptions!$E$15</f>
        <v>6.635286252</v>
      </c>
      <c r="S10" s="23">
        <f>S9*Assumptions!$E$15</f>
        <v>6.635286252</v>
      </c>
      <c r="T10" s="23">
        <f>T9*Assumptions!$E$15</f>
        <v>6.635286252</v>
      </c>
      <c r="U10" s="23">
        <f>U9*Assumptions!$E$15</f>
        <v>6.635286252</v>
      </c>
      <c r="V10" s="23">
        <f>V9*Assumptions!$E$15</f>
        <v>6.635286252</v>
      </c>
    </row>
    <row r="11">
      <c r="A11" s="24" t="inlineStr">
        <is>
          <t>Free cash flow</t>
        </is>
      </c>
      <c r="C11" s="55">
        <f>C7-C10</f>
        <v>-1.48</v>
      </c>
      <c r="D11" s="55">
        <f>D7-D10</f>
        <v>-1.48</v>
      </c>
      <c r="E11" s="55">
        <f>E7-E10</f>
        <v>-1.48</v>
      </c>
      <c r="F11" s="55">
        <f>F7-F10</f>
        <v>-1.48</v>
      </c>
      <c r="G11" s="55">
        <f>G7-G10</f>
        <v>-0.023398799999999987</v>
      </c>
      <c r="H11" s="55">
        <f>H7-H10</f>
        <v>-0.023398799999999987</v>
      </c>
      <c r="I11" s="55">
        <f>I7-I10</f>
        <v>-0.023398799999999987</v>
      </c>
      <c r="J11" s="55">
        <f>J7-J10</f>
        <v>3.1386012</v>
      </c>
      <c r="K11" s="55">
        <f>K7-K10</f>
        <v>7.8816012</v>
      </c>
      <c r="L11" s="55">
        <f>L7-L10</f>
        <v>13.085123687999998</v>
      </c>
      <c r="M11" s="55">
        <f>M7-M10</f>
        <v>16.218384948</v>
      </c>
      <c r="N11" s="55">
        <f>N7-N10</f>
        <v>21.214344948</v>
      </c>
      <c r="O11" s="55">
        <f>O7-O10</f>
        <v>24.961314948000002</v>
      </c>
      <c r="P11" s="55">
        <f>P7-P10</f>
        <v>24.961314948000002</v>
      </c>
      <c r="Q11" s="55">
        <f>Q7-Q10</f>
        <v>24.961314948000002</v>
      </c>
      <c r="R11" s="55">
        <f>R7-R10</f>
        <v>24.961314948000002</v>
      </c>
      <c r="S11" s="55">
        <f>S7-S10</f>
        <v>24.961314948000002</v>
      </c>
      <c r="T11" s="55">
        <f>T7-T10</f>
        <v>24.961314948000002</v>
      </c>
      <c r="U11" s="55">
        <f>U7-U10</f>
        <v>24.961314948000002</v>
      </c>
      <c r="V11" s="55">
        <f>V7-V10</f>
        <v>24.961314948000002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-1.3984685501341405</v>
      </c>
      <c r="D16" s="55">
        <f>D11*D15</f>
        <v>-1.2486326340483398</v>
      </c>
      <c r="E16" s="55">
        <f>E11*E15</f>
        <v>-1.114850566114589</v>
      </c>
      <c r="F16" s="55">
        <f>F11*F15</f>
        <v>-0.99540229117374</v>
      </c>
      <c r="G16" s="55">
        <f>G11*G15</f>
        <v>-0.01405116984237216</v>
      </c>
      <c r="H16" s="55">
        <f>H11*H15</f>
        <v>-0.012545687359260857</v>
      </c>
      <c r="I16" s="55">
        <f>I11*I15</f>
        <v>-0.01120150657076862</v>
      </c>
      <c r="J16" s="55">
        <f>J11*J15</f>
        <v>1.3415317835599587</v>
      </c>
      <c r="K16" s="55">
        <f>K11*K15</f>
        <v>3.0078852469898254</v>
      </c>
      <c r="L16" s="55">
        <f>L11*L15</f>
        <v>4.458683210590631</v>
      </c>
      <c r="M16" s="55">
        <f>M11*M15</f>
        <v>4.934218375082478</v>
      </c>
      <c r="N16" s="55">
        <f>N11*N15</f>
        <v>5.7626516248478294</v>
      </c>
      <c r="O16" s="55">
        <f>O11*O15</f>
        <v>6.0539966544881105</v>
      </c>
      <c r="P16" s="55">
        <f>P11*P15</f>
        <v>5.405354155792955</v>
      </c>
      <c r="Q16" s="55">
        <f>Q11*Q15</f>
        <v>4.826209067672281</v>
      </c>
      <c r="R16" s="55">
        <f>R11*R15</f>
        <v>4.309115238993108</v>
      </c>
      <c r="S16" s="55">
        <f>S11*S15</f>
        <v>3.84742432052956</v>
      </c>
      <c r="T16" s="55">
        <f>T11*T15</f>
        <v>3.435200286187107</v>
      </c>
      <c r="U16" s="55">
        <f>U11*U15</f>
        <v>3.0671431126670594</v>
      </c>
      <c r="V16" s="55">
        <f>V11*V15</f>
        <v>2.738520636309874</v>
      </c>
    </row>
    <row r="17">
      <c r="A17" s="14" t="inlineStr">
        <is>
          <t>Tax-loss carryforward, end of year</t>
        </is>
      </c>
      <c r="C17" s="23">
        <f>Assumptions!$B$21-C8+MAX(0,-C7)</f>
        <v>15.38</v>
      </c>
      <c r="D17" s="23">
        <f>C17-D8+MAX(0,-D7)</f>
        <v>16.86</v>
      </c>
      <c r="E17" s="23">
        <f>D17-E8+MAX(0,-E7)</f>
        <v>18.34</v>
      </c>
      <c r="F17" s="23">
        <f>E17-F8+MAX(0,-F7)</f>
        <v>19.82</v>
      </c>
      <c r="G17" s="23">
        <f>F17-G8+MAX(0,-G7)</f>
        <v>19.8433988</v>
      </c>
      <c r="H17" s="23">
        <f>G17-H8+MAX(0,-H7)</f>
        <v>19.866797599999998</v>
      </c>
      <c r="I17" s="23">
        <f>H17-I8+MAX(0,-I7)</f>
        <v>19.890196399999997</v>
      </c>
      <c r="J17" s="23">
        <f>I17-J8+MAX(0,-J7)</f>
        <v>16.751595199999997</v>
      </c>
      <c r="K17" s="23">
        <f>J17-K8+MAX(0,-K7)</f>
        <v>8.869993999999997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65.43885454469662</v>
      </c>
    </row>
    <row r="20">
      <c r="A20" s="14" t="inlineStr">
        <is>
          <t>PV of corporate burn</t>
        </is>
      </c>
      <c r="B20" s="23">
        <f>SUMPRODUCT(C6:V6,C15:V15)</f>
        <v>-4.867105825028035</v>
      </c>
    </row>
    <row r="21">
      <c r="A21" s="14" t="inlineStr">
        <is>
          <t>PV of taxes</t>
        </is>
      </c>
      <c r="B21" s="23">
        <f>-SUMPRODUCT(C10:V10,C15:V15)</f>
        <v>-12.178967411201027</v>
      </c>
    </row>
    <row r="22">
      <c r="A22" s="24" t="inlineStr">
        <is>
          <t>Pipeline rNPV (operations)</t>
        </is>
      </c>
      <c r="B22" s="54">
        <f>SUM(C16:V16)</f>
        <v>48.39278130846757</v>
      </c>
    </row>
    <row r="23">
      <c r="A23" s="14" t="inlineStr">
        <is>
          <t>Cash &amp; investments</t>
        </is>
      </c>
      <c r="B23" s="57">
        <f>Main!C7</f>
        <v>1.6377423389618515</v>
      </c>
    </row>
    <row r="24">
      <c r="A24" s="14" t="inlineStr">
        <is>
          <t>Debt</t>
        </is>
      </c>
      <c r="B24" s="57">
        <f>Main!C8</f>
        <v>0.32051282051282054</v>
      </c>
    </row>
    <row r="25">
      <c r="A25" s="24" t="inlineStr">
        <is>
          <t>Equity value</t>
        </is>
      </c>
      <c r="B25" s="54">
        <f>B22+B23-B24</f>
        <v>49.7100108269166</v>
      </c>
    </row>
    <row r="26">
      <c r="A26" s="14" t="inlineStr">
        <is>
          <t>Shares (mm)</t>
        </is>
      </c>
      <c r="B26" s="57">
        <f>Main!C4</f>
        <v>11.828435</v>
      </c>
    </row>
    <row r="27">
      <c r="A27" s="24" t="inlineStr">
        <is>
          <t>rNPV / share</t>
        </is>
      </c>
      <c r="B27" s="60">
        <f>B25/B26</f>
        <v>4.202585619054135</v>
      </c>
    </row>
    <row r="28">
      <c r="A28" s="14" t="inlineStr">
        <is>
          <t>Price</t>
        </is>
      </c>
      <c r="B28" s="61">
        <f>Main!C3</f>
        <v>0.8715</v>
      </c>
    </row>
    <row r="29">
      <c r="A29" s="14" t="inlineStr">
        <is>
          <t>Upside</t>
        </is>
      </c>
      <c r="B29" s="62">
        <f>B27/B28-1</f>
        <v>3.8222439690810495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2026-10-21T06:30:51Z</dcterms:modified>
  <cp:lastModifiedBy>Wang, Eric</cp:lastModifiedBy>
</cp:coreProperties>
</file>