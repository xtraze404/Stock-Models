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CervoMed Inc</t>
        </is>
      </c>
      <c r="C2" s="10" t="n"/>
    </row>
    <row r="3">
      <c r="B3" t="inlineStr">
        <is>
          <t>Price</t>
        </is>
      </c>
      <c r="C3" s="11">
        <f>INDEX([1]Pharma!$F$1:$F$1000,MATCH("CRVO",[1]Pharma!$B$1:$B$1000,0))</f>
        <v>2.29</v>
      </c>
      <c r="F3" s="1" t="n"/>
    </row>
    <row r="4">
      <c r="B4" t="inlineStr">
        <is>
          <t>Shares</t>
        </is>
      </c>
      <c r="C4" s="21" t="n">
        <v>15.119096</v>
      </c>
      <c r="F4" s="1" t="n"/>
    </row>
    <row r="5">
      <c r="B5" t="inlineStr">
        <is>
          <t>Market Cap.</t>
        </is>
      </c>
      <c r="C5" s="13">
        <f>C3*C4</f>
        <v>34.622729840000005</v>
      </c>
      <c r="F5" s="1" t="n"/>
    </row>
    <row r="6"/>
    <row r="7">
      <c r="B7" t="inlineStr">
        <is>
          <t>Cash</t>
        </is>
      </c>
      <c r="C7" s="21">
        <f>22.462577+2.475595</f>
        <v>24.938172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9.684557840000004</v>
      </c>
    </row>
    <row r="10"/>
    <row r="11">
      <c r="B11" s="14" t="inlineStr">
        <is>
          <t>rNPV / Share</t>
        </is>
      </c>
      <c r="C11" s="11">
        <f>NPV!B27</f>
        <v>8.968345206119611</v>
      </c>
    </row>
    <row r="12">
      <c r="B12" s="14" t="inlineStr">
        <is>
          <t>Upside</t>
        </is>
      </c>
      <c r="C12" s="15">
        <f>IFERROR(C11/C3-1,"")</f>
        <v>2.9163079502705727</v>
      </c>
    </row>
    <row r="13">
      <c r="B13" s="14" t="inlineStr">
        <is>
          <t>Cash / Share</t>
        </is>
      </c>
      <c r="C13" s="11">
        <f>IFERROR((C7-C8)/C4,"")</f>
        <v>1.649448617827415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-27.978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0.8913493459146472</v>
      </c>
    </row>
    <row r="19">
      <c r="B19" s="14" t="inlineStr">
        <is>
          <t>Implied Pipeline Value</t>
        </is>
      </c>
      <c r="C19" s="13">
        <f>C9</f>
        <v>9.684557840000004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0.04</v>
      </c>
      <c r="C2" s="23" t="n">
        <v>0.57</v>
      </c>
      <c r="D2" s="23" t="n">
        <v>0.375</v>
      </c>
      <c r="E2" s="23" t="n">
        <v>0.07199999999999999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7.145</v>
      </c>
      <c r="P2" s="23" t="n">
        <v>9.738</v>
      </c>
      <c r="Q2" s="23" t="n">
        <v>4.007</v>
      </c>
    </row>
    <row r="3" customFormat="1" s="1">
      <c r="A3" s="5" t="inlineStr">
        <is>
          <t>Cost of Sales</t>
        </is>
      </c>
      <c r="B3" s="23" t="n">
        <v>0.21</v>
      </c>
      <c r="C3" s="23" t="n">
        <v>2.309</v>
      </c>
      <c r="D3" s="23" t="n">
        <v>0.236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-0.16999999999999998</v>
      </c>
      <c r="C4" s="23">
        <f>C2-C3</f>
        <v>-1.7390000000000003</v>
      </c>
      <c r="D4" s="23">
        <f>D2-D3</f>
        <v>0.139</v>
      </c>
      <c r="E4" s="23">
        <f>E2-E3</f>
        <v>0.072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7.145</v>
      </c>
      <c r="P4" s="23">
        <f>P2-P3</f>
        <v>9.738</v>
      </c>
      <c r="Q4" s="23">
        <f>Q2-Q3</f>
        <v>4.007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0.343</v>
      </c>
      <c r="F5" s="23" t="n">
        <v>2.861</v>
      </c>
      <c r="G5" s="23" t="n">
        <v>3.875</v>
      </c>
      <c r="H5" s="23" t="n">
        <v>7.252</v>
      </c>
      <c r="I5" s="23" t="n">
        <v>5.089</v>
      </c>
      <c r="J5" s="23" t="n">
        <v>5.752</v>
      </c>
      <c r="K5" s="23" t="n">
        <v>6.62</v>
      </c>
      <c r="L5" s="23" t="n">
        <v>9.428000000000001</v>
      </c>
      <c r="M5" s="23" t="n">
        <v>8.499000000000001</v>
      </c>
      <c r="N5" s="23" t="n">
        <v>1.336</v>
      </c>
      <c r="O5" s="23" t="n">
        <v>8.438000000000001</v>
      </c>
      <c r="P5" s="23" t="n">
        <v>18.798</v>
      </c>
      <c r="Q5" s="23" t="n">
        <v>21.817</v>
      </c>
    </row>
    <row r="6">
      <c r="A6" s="19" t="inlineStr">
        <is>
          <t>SG&amp;A &amp; Other</t>
        </is>
      </c>
      <c r="B6" s="23" t="n">
        <v>7.467</v>
      </c>
      <c r="C6" s="23" t="n">
        <v>14.691</v>
      </c>
      <c r="D6" s="23" t="n">
        <v>11.931</v>
      </c>
      <c r="E6" s="23" t="n">
        <v>12.525</v>
      </c>
      <c r="F6" s="23" t="n">
        <v>11.753</v>
      </c>
      <c r="G6" s="23" t="n">
        <v>2.531</v>
      </c>
      <c r="H6" s="23" t="n">
        <v>11.119</v>
      </c>
      <c r="I6" s="23" t="n">
        <v>6.26</v>
      </c>
      <c r="J6" s="23" t="n">
        <v>13.207</v>
      </c>
      <c r="K6" s="23" t="n">
        <v>4.932</v>
      </c>
      <c r="L6" s="23" t="n">
        <v>6.547</v>
      </c>
      <c r="M6" s="23" t="n">
        <v>16.178</v>
      </c>
      <c r="N6" s="23" t="n">
        <v>2.139</v>
      </c>
      <c r="O6" s="23" t="n">
        <v>6.519</v>
      </c>
      <c r="P6" s="23" t="n">
        <v>9.167</v>
      </c>
      <c r="Q6" s="23" t="n">
        <v>10.484</v>
      </c>
    </row>
    <row r="7">
      <c r="A7" s="2" t="inlineStr">
        <is>
          <t>Operating Expense</t>
        </is>
      </c>
      <c r="B7" s="23">
        <f>SUM(B5:B6)</f>
        <v>7.467</v>
      </c>
      <c r="C7" s="23">
        <f>SUM(C5:C6)</f>
        <v>14.691</v>
      </c>
      <c r="D7" s="23">
        <f>SUM(D5:D6)</f>
        <v>11.931</v>
      </c>
      <c r="E7" s="23">
        <f>SUM(E5:E6)</f>
        <v>12.868</v>
      </c>
      <c r="F7" s="23">
        <f>SUM(F5:F6)</f>
        <v>14.614</v>
      </c>
      <c r="G7" s="23">
        <f>SUM(G5:G6)</f>
        <v>6.406000000000001</v>
      </c>
      <c r="H7" s="23">
        <f>SUM(H5:H6)</f>
        <v>18.371</v>
      </c>
      <c r="I7" s="23">
        <f>SUM(I5:I6)</f>
        <v>11.349</v>
      </c>
      <c r="J7" s="23">
        <f>SUM(J5:J6)</f>
        <v>18.959</v>
      </c>
      <c r="K7" s="23">
        <f>SUM(K5:K6)</f>
        <v>11.552</v>
      </c>
      <c r="L7" s="23">
        <f>SUM(L5:L6)</f>
        <v>15.975000000000001</v>
      </c>
      <c r="M7" s="23">
        <f>SUM(M5:M6)</f>
        <v>24.677</v>
      </c>
      <c r="N7" s="23">
        <f>SUM(N5:N6)</f>
        <v>3.4749999999999996</v>
      </c>
      <c r="O7" s="23">
        <f>SUM(O5:O6)</f>
        <v>14.957</v>
      </c>
      <c r="P7" s="23">
        <f>SUM(P5:P6)</f>
        <v>27.964999999999996</v>
      </c>
      <c r="Q7" s="23">
        <f>SUM(Q5:Q6)</f>
        <v>32.301</v>
      </c>
    </row>
    <row r="8">
      <c r="A8" s="2" t="inlineStr">
        <is>
          <t>Operating Income</t>
        </is>
      </c>
      <c r="B8" s="23">
        <f>B4-B7</f>
        <v>-7.637</v>
      </c>
      <c r="C8" s="23">
        <f>C4-C7</f>
        <v>-16.43</v>
      </c>
      <c r="D8" s="23">
        <f>D4-D7</f>
        <v>-11.792</v>
      </c>
      <c r="E8" s="23">
        <f>E4-E7</f>
        <v>-12.796000000000001</v>
      </c>
      <c r="F8" s="23">
        <f>F4-F7</f>
        <v>-14.614</v>
      </c>
      <c r="G8" s="23">
        <f>G4-G7</f>
        <v>-6.406000000000001</v>
      </c>
      <c r="H8" s="23">
        <f>H4-H7</f>
        <v>-18.371</v>
      </c>
      <c r="I8" s="23">
        <f>I4-I7</f>
        <v>-11.349</v>
      </c>
      <c r="J8" s="23">
        <f>J4-J7</f>
        <v>-18.959</v>
      </c>
      <c r="K8" s="23">
        <f>K4-K7</f>
        <v>-11.552</v>
      </c>
      <c r="L8" s="23">
        <f>L4-L7</f>
        <v>-15.975000000000001</v>
      </c>
      <c r="M8" s="23">
        <f>M4-M7</f>
        <v>-24.677</v>
      </c>
      <c r="N8" s="23">
        <f>N4-N7</f>
        <v>-3.4749999999999996</v>
      </c>
      <c r="O8" s="23">
        <f>O4-O7</f>
        <v>-7.812000000000001</v>
      </c>
      <c r="P8" s="23">
        <f>P4-P7</f>
        <v>-18.226999999999997</v>
      </c>
      <c r="Q8" s="23">
        <f>Q4-Q7</f>
        <v>-28.294000000000004</v>
      </c>
    </row>
    <row r="9">
      <c r="A9" s="19" t="inlineStr">
        <is>
          <t>Interest &amp; Other</t>
        </is>
      </c>
      <c r="B9" s="23" t="n">
        <v>-0.773</v>
      </c>
      <c r="C9" s="23" t="n">
        <v>-6.206</v>
      </c>
      <c r="D9" s="23" t="n">
        <v>4.923</v>
      </c>
      <c r="E9" s="23" t="n">
        <v>10.339</v>
      </c>
      <c r="F9" s="23" t="n">
        <v>-2.556</v>
      </c>
      <c r="G9" s="23" t="n">
        <v>-0.313</v>
      </c>
      <c r="H9" s="23" t="n">
        <v>-0.03</v>
      </c>
      <c r="I9" s="23" t="n">
        <v>8.928000000000001</v>
      </c>
      <c r="J9" s="23" t="n">
        <v>0.152</v>
      </c>
      <c r="K9" s="23" t="n">
        <v>0.08500000000000001</v>
      </c>
      <c r="L9" s="23" t="n">
        <v>0.114</v>
      </c>
      <c r="M9" s="23" t="n">
        <v>0.137</v>
      </c>
      <c r="N9" s="23" t="n">
        <v>-2.328</v>
      </c>
      <c r="O9" s="23" t="n">
        <v>5.643</v>
      </c>
      <c r="P9" s="23" t="n">
        <v>1.937</v>
      </c>
      <c r="Q9" s="23" t="n">
        <v>1.325</v>
      </c>
    </row>
    <row r="10">
      <c r="A10" s="2" t="inlineStr">
        <is>
          <t>Pretax</t>
        </is>
      </c>
      <c r="B10" s="23">
        <f>B8+B9</f>
        <v>-8.41</v>
      </c>
      <c r="C10" s="23">
        <f>C8+C9</f>
        <v>-22.636</v>
      </c>
      <c r="D10" s="23">
        <f>D8+D9</f>
        <v>-6.869</v>
      </c>
      <c r="E10" s="23">
        <f>E8+E9</f>
        <v>-2.4570000000000007</v>
      </c>
      <c r="F10" s="23">
        <f>F8+F9</f>
        <v>-17.17</v>
      </c>
      <c r="G10" s="23">
        <f>G8+G9</f>
        <v>-6.719</v>
      </c>
      <c r="H10" s="23">
        <f>H8+H9</f>
        <v>-18.401</v>
      </c>
      <c r="I10" s="23">
        <f>I8+I9</f>
        <v>-2.4209999999999994</v>
      </c>
      <c r="J10" s="23">
        <f>J8+J9</f>
        <v>-18.807</v>
      </c>
      <c r="K10" s="23">
        <f>K8+K9</f>
        <v>-11.466999999999999</v>
      </c>
      <c r="L10" s="23">
        <f>L8+L9</f>
        <v>-15.861</v>
      </c>
      <c r="M10" s="23">
        <f>M8+M9</f>
        <v>-24.54</v>
      </c>
      <c r="N10" s="23">
        <f>N8+N9</f>
        <v>-5.802999999999999</v>
      </c>
      <c r="O10" s="23">
        <f>O8+O9</f>
        <v>-2.1690000000000014</v>
      </c>
      <c r="P10" s="23">
        <f>P8+P9</f>
        <v>-16.289999999999996</v>
      </c>
      <c r="Q10" s="23">
        <f>Q8+Q9</f>
        <v>-26.969000000000005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-2.817</v>
      </c>
      <c r="G11" s="23" t="n">
        <v>0</v>
      </c>
      <c r="H11" s="23" t="n">
        <v>-0.365</v>
      </c>
      <c r="I11" s="23" t="n">
        <v>-1.056</v>
      </c>
      <c r="J11" s="23" t="n">
        <v>-0.437</v>
      </c>
      <c r="K11" s="23" t="n">
        <v>0.333</v>
      </c>
      <c r="L11" s="23" t="n">
        <v>-1.675</v>
      </c>
      <c r="M11" s="23" t="n">
        <v>-0.444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-8.41</v>
      </c>
      <c r="C12" s="23" t="n">
        <v>-22.636</v>
      </c>
      <c r="D12" s="23" t="n">
        <v>-6.869</v>
      </c>
      <c r="E12" s="23" t="n">
        <v>-2.458</v>
      </c>
      <c r="F12" s="23" t="n">
        <v>-14.353</v>
      </c>
      <c r="G12" s="23" t="n">
        <v>-6.719</v>
      </c>
      <c r="H12" s="23" t="n">
        <v>-18.037</v>
      </c>
      <c r="I12" s="23" t="n">
        <v>-1.365</v>
      </c>
      <c r="J12" s="23" t="n">
        <v>-18.37</v>
      </c>
      <c r="K12" s="23" t="n">
        <v>-11.799</v>
      </c>
      <c r="L12" s="23" t="n">
        <v>-14.185</v>
      </c>
      <c r="M12" s="23" t="n">
        <v>-24.096</v>
      </c>
      <c r="N12" s="23" t="n">
        <v>-5.803</v>
      </c>
      <c r="O12" s="23" t="n">
        <v>-2.17</v>
      </c>
      <c r="P12" s="23" t="n">
        <v>-16.29</v>
      </c>
      <c r="Q12" s="23" t="n">
        <v>-26.97</v>
      </c>
    </row>
    <row r="13">
      <c r="A13" s="2" t="inlineStr">
        <is>
          <t>Earnings per Share</t>
        </is>
      </c>
      <c r="B13" s="11">
        <f>IFERROR(B12/B14,0)</f>
        <v>-52.5625</v>
      </c>
      <c r="C13" s="11">
        <f>IFERROR(C12/C14,0)</f>
        <v>-80.55516014234874</v>
      </c>
      <c r="D13" s="11">
        <f>IFERROR(D12/D14,0)</f>
        <v>-24.532142857142855</v>
      </c>
      <c r="E13" s="11">
        <f>IFERROR(E12/E14,0)</f>
        <v>-3.7129909365558915</v>
      </c>
      <c r="F13" s="11">
        <f>IFERROR(F12/F14,0)</f>
        <v>-4.014825174825175</v>
      </c>
      <c r="G13" s="11">
        <f>IFERROR(G12/G14,0)</f>
        <v>-1.443704340352385</v>
      </c>
      <c r="H13" s="11">
        <f>IFERROR(H12/H14,0)</f>
        <v>-7.051211884284597</v>
      </c>
      <c r="I13" s="11">
        <f>IFERROR(I12/I14,0)</f>
        <v>-0.5365566037735849</v>
      </c>
      <c r="J13" s="11">
        <f>IFERROR(J12/J14,0)</f>
        <v>-1.8885576231109285</v>
      </c>
      <c r="K13" s="11">
        <f>IFERROR(K12/K14,0)</f>
        <v>0</v>
      </c>
      <c r="L13" s="11">
        <f>IFERROR(L12/L14,0)</f>
        <v>0</v>
      </c>
      <c r="M13" s="11">
        <f>IFERROR(M12/M14,0)</f>
        <v>0</v>
      </c>
      <c r="N13" s="11">
        <f>IFERROR(N12/N14,0)</f>
        <v>-3.734234234234234</v>
      </c>
      <c r="O13" s="11">
        <f>IFERROR(O12/O14,0)</f>
        <v>-0.2717935871743487</v>
      </c>
      <c r="P13" s="11">
        <f>IFERROR(P12/P14,0)</f>
        <v>-2.0178372352285394</v>
      </c>
      <c r="Q13" s="11">
        <f>IFERROR(Q12/Q14,0)</f>
        <v>-2.982747179827472</v>
      </c>
    </row>
    <row r="14">
      <c r="A14" s="2" t="inlineStr">
        <is>
          <t>Shares</t>
        </is>
      </c>
      <c r="B14" s="23" t="n">
        <v>0.16</v>
      </c>
      <c r="C14" s="23" t="n">
        <v>0.281</v>
      </c>
      <c r="D14" s="23" t="n">
        <v>0.28</v>
      </c>
      <c r="E14" s="23" t="n">
        <v>0.662</v>
      </c>
      <c r="F14" s="23" t="n">
        <v>3.575</v>
      </c>
      <c r="G14" s="23" t="n">
        <v>4.654</v>
      </c>
      <c r="H14" s="23" t="n">
        <v>2.558</v>
      </c>
      <c r="I14" s="23" t="n">
        <v>2.544</v>
      </c>
      <c r="J14" s="23" t="n">
        <v>9.727</v>
      </c>
      <c r="K14" s="23" t="n"/>
      <c r="L14" s="23" t="n"/>
      <c r="M14" s="23" t="n"/>
      <c r="N14" s="23" t="n">
        <v>1.554</v>
      </c>
      <c r="O14" s="23" t="n">
        <v>7.984</v>
      </c>
      <c r="P14" s="23" t="n">
        <v>8.073</v>
      </c>
      <c r="Q14" s="23" t="n">
        <v>9.042</v>
      </c>
    </row>
    <row r="15"/>
    <row r="16" customFormat="1" s="4">
      <c r="A16" s="3" t="inlineStr">
        <is>
          <t>Revenue Change</t>
        </is>
      </c>
      <c r="C16" s="15">
        <f>IFERROR(C2/B2-1,"")</f>
        <v>13.249999999999998</v>
      </c>
      <c r="D16" s="15">
        <f>IFERROR(D2/C2-1,"")</f>
        <v>-0.3421052631578947</v>
      </c>
      <c r="E16" s="15">
        <f>IFERROR(E2/D2-1,"")</f>
        <v>-0.808</v>
      </c>
      <c r="F16" s="15">
        <f>IFERROR(F2/E2-1,"")</f>
        <v>-1.0</v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>0.3629111266620013</v>
      </c>
      <c r="Q16" s="15">
        <f>IFERROR(Q2/P2-1,"")</f>
        <v>-0.588519203121791</v>
      </c>
    </row>
    <row r="17" customFormat="1" s="4">
      <c r="A17" s="3" t="inlineStr">
        <is>
          <t>Gross Margin</t>
        </is>
      </c>
      <c r="B17" s="15">
        <f>IFERROR(B4/B2,"")</f>
        <v>-4.249999999999999</v>
      </c>
      <c r="C17" s="15">
        <f>IFERROR(C4/C2,"")</f>
        <v>-3.050877192982457</v>
      </c>
      <c r="D17" s="15">
        <f>IFERROR(D4/D2,"")</f>
        <v>0.3706666666666667</v>
      </c>
      <c r="E17" s="15">
        <f>IFERROR(E4/E2,"")</f>
        <v>1.0</v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</row>
    <row r="18">
      <c r="A18" s="14" t="inlineStr">
        <is>
          <t>Operating Margin</t>
        </is>
      </c>
      <c r="B18" s="15">
        <f>IFERROR(B8/B2,"")</f>
        <v>-190.92499999999998</v>
      </c>
      <c r="C18" s="15">
        <f>IFERROR(C8/C2,"")</f>
        <v>-28.824561403508774</v>
      </c>
      <c r="D18" s="15">
        <f>IFERROR(D8/D2,"")</f>
        <v>-31.445333333333334</v>
      </c>
      <c r="E18" s="15">
        <f>IFERROR(E8/E2,"")</f>
        <v>-177.72222222222226</v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>-1.0933519944016796</v>
      </c>
      <c r="P18" s="15">
        <f>IFERROR(P8/P2,"")</f>
        <v>-1.8717395769151774</v>
      </c>
      <c r="Q18" s="15">
        <f>IFERROR(Q8/Q2,"")</f>
        <v>-7.061142999750438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CervoMed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0.0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31.165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200.5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110.6551001324622</v>
      </c>
      <c r="C29" s="42">
        <f>NPV!B25</f>
        <v>135.5932721324622</v>
      </c>
      <c r="D29" s="43">
        <f>NPV!B27</f>
        <v>8.968345206119611</v>
      </c>
      <c r="E29" s="44">
        <f>NPV!B29</f>
        <v>2.9163079502705727</v>
      </c>
    </row>
    <row r="30">
      <c r="A30" s="45" t="n">
        <v>1</v>
      </c>
      <c r="B30" s="46">
        <f t="dataTable" ref="B30:E32" r1="B4"/>
        <v>-2.016505353286275</v>
      </c>
      <c r="C30" s="46">
        <v>22.921666646713728</v>
      </c>
      <c r="D30" s="47">
        <v>1.5160738874013187</v>
      </c>
      <c r="E30" s="48">
        <v>-0.3379590011347954</v>
      </c>
    </row>
    <row r="31">
      <c r="A31" s="45" t="n">
        <v>2</v>
      </c>
      <c r="B31" s="46">
        <v>110.6551001324622</v>
      </c>
      <c r="C31" s="46">
        <v>135.5932721324622</v>
      </c>
      <c r="D31" s="47">
        <v>8.968345206119611</v>
      </c>
      <c r="E31" s="48">
        <v>2.9163079502705727</v>
      </c>
    </row>
    <row r="32">
      <c r="A32" s="45" t="n">
        <v>3</v>
      </c>
      <c r="B32" s="46">
        <v>286.696488699705</v>
      </c>
      <c r="C32" s="46">
        <v>311.634660699705</v>
      </c>
      <c r="D32" s="47">
        <v>20.611990339879117</v>
      </c>
      <c r="E32" s="48">
        <v>8.000869144052016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8.968345206119611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0.10426234983492373</v>
      </c>
      <c r="C37" s="47">
        <v>2.1877849709943638</v>
      </c>
      <c r="D37" s="47">
        <v>4.084865537985735</v>
      </c>
      <c r="E37" s="47">
        <v>7.760939592335549</v>
      </c>
      <c r="F37" s="47">
        <v>11.364262051796599</v>
      </c>
    </row>
    <row r="38">
      <c r="A38" s="50" t="n">
        <v>0.8</v>
      </c>
      <c r="B38" s="47">
        <v>1.5389854381732082</v>
      </c>
      <c r="C38" s="47">
        <v>4.084865537985736</v>
      </c>
      <c r="D38" s="47">
        <v>6.548581470256609</v>
      </c>
      <c r="E38" s="47">
        <v>11.364262051796599</v>
      </c>
      <c r="F38" s="47">
        <v>16.11379286435724</v>
      </c>
    </row>
    <row r="39">
      <c r="A39" s="50" t="n">
        <v>1</v>
      </c>
      <c r="B39" s="47">
        <v>2.8278288765867696</v>
      </c>
      <c r="C39" s="47">
        <v>5.937106886612595</v>
      </c>
      <c r="D39" s="47">
        <v>8.968345206119611</v>
      </c>
      <c r="E39" s="47">
        <v>14.928211485331003</v>
      </c>
      <c r="F39" s="47">
        <v>20.837303873084608</v>
      </c>
    </row>
    <row r="40">
      <c r="A40" s="50" t="n">
        <v>1.2</v>
      </c>
      <c r="B40" s="47">
        <v>4.084865537985735</v>
      </c>
      <c r="C40" s="47">
        <v>7.760939592335549</v>
      </c>
      <c r="D40" s="47">
        <v>11.364262051796599</v>
      </c>
      <c r="E40" s="47">
        <v>18.48495562240971</v>
      </c>
      <c r="F40" s="47">
        <v>25.540983007540618</v>
      </c>
    </row>
    <row r="41">
      <c r="A41" s="50" t="n">
        <v>1.4</v>
      </c>
      <c r="B41" s="47">
        <v>5.32300440302595</v>
      </c>
      <c r="C41" s="47">
        <v>9.567324417538858</v>
      </c>
      <c r="D41" s="47">
        <v>13.742630106304766</v>
      </c>
      <c r="E41" s="47">
        <v>22.013223656698607</v>
      </c>
      <c r="F41" s="47">
        <v>30.244662141996628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CervoMed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Alzheimer's disease</t>
        </is>
      </c>
      <c r="C4" s="14" t="inlineStr">
        <is>
          <t>neflamapimod, Neflamapimod</t>
        </is>
      </c>
      <c r="D4" s="14" t="inlineStr">
        <is>
          <t>Phase 2</t>
        </is>
      </c>
      <c r="E4" s="14" t="inlineStr">
        <is>
          <t>Neurology / chronic</t>
        </is>
      </c>
      <c r="F4" s="14" t="inlineStr">
        <is>
          <t>Partnered</t>
        </is>
      </c>
      <c r="G4" s="40" t="n">
        <v>4000</v>
      </c>
      <c r="H4" s="27" t="n">
        <v>0.1273</v>
      </c>
      <c r="I4" s="26" t="n">
        <v>2031</v>
      </c>
      <c r="J4" s="39">
        <f>I4+Assumptions!$B$25</f>
        <v>2043.0</v>
      </c>
      <c r="K4" s="53">
        <f>Assumptions!$E$14</f>
        <v>0.12</v>
      </c>
      <c r="L4" s="23">
        <f>K4*SUMPRODUCT(M4:AF4,NPV!$C$15:$V$15)</f>
        <v>173.54192660919082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50.92</v>
      </c>
      <c r="S4" s="23">
        <f>IF(S$3&lt;$I4,0,$G4*Assumptions!$E$11*INDEX(Assumptions!$B$24:$G$24,MIN(6,S$3-$I4+1))*IF(S$3&gt;$J4,(1-Assumptions!$B$26)^(S$3-$J4),1)*IF($H4&gt;=1,1,MIN(0.97,$H4*Assumptions!$E$12)))</f>
        <v>127.3</v>
      </c>
      <c r="T4" s="23">
        <f>IF(T$3&lt;$I4,0,$G4*Assumptions!$E$11*INDEX(Assumptions!$B$24:$G$24,MIN(6,T$3-$I4+1))*IF(T$3&gt;$J4,(1-Assumptions!$B$26)^(T$3-$J4),1)*IF($H4&gt;=1,1,MIN(0.97,$H4*Assumptions!$E$12)))</f>
        <v>229.14</v>
      </c>
      <c r="U4" s="23">
        <f>IF(U$3&lt;$I4,0,$G4*Assumptions!$E$11*INDEX(Assumptions!$B$24:$G$24,MIN(6,U$3-$I4+1))*IF(U$3&gt;$J4,(1-Assumptions!$B$26)^(U$3-$J4),1)*IF($H4&gt;=1,1,MIN(0.97,$H4*Assumptions!$E$12)))</f>
        <v>330.98</v>
      </c>
      <c r="V4" s="23">
        <f>IF(V$3&lt;$I4,0,$G4*Assumptions!$E$11*INDEX(Assumptions!$B$24:$G$24,MIN(6,V$3-$I4+1))*IF(V$3&gt;$J4,(1-Assumptions!$B$26)^(V$3-$J4),1)*IF($H4&gt;=1,1,MIN(0.97,$H4*Assumptions!$E$12)))</f>
        <v>432.82</v>
      </c>
      <c r="W4" s="23">
        <f>IF(W$3&lt;$I4,0,$G4*Assumptions!$E$11*INDEX(Assumptions!$B$24:$G$24,MIN(6,W$3-$I4+1))*IF(W$3&gt;$J4,(1-Assumptions!$B$26)^(W$3-$J4),1)*IF($H4&gt;=1,1,MIN(0.97,$H4*Assumptions!$E$12)))</f>
        <v>509.2</v>
      </c>
      <c r="X4" s="23">
        <f>IF(X$3&lt;$I4,0,$G4*Assumptions!$E$11*INDEX(Assumptions!$B$24:$G$24,MIN(6,X$3-$I4+1))*IF(X$3&gt;$J4,(1-Assumptions!$B$26)^(X$3-$J4),1)*IF($H4&gt;=1,1,MIN(0.97,$H4*Assumptions!$E$12)))</f>
        <v>509.2</v>
      </c>
      <c r="Y4" s="23">
        <f>IF(Y$3&lt;$I4,0,$G4*Assumptions!$E$11*INDEX(Assumptions!$B$24:$G$24,MIN(6,Y$3-$I4+1))*IF(Y$3&gt;$J4,(1-Assumptions!$B$26)^(Y$3-$J4),1)*IF($H4&gt;=1,1,MIN(0.97,$H4*Assumptions!$E$12)))</f>
        <v>509.2</v>
      </c>
      <c r="Z4" s="23">
        <f>IF(Z$3&lt;$I4,0,$G4*Assumptions!$E$11*INDEX(Assumptions!$B$24:$G$24,MIN(6,Z$3-$I4+1))*IF(Z$3&gt;$J4,(1-Assumptions!$B$26)^(Z$3-$J4),1)*IF($H4&gt;=1,1,MIN(0.97,$H4*Assumptions!$E$12)))</f>
        <v>509.2</v>
      </c>
      <c r="AA4" s="23">
        <f>IF(AA$3&lt;$I4,0,$G4*Assumptions!$E$11*INDEX(Assumptions!$B$24:$G$24,MIN(6,AA$3-$I4+1))*IF(AA$3&gt;$J4,(1-Assumptions!$B$26)^(AA$3-$J4),1)*IF($H4&gt;=1,1,MIN(0.97,$H4*Assumptions!$E$12)))</f>
        <v>509.2</v>
      </c>
      <c r="AB4" s="23">
        <f>IF(AB$3&lt;$I4,0,$G4*Assumptions!$E$11*INDEX(Assumptions!$B$24:$G$24,MIN(6,AB$3-$I4+1))*IF(AB$3&gt;$J4,(1-Assumptions!$B$26)^(AB$3-$J4),1)*IF($H4&gt;=1,1,MIN(0.97,$H4*Assumptions!$E$12)))</f>
        <v>509.2</v>
      </c>
      <c r="AC4" s="23">
        <f>IF(AC$3&lt;$I4,0,$G4*Assumptions!$E$11*INDEX(Assumptions!$B$24:$G$24,MIN(6,AC$3-$I4+1))*IF(AC$3&gt;$J4,(1-Assumptions!$B$26)^(AC$3-$J4),1)*IF($H4&gt;=1,1,MIN(0.97,$H4*Assumptions!$E$12)))</f>
        <v>509.2</v>
      </c>
      <c r="AD4" s="23">
        <f>IF(AD$3&lt;$I4,0,$G4*Assumptions!$E$11*INDEX(Assumptions!$B$24:$G$24,MIN(6,AD$3-$I4+1))*IF(AD$3&gt;$J4,(1-Assumptions!$B$26)^(AD$3-$J4),1)*IF($H4&gt;=1,1,MIN(0.97,$H4*Assumptions!$E$12)))</f>
        <v>509.2</v>
      </c>
      <c r="AE4" s="23">
        <f>IF(AE$3&lt;$I4,0,$G4*Assumptions!$E$11*INDEX(Assumptions!$B$24:$G$24,MIN(6,AE$3-$I4+1))*IF(AE$3&gt;$J4,(1-Assumptions!$B$26)^(AE$3-$J4),1)*IF($H4&gt;=1,1,MIN(0.97,$H4*Assumptions!$E$12)))</f>
        <v>254.6</v>
      </c>
      <c r="AF4" s="23">
        <f>IF(AF$3&lt;$I4,0,$G4*Assumptions!$E$11*INDEX(Assumptions!$B$24:$G$24,MIN(6,AF$3-$I4+1))*IF(AF$3&gt;$J4,(1-Assumptions!$B$26)^(AF$3-$J4),1)*IF($H4&gt;=1,1,MIN(0.97,$H4*Assumptions!$E$12)))</f>
        <v>127.3</v>
      </c>
      <c r="AG4" s="35">
        <f>IF(F4="Owned",1-IF(H4&gt;=1,1,MIN(0.97,H4*Assumptions!$E$12)),1)</f>
        <v>1</v>
      </c>
    </row>
    <row r="5">
      <c r="A5" s="39" t="n">
        <v>2</v>
      </c>
      <c r="B5" s="14" t="inlineStr">
        <is>
          <t>Thrombosis / cardiovascular</t>
        </is>
      </c>
      <c r="C5" s="14" t="inlineStr">
        <is>
          <t>Neflamapimod</t>
        </is>
      </c>
      <c r="D5" s="14" t="inlineStr">
        <is>
          <t>Phase 2</t>
        </is>
      </c>
      <c r="E5" s="14" t="inlineStr">
        <is>
          <t>Cardiovascular / area</t>
        </is>
      </c>
      <c r="F5" s="14" t="inlineStr">
        <is>
          <t>Partnered</t>
        </is>
      </c>
      <c r="G5" s="40" t="n">
        <v>1500</v>
      </c>
      <c r="H5" s="27" t="n">
        <v>0.0956</v>
      </c>
      <c r="I5" s="26" t="n">
        <v>2031</v>
      </c>
      <c r="J5" s="39">
        <f>I5+Assumptions!$B$25</f>
        <v>2043.0</v>
      </c>
      <c r="K5" s="53">
        <f>Assumptions!$E$14</f>
        <v>0.12</v>
      </c>
      <c r="L5" s="23">
        <f>K5*SUMPRODUCT(M5:AF5,NPV!$C$15:$V$15)</f>
        <v>48.87256927682239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14.34</v>
      </c>
      <c r="S5" s="23">
        <f>IF(S$3&lt;$I5,0,$G5*Assumptions!$E$11*INDEX(Assumptions!$B$24:$G$24,MIN(6,S$3-$I5+1))*IF(S$3&gt;$J5,(1-Assumptions!$B$26)^(S$3-$J5),1)*IF($H5&gt;=1,1,MIN(0.97,$H5*Assumptions!$E$12)))</f>
        <v>35.85</v>
      </c>
      <c r="T5" s="23">
        <f>IF(T$3&lt;$I5,0,$G5*Assumptions!$E$11*INDEX(Assumptions!$B$24:$G$24,MIN(6,T$3-$I5+1))*IF(T$3&gt;$J5,(1-Assumptions!$B$26)^(T$3-$J5),1)*IF($H5&gt;=1,1,MIN(0.97,$H5*Assumptions!$E$12)))</f>
        <v>64.53</v>
      </c>
      <c r="U5" s="23">
        <f>IF(U$3&lt;$I5,0,$G5*Assumptions!$E$11*INDEX(Assumptions!$B$24:$G$24,MIN(6,U$3-$I5+1))*IF(U$3&gt;$J5,(1-Assumptions!$B$26)^(U$3-$J5),1)*IF($H5&gt;=1,1,MIN(0.97,$H5*Assumptions!$E$12)))</f>
        <v>93.21000000000001</v>
      </c>
      <c r="V5" s="23">
        <f>IF(V$3&lt;$I5,0,$G5*Assumptions!$E$11*INDEX(Assumptions!$B$24:$G$24,MIN(6,V$3-$I5+1))*IF(V$3&gt;$J5,(1-Assumptions!$B$26)^(V$3-$J5),1)*IF($H5&gt;=1,1,MIN(0.97,$H5*Assumptions!$E$12)))</f>
        <v>121.89</v>
      </c>
      <c r="W5" s="23">
        <f>IF(W$3&lt;$I5,0,$G5*Assumptions!$E$11*INDEX(Assumptions!$B$24:$G$24,MIN(6,W$3-$I5+1))*IF(W$3&gt;$J5,(1-Assumptions!$B$26)^(W$3-$J5),1)*IF($H5&gt;=1,1,MIN(0.97,$H5*Assumptions!$E$12)))</f>
        <v>143.4</v>
      </c>
      <c r="X5" s="23">
        <f>IF(X$3&lt;$I5,0,$G5*Assumptions!$E$11*INDEX(Assumptions!$B$24:$G$24,MIN(6,X$3-$I5+1))*IF(X$3&gt;$J5,(1-Assumptions!$B$26)^(X$3-$J5),1)*IF($H5&gt;=1,1,MIN(0.97,$H5*Assumptions!$E$12)))</f>
        <v>143.4</v>
      </c>
      <c r="Y5" s="23">
        <f>IF(Y$3&lt;$I5,0,$G5*Assumptions!$E$11*INDEX(Assumptions!$B$24:$G$24,MIN(6,Y$3-$I5+1))*IF(Y$3&gt;$J5,(1-Assumptions!$B$26)^(Y$3-$J5),1)*IF($H5&gt;=1,1,MIN(0.97,$H5*Assumptions!$E$12)))</f>
        <v>143.4</v>
      </c>
      <c r="Z5" s="23">
        <f>IF(Z$3&lt;$I5,0,$G5*Assumptions!$E$11*INDEX(Assumptions!$B$24:$G$24,MIN(6,Z$3-$I5+1))*IF(Z$3&gt;$J5,(1-Assumptions!$B$26)^(Z$3-$J5),1)*IF($H5&gt;=1,1,MIN(0.97,$H5*Assumptions!$E$12)))</f>
        <v>143.4</v>
      </c>
      <c r="AA5" s="23">
        <f>IF(AA$3&lt;$I5,0,$G5*Assumptions!$E$11*INDEX(Assumptions!$B$24:$G$24,MIN(6,AA$3-$I5+1))*IF(AA$3&gt;$J5,(1-Assumptions!$B$26)^(AA$3-$J5),1)*IF($H5&gt;=1,1,MIN(0.97,$H5*Assumptions!$E$12)))</f>
        <v>143.4</v>
      </c>
      <c r="AB5" s="23">
        <f>IF(AB$3&lt;$I5,0,$G5*Assumptions!$E$11*INDEX(Assumptions!$B$24:$G$24,MIN(6,AB$3-$I5+1))*IF(AB$3&gt;$J5,(1-Assumptions!$B$26)^(AB$3-$J5),1)*IF($H5&gt;=1,1,MIN(0.97,$H5*Assumptions!$E$12)))</f>
        <v>143.4</v>
      </c>
      <c r="AC5" s="23">
        <f>IF(AC$3&lt;$I5,0,$G5*Assumptions!$E$11*INDEX(Assumptions!$B$24:$G$24,MIN(6,AC$3-$I5+1))*IF(AC$3&gt;$J5,(1-Assumptions!$B$26)^(AC$3-$J5),1)*IF($H5&gt;=1,1,MIN(0.97,$H5*Assumptions!$E$12)))</f>
        <v>143.4</v>
      </c>
      <c r="AD5" s="23">
        <f>IF(AD$3&lt;$I5,0,$G5*Assumptions!$E$11*INDEX(Assumptions!$B$24:$G$24,MIN(6,AD$3-$I5+1))*IF(AD$3&gt;$J5,(1-Assumptions!$B$26)^(AD$3-$J5),1)*IF($H5&gt;=1,1,MIN(0.97,$H5*Assumptions!$E$12)))</f>
        <v>143.4</v>
      </c>
      <c r="AE5" s="23">
        <f>IF(AE$3&lt;$I5,0,$G5*Assumptions!$E$11*INDEX(Assumptions!$B$24:$G$24,MIN(6,AE$3-$I5+1))*IF(AE$3&gt;$J5,(1-Assumptions!$B$26)^(AE$3-$J5),1)*IF($H5&gt;=1,1,MIN(0.97,$H5*Assumptions!$E$12)))</f>
        <v>71.7</v>
      </c>
      <c r="AF5" s="23">
        <f>IF(AF$3&lt;$I5,0,$G5*Assumptions!$E$11*INDEX(Assumptions!$B$24:$G$24,MIN(6,AF$3-$I5+1))*IF(AF$3&gt;$J5,(1-Assumptions!$B$26)^(AF$3-$J5),1)*IF($H5&gt;=1,1,MIN(0.97,$H5*Assumptions!$E$12)))</f>
        <v>35.85</v>
      </c>
      <c r="AG5" s="35">
        <f>IF(F5="Owned",1-IF(H5&gt;=1,1,MIN(0.97,H5*Assumptions!$E$12)),1)</f>
        <v>1</v>
      </c>
    </row>
    <row r="6">
      <c r="B6" s="24" t="inlineStr">
        <is>
          <t>Risked revenue</t>
        </is>
      </c>
      <c r="L6" s="54">
        <f>SUM(L4:L5)</f>
        <v>222.4144958860132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65.26</v>
      </c>
      <c r="S6" s="54">
        <f>SUM(S4:S5)</f>
        <v>163.15</v>
      </c>
      <c r="T6" s="54">
        <f>SUM(T4:T5)</f>
        <v>293.66999999999996</v>
      </c>
      <c r="U6" s="54">
        <f>SUM(U4:U5)</f>
        <v>424.19000000000005</v>
      </c>
      <c r="V6" s="54">
        <f>SUM(V4:V5)</f>
        <v>554.71</v>
      </c>
      <c r="W6" s="54">
        <f>SUM(W4:W5)</f>
        <v>652.6</v>
      </c>
      <c r="X6" s="54">
        <f>SUM(X4:X5)</f>
        <v>652.6</v>
      </c>
      <c r="Y6" s="54">
        <f>SUM(Y4:Y5)</f>
        <v>652.6</v>
      </c>
      <c r="Z6" s="54">
        <f>SUM(Z4:Z5)</f>
        <v>652.6</v>
      </c>
      <c r="AA6" s="54">
        <f>SUM(AA4:AA5)</f>
        <v>652.6</v>
      </c>
      <c r="AB6" s="54">
        <f>SUM(AB4:AB5)</f>
        <v>652.6</v>
      </c>
      <c r="AC6" s="54">
        <f>SUM(AC4:AC5)</f>
        <v>652.6</v>
      </c>
      <c r="AD6" s="54">
        <f>SUM(AD4:AD5)</f>
        <v>652.6</v>
      </c>
      <c r="AE6" s="54">
        <f>SUM(AE4:AE5)</f>
        <v>326.3</v>
      </c>
      <c r="AF6" s="54">
        <f>SUM(AF4:AF5)</f>
        <v>163.15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7.8312</v>
      </c>
      <c r="S7" s="55">
        <f>SUMPRODUCT(S4:S5,$K$4:$K$5)</f>
        <v>19.578</v>
      </c>
      <c r="T7" s="55">
        <f>SUMPRODUCT(T4:T5,$K$4:$K$5)</f>
        <v>35.240399999999994</v>
      </c>
      <c r="U7" s="55">
        <f>SUMPRODUCT(U4:U5,$K$4:$K$5)</f>
        <v>50.9028</v>
      </c>
      <c r="V7" s="55">
        <f>SUMPRODUCT(V4:V5,$K$4:$K$5)</f>
        <v>66.56519999999999</v>
      </c>
      <c r="W7" s="55">
        <f>SUMPRODUCT(W4:W5,$K$4:$K$5)</f>
        <v>78.312</v>
      </c>
      <c r="X7" s="55">
        <f>SUMPRODUCT(X4:X5,$K$4:$K$5)</f>
        <v>78.312</v>
      </c>
      <c r="Y7" s="55">
        <f>SUMPRODUCT(Y4:Y5,$K$4:$K$5)</f>
        <v>78.312</v>
      </c>
      <c r="Z7" s="55">
        <f>SUMPRODUCT(Z4:Z5,$K$4:$K$5)</f>
        <v>78.312</v>
      </c>
      <c r="AA7" s="55">
        <f>SUMPRODUCT(AA4:AA5,$K$4:$K$5)</f>
        <v>78.312</v>
      </c>
      <c r="AB7" s="55">
        <f>SUMPRODUCT(AB4:AB5,$K$4:$K$5)</f>
        <v>78.312</v>
      </c>
      <c r="AC7" s="55">
        <f>SUMPRODUCT(AC4:AC5,$K$4:$K$5)</f>
        <v>78.312</v>
      </c>
      <c r="AD7" s="55">
        <f>SUMPRODUCT(AD4:AD5,$K$4:$K$5)</f>
        <v>78.312</v>
      </c>
      <c r="AE7" s="55">
        <f>SUMPRODUCT(AE4:AE5,$K$4:$K$5)</f>
        <v>39.156</v>
      </c>
      <c r="AF7" s="55">
        <f>SUMPRODUCT(AF4:AF5,$K$4:$K$5)</f>
        <v>19.578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CervoMed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65.26</v>
      </c>
      <c r="I4" s="57">
        <f>Pipeline!S6</f>
        <v>163.15</v>
      </c>
      <c r="J4" s="57">
        <f>Pipeline!T6</f>
        <v>293.66999999999996</v>
      </c>
      <c r="K4" s="57">
        <f>Pipeline!U6</f>
        <v>424.19000000000005</v>
      </c>
      <c r="L4" s="57">
        <f>Pipeline!V6</f>
        <v>554.71</v>
      </c>
      <c r="M4" s="57">
        <f>Pipeline!W6</f>
        <v>652.6</v>
      </c>
      <c r="N4" s="57">
        <f>Pipeline!X6</f>
        <v>652.6</v>
      </c>
      <c r="O4" s="57">
        <f>Pipeline!Y6</f>
        <v>652.6</v>
      </c>
      <c r="P4" s="57">
        <f>Pipeline!Z6</f>
        <v>652.6</v>
      </c>
      <c r="Q4" s="57">
        <f>Pipeline!AA6</f>
        <v>652.6</v>
      </c>
      <c r="R4" s="57">
        <f>Pipeline!AB6</f>
        <v>652.6</v>
      </c>
      <c r="S4" s="57">
        <f>Pipeline!AC6</f>
        <v>652.6</v>
      </c>
      <c r="T4" s="57">
        <f>Pipeline!AD6</f>
        <v>652.6</v>
      </c>
      <c r="U4" s="57">
        <f>Pipeline!AE6</f>
        <v>326.3</v>
      </c>
      <c r="V4" s="57">
        <f>Pipeline!AF6</f>
        <v>163.15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7.8312</v>
      </c>
      <c r="I5" s="57">
        <f>Pipeline!S7</f>
        <v>19.578</v>
      </c>
      <c r="J5" s="57">
        <f>Pipeline!T7</f>
        <v>35.240399999999994</v>
      </c>
      <c r="K5" s="57">
        <f>Pipeline!U7</f>
        <v>50.9028</v>
      </c>
      <c r="L5" s="57">
        <f>Pipeline!V7</f>
        <v>66.56519999999999</v>
      </c>
      <c r="M5" s="57">
        <f>Pipeline!W7</f>
        <v>78.312</v>
      </c>
      <c r="N5" s="57">
        <f>Pipeline!X7</f>
        <v>78.312</v>
      </c>
      <c r="O5" s="57">
        <f>Pipeline!Y7</f>
        <v>78.312</v>
      </c>
      <c r="P5" s="57">
        <f>Pipeline!Z7</f>
        <v>78.312</v>
      </c>
      <c r="Q5" s="57">
        <f>Pipeline!AA7</f>
        <v>78.312</v>
      </c>
      <c r="R5" s="57">
        <f>Pipeline!AB7</f>
        <v>78.312</v>
      </c>
      <c r="S5" s="57">
        <f>Pipeline!AC7</f>
        <v>78.312</v>
      </c>
      <c r="T5" s="57">
        <f>Pipeline!AD7</f>
        <v>78.312</v>
      </c>
      <c r="U5" s="57">
        <f>Pipeline!AE7</f>
        <v>39.156</v>
      </c>
      <c r="V5" s="57">
        <f>Pipeline!AF7</f>
        <v>19.578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-31.165</v>
      </c>
      <c r="D6" s="23">
        <f>-IF(D3-2026&lt;Assumptions!$B$19,Assumptions!$B$18,Assumptions!$B$18*Assumptions!$B$20*Assumptions!$B$16)</f>
        <v>-31.165</v>
      </c>
      <c r="E6" s="23">
        <f>-IF(E3-2026&lt;Assumptions!$B$19,Assumptions!$B$18,Assumptions!$B$18*Assumptions!$B$20*Assumptions!$B$16)</f>
        <v>-31.165</v>
      </c>
      <c r="F6" s="23">
        <f>-IF(F3-2026&lt;Assumptions!$B$19,Assumptions!$B$18,Assumptions!$B$18*Assumptions!$B$20*Assumptions!$B$16)</f>
        <v>-31.165</v>
      </c>
      <c r="G6" s="23">
        <f>-IF(G3-2026&lt;Assumptions!$B$19,Assumptions!$B$18,Assumptions!$B$18*Assumptions!$B$20*Assumptions!$B$16)</f>
        <v>-0.0</v>
      </c>
      <c r="H6" s="23">
        <f>-IF(H3-2026&lt;Assumptions!$B$19,Assumptions!$B$18,Assumptions!$B$18*Assumptions!$B$20*Assumptions!$B$16)</f>
        <v>-0.0</v>
      </c>
      <c r="I6" s="23">
        <f>-IF(I3-2026&lt;Assumptions!$B$19,Assumptions!$B$18,Assumptions!$B$18*Assumptions!$B$20*Assumptions!$B$16)</f>
        <v>-0.0</v>
      </c>
      <c r="J6" s="23">
        <f>-IF(J3-2026&lt;Assumptions!$B$19,Assumptions!$B$18,Assumptions!$B$18*Assumptions!$B$20*Assumptions!$B$16)</f>
        <v>-0.0</v>
      </c>
      <c r="K6" s="23">
        <f>-IF(K3-2026&lt;Assumptions!$B$19,Assumptions!$B$18,Assumptions!$B$18*Assumptions!$B$20*Assumptions!$B$16)</f>
        <v>-0.0</v>
      </c>
      <c r="L6" s="23">
        <f>-IF(L3-2026&lt;Assumptions!$B$19,Assumptions!$B$18,Assumptions!$B$18*Assumptions!$B$20*Assumptions!$B$16)</f>
        <v>-0.0</v>
      </c>
      <c r="M6" s="23">
        <f>-IF(M3-2026&lt;Assumptions!$B$19,Assumptions!$B$18,Assumptions!$B$18*Assumptions!$B$20*Assumptions!$B$16)</f>
        <v>-0.0</v>
      </c>
      <c r="N6" s="23">
        <f>-IF(N3-2026&lt;Assumptions!$B$19,Assumptions!$B$18,Assumptions!$B$18*Assumptions!$B$20*Assumptions!$B$16)</f>
        <v>-0.0</v>
      </c>
      <c r="O6" s="23">
        <f>-IF(O3-2026&lt;Assumptions!$B$19,Assumptions!$B$18,Assumptions!$B$18*Assumptions!$B$20*Assumptions!$B$16)</f>
        <v>-0.0</v>
      </c>
      <c r="P6" s="23">
        <f>-IF(P3-2026&lt;Assumptions!$B$19,Assumptions!$B$18,Assumptions!$B$18*Assumptions!$B$20*Assumptions!$B$16)</f>
        <v>-0.0</v>
      </c>
      <c r="Q6" s="23">
        <f>-IF(Q3-2026&lt;Assumptions!$B$19,Assumptions!$B$18,Assumptions!$B$18*Assumptions!$B$20*Assumptions!$B$16)</f>
        <v>-0.0</v>
      </c>
      <c r="R6" s="23">
        <f>-IF(R3-2026&lt;Assumptions!$B$19,Assumptions!$B$18,Assumptions!$B$18*Assumptions!$B$20*Assumptions!$B$16)</f>
        <v>-0.0</v>
      </c>
      <c r="S6" s="23">
        <f>-IF(S3-2026&lt;Assumptions!$B$19,Assumptions!$B$18,Assumptions!$B$18*Assumptions!$B$20*Assumptions!$B$16)</f>
        <v>-0.0</v>
      </c>
      <c r="T6" s="23">
        <f>-IF(T3-2026&lt;Assumptions!$B$19,Assumptions!$B$18,Assumptions!$B$18*Assumptions!$B$20*Assumptions!$B$16)</f>
        <v>-0.0</v>
      </c>
      <c r="U6" s="23">
        <f>-IF(U3-2026&lt;Assumptions!$B$19,Assumptions!$B$18,Assumptions!$B$18*Assumptions!$B$20*Assumptions!$B$16)</f>
        <v>-0.0</v>
      </c>
      <c r="V6" s="23">
        <f>-IF(V3-2026&lt;Assumptions!$B$19,Assumptions!$B$18,Assumptions!$B$18*Assumptions!$B$20*Assumptions!$B$16)</f>
        <v>-0.0</v>
      </c>
    </row>
    <row r="7">
      <c r="A7" s="14" t="inlineStr">
        <is>
          <t>Pre-tax cash flow</t>
        </is>
      </c>
      <c r="C7" s="23">
        <f>C5+C6</f>
        <v>-31.165</v>
      </c>
      <c r="D7" s="23">
        <f>D5+D6</f>
        <v>-31.165</v>
      </c>
      <c r="E7" s="23">
        <f>E5+E6</f>
        <v>-31.165</v>
      </c>
      <c r="F7" s="23">
        <f>F5+F6</f>
        <v>-31.165</v>
      </c>
      <c r="G7" s="23">
        <f>G5+G6</f>
        <v>0.0</v>
      </c>
      <c r="H7" s="23">
        <f>H5+H6</f>
        <v>7.8312</v>
      </c>
      <c r="I7" s="23">
        <f>I5+I6</f>
        <v>19.578</v>
      </c>
      <c r="J7" s="23">
        <f>J5+J6</f>
        <v>35.240399999999994</v>
      </c>
      <c r="K7" s="23">
        <f>K5+K6</f>
        <v>50.9028</v>
      </c>
      <c r="L7" s="23">
        <f>L5+L6</f>
        <v>66.56519999999999</v>
      </c>
      <c r="M7" s="23">
        <f>M5+M6</f>
        <v>78.312</v>
      </c>
      <c r="N7" s="23">
        <f>N5+N6</f>
        <v>78.312</v>
      </c>
      <c r="O7" s="23">
        <f>O5+O6</f>
        <v>78.312</v>
      </c>
      <c r="P7" s="23">
        <f>P5+P6</f>
        <v>78.312</v>
      </c>
      <c r="Q7" s="23">
        <f>Q5+Q6</f>
        <v>78.312</v>
      </c>
      <c r="R7" s="23">
        <f>R5+R6</f>
        <v>78.312</v>
      </c>
      <c r="S7" s="23">
        <f>S5+S6</f>
        <v>78.312</v>
      </c>
      <c r="T7" s="23">
        <f>T5+T6</f>
        <v>78.312</v>
      </c>
      <c r="U7" s="23">
        <f>U5+U6</f>
        <v>39.156</v>
      </c>
      <c r="V7" s="23">
        <f>V5+V6</f>
        <v>19.578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7.8312</v>
      </c>
      <c r="I8" s="23">
        <f>MIN(H17,MAX(0,I7))</f>
        <v>19.578</v>
      </c>
      <c r="J8" s="23">
        <f>MIN(I17,MAX(0,J7))</f>
        <v>35.240399999999994</v>
      </c>
      <c r="K8" s="23">
        <f>MIN(J17,MAX(0,K7))</f>
        <v>50.9028</v>
      </c>
      <c r="L8" s="23">
        <f>MIN(K17,MAX(0,L7))</f>
        <v>66.56519999999999</v>
      </c>
      <c r="M8" s="23">
        <f>MIN(L17,MAX(0,M7))</f>
        <v>78.312</v>
      </c>
      <c r="N8" s="23">
        <f>MIN(M17,MAX(0,N7))</f>
        <v>66.73039999999999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11.581600000000009</v>
      </c>
      <c r="O9" s="23">
        <f>MAX(0,O7)-O8</f>
        <v>78.312</v>
      </c>
      <c r="P9" s="23">
        <f>MAX(0,P7)-P8</f>
        <v>78.312</v>
      </c>
      <c r="Q9" s="23">
        <f>MAX(0,Q7)-Q8</f>
        <v>78.312</v>
      </c>
      <c r="R9" s="23">
        <f>MAX(0,R7)-R8</f>
        <v>78.312</v>
      </c>
      <c r="S9" s="23">
        <f>MAX(0,S7)-S8</f>
        <v>78.312</v>
      </c>
      <c r="T9" s="23">
        <f>MAX(0,T7)-T8</f>
        <v>78.312</v>
      </c>
      <c r="U9" s="23">
        <f>MAX(0,U7)-U8</f>
        <v>39.156</v>
      </c>
      <c r="V9" s="23">
        <f>MAX(0,V7)-V8</f>
        <v>19.578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2.4321360000000016</v>
      </c>
      <c r="O10" s="23">
        <f>O9*Assumptions!$E$15</f>
        <v>16.44552</v>
      </c>
      <c r="P10" s="23">
        <f>P9*Assumptions!$E$15</f>
        <v>16.44552</v>
      </c>
      <c r="Q10" s="23">
        <f>Q9*Assumptions!$E$15</f>
        <v>16.44552</v>
      </c>
      <c r="R10" s="23">
        <f>R9*Assumptions!$E$15</f>
        <v>16.44552</v>
      </c>
      <c r="S10" s="23">
        <f>S9*Assumptions!$E$15</f>
        <v>16.44552</v>
      </c>
      <c r="T10" s="23">
        <f>T9*Assumptions!$E$15</f>
        <v>16.44552</v>
      </c>
      <c r="U10" s="23">
        <f>U9*Assumptions!$E$15</f>
        <v>8.22276</v>
      </c>
      <c r="V10" s="23">
        <f>V9*Assumptions!$E$15</f>
        <v>4.11138</v>
      </c>
    </row>
    <row r="11">
      <c r="A11" s="24" t="inlineStr">
        <is>
          <t>Free cash flow</t>
        </is>
      </c>
      <c r="C11" s="55">
        <f>C7-C10</f>
        <v>-31.165</v>
      </c>
      <c r="D11" s="55">
        <f>D7-D10</f>
        <v>-31.165</v>
      </c>
      <c r="E11" s="55">
        <f>E7-E10</f>
        <v>-31.165</v>
      </c>
      <c r="F11" s="55">
        <f>F7-F10</f>
        <v>-31.165</v>
      </c>
      <c r="G11" s="55">
        <f>G7-G10</f>
        <v>0.0</v>
      </c>
      <c r="H11" s="55">
        <f>H7-H10</f>
        <v>7.8312</v>
      </c>
      <c r="I11" s="55">
        <f>I7-I10</f>
        <v>19.578</v>
      </c>
      <c r="J11" s="55">
        <f>J7-J10</f>
        <v>35.240399999999994</v>
      </c>
      <c r="K11" s="55">
        <f>K7-K10</f>
        <v>50.9028</v>
      </c>
      <c r="L11" s="55">
        <f>L7-L10</f>
        <v>66.56519999999999</v>
      </c>
      <c r="M11" s="55">
        <f>M7-M10</f>
        <v>78.312</v>
      </c>
      <c r="N11" s="55">
        <f>N7-N10</f>
        <v>75.879864</v>
      </c>
      <c r="O11" s="55">
        <f>O7-O10</f>
        <v>61.866479999999996</v>
      </c>
      <c r="P11" s="55">
        <f>P7-P10</f>
        <v>61.866479999999996</v>
      </c>
      <c r="Q11" s="55">
        <f>Q7-Q10</f>
        <v>61.866479999999996</v>
      </c>
      <c r="R11" s="55">
        <f>R7-R10</f>
        <v>61.866479999999996</v>
      </c>
      <c r="S11" s="55">
        <f>S7-S10</f>
        <v>61.866479999999996</v>
      </c>
      <c r="T11" s="55">
        <f>T7-T10</f>
        <v>61.866479999999996</v>
      </c>
      <c r="U11" s="55">
        <f>U7-U10</f>
        <v>30.933239999999998</v>
      </c>
      <c r="V11" s="55">
        <f>V7-V10</f>
        <v>15.466619999999999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-15.267869037041917</v>
      </c>
      <c r="D16" s="55">
        <f>D11*D15</f>
        <v>-27.812966625841185</v>
      </c>
      <c r="E16" s="55">
        <f>E11*E15</f>
        <v>-24.833005915929622</v>
      </c>
      <c r="F16" s="55">
        <f>F11*F15</f>
        <v>-22.172326710651447</v>
      </c>
      <c r="G16" s="55">
        <f>G11*G15</f>
        <v>0.0</v>
      </c>
      <c r="H16" s="55">
        <f>H11*H15</f>
        <v>4.441568948572096</v>
      </c>
      <c r="I16" s="55">
        <f>I11*I15</f>
        <v>9.91421640306271</v>
      </c>
      <c r="J16" s="55">
        <f>J11*J15</f>
        <v>15.933562076350784</v>
      </c>
      <c r="K16" s="55">
        <f>K11*K15</f>
        <v>20.549236804817475</v>
      </c>
      <c r="L16" s="55">
        <f>L11*L15</f>
        <v>23.992927588042377</v>
      </c>
      <c r="M16" s="55">
        <f>M11*M15</f>
        <v>25.20265502945628</v>
      </c>
      <c r="N16" s="55">
        <f>N11*N15</f>
        <v>21.803514377404053</v>
      </c>
      <c r="O16" s="55">
        <f>O11*O15</f>
        <v>15.872207807135249</v>
      </c>
      <c r="P16" s="55">
        <f>P11*P15</f>
        <v>14.171614113513613</v>
      </c>
      <c r="Q16" s="55">
        <f>Q11*Q15</f>
        <v>12.653226887065726</v>
      </c>
      <c r="R16" s="55">
        <f>R11*R15</f>
        <v>11.297524006308683</v>
      </c>
      <c r="S16" s="55">
        <f>S11*S15</f>
        <v>10.087075005632752</v>
      </c>
      <c r="T16" s="55">
        <f>T11*T15</f>
        <v>9.006316969314955</v>
      </c>
      <c r="U16" s="55">
        <f>U11*U15</f>
        <v>4.020677218444177</v>
      </c>
      <c r="V16" s="55">
        <f>V11*V15</f>
        <v>1.7949451868054356</v>
      </c>
    </row>
    <row r="17">
      <c r="A17" s="14" t="inlineStr">
        <is>
          <t>Tax-loss carryforward, end of year</t>
        </is>
      </c>
      <c r="C17" s="23">
        <f>Assumptions!$B$21-C8+MAX(0,-C7)</f>
        <v>231.665</v>
      </c>
      <c r="D17" s="23">
        <f>C17-D8+MAX(0,-D7)</f>
        <v>262.83</v>
      </c>
      <c r="E17" s="23">
        <f>D17-E8+MAX(0,-E7)</f>
        <v>293.995</v>
      </c>
      <c r="F17" s="23">
        <f>E17-F8+MAX(0,-F7)</f>
        <v>325.16</v>
      </c>
      <c r="G17" s="23">
        <f>F17-G8+MAX(0,-G7)</f>
        <v>325.16</v>
      </c>
      <c r="H17" s="23">
        <f>G17-H8+MAX(0,-H7)</f>
        <v>317.3288</v>
      </c>
      <c r="I17" s="23">
        <f>H17-I8+MAX(0,-I7)</f>
        <v>297.7508</v>
      </c>
      <c r="J17" s="23">
        <f>I17-J8+MAX(0,-J7)</f>
        <v>262.5104</v>
      </c>
      <c r="K17" s="23">
        <f>J17-K8+MAX(0,-K7)</f>
        <v>211.6076</v>
      </c>
      <c r="L17" s="23">
        <f>K17-L8+MAX(0,-L7)</f>
        <v>145.0424</v>
      </c>
      <c r="M17" s="23">
        <f>L17-M8+MAX(0,-M7)</f>
        <v>66.73039999999999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222.4144958860132</v>
      </c>
    </row>
    <row r="20">
      <c r="A20" s="14" t="inlineStr">
        <is>
          <t>PV of corporate burn</t>
        </is>
      </c>
      <c r="B20" s="23">
        <f>SUMPRODUCT(C6:V6,C15:V15)</f>
        <v>-90.08616828946417</v>
      </c>
    </row>
    <row r="21">
      <c r="A21" s="14" t="inlineStr">
        <is>
          <t>PV of taxes</t>
        </is>
      </c>
      <c r="B21" s="23">
        <f>-SUMPRODUCT(C10:V10,C15:V15)</f>
        <v>-21.67322746408684</v>
      </c>
    </row>
    <row r="22">
      <c r="A22" s="24" t="inlineStr">
        <is>
          <t>Pipeline rNPV (operations)</t>
        </is>
      </c>
      <c r="B22" s="54">
        <f>SUM(C16:V16)</f>
        <v>110.6551001324622</v>
      </c>
    </row>
    <row r="23">
      <c r="A23" s="14" t="inlineStr">
        <is>
          <t>Cash &amp; investments</t>
        </is>
      </c>
      <c r="B23" s="57">
        <f>Main!C7</f>
        <v>24.938172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135.5932721324622</v>
      </c>
    </row>
    <row r="26">
      <c r="A26" s="14" t="inlineStr">
        <is>
          <t>Shares (mm)</t>
        </is>
      </c>
      <c r="B26" s="57">
        <f>Main!C4</f>
        <v>15.119096</v>
      </c>
    </row>
    <row r="27">
      <c r="A27" s="24" t="inlineStr">
        <is>
          <t>rNPV / share</t>
        </is>
      </c>
      <c r="B27" s="60">
        <f>B25/B26</f>
        <v>8.968345206119611</v>
      </c>
    </row>
    <row r="28">
      <c r="A28" s="14" t="inlineStr">
        <is>
          <t>Price</t>
        </is>
      </c>
      <c r="B28" s="61">
        <f>Main!C3</f>
        <v>2.29</v>
      </c>
    </row>
    <row r="29">
      <c r="A29" s="14" t="inlineStr">
        <is>
          <t>Upside</t>
        </is>
      </c>
      <c r="B29" s="62">
        <f>B27/B28-1</f>
        <v>2.9163079502705727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2026-10-21T06:29:47Z</dcterms:modified>
  <cp:lastModifiedBy>Wang, Eric</cp:lastModifiedBy>
</cp:coreProperties>
</file>