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CervoMed Inc</t>
        </is>
      </c>
      <c r="C2" s="10" t="n"/>
    </row>
    <row r="3">
      <c r="B3" t="inlineStr">
        <is>
          <t>Price</t>
        </is>
      </c>
      <c r="C3" s="11">
        <f>INDEX([1]Pharma!$F$1:$F$1000,MATCH("CRVO",[1]Pharma!$B$1:$B$1000,0))</f>
        <v>2.29</v>
      </c>
      <c r="F3" s="1" t="n"/>
    </row>
    <row r="4">
      <c r="B4" t="inlineStr">
        <is>
          <t>Shares</t>
        </is>
      </c>
      <c r="C4" s="21" t="n">
        <v>15.119096</v>
      </c>
      <c r="F4" s="1" t="n"/>
    </row>
    <row r="5">
      <c r="B5" t="inlineStr">
        <is>
          <t>Market Cap.</t>
        </is>
      </c>
      <c r="C5" s="13">
        <f>C3*C4</f>
        <v>34.622729840000005</v>
      </c>
      <c r="F5" s="1" t="n"/>
    </row>
    <row r="6"/>
    <row r="7">
      <c r="B7" t="inlineStr">
        <is>
          <t>Cash</t>
        </is>
      </c>
      <c r="C7" s="21">
        <f>22.462577+2.475595</f>
        <v>24.938172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9.684557840000004</v>
      </c>
    </row>
    <row r="10"/>
    <row r="11">
      <c r="B11" s="14" t="inlineStr">
        <is>
          <t>Net Cash / Share</t>
        </is>
      </c>
      <c r="C11" s="11">
        <f>(C7-C8)/C4</f>
        <v>1.649448617827415</v>
      </c>
    </row>
    <row r="12">
      <c r="B12" s="14" t="inlineStr">
        <is>
          <t>Upside</t>
        </is>
      </c>
      <c r="C12" s="15">
        <f>IFERROR(C11/C3-1,"")</f>
        <v>-0.2797167607740546</v>
      </c>
    </row>
    <row r="13">
      <c r="B13" s="14" t="inlineStr">
        <is>
          <t>Cash / Share</t>
        </is>
      </c>
      <c r="C13" s="11">
        <f>IFERROR((C7-C8)/C4,"")</f>
        <v>1.649448617827415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-27.978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0.8913493459146472</v>
      </c>
    </row>
    <row r="19">
      <c r="B19" s="14" t="inlineStr">
        <is>
          <t>Implied Pipeline Value</t>
        </is>
      </c>
      <c r="C19" s="13">
        <f>C9</f>
        <v>9.684557840000004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0.04</v>
      </c>
      <c r="C2" s="23" t="n">
        <v>0.57</v>
      </c>
      <c r="D2" s="23" t="n">
        <v>0.375</v>
      </c>
      <c r="E2" s="23" t="n">
        <v>0.07199999999999999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7.145</v>
      </c>
      <c r="P2" s="23" t="n">
        <v>9.738</v>
      </c>
      <c r="Q2" s="23" t="n">
        <v>4.007</v>
      </c>
    </row>
    <row r="3" customFormat="1" s="1">
      <c r="A3" s="5" t="inlineStr">
        <is>
          <t>Cost of Sales</t>
        </is>
      </c>
      <c r="B3" s="23" t="n">
        <v>0.21</v>
      </c>
      <c r="C3" s="23" t="n">
        <v>2.309</v>
      </c>
      <c r="D3" s="23" t="n">
        <v>0.236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-0.16999999999999998</v>
      </c>
      <c r="C4" s="23">
        <f>C2-C3</f>
        <v>-1.7390000000000003</v>
      </c>
      <c r="D4" s="23">
        <f>D2-D3</f>
        <v>0.139</v>
      </c>
      <c r="E4" s="23">
        <f>E2-E3</f>
        <v>0.072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7.145</v>
      </c>
      <c r="P4" s="23">
        <f>P2-P3</f>
        <v>9.738</v>
      </c>
      <c r="Q4" s="23">
        <f>Q2-Q3</f>
        <v>4.007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0.343</v>
      </c>
      <c r="F5" s="23" t="n">
        <v>2.861</v>
      </c>
      <c r="G5" s="23" t="n">
        <v>3.875</v>
      </c>
      <c r="H5" s="23" t="n">
        <v>7.252</v>
      </c>
      <c r="I5" s="23" t="n">
        <v>5.089</v>
      </c>
      <c r="J5" s="23" t="n">
        <v>5.752</v>
      </c>
      <c r="K5" s="23" t="n">
        <v>6.62</v>
      </c>
      <c r="L5" s="23" t="n">
        <v>9.428000000000001</v>
      </c>
      <c r="M5" s="23" t="n">
        <v>8.499000000000001</v>
      </c>
      <c r="N5" s="23" t="n">
        <v>1.336</v>
      </c>
      <c r="O5" s="23" t="n">
        <v>8.438000000000001</v>
      </c>
      <c r="P5" s="23" t="n">
        <v>18.798</v>
      </c>
      <c r="Q5" s="23" t="n">
        <v>21.817</v>
      </c>
    </row>
    <row r="6">
      <c r="A6" s="19" t="inlineStr">
        <is>
          <t>SG&amp;A &amp; Other</t>
        </is>
      </c>
      <c r="B6" s="23" t="n">
        <v>7.467</v>
      </c>
      <c r="C6" s="23" t="n">
        <v>14.691</v>
      </c>
      <c r="D6" s="23" t="n">
        <v>11.931</v>
      </c>
      <c r="E6" s="23" t="n">
        <v>12.525</v>
      </c>
      <c r="F6" s="23" t="n">
        <v>11.753</v>
      </c>
      <c r="G6" s="23" t="n">
        <v>2.531</v>
      </c>
      <c r="H6" s="23" t="n">
        <v>11.119</v>
      </c>
      <c r="I6" s="23" t="n">
        <v>6.26</v>
      </c>
      <c r="J6" s="23" t="n">
        <v>13.207</v>
      </c>
      <c r="K6" s="23" t="n">
        <v>4.932</v>
      </c>
      <c r="L6" s="23" t="n">
        <v>6.547</v>
      </c>
      <c r="M6" s="23" t="n">
        <v>16.178</v>
      </c>
      <c r="N6" s="23" t="n">
        <v>2.139</v>
      </c>
      <c r="O6" s="23" t="n">
        <v>6.519</v>
      </c>
      <c r="P6" s="23" t="n">
        <v>9.167</v>
      </c>
      <c r="Q6" s="23" t="n">
        <v>10.484</v>
      </c>
    </row>
    <row r="7">
      <c r="A7" s="2" t="inlineStr">
        <is>
          <t>Operating Expense</t>
        </is>
      </c>
      <c r="B7" s="23">
        <f>SUM(B5:B6)</f>
        <v>7.467</v>
      </c>
      <c r="C7" s="23">
        <f>SUM(C5:C6)</f>
        <v>14.691</v>
      </c>
      <c r="D7" s="23">
        <f>SUM(D5:D6)</f>
        <v>11.931</v>
      </c>
      <c r="E7" s="23">
        <f>SUM(E5:E6)</f>
        <v>12.868</v>
      </c>
      <c r="F7" s="23">
        <f>SUM(F5:F6)</f>
        <v>14.614</v>
      </c>
      <c r="G7" s="23">
        <f>SUM(G5:G6)</f>
        <v>6.406000000000001</v>
      </c>
      <c r="H7" s="23">
        <f>SUM(H5:H6)</f>
        <v>18.371</v>
      </c>
      <c r="I7" s="23">
        <f>SUM(I5:I6)</f>
        <v>11.349</v>
      </c>
      <c r="J7" s="23">
        <f>SUM(J5:J6)</f>
        <v>18.959</v>
      </c>
      <c r="K7" s="23">
        <f>SUM(K5:K6)</f>
        <v>11.552</v>
      </c>
      <c r="L7" s="23">
        <f>SUM(L5:L6)</f>
        <v>15.975000000000001</v>
      </c>
      <c r="M7" s="23">
        <f>SUM(M5:M6)</f>
        <v>24.677</v>
      </c>
      <c r="N7" s="23">
        <f>SUM(N5:N6)</f>
        <v>3.4749999999999996</v>
      </c>
      <c r="O7" s="23">
        <f>SUM(O5:O6)</f>
        <v>14.957</v>
      </c>
      <c r="P7" s="23">
        <f>SUM(P5:P6)</f>
        <v>27.964999999999996</v>
      </c>
      <c r="Q7" s="23">
        <f>SUM(Q5:Q6)</f>
        <v>32.301</v>
      </c>
    </row>
    <row r="8">
      <c r="A8" s="2" t="inlineStr">
        <is>
          <t>Operating Income</t>
        </is>
      </c>
      <c r="B8" s="23">
        <f>B4-B7</f>
        <v>-7.637</v>
      </c>
      <c r="C8" s="23">
        <f>C4-C7</f>
        <v>-16.43</v>
      </c>
      <c r="D8" s="23">
        <f>D4-D7</f>
        <v>-11.792</v>
      </c>
      <c r="E8" s="23">
        <f>E4-E7</f>
        <v>-12.796000000000001</v>
      </c>
      <c r="F8" s="23">
        <f>F4-F7</f>
        <v>-14.614</v>
      </c>
      <c r="G8" s="23">
        <f>G4-G7</f>
        <v>-6.406000000000001</v>
      </c>
      <c r="H8" s="23">
        <f>H4-H7</f>
        <v>-18.371</v>
      </c>
      <c r="I8" s="23">
        <f>I4-I7</f>
        <v>-11.349</v>
      </c>
      <c r="J8" s="23">
        <f>J4-J7</f>
        <v>-18.959</v>
      </c>
      <c r="K8" s="23">
        <f>K4-K7</f>
        <v>-11.552</v>
      </c>
      <c r="L8" s="23">
        <f>L4-L7</f>
        <v>-15.975000000000001</v>
      </c>
      <c r="M8" s="23">
        <f>M4-M7</f>
        <v>-24.677</v>
      </c>
      <c r="N8" s="23">
        <f>N4-N7</f>
        <v>-3.4749999999999996</v>
      </c>
      <c r="O8" s="23">
        <f>O4-O7</f>
        <v>-7.812000000000001</v>
      </c>
      <c r="P8" s="23">
        <f>P4-P7</f>
        <v>-18.226999999999997</v>
      </c>
      <c r="Q8" s="23">
        <f>Q4-Q7</f>
        <v>-28.294000000000004</v>
      </c>
    </row>
    <row r="9">
      <c r="A9" s="19" t="inlineStr">
        <is>
          <t>Interest &amp; Other</t>
        </is>
      </c>
      <c r="B9" s="23" t="n">
        <v>-0.773</v>
      </c>
      <c r="C9" s="23" t="n">
        <v>-6.206</v>
      </c>
      <c r="D9" s="23" t="n">
        <v>4.923</v>
      </c>
      <c r="E9" s="23" t="n">
        <v>10.339</v>
      </c>
      <c r="F9" s="23" t="n">
        <v>-2.556</v>
      </c>
      <c r="G9" s="23" t="n">
        <v>-0.313</v>
      </c>
      <c r="H9" s="23" t="n">
        <v>-0.03</v>
      </c>
      <c r="I9" s="23" t="n">
        <v>8.928000000000001</v>
      </c>
      <c r="J9" s="23" t="n">
        <v>0.152</v>
      </c>
      <c r="K9" s="23" t="n">
        <v>0.08500000000000001</v>
      </c>
      <c r="L9" s="23" t="n">
        <v>0.114</v>
      </c>
      <c r="M9" s="23" t="n">
        <v>0.137</v>
      </c>
      <c r="N9" s="23" t="n">
        <v>-2.328</v>
      </c>
      <c r="O9" s="23" t="n">
        <v>5.643</v>
      </c>
      <c r="P9" s="23" t="n">
        <v>1.937</v>
      </c>
      <c r="Q9" s="23" t="n">
        <v>1.325</v>
      </c>
    </row>
    <row r="10">
      <c r="A10" s="2" t="inlineStr">
        <is>
          <t>Pretax</t>
        </is>
      </c>
      <c r="B10" s="23">
        <f>B8+B9</f>
        <v>-8.41</v>
      </c>
      <c r="C10" s="23">
        <f>C8+C9</f>
        <v>-22.636</v>
      </c>
      <c r="D10" s="23">
        <f>D8+D9</f>
        <v>-6.869</v>
      </c>
      <c r="E10" s="23">
        <f>E8+E9</f>
        <v>-2.4570000000000007</v>
      </c>
      <c r="F10" s="23">
        <f>F8+F9</f>
        <v>-17.17</v>
      </c>
      <c r="G10" s="23">
        <f>G8+G9</f>
        <v>-6.719</v>
      </c>
      <c r="H10" s="23">
        <f>H8+H9</f>
        <v>-18.401</v>
      </c>
      <c r="I10" s="23">
        <f>I8+I9</f>
        <v>-2.4209999999999994</v>
      </c>
      <c r="J10" s="23">
        <f>J8+J9</f>
        <v>-18.807</v>
      </c>
      <c r="K10" s="23">
        <f>K8+K9</f>
        <v>-11.466999999999999</v>
      </c>
      <c r="L10" s="23">
        <f>L8+L9</f>
        <v>-15.861</v>
      </c>
      <c r="M10" s="23">
        <f>M8+M9</f>
        <v>-24.54</v>
      </c>
      <c r="N10" s="23">
        <f>N8+N9</f>
        <v>-5.802999999999999</v>
      </c>
      <c r="O10" s="23">
        <f>O8+O9</f>
        <v>-2.1690000000000014</v>
      </c>
      <c r="P10" s="23">
        <f>P8+P9</f>
        <v>-16.289999999999996</v>
      </c>
      <c r="Q10" s="23">
        <f>Q8+Q9</f>
        <v>-26.969000000000005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-2.817</v>
      </c>
      <c r="G11" s="23" t="n">
        <v>0</v>
      </c>
      <c r="H11" s="23" t="n">
        <v>-0.365</v>
      </c>
      <c r="I11" s="23" t="n">
        <v>-1.056</v>
      </c>
      <c r="J11" s="23" t="n">
        <v>-0.437</v>
      </c>
      <c r="K11" s="23" t="n">
        <v>0.333</v>
      </c>
      <c r="L11" s="23" t="n">
        <v>-1.675</v>
      </c>
      <c r="M11" s="23" t="n">
        <v>-0.444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-8.41</v>
      </c>
      <c r="C12" s="23" t="n">
        <v>-22.636</v>
      </c>
      <c r="D12" s="23" t="n">
        <v>-6.869</v>
      </c>
      <c r="E12" s="23" t="n">
        <v>-2.458</v>
      </c>
      <c r="F12" s="23" t="n">
        <v>-14.353</v>
      </c>
      <c r="G12" s="23" t="n">
        <v>-6.719</v>
      </c>
      <c r="H12" s="23" t="n">
        <v>-18.037</v>
      </c>
      <c r="I12" s="23" t="n">
        <v>-1.365</v>
      </c>
      <c r="J12" s="23" t="n">
        <v>-18.37</v>
      </c>
      <c r="K12" s="23" t="n">
        <v>-11.799</v>
      </c>
      <c r="L12" s="23" t="n">
        <v>-14.185</v>
      </c>
      <c r="M12" s="23" t="n">
        <v>-24.096</v>
      </c>
      <c r="N12" s="23" t="n">
        <v>-5.803</v>
      </c>
      <c r="O12" s="23" t="n">
        <v>-2.17</v>
      </c>
      <c r="P12" s="23" t="n">
        <v>-16.29</v>
      </c>
      <c r="Q12" s="23" t="n">
        <v>-26.97</v>
      </c>
    </row>
    <row r="13">
      <c r="A13" s="2" t="inlineStr">
        <is>
          <t>Earnings per Share</t>
        </is>
      </c>
      <c r="B13" s="11">
        <f>IFERROR(B12/B14,0)</f>
        <v>-52.5625</v>
      </c>
      <c r="C13" s="11">
        <f>IFERROR(C12/C14,0)</f>
        <v>-80.55516014234874</v>
      </c>
      <c r="D13" s="11">
        <f>IFERROR(D12/D14,0)</f>
        <v>-24.532142857142855</v>
      </c>
      <c r="E13" s="11">
        <f>IFERROR(E12/E14,0)</f>
        <v>-3.7129909365558915</v>
      </c>
      <c r="F13" s="11">
        <f>IFERROR(F12/F14,0)</f>
        <v>-4.014825174825175</v>
      </c>
      <c r="G13" s="11">
        <f>IFERROR(G12/G14,0)</f>
        <v>-1.443704340352385</v>
      </c>
      <c r="H13" s="11">
        <f>IFERROR(H12/H14,0)</f>
        <v>-7.051211884284597</v>
      </c>
      <c r="I13" s="11">
        <f>IFERROR(I12/I14,0)</f>
        <v>-0.5365566037735849</v>
      </c>
      <c r="J13" s="11">
        <f>IFERROR(J12/J14,0)</f>
        <v>-1.8885576231109285</v>
      </c>
      <c r="K13" s="11">
        <f>IFERROR(K12/K14,0)</f>
        <v>0</v>
      </c>
      <c r="L13" s="11">
        <f>IFERROR(L12/L14,0)</f>
        <v>0</v>
      </c>
      <c r="M13" s="11">
        <f>IFERROR(M12/M14,0)</f>
        <v>0</v>
      </c>
      <c r="N13" s="11">
        <f>IFERROR(N12/N14,0)</f>
        <v>-3.734234234234234</v>
      </c>
      <c r="O13" s="11">
        <f>IFERROR(O12/O14,0)</f>
        <v>-0.2717935871743487</v>
      </c>
      <c r="P13" s="11">
        <f>IFERROR(P12/P14,0)</f>
        <v>-2.0178372352285394</v>
      </c>
      <c r="Q13" s="11">
        <f>IFERROR(Q12/Q14,0)</f>
        <v>-2.982747179827472</v>
      </c>
    </row>
    <row r="14">
      <c r="A14" s="2" t="inlineStr">
        <is>
          <t>Shares</t>
        </is>
      </c>
      <c r="B14" s="23" t="n">
        <v>0.16</v>
      </c>
      <c r="C14" s="23" t="n">
        <v>0.281</v>
      </c>
      <c r="D14" s="23" t="n">
        <v>0.28</v>
      </c>
      <c r="E14" s="23" t="n">
        <v>0.662</v>
      </c>
      <c r="F14" s="23" t="n">
        <v>3.575</v>
      </c>
      <c r="G14" s="23" t="n">
        <v>4.654</v>
      </c>
      <c r="H14" s="23" t="n">
        <v>2.558</v>
      </c>
      <c r="I14" s="23" t="n">
        <v>2.544</v>
      </c>
      <c r="J14" s="23" t="n">
        <v>9.727</v>
      </c>
      <c r="K14" s="23" t="n"/>
      <c r="L14" s="23" t="n"/>
      <c r="M14" s="23" t="n"/>
      <c r="N14" s="23" t="n">
        <v>1.554</v>
      </c>
      <c r="O14" s="23" t="n">
        <v>7.984</v>
      </c>
      <c r="P14" s="23" t="n">
        <v>8.073</v>
      </c>
      <c r="Q14" s="23" t="n">
        <v>9.042</v>
      </c>
    </row>
    <row r="15"/>
    <row r="16" customFormat="1" s="4">
      <c r="A16" s="3" t="inlineStr">
        <is>
          <t>Revenue Change</t>
        </is>
      </c>
      <c r="C16" s="15">
        <f>IFERROR(C2/B2-1,"")</f>
        <v>13.249999999999998</v>
      </c>
      <c r="D16" s="15">
        <f>IFERROR(D2/C2-1,"")</f>
        <v>-0.3421052631578947</v>
      </c>
      <c r="E16" s="15">
        <f>IFERROR(E2/D2-1,"")</f>
        <v>-0.808</v>
      </c>
      <c r="F16" s="15">
        <f>IFERROR(F2/E2-1,"")</f>
        <v>-1.0</v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>0.3629111266620013</v>
      </c>
      <c r="Q16" s="15">
        <f>IFERROR(Q2/P2-1,"")</f>
        <v>-0.588519203121791</v>
      </c>
    </row>
    <row r="17" customFormat="1" s="4">
      <c r="A17" s="3" t="inlineStr">
        <is>
          <t>Gross Margin</t>
        </is>
      </c>
      <c r="B17" s="15">
        <f>IFERROR(B4/B2,"")</f>
        <v>-4.249999999999999</v>
      </c>
      <c r="C17" s="15">
        <f>IFERROR(C4/C2,"")</f>
        <v>-3.050877192982457</v>
      </c>
      <c r="D17" s="15">
        <f>IFERROR(D4/D2,"")</f>
        <v>0.3706666666666667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</row>
    <row r="18">
      <c r="A18" s="14" t="inlineStr">
        <is>
          <t>Operating Margin</t>
        </is>
      </c>
      <c r="B18" s="15">
        <f>IFERROR(B8/B2,"")</f>
        <v>-190.92499999999998</v>
      </c>
      <c r="C18" s="15">
        <f>IFERROR(C8/C2,"")</f>
        <v>-28.824561403508774</v>
      </c>
      <c r="D18" s="15">
        <f>IFERROR(D8/D2,"")</f>
        <v>-31.445333333333334</v>
      </c>
      <c r="E18" s="15">
        <f>IFERROR(E8/E2,"")</f>
        <v>-177.72222222222226</v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>-1.0933519944016796</v>
      </c>
      <c r="P18" s="15">
        <f>IFERROR(P8/P2,"")</f>
        <v>-1.8717395769151774</v>
      </c>
      <c r="Q18" s="15">
        <f>IFERROR(Q8/Q2,"")</f>
        <v>-7.061142999750438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2026-10-21T01:06:20Z</dcterms:modified>
  <cp:lastModifiedBy>Wang, Eric</cp:lastModifiedBy>
</cp:coreProperties>
</file>