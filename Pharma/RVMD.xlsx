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Revolution Medicines, Inc.</t>
        </is>
      </c>
      <c r="C2" s="10" t="n"/>
    </row>
    <row r="3">
      <c r="B3" t="inlineStr">
        <is>
          <t>Price</t>
        </is>
      </c>
      <c r="C3" s="11">
        <f>INDEX([1]Pharma!$F$1:$F$1000,MATCH("RVMD",[1]Pharma!$B$1:$B$1000,0))</f>
        <v>196.55</v>
      </c>
      <c r="F3" s="1" t="n"/>
    </row>
    <row r="4">
      <c r="B4" t="inlineStr">
        <is>
          <t>Shares</t>
        </is>
      </c>
      <c r="C4" s="21" t="n">
        <v>214.336418</v>
      </c>
      <c r="F4" s="1" t="n"/>
    </row>
    <row r="5">
      <c r="B5" t="inlineStr">
        <is>
          <t>Market Cap.</t>
        </is>
      </c>
      <c r="C5" s="13">
        <f>C3*C4</f>
        <v>42127.8229579</v>
      </c>
      <c r="F5" s="1" t="n"/>
    </row>
    <row r="6"/>
    <row r="7">
      <c r="B7" t="inlineStr">
        <is>
          <t>Cash</t>
        </is>
      </c>
      <c r="C7" s="21">
        <f>815.435+3122.534</f>
        <v>3937.969</v>
      </c>
    </row>
    <row r="8">
      <c r="B8" t="inlineStr">
        <is>
          <t>Debt</t>
        </is>
      </c>
      <c r="C8" s="21" t="n">
        <v>487.434</v>
      </c>
    </row>
    <row r="9">
      <c r="B9" t="inlineStr">
        <is>
          <t>Enterprise V.</t>
        </is>
      </c>
      <c r="C9" s="13">
        <f>C5-C7+C8</f>
        <v>38677.28795790001</v>
      </c>
    </row>
    <row r="10"/>
    <row r="11">
      <c r="B11" s="14" t="inlineStr">
        <is>
          <t>Net Cash / Share</t>
        </is>
      </c>
      <c r="C11" s="11">
        <f>(C7-C8)/C4</f>
        <v>16.098687438174878</v>
      </c>
    </row>
    <row r="12">
      <c r="B12" s="14" t="inlineStr">
        <is>
          <t>Upside</t>
        </is>
      </c>
      <c r="C12" s="15">
        <f>IFERROR(C11/C3-1,"")</f>
        <v>-0.9180936787678714</v>
      </c>
    </row>
    <row r="13">
      <c r="B13" s="14" t="inlineStr">
        <is>
          <t>Cash / Share</t>
        </is>
      </c>
      <c r="C13" s="11">
        <f>IFERROR((C7-C8)/C4,"")</f>
        <v>16.098687438174878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-1223.033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2.8212934565134384</v>
      </c>
    </row>
    <row r="19">
      <c r="B19" s="14" t="inlineStr">
        <is>
          <t>Implied Pipeline Value</t>
        </is>
      </c>
      <c r="C19" s="13">
        <f>C9</f>
        <v>38677.28795790001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20.165</v>
      </c>
      <c r="C2" s="23" t="n">
        <v>50.041</v>
      </c>
      <c r="D2" s="23" t="n">
        <v>42.983</v>
      </c>
      <c r="E2" s="23" t="n">
        <v>29.39</v>
      </c>
      <c r="F2" s="23" t="n">
        <v>35.38</v>
      </c>
      <c r="G2" s="23" t="n">
        <v>11.58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20.165</v>
      </c>
      <c r="C4" s="23">
        <f>C2-C3</f>
        <v>50.041</v>
      </c>
      <c r="D4" s="23">
        <f>D2-D3</f>
        <v>42.983</v>
      </c>
      <c r="E4" s="23">
        <f>E2-E3</f>
        <v>29.39</v>
      </c>
      <c r="F4" s="23">
        <f>F2-F3</f>
        <v>35.38</v>
      </c>
      <c r="G4" s="23">
        <f>G2-G3</f>
        <v>11.58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51.084</v>
      </c>
      <c r="C5" s="23" t="n">
        <v>91.755</v>
      </c>
      <c r="D5" s="23" t="n">
        <v>132.252</v>
      </c>
      <c r="E5" s="23" t="n">
        <v>186.948</v>
      </c>
      <c r="F5" s="23" t="n">
        <v>253.073</v>
      </c>
      <c r="G5" s="23" t="n">
        <v>423.144</v>
      </c>
      <c r="H5" s="23" t="n">
        <v>592.225</v>
      </c>
      <c r="I5" s="23" t="n">
        <v>987.332</v>
      </c>
      <c r="J5" s="1" t="n"/>
      <c r="K5" s="1" t="n"/>
    </row>
    <row r="6">
      <c r="A6" s="19" t="inlineStr">
        <is>
          <t>SG&amp;A &amp; Other</t>
        </is>
      </c>
      <c r="B6" s="23" t="n">
        <v>9.41</v>
      </c>
      <c r="C6" s="23" t="n">
        <v>12.406</v>
      </c>
      <c r="D6" s="23" t="n">
        <v>21.428</v>
      </c>
      <c r="E6" s="23" t="n">
        <v>30.45</v>
      </c>
      <c r="F6" s="23" t="n">
        <v>40.586</v>
      </c>
      <c r="G6" s="23" t="n">
        <v>75.621</v>
      </c>
      <c r="H6" s="23" t="n">
        <v>97.29900000000001</v>
      </c>
      <c r="I6" s="23" t="n">
        <v>195.037</v>
      </c>
      <c r="J6" s="1" t="n"/>
      <c r="K6" s="1" t="n"/>
    </row>
    <row r="7">
      <c r="A7" s="2" t="inlineStr">
        <is>
          <t>Operating Expense</t>
        </is>
      </c>
      <c r="B7" s="23">
        <f>SUM(B5:B6)</f>
        <v>60.494</v>
      </c>
      <c r="C7" s="23">
        <f>SUM(C5:C6)</f>
        <v>104.161</v>
      </c>
      <c r="D7" s="23">
        <f>SUM(D5:D6)</f>
        <v>153.68</v>
      </c>
      <c r="E7" s="23">
        <f>SUM(E5:E6)</f>
        <v>217.398</v>
      </c>
      <c r="F7" s="23">
        <f>SUM(F5:F6)</f>
        <v>293.659</v>
      </c>
      <c r="G7" s="23">
        <f>SUM(G5:G6)</f>
        <v>498.765</v>
      </c>
      <c r="H7" s="23">
        <f>SUM(H5:H6)</f>
        <v>689.524</v>
      </c>
      <c r="I7" s="23">
        <f>SUM(I5:I6)</f>
        <v>1182.369</v>
      </c>
      <c r="J7" s="1" t="n"/>
      <c r="K7" s="1" t="n"/>
    </row>
    <row r="8">
      <c r="A8" s="2" t="inlineStr">
        <is>
          <t>Operating Income</t>
        </is>
      </c>
      <c r="B8" s="23">
        <f>B4-B7</f>
        <v>-40.329</v>
      </c>
      <c r="C8" s="23">
        <f>C4-C7</f>
        <v>-54.120000000000005</v>
      </c>
      <c r="D8" s="23">
        <f>D4-D7</f>
        <v>-110.697</v>
      </c>
      <c r="E8" s="23">
        <f>E4-E7</f>
        <v>-188.00799999999998</v>
      </c>
      <c r="F8" s="23">
        <f>F4-F7</f>
        <v>-258.279</v>
      </c>
      <c r="G8" s="23">
        <f>G4-G7</f>
        <v>-487.185</v>
      </c>
      <c r="H8" s="23">
        <f>H4-H7</f>
        <v>-689.524</v>
      </c>
      <c r="I8" s="23">
        <f>I4-I7</f>
        <v>-1182.369</v>
      </c>
      <c r="J8" s="1" t="n"/>
      <c r="K8" s="1" t="n"/>
    </row>
    <row r="9">
      <c r="A9" s="19" t="inlineStr">
        <is>
          <t>Interest &amp; Other</t>
        </is>
      </c>
      <c r="B9" s="23" t="n">
        <v>-1.46</v>
      </c>
      <c r="C9" s="23" t="n">
        <v>2.083</v>
      </c>
      <c r="D9" s="23" t="n">
        <v>2.167</v>
      </c>
      <c r="E9" s="23" t="n">
        <v>1.008</v>
      </c>
      <c r="F9" s="23" t="n">
        <v>8.859</v>
      </c>
      <c r="G9" s="23" t="n">
        <v>47.661</v>
      </c>
      <c r="H9" s="23" t="n">
        <v>88.771</v>
      </c>
      <c r="I9" s="23" t="n">
        <v>51.369</v>
      </c>
    </row>
    <row r="10">
      <c r="A10" s="2" t="inlineStr">
        <is>
          <t>Pretax</t>
        </is>
      </c>
      <c r="B10" s="23">
        <f>B8+B9</f>
        <v>-41.789</v>
      </c>
      <c r="C10" s="23">
        <f>C8+C9</f>
        <v>-52.037000000000006</v>
      </c>
      <c r="D10" s="23">
        <f>D8+D9</f>
        <v>-108.53</v>
      </c>
      <c r="E10" s="23">
        <f>E8+E9</f>
        <v>-186.99999999999997</v>
      </c>
      <c r="F10" s="23">
        <f>F8+F9</f>
        <v>-249.42</v>
      </c>
      <c r="G10" s="23">
        <f>G8+G9</f>
        <v>-439.524</v>
      </c>
      <c r="H10" s="23">
        <f>H8+H9</f>
        <v>-600.753</v>
      </c>
      <c r="I10" s="23">
        <f>I8+I9</f>
        <v>-1131.0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-4.373</v>
      </c>
      <c r="D11" s="23" t="n">
        <v>-0.371</v>
      </c>
      <c r="E11" s="23" t="n">
        <v>0</v>
      </c>
      <c r="F11" s="23" t="n">
        <v>-0.42</v>
      </c>
      <c r="G11" s="23" t="n">
        <v>-3.524</v>
      </c>
      <c r="H11" s="23" t="n">
        <v>-0.753</v>
      </c>
      <c r="I11" s="23" t="n">
        <v>0</v>
      </c>
    </row>
    <row r="12">
      <c r="A12" s="2" t="inlineStr">
        <is>
          <t>Net Income</t>
        </is>
      </c>
      <c r="B12" s="23" t="n">
        <v>-41.789</v>
      </c>
      <c r="C12" s="23" t="n">
        <v>-47.664</v>
      </c>
      <c r="D12" s="23" t="n">
        <v>-108.159</v>
      </c>
      <c r="E12" s="23" t="n">
        <v>-187</v>
      </c>
      <c r="F12" s="23" t="n">
        <v>-249</v>
      </c>
      <c r="G12" s="23" t="n">
        <v>-436</v>
      </c>
      <c r="H12" s="23" t="n">
        <v>-600</v>
      </c>
      <c r="I12" s="23" t="n">
        <v>-1131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-0.9089307464764226</v>
      </c>
      <c r="C13" s="11">
        <f>IFERROR(C12/C14,0)</f>
        <v>-0.8595542090456612</v>
      </c>
      <c r="D13" s="11">
        <f>IFERROR(D12/D14,0)</f>
        <v>-1.971042752487517</v>
      </c>
      <c r="E13" s="11">
        <f>IFERROR(E12/E14,0)</f>
        <v>-2.5684696316237674</v>
      </c>
      <c r="F13" s="11">
        <f>IFERROR(F12/F14,0)</f>
        <v>-3.0882954841430292</v>
      </c>
      <c r="G13" s="11">
        <f>IFERROR(G12/G14,0)</f>
        <v>-3.853292090145824</v>
      </c>
      <c r="H13" s="11">
        <f>IFERROR(H12/H14,0)</f>
        <v>-3.5770069990103615</v>
      </c>
      <c r="I13" s="11">
        <f>IFERROR(I12/I14,0)</f>
        <v>-5.948592797521683</v>
      </c>
    </row>
    <row r="14">
      <c r="A14" s="2" t="inlineStr">
        <is>
          <t>Shares</t>
        </is>
      </c>
      <c r="B14" s="23" t="n">
        <v>45.976</v>
      </c>
      <c r="C14" s="23" t="n">
        <v>55.452</v>
      </c>
      <c r="D14" s="23" t="n">
        <v>54.874</v>
      </c>
      <c r="E14" s="23" t="n">
        <v>72.806</v>
      </c>
      <c r="F14" s="23" t="n">
        <v>80.627</v>
      </c>
      <c r="G14" s="23" t="n">
        <v>113.15</v>
      </c>
      <c r="H14" s="23" t="n">
        <v>167.738</v>
      </c>
      <c r="I14" s="23" t="n">
        <v>190.129</v>
      </c>
    </row>
    <row r="15"/>
    <row r="16" customFormat="1" s="4">
      <c r="A16" s="3" t="inlineStr">
        <is>
          <t>Revenue Change</t>
        </is>
      </c>
      <c r="C16" s="15">
        <f>IFERROR(C2/B2-1,"")</f>
        <v>1.4815769898338704</v>
      </c>
      <c r="D16" s="15">
        <f>IFERROR(D2/C2-1,"")</f>
        <v>-0.14104434363821672</v>
      </c>
      <c r="E16" s="15">
        <f>IFERROR(E2/D2-1,"")</f>
        <v>-0.31624130470185885</v>
      </c>
      <c r="F16" s="15">
        <f>IFERROR(F2/E2-1,"")</f>
        <v>0.20381082000680517</v>
      </c>
      <c r="G16" s="15">
        <f>IFERROR(G2/F2-1,"")</f>
        <v>-0.6726964386659129</v>
      </c>
      <c r="H16" s="15">
        <f>IFERROR(H2/G2-1,"")</f>
        <v>-1.0</v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-1.999950409124721</v>
      </c>
      <c r="C18" s="15">
        <f>IFERROR(C8/C2,"")</f>
        <v>-1.0815131592094485</v>
      </c>
      <c r="D18" s="15">
        <f>IFERROR(D8/D2,"")</f>
        <v>-2.575367005560338</v>
      </c>
      <c r="E18" s="15">
        <f>IFERROR(E8/E2,"")</f>
        <v>-6.397005784280367</v>
      </c>
      <c r="F18" s="15">
        <f>IFERROR(F8/F2,"")</f>
        <v>-7.300141322781232</v>
      </c>
      <c r="G18" s="15">
        <f>IFERROR(G8/G2,"")</f>
        <v>-42.07124352331606</v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2026-10-21T01:03:42Z</dcterms:modified>
  <cp:lastModifiedBy>Wang, Eric</cp:lastModifiedBy>
</cp:coreProperties>
</file>