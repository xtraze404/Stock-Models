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Revolution Medicines, Inc.</t>
        </is>
      </c>
      <c r="C2" s="10" t="n"/>
    </row>
    <row r="3">
      <c r="B3" t="inlineStr">
        <is>
          <t>Price</t>
        </is>
      </c>
      <c r="C3" s="11">
        <f>INDEX([1]Pharma!$F$1:$F$1000,MATCH("RVMD",[1]Pharma!$B$1:$B$1000,0))</f>
        <v>196.55</v>
      </c>
      <c r="F3" s="1" t="n"/>
    </row>
    <row r="4">
      <c r="B4" t="inlineStr">
        <is>
          <t>Shares</t>
        </is>
      </c>
      <c r="C4" s="21" t="n">
        <v>214.336418</v>
      </c>
      <c r="F4" s="1" t="n"/>
    </row>
    <row r="5">
      <c r="B5" t="inlineStr">
        <is>
          <t>Market Cap.</t>
        </is>
      </c>
      <c r="C5" s="13">
        <f>C3*C4</f>
        <v>42127.8229579</v>
      </c>
      <c r="F5" s="1" t="n"/>
    </row>
    <row r="6"/>
    <row r="7">
      <c r="B7" t="inlineStr">
        <is>
          <t>Cash</t>
        </is>
      </c>
      <c r="C7" s="21">
        <f>815.435+3122.534</f>
        <v>3937.969</v>
      </c>
    </row>
    <row r="8">
      <c r="B8" t="inlineStr">
        <is>
          <t>Debt</t>
        </is>
      </c>
      <c r="C8" s="21" t="n">
        <v>487.434</v>
      </c>
    </row>
    <row r="9">
      <c r="B9" t="inlineStr">
        <is>
          <t>Enterprise V.</t>
        </is>
      </c>
      <c r="C9" s="13">
        <f>C5-C7+C8</f>
        <v>38677.28795790001</v>
      </c>
    </row>
    <row r="10"/>
    <row r="11">
      <c r="B11" s="14" t="inlineStr">
        <is>
          <t>rNPV / Share</t>
        </is>
      </c>
      <c r="C11" s="11">
        <f>NPV!B27</f>
        <v>7.0773885152687885</v>
      </c>
    </row>
    <row r="12">
      <c r="B12" s="14" t="inlineStr">
        <is>
          <t>Upside</t>
        </is>
      </c>
      <c r="C12" s="15">
        <f>IFERROR(C11/C3-1,"")</f>
        <v>-0.9639919180093168</v>
      </c>
    </row>
    <row r="13">
      <c r="B13" s="14" t="inlineStr">
        <is>
          <t>Cash / Share</t>
        </is>
      </c>
      <c r="C13" s="11">
        <f>IFERROR((C7-C8)/C4,"")</f>
        <v>16.098687438174878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-1223.033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2.8212934565134384</v>
      </c>
    </row>
    <row r="19">
      <c r="B19" s="14" t="inlineStr">
        <is>
          <t>Implied Pipeline Value</t>
        </is>
      </c>
      <c r="C19" s="13">
        <f>C9</f>
        <v>38677.28795790001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20.165</v>
      </c>
      <c r="C2" s="23" t="n">
        <v>50.041</v>
      </c>
      <c r="D2" s="23" t="n">
        <v>42.983</v>
      </c>
      <c r="E2" s="23" t="n">
        <v>29.39</v>
      </c>
      <c r="F2" s="23" t="n">
        <v>35.38</v>
      </c>
      <c r="G2" s="23" t="n">
        <v>11.58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20.165</v>
      </c>
      <c r="C4" s="23">
        <f>C2-C3</f>
        <v>50.041</v>
      </c>
      <c r="D4" s="23">
        <f>D2-D3</f>
        <v>42.983</v>
      </c>
      <c r="E4" s="23">
        <f>E2-E3</f>
        <v>29.39</v>
      </c>
      <c r="F4" s="23">
        <f>F2-F3</f>
        <v>35.38</v>
      </c>
      <c r="G4" s="23">
        <f>G2-G3</f>
        <v>11.58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51.084</v>
      </c>
      <c r="C5" s="23" t="n">
        <v>91.755</v>
      </c>
      <c r="D5" s="23" t="n">
        <v>132.252</v>
      </c>
      <c r="E5" s="23" t="n">
        <v>186.948</v>
      </c>
      <c r="F5" s="23" t="n">
        <v>253.073</v>
      </c>
      <c r="G5" s="23" t="n">
        <v>423.144</v>
      </c>
      <c r="H5" s="23" t="n">
        <v>592.225</v>
      </c>
      <c r="I5" s="23" t="n">
        <v>987.332</v>
      </c>
      <c r="J5" s="1" t="n"/>
      <c r="K5" s="1" t="n"/>
    </row>
    <row r="6">
      <c r="A6" s="19" t="inlineStr">
        <is>
          <t>SG&amp;A &amp; Other</t>
        </is>
      </c>
      <c r="B6" s="23" t="n">
        <v>9.41</v>
      </c>
      <c r="C6" s="23" t="n">
        <v>12.406</v>
      </c>
      <c r="D6" s="23" t="n">
        <v>21.428</v>
      </c>
      <c r="E6" s="23" t="n">
        <v>30.45</v>
      </c>
      <c r="F6" s="23" t="n">
        <v>40.586</v>
      </c>
      <c r="G6" s="23" t="n">
        <v>75.621</v>
      </c>
      <c r="H6" s="23" t="n">
        <v>97.29900000000001</v>
      </c>
      <c r="I6" s="23" t="n">
        <v>195.037</v>
      </c>
      <c r="J6" s="1" t="n"/>
      <c r="K6" s="1" t="n"/>
    </row>
    <row r="7">
      <c r="A7" s="2" t="inlineStr">
        <is>
          <t>Operating Expense</t>
        </is>
      </c>
      <c r="B7" s="23">
        <f>SUM(B5:B6)</f>
        <v>60.494</v>
      </c>
      <c r="C7" s="23">
        <f>SUM(C5:C6)</f>
        <v>104.161</v>
      </c>
      <c r="D7" s="23">
        <f>SUM(D5:D6)</f>
        <v>153.68</v>
      </c>
      <c r="E7" s="23">
        <f>SUM(E5:E6)</f>
        <v>217.398</v>
      </c>
      <c r="F7" s="23">
        <f>SUM(F5:F6)</f>
        <v>293.659</v>
      </c>
      <c r="G7" s="23">
        <f>SUM(G5:G6)</f>
        <v>498.765</v>
      </c>
      <c r="H7" s="23">
        <f>SUM(H5:H6)</f>
        <v>689.524</v>
      </c>
      <c r="I7" s="23">
        <f>SUM(I5:I6)</f>
        <v>1182.369</v>
      </c>
      <c r="J7" s="1" t="n"/>
      <c r="K7" s="1" t="n"/>
    </row>
    <row r="8">
      <c r="A8" s="2" t="inlineStr">
        <is>
          <t>Operating Income</t>
        </is>
      </c>
      <c r="B8" s="23">
        <f>B4-B7</f>
        <v>-40.329</v>
      </c>
      <c r="C8" s="23">
        <f>C4-C7</f>
        <v>-54.120000000000005</v>
      </c>
      <c r="D8" s="23">
        <f>D4-D7</f>
        <v>-110.697</v>
      </c>
      <c r="E8" s="23">
        <f>E4-E7</f>
        <v>-188.00799999999998</v>
      </c>
      <c r="F8" s="23">
        <f>F4-F7</f>
        <v>-258.279</v>
      </c>
      <c r="G8" s="23">
        <f>G4-G7</f>
        <v>-487.185</v>
      </c>
      <c r="H8" s="23">
        <f>H4-H7</f>
        <v>-689.524</v>
      </c>
      <c r="I8" s="23">
        <f>I4-I7</f>
        <v>-1182.369</v>
      </c>
      <c r="J8" s="1" t="n"/>
      <c r="K8" s="1" t="n"/>
    </row>
    <row r="9">
      <c r="A9" s="19" t="inlineStr">
        <is>
          <t>Interest &amp; Other</t>
        </is>
      </c>
      <c r="B9" s="23" t="n">
        <v>-1.46</v>
      </c>
      <c r="C9" s="23" t="n">
        <v>2.083</v>
      </c>
      <c r="D9" s="23" t="n">
        <v>2.167</v>
      </c>
      <c r="E9" s="23" t="n">
        <v>1.008</v>
      </c>
      <c r="F9" s="23" t="n">
        <v>8.859</v>
      </c>
      <c r="G9" s="23" t="n">
        <v>47.661</v>
      </c>
      <c r="H9" s="23" t="n">
        <v>88.771</v>
      </c>
      <c r="I9" s="23" t="n">
        <v>51.369</v>
      </c>
    </row>
    <row r="10">
      <c r="A10" s="2" t="inlineStr">
        <is>
          <t>Pretax</t>
        </is>
      </c>
      <c r="B10" s="23">
        <f>B8+B9</f>
        <v>-41.789</v>
      </c>
      <c r="C10" s="23">
        <f>C8+C9</f>
        <v>-52.037000000000006</v>
      </c>
      <c r="D10" s="23">
        <f>D8+D9</f>
        <v>-108.53</v>
      </c>
      <c r="E10" s="23">
        <f>E8+E9</f>
        <v>-186.99999999999997</v>
      </c>
      <c r="F10" s="23">
        <f>F8+F9</f>
        <v>-249.42</v>
      </c>
      <c r="G10" s="23">
        <f>G8+G9</f>
        <v>-439.524</v>
      </c>
      <c r="H10" s="23">
        <f>H8+H9</f>
        <v>-600.753</v>
      </c>
      <c r="I10" s="23">
        <f>I8+I9</f>
        <v>-1131.0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-4.373</v>
      </c>
      <c r="D11" s="23" t="n">
        <v>-0.371</v>
      </c>
      <c r="E11" s="23" t="n">
        <v>0</v>
      </c>
      <c r="F11" s="23" t="n">
        <v>-0.42</v>
      </c>
      <c r="G11" s="23" t="n">
        <v>-3.524</v>
      </c>
      <c r="H11" s="23" t="n">
        <v>-0.753</v>
      </c>
      <c r="I11" s="23" t="n">
        <v>0</v>
      </c>
    </row>
    <row r="12">
      <c r="A12" s="2" t="inlineStr">
        <is>
          <t>Net Income</t>
        </is>
      </c>
      <c r="B12" s="23" t="n">
        <v>-41.789</v>
      </c>
      <c r="C12" s="23" t="n">
        <v>-47.664</v>
      </c>
      <c r="D12" s="23" t="n">
        <v>-108.159</v>
      </c>
      <c r="E12" s="23" t="n">
        <v>-187</v>
      </c>
      <c r="F12" s="23" t="n">
        <v>-249</v>
      </c>
      <c r="G12" s="23" t="n">
        <v>-436</v>
      </c>
      <c r="H12" s="23" t="n">
        <v>-600</v>
      </c>
      <c r="I12" s="23" t="n">
        <v>-1131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-0.9089307464764226</v>
      </c>
      <c r="C13" s="11">
        <f>IFERROR(C12/C14,0)</f>
        <v>-0.8595542090456612</v>
      </c>
      <c r="D13" s="11">
        <f>IFERROR(D12/D14,0)</f>
        <v>-1.971042752487517</v>
      </c>
      <c r="E13" s="11">
        <f>IFERROR(E12/E14,0)</f>
        <v>-2.5684696316237674</v>
      </c>
      <c r="F13" s="11">
        <f>IFERROR(F12/F14,0)</f>
        <v>-3.0882954841430292</v>
      </c>
      <c r="G13" s="11">
        <f>IFERROR(G12/G14,0)</f>
        <v>-3.853292090145824</v>
      </c>
      <c r="H13" s="11">
        <f>IFERROR(H12/H14,0)</f>
        <v>-3.5770069990103615</v>
      </c>
      <c r="I13" s="11">
        <f>IFERROR(I12/I14,0)</f>
        <v>-5.948592797521683</v>
      </c>
    </row>
    <row r="14">
      <c r="A14" s="2" t="inlineStr">
        <is>
          <t>Shares</t>
        </is>
      </c>
      <c r="B14" s="23" t="n">
        <v>45.976</v>
      </c>
      <c r="C14" s="23" t="n">
        <v>55.452</v>
      </c>
      <c r="D14" s="23" t="n">
        <v>54.874</v>
      </c>
      <c r="E14" s="23" t="n">
        <v>72.806</v>
      </c>
      <c r="F14" s="23" t="n">
        <v>80.627</v>
      </c>
      <c r="G14" s="23" t="n">
        <v>113.15</v>
      </c>
      <c r="H14" s="23" t="n">
        <v>167.738</v>
      </c>
      <c r="I14" s="23" t="n">
        <v>190.129</v>
      </c>
    </row>
    <row r="15"/>
    <row r="16" customFormat="1" s="4">
      <c r="A16" s="3" t="inlineStr">
        <is>
          <t>Revenue Change</t>
        </is>
      </c>
      <c r="C16" s="15">
        <f>IFERROR(C2/B2-1,"")</f>
        <v>1.4815769898338704</v>
      </c>
      <c r="D16" s="15">
        <f>IFERROR(D2/C2-1,"")</f>
        <v>-0.14104434363821672</v>
      </c>
      <c r="E16" s="15">
        <f>IFERROR(E2/D2-1,"")</f>
        <v>-0.31624130470185885</v>
      </c>
      <c r="F16" s="15">
        <f>IFERROR(F2/E2-1,"")</f>
        <v>0.20381082000680517</v>
      </c>
      <c r="G16" s="15">
        <f>IFERROR(G2/F2-1,"")</f>
        <v>-0.6726964386659129</v>
      </c>
      <c r="H16" s="15">
        <f>IFERROR(H2/G2-1,"")</f>
        <v>-1.0</v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-1.999950409124721</v>
      </c>
      <c r="C18" s="15">
        <f>IFERROR(C8/C2,"")</f>
        <v>-1.0815131592094485</v>
      </c>
      <c r="D18" s="15">
        <f>IFERROR(D8/D2,"")</f>
        <v>-2.575367005560338</v>
      </c>
      <c r="E18" s="15">
        <f>IFERROR(E8/E2,"")</f>
        <v>-6.397005784280367</v>
      </c>
      <c r="F18" s="15">
        <f>IFERROR(F8/F2,"")</f>
        <v>-7.300141322781232</v>
      </c>
      <c r="G18" s="15">
        <f>IFERROR(G8/G2,"")</f>
        <v>-42.07124352331606</v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Revolution Medicines,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0.7088014461760002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1627.249</v>
      </c>
    </row>
    <row r="19">
      <c r="A19" s="14" t="inlineStr">
        <is>
          <t>Years of full burn (until the first launch, max 4)</t>
        </is>
      </c>
      <c r="B19" s="39">
        <f>MIN(4,MAX(1,MIN(Pipeline!I4:I6)-2026))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2800.6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-1933.5928968429496</v>
      </c>
      <c r="C29" s="42">
        <f>NPV!B25</f>
        <v>1516.9421031570505</v>
      </c>
      <c r="D29" s="43">
        <f>NPV!B27</f>
        <v>7.0773885152687885</v>
      </c>
      <c r="E29" s="44">
        <f>NPV!B29</f>
        <v>-0.9639919180093168</v>
      </c>
    </row>
    <row r="30">
      <c r="A30" s="45" t="n">
        <v>1</v>
      </c>
      <c r="B30" s="46">
        <f t="dataTable" ref="B30:E32" r1="B4"/>
        <v>-3463.6130205350064</v>
      </c>
      <c r="C30" s="46">
        <v>-13.078020535006374</v>
      </c>
      <c r="D30" s="47">
        <v>-0.061016324976590645</v>
      </c>
      <c r="E30" s="48">
        <v>-1.00031043665722</v>
      </c>
    </row>
    <row r="31">
      <c r="A31" s="45" t="n">
        <v>2</v>
      </c>
      <c r="B31" s="46">
        <v>-1933.5928968429496</v>
      </c>
      <c r="C31" s="46">
        <v>1516.9421031570505</v>
      </c>
      <c r="D31" s="47">
        <v>7.0773885152687885</v>
      </c>
      <c r="E31" s="48">
        <v>-0.9639919180093168</v>
      </c>
    </row>
    <row r="32">
      <c r="A32" s="45" t="n">
        <v>3</v>
      </c>
      <c r="B32" s="46">
        <v>463.08446912256187</v>
      </c>
      <c r="C32" s="46">
        <v>3913.619469122562</v>
      </c>
      <c r="D32" s="47">
        <v>18.259237070587613</v>
      </c>
      <c r="E32" s="48">
        <v>-0.9071013122839603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7.0773885152687885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-1.6665404067819016</v>
      </c>
      <c r="C37" s="47">
        <v>0.8356867502457367</v>
      </c>
      <c r="D37" s="47">
        <v>3.3379139072733732</v>
      </c>
      <c r="E37" s="47">
        <v>8.342368221328645</v>
      </c>
      <c r="F37" s="47">
        <v>12.970427630140827</v>
      </c>
    </row>
    <row r="38">
      <c r="A38" s="50" t="n">
        <v>0.8</v>
      </c>
      <c r="B38" s="47">
        <v>-1.5806620412696946</v>
      </c>
      <c r="C38" s="47">
        <v>1.7556408347671566</v>
      </c>
      <c r="D38" s="47">
        <v>5.091943710804002</v>
      </c>
      <c r="E38" s="47">
        <v>11.55838586882302</v>
      </c>
      <c r="F38" s="47">
        <v>17.287964053468034</v>
      </c>
    </row>
    <row r="39">
      <c r="A39" s="50" t="n">
        <v>1</v>
      </c>
      <c r="B39" s="47">
        <v>-1.2633686748233341</v>
      </c>
      <c r="C39" s="47">
        <v>2.9070099202227278</v>
      </c>
      <c r="D39" s="47">
        <v>7.0773885152687885</v>
      </c>
      <c r="E39" s="47">
        <v>14.691512157448825</v>
      </c>
      <c r="F39" s="47">
        <v>21.711746917412334</v>
      </c>
    </row>
    <row r="40">
      <c r="A40" s="50" t="n">
        <v>1.2</v>
      </c>
      <c r="B40" s="47">
        <v>-0.723664499208831</v>
      </c>
      <c r="C40" s="47">
        <v>4.28078981484644</v>
      </c>
      <c r="D40" s="47">
        <v>9.285244128901715</v>
      </c>
      <c r="E40" s="47">
        <v>17.9530897757546</v>
      </c>
      <c r="F40" s="47">
        <v>26.255924736715823</v>
      </c>
    </row>
    <row r="41">
      <c r="A41" s="50" t="n">
        <v>1.4</v>
      </c>
      <c r="B41" s="47">
        <v>0.029446293807783738</v>
      </c>
      <c r="C41" s="47">
        <v>5.867976326872267</v>
      </c>
      <c r="D41" s="47">
        <v>11.437158603615384</v>
      </c>
      <c r="E41" s="47">
        <v>21.347034802055212</v>
      </c>
      <c r="F41" s="47">
        <v>30.93445434004201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Revolution Medicines,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Lung cancer</t>
        </is>
      </c>
      <c r="C4" s="14" t="inlineStr">
        <is>
          <t>RMC-6236, RMC-6291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1888.313405655788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131.64000000000001</v>
      </c>
      <c r="Q4" s="23">
        <f>IF(Q$3&lt;$I4,0,$G4*Assumptions!$E$11*INDEX(Assumptions!$B$24:$G$24,MIN(6,Q$3-$I4+1))*IF(Q$3&gt;$J4,(1-Assumptions!$B$26)^(Q$3-$J4),1)*IF($H4&gt;=1,1,MIN(0.97,$H4*Assumptions!$E$12)))</f>
        <v>329.1</v>
      </c>
      <c r="R4" s="23">
        <f>IF(R$3&lt;$I4,0,$G4*Assumptions!$E$11*INDEX(Assumptions!$B$24:$G$24,MIN(6,R$3-$I4+1))*IF(R$3&gt;$J4,(1-Assumptions!$B$26)^(R$3-$J4),1)*IF($H4&gt;=1,1,MIN(0.97,$H4*Assumptions!$E$12)))</f>
        <v>592.38</v>
      </c>
      <c r="S4" s="23">
        <f>IF(S$3&lt;$I4,0,$G4*Assumptions!$E$11*INDEX(Assumptions!$B$24:$G$24,MIN(6,S$3-$I4+1))*IF(S$3&gt;$J4,(1-Assumptions!$B$26)^(S$3-$J4),1)*IF($H4&gt;=1,1,MIN(0.97,$H4*Assumptions!$E$12)))</f>
        <v>855.6600000000001</v>
      </c>
      <c r="T4" s="23">
        <f>IF(T$3&lt;$I4,0,$G4*Assumptions!$E$11*INDEX(Assumptions!$B$24:$G$24,MIN(6,T$3-$I4+1))*IF(T$3&gt;$J4,(1-Assumptions!$B$26)^(T$3-$J4),1)*IF($H4&gt;=1,1,MIN(0.97,$H4*Assumptions!$E$12)))</f>
        <v>1118.94</v>
      </c>
      <c r="U4" s="23">
        <f>IF(U$3&lt;$I4,0,$G4*Assumptions!$E$11*INDEX(Assumptions!$B$24:$G$24,MIN(6,U$3-$I4+1))*IF(U$3&gt;$J4,(1-Assumptions!$B$26)^(U$3-$J4),1)*IF($H4&gt;=1,1,MIN(0.97,$H4*Assumptions!$E$12)))</f>
        <v>1316.4</v>
      </c>
      <c r="V4" s="23">
        <f>IF(V$3&lt;$I4,0,$G4*Assumptions!$E$11*INDEX(Assumptions!$B$24:$G$24,MIN(6,V$3-$I4+1))*IF(V$3&gt;$J4,(1-Assumptions!$B$26)^(V$3-$J4),1)*IF($H4&gt;=1,1,MIN(0.97,$H4*Assumptions!$E$12)))</f>
        <v>1316.4</v>
      </c>
      <c r="W4" s="23">
        <f>IF(W$3&lt;$I4,0,$G4*Assumptions!$E$11*INDEX(Assumptions!$B$24:$G$24,MIN(6,W$3-$I4+1))*IF(W$3&gt;$J4,(1-Assumptions!$B$26)^(W$3-$J4),1)*IF($H4&gt;=1,1,MIN(0.97,$H4*Assumptions!$E$12)))</f>
        <v>1316.4</v>
      </c>
      <c r="X4" s="23">
        <f>IF(X$3&lt;$I4,0,$G4*Assumptions!$E$11*INDEX(Assumptions!$B$24:$G$24,MIN(6,X$3-$I4+1))*IF(X$3&gt;$J4,(1-Assumptions!$B$26)^(X$3-$J4),1)*IF($H4&gt;=1,1,MIN(0.97,$H4*Assumptions!$E$12)))</f>
        <v>1316.4</v>
      </c>
      <c r="Y4" s="23">
        <f>IF(Y$3&lt;$I4,0,$G4*Assumptions!$E$11*INDEX(Assumptions!$B$24:$G$24,MIN(6,Y$3-$I4+1))*IF(Y$3&gt;$J4,(1-Assumptions!$B$26)^(Y$3-$J4),1)*IF($H4&gt;=1,1,MIN(0.97,$H4*Assumptions!$E$12)))</f>
        <v>1316.4</v>
      </c>
      <c r="Z4" s="23">
        <f>IF(Z$3&lt;$I4,0,$G4*Assumptions!$E$11*INDEX(Assumptions!$B$24:$G$24,MIN(6,Z$3-$I4+1))*IF(Z$3&gt;$J4,(1-Assumptions!$B$26)^(Z$3-$J4),1)*IF($H4&gt;=1,1,MIN(0.97,$H4*Assumptions!$E$12)))</f>
        <v>1316.4</v>
      </c>
      <c r="AA4" s="23">
        <f>IF(AA$3&lt;$I4,0,$G4*Assumptions!$E$11*INDEX(Assumptions!$B$24:$G$24,MIN(6,AA$3-$I4+1))*IF(AA$3&gt;$J4,(1-Assumptions!$B$26)^(AA$3-$J4),1)*IF($H4&gt;=1,1,MIN(0.97,$H4*Assumptions!$E$12)))</f>
        <v>1316.4</v>
      </c>
      <c r="AB4" s="23">
        <f>IF(AB$3&lt;$I4,0,$G4*Assumptions!$E$11*INDEX(Assumptions!$B$24:$G$24,MIN(6,AB$3-$I4+1))*IF(AB$3&gt;$J4,(1-Assumptions!$B$26)^(AB$3-$J4),1)*IF($H4&gt;=1,1,MIN(0.97,$H4*Assumptions!$E$12)))</f>
        <v>1316.4</v>
      </c>
      <c r="AC4" s="23">
        <f>IF(AC$3&lt;$I4,0,$G4*Assumptions!$E$11*INDEX(Assumptions!$B$24:$G$24,MIN(6,AC$3-$I4+1))*IF(AC$3&gt;$J4,(1-Assumptions!$B$26)^(AC$3-$J4),1)*IF($H4&gt;=1,1,MIN(0.97,$H4*Assumptions!$E$12)))</f>
        <v>658.2</v>
      </c>
      <c r="AD4" s="23">
        <f>IF(AD$3&lt;$I4,0,$G4*Assumptions!$E$11*INDEX(Assumptions!$B$24:$G$24,MIN(6,AD$3-$I4+1))*IF(AD$3&gt;$J4,(1-Assumptions!$B$26)^(AD$3-$J4),1)*IF($H4&gt;=1,1,MIN(0.97,$H4*Assumptions!$E$12)))</f>
        <v>329.1</v>
      </c>
      <c r="AE4" s="23">
        <f>IF(AE$3&lt;$I4,0,$G4*Assumptions!$E$11*INDEX(Assumptions!$B$24:$G$24,MIN(6,AE$3-$I4+1))*IF(AE$3&gt;$J4,(1-Assumptions!$B$26)^(AE$3-$J4),1)*IF($H4&gt;=1,1,MIN(0.97,$H4*Assumptions!$E$12)))</f>
        <v>164.55</v>
      </c>
      <c r="AF4" s="23">
        <f>IF(AF$3&lt;$I4,0,$G4*Assumptions!$E$11*INDEX(Assumptions!$B$24:$G$24,MIN(6,AF$3-$I4+1))*IF(AF$3&gt;$J4,(1-Assumptions!$B$26)^(AF$3-$J4),1)*IF($H4&gt;=1,1,MIN(0.97,$H4*Assumptions!$E$12)))</f>
        <v>82.275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Pancreatic cancer</t>
        </is>
      </c>
      <c r="C5" s="14" t="inlineStr">
        <is>
          <t>daraxonrasib, RMC-6236</t>
        </is>
      </c>
      <c r="D5" s="14" t="inlineStr">
        <is>
          <t>Phase 3</t>
        </is>
      </c>
      <c r="E5" s="14" t="inlineStr">
        <is>
          <t>Oncology / area</t>
        </is>
      </c>
      <c r="F5" s="14" t="inlineStr">
        <is>
          <t>Owned</t>
        </is>
      </c>
      <c r="G5" s="40" t="n">
        <v>2500</v>
      </c>
      <c r="H5" s="27" t="n">
        <v>0.4388</v>
      </c>
      <c r="I5" s="26" t="n">
        <v>2029</v>
      </c>
      <c r="J5" s="39">
        <f>I5+Assumptions!$B$25</f>
        <v>2041.0</v>
      </c>
      <c r="K5" s="53">
        <f>Assumptions!$E$13</f>
        <v>0.4</v>
      </c>
      <c r="L5" s="23">
        <f>K5*SUMPRODUCT(M5:AF5,NPV!$C$15:$V$15)</f>
        <v>1573.5945047131565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109.7</v>
      </c>
      <c r="Q5" s="23">
        <f>IF(Q$3&lt;$I5,0,$G5*Assumptions!$E$11*INDEX(Assumptions!$B$24:$G$24,MIN(6,Q$3-$I5+1))*IF(Q$3&gt;$J5,(1-Assumptions!$B$26)^(Q$3-$J5),1)*IF($H5&gt;=1,1,MIN(0.97,$H5*Assumptions!$E$12)))</f>
        <v>274.25</v>
      </c>
      <c r="R5" s="23">
        <f>IF(R$3&lt;$I5,0,$G5*Assumptions!$E$11*INDEX(Assumptions!$B$24:$G$24,MIN(6,R$3-$I5+1))*IF(R$3&gt;$J5,(1-Assumptions!$B$26)^(R$3-$J5),1)*IF($H5&gt;=1,1,MIN(0.97,$H5*Assumptions!$E$12)))</f>
        <v>493.65000000000003</v>
      </c>
      <c r="S5" s="23">
        <f>IF(S$3&lt;$I5,0,$G5*Assumptions!$E$11*INDEX(Assumptions!$B$24:$G$24,MIN(6,S$3-$I5+1))*IF(S$3&gt;$J5,(1-Assumptions!$B$26)^(S$3-$J5),1)*IF($H5&gt;=1,1,MIN(0.97,$H5*Assumptions!$E$12)))</f>
        <v>713.0500000000001</v>
      </c>
      <c r="T5" s="23">
        <f>IF(T$3&lt;$I5,0,$G5*Assumptions!$E$11*INDEX(Assumptions!$B$24:$G$24,MIN(6,T$3-$I5+1))*IF(T$3&gt;$J5,(1-Assumptions!$B$26)^(T$3-$J5),1)*IF($H5&gt;=1,1,MIN(0.97,$H5*Assumptions!$E$12)))</f>
        <v>932.45</v>
      </c>
      <c r="U5" s="23">
        <f>IF(U$3&lt;$I5,0,$G5*Assumptions!$E$11*INDEX(Assumptions!$B$24:$G$24,MIN(6,U$3-$I5+1))*IF(U$3&gt;$J5,(1-Assumptions!$B$26)^(U$3-$J5),1)*IF($H5&gt;=1,1,MIN(0.97,$H5*Assumptions!$E$12)))</f>
        <v>1097.0</v>
      </c>
      <c r="V5" s="23">
        <f>IF(V$3&lt;$I5,0,$G5*Assumptions!$E$11*INDEX(Assumptions!$B$24:$G$24,MIN(6,V$3-$I5+1))*IF(V$3&gt;$J5,(1-Assumptions!$B$26)^(V$3-$J5),1)*IF($H5&gt;=1,1,MIN(0.97,$H5*Assumptions!$E$12)))</f>
        <v>1097.0</v>
      </c>
      <c r="W5" s="23">
        <f>IF(W$3&lt;$I5,0,$G5*Assumptions!$E$11*INDEX(Assumptions!$B$24:$G$24,MIN(6,W$3-$I5+1))*IF(W$3&gt;$J5,(1-Assumptions!$B$26)^(W$3-$J5),1)*IF($H5&gt;=1,1,MIN(0.97,$H5*Assumptions!$E$12)))</f>
        <v>1097.0</v>
      </c>
      <c r="X5" s="23">
        <f>IF(X$3&lt;$I5,0,$G5*Assumptions!$E$11*INDEX(Assumptions!$B$24:$G$24,MIN(6,X$3-$I5+1))*IF(X$3&gt;$J5,(1-Assumptions!$B$26)^(X$3-$J5),1)*IF($H5&gt;=1,1,MIN(0.97,$H5*Assumptions!$E$12)))</f>
        <v>1097.0</v>
      </c>
      <c r="Y5" s="23">
        <f>IF(Y$3&lt;$I5,0,$G5*Assumptions!$E$11*INDEX(Assumptions!$B$24:$G$24,MIN(6,Y$3-$I5+1))*IF(Y$3&gt;$J5,(1-Assumptions!$B$26)^(Y$3-$J5),1)*IF($H5&gt;=1,1,MIN(0.97,$H5*Assumptions!$E$12)))</f>
        <v>1097.0</v>
      </c>
      <c r="Z5" s="23">
        <f>IF(Z$3&lt;$I5,0,$G5*Assumptions!$E$11*INDEX(Assumptions!$B$24:$G$24,MIN(6,Z$3-$I5+1))*IF(Z$3&gt;$J5,(1-Assumptions!$B$26)^(Z$3-$J5),1)*IF($H5&gt;=1,1,MIN(0.97,$H5*Assumptions!$E$12)))</f>
        <v>1097.0</v>
      </c>
      <c r="AA5" s="23">
        <f>IF(AA$3&lt;$I5,0,$G5*Assumptions!$E$11*INDEX(Assumptions!$B$24:$G$24,MIN(6,AA$3-$I5+1))*IF(AA$3&gt;$J5,(1-Assumptions!$B$26)^(AA$3-$J5),1)*IF($H5&gt;=1,1,MIN(0.97,$H5*Assumptions!$E$12)))</f>
        <v>1097.0</v>
      </c>
      <c r="AB5" s="23">
        <f>IF(AB$3&lt;$I5,0,$G5*Assumptions!$E$11*INDEX(Assumptions!$B$24:$G$24,MIN(6,AB$3-$I5+1))*IF(AB$3&gt;$J5,(1-Assumptions!$B$26)^(AB$3-$J5),1)*IF($H5&gt;=1,1,MIN(0.97,$H5*Assumptions!$E$12)))</f>
        <v>1097.0</v>
      </c>
      <c r="AC5" s="23">
        <f>IF(AC$3&lt;$I5,0,$G5*Assumptions!$E$11*INDEX(Assumptions!$B$24:$G$24,MIN(6,AC$3-$I5+1))*IF(AC$3&gt;$J5,(1-Assumptions!$B$26)^(AC$3-$J5),1)*IF($H5&gt;=1,1,MIN(0.97,$H5*Assumptions!$E$12)))</f>
        <v>548.5</v>
      </c>
      <c r="AD5" s="23">
        <f>IF(AD$3&lt;$I5,0,$G5*Assumptions!$E$11*INDEX(Assumptions!$B$24:$G$24,MIN(6,AD$3-$I5+1))*IF(AD$3&gt;$J5,(1-Assumptions!$B$26)^(AD$3-$J5),1)*IF($H5&gt;=1,1,MIN(0.97,$H5*Assumptions!$E$12)))</f>
        <v>274.25</v>
      </c>
      <c r="AE5" s="23">
        <f>IF(AE$3&lt;$I5,0,$G5*Assumptions!$E$11*INDEX(Assumptions!$B$24:$G$24,MIN(6,AE$3-$I5+1))*IF(AE$3&gt;$J5,(1-Assumptions!$B$26)^(AE$3-$J5),1)*IF($H5&gt;=1,1,MIN(0.97,$H5*Assumptions!$E$12)))</f>
        <v>137.125</v>
      </c>
      <c r="AF5" s="23">
        <f>IF(AF$3&lt;$I5,0,$G5*Assumptions!$E$11*INDEX(Assumptions!$B$24:$G$24,MIN(6,AF$3-$I5+1))*IF(AF$3&gt;$J5,(1-Assumptions!$B$26)^(AF$3-$J5),1)*IF($H5&gt;=1,1,MIN(0.97,$H5*Assumptions!$E$12)))</f>
        <v>68.5625</v>
      </c>
      <c r="AG5" s="35">
        <f>IF(F5="Owned",1-IF(H5&gt;=1,1,MIN(0.97,H5*Assumptions!$E$12)),1)</f>
        <v>0.5611999999999999</v>
      </c>
    </row>
    <row r="6">
      <c r="A6" s="39" t="n">
        <v>3</v>
      </c>
      <c r="B6" s="14" t="inlineStr">
        <is>
          <t>Solid tumors (basket)</t>
        </is>
      </c>
      <c r="C6" s="14" t="inlineStr">
        <is>
          <t>Daraxonrasib, Elironrasib</t>
        </is>
      </c>
      <c r="D6" s="14" t="inlineStr">
        <is>
          <t>Phase 1/2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1500</v>
      </c>
      <c r="H6" s="27" t="n">
        <v>0.07539999999999999</v>
      </c>
      <c r="I6" s="26" t="n">
        <v>2032</v>
      </c>
      <c r="J6" s="39">
        <f>I6+Assumptions!$B$25</f>
        <v>2044.0</v>
      </c>
      <c r="K6" s="53">
        <f>Assumptions!$E$13</f>
        <v>0.4</v>
      </c>
      <c r="L6" s="23">
        <f>K6*SUMPRODUCT(M6:AF6,NPV!$C$15:$V$15)</f>
        <v>113.54812869523724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11.309999999999999</v>
      </c>
      <c r="T6" s="23">
        <f>IF(T$3&lt;$I6,0,$G6*Assumptions!$E$11*INDEX(Assumptions!$B$24:$G$24,MIN(6,T$3-$I6+1))*IF(T$3&gt;$J6,(1-Assumptions!$B$26)^(T$3-$J6),1)*IF($H6&gt;=1,1,MIN(0.97,$H6*Assumptions!$E$12)))</f>
        <v>28.275</v>
      </c>
      <c r="U6" s="23">
        <f>IF(U$3&lt;$I6,0,$G6*Assumptions!$E$11*INDEX(Assumptions!$B$24:$G$24,MIN(6,U$3-$I6+1))*IF(U$3&gt;$J6,(1-Assumptions!$B$26)^(U$3-$J6),1)*IF($H6&gt;=1,1,MIN(0.97,$H6*Assumptions!$E$12)))</f>
        <v>50.894999999999996</v>
      </c>
      <c r="V6" s="23">
        <f>IF(V$3&lt;$I6,0,$G6*Assumptions!$E$11*INDEX(Assumptions!$B$24:$G$24,MIN(6,V$3-$I6+1))*IF(V$3&gt;$J6,(1-Assumptions!$B$26)^(V$3-$J6),1)*IF($H6&gt;=1,1,MIN(0.97,$H6*Assumptions!$E$12)))</f>
        <v>73.515</v>
      </c>
      <c r="W6" s="23">
        <f>IF(W$3&lt;$I6,0,$G6*Assumptions!$E$11*INDEX(Assumptions!$B$24:$G$24,MIN(6,W$3-$I6+1))*IF(W$3&gt;$J6,(1-Assumptions!$B$26)^(W$3-$J6),1)*IF($H6&gt;=1,1,MIN(0.97,$H6*Assumptions!$E$12)))</f>
        <v>96.13499999999999</v>
      </c>
      <c r="X6" s="23">
        <f>IF(X$3&lt;$I6,0,$G6*Assumptions!$E$11*INDEX(Assumptions!$B$24:$G$24,MIN(6,X$3-$I6+1))*IF(X$3&gt;$J6,(1-Assumptions!$B$26)^(X$3-$J6),1)*IF($H6&gt;=1,1,MIN(0.97,$H6*Assumptions!$E$12)))</f>
        <v>113.1</v>
      </c>
      <c r="Y6" s="23">
        <f>IF(Y$3&lt;$I6,0,$G6*Assumptions!$E$11*INDEX(Assumptions!$B$24:$G$24,MIN(6,Y$3-$I6+1))*IF(Y$3&gt;$J6,(1-Assumptions!$B$26)^(Y$3-$J6),1)*IF($H6&gt;=1,1,MIN(0.97,$H6*Assumptions!$E$12)))</f>
        <v>113.1</v>
      </c>
      <c r="Z6" s="23">
        <f>IF(Z$3&lt;$I6,0,$G6*Assumptions!$E$11*INDEX(Assumptions!$B$24:$G$24,MIN(6,Z$3-$I6+1))*IF(Z$3&gt;$J6,(1-Assumptions!$B$26)^(Z$3-$J6),1)*IF($H6&gt;=1,1,MIN(0.97,$H6*Assumptions!$E$12)))</f>
        <v>113.1</v>
      </c>
      <c r="AA6" s="23">
        <f>IF(AA$3&lt;$I6,0,$G6*Assumptions!$E$11*INDEX(Assumptions!$B$24:$G$24,MIN(6,AA$3-$I6+1))*IF(AA$3&gt;$J6,(1-Assumptions!$B$26)^(AA$3-$J6),1)*IF($H6&gt;=1,1,MIN(0.97,$H6*Assumptions!$E$12)))</f>
        <v>113.1</v>
      </c>
      <c r="AB6" s="23">
        <f>IF(AB$3&lt;$I6,0,$G6*Assumptions!$E$11*INDEX(Assumptions!$B$24:$G$24,MIN(6,AB$3-$I6+1))*IF(AB$3&gt;$J6,(1-Assumptions!$B$26)^(AB$3-$J6),1)*IF($H6&gt;=1,1,MIN(0.97,$H6*Assumptions!$E$12)))</f>
        <v>113.1</v>
      </c>
      <c r="AC6" s="23">
        <f>IF(AC$3&lt;$I6,0,$G6*Assumptions!$E$11*INDEX(Assumptions!$B$24:$G$24,MIN(6,AC$3-$I6+1))*IF(AC$3&gt;$J6,(1-Assumptions!$B$26)^(AC$3-$J6),1)*IF($H6&gt;=1,1,MIN(0.97,$H6*Assumptions!$E$12)))</f>
        <v>113.1</v>
      </c>
      <c r="AD6" s="23">
        <f>IF(AD$3&lt;$I6,0,$G6*Assumptions!$E$11*INDEX(Assumptions!$B$24:$G$24,MIN(6,AD$3-$I6+1))*IF(AD$3&gt;$J6,(1-Assumptions!$B$26)^(AD$3-$J6),1)*IF($H6&gt;=1,1,MIN(0.97,$H6*Assumptions!$E$12)))</f>
        <v>113.1</v>
      </c>
      <c r="AE6" s="23">
        <f>IF(AE$3&lt;$I6,0,$G6*Assumptions!$E$11*INDEX(Assumptions!$B$24:$G$24,MIN(6,AE$3-$I6+1))*IF(AE$3&gt;$J6,(1-Assumptions!$B$26)^(AE$3-$J6),1)*IF($H6&gt;=1,1,MIN(0.97,$H6*Assumptions!$E$12)))</f>
        <v>113.1</v>
      </c>
      <c r="AF6" s="23">
        <f>IF(AF$3&lt;$I6,0,$G6*Assumptions!$E$11*INDEX(Assumptions!$B$24:$G$24,MIN(6,AF$3-$I6+1))*IF(AF$3&gt;$J6,(1-Assumptions!$B$26)^(AF$3-$J6),1)*IF($H6&gt;=1,1,MIN(0.97,$H6*Assumptions!$E$12)))</f>
        <v>56.55</v>
      </c>
      <c r="AG6" s="35">
        <f>IF(F6="Owned",1-IF(H6&gt;=1,1,MIN(0.97,H6*Assumptions!$E$12)),1)</f>
        <v>0.9246</v>
      </c>
    </row>
    <row r="7">
      <c r="B7" s="24" t="inlineStr">
        <is>
          <t>Risked revenue</t>
        </is>
      </c>
      <c r="L7" s="54">
        <f>SUM(L4:L6)</f>
        <v>3575.456039064182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241.34000000000003</v>
      </c>
      <c r="Q7" s="54">
        <f>SUM(Q4:Q6)</f>
        <v>603.35</v>
      </c>
      <c r="R7" s="54">
        <f>SUM(R4:R6)</f>
        <v>1086.03</v>
      </c>
      <c r="S7" s="54">
        <f>SUM(S4:S6)</f>
        <v>1580.02</v>
      </c>
      <c r="T7" s="54">
        <f>SUM(T4:T6)</f>
        <v>2079.6650000000004</v>
      </c>
      <c r="U7" s="54">
        <f>SUM(U4:U6)</f>
        <v>2464.295</v>
      </c>
      <c r="V7" s="54">
        <f>SUM(V4:V6)</f>
        <v>2486.915</v>
      </c>
      <c r="W7" s="54">
        <f>SUM(W4:W6)</f>
        <v>2509.535</v>
      </c>
      <c r="X7" s="54">
        <f>SUM(X4:X6)</f>
        <v>2526.5</v>
      </c>
      <c r="Y7" s="54">
        <f>SUM(Y4:Y6)</f>
        <v>2526.5</v>
      </c>
      <c r="Z7" s="54">
        <f>SUM(Z4:Z6)</f>
        <v>2526.5</v>
      </c>
      <c r="AA7" s="54">
        <f>SUM(AA4:AA6)</f>
        <v>2526.5</v>
      </c>
      <c r="AB7" s="54">
        <f>SUM(AB4:AB6)</f>
        <v>2526.5</v>
      </c>
      <c r="AC7" s="54">
        <f>SUM(AC4:AC6)</f>
        <v>1319.8</v>
      </c>
      <c r="AD7" s="54">
        <f>SUM(AD4:AD6)</f>
        <v>716.45</v>
      </c>
      <c r="AE7" s="54">
        <f>SUM(AE4:AE6)</f>
        <v>414.775</v>
      </c>
      <c r="AF7" s="54">
        <f>SUM(AF4:AF6)</f>
        <v>207.3875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96.536</v>
      </c>
      <c r="Q8" s="55">
        <f>SUMPRODUCT(Q4:Q6,$K$4:$K$6)</f>
        <v>241.34000000000003</v>
      </c>
      <c r="R8" s="55">
        <f>SUMPRODUCT(R4:R6,$K$4:$K$6)</f>
        <v>434.41200000000003</v>
      </c>
      <c r="S8" s="55">
        <f>SUMPRODUCT(S4:S6,$K$4:$K$6)</f>
        <v>632.0080000000002</v>
      </c>
      <c r="T8" s="55">
        <f>SUMPRODUCT(T4:T6,$K$4:$K$6)</f>
        <v>831.866</v>
      </c>
      <c r="U8" s="55">
        <f>SUMPRODUCT(U4:U6,$K$4:$K$6)</f>
        <v>985.7180000000001</v>
      </c>
      <c r="V8" s="55">
        <f>SUMPRODUCT(V4:V6,$K$4:$K$6)</f>
        <v>994.7660000000001</v>
      </c>
      <c r="W8" s="55">
        <f>SUMPRODUCT(W4:W6,$K$4:$K$6)</f>
        <v>1003.8140000000001</v>
      </c>
      <c r="X8" s="55">
        <f>SUMPRODUCT(X4:X6,$K$4:$K$6)</f>
        <v>1010.6000000000001</v>
      </c>
      <c r="Y8" s="55">
        <f>SUMPRODUCT(Y4:Y6,$K$4:$K$6)</f>
        <v>1010.6000000000001</v>
      </c>
      <c r="Z8" s="55">
        <f>SUMPRODUCT(Z4:Z6,$K$4:$K$6)</f>
        <v>1010.6000000000001</v>
      </c>
      <c r="AA8" s="55">
        <f>SUMPRODUCT(AA4:AA6,$K$4:$K$6)</f>
        <v>1010.6000000000001</v>
      </c>
      <c r="AB8" s="55">
        <f>SUMPRODUCT(AB4:AB6,$K$4:$K$6)</f>
        <v>1010.6000000000001</v>
      </c>
      <c r="AC8" s="55">
        <f>SUMPRODUCT(AC4:AC6,$K$4:$K$6)</f>
        <v>527.9200000000001</v>
      </c>
      <c r="AD8" s="55">
        <f>SUMPRODUCT(AD4:AD6,$K$4:$K$6)</f>
        <v>286.58000000000004</v>
      </c>
      <c r="AE8" s="55">
        <f>SUMPRODUCT(AE4:AE6,$K$4:$K$6)</f>
        <v>165.91000000000003</v>
      </c>
      <c r="AF8" s="55">
        <f>SUMPRODUCT(AF4:AF6,$K$4:$K$6)</f>
        <v>82.95500000000001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Revolution Medicines,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241.34000000000003</v>
      </c>
      <c r="G4" s="57">
        <f>Pipeline!Q7</f>
        <v>603.35</v>
      </c>
      <c r="H4" s="57">
        <f>Pipeline!R7</f>
        <v>1086.03</v>
      </c>
      <c r="I4" s="57">
        <f>Pipeline!S7</f>
        <v>1580.02</v>
      </c>
      <c r="J4" s="57">
        <f>Pipeline!T7</f>
        <v>2079.6650000000004</v>
      </c>
      <c r="K4" s="57">
        <f>Pipeline!U7</f>
        <v>2464.295</v>
      </c>
      <c r="L4" s="57">
        <f>Pipeline!V7</f>
        <v>2486.915</v>
      </c>
      <c r="M4" s="57">
        <f>Pipeline!W7</f>
        <v>2509.535</v>
      </c>
      <c r="N4" s="57">
        <f>Pipeline!X7</f>
        <v>2526.5</v>
      </c>
      <c r="O4" s="57">
        <f>Pipeline!Y7</f>
        <v>2526.5</v>
      </c>
      <c r="P4" s="57">
        <f>Pipeline!Z7</f>
        <v>2526.5</v>
      </c>
      <c r="Q4" s="57">
        <f>Pipeline!AA7</f>
        <v>2526.5</v>
      </c>
      <c r="R4" s="57">
        <f>Pipeline!AB7</f>
        <v>2526.5</v>
      </c>
      <c r="S4" s="57">
        <f>Pipeline!AC7</f>
        <v>1319.8</v>
      </c>
      <c r="T4" s="57">
        <f>Pipeline!AD7</f>
        <v>716.45</v>
      </c>
      <c r="U4" s="57">
        <f>Pipeline!AE7</f>
        <v>414.775</v>
      </c>
      <c r="V4" s="57">
        <f>Pipeline!AF7</f>
        <v>207.3875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96.536</v>
      </c>
      <c r="G5" s="57">
        <f>Pipeline!Q8</f>
        <v>241.34000000000003</v>
      </c>
      <c r="H5" s="57">
        <f>Pipeline!R8</f>
        <v>434.41200000000003</v>
      </c>
      <c r="I5" s="57">
        <f>Pipeline!S8</f>
        <v>632.0080000000002</v>
      </c>
      <c r="J5" s="57">
        <f>Pipeline!T8</f>
        <v>831.866</v>
      </c>
      <c r="K5" s="57">
        <f>Pipeline!U8</f>
        <v>985.7180000000001</v>
      </c>
      <c r="L5" s="57">
        <f>Pipeline!V8</f>
        <v>994.7660000000001</v>
      </c>
      <c r="M5" s="57">
        <f>Pipeline!W8</f>
        <v>1003.8140000000001</v>
      </c>
      <c r="N5" s="57">
        <f>Pipeline!X8</f>
        <v>1010.6000000000001</v>
      </c>
      <c r="O5" s="57">
        <f>Pipeline!Y8</f>
        <v>1010.6000000000001</v>
      </c>
      <c r="P5" s="57">
        <f>Pipeline!Z8</f>
        <v>1010.6000000000001</v>
      </c>
      <c r="Q5" s="57">
        <f>Pipeline!AA8</f>
        <v>1010.6000000000001</v>
      </c>
      <c r="R5" s="57">
        <f>Pipeline!AB8</f>
        <v>1010.6000000000001</v>
      </c>
      <c r="S5" s="57">
        <f>Pipeline!AC8</f>
        <v>527.9200000000001</v>
      </c>
      <c r="T5" s="57">
        <f>Pipeline!AD8</f>
        <v>286.58000000000004</v>
      </c>
      <c r="U5" s="57">
        <f>Pipeline!AE8</f>
        <v>165.91000000000003</v>
      </c>
      <c r="V5" s="57">
        <f>Pipeline!AF8</f>
        <v>82.95500000000001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-1627.249</v>
      </c>
      <c r="D6" s="23">
        <f>-IF(D3-2026&lt;Assumptions!$B$19,Assumptions!$B$18,Assumptions!$B$18*Assumptions!$B$20*Assumptions!$B$16)</f>
        <v>-1627.249</v>
      </c>
      <c r="E6" s="23">
        <f>-IF(E3-2026&lt;Assumptions!$B$19,Assumptions!$B$18,Assumptions!$B$18*Assumptions!$B$20*Assumptions!$B$16)</f>
        <v>-1627.249</v>
      </c>
      <c r="F6" s="23">
        <f>-IF(F3-2026&lt;Assumptions!$B$19,Assumptions!$B$18,Assumptions!$B$18*Assumptions!$B$20*Assumptions!$B$16)</f>
        <v>-346.018933346535</v>
      </c>
      <c r="G6" s="23">
        <f>-IF(G3-2026&lt;Assumptions!$B$19,Assumptions!$B$18,Assumptions!$B$18*Assumptions!$B$20*Assumptions!$B$16)</f>
        <v>-346.018933346535</v>
      </c>
      <c r="H6" s="23">
        <f>-IF(H3-2026&lt;Assumptions!$B$19,Assumptions!$B$18,Assumptions!$B$18*Assumptions!$B$20*Assumptions!$B$16)</f>
        <v>-346.018933346535</v>
      </c>
      <c r="I6" s="23">
        <f>-IF(I3-2026&lt;Assumptions!$B$19,Assumptions!$B$18,Assumptions!$B$18*Assumptions!$B$20*Assumptions!$B$16)</f>
        <v>-346.018933346535</v>
      </c>
      <c r="J6" s="23">
        <f>-IF(J3-2026&lt;Assumptions!$B$19,Assumptions!$B$18,Assumptions!$B$18*Assumptions!$B$20*Assumptions!$B$16)</f>
        <v>-346.018933346535</v>
      </c>
      <c r="K6" s="23">
        <f>-IF(K3-2026&lt;Assumptions!$B$19,Assumptions!$B$18,Assumptions!$B$18*Assumptions!$B$20*Assumptions!$B$16)</f>
        <v>-346.018933346535</v>
      </c>
      <c r="L6" s="23">
        <f>-IF(L3-2026&lt;Assumptions!$B$19,Assumptions!$B$18,Assumptions!$B$18*Assumptions!$B$20*Assumptions!$B$16)</f>
        <v>-346.018933346535</v>
      </c>
      <c r="M6" s="23">
        <f>-IF(M3-2026&lt;Assumptions!$B$19,Assumptions!$B$18,Assumptions!$B$18*Assumptions!$B$20*Assumptions!$B$16)</f>
        <v>-346.018933346535</v>
      </c>
      <c r="N6" s="23">
        <f>-IF(N3-2026&lt;Assumptions!$B$19,Assumptions!$B$18,Assumptions!$B$18*Assumptions!$B$20*Assumptions!$B$16)</f>
        <v>-346.018933346535</v>
      </c>
      <c r="O6" s="23">
        <f>-IF(O3-2026&lt;Assumptions!$B$19,Assumptions!$B$18,Assumptions!$B$18*Assumptions!$B$20*Assumptions!$B$16)</f>
        <v>-346.018933346535</v>
      </c>
      <c r="P6" s="23">
        <f>-IF(P3-2026&lt;Assumptions!$B$19,Assumptions!$B$18,Assumptions!$B$18*Assumptions!$B$20*Assumptions!$B$16)</f>
        <v>-346.018933346535</v>
      </c>
      <c r="Q6" s="23">
        <f>-IF(Q3-2026&lt;Assumptions!$B$19,Assumptions!$B$18,Assumptions!$B$18*Assumptions!$B$20*Assumptions!$B$16)</f>
        <v>-346.018933346535</v>
      </c>
      <c r="R6" s="23">
        <f>-IF(R3-2026&lt;Assumptions!$B$19,Assumptions!$B$18,Assumptions!$B$18*Assumptions!$B$20*Assumptions!$B$16)</f>
        <v>-346.018933346535</v>
      </c>
      <c r="S6" s="23">
        <f>-IF(S3-2026&lt;Assumptions!$B$19,Assumptions!$B$18,Assumptions!$B$18*Assumptions!$B$20*Assumptions!$B$16)</f>
        <v>-346.018933346535</v>
      </c>
      <c r="T6" s="23">
        <f>-IF(T3-2026&lt;Assumptions!$B$19,Assumptions!$B$18,Assumptions!$B$18*Assumptions!$B$20*Assumptions!$B$16)</f>
        <v>-346.018933346535</v>
      </c>
      <c r="U6" s="23">
        <f>-IF(U3-2026&lt;Assumptions!$B$19,Assumptions!$B$18,Assumptions!$B$18*Assumptions!$B$20*Assumptions!$B$16)</f>
        <v>-346.018933346535</v>
      </c>
      <c r="V6" s="23">
        <f>-IF(V3-2026&lt;Assumptions!$B$19,Assumptions!$B$18,Assumptions!$B$18*Assumptions!$B$20*Assumptions!$B$16)</f>
        <v>-346.018933346535</v>
      </c>
    </row>
    <row r="7">
      <c r="A7" s="14" t="inlineStr">
        <is>
          <t>Pre-tax cash flow</t>
        </is>
      </c>
      <c r="C7" s="23">
        <f>C5+C6</f>
        <v>-1627.249</v>
      </c>
      <c r="D7" s="23">
        <f>D5+D6</f>
        <v>-1627.249</v>
      </c>
      <c r="E7" s="23">
        <f>E5+E6</f>
        <v>-1627.249</v>
      </c>
      <c r="F7" s="23">
        <f>F5+F6</f>
        <v>-249.482933346535</v>
      </c>
      <c r="G7" s="23">
        <f>G5+G6</f>
        <v>-104.67893334653496</v>
      </c>
      <c r="H7" s="23">
        <f>H5+H6</f>
        <v>88.39306665346504</v>
      </c>
      <c r="I7" s="23">
        <f>I5+I6</f>
        <v>285.98906665346516</v>
      </c>
      <c r="J7" s="23">
        <f>J5+J6</f>
        <v>485.847066653465</v>
      </c>
      <c r="K7" s="23">
        <f>K5+K6</f>
        <v>639.699066653465</v>
      </c>
      <c r="L7" s="23">
        <f>L5+L6</f>
        <v>648.747066653465</v>
      </c>
      <c r="M7" s="23">
        <f>M5+M6</f>
        <v>657.795066653465</v>
      </c>
      <c r="N7" s="23">
        <f>N5+N6</f>
        <v>664.5810666534651</v>
      </c>
      <c r="O7" s="23">
        <f>O5+O6</f>
        <v>664.5810666534651</v>
      </c>
      <c r="P7" s="23">
        <f>P5+P6</f>
        <v>664.5810666534651</v>
      </c>
      <c r="Q7" s="23">
        <f>Q5+Q6</f>
        <v>664.5810666534651</v>
      </c>
      <c r="R7" s="23">
        <f>R5+R6</f>
        <v>664.5810666534651</v>
      </c>
      <c r="S7" s="23">
        <f>S5+S6</f>
        <v>181.90106665346508</v>
      </c>
      <c r="T7" s="23">
        <f>T5+T6</f>
        <v>-59.43893334653495</v>
      </c>
      <c r="U7" s="23">
        <f>U5+U6</f>
        <v>-180.10893334653497</v>
      </c>
      <c r="V7" s="23">
        <f>V5+V6</f>
        <v>-263.063933346535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88.39306665346504</v>
      </c>
      <c r="I8" s="23">
        <f>MIN(H17,MAX(0,I7))</f>
        <v>285.98906665346516</v>
      </c>
      <c r="J8" s="23">
        <f>MIN(I17,MAX(0,J7))</f>
        <v>485.847066653465</v>
      </c>
      <c r="K8" s="23">
        <f>MIN(J17,MAX(0,K7))</f>
        <v>639.699066653465</v>
      </c>
      <c r="L8" s="23">
        <f>MIN(K17,MAX(0,L7))</f>
        <v>648.747066653465</v>
      </c>
      <c r="M8" s="23">
        <f>MIN(L17,MAX(0,M7))</f>
        <v>657.795066653465</v>
      </c>
      <c r="N8" s="23">
        <f>MIN(M17,MAX(0,N7))</f>
        <v>664.5810666534651</v>
      </c>
      <c r="O8" s="23">
        <f>MIN(N17,MAX(0,O7))</f>
        <v>664.5810666534651</v>
      </c>
      <c r="P8" s="23">
        <f>MIN(O17,MAX(0,P7))</f>
        <v>664.5810666534651</v>
      </c>
      <c r="Q8" s="23">
        <f>MIN(P17,MAX(0,Q7))</f>
        <v>664.5810666534651</v>
      </c>
      <c r="R8" s="23">
        <f>MIN(Q17,MAX(0,R7))</f>
        <v>664.5810666534651</v>
      </c>
      <c r="S8" s="23">
        <f>MIN(R17,MAX(0,S7))</f>
        <v>181.90106665346508</v>
      </c>
      <c r="T8" s="23">
        <f>MIN(S17,MAX(0,T7))</f>
        <v>0</v>
      </c>
      <c r="U8" s="23">
        <f>MIN(T17,MAX(0,U7))</f>
        <v>0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-1627.249</v>
      </c>
      <c r="D11" s="55">
        <f>D7-D10</f>
        <v>-1627.249</v>
      </c>
      <c r="E11" s="55">
        <f>E7-E10</f>
        <v>-1627.249</v>
      </c>
      <c r="F11" s="55">
        <f>F7-F10</f>
        <v>-249.482933346535</v>
      </c>
      <c r="G11" s="55">
        <f>G7-G10</f>
        <v>-104.67893334653496</v>
      </c>
      <c r="H11" s="55">
        <f>H7-H10</f>
        <v>88.39306665346504</v>
      </c>
      <c r="I11" s="55">
        <f>I7-I10</f>
        <v>285.98906665346516</v>
      </c>
      <c r="J11" s="55">
        <f>J7-J10</f>
        <v>485.847066653465</v>
      </c>
      <c r="K11" s="55">
        <f>K7-K10</f>
        <v>639.699066653465</v>
      </c>
      <c r="L11" s="55">
        <f>L7-L10</f>
        <v>648.747066653465</v>
      </c>
      <c r="M11" s="55">
        <f>M7-M10</f>
        <v>657.795066653465</v>
      </c>
      <c r="N11" s="55">
        <f>N7-N10</f>
        <v>664.5810666534651</v>
      </c>
      <c r="O11" s="55">
        <f>O7-O10</f>
        <v>664.5810666534651</v>
      </c>
      <c r="P11" s="55">
        <f>P7-P10</f>
        <v>664.5810666534651</v>
      </c>
      <c r="Q11" s="55">
        <f>Q7-Q10</f>
        <v>664.5810666534651</v>
      </c>
      <c r="R11" s="55">
        <f>R7-R10</f>
        <v>664.5810666534651</v>
      </c>
      <c r="S11" s="55">
        <f>S7-S10</f>
        <v>181.90106665346508</v>
      </c>
      <c r="T11" s="55">
        <f>T7-T10</f>
        <v>-59.43893334653495</v>
      </c>
      <c r="U11" s="55">
        <f>U7-U10</f>
        <v>-180.10893334653497</v>
      </c>
      <c r="V11" s="55">
        <f>V7-V10</f>
        <v>-263.063933346535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-797.1963620297585</v>
      </c>
      <c r="D16" s="55">
        <f>D11*D15</f>
        <v>-1452.2259627445353</v>
      </c>
      <c r="E16" s="55">
        <f>E11*E15</f>
        <v>-1296.630323879049</v>
      </c>
      <c r="F16" s="55">
        <f>F11*F15</f>
        <v>-177.49453254904708</v>
      </c>
      <c r="G16" s="55">
        <f>G11*G15</f>
        <v>-66.4944509030815</v>
      </c>
      <c r="H16" s="55">
        <f>H11*H15</f>
        <v>50.13330014775435</v>
      </c>
      <c r="I16" s="55">
        <f>I11*I15</f>
        <v>144.82365388254058</v>
      </c>
      <c r="J16" s="55">
        <f>J11*J15</f>
        <v>219.67044630980132</v>
      </c>
      <c r="K16" s="55">
        <f>K11*K15</f>
        <v>258.24370377430654</v>
      </c>
      <c r="L16" s="55">
        <f>L11*L15</f>
        <v>233.83601931897584</v>
      </c>
      <c r="M16" s="55">
        <f>M11*M15</f>
        <v>211.69402064748033</v>
      </c>
      <c r="N16" s="55">
        <f>N11*N15</f>
        <v>190.96242504769577</v>
      </c>
      <c r="O16" s="55">
        <f>O11*O15</f>
        <v>170.50216522115693</v>
      </c>
      <c r="P16" s="55">
        <f>P11*P15</f>
        <v>152.23407609031867</v>
      </c>
      <c r="Q16" s="55">
        <f>Q11*Q15</f>
        <v>135.9232822234988</v>
      </c>
      <c r="R16" s="55">
        <f>R11*R15</f>
        <v>121.36007341383821</v>
      </c>
      <c r="S16" s="55">
        <f>S11*S15</f>
        <v>29.658220460225067</v>
      </c>
      <c r="T16" s="55">
        <f>T11*T15</f>
        <v>-8.652922778811375</v>
      </c>
      <c r="U16" s="55">
        <f>U11*U15</f>
        <v>-23.410411749454433</v>
      </c>
      <c r="V16" s="55">
        <f>V11*V15</f>
        <v>-30.529316746804987</v>
      </c>
    </row>
    <row r="17">
      <c r="A17" s="14" t="inlineStr">
        <is>
          <t>Tax-loss carryforward, end of year</t>
        </is>
      </c>
      <c r="C17" s="23">
        <f>Assumptions!$B$21-C8+MAX(0,-C7)</f>
        <v>4427.849</v>
      </c>
      <c r="D17" s="23">
        <f>C17-D8+MAX(0,-D7)</f>
        <v>6055.098</v>
      </c>
      <c r="E17" s="23">
        <f>D17-E8+MAX(0,-E7)</f>
        <v>7682.347</v>
      </c>
      <c r="F17" s="23">
        <f>E17-F8+MAX(0,-F7)</f>
        <v>7931.829933346535</v>
      </c>
      <c r="G17" s="23">
        <f>F17-G8+MAX(0,-G7)</f>
        <v>8036.50886669307</v>
      </c>
      <c r="H17" s="23">
        <f>G17-H8+MAX(0,-H7)</f>
        <v>7948.115800039604</v>
      </c>
      <c r="I17" s="23">
        <f>H17-I8+MAX(0,-I7)</f>
        <v>7662.12673338614</v>
      </c>
      <c r="J17" s="23">
        <f>I17-J8+MAX(0,-J7)</f>
        <v>7176.279666732675</v>
      </c>
      <c r="K17" s="23">
        <f>J17-K8+MAX(0,-K7)</f>
        <v>6536.58060007921</v>
      </c>
      <c r="L17" s="23">
        <f>K17-L8+MAX(0,-L7)</f>
        <v>5887.8335334257445</v>
      </c>
      <c r="M17" s="23">
        <f>L17-M8+MAX(0,-M7)</f>
        <v>5230.038466772279</v>
      </c>
      <c r="N17" s="23">
        <f>M17-N8+MAX(0,-N7)</f>
        <v>4565.457400118814</v>
      </c>
      <c r="O17" s="23">
        <f>N17-O8+MAX(0,-O7)</f>
        <v>3900.8763334653486</v>
      </c>
      <c r="P17" s="23">
        <f>O17-P8+MAX(0,-P7)</f>
        <v>3236.2952668118833</v>
      </c>
      <c r="Q17" s="23">
        <f>P17-Q8+MAX(0,-Q7)</f>
        <v>2571.714200158418</v>
      </c>
      <c r="R17" s="23">
        <f>Q17-R8+MAX(0,-R7)</f>
        <v>1907.1331335049529</v>
      </c>
      <c r="S17" s="23">
        <f>R17-S8+MAX(0,-S7)</f>
        <v>1725.2320668514878</v>
      </c>
      <c r="T17" s="23">
        <f>S17-T8+MAX(0,-T7)</f>
        <v>1784.6710001980227</v>
      </c>
      <c r="U17" s="23">
        <f>T17-U8+MAX(0,-U7)</f>
        <v>1964.7799335445577</v>
      </c>
      <c r="V17" s="23">
        <f>U17-V8+MAX(0,-V7)</f>
        <v>2227.8438668910926</v>
      </c>
    </row>
    <row r="19">
      <c r="A19" s="14" t="inlineStr">
        <is>
          <t>PV of risked pipeline contribution</t>
        </is>
      </c>
      <c r="B19" s="23">
        <f>SUMPRODUCT(C5:V5,C15:V15)</f>
        <v>3575.456039064181</v>
      </c>
    </row>
    <row r="20">
      <c r="A20" s="14" t="inlineStr">
        <is>
          <t>PV of corporate burn</t>
        </is>
      </c>
      <c r="B20" s="23">
        <f>SUMPRODUCT(C6:V6,C15:V15)</f>
        <v>-5509.04893590713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-1933.5928968429496</v>
      </c>
    </row>
    <row r="23">
      <c r="A23" s="14" t="inlineStr">
        <is>
          <t>Cash &amp; investments</t>
        </is>
      </c>
      <c r="B23" s="57">
        <f>Main!C7</f>
        <v>3937.969</v>
      </c>
    </row>
    <row r="24">
      <c r="A24" s="14" t="inlineStr">
        <is>
          <t>Debt</t>
        </is>
      </c>
      <c r="B24" s="57">
        <f>Main!C8</f>
        <v>487.434</v>
      </c>
    </row>
    <row r="25">
      <c r="A25" s="24" t="inlineStr">
        <is>
          <t>Equity value</t>
        </is>
      </c>
      <c r="B25" s="54">
        <f>B22+B23-B24</f>
        <v>1516.9421031570505</v>
      </c>
    </row>
    <row r="26">
      <c r="A26" s="14" t="inlineStr">
        <is>
          <t>Shares (mm)</t>
        </is>
      </c>
      <c r="B26" s="57">
        <f>Main!C4</f>
        <v>214.336418</v>
      </c>
    </row>
    <row r="27">
      <c r="A27" s="24" t="inlineStr">
        <is>
          <t>rNPV / share</t>
        </is>
      </c>
      <c r="B27" s="60">
        <f>B25/B26</f>
        <v>7.0773885152687885</v>
      </c>
    </row>
    <row r="28">
      <c r="A28" s="14" t="inlineStr">
        <is>
          <t>Price</t>
        </is>
      </c>
      <c r="B28" s="61">
        <f>Main!C3</f>
        <v>196.55</v>
      </c>
    </row>
    <row r="29">
      <c r="A29" s="14" t="inlineStr">
        <is>
          <t>Upside</t>
        </is>
      </c>
      <c r="B29" s="62">
        <f>B27/B28-1</f>
        <v>-0.9639919180093168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2026-10-21T06:21:09Z</dcterms:modified>
  <cp:lastModifiedBy>Wang, Eric</cp:lastModifiedBy>
</cp:coreProperties>
</file>