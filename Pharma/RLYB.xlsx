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Rallybio Corp</t>
        </is>
      </c>
      <c r="C2" s="10" t="n"/>
    </row>
    <row r="3">
      <c r="B3" t="inlineStr">
        <is>
          <t>Price</t>
        </is>
      </c>
      <c r="C3" s="11">
        <f>INDEX([1]Pharma!$F$1:$F$1000,MATCH("RLYB",[1]Pharma!$B$1:$B$1000,0))</f>
        <v>16.38</v>
      </c>
      <c r="F3" s="1" t="n"/>
    </row>
    <row r="4">
      <c r="B4" t="inlineStr">
        <is>
          <t>Shares</t>
        </is>
      </c>
      <c r="C4" s="21" t="n">
        <v>5.310499</v>
      </c>
      <c r="F4" s="1" t="n"/>
    </row>
    <row r="5">
      <c r="B5" t="inlineStr">
        <is>
          <t>Market Cap.</t>
        </is>
      </c>
      <c r="C5" s="13">
        <f>C3*C4</f>
        <v>86.98597362</v>
      </c>
      <c r="F5" s="1" t="n"/>
    </row>
    <row r="6"/>
    <row r="7">
      <c r="B7" t="inlineStr">
        <is>
          <t>Cash</t>
        </is>
      </c>
      <c r="C7" s="21" t="n">
        <v>92.849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-5.863026380000008</v>
      </c>
    </row>
    <row r="10"/>
    <row r="11">
      <c r="B11" s="14" t="inlineStr">
        <is>
          <t>Net Cash / Share</t>
        </is>
      </c>
      <c r="C11" s="11">
        <f>(C7-C8)/C4</f>
        <v>17.48404434310222</v>
      </c>
    </row>
    <row r="12">
      <c r="B12" s="14" t="inlineStr">
        <is>
          <t>Upside</t>
        </is>
      </c>
      <c r="C12" s="15">
        <f>IFERROR(C11/C3-1,"")</f>
        <v>0.06740197454836516</v>
      </c>
    </row>
    <row r="13">
      <c r="B13" s="14" t="inlineStr">
        <is>
          <t>Cash / Share</t>
        </is>
      </c>
      <c r="C13" s="11">
        <f>IFERROR((C7-C8)/C4,"")</f>
        <v>17.48404434310222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26.712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-5.863026380000008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0.636</v>
      </c>
      <c r="G2" s="23" t="n">
        <v>0.858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0.636</v>
      </c>
      <c r="G4" s="23">
        <f>G2-G3</f>
        <v>0.858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17.63</v>
      </c>
      <c r="C5" s="23" t="n">
        <v>26.909</v>
      </c>
      <c r="D5" s="23" t="n">
        <v>40.689</v>
      </c>
      <c r="E5" s="23" t="n">
        <v>53.544</v>
      </c>
      <c r="F5" s="23" t="n">
        <v>41.507</v>
      </c>
      <c r="G5" s="23" t="n">
        <v>19.597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7.673</v>
      </c>
      <c r="C6" s="23" t="n">
        <v>18.739</v>
      </c>
      <c r="D6" s="23" t="n">
        <v>27.195</v>
      </c>
      <c r="E6" s="23" t="n">
        <v>25.388</v>
      </c>
      <c r="F6" s="23" t="n">
        <v>19.625</v>
      </c>
      <c r="G6" s="23" t="n">
        <v>14.325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25.302999999999997</v>
      </c>
      <c r="C7" s="23">
        <f>SUM(C5:C6)</f>
        <v>45.647999999999996</v>
      </c>
      <c r="D7" s="23">
        <f>SUM(D5:D6)</f>
        <v>67.884</v>
      </c>
      <c r="E7" s="23">
        <f>SUM(E5:E6)</f>
        <v>78.932</v>
      </c>
      <c r="F7" s="23">
        <f>SUM(F5:F6)</f>
        <v>61.132</v>
      </c>
      <c r="G7" s="23">
        <f>SUM(G5:G6)</f>
        <v>33.922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-25.302999999999997</v>
      </c>
      <c r="C8" s="23">
        <f>C4-C7</f>
        <v>-45.647999999999996</v>
      </c>
      <c r="D8" s="23">
        <f>D4-D7</f>
        <v>-67.884</v>
      </c>
      <c r="E8" s="23">
        <f>E4-E7</f>
        <v>-78.932</v>
      </c>
      <c r="F8" s="23">
        <f>F4-F7</f>
        <v>-60.495999999999995</v>
      </c>
      <c r="G8" s="23">
        <f>G4-G7</f>
        <v>-33.064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-1.159</v>
      </c>
      <c r="C9" s="23" t="n">
        <v>-1.365</v>
      </c>
      <c r="D9" s="23" t="n">
        <v>1.23</v>
      </c>
      <c r="E9" s="23" t="n">
        <v>4.368</v>
      </c>
      <c r="F9" s="23" t="n">
        <v>2.721</v>
      </c>
      <c r="G9" s="23" t="n">
        <v>24.086</v>
      </c>
    </row>
    <row r="10">
      <c r="A10" s="2" t="inlineStr">
        <is>
          <t>Pretax</t>
        </is>
      </c>
      <c r="B10" s="23">
        <f>B8+B9</f>
        <v>-26.461999999999996</v>
      </c>
      <c r="C10" s="23">
        <f>C8+C9</f>
        <v>-47.013</v>
      </c>
      <c r="D10" s="23">
        <f>D8+D9</f>
        <v>-66.654</v>
      </c>
      <c r="E10" s="23">
        <f>E8+E9</f>
        <v>-74.56400000000001</v>
      </c>
      <c r="F10" s="23">
        <f>F8+F9</f>
        <v>-57.77499999999999</v>
      </c>
      <c r="G10" s="23">
        <f>G8+G9</f>
        <v>-8.978000000000002</v>
      </c>
      <c r="I10" s="1" t="n"/>
      <c r="J10" s="1" t="n"/>
      <c r="K10" s="1" t="n"/>
    </row>
    <row r="11">
      <c r="A11" s="2" t="inlineStr">
        <is>
          <t>Taxes</t>
        </is>
      </c>
      <c r="B11" s="23" t="n">
        <v>-0.015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-26.447</v>
      </c>
      <c r="C12" s="23" t="n">
        <v>-47.013</v>
      </c>
      <c r="D12" s="23" t="n">
        <v>-66.654</v>
      </c>
      <c r="E12" s="23" t="n">
        <v>-74.56399999999999</v>
      </c>
      <c r="F12" s="23" t="n">
        <v>-57.775</v>
      </c>
      <c r="G12" s="23" t="n">
        <v>-8.978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-1.5209914883827926</v>
      </c>
      <c r="C13" s="11">
        <f>IFERROR(C12/C14,0)</f>
        <v>-1.8422743837924684</v>
      </c>
      <c r="D13" s="11">
        <f>IFERROR(D12/D14,0)</f>
        <v>-2.094654473460922</v>
      </c>
      <c r="E13" s="11">
        <f>IFERROR(E12/E14,0)</f>
        <v>-1.843498899794793</v>
      </c>
      <c r="F13" s="11">
        <f>IFERROR(F12/F14,0)</f>
        <v>-10.614550799191623</v>
      </c>
      <c r="G13" s="11">
        <f>IFERROR(G12/G14,0)</f>
        <v>-1.5949546988807959</v>
      </c>
    </row>
    <row r="14">
      <c r="A14" s="2" t="inlineStr">
        <is>
          <t>Shares</t>
        </is>
      </c>
      <c r="B14" s="23" t="n">
        <v>17.388</v>
      </c>
      <c r="C14" s="23" t="n">
        <v>25.519</v>
      </c>
      <c r="D14" s="23" t="n">
        <v>31.821</v>
      </c>
      <c r="E14" s="23" t="n">
        <v>40.447</v>
      </c>
      <c r="F14" s="23" t="n">
        <v>5.443</v>
      </c>
      <c r="G14" s="23" t="n">
        <v>5.629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0.34905660377358494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-95.1194968553459</v>
      </c>
      <c r="G18" s="15">
        <f>IFERROR(G8/G2,"")</f>
        <v>-38.536130536130536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2026-10-21T06:28:22Z</dcterms:modified>
  <cp:lastModifiedBy>Wang, Eric</cp:lastModifiedBy>
</cp:coreProperties>
</file>