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Rallybio Corp</t>
        </is>
      </c>
      <c r="C2" s="10" t="n"/>
    </row>
    <row r="3">
      <c r="B3" t="inlineStr">
        <is>
          <t>Price</t>
        </is>
      </c>
      <c r="C3" s="11">
        <f>INDEX([1]Pharma!$F$1:$F$1000,MATCH("RLYB",[1]Pharma!$B$1:$B$1000,0))</f>
        <v>16.38</v>
      </c>
      <c r="F3" s="1" t="n"/>
    </row>
    <row r="4">
      <c r="B4" t="inlineStr">
        <is>
          <t>Shares</t>
        </is>
      </c>
      <c r="C4" s="21" t="n">
        <v>5.310499</v>
      </c>
      <c r="F4" s="1" t="n"/>
    </row>
    <row r="5">
      <c r="B5" t="inlineStr">
        <is>
          <t>Market Cap.</t>
        </is>
      </c>
      <c r="C5" s="13">
        <f>C3*C4</f>
        <v>86.98597362</v>
      </c>
      <c r="F5" s="1" t="n"/>
    </row>
    <row r="6"/>
    <row r="7">
      <c r="B7" t="inlineStr">
        <is>
          <t>Cash</t>
        </is>
      </c>
      <c r="C7" s="21" t="n">
        <v>92.849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-5.863026380000008</v>
      </c>
    </row>
    <row r="10"/>
    <row r="11">
      <c r="B11" s="14" t="inlineStr">
        <is>
          <t>Net Cash / Share</t>
        </is>
      </c>
      <c r="C11" s="11">
        <f>(C7-C8)/C4</f>
        <v>17.48404434310222</v>
      </c>
    </row>
    <row r="12">
      <c r="B12" s="14" t="inlineStr">
        <is>
          <t>Upside</t>
        </is>
      </c>
      <c r="C12" s="15">
        <f>IFERROR(C11/C3-1,"")</f>
        <v>0.06740197454836516</v>
      </c>
    </row>
    <row r="13">
      <c r="B13" s="14" t="inlineStr">
        <is>
          <t>Cash / Share</t>
        </is>
      </c>
      <c r="C13" s="11">
        <f>IFERROR((C7-C8)/C4,"")</f>
        <v>17.48404434310222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26.712</v>
      </c>
    </row>
    <row r="18">
      <c r="B18" s="14" t="inlineStr">
        <is>
          <t>Runway (years)</t>
        </is>
      </c>
      <c r="C18" s="22" t="str">
        <f>IF(AND(ISNUMBER(C17),C17&lt;0),IF(C7&gt;C8,(C7-C8)/-C17,"net debt"),"n/a")</f>
        <v>n/a</v>
      </c>
    </row>
    <row r="19">
      <c r="B19" s="14" t="inlineStr">
        <is>
          <t>Implied Pipeline Value</t>
        </is>
      </c>
      <c r="C19" s="13">
        <f>C9</f>
        <v>-5.863026380000008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2020</v>
      </c>
      <c r="C1" s="17" t="n">
        <v>2021</v>
      </c>
      <c r="D1" s="17" t="n">
        <v>2022</v>
      </c>
      <c r="E1" s="17" t="n">
        <v>2023</v>
      </c>
      <c r="F1" s="17" t="n">
        <v>2024</v>
      </c>
      <c r="G1" s="17" t="n">
        <v>2025</v>
      </c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E2" s="23" t="n">
        <v>0</v>
      </c>
      <c r="F2" s="23" t="n">
        <v>0.636</v>
      </c>
      <c r="G2" s="23" t="n">
        <v>0.858</v>
      </c>
      <c r="I2" s="1" t="n"/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I3" s="1" t="n"/>
      <c r="J3" s="1" t="n"/>
      <c r="K3" s="1" t="n"/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E4" s="23">
        <f>E2-E3</f>
        <v>0.0</v>
      </c>
      <c r="F4" s="23">
        <f>F2-F3</f>
        <v>0.636</v>
      </c>
      <c r="G4" s="23">
        <f>G2-G3</f>
        <v>0.858</v>
      </c>
      <c r="I4" s="1" t="n"/>
      <c r="J4" s="1" t="n"/>
      <c r="K4" s="1" t="n"/>
    </row>
    <row r="5">
      <c r="A5" s="2" t="inlineStr">
        <is>
          <t>Research &amp; Dev.</t>
        </is>
      </c>
      <c r="B5" s="23" t="n">
        <v>17.63</v>
      </c>
      <c r="C5" s="23" t="n">
        <v>26.909</v>
      </c>
      <c r="D5" s="23" t="n">
        <v>40.689</v>
      </c>
      <c r="E5" s="23" t="n">
        <v>53.544</v>
      </c>
      <c r="F5" s="23" t="n">
        <v>41.507</v>
      </c>
      <c r="G5" s="23" t="n">
        <v>19.597</v>
      </c>
      <c r="I5" s="1" t="n"/>
      <c r="J5" s="1" t="n"/>
      <c r="K5" s="1" t="n"/>
    </row>
    <row r="6">
      <c r="A6" s="19" t="inlineStr">
        <is>
          <t>SG&amp;A &amp; Other</t>
        </is>
      </c>
      <c r="B6" s="23" t="n">
        <v>7.673</v>
      </c>
      <c r="C6" s="23" t="n">
        <v>18.739</v>
      </c>
      <c r="D6" s="23" t="n">
        <v>27.195</v>
      </c>
      <c r="E6" s="23" t="n">
        <v>25.388</v>
      </c>
      <c r="F6" s="23" t="n">
        <v>19.625</v>
      </c>
      <c r="G6" s="23" t="n">
        <v>14.325</v>
      </c>
      <c r="I6" s="1" t="n"/>
      <c r="J6" s="1" t="n"/>
      <c r="K6" s="1" t="n"/>
    </row>
    <row r="7">
      <c r="A7" s="2" t="inlineStr">
        <is>
          <t>Operating Expense</t>
        </is>
      </c>
      <c r="B7" s="23">
        <f>SUM(B5:B6)</f>
        <v>25.302999999999997</v>
      </c>
      <c r="C7" s="23">
        <f>SUM(C5:C6)</f>
        <v>45.647999999999996</v>
      </c>
      <c r="D7" s="23">
        <f>SUM(D5:D6)</f>
        <v>67.884</v>
      </c>
      <c r="E7" s="23">
        <f>SUM(E5:E6)</f>
        <v>78.932</v>
      </c>
      <c r="F7" s="23">
        <f>SUM(F5:F6)</f>
        <v>61.132</v>
      </c>
      <c r="G7" s="23">
        <f>SUM(G5:G6)</f>
        <v>33.922</v>
      </c>
      <c r="I7" s="1" t="n"/>
      <c r="J7" s="1" t="n"/>
      <c r="K7" s="1" t="n"/>
    </row>
    <row r="8">
      <c r="A8" s="2" t="inlineStr">
        <is>
          <t>Operating Income</t>
        </is>
      </c>
      <c r="B8" s="23">
        <f>B4-B7</f>
        <v>-25.302999999999997</v>
      </c>
      <c r="C8" s="23">
        <f>C4-C7</f>
        <v>-45.647999999999996</v>
      </c>
      <c r="D8" s="23">
        <f>D4-D7</f>
        <v>-67.884</v>
      </c>
      <c r="E8" s="23">
        <f>E4-E7</f>
        <v>-78.932</v>
      </c>
      <c r="F8" s="23">
        <f>F4-F7</f>
        <v>-60.495999999999995</v>
      </c>
      <c r="G8" s="23">
        <f>G4-G7</f>
        <v>-33.064</v>
      </c>
      <c r="I8" s="1" t="n"/>
      <c r="J8" s="1" t="n"/>
      <c r="K8" s="1" t="n"/>
    </row>
    <row r="9">
      <c r="A9" s="19" t="inlineStr">
        <is>
          <t>Interest &amp; Other</t>
        </is>
      </c>
      <c r="B9" s="23" t="n">
        <v>-1.159</v>
      </c>
      <c r="C9" s="23" t="n">
        <v>-1.365</v>
      </c>
      <c r="D9" s="23" t="n">
        <v>1.23</v>
      </c>
      <c r="E9" s="23" t="n">
        <v>4.368</v>
      </c>
      <c r="F9" s="23" t="n">
        <v>2.721</v>
      </c>
      <c r="G9" s="23" t="n">
        <v>24.086</v>
      </c>
    </row>
    <row r="10">
      <c r="A10" s="2" t="inlineStr">
        <is>
          <t>Pretax</t>
        </is>
      </c>
      <c r="B10" s="23">
        <f>B8+B9</f>
        <v>-26.461999999999996</v>
      </c>
      <c r="C10" s="23">
        <f>C8+C9</f>
        <v>-47.013</v>
      </c>
      <c r="D10" s="23">
        <f>D8+D9</f>
        <v>-66.654</v>
      </c>
      <c r="E10" s="23">
        <f>E8+E9</f>
        <v>-74.56400000000001</v>
      </c>
      <c r="F10" s="23">
        <f>F8+F9</f>
        <v>-57.77499999999999</v>
      </c>
      <c r="G10" s="23">
        <f>G8+G9</f>
        <v>-8.978000000000002</v>
      </c>
      <c r="I10" s="1" t="n"/>
      <c r="J10" s="1" t="n"/>
      <c r="K10" s="1" t="n"/>
    </row>
    <row r="11">
      <c r="A11" s="2" t="inlineStr">
        <is>
          <t>Taxes</t>
        </is>
      </c>
      <c r="B11" s="23" t="n">
        <v>-0.015</v>
      </c>
      <c r="C11" s="23" t="n">
        <v>0</v>
      </c>
      <c r="D11" s="23" t="n">
        <v>0</v>
      </c>
      <c r="E11" s="23" t="n">
        <v>0</v>
      </c>
      <c r="F11" s="23" t="n">
        <v>0</v>
      </c>
      <c r="G11" s="23" t="n">
        <v>0</v>
      </c>
    </row>
    <row r="12">
      <c r="A12" s="2" t="inlineStr">
        <is>
          <t>Net Income</t>
        </is>
      </c>
      <c r="B12" s="23" t="n">
        <v>-26.447</v>
      </c>
      <c r="C12" s="23" t="n">
        <v>-47.013</v>
      </c>
      <c r="D12" s="23" t="n">
        <v>-66.654</v>
      </c>
      <c r="E12" s="23" t="n">
        <v>-74.56399999999999</v>
      </c>
      <c r="F12" s="23" t="n">
        <v>-57.775</v>
      </c>
      <c r="G12" s="23" t="n">
        <v>-8.978</v>
      </c>
      <c r="I12" s="1" t="n"/>
      <c r="J12" s="1" t="n"/>
      <c r="K12" s="1" t="n"/>
    </row>
    <row r="13">
      <c r="A13" s="2" t="inlineStr">
        <is>
          <t>Earnings per Share</t>
        </is>
      </c>
      <c r="B13" s="11">
        <f>IFERROR(B12/B14,0)</f>
        <v>-1.5209914883827926</v>
      </c>
      <c r="C13" s="11">
        <f>IFERROR(C12/C14,0)</f>
        <v>-1.8422743837924684</v>
      </c>
      <c r="D13" s="11">
        <f>IFERROR(D12/D14,0)</f>
        <v>-2.094654473460922</v>
      </c>
      <c r="E13" s="11">
        <f>IFERROR(E12/E14,0)</f>
        <v>-1.843498899794793</v>
      </c>
      <c r="F13" s="11">
        <f>IFERROR(F12/F14,0)</f>
        <v>-10.614550799191623</v>
      </c>
      <c r="G13" s="11">
        <f>IFERROR(G12/G14,0)</f>
        <v>-1.5949546988807959</v>
      </c>
    </row>
    <row r="14">
      <c r="A14" s="2" t="inlineStr">
        <is>
          <t>Shares</t>
        </is>
      </c>
      <c r="B14" s="23" t="n">
        <v>17.388</v>
      </c>
      <c r="C14" s="23" t="n">
        <v>25.519</v>
      </c>
      <c r="D14" s="23" t="n">
        <v>31.821</v>
      </c>
      <c r="E14" s="23" t="n">
        <v>40.447</v>
      </c>
      <c r="F14" s="23" t="n">
        <v>5.443</v>
      </c>
      <c r="G14" s="23" t="n">
        <v>5.629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/>
      </c>
      <c r="G16" s="15">
        <f>IFERROR(G2/F2-1,"")</f>
        <v>0.34905660377358494</v>
      </c>
      <c r="H16" s="4" t="n"/>
      <c r="I16" s="4" t="n"/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15">
        <f>IFERROR(F4/F2,"")</f>
        <v>1.0</v>
      </c>
      <c r="G17" s="15">
        <f>IFERROR(G4/G2,"")</f>
        <v>1.0</v>
      </c>
      <c r="H17" s="4" t="n"/>
      <c r="I17" s="4" t="n"/>
      <c r="J17" s="4" t="n"/>
      <c r="K17" s="4" t="n"/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  <c r="F18" s="15">
        <f>IFERROR(F8/F2,"")</f>
        <v>-95.1194968553459</v>
      </c>
      <c r="G18" s="15">
        <f>IFERROR(G8/G2,"")</f>
        <v>-38.536130536130536</v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2026-10-21T01:06:00Z</dcterms:modified>
  <cp:lastModifiedBy>Wang, Eric</cp:lastModifiedBy>
</cp:coreProperties>
</file>