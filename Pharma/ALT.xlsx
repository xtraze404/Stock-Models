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Altimmune Inc</t>
        </is>
      </c>
      <c r="C2" s="10" t="n"/>
    </row>
    <row r="3">
      <c r="B3" t="inlineStr">
        <is>
          <t>Price</t>
        </is>
      </c>
      <c r="C3" s="11">
        <f>INDEX([1]Pharma!$F$1:$F$1000,MATCH("ALT",[1]Pharma!$B$1:$B$1000,0))</f>
        <v>2.3</v>
      </c>
      <c r="F3" s="1" t="n"/>
    </row>
    <row r="4">
      <c r="B4" t="inlineStr">
        <is>
          <t>Shares</t>
        </is>
      </c>
      <c r="C4" s="21" t="n">
        <v>194.517701</v>
      </c>
      <c r="F4" s="1" t="n"/>
    </row>
    <row r="5">
      <c r="B5" t="inlineStr">
        <is>
          <t>Market Cap.</t>
        </is>
      </c>
      <c r="C5" s="13">
        <f>C3*C4</f>
        <v>447.39071229999996</v>
      </c>
      <c r="F5" s="1" t="n"/>
    </row>
    <row r="6"/>
    <row r="7">
      <c r="B7" t="inlineStr">
        <is>
          <t>Cash</t>
        </is>
      </c>
      <c r="C7" s="21">
        <f>63.008+263.273</f>
        <v>326.281</v>
      </c>
    </row>
    <row r="8">
      <c r="B8" t="inlineStr">
        <is>
          <t>Debt</t>
        </is>
      </c>
      <c r="C8" s="21" t="n">
        <v>34.742</v>
      </c>
    </row>
    <row r="9">
      <c r="B9" t="inlineStr">
        <is>
          <t>Enterprise V.</t>
        </is>
      </c>
      <c r="C9" s="13">
        <f>C5-C7+C8</f>
        <v>155.85171229999995</v>
      </c>
    </row>
    <row r="10"/>
    <row r="11">
      <c r="B11" s="14" t="inlineStr">
        <is>
          <t>Net Cash / Share</t>
        </is>
      </c>
      <c r="C11" s="11">
        <f>(C7-C8)/C4</f>
        <v>1.4987787666686436</v>
      </c>
    </row>
    <row r="12">
      <c r="B12" s="14" t="inlineStr">
        <is>
          <t>Upside</t>
        </is>
      </c>
      <c r="C12" s="15">
        <f>IFERROR(C11/C3-1,"")</f>
        <v>-0.3483570579701549</v>
      </c>
    </row>
    <row r="13">
      <c r="B13" s="14" t="inlineStr">
        <is>
          <t>Cash / Share</t>
        </is>
      </c>
      <c r="C13" s="11">
        <f>IFERROR((C7-C8)/C4,"")</f>
        <v>1.4987787666686436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-76.508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3.810568829403461</v>
      </c>
    </row>
    <row r="19">
      <c r="B19" s="14" t="inlineStr">
        <is>
          <t>Implied Pipeline Value</t>
        </is>
      </c>
      <c r="C19" s="13">
        <f>C9</f>
        <v>155.85171229999995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2010</v>
      </c>
      <c r="C1" s="17" t="n">
        <v>2011</v>
      </c>
      <c r="D1" s="17" t="n">
        <v>2012</v>
      </c>
      <c r="E1" s="17" t="n">
        <v>2013</v>
      </c>
      <c r="F1" s="17" t="n">
        <v>2014</v>
      </c>
      <c r="G1" s="17" t="n">
        <v>2015</v>
      </c>
      <c r="H1" s="17" t="n">
        <v>2016</v>
      </c>
      <c r="I1" s="17" t="n">
        <v>2017</v>
      </c>
      <c r="J1" s="17" t="n">
        <v>2018</v>
      </c>
      <c r="K1" s="17" t="n">
        <v>2019</v>
      </c>
      <c r="L1" s="17" t="n">
        <v>2020</v>
      </c>
      <c r="M1" s="17" t="n">
        <v>2021</v>
      </c>
      <c r="N1" s="17" t="n">
        <v>2022</v>
      </c>
      <c r="O1" s="17" t="n">
        <v>2023</v>
      </c>
      <c r="P1" s="17" t="n">
        <v>2024</v>
      </c>
      <c r="Q1" s="17" t="n">
        <v>2025</v>
      </c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20.994</v>
      </c>
      <c r="C2" s="23" t="n">
        <v>24.266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3.236</v>
      </c>
      <c r="I2" s="23" t="n">
        <v>10.738</v>
      </c>
      <c r="J2" s="23" t="n">
        <v>10.331</v>
      </c>
      <c r="K2" s="23" t="n">
        <v>5.801</v>
      </c>
      <c r="L2" s="23" t="n">
        <v>8.185</v>
      </c>
      <c r="M2" s="23" t="n">
        <v>4.41</v>
      </c>
      <c r="N2" s="23" t="n">
        <v>-0.068</v>
      </c>
      <c r="O2" s="23" t="n">
        <v>0.426</v>
      </c>
      <c r="P2" s="23" t="n">
        <v>0.02</v>
      </c>
      <c r="Q2" s="23" t="n">
        <v>0.041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</row>
    <row r="4" customFormat="1" s="1">
      <c r="A4" s="5" t="inlineStr">
        <is>
          <t>Gross Margin</t>
        </is>
      </c>
      <c r="B4" s="23">
        <f>B2-B3</f>
        <v>20.994</v>
      </c>
      <c r="C4" s="23">
        <f>C2-C3</f>
        <v>24.266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3.236</v>
      </c>
      <c r="I4" s="23">
        <f>I2-I3</f>
        <v>10.738</v>
      </c>
      <c r="J4" s="23">
        <f>J2-J3</f>
        <v>10.331</v>
      </c>
      <c r="K4" s="23">
        <f>K2-K3</f>
        <v>5.801</v>
      </c>
      <c r="L4" s="23">
        <f>L2-L3</f>
        <v>8.185</v>
      </c>
      <c r="M4" s="23">
        <f>M2-M3</f>
        <v>4.41</v>
      </c>
      <c r="N4" s="23">
        <f>N2-N3</f>
        <v>-0.068</v>
      </c>
      <c r="O4" s="23">
        <f>O2-O3</f>
        <v>0.426</v>
      </c>
      <c r="P4" s="23">
        <f>P2-P3</f>
        <v>0.02</v>
      </c>
      <c r="Q4" s="23">
        <f>Q2-Q3</f>
        <v>0.041</v>
      </c>
    </row>
    <row r="5">
      <c r="A5" s="2" t="inlineStr">
        <is>
          <t>Research &amp; Dev.</t>
        </is>
      </c>
      <c r="B5" s="23" t="n">
        <v>20.876</v>
      </c>
      <c r="C5" s="23" t="n">
        <v>21.22</v>
      </c>
      <c r="D5" s="23" t="n">
        <v>19.51</v>
      </c>
      <c r="E5" s="23" t="n">
        <v>15.29</v>
      </c>
      <c r="F5" s="23" t="n">
        <v>9.32</v>
      </c>
      <c r="G5" s="23" t="n">
        <v>5.134</v>
      </c>
      <c r="H5" s="23" t="n">
        <v>7.221</v>
      </c>
      <c r="I5" s="23" t="n">
        <v>18.406</v>
      </c>
      <c r="J5" s="23" t="n">
        <v>18.459</v>
      </c>
      <c r="K5" s="23" t="n">
        <v>17.766</v>
      </c>
      <c r="L5" s="23" t="n">
        <v>49.774</v>
      </c>
      <c r="M5" s="23" t="n">
        <v>74.541</v>
      </c>
      <c r="N5" s="23" t="n">
        <v>70.538</v>
      </c>
      <c r="O5" s="23" t="n">
        <v>65.79900000000001</v>
      </c>
      <c r="P5" s="23" t="n">
        <v>82.226</v>
      </c>
      <c r="Q5" s="23" t="n">
        <v>66.432</v>
      </c>
    </row>
    <row r="6">
      <c r="A6" s="19" t="inlineStr">
        <is>
          <t>SG&amp;A &amp; Other</t>
        </is>
      </c>
      <c r="B6" s="23" t="n">
        <v>23.672</v>
      </c>
      <c r="C6" s="23" t="n">
        <v>14.772</v>
      </c>
      <c r="D6" s="23" t="n">
        <v>-13.243</v>
      </c>
      <c r="E6" s="23" t="n">
        <v>-4.451</v>
      </c>
      <c r="F6" s="23" t="n">
        <v>0.871</v>
      </c>
      <c r="G6" s="23" t="n">
        <v>-1.731</v>
      </c>
      <c r="H6" s="23" t="n">
        <v>7.106</v>
      </c>
      <c r="I6" s="23" t="n">
        <v>44.377</v>
      </c>
      <c r="J6" s="23" t="n">
        <v>34.706</v>
      </c>
      <c r="K6" s="23" t="n">
        <v>9.500999999999999</v>
      </c>
      <c r="L6" s="23" t="n">
        <v>13.209</v>
      </c>
      <c r="M6" s="23" t="n">
        <v>26.783</v>
      </c>
      <c r="N6" s="23" t="n">
        <v>17.134</v>
      </c>
      <c r="O6" s="23" t="n">
        <v>30.556</v>
      </c>
      <c r="P6" s="23" t="n">
        <v>20.966</v>
      </c>
      <c r="Q6" s="23" t="n">
        <v>28.098</v>
      </c>
    </row>
    <row r="7">
      <c r="A7" s="2" t="inlineStr">
        <is>
          <t>Operating Expense</t>
        </is>
      </c>
      <c r="B7" s="23">
        <f>SUM(B5:B6)</f>
        <v>44.548</v>
      </c>
      <c r="C7" s="23">
        <f>SUM(C5:C6)</f>
        <v>35.992</v>
      </c>
      <c r="D7" s="23">
        <f>SUM(D5:D6)</f>
        <v>6.267000000000001</v>
      </c>
      <c r="E7" s="23">
        <f>SUM(E5:E6)</f>
        <v>10.838999999999999</v>
      </c>
      <c r="F7" s="23">
        <f>SUM(F5:F6)</f>
        <v>10.191</v>
      </c>
      <c r="G7" s="23">
        <f>SUM(G5:G6)</f>
        <v>3.4030000000000005</v>
      </c>
      <c r="H7" s="23">
        <f>SUM(H5:H6)</f>
        <v>14.327</v>
      </c>
      <c r="I7" s="23">
        <f>SUM(I5:I6)</f>
        <v>62.783</v>
      </c>
      <c r="J7" s="23">
        <f>SUM(J5:J6)</f>
        <v>53.165000000000006</v>
      </c>
      <c r="K7" s="23">
        <f>SUM(K5:K6)</f>
        <v>27.266999999999996</v>
      </c>
      <c r="L7" s="23">
        <f>SUM(L5:L6)</f>
        <v>62.983000000000004</v>
      </c>
      <c r="M7" s="23">
        <f>SUM(M5:M6)</f>
        <v>101.324</v>
      </c>
      <c r="N7" s="23">
        <f>SUM(N5:N6)</f>
        <v>87.672</v>
      </c>
      <c r="O7" s="23">
        <f>SUM(O5:O6)</f>
        <v>96.355</v>
      </c>
      <c r="P7" s="23">
        <f>SUM(P5:P6)</f>
        <v>103.19200000000001</v>
      </c>
      <c r="Q7" s="23">
        <f>SUM(Q5:Q6)</f>
        <v>94.53</v>
      </c>
    </row>
    <row r="8">
      <c r="A8" s="2" t="inlineStr">
        <is>
          <t>Operating Income</t>
        </is>
      </c>
      <c r="B8" s="23">
        <f>B4-B7</f>
        <v>-23.554000000000002</v>
      </c>
      <c r="C8" s="23">
        <f>C4-C7</f>
        <v>-11.725999999999999</v>
      </c>
      <c r="D8" s="23">
        <f>D4-D7</f>
        <v>-6.267000000000001</v>
      </c>
      <c r="E8" s="23">
        <f>E4-E7</f>
        <v>-10.838999999999999</v>
      </c>
      <c r="F8" s="23">
        <f>F4-F7</f>
        <v>-10.191</v>
      </c>
      <c r="G8" s="23">
        <f>G4-G7</f>
        <v>-3.4030000000000005</v>
      </c>
      <c r="H8" s="23">
        <f>H4-H7</f>
        <v>-11.091</v>
      </c>
      <c r="I8" s="23">
        <f>I4-I7</f>
        <v>-52.045</v>
      </c>
      <c r="J8" s="23">
        <f>J4-J7</f>
        <v>-42.834</v>
      </c>
      <c r="K8" s="23">
        <f>K4-K7</f>
        <v>-21.465999999999994</v>
      </c>
      <c r="L8" s="23">
        <f>L4-L7</f>
        <v>-54.798</v>
      </c>
      <c r="M8" s="23">
        <f>M4-M7</f>
        <v>-96.914</v>
      </c>
      <c r="N8" s="23">
        <f>N4-N7</f>
        <v>-87.74</v>
      </c>
      <c r="O8" s="23">
        <f>O4-O7</f>
        <v>-95.929</v>
      </c>
      <c r="P8" s="23">
        <f>P4-P7</f>
        <v>-103.17200000000001</v>
      </c>
      <c r="Q8" s="23">
        <f>Q4-Q7</f>
        <v>-94.489</v>
      </c>
    </row>
    <row r="9">
      <c r="A9" s="19" t="inlineStr">
        <is>
          <t>Interest &amp; Other</t>
        </is>
      </c>
      <c r="B9" s="23" t="n">
        <v>-11.296</v>
      </c>
      <c r="C9" s="23" t="n">
        <v>7.928</v>
      </c>
      <c r="D9" s="23" t="n">
        <v>1.542</v>
      </c>
      <c r="E9" s="23" t="n">
        <v>-0.8169999999999999</v>
      </c>
      <c r="F9" s="23" t="n">
        <v>0.298</v>
      </c>
      <c r="G9" s="23" t="n">
        <v>0.024</v>
      </c>
      <c r="H9" s="23" t="n">
        <v>0.005</v>
      </c>
      <c r="I9" s="23" t="n">
        <v>-0.019</v>
      </c>
      <c r="J9" s="23" t="n">
        <v>-2.487</v>
      </c>
      <c r="K9" s="23" t="n">
        <v>0.886</v>
      </c>
      <c r="L9" s="23" t="n">
        <v>0.337</v>
      </c>
      <c r="M9" s="23" t="n">
        <v>-0.176</v>
      </c>
      <c r="N9" s="23" t="n">
        <v>2.83</v>
      </c>
      <c r="O9" s="23" t="n">
        <v>7.482</v>
      </c>
      <c r="P9" s="23" t="n">
        <v>8.113</v>
      </c>
      <c r="Q9" s="23" t="n">
        <v>5.715</v>
      </c>
    </row>
    <row r="10">
      <c r="A10" s="2" t="inlineStr">
        <is>
          <t>Pretax</t>
        </is>
      </c>
      <c r="B10" s="23">
        <f>B8+B9</f>
        <v>-34.85</v>
      </c>
      <c r="C10" s="23">
        <f>C8+C9</f>
        <v>-3.797999999999999</v>
      </c>
      <c r="D10" s="23">
        <f>D8+D9</f>
        <v>-4.725000000000001</v>
      </c>
      <c r="E10" s="23">
        <f>E8+E9</f>
        <v>-11.655999999999999</v>
      </c>
      <c r="F10" s="23">
        <f>F8+F9</f>
        <v>-9.893</v>
      </c>
      <c r="G10" s="23">
        <f>G8+G9</f>
        <v>-3.3790000000000004</v>
      </c>
      <c r="H10" s="23">
        <f>H8+H9</f>
        <v>-11.085999999999999</v>
      </c>
      <c r="I10" s="23">
        <f>I8+I9</f>
        <v>-52.064</v>
      </c>
      <c r="J10" s="23">
        <f>J8+J9</f>
        <v>-45.321000000000005</v>
      </c>
      <c r="K10" s="23">
        <f>K8+K9</f>
        <v>-20.579999999999995</v>
      </c>
      <c r="L10" s="23">
        <f>L8+L9</f>
        <v>-54.461</v>
      </c>
      <c r="M10" s="23">
        <f>M8+M9</f>
        <v>-97.09</v>
      </c>
      <c r="N10" s="23">
        <f>N8+N9</f>
        <v>-84.91</v>
      </c>
      <c r="O10" s="23">
        <f>O8+O9</f>
        <v>-88.447</v>
      </c>
      <c r="P10" s="23">
        <f>P8+P9</f>
        <v>-95.05900000000001</v>
      </c>
      <c r="Q10" s="23">
        <f>Q8+Q9</f>
        <v>-88.774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0.196</v>
      </c>
      <c r="E11" s="23" t="n">
        <v>0.062</v>
      </c>
      <c r="F11" s="23" t="n">
        <v>0.062</v>
      </c>
      <c r="G11" s="23" t="n">
        <v>0.062</v>
      </c>
      <c r="H11" s="23" t="n">
        <v>0</v>
      </c>
      <c r="I11" s="23" t="n">
        <v>-5.638</v>
      </c>
      <c r="J11" s="23" t="n">
        <v>-6.15</v>
      </c>
      <c r="K11" s="23" t="n">
        <v>-0.059</v>
      </c>
      <c r="L11" s="23" t="n">
        <v>-5.417</v>
      </c>
      <c r="M11" s="23" t="n">
        <v>0</v>
      </c>
      <c r="N11" s="23" t="n">
        <v>-0.197</v>
      </c>
      <c r="O11" s="23" t="n">
        <v>0</v>
      </c>
      <c r="P11" s="23" t="n">
        <v>0</v>
      </c>
      <c r="Q11" s="23" t="n">
        <v>-0.681</v>
      </c>
    </row>
    <row r="12">
      <c r="A12" s="2" t="inlineStr">
        <is>
          <t>Net Income</t>
        </is>
      </c>
      <c r="B12" s="23" t="n">
        <v>-34.849</v>
      </c>
      <c r="C12" s="23" t="n">
        <v>-3.798</v>
      </c>
      <c r="D12" s="23" t="n">
        <v>-4.92</v>
      </c>
      <c r="E12" s="23" t="n">
        <v>-11.718</v>
      </c>
      <c r="F12" s="23" t="n">
        <v>-9.955</v>
      </c>
      <c r="G12" s="23" t="n">
        <v>-3.441</v>
      </c>
      <c r="H12" s="23" t="n">
        <v>-11.087</v>
      </c>
      <c r="I12" s="23" t="n">
        <v>-46.425</v>
      </c>
      <c r="J12" s="23" t="n">
        <v>-39.171</v>
      </c>
      <c r="K12" s="23" t="n">
        <v>-20.52</v>
      </c>
      <c r="L12" s="23" t="n">
        <v>-49.044</v>
      </c>
      <c r="M12" s="23" t="n">
        <v>-97.09</v>
      </c>
      <c r="N12" s="23" t="n">
        <v>-84.71299999999999</v>
      </c>
      <c r="O12" s="23" t="n">
        <v>-88.447</v>
      </c>
      <c r="P12" s="23" t="n">
        <v>-95.059</v>
      </c>
      <c r="Q12" s="23" t="n">
        <v>-88.093</v>
      </c>
    </row>
    <row r="13">
      <c r="A13" s="2" t="inlineStr">
        <is>
          <t>Earnings per Share</t>
        </is>
      </c>
      <c r="B13" s="11">
        <f>IFERROR(B12/B14,0)</f>
        <v>-165.94761904761904</v>
      </c>
      <c r="C13" s="11">
        <f>IFERROR(C12/C14,0)</f>
        <v>-12.371335504885995</v>
      </c>
      <c r="D13" s="11">
        <f>IFERROR(D12/D14,0)</f>
        <v>-15.668789808917197</v>
      </c>
      <c r="E13" s="11">
        <f>IFERROR(E12/E14,0)</f>
        <v>-35.61702127659574</v>
      </c>
      <c r="F13" s="11">
        <f>IFERROR(F12/F14,0)</f>
        <v>-26.61764705882353</v>
      </c>
      <c r="G13" s="11">
        <f>IFERROR(G12/G14,0)</f>
        <v>-8.291566265060242</v>
      </c>
      <c r="H13" s="11">
        <f>IFERROR(H12/H14,0)</f>
        <v>-26.025821596244132</v>
      </c>
      <c r="I13" s="11">
        <f>IFERROR(I12/I14,0)</f>
        <v>-16.556704707560627</v>
      </c>
      <c r="J13" s="11">
        <f>IFERROR(J12/J14,0)</f>
        <v>-13.9796573875803</v>
      </c>
      <c r="K13" s="11">
        <f>IFERROR(K12/K14,0)</f>
        <v>-1.5634285714285714</v>
      </c>
      <c r="L13" s="11">
        <f>IFERROR(L12/L14,0)</f>
        <v>-1.9130163435659397</v>
      </c>
      <c r="M13" s="11">
        <f>IFERROR(M12/M14,0)</f>
        <v>-2.351815517283143</v>
      </c>
      <c r="N13" s="11">
        <f>IFERROR(N12/N14,0)</f>
        <v>-1.8052465584111153</v>
      </c>
      <c r="O13" s="11">
        <f>IFERROR(O12/O14,0)</f>
        <v>-1.6610701072360885</v>
      </c>
      <c r="P13" s="11">
        <f>IFERROR(P12/P14,0)</f>
        <v>-1.3388025858062336</v>
      </c>
      <c r="Q13" s="11">
        <f>IFERROR(Q12/Q14,0)</f>
        <v>-0.9998751475528921</v>
      </c>
    </row>
    <row r="14">
      <c r="A14" s="2" t="inlineStr">
        <is>
          <t>Shares</t>
        </is>
      </c>
      <c r="B14" s="23" t="n">
        <v>0.21</v>
      </c>
      <c r="C14" s="23" t="n">
        <v>0.307</v>
      </c>
      <c r="D14" s="23" t="n">
        <v>0.314</v>
      </c>
      <c r="E14" s="23" t="n">
        <v>0.329</v>
      </c>
      <c r="F14" s="23" t="n">
        <v>0.374</v>
      </c>
      <c r="G14" s="23" t="n">
        <v>0.415</v>
      </c>
      <c r="H14" s="23" t="n">
        <v>0.426</v>
      </c>
      <c r="I14" s="23" t="n">
        <v>2.804</v>
      </c>
      <c r="J14" s="23" t="n">
        <v>2.802</v>
      </c>
      <c r="K14" s="23" t="n">
        <v>13.125</v>
      </c>
      <c r="L14" s="23" t="n">
        <v>25.637</v>
      </c>
      <c r="M14" s="23" t="n">
        <v>41.283</v>
      </c>
      <c r="N14" s="23" t="n">
        <v>46.926</v>
      </c>
      <c r="O14" s="23" t="n">
        <v>53.247</v>
      </c>
      <c r="P14" s="23" t="n">
        <v>71.003</v>
      </c>
      <c r="Q14" s="23" t="n">
        <v>88.104</v>
      </c>
    </row>
    <row r="15"/>
    <row r="16" customFormat="1" s="4">
      <c r="A16" s="3" t="inlineStr">
        <is>
          <t>Revenue Change</t>
        </is>
      </c>
      <c r="C16" s="15">
        <f>IFERROR(C2/B2-1,"")</f>
        <v>0.15585405353910642</v>
      </c>
      <c r="D16" s="15">
        <f>IFERROR(D2/C2-1,"")</f>
        <v>-1.0</v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>2.318294190358467</v>
      </c>
      <c r="J16" s="15">
        <f>IFERROR(J2/I2-1,"")</f>
        <v>-0.03790277519091079</v>
      </c>
      <c r="K16" s="15">
        <f>IFERROR(K2/J2-1,"")</f>
        <v>-0.4384861097667214</v>
      </c>
      <c r="L16" s="15">
        <f>IFERROR(L2/K2-1,"")</f>
        <v>0.41096362696086897</v>
      </c>
      <c r="M16" s="15">
        <f>IFERROR(M2/L2-1,"")</f>
        <v>-0.46120952962736717</v>
      </c>
      <c r="N16" s="15">
        <f>IFERROR(N2/M2-1,"")</f>
        <v>-1.0154195011337868</v>
      </c>
      <c r="O16" s="15">
        <f>IFERROR(O2/N2-1,"")</f>
        <v>-7.26470588235294</v>
      </c>
      <c r="P16" s="15">
        <f>IFERROR(P2/O2-1,"")</f>
        <v>-0.9530516431924883</v>
      </c>
      <c r="Q16" s="15">
        <f>IFERROR(Q2/P2-1,"")</f>
        <v>1.0499999999999998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>1.0</v>
      </c>
    </row>
    <row r="18">
      <c r="A18" s="14" t="inlineStr">
        <is>
          <t>Operating Margin</t>
        </is>
      </c>
      <c r="B18" s="15">
        <f>IFERROR(B8/B2,"")</f>
        <v>-1.121939601790988</v>
      </c>
      <c r="C18" s="15">
        <f>IFERROR(C8/C2,"")</f>
        <v>-0.48322756119673616</v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>-3.4273794808405436</v>
      </c>
      <c r="I18" s="15">
        <f>IFERROR(I8/I2,"")</f>
        <v>-4.846805736636245</v>
      </c>
      <c r="J18" s="15">
        <f>IFERROR(J8/J2,"")</f>
        <v>-4.146162036588907</v>
      </c>
      <c r="K18" s="15">
        <f>IFERROR(K8/K2,"")</f>
        <v>-3.700396483364936</v>
      </c>
      <c r="L18" s="15">
        <f>IFERROR(L8/L2,"")</f>
        <v>-6.694929749541845</v>
      </c>
      <c r="M18" s="15">
        <f>IFERROR(M8/M2,"")</f>
        <v>-21.97596371882086</v>
      </c>
      <c r="N18" s="15">
        <f>IFERROR(N8/N2,"")</f>
        <v>1290.2941176470586</v>
      </c>
      <c r="O18" s="15">
        <f>IFERROR(O8/O2,"")</f>
        <v>-225.1854460093897</v>
      </c>
      <c r="P18" s="15">
        <f>IFERROR(P8/P2,"")</f>
        <v>-5158.6</v>
      </c>
      <c r="Q18" s="15">
        <f>IFERROR(Q8/Q2,"")</f>
        <v>-2304.609756097561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2026-10-21T01:05:14Z</dcterms:modified>
  <cp:lastModifiedBy>Wang, Eric</cp:lastModifiedBy>
</cp:coreProperties>
</file>