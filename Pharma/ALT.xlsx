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Altimmune Inc</t>
        </is>
      </c>
      <c r="C2" s="10" t="n"/>
    </row>
    <row r="3">
      <c r="B3" t="inlineStr">
        <is>
          <t>Price</t>
        </is>
      </c>
      <c r="C3" s="11">
        <f>INDEX([1]Pharma!$F$1:$F$1000,MATCH("ALT",[1]Pharma!$B$1:$B$1000,0))</f>
        <v>2.3</v>
      </c>
      <c r="F3" s="1" t="n"/>
    </row>
    <row r="4">
      <c r="B4" t="inlineStr">
        <is>
          <t>Shares</t>
        </is>
      </c>
      <c r="C4" s="21" t="n">
        <v>194.517701</v>
      </c>
      <c r="F4" s="1" t="n"/>
    </row>
    <row r="5">
      <c r="B5" t="inlineStr">
        <is>
          <t>Market Cap.</t>
        </is>
      </c>
      <c r="C5" s="13">
        <f>C3*C4</f>
        <v>447.39071229999996</v>
      </c>
      <c r="F5" s="1" t="n"/>
    </row>
    <row r="6"/>
    <row r="7">
      <c r="B7" t="inlineStr">
        <is>
          <t>Cash</t>
        </is>
      </c>
      <c r="C7" s="21">
        <f>63.008+263.273</f>
        <v>326.281</v>
      </c>
    </row>
    <row r="8">
      <c r="B8" t="inlineStr">
        <is>
          <t>Debt</t>
        </is>
      </c>
      <c r="C8" s="21" t="n">
        <v>34.742</v>
      </c>
    </row>
    <row r="9">
      <c r="B9" t="inlineStr">
        <is>
          <t>Enterprise V.</t>
        </is>
      </c>
      <c r="C9" s="13">
        <f>C5-C7+C8</f>
        <v>155.85171229999995</v>
      </c>
    </row>
    <row r="10"/>
    <row r="11">
      <c r="B11" s="14" t="inlineStr">
        <is>
          <t>rNPV / Share</t>
        </is>
      </c>
      <c r="C11" s="11">
        <f>NPV!B27</f>
        <v>9.050546700335746</v>
      </c>
    </row>
    <row r="12">
      <c r="B12" s="14" t="inlineStr">
        <is>
          <t>Upside</t>
        </is>
      </c>
      <c r="C12" s="15">
        <f>IFERROR(C11/C3-1,"")</f>
        <v>2.935020304493803</v>
      </c>
    </row>
    <row r="13">
      <c r="B13" s="14" t="inlineStr">
        <is>
          <t>Cash / Share</t>
        </is>
      </c>
      <c r="C13" s="11">
        <f>IFERROR((C7-C8)/C4,"")</f>
        <v>1.4987787666686436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-76.508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3.810568829403461</v>
      </c>
    </row>
    <row r="19">
      <c r="B19" s="14" t="inlineStr">
        <is>
          <t>Implied Pipeline Value</t>
        </is>
      </c>
      <c r="C19" s="13">
        <f>C9</f>
        <v>155.85171229999995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20.994</v>
      </c>
      <c r="C2" s="23" t="n">
        <v>24.266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3.236</v>
      </c>
      <c r="I2" s="23" t="n">
        <v>10.738</v>
      </c>
      <c r="J2" s="23" t="n">
        <v>10.331</v>
      </c>
      <c r="K2" s="23" t="n">
        <v>5.801</v>
      </c>
      <c r="L2" s="23" t="n">
        <v>8.185</v>
      </c>
      <c r="M2" s="23" t="n">
        <v>4.41</v>
      </c>
      <c r="N2" s="23" t="n">
        <v>-0.068</v>
      </c>
      <c r="O2" s="23" t="n">
        <v>0.426</v>
      </c>
      <c r="P2" s="23" t="n">
        <v>0.02</v>
      </c>
      <c r="Q2" s="23" t="n">
        <v>0.041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20.994</v>
      </c>
      <c r="C4" s="23">
        <f>C2-C3</f>
        <v>24.266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3.236</v>
      </c>
      <c r="I4" s="23">
        <f>I2-I3</f>
        <v>10.738</v>
      </c>
      <c r="J4" s="23">
        <f>J2-J3</f>
        <v>10.331</v>
      </c>
      <c r="K4" s="23">
        <f>K2-K3</f>
        <v>5.801</v>
      </c>
      <c r="L4" s="23">
        <f>L2-L3</f>
        <v>8.185</v>
      </c>
      <c r="M4" s="23">
        <f>M2-M3</f>
        <v>4.41</v>
      </c>
      <c r="N4" s="23">
        <f>N2-N3</f>
        <v>-0.068</v>
      </c>
      <c r="O4" s="23">
        <f>O2-O3</f>
        <v>0.426</v>
      </c>
      <c r="P4" s="23">
        <f>P2-P3</f>
        <v>0.02</v>
      </c>
      <c r="Q4" s="23">
        <f>Q2-Q3</f>
        <v>0.041</v>
      </c>
    </row>
    <row r="5">
      <c r="A5" s="2" t="inlineStr">
        <is>
          <t>Research &amp; Dev.</t>
        </is>
      </c>
      <c r="B5" s="23" t="n">
        <v>20.876</v>
      </c>
      <c r="C5" s="23" t="n">
        <v>21.22</v>
      </c>
      <c r="D5" s="23" t="n">
        <v>19.51</v>
      </c>
      <c r="E5" s="23" t="n">
        <v>15.29</v>
      </c>
      <c r="F5" s="23" t="n">
        <v>9.32</v>
      </c>
      <c r="G5" s="23" t="n">
        <v>5.134</v>
      </c>
      <c r="H5" s="23" t="n">
        <v>7.221</v>
      </c>
      <c r="I5" s="23" t="n">
        <v>18.406</v>
      </c>
      <c r="J5" s="23" t="n">
        <v>18.459</v>
      </c>
      <c r="K5" s="23" t="n">
        <v>17.766</v>
      </c>
      <c r="L5" s="23" t="n">
        <v>49.774</v>
      </c>
      <c r="M5" s="23" t="n">
        <v>74.541</v>
      </c>
      <c r="N5" s="23" t="n">
        <v>70.538</v>
      </c>
      <c r="O5" s="23" t="n">
        <v>65.79900000000001</v>
      </c>
      <c r="P5" s="23" t="n">
        <v>82.226</v>
      </c>
      <c r="Q5" s="23" t="n">
        <v>66.432</v>
      </c>
    </row>
    <row r="6">
      <c r="A6" s="19" t="inlineStr">
        <is>
          <t>SG&amp;A &amp; Other</t>
        </is>
      </c>
      <c r="B6" s="23" t="n">
        <v>23.672</v>
      </c>
      <c r="C6" s="23" t="n">
        <v>14.772</v>
      </c>
      <c r="D6" s="23" t="n">
        <v>-13.243</v>
      </c>
      <c r="E6" s="23" t="n">
        <v>-4.451</v>
      </c>
      <c r="F6" s="23" t="n">
        <v>0.871</v>
      </c>
      <c r="G6" s="23" t="n">
        <v>-1.731</v>
      </c>
      <c r="H6" s="23" t="n">
        <v>7.106</v>
      </c>
      <c r="I6" s="23" t="n">
        <v>44.377</v>
      </c>
      <c r="J6" s="23" t="n">
        <v>34.706</v>
      </c>
      <c r="K6" s="23" t="n">
        <v>9.500999999999999</v>
      </c>
      <c r="L6" s="23" t="n">
        <v>13.209</v>
      </c>
      <c r="M6" s="23" t="n">
        <v>26.783</v>
      </c>
      <c r="N6" s="23" t="n">
        <v>17.134</v>
      </c>
      <c r="O6" s="23" t="n">
        <v>30.556</v>
      </c>
      <c r="P6" s="23" t="n">
        <v>20.966</v>
      </c>
      <c r="Q6" s="23" t="n">
        <v>28.098</v>
      </c>
    </row>
    <row r="7">
      <c r="A7" s="2" t="inlineStr">
        <is>
          <t>Operating Expense</t>
        </is>
      </c>
      <c r="B7" s="23">
        <f>SUM(B5:B6)</f>
        <v>44.548</v>
      </c>
      <c r="C7" s="23">
        <f>SUM(C5:C6)</f>
        <v>35.992</v>
      </c>
      <c r="D7" s="23">
        <f>SUM(D5:D6)</f>
        <v>6.267000000000001</v>
      </c>
      <c r="E7" s="23">
        <f>SUM(E5:E6)</f>
        <v>10.838999999999999</v>
      </c>
      <c r="F7" s="23">
        <f>SUM(F5:F6)</f>
        <v>10.191</v>
      </c>
      <c r="G7" s="23">
        <f>SUM(G5:G6)</f>
        <v>3.4030000000000005</v>
      </c>
      <c r="H7" s="23">
        <f>SUM(H5:H6)</f>
        <v>14.327</v>
      </c>
      <c r="I7" s="23">
        <f>SUM(I5:I6)</f>
        <v>62.783</v>
      </c>
      <c r="J7" s="23">
        <f>SUM(J5:J6)</f>
        <v>53.165000000000006</v>
      </c>
      <c r="K7" s="23">
        <f>SUM(K5:K6)</f>
        <v>27.266999999999996</v>
      </c>
      <c r="L7" s="23">
        <f>SUM(L5:L6)</f>
        <v>62.983000000000004</v>
      </c>
      <c r="M7" s="23">
        <f>SUM(M5:M6)</f>
        <v>101.324</v>
      </c>
      <c r="N7" s="23">
        <f>SUM(N5:N6)</f>
        <v>87.672</v>
      </c>
      <c r="O7" s="23">
        <f>SUM(O5:O6)</f>
        <v>96.355</v>
      </c>
      <c r="P7" s="23">
        <f>SUM(P5:P6)</f>
        <v>103.19200000000001</v>
      </c>
      <c r="Q7" s="23">
        <f>SUM(Q5:Q6)</f>
        <v>94.53</v>
      </c>
    </row>
    <row r="8">
      <c r="A8" s="2" t="inlineStr">
        <is>
          <t>Operating Income</t>
        </is>
      </c>
      <c r="B8" s="23">
        <f>B4-B7</f>
        <v>-23.554000000000002</v>
      </c>
      <c r="C8" s="23">
        <f>C4-C7</f>
        <v>-11.725999999999999</v>
      </c>
      <c r="D8" s="23">
        <f>D4-D7</f>
        <v>-6.267000000000001</v>
      </c>
      <c r="E8" s="23">
        <f>E4-E7</f>
        <v>-10.838999999999999</v>
      </c>
      <c r="F8" s="23">
        <f>F4-F7</f>
        <v>-10.191</v>
      </c>
      <c r="G8" s="23">
        <f>G4-G7</f>
        <v>-3.4030000000000005</v>
      </c>
      <c r="H8" s="23">
        <f>H4-H7</f>
        <v>-11.091</v>
      </c>
      <c r="I8" s="23">
        <f>I4-I7</f>
        <v>-52.045</v>
      </c>
      <c r="J8" s="23">
        <f>J4-J7</f>
        <v>-42.834</v>
      </c>
      <c r="K8" s="23">
        <f>K4-K7</f>
        <v>-21.465999999999994</v>
      </c>
      <c r="L8" s="23">
        <f>L4-L7</f>
        <v>-54.798</v>
      </c>
      <c r="M8" s="23">
        <f>M4-M7</f>
        <v>-96.914</v>
      </c>
      <c r="N8" s="23">
        <f>N4-N7</f>
        <v>-87.74</v>
      </c>
      <c r="O8" s="23">
        <f>O4-O7</f>
        <v>-95.929</v>
      </c>
      <c r="P8" s="23">
        <f>P4-P7</f>
        <v>-103.17200000000001</v>
      </c>
      <c r="Q8" s="23">
        <f>Q4-Q7</f>
        <v>-94.489</v>
      </c>
    </row>
    <row r="9">
      <c r="A9" s="19" t="inlineStr">
        <is>
          <t>Interest &amp; Other</t>
        </is>
      </c>
      <c r="B9" s="23" t="n">
        <v>-11.296</v>
      </c>
      <c r="C9" s="23" t="n">
        <v>7.928</v>
      </c>
      <c r="D9" s="23" t="n">
        <v>1.542</v>
      </c>
      <c r="E9" s="23" t="n">
        <v>-0.8169999999999999</v>
      </c>
      <c r="F9" s="23" t="n">
        <v>0.298</v>
      </c>
      <c r="G9" s="23" t="n">
        <v>0.024</v>
      </c>
      <c r="H9" s="23" t="n">
        <v>0.005</v>
      </c>
      <c r="I9" s="23" t="n">
        <v>-0.019</v>
      </c>
      <c r="J9" s="23" t="n">
        <v>-2.487</v>
      </c>
      <c r="K9" s="23" t="n">
        <v>0.886</v>
      </c>
      <c r="L9" s="23" t="n">
        <v>0.337</v>
      </c>
      <c r="M9" s="23" t="n">
        <v>-0.176</v>
      </c>
      <c r="N9" s="23" t="n">
        <v>2.83</v>
      </c>
      <c r="O9" s="23" t="n">
        <v>7.482</v>
      </c>
      <c r="P9" s="23" t="n">
        <v>8.113</v>
      </c>
      <c r="Q9" s="23" t="n">
        <v>5.715</v>
      </c>
    </row>
    <row r="10">
      <c r="A10" s="2" t="inlineStr">
        <is>
          <t>Pretax</t>
        </is>
      </c>
      <c r="B10" s="23">
        <f>B8+B9</f>
        <v>-34.85</v>
      </c>
      <c r="C10" s="23">
        <f>C8+C9</f>
        <v>-3.797999999999999</v>
      </c>
      <c r="D10" s="23">
        <f>D8+D9</f>
        <v>-4.725000000000001</v>
      </c>
      <c r="E10" s="23">
        <f>E8+E9</f>
        <v>-11.655999999999999</v>
      </c>
      <c r="F10" s="23">
        <f>F8+F9</f>
        <v>-9.893</v>
      </c>
      <c r="G10" s="23">
        <f>G8+G9</f>
        <v>-3.3790000000000004</v>
      </c>
      <c r="H10" s="23">
        <f>H8+H9</f>
        <v>-11.085999999999999</v>
      </c>
      <c r="I10" s="23">
        <f>I8+I9</f>
        <v>-52.064</v>
      </c>
      <c r="J10" s="23">
        <f>J8+J9</f>
        <v>-45.321000000000005</v>
      </c>
      <c r="K10" s="23">
        <f>K8+K9</f>
        <v>-20.579999999999995</v>
      </c>
      <c r="L10" s="23">
        <f>L8+L9</f>
        <v>-54.461</v>
      </c>
      <c r="M10" s="23">
        <f>M8+M9</f>
        <v>-97.09</v>
      </c>
      <c r="N10" s="23">
        <f>N8+N9</f>
        <v>-84.91</v>
      </c>
      <c r="O10" s="23">
        <f>O8+O9</f>
        <v>-88.447</v>
      </c>
      <c r="P10" s="23">
        <f>P8+P9</f>
        <v>-95.05900000000001</v>
      </c>
      <c r="Q10" s="23">
        <f>Q8+Q9</f>
        <v>-88.774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0.196</v>
      </c>
      <c r="E11" s="23" t="n">
        <v>0.062</v>
      </c>
      <c r="F11" s="23" t="n">
        <v>0.062</v>
      </c>
      <c r="G11" s="23" t="n">
        <v>0.062</v>
      </c>
      <c r="H11" s="23" t="n">
        <v>0</v>
      </c>
      <c r="I11" s="23" t="n">
        <v>-5.638</v>
      </c>
      <c r="J11" s="23" t="n">
        <v>-6.15</v>
      </c>
      <c r="K11" s="23" t="n">
        <v>-0.059</v>
      </c>
      <c r="L11" s="23" t="n">
        <v>-5.417</v>
      </c>
      <c r="M11" s="23" t="n">
        <v>0</v>
      </c>
      <c r="N11" s="23" t="n">
        <v>-0.197</v>
      </c>
      <c r="O11" s="23" t="n">
        <v>0</v>
      </c>
      <c r="P11" s="23" t="n">
        <v>0</v>
      </c>
      <c r="Q11" s="23" t="n">
        <v>-0.681</v>
      </c>
    </row>
    <row r="12">
      <c r="A12" s="2" t="inlineStr">
        <is>
          <t>Net Income</t>
        </is>
      </c>
      <c r="B12" s="23" t="n">
        <v>-34.849</v>
      </c>
      <c r="C12" s="23" t="n">
        <v>-3.798</v>
      </c>
      <c r="D12" s="23" t="n">
        <v>-4.92</v>
      </c>
      <c r="E12" s="23" t="n">
        <v>-11.718</v>
      </c>
      <c r="F12" s="23" t="n">
        <v>-9.955</v>
      </c>
      <c r="G12" s="23" t="n">
        <v>-3.441</v>
      </c>
      <c r="H12" s="23" t="n">
        <v>-11.087</v>
      </c>
      <c r="I12" s="23" t="n">
        <v>-46.425</v>
      </c>
      <c r="J12" s="23" t="n">
        <v>-39.171</v>
      </c>
      <c r="K12" s="23" t="n">
        <v>-20.52</v>
      </c>
      <c r="L12" s="23" t="n">
        <v>-49.044</v>
      </c>
      <c r="M12" s="23" t="n">
        <v>-97.09</v>
      </c>
      <c r="N12" s="23" t="n">
        <v>-84.71299999999999</v>
      </c>
      <c r="O12" s="23" t="n">
        <v>-88.447</v>
      </c>
      <c r="P12" s="23" t="n">
        <v>-95.059</v>
      </c>
      <c r="Q12" s="23" t="n">
        <v>-88.093</v>
      </c>
    </row>
    <row r="13">
      <c r="A13" s="2" t="inlineStr">
        <is>
          <t>Earnings per Share</t>
        </is>
      </c>
      <c r="B13" s="11">
        <f>IFERROR(B12/B14,0)</f>
        <v>-165.94761904761904</v>
      </c>
      <c r="C13" s="11">
        <f>IFERROR(C12/C14,0)</f>
        <v>-12.371335504885995</v>
      </c>
      <c r="D13" s="11">
        <f>IFERROR(D12/D14,0)</f>
        <v>-15.668789808917197</v>
      </c>
      <c r="E13" s="11">
        <f>IFERROR(E12/E14,0)</f>
        <v>-35.61702127659574</v>
      </c>
      <c r="F13" s="11">
        <f>IFERROR(F12/F14,0)</f>
        <v>-26.61764705882353</v>
      </c>
      <c r="G13" s="11">
        <f>IFERROR(G12/G14,0)</f>
        <v>-8.291566265060242</v>
      </c>
      <c r="H13" s="11">
        <f>IFERROR(H12/H14,0)</f>
        <v>-26.025821596244132</v>
      </c>
      <c r="I13" s="11">
        <f>IFERROR(I12/I14,0)</f>
        <v>-16.556704707560627</v>
      </c>
      <c r="J13" s="11">
        <f>IFERROR(J12/J14,0)</f>
        <v>-13.9796573875803</v>
      </c>
      <c r="K13" s="11">
        <f>IFERROR(K12/K14,0)</f>
        <v>-1.5634285714285714</v>
      </c>
      <c r="L13" s="11">
        <f>IFERROR(L12/L14,0)</f>
        <v>-1.9130163435659397</v>
      </c>
      <c r="M13" s="11">
        <f>IFERROR(M12/M14,0)</f>
        <v>-2.351815517283143</v>
      </c>
      <c r="N13" s="11">
        <f>IFERROR(N12/N14,0)</f>
        <v>-1.8052465584111153</v>
      </c>
      <c r="O13" s="11">
        <f>IFERROR(O12/O14,0)</f>
        <v>-1.6610701072360885</v>
      </c>
      <c r="P13" s="11">
        <f>IFERROR(P12/P14,0)</f>
        <v>-1.3388025858062336</v>
      </c>
      <c r="Q13" s="11">
        <f>IFERROR(Q12/Q14,0)</f>
        <v>-0.9998751475528921</v>
      </c>
    </row>
    <row r="14">
      <c r="A14" s="2" t="inlineStr">
        <is>
          <t>Shares</t>
        </is>
      </c>
      <c r="B14" s="23" t="n">
        <v>0.21</v>
      </c>
      <c r="C14" s="23" t="n">
        <v>0.307</v>
      </c>
      <c r="D14" s="23" t="n">
        <v>0.314</v>
      </c>
      <c r="E14" s="23" t="n">
        <v>0.329</v>
      </c>
      <c r="F14" s="23" t="n">
        <v>0.374</v>
      </c>
      <c r="G14" s="23" t="n">
        <v>0.415</v>
      </c>
      <c r="H14" s="23" t="n">
        <v>0.426</v>
      </c>
      <c r="I14" s="23" t="n">
        <v>2.804</v>
      </c>
      <c r="J14" s="23" t="n">
        <v>2.802</v>
      </c>
      <c r="K14" s="23" t="n">
        <v>13.125</v>
      </c>
      <c r="L14" s="23" t="n">
        <v>25.637</v>
      </c>
      <c r="M14" s="23" t="n">
        <v>41.283</v>
      </c>
      <c r="N14" s="23" t="n">
        <v>46.926</v>
      </c>
      <c r="O14" s="23" t="n">
        <v>53.247</v>
      </c>
      <c r="P14" s="23" t="n">
        <v>71.003</v>
      </c>
      <c r="Q14" s="23" t="n">
        <v>88.104</v>
      </c>
    </row>
    <row r="15"/>
    <row r="16" customFormat="1" s="4">
      <c r="A16" s="3" t="inlineStr">
        <is>
          <t>Revenue Change</t>
        </is>
      </c>
      <c r="C16" s="15">
        <f>IFERROR(C2/B2-1,"")</f>
        <v>0.15585405353910642</v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2.318294190358467</v>
      </c>
      <c r="J16" s="15">
        <f>IFERROR(J2/I2-1,"")</f>
        <v>-0.03790277519091079</v>
      </c>
      <c r="K16" s="15">
        <f>IFERROR(K2/J2-1,"")</f>
        <v>-0.4384861097667214</v>
      </c>
      <c r="L16" s="15">
        <f>IFERROR(L2/K2-1,"")</f>
        <v>0.41096362696086897</v>
      </c>
      <c r="M16" s="15">
        <f>IFERROR(M2/L2-1,"")</f>
        <v>-0.46120952962736717</v>
      </c>
      <c r="N16" s="15">
        <f>IFERROR(N2/M2-1,"")</f>
        <v>-1.0154195011337868</v>
      </c>
      <c r="O16" s="15">
        <f>IFERROR(O2/N2-1,"")</f>
        <v>-7.26470588235294</v>
      </c>
      <c r="P16" s="15">
        <f>IFERROR(P2/O2-1,"")</f>
        <v>-0.9530516431924883</v>
      </c>
      <c r="Q16" s="15">
        <f>IFERROR(Q2/P2-1,"")</f>
        <v>1.0499999999999998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>-1.121939601790988</v>
      </c>
      <c r="C18" s="15">
        <f>IFERROR(C8/C2,"")</f>
        <v>-0.48322756119673616</v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-3.4273794808405436</v>
      </c>
      <c r="I18" s="15">
        <f>IFERROR(I8/I2,"")</f>
        <v>-4.846805736636245</v>
      </c>
      <c r="J18" s="15">
        <f>IFERROR(J8/J2,"")</f>
        <v>-4.146162036588907</v>
      </c>
      <c r="K18" s="15">
        <f>IFERROR(K8/K2,"")</f>
        <v>-3.700396483364936</v>
      </c>
      <c r="L18" s="15">
        <f>IFERROR(L8/L2,"")</f>
        <v>-6.694929749541845</v>
      </c>
      <c r="M18" s="15">
        <f>IFERROR(M8/M2,"")</f>
        <v>-21.97596371882086</v>
      </c>
      <c r="N18" s="15">
        <f>IFERROR(N8/N2,"")</f>
        <v>1290.2941176470586</v>
      </c>
      <c r="O18" s="15">
        <f>IFERROR(O8/O2,"")</f>
        <v>-225.1854460093897</v>
      </c>
      <c r="P18" s="15">
        <f>IFERROR(P8/P2,"")</f>
        <v>-5158.6</v>
      </c>
      <c r="Q18" s="15">
        <f>IFERROR(Q8/Q2,"")</f>
        <v>-2304.609756097561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Altimmune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0.6127824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100.225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688.3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1468.952536942445</v>
      </c>
      <c r="C29" s="42">
        <f>NPV!B25</f>
        <v>1760.491536942445</v>
      </c>
      <c r="D29" s="43">
        <f>NPV!B27</f>
        <v>9.050546700335746</v>
      </c>
      <c r="E29" s="44">
        <f>NPV!B29</f>
        <v>2.935020304493803</v>
      </c>
    </row>
    <row r="30">
      <c r="A30" s="45" t="n">
        <v>1</v>
      </c>
      <c r="B30" s="46">
        <f t="dataTable" ref="B30:E32" r1="B4"/>
        <v>486.41759465359013</v>
      </c>
      <c r="C30" s="46">
        <v>777.9565946535902</v>
      </c>
      <c r="D30" s="47">
        <v>3.9994128588512887</v>
      </c>
      <c r="E30" s="48">
        <v>0.7388751560222995</v>
      </c>
    </row>
    <row r="31">
      <c r="A31" s="45" t="n">
        <v>2</v>
      </c>
      <c r="B31" s="46">
        <v>1468.952536942445</v>
      </c>
      <c r="C31" s="46">
        <v>1760.491536942445</v>
      </c>
      <c r="D31" s="47">
        <v>9.050546700335746</v>
      </c>
      <c r="E31" s="48">
        <v>2.935020304493803</v>
      </c>
    </row>
    <row r="32">
      <c r="A32" s="45" t="n">
        <v>3</v>
      </c>
      <c r="B32" s="46">
        <v>2975.02980560545</v>
      </c>
      <c r="C32" s="46">
        <v>3266.5688056054496</v>
      </c>
      <c r="D32" s="47">
        <v>16.793169921360782</v>
      </c>
      <c r="E32" s="48">
        <v>6.301378226678602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9.050546700335746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3.0951516447049485</v>
      </c>
      <c r="C37" s="47">
        <v>4.432582978704384</v>
      </c>
      <c r="D37" s="47">
        <v>5.746960682687175</v>
      </c>
      <c r="E37" s="47">
        <v>8.349399999198171</v>
      </c>
      <c r="F37" s="47">
        <v>10.937955449241302</v>
      </c>
    </row>
    <row r="38">
      <c r="A38" s="50" t="n">
        <v>0.8</v>
      </c>
      <c r="B38" s="47">
        <v>3.9040062873720003</v>
      </c>
      <c r="C38" s="47">
        <v>5.663031047762742</v>
      </c>
      <c r="D38" s="47">
        <v>7.402358902788736</v>
      </c>
      <c r="E38" s="47">
        <v>10.854941729805718</v>
      </c>
      <c r="F38" s="47">
        <v>14.291495246111518</v>
      </c>
    </row>
    <row r="39">
      <c r="A39" s="50" t="n">
        <v>1</v>
      </c>
      <c r="B39" s="47">
        <v>4.706408517779432</v>
      </c>
      <c r="C39" s="47">
        <v>6.887967316936837</v>
      </c>
      <c r="D39" s="47">
        <v>9.050546700335746</v>
      </c>
      <c r="E39" s="47">
        <v>13.355500097309449</v>
      </c>
      <c r="F39" s="47">
        <v>17.645908513204414</v>
      </c>
    </row>
    <row r="40">
      <c r="A40" s="50" t="n">
        <v>1.2</v>
      </c>
      <c r="B40" s="47">
        <v>5.508281816400974</v>
      </c>
      <c r="C40" s="47">
        <v>8.113325810874517</v>
      </c>
      <c r="D40" s="47">
        <v>10.701881260917649</v>
      </c>
      <c r="E40" s="47">
        <v>15.85611127475786</v>
      </c>
      <c r="F40" s="47">
        <v>21.00362881688518</v>
      </c>
    </row>
    <row r="41">
      <c r="A41" s="50" t="n">
        <v>1.4</v>
      </c>
      <c r="B41" s="47">
        <v>6.3071261474766365</v>
      </c>
      <c r="C41" s="47">
        <v>9.337556786443598</v>
      </c>
      <c r="D41" s="47">
        <v>12.354430263487833</v>
      </c>
      <c r="E41" s="47">
        <v>18.361002045740783</v>
      </c>
      <c r="F41" s="47">
        <v>24.355500071025254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Altimmune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MASH / liver fibrosis</t>
        </is>
      </c>
      <c r="C4" s="14" t="inlineStr">
        <is>
          <t>Pemvidutide, Atorvastatin</t>
        </is>
      </c>
      <c r="D4" s="14" t="inlineStr">
        <is>
          <t>Phase 3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2500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1975.9584596557638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137.75</v>
      </c>
      <c r="Q4" s="23">
        <f>IF(Q$3&lt;$I4,0,$G4*Assumptions!$E$11*INDEX(Assumptions!$B$24:$G$24,MIN(6,Q$3-$I4+1))*IF(Q$3&gt;$J4,(1-Assumptions!$B$26)^(Q$3-$J4),1)*IF($H4&gt;=1,1,MIN(0.97,$H4*Assumptions!$E$12)))</f>
        <v>344.375</v>
      </c>
      <c r="R4" s="23">
        <f>IF(R$3&lt;$I4,0,$G4*Assumptions!$E$11*INDEX(Assumptions!$B$24:$G$24,MIN(6,R$3-$I4+1))*IF(R$3&gt;$J4,(1-Assumptions!$B$26)^(R$3-$J4),1)*IF($H4&gt;=1,1,MIN(0.97,$H4*Assumptions!$E$12)))</f>
        <v>619.875</v>
      </c>
      <c r="S4" s="23">
        <f>IF(S$3&lt;$I4,0,$G4*Assumptions!$E$11*INDEX(Assumptions!$B$24:$G$24,MIN(6,S$3-$I4+1))*IF(S$3&gt;$J4,(1-Assumptions!$B$26)^(S$3-$J4),1)*IF($H4&gt;=1,1,MIN(0.97,$H4*Assumptions!$E$12)))</f>
        <v>895.3750000000001</v>
      </c>
      <c r="T4" s="23">
        <f>IF(T$3&lt;$I4,0,$G4*Assumptions!$E$11*INDEX(Assumptions!$B$24:$G$24,MIN(6,T$3-$I4+1))*IF(T$3&gt;$J4,(1-Assumptions!$B$26)^(T$3-$J4),1)*IF($H4&gt;=1,1,MIN(0.97,$H4*Assumptions!$E$12)))</f>
        <v>1170.875</v>
      </c>
      <c r="U4" s="23">
        <f>IF(U$3&lt;$I4,0,$G4*Assumptions!$E$11*INDEX(Assumptions!$B$24:$G$24,MIN(6,U$3-$I4+1))*IF(U$3&gt;$J4,(1-Assumptions!$B$26)^(U$3-$J4),1)*IF($H4&gt;=1,1,MIN(0.97,$H4*Assumptions!$E$12)))</f>
        <v>1377.5</v>
      </c>
      <c r="V4" s="23">
        <f>IF(V$3&lt;$I4,0,$G4*Assumptions!$E$11*INDEX(Assumptions!$B$24:$G$24,MIN(6,V$3-$I4+1))*IF(V$3&gt;$J4,(1-Assumptions!$B$26)^(V$3-$J4),1)*IF($H4&gt;=1,1,MIN(0.97,$H4*Assumptions!$E$12)))</f>
        <v>1377.5</v>
      </c>
      <c r="W4" s="23">
        <f>IF(W$3&lt;$I4,0,$G4*Assumptions!$E$11*INDEX(Assumptions!$B$24:$G$24,MIN(6,W$3-$I4+1))*IF(W$3&gt;$J4,(1-Assumptions!$B$26)^(W$3-$J4),1)*IF($H4&gt;=1,1,MIN(0.97,$H4*Assumptions!$E$12)))</f>
        <v>1377.5</v>
      </c>
      <c r="X4" s="23">
        <f>IF(X$3&lt;$I4,0,$G4*Assumptions!$E$11*INDEX(Assumptions!$B$24:$G$24,MIN(6,X$3-$I4+1))*IF(X$3&gt;$J4,(1-Assumptions!$B$26)^(X$3-$J4),1)*IF($H4&gt;=1,1,MIN(0.97,$H4*Assumptions!$E$12)))</f>
        <v>1377.5</v>
      </c>
      <c r="Y4" s="23">
        <f>IF(Y$3&lt;$I4,0,$G4*Assumptions!$E$11*INDEX(Assumptions!$B$24:$G$24,MIN(6,Y$3-$I4+1))*IF(Y$3&gt;$J4,(1-Assumptions!$B$26)^(Y$3-$J4),1)*IF($H4&gt;=1,1,MIN(0.97,$H4*Assumptions!$E$12)))</f>
        <v>1377.5</v>
      </c>
      <c r="Z4" s="23">
        <f>IF(Z$3&lt;$I4,0,$G4*Assumptions!$E$11*INDEX(Assumptions!$B$24:$G$24,MIN(6,Z$3-$I4+1))*IF(Z$3&gt;$J4,(1-Assumptions!$B$26)^(Z$3-$J4),1)*IF($H4&gt;=1,1,MIN(0.97,$H4*Assumptions!$E$12)))</f>
        <v>1377.5</v>
      </c>
      <c r="AA4" s="23">
        <f>IF(AA$3&lt;$I4,0,$G4*Assumptions!$E$11*INDEX(Assumptions!$B$24:$G$24,MIN(6,AA$3-$I4+1))*IF(AA$3&gt;$J4,(1-Assumptions!$B$26)^(AA$3-$J4),1)*IF($H4&gt;=1,1,MIN(0.97,$H4*Assumptions!$E$12)))</f>
        <v>1377.5</v>
      </c>
      <c r="AB4" s="23">
        <f>IF(AB$3&lt;$I4,0,$G4*Assumptions!$E$11*INDEX(Assumptions!$B$24:$G$24,MIN(6,AB$3-$I4+1))*IF(AB$3&gt;$J4,(1-Assumptions!$B$26)^(AB$3-$J4),1)*IF($H4&gt;=1,1,MIN(0.97,$H4*Assumptions!$E$12)))</f>
        <v>1377.5</v>
      </c>
      <c r="AC4" s="23">
        <f>IF(AC$3&lt;$I4,0,$G4*Assumptions!$E$11*INDEX(Assumptions!$B$24:$G$24,MIN(6,AC$3-$I4+1))*IF(AC$3&gt;$J4,(1-Assumptions!$B$26)^(AC$3-$J4),1)*IF($H4&gt;=1,1,MIN(0.97,$H4*Assumptions!$E$12)))</f>
        <v>688.75</v>
      </c>
      <c r="AD4" s="23">
        <f>IF(AD$3&lt;$I4,0,$G4*Assumptions!$E$11*INDEX(Assumptions!$B$24:$G$24,MIN(6,AD$3-$I4+1))*IF(AD$3&gt;$J4,(1-Assumptions!$B$26)^(AD$3-$J4),1)*IF($H4&gt;=1,1,MIN(0.97,$H4*Assumptions!$E$12)))</f>
        <v>344.375</v>
      </c>
      <c r="AE4" s="23">
        <f>IF(AE$3&lt;$I4,0,$G4*Assumptions!$E$11*INDEX(Assumptions!$B$24:$G$24,MIN(6,AE$3-$I4+1))*IF(AE$3&gt;$J4,(1-Assumptions!$B$26)^(AE$3-$J4),1)*IF($H4&gt;=1,1,MIN(0.97,$H4*Assumptions!$E$12)))</f>
        <v>172.1875</v>
      </c>
      <c r="AF4" s="23">
        <f>IF(AF$3&lt;$I4,0,$G4*Assumptions!$E$11*INDEX(Assumptions!$B$24:$G$24,MIN(6,AF$3-$I4+1))*IF(AF$3&gt;$J4,(1-Assumptions!$B$26)^(AF$3-$J4),1)*IF($H4&gt;=1,1,MIN(0.97,$H4*Assumptions!$E$12)))</f>
        <v>86.09375</v>
      </c>
      <c r="AG4" s="35">
        <f>IF(F4="Owned",1-IF(H4&gt;=1,1,MIN(0.97,H4*Assumptions!$E$12)),1)</f>
        <v>0.44899999999999995</v>
      </c>
    </row>
    <row r="5">
      <c r="A5" s="39" t="n">
        <v>2</v>
      </c>
      <c r="B5" s="14" t="inlineStr">
        <is>
          <t>Anxiety / PTSD / addiction</t>
        </is>
      </c>
      <c r="C5" s="14" t="inlineStr">
        <is>
          <t>Pemvidutide, ALT-801</t>
        </is>
      </c>
      <c r="D5" s="14" t="inlineStr">
        <is>
          <t>Phase 2</t>
        </is>
      </c>
      <c r="E5" s="14" t="inlineStr">
        <is>
          <t>Psychiatry / area</t>
        </is>
      </c>
      <c r="F5" s="14" t="inlineStr">
        <is>
          <t>Owned</t>
        </is>
      </c>
      <c r="G5" s="40" t="n">
        <v>800</v>
      </c>
      <c r="H5" s="27" t="n">
        <v>0.1376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125.05561194775942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11.008</v>
      </c>
      <c r="S5" s="23">
        <f>IF(S$3&lt;$I5,0,$G5*Assumptions!$E$11*INDEX(Assumptions!$B$24:$G$24,MIN(6,S$3-$I5+1))*IF(S$3&gt;$J5,(1-Assumptions!$B$26)^(S$3-$J5),1)*IF($H5&gt;=1,1,MIN(0.97,$H5*Assumptions!$E$12)))</f>
        <v>27.52</v>
      </c>
      <c r="T5" s="23">
        <f>IF(T$3&lt;$I5,0,$G5*Assumptions!$E$11*INDEX(Assumptions!$B$24:$G$24,MIN(6,T$3-$I5+1))*IF(T$3&gt;$J5,(1-Assumptions!$B$26)^(T$3-$J5),1)*IF($H5&gt;=1,1,MIN(0.97,$H5*Assumptions!$E$12)))</f>
        <v>49.536</v>
      </c>
      <c r="U5" s="23">
        <f>IF(U$3&lt;$I5,0,$G5*Assumptions!$E$11*INDEX(Assumptions!$B$24:$G$24,MIN(6,U$3-$I5+1))*IF(U$3&gt;$J5,(1-Assumptions!$B$26)^(U$3-$J5),1)*IF($H5&gt;=1,1,MIN(0.97,$H5*Assumptions!$E$12)))</f>
        <v>71.552</v>
      </c>
      <c r="V5" s="23">
        <f>IF(V$3&lt;$I5,0,$G5*Assumptions!$E$11*INDEX(Assumptions!$B$24:$G$24,MIN(6,V$3-$I5+1))*IF(V$3&gt;$J5,(1-Assumptions!$B$26)^(V$3-$J5),1)*IF($H5&gt;=1,1,MIN(0.97,$H5*Assumptions!$E$12)))</f>
        <v>93.568</v>
      </c>
      <c r="W5" s="23">
        <f>IF(W$3&lt;$I5,0,$G5*Assumptions!$E$11*INDEX(Assumptions!$B$24:$G$24,MIN(6,W$3-$I5+1))*IF(W$3&gt;$J5,(1-Assumptions!$B$26)^(W$3-$J5),1)*IF($H5&gt;=1,1,MIN(0.97,$H5*Assumptions!$E$12)))</f>
        <v>110.08</v>
      </c>
      <c r="X5" s="23">
        <f>IF(X$3&lt;$I5,0,$G5*Assumptions!$E$11*INDEX(Assumptions!$B$24:$G$24,MIN(6,X$3-$I5+1))*IF(X$3&gt;$J5,(1-Assumptions!$B$26)^(X$3-$J5),1)*IF($H5&gt;=1,1,MIN(0.97,$H5*Assumptions!$E$12)))</f>
        <v>110.08</v>
      </c>
      <c r="Y5" s="23">
        <f>IF(Y$3&lt;$I5,0,$G5*Assumptions!$E$11*INDEX(Assumptions!$B$24:$G$24,MIN(6,Y$3-$I5+1))*IF(Y$3&gt;$J5,(1-Assumptions!$B$26)^(Y$3-$J5),1)*IF($H5&gt;=1,1,MIN(0.97,$H5*Assumptions!$E$12)))</f>
        <v>110.08</v>
      </c>
      <c r="Z5" s="23">
        <f>IF(Z$3&lt;$I5,0,$G5*Assumptions!$E$11*INDEX(Assumptions!$B$24:$G$24,MIN(6,Z$3-$I5+1))*IF(Z$3&gt;$J5,(1-Assumptions!$B$26)^(Z$3-$J5),1)*IF($H5&gt;=1,1,MIN(0.97,$H5*Assumptions!$E$12)))</f>
        <v>110.08</v>
      </c>
      <c r="AA5" s="23">
        <f>IF(AA$3&lt;$I5,0,$G5*Assumptions!$E$11*INDEX(Assumptions!$B$24:$G$24,MIN(6,AA$3-$I5+1))*IF(AA$3&gt;$J5,(1-Assumptions!$B$26)^(AA$3-$J5),1)*IF($H5&gt;=1,1,MIN(0.97,$H5*Assumptions!$E$12)))</f>
        <v>110.08</v>
      </c>
      <c r="AB5" s="23">
        <f>IF(AB$3&lt;$I5,0,$G5*Assumptions!$E$11*INDEX(Assumptions!$B$24:$G$24,MIN(6,AB$3-$I5+1))*IF(AB$3&gt;$J5,(1-Assumptions!$B$26)^(AB$3-$J5),1)*IF($H5&gt;=1,1,MIN(0.97,$H5*Assumptions!$E$12)))</f>
        <v>110.08</v>
      </c>
      <c r="AC5" s="23">
        <f>IF(AC$3&lt;$I5,0,$G5*Assumptions!$E$11*INDEX(Assumptions!$B$24:$G$24,MIN(6,AC$3-$I5+1))*IF(AC$3&gt;$J5,(1-Assumptions!$B$26)^(AC$3-$J5),1)*IF($H5&gt;=1,1,MIN(0.97,$H5*Assumptions!$E$12)))</f>
        <v>110.08</v>
      </c>
      <c r="AD5" s="23">
        <f>IF(AD$3&lt;$I5,0,$G5*Assumptions!$E$11*INDEX(Assumptions!$B$24:$G$24,MIN(6,AD$3-$I5+1))*IF(AD$3&gt;$J5,(1-Assumptions!$B$26)^(AD$3-$J5),1)*IF($H5&gt;=1,1,MIN(0.97,$H5*Assumptions!$E$12)))</f>
        <v>110.08</v>
      </c>
      <c r="AE5" s="23">
        <f>IF(AE$3&lt;$I5,0,$G5*Assumptions!$E$11*INDEX(Assumptions!$B$24:$G$24,MIN(6,AE$3-$I5+1))*IF(AE$3&gt;$J5,(1-Assumptions!$B$26)^(AE$3-$J5),1)*IF($H5&gt;=1,1,MIN(0.97,$H5*Assumptions!$E$12)))</f>
        <v>55.04</v>
      </c>
      <c r="AF5" s="23">
        <f>IF(AF$3&lt;$I5,0,$G5*Assumptions!$E$11*INDEX(Assumptions!$B$24:$G$24,MIN(6,AF$3-$I5+1))*IF(AF$3&gt;$J5,(1-Assumptions!$B$26)^(AF$3-$J5),1)*IF($H5&gt;=1,1,MIN(0.97,$H5*Assumptions!$E$12)))</f>
        <v>27.52</v>
      </c>
      <c r="AG5" s="35">
        <f>IF(F5="Owned",1-IF(H5&gt;=1,1,MIN(0.97,H5*Assumptions!$E$12)),1)</f>
        <v>0.8624</v>
      </c>
    </row>
    <row r="6">
      <c r="B6" s="24" t="inlineStr">
        <is>
          <t>Risked revenue</t>
        </is>
      </c>
      <c r="L6" s="54">
        <f>SUM(L4:L5)</f>
        <v>2101.014071603523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137.75</v>
      </c>
      <c r="Q6" s="54">
        <f>SUM(Q4:Q5)</f>
        <v>344.375</v>
      </c>
      <c r="R6" s="54">
        <f>SUM(R4:R5)</f>
        <v>630.883</v>
      </c>
      <c r="S6" s="54">
        <f>SUM(S4:S5)</f>
        <v>922.8950000000001</v>
      </c>
      <c r="T6" s="54">
        <f>SUM(T4:T5)</f>
        <v>1220.411</v>
      </c>
      <c r="U6" s="54">
        <f>SUM(U4:U5)</f>
        <v>1449.052</v>
      </c>
      <c r="V6" s="54">
        <f>SUM(V4:V5)</f>
        <v>1471.068</v>
      </c>
      <c r="W6" s="54">
        <f>SUM(W4:W5)</f>
        <v>1487.58</v>
      </c>
      <c r="X6" s="54">
        <f>SUM(X4:X5)</f>
        <v>1487.58</v>
      </c>
      <c r="Y6" s="54">
        <f>SUM(Y4:Y5)</f>
        <v>1487.58</v>
      </c>
      <c r="Z6" s="54">
        <f>SUM(Z4:Z5)</f>
        <v>1487.58</v>
      </c>
      <c r="AA6" s="54">
        <f>SUM(AA4:AA5)</f>
        <v>1487.58</v>
      </c>
      <c r="AB6" s="54">
        <f>SUM(AB4:AB5)</f>
        <v>1487.58</v>
      </c>
      <c r="AC6" s="54">
        <f>SUM(AC4:AC5)</f>
        <v>798.83</v>
      </c>
      <c r="AD6" s="54">
        <f>SUM(AD4:AD5)</f>
        <v>454.455</v>
      </c>
      <c r="AE6" s="54">
        <f>SUM(AE4:AE5)</f>
        <v>227.2275</v>
      </c>
      <c r="AF6" s="54">
        <f>SUM(AF4:AF5)</f>
        <v>113.61375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55.1</v>
      </c>
      <c r="Q7" s="55">
        <f>SUMPRODUCT(Q4:Q5,$K$4:$K$5)</f>
        <v>137.75</v>
      </c>
      <c r="R7" s="55">
        <f>SUMPRODUCT(R4:R5,$K$4:$K$5)</f>
        <v>252.35320000000002</v>
      </c>
      <c r="S7" s="55">
        <f>SUMPRODUCT(S4:S5,$K$4:$K$5)</f>
        <v>369.1580000000001</v>
      </c>
      <c r="T7" s="55">
        <f>SUMPRODUCT(T4:T5,$K$4:$K$5)</f>
        <v>488.1644</v>
      </c>
      <c r="U7" s="55">
        <f>SUMPRODUCT(U4:U5,$K$4:$K$5)</f>
        <v>579.6208</v>
      </c>
      <c r="V7" s="55">
        <f>SUMPRODUCT(V4:V5,$K$4:$K$5)</f>
        <v>588.4272</v>
      </c>
      <c r="W7" s="55">
        <f>SUMPRODUCT(W4:W5,$K$4:$K$5)</f>
        <v>595.032</v>
      </c>
      <c r="X7" s="55">
        <f>SUMPRODUCT(X4:X5,$K$4:$K$5)</f>
        <v>595.032</v>
      </c>
      <c r="Y7" s="55">
        <f>SUMPRODUCT(Y4:Y5,$K$4:$K$5)</f>
        <v>595.032</v>
      </c>
      <c r="Z7" s="55">
        <f>SUMPRODUCT(Z4:Z5,$K$4:$K$5)</f>
        <v>595.032</v>
      </c>
      <c r="AA7" s="55">
        <f>SUMPRODUCT(AA4:AA5,$K$4:$K$5)</f>
        <v>595.032</v>
      </c>
      <c r="AB7" s="55">
        <f>SUMPRODUCT(AB4:AB5,$K$4:$K$5)</f>
        <v>595.032</v>
      </c>
      <c r="AC7" s="55">
        <f>SUMPRODUCT(AC4:AC5,$K$4:$K$5)</f>
        <v>319.532</v>
      </c>
      <c r="AD7" s="55">
        <f>SUMPRODUCT(AD4:AD5,$K$4:$K$5)</f>
        <v>181.782</v>
      </c>
      <c r="AE7" s="55">
        <f>SUMPRODUCT(AE4:AE5,$K$4:$K$5)</f>
        <v>90.891</v>
      </c>
      <c r="AF7" s="55">
        <f>SUMPRODUCT(AF4:AF5,$K$4:$K$5)</f>
        <v>45.4455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Altimmune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137.75</v>
      </c>
      <c r="G4" s="57">
        <f>Pipeline!Q6</f>
        <v>344.375</v>
      </c>
      <c r="H4" s="57">
        <f>Pipeline!R6</f>
        <v>630.883</v>
      </c>
      <c r="I4" s="57">
        <f>Pipeline!S6</f>
        <v>922.8950000000001</v>
      </c>
      <c r="J4" s="57">
        <f>Pipeline!T6</f>
        <v>1220.411</v>
      </c>
      <c r="K4" s="57">
        <f>Pipeline!U6</f>
        <v>1449.052</v>
      </c>
      <c r="L4" s="57">
        <f>Pipeline!V6</f>
        <v>1471.068</v>
      </c>
      <c r="M4" s="57">
        <f>Pipeline!W6</f>
        <v>1487.58</v>
      </c>
      <c r="N4" s="57">
        <f>Pipeline!X6</f>
        <v>1487.58</v>
      </c>
      <c r="O4" s="57">
        <f>Pipeline!Y6</f>
        <v>1487.58</v>
      </c>
      <c r="P4" s="57">
        <f>Pipeline!Z6</f>
        <v>1487.58</v>
      </c>
      <c r="Q4" s="57">
        <f>Pipeline!AA6</f>
        <v>1487.58</v>
      </c>
      <c r="R4" s="57">
        <f>Pipeline!AB6</f>
        <v>1487.58</v>
      </c>
      <c r="S4" s="57">
        <f>Pipeline!AC6</f>
        <v>798.83</v>
      </c>
      <c r="T4" s="57">
        <f>Pipeline!AD6</f>
        <v>454.455</v>
      </c>
      <c r="U4" s="57">
        <f>Pipeline!AE6</f>
        <v>227.2275</v>
      </c>
      <c r="V4" s="57">
        <f>Pipeline!AF6</f>
        <v>113.61375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55.1</v>
      </c>
      <c r="G5" s="57">
        <f>Pipeline!Q7</f>
        <v>137.75</v>
      </c>
      <c r="H5" s="57">
        <f>Pipeline!R7</f>
        <v>252.35320000000002</v>
      </c>
      <c r="I5" s="57">
        <f>Pipeline!S7</f>
        <v>369.1580000000001</v>
      </c>
      <c r="J5" s="57">
        <f>Pipeline!T7</f>
        <v>488.1644</v>
      </c>
      <c r="K5" s="57">
        <f>Pipeline!U7</f>
        <v>579.6208</v>
      </c>
      <c r="L5" s="57">
        <f>Pipeline!V7</f>
        <v>588.4272</v>
      </c>
      <c r="M5" s="57">
        <f>Pipeline!W7</f>
        <v>595.032</v>
      </c>
      <c r="N5" s="57">
        <f>Pipeline!X7</f>
        <v>595.032</v>
      </c>
      <c r="O5" s="57">
        <f>Pipeline!Y7</f>
        <v>595.032</v>
      </c>
      <c r="P5" s="57">
        <f>Pipeline!Z7</f>
        <v>595.032</v>
      </c>
      <c r="Q5" s="57">
        <f>Pipeline!AA7</f>
        <v>595.032</v>
      </c>
      <c r="R5" s="57">
        <f>Pipeline!AB7</f>
        <v>595.032</v>
      </c>
      <c r="S5" s="57">
        <f>Pipeline!AC7</f>
        <v>319.532</v>
      </c>
      <c r="T5" s="57">
        <f>Pipeline!AD7</f>
        <v>181.782</v>
      </c>
      <c r="U5" s="57">
        <f>Pipeline!AE7</f>
        <v>90.891</v>
      </c>
      <c r="V5" s="57">
        <f>Pipeline!AF7</f>
        <v>45.4455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-100.225</v>
      </c>
      <c r="D6" s="23">
        <f>-IF(D3-2026&lt;Assumptions!$B$19,Assumptions!$B$18,Assumptions!$B$18*Assumptions!$B$20*Assumptions!$B$16)</f>
        <v>-100.225</v>
      </c>
      <c r="E6" s="23">
        <f>-IF(E3-2026&lt;Assumptions!$B$19,Assumptions!$B$18,Assumptions!$B$18*Assumptions!$B$20*Assumptions!$B$16)</f>
        <v>-100.225</v>
      </c>
      <c r="F6" s="23">
        <f>-IF(F3-2026&lt;Assumptions!$B$19,Assumptions!$B$18,Assumptions!$B$18*Assumptions!$B$20*Assumptions!$B$16)</f>
        <v>-18.424834811999997</v>
      </c>
      <c r="G6" s="23">
        <f>-IF(G3-2026&lt;Assumptions!$B$19,Assumptions!$B$18,Assumptions!$B$18*Assumptions!$B$20*Assumptions!$B$16)</f>
        <v>-18.424834811999997</v>
      </c>
      <c r="H6" s="23">
        <f>-IF(H3-2026&lt;Assumptions!$B$19,Assumptions!$B$18,Assumptions!$B$18*Assumptions!$B$20*Assumptions!$B$16)</f>
        <v>-18.424834811999997</v>
      </c>
      <c r="I6" s="23">
        <f>-IF(I3-2026&lt;Assumptions!$B$19,Assumptions!$B$18,Assumptions!$B$18*Assumptions!$B$20*Assumptions!$B$16)</f>
        <v>-18.424834811999997</v>
      </c>
      <c r="J6" s="23">
        <f>-IF(J3-2026&lt;Assumptions!$B$19,Assumptions!$B$18,Assumptions!$B$18*Assumptions!$B$20*Assumptions!$B$16)</f>
        <v>-18.424834811999997</v>
      </c>
      <c r="K6" s="23">
        <f>-IF(K3-2026&lt;Assumptions!$B$19,Assumptions!$B$18,Assumptions!$B$18*Assumptions!$B$20*Assumptions!$B$16)</f>
        <v>-18.424834811999997</v>
      </c>
      <c r="L6" s="23">
        <f>-IF(L3-2026&lt;Assumptions!$B$19,Assumptions!$B$18,Assumptions!$B$18*Assumptions!$B$20*Assumptions!$B$16)</f>
        <v>-18.424834811999997</v>
      </c>
      <c r="M6" s="23">
        <f>-IF(M3-2026&lt;Assumptions!$B$19,Assumptions!$B$18,Assumptions!$B$18*Assumptions!$B$20*Assumptions!$B$16)</f>
        <v>-18.424834811999997</v>
      </c>
      <c r="N6" s="23">
        <f>-IF(N3-2026&lt;Assumptions!$B$19,Assumptions!$B$18,Assumptions!$B$18*Assumptions!$B$20*Assumptions!$B$16)</f>
        <v>-18.424834811999997</v>
      </c>
      <c r="O6" s="23">
        <f>-IF(O3-2026&lt;Assumptions!$B$19,Assumptions!$B$18,Assumptions!$B$18*Assumptions!$B$20*Assumptions!$B$16)</f>
        <v>-18.424834811999997</v>
      </c>
      <c r="P6" s="23">
        <f>-IF(P3-2026&lt;Assumptions!$B$19,Assumptions!$B$18,Assumptions!$B$18*Assumptions!$B$20*Assumptions!$B$16)</f>
        <v>-18.424834811999997</v>
      </c>
      <c r="Q6" s="23">
        <f>-IF(Q3-2026&lt;Assumptions!$B$19,Assumptions!$B$18,Assumptions!$B$18*Assumptions!$B$20*Assumptions!$B$16)</f>
        <v>-18.424834811999997</v>
      </c>
      <c r="R6" s="23">
        <f>-IF(R3-2026&lt;Assumptions!$B$19,Assumptions!$B$18,Assumptions!$B$18*Assumptions!$B$20*Assumptions!$B$16)</f>
        <v>-18.424834811999997</v>
      </c>
      <c r="S6" s="23">
        <f>-IF(S3-2026&lt;Assumptions!$B$19,Assumptions!$B$18,Assumptions!$B$18*Assumptions!$B$20*Assumptions!$B$16)</f>
        <v>-18.424834811999997</v>
      </c>
      <c r="T6" s="23">
        <f>-IF(T3-2026&lt;Assumptions!$B$19,Assumptions!$B$18,Assumptions!$B$18*Assumptions!$B$20*Assumptions!$B$16)</f>
        <v>-18.424834811999997</v>
      </c>
      <c r="U6" s="23">
        <f>-IF(U3-2026&lt;Assumptions!$B$19,Assumptions!$B$18,Assumptions!$B$18*Assumptions!$B$20*Assumptions!$B$16)</f>
        <v>-18.424834811999997</v>
      </c>
      <c r="V6" s="23">
        <f>-IF(V3-2026&lt;Assumptions!$B$19,Assumptions!$B$18,Assumptions!$B$18*Assumptions!$B$20*Assumptions!$B$16)</f>
        <v>-18.424834811999997</v>
      </c>
    </row>
    <row r="7">
      <c r="A7" s="14" t="inlineStr">
        <is>
          <t>Pre-tax cash flow</t>
        </is>
      </c>
      <c r="C7" s="23">
        <f>C5+C6</f>
        <v>-100.225</v>
      </c>
      <c r="D7" s="23">
        <f>D5+D6</f>
        <v>-100.225</v>
      </c>
      <c r="E7" s="23">
        <f>E5+E6</f>
        <v>-100.225</v>
      </c>
      <c r="F7" s="23">
        <f>F5+F6</f>
        <v>36.67516518800001</v>
      </c>
      <c r="G7" s="23">
        <f>G5+G6</f>
        <v>119.325165188</v>
      </c>
      <c r="H7" s="23">
        <f>H5+H6</f>
        <v>233.92836518800001</v>
      </c>
      <c r="I7" s="23">
        <f>I5+I6</f>
        <v>350.7331651880001</v>
      </c>
      <c r="J7" s="23">
        <f>J5+J6</f>
        <v>469.73956518800003</v>
      </c>
      <c r="K7" s="23">
        <f>K5+K6</f>
        <v>561.1959651880001</v>
      </c>
      <c r="L7" s="23">
        <f>L5+L6</f>
        <v>570.002365188</v>
      </c>
      <c r="M7" s="23">
        <f>M5+M6</f>
        <v>576.6071651880001</v>
      </c>
      <c r="N7" s="23">
        <f>N5+N6</f>
        <v>576.6071651880001</v>
      </c>
      <c r="O7" s="23">
        <f>O5+O6</f>
        <v>576.6071651880001</v>
      </c>
      <c r="P7" s="23">
        <f>P5+P6</f>
        <v>576.6071651880001</v>
      </c>
      <c r="Q7" s="23">
        <f>Q5+Q6</f>
        <v>576.6071651880001</v>
      </c>
      <c r="R7" s="23">
        <f>R5+R6</f>
        <v>576.6071651880001</v>
      </c>
      <c r="S7" s="23">
        <f>S5+S6</f>
        <v>301.107165188</v>
      </c>
      <c r="T7" s="23">
        <f>T5+T6</f>
        <v>163.357165188</v>
      </c>
      <c r="U7" s="23">
        <f>U5+U6</f>
        <v>72.466165188</v>
      </c>
      <c r="V7" s="23">
        <f>V5+V6</f>
        <v>27.020665188000006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36.67516518800001</v>
      </c>
      <c r="G8" s="23">
        <f>MIN(F17,MAX(0,G7))</f>
        <v>119.325165188</v>
      </c>
      <c r="H8" s="23">
        <f>MIN(G17,MAX(0,H7))</f>
        <v>233.92836518800001</v>
      </c>
      <c r="I8" s="23">
        <f>MIN(H17,MAX(0,I7))</f>
        <v>350.7331651880001</v>
      </c>
      <c r="J8" s="23">
        <f>MIN(I17,MAX(0,J7))</f>
        <v>248.3131392479998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221.42642594000023</v>
      </c>
      <c r="K9" s="23">
        <f>MAX(0,K7)-K8</f>
        <v>561.1959651880001</v>
      </c>
      <c r="L9" s="23">
        <f>MAX(0,L7)-L8</f>
        <v>570.002365188</v>
      </c>
      <c r="M9" s="23">
        <f>MAX(0,M7)-M8</f>
        <v>576.6071651880001</v>
      </c>
      <c r="N9" s="23">
        <f>MAX(0,N7)-N8</f>
        <v>576.6071651880001</v>
      </c>
      <c r="O9" s="23">
        <f>MAX(0,O7)-O8</f>
        <v>576.6071651880001</v>
      </c>
      <c r="P9" s="23">
        <f>MAX(0,P7)-P8</f>
        <v>576.6071651880001</v>
      </c>
      <c r="Q9" s="23">
        <f>MAX(0,Q7)-Q8</f>
        <v>576.6071651880001</v>
      </c>
      <c r="R9" s="23">
        <f>MAX(0,R7)-R8</f>
        <v>576.6071651880001</v>
      </c>
      <c r="S9" s="23">
        <f>MAX(0,S7)-S8</f>
        <v>301.107165188</v>
      </c>
      <c r="T9" s="23">
        <f>MAX(0,T7)-T8</f>
        <v>163.357165188</v>
      </c>
      <c r="U9" s="23">
        <f>MAX(0,U7)-U8</f>
        <v>72.466165188</v>
      </c>
      <c r="V9" s="23">
        <f>MAX(0,V7)-V8</f>
        <v>27.020665188000006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46.49954944740005</v>
      </c>
      <c r="K10" s="23">
        <f>K9*Assumptions!$E$15</f>
        <v>117.85115268948</v>
      </c>
      <c r="L10" s="23">
        <f>L9*Assumptions!$E$15</f>
        <v>119.70049668947999</v>
      </c>
      <c r="M10" s="23">
        <f>M9*Assumptions!$E$15</f>
        <v>121.08750468948001</v>
      </c>
      <c r="N10" s="23">
        <f>N9*Assumptions!$E$15</f>
        <v>121.08750468948001</v>
      </c>
      <c r="O10" s="23">
        <f>O9*Assumptions!$E$15</f>
        <v>121.08750468948001</v>
      </c>
      <c r="P10" s="23">
        <f>P9*Assumptions!$E$15</f>
        <v>121.08750468948001</v>
      </c>
      <c r="Q10" s="23">
        <f>Q9*Assumptions!$E$15</f>
        <v>121.08750468948001</v>
      </c>
      <c r="R10" s="23">
        <f>R9*Assumptions!$E$15</f>
        <v>121.08750468948001</v>
      </c>
      <c r="S10" s="23">
        <f>S9*Assumptions!$E$15</f>
        <v>63.23250468948</v>
      </c>
      <c r="T10" s="23">
        <f>T9*Assumptions!$E$15</f>
        <v>34.30500468948</v>
      </c>
      <c r="U10" s="23">
        <f>U9*Assumptions!$E$15</f>
        <v>15.217894689480001</v>
      </c>
      <c r="V10" s="23">
        <f>V9*Assumptions!$E$15</f>
        <v>5.674339689480001</v>
      </c>
    </row>
    <row r="11">
      <c r="A11" s="24" t="inlineStr">
        <is>
          <t>Free cash flow</t>
        </is>
      </c>
      <c r="C11" s="55">
        <f>C7-C10</f>
        <v>-100.225</v>
      </c>
      <c r="D11" s="55">
        <f>D7-D10</f>
        <v>-100.225</v>
      </c>
      <c r="E11" s="55">
        <f>E7-E10</f>
        <v>-100.225</v>
      </c>
      <c r="F11" s="55">
        <f>F7-F10</f>
        <v>36.67516518800001</v>
      </c>
      <c r="G11" s="55">
        <f>G7-G10</f>
        <v>119.325165188</v>
      </c>
      <c r="H11" s="55">
        <f>H7-H10</f>
        <v>233.92836518800001</v>
      </c>
      <c r="I11" s="55">
        <f>I7-I10</f>
        <v>350.7331651880001</v>
      </c>
      <c r="J11" s="55">
        <f>J7-J10</f>
        <v>423.2400157406</v>
      </c>
      <c r="K11" s="55">
        <f>K7-K10</f>
        <v>443.34481249852007</v>
      </c>
      <c r="L11" s="55">
        <f>L7-L10</f>
        <v>450.30186849852</v>
      </c>
      <c r="M11" s="55">
        <f>M7-M10</f>
        <v>455.51966049852007</v>
      </c>
      <c r="N11" s="55">
        <f>N7-N10</f>
        <v>455.51966049852007</v>
      </c>
      <c r="O11" s="55">
        <f>O7-O10</f>
        <v>455.51966049852007</v>
      </c>
      <c r="P11" s="55">
        <f>P7-P10</f>
        <v>455.51966049852007</v>
      </c>
      <c r="Q11" s="55">
        <f>Q7-Q10</f>
        <v>455.51966049852007</v>
      </c>
      <c r="R11" s="55">
        <f>R7-R10</f>
        <v>455.51966049852007</v>
      </c>
      <c r="S11" s="55">
        <f>S7-S10</f>
        <v>237.87466049852</v>
      </c>
      <c r="T11" s="55">
        <f>T7-T10</f>
        <v>129.05216049852</v>
      </c>
      <c r="U11" s="55">
        <f>U7-U10</f>
        <v>57.24827049852</v>
      </c>
      <c r="V11" s="55">
        <f>V7-V10</f>
        <v>21.346325498520006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-49.10066337999442</v>
      </c>
      <c r="D16" s="55">
        <f>D11*D15</f>
        <v>-89.44503706320977</v>
      </c>
      <c r="E16" s="55">
        <f>E11*E15</f>
        <v>-79.8616402350087</v>
      </c>
      <c r="F16" s="55">
        <f>F11*F15</f>
        <v>26.0925315166195</v>
      </c>
      <c r="G16" s="55">
        <f>G11*G15</f>
        <v>75.79807210901619</v>
      </c>
      <c r="H16" s="55">
        <f>H11*H15</f>
        <v>132.6755750088434</v>
      </c>
      <c r="I16" s="55">
        <f>I11*I15</f>
        <v>177.6097915724269</v>
      </c>
      <c r="J16" s="55">
        <f>J11*J15</f>
        <v>191.3633518347843</v>
      </c>
      <c r="K16" s="55">
        <f>K11*K15</f>
        <v>178.97635372159277</v>
      </c>
      <c r="L16" s="55">
        <f>L11*L15</f>
        <v>162.30793453103382</v>
      </c>
      <c r="M16" s="55">
        <f>M11*M15</f>
        <v>146.59700764479575</v>
      </c>
      <c r="N16" s="55">
        <f>N11*N15</f>
        <v>130.89018539713902</v>
      </c>
      <c r="O16" s="55">
        <f>O11*O15</f>
        <v>116.86623696173127</v>
      </c>
      <c r="P16" s="55">
        <f>P11*P15</f>
        <v>104.3448544301172</v>
      </c>
      <c r="Q16" s="55">
        <f>Q11*Q15</f>
        <v>93.16504859831892</v>
      </c>
      <c r="R16" s="55">
        <f>R11*R15</f>
        <v>83.1830791056419</v>
      </c>
      <c r="S16" s="55">
        <f>S11*S15</f>
        <v>38.78448462540616</v>
      </c>
      <c r="T16" s="55">
        <f>T11*T15</f>
        <v>18.786985505310437</v>
      </c>
      <c r="U16" s="55">
        <f>U11*U15</f>
        <v>7.4410833455767715</v>
      </c>
      <c r="V16" s="55">
        <f>V11*V15</f>
        <v>2.4773017123036984</v>
      </c>
    </row>
    <row r="17">
      <c r="A17" s="14" t="inlineStr">
        <is>
          <t>Tax-loss carryforward, end of year</t>
        </is>
      </c>
      <c r="C17" s="23">
        <f>Assumptions!$B$21-C8+MAX(0,-C7)</f>
        <v>788.525</v>
      </c>
      <c r="D17" s="23">
        <f>C17-D8+MAX(0,-D7)</f>
        <v>888.75</v>
      </c>
      <c r="E17" s="23">
        <f>D17-E8+MAX(0,-E7)</f>
        <v>988.975</v>
      </c>
      <c r="F17" s="23">
        <f>E17-F8+MAX(0,-F7)</f>
        <v>952.299834812</v>
      </c>
      <c r="G17" s="23">
        <f>F17-G8+MAX(0,-G7)</f>
        <v>832.974669624</v>
      </c>
      <c r="H17" s="23">
        <f>G17-H8+MAX(0,-H7)</f>
        <v>599.0463044359999</v>
      </c>
      <c r="I17" s="23">
        <f>H17-I8+MAX(0,-I7)</f>
        <v>248.3131392479998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2101.014071603523</v>
      </c>
    </row>
    <row r="20">
      <c r="A20" s="14" t="inlineStr">
        <is>
          <t>PV of corporate burn</t>
        </is>
      </c>
      <c r="B20" s="23">
        <f>SUMPRODUCT(C6:V6,C15:V15)</f>
        <v>-322.9330727802725</v>
      </c>
    </row>
    <row r="21">
      <c r="A21" s="14" t="inlineStr">
        <is>
          <t>PV of taxes</t>
        </is>
      </c>
      <c r="B21" s="23">
        <f>-SUMPRODUCT(C10:V10,C15:V15)</f>
        <v>-309.12846188080556</v>
      </c>
    </row>
    <row r="22">
      <c r="A22" s="24" t="inlineStr">
        <is>
          <t>Pipeline rNPV (operations)</t>
        </is>
      </c>
      <c r="B22" s="54">
        <f>SUM(C16:V16)</f>
        <v>1468.952536942445</v>
      </c>
    </row>
    <row r="23">
      <c r="A23" s="14" t="inlineStr">
        <is>
          <t>Cash &amp; investments</t>
        </is>
      </c>
      <c r="B23" s="57">
        <f>Main!C7</f>
        <v>326.281</v>
      </c>
    </row>
    <row r="24">
      <c r="A24" s="14" t="inlineStr">
        <is>
          <t>Debt</t>
        </is>
      </c>
      <c r="B24" s="57">
        <f>Main!C8</f>
        <v>34.742</v>
      </c>
    </row>
    <row r="25">
      <c r="A25" s="24" t="inlineStr">
        <is>
          <t>Equity value</t>
        </is>
      </c>
      <c r="B25" s="54">
        <f>B22+B23-B24</f>
        <v>1760.491536942445</v>
      </c>
    </row>
    <row r="26">
      <c r="A26" s="14" t="inlineStr">
        <is>
          <t>Shares (mm)</t>
        </is>
      </c>
      <c r="B26" s="57">
        <f>Main!C4</f>
        <v>194.517701</v>
      </c>
    </row>
    <row r="27">
      <c r="A27" s="24" t="inlineStr">
        <is>
          <t>rNPV / share</t>
        </is>
      </c>
      <c r="B27" s="60">
        <f>B25/B26</f>
        <v>9.050546700335746</v>
      </c>
    </row>
    <row r="28">
      <c r="A28" s="14" t="inlineStr">
        <is>
          <t>Price</t>
        </is>
      </c>
      <c r="B28" s="61">
        <f>Main!C3</f>
        <v>2.3</v>
      </c>
    </row>
    <row r="29">
      <c r="A29" s="14" t="inlineStr">
        <is>
          <t>Upside</t>
        </is>
      </c>
      <c r="B29" s="62">
        <f>B27/B28-1</f>
        <v>2.935020304493803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2026-10-21T06:25:26Z</dcterms:modified>
  <cp:lastModifiedBy>Wang, Eric</cp:lastModifiedBy>
</cp:coreProperties>
</file>