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BioLine RX Ltd</t>
        </is>
      </c>
      <c r="C2" s="10" t="n"/>
    </row>
    <row r="3">
      <c r="B3" t="inlineStr">
        <is>
          <t>Price</t>
        </is>
      </c>
      <c r="C3" s="11">
        <f>INDEX([1]Pharma!$F$1:$F$1000,MATCH("BLRX",[1]Pharma!$B$1:$B$1000,0))</f>
        <v>2.2145</v>
      </c>
      <c r="F3" s="1" t="n"/>
    </row>
    <row r="4">
      <c r="B4" t="inlineStr">
        <is>
          <t>Shares</t>
        </is>
      </c>
      <c r="C4" s="21" t="n">
        <v>2610.81439</v>
      </c>
      <c r="F4" s="1" t="n"/>
    </row>
    <row r="5">
      <c r="B5" t="inlineStr">
        <is>
          <t>Market Cap.</t>
        </is>
      </c>
      <c r="C5" s="13">
        <f>C3*C4</f>
        <v>5781.648466655</v>
      </c>
      <c r="F5" s="1" t="n"/>
    </row>
    <row r="6"/>
    <row r="7">
      <c r="B7" t="inlineStr">
        <is>
          <t>Cash</t>
        </is>
      </c>
      <c r="C7" s="21" t="n">
        <v>3.25</v>
      </c>
    </row>
    <row r="8">
      <c r="B8" t="inlineStr">
        <is>
          <t>Debt</t>
        </is>
      </c>
      <c r="C8" s="21" t="n">
        <v>4.479</v>
      </c>
    </row>
    <row r="9">
      <c r="B9" t="inlineStr">
        <is>
          <t>Enterprise V.</t>
        </is>
      </c>
      <c r="C9" s="13">
        <f>C5-C7+C8</f>
        <v>5782.877466655001</v>
      </c>
    </row>
    <row r="10"/>
    <row r="11">
      <c r="B11" s="14" t="inlineStr">
        <is>
          <t>Net Cash / Share</t>
        </is>
      </c>
      <c r="C11" s="11">
        <f>(C7-C8)/C4</f>
        <v>-0.00047073434431315513</v>
      </c>
    </row>
    <row r="12">
      <c r="B12" s="14" t="inlineStr">
        <is>
          <t>Upside</t>
        </is>
      </c>
      <c r="C12" s="15">
        <f>IFERROR(C11/C3-1,"")</f>
        <v>-1.0002125691326769</v>
      </c>
    </row>
    <row r="13">
      <c r="B13" s="14" t="inlineStr">
        <is>
          <t>Cash / Share</t>
        </is>
      </c>
      <c r="C13" s="11">
        <f>IFERROR((C7-C8)/C4,"")</f>
        <v>-0.00047073434431315513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-8.074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5782.877466655001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4.8</v>
      </c>
      <c r="K2" s="23" t="n">
        <v>28.94</v>
      </c>
      <c r="L2" s="23" t="n">
        <v>1.18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3.692</v>
      </c>
      <c r="K3" s="23" t="n">
        <v>9.263</v>
      </c>
      <c r="L3" s="23" t="n">
        <v>0.23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1.1079999999999997</v>
      </c>
      <c r="K4" s="23">
        <f>K2-K3</f>
        <v>19.677</v>
      </c>
      <c r="L4" s="23">
        <f>L2-L3</f>
        <v>0.95</v>
      </c>
    </row>
    <row r="5">
      <c r="A5" s="2" t="inlineStr">
        <is>
          <t>Research &amp; Dev.</t>
        </is>
      </c>
      <c r="B5" s="23" t="n">
        <v>11.489</v>
      </c>
      <c r="C5" s="23" t="n">
        <v>11.177</v>
      </c>
      <c r="D5" s="23" t="n">
        <v>19.51</v>
      </c>
      <c r="E5" s="23" t="n">
        <v>19.808</v>
      </c>
      <c r="F5" s="23" t="n">
        <v>23.438</v>
      </c>
      <c r="G5" s="23" t="n">
        <v>18.173</v>
      </c>
      <c r="H5" s="23" t="n">
        <v>19.466</v>
      </c>
      <c r="I5" s="23" t="n">
        <v>17.629</v>
      </c>
      <c r="J5" s="23" t="n">
        <v>12.519</v>
      </c>
      <c r="K5" s="23" t="n">
        <v>9.148999999999999</v>
      </c>
      <c r="L5" s="23" t="n">
        <v>8.093</v>
      </c>
    </row>
    <row r="6">
      <c r="A6" s="19" t="inlineStr">
        <is>
          <t>SG&amp;A &amp; Other</t>
        </is>
      </c>
      <c r="B6" s="23" t="n">
        <v>4.707</v>
      </c>
      <c r="C6" s="23" t="n">
        <v>5.336</v>
      </c>
      <c r="D6" s="23" t="n">
        <v>5.73</v>
      </c>
      <c r="E6" s="23" t="n">
        <v>5.797</v>
      </c>
      <c r="F6" s="23" t="n">
        <v>4.673</v>
      </c>
      <c r="G6" s="23" t="n">
        <v>4.754</v>
      </c>
      <c r="H6" s="23" t="n">
        <v>5.311</v>
      </c>
      <c r="I6" s="23" t="n">
        <v>11.528</v>
      </c>
      <c r="J6" s="23" t="n">
        <v>38.283</v>
      </c>
      <c r="K6" s="23" t="n">
        <v>30.936</v>
      </c>
      <c r="L6" s="23" t="n">
        <v>3.144</v>
      </c>
    </row>
    <row r="7">
      <c r="A7" s="2" t="inlineStr">
        <is>
          <t>Operating Expense</t>
        </is>
      </c>
      <c r="B7" s="23">
        <f>SUM(B5:B6)</f>
        <v>16.196</v>
      </c>
      <c r="C7" s="23">
        <f>SUM(C5:C6)</f>
        <v>16.512999999999998</v>
      </c>
      <c r="D7" s="23">
        <f>SUM(D5:D6)</f>
        <v>25.240000000000002</v>
      </c>
      <c r="E7" s="23">
        <f>SUM(E5:E6)</f>
        <v>25.605</v>
      </c>
      <c r="F7" s="23">
        <f>SUM(F5:F6)</f>
        <v>28.110999999999997</v>
      </c>
      <c r="G7" s="23">
        <f>SUM(G5:G6)</f>
        <v>22.927</v>
      </c>
      <c r="H7" s="23">
        <f>SUM(H5:H6)</f>
        <v>24.777</v>
      </c>
      <c r="I7" s="23">
        <f>SUM(I5:I6)</f>
        <v>29.157000000000004</v>
      </c>
      <c r="J7" s="23">
        <f>SUM(J5:J6)</f>
        <v>50.802</v>
      </c>
      <c r="K7" s="23">
        <f>SUM(K5:K6)</f>
        <v>40.085</v>
      </c>
      <c r="L7" s="23">
        <f>SUM(L5:L6)</f>
        <v>11.237</v>
      </c>
    </row>
    <row r="8">
      <c r="A8" s="2" t="inlineStr">
        <is>
          <t>Operating Income</t>
        </is>
      </c>
      <c r="B8" s="23">
        <f>B4-B7</f>
        <v>-16.196</v>
      </c>
      <c r="C8" s="23">
        <f>C4-C7</f>
        <v>-16.512999999999998</v>
      </c>
      <c r="D8" s="23">
        <f>D4-D7</f>
        <v>-25.240000000000002</v>
      </c>
      <c r="E8" s="23">
        <f>E4-E7</f>
        <v>-25.605</v>
      </c>
      <c r="F8" s="23">
        <f>F4-F7</f>
        <v>-28.110999999999997</v>
      </c>
      <c r="G8" s="23">
        <f>G4-G7</f>
        <v>-22.927</v>
      </c>
      <c r="H8" s="23">
        <f>H4-H7</f>
        <v>-24.777</v>
      </c>
      <c r="I8" s="23">
        <f>I4-I7</f>
        <v>-29.157000000000004</v>
      </c>
      <c r="J8" s="23">
        <f>J4-J7</f>
        <v>-49.694</v>
      </c>
      <c r="K8" s="23">
        <f>K4-K7</f>
        <v>-20.408</v>
      </c>
      <c r="L8" s="23">
        <f>L4-L7</f>
        <v>-10.287</v>
      </c>
    </row>
    <row r="9">
      <c r="A9" s="19" t="inlineStr">
        <is>
          <t>Interest &amp; Other</t>
        </is>
      </c>
      <c r="B9" s="23" t="n">
        <v>1.796</v>
      </c>
      <c r="C9" s="23" t="n">
        <v>0.672</v>
      </c>
      <c r="D9" s="23" t="n">
        <v>0.888</v>
      </c>
      <c r="E9" s="23" t="n">
        <v>2.643</v>
      </c>
      <c r="F9" s="23" t="n">
        <v>2.665</v>
      </c>
      <c r="G9" s="23" t="n">
        <v>-7.094</v>
      </c>
      <c r="H9" s="23" t="n">
        <v>-2.277</v>
      </c>
      <c r="I9" s="23" t="n">
        <v>4.206</v>
      </c>
      <c r="J9" s="23" t="n">
        <v>-10.92</v>
      </c>
      <c r="K9" s="23" t="n">
        <v>11.187</v>
      </c>
      <c r="L9" s="23" t="n">
        <v>8.260999999999999</v>
      </c>
    </row>
    <row r="10">
      <c r="A10" s="2" t="inlineStr">
        <is>
          <t>Pretax</t>
        </is>
      </c>
      <c r="B10" s="23">
        <f>B8+B9</f>
        <v>-14.400000000000002</v>
      </c>
      <c r="C10" s="23">
        <f>C8+C9</f>
        <v>-15.840999999999998</v>
      </c>
      <c r="D10" s="23">
        <f>D8+D9</f>
        <v>-24.352</v>
      </c>
      <c r="E10" s="23">
        <f>E8+E9</f>
        <v>-22.962</v>
      </c>
      <c r="F10" s="23">
        <f>F8+F9</f>
        <v>-25.445999999999998</v>
      </c>
      <c r="G10" s="23">
        <f>G8+G9</f>
        <v>-30.021</v>
      </c>
      <c r="H10" s="23">
        <f>H8+H9</f>
        <v>-27.054000000000002</v>
      </c>
      <c r="I10" s="23">
        <f>I8+I9</f>
        <v>-24.951000000000004</v>
      </c>
      <c r="J10" s="23">
        <f>J8+J9</f>
        <v>-60.614000000000004</v>
      </c>
      <c r="K10" s="23">
        <f>K8+K9</f>
        <v>-9.221000000000002</v>
      </c>
      <c r="L10" s="23">
        <f>L8+L9</f>
        <v>-2.0260000000000016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-14.4</v>
      </c>
      <c r="C12" s="23" t="n">
        <v>-15.841</v>
      </c>
      <c r="D12" s="23" t="n">
        <v>-24.352</v>
      </c>
      <c r="E12" s="23" t="n">
        <v>-22.962</v>
      </c>
      <c r="F12" s="23" t="n">
        <v>-25.446</v>
      </c>
      <c r="G12" s="23" t="n">
        <v>-30.021</v>
      </c>
      <c r="H12" s="23" t="n">
        <v>-27.054</v>
      </c>
      <c r="I12" s="23" t="n">
        <v>-24.951</v>
      </c>
      <c r="J12" s="23" t="n">
        <v>-60.614</v>
      </c>
      <c r="K12" s="23" t="n">
        <v>-9.221</v>
      </c>
      <c r="L12" s="23" t="n">
        <v>-2.026</v>
      </c>
    </row>
    <row r="13">
      <c r="A13" s="2" t="inlineStr">
        <is>
          <t>Earnings per Share</t>
        </is>
      </c>
      <c r="B13" s="11">
        <f>IFERROR(B12/B14,0)</f>
        <v>-0.28012294284713846</v>
      </c>
      <c r="C13" s="11">
        <f>IFERROR(C12/C14,0)</f>
        <v>-0.2821444474129486</v>
      </c>
      <c r="D13" s="11">
        <f>IFERROR(D12/D14,0)</f>
        <v>-0.2706649920529948</v>
      </c>
      <c r="E13" s="11">
        <f>IFERROR(E12/E14,0)</f>
        <v>-0.2114442520903164</v>
      </c>
      <c r="F13" s="11">
        <f>IFERROR(F12/F14,0)</f>
        <v>-0.17380316514920735</v>
      </c>
      <c r="G13" s="11">
        <f>IFERROR(G12/G14,0)</f>
        <v>-0.11873329009191438</v>
      </c>
      <c r="H13" s="11">
        <f>IFERROR(H12/H14,0)</f>
        <v>-0.04080949234765452</v>
      </c>
      <c r="I13" s="11">
        <f>IFERROR(I12/I14,0)</f>
        <v>-0.03223822512103386</v>
      </c>
      <c r="J13" s="11">
        <f>IFERROR(J12/J14,0)</f>
        <v>-0.0629189736818613</v>
      </c>
      <c r="K13" s="11">
        <f>IFERROR(K12/K14,0)</f>
        <v>-0.007696301168175157</v>
      </c>
      <c r="L13" s="11">
        <f>IFERROR(L12/L14,0)</f>
        <v>-0.0008218156772089743</v>
      </c>
    </row>
    <row r="14">
      <c r="A14" s="2" t="inlineStr">
        <is>
          <t>Shares</t>
        </is>
      </c>
      <c r="B14" s="23" t="n">
        <v>51.406</v>
      </c>
      <c r="C14" s="23" t="n">
        <v>56.145</v>
      </c>
      <c r="D14" s="23" t="n">
        <v>89.971</v>
      </c>
      <c r="E14" s="23" t="n">
        <v>108.596</v>
      </c>
      <c r="F14" s="23" t="n">
        <v>146.407</v>
      </c>
      <c r="G14" s="23" t="n">
        <v>252.844</v>
      </c>
      <c r="H14" s="23" t="n">
        <v>662.934</v>
      </c>
      <c r="I14" s="23" t="n">
        <v>773.957</v>
      </c>
      <c r="J14" s="23" t="n">
        <v>963.366</v>
      </c>
      <c r="K14" s="23" t="n">
        <v>1198.108</v>
      </c>
      <c r="L14" s="23" t="n">
        <v>2465.273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5.029166666666667</v>
      </c>
      <c r="L16" s="15">
        <f>IFERROR(L2/K2-1,"")</f>
        <v>-0.95922598479613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0.23083333333333328</v>
      </c>
      <c r="K17" s="15">
        <f>IFERROR(K4/K2,"")</f>
        <v>0.6799239806496199</v>
      </c>
      <c r="L17" s="15">
        <f>IFERROR(L4/L2,"")</f>
        <v>0.8050847457627118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-10.352916666666667</v>
      </c>
      <c r="K18" s="15">
        <f>IFERROR(K8/K2,"")</f>
        <v>-0.7051831375259157</v>
      </c>
      <c r="L18" s="15">
        <f>IFERROR(L8/L2,"")</f>
        <v>-8.717796610169493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2026-10-21T06:21:41Z</dcterms:modified>
  <cp:lastModifiedBy>Wang, Eric</cp:lastModifiedBy>
</cp:coreProperties>
</file>