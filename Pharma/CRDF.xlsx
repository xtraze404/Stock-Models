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Cardiff Oncology, Inc.</t>
        </is>
      </c>
      <c r="C2" s="10" t="n"/>
    </row>
    <row r="3">
      <c r="B3" t="inlineStr">
        <is>
          <t>Price</t>
        </is>
      </c>
      <c r="C3" s="11">
        <f>INDEX([1]Pharma!$F$1:$F$1000,MATCH("CRDF",[1]Pharma!$B$1:$B$1000,0))</f>
        <v>0.9315</v>
      </c>
      <c r="F3" s="1" t="n"/>
    </row>
    <row r="4">
      <c r="B4" t="inlineStr">
        <is>
          <t>Shares</t>
        </is>
      </c>
      <c r="C4" s="21" t="n">
        <v>77.795249</v>
      </c>
      <c r="F4" s="1" t="n"/>
    </row>
    <row r="5">
      <c r="B5" t="inlineStr">
        <is>
          <t>Market Cap.</t>
        </is>
      </c>
      <c r="C5" s="13">
        <f>C3*C4</f>
        <v>72.4662744435</v>
      </c>
      <c r="F5" s="1" t="n"/>
    </row>
    <row r="6"/>
    <row r="7">
      <c r="B7" t="inlineStr">
        <is>
          <t>Cash</t>
        </is>
      </c>
      <c r="C7" s="21">
        <f>9.197+25.323</f>
        <v>34.519999999999996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37.9462744435</v>
      </c>
    </row>
    <row r="10"/>
    <row r="11">
      <c r="B11" s="14" t="inlineStr">
        <is>
          <t>Net Cash / Share</t>
        </is>
      </c>
      <c r="C11" s="11">
        <f>(C7-C8)/C4</f>
        <v>0.44372889660652665</v>
      </c>
    </row>
    <row r="12">
      <c r="B12" s="14" t="inlineStr">
        <is>
          <t>Upside</t>
        </is>
      </c>
      <c r="C12" s="15">
        <f>IFERROR(C11/C3-1,"")</f>
        <v>-0.5236404759994346</v>
      </c>
    </row>
    <row r="13">
      <c r="B13" s="14" t="inlineStr">
        <is>
          <t>Cash / Share</t>
        </is>
      </c>
      <c r="C13" s="11">
        <f>IFERROR((C7-C8)/C4,"")</f>
        <v>0.44372889660652665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-40.854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0.8449601018260146</v>
      </c>
    </row>
    <row r="19">
      <c r="B19" s="14" t="inlineStr">
        <is>
          <t>Implied Pipeline Value</t>
        </is>
      </c>
      <c r="C19" s="13">
        <f>C9</f>
        <v>37.9462744435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2001</v>
      </c>
      <c r="C1" s="17" t="n">
        <v>2002</v>
      </c>
      <c r="D1" s="17" t="n">
        <v>2003</v>
      </c>
      <c r="E1" s="17" t="n">
        <v>2004</v>
      </c>
      <c r="F1" s="17" t="n">
        <v>2005</v>
      </c>
      <c r="G1" s="17" t="n">
        <v>2006</v>
      </c>
      <c r="H1" s="17" t="n">
        <v>2007</v>
      </c>
      <c r="I1" s="17" t="n">
        <v>2008</v>
      </c>
      <c r="J1" s="17" t="n">
        <v>2009</v>
      </c>
      <c r="K1" s="17" t="n">
        <v>2010</v>
      </c>
      <c r="L1" s="17" t="n">
        <v>2011</v>
      </c>
      <c r="M1" s="17" t="n">
        <v>2012</v>
      </c>
      <c r="N1" s="17" t="n">
        <v>2013</v>
      </c>
      <c r="O1" s="17" t="n">
        <v>2014</v>
      </c>
      <c r="P1" s="17" t="n">
        <v>2015</v>
      </c>
      <c r="Q1" s="17" t="n">
        <v>2016</v>
      </c>
      <c r="R1" s="17" t="n">
        <v>2017</v>
      </c>
      <c r="S1" s="17" t="n">
        <v>2018</v>
      </c>
      <c r="T1" s="17" t="n">
        <v>2019</v>
      </c>
      <c r="U1" s="17" t="n">
        <v>2020</v>
      </c>
      <c r="V1" s="17" t="n">
        <v>2021</v>
      </c>
      <c r="W1" s="17" t="n">
        <v>2022</v>
      </c>
      <c r="X1" s="17" t="n">
        <v>2023</v>
      </c>
      <c r="Y1" s="17" t="n">
        <v>2024</v>
      </c>
      <c r="Z1" s="17" t="n">
        <v>2025</v>
      </c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0.258</v>
      </c>
      <c r="M2" s="23" t="n">
        <v>0.45</v>
      </c>
      <c r="N2" s="23" t="n">
        <v>0.259</v>
      </c>
      <c r="O2" s="23" t="n">
        <v>0.28</v>
      </c>
      <c r="P2" s="23" t="n">
        <v>0.313</v>
      </c>
      <c r="Q2" s="23" t="n">
        <v>0.381</v>
      </c>
      <c r="R2" s="23" t="n">
        <v>0.505</v>
      </c>
      <c r="S2" s="23" t="n">
        <v>0.378</v>
      </c>
      <c r="T2" s="23" t="n">
        <v>0.245</v>
      </c>
      <c r="U2" s="23" t="n">
        <v>0.366</v>
      </c>
      <c r="V2" s="23" t="n">
        <v>0.359</v>
      </c>
      <c r="W2" s="23" t="n">
        <v>0.386</v>
      </c>
      <c r="X2" s="23" t="n">
        <v>0.488</v>
      </c>
      <c r="Y2" s="23" t="n">
        <v>0.6830000000000001</v>
      </c>
      <c r="Z2" s="23" t="n">
        <v>0.593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0.015</v>
      </c>
      <c r="P3" s="23" t="n">
        <v>0.629</v>
      </c>
      <c r="Q3" s="23" t="n">
        <v>1.731</v>
      </c>
      <c r="R3" s="23" t="n">
        <v>1.811</v>
      </c>
      <c r="S3" s="23" t="n">
        <v>0.597</v>
      </c>
      <c r="T3" s="23" t="n">
        <v>0</v>
      </c>
      <c r="U3" s="23" t="n">
        <v>0</v>
      </c>
      <c r="V3" s="23" t="n">
        <v>0</v>
      </c>
      <c r="W3" s="23" t="n">
        <v>0</v>
      </c>
      <c r="X3" s="23" t="n">
        <v>0</v>
      </c>
      <c r="Y3" s="23" t="n">
        <v>0</v>
      </c>
      <c r="Z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0.258</v>
      </c>
      <c r="M4" s="23">
        <f>M2-M3</f>
        <v>0.45</v>
      </c>
      <c r="N4" s="23">
        <f>N2-N3</f>
        <v>0.259</v>
      </c>
      <c r="O4" s="23">
        <f>O2-O3</f>
        <v>0.265</v>
      </c>
      <c r="P4" s="23">
        <f>P2-P3</f>
        <v>-0.316</v>
      </c>
      <c r="Q4" s="23">
        <f>Q2-Q3</f>
        <v>-1.35</v>
      </c>
      <c r="R4" s="23">
        <f>R2-R3</f>
        <v>-1.306</v>
      </c>
      <c r="S4" s="23">
        <f>S2-S3</f>
        <v>-0.21899999999999997</v>
      </c>
      <c r="T4" s="23">
        <f>T2-T3</f>
        <v>0.245</v>
      </c>
      <c r="U4" s="23">
        <f>U2-U3</f>
        <v>0.366</v>
      </c>
      <c r="V4" s="23">
        <f>V2-V3</f>
        <v>0.359</v>
      </c>
      <c r="W4" s="23">
        <f>W2-W3</f>
        <v>0.386</v>
      </c>
      <c r="X4" s="23">
        <f>X2-X3</f>
        <v>0.488</v>
      </c>
      <c r="Y4" s="23">
        <f>Y2-Y3</f>
        <v>0.683</v>
      </c>
      <c r="Z4" s="23">
        <f>Z2-Z3</f>
        <v>0.593</v>
      </c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0</v>
      </c>
      <c r="E5" s="23" t="n">
        <v>0</v>
      </c>
      <c r="F5" s="23" t="n">
        <v>0</v>
      </c>
      <c r="G5" s="23" t="n">
        <v>0</v>
      </c>
      <c r="H5" s="23" t="n">
        <v>0</v>
      </c>
      <c r="I5" s="23" t="n">
        <v>0</v>
      </c>
      <c r="J5" s="23" t="n">
        <v>0</v>
      </c>
      <c r="K5" s="23" t="n">
        <v>0</v>
      </c>
      <c r="L5" s="23" t="n">
        <v>0.911</v>
      </c>
      <c r="M5" s="23" t="n">
        <v>1.92</v>
      </c>
      <c r="N5" s="23" t="n">
        <v>3.948</v>
      </c>
      <c r="O5" s="23" t="n">
        <v>6.665</v>
      </c>
      <c r="P5" s="23" t="n">
        <v>10.594</v>
      </c>
      <c r="Q5" s="23" t="n">
        <v>15.007</v>
      </c>
      <c r="R5" s="23" t="n">
        <v>7.883</v>
      </c>
      <c r="S5" s="23" t="n">
        <v>8.164</v>
      </c>
      <c r="T5" s="23" t="n">
        <v>11.162</v>
      </c>
      <c r="U5" s="23" t="n">
        <v>11.235</v>
      </c>
      <c r="V5" s="23" t="n">
        <v>17.4</v>
      </c>
      <c r="W5" s="23" t="n">
        <v>27.107</v>
      </c>
      <c r="X5" s="23" t="n">
        <v>32.857</v>
      </c>
      <c r="Y5" s="23" t="n">
        <v>36.852</v>
      </c>
      <c r="Z5" s="23" t="n">
        <v>35.329</v>
      </c>
    </row>
    <row r="6">
      <c r="A6" s="19" t="inlineStr">
        <is>
          <t>SG&amp;A &amp; Other</t>
        </is>
      </c>
      <c r="B6" s="23" t="n">
        <v>0.268</v>
      </c>
      <c r="C6" s="23" t="n">
        <v>0.524</v>
      </c>
      <c r="D6" s="23" t="n">
        <v>0.482</v>
      </c>
      <c r="E6" s="23" t="n">
        <v>0.383</v>
      </c>
      <c r="F6" s="23" t="n">
        <v>5.371</v>
      </c>
      <c r="G6" s="23" t="n">
        <v>7.844</v>
      </c>
      <c r="H6" s="23" t="n">
        <v>7.134</v>
      </c>
      <c r="I6" s="23" t="n">
        <v>5.166</v>
      </c>
      <c r="J6" s="23" t="n">
        <v>2.484</v>
      </c>
      <c r="K6" s="23" t="n">
        <v>5.449</v>
      </c>
      <c r="L6" s="23" t="n">
        <v>2.324</v>
      </c>
      <c r="M6" s="23" t="n">
        <v>3.379</v>
      </c>
      <c r="N6" s="23" t="n">
        <v>7.002</v>
      </c>
      <c r="O6" s="23" t="n">
        <v>8.545</v>
      </c>
      <c r="P6" s="23" t="n">
        <v>14.363</v>
      </c>
      <c r="Q6" s="23" t="n">
        <v>23.79</v>
      </c>
      <c r="R6" s="23" t="n">
        <v>16.407</v>
      </c>
      <c r="S6" s="23" t="n">
        <v>8.67</v>
      </c>
      <c r="T6" s="23" t="n">
        <v>5.761</v>
      </c>
      <c r="U6" s="23" t="n">
        <v>8.217000000000001</v>
      </c>
      <c r="V6" s="23" t="n">
        <v>11.814</v>
      </c>
      <c r="W6" s="23" t="n">
        <v>13.181</v>
      </c>
      <c r="X6" s="23" t="n">
        <v>13.043</v>
      </c>
      <c r="Y6" s="23" t="n">
        <v>12.482</v>
      </c>
      <c r="Z6" s="23" t="n">
        <v>14.224</v>
      </c>
    </row>
    <row r="7">
      <c r="A7" s="2" t="inlineStr">
        <is>
          <t>Operating Expense</t>
        </is>
      </c>
      <c r="B7" s="23">
        <f>SUM(B5:B6)</f>
        <v>0.268</v>
      </c>
      <c r="C7" s="23">
        <f>SUM(C5:C6)</f>
        <v>0.524</v>
      </c>
      <c r="D7" s="23">
        <f>SUM(D5:D6)</f>
        <v>0.482</v>
      </c>
      <c r="E7" s="23">
        <f>SUM(E5:E6)</f>
        <v>0.383</v>
      </c>
      <c r="F7" s="23">
        <f>SUM(F5:F6)</f>
        <v>5.371</v>
      </c>
      <c r="G7" s="23">
        <f>SUM(G5:G6)</f>
        <v>7.844</v>
      </c>
      <c r="H7" s="23">
        <f>SUM(H5:H6)</f>
        <v>7.134</v>
      </c>
      <c r="I7" s="23">
        <f>SUM(I5:I6)</f>
        <v>5.166</v>
      </c>
      <c r="J7" s="23">
        <f>SUM(J5:J6)</f>
        <v>2.484</v>
      </c>
      <c r="K7" s="23">
        <f>SUM(K5:K6)</f>
        <v>5.449</v>
      </c>
      <c r="L7" s="23">
        <f>SUM(L5:L6)</f>
        <v>3.235</v>
      </c>
      <c r="M7" s="23">
        <f>SUM(M5:M6)</f>
        <v>5.2989999999999995</v>
      </c>
      <c r="N7" s="23">
        <f>SUM(N5:N6)</f>
        <v>10.95</v>
      </c>
      <c r="O7" s="23">
        <f>SUM(O5:O6)</f>
        <v>15.21</v>
      </c>
      <c r="P7" s="23">
        <f>SUM(P5:P6)</f>
        <v>24.957</v>
      </c>
      <c r="Q7" s="23">
        <f>SUM(Q5:Q6)</f>
        <v>38.797</v>
      </c>
      <c r="R7" s="23">
        <f>SUM(R5:R6)</f>
        <v>24.29</v>
      </c>
      <c r="S7" s="23">
        <f>SUM(S5:S6)</f>
        <v>16.834</v>
      </c>
      <c r="T7" s="23">
        <f>SUM(T5:T6)</f>
        <v>16.923000000000002</v>
      </c>
      <c r="U7" s="23">
        <f>SUM(U5:U6)</f>
        <v>19.451999999999998</v>
      </c>
      <c r="V7" s="23">
        <f>SUM(V5:V6)</f>
        <v>29.214</v>
      </c>
      <c r="W7" s="23">
        <f>SUM(W5:W6)</f>
        <v>40.288</v>
      </c>
      <c r="X7" s="23">
        <f>SUM(X5:X6)</f>
        <v>45.9</v>
      </c>
      <c r="Y7" s="23">
        <f>SUM(Y5:Y6)</f>
        <v>49.333999999999996</v>
      </c>
      <c r="Z7" s="23">
        <f>SUM(Z5:Z6)</f>
        <v>49.553</v>
      </c>
    </row>
    <row r="8">
      <c r="A8" s="2" t="inlineStr">
        <is>
          <t>Operating Income</t>
        </is>
      </c>
      <c r="B8" s="23">
        <f>B4-B7</f>
        <v>-0.268</v>
      </c>
      <c r="C8" s="23">
        <f>C4-C7</f>
        <v>-0.524</v>
      </c>
      <c r="D8" s="23">
        <f>D4-D7</f>
        <v>-0.482</v>
      </c>
      <c r="E8" s="23">
        <f>E4-E7</f>
        <v>-0.383</v>
      </c>
      <c r="F8" s="23">
        <f>F4-F7</f>
        <v>-5.371</v>
      </c>
      <c r="G8" s="23">
        <f>G4-G7</f>
        <v>-7.844</v>
      </c>
      <c r="H8" s="23">
        <f>H4-H7</f>
        <v>-7.134</v>
      </c>
      <c r="I8" s="23">
        <f>I4-I7</f>
        <v>-5.166</v>
      </c>
      <c r="J8" s="23">
        <f>J4-J7</f>
        <v>-2.484</v>
      </c>
      <c r="K8" s="23">
        <f>K4-K7</f>
        <v>-5.449</v>
      </c>
      <c r="L8" s="23">
        <f>L4-L7</f>
        <v>-2.977</v>
      </c>
      <c r="M8" s="23">
        <f>M4-M7</f>
        <v>-4.848999999999999</v>
      </c>
      <c r="N8" s="23">
        <f>N4-N7</f>
        <v>-10.690999999999999</v>
      </c>
      <c r="O8" s="23">
        <f>O4-O7</f>
        <v>-14.945</v>
      </c>
      <c r="P8" s="23">
        <f>P4-P7</f>
        <v>-25.273</v>
      </c>
      <c r="Q8" s="23">
        <f>Q4-Q7</f>
        <v>-40.147</v>
      </c>
      <c r="R8" s="23">
        <f>R4-R7</f>
        <v>-25.596</v>
      </c>
      <c r="S8" s="23">
        <f>S4-S7</f>
        <v>-17.053</v>
      </c>
      <c r="T8" s="23">
        <f>T4-T7</f>
        <v>-16.678</v>
      </c>
      <c r="U8" s="23">
        <f>U4-U7</f>
        <v>-19.086</v>
      </c>
      <c r="V8" s="23">
        <f>V4-V7</f>
        <v>-28.854999999999997</v>
      </c>
      <c r="W8" s="23">
        <f>W4-W7</f>
        <v>-39.901999999999994</v>
      </c>
      <c r="X8" s="23">
        <f>X4-X7</f>
        <v>-45.412</v>
      </c>
      <c r="Y8" s="23">
        <f>Y4-Y7</f>
        <v>-48.650999999999996</v>
      </c>
      <c r="Z8" s="23">
        <f>Z4-Z7</f>
        <v>-48.959999999999994</v>
      </c>
    </row>
    <row r="9">
      <c r="A9" s="19" t="inlineStr">
        <is>
          <t>Interest &amp; Other</t>
        </is>
      </c>
      <c r="B9" s="23" t="n">
        <v>0</v>
      </c>
      <c r="C9" s="23" t="n">
        <v>0</v>
      </c>
      <c r="D9" s="23" t="n">
        <v>0</v>
      </c>
      <c r="E9" s="23" t="n">
        <v>0</v>
      </c>
      <c r="F9" s="23" t="n">
        <v>0</v>
      </c>
      <c r="G9" s="23" t="n">
        <v>0</v>
      </c>
      <c r="H9" s="23" t="n">
        <v>0</v>
      </c>
      <c r="I9" s="23" t="n">
        <v>0</v>
      </c>
      <c r="J9" s="23" t="n">
        <v>0</v>
      </c>
      <c r="K9" s="23" t="n">
        <v>0</v>
      </c>
      <c r="L9" s="23" t="n">
        <v>0.738</v>
      </c>
      <c r="M9" s="23" t="n">
        <v>-6.717</v>
      </c>
      <c r="N9" s="23" t="n">
        <v>-1.12</v>
      </c>
      <c r="O9" s="23" t="n">
        <v>0.62</v>
      </c>
      <c r="P9" s="23" t="n">
        <v>-2.197</v>
      </c>
      <c r="Q9" s="23" t="n">
        <v>0.9419999999999999</v>
      </c>
      <c r="R9" s="23" t="n">
        <v>0.6889999999999999</v>
      </c>
      <c r="S9" s="23" t="n">
        <v>0.592</v>
      </c>
      <c r="T9" s="23" t="n">
        <v>0.264</v>
      </c>
      <c r="U9" s="23" t="n">
        <v>-0.221</v>
      </c>
      <c r="V9" s="23" t="n">
        <v>0.5639999999999999</v>
      </c>
      <c r="W9" s="23" t="n">
        <v>1.198</v>
      </c>
      <c r="X9" s="23" t="n">
        <v>45.371</v>
      </c>
      <c r="Y9" s="23" t="n">
        <v>48.606</v>
      </c>
      <c r="Z9" s="23" t="n">
        <v>48.914</v>
      </c>
    </row>
    <row r="10">
      <c r="A10" s="2" t="inlineStr">
        <is>
          <t>Pretax</t>
        </is>
      </c>
      <c r="B10" s="23">
        <f>B8+B9</f>
        <v>-0.268</v>
      </c>
      <c r="C10" s="23">
        <f>C8+C9</f>
        <v>-0.524</v>
      </c>
      <c r="D10" s="23">
        <f>D8+D9</f>
        <v>-0.482</v>
      </c>
      <c r="E10" s="23">
        <f>E8+E9</f>
        <v>-0.383</v>
      </c>
      <c r="F10" s="23">
        <f>F8+F9</f>
        <v>-5.371</v>
      </c>
      <c r="G10" s="23">
        <f>G8+G9</f>
        <v>-7.844</v>
      </c>
      <c r="H10" s="23">
        <f>H8+H9</f>
        <v>-7.134</v>
      </c>
      <c r="I10" s="23">
        <f>I8+I9</f>
        <v>-5.166</v>
      </c>
      <c r="J10" s="23">
        <f>J8+J9</f>
        <v>-2.484</v>
      </c>
      <c r="K10" s="23">
        <f>K8+K9</f>
        <v>-5.449</v>
      </c>
      <c r="L10" s="23">
        <f>L8+L9</f>
        <v>-2.239</v>
      </c>
      <c r="M10" s="23">
        <f>M8+M9</f>
        <v>-11.565999999999999</v>
      </c>
      <c r="N10" s="23">
        <f>N8+N9</f>
        <v>-11.811</v>
      </c>
      <c r="O10" s="23">
        <f>O8+O9</f>
        <v>-14.325000000000001</v>
      </c>
      <c r="P10" s="23">
        <f>P8+P9</f>
        <v>-27.47</v>
      </c>
      <c r="Q10" s="23">
        <f>Q8+Q9</f>
        <v>-39.205</v>
      </c>
      <c r="R10" s="23">
        <f>R8+R9</f>
        <v>-24.907</v>
      </c>
      <c r="S10" s="23">
        <f>S8+S9</f>
        <v>-16.461000000000002</v>
      </c>
      <c r="T10" s="23">
        <f>T8+T9</f>
        <v>-16.414</v>
      </c>
      <c r="U10" s="23">
        <f>U8+U9</f>
        <v>-19.307</v>
      </c>
      <c r="V10" s="23">
        <f>V8+V9</f>
        <v>-28.290999999999997</v>
      </c>
      <c r="W10" s="23">
        <f>W8+W9</f>
        <v>-38.70399999999999</v>
      </c>
      <c r="X10" s="23">
        <f>X8+X9</f>
        <v>-0.04099999999999682</v>
      </c>
      <c r="Y10" s="23">
        <f>Y8+Y9</f>
        <v>-0.0449999999999946</v>
      </c>
      <c r="Z10" s="23">
        <f>Z8+Z9</f>
        <v>-0.04599999999999227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</v>
      </c>
      <c r="R11" s="23" t="n">
        <v>0</v>
      </c>
      <c r="S11" s="23" t="n">
        <v>0</v>
      </c>
      <c r="T11" s="23" t="n">
        <v>0</v>
      </c>
      <c r="U11" s="23" t="n">
        <v>0</v>
      </c>
      <c r="V11" s="23" t="n">
        <v>0</v>
      </c>
      <c r="W11" s="23" t="n">
        <v>0</v>
      </c>
      <c r="X11" s="23" t="n">
        <v>0</v>
      </c>
      <c r="Y11" s="23" t="n">
        <v>0</v>
      </c>
      <c r="Z11" s="23" t="n">
        <v>0</v>
      </c>
    </row>
    <row r="12">
      <c r="A12" s="2" t="inlineStr">
        <is>
          <t>Net Income</t>
        </is>
      </c>
      <c r="B12" s="23" t="n">
        <v>-0.268</v>
      </c>
      <c r="C12" s="23" t="n">
        <v>-0.524</v>
      </c>
      <c r="D12" s="23" t="n">
        <v>-0.482</v>
      </c>
      <c r="E12" s="23" t="n">
        <v>-0.383</v>
      </c>
      <c r="F12" s="23" t="n">
        <v>-5.371</v>
      </c>
      <c r="G12" s="23" t="n">
        <v>-7.844</v>
      </c>
      <c r="H12" s="23" t="n">
        <v>-7.134</v>
      </c>
      <c r="I12" s="23" t="n">
        <v>-5.166</v>
      </c>
      <c r="J12" s="23" t="n">
        <v>-2.484</v>
      </c>
      <c r="K12" s="23" t="n">
        <v>-5.449</v>
      </c>
      <c r="L12" s="23" t="n">
        <v>-2.239</v>
      </c>
      <c r="M12" s="23" t="n">
        <v>-11.566</v>
      </c>
      <c r="N12" s="23" t="n">
        <v>-11.811</v>
      </c>
      <c r="O12" s="23" t="n">
        <v>-14.325</v>
      </c>
      <c r="P12" s="23" t="n">
        <v>-27.471</v>
      </c>
      <c r="Q12" s="23" t="n">
        <v>-39.204</v>
      </c>
      <c r="R12" s="23" t="n">
        <v>-24.907</v>
      </c>
      <c r="S12" s="23" t="n">
        <v>-16.461</v>
      </c>
      <c r="T12" s="23" t="n">
        <v>-16.414</v>
      </c>
      <c r="U12" s="23" t="n">
        <v>-19.307</v>
      </c>
      <c r="V12" s="23" t="n">
        <v>-28.291</v>
      </c>
      <c r="W12" s="23" t="n">
        <v>-38.704</v>
      </c>
      <c r="X12" s="23" t="n">
        <v>-0.041</v>
      </c>
      <c r="Y12" s="23" t="n">
        <v>-0.045</v>
      </c>
      <c r="Z12" s="23" t="n">
        <v>-0.046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0</v>
      </c>
      <c r="E13" s="11">
        <f>IFERROR(E12/E14,0)</f>
        <v>0</v>
      </c>
      <c r="F13" s="11">
        <f>IFERROR(F12/F14,0)</f>
        <v>0</v>
      </c>
      <c r="G13" s="11">
        <f>IFERROR(G12/G14,0)</f>
        <v>0</v>
      </c>
      <c r="H13" s="11">
        <f>IFERROR(H12/H14,0)</f>
        <v>0</v>
      </c>
      <c r="I13" s="11">
        <f>IFERROR(I12/I14,0)</f>
        <v>0</v>
      </c>
      <c r="J13" s="11">
        <f>IFERROR(J12/J14,0)</f>
        <v>0</v>
      </c>
      <c r="K13" s="11">
        <f>IFERROR(K12/K14,0)</f>
        <v>0</v>
      </c>
      <c r="L13" s="11">
        <f>IFERROR(L12/L14,0)</f>
        <v>-14.538961038961038</v>
      </c>
      <c r="M13" s="11">
        <f>IFERROR(M12/M14,0)</f>
        <v>-55.874396135265705</v>
      </c>
      <c r="N13" s="11">
        <f>IFERROR(N12/N14,0)</f>
        <v>-43.90706319702602</v>
      </c>
      <c r="O13" s="11">
        <f>IFERROR(O12/O14,0)</f>
        <v>-47.277227722772274</v>
      </c>
      <c r="P13" s="11">
        <f>IFERROR(P12/P14,0)</f>
        <v>-65.40714285714286</v>
      </c>
      <c r="Q13" s="11">
        <f>IFERROR(Q12/Q14,0)</f>
        <v>-81.50519750519751</v>
      </c>
      <c r="R13" s="11">
        <f>IFERROR(R12/R14,0)</f>
        <v>-51.67427385892116</v>
      </c>
      <c r="S13" s="11">
        <f>IFERROR(S12/S14,0)</f>
        <v>-7.064806866952789</v>
      </c>
      <c r="T13" s="11">
        <f>IFERROR(T12/T14,0)</f>
        <v>-2.7475728155339807</v>
      </c>
      <c r="U13" s="11">
        <f>IFERROR(U12/U14,0)</f>
        <v>-0.9248862275449101</v>
      </c>
      <c r="V13" s="11">
        <f>IFERROR(V12/V14,0)</f>
        <v>-0.7248526774276197</v>
      </c>
      <c r="W13" s="11">
        <f>IFERROR(W12/W14,0)</f>
        <v>-0.8877064220183486</v>
      </c>
      <c r="X13" s="11">
        <f>IFERROR(X12/X14,0)</f>
        <v>-0.0009176981444591177</v>
      </c>
      <c r="Y13" s="11">
        <f>IFERROR(Y12/Y14,0)</f>
        <v>-0.0009443861490031479</v>
      </c>
      <c r="Z13" s="11">
        <f>IFERROR(Z12/Z14,0)</f>
        <v>-0.0006882003560688799</v>
      </c>
    </row>
    <row r="14">
      <c r="A14" s="2" t="inlineStr">
        <is>
          <t>Shares</t>
        </is>
      </c>
      <c r="B14" s="23" t="n"/>
      <c r="C14" s="23" t="n"/>
      <c r="D14" s="23" t="n"/>
      <c r="E14" s="23" t="n"/>
      <c r="F14" s="23" t="n"/>
      <c r="G14" s="23" t="n"/>
      <c r="H14" s="23" t="n"/>
      <c r="I14" s="23" t="n"/>
      <c r="J14" s="23" t="n"/>
      <c r="K14" s="23" t="n"/>
      <c r="L14" s="23" t="n">
        <v>0.154</v>
      </c>
      <c r="M14" s="23" t="n">
        <v>0.207</v>
      </c>
      <c r="N14" s="23" t="n">
        <v>0.269</v>
      </c>
      <c r="O14" s="23" t="n">
        <v>0.303</v>
      </c>
      <c r="P14" s="23" t="n">
        <v>0.42</v>
      </c>
      <c r="Q14" s="23" t="n">
        <v>0.481</v>
      </c>
      <c r="R14" s="23" t="n">
        <v>0.482</v>
      </c>
      <c r="S14" s="23" t="n">
        <v>2.33</v>
      </c>
      <c r="T14" s="23" t="n">
        <v>5.974</v>
      </c>
      <c r="U14" s="23" t="n">
        <v>20.875</v>
      </c>
      <c r="V14" s="23" t="n">
        <v>39.03</v>
      </c>
      <c r="W14" s="23" t="n">
        <v>43.6</v>
      </c>
      <c r="X14" s="23" t="n">
        <v>44.677</v>
      </c>
      <c r="Y14" s="23" t="n">
        <v>47.65</v>
      </c>
      <c r="Z14" s="23" t="n">
        <v>66.84099999999999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>0.7441860465116279</v>
      </c>
      <c r="N16" s="15">
        <f>IFERROR(N2/M2-1,"")</f>
        <v>-0.4244444444444444</v>
      </c>
      <c r="O16" s="15">
        <f>IFERROR(O2/N2-1,"")</f>
        <v>0.08108108108108114</v>
      </c>
      <c r="P16" s="15">
        <f>IFERROR(P2/O2-1,"")</f>
        <v>0.11785714285714266</v>
      </c>
      <c r="Q16" s="15">
        <f>IFERROR(Q2/P2-1,"")</f>
        <v>0.21725239616613412</v>
      </c>
      <c r="R16" s="15">
        <f>IFERROR(R2/Q2-1,"")</f>
        <v>0.3254593175853018</v>
      </c>
      <c r="S16" s="15">
        <f>IFERROR(S2/R2-1,"")</f>
        <v>-0.2514851485148515</v>
      </c>
      <c r="T16" s="15">
        <f>IFERROR(T2/S2-1,"")</f>
        <v>-0.35185185185185186</v>
      </c>
      <c r="U16" s="15">
        <f>IFERROR(U2/T2-1,"")</f>
        <v>0.4938775510204081</v>
      </c>
      <c r="V16" s="15">
        <f>IFERROR(V2/U2-1,"")</f>
        <v>-0.01912568306010931</v>
      </c>
      <c r="W16" s="15">
        <f>IFERROR(W2/V2-1,"")</f>
        <v>0.07520891364902504</v>
      </c>
      <c r="X16" s="15">
        <f>IFERROR(X2/W2-1,"")</f>
        <v>0.2642487046632125</v>
      </c>
      <c r="Y16" s="15">
        <f>IFERROR(Y2/X2-1,"")</f>
        <v>0.39959016393442637</v>
      </c>
      <c r="Z16" s="15">
        <f>IFERROR(Z2/Y2-1,"")</f>
        <v>-0.1317715959004393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  <c r="O17" s="15">
        <f>IFERROR(O4/O2,"")</f>
        <v>0.9464285714285714</v>
      </c>
      <c r="P17" s="15">
        <f>IFERROR(P4/P2,"")</f>
        <v>-1.0095846645367412</v>
      </c>
      <c r="Q17" s="15">
        <f>IFERROR(Q4/Q2,"")</f>
        <v>-3.5433070866141736</v>
      </c>
      <c r="R17" s="15">
        <f>IFERROR(R4/R2,"")</f>
        <v>-2.586138613861386</v>
      </c>
      <c r="S17" s="15">
        <f>IFERROR(S4/S2,"")</f>
        <v>-0.5793650793650793</v>
      </c>
      <c r="T17" s="15">
        <f>IFERROR(T4/T2,"")</f>
        <v>1.0</v>
      </c>
      <c r="U17" s="15">
        <f>IFERROR(U4/U2,"")</f>
        <v>1.0</v>
      </c>
      <c r="V17" s="15">
        <f>IFERROR(V4/V2,"")</f>
        <v>1.0</v>
      </c>
      <c r="W17" s="15">
        <f>IFERROR(W4/W2,"")</f>
        <v>1.0</v>
      </c>
      <c r="X17" s="15">
        <f>IFERROR(X4/X2,"")</f>
        <v>1.0</v>
      </c>
      <c r="Y17" s="15">
        <f>IFERROR(Y4/Y2,"")</f>
        <v>1.0</v>
      </c>
      <c r="Z17" s="15">
        <f>IFERROR(Z4/Z2,"")</f>
        <v>1.0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>-11.538759689922479</v>
      </c>
      <c r="M18" s="15">
        <f>IFERROR(M8/M2,"")</f>
        <v>-10.775555555555554</v>
      </c>
      <c r="N18" s="15">
        <f>IFERROR(N8/N2,"")</f>
        <v>-41.277992277992276</v>
      </c>
      <c r="O18" s="15">
        <f>IFERROR(O8/O2,"")</f>
        <v>-53.37499999999999</v>
      </c>
      <c r="P18" s="15">
        <f>IFERROR(P8/P2,"")</f>
        <v>-80.7444089456869</v>
      </c>
      <c r="Q18" s="15">
        <f>IFERROR(Q8/Q2,"")</f>
        <v>-105.37270341207349</v>
      </c>
      <c r="R18" s="15">
        <f>IFERROR(R8/R2,"")</f>
        <v>-50.685148514851484</v>
      </c>
      <c r="S18" s="15">
        <f>IFERROR(S8/S2,"")</f>
        <v>-45.113756613756614</v>
      </c>
      <c r="T18" s="15">
        <f>IFERROR(T8/T2,"")</f>
        <v>-68.07346938775511</v>
      </c>
      <c r="U18" s="15">
        <f>IFERROR(U8/U2,"")</f>
        <v>-52.147540983606554</v>
      </c>
      <c r="V18" s="15">
        <f>IFERROR(V8/V2,"")</f>
        <v>-80.37604456824512</v>
      </c>
      <c r="W18" s="15">
        <f>IFERROR(W8/W2,"")</f>
        <v>-103.37305699481864</v>
      </c>
      <c r="X18" s="15">
        <f>IFERROR(X8/X2,"")</f>
        <v>-93.05737704918033</v>
      </c>
      <c r="Y18" s="15">
        <f>IFERROR(Y8/Y2,"")</f>
        <v>-71.23133235724742</v>
      </c>
      <c r="Z18" s="15">
        <f>IFERROR(Z8/Z2,"")</f>
        <v>-82.56323777403034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  <c r="R19" s="20" t="inlineStr">
        <is>
          <t>A</t>
        </is>
      </c>
      <c r="S19" s="20" t="inlineStr">
        <is>
          <t>A</t>
        </is>
      </c>
      <c r="T19" s="20" t="inlineStr">
        <is>
          <t>A</t>
        </is>
      </c>
      <c r="U19" s="20" t="inlineStr">
        <is>
          <t>A</t>
        </is>
      </c>
      <c r="V19" s="20" t="inlineStr">
        <is>
          <t>A</t>
        </is>
      </c>
      <c r="W19" s="20" t="inlineStr">
        <is>
          <t>A</t>
        </is>
      </c>
      <c r="X19" s="20" t="inlineStr">
        <is>
          <t>A</t>
        </is>
      </c>
      <c r="Y19" s="20" t="inlineStr">
        <is>
          <t>A</t>
        </is>
      </c>
      <c r="Z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2026-10-21T01:06:03Z</dcterms:modified>
  <cp:lastModifiedBy>Wang, Eric</cp:lastModifiedBy>
</cp:coreProperties>
</file>