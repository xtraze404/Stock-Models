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Scinai Immunotherapeutics Ltd</t>
        </is>
      </c>
      <c r="C2" s="10" t="n"/>
    </row>
    <row r="3">
      <c r="B3" t="inlineStr">
        <is>
          <t>Price</t>
        </is>
      </c>
      <c r="C3" s="11">
        <f>INDEX([1]Pharma!$F$1:$F$1000,MATCH("SCNI",[1]Pharma!$B$1:$B$1000,0))</f>
        <v>0.6813</v>
      </c>
      <c r="F3" s="1" t="n"/>
    </row>
    <row r="4">
      <c r="B4" t="inlineStr">
        <is>
          <t>Shares</t>
        </is>
      </c>
      <c r="C4" s="21">
        <f>13872.899584/4000</f>
        <v>3.468224896</v>
      </c>
      <c r="F4" s="1" t="n"/>
    </row>
    <row r="5">
      <c r="B5" t="inlineStr">
        <is>
          <t>Market Cap.</t>
        </is>
      </c>
      <c r="C5" s="13">
        <f>C3*C4</f>
        <v>2.3629016216448</v>
      </c>
      <c r="F5" s="1" t="n"/>
    </row>
    <row r="6"/>
    <row r="7">
      <c r="B7" t="inlineStr">
        <is>
          <t>Cash</t>
        </is>
      </c>
      <c r="C7" s="21" t="n">
        <v>1.661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0.7019016216448</v>
      </c>
    </row>
    <row r="10"/>
    <row r="11">
      <c r="B11" s="14" t="inlineStr">
        <is>
          <t>Net Cash / Share</t>
        </is>
      </c>
      <c r="C11" s="11">
        <f>(C7-C8)/C4</f>
        <v>0.47891934629604827</v>
      </c>
    </row>
    <row r="12">
      <c r="B12" s="14" t="inlineStr">
        <is>
          <t>Upside</t>
        </is>
      </c>
      <c r="C12" s="15">
        <f>IFERROR(C11/C3-1,"")</f>
        <v>-0.29705071731095223</v>
      </c>
    </row>
    <row r="13">
      <c r="B13" s="14" t="inlineStr">
        <is>
          <t>Cash / Share</t>
        </is>
      </c>
      <c r="C13" s="11">
        <f>IFERROR((C7-C8)/C4,"")</f>
        <v>0.47891934629604827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-6.031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0.27541037970485827</v>
      </c>
    </row>
    <row r="19">
      <c r="B19" s="14" t="inlineStr">
        <is>
          <t>Implied Pipeline Value</t>
        </is>
      </c>
      <c r="C19" s="13">
        <f>C9</f>
        <v>0.7019016216448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0.006</v>
      </c>
      <c r="I2" s="23" t="n">
        <v>0</v>
      </c>
      <c r="J2" s="23" t="n">
        <v>0</v>
      </c>
      <c r="K2" s="23" t="n">
        <v>0.658</v>
      </c>
      <c r="L2" s="23" t="n">
        <v>1.311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1.238</v>
      </c>
      <c r="L3" s="23" t="n">
        <v>3.963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0.006</v>
      </c>
      <c r="I4" s="23">
        <f>I2-I3</f>
        <v>0.0</v>
      </c>
      <c r="J4" s="23">
        <f>J2-J3</f>
        <v>0.0</v>
      </c>
      <c r="K4" s="23">
        <f>K2-K3</f>
        <v>-0.58</v>
      </c>
      <c r="L4" s="23">
        <f>L2-L3</f>
        <v>-2.652</v>
      </c>
    </row>
    <row r="5">
      <c r="A5" s="2" t="inlineStr">
        <is>
          <t>Research &amp; Dev.</t>
        </is>
      </c>
      <c r="B5" s="23" t="n">
        <v>2.555</v>
      </c>
      <c r="C5" s="23" t="n">
        <v>2.519</v>
      </c>
      <c r="D5" s="23" t="n">
        <v>6.068</v>
      </c>
      <c r="E5" s="23" t="n">
        <v>23.239</v>
      </c>
      <c r="F5" s="23" t="n">
        <v>22.183</v>
      </c>
      <c r="G5" s="23" t="n">
        <v>16.63</v>
      </c>
      <c r="H5" s="23" t="n">
        <v>3.342</v>
      </c>
      <c r="I5" s="23" t="n">
        <v>5.765</v>
      </c>
      <c r="J5" s="23" t="n">
        <v>5.21</v>
      </c>
      <c r="K5" s="23" t="n">
        <v>5.532</v>
      </c>
      <c r="L5" s="23" t="n">
        <v>2.369</v>
      </c>
    </row>
    <row r="6">
      <c r="A6" s="19" t="inlineStr">
        <is>
          <t>SG&amp;A &amp; Other</t>
        </is>
      </c>
      <c r="B6" s="23" t="n">
        <v>1.098</v>
      </c>
      <c r="C6" s="23" t="n">
        <v>1.327</v>
      </c>
      <c r="D6" s="23" t="n">
        <v>1.577</v>
      </c>
      <c r="E6" s="23" t="n">
        <v>1.666</v>
      </c>
      <c r="F6" s="23" t="n">
        <v>3.137</v>
      </c>
      <c r="G6" s="23" t="n">
        <v>0</v>
      </c>
      <c r="H6" s="23" t="n">
        <v>7.526</v>
      </c>
      <c r="I6" s="23" t="n">
        <v>5.296</v>
      </c>
      <c r="J6" s="23" t="n">
        <v>4.496</v>
      </c>
      <c r="K6" s="23" t="n">
        <v>2.526</v>
      </c>
      <c r="L6" s="23" t="n">
        <v>2.521</v>
      </c>
    </row>
    <row r="7">
      <c r="A7" s="2" t="inlineStr">
        <is>
          <t>Operating Expense</t>
        </is>
      </c>
      <c r="B7" s="23">
        <f>SUM(B5:B6)</f>
        <v>3.6530000000000005</v>
      </c>
      <c r="C7" s="23">
        <f>SUM(C5:C6)</f>
        <v>3.846</v>
      </c>
      <c r="D7" s="23">
        <f>SUM(D5:D6)</f>
        <v>7.645</v>
      </c>
      <c r="E7" s="23">
        <f>SUM(E5:E6)</f>
        <v>24.905</v>
      </c>
      <c r="F7" s="23">
        <f>SUM(F5:F6)</f>
        <v>25.32</v>
      </c>
      <c r="G7" s="23">
        <f>SUM(G5:G6)</f>
        <v>16.63</v>
      </c>
      <c r="H7" s="23">
        <f>SUM(H5:H6)</f>
        <v>10.868</v>
      </c>
      <c r="I7" s="23">
        <f>SUM(I5:I6)</f>
        <v>11.061</v>
      </c>
      <c r="J7" s="23">
        <f>SUM(J5:J6)</f>
        <v>9.706</v>
      </c>
      <c r="K7" s="23">
        <f>SUM(K5:K6)</f>
        <v>8.058</v>
      </c>
      <c r="L7" s="23">
        <f>SUM(L5:L6)</f>
        <v>4.890000000000001</v>
      </c>
    </row>
    <row r="8">
      <c r="A8" s="2" t="inlineStr">
        <is>
          <t>Operating Income</t>
        </is>
      </c>
      <c r="B8" s="23">
        <f>B4-B7</f>
        <v>-3.6530000000000005</v>
      </c>
      <c r="C8" s="23">
        <f>C4-C7</f>
        <v>-3.846</v>
      </c>
      <c r="D8" s="23">
        <f>D4-D7</f>
        <v>-7.645</v>
      </c>
      <c r="E8" s="23">
        <f>E4-E7</f>
        <v>-24.905</v>
      </c>
      <c r="F8" s="23">
        <f>F4-F7</f>
        <v>-25.32</v>
      </c>
      <c r="G8" s="23">
        <f>G4-G7</f>
        <v>-16.63</v>
      </c>
      <c r="H8" s="23">
        <f>H4-H7</f>
        <v>-10.862</v>
      </c>
      <c r="I8" s="23">
        <f>I4-I7</f>
        <v>-11.061</v>
      </c>
      <c r="J8" s="23">
        <f>J4-J7</f>
        <v>-9.706</v>
      </c>
      <c r="K8" s="23">
        <f>K4-K7</f>
        <v>-8.638</v>
      </c>
      <c r="L8" s="23">
        <f>L4-L7</f>
        <v>-7.542000000000001</v>
      </c>
    </row>
    <row r="9">
      <c r="A9" s="19" t="inlineStr">
        <is>
          <t>Interest &amp; Other</t>
        </is>
      </c>
      <c r="B9" s="23" t="n">
        <v>0.357</v>
      </c>
      <c r="C9" s="23" t="n">
        <v>0.878</v>
      </c>
      <c r="D9" s="23" t="n">
        <v>-3.521</v>
      </c>
      <c r="E9" s="23" t="n">
        <v>-3.445</v>
      </c>
      <c r="F9" s="23" t="n">
        <v>-9.967000000000001</v>
      </c>
      <c r="G9" s="23" t="n">
        <v>15.191</v>
      </c>
      <c r="H9" s="23" t="n">
        <v>2.656</v>
      </c>
      <c r="I9" s="23" t="n">
        <v>5.265</v>
      </c>
      <c r="J9" s="23" t="n">
        <v>3.206</v>
      </c>
      <c r="K9" s="23" t="n">
        <v>13.434</v>
      </c>
      <c r="L9" s="23" t="n">
        <v>-0.765</v>
      </c>
    </row>
    <row r="10">
      <c r="A10" s="2" t="inlineStr">
        <is>
          <t>Pretax</t>
        </is>
      </c>
      <c r="B10" s="23">
        <f>B8+B9</f>
        <v>-3.2960000000000003</v>
      </c>
      <c r="C10" s="23">
        <f>C8+C9</f>
        <v>-2.968</v>
      </c>
      <c r="D10" s="23">
        <f>D8+D9</f>
        <v>-11.166</v>
      </c>
      <c r="E10" s="23">
        <f>E8+E9</f>
        <v>-28.35</v>
      </c>
      <c r="F10" s="23">
        <f>F8+F9</f>
        <v>-35.287</v>
      </c>
      <c r="G10" s="23">
        <f>G8+G9</f>
        <v>-1.4389999999999983</v>
      </c>
      <c r="H10" s="23">
        <f>H8+H9</f>
        <v>-8.206</v>
      </c>
      <c r="I10" s="23">
        <f>I8+I9</f>
        <v>-5.796</v>
      </c>
      <c r="J10" s="23">
        <f>J8+J9</f>
        <v>-6.5</v>
      </c>
      <c r="K10" s="23">
        <f>K8+K9</f>
        <v>4.795999999999999</v>
      </c>
      <c r="L10" s="23">
        <f>L8+L9</f>
        <v>-8.307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</row>
    <row r="12">
      <c r="A12" s="2" t="inlineStr">
        <is>
          <t>Net Income</t>
        </is>
      </c>
      <c r="B12" s="23" t="n">
        <v>-3.296</v>
      </c>
      <c r="C12" s="23" t="n">
        <v>-2.968</v>
      </c>
      <c r="D12" s="23" t="n">
        <v>-11.165</v>
      </c>
      <c r="E12" s="23" t="n">
        <v>-28.349</v>
      </c>
      <c r="F12" s="23" t="n">
        <v>-35.286</v>
      </c>
      <c r="G12" s="23" t="n">
        <v>-1.44</v>
      </c>
      <c r="H12" s="23" t="n">
        <v>-8.206</v>
      </c>
      <c r="I12" s="23" t="n">
        <v>-5.796</v>
      </c>
      <c r="J12" s="23" t="n">
        <v>-6.5</v>
      </c>
      <c r="K12" s="23" t="n">
        <v>4.796</v>
      </c>
      <c r="L12" s="23" t="n">
        <v>-8.307</v>
      </c>
    </row>
    <row r="13">
      <c r="A13" s="2" t="inlineStr">
        <is>
          <t>Earnings per Share</t>
        </is>
      </c>
      <c r="B13" s="11">
        <f>IFERROR(B12/B14,0)</f>
        <v>-0.03123489665760071</v>
      </c>
      <c r="C13" s="11">
        <f>IFERROR(C12/C14,0)</f>
        <v>-0.02196939976461357</v>
      </c>
      <c r="D13" s="11">
        <f>IFERROR(D12/D14,0)</f>
        <v>-0.055538698011749425</v>
      </c>
      <c r="E13" s="11">
        <f>IFERROR(E12/E14,0)</f>
        <v>-0.10844235330120112</v>
      </c>
      <c r="F13" s="11">
        <f>IFERROR(F12/F14,0)</f>
        <v>-0.1080232173689431</v>
      </c>
      <c r="G13" s="11">
        <f>IFERROR(G12/G14,0)</f>
        <v>-0.003248650343702694</v>
      </c>
      <c r="H13" s="11">
        <f>IFERROR(H12/H14,0)</f>
        <v>-0.01453480133764099</v>
      </c>
      <c r="I13" s="11">
        <f>IFERROR(I12/I14,0)</f>
        <v>-0.007686227913366823</v>
      </c>
      <c r="J13" s="11">
        <f>IFERROR(J12/J14,0)</f>
        <v>-0.00415966190268055</v>
      </c>
      <c r="K13" s="11">
        <f>IFERROR(K12/K14,0)</f>
        <v>0.0014869141632604468</v>
      </c>
      <c r="L13" s="11">
        <f>IFERROR(L12/L14,0)</f>
        <v>-0.0008894517574408203</v>
      </c>
    </row>
    <row r="14">
      <c r="A14" s="2" t="inlineStr">
        <is>
          <t>Shares</t>
        </is>
      </c>
      <c r="B14" s="23" t="n">
        <v>105.523</v>
      </c>
      <c r="C14" s="23" t="n">
        <v>135.097</v>
      </c>
      <c r="D14" s="23" t="n">
        <v>201.031</v>
      </c>
      <c r="E14" s="23" t="n">
        <v>261.42</v>
      </c>
      <c r="F14" s="23" t="n">
        <v>326.652</v>
      </c>
      <c r="G14" s="23" t="n">
        <v>443.261</v>
      </c>
      <c r="H14" s="23" t="n">
        <v>564.576</v>
      </c>
      <c r="I14" s="23" t="n">
        <v>754.076</v>
      </c>
      <c r="J14" s="23" t="n">
        <v>1562.627</v>
      </c>
      <c r="K14" s="23" t="n">
        <v>3225.472</v>
      </c>
      <c r="L14" s="23" t="n">
        <v>9339.460999999999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>-1.0</v>
      </c>
      <c r="J16" s="15">
        <f>IFERROR(J2/I2-1,"")</f>
        <v/>
      </c>
      <c r="K16" s="15">
        <f>IFERROR(K2/J2-1,"")</f>
        <v/>
      </c>
      <c r="L16" s="15">
        <f>IFERROR(L2/K2-1,"")</f>
        <v>0.9924012158054709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>1.0</v>
      </c>
      <c r="I17" s="15">
        <f>IFERROR(I4/I2,"")</f>
        <v/>
      </c>
      <c r="J17" s="15">
        <f>IFERROR(J4/J2,"")</f>
        <v/>
      </c>
      <c r="K17" s="15">
        <f>IFERROR(K4/K2,"")</f>
        <v>-0.8814589665653494</v>
      </c>
      <c r="L17" s="15">
        <f>IFERROR(L4/L2,"")</f>
        <v>-2.022883295194508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>-1810.3333333333333</v>
      </c>
      <c r="I18" s="15">
        <f>IFERROR(I8/I2,"")</f>
        <v/>
      </c>
      <c r="J18" s="15">
        <f>IFERROR(J8/J2,"")</f>
        <v/>
      </c>
      <c r="K18" s="15">
        <f>IFERROR(K8/K2,"")</f>
        <v>-13.127659574468085</v>
      </c>
      <c r="L18" s="15">
        <f>IFERROR(L8/L2,"")</f>
        <v>-5.752860411899314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2026-10-21T06:31:37Z</dcterms:modified>
  <cp:lastModifiedBy>Wang, Eric</cp:lastModifiedBy>
</cp:coreProperties>
</file>