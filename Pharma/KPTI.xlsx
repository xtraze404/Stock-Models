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Karyopharm Therapeutics Inc.</t>
        </is>
      </c>
      <c r="C2" s="10" t="n"/>
    </row>
    <row r="3">
      <c r="B3" t="inlineStr">
        <is>
          <t>Price</t>
        </is>
      </c>
      <c r="C3" s="11">
        <f>INDEX([1]Pharma!$F$1:$F$1000,MATCH("KPTI",[1]Pharma!$B$1:$B$1000,0))</f>
        <v>0.3586</v>
      </c>
      <c r="F3" s="1" t="n"/>
    </row>
    <row r="4">
      <c r="B4" t="inlineStr">
        <is>
          <t>Shares</t>
        </is>
      </c>
      <c r="C4" s="51" t="n">
        <v>22.68146</v>
      </c>
      <c r="F4" s="1" t="n"/>
    </row>
    <row r="5">
      <c r="B5" t="inlineStr">
        <is>
          <t>Market Cap.</t>
        </is>
      </c>
      <c r="C5" s="13">
        <f>C3*C4</f>
        <v>8.133571556</v>
      </c>
      <c r="F5" s="1" t="n"/>
    </row>
    <row r="6"/>
    <row r="7">
      <c r="B7" t="inlineStr">
        <is>
          <t>Cash</t>
        </is>
      </c>
      <c r="C7" s="51">
        <f>54.98+10.125</f>
        <v>65.10499999999999</v>
      </c>
    </row>
    <row r="8">
      <c r="B8" t="inlineStr">
        <is>
          <t>Debt</t>
        </is>
      </c>
      <c r="C8" s="51">
        <f>40.307+85.047</f>
        <v>125.354</v>
      </c>
    </row>
    <row r="9">
      <c r="B9" t="inlineStr">
        <is>
          <t>Enterprise V.</t>
        </is>
      </c>
      <c r="C9" s="13">
        <f>C5-C7+C8</f>
        <v>68.38257155600002</v>
      </c>
    </row>
    <row r="10"/>
    <row r="11">
      <c r="B11" s="14" t="inlineStr">
        <is>
          <t>NPV / Share</t>
        </is>
      </c>
      <c r="C11" s="11">
        <f>NPV!B28</f>
        <v>-6.045785596657753</v>
      </c>
    </row>
    <row r="12">
      <c r="B12" s="14" t="inlineStr">
        <is>
          <t>Upside</t>
        </is>
      </c>
      <c r="C12" s="15">
        <f>IFERROR(C11/C3-1,"")</f>
        <v>-17.85941326452246</v>
      </c>
    </row>
    <row r="13">
      <c r="B13" s="14" t="inlineStr">
        <is>
          <t>Cash / Share</t>
        </is>
      </c>
      <c r="C13" s="11">
        <f>IFERROR((C7-C8)/C4,"")</f>
        <v>-2.656310484422079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0.152</v>
      </c>
      <c r="E2" s="52" t="n">
        <v>0.634</v>
      </c>
      <c r="F2" s="52" t="n">
        <v>0.387</v>
      </c>
      <c r="G2" s="52" t="n">
        <v>0.229</v>
      </c>
      <c r="H2" s="52" t="n">
        <v>0.25</v>
      </c>
      <c r="I2" s="52" t="n">
        <v>0.154</v>
      </c>
      <c r="J2" s="52" t="n">
        <v>1.605</v>
      </c>
      <c r="K2" s="52" t="n">
        <v>30.336</v>
      </c>
      <c r="L2" s="52" t="n">
        <v>40.893</v>
      </c>
      <c r="M2" s="52" t="n">
        <v>108.085</v>
      </c>
      <c r="N2" s="52" t="n">
        <v>209.819</v>
      </c>
      <c r="O2" s="52" t="n">
        <v>157.074</v>
      </c>
      <c r="P2" s="52" t="n">
        <v>146.033</v>
      </c>
      <c r="Q2" s="52" t="n">
        <v>145.237</v>
      </c>
      <c r="R2" s="52" t="n">
        <v>146.067</v>
      </c>
      <c r="S2" s="52">
        <f>R2*(1+NPV!C5)</f>
        <v>146.89958190000002</v>
      </c>
      <c r="T2" s="52">
        <f>S2*(1+NPV!D5)</f>
        <v>148.0519275091267</v>
      </c>
      <c r="U2" s="52">
        <f>T2*(1+NPV!E5)</f>
        <v>149.5308017628012</v>
      </c>
      <c r="V2" s="52">
        <f>U2*(1+NPV!F5)</f>
        <v>151.34510882418985</v>
      </c>
      <c r="W2" s="52">
        <f>V2*(1+NPV!G5)</f>
        <v>153.50598065573524</v>
      </c>
      <c r="X2" s="52">
        <f>W2*(1+NPV!H5)</f>
        <v>156.02688998250386</v>
      </c>
      <c r="Y2" s="52">
        <f>X2*(1+NPV!I5)</f>
        <v>158.92378923984566</v>
      </c>
      <c r="Z2" s="52">
        <f>Y2*(1+NPV!J5)</f>
        <v>162.21527749699092</v>
      </c>
      <c r="AA2" s="52">
        <f>Z2*(1+NPV!K5)</f>
        <v>165.92279778378327</v>
      </c>
      <c r="AB2" s="52">
        <f>AA2*(1+NPV!L5)</f>
        <v>170.07086772837783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>
        <f>S2*(1-Assumptions!$B$19)</f>
        <v>0.0</v>
      </c>
      <c r="T3" s="52">
        <f>T2*(1-Assumptions!$B$19)</f>
        <v>0.0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0.152</v>
      </c>
      <c r="E4" s="52">
        <f>E2-E3</f>
        <v>0.634</v>
      </c>
      <c r="F4" s="52">
        <f>F2-F3</f>
        <v>0.387</v>
      </c>
      <c r="G4" s="52">
        <f>G2-G3</f>
        <v>0.229</v>
      </c>
      <c r="H4" s="52">
        <f>H2-H3</f>
        <v>0.25</v>
      </c>
      <c r="I4" s="52">
        <f>I2-I3</f>
        <v>0.154</v>
      </c>
      <c r="J4" s="52">
        <f>J2-J3</f>
        <v>1.605</v>
      </c>
      <c r="K4" s="52">
        <f>K2-K3</f>
        <v>30.336</v>
      </c>
      <c r="L4" s="52">
        <f>L2-L3</f>
        <v>40.893</v>
      </c>
      <c r="M4" s="52">
        <f>M2-M3</f>
        <v>108.085</v>
      </c>
      <c r="N4" s="52">
        <f>N2-N3</f>
        <v>209.819</v>
      </c>
      <c r="O4" s="52">
        <f>O2-O3</f>
        <v>157.074</v>
      </c>
      <c r="P4" s="52">
        <f>P2-P3</f>
        <v>146.033</v>
      </c>
      <c r="Q4" s="52">
        <f>Q2-Q3</f>
        <v>145.237</v>
      </c>
      <c r="R4" s="52">
        <f>R2-R3</f>
        <v>146.067</v>
      </c>
      <c r="S4" s="52">
        <f>S2-S3</f>
        <v>146.89958190000002</v>
      </c>
      <c r="T4" s="52">
        <f>T2-T3</f>
        <v>148.0519275091267</v>
      </c>
      <c r="U4" s="52">
        <f>U2-U3</f>
        <v>149.5308017628012</v>
      </c>
      <c r="V4" s="52">
        <f>V2-V3</f>
        <v>151.34510882418985</v>
      </c>
      <c r="W4" s="52">
        <f>W2-W3</f>
        <v>153.50598065573524</v>
      </c>
      <c r="X4" s="52">
        <f>X2-X3</f>
        <v>156.02688998250386</v>
      </c>
      <c r="Y4" s="52">
        <f>Y2-Y3</f>
        <v>158.92378923984566</v>
      </c>
      <c r="Z4" s="52">
        <f>Z2-Z3</f>
        <v>162.21527749699092</v>
      </c>
      <c r="AA4" s="52">
        <f>AA2-AA3</f>
        <v>165.92279778378327</v>
      </c>
      <c r="AB4" s="52">
        <f>AB2-AB3</f>
        <v>170.07086772837783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8.622999999999999</v>
      </c>
      <c r="E5" s="52" t="n">
        <v>14.095</v>
      </c>
      <c r="F5" s="52" t="n">
        <v>28.452</v>
      </c>
      <c r="G5" s="52" t="n">
        <v>60.127</v>
      </c>
      <c r="H5" s="52" t="n">
        <v>97.744</v>
      </c>
      <c r="I5" s="52" t="n">
        <v>86.938</v>
      </c>
      <c r="J5" s="52" t="n">
        <v>107.273</v>
      </c>
      <c r="K5" s="52" t="n">
        <v>161.372</v>
      </c>
      <c r="L5" s="52" t="n">
        <v>122.34</v>
      </c>
      <c r="M5" s="52" t="n">
        <v>150.813</v>
      </c>
      <c r="N5" s="52" t="n">
        <v>160.842</v>
      </c>
      <c r="O5" s="52" t="n">
        <v>148.662</v>
      </c>
      <c r="P5" s="52" t="n">
        <v>138.75</v>
      </c>
      <c r="Q5" s="52" t="n">
        <v>143.232</v>
      </c>
      <c r="R5" s="52" t="n">
        <v>125.617</v>
      </c>
      <c r="S5" s="52">
        <f>S7*Assumptions!$B$20</f>
        <v>115.76769189490066</v>
      </c>
      <c r="T5" s="52">
        <f>T7*Assumptions!$B$20</f>
        <v>110.69331544603641</v>
      </c>
      <c r="U5" s="52">
        <f>U7*Assumptions!$B$20</f>
        <v>105.75675037394</v>
      </c>
      <c r="V5" s="52">
        <f>V7*Assumptions!$B$20</f>
        <v>100.92435112226414</v>
      </c>
      <c r="W5" s="52">
        <f>W7*Assumptions!$B$20</f>
        <v>96.16242851501089</v>
      </c>
      <c r="X5" s="52">
        <f>X7*Assumptions!$B$20</f>
        <v>91.43686585012529</v>
      </c>
      <c r="Y5" s="52">
        <f>Y7*Assumptions!$B$20</f>
        <v>86.71272178290457</v>
      </c>
      <c r="Z5" s="52">
        <f>Z7*Assumptions!$B$20</f>
        <v>81.95381365557243</v>
      </c>
      <c r="AA5" s="52">
        <f>AA7*Assumptions!$B$20</f>
        <v>77.1222744880023</v>
      </c>
      <c r="AB5" s="52">
        <f>AB7*Assumptions!$B$20</f>
        <v>72.17807626392354</v>
      </c>
    </row>
    <row r="6">
      <c r="A6" s="18" t="inlineStr">
        <is>
          <t>SG&amp;A &amp; Other</t>
        </is>
      </c>
      <c r="B6" s="52" t="n">
        <v>0.179</v>
      </c>
      <c r="C6" s="52" t="n">
        <v>2.244</v>
      </c>
      <c r="D6" s="52" t="n">
        <v>1.84</v>
      </c>
      <c r="E6" s="52" t="n">
        <v>2.429</v>
      </c>
      <c r="F6" s="52" t="n">
        <v>5.885</v>
      </c>
      <c r="G6" s="52" t="n">
        <v>15.948</v>
      </c>
      <c r="H6" s="52" t="n">
        <v>21.582</v>
      </c>
      <c r="I6" s="52" t="n">
        <v>23.948</v>
      </c>
      <c r="J6" s="52" t="n">
        <v>24.87</v>
      </c>
      <c r="K6" s="52" t="n">
        <v>48.847</v>
      </c>
      <c r="L6" s="52" t="n">
        <v>107.828</v>
      </c>
      <c r="M6" s="52" t="n">
        <v>129.122</v>
      </c>
      <c r="N6" s="52" t="n">
        <v>147.248</v>
      </c>
      <c r="O6" s="52" t="n">
        <v>150.614</v>
      </c>
      <c r="P6" s="52" t="n">
        <v>136.823</v>
      </c>
      <c r="Q6" s="52" t="n">
        <v>121.448</v>
      </c>
      <c r="R6" s="52" t="n">
        <v>111.157</v>
      </c>
      <c r="S6" s="52">
        <f>S7-S5</f>
        <v>102.45604400500635</v>
      </c>
      <c r="T6" s="52">
        <f>T7-T5</f>
        <v>97.96514910822638</v>
      </c>
      <c r="U6" s="52">
        <f>U7-U5</f>
        <v>93.59621922820891</v>
      </c>
      <c r="V6" s="52">
        <f>V7-V5</f>
        <v>89.31947757191898</v>
      </c>
      <c r="W6" s="52">
        <f>W7-W5</f>
        <v>85.10510874231407</v>
      </c>
      <c r="X6" s="52">
        <f>X7-X5</f>
        <v>80.92291897574708</v>
      </c>
      <c r="Y6" s="52">
        <f>Y7-Y5</f>
        <v>76.74198468816908</v>
      </c>
      <c r="Z6" s="52">
        <f>Z7-Z5</f>
        <v>72.53028371591189</v>
      </c>
      <c r="AA6" s="52">
        <f>AA7-AA5</f>
        <v>68.25430324621506</v>
      </c>
      <c r="AB6" s="52">
        <f>AB7-AB5</f>
        <v>63.8786179187787</v>
      </c>
    </row>
    <row r="7">
      <c r="A7" s="2" t="inlineStr">
        <is>
          <t>Operating Expense</t>
        </is>
      </c>
      <c r="B7" s="52">
        <f>SUM(B5:B6)</f>
        <v>0.179</v>
      </c>
      <c r="C7" s="52">
        <f>SUM(C5:C6)</f>
        <v>2.244</v>
      </c>
      <c r="D7" s="52">
        <f>SUM(D5:D6)</f>
        <v>10.463</v>
      </c>
      <c r="E7" s="52">
        <f>SUM(E5:E6)</f>
        <v>16.524</v>
      </c>
      <c r="F7" s="52">
        <f>SUM(F5:F6)</f>
        <v>34.337</v>
      </c>
      <c r="G7" s="52">
        <f>SUM(G5:G6)</f>
        <v>76.075</v>
      </c>
      <c r="H7" s="52">
        <f>SUM(H5:H6)</f>
        <v>119.326</v>
      </c>
      <c r="I7" s="52">
        <f>SUM(I5:I6)</f>
        <v>110.886</v>
      </c>
      <c r="J7" s="52">
        <f>SUM(J5:J6)</f>
        <v>132.143</v>
      </c>
      <c r="K7" s="52">
        <f>SUM(K5:K6)</f>
        <v>210.21900000000002</v>
      </c>
      <c r="L7" s="52">
        <f>SUM(L5:L6)</f>
        <v>230.168</v>
      </c>
      <c r="M7" s="52">
        <f>SUM(M5:M6)</f>
        <v>279.935</v>
      </c>
      <c r="N7" s="52">
        <f>SUM(N5:N6)</f>
        <v>308.09000000000003</v>
      </c>
      <c r="O7" s="52">
        <f>SUM(O5:O6)</f>
        <v>299.276</v>
      </c>
      <c r="P7" s="52">
        <f>SUM(P5:P6)</f>
        <v>275.573</v>
      </c>
      <c r="Q7" s="52">
        <f>SUM(Q5:Q6)</f>
        <v>264.68</v>
      </c>
      <c r="R7" s="52">
        <f>SUM(R5:R6)</f>
        <v>236.774</v>
      </c>
      <c r="S7" s="52">
        <f>S4-S2*NPV!C6</f>
        <v>218.223735899907</v>
      </c>
      <c r="T7" s="52">
        <f>T4-T2*NPV!D6</f>
        <v>208.6584645542628</v>
      </c>
      <c r="U7" s="52">
        <f>U4-U2*NPV!E6</f>
        <v>199.3529696021489</v>
      </c>
      <c r="V7" s="52">
        <f>V4-V2*NPV!F6</f>
        <v>190.24382869418312</v>
      </c>
      <c r="W7" s="52">
        <f>W4-W2*NPV!G6</f>
        <v>181.26753725732496</v>
      </c>
      <c r="X7" s="52">
        <f>X4-X2*NPV!H6</f>
        <v>172.35978482587237</v>
      </c>
      <c r="Y7" s="52">
        <f>Y4-Y2*NPV!I6</f>
        <v>163.45470647107365</v>
      </c>
      <c r="Z7" s="52">
        <f>Z4-Z2*NPV!J6</f>
        <v>154.48409737148432</v>
      </c>
      <c r="AA7" s="52">
        <f>AA4-AA2*NPV!K6</f>
        <v>145.37657773421736</v>
      </c>
      <c r="AB7" s="52">
        <f>AB4-AB2*NPV!L6</f>
        <v>136.05669418270224</v>
      </c>
    </row>
    <row r="8">
      <c r="A8" s="2" t="inlineStr">
        <is>
          <t>Operating Income</t>
        </is>
      </c>
      <c r="B8" s="52">
        <f>B4-B7</f>
        <v>-0.179</v>
      </c>
      <c r="C8" s="52">
        <f>C4-C7</f>
        <v>-2.244</v>
      </c>
      <c r="D8" s="52">
        <f>D4-D7</f>
        <v>-10.311</v>
      </c>
      <c r="E8" s="52">
        <f>E4-E7</f>
        <v>-15.89</v>
      </c>
      <c r="F8" s="52">
        <f>F4-F7</f>
        <v>-33.95</v>
      </c>
      <c r="G8" s="52">
        <f>G4-G7</f>
        <v>-75.846</v>
      </c>
      <c r="H8" s="52">
        <f>H4-H7</f>
        <v>-119.076</v>
      </c>
      <c r="I8" s="52">
        <f>I4-I7</f>
        <v>-110.732</v>
      </c>
      <c r="J8" s="52">
        <f>J4-J7</f>
        <v>-130.538</v>
      </c>
      <c r="K8" s="52">
        <f>K4-K7</f>
        <v>-179.88300000000004</v>
      </c>
      <c r="L8" s="52">
        <f>L4-L7</f>
        <v>-189.275</v>
      </c>
      <c r="M8" s="52">
        <f>M4-M7</f>
        <v>-171.85000000000002</v>
      </c>
      <c r="N8" s="52">
        <f>N4-N7</f>
        <v>-98.27100000000004</v>
      </c>
      <c r="O8" s="52">
        <f>O4-O7</f>
        <v>-142.202</v>
      </c>
      <c r="P8" s="52">
        <f>P4-P7</f>
        <v>-129.54</v>
      </c>
      <c r="Q8" s="52">
        <f>Q4-Q7</f>
        <v>-119.44300000000001</v>
      </c>
      <c r="R8" s="52">
        <f>R4-R7</f>
        <v>-90.707</v>
      </c>
      <c r="S8" s="52">
        <f>S4-S7</f>
        <v>-71.324153999907</v>
      </c>
      <c r="T8" s="52">
        <f>T4-T7</f>
        <v>-60.60653704513609</v>
      </c>
      <c r="U8" s="52">
        <f>U4-U7</f>
        <v>-49.82216783934771</v>
      </c>
      <c r="V8" s="52">
        <f>V4-V7</f>
        <v>-38.89871986999327</v>
      </c>
      <c r="W8" s="52">
        <f>W4-W7</f>
        <v>-27.761556601589717</v>
      </c>
      <c r="X8" s="52">
        <f>X4-X7</f>
        <v>-16.332894843368507</v>
      </c>
      <c r="Y8" s="52">
        <f>Y4-Y7</f>
        <v>-4.530917231227988</v>
      </c>
      <c r="Z8" s="52">
        <f>Z4-Z7</f>
        <v>7.731180125506597</v>
      </c>
      <c r="AA8" s="52">
        <f>AA4-AA7</f>
        <v>20.546220049565903</v>
      </c>
      <c r="AB8" s="52">
        <f>AB4-AB7</f>
        <v>34.01417354567559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-15.886</v>
      </c>
      <c r="F9" s="52" t="n">
        <v>-33.944</v>
      </c>
      <c r="G9" s="52" t="n">
        <v>-75.708</v>
      </c>
      <c r="H9" s="52" t="n">
        <v>-117.19</v>
      </c>
      <c r="I9" s="52" t="n">
        <v>1.294</v>
      </c>
      <c r="J9" s="52" t="n">
        <v>1.617</v>
      </c>
      <c r="K9" s="52" t="n">
        <v>1.502</v>
      </c>
      <c r="L9" s="52" t="n">
        <v>-10.275</v>
      </c>
      <c r="M9" s="52" t="n">
        <v>-24.114</v>
      </c>
      <c r="N9" s="52" t="n">
        <v>-25.549</v>
      </c>
      <c r="O9" s="52" t="n">
        <v>-22.72</v>
      </c>
      <c r="P9" s="52" t="n">
        <v>-13.236</v>
      </c>
      <c r="Q9" s="52" t="n">
        <v>43.078</v>
      </c>
      <c r="R9" s="52" t="n">
        <v>-105.289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-0.179</v>
      </c>
      <c r="C10" s="52">
        <f>C8+C9</f>
        <v>-2.244</v>
      </c>
      <c r="D10" s="52">
        <f>D8+D9</f>
        <v>-10.311</v>
      </c>
      <c r="E10" s="52">
        <f>E8+E9</f>
        <v>-31.776</v>
      </c>
      <c r="F10" s="52">
        <f>F8+F9</f>
        <v>-67.894</v>
      </c>
      <c r="G10" s="52">
        <f>G8+G9</f>
        <v>-151.554</v>
      </c>
      <c r="H10" s="52">
        <f>H8+H9</f>
        <v>-236.266</v>
      </c>
      <c r="I10" s="52">
        <f>I8+I9</f>
        <v>-109.438</v>
      </c>
      <c r="J10" s="52">
        <f>J8+J9</f>
        <v>-128.92100000000002</v>
      </c>
      <c r="K10" s="52">
        <f>K8+K9</f>
        <v>-178.38100000000003</v>
      </c>
      <c r="L10" s="52">
        <f>L8+L9</f>
        <v>-199.55</v>
      </c>
      <c r="M10" s="52">
        <f>M8+M9</f>
        <v>-195.96400000000003</v>
      </c>
      <c r="N10" s="52">
        <f>N8+N9</f>
        <v>-123.82000000000005</v>
      </c>
      <c r="O10" s="52">
        <f>O8+O9</f>
        <v>-164.922</v>
      </c>
      <c r="P10" s="52">
        <f>P8+P9</f>
        <v>-142.77599999999998</v>
      </c>
      <c r="Q10" s="52">
        <f>Q8+Q9</f>
        <v>-76.36500000000001</v>
      </c>
      <c r="R10" s="52">
        <f>R8+R9</f>
        <v>-195.99599999999998</v>
      </c>
      <c r="S10" s="52">
        <f>S8+S9</f>
        <v>-71.324153999907</v>
      </c>
      <c r="T10" s="52">
        <f>T8+T9</f>
        <v>-60.60653704513609</v>
      </c>
      <c r="U10" s="52">
        <f>U8+U9</f>
        <v>-49.82216783934771</v>
      </c>
      <c r="V10" s="52">
        <f>V8+V9</f>
        <v>-38.89871986999327</v>
      </c>
      <c r="W10" s="52">
        <f>W8+W9</f>
        <v>-27.761556601589717</v>
      </c>
      <c r="X10" s="52">
        <f>X8+X9</f>
        <v>-16.332894843368507</v>
      </c>
      <c r="Y10" s="52">
        <f>Y8+Y9</f>
        <v>-4.530917231227988</v>
      </c>
      <c r="Z10" s="52">
        <f>Z8+Z9</f>
        <v>7.731180125506597</v>
      </c>
      <c r="AA10" s="52">
        <f>AA8+AA9</f>
        <v>20.546220049565903</v>
      </c>
      <c r="AB10" s="52">
        <f>AB8+AB9</f>
        <v>34.01417354567559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-15.888</v>
      </c>
      <c r="F11" s="52" t="n">
        <v>-33.947</v>
      </c>
      <c r="G11" s="52" t="n">
        <v>-75.777</v>
      </c>
      <c r="H11" s="52" t="n">
        <v>-118.085</v>
      </c>
      <c r="I11" s="52" t="n">
        <v>0.139</v>
      </c>
      <c r="J11" s="52" t="n">
        <v>0.063</v>
      </c>
      <c r="K11" s="52" t="n">
        <v>0.026</v>
      </c>
      <c r="L11" s="52" t="n">
        <v>0.04</v>
      </c>
      <c r="M11" s="52" t="n">
        <v>0.309</v>
      </c>
      <c r="N11" s="52" t="n">
        <v>0.268</v>
      </c>
      <c r="O11" s="52" t="n">
        <v>0.369</v>
      </c>
      <c r="P11" s="52" t="n">
        <v>0.323</v>
      </c>
      <c r="Q11" s="52" t="n">
        <v>0.057</v>
      </c>
      <c r="R11" s="52" t="n">
        <v>0.043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1.3143006213361217</v>
      </c>
      <c r="AA11" s="52">
        <f>MAX(0,AA10)*Assumptions!$E$14</f>
        <v>3.492857408426204</v>
      </c>
      <c r="AB11" s="52">
        <f>MAX(0,AB10)*Assumptions!$E$14</f>
        <v>5.7824095027648506</v>
      </c>
    </row>
    <row r="12">
      <c r="A12" s="2" t="inlineStr">
        <is>
          <t>Net Income</t>
        </is>
      </c>
      <c r="B12" s="52" t="n">
        <v>-0.179</v>
      </c>
      <c r="C12" s="52" t="n">
        <v>-2.244</v>
      </c>
      <c r="D12" s="52" t="n">
        <v>-10.311</v>
      </c>
      <c r="E12" s="52" t="n">
        <v>-15.888</v>
      </c>
      <c r="F12" s="52" t="n">
        <v>-33.947</v>
      </c>
      <c r="G12" s="52" t="n">
        <v>-75.777</v>
      </c>
      <c r="H12" s="52" t="n">
        <v>-118.181</v>
      </c>
      <c r="I12" s="52" t="n">
        <v>-109.577</v>
      </c>
      <c r="J12" s="52" t="n">
        <v>-128.984</v>
      </c>
      <c r="K12" s="52" t="n">
        <v>-178.407</v>
      </c>
      <c r="L12" s="52" t="n">
        <v>-199.59</v>
      </c>
      <c r="M12" s="52" t="n">
        <v>-196.273</v>
      </c>
      <c r="N12" s="52" t="n">
        <v>-124.088</v>
      </c>
      <c r="O12" s="52" t="n">
        <v>-165.291</v>
      </c>
      <c r="P12" s="52" t="n">
        <v>-143.099</v>
      </c>
      <c r="Q12" s="52" t="n">
        <v>-76.422</v>
      </c>
      <c r="R12" s="52" t="n">
        <v>-196.039</v>
      </c>
      <c r="S12" s="52">
        <f>S10-S11</f>
        <v>-71.324153999907</v>
      </c>
      <c r="T12" s="52">
        <f>T10-T11</f>
        <v>-60.60653704513609</v>
      </c>
      <c r="U12" s="52">
        <f>U10-U11</f>
        <v>-49.82216783934771</v>
      </c>
      <c r="V12" s="52">
        <f>V10-V11</f>
        <v>-38.89871986999327</v>
      </c>
      <c r="W12" s="52">
        <f>W10-W11</f>
        <v>-27.761556601589717</v>
      </c>
      <c r="X12" s="52">
        <f>X10-X11</f>
        <v>-16.332894843368507</v>
      </c>
      <c r="Y12" s="52">
        <f>Y10-Y11</f>
        <v>-4.530917231227988</v>
      </c>
      <c r="Z12" s="52">
        <f>Z10-Z11</f>
        <v>6.416879504170476</v>
      </c>
      <c r="AA12" s="52">
        <f>AA10-AA11</f>
        <v>17.0533626411397</v>
      </c>
      <c r="AB12" s="52">
        <f>AB10-AB11</f>
        <v>28.23176404291074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-5.404088050314465</v>
      </c>
      <c r="E13" s="11">
        <f>IFERROR(E12/E14,0)</f>
        <v>-4.710346872220575</v>
      </c>
      <c r="F13" s="11">
        <f>IFERROR(F12/F14,0)</f>
        <v>-2.944998698707383</v>
      </c>
      <c r="G13" s="11">
        <f>IFERROR(G12/G14,0)</f>
        <v>-1.2810989010989011</v>
      </c>
      <c r="H13" s="11">
        <f>IFERROR(H12/H14,0)</f>
        <v>-1.7464828279245728</v>
      </c>
      <c r="I13" s="11">
        <f>IFERROR(I12/I14,0)</f>
        <v>-1.5371892710846753</v>
      </c>
      <c r="J13" s="11">
        <f>IFERROR(J12/J14,0)</f>
        <v>-1.4792082387210719</v>
      </c>
      <c r="K13" s="11">
        <f>IFERROR(K12/K14,0)</f>
        <v>-2.0469612308822014</v>
      </c>
      <c r="L13" s="11">
        <f>IFERROR(L12/L14,0)</f>
        <v>-2.28971640969163</v>
      </c>
      <c r="M13" s="11">
        <f>IFERROR(M12/M14,0)</f>
        <v>-1.9363377169184022</v>
      </c>
      <c r="N13" s="11">
        <f>IFERROR(N12/N14,0)</f>
        <v>-1.1725330485972654</v>
      </c>
      <c r="O13" s="11">
        <f>IFERROR(O12/O14,0)</f>
        <v>-1.5614260478561106</v>
      </c>
      <c r="P13" s="11">
        <f>IFERROR(P12/P14,0)</f>
        <v>-14.532243322839443</v>
      </c>
      <c r="Q13" s="11">
        <f>IFERROR(Q12/Q14,0)</f>
        <v>-6.990669593852909</v>
      </c>
      <c r="R13" s="11">
        <f>IFERROR(R12/R14,0)</f>
        <v>-17.92766346593507</v>
      </c>
      <c r="S13" s="11">
        <f>IFERROR(S12/S14,0)</f>
        <v>-3.1446015379921306</v>
      </c>
      <c r="T13" s="11">
        <f>IFERROR(T12/T14,0)</f>
        <v>-2.672073889649788</v>
      </c>
      <c r="U13" s="11">
        <f>IFERROR(U12/U14,0)</f>
        <v>-2.196603209817521</v>
      </c>
      <c r="V13" s="11">
        <f>IFERROR(V12/V14,0)</f>
        <v>-1.7150007040989985</v>
      </c>
      <c r="W13" s="11">
        <f>IFERROR(W12/W14,0)</f>
        <v>-1.2239757317910627</v>
      </c>
      <c r="X13" s="11">
        <f>IFERROR(X12/X14,0)</f>
        <v>-0.720098919706602</v>
      </c>
      <c r="Y13" s="11">
        <f>IFERROR(Y12/Y14,0)</f>
        <v>-0.1997630325044326</v>
      </c>
      <c r="Z13" s="11">
        <f>IFERROR(Z12/Z14,0)</f>
        <v>0.2829129828578264</v>
      </c>
      <c r="AA13" s="11">
        <f>IFERROR(AA12/AA14,0)</f>
        <v>0.7518635326447106</v>
      </c>
      <c r="AB13" s="11">
        <f>IFERROR(AB12/AB14,0)</f>
        <v>1.2447066477603619</v>
      </c>
    </row>
    <row r="14">
      <c r="A14" s="2" t="inlineStr">
        <is>
          <t>Shares</t>
        </is>
      </c>
      <c r="B14" s="52" t="n"/>
      <c r="C14" s="52" t="n"/>
      <c r="D14" s="52" t="n">
        <v>1.908</v>
      </c>
      <c r="E14" s="52" t="n">
        <v>3.373</v>
      </c>
      <c r="F14" s="52" t="n">
        <v>11.527</v>
      </c>
      <c r="G14" s="52" t="n">
        <v>59.15</v>
      </c>
      <c r="H14" s="52" t="n">
        <v>67.66800000000001</v>
      </c>
      <c r="I14" s="52" t="n">
        <v>71.28400000000001</v>
      </c>
      <c r="J14" s="52" t="n">
        <v>87.19799999999999</v>
      </c>
      <c r="K14" s="52" t="n">
        <v>87.157</v>
      </c>
      <c r="L14" s="52" t="n">
        <v>87.16800000000001</v>
      </c>
      <c r="M14" s="52" t="n">
        <v>101.363</v>
      </c>
      <c r="N14" s="52" t="n">
        <v>105.829</v>
      </c>
      <c r="O14" s="52" t="n">
        <v>105.859</v>
      </c>
      <c r="P14" s="52" t="n">
        <v>9.847</v>
      </c>
      <c r="Q14" s="52" t="n">
        <v>10.932</v>
      </c>
      <c r="R14" s="52" t="n">
        <v>10.935</v>
      </c>
      <c r="S14" s="52">
        <f>Main!$C$4</f>
        <v>22.68146</v>
      </c>
      <c r="T14" s="52">
        <f>Main!$C$4</f>
        <v>22.68146</v>
      </c>
      <c r="U14" s="52">
        <f>Main!$C$4</f>
        <v>22.68146</v>
      </c>
      <c r="V14" s="52">
        <f>Main!$C$4</f>
        <v>22.68146</v>
      </c>
      <c r="W14" s="52">
        <f>Main!$C$4</f>
        <v>22.68146</v>
      </c>
      <c r="X14" s="52">
        <f>Main!$C$4</f>
        <v>22.68146</v>
      </c>
      <c r="Y14" s="52">
        <f>Main!$C$4</f>
        <v>22.68146</v>
      </c>
      <c r="Z14" s="52">
        <f>Main!$C$4</f>
        <v>22.68146</v>
      </c>
      <c r="AA14" s="52">
        <f>Main!$C$4</f>
        <v>22.68146</v>
      </c>
      <c r="AB14" s="52">
        <f>Main!$C$4</f>
        <v>22.68146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>3.171052631578948</v>
      </c>
      <c r="F16" s="15">
        <f>IFERROR(F2/E2-1,"")</f>
        <v>-0.38958990536277605</v>
      </c>
      <c r="G16" s="15">
        <f>IFERROR(G2/F2-1,"")</f>
        <v>-0.4082687338501292</v>
      </c>
      <c r="H16" s="15">
        <f>IFERROR(H2/G2-1,"")</f>
        <v>0.09170305676855883</v>
      </c>
      <c r="I16" s="15">
        <f>IFERROR(I2/H2-1,"")</f>
        <v>-0.384</v>
      </c>
      <c r="J16" s="15">
        <f>IFERROR(J2/I2-1,"")</f>
        <v>9.422077922077921</v>
      </c>
      <c r="K16" s="15">
        <f>IFERROR(K2/J2-1,"")</f>
        <v>17.90093457943925</v>
      </c>
      <c r="L16" s="15">
        <f>IFERROR(L2/K2-1,"")</f>
        <v>0.34800237341772156</v>
      </c>
      <c r="M16" s="15">
        <f>IFERROR(M2/L2-1,"")</f>
        <v>1.6431174039566674</v>
      </c>
      <c r="N16" s="15">
        <f>IFERROR(N2/M2-1,"")</f>
        <v>0.9412406901975297</v>
      </c>
      <c r="O16" s="15">
        <f>IFERROR(O2/N2-1,"")</f>
        <v>-0.25138333516030476</v>
      </c>
      <c r="P16" s="15">
        <f>IFERROR(P2/O2-1,"")</f>
        <v>-0.07029170964004239</v>
      </c>
      <c r="Q16" s="15">
        <f>IFERROR(Q2/P2-1,"")</f>
        <v>-0.005450822759239249</v>
      </c>
      <c r="R16" s="15">
        <f>IFERROR(R2/Q2-1,"")</f>
        <v>0.005714797193552723</v>
      </c>
      <c r="S16" s="15">
        <f>IFERROR(S2/R2-1,"")</f>
        <v>0.005700000000000038</v>
      </c>
      <c r="T16" s="15">
        <f>IFERROR(T2/S2-1,"")</f>
        <v>0.007844444444444543</v>
      </c>
      <c r="U16" s="15">
        <f>IFERROR(U2/T2-1,"")</f>
        <v>0.009988888888888825</v>
      </c>
      <c r="V16" s="15">
        <f>IFERROR(V2/U2-1,"")</f>
        <v>0.01213333333333333</v>
      </c>
      <c r="W16" s="15">
        <f>IFERROR(W2/V2-1,"")</f>
        <v>0.014277777777777834</v>
      </c>
      <c r="X16" s="15">
        <f>IFERROR(X2/W2-1,"")</f>
        <v>0.016422222222222116</v>
      </c>
      <c r="Y16" s="15">
        <f>IFERROR(Y2/X2-1,"")</f>
        <v>0.01856666666666662</v>
      </c>
      <c r="Z16" s="15">
        <f>IFERROR(Z2/Y2-1,"")</f>
        <v>0.020711111111111125</v>
      </c>
      <c r="AA16" s="15">
        <f>IFERROR(AA2/Z2-1,"")</f>
        <v>0.02285555555555563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-67.83552631578948</v>
      </c>
      <c r="E18" s="15">
        <f>IFERROR(E8/E2,"")</f>
        <v>-25.063091482649842</v>
      </c>
      <c r="F18" s="15">
        <f>IFERROR(F8/F2,"")</f>
        <v>-87.72609819121448</v>
      </c>
      <c r="G18" s="15">
        <f>IFERROR(G8/G2,"")</f>
        <v>-331.2052401746725</v>
      </c>
      <c r="H18" s="15">
        <f>IFERROR(H8/H2,"")</f>
        <v>-476.304</v>
      </c>
      <c r="I18" s="15">
        <f>IFERROR(I8/I2,"")</f>
        <v>-719.038961038961</v>
      </c>
      <c r="J18" s="15">
        <f>IFERROR(J8/J2,"")</f>
        <v>-81.33208722741433</v>
      </c>
      <c r="K18" s="15">
        <f>IFERROR(K8/K2,"")</f>
        <v>-5.929687500000002</v>
      </c>
      <c r="L18" s="15">
        <f>IFERROR(L8/L2,"")</f>
        <v>-4.628542782383293</v>
      </c>
      <c r="M18" s="15">
        <f>IFERROR(M8/M2,"")</f>
        <v>-1.5899523523153076</v>
      </c>
      <c r="N18" s="15">
        <f>IFERROR(N8/N2,"")</f>
        <v>-0.4683608252827439</v>
      </c>
      <c r="O18" s="15">
        <f>IFERROR(O8/O2,"")</f>
        <v>-0.9053185122935685</v>
      </c>
      <c r="P18" s="15">
        <f>IFERROR(P8/P2,"")</f>
        <v>-0.887059774160635</v>
      </c>
      <c r="Q18" s="15">
        <f>IFERROR(Q8/Q2,"")</f>
        <v>-0.8224006279391616</v>
      </c>
      <c r="R18" s="15">
        <f>IFERROR(R8/R2,"")</f>
        <v>-0.6209958443727878</v>
      </c>
      <c r="S18" s="15">
        <f>IFERROR(S8/S2,"")</f>
        <v>-0.4855299999999999</v>
      </c>
      <c r="T18" s="15">
        <f>IFERROR(T8/T2,"")</f>
        <v>-0.4093599999999999</v>
      </c>
      <c r="U18" s="15">
        <f>IFERROR(U8/U2,"")</f>
        <v>-0.3331899999999999</v>
      </c>
      <c r="V18" s="15">
        <f>IFERROR(V8/V2,"")</f>
        <v>-0.25701999999999997</v>
      </c>
      <c r="W18" s="15">
        <f>IFERROR(W8/W2,"")</f>
        <v>-0.18084999999999998</v>
      </c>
      <c r="X18" s="15">
        <f>IFERROR(X8/X2,"")</f>
        <v>-0.10468000000000002</v>
      </c>
      <c r="Y18" s="15">
        <f>IFERROR(Y8/Y2,"")</f>
        <v>-0.028509999999999928</v>
      </c>
      <c r="Z18" s="15">
        <f>IFERROR(Z8/Z2,"")</f>
        <v>0.04766000000000006</v>
      </c>
      <c r="AA18" s="15">
        <f>IFERROR(AA8/AA2,"")</f>
        <v>0.12383000000000013</v>
      </c>
      <c r="AB18" s="15">
        <f>IFERROR(AB8/AB2,"")</f>
        <v>0.20000000000000012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Karyopharm Therapeutics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-0.0443</v>
      </c>
      <c r="C12" s="53" t="n">
        <v>0.0057</v>
      </c>
      <c r="D12" s="53" t="n">
        <v>0.0557</v>
      </c>
      <c r="E12" s="54">
        <f>CHOOSE($B$4,B12,C12,D12)</f>
        <v>0.0057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-0.5617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0.5305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146.067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-76.87824417916896</v>
      </c>
      <c r="C29" s="56">
        <f>NPV!B26</f>
        <v>-137.12724417916897</v>
      </c>
      <c r="D29" s="35">
        <f>NPV!B28</f>
        <v>-6.045785596657753</v>
      </c>
      <c r="E29" s="57">
        <f>NPV!B30</f>
        <v>-17.85941326452246</v>
      </c>
    </row>
    <row r="30">
      <c r="A30" s="58" t="n">
        <v>1</v>
      </c>
      <c r="B30" s="59">
        <f t="dataTable" ref="B30:E32" r1="B4"/>
        <v>-117.73427533165157</v>
      </c>
      <c r="C30" s="59">
        <v>-177.98327533165158</v>
      </c>
      <c r="D30" s="39">
        <v>-7.84708194850118</v>
      </c>
      <c r="E30" s="60">
        <v>-22.882548657281596</v>
      </c>
    </row>
    <row r="31">
      <c r="A31" s="58" t="n">
        <v>2</v>
      </c>
      <c r="B31" s="59">
        <v>-76.87824417916896</v>
      </c>
      <c r="C31" s="59">
        <v>-137.12724417916897</v>
      </c>
      <c r="D31" s="39">
        <v>-6.045785596657753</v>
      </c>
      <c r="E31" s="60">
        <v>-17.85941326452246</v>
      </c>
    </row>
    <row r="32">
      <c r="A32" s="58" t="n">
        <v>3</v>
      </c>
      <c r="B32" s="59">
        <v>21.914429786076084</v>
      </c>
      <c r="C32" s="59">
        <v>-38.334570213923925</v>
      </c>
      <c r="D32" s="39">
        <v>-1.6901279817932322</v>
      </c>
      <c r="E32" s="60">
        <v>-5.713128783584028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-6.045785596657753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-5.1187896949947</v>
      </c>
      <c r="C37" s="39">
        <v>-4.722665324851733</v>
      </c>
      <c r="D37" s="39">
        <v>-4.272202080428387</v>
      </c>
      <c r="E37" s="39">
        <v>-3.756477522768977</v>
      </c>
      <c r="F37" s="39">
        <v>-3.16144786343366</v>
      </c>
    </row>
    <row r="38">
      <c r="A38" s="62" t="n">
        <v>0.115</v>
      </c>
      <c r="B38" s="39">
        <v>-5.918084664615714</v>
      </c>
      <c r="C38" s="39">
        <v>-5.62067165503676</v>
      </c>
      <c r="D38" s="39">
        <v>-5.28613512802327</v>
      </c>
      <c r="E38" s="39">
        <v>-4.907878528107406</v>
      </c>
      <c r="F38" s="39">
        <v>-4.477655626604746</v>
      </c>
    </row>
    <row r="39">
      <c r="A39" s="62" t="n">
        <v>0.125</v>
      </c>
      <c r="B39" s="39">
        <v>-6.526728374670739</v>
      </c>
      <c r="C39" s="39">
        <v>-6.2993716328238545</v>
      </c>
      <c r="D39" s="39">
        <v>-6.045785596657753</v>
      </c>
      <c r="E39" s="39">
        <v>-5.761790621268365</v>
      </c>
      <c r="F39" s="39">
        <v>-5.442277806997213</v>
      </c>
    </row>
    <row r="40">
      <c r="A40" s="62" t="n">
        <v>0.135</v>
      </c>
      <c r="B40" s="39">
        <v>-6.995294823577906</v>
      </c>
      <c r="C40" s="39">
        <v>-6.81906608352354</v>
      </c>
      <c r="D40" s="39">
        <v>-6.623790255540873</v>
      </c>
      <c r="E40" s="39">
        <v>-6.4067137983174405</v>
      </c>
      <c r="F40" s="39">
        <v>-6.1645320871589195</v>
      </c>
    </row>
    <row r="41">
      <c r="A41" s="62" t="n">
        <v>0.145</v>
      </c>
      <c r="B41" s="39">
        <v>-7.358570787400562</v>
      </c>
      <c r="C41" s="39">
        <v>-7.220520254382995</v>
      </c>
      <c r="D41" s="39">
        <v>-7.06831979440527</v>
      </c>
      <c r="E41" s="39">
        <v>-6.900095772529555</v>
      </c>
      <c r="F41" s="39">
        <v>-6.713633573123163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Karyopharm Therapeutics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0.0057</v>
      </c>
      <c r="D5" s="63">
        <f>Assumptions!$E$12+(Assumptions!$E$11-Assumptions!$E$12)*(D4-1)/(Assumptions!$B$21-1)</f>
        <v>0.007844444444444446</v>
      </c>
      <c r="E5" s="63">
        <f>Assumptions!$E$12+(Assumptions!$E$11-Assumptions!$E$12)*(E4-1)/(Assumptions!$B$21-1)</f>
        <v>0.00998888888888889</v>
      </c>
      <c r="F5" s="63">
        <f>Assumptions!$E$12+(Assumptions!$E$11-Assumptions!$E$12)*(F4-1)/(Assumptions!$B$21-1)</f>
        <v>0.012133333333333335</v>
      </c>
      <c r="G5" s="63">
        <f>Assumptions!$E$12+(Assumptions!$E$11-Assumptions!$E$12)*(G4-1)/(Assumptions!$B$21-1)</f>
        <v>0.014277777777777778</v>
      </c>
      <c r="H5" s="63">
        <f>Assumptions!$E$12+(Assumptions!$E$11-Assumptions!$E$12)*(H4-1)/(Assumptions!$B$21-1)</f>
        <v>0.016422222222222223</v>
      </c>
      <c r="I5" s="63">
        <f>Assumptions!$E$12+(Assumptions!$E$11-Assumptions!$E$12)*(I4-1)/(Assumptions!$B$21-1)</f>
        <v>0.01856666666666667</v>
      </c>
      <c r="J5" s="63">
        <f>Assumptions!$E$12+(Assumptions!$E$11-Assumptions!$E$12)*(J4-1)/(Assumptions!$B$21-1)</f>
        <v>0.02071111111111111</v>
      </c>
      <c r="K5" s="63">
        <f>Assumptions!$E$12+(Assumptions!$E$11-Assumptions!$E$12)*(K4-1)/(Assumptions!$B$21-1)</f>
        <v>0.022855555555555556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-0.6209958443727878</v>
      </c>
      <c r="C6" s="63">
        <f>Assumptions!$B$18+(Assumptions!$E$13-Assumptions!$B$18)*C4/Assumptions!$B$21</f>
        <v>-0.48552999999999996</v>
      </c>
      <c r="D6" s="63">
        <f>Assumptions!$B$18+(Assumptions!$E$13-Assumptions!$B$18)*D4/Assumptions!$B$21</f>
        <v>-0.40935999999999995</v>
      </c>
      <c r="E6" s="63">
        <f>Assumptions!$B$18+(Assumptions!$E$13-Assumptions!$B$18)*E4/Assumptions!$B$21</f>
        <v>-0.33319</v>
      </c>
      <c r="F6" s="63">
        <f>Assumptions!$B$18+(Assumptions!$E$13-Assumptions!$B$18)*F4/Assumptions!$B$21</f>
        <v>-0.25701999999999997</v>
      </c>
      <c r="G6" s="63">
        <f>Assumptions!$B$18+(Assumptions!$E$13-Assumptions!$B$18)*G4/Assumptions!$B$21</f>
        <v>-0.18084999999999996</v>
      </c>
      <c r="H6" s="63">
        <f>Assumptions!$B$18+(Assumptions!$E$13-Assumptions!$B$18)*H4/Assumptions!$B$21</f>
        <v>-0.10468</v>
      </c>
      <c r="I6" s="63">
        <f>Assumptions!$B$18+(Assumptions!$E$13-Assumptions!$B$18)*I4/Assumptions!$B$21</f>
        <v>-0.028509999999999924</v>
      </c>
      <c r="J6" s="63">
        <f>Assumptions!$B$18+(Assumptions!$E$13-Assumptions!$B$18)*J4/Assumptions!$B$21</f>
        <v>0.047660000000000036</v>
      </c>
      <c r="K6" s="63">
        <f>Assumptions!$B$18+(Assumptions!$E$13-Assumptions!$B$18)*K4/Assumptions!$B$21</f>
        <v>0.1238300000000001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Model'!R2</f>
        <v>146.067</v>
      </c>
      <c r="C7" s="55">
        <f>'Yearly Model'!S2</f>
        <v>146.89958190000002</v>
      </c>
      <c r="D7" s="55">
        <f>'Yearly Model'!T2</f>
        <v>148.0519275091267</v>
      </c>
      <c r="E7" s="55">
        <f>'Yearly Model'!U2</f>
        <v>149.5308017628012</v>
      </c>
      <c r="F7" s="55">
        <f>'Yearly Model'!V2</f>
        <v>151.34510882418985</v>
      </c>
      <c r="G7" s="55">
        <f>'Yearly Model'!W2</f>
        <v>153.50598065573524</v>
      </c>
      <c r="H7" s="55">
        <f>'Yearly Model'!X2</f>
        <v>156.02688998250386</v>
      </c>
      <c r="I7" s="55">
        <f>'Yearly Model'!Y2</f>
        <v>158.92378923984566</v>
      </c>
      <c r="J7" s="55">
        <f>'Yearly Model'!Z2</f>
        <v>162.21527749699092</v>
      </c>
      <c r="K7" s="55">
        <f>'Yearly Model'!AA2</f>
        <v>165.92279778378327</v>
      </c>
      <c r="L7" s="55">
        <f>'Yearly Model'!AB2</f>
        <v>170.07086772837783</v>
      </c>
    </row>
    <row r="8">
      <c r="A8" s="14" t="inlineStr">
        <is>
          <t>Operating income</t>
        </is>
      </c>
      <c r="B8" s="55">
        <f>'Yearly Model'!R8</f>
        <v>-90.707</v>
      </c>
      <c r="C8" s="55">
        <f>'Yearly Model'!S8</f>
        <v>-71.324153999907</v>
      </c>
      <c r="D8" s="55">
        <f>'Yearly Model'!T8</f>
        <v>-60.60653704513609</v>
      </c>
      <c r="E8" s="55">
        <f>'Yearly Model'!U8</f>
        <v>-49.82216783934771</v>
      </c>
      <c r="F8" s="55">
        <f>'Yearly Model'!V8</f>
        <v>-38.89871986999327</v>
      </c>
      <c r="G8" s="55">
        <f>'Yearly Model'!W8</f>
        <v>-27.761556601589717</v>
      </c>
      <c r="H8" s="55">
        <f>'Yearly Model'!X8</f>
        <v>-16.332894843368507</v>
      </c>
      <c r="I8" s="55">
        <f>'Yearly Model'!Y8</f>
        <v>-4.530917231227988</v>
      </c>
      <c r="J8" s="55">
        <f>'Yearly Model'!Z8</f>
        <v>7.731180125506597</v>
      </c>
      <c r="K8" s="55">
        <f>'Yearly Model'!AA8</f>
        <v>20.546220049565903</v>
      </c>
      <c r="L8" s="55">
        <f>'Yearly Model'!AB8</f>
        <v>34.01417354567559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1.3143006213361217</v>
      </c>
      <c r="K9" s="52">
        <f>MAX(0,K8)*Assumptions!$E$14</f>
        <v>3.492857408426204</v>
      </c>
      <c r="L9" s="52">
        <f>MAX(0,L8)*Assumptions!$E$14</f>
        <v>5.7824095027648506</v>
      </c>
    </row>
    <row r="10">
      <c r="A10" s="14" t="inlineStr">
        <is>
          <t>NOPAT</t>
        </is>
      </c>
      <c r="C10" s="52">
        <f>C8-C9</f>
        <v>-71.324153999907</v>
      </c>
      <c r="D10" s="52">
        <f>D8-D9</f>
        <v>-60.60653704513609</v>
      </c>
      <c r="E10" s="52">
        <f>E8-E9</f>
        <v>-49.82216783934771</v>
      </c>
      <c r="F10" s="52">
        <f>F8-F9</f>
        <v>-38.89871986999327</v>
      </c>
      <c r="G10" s="52">
        <f>G8-G9</f>
        <v>-27.761556601589717</v>
      </c>
      <c r="H10" s="52">
        <f>H8-H9</f>
        <v>-16.332894843368507</v>
      </c>
      <c r="I10" s="52">
        <f>I8-I9</f>
        <v>-4.530917231227988</v>
      </c>
      <c r="J10" s="52">
        <f>J8-J9</f>
        <v>6.416879504170476</v>
      </c>
      <c r="K10" s="52">
        <f>K8-K9</f>
        <v>17.0533626411397</v>
      </c>
      <c r="L10" s="52">
        <f>L8-L9</f>
        <v>28.23176404291074</v>
      </c>
    </row>
    <row r="11">
      <c r="A11" s="14" t="inlineStr">
        <is>
          <t>Reinvestment</t>
        </is>
      </c>
      <c r="C11" s="52">
        <f>(C7-B7)*Assumptions!$E$15</f>
        <v>0.20814547500000202</v>
      </c>
      <c r="D11" s="52">
        <f>(D7-C7)*Assumptions!$E$15</f>
        <v>0.28808640228167093</v>
      </c>
      <c r="E11" s="52">
        <f>(E7-D7)*Assumptions!$E$15</f>
        <v>0.36971856341862264</v>
      </c>
      <c r="F11" s="52">
        <f>(F7-E7)*Assumptions!$E$15</f>
        <v>0.4535767653471652</v>
      </c>
      <c r="G11" s="52">
        <f>(G7-F7)*Assumptions!$E$15</f>
        <v>0.5402179578863482</v>
      </c>
      <c r="H11" s="52">
        <f>(H7-G7)*Assumptions!$E$15</f>
        <v>0.6302273316921543</v>
      </c>
      <c r="I11" s="52">
        <f>(I7-H7)*Assumptions!$E$15</f>
        <v>0.7242248143354502</v>
      </c>
      <c r="J11" s="52">
        <f>(J7-I7)*Assumptions!$E$15</f>
        <v>0.8228720642863152</v>
      </c>
      <c r="K11" s="52">
        <f>(K7-J7)*Assumptions!$E$15</f>
        <v>0.9268800716980863</v>
      </c>
      <c r="L11" s="52">
        <f>(L7-K7)*Assumptions!$E$15</f>
        <v>1.0370174861486419</v>
      </c>
    </row>
    <row r="12">
      <c r="A12" s="20" t="inlineStr">
        <is>
          <t>Free cash flow</t>
        </is>
      </c>
      <c r="C12" s="64">
        <f>C10-C11</f>
        <v>-71.532299474907</v>
      </c>
      <c r="D12" s="64">
        <f>D10-D11</f>
        <v>-60.894623447417764</v>
      </c>
      <c r="E12" s="64">
        <f>E10-E11</f>
        <v>-50.191886402766336</v>
      </c>
      <c r="F12" s="64">
        <f>F10-F11</f>
        <v>-39.35229663534044</v>
      </c>
      <c r="G12" s="64">
        <f>G10-G11</f>
        <v>-28.301774559476065</v>
      </c>
      <c r="H12" s="64">
        <f>H10-H11</f>
        <v>-16.96312217506066</v>
      </c>
      <c r="I12" s="64">
        <f>I10-I11</f>
        <v>-5.255142045563439</v>
      </c>
      <c r="J12" s="64">
        <f>J10-J11</f>
        <v>5.594007439884161</v>
      </c>
      <c r="K12" s="64">
        <f>K10-K11</f>
        <v>16.126482569441613</v>
      </c>
      <c r="L12" s="64">
        <f>L10-L11</f>
        <v>27.194746556762098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-35.00466213839871</v>
      </c>
      <c r="D16" s="64">
        <f>D12*D13*D15</f>
        <v>-54.10242124167511</v>
      </c>
      <c r="E16" s="64">
        <f>E12*E13*E15</f>
        <v>-39.63864025126172</v>
      </c>
      <c r="F16" s="64">
        <f>F12*F13*F15</f>
        <v>-27.625032050832715</v>
      </c>
      <c r="G16" s="64">
        <f>G12*G13*G15</f>
        <v>-17.660128207078166</v>
      </c>
      <c r="H16" s="64">
        <f>H12*H13*H15</f>
        <v>-9.408783004420364</v>
      </c>
      <c r="I16" s="64">
        <f>I12*I13*I15</f>
        <v>-2.5909533845815713</v>
      </c>
      <c r="J16" s="64">
        <f>J12*J13*J15</f>
        <v>2.4515776711355195</v>
      </c>
      <c r="K16" s="64">
        <f>K12*K13*K15</f>
        <v>6.282170897429387</v>
      </c>
      <c r="L16" s="64">
        <f>L12*L13*L15</f>
        <v>9.416783557174915</v>
      </c>
    </row>
    <row r="19">
      <c r="A19" s="14" t="inlineStr">
        <is>
          <t>PV of forecast free cash flow</t>
        </is>
      </c>
      <c r="B19" s="52">
        <f>SUM(C16:L16)</f>
        <v>-167.88008815250853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27.874615220681143</v>
      </c>
    </row>
    <row r="21">
      <c r="A21" s="14" t="inlineStr">
        <is>
          <t>Terminal value</t>
        </is>
      </c>
      <c r="B21" s="52">
        <f>B20/(Assumptions!$E$10-Assumptions!$E$11)</f>
        <v>278.7461522068114</v>
      </c>
    </row>
    <row r="22">
      <c r="A22" s="14" t="inlineStr">
        <is>
          <t>PV of terminal value</t>
        </is>
      </c>
      <c r="B22" s="52">
        <f>B21/(1+Assumptions!$E$10)^(L14+0.5)</f>
        <v>91.00184397333958</v>
      </c>
    </row>
    <row r="23">
      <c r="A23" s="20" t="inlineStr">
        <is>
          <t>Enterprise value</t>
        </is>
      </c>
      <c r="B23" s="66">
        <f>B19+B22</f>
        <v>-76.87824417916896</v>
      </c>
    </row>
    <row r="24">
      <c r="A24" s="14" t="inlineStr">
        <is>
          <t>Cash &amp; investments</t>
        </is>
      </c>
      <c r="B24" s="55">
        <f>Main!C7</f>
        <v>65.10499999999999</v>
      </c>
    </row>
    <row r="25">
      <c r="A25" s="14" t="inlineStr">
        <is>
          <t>Debt</t>
        </is>
      </c>
      <c r="B25" s="55">
        <f>Main!C8</f>
        <v>125.354</v>
      </c>
    </row>
    <row r="26">
      <c r="A26" s="20" t="inlineStr">
        <is>
          <t>Equity value</t>
        </is>
      </c>
      <c r="B26" s="66">
        <f>B23+B24-B25</f>
        <v>-137.12724417916897</v>
      </c>
    </row>
    <row r="27">
      <c r="A27" s="14" t="inlineStr">
        <is>
          <t>Shares (mm)</t>
        </is>
      </c>
      <c r="B27" s="55">
        <f>Main!C4</f>
        <v>22.68146</v>
      </c>
    </row>
    <row r="28">
      <c r="A28" s="20" t="inlineStr">
        <is>
          <t>NPV / share</t>
        </is>
      </c>
      <c r="B28" s="49">
        <f>B26/B27</f>
        <v>-6.045785596657753</v>
      </c>
    </row>
    <row r="29">
      <c r="A29" s="14" t="inlineStr">
        <is>
          <t>Price</t>
        </is>
      </c>
      <c r="B29" s="50">
        <f>Main!C3</f>
        <v>0.3586</v>
      </c>
    </row>
    <row r="30">
      <c r="A30" s="14" t="inlineStr">
        <is>
          <t>Upside</t>
        </is>
      </c>
      <c r="B30" s="63">
        <f>B28/B29-1</f>
        <v>-17.85941326452246</v>
      </c>
    </row>
    <row r="31">
      <c r="A31" s="14" t="inlineStr">
        <is>
          <t>Terminal value, % of EV</t>
        </is>
      </c>
      <c r="B31" s="63">
        <f>IFERROR(B22/B23,0)</f>
        <v>-1.1837138704840187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2026-10-21T01:06:39Z</dcterms:modified>
  <cp:lastModifiedBy>Wang, Eric</cp:lastModifiedBy>
</cp:coreProperties>
</file>