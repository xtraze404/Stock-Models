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BeOne Medicines AG</t>
        </is>
      </c>
      <c r="C2" s="10" t="n"/>
    </row>
    <row r="3">
      <c r="B3" t="inlineStr">
        <is>
          <t>Price</t>
        </is>
      </c>
      <c r="C3" s="11">
        <f>INDEX([1]Pharma!$F$1:$F$1000,MATCH("ONC",[1]Pharma!$B$1:$B$1000,0))</f>
        <v>384.5</v>
      </c>
      <c r="F3" s="1" t="n"/>
    </row>
    <row r="4">
      <c r="B4" t="inlineStr">
        <is>
          <t>Shares</t>
        </is>
      </c>
      <c r="C4" s="51">
        <f>1478.124405/13</f>
        <v>113.70187730769231</v>
      </c>
      <c r="F4" s="1" t="n"/>
    </row>
    <row r="5">
      <c r="B5" t="inlineStr">
        <is>
          <t>Market Cap.</t>
        </is>
      </c>
      <c r="C5" s="13">
        <f>C3*C4</f>
        <v>43718.37182480769</v>
      </c>
      <c r="F5" s="1" t="n"/>
    </row>
    <row r="6"/>
    <row r="7">
      <c r="B7" t="inlineStr">
        <is>
          <t>Cash</t>
        </is>
      </c>
      <c r="C7" s="51" t="n">
        <v>5098.041</v>
      </c>
    </row>
    <row r="8">
      <c r="B8" t="inlineStr">
        <is>
          <t>Debt</t>
        </is>
      </c>
      <c r="C8" s="51">
        <f>190.896+71.182+882.163</f>
        <v>1144.241</v>
      </c>
    </row>
    <row r="9">
      <c r="B9" t="inlineStr">
        <is>
          <t>Enterprise V.</t>
        </is>
      </c>
      <c r="C9" s="13">
        <f>C5-C7+C8</f>
        <v>39764.571824807696</v>
      </c>
    </row>
    <row r="10"/>
    <row r="11">
      <c r="B11" s="14" t="inlineStr">
        <is>
          <t>NPV / Share</t>
        </is>
      </c>
      <c r="C11" s="11">
        <f>NPV!B28</f>
        <v>433.277632060473</v>
      </c>
    </row>
    <row r="12">
      <c r="B12" s="14" t="inlineStr">
        <is>
          <t>Upside</t>
        </is>
      </c>
      <c r="C12" s="15">
        <f>IFERROR(C11/C3-1,"")</f>
        <v>0.12685990132762814</v>
      </c>
    </row>
    <row r="13">
      <c r="B13" s="14" t="inlineStr">
        <is>
          <t>Cash / Share</t>
        </is>
      </c>
      <c r="C13" s="11">
        <f>IFERROR((C7-C8)/C4,"")</f>
        <v>34.77339243309497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2014</v>
      </c>
      <c r="C1" s="16" t="n">
        <v>2015</v>
      </c>
      <c r="D1" s="16" t="n">
        <v>2016</v>
      </c>
      <c r="E1" s="16" t="n">
        <v>2017</v>
      </c>
      <c r="F1" s="16" t="n">
        <v>2018</v>
      </c>
      <c r="G1" s="16" t="n">
        <v>2019</v>
      </c>
      <c r="H1" s="16" t="n">
        <v>2020</v>
      </c>
      <c r="I1" s="16" t="n">
        <v>2021</v>
      </c>
      <c r="J1" s="16" t="n">
        <v>2022</v>
      </c>
      <c r="K1" s="16" t="n">
        <v>2023</v>
      </c>
      <c r="L1" s="16" t="n">
        <v>2024</v>
      </c>
      <c r="M1" s="16" t="n">
        <v>2025</v>
      </c>
      <c r="N1" s="16" t="n">
        <v>2026</v>
      </c>
      <c r="O1" s="16" t="n">
        <v>2027</v>
      </c>
      <c r="P1" s="16" t="n">
        <v>2028</v>
      </c>
      <c r="Q1" s="16" t="n">
        <v>2029</v>
      </c>
      <c r="R1" s="16" t="n">
        <v>2030</v>
      </c>
      <c r="S1" s="16" t="n">
        <v>2031</v>
      </c>
      <c r="T1" s="16" t="n">
        <v>2032</v>
      </c>
      <c r="U1" s="16" t="n">
        <v>2033</v>
      </c>
      <c r="V1" s="16" t="n">
        <v>2034</v>
      </c>
      <c r="W1" s="16" t="n">
        <v>2035</v>
      </c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13.035</v>
      </c>
      <c r="C2" s="52" t="n">
        <v>8.816000000000001</v>
      </c>
      <c r="D2" s="52" t="n">
        <v>1.07</v>
      </c>
      <c r="E2" s="52" t="n">
        <v>238.387</v>
      </c>
      <c r="F2" s="52" t="n">
        <v>198.22</v>
      </c>
      <c r="G2" s="52" t="n">
        <v>428.212</v>
      </c>
      <c r="H2" s="52" t="n">
        <v>308.874</v>
      </c>
      <c r="I2" s="52" t="n">
        <v>1176.283</v>
      </c>
      <c r="J2" s="52" t="n">
        <v>1415.921</v>
      </c>
      <c r="K2" s="52" t="n">
        <v>2458.779</v>
      </c>
      <c r="L2" s="52" t="n">
        <v>3810.241</v>
      </c>
      <c r="M2" s="52" t="n">
        <v>5343.033</v>
      </c>
      <c r="N2" s="52">
        <f>M2*(1+NPV!C5)</f>
        <v>7069.3669623000005</v>
      </c>
      <c r="O2" s="52">
        <f>N2*(1+NPV!D5)</f>
        <v>9119.326284323393</v>
      </c>
      <c r="P2" s="52">
        <f>O2*(1+NPV!E5)</f>
        <v>11461.675903375659</v>
      </c>
      <c r="Q2" s="52">
        <f>P2*(1+NPV!F5)</f>
        <v>14026.03485882424</v>
      </c>
      <c r="R2" s="52">
        <f>Q2*(1+NPV!G5)</f>
        <v>16699.552947747903</v>
      </c>
      <c r="S2" s="52">
        <f>R2*(1+NPV!H5)</f>
        <v>19329.54698642989</v>
      </c>
      <c r="T2" s="52">
        <f>S2*(1+NPV!I5)</f>
        <v>21733.49831330889</v>
      </c>
      <c r="U2" s="52">
        <f>T2*(1+NPV!J5)</f>
        <v>23716.55929274103</v>
      </c>
      <c r="V2" s="52">
        <f>U2*(1+NPV!K5)</f>
        <v>25095.018422300232</v>
      </c>
      <c r="W2" s="52">
        <f>V2*(1+NPV!L5)</f>
        <v>25722.393882857737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4.974</v>
      </c>
      <c r="F3" s="52" t="n">
        <v>28.705</v>
      </c>
      <c r="G3" s="52" t="n">
        <v>71.19</v>
      </c>
      <c r="H3" s="52" t="n">
        <v>70.657</v>
      </c>
      <c r="I3" s="52" t="n">
        <v>164.906</v>
      </c>
      <c r="J3" s="52" t="n">
        <v>286.475</v>
      </c>
      <c r="K3" s="52" t="n">
        <v>0</v>
      </c>
      <c r="L3" s="52" t="n">
        <v>0</v>
      </c>
      <c r="M3" s="52" t="n">
        <v>0</v>
      </c>
      <c r="N3" s="52">
        <f>N2*(1-Assumptions!$B$19)</f>
        <v>1430.1329364732903</v>
      </c>
      <c r="O3" s="52">
        <f>O2*(1-Assumptions!$B$19)</f>
        <v>1844.8397073186227</v>
      </c>
      <c r="P3" s="52">
        <f>P2*(1-Assumptions!$B$19)</f>
        <v>2318.697035252896</v>
      </c>
      <c r="Q3" s="52">
        <f>Q2*(1-Assumptions!$B$19)</f>
        <v>2837.4668519401444</v>
      </c>
      <c r="R3" s="52">
        <f>R2*(1-Assumptions!$B$19)</f>
        <v>3378.3195613294015</v>
      </c>
      <c r="S3" s="52">
        <f>S2*(1-Assumptions!$B$19)</f>
        <v>3910.3673553547674</v>
      </c>
      <c r="T3" s="52">
        <f>T2*(1-Assumptions!$B$19)</f>
        <v>4396.686708782389</v>
      </c>
      <c r="U3" s="52">
        <f>U2*(1-Assumptions!$B$19)</f>
        <v>4797.859944921511</v>
      </c>
      <c r="V3" s="52">
        <f>V2*(1-Assumptions!$B$19)</f>
        <v>5076.722226831338</v>
      </c>
      <c r="W3" s="52">
        <f>W2*(1-Assumptions!$B$19)</f>
        <v>5203.640282502121</v>
      </c>
    </row>
    <row r="4" customFormat="1" s="1">
      <c r="A4" s="5" t="inlineStr">
        <is>
          <t>Gross Margin</t>
        </is>
      </c>
      <c r="B4" s="52">
        <f>B2-B3</f>
        <v>13.035</v>
      </c>
      <c r="C4" s="52">
        <f>C2-C3</f>
        <v>8.816</v>
      </c>
      <c r="D4" s="52">
        <f>D2-D3</f>
        <v>1.07</v>
      </c>
      <c r="E4" s="52">
        <f>E2-E3</f>
        <v>233.413</v>
      </c>
      <c r="F4" s="52">
        <f>F2-F3</f>
        <v>169.515</v>
      </c>
      <c r="G4" s="52">
        <f>G2-G3</f>
        <v>357.022</v>
      </c>
      <c r="H4" s="52">
        <f>H2-H3</f>
        <v>238.21700000000004</v>
      </c>
      <c r="I4" s="52">
        <f>I2-I3</f>
        <v>1011.377</v>
      </c>
      <c r="J4" s="52">
        <f>J2-J3</f>
        <v>1129.446</v>
      </c>
      <c r="K4" s="52">
        <f>K2-K3</f>
        <v>2458.779</v>
      </c>
      <c r="L4" s="52">
        <f>L2-L3</f>
        <v>3810.241</v>
      </c>
      <c r="M4" s="52">
        <f>M2-M3</f>
        <v>5343.033</v>
      </c>
      <c r="N4" s="52">
        <f>N2-N3</f>
        <v>5639.23402582671</v>
      </c>
      <c r="O4" s="52">
        <f>O2-O3</f>
        <v>7274.486577004771</v>
      </c>
      <c r="P4" s="52">
        <f>P2-P3</f>
        <v>9142.978868122762</v>
      </c>
      <c r="Q4" s="52">
        <f>Q2-Q3</f>
        <v>11188.568006884096</v>
      </c>
      <c r="R4" s="52">
        <f>R2-R3</f>
        <v>13321.233386418502</v>
      </c>
      <c r="S4" s="52">
        <f>S2-S3</f>
        <v>15419.179631075123</v>
      </c>
      <c r="T4" s="52">
        <f>T2-T3</f>
        <v>17336.8116045265</v>
      </c>
      <c r="U4" s="52">
        <f>U2-U3</f>
        <v>18918.699347819518</v>
      </c>
      <c r="V4" s="52">
        <f>V2-V3</f>
        <v>20018.296195468894</v>
      </c>
      <c r="W4" s="52">
        <f>W2-W3</f>
        <v>20518.753600355616</v>
      </c>
    </row>
    <row r="5">
      <c r="A5" s="2" t="inlineStr">
        <is>
          <t>Research &amp; Dev.</t>
        </is>
      </c>
      <c r="B5" s="52" t="n">
        <v>21.862</v>
      </c>
      <c r="C5" s="52" t="n">
        <v>58.25</v>
      </c>
      <c r="D5" s="52" t="n">
        <v>98.033</v>
      </c>
      <c r="E5" s="52" t="n">
        <v>269.018</v>
      </c>
      <c r="F5" s="52" t="n">
        <v>679.005</v>
      </c>
      <c r="G5" s="52" t="n">
        <v>927.338</v>
      </c>
      <c r="H5" s="52" t="n">
        <v>1294.877</v>
      </c>
      <c r="I5" s="52" t="n">
        <v>1459.239</v>
      </c>
      <c r="J5" s="52" t="n">
        <v>1640.508</v>
      </c>
      <c r="K5" s="52" t="n">
        <v>1778.594</v>
      </c>
      <c r="L5" s="52" t="n">
        <v>1953.295</v>
      </c>
      <c r="M5" s="52" t="n">
        <v>2145.868</v>
      </c>
      <c r="N5" s="52">
        <f>N7*Assumptions!$B$20</f>
        <v>1989.735032974182</v>
      </c>
      <c r="O5" s="52">
        <f>O7*Assumptions!$B$20</f>
        <v>2546.9687926931592</v>
      </c>
      <c r="P5" s="52">
        <f>P7*Assumptions!$B$20</f>
        <v>3176.3550333336816</v>
      </c>
      <c r="Q5" s="52">
        <f>Q7*Assumptions!$B$20</f>
        <v>3856.6423340631422</v>
      </c>
      <c r="R5" s="52">
        <f>R7*Assumptions!$B$20</f>
        <v>4555.603309075496</v>
      </c>
      <c r="S5" s="52">
        <f>S7*Assumptions!$B$20</f>
        <v>5231.207838646231</v>
      </c>
      <c r="T5" s="52">
        <f>T7*Assumptions!$B$20</f>
        <v>5834.738306164228</v>
      </c>
      <c r="U5" s="52">
        <f>U7*Assumptions!$B$20</f>
        <v>6315.774619775139</v>
      </c>
      <c r="V5" s="52">
        <f>V7*Assumptions!$B$20</f>
        <v>6628.52569165318</v>
      </c>
      <c r="W5" s="52">
        <f>W7*Assumptions!$B$20</f>
        <v>6738.544655264557</v>
      </c>
    </row>
    <row r="6">
      <c r="A6" s="18" t="inlineStr">
        <is>
          <t>SG&amp;A &amp; Other</t>
        </is>
      </c>
      <c r="B6" s="52" t="n">
        <v>6.93</v>
      </c>
      <c r="C6" s="52" t="n">
        <v>7.311</v>
      </c>
      <c r="D6" s="52" t="n">
        <v>20.097</v>
      </c>
      <c r="E6" s="52" t="n">
        <v>62.852</v>
      </c>
      <c r="F6" s="52" t="n">
        <v>196.279</v>
      </c>
      <c r="G6" s="52" t="n">
        <v>389.575</v>
      </c>
      <c r="H6" s="52" t="n">
        <v>601.022</v>
      </c>
      <c r="I6" s="52" t="n">
        <v>990.873</v>
      </c>
      <c r="J6" s="52" t="n">
        <v>1278.603</v>
      </c>
      <c r="K6" s="52" t="n">
        <v>1887.921</v>
      </c>
      <c r="L6" s="52" t="n">
        <v>2425.145</v>
      </c>
      <c r="M6" s="52" t="n">
        <v>2750.029</v>
      </c>
      <c r="N6" s="52">
        <f>N7-N5</f>
        <v>2549.9296555363862</v>
      </c>
      <c r="O6" s="52">
        <f>O7-O5</f>
        <v>3264.048302203393</v>
      </c>
      <c r="P6" s="52">
        <f>P7-P5</f>
        <v>4070.6334068526785</v>
      </c>
      <c r="Q6" s="52">
        <f>Q7-Q5</f>
        <v>4942.450374271655</v>
      </c>
      <c r="R6" s="52">
        <f>R7-R5</f>
        <v>5838.198445602798</v>
      </c>
      <c r="S6" s="52">
        <f>S7-S5</f>
        <v>6704.014243594769</v>
      </c>
      <c r="T6" s="52">
        <f>T7-T5</f>
        <v>7477.464080703733</v>
      </c>
      <c r="U6" s="52">
        <f>U7-U5</f>
        <v>8093.932475308454</v>
      </c>
      <c r="V6" s="52">
        <f>V7-V5</f>
        <v>8494.73621036183</v>
      </c>
      <c r="W6" s="52">
        <f>W7-W5</f>
        <v>8635.73016851951</v>
      </c>
    </row>
    <row r="7">
      <c r="A7" s="2" t="inlineStr">
        <is>
          <t>Operating Expense</t>
        </is>
      </c>
      <c r="B7" s="52">
        <f>SUM(B5:B6)</f>
        <v>28.791999999999998</v>
      </c>
      <c r="C7" s="52">
        <f>SUM(C5:C6)</f>
        <v>65.561</v>
      </c>
      <c r="D7" s="52">
        <f>SUM(D5:D6)</f>
        <v>118.13</v>
      </c>
      <c r="E7" s="52">
        <f>SUM(E5:E6)</f>
        <v>331.86999999999995</v>
      </c>
      <c r="F7" s="52">
        <f>SUM(F5:F6)</f>
        <v>875.284</v>
      </c>
      <c r="G7" s="52">
        <f>SUM(G5:G6)</f>
        <v>1316.913</v>
      </c>
      <c r="H7" s="52">
        <f>SUM(H5:H6)</f>
        <v>1895.899</v>
      </c>
      <c r="I7" s="52">
        <f>SUM(I5:I6)</f>
        <v>2450.112</v>
      </c>
      <c r="J7" s="52">
        <f>SUM(J5:J6)</f>
        <v>2919.111</v>
      </c>
      <c r="K7" s="52">
        <f>SUM(K5:K6)</f>
        <v>3666.5150000000003</v>
      </c>
      <c r="L7" s="52">
        <f>SUM(L5:L6)</f>
        <v>4378.4400000000005</v>
      </c>
      <c r="M7" s="52">
        <f>SUM(M5:M6)</f>
        <v>4895.897</v>
      </c>
      <c r="N7" s="52">
        <f>N4-N2*NPV!C6</f>
        <v>4539.664688510568</v>
      </c>
      <c r="O7" s="52">
        <f>O4-O2*NPV!D6</f>
        <v>5811.017094896552</v>
      </c>
      <c r="P7" s="52">
        <f>P4-P2*NPV!E6</f>
        <v>7246.98844018636</v>
      </c>
      <c r="Q7" s="52">
        <f>Q4-Q2*NPV!F6</f>
        <v>8799.092708334798</v>
      </c>
      <c r="R7" s="52">
        <f>R4-R2*NPV!G6</f>
        <v>10393.801754678294</v>
      </c>
      <c r="S7" s="52">
        <f>S4-S2*NPV!H6</f>
        <v>11935.222082241</v>
      </c>
      <c r="T7" s="52">
        <f>T4-T2*NPV!I6</f>
        <v>13312.20238686796</v>
      </c>
      <c r="U7" s="52">
        <f>U4-U2*NPV!J6</f>
        <v>14409.707095083593</v>
      </c>
      <c r="V7" s="52">
        <f>V4-V2*NPV!K6</f>
        <v>15123.26190201501</v>
      </c>
      <c r="W7" s="52">
        <f>W4-W2*NPV!L6</f>
        <v>15374.274823784068</v>
      </c>
    </row>
    <row r="8">
      <c r="A8" s="2" t="inlineStr">
        <is>
          <t>Operating Income</t>
        </is>
      </c>
      <c r="B8" s="52">
        <f>B4-B7</f>
        <v>-15.756999999999998</v>
      </c>
      <c r="C8" s="52">
        <f>C4-C7</f>
        <v>-56.745000000000005</v>
      </c>
      <c r="D8" s="52">
        <f>D4-D7</f>
        <v>-117.06</v>
      </c>
      <c r="E8" s="52">
        <f>E4-E7</f>
        <v>-98.45699999999994</v>
      </c>
      <c r="F8" s="52">
        <f>F4-F7</f>
        <v>-705.769</v>
      </c>
      <c r="G8" s="52">
        <f>G4-G7</f>
        <v>-959.8910000000001</v>
      </c>
      <c r="H8" s="52">
        <f>H4-H7</f>
        <v>-1657.6819999999998</v>
      </c>
      <c r="I8" s="52">
        <f>I4-I7</f>
        <v>-1438.7350000000001</v>
      </c>
      <c r="J8" s="52">
        <f>J4-J7</f>
        <v>-1789.665</v>
      </c>
      <c r="K8" s="52">
        <f>K4-K7</f>
        <v>-1207.7360000000003</v>
      </c>
      <c r="L8" s="52">
        <f>L4-L7</f>
        <v>-568.1990000000005</v>
      </c>
      <c r="M8" s="52">
        <f>M4-M7</f>
        <v>447.1360000000004</v>
      </c>
      <c r="N8" s="52">
        <f>N4-N7</f>
        <v>1099.569337316142</v>
      </c>
      <c r="O8" s="52">
        <f>O4-O7</f>
        <v>1463.4694821082185</v>
      </c>
      <c r="P8" s="52">
        <f>P4-P7</f>
        <v>1895.9904279364018</v>
      </c>
      <c r="Q8" s="52">
        <f>Q4-Q7</f>
        <v>2389.475298549298</v>
      </c>
      <c r="R8" s="52">
        <f>R4-R7</f>
        <v>2927.431631740208</v>
      </c>
      <c r="S8" s="52">
        <f>S4-S7</f>
        <v>3483.9575488341234</v>
      </c>
      <c r="T8" s="52">
        <f>T4-T7</f>
        <v>4024.6092176585407</v>
      </c>
      <c r="U8" s="52">
        <f>U4-U7</f>
        <v>4508.992252735925</v>
      </c>
      <c r="V8" s="52">
        <f>V4-V7</f>
        <v>4895.034293453884</v>
      </c>
      <c r="W8" s="52">
        <f>W4-W7</f>
        <v>5144.478776571548</v>
      </c>
    </row>
    <row r="9">
      <c r="A9" s="18" t="inlineStr">
        <is>
          <t>Interest &amp; Other</t>
        </is>
      </c>
      <c r="B9" s="52" t="n">
        <v>-2.521</v>
      </c>
      <c r="C9" s="52" t="n">
        <v>-0.357</v>
      </c>
      <c r="D9" s="52" t="n">
        <v>-2.103</v>
      </c>
      <c r="E9" s="52" t="n">
        <v>7.587</v>
      </c>
      <c r="F9" s="52" t="n">
        <v>16.204</v>
      </c>
      <c r="G9" s="52" t="n">
        <v>18.255</v>
      </c>
      <c r="H9" s="52" t="n">
        <v>43.105</v>
      </c>
      <c r="I9" s="52" t="n">
        <v>0.147</v>
      </c>
      <c r="J9" s="52" t="n">
        <v>-171.372</v>
      </c>
      <c r="K9" s="52" t="n">
        <v>381.9</v>
      </c>
      <c r="L9" s="52" t="n">
        <v>35.198</v>
      </c>
      <c r="M9" s="52" t="n">
        <v>-30.282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2" t="n">
        <v>0</v>
      </c>
    </row>
    <row r="10">
      <c r="A10" s="2" t="inlineStr">
        <is>
          <t>Pretax</t>
        </is>
      </c>
      <c r="B10" s="52">
        <f>B8+B9</f>
        <v>-18.278</v>
      </c>
      <c r="C10" s="52">
        <f>C8+C9</f>
        <v>-57.102000000000004</v>
      </c>
      <c r="D10" s="52">
        <f>D8+D9</f>
        <v>-119.163</v>
      </c>
      <c r="E10" s="52">
        <f>E8+E9</f>
        <v>-90.86999999999993</v>
      </c>
      <c r="F10" s="52">
        <f>F8+F9</f>
        <v>-689.565</v>
      </c>
      <c r="G10" s="52">
        <f>G8+G9</f>
        <v>-941.6360000000001</v>
      </c>
      <c r="H10" s="52">
        <f>H8+H9</f>
        <v>-1614.5769999999998</v>
      </c>
      <c r="I10" s="52">
        <f>I8+I9</f>
        <v>-1438.5880000000002</v>
      </c>
      <c r="J10" s="52">
        <f>J8+J9</f>
        <v>-1961.037</v>
      </c>
      <c r="K10" s="52">
        <f>K8+K9</f>
        <v>-825.8360000000004</v>
      </c>
      <c r="L10" s="52">
        <f>L8+L9</f>
        <v>-533.0010000000005</v>
      </c>
      <c r="M10" s="52">
        <f>M8+M9</f>
        <v>416.85400000000044</v>
      </c>
      <c r="N10" s="52">
        <f>N8+N9</f>
        <v>1099.569337316142</v>
      </c>
      <c r="O10" s="52">
        <f>O8+O9</f>
        <v>1463.4694821082185</v>
      </c>
      <c r="P10" s="52">
        <f>P8+P9</f>
        <v>1895.9904279364018</v>
      </c>
      <c r="Q10" s="52">
        <f>Q8+Q9</f>
        <v>2389.475298549298</v>
      </c>
      <c r="R10" s="52">
        <f>R8+R9</f>
        <v>2927.431631740208</v>
      </c>
      <c r="S10" s="52">
        <f>S8+S9</f>
        <v>3483.9575488341234</v>
      </c>
      <c r="T10" s="52">
        <f>T8+T9</f>
        <v>4024.6092176585407</v>
      </c>
      <c r="U10" s="52">
        <f>U8+U9</f>
        <v>4508.992252735925</v>
      </c>
      <c r="V10" s="52">
        <f>V8+V9</f>
        <v>4895.034293453884</v>
      </c>
      <c r="W10" s="52">
        <f>W8+W9</f>
        <v>5144.478776571548</v>
      </c>
    </row>
    <row r="11">
      <c r="A11" s="2" t="inlineStr">
        <is>
          <t>Taxes</t>
        </is>
      </c>
      <c r="B11" s="52" t="n">
        <v>0</v>
      </c>
      <c r="C11" s="52" t="n">
        <v>0</v>
      </c>
      <c r="D11" s="52" t="n">
        <v>0.054</v>
      </c>
      <c r="E11" s="52" t="n">
        <v>2.235</v>
      </c>
      <c r="F11" s="52" t="n">
        <v>-15.796</v>
      </c>
      <c r="G11" s="52" t="n">
        <v>6.992</v>
      </c>
      <c r="H11" s="52" t="n">
        <v>10.397</v>
      </c>
      <c r="I11" s="52" t="n">
        <v>19.228</v>
      </c>
      <c r="J11" s="52" t="n">
        <v>42.778</v>
      </c>
      <c r="K11" s="52" t="n">
        <v>55.872</v>
      </c>
      <c r="L11" s="52" t="n">
        <v>111.785</v>
      </c>
      <c r="M11" s="52" t="n">
        <v>129.921</v>
      </c>
      <c r="N11" s="52">
        <f>MAX(0,N10)*Assumptions!$E$14</f>
        <v>186.92678734374417</v>
      </c>
      <c r="O11" s="52">
        <f>MAX(0,O10)*Assumptions!$E$14</f>
        <v>248.78981195839717</v>
      </c>
      <c r="P11" s="52">
        <f>MAX(0,P10)*Assumptions!$E$14</f>
        <v>322.3183727491883</v>
      </c>
      <c r="Q11" s="52">
        <f>MAX(0,Q10)*Assumptions!$E$14</f>
        <v>406.2108007533807</v>
      </c>
      <c r="R11" s="52">
        <f>MAX(0,R10)*Assumptions!$E$14</f>
        <v>497.6633773958354</v>
      </c>
      <c r="S11" s="52">
        <f>MAX(0,S10)*Assumptions!$E$14</f>
        <v>592.272783301801</v>
      </c>
      <c r="T11" s="52">
        <f>MAX(0,T10)*Assumptions!$E$14</f>
        <v>684.1835670019519</v>
      </c>
      <c r="U11" s="52">
        <f>MAX(0,U10)*Assumptions!$E$14</f>
        <v>766.5286829651072</v>
      </c>
      <c r="V11" s="52">
        <f>MAX(0,V10)*Assumptions!$E$14</f>
        <v>832.1558298871603</v>
      </c>
      <c r="W11" s="52">
        <f>MAX(0,W10)*Assumptions!$E$14</f>
        <v>874.5613920171633</v>
      </c>
    </row>
    <row r="12">
      <c r="A12" s="2" t="inlineStr">
        <is>
          <t>Net Income</t>
        </is>
      </c>
      <c r="B12" s="52" t="n">
        <v>-18.278</v>
      </c>
      <c r="C12" s="52" t="n">
        <v>-57.102</v>
      </c>
      <c r="D12" s="52" t="n">
        <v>-119.217</v>
      </c>
      <c r="E12" s="52" t="n">
        <v>-93.105</v>
      </c>
      <c r="F12" s="52" t="n">
        <v>-673.769</v>
      </c>
      <c r="G12" s="52" t="n">
        <v>-948.628</v>
      </c>
      <c r="H12" s="52" t="n">
        <v>-1624.974</v>
      </c>
      <c r="I12" s="52" t="n">
        <v>-1457.816</v>
      </c>
      <c r="J12" s="52" t="n">
        <v>-2003.815</v>
      </c>
      <c r="K12" s="52" t="n">
        <v>-881.708</v>
      </c>
      <c r="L12" s="52" t="n">
        <v>-644.7859999999999</v>
      </c>
      <c r="M12" s="52" t="n">
        <v>286.933</v>
      </c>
      <c r="N12" s="52">
        <f>N10-N11</f>
        <v>912.6425499723979</v>
      </c>
      <c r="O12" s="52">
        <f>O10-O11</f>
        <v>1214.6796701498213</v>
      </c>
      <c r="P12" s="52">
        <f>P10-P11</f>
        <v>1573.6720551872136</v>
      </c>
      <c r="Q12" s="52">
        <f>Q10-Q11</f>
        <v>1983.2644977959171</v>
      </c>
      <c r="R12" s="52">
        <f>R10-R11</f>
        <v>2429.7682543443725</v>
      </c>
      <c r="S12" s="52">
        <f>S10-S11</f>
        <v>2891.684765532322</v>
      </c>
      <c r="T12" s="52">
        <f>T10-T11</f>
        <v>3340.425650656589</v>
      </c>
      <c r="U12" s="52">
        <f>U10-U11</f>
        <v>3742.4635697708177</v>
      </c>
      <c r="V12" s="52">
        <f>V10-V11</f>
        <v>4062.8784635667234</v>
      </c>
      <c r="W12" s="52">
        <f>W10-W11</f>
        <v>4269.917384554385</v>
      </c>
    </row>
    <row r="13">
      <c r="A13" s="2" t="inlineStr">
        <is>
          <t>Earnings per Share</t>
        </is>
      </c>
      <c r="B13" s="11">
        <f>IFERROR(B12/B14,0)</f>
        <v>-0.18303991668168798</v>
      </c>
      <c r="C13" s="11">
        <f>IFERROR(C12/C14,0)</f>
        <v>-0.5163069522681447</v>
      </c>
      <c r="D13" s="11">
        <f>IFERROR(D12/D14,0)</f>
        <v>-0.2953701386703797</v>
      </c>
      <c r="E13" s="11">
        <f>IFERROR(E12/E14,0)</f>
        <v>-0.17140569051059953</v>
      </c>
      <c r="F13" s="11">
        <f>IFERROR(F12/F14,0)</f>
        <v>-0.9348113225871795</v>
      </c>
      <c r="G13" s="11">
        <f>IFERROR(G12/G14,0)</f>
        <v>-1.2150977134652063</v>
      </c>
      <c r="H13" s="11">
        <f>IFERROR(H12/H14,0)</f>
        <v>-1.4974897063214427</v>
      </c>
      <c r="I13" s="11">
        <f>IFERROR(I12/I14,0)</f>
        <v>-1.208592202021207</v>
      </c>
      <c r="J13" s="11">
        <f>IFERROR(J12/J14,0)</f>
        <v>-1.4945701222468357</v>
      </c>
      <c r="K13" s="11">
        <f>IFERROR(K12/K14,0)</f>
        <v>-0.6497312154808093</v>
      </c>
      <c r="L13" s="11">
        <f>IFERROR(L12/L14,0)</f>
        <v>-0.47107756217913166</v>
      </c>
      <c r="M13" s="11">
        <f>IFERROR(M12/M14,0)</f>
        <v>0.19455327054643587</v>
      </c>
      <c r="N13" s="11">
        <f>IFERROR(N12/N14,0)</f>
        <v>8.0266269263318</v>
      </c>
      <c r="O13" s="11">
        <f>IFERROR(O12/O14,0)</f>
        <v>10.683022118119805</v>
      </c>
      <c r="P13" s="11">
        <f>IFERROR(P12/P14,0)</f>
        <v>13.840334851540304</v>
      </c>
      <c r="Q13" s="11">
        <f>IFERROR(Q12/Q14,0)</f>
        <v>17.44267152624878</v>
      </c>
      <c r="R13" s="11">
        <f>IFERROR(R12/R14,0)</f>
        <v>21.36964060645277</v>
      </c>
      <c r="S13" s="11">
        <f>IFERROR(S12/S14,0)</f>
        <v>25.432163777797978</v>
      </c>
      <c r="T13" s="11">
        <f>IFERROR(T12/T14,0)</f>
        <v>29.378808246208244</v>
      </c>
      <c r="U13" s="11">
        <f>IFERROR(U12/U14,0)</f>
        <v>32.91470341904045</v>
      </c>
      <c r="V13" s="11">
        <f>IFERROR(V12/V14,0)</f>
        <v>35.732729834988014</v>
      </c>
      <c r="W13" s="11">
        <f>IFERROR(W12/W14,0)</f>
        <v>37.553622558046456</v>
      </c>
    </row>
    <row r="14">
      <c r="A14" s="2" t="inlineStr">
        <is>
          <t>Shares</t>
        </is>
      </c>
      <c r="B14" s="52" t="n">
        <v>99.858</v>
      </c>
      <c r="C14" s="52" t="n">
        <v>110.597</v>
      </c>
      <c r="D14" s="52" t="n">
        <v>403.619</v>
      </c>
      <c r="E14" s="52" t="n">
        <v>543.1849999999999</v>
      </c>
      <c r="F14" s="52" t="n">
        <v>720.754</v>
      </c>
      <c r="G14" s="52" t="n">
        <v>780.701</v>
      </c>
      <c r="H14" s="52" t="n">
        <v>1085.132</v>
      </c>
      <c r="I14" s="52" t="n">
        <v>1206.21</v>
      </c>
      <c r="J14" s="52" t="n">
        <v>1340.73</v>
      </c>
      <c r="K14" s="52" t="n">
        <v>1357.035</v>
      </c>
      <c r="L14" s="52" t="n">
        <v>1368.747</v>
      </c>
      <c r="M14" s="52" t="n">
        <v>1474.83</v>
      </c>
      <c r="N14" s="52">
        <f>Main!$C$4</f>
        <v>113.70187730769231</v>
      </c>
      <c r="O14" s="52">
        <f>Main!$C$4</f>
        <v>113.70187730769231</v>
      </c>
      <c r="P14" s="52">
        <f>Main!$C$4</f>
        <v>113.70187730769231</v>
      </c>
      <c r="Q14" s="52">
        <f>Main!$C$4</f>
        <v>113.70187730769231</v>
      </c>
      <c r="R14" s="52">
        <f>Main!$C$4</f>
        <v>113.70187730769231</v>
      </c>
      <c r="S14" s="52">
        <f>Main!$C$4</f>
        <v>113.70187730769231</v>
      </c>
      <c r="T14" s="52">
        <f>Main!$C$4</f>
        <v>113.70187730769231</v>
      </c>
      <c r="U14" s="52">
        <f>Main!$C$4</f>
        <v>113.70187730769231</v>
      </c>
      <c r="V14" s="52">
        <f>Main!$C$4</f>
        <v>113.70187730769231</v>
      </c>
      <c r="W14" s="52">
        <f>Main!$C$4</f>
        <v>113.70187730769231</v>
      </c>
    </row>
    <row r="15"/>
    <row r="16" customFormat="1" s="4">
      <c r="A16" s="3" t="inlineStr">
        <is>
          <t>Revenue Change</t>
        </is>
      </c>
      <c r="C16" s="15">
        <f>IFERROR(C2/B2-1,"")</f>
        <v>-0.32366705024932874</v>
      </c>
      <c r="D16" s="15">
        <f>IFERROR(D2/C2-1,"")</f>
        <v>-0.8786297640653358</v>
      </c>
      <c r="E16" s="15">
        <f>IFERROR(E2/D2-1,"")</f>
        <v>221.7915887850467</v>
      </c>
      <c r="F16" s="15">
        <f>IFERROR(F2/E2-1,"")</f>
        <v>-0.1684949263172908</v>
      </c>
      <c r="G16" s="15">
        <f>IFERROR(G2/F2-1,"")</f>
        <v>1.160286550297649</v>
      </c>
      <c r="H16" s="15">
        <f>IFERROR(H2/G2-1,"")</f>
        <v>-0.2786890605587886</v>
      </c>
      <c r="I16" s="15">
        <f>IFERROR(I2/H2-1,"")</f>
        <v>2.808293996904886</v>
      </c>
      <c r="J16" s="15">
        <f>IFERROR(J2/I2-1,"")</f>
        <v>0.20372478391679572</v>
      </c>
      <c r="K16" s="15">
        <f>IFERROR(K2/J2-1,"")</f>
        <v>0.7365227297285653</v>
      </c>
      <c r="L16" s="15">
        <f>IFERROR(L2/K2-1,"")</f>
        <v>0.5496476096469021</v>
      </c>
      <c r="M16" s="15">
        <f>IFERROR(M2/L2-1,"")</f>
        <v>0.4022821653538451</v>
      </c>
      <c r="N16" s="15">
        <f>IFERROR(N2/M2-1,"")</f>
        <v>0.32309999999999994</v>
      </c>
      <c r="O16" s="15">
        <f>IFERROR(O2/N2-1,"")</f>
        <v>0.28997777777777767</v>
      </c>
      <c r="P16" s="15">
        <f>IFERROR(P2/O2-1,"")</f>
        <v>0.2568555555555556</v>
      </c>
      <c r="Q16" s="15">
        <f>IFERROR(Q2/P2-1,"")</f>
        <v>0.22373333333333334</v>
      </c>
      <c r="R16" s="15">
        <f>IFERROR(R2/Q2-1,"")</f>
        <v>0.19061111111111106</v>
      </c>
      <c r="S16" s="15">
        <f>IFERROR(S2/R2-1,"")</f>
        <v>0.157488888888889</v>
      </c>
      <c r="T16" s="15">
        <f>IFERROR(T2/S2-1,"")</f>
        <v>0.12436666666666674</v>
      </c>
      <c r="U16" s="15">
        <f>IFERROR(U2/T2-1,"")</f>
        <v>0.09124444444444446</v>
      </c>
      <c r="V16" s="15">
        <f>IFERROR(V2/U2-1,"")</f>
        <v>0.058122222222222186</v>
      </c>
      <c r="W16" s="15">
        <f>IFERROR(W2/V2-1,"")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0.9791347682549804</v>
      </c>
      <c r="F17" s="15">
        <f>IFERROR(F4/F2,"")</f>
        <v>0.8551861567954797</v>
      </c>
      <c r="G17" s="15">
        <f>IFERROR(G4/G2,"")</f>
        <v>0.8337505721465068</v>
      </c>
      <c r="H17" s="15">
        <f>IFERROR(H4/H2,"")</f>
        <v>0.7712432901442012</v>
      </c>
      <c r="I17" s="15">
        <f>IFERROR(I4/I2,"")</f>
        <v>0.8598075463132597</v>
      </c>
      <c r="J17" s="15">
        <f>IFERROR(J4/J2,"")</f>
        <v>0.7976758590345082</v>
      </c>
      <c r="K17" s="15">
        <f>IFERROR(K4/K2,"")</f>
        <v>1.0</v>
      </c>
      <c r="L17" s="15">
        <f>IFERROR(L4/L2,"")</f>
        <v>1.0</v>
      </c>
      <c r="M17" s="15">
        <f>IFERROR(M4/M2,"")</f>
        <v>1.0</v>
      </c>
      <c r="N17" s="15">
        <f>IFERROR(N4/N2,"")</f>
        <v>0.7977</v>
      </c>
      <c r="O17" s="15">
        <f>IFERROR(O4/O2,"")</f>
        <v>0.7977</v>
      </c>
      <c r="P17" s="15">
        <f>IFERROR(P4/P2,"")</f>
        <v>0.7976999999999999</v>
      </c>
      <c r="Q17" s="15">
        <f>IFERROR(Q4/Q2,"")</f>
        <v>0.7977</v>
      </c>
      <c r="R17" s="15">
        <f>IFERROR(R4/R2,"")</f>
        <v>0.7977</v>
      </c>
      <c r="S17" s="15">
        <f>IFERROR(S4/S2,"")</f>
        <v>0.7977</v>
      </c>
      <c r="T17" s="15">
        <f>IFERROR(T4/T2,"")</f>
        <v>0.7977</v>
      </c>
      <c r="U17" s="15">
        <f>IFERROR(U4/U2,"")</f>
        <v>0.7977</v>
      </c>
      <c r="V17" s="15">
        <f>IFERROR(V4/V2,"")</f>
        <v>0.7977</v>
      </c>
      <c r="W17" s="15">
        <f>IFERROR(W4/W2,"")</f>
        <v>0.7977</v>
      </c>
    </row>
    <row r="18">
      <c r="A18" s="14" t="inlineStr">
        <is>
          <t>Operating Margin</t>
        </is>
      </c>
      <c r="B18" s="15">
        <f>IFERROR(B8/B2,"")</f>
        <v>-1.2088224012274644</v>
      </c>
      <c r="C18" s="15">
        <f>IFERROR(C8/C2,"")</f>
        <v>-6.436592558983666</v>
      </c>
      <c r="D18" s="15">
        <f>IFERROR(D8/D2,"")</f>
        <v>-109.4018691588785</v>
      </c>
      <c r="E18" s="15">
        <f>IFERROR(E8/E2,"")</f>
        <v>-0.41301329351013244</v>
      </c>
      <c r="F18" s="15">
        <f>IFERROR(F8/F2,"")</f>
        <v>-3.5605337503783674</v>
      </c>
      <c r="G18" s="15">
        <f>IFERROR(G8/G2,"")</f>
        <v>-2.241625643372909</v>
      </c>
      <c r="H18" s="15">
        <f>IFERROR(H8/H2,"")</f>
        <v>-5.366855093015274</v>
      </c>
      <c r="I18" s="15">
        <f>IFERROR(I8/I2,"")</f>
        <v>-1.2231197764483548</v>
      </c>
      <c r="J18" s="15">
        <f>IFERROR(J8/J2,"")</f>
        <v>-1.263958229307991</v>
      </c>
      <c r="K18" s="15">
        <f>IFERROR(K8/K2,"")</f>
        <v>-0.4911933931435075</v>
      </c>
      <c r="L18" s="15">
        <f>IFERROR(L8/L2,"")</f>
        <v>-0.14912416301226103</v>
      </c>
      <c r="M18" s="15">
        <f>IFERROR(M8/M2,"")</f>
        <v>0.0836858016785598</v>
      </c>
      <c r="N18" s="15">
        <f>IFERROR(N8/N2,"")</f>
        <v>0.15554</v>
      </c>
      <c r="O18" s="15">
        <f>IFERROR(O8/O2,"")</f>
        <v>0.16048000000000004</v>
      </c>
      <c r="P18" s="15">
        <f>IFERROR(P8/P2,"")</f>
        <v>0.16542000000000004</v>
      </c>
      <c r="Q18" s="15">
        <f>IFERROR(Q8/Q2,"")</f>
        <v>0.17036</v>
      </c>
      <c r="R18" s="15">
        <f>IFERROR(R8/R2,"")</f>
        <v>0.17530000000000004</v>
      </c>
      <c r="S18" s="15">
        <f>IFERROR(S8/S2,"")</f>
        <v>0.18024</v>
      </c>
      <c r="T18" s="15">
        <f>IFERROR(T8/T2,"")</f>
        <v>0.18518</v>
      </c>
      <c r="U18" s="15">
        <f>IFERROR(U8/U2,"")</f>
        <v>0.19012</v>
      </c>
      <c r="V18" s="15">
        <f>IFERROR(V8/V2,"")</f>
        <v>0.19506</v>
      </c>
      <c r="W18" s="15">
        <f>IFERROR(W8/W2,"")</f>
        <v>0.20000000000000004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E</t>
        </is>
      </c>
      <c r="O19" s="19" t="inlineStr">
        <is>
          <t>E</t>
        </is>
      </c>
      <c r="P19" s="19" t="inlineStr">
        <is>
          <t>E</t>
        </is>
      </c>
      <c r="Q19" s="19" t="inlineStr">
        <is>
          <t>E</t>
        </is>
      </c>
      <c r="R19" s="19" t="inlineStr">
        <is>
          <t>E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BeOne Medicines AG: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0.095</v>
      </c>
      <c r="C10" s="53" t="n">
        <v>0.08500000000000001</v>
      </c>
      <c r="D10" s="53" t="n">
        <v>0.075</v>
      </c>
      <c r="E10" s="54">
        <f>IF(ISNUMBER($B$6),$B$6,CHOOSE($B$4,B10,C10,D10))</f>
        <v>0.085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0.2731</v>
      </c>
      <c r="C12" s="53" t="n">
        <v>0.3231</v>
      </c>
      <c r="D12" s="53" t="n">
        <v>0.3731</v>
      </c>
      <c r="E12" s="54">
        <f>CHOOSE($B$4,B12,C12,D12)</f>
        <v>0.3231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0.1506</v>
      </c>
    </row>
    <row r="19">
      <c r="A19" s="14" t="inlineStr">
        <is>
          <t>Gross margin (forecast)</t>
        </is>
      </c>
      <c r="B19" s="53" t="n">
        <v>0.7977</v>
      </c>
    </row>
    <row r="20">
      <c r="A20" s="14" t="inlineStr">
        <is>
          <t>R&amp;D share of operating expense (forecast)</t>
        </is>
      </c>
      <c r="B20" s="53" t="n">
        <v>0.4383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Model'!M2</f>
        <v>5343.033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45310.680160707365</v>
      </c>
      <c r="C29" s="56">
        <f>NPV!B26</f>
        <v>49264.48016070736</v>
      </c>
      <c r="D29" s="35">
        <f>NPV!B28</f>
        <v>433.277632060473</v>
      </c>
      <c r="E29" s="57">
        <f>NPV!B30</f>
        <v>0.12685990132762814</v>
      </c>
    </row>
    <row r="30">
      <c r="A30" s="58" t="n">
        <v>1</v>
      </c>
      <c r="B30" s="59">
        <f t="dataTable" ref="B30:E32" r1="B4"/>
        <v>22523.956263798973</v>
      </c>
      <c r="C30" s="59">
        <v>26477.756263798976</v>
      </c>
      <c r="D30" s="39">
        <v>232.87000083689617</v>
      </c>
      <c r="E30" s="60">
        <v>-0.39435630471548466</v>
      </c>
    </row>
    <row r="31">
      <c r="A31" s="58" t="n">
        <v>2</v>
      </c>
      <c r="B31" s="59">
        <v>45310.680160707365</v>
      </c>
      <c r="C31" s="59">
        <v>49264.48016070736</v>
      </c>
      <c r="D31" s="39">
        <v>433.277632060473</v>
      </c>
      <c r="E31" s="60">
        <v>0.12685990132762814</v>
      </c>
    </row>
    <row r="32">
      <c r="A32" s="58" t="n">
        <v>3</v>
      </c>
      <c r="B32" s="59">
        <v>93455.80569076695</v>
      </c>
      <c r="C32" s="59">
        <v>97409.60569076696</v>
      </c>
      <c r="D32" s="39">
        <v>856.7106190090748</v>
      </c>
      <c r="E32" s="60">
        <v>1.2281160442368653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433.277632060473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0.065</v>
      </c>
      <c r="B37" s="39">
        <f t="dataTable" ref="B37:F41" dt2D="1" r1="B7" r2="B6"/>
        <v>551.6367920812719</v>
      </c>
      <c r="C37" s="39">
        <v>604.7472098960003</v>
      </c>
      <c r="D37" s="39">
        <v>671.1090740415509</v>
      </c>
      <c r="E37" s="39">
        <v>756.4013397869002</v>
      </c>
      <c r="F37" s="39">
        <v>870.0889312536688</v>
      </c>
    </row>
    <row r="38">
      <c r="A38" s="62" t="n">
        <v>0.075</v>
      </c>
      <c r="B38" s="39">
        <v>452.04206652673895</v>
      </c>
      <c r="C38" s="39">
        <v>486.5125175591836</v>
      </c>
      <c r="D38" s="39">
        <v>527.8568666927665</v>
      </c>
      <c r="E38" s="39">
        <v>578.3662358935404</v>
      </c>
      <c r="F38" s="39">
        <v>641.4773071526455</v>
      </c>
    </row>
    <row r="39">
      <c r="A39" s="62" t="n">
        <v>0.08500000000000001</v>
      </c>
      <c r="B39" s="39">
        <v>381.6928601226838</v>
      </c>
      <c r="C39" s="39">
        <v>405.5086988081514</v>
      </c>
      <c r="D39" s="39">
        <v>433.277632060473</v>
      </c>
      <c r="E39" s="39">
        <v>466.077636611431</v>
      </c>
      <c r="F39" s="39">
        <v>505.4178791492755</v>
      </c>
    </row>
    <row r="40">
      <c r="A40" s="62" t="n">
        <v>0.095</v>
      </c>
      <c r="B40" s="39">
        <v>329.5619994232111</v>
      </c>
      <c r="C40" s="39">
        <v>346.7789739327176</v>
      </c>
      <c r="D40" s="39">
        <v>366.4421455824872</v>
      </c>
      <c r="E40" s="39">
        <v>389.1159074090571</v>
      </c>
      <c r="F40" s="39">
        <v>415.55278287279407</v>
      </c>
    </row>
    <row r="41">
      <c r="A41" s="62" t="n">
        <v>0.105</v>
      </c>
      <c r="B41" s="39">
        <v>289.52877118968803</v>
      </c>
      <c r="C41" s="39">
        <v>302.41091548345474</v>
      </c>
      <c r="D41" s="39">
        <v>316.89208352564015</v>
      </c>
      <c r="E41" s="39">
        <v>333.29198512766317</v>
      </c>
      <c r="F41" s="39">
        <v>352.0216752785326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BeOne Medicines AG: free-cash-flow DCF ($mm)</t>
        </is>
      </c>
    </row>
    <row r="3">
      <c r="A3" s="20" t="inlineStr">
        <is>
          <t>Fiscal year</t>
        </is>
      </c>
      <c r="B3" s="43">
        <f>'Yearly Model'!M1</f>
        <v>2025</v>
      </c>
      <c r="C3" s="43">
        <f>'Yearly Model'!N1</f>
        <v>2026</v>
      </c>
      <c r="D3" s="43">
        <f>'Yearly Model'!O1</f>
        <v>2027</v>
      </c>
      <c r="E3" s="43">
        <f>'Yearly Model'!P1</f>
        <v>2028</v>
      </c>
      <c r="F3" s="43">
        <f>'Yearly Model'!Q1</f>
        <v>2029</v>
      </c>
      <c r="G3" s="43">
        <f>'Yearly Model'!R1</f>
        <v>2030</v>
      </c>
      <c r="H3" s="43">
        <f>'Yearly Model'!S1</f>
        <v>2031</v>
      </c>
      <c r="I3" s="43">
        <f>'Yearly Model'!T1</f>
        <v>2032</v>
      </c>
      <c r="J3" s="43">
        <f>'Yearly Model'!U1</f>
        <v>2033</v>
      </c>
      <c r="K3" s="43">
        <f>'Yearly Model'!V1</f>
        <v>2034</v>
      </c>
      <c r="L3" s="43">
        <f>'Yearly Model'!W1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0.3231</v>
      </c>
      <c r="D5" s="63">
        <f>Assumptions!$E$12+(Assumptions!$E$11-Assumptions!$E$12)*(D4-1)/(Assumptions!$B$21-1)</f>
        <v>0.2899777777777778</v>
      </c>
      <c r="E5" s="63">
        <f>Assumptions!$E$12+(Assumptions!$E$11-Assumptions!$E$12)*(E4-1)/(Assumptions!$B$21-1)</f>
        <v>0.25685555555555556</v>
      </c>
      <c r="F5" s="63">
        <f>Assumptions!$E$12+(Assumptions!$E$11-Assumptions!$E$12)*(F4-1)/(Assumptions!$B$21-1)</f>
        <v>0.22373333333333334</v>
      </c>
      <c r="G5" s="63">
        <f>Assumptions!$E$12+(Assumptions!$E$11-Assumptions!$E$12)*(G4-1)/(Assumptions!$B$21-1)</f>
        <v>0.19061111111111112</v>
      </c>
      <c r="H5" s="63">
        <f>Assumptions!$E$12+(Assumptions!$E$11-Assumptions!$E$12)*(H4-1)/(Assumptions!$B$21-1)</f>
        <v>0.1574888888888889</v>
      </c>
      <c r="I5" s="63">
        <f>Assumptions!$E$12+(Assumptions!$E$11-Assumptions!$E$12)*(I4-1)/(Assumptions!$B$21-1)</f>
        <v>0.12436666666666668</v>
      </c>
      <c r="J5" s="63">
        <f>Assumptions!$E$12+(Assumptions!$E$11-Assumptions!$E$12)*(J4-1)/(Assumptions!$B$21-1)</f>
        <v>0.09124444444444443</v>
      </c>
      <c r="K5" s="63">
        <f>Assumptions!$E$12+(Assumptions!$E$11-Assumptions!$E$12)*(K4-1)/(Assumptions!$B$21-1)</f>
        <v>0.05812222222222224</v>
      </c>
      <c r="L5" s="63">
        <f>Assumptions!$E$12+(Assumptions!$E$11-Assumptions!$E$12)*(L4-1)/(Assumptions!$B$21-1)</f>
        <v>0.025000000000000022</v>
      </c>
    </row>
    <row r="6">
      <c r="A6" s="14" t="inlineStr">
        <is>
          <t>Operating margin</t>
        </is>
      </c>
      <c r="B6" s="63">
        <f>IFERROR(B8/B7,0)</f>
        <v>0.0836858016785598</v>
      </c>
      <c r="C6" s="63">
        <f>Assumptions!$B$18+(Assumptions!$E$13-Assumptions!$B$18)*C4/Assumptions!$B$21</f>
        <v>0.15554</v>
      </c>
      <c r="D6" s="63">
        <f>Assumptions!$B$18+(Assumptions!$E$13-Assumptions!$B$18)*D4/Assumptions!$B$21</f>
        <v>0.16048</v>
      </c>
      <c r="E6" s="63">
        <f>Assumptions!$B$18+(Assumptions!$E$13-Assumptions!$B$18)*E4/Assumptions!$B$21</f>
        <v>0.16542</v>
      </c>
      <c r="F6" s="63">
        <f>Assumptions!$B$18+(Assumptions!$E$13-Assumptions!$B$18)*F4/Assumptions!$B$21</f>
        <v>0.17036</v>
      </c>
      <c r="G6" s="63">
        <f>Assumptions!$B$18+(Assumptions!$E$13-Assumptions!$B$18)*G4/Assumptions!$B$21</f>
        <v>0.1753</v>
      </c>
      <c r="H6" s="63">
        <f>Assumptions!$B$18+(Assumptions!$E$13-Assumptions!$B$18)*H4/Assumptions!$B$21</f>
        <v>0.18024</v>
      </c>
      <c r="I6" s="63">
        <f>Assumptions!$B$18+(Assumptions!$E$13-Assumptions!$B$18)*I4/Assumptions!$B$21</f>
        <v>0.18518</v>
      </c>
      <c r="J6" s="63">
        <f>Assumptions!$B$18+(Assumptions!$E$13-Assumptions!$B$18)*J4/Assumptions!$B$21</f>
        <v>0.19012</v>
      </c>
      <c r="K6" s="63">
        <f>Assumptions!$B$18+(Assumptions!$E$13-Assumptions!$B$18)*K4/Assumptions!$B$21</f>
        <v>0.19506</v>
      </c>
      <c r="L6" s="63">
        <f>Assumptions!$B$18+(Assumptions!$E$13-Assumptions!$B$18)*L4/Assumptions!$B$21</f>
        <v>0.2</v>
      </c>
    </row>
    <row r="7">
      <c r="A7" s="14" t="inlineStr">
        <is>
          <t>Revenue</t>
        </is>
      </c>
      <c r="B7" s="55">
        <f>'Yearly Model'!M2</f>
        <v>5343.033</v>
      </c>
      <c r="C7" s="55">
        <f>'Yearly Model'!N2</f>
        <v>7069.3669623000005</v>
      </c>
      <c r="D7" s="55">
        <f>'Yearly Model'!O2</f>
        <v>9119.326284323393</v>
      </c>
      <c r="E7" s="55">
        <f>'Yearly Model'!P2</f>
        <v>11461.675903375659</v>
      </c>
      <c r="F7" s="55">
        <f>'Yearly Model'!Q2</f>
        <v>14026.03485882424</v>
      </c>
      <c r="G7" s="55">
        <f>'Yearly Model'!R2</f>
        <v>16699.552947747903</v>
      </c>
      <c r="H7" s="55">
        <f>'Yearly Model'!S2</f>
        <v>19329.54698642989</v>
      </c>
      <c r="I7" s="55">
        <f>'Yearly Model'!T2</f>
        <v>21733.49831330889</v>
      </c>
      <c r="J7" s="55">
        <f>'Yearly Model'!U2</f>
        <v>23716.55929274103</v>
      </c>
      <c r="K7" s="55">
        <f>'Yearly Model'!V2</f>
        <v>25095.018422300232</v>
      </c>
      <c r="L7" s="55">
        <f>'Yearly Model'!W2</f>
        <v>25722.393882857737</v>
      </c>
    </row>
    <row r="8">
      <c r="A8" s="14" t="inlineStr">
        <is>
          <t>Operating income</t>
        </is>
      </c>
      <c r="B8" s="55">
        <f>'Yearly Model'!M8</f>
        <v>447.1360000000004</v>
      </c>
      <c r="C8" s="55">
        <f>'Yearly Model'!N8</f>
        <v>1099.569337316142</v>
      </c>
      <c r="D8" s="55">
        <f>'Yearly Model'!O8</f>
        <v>1463.4694821082185</v>
      </c>
      <c r="E8" s="55">
        <f>'Yearly Model'!P8</f>
        <v>1895.9904279364018</v>
      </c>
      <c r="F8" s="55">
        <f>'Yearly Model'!Q8</f>
        <v>2389.475298549298</v>
      </c>
      <c r="G8" s="55">
        <f>'Yearly Model'!R8</f>
        <v>2927.431631740208</v>
      </c>
      <c r="H8" s="55">
        <f>'Yearly Model'!S8</f>
        <v>3483.9575488341234</v>
      </c>
      <c r="I8" s="55">
        <f>'Yearly Model'!T8</f>
        <v>4024.6092176585407</v>
      </c>
      <c r="J8" s="55">
        <f>'Yearly Model'!U8</f>
        <v>4508.992252735925</v>
      </c>
      <c r="K8" s="55">
        <f>'Yearly Model'!V8</f>
        <v>4895.034293453884</v>
      </c>
      <c r="L8" s="55">
        <f>'Yearly Model'!W8</f>
        <v>5144.478776571548</v>
      </c>
    </row>
    <row r="9">
      <c r="A9" s="14" t="inlineStr">
        <is>
          <t>Tax on operating income</t>
        </is>
      </c>
      <c r="C9" s="52">
        <f>MAX(0,C8)*Assumptions!$E$14</f>
        <v>186.92678734374417</v>
      </c>
      <c r="D9" s="52">
        <f>MAX(0,D8)*Assumptions!$E$14</f>
        <v>248.78981195839717</v>
      </c>
      <c r="E9" s="52">
        <f>MAX(0,E8)*Assumptions!$E$14</f>
        <v>322.3183727491883</v>
      </c>
      <c r="F9" s="52">
        <f>MAX(0,F8)*Assumptions!$E$14</f>
        <v>406.2108007533807</v>
      </c>
      <c r="G9" s="52">
        <f>MAX(0,G8)*Assumptions!$E$14</f>
        <v>497.6633773958354</v>
      </c>
      <c r="H9" s="52">
        <f>MAX(0,H8)*Assumptions!$E$14</f>
        <v>592.272783301801</v>
      </c>
      <c r="I9" s="52">
        <f>MAX(0,I8)*Assumptions!$E$14</f>
        <v>684.1835670019519</v>
      </c>
      <c r="J9" s="52">
        <f>MAX(0,J8)*Assumptions!$E$14</f>
        <v>766.5286829651072</v>
      </c>
      <c r="K9" s="52">
        <f>MAX(0,K8)*Assumptions!$E$14</f>
        <v>832.1558298871603</v>
      </c>
      <c r="L9" s="52">
        <f>MAX(0,L8)*Assumptions!$E$14</f>
        <v>874.5613920171633</v>
      </c>
    </row>
    <row r="10">
      <c r="A10" s="14" t="inlineStr">
        <is>
          <t>NOPAT</t>
        </is>
      </c>
      <c r="C10" s="52">
        <f>C8-C9</f>
        <v>912.6425499723979</v>
      </c>
      <c r="D10" s="52">
        <f>D8-D9</f>
        <v>1214.6796701498213</v>
      </c>
      <c r="E10" s="52">
        <f>E8-E9</f>
        <v>1573.6720551872136</v>
      </c>
      <c r="F10" s="52">
        <f>F8-F9</f>
        <v>1983.2644977959171</v>
      </c>
      <c r="G10" s="52">
        <f>G8-G9</f>
        <v>2429.7682543443725</v>
      </c>
      <c r="H10" s="52">
        <f>H8-H9</f>
        <v>2891.684765532322</v>
      </c>
      <c r="I10" s="52">
        <f>I8-I9</f>
        <v>3340.425650656589</v>
      </c>
      <c r="J10" s="52">
        <f>J8-J9</f>
        <v>3742.4635697708177</v>
      </c>
      <c r="K10" s="52">
        <f>K8-K9</f>
        <v>4062.8784635667234</v>
      </c>
      <c r="L10" s="52">
        <f>L8-L9</f>
        <v>4269.917384554385</v>
      </c>
    </row>
    <row r="11">
      <c r="A11" s="14" t="inlineStr">
        <is>
          <t>Reinvestment</t>
        </is>
      </c>
      <c r="C11" s="52">
        <f>(C7-B7)*Assumptions!$E$15</f>
        <v>431.58349057500004</v>
      </c>
      <c r="D11" s="52">
        <f>(D7-C7)*Assumptions!$E$15</f>
        <v>512.4898305058482</v>
      </c>
      <c r="E11" s="52">
        <f>(E7-D7)*Assumptions!$E$15</f>
        <v>585.5874047630664</v>
      </c>
      <c r="F11" s="52">
        <f>(F7-E7)*Assumptions!$E$15</f>
        <v>641.0897388621452</v>
      </c>
      <c r="G11" s="52">
        <f>(G7-F7)*Assumptions!$E$15</f>
        <v>668.3795222309159</v>
      </c>
      <c r="H11" s="52">
        <f>(H7-G7)*Assumptions!$E$15</f>
        <v>657.4985096704968</v>
      </c>
      <c r="I11" s="52">
        <f>(I7-H7)*Assumptions!$E$15</f>
        <v>600.9878317197499</v>
      </c>
      <c r="J11" s="52">
        <f>(J7-I7)*Assumptions!$E$15</f>
        <v>495.76524485803475</v>
      </c>
      <c r="K11" s="52">
        <f>(K7-J7)*Assumptions!$E$15</f>
        <v>344.6147823898009</v>
      </c>
      <c r="L11" s="52">
        <f>(L7-K7)*Assumptions!$E$15</f>
        <v>156.84386513937625</v>
      </c>
    </row>
    <row r="12">
      <c r="A12" s="20" t="inlineStr">
        <is>
          <t>Free cash flow</t>
        </is>
      </c>
      <c r="C12" s="64">
        <f>C10-C11</f>
        <v>481.05905939739785</v>
      </c>
      <c r="D12" s="64">
        <f>D10-D11</f>
        <v>702.1898396439731</v>
      </c>
      <c r="E12" s="64">
        <f>E10-E11</f>
        <v>988.0846504241472</v>
      </c>
      <c r="F12" s="64">
        <f>F10-F11</f>
        <v>1342.174758933772</v>
      </c>
      <c r="G12" s="64">
        <f>G10-G11</f>
        <v>1761.3887321134566</v>
      </c>
      <c r="H12" s="64">
        <f>H10-H11</f>
        <v>2234.1862558618254</v>
      </c>
      <c r="I12" s="64">
        <f>I10-I11</f>
        <v>2739.437818936839</v>
      </c>
      <c r="J12" s="64">
        <f>J10-J11</f>
        <v>3246.698324912783</v>
      </c>
      <c r="K12" s="64">
        <f>K10-K11</f>
        <v>3718.2636811769225</v>
      </c>
      <c r="L12" s="64">
        <f>L10-L11</f>
        <v>4113.073519415008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0.9796477254942977</v>
      </c>
      <c r="D15" s="65">
        <f>1/(1+Assumptions!$E$10)^D14</f>
        <v>0.9213507631196715</v>
      </c>
      <c r="E15" s="65">
        <f>1/(1+Assumptions!$E$10)^E14</f>
        <v>0.849171210248545</v>
      </c>
      <c r="F15" s="65">
        <f>1/(1+Assumptions!$E$10)^F14</f>
        <v>0.7826462767267697</v>
      </c>
      <c r="G15" s="65">
        <f>1/(1+Assumptions!$E$10)^G14</f>
        <v>0.7213329739417232</v>
      </c>
      <c r="H15" s="65">
        <f>1/(1+Assumptions!$E$10)^H14</f>
        <v>0.6648230174578095</v>
      </c>
      <c r="I15" s="65">
        <f>1/(1+Assumptions!$E$10)^I14</f>
        <v>0.6127401082560456</v>
      </c>
      <c r="J15" s="65">
        <f>1/(1+Assumptions!$E$10)^J14</f>
        <v>0.5647374269640973</v>
      </c>
      <c r="K15" s="65">
        <f>1/(1+Assumptions!$E$10)^K14</f>
        <v>0.5204953243908731</v>
      </c>
      <c r="L15" s="65">
        <f>1/(1+Assumptions!$E$10)^L14</f>
        <v>0.47971919298697985</v>
      </c>
    </row>
    <row r="16">
      <c r="A16" s="20" t="inlineStr">
        <is>
          <t>PV of free cash flow</t>
        </is>
      </c>
      <c r="C16" s="64">
        <f>C12*C13*C15</f>
        <v>237.56640717834856</v>
      </c>
      <c r="D16" s="64">
        <f>D12*D13*D15</f>
        <v>646.9631446108543</v>
      </c>
      <c r="E16" s="64">
        <f>E12*E13*E15</f>
        <v>839.0530384286836</v>
      </c>
      <c r="F16" s="64">
        <f>F12*F13*F15</f>
        <v>1050.4480777961662</v>
      </c>
      <c r="G16" s="64">
        <f>G12*G13*G15</f>
        <v>1270.547772402841</v>
      </c>
      <c r="H16" s="64">
        <f>H12*H13*H15</f>
        <v>1485.3384481848243</v>
      </c>
      <c r="I16" s="64">
        <f>I12*I13*I15</f>
        <v>1678.5634257360643</v>
      </c>
      <c r="J16" s="64">
        <f>J12*J13*J15</f>
        <v>1833.5320581398898</v>
      </c>
      <c r="K16" s="64">
        <f>K12*K13*K15</f>
        <v>1935.3388609049841</v>
      </c>
      <c r="L16" s="64">
        <f>L12*L13*L15</f>
        <v>1973.1203094298849</v>
      </c>
    </row>
    <row r="19">
      <c r="A19" s="14" t="inlineStr">
        <is>
          <t>PV of forecast free cash flow</t>
        </is>
      </c>
      <c r="B19" s="52">
        <f>SUM(C16:L16)</f>
        <v>12950.471542812542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4215.900357400383</v>
      </c>
    </row>
    <row r="21">
      <c r="A21" s="14" t="inlineStr">
        <is>
          <t>Terminal value</t>
        </is>
      </c>
      <c r="B21" s="52">
        <f>B20/(Assumptions!$E$10-Assumptions!$E$11)</f>
        <v>70265.00595667303</v>
      </c>
    </row>
    <row r="22">
      <c r="A22" s="14" t="inlineStr">
        <is>
          <t>PV of terminal value</t>
        </is>
      </c>
      <c r="B22" s="52">
        <f>B21/(1+Assumptions!$E$10)^(L14+0.5)</f>
        <v>32360.208617894823</v>
      </c>
    </row>
    <row r="23">
      <c r="A23" s="20" t="inlineStr">
        <is>
          <t>Enterprise value</t>
        </is>
      </c>
      <c r="B23" s="66">
        <f>B19+B22</f>
        <v>45310.680160707365</v>
      </c>
    </row>
    <row r="24">
      <c r="A24" s="14" t="inlineStr">
        <is>
          <t>Cash &amp; investments</t>
        </is>
      </c>
      <c r="B24" s="55">
        <f>Main!C7</f>
        <v>5098.041</v>
      </c>
    </row>
    <row r="25">
      <c r="A25" s="14" t="inlineStr">
        <is>
          <t>Debt</t>
        </is>
      </c>
      <c r="B25" s="55">
        <f>Main!C8</f>
        <v>1144.241</v>
      </c>
    </row>
    <row r="26">
      <c r="A26" s="20" t="inlineStr">
        <is>
          <t>Equity value</t>
        </is>
      </c>
      <c r="B26" s="66">
        <f>B23+B24-B25</f>
        <v>49264.48016070736</v>
      </c>
    </row>
    <row r="27">
      <c r="A27" s="14" t="inlineStr">
        <is>
          <t>Shares (mm)</t>
        </is>
      </c>
      <c r="B27" s="55">
        <f>Main!C4</f>
        <v>113.70187730769231</v>
      </c>
    </row>
    <row r="28">
      <c r="A28" s="20" t="inlineStr">
        <is>
          <t>NPV / share</t>
        </is>
      </c>
      <c r="B28" s="49">
        <f>B26/B27</f>
        <v>433.277632060473</v>
      </c>
    </row>
    <row r="29">
      <c r="A29" s="14" t="inlineStr">
        <is>
          <t>Price</t>
        </is>
      </c>
      <c r="B29" s="50">
        <f>Main!C3</f>
        <v>384.5</v>
      </c>
    </row>
    <row r="30">
      <c r="A30" s="14" t="inlineStr">
        <is>
          <t>Upside</t>
        </is>
      </c>
      <c r="B30" s="63">
        <f>B28/B29-1</f>
        <v>0.12685990132762814</v>
      </c>
    </row>
    <row r="31">
      <c r="A31" s="14" t="inlineStr">
        <is>
          <t>Terminal value, % of EV</t>
        </is>
      </c>
      <c r="B31" s="63">
        <f>IFERROR(B22/B23,0)</f>
        <v>0.714185011196478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2026-10-21T06:21:09Z</dcterms:modified>
  <cp:lastModifiedBy>Wang, Eric</cp:lastModifiedBy>
</cp:coreProperties>
</file>