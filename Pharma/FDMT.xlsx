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4D Molecular Therapeutics Inc</t>
        </is>
      </c>
      <c r="C2" s="10" t="n"/>
    </row>
    <row r="3">
      <c r="B3" t="inlineStr">
        <is>
          <t>Price</t>
        </is>
      </c>
      <c r="C3" s="11">
        <f>INDEX([1]Pharma!$F$1:$F$1000,MATCH("FDMT",[1]Pharma!$B$1:$B$1000,0))</f>
        <v>13.1</v>
      </c>
      <c r="F3" s="1" t="n"/>
    </row>
    <row r="4">
      <c r="B4" t="inlineStr">
        <is>
          <t>Shares</t>
        </is>
      </c>
      <c r="C4" s="21" t="n">
        <v>55.214097</v>
      </c>
      <c r="F4" s="1" t="n"/>
    </row>
    <row r="5">
      <c r="B5" t="inlineStr">
        <is>
          <t>Market Cap.</t>
        </is>
      </c>
      <c r="C5" s="13">
        <f>C3*C4</f>
        <v>723.3046707</v>
      </c>
      <c r="F5" s="1" t="n"/>
    </row>
    <row r="6"/>
    <row r="7">
      <c r="B7" t="inlineStr">
        <is>
          <t>Cash</t>
        </is>
      </c>
      <c r="C7" s="21">
        <f>70.372+290.962</f>
        <v>361.334</v>
      </c>
    </row>
    <row r="8">
      <c r="B8" t="inlineStr">
        <is>
          <t>Debt</t>
        </is>
      </c>
      <c r="C8" s="21" t="n">
        <v>19.587</v>
      </c>
    </row>
    <row r="9">
      <c r="B9" t="inlineStr">
        <is>
          <t>Enterprise V.</t>
        </is>
      </c>
      <c r="C9" s="13">
        <f>C5-C7+C8</f>
        <v>381.55767069999996</v>
      </c>
    </row>
    <row r="10"/>
    <row r="11">
      <c r="B11" s="14" t="inlineStr">
        <is>
          <t>Net Cash / Share</t>
        </is>
      </c>
      <c r="C11" s="11">
        <f>(C7-C8)/C4</f>
        <v>6.189488166400693</v>
      </c>
    </row>
    <row r="12">
      <c r="B12" s="14" t="inlineStr">
        <is>
          <t>Upside</t>
        </is>
      </c>
      <c r="C12" s="15">
        <f>IFERROR(C11/C3-1,"")</f>
        <v>-0.527519987297657</v>
      </c>
    </row>
    <row r="13">
      <c r="B13" s="14" t="inlineStr">
        <is>
          <t>Cash / Share</t>
        </is>
      </c>
      <c r="C13" s="11">
        <f>IFERROR((C7-C8)/C4,"")</f>
        <v>6.189488166400693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-156.071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2.1896893080713267</v>
      </c>
    </row>
    <row r="19">
      <c r="B19" s="14" t="inlineStr">
        <is>
          <t>Implied Pipeline Value</t>
        </is>
      </c>
      <c r="C19" s="13">
        <f>C9</f>
        <v>381.55767069999996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6.986</v>
      </c>
      <c r="C2" s="23" t="n">
        <v>13.612</v>
      </c>
      <c r="D2" s="23" t="n">
        <v>18.038</v>
      </c>
      <c r="E2" s="23" t="n">
        <v>3.129</v>
      </c>
      <c r="F2" s="23" t="n">
        <v>20.723</v>
      </c>
      <c r="G2" s="23" t="n">
        <v>0.037</v>
      </c>
      <c r="H2" s="23" t="n">
        <v>85.209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6.986</v>
      </c>
      <c r="C4" s="23">
        <f>C2-C3</f>
        <v>13.612</v>
      </c>
      <c r="D4" s="23">
        <f>D2-D3</f>
        <v>18.038</v>
      </c>
      <c r="E4" s="23">
        <f>E2-E3</f>
        <v>3.129</v>
      </c>
      <c r="F4" s="23">
        <f>F2-F3</f>
        <v>20.723</v>
      </c>
      <c r="G4" s="23">
        <f>G2-G3</f>
        <v>0.037</v>
      </c>
      <c r="H4" s="23">
        <f>H2-H3</f>
        <v>85.209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38.718</v>
      </c>
      <c r="C5" s="23" t="n">
        <v>53.038</v>
      </c>
      <c r="D5" s="23" t="n">
        <v>61.36</v>
      </c>
      <c r="E5" s="23" t="n">
        <v>80.253</v>
      </c>
      <c r="F5" s="23" t="n">
        <v>97.096</v>
      </c>
      <c r="G5" s="23" t="n">
        <v>141.299</v>
      </c>
      <c r="H5" s="23" t="n">
        <v>195.696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19.032</v>
      </c>
      <c r="C6" s="23" t="n">
        <v>17.238</v>
      </c>
      <c r="D6" s="23" t="n">
        <v>28.011</v>
      </c>
      <c r="E6" s="23" t="n">
        <v>32.908</v>
      </c>
      <c r="F6" s="23" t="n">
        <v>36.494</v>
      </c>
      <c r="G6" s="23" t="n">
        <v>46.579</v>
      </c>
      <c r="H6" s="23" t="n">
        <v>49.06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57.75</v>
      </c>
      <c r="C7" s="23">
        <f>SUM(C5:C6)</f>
        <v>70.276</v>
      </c>
      <c r="D7" s="23">
        <f>SUM(D5:D6)</f>
        <v>89.371</v>
      </c>
      <c r="E7" s="23">
        <f>SUM(E5:E6)</f>
        <v>113.161</v>
      </c>
      <c r="F7" s="23">
        <f>SUM(F5:F6)</f>
        <v>133.59</v>
      </c>
      <c r="G7" s="23">
        <f>SUM(G5:G6)</f>
        <v>187.87800000000001</v>
      </c>
      <c r="H7" s="23">
        <f>SUM(H5:H6)</f>
        <v>244.756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-50.764</v>
      </c>
      <c r="C8" s="23">
        <f>C4-C7</f>
        <v>-56.663999999999994</v>
      </c>
      <c r="D8" s="23">
        <f>D4-D7</f>
        <v>-71.333</v>
      </c>
      <c r="E8" s="23">
        <f>E4-E7</f>
        <v>-110.032</v>
      </c>
      <c r="F8" s="23">
        <f>F4-F7</f>
        <v>-112.867</v>
      </c>
      <c r="G8" s="23">
        <f>G4-G7</f>
        <v>-187.841</v>
      </c>
      <c r="H8" s="23">
        <f>H4-H7</f>
        <v>-159.547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1.458</v>
      </c>
      <c r="C9" s="23" t="n">
        <v>-0.029</v>
      </c>
      <c r="D9" s="23" t="n">
        <v>0.016</v>
      </c>
      <c r="E9" s="23" t="n">
        <v>2.538</v>
      </c>
      <c r="F9" s="23" t="n">
        <v>12.03</v>
      </c>
      <c r="G9" s="23" t="n">
        <v>26.973</v>
      </c>
      <c r="H9" s="23" t="n">
        <v>19.438</v>
      </c>
    </row>
    <row r="10">
      <c r="A10" s="2" t="inlineStr">
        <is>
          <t>Pretax</t>
        </is>
      </c>
      <c r="B10" s="23">
        <f>B8+B9</f>
        <v>-49.306000000000004</v>
      </c>
      <c r="C10" s="23">
        <f>C8+C9</f>
        <v>-56.693</v>
      </c>
      <c r="D10" s="23">
        <f>D8+D9</f>
        <v>-71.317</v>
      </c>
      <c r="E10" s="23">
        <f>E8+E9</f>
        <v>-107.494</v>
      </c>
      <c r="F10" s="23">
        <f>F8+F9</f>
        <v>-100.837</v>
      </c>
      <c r="G10" s="23">
        <f>G8+G9</f>
        <v>-160.868</v>
      </c>
      <c r="H10" s="23">
        <f>H8+H9</f>
        <v>-140.109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-49.306</v>
      </c>
      <c r="C12" s="23" t="n">
        <v>-56.693</v>
      </c>
      <c r="D12" s="23" t="n">
        <v>-71.31699999999999</v>
      </c>
      <c r="E12" s="23" t="n">
        <v>-107.494</v>
      </c>
      <c r="F12" s="23" t="n">
        <v>-100.837</v>
      </c>
      <c r="G12" s="23" t="n">
        <v>-160.868</v>
      </c>
      <c r="H12" s="23" t="n">
        <v>-140.109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-9.587011471903558</v>
      </c>
      <c r="C13" s="11">
        <f>IFERROR(C12/C14,0)</f>
        <v>-8.815580780593997</v>
      </c>
      <c r="D13" s="11">
        <f>IFERROR(D12/D14,0)</f>
        <v>-2.571835557158312</v>
      </c>
      <c r="E13" s="11">
        <f>IFERROR(E12/E14,0)</f>
        <v>-3.3227411826527775</v>
      </c>
      <c r="F13" s="11">
        <f>IFERROR(F12/F14,0)</f>
        <v>-2.5769741886020956</v>
      </c>
      <c r="G13" s="11">
        <f>IFERROR(G12/G14,0)</f>
        <v>-2.982129615897968</v>
      </c>
      <c r="H13" s="11">
        <f>IFERROR(H12/H14,0)</f>
        <v>-2.4185914034179183</v>
      </c>
    </row>
    <row r="14">
      <c r="A14" s="2" t="inlineStr">
        <is>
          <t>Shares</t>
        </is>
      </c>
      <c r="B14" s="23" t="n">
        <v>5.143</v>
      </c>
      <c r="C14" s="23" t="n">
        <v>6.431</v>
      </c>
      <c r="D14" s="23" t="n">
        <v>27.73</v>
      </c>
      <c r="E14" s="23" t="n">
        <v>32.351</v>
      </c>
      <c r="F14" s="23" t="n">
        <v>39.13</v>
      </c>
      <c r="G14" s="23" t="n">
        <v>53.944</v>
      </c>
      <c r="H14" s="23" t="n">
        <v>57.93</v>
      </c>
    </row>
    <row r="15"/>
    <row r="16" customFormat="1" s="4">
      <c r="A16" s="3" t="inlineStr">
        <is>
          <t>Revenue Change</t>
        </is>
      </c>
      <c r="C16" s="15">
        <f>IFERROR(C2/B2-1,"")</f>
        <v>0.9484683653020327</v>
      </c>
      <c r="D16" s="15">
        <f>IFERROR(D2/C2-1,"")</f>
        <v>0.3251542756391419</v>
      </c>
      <c r="E16" s="15">
        <f>IFERROR(E2/D2-1,"")</f>
        <v>-0.8265328750415789</v>
      </c>
      <c r="F16" s="15">
        <f>IFERROR(F2/E2-1,"")</f>
        <v>5.622882710131032</v>
      </c>
      <c r="G16" s="15">
        <f>IFERROR(G2/F2-1,"")</f>
        <v>-0.998214544226222</v>
      </c>
      <c r="H16" s="15">
        <f>IFERROR(H2/G2-1,"")</f>
        <v>2301.9459459459463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-7.266533066132265</v>
      </c>
      <c r="C18" s="15">
        <f>IFERROR(C8/C2,"")</f>
        <v>-4.162797531589773</v>
      </c>
      <c r="D18" s="15">
        <f>IFERROR(D8/D2,"")</f>
        <v>-3.9545958531988026</v>
      </c>
      <c r="E18" s="15">
        <f>IFERROR(E8/E2,"")</f>
        <v>-35.165228507510385</v>
      </c>
      <c r="F18" s="15">
        <f>IFERROR(F8/F2,"")</f>
        <v>-5.446460454567389</v>
      </c>
      <c r="G18" s="15">
        <f>IFERROR(G8/G2,"")</f>
        <v>-5076.783783783784</v>
      </c>
      <c r="H18" s="15">
        <f>IFERROR(H8/H2,"")</f>
        <v>-1.8724195800913048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2026-10-21T01:04:59Z</dcterms:modified>
  <cp:lastModifiedBy>Wang, Eric</cp:lastModifiedBy>
</cp:coreProperties>
</file>