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SAB Biotherapeutics, Inc.</t>
        </is>
      </c>
      <c r="C2" s="10" t="n"/>
    </row>
    <row r="3">
      <c r="B3" t="inlineStr">
        <is>
          <t>Price</t>
        </is>
      </c>
      <c r="C3" s="11">
        <f>INDEX([1]Pharma!$F$1:$F$1000,MATCH("SABS",[1]Pharma!$B$1:$B$1000,0))</f>
        <v>2.88</v>
      </c>
      <c r="F3" s="1" t="n"/>
    </row>
    <row r="4">
      <c r="B4" t="inlineStr">
        <is>
          <t>Shares</t>
        </is>
      </c>
      <c r="C4" s="21" t="n">
        <v>90.986368</v>
      </c>
      <c r="F4" s="1" t="n"/>
    </row>
    <row r="5">
      <c r="B5" t="inlineStr">
        <is>
          <t>Market Cap.</t>
        </is>
      </c>
      <c r="C5" s="13">
        <f>C3*C4</f>
        <v>262.04073984</v>
      </c>
      <c r="F5" s="1" t="n"/>
    </row>
    <row r="6"/>
    <row r="7">
      <c r="B7" t="inlineStr">
        <is>
          <t>Cash</t>
        </is>
      </c>
      <c r="C7" s="21">
        <f>8.267+94.365</f>
        <v>102.63199999999999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159.40873984</v>
      </c>
    </row>
    <row r="10"/>
    <row r="11">
      <c r="B11" s="14" t="inlineStr">
        <is>
          <t>Net Cash / Share</t>
        </is>
      </c>
      <c r="C11" s="11">
        <f>(C7-C8)/C4</f>
        <v>1.1279931516774029</v>
      </c>
    </row>
    <row r="12">
      <c r="B12" s="14" t="inlineStr">
        <is>
          <t>Upside</t>
        </is>
      </c>
      <c r="C12" s="15">
        <f>IFERROR(C11/C3-1,"")</f>
        <v>-0.608335711223124</v>
      </c>
    </row>
    <row r="13">
      <c r="B13" s="14" t="inlineStr">
        <is>
          <t>Cash / Share</t>
        </is>
      </c>
      <c r="C13" s="11">
        <f>IFERROR((C7-C8)/C4,"")</f>
        <v>1.1279931516774029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-53.937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1.9028125405565752</v>
      </c>
    </row>
    <row r="19">
      <c r="B19" s="14" t="inlineStr">
        <is>
          <t>Implied Pipeline Value</t>
        </is>
      </c>
      <c r="C19" s="13">
        <f>C9</f>
        <v>159.40873984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55.238</v>
      </c>
      <c r="C2" s="23" t="n">
        <v>60.876</v>
      </c>
      <c r="D2" s="23" t="n">
        <v>23.904</v>
      </c>
      <c r="E2" s="23" t="n">
        <v>2.239</v>
      </c>
      <c r="F2" s="23" t="n">
        <v>1.322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55.238</v>
      </c>
      <c r="C4" s="23">
        <f>C2-C3</f>
        <v>60.876</v>
      </c>
      <c r="D4" s="23">
        <f>D2-D3</f>
        <v>23.904</v>
      </c>
      <c r="E4" s="23">
        <f>E2-E3</f>
        <v>2.239</v>
      </c>
      <c r="F4" s="23">
        <f>F2-F3</f>
        <v>1.322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27.909</v>
      </c>
      <c r="C5" s="23" t="n">
        <v>57.184</v>
      </c>
      <c r="D5" s="23" t="n">
        <v>36.439</v>
      </c>
      <c r="E5" s="23" t="n">
        <v>16.515</v>
      </c>
      <c r="F5" s="23" t="n">
        <v>30.252</v>
      </c>
      <c r="G5" s="23" t="n">
        <v>34.352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6.772</v>
      </c>
      <c r="C6" s="23" t="n">
        <v>17.086</v>
      </c>
      <c r="D6" s="23" t="n">
        <v>16.383</v>
      </c>
      <c r="E6" s="23" t="n">
        <v>23.799</v>
      </c>
      <c r="F6" s="23" t="n">
        <v>13.981</v>
      </c>
      <c r="G6" s="23" t="n">
        <v>14.601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34.681</v>
      </c>
      <c r="C7" s="23">
        <f>SUM(C5:C6)</f>
        <v>74.27</v>
      </c>
      <c r="D7" s="23">
        <f>SUM(D5:D6)</f>
        <v>52.822</v>
      </c>
      <c r="E7" s="23">
        <f>SUM(E5:E6)</f>
        <v>40.314</v>
      </c>
      <c r="F7" s="23">
        <f>SUM(F5:F6)</f>
        <v>44.233</v>
      </c>
      <c r="G7" s="23">
        <f>SUM(G5:G6)</f>
        <v>48.952999999999996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20.557000000000002</v>
      </c>
      <c r="C8" s="23">
        <f>C4-C7</f>
        <v>-13.393999999999998</v>
      </c>
      <c r="D8" s="23">
        <f>D4-D7</f>
        <v>-28.918000000000003</v>
      </c>
      <c r="E8" s="23">
        <f>E4-E7</f>
        <v>-38.075</v>
      </c>
      <c r="F8" s="23">
        <f>F4-F7</f>
        <v>-42.910999999999994</v>
      </c>
      <c r="G8" s="23">
        <f>G4-G7</f>
        <v>-48.952999999999996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-0.439</v>
      </c>
      <c r="C9" s="23" t="n">
        <v>-3.751</v>
      </c>
      <c r="D9" s="23" t="n">
        <v>10.202</v>
      </c>
      <c r="E9" s="23" t="n">
        <v>-4.118</v>
      </c>
      <c r="F9" s="23" t="n">
        <v>8.805</v>
      </c>
      <c r="G9" s="23" t="n">
        <v>62.227</v>
      </c>
    </row>
    <row r="10">
      <c r="A10" s="2" t="inlineStr">
        <is>
          <t>Pretax</t>
        </is>
      </c>
      <c r="B10" s="23">
        <f>B8+B9</f>
        <v>20.118000000000002</v>
      </c>
      <c r="C10" s="23">
        <f>C8+C9</f>
        <v>-17.145</v>
      </c>
      <c r="D10" s="23">
        <f>D8+D9</f>
        <v>-18.716</v>
      </c>
      <c r="E10" s="23">
        <f>E8+E9</f>
        <v>-42.193000000000005</v>
      </c>
      <c r="F10" s="23">
        <f>F8+F9</f>
        <v>-34.105999999999995</v>
      </c>
      <c r="G10" s="23">
        <f>G8+G9</f>
        <v>13.274000000000001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0.026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20.118</v>
      </c>
      <c r="C12" s="23" t="n">
        <v>-17.145</v>
      </c>
      <c r="D12" s="23" t="n">
        <v>-18.741</v>
      </c>
      <c r="E12" s="23" t="n">
        <v>-42.194</v>
      </c>
      <c r="F12" s="23" t="n">
        <v>-34.105</v>
      </c>
      <c r="G12" s="23" t="n">
        <v>13.274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0.7448076709488727</v>
      </c>
      <c r="C13" s="11">
        <f>IFERROR(C12/C14,0)</f>
        <v>-0.6271260836168112</v>
      </c>
      <c r="D13" s="11">
        <f>IFERROR(D12/D14,0)</f>
        <v>-4.306295955882352</v>
      </c>
      <c r="E13" s="11">
        <f>IFERROR(E12/E14,0)</f>
        <v>-7.642456076797682</v>
      </c>
      <c r="F13" s="11">
        <f>IFERROR(F12/F14,0)</f>
        <v>-3.68225005398402</v>
      </c>
      <c r="G13" s="11">
        <f>IFERROR(G12/G14,0)</f>
        <v>0.21640039126181934</v>
      </c>
    </row>
    <row r="14">
      <c r="A14" s="2" t="inlineStr">
        <is>
          <t>Shares</t>
        </is>
      </c>
      <c r="B14" s="23" t="n">
        <v>27.011</v>
      </c>
      <c r="C14" s="23" t="n">
        <v>27.339</v>
      </c>
      <c r="D14" s="23" t="n">
        <v>4.352</v>
      </c>
      <c r="E14" s="23" t="n">
        <v>5.521</v>
      </c>
      <c r="F14" s="23" t="n">
        <v>9.262</v>
      </c>
      <c r="G14" s="23" t="n">
        <v>61.34</v>
      </c>
    </row>
    <row r="15"/>
    <row r="16" customFormat="1" s="4">
      <c r="A16" s="3" t="inlineStr">
        <is>
          <t>Revenue Change</t>
        </is>
      </c>
      <c r="C16" s="15">
        <f>IFERROR(C2/B2-1,"")</f>
        <v>0.10206741735761615</v>
      </c>
      <c r="D16" s="15">
        <f>IFERROR(D2/C2-1,"")</f>
        <v>-0.6073329390892963</v>
      </c>
      <c r="E16" s="15">
        <f>IFERROR(E2/D2-1,"")</f>
        <v>-0.9063336680053548</v>
      </c>
      <c r="F16" s="15">
        <f>IFERROR(F2/E2-1,"")</f>
        <v>-0.4095578383206788</v>
      </c>
      <c r="G16" s="15">
        <f>IFERROR(G2/F2-1,"")</f>
        <v>-1.0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0.3721532278503929</v>
      </c>
      <c r="C18" s="15">
        <f>IFERROR(C8/C2,"")</f>
        <v>-0.22002102634864312</v>
      </c>
      <c r="D18" s="15">
        <f>IFERROR(D8/D2,"")</f>
        <v>-1.2097556894243642</v>
      </c>
      <c r="E18" s="15">
        <f>IFERROR(E8/E2,"")</f>
        <v>-17.005359535506926</v>
      </c>
      <c r="F18" s="15">
        <f>IFERROR(F8/F2,"")</f>
        <v>-32.45915279878971</v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2026-10-21T01:05:31Z</dcterms:modified>
  <cp:lastModifiedBy>Wang, Eric</cp:lastModifiedBy>
</cp:coreProperties>
</file>