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Pelthos Therapeutics Inc</t>
        </is>
      </c>
      <c r="C2" s="10" t="n"/>
    </row>
    <row r="3">
      <c r="B3" t="inlineStr">
        <is>
          <t>Price</t>
        </is>
      </c>
      <c r="C3" s="11">
        <f>INDEX([1]Pharma!$F$1:$F$1000,MATCH("PTHS",[1]Pharma!$B$1:$B$1000,0))</f>
        <v>20.5</v>
      </c>
      <c r="F3" s="1" t="n"/>
    </row>
    <row r="4">
      <c r="B4" t="inlineStr">
        <is>
          <t>Shares</t>
        </is>
      </c>
      <c r="C4" s="21" t="n">
        <v>3.828469</v>
      </c>
      <c r="F4" s="1" t="n"/>
    </row>
    <row r="5">
      <c r="B5" t="inlineStr">
        <is>
          <t>Market Cap.</t>
        </is>
      </c>
      <c r="C5" s="13">
        <f>C3*C4</f>
        <v>78.4836145</v>
      </c>
      <c r="F5" s="1" t="n"/>
    </row>
    <row r="6"/>
    <row r="7">
      <c r="B7" t="inlineStr">
        <is>
          <t>Cash</t>
        </is>
      </c>
      <c r="C7" s="21" t="n">
        <v>24.192</v>
      </c>
    </row>
    <row r="8">
      <c r="B8" t="inlineStr">
        <is>
          <t>Debt</t>
        </is>
      </c>
      <c r="C8" s="21">
        <f>43.321+26.593</f>
        <v>69.914</v>
      </c>
    </row>
    <row r="9">
      <c r="B9" t="inlineStr">
        <is>
          <t>Enterprise V.</t>
        </is>
      </c>
      <c r="C9" s="13">
        <f>C5-C7+C8</f>
        <v>124.2056145</v>
      </c>
    </row>
    <row r="10"/>
    <row r="11">
      <c r="B11" s="14" t="inlineStr">
        <is>
          <t>Net Cash / Share</t>
        </is>
      </c>
      <c r="C11" s="11">
        <f>(C7-C8)/C4</f>
        <v>-11.942632942829105</v>
      </c>
    </row>
    <row r="12">
      <c r="B12" s="14" t="inlineStr">
        <is>
          <t>Upside</t>
        </is>
      </c>
      <c r="C12" s="15">
        <f>IFERROR(C11/C3-1,"")</f>
        <v>-1.58256746062581</v>
      </c>
    </row>
    <row r="13">
      <c r="B13" s="14" t="inlineStr">
        <is>
          <t>Cash / Share</t>
        </is>
      </c>
      <c r="C13" s="11">
        <f>IFERROR((C7-C8)/C4,"")</f>
        <v>-11.942632942829105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-42.301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124.2056145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16.795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3.988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12.807000000000002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0.392</v>
      </c>
      <c r="C5" s="23" t="n">
        <v>2.579</v>
      </c>
      <c r="D5" s="23" t="n">
        <v>1.179</v>
      </c>
      <c r="E5" s="23" t="n">
        <v>1.228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1.926</v>
      </c>
      <c r="C6" s="23" t="n">
        <v>4.283</v>
      </c>
      <c r="D6" s="23" t="n">
        <v>6.392</v>
      </c>
      <c r="E6" s="23" t="n">
        <v>44.009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2.318</v>
      </c>
      <c r="C7" s="23">
        <f>SUM(C5:C6)</f>
        <v>6.862</v>
      </c>
      <c r="D7" s="23">
        <f>SUM(D5:D6)</f>
        <v>7.571000000000001</v>
      </c>
      <c r="E7" s="23">
        <f>SUM(E5:E6)</f>
        <v>45.237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-2.318</v>
      </c>
      <c r="C8" s="23">
        <f>C4-C7</f>
        <v>-6.862</v>
      </c>
      <c r="D8" s="23">
        <f>D4-D7</f>
        <v>-7.571000000000001</v>
      </c>
      <c r="E8" s="23">
        <f>E4-E7</f>
        <v>-32.43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-0.14</v>
      </c>
      <c r="C9" s="23" t="n">
        <v>-0.519</v>
      </c>
      <c r="D9" s="23" t="n">
        <v>-0.384</v>
      </c>
      <c r="E9" s="23" t="n">
        <v>-18.276</v>
      </c>
    </row>
    <row r="10">
      <c r="A10" s="2" t="inlineStr">
        <is>
          <t>Pretax</t>
        </is>
      </c>
      <c r="B10" s="23">
        <f>B8+B9</f>
        <v>-2.458</v>
      </c>
      <c r="C10" s="23">
        <f>C8+C9</f>
        <v>-7.381</v>
      </c>
      <c r="D10" s="23">
        <f>D8+D9</f>
        <v>-7.955000000000001</v>
      </c>
      <c r="E10" s="23">
        <f>E8+E9</f>
        <v>-50.706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-7.387</v>
      </c>
    </row>
    <row r="12">
      <c r="A12" s="2" t="inlineStr">
        <is>
          <t>Net Income</t>
        </is>
      </c>
      <c r="B12" s="23" t="n">
        <v>-2.459</v>
      </c>
      <c r="C12" s="23" t="n">
        <v>-7.381</v>
      </c>
      <c r="D12" s="23" t="n">
        <v>-7.955</v>
      </c>
      <c r="E12" s="23" t="n">
        <v>-43.319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-5.652873563218391</v>
      </c>
      <c r="C13" s="11">
        <f>IFERROR(C12/C14,0)</f>
        <v>-5.779953014878623</v>
      </c>
      <c r="D13" s="11">
        <f>IFERROR(D12/D14,0)</f>
        <v>-14.281867145421902</v>
      </c>
      <c r="E13" s="11">
        <f>IFERROR(E12/E14,0)</f>
        <v>-23.042021276595747</v>
      </c>
    </row>
    <row r="14">
      <c r="A14" s="2" t="inlineStr">
        <is>
          <t>Shares</t>
        </is>
      </c>
      <c r="B14" s="23" t="n">
        <v>0.435</v>
      </c>
      <c r="C14" s="23" t="n">
        <v>1.277</v>
      </c>
      <c r="D14" s="23" t="n">
        <v>0.5570000000000001</v>
      </c>
      <c r="E14" s="23" t="n">
        <v>1.88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0.7625483774933016</v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-1.930931824947901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2026-10-21T01:06:01Z</dcterms:modified>
  <cp:lastModifiedBy>Wang, Eric</cp:lastModifiedBy>
</cp:coreProperties>
</file>