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Cerenome, Inc</t>
        </is>
      </c>
      <c r="C2" s="10" t="n"/>
    </row>
    <row r="3">
      <c r="B3" t="inlineStr">
        <is>
          <t>Price</t>
        </is>
      </c>
      <c r="C3" s="11">
        <f>INDEX([1]Pharma!$F$1:$F$1000,MATCH("CNSY",[1]Pharma!$B$1:$B$1000,0))</f>
        <v>1.68</v>
      </c>
      <c r="F3" s="1" t="n"/>
    </row>
    <row r="4">
      <c r="B4" t="inlineStr">
        <is>
          <t>Shares</t>
        </is>
      </c>
      <c r="C4" s="21" t="n">
        <v>7.589625</v>
      </c>
      <c r="F4" s="1" t="n"/>
    </row>
    <row r="5">
      <c r="B5" t="inlineStr">
        <is>
          <t>Market Cap.</t>
        </is>
      </c>
      <c r="C5" s="13">
        <f>C3*C4</f>
        <v>12.75057</v>
      </c>
      <c r="F5" s="1" t="n"/>
    </row>
    <row r="6"/>
    <row r="7">
      <c r="B7" t="inlineStr">
        <is>
          <t>Cash</t>
        </is>
      </c>
      <c r="C7" s="21">
        <f>2.366+6.221</f>
        <v>8.587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4.16357</v>
      </c>
    </row>
    <row r="10"/>
    <row r="11">
      <c r="B11" s="14" t="inlineStr">
        <is>
          <t>Net Cash / Share</t>
        </is>
      </c>
      <c r="C11" s="11">
        <f>(C7-C8)/C4</f>
        <v>1.1314129485975921</v>
      </c>
    </row>
    <row r="12">
      <c r="B12" s="14" t="inlineStr">
        <is>
          <t>Upside</t>
        </is>
      </c>
      <c r="C12" s="15">
        <f>IFERROR(C11/C3-1,"")</f>
        <v>-0.32653991154905226</v>
      </c>
    </row>
    <row r="13">
      <c r="B13" s="14" t="inlineStr">
        <is>
          <t>Cash / Share</t>
        </is>
      </c>
      <c r="C13" s="11">
        <f>IFERROR((C7-C8)/C4,"")</f>
        <v>1.1314129485975921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-22.175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0.38723788049605407</v>
      </c>
    </row>
    <row r="19">
      <c r="B19" s="14" t="inlineStr">
        <is>
          <t>Implied Pipeline Value</t>
        </is>
      </c>
      <c r="C19" s="13">
        <f>C9</f>
        <v>4.16357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5.837</v>
      </c>
      <c r="C2" s="23" t="n">
        <v>8.254</v>
      </c>
      <c r="D2" s="23" t="n">
        <v>7.983</v>
      </c>
      <c r="E2" s="23" t="n">
        <v>8.709</v>
      </c>
      <c r="F2" s="23" t="n">
        <v>7.122</v>
      </c>
      <c r="G2" s="23" t="n">
        <v>4.953</v>
      </c>
      <c r="H2" s="23" t="n">
        <v>4.838</v>
      </c>
      <c r="I2" s="23" t="n">
        <v>4.656</v>
      </c>
      <c r="J2" s="23" t="n">
        <v>2.689</v>
      </c>
      <c r="K2" s="23" t="n">
        <v>3.671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4.913</v>
      </c>
      <c r="Q2" s="23" t="n">
        <v>5.824</v>
      </c>
      <c r="R2" s="23" t="n">
        <v>5.213</v>
      </c>
    </row>
    <row r="3" customFormat="1" s="1">
      <c r="A3" s="5" t="inlineStr">
        <is>
          <t>Cost of Sales</t>
        </is>
      </c>
      <c r="B3" s="23" t="n">
        <v>3.394</v>
      </c>
      <c r="C3" s="23" t="n">
        <v>3.908</v>
      </c>
      <c r="D3" s="23" t="n">
        <v>3.837</v>
      </c>
      <c r="E3" s="23" t="n">
        <v>4</v>
      </c>
      <c r="F3" s="23" t="n">
        <v>3.421</v>
      </c>
      <c r="G3" s="23" t="n">
        <v>2.94</v>
      </c>
      <c r="H3" s="23" t="n">
        <v>3.186</v>
      </c>
      <c r="I3" s="23" t="n">
        <v>2.715</v>
      </c>
      <c r="J3" s="23" t="n">
        <v>1.318</v>
      </c>
      <c r="K3" s="23" t="n">
        <v>1.148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</row>
    <row r="4" customFormat="1" s="1">
      <c r="A4" s="5" t="inlineStr">
        <is>
          <t>Gross Margin</t>
        </is>
      </c>
      <c r="B4" s="23">
        <f>B2-B3</f>
        <v>2.4429999999999996</v>
      </c>
      <c r="C4" s="23">
        <f>C2-C3</f>
        <v>4.346</v>
      </c>
      <c r="D4" s="23">
        <f>D2-D3</f>
        <v>4.145999999999999</v>
      </c>
      <c r="E4" s="23">
        <f>E2-E3</f>
        <v>4.709</v>
      </c>
      <c r="F4" s="23">
        <f>F2-F3</f>
        <v>3.701</v>
      </c>
      <c r="G4" s="23">
        <f>G2-G3</f>
        <v>2.0130000000000003</v>
      </c>
      <c r="H4" s="23">
        <f>H2-H3</f>
        <v>1.6520000000000001</v>
      </c>
      <c r="I4" s="23">
        <f>I2-I3</f>
        <v>1.9409999999999998</v>
      </c>
      <c r="J4" s="23">
        <f>J2-J3</f>
        <v>1.371</v>
      </c>
      <c r="K4" s="23">
        <f>K2-K3</f>
        <v>2.5229999999999997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4.913</v>
      </c>
      <c r="Q4" s="23">
        <f>Q2-Q3</f>
        <v>5.824</v>
      </c>
      <c r="R4" s="23">
        <f>R2-R3</f>
        <v>5.213</v>
      </c>
    </row>
    <row r="5">
      <c r="A5" s="2" t="inlineStr">
        <is>
          <t>Research &amp; Dev.</t>
        </is>
      </c>
      <c r="B5" s="23" t="n">
        <v>12.231</v>
      </c>
      <c r="C5" s="23" t="n">
        <v>9.686999999999999</v>
      </c>
      <c r="D5" s="23" t="n">
        <v>10.904</v>
      </c>
      <c r="E5" s="23" t="n">
        <v>13.628</v>
      </c>
      <c r="F5" s="23" t="n">
        <v>17.065</v>
      </c>
      <c r="G5" s="23" t="n">
        <v>15.105</v>
      </c>
      <c r="H5" s="23" t="n">
        <v>19</v>
      </c>
      <c r="I5" s="23" t="n">
        <v>16.197</v>
      </c>
      <c r="J5" s="23" t="n">
        <v>5.073</v>
      </c>
      <c r="K5" s="23" t="n">
        <v>5.523</v>
      </c>
      <c r="L5" s="23" t="n">
        <v>5.365</v>
      </c>
      <c r="M5" s="23" t="n">
        <v>2.7</v>
      </c>
      <c r="N5" s="23" t="n">
        <v>5.323</v>
      </c>
      <c r="O5" s="23" t="n">
        <v>9.698</v>
      </c>
      <c r="P5" s="23" t="n">
        <v>9.69</v>
      </c>
      <c r="Q5" s="23" t="n">
        <v>10.58</v>
      </c>
      <c r="R5" s="23" t="n">
        <v>8.379</v>
      </c>
    </row>
    <row r="6">
      <c r="A6" s="19" t="inlineStr">
        <is>
          <t>SG&amp;A &amp; Other</t>
        </is>
      </c>
      <c r="B6" s="23" t="n">
        <v>11.759</v>
      </c>
      <c r="C6" s="23" t="n">
        <v>19.982</v>
      </c>
      <c r="D6" s="23" t="n">
        <v>22.654</v>
      </c>
      <c r="E6" s="23" t="n">
        <v>19.499</v>
      </c>
      <c r="F6" s="23" t="n">
        <v>17.315</v>
      </c>
      <c r="G6" s="23" t="n">
        <v>19.345</v>
      </c>
      <c r="H6" s="23" t="n">
        <v>-2.062</v>
      </c>
      <c r="I6" s="23" t="n">
        <v>5.45</v>
      </c>
      <c r="J6" s="23" t="n">
        <v>7.376</v>
      </c>
      <c r="K6" s="23" t="n">
        <v>5.762</v>
      </c>
      <c r="L6" s="23" t="n">
        <v>-1.708</v>
      </c>
      <c r="M6" s="23" t="n">
        <v>6.884</v>
      </c>
      <c r="N6" s="23" t="n">
        <v>7.169</v>
      </c>
      <c r="O6" s="23" t="n">
        <v>10.014</v>
      </c>
      <c r="P6" s="23" t="n">
        <v>8.544</v>
      </c>
      <c r="Q6" s="23" t="n">
        <v>9.939</v>
      </c>
      <c r="R6" s="23" t="n">
        <v>12.132</v>
      </c>
    </row>
    <row r="7">
      <c r="A7" s="2" t="inlineStr">
        <is>
          <t>Operating Expense</t>
        </is>
      </c>
      <c r="B7" s="23">
        <f>SUM(B5:B6)</f>
        <v>23.990000000000002</v>
      </c>
      <c r="C7" s="23">
        <f>SUM(C5:C6)</f>
        <v>29.668999999999997</v>
      </c>
      <c r="D7" s="23">
        <f>SUM(D5:D6)</f>
        <v>33.558</v>
      </c>
      <c r="E7" s="23">
        <f>SUM(E5:E6)</f>
        <v>33.126999999999995</v>
      </c>
      <c r="F7" s="23">
        <f>SUM(F5:F6)</f>
        <v>34.38</v>
      </c>
      <c r="G7" s="23">
        <f>SUM(G5:G6)</f>
        <v>34.45</v>
      </c>
      <c r="H7" s="23">
        <f>SUM(H5:H6)</f>
        <v>16.938</v>
      </c>
      <c r="I7" s="23">
        <f>SUM(I5:I6)</f>
        <v>21.647</v>
      </c>
      <c r="J7" s="23">
        <f>SUM(J5:J6)</f>
        <v>12.449000000000002</v>
      </c>
      <c r="K7" s="23">
        <f>SUM(K5:K6)</f>
        <v>11.285</v>
      </c>
      <c r="L7" s="23">
        <f>SUM(L5:L6)</f>
        <v>3.657</v>
      </c>
      <c r="M7" s="23">
        <f>SUM(M5:M6)</f>
        <v>9.584</v>
      </c>
      <c r="N7" s="23">
        <f>SUM(N5:N6)</f>
        <v>12.492</v>
      </c>
      <c r="O7" s="23">
        <f>SUM(O5:O6)</f>
        <v>19.712</v>
      </c>
      <c r="P7" s="23">
        <f>SUM(P5:P6)</f>
        <v>18.234</v>
      </c>
      <c r="Q7" s="23">
        <f>SUM(Q5:Q6)</f>
        <v>20.519</v>
      </c>
      <c r="R7" s="23">
        <f>SUM(R5:R6)</f>
        <v>20.511</v>
      </c>
    </row>
    <row r="8">
      <c r="A8" s="2" t="inlineStr">
        <is>
          <t>Operating Income</t>
        </is>
      </c>
      <c r="B8" s="23">
        <f>B4-B7</f>
        <v>-21.547000000000004</v>
      </c>
      <c r="C8" s="23">
        <f>C4-C7</f>
        <v>-25.322999999999997</v>
      </c>
      <c r="D8" s="23">
        <f>D4-D7</f>
        <v>-29.412</v>
      </c>
      <c r="E8" s="23">
        <f>E4-E7</f>
        <v>-28.417999999999996</v>
      </c>
      <c r="F8" s="23">
        <f>F4-F7</f>
        <v>-30.679000000000002</v>
      </c>
      <c r="G8" s="23">
        <f>G4-G7</f>
        <v>-32.437000000000005</v>
      </c>
      <c r="H8" s="23">
        <f>H4-H7</f>
        <v>-15.285999999999998</v>
      </c>
      <c r="I8" s="23">
        <f>I4-I7</f>
        <v>-19.706</v>
      </c>
      <c r="J8" s="23">
        <f>J4-J7</f>
        <v>-11.078000000000001</v>
      </c>
      <c r="K8" s="23">
        <f>K4-K7</f>
        <v>-8.762</v>
      </c>
      <c r="L8" s="23">
        <f>L4-L7</f>
        <v>-3.657</v>
      </c>
      <c r="M8" s="23">
        <f>M4-M7</f>
        <v>-9.584</v>
      </c>
      <c r="N8" s="23">
        <f>N4-N7</f>
        <v>-12.492</v>
      </c>
      <c r="O8" s="23">
        <f>O4-O7</f>
        <v>-19.712</v>
      </c>
      <c r="P8" s="23">
        <f>P4-P7</f>
        <v>-13.321000000000002</v>
      </c>
      <c r="Q8" s="23">
        <f>Q4-Q7</f>
        <v>-14.694999999999999</v>
      </c>
      <c r="R8" s="23">
        <f>R4-R7</f>
        <v>-15.297999999999998</v>
      </c>
    </row>
    <row r="9">
      <c r="A9" s="19" t="inlineStr">
        <is>
          <t>Interest &amp; Other</t>
        </is>
      </c>
      <c r="B9" s="23" t="n">
        <v>-1.669</v>
      </c>
      <c r="C9" s="23" t="n">
        <v>-2.171</v>
      </c>
      <c r="D9" s="23" t="n">
        <v>-3.039</v>
      </c>
      <c r="E9" s="23" t="n">
        <v>-3.861</v>
      </c>
      <c r="F9" s="23" t="n">
        <v>4.502</v>
      </c>
      <c r="G9" s="23" t="n">
        <v>-4.931</v>
      </c>
      <c r="H9" s="23" t="n">
        <v>-3.458</v>
      </c>
      <c r="I9" s="23" t="n">
        <v>-2.34</v>
      </c>
      <c r="J9" s="23" t="n">
        <v>-11.608</v>
      </c>
      <c r="K9" s="23" t="n">
        <v>-3.872</v>
      </c>
      <c r="L9" s="23" t="n">
        <v>-7.23</v>
      </c>
      <c r="M9" s="23" t="n">
        <v>1.343</v>
      </c>
      <c r="N9" s="23" t="n">
        <v>-0.907</v>
      </c>
      <c r="O9" s="23" t="n">
        <v>-0.5629999999999999</v>
      </c>
      <c r="P9" s="23" t="n">
        <v>0.005</v>
      </c>
      <c r="Q9" s="23" t="n">
        <v>1.717</v>
      </c>
      <c r="R9" s="23" t="n">
        <v>-7.088</v>
      </c>
    </row>
    <row r="10">
      <c r="A10" s="2" t="inlineStr">
        <is>
          <t>Pretax</t>
        </is>
      </c>
      <c r="B10" s="23">
        <f>B8+B9</f>
        <v>-23.216000000000005</v>
      </c>
      <c r="C10" s="23">
        <f>C8+C9</f>
        <v>-27.493999999999996</v>
      </c>
      <c r="D10" s="23">
        <f>D8+D9</f>
        <v>-32.451</v>
      </c>
      <c r="E10" s="23">
        <f>E8+E9</f>
        <v>-32.278999999999996</v>
      </c>
      <c r="F10" s="23">
        <f>F8+F9</f>
        <v>-26.177000000000003</v>
      </c>
      <c r="G10" s="23">
        <f>G8+G9</f>
        <v>-37.368</v>
      </c>
      <c r="H10" s="23">
        <f>H8+H9</f>
        <v>-18.744</v>
      </c>
      <c r="I10" s="23">
        <f>I8+I9</f>
        <v>-22.046</v>
      </c>
      <c r="J10" s="23">
        <f>J8+J9</f>
        <v>-22.686</v>
      </c>
      <c r="K10" s="23">
        <f>K8+K9</f>
        <v>-12.634</v>
      </c>
      <c r="L10" s="23">
        <f>L8+L9</f>
        <v>-10.887</v>
      </c>
      <c r="M10" s="23">
        <f>M8+M9</f>
        <v>-8.241</v>
      </c>
      <c r="N10" s="23">
        <f>N8+N9</f>
        <v>-13.399000000000001</v>
      </c>
      <c r="O10" s="23">
        <f>O8+O9</f>
        <v>-20.275</v>
      </c>
      <c r="P10" s="23">
        <f>P8+P9</f>
        <v>-13.316</v>
      </c>
      <c r="Q10" s="23">
        <f>Q8+Q9</f>
        <v>-12.977999999999998</v>
      </c>
      <c r="R10" s="23">
        <f>R8+R9</f>
        <v>-22.386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</row>
    <row r="12">
      <c r="A12" s="2" t="inlineStr">
        <is>
          <t>Net Income</t>
        </is>
      </c>
      <c r="B12" s="23" t="n">
        <v>-23.216</v>
      </c>
      <c r="C12" s="23" t="n">
        <v>-27.494</v>
      </c>
      <c r="D12" s="23" t="n">
        <v>-32.451</v>
      </c>
      <c r="E12" s="23" t="n">
        <v>-32.279</v>
      </c>
      <c r="F12" s="23" t="n">
        <v>-26.177</v>
      </c>
      <c r="G12" s="23" t="n">
        <v>-37.368</v>
      </c>
      <c r="H12" s="23" t="n">
        <v>-18.744</v>
      </c>
      <c r="I12" s="23" t="n">
        <v>-22.046</v>
      </c>
      <c r="J12" s="23" t="n">
        <v>-22.686</v>
      </c>
      <c r="K12" s="23" t="n">
        <v>-12.634</v>
      </c>
      <c r="L12" s="23" t="n">
        <v>-10.887</v>
      </c>
      <c r="M12" s="23" t="n">
        <v>-8.241</v>
      </c>
      <c r="N12" s="23" t="n">
        <v>-13.399</v>
      </c>
      <c r="O12" s="23" t="n">
        <v>-20.275</v>
      </c>
      <c r="P12" s="23" t="n">
        <v>-13.316</v>
      </c>
      <c r="Q12" s="23" t="n">
        <v>-12.978</v>
      </c>
      <c r="R12" s="23" t="n">
        <v>-22.386</v>
      </c>
    </row>
    <row r="13">
      <c r="A13" s="2" t="inlineStr">
        <is>
          <t>Earnings per Share</t>
        </is>
      </c>
      <c r="B13" s="11">
        <f>IFERROR(B12/B14,0)</f>
        <v>-15.094928478543563</v>
      </c>
      <c r="C13" s="11">
        <f>IFERROR(C12/C14,0)</f>
        <v>-13.97763091001525</v>
      </c>
      <c r="D13" s="11">
        <f>IFERROR(D12/D14,0)</f>
        <v>-14.170742358078602</v>
      </c>
      <c r="E13" s="11">
        <f>IFERROR(E12/E14,0)</f>
        <v>-12.849920382165607</v>
      </c>
      <c r="F13" s="11">
        <f>IFERROR(F12/F14,0)</f>
        <v>-9.023440193036885</v>
      </c>
      <c r="G13" s="11">
        <f>IFERROR(G12/G14,0)</f>
        <v>-10.8</v>
      </c>
      <c r="H13" s="11">
        <f>IFERROR(H12/H14,0)</f>
        <v>-46.62686567164179</v>
      </c>
      <c r="I13" s="11">
        <f>IFERROR(I12/I14,0)</f>
        <v>-29.79189189189189</v>
      </c>
      <c r="J13" s="11">
        <f>IFERROR(J12/J14,0)</f>
        <v>-30.656756756756756</v>
      </c>
      <c r="K13" s="11">
        <f>IFERROR(K12/K14,0)</f>
        <v>-6.358329139406139</v>
      </c>
      <c r="L13" s="11">
        <f>IFERROR(L12/L14,0)</f>
        <v>-5.5068285280728375</v>
      </c>
      <c r="M13" s="11">
        <f>IFERROR(M12/M14,0)</f>
        <v>-1.3029249011857706</v>
      </c>
      <c r="N13" s="11">
        <f>IFERROR(N12/N14,0)</f>
        <v>-0.7758540822235089</v>
      </c>
      <c r="O13" s="11">
        <f>IFERROR(O12/O14,0)</f>
        <v>-1.1583066727605118</v>
      </c>
      <c r="P13" s="11">
        <f>IFERROR(P12/P14,0)</f>
        <v>-0.4239549173803687</v>
      </c>
      <c r="Q13" s="11">
        <f>IFERROR(Q12/Q14,0)</f>
        <v>-0.168527945148556</v>
      </c>
      <c r="R13" s="11">
        <f>IFERROR(R12/R14,0)</f>
        <v>-0.287719298245614</v>
      </c>
    </row>
    <row r="14">
      <c r="A14" s="2" t="inlineStr">
        <is>
          <t>Shares</t>
        </is>
      </c>
      <c r="B14" s="23" t="n">
        <v>1.538</v>
      </c>
      <c r="C14" s="23" t="n">
        <v>1.967</v>
      </c>
      <c r="D14" s="23" t="n">
        <v>2.29</v>
      </c>
      <c r="E14" s="23" t="n">
        <v>2.512</v>
      </c>
      <c r="F14" s="23" t="n">
        <v>2.901</v>
      </c>
      <c r="G14" s="23" t="n">
        <v>3.46</v>
      </c>
      <c r="H14" s="23" t="n">
        <v>0.402</v>
      </c>
      <c r="I14" s="23" t="n">
        <v>0.74</v>
      </c>
      <c r="J14" s="23" t="n">
        <v>0.74</v>
      </c>
      <c r="K14" s="23" t="n">
        <v>1.987</v>
      </c>
      <c r="L14" s="23" t="n">
        <v>1.977</v>
      </c>
      <c r="M14" s="23" t="n">
        <v>6.325</v>
      </c>
      <c r="N14" s="23" t="n">
        <v>17.27</v>
      </c>
      <c r="O14" s="23" t="n">
        <v>17.504</v>
      </c>
      <c r="P14" s="23" t="n">
        <v>31.409</v>
      </c>
      <c r="Q14" s="23" t="n">
        <v>77.008</v>
      </c>
      <c r="R14" s="23" t="n">
        <v>77.80500000000001</v>
      </c>
    </row>
    <row r="15"/>
    <row r="16" customFormat="1" s="4">
      <c r="A16" s="3" t="inlineStr">
        <is>
          <t>Revenue Change</t>
        </is>
      </c>
      <c r="C16" s="15">
        <f>IFERROR(C2/B2-1,"")</f>
        <v>0.4140825766660956</v>
      </c>
      <c r="D16" s="15">
        <f>IFERROR(D2/C2-1,"")</f>
        <v>-0.03283256602859219</v>
      </c>
      <c r="E16" s="15">
        <f>IFERROR(E2/D2-1,"")</f>
        <v>0.09094325441563322</v>
      </c>
      <c r="F16" s="15">
        <f>IFERROR(F2/E2-1,"")</f>
        <v>-0.18222528418877026</v>
      </c>
      <c r="G16" s="15">
        <f>IFERROR(G2/F2-1,"")</f>
        <v>-0.30454928390901426</v>
      </c>
      <c r="H16" s="15">
        <f>IFERROR(H2/G2-1,"")</f>
        <v>-0.023218251564708248</v>
      </c>
      <c r="I16" s="15">
        <f>IFERROR(I2/H2-1,"")</f>
        <v>-0.03761885076477889</v>
      </c>
      <c r="J16" s="15">
        <f>IFERROR(J2/I2-1,"")</f>
        <v>-0.42246563573883156</v>
      </c>
      <c r="K16" s="15">
        <f>IFERROR(K2/J2-1,"")</f>
        <v>0.3651915210115284</v>
      </c>
      <c r="L16" s="15">
        <f>IFERROR(L2/K2-1,"")</f>
        <v>-1.0</v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>0.18542641970282903</v>
      </c>
      <c r="R16" s="15">
        <f>IFERROR(R2/Q2-1,"")</f>
        <v>-0.1049107142857143</v>
      </c>
    </row>
    <row r="17" customFormat="1" s="4">
      <c r="A17" s="3" t="inlineStr">
        <is>
          <t>Gross Margin</t>
        </is>
      </c>
      <c r="B17" s="15">
        <f>IFERROR(B4/B2,"")</f>
        <v>0.4185369196505053</v>
      </c>
      <c r="C17" s="15">
        <f>IFERROR(C4/C2,"")</f>
        <v>0.5265325902592682</v>
      </c>
      <c r="D17" s="15">
        <f>IFERROR(D4/D2,"")</f>
        <v>0.5193536264562194</v>
      </c>
      <c r="E17" s="15">
        <f>IFERROR(E4/E2,"")</f>
        <v>0.5407050177976805</v>
      </c>
      <c r="F17" s="15">
        <f>IFERROR(F4/F2,"")</f>
        <v>0.519657399606852</v>
      </c>
      <c r="G17" s="15">
        <f>IFERROR(G4/G2,"")</f>
        <v>0.40642035130224113</v>
      </c>
      <c r="H17" s="15">
        <f>IFERROR(H4/H2,"")</f>
        <v>0.34146341463414637</v>
      </c>
      <c r="I17" s="15">
        <f>IFERROR(I4/I2,"")</f>
        <v>0.4168814432989691</v>
      </c>
      <c r="J17" s="15">
        <f>IFERROR(J4/J2,"")</f>
        <v>0.5098549646708813</v>
      </c>
      <c r="K17" s="15">
        <f>IFERROR(K4/K2,"")</f>
        <v>0.6872786706619449</v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>-3.6914510878876143</v>
      </c>
      <c r="C18" s="15">
        <f>IFERROR(C8/C2,"")</f>
        <v>-3.067967046280591</v>
      </c>
      <c r="D18" s="15">
        <f>IFERROR(D8/D2,"")</f>
        <v>-3.6843291995490417</v>
      </c>
      <c r="E18" s="15">
        <f>IFERROR(E8/E2,"")</f>
        <v>-3.263061201056378</v>
      </c>
      <c r="F18" s="15">
        <f>IFERROR(F8/F2,"")</f>
        <v>-4.307638303847234</v>
      </c>
      <c r="G18" s="15">
        <f>IFERROR(G8/G2,"")</f>
        <v>-6.548960226125581</v>
      </c>
      <c r="H18" s="15">
        <f>IFERROR(H8/H2,"")</f>
        <v>-3.1595700702769736</v>
      </c>
      <c r="I18" s="15">
        <f>IFERROR(I8/I2,"")</f>
        <v>-4.232388316151203</v>
      </c>
      <c r="J18" s="15">
        <f>IFERROR(J8/J2,"")</f>
        <v>-4.119747117887691</v>
      </c>
      <c r="K18" s="15">
        <f>IFERROR(K8/K2,"")</f>
        <v>-2.3868155815853993</v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>-2.711377976796255</v>
      </c>
      <c r="Q18" s="15">
        <f>IFERROR(Q8/Q2,"")</f>
        <v>-2.523179945054945</v>
      </c>
      <c r="R18" s="15">
        <f>IFERROR(R8/R2,"")</f>
        <v>-2.934586610397084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2026-10-21T01:06:33Z</dcterms:modified>
  <cp:lastModifiedBy>Wang, Eric</cp:lastModifiedBy>
</cp:coreProperties>
</file>