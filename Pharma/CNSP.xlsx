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CNS Pharmaceuticals Inc</t>
        </is>
      </c>
      <c r="C2" s="10" t="n"/>
    </row>
    <row r="3">
      <c r="B3" t="inlineStr">
        <is>
          <t>Price</t>
        </is>
      </c>
      <c r="C3" s="11">
        <f>INDEX([1]Pharma!$F$1:$F$1000,MATCH("CNSP",[1]Pharma!$B$1:$B$1000,0))</f>
        <v>4.99</v>
      </c>
      <c r="F3" s="1" t="n"/>
    </row>
    <row r="4">
      <c r="B4" t="inlineStr">
        <is>
          <t>Shares</t>
        </is>
      </c>
      <c r="C4" s="21" t="n">
        <v>1.461449</v>
      </c>
      <c r="F4" s="1" t="n"/>
    </row>
    <row r="5">
      <c r="B5" t="inlineStr">
        <is>
          <t>Market Cap.</t>
        </is>
      </c>
      <c r="C5" s="13">
        <f>C3*C4</f>
        <v>7.29263051</v>
      </c>
      <c r="F5" s="1" t="n"/>
    </row>
    <row r="6"/>
    <row r="7">
      <c r="B7" t="inlineStr">
        <is>
          <t>Cash</t>
        </is>
      </c>
      <c r="C7" s="21" t="n">
        <v>19.985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-12.692369489999999</v>
      </c>
    </row>
    <row r="10"/>
    <row r="11">
      <c r="B11" s="14" t="inlineStr">
        <is>
          <t>Net Cash / Share</t>
        </is>
      </c>
      <c r="C11" s="11">
        <f>(C7-C8)/C4</f>
        <v>13.674784409171993</v>
      </c>
    </row>
    <row r="12">
      <c r="B12" s="14" t="inlineStr">
        <is>
          <t>Upside</t>
        </is>
      </c>
      <c r="C12" s="15">
        <f>IFERROR(C11/C3-1,"")</f>
        <v>1.7404377573490968</v>
      </c>
    </row>
    <row r="13">
      <c r="B13" s="14" t="inlineStr">
        <is>
          <t>Cash / Share</t>
        </is>
      </c>
      <c r="C13" s="11">
        <f>IFERROR((C7-C8)/C4,"")</f>
        <v>13.674784409171993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-13.413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1.4899724148214417</v>
      </c>
    </row>
    <row r="19">
      <c r="B19" s="14" t="inlineStr">
        <is>
          <t>Implied Pipeline Value</t>
        </is>
      </c>
      <c r="C19" s="13">
        <f>C9</f>
        <v>-12.692369489999999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2018</v>
      </c>
      <c r="C1" s="17" t="n">
        <v>2019</v>
      </c>
      <c r="D1" s="17" t="n">
        <v>2020</v>
      </c>
      <c r="E1" s="17" t="n">
        <v>2021</v>
      </c>
      <c r="F1" s="17" t="n">
        <v>2022</v>
      </c>
      <c r="G1" s="17" t="n">
        <v>2023</v>
      </c>
      <c r="H1" s="17" t="n">
        <v>2024</v>
      </c>
      <c r="I1" s="17" t="n">
        <v>2025</v>
      </c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1" t="n"/>
      <c r="K4" s="1" t="n"/>
    </row>
    <row r="5">
      <c r="A5" s="2" t="inlineStr">
        <is>
          <t>Research &amp; Dev.</t>
        </is>
      </c>
      <c r="B5" s="23" t="n">
        <v>0.021</v>
      </c>
      <c r="C5" s="23" t="n">
        <v>1.854</v>
      </c>
      <c r="D5" s="23" t="n">
        <v>5.062</v>
      </c>
      <c r="E5" s="23" t="n">
        <v>9.805</v>
      </c>
      <c r="F5" s="23" t="n">
        <v>9.300000000000001</v>
      </c>
      <c r="G5" s="23" t="n">
        <v>14.096</v>
      </c>
      <c r="H5" s="23" t="n">
        <v>9.289999999999999</v>
      </c>
      <c r="I5" s="23" t="n">
        <v>9.772</v>
      </c>
      <c r="J5" s="1" t="n"/>
      <c r="K5" s="1" t="n"/>
    </row>
    <row r="6">
      <c r="A6" s="19" t="inlineStr">
        <is>
          <t>SG&amp;A &amp; Other</t>
        </is>
      </c>
      <c r="B6" s="23" t="n">
        <v>0.861</v>
      </c>
      <c r="C6" s="23" t="n">
        <v>1.979</v>
      </c>
      <c r="D6" s="23" t="n">
        <v>4.393</v>
      </c>
      <c r="E6" s="23" t="n">
        <v>4.681</v>
      </c>
      <c r="F6" s="23" t="n">
        <v>5.967</v>
      </c>
      <c r="G6" s="23" t="n">
        <v>4.77</v>
      </c>
      <c r="H6" s="23" t="n">
        <v>5.612</v>
      </c>
      <c r="I6" s="23" t="n">
        <v>6.215</v>
      </c>
      <c r="J6" s="1" t="n"/>
      <c r="K6" s="1" t="n"/>
    </row>
    <row r="7">
      <c r="A7" s="2" t="inlineStr">
        <is>
          <t>Operating Expense</t>
        </is>
      </c>
      <c r="B7" s="23">
        <f>SUM(B5:B6)</f>
        <v>0.882</v>
      </c>
      <c r="C7" s="23">
        <f>SUM(C5:C6)</f>
        <v>3.833</v>
      </c>
      <c r="D7" s="23">
        <f>SUM(D5:D6)</f>
        <v>9.455</v>
      </c>
      <c r="E7" s="23">
        <f>SUM(E5:E6)</f>
        <v>14.486</v>
      </c>
      <c r="F7" s="23">
        <f>SUM(F5:F6)</f>
        <v>15.267</v>
      </c>
      <c r="G7" s="23">
        <f>SUM(G5:G6)</f>
        <v>18.866</v>
      </c>
      <c r="H7" s="23">
        <f>SUM(H5:H6)</f>
        <v>14.902</v>
      </c>
      <c r="I7" s="23">
        <f>SUM(I5:I6)</f>
        <v>15.987</v>
      </c>
      <c r="J7" s="1" t="n"/>
      <c r="K7" s="1" t="n"/>
    </row>
    <row r="8">
      <c r="A8" s="2" t="inlineStr">
        <is>
          <t>Operating Income</t>
        </is>
      </c>
      <c r="B8" s="23">
        <f>B4-B7</f>
        <v>-0.882</v>
      </c>
      <c r="C8" s="23">
        <f>C4-C7</f>
        <v>-3.833</v>
      </c>
      <c r="D8" s="23">
        <f>D4-D7</f>
        <v>-9.455</v>
      </c>
      <c r="E8" s="23">
        <f>E4-E7</f>
        <v>-14.486</v>
      </c>
      <c r="F8" s="23">
        <f>F4-F7</f>
        <v>-15.267</v>
      </c>
      <c r="G8" s="23">
        <f>G4-G7</f>
        <v>-18.866</v>
      </c>
      <c r="H8" s="23">
        <f>H4-H7</f>
        <v>-14.902</v>
      </c>
      <c r="I8" s="23">
        <f>I4-I7</f>
        <v>-15.987</v>
      </c>
      <c r="J8" s="1" t="n"/>
      <c r="K8" s="1" t="n"/>
    </row>
    <row r="9">
      <c r="A9" s="19" t="inlineStr">
        <is>
          <t>Interest &amp; Other</t>
        </is>
      </c>
      <c r="B9" s="23" t="n">
        <v>-6.51</v>
      </c>
      <c r="C9" s="23" t="n">
        <v>-0.044</v>
      </c>
      <c r="D9" s="23" t="n">
        <v>-0.003</v>
      </c>
      <c r="E9" s="23" t="n">
        <v>-0.008999999999999999</v>
      </c>
      <c r="F9" s="23" t="n">
        <v>-0.007</v>
      </c>
      <c r="G9" s="23" t="n">
        <v>18.846</v>
      </c>
      <c r="H9" s="23" t="n">
        <v>14.887</v>
      </c>
      <c r="I9" s="23" t="n">
        <v>15.971</v>
      </c>
    </row>
    <row r="10">
      <c r="A10" s="2" t="inlineStr">
        <is>
          <t>Pretax</t>
        </is>
      </c>
      <c r="B10" s="23">
        <f>B8+B9</f>
        <v>-7.3919999999999995</v>
      </c>
      <c r="C10" s="23">
        <f>C8+C9</f>
        <v>-3.8770000000000002</v>
      </c>
      <c r="D10" s="23">
        <f>D8+D9</f>
        <v>-9.458</v>
      </c>
      <c r="E10" s="23">
        <f>E8+E9</f>
        <v>-14.495000000000001</v>
      </c>
      <c r="F10" s="23">
        <f>F8+F9</f>
        <v>-15.274</v>
      </c>
      <c r="G10" s="23">
        <f>G8+G9</f>
        <v>-0.019999999999999574</v>
      </c>
      <c r="H10" s="23">
        <f>H8+H9</f>
        <v>-0.014999999999998792</v>
      </c>
      <c r="I10" s="23">
        <f>I8+I9</f>
        <v>-0.016000000000000014</v>
      </c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</row>
    <row r="12">
      <c r="A12" s="2" t="inlineStr">
        <is>
          <t>Net Income</t>
        </is>
      </c>
      <c r="B12" s="23" t="n">
        <v>-7.392</v>
      </c>
      <c r="C12" s="23" t="n">
        <v>-3.877</v>
      </c>
      <c r="D12" s="23" t="n">
        <v>-9.458</v>
      </c>
      <c r="E12" s="23" t="n">
        <v>-14.495</v>
      </c>
      <c r="F12" s="23" t="n">
        <v>-15.274</v>
      </c>
      <c r="G12" s="23" t="n">
        <v>-0.019</v>
      </c>
      <c r="H12" s="23" t="n">
        <v>-0.015</v>
      </c>
      <c r="I12" s="23" t="n">
        <v>-0.016</v>
      </c>
      <c r="J12" s="1" t="n"/>
      <c r="K12" s="1" t="n"/>
    </row>
    <row r="13">
      <c r="A13" s="2" t="inlineStr">
        <is>
          <t>Earnings per Share</t>
        </is>
      </c>
      <c r="B13" s="11">
        <f>IFERROR(B12/B14,0)</f>
        <v>-44.8</v>
      </c>
      <c r="C13" s="11">
        <f>IFERROR(C12/C14,0)</f>
        <v>-18.11682242990654</v>
      </c>
      <c r="D13" s="11">
        <f>IFERROR(D12/D14,0)</f>
        <v>-36.23754789272031</v>
      </c>
      <c r="E13" s="11">
        <f>IFERROR(E12/E14,0)</f>
        <v>-55.32442748091603</v>
      </c>
      <c r="F13" s="11">
        <f>IFERROR(F12/F14,0)</f>
        <v>-37.620689655172406</v>
      </c>
      <c r="G13" s="11">
        <f>IFERROR(G12/G14,0)</f>
        <v>-0.042316258351893093</v>
      </c>
      <c r="H13" s="11">
        <f>IFERROR(H12/H14,0)</f>
        <v>-0.033632286995515695</v>
      </c>
      <c r="I13" s="11">
        <f>IFERROR(I12/I14,0)</f>
        <v>-0.03611738148984198</v>
      </c>
    </row>
    <row r="14">
      <c r="A14" s="2" t="inlineStr">
        <is>
          <t>Shares</t>
        </is>
      </c>
      <c r="B14" s="23" t="n">
        <v>0.165</v>
      </c>
      <c r="C14" s="23" t="n">
        <v>0.214</v>
      </c>
      <c r="D14" s="23" t="n">
        <v>0.261</v>
      </c>
      <c r="E14" s="23" t="n">
        <v>0.262</v>
      </c>
      <c r="F14" s="23" t="n">
        <v>0.406</v>
      </c>
      <c r="G14" s="23" t="n">
        <v>0.449</v>
      </c>
      <c r="H14" s="23" t="n">
        <v>0.446</v>
      </c>
      <c r="I14" s="23" t="n">
        <v>0.443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2026-10-21T01:06:42Z</dcterms:modified>
  <cp:lastModifiedBy>Wang, Eric</cp:lastModifiedBy>
</cp:coreProperties>
</file>