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Cocrystal Pharma Inc</t>
        </is>
      </c>
      <c r="C2" s="10" t="n"/>
    </row>
    <row r="3">
      <c r="B3" t="inlineStr">
        <is>
          <t>Price</t>
        </is>
      </c>
      <c r="C3" s="11">
        <f>INDEX([1]Pharma!$F$1:$F$1000,MATCH("COCP",[1]Pharma!$B$1:$B$1000,0))</f>
        <v>0.9429</v>
      </c>
      <c r="F3" s="1" t="n"/>
    </row>
    <row r="4">
      <c r="B4" t="inlineStr">
        <is>
          <t>Shares</t>
        </is>
      </c>
      <c r="C4" s="21" t="n">
        <v>19.2632</v>
      </c>
      <c r="F4" s="1" t="n"/>
    </row>
    <row r="5">
      <c r="B5" t="inlineStr">
        <is>
          <t>Market Cap.</t>
        </is>
      </c>
      <c r="C5" s="13">
        <f>C3*C4</f>
        <v>18.16327128</v>
      </c>
      <c r="F5" s="1" t="n"/>
    </row>
    <row r="6"/>
    <row r="7">
      <c r="B7" t="inlineStr">
        <is>
          <t>Cash</t>
        </is>
      </c>
      <c r="C7" s="21" t="n">
        <v>2.169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15.99427128</v>
      </c>
    </row>
    <row r="10"/>
    <row r="11">
      <c r="B11" s="14" t="inlineStr">
        <is>
          <t>Net Cash / Share</t>
        </is>
      </c>
      <c r="C11" s="11">
        <f>(C7-C8)/C4</f>
        <v>0.11259811453964035</v>
      </c>
    </row>
    <row r="12">
      <c r="B12" s="14" t="inlineStr">
        <is>
          <t>Upside</t>
        </is>
      </c>
      <c r="C12" s="15">
        <f>IFERROR(C11/C3-1,"")</f>
        <v>-0.8805831853434719</v>
      </c>
    </row>
    <row r="13">
      <c r="B13" s="14" t="inlineStr">
        <is>
          <t>Cash / Share</t>
        </is>
      </c>
      <c r="C13" s="11">
        <f>IFERROR((C7-C8)/C4,"")</f>
        <v>0.11259811453964035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-7.954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0.2726929846618054</v>
      </c>
    </row>
    <row r="19">
      <c r="B19" s="14" t="inlineStr">
        <is>
          <t>Implied Pipeline Value</t>
        </is>
      </c>
      <c r="C19" s="13">
        <f>C9</f>
        <v>15.99427128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2010</v>
      </c>
      <c r="C1" s="17" t="n">
        <v>2011</v>
      </c>
      <c r="D1" s="17" t="n">
        <v>2012</v>
      </c>
      <c r="E1" s="17" t="n">
        <v>2013</v>
      </c>
      <c r="F1" s="17" t="n">
        <v>2014</v>
      </c>
      <c r="G1" s="17" t="n">
        <v>2015</v>
      </c>
      <c r="H1" s="17" t="n">
        <v>2016</v>
      </c>
      <c r="I1" s="17" t="n">
        <v>2017</v>
      </c>
      <c r="J1" s="17" t="n">
        <v>2018</v>
      </c>
      <c r="K1" s="17" t="n">
        <v>2019</v>
      </c>
      <c r="L1" s="17" t="n">
        <v>2020</v>
      </c>
      <c r="M1" s="17" t="n">
        <v>2021</v>
      </c>
      <c r="N1" s="17" t="n">
        <v>2022</v>
      </c>
      <c r="O1" s="17" t="n">
        <v>2023</v>
      </c>
      <c r="P1" s="17" t="n">
        <v>2024</v>
      </c>
      <c r="Q1" s="17" t="n">
        <v>2025</v>
      </c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12.712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6.564</v>
      </c>
      <c r="L2" s="23" t="n">
        <v>2.014</v>
      </c>
      <c r="M2" s="23" t="n">
        <v>0</v>
      </c>
      <c r="N2" s="23" t="n">
        <v>0</v>
      </c>
      <c r="O2" s="23" t="n">
        <v>0</v>
      </c>
      <c r="P2" s="23" t="n">
        <v>0</v>
      </c>
      <c r="Q2" s="23" t="n">
        <v>0</v>
      </c>
    </row>
    <row r="3" customFormat="1" s="1">
      <c r="A3" s="5" t="inlineStr">
        <is>
          <t>Cost of Sales</t>
        </is>
      </c>
      <c r="B3" s="23" t="n">
        <v>8.428000000000001</v>
      </c>
      <c r="C3" s="23" t="n">
        <v>9.92</v>
      </c>
      <c r="D3" s="23" t="n">
        <v>9.968999999999999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</row>
    <row r="4" customFormat="1" s="1">
      <c r="A4" s="5" t="inlineStr">
        <is>
          <t>Gross Margin</t>
        </is>
      </c>
      <c r="B4" s="23">
        <f>B2-B3</f>
        <v>-8.428</v>
      </c>
      <c r="C4" s="23">
        <f>C2-C3</f>
        <v>2.792</v>
      </c>
      <c r="D4" s="23">
        <f>D2-D3</f>
        <v>-9.969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6.564</v>
      </c>
      <c r="L4" s="23">
        <f>L2-L3</f>
        <v>2.014</v>
      </c>
      <c r="M4" s="23">
        <f>M2-M3</f>
        <v>0.0</v>
      </c>
      <c r="N4" s="23">
        <f>N2-N3</f>
        <v>0.0</v>
      </c>
      <c r="O4" s="23">
        <f>O2-O3</f>
        <v>0.0</v>
      </c>
      <c r="P4" s="23">
        <f>P2-P3</f>
        <v>0.0</v>
      </c>
      <c r="Q4" s="23">
        <f>Q2-Q3</f>
        <v>0.0</v>
      </c>
    </row>
    <row r="5">
      <c r="A5" s="2" t="inlineStr">
        <is>
          <t>Research &amp; Dev.</t>
        </is>
      </c>
      <c r="B5" s="23" t="n">
        <v>0.241</v>
      </c>
      <c r="C5" s="23" t="n">
        <v>0.423</v>
      </c>
      <c r="D5" s="23" t="n">
        <v>0.489</v>
      </c>
      <c r="E5" s="23" t="n">
        <v>3.862</v>
      </c>
      <c r="F5" s="23" t="n">
        <v>4.071</v>
      </c>
      <c r="G5" s="23" t="n">
        <v>47.261</v>
      </c>
      <c r="H5" s="23" t="n">
        <v>101.679</v>
      </c>
      <c r="I5" s="23" t="n">
        <v>5.822</v>
      </c>
      <c r="J5" s="23" t="n">
        <v>4.667</v>
      </c>
      <c r="K5" s="23" t="n">
        <v>4.004</v>
      </c>
      <c r="L5" s="23" t="n">
        <v>6.034</v>
      </c>
      <c r="M5" s="23" t="n">
        <v>8.794</v>
      </c>
      <c r="N5" s="23" t="n">
        <v>12.392</v>
      </c>
      <c r="O5" s="23" t="n">
        <v>15.169</v>
      </c>
      <c r="P5" s="23" t="n">
        <v>12.537</v>
      </c>
      <c r="Q5" s="23" t="n">
        <v>5.055</v>
      </c>
    </row>
    <row r="6">
      <c r="A6" s="19" t="inlineStr">
        <is>
          <t>SG&amp;A &amp; Other</t>
        </is>
      </c>
      <c r="B6" s="23" t="n">
        <v>-8.635999999999999</v>
      </c>
      <c r="C6" s="23" t="n">
        <v>6.256</v>
      </c>
      <c r="D6" s="23" t="n">
        <v>-7.905</v>
      </c>
      <c r="E6" s="23" t="n">
        <v>0.219</v>
      </c>
      <c r="F6" s="23" t="n">
        <v>1.728</v>
      </c>
      <c r="G6" s="23" t="n">
        <v>6.687</v>
      </c>
      <c r="H6" s="23" t="n">
        <v>4.14</v>
      </c>
      <c r="I6" s="23" t="n">
        <v>2.44</v>
      </c>
      <c r="J6" s="23" t="n">
        <v>58.257</v>
      </c>
      <c r="K6" s="23" t="n">
        <v>50.966</v>
      </c>
      <c r="L6" s="23" t="n">
        <v>5.566</v>
      </c>
      <c r="M6" s="23" t="n">
        <v>5.427</v>
      </c>
      <c r="N6" s="23" t="n">
        <v>26.437</v>
      </c>
      <c r="O6" s="23" t="n">
        <v>3.39</v>
      </c>
      <c r="P6" s="23" t="n">
        <v>5.341</v>
      </c>
      <c r="Q6" s="23" t="n">
        <v>3.964</v>
      </c>
    </row>
    <row r="7">
      <c r="A7" s="2" t="inlineStr">
        <is>
          <t>Operating Expense</t>
        </is>
      </c>
      <c r="B7" s="23">
        <f>SUM(B5:B6)</f>
        <v>-8.395</v>
      </c>
      <c r="C7" s="23">
        <f>SUM(C5:C6)</f>
        <v>6.679</v>
      </c>
      <c r="D7" s="23">
        <f>SUM(D5:D6)</f>
        <v>-7.416</v>
      </c>
      <c r="E7" s="23">
        <f>SUM(E5:E6)</f>
        <v>4.081</v>
      </c>
      <c r="F7" s="23">
        <f>SUM(F5:F6)</f>
        <v>5.7989999999999995</v>
      </c>
      <c r="G7" s="23">
        <f>SUM(G5:G6)</f>
        <v>53.948</v>
      </c>
      <c r="H7" s="23">
        <f>SUM(H5:H6)</f>
        <v>105.819</v>
      </c>
      <c r="I7" s="23">
        <f>SUM(I5:I6)</f>
        <v>8.262</v>
      </c>
      <c r="J7" s="23">
        <f>SUM(J5:J6)</f>
        <v>62.924</v>
      </c>
      <c r="K7" s="23">
        <f>SUM(K5:K6)</f>
        <v>54.97</v>
      </c>
      <c r="L7" s="23">
        <f>SUM(L5:L6)</f>
        <v>11.6</v>
      </c>
      <c r="M7" s="23">
        <f>SUM(M5:M6)</f>
        <v>14.221</v>
      </c>
      <c r="N7" s="23">
        <f>SUM(N5:N6)</f>
        <v>38.829</v>
      </c>
      <c r="O7" s="23">
        <f>SUM(O5:O6)</f>
        <v>18.559</v>
      </c>
      <c r="P7" s="23">
        <f>SUM(P5:P6)</f>
        <v>17.878</v>
      </c>
      <c r="Q7" s="23">
        <f>SUM(Q5:Q6)</f>
        <v>9.019</v>
      </c>
    </row>
    <row r="8">
      <c r="A8" s="2" t="inlineStr">
        <is>
          <t>Operating Income</t>
        </is>
      </c>
      <c r="B8" s="23">
        <f>B4-B7</f>
        <v>-0.03300000000000125</v>
      </c>
      <c r="C8" s="23">
        <f>C4-C7</f>
        <v>-3.8870000000000005</v>
      </c>
      <c r="D8" s="23">
        <f>D4-D7</f>
        <v>-2.552999999999999</v>
      </c>
      <c r="E8" s="23">
        <f>E4-E7</f>
        <v>-4.081</v>
      </c>
      <c r="F8" s="23">
        <f>F4-F7</f>
        <v>-5.7989999999999995</v>
      </c>
      <c r="G8" s="23">
        <f>G4-G7</f>
        <v>-53.948</v>
      </c>
      <c r="H8" s="23">
        <f>H4-H7</f>
        <v>-105.819</v>
      </c>
      <c r="I8" s="23">
        <f>I4-I7</f>
        <v>-8.262</v>
      </c>
      <c r="J8" s="23">
        <f>J4-J7</f>
        <v>-62.924</v>
      </c>
      <c r="K8" s="23">
        <f>K4-K7</f>
        <v>-48.406</v>
      </c>
      <c r="L8" s="23">
        <f>L4-L7</f>
        <v>-9.586</v>
      </c>
      <c r="M8" s="23">
        <f>M4-M7</f>
        <v>-14.221</v>
      </c>
      <c r="N8" s="23">
        <f>N4-N7</f>
        <v>-38.829</v>
      </c>
      <c r="O8" s="23">
        <f>O4-O7</f>
        <v>-18.559</v>
      </c>
      <c r="P8" s="23">
        <f>P4-P7</f>
        <v>-17.878</v>
      </c>
      <c r="Q8" s="23">
        <f>Q4-Q7</f>
        <v>-9.019</v>
      </c>
    </row>
    <row r="9">
      <c r="A9" s="19" t="inlineStr">
        <is>
          <t>Interest &amp; Other</t>
        </is>
      </c>
      <c r="B9" s="23" t="n">
        <v>-0.384</v>
      </c>
      <c r="C9" s="23" t="n">
        <v>-1.567</v>
      </c>
      <c r="D9" s="23" t="n">
        <v>-5.411</v>
      </c>
      <c r="E9" s="23" t="n">
        <v>0.194</v>
      </c>
      <c r="F9" s="23" t="n">
        <v>5.648</v>
      </c>
      <c r="G9" s="23" t="n">
        <v>-11.422</v>
      </c>
      <c r="H9" s="23" t="n">
        <v>1.551</v>
      </c>
      <c r="I9" s="23" t="n">
        <v>0.769</v>
      </c>
      <c r="J9" s="23" t="n">
        <v>0.294</v>
      </c>
      <c r="K9" s="23" t="n">
        <v>0.237</v>
      </c>
      <c r="L9" s="23" t="n">
        <v>-0.062</v>
      </c>
      <c r="M9" s="23" t="n">
        <v>0.036</v>
      </c>
      <c r="N9" s="23" t="n">
        <v>-0.008</v>
      </c>
      <c r="O9" s="23" t="n">
        <v>0.575</v>
      </c>
      <c r="P9" s="23" t="n">
        <v>0.374</v>
      </c>
      <c r="Q9" s="23" t="n">
        <v>0.188</v>
      </c>
    </row>
    <row r="10">
      <c r="A10" s="2" t="inlineStr">
        <is>
          <t>Pretax</t>
        </is>
      </c>
      <c r="B10" s="23">
        <f>B8+B9</f>
        <v>-0.41700000000000126</v>
      </c>
      <c r="C10" s="23">
        <f>C8+C9</f>
        <v>-5.454000000000001</v>
      </c>
      <c r="D10" s="23">
        <f>D8+D9</f>
        <v>-7.963999999999999</v>
      </c>
      <c r="E10" s="23">
        <f>E8+E9</f>
        <v>-3.8870000000000005</v>
      </c>
      <c r="F10" s="23">
        <f>F8+F9</f>
        <v>-0.1509999999999998</v>
      </c>
      <c r="G10" s="23">
        <f>G8+G9</f>
        <v>-65.37</v>
      </c>
      <c r="H10" s="23">
        <f>H8+H9</f>
        <v>-104.268</v>
      </c>
      <c r="I10" s="23">
        <f>I8+I9</f>
        <v>-7.493</v>
      </c>
      <c r="J10" s="23">
        <f>J8+J9</f>
        <v>-62.63</v>
      </c>
      <c r="K10" s="23">
        <f>K8+K9</f>
        <v>-48.169</v>
      </c>
      <c r="L10" s="23">
        <f>L8+L9</f>
        <v>-9.648</v>
      </c>
      <c r="M10" s="23">
        <f>M8+M9</f>
        <v>-14.185</v>
      </c>
      <c r="N10" s="23">
        <f>N8+N9</f>
        <v>-38.837</v>
      </c>
      <c r="O10" s="23">
        <f>O8+O9</f>
        <v>-17.984</v>
      </c>
      <c r="P10" s="23">
        <f>P8+P9</f>
        <v>-17.504</v>
      </c>
      <c r="Q10" s="23">
        <f>Q8+Q9</f>
        <v>-8.831</v>
      </c>
    </row>
    <row r="11">
      <c r="A11" s="2" t="inlineStr">
        <is>
          <t>Taxes</t>
        </is>
      </c>
      <c r="B11" s="23" t="n">
        <v>-0.096</v>
      </c>
      <c r="C11" s="23" t="n">
        <v>0.003</v>
      </c>
      <c r="D11" s="23" t="n">
        <v>0</v>
      </c>
      <c r="E11" s="23" t="n">
        <v>0</v>
      </c>
      <c r="F11" s="23" t="n">
        <v>-0.052</v>
      </c>
      <c r="G11" s="23" t="n">
        <v>-15.248</v>
      </c>
      <c r="H11" s="23" t="n">
        <v>-29.394</v>
      </c>
      <c r="I11" s="23" t="n">
        <v>-6.88</v>
      </c>
      <c r="J11" s="23" t="n">
        <v>-13.582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0</v>
      </c>
    </row>
    <row r="12">
      <c r="A12" s="2" t="inlineStr">
        <is>
          <t>Net Income</t>
        </is>
      </c>
      <c r="B12" s="23" t="n">
        <v>-0.32</v>
      </c>
      <c r="C12" s="23" t="n">
        <v>-5.457</v>
      </c>
      <c r="D12" s="23" t="n">
        <v>-7.965</v>
      </c>
      <c r="E12" s="23" t="n">
        <v>-3.887</v>
      </c>
      <c r="F12" s="23" t="n">
        <v>-0.099</v>
      </c>
      <c r="G12" s="23" t="n">
        <v>-50.122</v>
      </c>
      <c r="H12" s="23" t="n">
        <v>-74.874</v>
      </c>
      <c r="I12" s="23" t="n">
        <v>-0.613</v>
      </c>
      <c r="J12" s="23" t="n">
        <v>-49.048</v>
      </c>
      <c r="K12" s="23" t="n">
        <v>-48.169</v>
      </c>
      <c r="L12" s="23" t="n">
        <v>-9.648</v>
      </c>
      <c r="M12" s="23" t="n">
        <v>-14.185</v>
      </c>
      <c r="N12" s="23" t="n">
        <v>-38.837</v>
      </c>
      <c r="O12" s="23" t="n">
        <v>-17.984</v>
      </c>
      <c r="P12" s="23" t="n">
        <v>-17.504</v>
      </c>
      <c r="Q12" s="23" t="n">
        <v>-8.831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-0.22369337979094076</v>
      </c>
      <c r="D13" s="11">
        <f>IFERROR(D12/D14,0)</f>
        <v>-0.26723704076497234</v>
      </c>
      <c r="E13" s="11">
        <f>IFERROR(E12/E14,0)</f>
        <v>-0.13046688819521365</v>
      </c>
      <c r="F13" s="11">
        <f>IFERROR(F12/F14,0)</f>
        <v>-0.0033225936367297627</v>
      </c>
      <c r="G13" s="11">
        <f>IFERROR(G12/G14,0)</f>
        <v>-26.241884816753927</v>
      </c>
      <c r="H13" s="11">
        <f>IFERROR(H12/H14,0)</f>
        <v>-35.00420757363254</v>
      </c>
      <c r="I13" s="11">
        <f>IFERROR(I12/I14,0)</f>
        <v>-0.27952576379388966</v>
      </c>
      <c r="J13" s="11">
        <f>IFERROR(J12/J14,0)</f>
        <v>-19.26472898664572</v>
      </c>
      <c r="K13" s="11">
        <f>IFERROR(K12/K14,0)</f>
        <v>-16.632941988950275</v>
      </c>
      <c r="L13" s="11">
        <f>IFERROR(L12/L14,0)</f>
        <v>-1.9219123505976097</v>
      </c>
      <c r="M13" s="11">
        <f>IFERROR(M12/M14,0)</f>
        <v>-1.765840906261671</v>
      </c>
      <c r="N13" s="11">
        <f>IFERROR(N12/N14,0)</f>
        <v>-4.769372467149699</v>
      </c>
      <c r="O13" s="11">
        <f>IFERROR(O12/O14,0)</f>
        <v>-1.863433841052741</v>
      </c>
      <c r="P13" s="11">
        <f>IFERROR(P12/P14,0)</f>
        <v>-1.7204639276587381</v>
      </c>
      <c r="Q13" s="11">
        <f>IFERROR(Q12/Q14,0)</f>
        <v>-0.7821966341895483</v>
      </c>
    </row>
    <row r="14">
      <c r="A14" s="2" t="inlineStr">
        <is>
          <t>Shares</t>
        </is>
      </c>
      <c r="B14" s="23" t="n"/>
      <c r="C14" s="23" t="n">
        <v>24.395</v>
      </c>
      <c r="D14" s="23" t="n">
        <v>29.805</v>
      </c>
      <c r="E14" s="23" t="n">
        <v>29.793</v>
      </c>
      <c r="F14" s="23" t="n">
        <v>29.796</v>
      </c>
      <c r="G14" s="23" t="n">
        <v>1.91</v>
      </c>
      <c r="H14" s="23" t="n">
        <v>2.139</v>
      </c>
      <c r="I14" s="23" t="n">
        <v>2.193</v>
      </c>
      <c r="J14" s="23" t="n">
        <v>2.546</v>
      </c>
      <c r="K14" s="23" t="n">
        <v>2.896</v>
      </c>
      <c r="L14" s="23" t="n">
        <v>5.02</v>
      </c>
      <c r="M14" s="23" t="n">
        <v>8.032999999999999</v>
      </c>
      <c r="N14" s="23" t="n">
        <v>8.143000000000001</v>
      </c>
      <c r="O14" s="23" t="n">
        <v>9.651</v>
      </c>
      <c r="P14" s="23" t="n">
        <v>10.174</v>
      </c>
      <c r="Q14" s="23" t="n">
        <v>11.29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-1.0</v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>-0.6931748933577088</v>
      </c>
      <c r="M16" s="15">
        <f>IFERROR(M2/L2-1,"")</f>
        <v>-1.0</v>
      </c>
      <c r="N16" s="15">
        <f>IFERROR(N2/M2-1,"")</f>
        <v/>
      </c>
      <c r="O16" s="15">
        <f>IFERROR(O2/N2-1,"")</f>
        <v/>
      </c>
      <c r="P16" s="15">
        <f>IFERROR(P2/O2-1,"")</f>
        <v/>
      </c>
      <c r="Q16" s="15">
        <f>IFERROR(Q2/P2-1,"")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0.2196349905601007</v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>1.0</v>
      </c>
      <c r="L17" s="15">
        <f>IFERROR(L4/L2,"")</f>
        <v>1.0</v>
      </c>
      <c r="M17" s="15">
        <f>IFERROR(M4/M2,"")</f>
        <v/>
      </c>
      <c r="N17" s="15">
        <f>IFERROR(N4/N2,"")</f>
        <v/>
      </c>
      <c r="O17" s="15">
        <f>IFERROR(O4/O2,"")</f>
        <v/>
      </c>
      <c r="P17" s="15">
        <f>IFERROR(P4/P2,"")</f>
        <v/>
      </c>
      <c r="Q17" s="15">
        <f>IFERROR(Q4/Q2,"")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-0.3057740717432348</v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>-7.374466788543571</v>
      </c>
      <c r="L18" s="15">
        <f>IFERROR(L8/L2,"")</f>
        <v>-4.759682224428998</v>
      </c>
      <c r="M18" s="15">
        <f>IFERROR(M8/M2,"")</f>
        <v/>
      </c>
      <c r="N18" s="15">
        <f>IFERROR(N8/N2,"")</f>
        <v/>
      </c>
      <c r="O18" s="15">
        <f>IFERROR(O8/O2,"")</f>
        <v/>
      </c>
      <c r="P18" s="15">
        <f>IFERROR(P8/P2,"")</f>
        <v/>
      </c>
      <c r="Q18" s="15">
        <f>IFERROR(Q8/Q2,"")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2026-10-21T01:06:27Z</dcterms:modified>
  <cp:lastModifiedBy>Wang, Eric</cp:lastModifiedBy>
</cp:coreProperties>
</file>