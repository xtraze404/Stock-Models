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Cocrystal Pharma Inc</t>
        </is>
      </c>
      <c r="C2" s="10" t="n"/>
    </row>
    <row r="3">
      <c r="B3" t="inlineStr">
        <is>
          <t>Price</t>
        </is>
      </c>
      <c r="C3" s="11">
        <f>INDEX([1]Pharma!$F$1:$F$1000,MATCH("COCP",[1]Pharma!$B$1:$B$1000,0))</f>
        <v>0.9429</v>
      </c>
      <c r="F3" s="1" t="n"/>
    </row>
    <row r="4">
      <c r="B4" t="inlineStr">
        <is>
          <t>Shares</t>
        </is>
      </c>
      <c r="C4" s="21" t="n">
        <v>19.2632</v>
      </c>
      <c r="F4" s="1" t="n"/>
    </row>
    <row r="5">
      <c r="B5" t="inlineStr">
        <is>
          <t>Market Cap.</t>
        </is>
      </c>
      <c r="C5" s="13">
        <f>C3*C4</f>
        <v>18.16327128</v>
      </c>
      <c r="F5" s="1" t="n"/>
    </row>
    <row r="6"/>
    <row r="7">
      <c r="B7" t="inlineStr">
        <is>
          <t>Cash</t>
        </is>
      </c>
      <c r="C7" s="21" t="n">
        <v>2.169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15.99427128</v>
      </c>
    </row>
    <row r="10"/>
    <row r="11">
      <c r="B11" s="14" t="inlineStr">
        <is>
          <t>rNPV / Share</t>
        </is>
      </c>
      <c r="C11" s="11">
        <f>NPV!B27</f>
        <v>3.8156301979427947</v>
      </c>
    </row>
    <row r="12">
      <c r="B12" s="14" t="inlineStr">
        <is>
          <t>Upside</t>
        </is>
      </c>
      <c r="C12" s="15">
        <f>IFERROR(C11/C3-1,"")</f>
        <v>3.046696572216348</v>
      </c>
    </row>
    <row r="13">
      <c r="B13" s="14" t="inlineStr">
        <is>
          <t>Cash / Share</t>
        </is>
      </c>
      <c r="C13" s="11">
        <f>IFERROR((C7-C8)/C4,"")</f>
        <v>0.11259811453964035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-7.954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0.2726929846618054</v>
      </c>
    </row>
    <row r="19">
      <c r="B19" s="14" t="inlineStr">
        <is>
          <t>Implied Pipeline Value</t>
        </is>
      </c>
      <c r="C19" s="13">
        <f>C9</f>
        <v>15.99427128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2010</v>
      </c>
      <c r="C1" s="17" t="n">
        <v>2011</v>
      </c>
      <c r="D1" s="17" t="n">
        <v>2012</v>
      </c>
      <c r="E1" s="17" t="n">
        <v>2013</v>
      </c>
      <c r="F1" s="17" t="n">
        <v>2014</v>
      </c>
      <c r="G1" s="17" t="n">
        <v>2015</v>
      </c>
      <c r="H1" s="17" t="n">
        <v>2016</v>
      </c>
      <c r="I1" s="17" t="n">
        <v>2017</v>
      </c>
      <c r="J1" s="17" t="n">
        <v>2018</v>
      </c>
      <c r="K1" s="17" t="n">
        <v>2019</v>
      </c>
      <c r="L1" s="17" t="n">
        <v>2020</v>
      </c>
      <c r="M1" s="17" t="n">
        <v>2021</v>
      </c>
      <c r="N1" s="17" t="n">
        <v>2022</v>
      </c>
      <c r="O1" s="17" t="n">
        <v>2023</v>
      </c>
      <c r="P1" s="17" t="n">
        <v>2024</v>
      </c>
      <c r="Q1" s="17" t="n">
        <v>2025</v>
      </c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12.712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</v>
      </c>
      <c r="K2" s="23" t="n">
        <v>6.564</v>
      </c>
      <c r="L2" s="23" t="n">
        <v>2.014</v>
      </c>
      <c r="M2" s="23" t="n">
        <v>0</v>
      </c>
      <c r="N2" s="23" t="n">
        <v>0</v>
      </c>
      <c r="O2" s="23" t="n">
        <v>0</v>
      </c>
      <c r="P2" s="23" t="n">
        <v>0</v>
      </c>
      <c r="Q2" s="23" t="n">
        <v>0</v>
      </c>
    </row>
    <row r="3" customFormat="1" s="1">
      <c r="A3" s="5" t="inlineStr">
        <is>
          <t>Cost of Sales</t>
        </is>
      </c>
      <c r="B3" s="23" t="n">
        <v>8.428000000000001</v>
      </c>
      <c r="C3" s="23" t="n">
        <v>9.92</v>
      </c>
      <c r="D3" s="23" t="n">
        <v>9.968999999999999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  <c r="P3" s="23" t="n">
        <v>0</v>
      </c>
      <c r="Q3" s="23" t="n">
        <v>0</v>
      </c>
    </row>
    <row r="4" customFormat="1" s="1">
      <c r="A4" s="5" t="inlineStr">
        <is>
          <t>Gross Margin</t>
        </is>
      </c>
      <c r="B4" s="23">
        <f>B2-B3</f>
        <v>-8.428</v>
      </c>
      <c r="C4" s="23">
        <f>C2-C3</f>
        <v>2.792</v>
      </c>
      <c r="D4" s="23">
        <f>D2-D3</f>
        <v>-9.969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0.0</v>
      </c>
      <c r="J4" s="23">
        <f>J2-J3</f>
        <v>0.0</v>
      </c>
      <c r="K4" s="23">
        <f>K2-K3</f>
        <v>6.564</v>
      </c>
      <c r="L4" s="23">
        <f>L2-L3</f>
        <v>2.014</v>
      </c>
      <c r="M4" s="23">
        <f>M2-M3</f>
        <v>0.0</v>
      </c>
      <c r="N4" s="23">
        <f>N2-N3</f>
        <v>0.0</v>
      </c>
      <c r="O4" s="23">
        <f>O2-O3</f>
        <v>0.0</v>
      </c>
      <c r="P4" s="23">
        <f>P2-P3</f>
        <v>0.0</v>
      </c>
      <c r="Q4" s="23">
        <f>Q2-Q3</f>
        <v>0.0</v>
      </c>
    </row>
    <row r="5">
      <c r="A5" s="2" t="inlineStr">
        <is>
          <t>Research &amp; Dev.</t>
        </is>
      </c>
      <c r="B5" s="23" t="n">
        <v>0.241</v>
      </c>
      <c r="C5" s="23" t="n">
        <v>0.423</v>
      </c>
      <c r="D5" s="23" t="n">
        <v>0.489</v>
      </c>
      <c r="E5" s="23" t="n">
        <v>3.862</v>
      </c>
      <c r="F5" s="23" t="n">
        <v>4.071</v>
      </c>
      <c r="G5" s="23" t="n">
        <v>47.261</v>
      </c>
      <c r="H5" s="23" t="n">
        <v>101.679</v>
      </c>
      <c r="I5" s="23" t="n">
        <v>5.822</v>
      </c>
      <c r="J5" s="23" t="n">
        <v>4.667</v>
      </c>
      <c r="K5" s="23" t="n">
        <v>4.004</v>
      </c>
      <c r="L5" s="23" t="n">
        <v>6.034</v>
      </c>
      <c r="M5" s="23" t="n">
        <v>8.794</v>
      </c>
      <c r="N5" s="23" t="n">
        <v>12.392</v>
      </c>
      <c r="O5" s="23" t="n">
        <v>15.169</v>
      </c>
      <c r="P5" s="23" t="n">
        <v>12.537</v>
      </c>
      <c r="Q5" s="23" t="n">
        <v>5.055</v>
      </c>
    </row>
    <row r="6">
      <c r="A6" s="19" t="inlineStr">
        <is>
          <t>SG&amp;A &amp; Other</t>
        </is>
      </c>
      <c r="B6" s="23" t="n">
        <v>-8.635999999999999</v>
      </c>
      <c r="C6" s="23" t="n">
        <v>6.256</v>
      </c>
      <c r="D6" s="23" t="n">
        <v>-7.905</v>
      </c>
      <c r="E6" s="23" t="n">
        <v>0.219</v>
      </c>
      <c r="F6" s="23" t="n">
        <v>1.728</v>
      </c>
      <c r="G6" s="23" t="n">
        <v>6.687</v>
      </c>
      <c r="H6" s="23" t="n">
        <v>4.14</v>
      </c>
      <c r="I6" s="23" t="n">
        <v>2.44</v>
      </c>
      <c r="J6" s="23" t="n">
        <v>58.257</v>
      </c>
      <c r="K6" s="23" t="n">
        <v>50.966</v>
      </c>
      <c r="L6" s="23" t="n">
        <v>5.566</v>
      </c>
      <c r="M6" s="23" t="n">
        <v>5.427</v>
      </c>
      <c r="N6" s="23" t="n">
        <v>26.437</v>
      </c>
      <c r="O6" s="23" t="n">
        <v>3.39</v>
      </c>
      <c r="P6" s="23" t="n">
        <v>5.341</v>
      </c>
      <c r="Q6" s="23" t="n">
        <v>3.964</v>
      </c>
    </row>
    <row r="7">
      <c r="A7" s="2" t="inlineStr">
        <is>
          <t>Operating Expense</t>
        </is>
      </c>
      <c r="B7" s="23">
        <f>SUM(B5:B6)</f>
        <v>-8.395</v>
      </c>
      <c r="C7" s="23">
        <f>SUM(C5:C6)</f>
        <v>6.679</v>
      </c>
      <c r="D7" s="23">
        <f>SUM(D5:D6)</f>
        <v>-7.416</v>
      </c>
      <c r="E7" s="23">
        <f>SUM(E5:E6)</f>
        <v>4.081</v>
      </c>
      <c r="F7" s="23">
        <f>SUM(F5:F6)</f>
        <v>5.7989999999999995</v>
      </c>
      <c r="G7" s="23">
        <f>SUM(G5:G6)</f>
        <v>53.948</v>
      </c>
      <c r="H7" s="23">
        <f>SUM(H5:H6)</f>
        <v>105.819</v>
      </c>
      <c r="I7" s="23">
        <f>SUM(I5:I6)</f>
        <v>8.262</v>
      </c>
      <c r="J7" s="23">
        <f>SUM(J5:J6)</f>
        <v>62.924</v>
      </c>
      <c r="K7" s="23">
        <f>SUM(K5:K6)</f>
        <v>54.97</v>
      </c>
      <c r="L7" s="23">
        <f>SUM(L5:L6)</f>
        <v>11.6</v>
      </c>
      <c r="M7" s="23">
        <f>SUM(M5:M6)</f>
        <v>14.221</v>
      </c>
      <c r="N7" s="23">
        <f>SUM(N5:N6)</f>
        <v>38.829</v>
      </c>
      <c r="O7" s="23">
        <f>SUM(O5:O6)</f>
        <v>18.559</v>
      </c>
      <c r="P7" s="23">
        <f>SUM(P5:P6)</f>
        <v>17.878</v>
      </c>
      <c r="Q7" s="23">
        <f>SUM(Q5:Q6)</f>
        <v>9.019</v>
      </c>
    </row>
    <row r="8">
      <c r="A8" s="2" t="inlineStr">
        <is>
          <t>Operating Income</t>
        </is>
      </c>
      <c r="B8" s="23">
        <f>B4-B7</f>
        <v>-0.03300000000000125</v>
      </c>
      <c r="C8" s="23">
        <f>C4-C7</f>
        <v>-3.8870000000000005</v>
      </c>
      <c r="D8" s="23">
        <f>D4-D7</f>
        <v>-2.552999999999999</v>
      </c>
      <c r="E8" s="23">
        <f>E4-E7</f>
        <v>-4.081</v>
      </c>
      <c r="F8" s="23">
        <f>F4-F7</f>
        <v>-5.7989999999999995</v>
      </c>
      <c r="G8" s="23">
        <f>G4-G7</f>
        <v>-53.948</v>
      </c>
      <c r="H8" s="23">
        <f>H4-H7</f>
        <v>-105.819</v>
      </c>
      <c r="I8" s="23">
        <f>I4-I7</f>
        <v>-8.262</v>
      </c>
      <c r="J8" s="23">
        <f>J4-J7</f>
        <v>-62.924</v>
      </c>
      <c r="K8" s="23">
        <f>K4-K7</f>
        <v>-48.406</v>
      </c>
      <c r="L8" s="23">
        <f>L4-L7</f>
        <v>-9.586</v>
      </c>
      <c r="M8" s="23">
        <f>M4-M7</f>
        <v>-14.221</v>
      </c>
      <c r="N8" s="23">
        <f>N4-N7</f>
        <v>-38.829</v>
      </c>
      <c r="O8" s="23">
        <f>O4-O7</f>
        <v>-18.559</v>
      </c>
      <c r="P8" s="23">
        <f>P4-P7</f>
        <v>-17.878</v>
      </c>
      <c r="Q8" s="23">
        <f>Q4-Q7</f>
        <v>-9.019</v>
      </c>
    </row>
    <row r="9">
      <c r="A9" s="19" t="inlineStr">
        <is>
          <t>Interest &amp; Other</t>
        </is>
      </c>
      <c r="B9" s="23" t="n">
        <v>-0.384</v>
      </c>
      <c r="C9" s="23" t="n">
        <v>-1.567</v>
      </c>
      <c r="D9" s="23" t="n">
        <v>-5.411</v>
      </c>
      <c r="E9" s="23" t="n">
        <v>0.194</v>
      </c>
      <c r="F9" s="23" t="n">
        <v>5.648</v>
      </c>
      <c r="G9" s="23" t="n">
        <v>-11.422</v>
      </c>
      <c r="H9" s="23" t="n">
        <v>1.551</v>
      </c>
      <c r="I9" s="23" t="n">
        <v>0.769</v>
      </c>
      <c r="J9" s="23" t="n">
        <v>0.294</v>
      </c>
      <c r="K9" s="23" t="n">
        <v>0.237</v>
      </c>
      <c r="L9" s="23" t="n">
        <v>-0.062</v>
      </c>
      <c r="M9" s="23" t="n">
        <v>0.036</v>
      </c>
      <c r="N9" s="23" t="n">
        <v>-0.008</v>
      </c>
      <c r="O9" s="23" t="n">
        <v>0.575</v>
      </c>
      <c r="P9" s="23" t="n">
        <v>0.374</v>
      </c>
      <c r="Q9" s="23" t="n">
        <v>0.188</v>
      </c>
    </row>
    <row r="10">
      <c r="A10" s="2" t="inlineStr">
        <is>
          <t>Pretax</t>
        </is>
      </c>
      <c r="B10" s="23">
        <f>B8+B9</f>
        <v>-0.41700000000000126</v>
      </c>
      <c r="C10" s="23">
        <f>C8+C9</f>
        <v>-5.454000000000001</v>
      </c>
      <c r="D10" s="23">
        <f>D8+D9</f>
        <v>-7.963999999999999</v>
      </c>
      <c r="E10" s="23">
        <f>E8+E9</f>
        <v>-3.8870000000000005</v>
      </c>
      <c r="F10" s="23">
        <f>F8+F9</f>
        <v>-0.1509999999999998</v>
      </c>
      <c r="G10" s="23">
        <f>G8+G9</f>
        <v>-65.37</v>
      </c>
      <c r="H10" s="23">
        <f>H8+H9</f>
        <v>-104.268</v>
      </c>
      <c r="I10" s="23">
        <f>I8+I9</f>
        <v>-7.493</v>
      </c>
      <c r="J10" s="23">
        <f>J8+J9</f>
        <v>-62.63</v>
      </c>
      <c r="K10" s="23">
        <f>K8+K9</f>
        <v>-48.169</v>
      </c>
      <c r="L10" s="23">
        <f>L8+L9</f>
        <v>-9.648</v>
      </c>
      <c r="M10" s="23">
        <f>M8+M9</f>
        <v>-14.185</v>
      </c>
      <c r="N10" s="23">
        <f>N8+N9</f>
        <v>-38.837</v>
      </c>
      <c r="O10" s="23">
        <f>O8+O9</f>
        <v>-17.984</v>
      </c>
      <c r="P10" s="23">
        <f>P8+P9</f>
        <v>-17.504</v>
      </c>
      <c r="Q10" s="23">
        <f>Q8+Q9</f>
        <v>-8.831</v>
      </c>
    </row>
    <row r="11">
      <c r="A11" s="2" t="inlineStr">
        <is>
          <t>Taxes</t>
        </is>
      </c>
      <c r="B11" s="23" t="n">
        <v>-0.096</v>
      </c>
      <c r="C11" s="23" t="n">
        <v>0.003</v>
      </c>
      <c r="D11" s="23" t="n">
        <v>0</v>
      </c>
      <c r="E11" s="23" t="n">
        <v>0</v>
      </c>
      <c r="F11" s="23" t="n">
        <v>-0.052</v>
      </c>
      <c r="G11" s="23" t="n">
        <v>-15.248</v>
      </c>
      <c r="H11" s="23" t="n">
        <v>-29.394</v>
      </c>
      <c r="I11" s="23" t="n">
        <v>-6.88</v>
      </c>
      <c r="J11" s="23" t="n">
        <v>-13.582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0</v>
      </c>
      <c r="P11" s="23" t="n">
        <v>0</v>
      </c>
      <c r="Q11" s="23" t="n">
        <v>0</v>
      </c>
    </row>
    <row r="12">
      <c r="A12" s="2" t="inlineStr">
        <is>
          <t>Net Income</t>
        </is>
      </c>
      <c r="B12" s="23" t="n">
        <v>-0.32</v>
      </c>
      <c r="C12" s="23" t="n">
        <v>-5.457</v>
      </c>
      <c r="D12" s="23" t="n">
        <v>-7.965</v>
      </c>
      <c r="E12" s="23" t="n">
        <v>-3.887</v>
      </c>
      <c r="F12" s="23" t="n">
        <v>-0.099</v>
      </c>
      <c r="G12" s="23" t="n">
        <v>-50.122</v>
      </c>
      <c r="H12" s="23" t="n">
        <v>-74.874</v>
      </c>
      <c r="I12" s="23" t="n">
        <v>-0.613</v>
      </c>
      <c r="J12" s="23" t="n">
        <v>-49.048</v>
      </c>
      <c r="K12" s="23" t="n">
        <v>-48.169</v>
      </c>
      <c r="L12" s="23" t="n">
        <v>-9.648</v>
      </c>
      <c r="M12" s="23" t="n">
        <v>-14.185</v>
      </c>
      <c r="N12" s="23" t="n">
        <v>-38.837</v>
      </c>
      <c r="O12" s="23" t="n">
        <v>-17.984</v>
      </c>
      <c r="P12" s="23" t="n">
        <v>-17.504</v>
      </c>
      <c r="Q12" s="23" t="n">
        <v>-8.831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-0.22369337979094076</v>
      </c>
      <c r="D13" s="11">
        <f>IFERROR(D12/D14,0)</f>
        <v>-0.26723704076497234</v>
      </c>
      <c r="E13" s="11">
        <f>IFERROR(E12/E14,0)</f>
        <v>-0.13046688819521365</v>
      </c>
      <c r="F13" s="11">
        <f>IFERROR(F12/F14,0)</f>
        <v>-0.0033225936367297627</v>
      </c>
      <c r="G13" s="11">
        <f>IFERROR(G12/G14,0)</f>
        <v>-26.241884816753927</v>
      </c>
      <c r="H13" s="11">
        <f>IFERROR(H12/H14,0)</f>
        <v>-35.00420757363254</v>
      </c>
      <c r="I13" s="11">
        <f>IFERROR(I12/I14,0)</f>
        <v>-0.27952576379388966</v>
      </c>
      <c r="J13" s="11">
        <f>IFERROR(J12/J14,0)</f>
        <v>-19.26472898664572</v>
      </c>
      <c r="K13" s="11">
        <f>IFERROR(K12/K14,0)</f>
        <v>-16.632941988950275</v>
      </c>
      <c r="L13" s="11">
        <f>IFERROR(L12/L14,0)</f>
        <v>-1.9219123505976097</v>
      </c>
      <c r="M13" s="11">
        <f>IFERROR(M12/M14,0)</f>
        <v>-1.765840906261671</v>
      </c>
      <c r="N13" s="11">
        <f>IFERROR(N12/N14,0)</f>
        <v>-4.769372467149699</v>
      </c>
      <c r="O13" s="11">
        <f>IFERROR(O12/O14,0)</f>
        <v>-1.863433841052741</v>
      </c>
      <c r="P13" s="11">
        <f>IFERROR(P12/P14,0)</f>
        <v>-1.7204639276587381</v>
      </c>
      <c r="Q13" s="11">
        <f>IFERROR(Q12/Q14,0)</f>
        <v>-0.7821966341895483</v>
      </c>
    </row>
    <row r="14">
      <c r="A14" s="2" t="inlineStr">
        <is>
          <t>Shares</t>
        </is>
      </c>
      <c r="B14" s="23" t="n"/>
      <c r="C14" s="23" t="n">
        <v>24.395</v>
      </c>
      <c r="D14" s="23" t="n">
        <v>29.805</v>
      </c>
      <c r="E14" s="23" t="n">
        <v>29.793</v>
      </c>
      <c r="F14" s="23" t="n">
        <v>29.796</v>
      </c>
      <c r="G14" s="23" t="n">
        <v>1.91</v>
      </c>
      <c r="H14" s="23" t="n">
        <v>2.139</v>
      </c>
      <c r="I14" s="23" t="n">
        <v>2.193</v>
      </c>
      <c r="J14" s="23" t="n">
        <v>2.546</v>
      </c>
      <c r="K14" s="23" t="n">
        <v>2.896</v>
      </c>
      <c r="L14" s="23" t="n">
        <v>5.02</v>
      </c>
      <c r="M14" s="23" t="n">
        <v>8.032999999999999</v>
      </c>
      <c r="N14" s="23" t="n">
        <v>8.143000000000001</v>
      </c>
      <c r="O14" s="23" t="n">
        <v>9.651</v>
      </c>
      <c r="P14" s="23" t="n">
        <v>10.174</v>
      </c>
      <c r="Q14" s="23" t="n">
        <v>11.29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>-1.0</v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15">
        <f>IFERROR(K2/J2-1,"")</f>
        <v/>
      </c>
      <c r="L16" s="15">
        <f>IFERROR(L2/K2-1,"")</f>
        <v>-0.6931748933577088</v>
      </c>
      <c r="M16" s="15">
        <f>IFERROR(M2/L2-1,"")</f>
        <v>-1.0</v>
      </c>
      <c r="N16" s="15">
        <f>IFERROR(N2/M2-1,"")</f>
        <v/>
      </c>
      <c r="O16" s="15">
        <f>IFERROR(O2/N2-1,"")</f>
        <v/>
      </c>
      <c r="P16" s="15">
        <f>IFERROR(P2/O2-1,"")</f>
        <v/>
      </c>
      <c r="Q16" s="15">
        <f>IFERROR(Q2/P2-1,"")</f>
        <v/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>0.2196349905601007</v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/>
      </c>
      <c r="K17" s="15">
        <f>IFERROR(K4/K2,"")</f>
        <v>1.0</v>
      </c>
      <c r="L17" s="15">
        <f>IFERROR(L4/L2,"")</f>
        <v>1.0</v>
      </c>
      <c r="M17" s="15">
        <f>IFERROR(M4/M2,"")</f>
        <v/>
      </c>
      <c r="N17" s="15">
        <f>IFERROR(N4/N2,"")</f>
        <v/>
      </c>
      <c r="O17" s="15">
        <f>IFERROR(O4/O2,"")</f>
        <v/>
      </c>
      <c r="P17" s="15">
        <f>IFERROR(P4/P2,"")</f>
        <v/>
      </c>
      <c r="Q17" s="15">
        <f>IFERROR(Q4/Q2,"")</f>
        <v/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>-0.3057740717432348</v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/>
      </c>
      <c r="K18" s="15">
        <f>IFERROR(K8/K2,"")</f>
        <v>-7.374466788543571</v>
      </c>
      <c r="L18" s="15">
        <f>IFERROR(L8/L2,"")</f>
        <v>-4.759682224428998</v>
      </c>
      <c r="M18" s="15">
        <f>IFERROR(M8/M2,"")</f>
        <v/>
      </c>
      <c r="N18" s="15">
        <f>IFERROR(N8/N2,"")</f>
        <v/>
      </c>
      <c r="O18" s="15">
        <f>IFERROR(O8/O2,"")</f>
        <v/>
      </c>
      <c r="P18" s="15">
        <f>IFERROR(P8/P2,"")</f>
        <v/>
      </c>
      <c r="Q18" s="15">
        <f>IFERROR(Q8/Q2,"")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  <c r="Q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Cocrystal Pharma Inc: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0.17359999999999998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10.11</v>
      </c>
    </row>
    <row r="19">
      <c r="A19" s="14" t="inlineStr">
        <is>
          <t>Years of full burn (until the first launch, max 4)</t>
        </is>
      </c>
      <c r="B19" s="39">
        <f>MIN(4,MAX(1,MIN(Pipeline!I4:I4)-2026))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347.5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71.33224762901165</v>
      </c>
      <c r="C29" s="42">
        <f>NPV!B25</f>
        <v>73.50124762901164</v>
      </c>
      <c r="D29" s="43">
        <f>NPV!B27</f>
        <v>3.8156301979427947</v>
      </c>
      <c r="E29" s="44">
        <f>NPV!B29</f>
        <v>3.046696572216348</v>
      </c>
    </row>
    <row r="30">
      <c r="A30" s="45" t="n">
        <v>1</v>
      </c>
      <c r="B30" s="46">
        <f t="dataTable" ref="B30:E32" r1="B4"/>
        <v>10.308610496951122</v>
      </c>
      <c r="C30" s="46">
        <v>12.477610496951122</v>
      </c>
      <c r="D30" s="47">
        <v>0.6477433913862246</v>
      </c>
      <c r="E30" s="48">
        <v>-0.3130306592573713</v>
      </c>
    </row>
    <row r="31">
      <c r="A31" s="45" t="n">
        <v>2</v>
      </c>
      <c r="B31" s="46">
        <v>71.33224762901165</v>
      </c>
      <c r="C31" s="46">
        <v>73.50124762901164</v>
      </c>
      <c r="D31" s="47">
        <v>3.8156301979427947</v>
      </c>
      <c r="E31" s="48">
        <v>3.046696572216348</v>
      </c>
    </row>
    <row r="32">
      <c r="A32" s="45" t="n">
        <v>3</v>
      </c>
      <c r="B32" s="46">
        <v>162.32922829036457</v>
      </c>
      <c r="C32" s="46">
        <v>164.49822829036458</v>
      </c>
      <c r="D32" s="47">
        <v>8.539506846752595</v>
      </c>
      <c r="E32" s="48">
        <v>8.056641050750445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3.8156301979427947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0.14271654229155445</v>
      </c>
      <c r="C37" s="47">
        <v>0.9570104263885792</v>
      </c>
      <c r="D37" s="47">
        <v>1.7713043104856043</v>
      </c>
      <c r="E37" s="47">
        <v>3.3847361752095515</v>
      </c>
      <c r="F37" s="47">
        <v>4.807259851443137</v>
      </c>
    </row>
    <row r="38">
      <c r="A38" s="50" t="n">
        <v>0.8</v>
      </c>
      <c r="B38" s="47">
        <v>0.6584554329646745</v>
      </c>
      <c r="C38" s="47">
        <v>1.744180611760708</v>
      </c>
      <c r="D38" s="47">
        <v>2.8299057905567406</v>
      </c>
      <c r="E38" s="47">
        <v>4.783019023605691</v>
      </c>
      <c r="F38" s="47">
        <v>6.621478055935289</v>
      </c>
    </row>
    <row r="39">
      <c r="A39" s="50" t="n">
        <v>1</v>
      </c>
      <c r="B39" s="47">
        <v>1.1741943236377943</v>
      </c>
      <c r="C39" s="47">
        <v>2.531350797132836</v>
      </c>
      <c r="D39" s="47">
        <v>3.8156301979427947</v>
      </c>
      <c r="E39" s="47">
        <v>6.144295188668601</v>
      </c>
      <c r="F39" s="47">
        <v>8.398771301571657</v>
      </c>
    </row>
    <row r="40">
      <c r="A40" s="50" t="n">
        <v>1.2</v>
      </c>
      <c r="B40" s="47">
        <v>1.6899332143109138</v>
      </c>
      <c r="C40" s="47">
        <v>3.3097600709620947</v>
      </c>
      <c r="D40" s="47">
        <v>4.734537367930804</v>
      </c>
      <c r="E40" s="47">
        <v>7.480201633798309</v>
      </c>
      <c r="F40" s="47">
        <v>10.154780574345624</v>
      </c>
    </row>
    <row r="41">
      <c r="A41" s="50" t="n">
        <v>1.4</v>
      </c>
      <c r="B41" s="47">
        <v>2.2056721049840338</v>
      </c>
      <c r="C41" s="47">
        <v>4.0043746490564365</v>
      </c>
      <c r="D41" s="47">
        <v>5.63659549213299</v>
      </c>
      <c r="E41" s="47">
        <v>8.799524095406227</v>
      </c>
      <c r="F41" s="47">
        <v>11.900490852833853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Cocrystal Pharma Inc: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Viral infections (other)</t>
        </is>
      </c>
      <c r="C4" s="14" t="inlineStr">
        <is>
          <t>CDI-988</t>
        </is>
      </c>
      <c r="D4" s="14" t="inlineStr">
        <is>
          <t>Phase 1/2</t>
        </is>
      </c>
      <c r="E4" s="14" t="inlineStr">
        <is>
          <t>Infectious disease / area</t>
        </is>
      </c>
      <c r="F4" s="14" t="inlineStr">
        <is>
          <t>Owned</t>
        </is>
      </c>
      <c r="G4" s="40" t="n">
        <v>600</v>
      </c>
      <c r="H4" s="27" t="n">
        <v>0.1736</v>
      </c>
      <c r="I4" s="26" t="n">
        <v>2032</v>
      </c>
      <c r="J4" s="39">
        <f>I4+Assumptions!$B$25</f>
        <v>2044.0</v>
      </c>
      <c r="K4" s="53">
        <f>Assumptions!$E$13</f>
        <v>0.4</v>
      </c>
      <c r="L4" s="23">
        <f>K4*SUMPRODUCT(M4:AF4,NPV!$C$15:$V$15)</f>
        <v>104.57270632091877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0</v>
      </c>
      <c r="R4" s="23">
        <f>IF(R$3&lt;$I4,0,$G4*Assumptions!$E$11*INDEX(Assumptions!$B$24:$G$24,MIN(6,R$3-$I4+1))*IF(R$3&gt;$J4,(1-Assumptions!$B$26)^(R$3-$J4),1)*IF($H4&gt;=1,1,MIN(0.97,$H4*Assumptions!$E$12)))</f>
        <v>0</v>
      </c>
      <c r="S4" s="23">
        <f>IF(S$3&lt;$I4,0,$G4*Assumptions!$E$11*INDEX(Assumptions!$B$24:$G$24,MIN(6,S$3-$I4+1))*IF(S$3&gt;$J4,(1-Assumptions!$B$26)^(S$3-$J4),1)*IF($H4&gt;=1,1,MIN(0.97,$H4*Assumptions!$E$12)))</f>
        <v>10.416</v>
      </c>
      <c r="T4" s="23">
        <f>IF(T$3&lt;$I4,0,$G4*Assumptions!$E$11*INDEX(Assumptions!$B$24:$G$24,MIN(6,T$3-$I4+1))*IF(T$3&gt;$J4,(1-Assumptions!$B$26)^(T$3-$J4),1)*IF($H4&gt;=1,1,MIN(0.97,$H4*Assumptions!$E$12)))</f>
        <v>26.04</v>
      </c>
      <c r="U4" s="23">
        <f>IF(U$3&lt;$I4,0,$G4*Assumptions!$E$11*INDEX(Assumptions!$B$24:$G$24,MIN(6,U$3-$I4+1))*IF(U$3&gt;$J4,(1-Assumptions!$B$26)^(U$3-$J4),1)*IF($H4&gt;=1,1,MIN(0.97,$H4*Assumptions!$E$12)))</f>
        <v>46.872</v>
      </c>
      <c r="V4" s="23">
        <f>IF(V$3&lt;$I4,0,$G4*Assumptions!$E$11*INDEX(Assumptions!$B$24:$G$24,MIN(6,V$3-$I4+1))*IF(V$3&gt;$J4,(1-Assumptions!$B$26)^(V$3-$J4),1)*IF($H4&gt;=1,1,MIN(0.97,$H4*Assumptions!$E$12)))</f>
        <v>67.70400000000001</v>
      </c>
      <c r="W4" s="23">
        <f>IF(W$3&lt;$I4,0,$G4*Assumptions!$E$11*INDEX(Assumptions!$B$24:$G$24,MIN(6,W$3-$I4+1))*IF(W$3&gt;$J4,(1-Assumptions!$B$26)^(W$3-$J4),1)*IF($H4&gt;=1,1,MIN(0.97,$H4*Assumptions!$E$12)))</f>
        <v>88.536</v>
      </c>
      <c r="X4" s="23">
        <f>IF(X$3&lt;$I4,0,$G4*Assumptions!$E$11*INDEX(Assumptions!$B$24:$G$24,MIN(6,X$3-$I4+1))*IF(X$3&gt;$J4,(1-Assumptions!$B$26)^(X$3-$J4),1)*IF($H4&gt;=1,1,MIN(0.97,$H4*Assumptions!$E$12)))</f>
        <v>104.16</v>
      </c>
      <c r="Y4" s="23">
        <f>IF(Y$3&lt;$I4,0,$G4*Assumptions!$E$11*INDEX(Assumptions!$B$24:$G$24,MIN(6,Y$3-$I4+1))*IF(Y$3&gt;$J4,(1-Assumptions!$B$26)^(Y$3-$J4),1)*IF($H4&gt;=1,1,MIN(0.97,$H4*Assumptions!$E$12)))</f>
        <v>104.16</v>
      </c>
      <c r="Z4" s="23">
        <f>IF(Z$3&lt;$I4,0,$G4*Assumptions!$E$11*INDEX(Assumptions!$B$24:$G$24,MIN(6,Z$3-$I4+1))*IF(Z$3&gt;$J4,(1-Assumptions!$B$26)^(Z$3-$J4),1)*IF($H4&gt;=1,1,MIN(0.97,$H4*Assumptions!$E$12)))</f>
        <v>104.16</v>
      </c>
      <c r="AA4" s="23">
        <f>IF(AA$3&lt;$I4,0,$G4*Assumptions!$E$11*INDEX(Assumptions!$B$24:$G$24,MIN(6,AA$3-$I4+1))*IF(AA$3&gt;$J4,(1-Assumptions!$B$26)^(AA$3-$J4),1)*IF($H4&gt;=1,1,MIN(0.97,$H4*Assumptions!$E$12)))</f>
        <v>104.16</v>
      </c>
      <c r="AB4" s="23">
        <f>IF(AB$3&lt;$I4,0,$G4*Assumptions!$E$11*INDEX(Assumptions!$B$24:$G$24,MIN(6,AB$3-$I4+1))*IF(AB$3&gt;$J4,(1-Assumptions!$B$26)^(AB$3-$J4),1)*IF($H4&gt;=1,1,MIN(0.97,$H4*Assumptions!$E$12)))</f>
        <v>104.16</v>
      </c>
      <c r="AC4" s="23">
        <f>IF(AC$3&lt;$I4,0,$G4*Assumptions!$E$11*INDEX(Assumptions!$B$24:$G$24,MIN(6,AC$3-$I4+1))*IF(AC$3&gt;$J4,(1-Assumptions!$B$26)^(AC$3-$J4),1)*IF($H4&gt;=1,1,MIN(0.97,$H4*Assumptions!$E$12)))</f>
        <v>104.16</v>
      </c>
      <c r="AD4" s="23">
        <f>IF(AD$3&lt;$I4,0,$G4*Assumptions!$E$11*INDEX(Assumptions!$B$24:$G$24,MIN(6,AD$3-$I4+1))*IF(AD$3&gt;$J4,(1-Assumptions!$B$26)^(AD$3-$J4),1)*IF($H4&gt;=1,1,MIN(0.97,$H4*Assumptions!$E$12)))</f>
        <v>104.16</v>
      </c>
      <c r="AE4" s="23">
        <f>IF(AE$3&lt;$I4,0,$G4*Assumptions!$E$11*INDEX(Assumptions!$B$24:$G$24,MIN(6,AE$3-$I4+1))*IF(AE$3&gt;$J4,(1-Assumptions!$B$26)^(AE$3-$J4),1)*IF($H4&gt;=1,1,MIN(0.97,$H4*Assumptions!$E$12)))</f>
        <v>104.16</v>
      </c>
      <c r="AF4" s="23">
        <f>IF(AF$3&lt;$I4,0,$G4*Assumptions!$E$11*INDEX(Assumptions!$B$24:$G$24,MIN(6,AF$3-$I4+1))*IF(AF$3&gt;$J4,(1-Assumptions!$B$26)^(AF$3-$J4),1)*IF($H4&gt;=1,1,MIN(0.97,$H4*Assumptions!$E$12)))</f>
        <v>52.08</v>
      </c>
      <c r="AG4" s="35">
        <f>IF(F4="Owned",1-IF(H4&gt;=1,1,MIN(0.97,H4*Assumptions!$E$12)),1)</f>
        <v>0.8264</v>
      </c>
    </row>
    <row r="5">
      <c r="B5" s="24" t="inlineStr">
        <is>
          <t>Risked revenue</t>
        </is>
      </c>
      <c r="L5" s="54">
        <f>SUM(L4:L4)</f>
        <v>104.57270632091877</v>
      </c>
      <c r="M5" s="54">
        <f>SUM(M4:M4)</f>
        <v>0.0</v>
      </c>
      <c r="N5" s="54">
        <f>SUM(N4:N4)</f>
        <v>0.0</v>
      </c>
      <c r="O5" s="54">
        <f>SUM(O4:O4)</f>
        <v>0.0</v>
      </c>
      <c r="P5" s="54">
        <f>SUM(P4:P4)</f>
        <v>0.0</v>
      </c>
      <c r="Q5" s="54">
        <f>SUM(Q4:Q4)</f>
        <v>0.0</v>
      </c>
      <c r="R5" s="54">
        <f>SUM(R4:R4)</f>
        <v>0.0</v>
      </c>
      <c r="S5" s="54">
        <f>SUM(S4:S4)</f>
        <v>10.416</v>
      </c>
      <c r="T5" s="54">
        <f>SUM(T4:T4)</f>
        <v>26.04</v>
      </c>
      <c r="U5" s="54">
        <f>SUM(U4:U4)</f>
        <v>46.872</v>
      </c>
      <c r="V5" s="54">
        <f>SUM(V4:V4)</f>
        <v>67.70400000000001</v>
      </c>
      <c r="W5" s="54">
        <f>SUM(W4:W4)</f>
        <v>88.536</v>
      </c>
      <c r="X5" s="54">
        <f>SUM(X4:X4)</f>
        <v>104.16</v>
      </c>
      <c r="Y5" s="54">
        <f>SUM(Y4:Y4)</f>
        <v>104.16</v>
      </c>
      <c r="Z5" s="54">
        <f>SUM(Z4:Z4)</f>
        <v>104.16</v>
      </c>
      <c r="AA5" s="54">
        <f>SUM(AA4:AA4)</f>
        <v>104.16</v>
      </c>
      <c r="AB5" s="54">
        <f>SUM(AB4:AB4)</f>
        <v>104.16</v>
      </c>
      <c r="AC5" s="54">
        <f>SUM(AC4:AC4)</f>
        <v>104.16</v>
      </c>
      <c r="AD5" s="54">
        <f>SUM(AD4:AD4)</f>
        <v>104.16</v>
      </c>
      <c r="AE5" s="54">
        <f>SUM(AE4:AE4)</f>
        <v>104.16</v>
      </c>
      <c r="AF5" s="54">
        <f>SUM(AF4:AF4)</f>
        <v>52.08</v>
      </c>
    </row>
    <row r="6">
      <c r="B6" s="24" t="inlineStr">
        <is>
          <t>Risked contribution (revenue x share)</t>
        </is>
      </c>
      <c r="M6" s="55">
        <f>SUMPRODUCT(M4:M4,$K$4:$K$4)</f>
        <v>0.0</v>
      </c>
      <c r="N6" s="55">
        <f>SUMPRODUCT(N4:N4,$K$4:$K$4)</f>
        <v>0.0</v>
      </c>
      <c r="O6" s="55">
        <f>SUMPRODUCT(O4:O4,$K$4:$K$4)</f>
        <v>0.0</v>
      </c>
      <c r="P6" s="55">
        <f>SUMPRODUCT(P4:P4,$K$4:$K$4)</f>
        <v>0.0</v>
      </c>
      <c r="Q6" s="55">
        <f>SUMPRODUCT(Q4:Q4,$K$4:$K$4)</f>
        <v>0.0</v>
      </c>
      <c r="R6" s="55">
        <f>SUMPRODUCT(R4:R4,$K$4:$K$4)</f>
        <v>0.0</v>
      </c>
      <c r="S6" s="55">
        <f>SUMPRODUCT(S4:S4,$K$4:$K$4)</f>
        <v>4.1664</v>
      </c>
      <c r="T6" s="55">
        <f>SUMPRODUCT(T4:T4,$K$4:$K$4)</f>
        <v>10.416</v>
      </c>
      <c r="U6" s="55">
        <f>SUMPRODUCT(U4:U4,$K$4:$K$4)</f>
        <v>18.7488</v>
      </c>
      <c r="V6" s="55">
        <f>SUMPRODUCT(V4:V4,$K$4:$K$4)</f>
        <v>27.081600000000005</v>
      </c>
      <c r="W6" s="55">
        <f>SUMPRODUCT(W4:W4,$K$4:$K$4)</f>
        <v>35.4144</v>
      </c>
      <c r="X6" s="55">
        <f>SUMPRODUCT(X4:X4,$K$4:$K$4)</f>
        <v>41.664</v>
      </c>
      <c r="Y6" s="55">
        <f>SUMPRODUCT(Y4:Y4,$K$4:$K$4)</f>
        <v>41.664</v>
      </c>
      <c r="Z6" s="55">
        <f>SUMPRODUCT(Z4:Z4,$K$4:$K$4)</f>
        <v>41.664</v>
      </c>
      <c r="AA6" s="55">
        <f>SUMPRODUCT(AA4:AA4,$K$4:$K$4)</f>
        <v>41.664</v>
      </c>
      <c r="AB6" s="55">
        <f>SUMPRODUCT(AB4:AB4,$K$4:$K$4)</f>
        <v>41.664</v>
      </c>
      <c r="AC6" s="55">
        <f>SUMPRODUCT(AC4:AC4,$K$4:$K$4)</f>
        <v>41.664</v>
      </c>
      <c r="AD6" s="55">
        <f>SUMPRODUCT(AD4:AD4,$K$4:$K$4)</f>
        <v>41.664</v>
      </c>
      <c r="AE6" s="55">
        <f>SUMPRODUCT(AE4:AE4,$K$4:$K$4)</f>
        <v>41.664</v>
      </c>
      <c r="AF6" s="55">
        <f>SUMPRODUCT(AF4:AF4,$K$4:$K$4)</f>
        <v>20.832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Cocrystal Pharma Inc: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0.0</v>
      </c>
      <c r="D4" s="57">
        <f>Pipeline!N5</f>
        <v>0.0</v>
      </c>
      <c r="E4" s="57">
        <f>Pipeline!O5</f>
        <v>0.0</v>
      </c>
      <c r="F4" s="57">
        <f>Pipeline!P5</f>
        <v>0.0</v>
      </c>
      <c r="G4" s="57">
        <f>Pipeline!Q5</f>
        <v>0.0</v>
      </c>
      <c r="H4" s="57">
        <f>Pipeline!R5</f>
        <v>0.0</v>
      </c>
      <c r="I4" s="57">
        <f>Pipeline!S5</f>
        <v>10.416</v>
      </c>
      <c r="J4" s="57">
        <f>Pipeline!T5</f>
        <v>26.04</v>
      </c>
      <c r="K4" s="57">
        <f>Pipeline!U5</f>
        <v>46.872</v>
      </c>
      <c r="L4" s="57">
        <f>Pipeline!V5</f>
        <v>67.70400000000001</v>
      </c>
      <c r="M4" s="57">
        <f>Pipeline!W5</f>
        <v>88.536</v>
      </c>
      <c r="N4" s="57">
        <f>Pipeline!X5</f>
        <v>104.16</v>
      </c>
      <c r="O4" s="57">
        <f>Pipeline!Y5</f>
        <v>104.16</v>
      </c>
      <c r="P4" s="57">
        <f>Pipeline!Z5</f>
        <v>104.16</v>
      </c>
      <c r="Q4" s="57">
        <f>Pipeline!AA5</f>
        <v>104.16</v>
      </c>
      <c r="R4" s="57">
        <f>Pipeline!AB5</f>
        <v>104.16</v>
      </c>
      <c r="S4" s="57">
        <f>Pipeline!AC5</f>
        <v>104.16</v>
      </c>
      <c r="T4" s="57">
        <f>Pipeline!AD5</f>
        <v>104.16</v>
      </c>
      <c r="U4" s="57">
        <f>Pipeline!AE5</f>
        <v>104.16</v>
      </c>
      <c r="V4" s="57">
        <f>Pipeline!AF5</f>
        <v>52.08</v>
      </c>
    </row>
    <row r="5">
      <c r="A5" s="14" t="inlineStr">
        <is>
          <t>Risked contribution</t>
        </is>
      </c>
      <c r="C5" s="57">
        <f>Pipeline!M6</f>
        <v>0.0</v>
      </c>
      <c r="D5" s="57">
        <f>Pipeline!N6</f>
        <v>0.0</v>
      </c>
      <c r="E5" s="57">
        <f>Pipeline!O6</f>
        <v>0.0</v>
      </c>
      <c r="F5" s="57">
        <f>Pipeline!P6</f>
        <v>0.0</v>
      </c>
      <c r="G5" s="57">
        <f>Pipeline!Q6</f>
        <v>0.0</v>
      </c>
      <c r="H5" s="57">
        <f>Pipeline!R6</f>
        <v>0.0</v>
      </c>
      <c r="I5" s="57">
        <f>Pipeline!S6</f>
        <v>4.1664</v>
      </c>
      <c r="J5" s="57">
        <f>Pipeline!T6</f>
        <v>10.416</v>
      </c>
      <c r="K5" s="57">
        <f>Pipeline!U6</f>
        <v>18.7488</v>
      </c>
      <c r="L5" s="57">
        <f>Pipeline!V6</f>
        <v>27.081600000000005</v>
      </c>
      <c r="M5" s="57">
        <f>Pipeline!W6</f>
        <v>35.4144</v>
      </c>
      <c r="N5" s="57">
        <f>Pipeline!X6</f>
        <v>41.664</v>
      </c>
      <c r="O5" s="57">
        <f>Pipeline!Y6</f>
        <v>41.664</v>
      </c>
      <c r="P5" s="57">
        <f>Pipeline!Z6</f>
        <v>41.664</v>
      </c>
      <c r="Q5" s="57">
        <f>Pipeline!AA6</f>
        <v>41.664</v>
      </c>
      <c r="R5" s="57">
        <f>Pipeline!AB6</f>
        <v>41.664</v>
      </c>
      <c r="S5" s="57">
        <f>Pipeline!AC6</f>
        <v>41.664</v>
      </c>
      <c r="T5" s="57">
        <f>Pipeline!AD6</f>
        <v>41.664</v>
      </c>
      <c r="U5" s="57">
        <f>Pipeline!AE6</f>
        <v>41.664</v>
      </c>
      <c r="V5" s="57">
        <f>Pipeline!AF6</f>
        <v>20.832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-10.11</v>
      </c>
      <c r="D6" s="23">
        <f>-IF(D3-2026&lt;Assumptions!$B$19,Assumptions!$B$18,Assumptions!$B$18*Assumptions!$B$20*Assumptions!$B$16)</f>
        <v>-10.11</v>
      </c>
      <c r="E6" s="23">
        <f>-IF(E3-2026&lt;Assumptions!$B$19,Assumptions!$B$18,Assumptions!$B$18*Assumptions!$B$20*Assumptions!$B$16)</f>
        <v>-10.11</v>
      </c>
      <c r="F6" s="23">
        <f>-IF(F3-2026&lt;Assumptions!$B$19,Assumptions!$B$18,Assumptions!$B$18*Assumptions!$B$20*Assumptions!$B$16)</f>
        <v>-10.11</v>
      </c>
      <c r="G6" s="23">
        <f>-IF(G3-2026&lt;Assumptions!$B$19,Assumptions!$B$18,Assumptions!$B$18*Assumptions!$B$20*Assumptions!$B$16)</f>
        <v>-0.5265287999999999</v>
      </c>
      <c r="H6" s="23">
        <f>-IF(H3-2026&lt;Assumptions!$B$19,Assumptions!$B$18,Assumptions!$B$18*Assumptions!$B$20*Assumptions!$B$16)</f>
        <v>-0.5265287999999999</v>
      </c>
      <c r="I6" s="23">
        <f>-IF(I3-2026&lt;Assumptions!$B$19,Assumptions!$B$18,Assumptions!$B$18*Assumptions!$B$20*Assumptions!$B$16)</f>
        <v>-0.5265287999999999</v>
      </c>
      <c r="J6" s="23">
        <f>-IF(J3-2026&lt;Assumptions!$B$19,Assumptions!$B$18,Assumptions!$B$18*Assumptions!$B$20*Assumptions!$B$16)</f>
        <v>-0.5265287999999999</v>
      </c>
      <c r="K6" s="23">
        <f>-IF(K3-2026&lt;Assumptions!$B$19,Assumptions!$B$18,Assumptions!$B$18*Assumptions!$B$20*Assumptions!$B$16)</f>
        <v>-0.5265287999999999</v>
      </c>
      <c r="L6" s="23">
        <f>-IF(L3-2026&lt;Assumptions!$B$19,Assumptions!$B$18,Assumptions!$B$18*Assumptions!$B$20*Assumptions!$B$16)</f>
        <v>-0.5265287999999999</v>
      </c>
      <c r="M6" s="23">
        <f>-IF(M3-2026&lt;Assumptions!$B$19,Assumptions!$B$18,Assumptions!$B$18*Assumptions!$B$20*Assumptions!$B$16)</f>
        <v>-0.5265287999999999</v>
      </c>
      <c r="N6" s="23">
        <f>-IF(N3-2026&lt;Assumptions!$B$19,Assumptions!$B$18,Assumptions!$B$18*Assumptions!$B$20*Assumptions!$B$16)</f>
        <v>-0.5265287999999999</v>
      </c>
      <c r="O6" s="23">
        <f>-IF(O3-2026&lt;Assumptions!$B$19,Assumptions!$B$18,Assumptions!$B$18*Assumptions!$B$20*Assumptions!$B$16)</f>
        <v>-0.5265287999999999</v>
      </c>
      <c r="P6" s="23">
        <f>-IF(P3-2026&lt;Assumptions!$B$19,Assumptions!$B$18,Assumptions!$B$18*Assumptions!$B$20*Assumptions!$B$16)</f>
        <v>-0.5265287999999999</v>
      </c>
      <c r="Q6" s="23">
        <f>-IF(Q3-2026&lt;Assumptions!$B$19,Assumptions!$B$18,Assumptions!$B$18*Assumptions!$B$20*Assumptions!$B$16)</f>
        <v>-0.5265287999999999</v>
      </c>
      <c r="R6" s="23">
        <f>-IF(R3-2026&lt;Assumptions!$B$19,Assumptions!$B$18,Assumptions!$B$18*Assumptions!$B$20*Assumptions!$B$16)</f>
        <v>-0.5265287999999999</v>
      </c>
      <c r="S6" s="23">
        <f>-IF(S3-2026&lt;Assumptions!$B$19,Assumptions!$B$18,Assumptions!$B$18*Assumptions!$B$20*Assumptions!$B$16)</f>
        <v>-0.5265287999999999</v>
      </c>
      <c r="T6" s="23">
        <f>-IF(T3-2026&lt;Assumptions!$B$19,Assumptions!$B$18,Assumptions!$B$18*Assumptions!$B$20*Assumptions!$B$16)</f>
        <v>-0.5265287999999999</v>
      </c>
      <c r="U6" s="23">
        <f>-IF(U3-2026&lt;Assumptions!$B$19,Assumptions!$B$18,Assumptions!$B$18*Assumptions!$B$20*Assumptions!$B$16)</f>
        <v>-0.5265287999999999</v>
      </c>
      <c r="V6" s="23">
        <f>-IF(V3-2026&lt;Assumptions!$B$19,Assumptions!$B$18,Assumptions!$B$18*Assumptions!$B$20*Assumptions!$B$16)</f>
        <v>-0.5265287999999999</v>
      </c>
    </row>
    <row r="7">
      <c r="A7" s="14" t="inlineStr">
        <is>
          <t>Pre-tax cash flow</t>
        </is>
      </c>
      <c r="C7" s="23">
        <f>C5+C6</f>
        <v>-10.11</v>
      </c>
      <c r="D7" s="23">
        <f>D5+D6</f>
        <v>-10.11</v>
      </c>
      <c r="E7" s="23">
        <f>E5+E6</f>
        <v>-10.11</v>
      </c>
      <c r="F7" s="23">
        <f>F5+F6</f>
        <v>-10.11</v>
      </c>
      <c r="G7" s="23">
        <f>G5+G6</f>
        <v>-0.5265287999999999</v>
      </c>
      <c r="H7" s="23">
        <f>H5+H6</f>
        <v>-0.5265287999999999</v>
      </c>
      <c r="I7" s="23">
        <f>I5+I6</f>
        <v>3.6398712000000004</v>
      </c>
      <c r="J7" s="23">
        <f>J5+J6</f>
        <v>9.889471200000001</v>
      </c>
      <c r="K7" s="23">
        <f>K5+K6</f>
        <v>18.222271199999998</v>
      </c>
      <c r="L7" s="23">
        <f>L5+L6</f>
        <v>26.555071200000004</v>
      </c>
      <c r="M7" s="23">
        <f>M5+M6</f>
        <v>34.8878712</v>
      </c>
      <c r="N7" s="23">
        <f>N5+N6</f>
        <v>41.1374712</v>
      </c>
      <c r="O7" s="23">
        <f>O5+O6</f>
        <v>41.1374712</v>
      </c>
      <c r="P7" s="23">
        <f>P5+P6</f>
        <v>41.1374712</v>
      </c>
      <c r="Q7" s="23">
        <f>Q5+Q6</f>
        <v>41.1374712</v>
      </c>
      <c r="R7" s="23">
        <f>R5+R6</f>
        <v>41.1374712</v>
      </c>
      <c r="S7" s="23">
        <f>S5+S6</f>
        <v>41.1374712</v>
      </c>
      <c r="T7" s="23">
        <f>T5+T6</f>
        <v>41.1374712</v>
      </c>
      <c r="U7" s="23">
        <f>U5+U6</f>
        <v>41.1374712</v>
      </c>
      <c r="V7" s="23">
        <f>V5+V6</f>
        <v>20.3054712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0</v>
      </c>
      <c r="I8" s="23">
        <f>MIN(H17,MAX(0,I7))</f>
        <v>3.6398712000000004</v>
      </c>
      <c r="J8" s="23">
        <f>MIN(I17,MAX(0,J7))</f>
        <v>9.889471200000001</v>
      </c>
      <c r="K8" s="23">
        <f>MIN(J17,MAX(0,K7))</f>
        <v>18.222271199999998</v>
      </c>
      <c r="L8" s="23">
        <f>MIN(K17,MAX(0,L7))</f>
        <v>26.555071200000004</v>
      </c>
      <c r="M8" s="23">
        <f>MIN(L17,MAX(0,M7))</f>
        <v>34.8878712</v>
      </c>
      <c r="N8" s="23">
        <f>MIN(M17,MAX(0,N7))</f>
        <v>41.1374712</v>
      </c>
      <c r="O8" s="23">
        <f>MIN(N17,MAX(0,O7))</f>
        <v>41.1374712</v>
      </c>
      <c r="P8" s="23">
        <f>MIN(O17,MAX(0,P7))</f>
        <v>41.1374712</v>
      </c>
      <c r="Q8" s="23">
        <f>MIN(P17,MAX(0,Q7))</f>
        <v>41.1374712</v>
      </c>
      <c r="R8" s="23">
        <f>MIN(Q17,MAX(0,R7))</f>
        <v>41.1374712</v>
      </c>
      <c r="S8" s="23">
        <f>MIN(R17,MAX(0,S7))</f>
        <v>41.1374712</v>
      </c>
      <c r="T8" s="23">
        <f>MIN(S17,MAX(0,T7))</f>
        <v>41.1374712</v>
      </c>
      <c r="U8" s="23">
        <f>MIN(T17,MAX(0,U7))</f>
        <v>7.836203200000043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0.0</v>
      </c>
      <c r="N9" s="23">
        <f>MAX(0,N7)-N8</f>
        <v>0.0</v>
      </c>
      <c r="O9" s="23">
        <f>MAX(0,O7)-O8</f>
        <v>0.0</v>
      </c>
      <c r="P9" s="23">
        <f>MAX(0,P7)-P8</f>
        <v>0.0</v>
      </c>
      <c r="Q9" s="23">
        <f>MAX(0,Q7)-Q8</f>
        <v>0.0</v>
      </c>
      <c r="R9" s="23">
        <f>MAX(0,R7)-R8</f>
        <v>0.0</v>
      </c>
      <c r="S9" s="23">
        <f>MAX(0,S7)-S8</f>
        <v>0.0</v>
      </c>
      <c r="T9" s="23">
        <f>MAX(0,T7)-T8</f>
        <v>0.0</v>
      </c>
      <c r="U9" s="23">
        <f>MAX(0,U7)-U8</f>
        <v>33.30126799999996</v>
      </c>
      <c r="V9" s="23">
        <f>MAX(0,V7)-V8</f>
        <v>20.3054712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0.0</v>
      </c>
      <c r="N10" s="23">
        <f>N9*Assumptions!$E$15</f>
        <v>0.0</v>
      </c>
      <c r="O10" s="23">
        <f>O9*Assumptions!$E$15</f>
        <v>0.0</v>
      </c>
      <c r="P10" s="23">
        <f>P9*Assumptions!$E$15</f>
        <v>0.0</v>
      </c>
      <c r="Q10" s="23">
        <f>Q9*Assumptions!$E$15</f>
        <v>0.0</v>
      </c>
      <c r="R10" s="23">
        <f>R9*Assumptions!$E$15</f>
        <v>0.0</v>
      </c>
      <c r="S10" s="23">
        <f>S9*Assumptions!$E$15</f>
        <v>0.0</v>
      </c>
      <c r="T10" s="23">
        <f>T9*Assumptions!$E$15</f>
        <v>0.0</v>
      </c>
      <c r="U10" s="23">
        <f>U9*Assumptions!$E$15</f>
        <v>6.9932662799999905</v>
      </c>
      <c r="V10" s="23">
        <f>V9*Assumptions!$E$15</f>
        <v>4.264148951999999</v>
      </c>
    </row>
    <row r="11">
      <c r="A11" s="24" t="inlineStr">
        <is>
          <t>Free cash flow</t>
        </is>
      </c>
      <c r="C11" s="55">
        <f>C7-C10</f>
        <v>-10.11</v>
      </c>
      <c r="D11" s="55">
        <f>D7-D10</f>
        <v>-10.11</v>
      </c>
      <c r="E11" s="55">
        <f>E7-E10</f>
        <v>-10.11</v>
      </c>
      <c r="F11" s="55">
        <f>F7-F10</f>
        <v>-10.11</v>
      </c>
      <c r="G11" s="55">
        <f>G7-G10</f>
        <v>-0.5265287999999999</v>
      </c>
      <c r="H11" s="55">
        <f>H7-H10</f>
        <v>-0.5265287999999999</v>
      </c>
      <c r="I11" s="55">
        <f>I7-I10</f>
        <v>3.6398712000000004</v>
      </c>
      <c r="J11" s="55">
        <f>J7-J10</f>
        <v>9.889471200000001</v>
      </c>
      <c r="K11" s="55">
        <f>K7-K10</f>
        <v>18.222271199999998</v>
      </c>
      <c r="L11" s="55">
        <f>L7-L10</f>
        <v>26.555071200000004</v>
      </c>
      <c r="M11" s="55">
        <f>M7-M10</f>
        <v>34.8878712</v>
      </c>
      <c r="N11" s="55">
        <f>N7-N10</f>
        <v>41.1374712</v>
      </c>
      <c r="O11" s="55">
        <f>O7-O10</f>
        <v>41.1374712</v>
      </c>
      <c r="P11" s="55">
        <f>P7-P10</f>
        <v>41.1374712</v>
      </c>
      <c r="Q11" s="55">
        <f>Q7-Q10</f>
        <v>41.1374712</v>
      </c>
      <c r="R11" s="55">
        <f>R7-R10</f>
        <v>41.1374712</v>
      </c>
      <c r="S11" s="55">
        <f>S7-S10</f>
        <v>41.1374712</v>
      </c>
      <c r="T11" s="55">
        <f>T7-T10</f>
        <v>41.1374712</v>
      </c>
      <c r="U11" s="55">
        <f>U7-U10</f>
        <v>34.14420492000001</v>
      </c>
      <c r="V11" s="55">
        <f>V7-V10</f>
        <v>16.041322248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-4.952932968538224</v>
      </c>
      <c r="D16" s="55">
        <f>D11*D15</f>
        <v>-9.02259241415865</v>
      </c>
      <c r="E16" s="55">
        <f>E11*E15</f>
        <v>-8.055886084070222</v>
      </c>
      <c r="F16" s="55">
        <f>F11*F15</f>
        <v>-7.192755432205555</v>
      </c>
      <c r="G16" s="55">
        <f>G11*G15</f>
        <v>-0.33446312759755825</v>
      </c>
      <c r="H16" s="55">
        <f>H11*H15</f>
        <v>-0.29862779249781984</v>
      </c>
      <c r="I16" s="55">
        <f>I11*I15</f>
        <v>1.8432153823718234</v>
      </c>
      <c r="J16" s="55">
        <f>J11*J15</f>
        <v>4.471416421705864</v>
      </c>
      <c r="K16" s="55">
        <f>K11*K15</f>
        <v>7.356250854774305</v>
      </c>
      <c r="L16" s="55">
        <f>L11*L15</f>
        <v>9.5715764453034</v>
      </c>
      <c r="M16" s="55">
        <f>M11*M15</f>
        <v>11.2277426520291</v>
      </c>
      <c r="N16" s="55">
        <f>N11*N15</f>
        <v>11.820546288264897</v>
      </c>
      <c r="O16" s="55">
        <f>O11*O15</f>
        <v>10.5540591859508</v>
      </c>
      <c r="P16" s="55">
        <f>P11*P15</f>
        <v>9.423267130313214</v>
      </c>
      <c r="Q16" s="55">
        <f>Q11*Q15</f>
        <v>8.413631366351083</v>
      </c>
      <c r="R16" s="55">
        <f>R11*R15</f>
        <v>7.512170862813467</v>
      </c>
      <c r="S16" s="55">
        <f>S11*S15</f>
        <v>6.7072954132263085</v>
      </c>
      <c r="T16" s="55">
        <f>T11*T15</f>
        <v>5.988656618952061</v>
      </c>
      <c r="U16" s="55">
        <f>U11*U15</f>
        <v>4.438035810789093</v>
      </c>
      <c r="V16" s="55">
        <f>V11*V15</f>
        <v>1.8616410152342626</v>
      </c>
    </row>
    <row r="17">
      <c r="A17" s="14" t="inlineStr">
        <is>
          <t>Tax-loss carryforward, end of year</t>
        </is>
      </c>
      <c r="C17" s="23">
        <f>Assumptions!$B$21-C8+MAX(0,-C7)</f>
        <v>357.61</v>
      </c>
      <c r="D17" s="23">
        <f>C17-D8+MAX(0,-D7)</f>
        <v>367.72</v>
      </c>
      <c r="E17" s="23">
        <f>D17-E8+MAX(0,-E7)</f>
        <v>377.83000000000004</v>
      </c>
      <c r="F17" s="23">
        <f>E17-F8+MAX(0,-F7)</f>
        <v>387.94000000000005</v>
      </c>
      <c r="G17" s="23">
        <f>F17-G8+MAX(0,-G7)</f>
        <v>388.46652880000005</v>
      </c>
      <c r="H17" s="23">
        <f>G17-H8+MAX(0,-H7)</f>
        <v>388.99305760000004</v>
      </c>
      <c r="I17" s="23">
        <f>H17-I8+MAX(0,-I7)</f>
        <v>385.3531864</v>
      </c>
      <c r="J17" s="23">
        <f>I17-J8+MAX(0,-J7)</f>
        <v>375.4637152</v>
      </c>
      <c r="K17" s="23">
        <f>J17-K8+MAX(0,-K7)</f>
        <v>357.241444</v>
      </c>
      <c r="L17" s="23">
        <f>K17-L8+MAX(0,-L7)</f>
        <v>330.6863728</v>
      </c>
      <c r="M17" s="23">
        <f>L17-M8+MAX(0,-M7)</f>
        <v>295.7985016</v>
      </c>
      <c r="N17" s="23">
        <f>M17-N8+MAX(0,-N7)</f>
        <v>254.66103040000002</v>
      </c>
      <c r="O17" s="23">
        <f>N17-O8+MAX(0,-O7)</f>
        <v>213.52355920000002</v>
      </c>
      <c r="P17" s="23">
        <f>O17-P8+MAX(0,-P7)</f>
        <v>172.38608800000003</v>
      </c>
      <c r="Q17" s="23">
        <f>P17-Q8+MAX(0,-Q7)</f>
        <v>131.24861680000004</v>
      </c>
      <c r="R17" s="23">
        <f>Q17-R8+MAX(0,-R7)</f>
        <v>90.11114560000004</v>
      </c>
      <c r="S17" s="23">
        <f>R17-S8+MAX(0,-S7)</f>
        <v>48.97367440000004</v>
      </c>
      <c r="T17" s="23">
        <f>S17-T8+MAX(0,-T7)</f>
        <v>7.836203200000043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104.57270632091875</v>
      </c>
    </row>
    <row r="20">
      <c r="A20" s="14" t="inlineStr">
        <is>
          <t>PV of corporate burn</t>
        </is>
      </c>
      <c r="B20" s="23">
        <f>SUMPRODUCT(C6:V6,C15:V15)</f>
        <v>-31.836613065359824</v>
      </c>
    </row>
    <row r="21">
      <c r="A21" s="14" t="inlineStr">
        <is>
          <t>PV of taxes</t>
        </is>
      </c>
      <c r="B21" s="23">
        <f>-SUMPRODUCT(C10:V10,C15:V15)</f>
        <v>-1.4038456265472838</v>
      </c>
    </row>
    <row r="22">
      <c r="A22" s="24" t="inlineStr">
        <is>
          <t>Pipeline rNPV (operations)</t>
        </is>
      </c>
      <c r="B22" s="54">
        <f>SUM(C16:V16)</f>
        <v>71.33224762901165</v>
      </c>
    </row>
    <row r="23">
      <c r="A23" s="14" t="inlineStr">
        <is>
          <t>Cash &amp; investments</t>
        </is>
      </c>
      <c r="B23" s="57">
        <f>Main!C7</f>
        <v>2.169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73.50124762901164</v>
      </c>
    </row>
    <row r="26">
      <c r="A26" s="14" t="inlineStr">
        <is>
          <t>Shares (mm)</t>
        </is>
      </c>
      <c r="B26" s="57">
        <f>Main!C4</f>
        <v>19.2632</v>
      </c>
    </row>
    <row r="27">
      <c r="A27" s="24" t="inlineStr">
        <is>
          <t>rNPV / share</t>
        </is>
      </c>
      <c r="B27" s="60">
        <f>B25/B26</f>
        <v>3.8156301979427947</v>
      </c>
    </row>
    <row r="28">
      <c r="A28" s="14" t="inlineStr">
        <is>
          <t>Price</t>
        </is>
      </c>
      <c r="B28" s="61">
        <f>Main!C3</f>
        <v>0.9429</v>
      </c>
    </row>
    <row r="29">
      <c r="A29" s="14" t="inlineStr">
        <is>
          <t>Upside</t>
        </is>
      </c>
      <c r="B29" s="62">
        <f>B27/B28-1</f>
        <v>3.046696572216348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2026-10-21T06:30:12Z</dcterms:modified>
  <cp:lastModifiedBy>Wang, Eric</cp:lastModifiedBy>
</cp:coreProperties>
</file>