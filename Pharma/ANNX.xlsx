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Annexon, Inc.</t>
        </is>
      </c>
      <c r="C2" s="10" t="n"/>
    </row>
    <row r="3">
      <c r="B3" t="inlineStr">
        <is>
          <t>Price</t>
        </is>
      </c>
      <c r="C3" s="11">
        <f>INDEX([1]Pharma!$F$1:$F$1000,MATCH("ANNX",[1]Pharma!$B$1:$B$1000,0))</f>
        <v>3.83</v>
      </c>
      <c r="F3" s="1" t="n"/>
    </row>
    <row r="4">
      <c r="B4" t="inlineStr">
        <is>
          <t>Shares</t>
        </is>
      </c>
      <c r="C4" s="21" t="n">
        <v>204.444933</v>
      </c>
      <c r="F4" s="1" t="n"/>
    </row>
    <row r="5">
      <c r="B5" t="inlineStr">
        <is>
          <t>Market Cap.</t>
        </is>
      </c>
      <c r="C5" s="13">
        <f>C3*C4</f>
        <v>783.02409339</v>
      </c>
      <c r="F5" s="1" t="n"/>
    </row>
    <row r="6"/>
    <row r="7">
      <c r="B7" t="inlineStr">
        <is>
          <t>Cash</t>
        </is>
      </c>
      <c r="C7" s="21">
        <f>199.27+9.973</f>
        <v>209.24300000000002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573.7810933899999</v>
      </c>
    </row>
    <row r="10"/>
    <row r="11">
      <c r="B11" s="14" t="inlineStr">
        <is>
          <t>Net Cash / Share</t>
        </is>
      </c>
      <c r="C11" s="11">
        <f>(C7-C8)/C4</f>
        <v>1.0234687498956017</v>
      </c>
    </row>
    <row r="12">
      <c r="B12" s="14" t="inlineStr">
        <is>
          <t>Upside</t>
        </is>
      </c>
      <c r="C12" s="15">
        <f>IFERROR(C11/C3-1,"")</f>
        <v>-0.7327757833170753</v>
      </c>
    </row>
    <row r="13">
      <c r="B13" s="14" t="inlineStr">
        <is>
          <t>Cash / Share</t>
        </is>
      </c>
      <c r="C13" s="11">
        <f>IFERROR((C7-C8)/C4,"")</f>
        <v>1.0234687498956017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-193.033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1.0839752788383334</v>
      </c>
    </row>
    <row r="19">
      <c r="B19" s="14" t="inlineStr">
        <is>
          <t>Implied Pipeline Value</t>
        </is>
      </c>
      <c r="C19" s="13">
        <f>C9</f>
        <v>573.7810933899999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24.524</v>
      </c>
      <c r="C5" s="23" t="n">
        <v>49.271</v>
      </c>
      <c r="D5" s="23" t="n">
        <v>100.066</v>
      </c>
      <c r="E5" s="23" t="n">
        <v>112.501</v>
      </c>
      <c r="F5" s="23" t="n">
        <v>113.756</v>
      </c>
      <c r="G5" s="23" t="n">
        <v>119.448</v>
      </c>
      <c r="H5" s="23" t="n">
        <v>184.698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7.994</v>
      </c>
      <c r="C6" s="23" t="n">
        <v>14.198</v>
      </c>
      <c r="D6" s="23" t="n">
        <v>30.647</v>
      </c>
      <c r="E6" s="23" t="n">
        <v>33.098</v>
      </c>
      <c r="F6" s="23" t="n">
        <v>29.967</v>
      </c>
      <c r="G6" s="23" t="n">
        <v>34.625</v>
      </c>
      <c r="H6" s="23" t="n">
        <v>31.709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32.518</v>
      </c>
      <c r="C7" s="23">
        <f>SUM(C5:C6)</f>
        <v>63.469</v>
      </c>
      <c r="D7" s="23">
        <f>SUM(D5:D6)</f>
        <v>130.713</v>
      </c>
      <c r="E7" s="23">
        <f>SUM(E5:E6)</f>
        <v>145.599</v>
      </c>
      <c r="F7" s="23">
        <f>SUM(F5:F6)</f>
        <v>143.723</v>
      </c>
      <c r="G7" s="23">
        <f>SUM(G5:G6)</f>
        <v>154.07299999999998</v>
      </c>
      <c r="H7" s="23">
        <f>SUM(H5:H6)</f>
        <v>216.407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-32.518</v>
      </c>
      <c r="C8" s="23">
        <f>C4-C7</f>
        <v>-63.469</v>
      </c>
      <c r="D8" s="23">
        <f>D4-D7</f>
        <v>-130.713</v>
      </c>
      <c r="E8" s="23">
        <f>E4-E7</f>
        <v>-145.599</v>
      </c>
      <c r="F8" s="23">
        <f>F4-F7</f>
        <v>-143.723</v>
      </c>
      <c r="G8" s="23">
        <f>G4-G7</f>
        <v>-154.07299999999998</v>
      </c>
      <c r="H8" s="23">
        <f>H4-H7</f>
        <v>-216.407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-4.661</v>
      </c>
      <c r="C9" s="23" t="n">
        <v>0.057</v>
      </c>
      <c r="D9" s="23" t="n">
        <v>0.39</v>
      </c>
      <c r="E9" s="23" t="n">
        <v>3.652</v>
      </c>
      <c r="F9" s="23" t="n">
        <v>9.523</v>
      </c>
      <c r="G9" s="23" t="n">
        <v>15.873</v>
      </c>
      <c r="H9" s="23" t="n">
        <v>9.707000000000001</v>
      </c>
    </row>
    <row r="10">
      <c r="A10" s="2" t="inlineStr">
        <is>
          <t>Pretax</t>
        </is>
      </c>
      <c r="B10" s="23">
        <f>B8+B9</f>
        <v>-37.179</v>
      </c>
      <c r="C10" s="23">
        <f>C8+C9</f>
        <v>-63.412</v>
      </c>
      <c r="D10" s="23">
        <f>D8+D9</f>
        <v>-130.323</v>
      </c>
      <c r="E10" s="23">
        <f>E8+E9</f>
        <v>-141.947</v>
      </c>
      <c r="F10" s="23">
        <f>F8+F9</f>
        <v>-134.20000000000002</v>
      </c>
      <c r="G10" s="23">
        <f>G8+G9</f>
        <v>-138.2</v>
      </c>
      <c r="H10" s="23">
        <f>H8+H9</f>
        <v>-206.70000000000002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0.004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-37.183</v>
      </c>
      <c r="C12" s="23" t="n">
        <v>-63.412</v>
      </c>
      <c r="D12" s="23" t="n">
        <v>-130.323</v>
      </c>
      <c r="E12" s="23" t="n">
        <v>-141.947</v>
      </c>
      <c r="F12" s="23" t="n">
        <v>-134.2</v>
      </c>
      <c r="G12" s="23" t="n">
        <v>-138.2</v>
      </c>
      <c r="H12" s="23" t="n">
        <v>-206.7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-2.2301325496311404</v>
      </c>
      <c r="C13" s="11">
        <f>IFERROR(C12/C14,0)</f>
        <v>-3.7384742365287114</v>
      </c>
      <c r="D13" s="11">
        <f>IFERROR(D12/D14,0)</f>
        <v>-3.4012683996241777</v>
      </c>
      <c r="E13" s="11">
        <f>IFERROR(E12/E14,0)</f>
        <v>-2.5962431868895637</v>
      </c>
      <c r="F13" s="11">
        <f>IFERROR(F12/F14,0)</f>
        <v>-1.7734198459159805</v>
      </c>
      <c r="G13" s="11">
        <f>IFERROR(G12/G14,0)</f>
        <v>-1.0057931355710168</v>
      </c>
      <c r="H13" s="11">
        <f>IFERROR(H12/H14,0)</f>
        <v>-1.3326370353177825</v>
      </c>
    </row>
    <row r="14">
      <c r="A14" s="2" t="inlineStr">
        <is>
          <t>Shares</t>
        </is>
      </c>
      <c r="B14" s="23" t="n">
        <v>16.673</v>
      </c>
      <c r="C14" s="23" t="n">
        <v>16.962</v>
      </c>
      <c r="D14" s="23" t="n">
        <v>38.316</v>
      </c>
      <c r="E14" s="23" t="n">
        <v>54.674</v>
      </c>
      <c r="F14" s="23" t="n">
        <v>75.673</v>
      </c>
      <c r="G14" s="23" t="n">
        <v>137.404</v>
      </c>
      <c r="H14" s="23" t="n">
        <v>155.106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2026-10-21T01:04:59Z</dcterms:modified>
  <cp:lastModifiedBy>Wang, Eric</cp:lastModifiedBy>
</cp:coreProperties>
</file>