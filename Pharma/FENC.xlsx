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Fennec Pharmaceuticals Inc.</t>
        </is>
      </c>
      <c r="C2" s="10" t="n"/>
    </row>
    <row r="3">
      <c r="B3" t="inlineStr">
        <is>
          <t>Price</t>
        </is>
      </c>
      <c r="C3" s="11">
        <f>INDEX([1]Pharma!$F$1:$F$1000,MATCH("FENC",[1]Pharma!$B$1:$B$1000,0))</f>
        <v>10.46</v>
      </c>
      <c r="F3" s="1" t="n"/>
    </row>
    <row r="4">
      <c r="B4" t="inlineStr">
        <is>
          <t>Shares</t>
        </is>
      </c>
      <c r="C4" s="51" t="n">
        <v>35.067159</v>
      </c>
      <c r="F4" s="1" t="n"/>
    </row>
    <row r="5">
      <c r="B5" t="inlineStr">
        <is>
          <t>Market Cap.</t>
        </is>
      </c>
      <c r="C5" s="13">
        <f>C3*C4</f>
        <v>366.80248314</v>
      </c>
      <c r="F5" s="1" t="n"/>
    </row>
    <row r="6"/>
    <row r="7">
      <c r="B7" t="inlineStr">
        <is>
          <t>Cash</t>
        </is>
      </c>
      <c r="C7" s="51" t="n">
        <v>41.249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325.55348313999997</v>
      </c>
    </row>
    <row r="10"/>
    <row r="11">
      <c r="B11" s="14" t="inlineStr">
        <is>
          <t>NPV / Share</t>
        </is>
      </c>
      <c r="C11" s="11">
        <f>NPV!B28</f>
        <v>6.185410520469551</v>
      </c>
    </row>
    <row r="12">
      <c r="B12" s="14" t="inlineStr">
        <is>
          <t>Upside</t>
        </is>
      </c>
      <c r="C12" s="15">
        <f>IFERROR(C11/C3-1,"")</f>
        <v>-0.4086605620966013</v>
      </c>
    </row>
    <row r="13">
      <c r="B13" s="14" t="inlineStr">
        <is>
          <t>Cash / Share</t>
        </is>
      </c>
      <c r="C13" s="11">
        <f>IFERROR((C7-C8)/C4,"")</f>
        <v>1.1762857664061126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  <col width="11" customWidth="1" style="9" min="40" max="40"/>
  </cols>
  <sheetData>
    <row r="1" customFormat="1" s="6">
      <c r="A1" s="7" t="n"/>
      <c r="B1" s="16" t="n">
        <v>1997</v>
      </c>
      <c r="C1" s="16" t="n">
        <v>1998</v>
      </c>
      <c r="D1" s="16" t="n">
        <v>1999</v>
      </c>
      <c r="E1" s="16" t="n">
        <v>2000</v>
      </c>
      <c r="F1" s="16" t="n">
        <v>2001</v>
      </c>
      <c r="G1" s="16" t="n">
        <v>2002</v>
      </c>
      <c r="H1" s="16" t="n">
        <v>2003</v>
      </c>
      <c r="I1" s="16" t="n">
        <v>2004</v>
      </c>
      <c r="J1" s="16" t="n">
        <v>2005</v>
      </c>
      <c r="K1" s="16" t="n">
        <v>2006</v>
      </c>
      <c r="L1" s="16" t="n">
        <v>2007</v>
      </c>
      <c r="M1" s="16" t="n">
        <v>2008</v>
      </c>
      <c r="N1" s="16" t="n">
        <v>2009</v>
      </c>
      <c r="O1" s="16" t="n">
        <v>2010</v>
      </c>
      <c r="P1" s="16" t="n">
        <v>2011</v>
      </c>
      <c r="Q1" s="16" t="n">
        <v>2012</v>
      </c>
      <c r="R1" s="16" t="n">
        <v>2013</v>
      </c>
      <c r="S1" s="16" t="n">
        <v>2014</v>
      </c>
      <c r="T1" s="16" t="n">
        <v>2015</v>
      </c>
      <c r="U1" s="16" t="n">
        <v>2016</v>
      </c>
      <c r="V1" s="16" t="n">
        <v>2017</v>
      </c>
      <c r="W1" s="16" t="n">
        <v>2018</v>
      </c>
      <c r="X1" s="16" t="n">
        <v>2019</v>
      </c>
      <c r="Y1" s="16" t="n">
        <v>2020</v>
      </c>
      <c r="Z1" s="16" t="n">
        <v>2021</v>
      </c>
      <c r="AA1" s="16" t="n">
        <v>2022</v>
      </c>
      <c r="AB1" s="16" t="n">
        <v>2023</v>
      </c>
      <c r="AC1" s="16" t="n">
        <v>2024</v>
      </c>
      <c r="AD1" s="16" t="n">
        <v>2025</v>
      </c>
      <c r="AE1" s="16" t="n">
        <v>2026</v>
      </c>
      <c r="AF1" s="16" t="n">
        <v>2027</v>
      </c>
      <c r="AG1" s="16" t="n">
        <v>2028</v>
      </c>
      <c r="AH1" s="16" t="n">
        <v>2029</v>
      </c>
      <c r="AI1" s="16" t="n">
        <v>2030</v>
      </c>
      <c r="AJ1" s="16" t="n">
        <v>2031</v>
      </c>
      <c r="AK1" s="17" t="n">
        <v>2032</v>
      </c>
      <c r="AL1" s="17" t="n">
        <v>2033</v>
      </c>
      <c r="AM1" s="17" t="n">
        <v>2034</v>
      </c>
      <c r="AN1" s="17" t="n">
        <v>2035</v>
      </c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0</v>
      </c>
      <c r="G2" s="52" t="n">
        <v>0</v>
      </c>
      <c r="H2" s="52" t="n">
        <v>0</v>
      </c>
      <c r="I2" s="52" t="n">
        <v>0</v>
      </c>
      <c r="J2" s="52" t="n">
        <v>0</v>
      </c>
      <c r="K2" s="52" t="n">
        <v>0</v>
      </c>
      <c r="L2" s="52" t="n">
        <v>0</v>
      </c>
      <c r="M2" s="52" t="n">
        <v>0</v>
      </c>
      <c r="N2" s="52" t="n">
        <v>0</v>
      </c>
      <c r="O2" s="52" t="n">
        <v>0</v>
      </c>
      <c r="P2" s="52" t="n">
        <v>0</v>
      </c>
      <c r="Q2" s="52" t="n">
        <v>0</v>
      </c>
      <c r="R2" s="52" t="n">
        <v>0</v>
      </c>
      <c r="S2" s="52" t="n">
        <v>0</v>
      </c>
      <c r="T2" s="52" t="n">
        <v>0</v>
      </c>
      <c r="U2" s="52" t="n">
        <v>0</v>
      </c>
      <c r="V2" s="52" t="n">
        <v>0</v>
      </c>
      <c r="W2" s="52" t="n">
        <v>0</v>
      </c>
      <c r="X2" s="52" t="n">
        <v>0</v>
      </c>
      <c r="Y2" s="52" t="n">
        <v>0.2</v>
      </c>
      <c r="Z2" s="52" t="n">
        <v>0</v>
      </c>
      <c r="AA2" s="52" t="n">
        <v>1.769</v>
      </c>
      <c r="AB2" s="52" t="n">
        <v>23.782</v>
      </c>
      <c r="AC2" s="52" t="n">
        <v>47.538</v>
      </c>
      <c r="AD2" s="52" t="n">
        <v>44.642</v>
      </c>
      <c r="AE2" s="52">
        <f>AD2*(1+NPV!C5)</f>
        <v>60.26670000000001</v>
      </c>
      <c r="AF2" s="52">
        <f>AE2*(1+NPV!D5)</f>
        <v>79.18374750000001</v>
      </c>
      <c r="AG2" s="52">
        <f>AF2*(1+NPV!E5)</f>
        <v>101.17923291666668</v>
      </c>
      <c r="AH2" s="52">
        <f>AG2*(1+NPV!F5)</f>
        <v>125.6308808715278</v>
      </c>
      <c r="AI2" s="52">
        <f>AH2*(1+NPV!G5)</f>
        <v>151.4550063840085</v>
      </c>
      <c r="AJ2" s="52">
        <f>AI2*(1+NPV!H5)</f>
        <v>177.1182157990766</v>
      </c>
      <c r="AK2" s="52">
        <f>AJ2*(1+NPV!I5)</f>
        <v>200.73397790562015</v>
      </c>
      <c r="AL2" s="52">
        <f>AK2*(1+NPV!J5)</f>
        <v>220.24978131311101</v>
      </c>
      <c r="AM2" s="52">
        <f>AL2*(1+NPV!K5)</f>
        <v>233.70949017113446</v>
      </c>
      <c r="AN2" s="52">
        <f>AM2*(1+NPV!L5)</f>
        <v>239.5522274254128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0</v>
      </c>
      <c r="M3" s="52" t="n">
        <v>0</v>
      </c>
      <c r="N3" s="52" t="n">
        <v>0</v>
      </c>
      <c r="O3" s="52" t="n">
        <v>0</v>
      </c>
      <c r="P3" s="52" t="n">
        <v>0</v>
      </c>
      <c r="Q3" s="52" t="n">
        <v>0</v>
      </c>
      <c r="R3" s="52" t="n">
        <v>0</v>
      </c>
      <c r="S3" s="52" t="n">
        <v>0</v>
      </c>
      <c r="T3" s="52" t="n">
        <v>0</v>
      </c>
      <c r="U3" s="52" t="n">
        <v>0</v>
      </c>
      <c r="V3" s="52" t="n">
        <v>0</v>
      </c>
      <c r="W3" s="52" t="n">
        <v>0</v>
      </c>
      <c r="X3" s="52" t="n">
        <v>0</v>
      </c>
      <c r="Y3" s="52" t="n">
        <v>0</v>
      </c>
      <c r="Z3" s="52" t="n">
        <v>0</v>
      </c>
      <c r="AA3" s="52" t="n">
        <v>0.08599999999999999</v>
      </c>
      <c r="AB3" s="52" t="n">
        <v>1.259</v>
      </c>
      <c r="AC3" s="52" t="n">
        <v>0</v>
      </c>
      <c r="AD3" s="52" t="n">
        <v>0</v>
      </c>
      <c r="AE3" s="52">
        <f>AE2*(1-Assumptions!$B$19)</f>
        <v>3.188108429999997</v>
      </c>
      <c r="AF3" s="52">
        <f>AF2*(1-Assumptions!$B$19)</f>
        <v>4.188820242749997</v>
      </c>
      <c r="AG3" s="52">
        <f>AG2*(1-Assumptions!$B$19)</f>
        <v>5.352381421291662</v>
      </c>
      <c r="AH3" s="52">
        <f>AH2*(1-Assumptions!$B$19)</f>
        <v>6.6458735981038135</v>
      </c>
      <c r="AI3" s="52">
        <f>AI2*(1-Assumptions!$B$19)</f>
        <v>8.011969837714041</v>
      </c>
      <c r="AJ3" s="52">
        <f>AJ2*(1-Assumptions!$B$19)</f>
        <v>9.369553615771144</v>
      </c>
      <c r="AK3" s="52">
        <f>AK2*(1-Assumptions!$B$19)</f>
        <v>10.618827431207295</v>
      </c>
      <c r="AL3" s="52">
        <f>AL2*(1-Assumptions!$B$19)</f>
        <v>11.65121343146356</v>
      </c>
      <c r="AM3" s="52">
        <f>AM2*(1-Assumptions!$B$19)</f>
        <v>12.363232030053</v>
      </c>
      <c r="AN3" s="52">
        <f>AN2*(1-Assumptions!$B$19)</f>
        <v>12.672312830804325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0.0</v>
      </c>
      <c r="G4" s="52">
        <f>G2-G3</f>
        <v>0.0</v>
      </c>
      <c r="H4" s="52">
        <f>H2-H3</f>
        <v>0.0</v>
      </c>
      <c r="I4" s="52">
        <f>I2-I3</f>
        <v>0.0</v>
      </c>
      <c r="J4" s="52">
        <f>J2-J3</f>
        <v>0.0</v>
      </c>
      <c r="K4" s="52">
        <f>K2-K3</f>
        <v>0.0</v>
      </c>
      <c r="L4" s="52">
        <f>L2-L3</f>
        <v>0.0</v>
      </c>
      <c r="M4" s="52">
        <f>M2-M3</f>
        <v>0.0</v>
      </c>
      <c r="N4" s="52">
        <f>N2-N3</f>
        <v>0.0</v>
      </c>
      <c r="O4" s="52">
        <f>O2-O3</f>
        <v>0.0</v>
      </c>
      <c r="P4" s="52">
        <f>P2-P3</f>
        <v>0.0</v>
      </c>
      <c r="Q4" s="52">
        <f>Q2-Q3</f>
        <v>0.0</v>
      </c>
      <c r="R4" s="52">
        <f>R2-R3</f>
        <v>0.0</v>
      </c>
      <c r="S4" s="52">
        <f>S2-S3</f>
        <v>0.0</v>
      </c>
      <c r="T4" s="52">
        <f>T2-T3</f>
        <v>0.0</v>
      </c>
      <c r="U4" s="52">
        <f>U2-U3</f>
        <v>0.0</v>
      </c>
      <c r="V4" s="52">
        <f>V2-V3</f>
        <v>0.0</v>
      </c>
      <c r="W4" s="52">
        <f>W2-W3</f>
        <v>0.0</v>
      </c>
      <c r="X4" s="52">
        <f>X2-X3</f>
        <v>0.0</v>
      </c>
      <c r="Y4" s="52">
        <f>Y2-Y3</f>
        <v>0.2</v>
      </c>
      <c r="Z4" s="52">
        <f>Z2-Z3</f>
        <v>0.0</v>
      </c>
      <c r="AA4" s="52">
        <f>AA2-AA3</f>
        <v>1.6829999999999998</v>
      </c>
      <c r="AB4" s="52">
        <f>AB2-AB3</f>
        <v>22.523</v>
      </c>
      <c r="AC4" s="52">
        <f>AC2-AC3</f>
        <v>47.538</v>
      </c>
      <c r="AD4" s="52">
        <f>AD2-AD3</f>
        <v>44.642</v>
      </c>
      <c r="AE4" s="52">
        <f>AE2-AE3</f>
        <v>57.07859157000001</v>
      </c>
      <c r="AF4" s="52">
        <f>AF2-AF3</f>
        <v>74.99492725725001</v>
      </c>
      <c r="AG4" s="52">
        <f>AG2-AG3</f>
        <v>95.82685149537501</v>
      </c>
      <c r="AH4" s="52">
        <f>AH2-AH3</f>
        <v>118.98500727342397</v>
      </c>
      <c r="AI4" s="52">
        <f>AI2-AI3</f>
        <v>143.44303654629445</v>
      </c>
      <c r="AJ4" s="52">
        <f>AJ2-AJ3</f>
        <v>167.74866218330547</v>
      </c>
      <c r="AK4" s="52">
        <f>AK2-AK3</f>
        <v>190.11515047441284</v>
      </c>
      <c r="AL4" s="52">
        <f>AL2-AL3</f>
        <v>208.59856788164745</v>
      </c>
      <c r="AM4" s="52">
        <f>AM2-AM3</f>
        <v>221.34625814108145</v>
      </c>
      <c r="AN4" s="52">
        <f>AN2-AN3</f>
        <v>226.8799145946085</v>
      </c>
    </row>
    <row r="5">
      <c r="A5" s="2" t="inlineStr">
        <is>
          <t>Research &amp; Dev.</t>
        </is>
      </c>
      <c r="B5" s="52" t="n">
        <v>0</v>
      </c>
      <c r="C5" s="52" t="n">
        <v>0</v>
      </c>
      <c r="D5" s="52" t="n">
        <v>0</v>
      </c>
      <c r="E5" s="52" t="n">
        <v>0</v>
      </c>
      <c r="F5" s="52" t="n">
        <v>0</v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0.708</v>
      </c>
      <c r="P5" s="52" t="n">
        <v>1.494</v>
      </c>
      <c r="Q5" s="52" t="n">
        <v>2.075</v>
      </c>
      <c r="R5" s="52" t="n">
        <v>0.597</v>
      </c>
      <c r="S5" s="52" t="n">
        <v>0.357</v>
      </c>
      <c r="T5" s="52" t="n">
        <v>0.256</v>
      </c>
      <c r="U5" s="52" t="n">
        <v>0.472</v>
      </c>
      <c r="V5" s="52" t="n">
        <v>1.936</v>
      </c>
      <c r="W5" s="52" t="n">
        <v>5.008</v>
      </c>
      <c r="X5" s="52" t="n">
        <v>5.607</v>
      </c>
      <c r="Y5" s="52" t="n">
        <v>5.105</v>
      </c>
      <c r="Z5" s="52" t="n">
        <v>4.981</v>
      </c>
      <c r="AA5" s="52" t="n">
        <v>3.531</v>
      </c>
      <c r="AB5" s="52" t="n">
        <v>0.056</v>
      </c>
      <c r="AC5" s="52" t="n">
        <v>0.307</v>
      </c>
      <c r="AD5" s="52" t="n">
        <v>0.25</v>
      </c>
      <c r="AE5" s="52">
        <f>AE7*Assumptions!$B$20</f>
        <v>0.27882870888600003</v>
      </c>
      <c r="AF5" s="52">
        <f>AF7*Assumptions!$B$20</f>
        <v>0.35785273456432504</v>
      </c>
      <c r="AG5" s="52">
        <f>AG7*Assumptions!$B$20</f>
        <v>0.4463987284590167</v>
      </c>
      <c r="AH5" s="52">
        <f>AH7*Assumptions!$B$20</f>
        <v>0.5407969713436221</v>
      </c>
      <c r="AI5" s="52">
        <f>AI7*Assumptions!$B$20</f>
        <v>0.6357081564958542</v>
      </c>
      <c r="AJ5" s="52">
        <f>AJ7*Assumptions!$B$20</f>
        <v>0.7244188161646974</v>
      </c>
      <c r="AK5" s="52">
        <f>AK7*Assumptions!$B$20</f>
        <v>0.7994672284842715</v>
      </c>
      <c r="AL5" s="52">
        <f>AL7*Assumptions!$B$20</f>
        <v>0.8535582049986435</v>
      </c>
      <c r="AM5" s="52">
        <f>AM7*Assumptions!$B$20</f>
        <v>0.8806407299138518</v>
      </c>
      <c r="AN5" s="52">
        <f>AN7*Assumptions!$B$20</f>
        <v>0.876950398636677</v>
      </c>
    </row>
    <row r="6">
      <c r="A6" s="19" t="inlineStr">
        <is>
          <t>SG&amp;A &amp; Other</t>
        </is>
      </c>
      <c r="B6" s="52" t="n">
        <v>0.037</v>
      </c>
      <c r="C6" s="52" t="n">
        <v>0.398</v>
      </c>
      <c r="D6" s="52" t="n">
        <v>0.958</v>
      </c>
      <c r="E6" s="52" t="n">
        <v>1.605</v>
      </c>
      <c r="F6" s="52" t="n">
        <v>2.524</v>
      </c>
      <c r="G6" s="52" t="n">
        <v>3.732</v>
      </c>
      <c r="H6" s="52" t="n">
        <v>17.795</v>
      </c>
      <c r="I6" s="52" t="n">
        <v>6.872</v>
      </c>
      <c r="J6" s="52" t="n">
        <v>13.871</v>
      </c>
      <c r="K6" s="52" t="n">
        <v>16.44</v>
      </c>
      <c r="L6" s="52" t="n">
        <v>13.357</v>
      </c>
      <c r="M6" s="52" t="n">
        <v>13.6</v>
      </c>
      <c r="N6" s="52" t="n">
        <v>3.012</v>
      </c>
      <c r="O6" s="52" t="n">
        <v>3.896</v>
      </c>
      <c r="P6" s="52" t="n">
        <v>1.944</v>
      </c>
      <c r="Q6" s="52" t="n">
        <v>1.545</v>
      </c>
      <c r="R6" s="52" t="n">
        <v>1.334</v>
      </c>
      <c r="S6" s="52" t="n">
        <v>2.52</v>
      </c>
      <c r="T6" s="52" t="n">
        <v>1.634</v>
      </c>
      <c r="U6" s="52" t="n">
        <v>2.399</v>
      </c>
      <c r="V6" s="52" t="n">
        <v>5.015</v>
      </c>
      <c r="W6" s="52" t="n">
        <v>5.401</v>
      </c>
      <c r="X6" s="52" t="n">
        <v>7.402</v>
      </c>
      <c r="Y6" s="52" t="n">
        <v>12.98</v>
      </c>
      <c r="Z6" s="52" t="n">
        <v>12.242</v>
      </c>
      <c r="AA6" s="52" t="n">
        <v>20.741</v>
      </c>
      <c r="AB6" s="52" t="n">
        <v>35.238</v>
      </c>
      <c r="AC6" s="52" t="n">
        <v>44.663</v>
      </c>
      <c r="AD6" s="52" t="n">
        <v>50.674</v>
      </c>
      <c r="AE6" s="52">
        <f>AE7-AE5</f>
        <v>56.624989431114</v>
      </c>
      <c r="AF6" s="52">
        <f>AF7-AF5</f>
        <v>72.67331758468569</v>
      </c>
      <c r="AG6" s="52">
        <f>AG7-AG5</f>
        <v>90.65538258970766</v>
      </c>
      <c r="AH6" s="52">
        <f>AH7-AH5</f>
        <v>109.82593187429354</v>
      </c>
      <c r="AI6" s="52">
        <f>AI7-AI5</f>
        <v>129.10065031204581</v>
      </c>
      <c r="AJ6" s="52">
        <f>AJ7-AJ5</f>
        <v>147.11615591132457</v>
      </c>
      <c r="AK6" s="52">
        <f>AK7-AK5</f>
        <v>162.3571100132038</v>
      </c>
      <c r="AL6" s="52">
        <f>AL7-AL5</f>
        <v>173.34199383554085</v>
      </c>
      <c r="AM6" s="52">
        <f>AM7-AM5</f>
        <v>178.84195721168854</v>
      </c>
      <c r="AN6" s="52">
        <f>AN7-AN5</f>
        <v>178.09251871088927</v>
      </c>
    </row>
    <row r="7">
      <c r="A7" s="2" t="inlineStr">
        <is>
          <t>Operating Expense</t>
        </is>
      </c>
      <c r="B7" s="52">
        <f>SUM(B5:B6)</f>
        <v>0.037</v>
      </c>
      <c r="C7" s="52">
        <f>SUM(C5:C6)</f>
        <v>0.398</v>
      </c>
      <c r="D7" s="52">
        <f>SUM(D5:D6)</f>
        <v>0.958</v>
      </c>
      <c r="E7" s="52">
        <f>SUM(E5:E6)</f>
        <v>1.605</v>
      </c>
      <c r="F7" s="52">
        <f>SUM(F5:F6)</f>
        <v>2.524</v>
      </c>
      <c r="G7" s="52">
        <f>SUM(G5:G6)</f>
        <v>3.732</v>
      </c>
      <c r="H7" s="52">
        <f>SUM(H5:H6)</f>
        <v>17.795</v>
      </c>
      <c r="I7" s="52">
        <f>SUM(I5:I6)</f>
        <v>6.872</v>
      </c>
      <c r="J7" s="52">
        <f>SUM(J5:J6)</f>
        <v>13.871</v>
      </c>
      <c r="K7" s="52">
        <f>SUM(K5:K6)</f>
        <v>16.44</v>
      </c>
      <c r="L7" s="52">
        <f>SUM(L5:L6)</f>
        <v>13.357</v>
      </c>
      <c r="M7" s="52">
        <f>SUM(M5:M6)</f>
        <v>13.6</v>
      </c>
      <c r="N7" s="52">
        <f>SUM(N5:N6)</f>
        <v>3.012</v>
      </c>
      <c r="O7" s="52">
        <f>SUM(O5:O6)</f>
        <v>4.604</v>
      </c>
      <c r="P7" s="52">
        <f>SUM(P5:P6)</f>
        <v>3.4379999999999997</v>
      </c>
      <c r="Q7" s="52">
        <f>SUM(Q5:Q6)</f>
        <v>3.62</v>
      </c>
      <c r="R7" s="52">
        <f>SUM(R5:R6)</f>
        <v>1.931</v>
      </c>
      <c r="S7" s="52">
        <f>SUM(S5:S6)</f>
        <v>2.877</v>
      </c>
      <c r="T7" s="52">
        <f>SUM(T5:T6)</f>
        <v>1.89</v>
      </c>
      <c r="U7" s="52">
        <f>SUM(U5:U6)</f>
        <v>2.871</v>
      </c>
      <c r="V7" s="52">
        <f>SUM(V5:V6)</f>
        <v>6.951</v>
      </c>
      <c r="W7" s="52">
        <f>SUM(W5:W6)</f>
        <v>10.408999999999999</v>
      </c>
      <c r="X7" s="52">
        <f>SUM(X5:X6)</f>
        <v>13.009</v>
      </c>
      <c r="Y7" s="52">
        <f>SUM(Y5:Y6)</f>
        <v>18.085</v>
      </c>
      <c r="Z7" s="52">
        <f>SUM(Z5:Z6)</f>
        <v>17.223</v>
      </c>
      <c r="AA7" s="52">
        <f>SUM(AA5:AA6)</f>
        <v>24.272</v>
      </c>
      <c r="AB7" s="52">
        <f>SUM(AB5:AB6)</f>
        <v>35.294</v>
      </c>
      <c r="AC7" s="52">
        <f>SUM(AC5:AC6)</f>
        <v>44.97</v>
      </c>
      <c r="AD7" s="52">
        <f>SUM(AD5:AD6)</f>
        <v>50.924</v>
      </c>
      <c r="AE7" s="52">
        <f>AE4-AE2*NPV!C6</f>
        <v>56.903818140000006</v>
      </c>
      <c r="AF7" s="52">
        <f>AF4-AF2*NPV!D6</f>
        <v>73.03117031925001</v>
      </c>
      <c r="AG7" s="52">
        <f>AG4-AG2*NPV!E6</f>
        <v>91.10178131816667</v>
      </c>
      <c r="AH7" s="52">
        <f>AH4-AH2*NPV!F6</f>
        <v>110.36672884563717</v>
      </c>
      <c r="AI7" s="52">
        <f>AI4-AI2*NPV!G6</f>
        <v>129.73635846854168</v>
      </c>
      <c r="AJ7" s="52">
        <f>AJ4-AJ2*NPV!H6</f>
        <v>147.84057472748927</v>
      </c>
      <c r="AK7" s="52">
        <f>AK4-AK2*NPV!I6</f>
        <v>163.15657724168807</v>
      </c>
      <c r="AL7" s="52">
        <f>AL4-AL2*NPV!J6</f>
        <v>174.1955520405395</v>
      </c>
      <c r="AM7" s="52">
        <f>AM4-AM2*NPV!K6</f>
        <v>179.7225979416024</v>
      </c>
      <c r="AN7" s="52">
        <f>AN4-AN2*NPV!L6</f>
        <v>178.96946910952593</v>
      </c>
    </row>
    <row r="8">
      <c r="A8" s="2" t="inlineStr">
        <is>
          <t>Operating Income</t>
        </is>
      </c>
      <c r="B8" s="52">
        <f>B4-B7</f>
        <v>-0.037</v>
      </c>
      <c r="C8" s="52">
        <f>C4-C7</f>
        <v>-0.398</v>
      </c>
      <c r="D8" s="52">
        <f>D4-D7</f>
        <v>-0.958</v>
      </c>
      <c r="E8" s="52">
        <f>E4-E7</f>
        <v>-1.605</v>
      </c>
      <c r="F8" s="52">
        <f>F4-F7</f>
        <v>-2.524</v>
      </c>
      <c r="G8" s="52">
        <f>G4-G7</f>
        <v>-3.732</v>
      </c>
      <c r="H8" s="52">
        <f>H4-H7</f>
        <v>-17.795</v>
      </c>
      <c r="I8" s="52">
        <f>I4-I7</f>
        <v>-6.872</v>
      </c>
      <c r="J8" s="52">
        <f>J4-J7</f>
        <v>-13.871</v>
      </c>
      <c r="K8" s="52">
        <f>K4-K7</f>
        <v>-16.44</v>
      </c>
      <c r="L8" s="52">
        <f>L4-L7</f>
        <v>-13.357</v>
      </c>
      <c r="M8" s="52">
        <f>M4-M7</f>
        <v>-13.6</v>
      </c>
      <c r="N8" s="52">
        <f>N4-N7</f>
        <v>-3.012</v>
      </c>
      <c r="O8" s="52">
        <f>O4-O7</f>
        <v>-4.604</v>
      </c>
      <c r="P8" s="52">
        <f>P4-P7</f>
        <v>-3.4379999999999997</v>
      </c>
      <c r="Q8" s="52">
        <f>Q4-Q7</f>
        <v>-3.62</v>
      </c>
      <c r="R8" s="52">
        <f>R4-R7</f>
        <v>-1.931</v>
      </c>
      <c r="S8" s="52">
        <f>S4-S7</f>
        <v>-2.877</v>
      </c>
      <c r="T8" s="52">
        <f>T4-T7</f>
        <v>-1.89</v>
      </c>
      <c r="U8" s="52">
        <f>U4-U7</f>
        <v>-2.871</v>
      </c>
      <c r="V8" s="52">
        <f>V4-V7</f>
        <v>-6.951</v>
      </c>
      <c r="W8" s="52">
        <f>W4-W7</f>
        <v>-10.408999999999999</v>
      </c>
      <c r="X8" s="52">
        <f>X4-X7</f>
        <v>-13.009</v>
      </c>
      <c r="Y8" s="52">
        <f>Y4-Y7</f>
        <v>-17.885</v>
      </c>
      <c r="Z8" s="52">
        <f>Z4-Z7</f>
        <v>-17.223</v>
      </c>
      <c r="AA8" s="52">
        <f>AA4-AA7</f>
        <v>-22.589</v>
      </c>
      <c r="AB8" s="52">
        <f>AB4-AB7</f>
        <v>-12.770999999999997</v>
      </c>
      <c r="AC8" s="52">
        <f>AC4-AC7</f>
        <v>2.567999999999998</v>
      </c>
      <c r="AD8" s="52">
        <f>AD4-AD7</f>
        <v>-6.2819999999999965</v>
      </c>
      <c r="AE8" s="52">
        <f>AE4-AE7</f>
        <v>0.1747734300000019</v>
      </c>
      <c r="AF8" s="52">
        <f>AF4-AF7</f>
        <v>1.963756938000003</v>
      </c>
      <c r="AG8" s="52">
        <f>AG4-AG7</f>
        <v>4.725070177208337</v>
      </c>
      <c r="AH8" s="52">
        <f>AH4-AH7</f>
        <v>8.618278427786805</v>
      </c>
      <c r="AI8" s="52">
        <f>AI4-AI7</f>
        <v>13.70667807775277</v>
      </c>
      <c r="AJ8" s="52">
        <f>AJ4-AJ7</f>
        <v>19.9080874558162</v>
      </c>
      <c r="AK8" s="52">
        <f>AK4-AK7</f>
        <v>26.958573232724774</v>
      </c>
      <c r="AL8" s="52">
        <f>AL4-AL7</f>
        <v>34.40301584110796</v>
      </c>
      <c r="AM8" s="52">
        <f>AM4-AM7</f>
        <v>41.62366019947905</v>
      </c>
      <c r="AN8" s="52">
        <f>AN4-AN7</f>
        <v>47.91044548508256</v>
      </c>
    </row>
    <row r="9">
      <c r="A9" s="19" t="inlineStr">
        <is>
          <t>Interest &amp; Other</t>
        </is>
      </c>
      <c r="B9" s="52" t="n">
        <v>0</v>
      </c>
      <c r="C9" s="52" t="n">
        <v>0</v>
      </c>
      <c r="D9" s="52" t="n">
        <v>0</v>
      </c>
      <c r="E9" s="52" t="n">
        <v>0</v>
      </c>
      <c r="F9" s="52" t="n">
        <v>0</v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-3.22</v>
      </c>
      <c r="P9" s="52" t="n">
        <v>8.122999999999999</v>
      </c>
      <c r="Q9" s="52" t="n">
        <v>-1.543</v>
      </c>
      <c r="R9" s="52" t="n">
        <v>3.776</v>
      </c>
      <c r="S9" s="52" t="n">
        <v>0.701</v>
      </c>
      <c r="T9" s="52" t="n">
        <v>1.231</v>
      </c>
      <c r="U9" s="52" t="n">
        <v>0.082</v>
      </c>
      <c r="V9" s="52" t="n">
        <v>-0.095</v>
      </c>
      <c r="W9" s="52" t="n">
        <v>0.521</v>
      </c>
      <c r="X9" s="52" t="n">
        <v>0.234</v>
      </c>
      <c r="Y9" s="52" t="n">
        <v>-0.224</v>
      </c>
      <c r="Z9" s="52" t="n">
        <v>-0.123</v>
      </c>
      <c r="AA9" s="52" t="n">
        <v>-1.125</v>
      </c>
      <c r="AB9" s="52" t="n">
        <v>-16032.229</v>
      </c>
      <c r="AC9" s="52" t="n">
        <v>-438.203</v>
      </c>
      <c r="AD9" s="52" t="n">
        <v>-9734.611999999999</v>
      </c>
      <c r="AE9" s="52" t="n">
        <v>0</v>
      </c>
      <c r="AF9" s="52" t="n">
        <v>0</v>
      </c>
      <c r="AG9" s="52" t="n">
        <v>0</v>
      </c>
      <c r="AH9" s="52" t="n">
        <v>0</v>
      </c>
      <c r="AI9" s="52" t="n">
        <v>0</v>
      </c>
      <c r="AJ9" s="52" t="n">
        <v>0</v>
      </c>
      <c r="AK9" s="52" t="n">
        <v>0</v>
      </c>
      <c r="AL9" s="52" t="n">
        <v>0</v>
      </c>
      <c r="AM9" s="52" t="n">
        <v>0</v>
      </c>
      <c r="AN9" s="52" t="n">
        <v>0</v>
      </c>
    </row>
    <row r="10">
      <c r="A10" s="2" t="inlineStr">
        <is>
          <t>Pretax</t>
        </is>
      </c>
      <c r="B10" s="52">
        <f>B8+B9</f>
        <v>-0.037</v>
      </c>
      <c r="C10" s="52">
        <f>C8+C9</f>
        <v>-0.398</v>
      </c>
      <c r="D10" s="52">
        <f>D8+D9</f>
        <v>-0.958</v>
      </c>
      <c r="E10" s="52">
        <f>E8+E9</f>
        <v>-1.605</v>
      </c>
      <c r="F10" s="52">
        <f>F8+F9</f>
        <v>-2.524</v>
      </c>
      <c r="G10" s="52">
        <f>G8+G9</f>
        <v>-3.732</v>
      </c>
      <c r="H10" s="52">
        <f>H8+H9</f>
        <v>-17.795</v>
      </c>
      <c r="I10" s="52">
        <f>I8+I9</f>
        <v>-6.872</v>
      </c>
      <c r="J10" s="52">
        <f>J8+J9</f>
        <v>-13.871</v>
      </c>
      <c r="K10" s="52">
        <f>K8+K9</f>
        <v>-16.44</v>
      </c>
      <c r="L10" s="52">
        <f>L8+L9</f>
        <v>-13.357</v>
      </c>
      <c r="M10" s="52">
        <f>M8+M9</f>
        <v>-13.6</v>
      </c>
      <c r="N10" s="52">
        <f>N8+N9</f>
        <v>-3.012</v>
      </c>
      <c r="O10" s="52">
        <f>O8+O9</f>
        <v>-7.824</v>
      </c>
      <c r="P10" s="52">
        <f>P8+P9</f>
        <v>4.685</v>
      </c>
      <c r="Q10" s="52">
        <f>Q8+Q9</f>
        <v>-5.163</v>
      </c>
      <c r="R10" s="52">
        <f>R8+R9</f>
        <v>1.8449999999999998</v>
      </c>
      <c r="S10" s="52">
        <f>S8+S9</f>
        <v>-2.1759999999999997</v>
      </c>
      <c r="T10" s="52">
        <f>T8+T9</f>
        <v>-0.6589999999999998</v>
      </c>
      <c r="U10" s="52">
        <f>U8+U9</f>
        <v>-2.789</v>
      </c>
      <c r="V10" s="52">
        <f>V8+V9</f>
        <v>-7.045999999999999</v>
      </c>
      <c r="W10" s="52">
        <f>W8+W9</f>
        <v>-9.887999999999998</v>
      </c>
      <c r="X10" s="52">
        <f>X8+X9</f>
        <v>-12.775</v>
      </c>
      <c r="Y10" s="52">
        <f>Y8+Y9</f>
        <v>-18.109</v>
      </c>
      <c r="Z10" s="52">
        <f>Z8+Z9</f>
        <v>-17.346</v>
      </c>
      <c r="AA10" s="52">
        <f>AA8+AA9</f>
        <v>-23.714</v>
      </c>
      <c r="AB10" s="52">
        <f>AB8+AB9</f>
        <v>-16045.0</v>
      </c>
      <c r="AC10" s="52">
        <f>AC8+AC9</f>
        <v>-435.635</v>
      </c>
      <c r="AD10" s="52">
        <f>AD8+AD9</f>
        <v>-9740.893999999998</v>
      </c>
      <c r="AE10" s="52">
        <f>AE8+AE9</f>
        <v>0.1747734300000019</v>
      </c>
      <c r="AF10" s="52">
        <f>AF8+AF9</f>
        <v>1.963756938000003</v>
      </c>
      <c r="AG10" s="52">
        <f>AG8+AG9</f>
        <v>4.725070177208337</v>
      </c>
      <c r="AH10" s="52">
        <f>AH8+AH9</f>
        <v>8.618278427786805</v>
      </c>
      <c r="AI10" s="52">
        <f>AI8+AI9</f>
        <v>13.70667807775277</v>
      </c>
      <c r="AJ10" s="52">
        <f>AJ8+AJ9</f>
        <v>19.9080874558162</v>
      </c>
      <c r="AK10" s="52">
        <f>AK8+AK9</f>
        <v>26.958573232724774</v>
      </c>
      <c r="AL10" s="52">
        <f>AL8+AL9</f>
        <v>34.40301584110796</v>
      </c>
      <c r="AM10" s="52">
        <f>AM8+AM9</f>
        <v>41.62366019947905</v>
      </c>
      <c r="AN10" s="52">
        <f>AN8+AN9</f>
        <v>47.91044548508256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2" t="n">
        <v>0</v>
      </c>
      <c r="X11" s="52" t="n">
        <v>0</v>
      </c>
      <c r="Y11" s="52" t="n">
        <v>0</v>
      </c>
      <c r="Z11" s="52" t="n">
        <v>0</v>
      </c>
      <c r="AA11" s="52" t="n">
        <v>0</v>
      </c>
      <c r="AB11" s="52" t="n">
        <v>0</v>
      </c>
      <c r="AC11" s="52" t="n">
        <v>0.365</v>
      </c>
      <c r="AD11" s="52" t="n">
        <v>0.106</v>
      </c>
      <c r="AE11" s="52">
        <f>MAX(0,AE10)*Assumptions!$E$14</f>
        <v>0.029711483100000324</v>
      </c>
      <c r="AF11" s="52">
        <f>MAX(0,AF10)*Assumptions!$E$14</f>
        <v>0.33383867946000056</v>
      </c>
      <c r="AG11" s="52">
        <f>MAX(0,AG10)*Assumptions!$E$14</f>
        <v>0.8032619301254175</v>
      </c>
      <c r="AH11" s="52">
        <f>MAX(0,AH10)*Assumptions!$E$14</f>
        <v>1.465107332723757</v>
      </c>
      <c r="AI11" s="52">
        <f>MAX(0,AI10)*Assumptions!$E$14</f>
        <v>2.330135273217971</v>
      </c>
      <c r="AJ11" s="52">
        <f>MAX(0,AJ10)*Assumptions!$E$14</f>
        <v>3.3843748674887544</v>
      </c>
      <c r="AK11" s="52">
        <f>MAX(0,AK10)*Assumptions!$E$14</f>
        <v>4.582957449563212</v>
      </c>
      <c r="AL11" s="52">
        <f>MAX(0,AL10)*Assumptions!$E$14</f>
        <v>5.848512692988353</v>
      </c>
      <c r="AM11" s="52">
        <f>MAX(0,AM10)*Assumptions!$E$14</f>
        <v>7.076022233911439</v>
      </c>
      <c r="AN11" s="52">
        <f>MAX(0,AN10)*Assumptions!$E$14</f>
        <v>8.144775732464035</v>
      </c>
    </row>
    <row r="12">
      <c r="A12" s="2" t="inlineStr">
        <is>
          <t>Net Income</t>
        </is>
      </c>
      <c r="B12" s="52" t="n">
        <v>-0.037</v>
      </c>
      <c r="C12" s="52" t="n">
        <v>-0.398</v>
      </c>
      <c r="D12" s="52" t="n">
        <v>-0.958</v>
      </c>
      <c r="E12" s="52" t="n">
        <v>-1.605</v>
      </c>
      <c r="F12" s="52" t="n">
        <v>-2.524</v>
      </c>
      <c r="G12" s="52" t="n">
        <v>-3.732</v>
      </c>
      <c r="H12" s="52" t="n">
        <v>-17.795</v>
      </c>
      <c r="I12" s="52" t="n">
        <v>-6.872</v>
      </c>
      <c r="J12" s="52" t="n">
        <v>-13.871</v>
      </c>
      <c r="K12" s="52" t="n">
        <v>-16.44</v>
      </c>
      <c r="L12" s="52" t="n">
        <v>-13.357</v>
      </c>
      <c r="M12" s="52" t="n">
        <v>-13.6</v>
      </c>
      <c r="N12" s="52" t="n">
        <v>-3.012</v>
      </c>
      <c r="O12" s="52" t="n">
        <v>-7.824</v>
      </c>
      <c r="P12" s="52" t="n">
        <v>4.685</v>
      </c>
      <c r="Q12" s="52" t="n">
        <v>-5.163</v>
      </c>
      <c r="R12" s="52" t="n">
        <v>1.845</v>
      </c>
      <c r="S12" s="52" t="n">
        <v>-2.176</v>
      </c>
      <c r="T12" s="52" t="n">
        <v>-0.659</v>
      </c>
      <c r="U12" s="52" t="n">
        <v>-2.789</v>
      </c>
      <c r="V12" s="52" t="n">
        <v>-7.046</v>
      </c>
      <c r="W12" s="52" t="n">
        <v>-9.888</v>
      </c>
      <c r="X12" s="52" t="n">
        <v>-12.775</v>
      </c>
      <c r="Y12" s="52" t="n">
        <v>-18.109</v>
      </c>
      <c r="Z12" s="52" t="n">
        <v>-17.346</v>
      </c>
      <c r="AA12" s="52" t="n">
        <v>-23.714</v>
      </c>
      <c r="AB12" s="52" t="n">
        <v>-16045</v>
      </c>
      <c r="AC12" s="52" t="n">
        <v>-436</v>
      </c>
      <c r="AD12" s="52" t="n">
        <v>-9741</v>
      </c>
      <c r="AE12" s="52">
        <f>AE10-AE11</f>
        <v>0.14506194690000157</v>
      </c>
      <c r="AF12" s="52">
        <f>AF10-AF11</f>
        <v>1.6299182585400025</v>
      </c>
      <c r="AG12" s="52">
        <f>AG10-AG11</f>
        <v>3.92180824708292</v>
      </c>
      <c r="AH12" s="52">
        <f>AH10-AH11</f>
        <v>7.1531710950630485</v>
      </c>
      <c r="AI12" s="52">
        <f>AI10-AI11</f>
        <v>11.376542804534798</v>
      </c>
      <c r="AJ12" s="52">
        <f>AJ10-AJ11</f>
        <v>16.523712588327445</v>
      </c>
      <c r="AK12" s="52">
        <f>AK10-AK11</f>
        <v>22.375615783161564</v>
      </c>
      <c r="AL12" s="52">
        <f>AL10-AL11</f>
        <v>28.554503148119604</v>
      </c>
      <c r="AM12" s="52">
        <f>AM10-AM11</f>
        <v>34.54763796556761</v>
      </c>
      <c r="AN12" s="52">
        <f>AN10-AN11</f>
        <v>39.76566975261853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  <c r="I13" s="11">
        <f>IFERROR(I12/I14,0)</f>
        <v>0</v>
      </c>
      <c r="J13" s="11">
        <f>IFERROR(J12/J14,0)</f>
        <v>0</v>
      </c>
      <c r="K13" s="11">
        <f>IFERROR(K12/K14,0)</f>
        <v>0</v>
      </c>
      <c r="L13" s="11">
        <f>IFERROR(L12/L14,0)</f>
        <v>0</v>
      </c>
      <c r="M13" s="11">
        <f>IFERROR(M12/M14,0)</f>
        <v>0</v>
      </c>
      <c r="N13" s="11">
        <f>IFERROR(N12/N14,0)</f>
        <v>0</v>
      </c>
      <c r="O13" s="11">
        <f>IFERROR(O12/O14,0)</f>
        <v>-0.48854199188261005</v>
      </c>
      <c r="P13" s="11">
        <f>IFERROR(P12/P14,0)</f>
        <v>0.19480249480249479</v>
      </c>
      <c r="Q13" s="11">
        <f>IFERROR(Q12/Q14,0)</f>
        <v>-0.2052229906987837</v>
      </c>
      <c r="R13" s="11">
        <f>IFERROR(R12/R14,0)</f>
        <v>0.1745341027338946</v>
      </c>
      <c r="S13" s="11">
        <f>IFERROR(S12/S14,0)</f>
        <v>-0.22044372404011753</v>
      </c>
      <c r="T13" s="11">
        <f>IFERROR(T12/T14,0)</f>
        <v>-0.060866352636926205</v>
      </c>
      <c r="U13" s="11">
        <f>IFERROR(U12/U14,0)</f>
        <v>-0.21848805327066198</v>
      </c>
      <c r="V13" s="11">
        <f>IFERROR(V12/V14,0)</f>
        <v>-0.469295324363927</v>
      </c>
      <c r="W13" s="11">
        <f>IFERROR(W12/W14,0)</f>
        <v>-0.5220145707950586</v>
      </c>
      <c r="X13" s="11">
        <f>IFERROR(X12/X14,0)</f>
        <v>-0.6420888620828307</v>
      </c>
      <c r="Y13" s="11">
        <f>IFERROR(Y12/Y14,0)</f>
        <v>-0.7639638879514007</v>
      </c>
      <c r="Z13" s="11">
        <f>IFERROR(Z12/Z14,0)</f>
        <v>-0.6669999230946705</v>
      </c>
      <c r="AA13" s="11">
        <f>IFERROR(AA12/AA14,0)</f>
        <v>-0.9025309229305424</v>
      </c>
      <c r="AB13" s="11">
        <f>IFERROR(AB12/AB14,0)</f>
        <v>-603.785655151652</v>
      </c>
      <c r="AC13" s="11">
        <f>IFERROR(AC12/AC14,0)</f>
        <v>-15.974206785374074</v>
      </c>
      <c r="AD13" s="11">
        <f>IFERROR(AD12/AD14,0)</f>
        <v>-340.86853063652586</v>
      </c>
      <c r="AE13" s="11">
        <f>IFERROR(AE12/AE14,0)</f>
        <v>0.0041366894563657575</v>
      </c>
      <c r="AF13" s="11">
        <f>IFERROR(AF12/AF14,0)</f>
        <v>0.04647990612926478</v>
      </c>
      <c r="AG13" s="11">
        <f>IFERROR(AG12/AG14,0)</f>
        <v>0.11183706804086753</v>
      </c>
      <c r="AH13" s="11">
        <f>IFERROR(AH12/AH14,0)</f>
        <v>0.2039849049380661</v>
      </c>
      <c r="AI13" s="11">
        <f>IFERROR(AI12/AI14,0)</f>
        <v>0.32442157075042205</v>
      </c>
      <c r="AJ13" s="11">
        <f>IFERROR(AJ12/AJ14,0)</f>
        <v>0.47120191824856544</v>
      </c>
      <c r="AK13" s="11">
        <f>IFERROR(AK12/AK14,0)</f>
        <v>0.6380789439817912</v>
      </c>
      <c r="AL13" s="11">
        <f>IFERROR(AL12/AL14,0)</f>
        <v>0.8142804824342801</v>
      </c>
      <c r="AM13" s="11">
        <f>IFERROR(AM12/AM14,0)</f>
        <v>0.9851849693774056</v>
      </c>
      <c r="AN13" s="11">
        <f>IFERROR(AN12/AN14,0)</f>
        <v>1.1339860680649532</v>
      </c>
    </row>
    <row r="14">
      <c r="A14" s="2" t="inlineStr">
        <is>
          <t>Shares</t>
        </is>
      </c>
      <c r="B14" s="52" t="n"/>
      <c r="C14" s="52" t="n"/>
      <c r="D14" s="52" t="n"/>
      <c r="E14" s="52" t="n"/>
      <c r="F14" s="52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>
        <v>16.015</v>
      </c>
      <c r="P14" s="52" t="n">
        <v>24.05</v>
      </c>
      <c r="Q14" s="52" t="n">
        <v>25.158</v>
      </c>
      <c r="R14" s="52" t="n">
        <v>10.571</v>
      </c>
      <c r="S14" s="52" t="n">
        <v>9.871</v>
      </c>
      <c r="T14" s="52" t="n">
        <v>10.827</v>
      </c>
      <c r="U14" s="52" t="n">
        <v>12.765</v>
      </c>
      <c r="V14" s="52" t="n">
        <v>15.014</v>
      </c>
      <c r="W14" s="52" t="n">
        <v>18.942</v>
      </c>
      <c r="X14" s="52" t="n">
        <v>19.896</v>
      </c>
      <c r="Y14" s="52" t="n">
        <v>23.704</v>
      </c>
      <c r="Z14" s="52" t="n">
        <v>26.006</v>
      </c>
      <c r="AA14" s="52" t="n">
        <v>26.275</v>
      </c>
      <c r="AB14" s="52" t="n">
        <v>26.574</v>
      </c>
      <c r="AC14" s="52" t="n">
        <v>27.294</v>
      </c>
      <c r="AD14" s="52" t="n">
        <v>28.577</v>
      </c>
      <c r="AE14" s="52">
        <f>Main!$C$4</f>
        <v>35.067159</v>
      </c>
      <c r="AF14" s="52">
        <f>Main!$C$4</f>
        <v>35.067159</v>
      </c>
      <c r="AG14" s="52">
        <f>Main!$C$4</f>
        <v>35.067159</v>
      </c>
      <c r="AH14" s="52">
        <f>Main!$C$4</f>
        <v>35.067159</v>
      </c>
      <c r="AI14" s="52">
        <f>Main!$C$4</f>
        <v>35.067159</v>
      </c>
      <c r="AJ14" s="52">
        <f>Main!$C$4</f>
        <v>35.067159</v>
      </c>
      <c r="AK14" s="52">
        <f>Main!$C$4</f>
        <v>35.067159</v>
      </c>
      <c r="AL14" s="52">
        <f>Main!$C$4</f>
        <v>35.067159</v>
      </c>
      <c r="AM14" s="52">
        <f>Main!$C$4</f>
        <v>35.067159</v>
      </c>
      <c r="AN14" s="52">
        <f>Main!$C$4</f>
        <v>35.067159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/>
      </c>
      <c r="S16" s="15">
        <f>IFERROR(S2/R2-1,"")</f>
        <v/>
      </c>
      <c r="T16" s="15">
        <f>IFERROR(T2/S2-1,"")</f>
        <v/>
      </c>
      <c r="U16" s="15">
        <f>IFERROR(U2/T2-1,"")</f>
        <v/>
      </c>
      <c r="V16" s="15">
        <f>IFERROR(V2/U2-1,"")</f>
        <v/>
      </c>
      <c r="W16" s="15">
        <f>IFERROR(W2/V2-1,"")</f>
        <v/>
      </c>
      <c r="X16" s="15">
        <f>IFERROR(X2/W2-1,"")</f>
        <v/>
      </c>
      <c r="Y16" s="15">
        <f>IFERROR(Y2/X2-1,"")</f>
        <v/>
      </c>
      <c r="Z16" s="15">
        <f>IFERROR(Z2/Y2-1,"")</f>
        <v>-1.0</v>
      </c>
      <c r="AA16" s="15">
        <f>IFERROR(AA2/Z2-1,"")</f>
        <v/>
      </c>
      <c r="AB16" s="15">
        <f>IFERROR(AB2/AA2-1,"")</f>
        <v>12.44375353306953</v>
      </c>
      <c r="AC16" s="15">
        <f>IFERROR(AC2/AB2-1,"")</f>
        <v>0.9989067361870321</v>
      </c>
      <c r="AD16" s="15">
        <f>IFERROR(AD2/AC2-1,"")</f>
        <v>-0.06091968530438796</v>
      </c>
      <c r="AE16" s="15">
        <f>IFERROR(AE2/AD2-1,"")</f>
        <v>0.3500000000000001</v>
      </c>
      <c r="AF16" s="15">
        <f>IFERROR(AF2/AE2-1,"")</f>
        <v>0.3138888888888889</v>
      </c>
      <c r="AG16" s="15">
        <f>IFERROR(AG2/AF2-1,"")</f>
        <v>0.2777777777777777</v>
      </c>
      <c r="AH16" s="15">
        <f>IFERROR(AH2/AG2-1,"")</f>
        <v>0.2416666666666667</v>
      </c>
      <c r="AI16" s="15">
        <f>IFERROR(AI2/AH2-1,"")</f>
        <v>0.2055555555555555</v>
      </c>
      <c r="AJ16" s="15">
        <f>IFERROR(AJ2/AI2-1,"")</f>
        <v>0.1694444444444445</v>
      </c>
      <c r="AK16" s="15">
        <f>IFERROR(AK2/AJ2-1,"")</f>
        <v>0.1333333333333333</v>
      </c>
      <c r="AL16" s="15">
        <f>IFERROR(AL2/AK2-1,"")</f>
        <v>0.09722222222222232</v>
      </c>
      <c r="AM16" s="15">
        <f>IFERROR(AM2/AL2-1,"")</f>
        <v>0.061111111111111116</v>
      </c>
      <c r="AN16" s="15">
        <f>IFERROR(AN2/AM2-1,"")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  <c r="R17" s="15">
        <f>IFERROR(R4/R2,"")</f>
        <v/>
      </c>
      <c r="S17" s="15">
        <f>IFERROR(S4/S2,"")</f>
        <v/>
      </c>
      <c r="T17" s="15">
        <f>IFERROR(T4/T2,"")</f>
        <v/>
      </c>
      <c r="U17" s="15">
        <f>IFERROR(U4/U2,"")</f>
        <v/>
      </c>
      <c r="V17" s="15">
        <f>IFERROR(V4/V2,"")</f>
        <v/>
      </c>
      <c r="W17" s="15">
        <f>IFERROR(W4/W2,"")</f>
        <v/>
      </c>
      <c r="X17" s="15">
        <f>IFERROR(X4/X2,"")</f>
        <v/>
      </c>
      <c r="Y17" s="15">
        <f>IFERROR(Y4/Y2,"")</f>
        <v>1.0</v>
      </c>
      <c r="Z17" s="15">
        <f>IFERROR(Z4/Z2,"")</f>
        <v/>
      </c>
      <c r="AA17" s="15">
        <f>IFERROR(AA4/AA2,"")</f>
        <v>0.9513849632560768</v>
      </c>
      <c r="AB17" s="15">
        <f>IFERROR(AB4/AB2,"")</f>
        <v>0.9470608022874443</v>
      </c>
      <c r="AC17" s="15">
        <f>IFERROR(AC4/AC2,"")</f>
        <v>1.0</v>
      </c>
      <c r="AD17" s="15">
        <f>IFERROR(AD4/AD2,"")</f>
        <v>1.0</v>
      </c>
      <c r="AE17" s="15">
        <f>IFERROR(AE4/AE2,"")</f>
        <v>0.9471</v>
      </c>
      <c r="AF17" s="15">
        <f>IFERROR(AF4/AF2,"")</f>
        <v>0.9471</v>
      </c>
      <c r="AG17" s="15">
        <f>IFERROR(AG4/AG2,"")</f>
        <v>0.9470999999999999</v>
      </c>
      <c r="AH17" s="15">
        <f>IFERROR(AH4/AH2,"")</f>
        <v>0.9471</v>
      </c>
      <c r="AI17" s="15">
        <f>IFERROR(AI4/AI2,"")</f>
        <v>0.9471</v>
      </c>
      <c r="AJ17" s="15">
        <f>IFERROR(AJ4/AJ2,"")</f>
        <v>0.9471</v>
      </c>
      <c r="AK17" s="15">
        <f>IFERROR(AK4/AK2,"")</f>
        <v>0.9470999999999999</v>
      </c>
      <c r="AL17" s="15">
        <f>IFERROR(AL4/AL2,"")</f>
        <v>0.9471</v>
      </c>
      <c r="AM17" s="15">
        <f>IFERROR(AM4/AM2,"")</f>
        <v>0.9471</v>
      </c>
      <c r="AN17" s="15">
        <f>IFERROR(AN4/AN2,"")</f>
        <v>0.9471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  <c r="R18" s="15">
        <f>IFERROR(R8/R2,"")</f>
        <v/>
      </c>
      <c r="S18" s="15">
        <f>IFERROR(S8/S2,"")</f>
        <v/>
      </c>
      <c r="T18" s="15">
        <f>IFERROR(T8/T2,"")</f>
        <v/>
      </c>
      <c r="U18" s="15">
        <f>IFERROR(U8/U2,"")</f>
        <v/>
      </c>
      <c r="V18" s="15">
        <f>IFERROR(V8/V2,"")</f>
        <v/>
      </c>
      <c r="W18" s="15">
        <f>IFERROR(W8/W2,"")</f>
        <v/>
      </c>
      <c r="X18" s="15">
        <f>IFERROR(X8/X2,"")</f>
        <v/>
      </c>
      <c r="Y18" s="15">
        <f>IFERROR(Y8/Y2,"")</f>
        <v>-89.425</v>
      </c>
      <c r="Z18" s="15">
        <f>IFERROR(Z8/Z2,"")</f>
        <v/>
      </c>
      <c r="AA18" s="15">
        <f>IFERROR(AA8/AA2,"")</f>
        <v>-12.769361221028829</v>
      </c>
      <c r="AB18" s="15">
        <f>IFERROR(AB8/AB2,"")</f>
        <v>-0.5370027752081405</v>
      </c>
      <c r="AC18" s="15">
        <f>IFERROR(AC8/AC2,"")</f>
        <v>0.054019941941183855</v>
      </c>
      <c r="AD18" s="15">
        <f>IFERROR(AD8/AD2,"")</f>
        <v>-0.14071950181443474</v>
      </c>
      <c r="AE18" s="15">
        <f>IFERROR(AE8/AE2,"")</f>
        <v>0.002900000000000031</v>
      </c>
      <c r="AF18" s="15">
        <f>IFERROR(AF8/AF2,"")</f>
        <v>0.024800000000000037</v>
      </c>
      <c r="AG18" s="15">
        <f>IFERROR(AG8/AG2,"")</f>
        <v>0.04670000000000003</v>
      </c>
      <c r="AH18" s="15">
        <f>IFERROR(AH8/AH2,"")</f>
        <v>0.0686</v>
      </c>
      <c r="AI18" s="15">
        <f>IFERROR(AI8/AI2,"")</f>
        <v>0.0905</v>
      </c>
      <c r="AJ18" s="15">
        <f>IFERROR(AJ8/AJ2,"")</f>
        <v>0.11239999999999994</v>
      </c>
      <c r="AK18" s="15">
        <f>IFERROR(AK8/AK2,"")</f>
        <v>0.13429999999999995</v>
      </c>
      <c r="AL18" s="15">
        <f>IFERROR(AL8/AL2,"")</f>
        <v>0.1562000000000001</v>
      </c>
      <c r="AM18" s="15">
        <f>IFERROR(AM8/AM2,"")</f>
        <v>0.1781</v>
      </c>
      <c r="AN18" s="15">
        <f>IFERROR(AN8/AN2,"")</f>
        <v>0.2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  <c r="V19" s="20" t="inlineStr">
        <is>
          <t>A</t>
        </is>
      </c>
      <c r="W19" s="20" t="inlineStr">
        <is>
          <t>A</t>
        </is>
      </c>
      <c r="X19" s="20" t="inlineStr">
        <is>
          <t>A</t>
        </is>
      </c>
      <c r="Y19" s="20" t="inlineStr">
        <is>
          <t>A</t>
        </is>
      </c>
      <c r="Z19" s="20" t="inlineStr">
        <is>
          <t>A</t>
        </is>
      </c>
      <c r="AA19" s="20" t="inlineStr">
        <is>
          <t>A</t>
        </is>
      </c>
      <c r="AB19" s="20" t="inlineStr">
        <is>
          <t>A</t>
        </is>
      </c>
      <c r="AC19" s="20" t="inlineStr">
        <is>
          <t>A</t>
        </is>
      </c>
      <c r="AD19" s="20" t="inlineStr">
        <is>
          <t>A</t>
        </is>
      </c>
      <c r="AE19" s="20" t="inlineStr">
        <is>
          <t>E</t>
        </is>
      </c>
      <c r="AF19" s="20" t="inlineStr">
        <is>
          <t>E</t>
        </is>
      </c>
      <c r="AG19" s="20" t="inlineStr">
        <is>
          <t>E</t>
        </is>
      </c>
      <c r="AH19" s="20" t="inlineStr">
        <is>
          <t>E</t>
        </is>
      </c>
      <c r="AI19" s="20" t="inlineStr">
        <is>
          <t>E</t>
        </is>
      </c>
      <c r="AJ19" s="20" t="inlineStr">
        <is>
          <t>E</t>
        </is>
      </c>
      <c r="AK19" s="20" t="inlineStr">
        <is>
          <t>E</t>
        </is>
      </c>
      <c r="AL19" s="20" t="inlineStr">
        <is>
          <t>E</t>
        </is>
      </c>
      <c r="AM19" s="20" t="inlineStr">
        <is>
          <t>E</t>
        </is>
      </c>
      <c r="AN19" s="20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17" t="inlineStr">
        <is>
          <t>Fennec Pharmaceuticals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17" t="inlineStr">
        <is>
          <t>Scenario (1 Bear, 2 Base, 3 Bull)</t>
        </is>
      </c>
      <c r="B4" s="22" t="n">
        <v>2</v>
      </c>
      <c r="C4" s="17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-0.019</v>
      </c>
    </row>
    <row r="19">
      <c r="A19" s="14" t="inlineStr">
        <is>
          <t>Gross margin (forecast)</t>
        </is>
      </c>
      <c r="B19" s="53" t="n">
        <v>0.9471000000000001</v>
      </c>
    </row>
    <row r="20">
      <c r="A20" s="14" t="inlineStr">
        <is>
          <t>R&amp;D share of operating expense (forecast)</t>
        </is>
      </c>
      <c r="B20" s="53" t="n">
        <v>0.0049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Model'!AD2</f>
        <v>44.642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175.65577420157848</v>
      </c>
      <c r="C29" s="56">
        <f>NPV!B26</f>
        <v>216.90477420157848</v>
      </c>
      <c r="D29" s="35">
        <f>NPV!B28</f>
        <v>6.185410520469551</v>
      </c>
      <c r="E29" s="57">
        <f>NPV!B30</f>
        <v>-0.4086605620966013</v>
      </c>
    </row>
    <row r="30">
      <c r="A30" s="58" t="n">
        <v>1</v>
      </c>
      <c r="B30" s="59">
        <f t="dataTable" ref="B30:E32" r1="B4"/>
        <v>83.09248169560864</v>
      </c>
      <c r="C30" s="59">
        <v>124.34148169560865</v>
      </c>
      <c r="D30" s="39">
        <v>3.545809961269137</v>
      </c>
      <c r="E30" s="60">
        <v>-0.6610124320010385</v>
      </c>
    </row>
    <row r="31">
      <c r="A31" s="58" t="n">
        <v>2</v>
      </c>
      <c r="B31" s="59">
        <v>175.65577420157848</v>
      </c>
      <c r="C31" s="59">
        <v>216.90477420157848</v>
      </c>
      <c r="D31" s="39">
        <v>6.185410520469551</v>
      </c>
      <c r="E31" s="60">
        <v>-0.4086605620966013</v>
      </c>
    </row>
    <row r="32">
      <c r="A32" s="58" t="n">
        <v>3</v>
      </c>
      <c r="B32" s="59">
        <v>342.43761497512816</v>
      </c>
      <c r="C32" s="59">
        <v>383.6866149751282</v>
      </c>
      <c r="D32" s="39">
        <v>10.941479889349697</v>
      </c>
      <c r="E32" s="60">
        <v>0.04603058215580269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6.185410520469551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7.342333039105365</v>
      </c>
      <c r="C37" s="39">
        <v>7.724082311057098</v>
      </c>
      <c r="D37" s="39">
        <v>8.153964912416152</v>
      </c>
      <c r="E37" s="39">
        <v>8.641613129576417</v>
      </c>
      <c r="F37" s="39">
        <v>9.199411407224497</v>
      </c>
    </row>
    <row r="38">
      <c r="A38" s="62" t="n">
        <v>0.115</v>
      </c>
      <c r="B38" s="39">
        <v>6.43276266865044</v>
      </c>
      <c r="C38" s="39">
        <v>6.7249797809741105</v>
      </c>
      <c r="D38" s="39">
        <v>7.05001015618081</v>
      </c>
      <c r="E38" s="39">
        <v>7.413648976657664</v>
      </c>
      <c r="F38" s="39">
        <v>7.82314028273431</v>
      </c>
    </row>
    <row r="39">
      <c r="A39" s="62" t="n">
        <v>0.125</v>
      </c>
      <c r="B39" s="39">
        <v>5.705200498764496</v>
      </c>
      <c r="C39" s="39">
        <v>5.933733537310687</v>
      </c>
      <c r="D39" s="39">
        <v>6.185410520469551</v>
      </c>
      <c r="E39" s="39">
        <v>6.463889589023986</v>
      </c>
      <c r="F39" s="39">
        <v>6.773641855618122</v>
      </c>
    </row>
    <row r="40">
      <c r="A40" s="62" t="n">
        <v>0.135</v>
      </c>
      <c r="B40" s="39">
        <v>5.112938855363486</v>
      </c>
      <c r="C40" s="39">
        <v>5.294850113416564</v>
      </c>
      <c r="D40" s="39">
        <v>5.493546743218567</v>
      </c>
      <c r="E40" s="39">
        <v>5.711429885616479</v>
      </c>
      <c r="F40" s="39">
        <v>5.951380953052219</v>
      </c>
    </row>
    <row r="41">
      <c r="A41" s="62" t="n">
        <v>0.145</v>
      </c>
      <c r="B41" s="39">
        <v>4.623744956687957</v>
      </c>
      <c r="C41" s="39">
        <v>4.770702622465793</v>
      </c>
      <c r="D41" s="39">
        <v>4.930120490073158</v>
      </c>
      <c r="E41" s="39">
        <v>5.103626554085469</v>
      </c>
      <c r="F41" s="39">
        <v>5.293144844977181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17" t="inlineStr">
        <is>
          <t>Fennec Pharmaceuticals Inc.: free-cash-flow DCF ($mm)</t>
        </is>
      </c>
    </row>
    <row r="3">
      <c r="A3" s="17" t="inlineStr">
        <is>
          <t>Fiscal year</t>
        </is>
      </c>
      <c r="B3" s="43">
        <f>'Yearly Model'!AD1</f>
        <v>2025</v>
      </c>
      <c r="C3" s="43">
        <f>'Yearly Model'!AE1</f>
        <v>2026</v>
      </c>
      <c r="D3" s="43">
        <f>'Yearly Model'!AF1</f>
        <v>2027</v>
      </c>
      <c r="E3" s="43">
        <f>'Yearly Model'!AG1</f>
        <v>2028</v>
      </c>
      <c r="F3" s="43">
        <f>'Yearly Model'!AH1</f>
        <v>2029</v>
      </c>
      <c r="G3" s="43">
        <f>'Yearly Model'!AI1</f>
        <v>2030</v>
      </c>
      <c r="H3" s="43">
        <f>'Yearly Model'!AJ1</f>
        <v>2031</v>
      </c>
      <c r="I3" s="43">
        <f>'Yearly Model'!AK1</f>
        <v>2032</v>
      </c>
      <c r="J3" s="43">
        <f>'Yearly Model'!AL1</f>
        <v>2033</v>
      </c>
      <c r="K3" s="43">
        <f>'Yearly Model'!AM1</f>
        <v>2034</v>
      </c>
      <c r="L3" s="43">
        <f>'Yearly Model'!AN1</f>
        <v>2035</v>
      </c>
    </row>
    <row r="4">
      <c r="A4" s="14" t="inlineStr">
        <is>
          <t>Period</t>
        </is>
      </c>
      <c r="B4" s="20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-0.14071950181443474</v>
      </c>
      <c r="C6" s="63">
        <f>Assumptions!$B$18+(Assumptions!$E$13-Assumptions!$B$18)*C4/Assumptions!$B$21</f>
        <v>0.0029</v>
      </c>
      <c r="D6" s="63">
        <f>Assumptions!$B$18+(Assumptions!$E$13-Assumptions!$B$18)*D4/Assumptions!$B$21</f>
        <v>0.0248</v>
      </c>
      <c r="E6" s="63">
        <f>Assumptions!$B$18+(Assumptions!$E$13-Assumptions!$B$18)*E4/Assumptions!$B$21</f>
        <v>0.046700000000000005</v>
      </c>
      <c r="F6" s="63">
        <f>Assumptions!$B$18+(Assumptions!$E$13-Assumptions!$B$18)*F4/Assumptions!$B$21</f>
        <v>0.0686</v>
      </c>
      <c r="G6" s="63">
        <f>Assumptions!$B$18+(Assumptions!$E$13-Assumptions!$B$18)*G4/Assumptions!$B$21</f>
        <v>0.0905</v>
      </c>
      <c r="H6" s="63">
        <f>Assumptions!$B$18+(Assumptions!$E$13-Assumptions!$B$18)*H4/Assumptions!$B$21</f>
        <v>0.11240000000000001</v>
      </c>
      <c r="I6" s="63">
        <f>Assumptions!$B$18+(Assumptions!$E$13-Assumptions!$B$18)*I4/Assumptions!$B$21</f>
        <v>0.1343</v>
      </c>
      <c r="J6" s="63">
        <f>Assumptions!$B$18+(Assumptions!$E$13-Assumptions!$B$18)*J4/Assumptions!$B$21</f>
        <v>0.1562</v>
      </c>
      <c r="K6" s="63">
        <f>Assumptions!$B$18+(Assumptions!$E$13-Assumptions!$B$18)*K4/Assumptions!$B$21</f>
        <v>0.1781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Model'!AD2</f>
        <v>44.642</v>
      </c>
      <c r="C7" s="55">
        <f>'Yearly Model'!AE2</f>
        <v>60.26670000000001</v>
      </c>
      <c r="D7" s="55">
        <f>'Yearly Model'!AF2</f>
        <v>79.18374750000001</v>
      </c>
      <c r="E7" s="55">
        <f>'Yearly Model'!AG2</f>
        <v>101.17923291666668</v>
      </c>
      <c r="F7" s="55">
        <f>'Yearly Model'!AH2</f>
        <v>125.6308808715278</v>
      </c>
      <c r="G7" s="55">
        <f>'Yearly Model'!AI2</f>
        <v>151.4550063840085</v>
      </c>
      <c r="H7" s="55">
        <f>'Yearly Model'!AJ2</f>
        <v>177.1182157990766</v>
      </c>
      <c r="I7" s="55">
        <f>'Yearly Model'!AK2</f>
        <v>200.73397790562015</v>
      </c>
      <c r="J7" s="55">
        <f>'Yearly Model'!AL2</f>
        <v>220.24978131311101</v>
      </c>
      <c r="K7" s="55">
        <f>'Yearly Model'!AM2</f>
        <v>233.70949017113446</v>
      </c>
      <c r="L7" s="55">
        <f>'Yearly Model'!AN2</f>
        <v>239.5522274254128</v>
      </c>
    </row>
    <row r="8">
      <c r="A8" s="14" t="inlineStr">
        <is>
          <t>Operating income</t>
        </is>
      </c>
      <c r="B8" s="55">
        <f>'Yearly Model'!AD8</f>
        <v>-6.2819999999999965</v>
      </c>
      <c r="C8" s="55">
        <f>'Yearly Model'!AE8</f>
        <v>0.1747734300000019</v>
      </c>
      <c r="D8" s="55">
        <f>'Yearly Model'!AF8</f>
        <v>1.963756938000003</v>
      </c>
      <c r="E8" s="55">
        <f>'Yearly Model'!AG8</f>
        <v>4.725070177208337</v>
      </c>
      <c r="F8" s="55">
        <f>'Yearly Model'!AH8</f>
        <v>8.618278427786805</v>
      </c>
      <c r="G8" s="55">
        <f>'Yearly Model'!AI8</f>
        <v>13.70667807775277</v>
      </c>
      <c r="H8" s="55">
        <f>'Yearly Model'!AJ8</f>
        <v>19.9080874558162</v>
      </c>
      <c r="I8" s="55">
        <f>'Yearly Model'!AK8</f>
        <v>26.958573232724774</v>
      </c>
      <c r="J8" s="55">
        <f>'Yearly Model'!AL8</f>
        <v>34.40301584110796</v>
      </c>
      <c r="K8" s="55">
        <f>'Yearly Model'!AM8</f>
        <v>41.62366019947905</v>
      </c>
      <c r="L8" s="55">
        <f>'Yearly Model'!AN8</f>
        <v>47.91044548508256</v>
      </c>
    </row>
    <row r="9">
      <c r="A9" s="14" t="inlineStr">
        <is>
          <t>Tax on operating income</t>
        </is>
      </c>
      <c r="C9" s="52">
        <f>MAX(0,C8)*Assumptions!$E$14</f>
        <v>0.029711483100000324</v>
      </c>
      <c r="D9" s="52">
        <f>MAX(0,D8)*Assumptions!$E$14</f>
        <v>0.33383867946000056</v>
      </c>
      <c r="E9" s="52">
        <f>MAX(0,E8)*Assumptions!$E$14</f>
        <v>0.8032619301254175</v>
      </c>
      <c r="F9" s="52">
        <f>MAX(0,F8)*Assumptions!$E$14</f>
        <v>1.465107332723757</v>
      </c>
      <c r="G9" s="52">
        <f>MAX(0,G8)*Assumptions!$E$14</f>
        <v>2.330135273217971</v>
      </c>
      <c r="H9" s="52">
        <f>MAX(0,H8)*Assumptions!$E$14</f>
        <v>3.3843748674887544</v>
      </c>
      <c r="I9" s="52">
        <f>MAX(0,I8)*Assumptions!$E$14</f>
        <v>4.582957449563212</v>
      </c>
      <c r="J9" s="52">
        <f>MAX(0,J8)*Assumptions!$E$14</f>
        <v>5.848512692988353</v>
      </c>
      <c r="K9" s="52">
        <f>MAX(0,K8)*Assumptions!$E$14</f>
        <v>7.076022233911439</v>
      </c>
      <c r="L9" s="52">
        <f>MAX(0,L8)*Assumptions!$E$14</f>
        <v>8.144775732464035</v>
      </c>
    </row>
    <row r="10">
      <c r="A10" s="14" t="inlineStr">
        <is>
          <t>NOPAT</t>
        </is>
      </c>
      <c r="C10" s="52">
        <f>C8-C9</f>
        <v>0.14506194690000157</v>
      </c>
      <c r="D10" s="52">
        <f>D8-D9</f>
        <v>1.6299182585400025</v>
      </c>
      <c r="E10" s="52">
        <f>E8-E9</f>
        <v>3.92180824708292</v>
      </c>
      <c r="F10" s="52">
        <f>F8-F9</f>
        <v>7.1531710950630485</v>
      </c>
      <c r="G10" s="52">
        <f>G8-G9</f>
        <v>11.376542804534798</v>
      </c>
      <c r="H10" s="52">
        <f>H8-H9</f>
        <v>16.523712588327445</v>
      </c>
      <c r="I10" s="52">
        <f>I8-I9</f>
        <v>22.375615783161564</v>
      </c>
      <c r="J10" s="52">
        <f>J8-J9</f>
        <v>28.554503148119604</v>
      </c>
      <c r="K10" s="52">
        <f>K8-K9</f>
        <v>34.54763796556761</v>
      </c>
      <c r="L10" s="52">
        <f>L8-L9</f>
        <v>39.76566975261853</v>
      </c>
    </row>
    <row r="11">
      <c r="A11" s="14" t="inlineStr">
        <is>
          <t>Reinvestment</t>
        </is>
      </c>
      <c r="C11" s="52">
        <f>(C7-B7)*Assumptions!$E$15</f>
        <v>3.906175000000001</v>
      </c>
      <c r="D11" s="52">
        <f>(D7-C7)*Assumptions!$E$15</f>
        <v>4.729261875000001</v>
      </c>
      <c r="E11" s="52">
        <f>(E7-D7)*Assumptions!$E$15</f>
        <v>5.498871354166667</v>
      </c>
      <c r="F11" s="52">
        <f>(F7-E7)*Assumptions!$E$15</f>
        <v>6.112911988715279</v>
      </c>
      <c r="G11" s="52">
        <f>(G7-F7)*Assumptions!$E$15</f>
        <v>6.456031378120176</v>
      </c>
      <c r="H11" s="52">
        <f>(H7-G7)*Assumptions!$E$15</f>
        <v>6.4158023537670275</v>
      </c>
      <c r="I11" s="52">
        <f>(I7-H7)*Assumptions!$E$15</f>
        <v>5.9039405266358855</v>
      </c>
      <c r="J11" s="52">
        <f>(J7-I7)*Assumptions!$E$15</f>
        <v>4.878950851872716</v>
      </c>
      <c r="K11" s="52">
        <f>(K7-J7)*Assumptions!$E$15</f>
        <v>3.3649272145058617</v>
      </c>
      <c r="L11" s="52">
        <f>(L7-K7)*Assumptions!$E$15</f>
        <v>1.4606843135695868</v>
      </c>
    </row>
    <row r="12">
      <c r="A12" s="17" t="inlineStr">
        <is>
          <t>Free cash flow</t>
        </is>
      </c>
      <c r="C12" s="64">
        <f>C10-C11</f>
        <v>-3.7611130530999994</v>
      </c>
      <c r="D12" s="64">
        <f>D10-D11</f>
        <v>-3.099343616459998</v>
      </c>
      <c r="E12" s="64">
        <f>E10-E11</f>
        <v>-1.577063107083747</v>
      </c>
      <c r="F12" s="64">
        <f>F10-F11</f>
        <v>1.0402591063477695</v>
      </c>
      <c r="G12" s="64">
        <f>G10-G11</f>
        <v>4.920511426414622</v>
      </c>
      <c r="H12" s="64">
        <f>H10-H11</f>
        <v>10.107910234560418</v>
      </c>
      <c r="I12" s="64">
        <f>I10-I11</f>
        <v>16.47167525652568</v>
      </c>
      <c r="J12" s="64">
        <f>J10-J11</f>
        <v>23.675552296246888</v>
      </c>
      <c r="K12" s="64">
        <f>K10-K11</f>
        <v>31.182710751061748</v>
      </c>
      <c r="L12" s="64">
        <f>L10-L11</f>
        <v>38.30498543904894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17" t="inlineStr">
        <is>
          <t>PV of free cash flow</t>
        </is>
      </c>
      <c r="C16" s="64">
        <f>C12*C13*C15</f>
        <v>-1.8405180967832697</v>
      </c>
      <c r="D16" s="64">
        <f>D12*D13*D15</f>
        <v>-2.75364201989373</v>
      </c>
      <c r="E16" s="64">
        <f>E12*E13*E15</f>
        <v>-1.245472956596911</v>
      </c>
      <c r="F16" s="64">
        <f>F12*F13*F15</f>
        <v>0.730254486042378</v>
      </c>
      <c r="G16" s="64">
        <f>G12*G13*G15</f>
        <v>3.0703679888433104</v>
      </c>
      <c r="H16" s="64">
        <f>H12*H13*H15</f>
        <v>5.606464013149668</v>
      </c>
      <c r="I16" s="64">
        <f>I12*I13*I15</f>
        <v>8.12106359554131</v>
      </c>
      <c r="J16" s="64">
        <f>J12*J13*J15</f>
        <v>10.375827344713377</v>
      </c>
      <c r="K16" s="64">
        <f>K12*K13*K15</f>
        <v>12.14741758717329</v>
      </c>
      <c r="L16" s="64">
        <f>L12*L13*L15</f>
        <v>13.263949942955746</v>
      </c>
    </row>
    <row r="19">
      <c r="A19" s="14" t="inlineStr">
        <is>
          <t>PV of forecast free cash flow</t>
        </is>
      </c>
      <c r="B19" s="52">
        <f>SUM(C16:L16)</f>
        <v>47.475711885145174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39.26261007502516</v>
      </c>
    </row>
    <row r="21">
      <c r="A21" s="14" t="inlineStr">
        <is>
          <t>Terminal value</t>
        </is>
      </c>
      <c r="B21" s="52">
        <f>B20/(Assumptions!$E$10-Assumptions!$E$11)</f>
        <v>392.62610075025157</v>
      </c>
    </row>
    <row r="22">
      <c r="A22" s="14" t="inlineStr">
        <is>
          <t>PV of terminal value</t>
        </is>
      </c>
      <c r="B22" s="52">
        <f>B21/(1+Assumptions!$E$10)^(L14+0.5)</f>
        <v>128.18006231643332</v>
      </c>
    </row>
    <row r="23">
      <c r="A23" s="17" t="inlineStr">
        <is>
          <t>Enterprise value</t>
        </is>
      </c>
      <c r="B23" s="66">
        <f>B19+B22</f>
        <v>175.65577420157848</v>
      </c>
    </row>
    <row r="24">
      <c r="A24" s="14" t="inlineStr">
        <is>
          <t>Cash &amp; investments</t>
        </is>
      </c>
      <c r="B24" s="55">
        <f>Main!C7</f>
        <v>41.249</v>
      </c>
    </row>
    <row r="25">
      <c r="A25" s="14" t="inlineStr">
        <is>
          <t>Debt</t>
        </is>
      </c>
      <c r="B25" s="55">
        <f>Main!C8</f>
        <v>0</v>
      </c>
    </row>
    <row r="26">
      <c r="A26" s="17" t="inlineStr">
        <is>
          <t>Equity value</t>
        </is>
      </c>
      <c r="B26" s="66">
        <f>B23+B24-B25</f>
        <v>216.90477420157848</v>
      </c>
    </row>
    <row r="27">
      <c r="A27" s="14" t="inlineStr">
        <is>
          <t>Shares (mm)</t>
        </is>
      </c>
      <c r="B27" s="55">
        <f>Main!C4</f>
        <v>35.067159</v>
      </c>
    </row>
    <row r="28">
      <c r="A28" s="17" t="inlineStr">
        <is>
          <t>NPV / share</t>
        </is>
      </c>
      <c r="B28" s="49">
        <f>B26/B27</f>
        <v>6.185410520469551</v>
      </c>
    </row>
    <row r="29">
      <c r="A29" s="14" t="inlineStr">
        <is>
          <t>Price</t>
        </is>
      </c>
      <c r="B29" s="50">
        <f>Main!C3</f>
        <v>10.46</v>
      </c>
    </row>
    <row r="30">
      <c r="A30" s="14" t="inlineStr">
        <is>
          <t>Upside</t>
        </is>
      </c>
      <c r="B30" s="63">
        <f>B28/B29-1</f>
        <v>-0.4086605620966013</v>
      </c>
    </row>
    <row r="31">
      <c r="A31" s="14" t="inlineStr">
        <is>
          <t>Terminal value, % of EV</t>
        </is>
      </c>
      <c r="B31" s="63">
        <f>IFERROR(B22/B23,0)</f>
        <v>0.7297230216260177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2026-10-21T06:25:47Z</dcterms:modified>
  <cp:lastModifiedBy>Wang, Eric</cp:lastModifiedBy>
</cp:coreProperties>
</file>