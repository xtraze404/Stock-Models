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Galectin Therapeutics Inc</t>
        </is>
      </c>
      <c r="C2" s="10" t="n"/>
    </row>
    <row r="3">
      <c r="B3" t="inlineStr">
        <is>
          <t>Price</t>
        </is>
      </c>
      <c r="C3" s="11">
        <f>INDEX([1]Pharma!$F$1:$F$1000,MATCH("GALT",[1]Pharma!$B$1:$B$1000,0))</f>
        <v>3.43</v>
      </c>
      <c r="F3" s="1" t="n"/>
    </row>
    <row r="4">
      <c r="B4" t="inlineStr">
        <is>
          <t>Shares</t>
        </is>
      </c>
      <c r="C4" s="21" t="n">
        <v>100.849644</v>
      </c>
      <c r="F4" s="1" t="n"/>
    </row>
    <row r="5">
      <c r="B5" t="inlineStr">
        <is>
          <t>Market Cap.</t>
        </is>
      </c>
      <c r="C5" s="13">
        <f>C3*C4</f>
        <v>345.91427892</v>
      </c>
      <c r="F5" s="1" t="n"/>
    </row>
    <row r="6"/>
    <row r="7">
      <c r="B7" t="inlineStr">
        <is>
          <t>Cash</t>
        </is>
      </c>
      <c r="C7" s="21" t="n">
        <v>13.269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332.64527892</v>
      </c>
    </row>
    <row r="10"/>
    <row r="11">
      <c r="B11" s="14" t="inlineStr">
        <is>
          <t>Net Cash / Share</t>
        </is>
      </c>
      <c r="C11" s="11">
        <f>(C7-C8)/C4</f>
        <v>0.13157210549994605</v>
      </c>
    </row>
    <row r="12">
      <c r="B12" s="14" t="inlineStr">
        <is>
          <t>Upside</t>
        </is>
      </c>
      <c r="C12" s="15">
        <f>IFERROR(C11/C3-1,"")</f>
        <v>-0.9616407855685288</v>
      </c>
    </row>
    <row r="13">
      <c r="B13" s="14" t="inlineStr">
        <is>
          <t>Cash / Share</t>
        </is>
      </c>
      <c r="C13" s="11">
        <f>IFERROR((C7-C8)/C4,"")</f>
        <v>0.13157210549994605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-15.889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0.8351060482094531</v>
      </c>
    </row>
    <row r="19">
      <c r="B19" s="14" t="inlineStr">
        <is>
          <t>Implied Pipeline Value</t>
        </is>
      </c>
      <c r="C19" s="13">
        <f>C9</f>
        <v>332.64527892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1.066</v>
      </c>
      <c r="C5" s="23" t="n">
        <v>3.552</v>
      </c>
      <c r="D5" s="23" t="n">
        <v>4.527</v>
      </c>
      <c r="E5" s="23" t="n">
        <v>5.688</v>
      </c>
      <c r="F5" s="23" t="n">
        <v>8.425000000000001</v>
      </c>
      <c r="G5" s="23" t="n">
        <v>13.114</v>
      </c>
      <c r="H5" s="23" t="n">
        <v>15.325</v>
      </c>
      <c r="I5" s="23" t="n">
        <v>11.721</v>
      </c>
      <c r="J5" s="23" t="n">
        <v>6.471</v>
      </c>
      <c r="K5" s="23" t="n">
        <v>7.467</v>
      </c>
      <c r="L5" s="23" t="n">
        <v>17.976</v>
      </c>
      <c r="M5" s="23" t="n">
        <v>23.818</v>
      </c>
      <c r="N5" s="23" t="n">
        <v>31.737</v>
      </c>
      <c r="O5" s="23" t="n">
        <v>32.13</v>
      </c>
      <c r="P5" s="23" t="n">
        <v>36.571</v>
      </c>
      <c r="Q5" s="23" t="n">
        <v>14.29</v>
      </c>
    </row>
    <row r="6">
      <c r="A6" s="19" t="inlineStr">
        <is>
          <t>SG&amp;A &amp; Other</t>
        </is>
      </c>
      <c r="B6" s="23" t="n">
        <v>3.817</v>
      </c>
      <c r="C6" s="23" t="n">
        <v>6.857</v>
      </c>
      <c r="D6" s="23" t="n">
        <v>5.372</v>
      </c>
      <c r="E6" s="23" t="n">
        <v>6.416</v>
      </c>
      <c r="F6" s="23" t="n">
        <v>7.005</v>
      </c>
      <c r="G6" s="23" t="n">
        <v>6.965</v>
      </c>
      <c r="H6" s="23" t="n">
        <v>6.156</v>
      </c>
      <c r="I6" s="23" t="n">
        <v>4.526</v>
      </c>
      <c r="J6" s="23" t="n">
        <v>7.131</v>
      </c>
      <c r="K6" s="23" t="n">
        <v>5.971</v>
      </c>
      <c r="L6" s="23" t="n">
        <v>5.468</v>
      </c>
      <c r="M6" s="23" t="n">
        <v>6.361</v>
      </c>
      <c r="N6" s="23" t="n">
        <v>6.615</v>
      </c>
      <c r="O6" s="23" t="n">
        <v>5.942</v>
      </c>
      <c r="P6" s="23" t="n">
        <v>5.862</v>
      </c>
      <c r="Q6" s="23" t="n">
        <v>5.795</v>
      </c>
    </row>
    <row r="7">
      <c r="A7" s="2" t="inlineStr">
        <is>
          <t>Operating Expense</t>
        </is>
      </c>
      <c r="B7" s="23">
        <f>SUM(B5:B6)</f>
        <v>4.883</v>
      </c>
      <c r="C7" s="23">
        <f>SUM(C5:C6)</f>
        <v>10.409</v>
      </c>
      <c r="D7" s="23">
        <f>SUM(D5:D6)</f>
        <v>9.899000000000001</v>
      </c>
      <c r="E7" s="23">
        <f>SUM(E5:E6)</f>
        <v>12.104</v>
      </c>
      <c r="F7" s="23">
        <f>SUM(F5:F6)</f>
        <v>15.43</v>
      </c>
      <c r="G7" s="23">
        <f>SUM(G5:G6)</f>
        <v>20.079</v>
      </c>
      <c r="H7" s="23">
        <f>SUM(H5:H6)</f>
        <v>21.480999999999998</v>
      </c>
      <c r="I7" s="23">
        <f>SUM(I5:I6)</f>
        <v>16.247</v>
      </c>
      <c r="J7" s="23">
        <f>SUM(J5:J6)</f>
        <v>13.602</v>
      </c>
      <c r="K7" s="23">
        <f>SUM(K5:K6)</f>
        <v>13.437999999999999</v>
      </c>
      <c r="L7" s="23">
        <f>SUM(L5:L6)</f>
        <v>23.444</v>
      </c>
      <c r="M7" s="23">
        <f>SUM(M5:M6)</f>
        <v>30.179000000000002</v>
      </c>
      <c r="N7" s="23">
        <f>SUM(N5:N6)</f>
        <v>38.352</v>
      </c>
      <c r="O7" s="23">
        <f>SUM(O5:O6)</f>
        <v>38.072</v>
      </c>
      <c r="P7" s="23">
        <f>SUM(P5:P6)</f>
        <v>42.433</v>
      </c>
      <c r="Q7" s="23">
        <f>SUM(Q5:Q6)</f>
        <v>20.085</v>
      </c>
    </row>
    <row r="8">
      <c r="A8" s="2" t="inlineStr">
        <is>
          <t>Operating Income</t>
        </is>
      </c>
      <c r="B8" s="23">
        <f>B4-B7</f>
        <v>-4.883</v>
      </c>
      <c r="C8" s="23">
        <f>C4-C7</f>
        <v>-10.409</v>
      </c>
      <c r="D8" s="23">
        <f>D4-D7</f>
        <v>-9.899000000000001</v>
      </c>
      <c r="E8" s="23">
        <f>E4-E7</f>
        <v>-12.104</v>
      </c>
      <c r="F8" s="23">
        <f>F4-F7</f>
        <v>-15.43</v>
      </c>
      <c r="G8" s="23">
        <f>G4-G7</f>
        <v>-20.079</v>
      </c>
      <c r="H8" s="23">
        <f>H4-H7</f>
        <v>-21.480999999999998</v>
      </c>
      <c r="I8" s="23">
        <f>I4-I7</f>
        <v>-16.247</v>
      </c>
      <c r="J8" s="23">
        <f>J4-J7</f>
        <v>-13.602</v>
      </c>
      <c r="K8" s="23">
        <f>K4-K7</f>
        <v>-13.437999999999999</v>
      </c>
      <c r="L8" s="23">
        <f>L4-L7</f>
        <v>-23.444</v>
      </c>
      <c r="M8" s="23">
        <f>M4-M7</f>
        <v>-30.179000000000002</v>
      </c>
      <c r="N8" s="23">
        <f>N4-N7</f>
        <v>-38.352</v>
      </c>
      <c r="O8" s="23">
        <f>O4-O7</f>
        <v>-38.072</v>
      </c>
      <c r="P8" s="23">
        <f>P4-P7</f>
        <v>-42.433</v>
      </c>
      <c r="Q8" s="23">
        <f>Q4-Q7</f>
        <v>-20.085</v>
      </c>
    </row>
    <row r="9">
      <c r="A9" s="19" t="inlineStr">
        <is>
          <t>Interest &amp; Other</t>
        </is>
      </c>
      <c r="B9" s="23" t="n">
        <v>-0.746</v>
      </c>
      <c r="C9" s="23" t="n">
        <v>-0.506</v>
      </c>
      <c r="D9" s="23" t="n">
        <v>0.224</v>
      </c>
      <c r="E9" s="23" t="n">
        <v>0.016</v>
      </c>
      <c r="F9" s="23" t="n">
        <v>-0.358</v>
      </c>
      <c r="G9" s="23" t="n">
        <v>0.052</v>
      </c>
      <c r="H9" s="23" t="n">
        <v>0.045</v>
      </c>
      <c r="I9" s="23" t="n">
        <v>0.012</v>
      </c>
      <c r="J9" s="23" t="n">
        <v>-0.298</v>
      </c>
      <c r="K9" s="23" t="n">
        <v>0.144</v>
      </c>
      <c r="L9" s="23" t="n">
        <v>-0.021</v>
      </c>
      <c r="M9" s="23" t="n">
        <v>-0.348</v>
      </c>
      <c r="N9" s="23" t="n">
        <v>-0.424</v>
      </c>
      <c r="O9" s="23" t="n">
        <v>-2.994</v>
      </c>
      <c r="P9" s="23" t="n">
        <v>-4.614</v>
      </c>
      <c r="Q9" s="23" t="n">
        <v>-10.751</v>
      </c>
    </row>
    <row r="10">
      <c r="A10" s="2" t="inlineStr">
        <is>
          <t>Pretax</t>
        </is>
      </c>
      <c r="B10" s="23">
        <f>B8+B9</f>
        <v>-5.629</v>
      </c>
      <c r="C10" s="23">
        <f>C8+C9</f>
        <v>-10.915000000000001</v>
      </c>
      <c r="D10" s="23">
        <f>D8+D9</f>
        <v>-9.675</v>
      </c>
      <c r="E10" s="23">
        <f>E8+E9</f>
        <v>-12.088</v>
      </c>
      <c r="F10" s="23">
        <f>F8+F9</f>
        <v>-15.788</v>
      </c>
      <c r="G10" s="23">
        <f>G8+G9</f>
        <v>-20.027</v>
      </c>
      <c r="H10" s="23">
        <f>H8+H9</f>
        <v>-21.435999999999996</v>
      </c>
      <c r="I10" s="23">
        <f>I8+I9</f>
        <v>-16.235</v>
      </c>
      <c r="J10" s="23">
        <f>J8+J9</f>
        <v>-13.9</v>
      </c>
      <c r="K10" s="23">
        <f>K8+K9</f>
        <v>-13.293999999999999</v>
      </c>
      <c r="L10" s="23">
        <f>L8+L9</f>
        <v>-23.465</v>
      </c>
      <c r="M10" s="23">
        <f>M8+M9</f>
        <v>-30.527</v>
      </c>
      <c r="N10" s="23">
        <f>N8+N9</f>
        <v>-38.775999999999996</v>
      </c>
      <c r="O10" s="23">
        <f>O8+O9</f>
        <v>-41.066</v>
      </c>
      <c r="P10" s="23">
        <f>P8+P9</f>
        <v>-47.047</v>
      </c>
      <c r="Q10" s="23">
        <f>Q8+Q9</f>
        <v>-30.836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-5.629</v>
      </c>
      <c r="C12" s="23" t="n">
        <v>-10.915</v>
      </c>
      <c r="D12" s="23" t="n">
        <v>-9.675000000000001</v>
      </c>
      <c r="E12" s="23" t="n">
        <v>-12.088</v>
      </c>
      <c r="F12" s="23" t="n">
        <v>-15.788</v>
      </c>
      <c r="G12" s="23" t="n">
        <v>-20.027</v>
      </c>
      <c r="H12" s="23" t="n">
        <v>-21.436</v>
      </c>
      <c r="I12" s="23" t="n">
        <v>-16.235</v>
      </c>
      <c r="J12" s="23" t="n">
        <v>-13.9</v>
      </c>
      <c r="K12" s="23" t="n">
        <v>-13.294</v>
      </c>
      <c r="L12" s="23" t="n">
        <v>-23.465</v>
      </c>
      <c r="M12" s="23" t="n">
        <v>-30.527</v>
      </c>
      <c r="N12" s="23" t="n">
        <v>-38.776</v>
      </c>
      <c r="O12" s="23" t="n">
        <v>-41.066</v>
      </c>
      <c r="P12" s="23" t="n">
        <v>-47.047</v>
      </c>
      <c r="Q12" s="23" t="n">
        <v>-30.836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-0.9106457533789419</v>
      </c>
      <c r="D13" s="11">
        <f>IFERROR(D12/D14,0)</f>
        <v>-0.6394157689511599</v>
      </c>
      <c r="E13" s="11">
        <f>IFERROR(E12/E14,0)</f>
        <v>-0.7163683773853265</v>
      </c>
      <c r="F13" s="11">
        <f>IFERROR(F12/F14,0)</f>
        <v>-0.7225959998169252</v>
      </c>
      <c r="G13" s="11">
        <f>IFERROR(G12/G14,0)</f>
        <v>-0.8303067993366501</v>
      </c>
      <c r="H13" s="11">
        <f>IFERROR(H12/H14,0)</f>
        <v>-0.7337075575027382</v>
      </c>
      <c r="I13" s="11">
        <f>IFERROR(I12/I14,0)</f>
        <v>-0.45705357394217505</v>
      </c>
      <c r="J13" s="11">
        <f>IFERROR(J12/J14,0)</f>
        <v>-0.3526665651798853</v>
      </c>
      <c r="K13" s="11">
        <f>IFERROR(K12/K14,0)</f>
        <v>-0.25448906925992576</v>
      </c>
      <c r="L13" s="11">
        <f>IFERROR(L12/L14,0)</f>
        <v>-0.41145732872748947</v>
      </c>
      <c r="M13" s="11">
        <f>IFERROR(M12/M14,0)</f>
        <v>-0.5215883267551729</v>
      </c>
      <c r="N13" s="11">
        <f>IFERROR(N12/N14,0)</f>
        <v>-0.6528935360576519</v>
      </c>
      <c r="O13" s="11">
        <f>IFERROR(O12/O14,0)</f>
        <v>-0.6826243787296997</v>
      </c>
      <c r="P13" s="11">
        <f>IFERROR(P12/P14,0)</f>
        <v>-0.755059461715001</v>
      </c>
      <c r="Q13" s="11">
        <f>IFERROR(Q12/Q14,0)</f>
        <v>-0.48254385553103923</v>
      </c>
    </row>
    <row r="14">
      <c r="A14" s="2" t="inlineStr">
        <is>
          <t>Shares</t>
        </is>
      </c>
      <c r="B14" s="23" t="n"/>
      <c r="C14" s="23" t="n">
        <v>11.986</v>
      </c>
      <c r="D14" s="23" t="n">
        <v>15.131</v>
      </c>
      <c r="E14" s="23" t="n">
        <v>16.874</v>
      </c>
      <c r="F14" s="23" t="n">
        <v>21.849</v>
      </c>
      <c r="G14" s="23" t="n">
        <v>24.12</v>
      </c>
      <c r="H14" s="23" t="n">
        <v>29.216</v>
      </c>
      <c r="I14" s="23" t="n">
        <v>35.521</v>
      </c>
      <c r="J14" s="23" t="n">
        <v>39.414</v>
      </c>
      <c r="K14" s="23" t="n">
        <v>52.238</v>
      </c>
      <c r="L14" s="23" t="n">
        <v>57.029</v>
      </c>
      <c r="M14" s="23" t="n">
        <v>58.527</v>
      </c>
      <c r="N14" s="23" t="n">
        <v>59.391</v>
      </c>
      <c r="O14" s="23" t="n">
        <v>60.159</v>
      </c>
      <c r="P14" s="23" t="n">
        <v>62.309</v>
      </c>
      <c r="Q14" s="23" t="n">
        <v>63.903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2026-10-21T01:05:19Z</dcterms:modified>
  <cp:lastModifiedBy>Wang, Eric</cp:lastModifiedBy>
</cp:coreProperties>
</file>