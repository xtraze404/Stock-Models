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Kalaris Therapeutics Inc</t>
        </is>
      </c>
      <c r="C2" s="10" t="n"/>
    </row>
    <row r="3">
      <c r="B3" t="inlineStr">
        <is>
          <t>Price</t>
        </is>
      </c>
      <c r="C3" s="11">
        <f>INDEX([1]Pharma!$F$1:$F$1000,MATCH("KLRS",[1]Pharma!$B$1:$B$1000,0))</f>
        <v>2.07</v>
      </c>
      <c r="F3" s="1" t="n"/>
    </row>
    <row r="4">
      <c r="B4" t="inlineStr">
        <is>
          <t>Shares</t>
        </is>
      </c>
      <c r="C4" s="21" t="n">
        <v>23.804981</v>
      </c>
      <c r="F4" s="1" t="n"/>
    </row>
    <row r="5">
      <c r="B5" t="inlineStr">
        <is>
          <t>Market Cap.</t>
        </is>
      </c>
      <c r="C5" s="13">
        <f>C3*C4</f>
        <v>49.27631067</v>
      </c>
      <c r="F5" s="1" t="n"/>
    </row>
    <row r="6"/>
    <row r="7">
      <c r="B7" t="inlineStr">
        <is>
          <t>Cash</t>
        </is>
      </c>
      <c r="C7" s="21">
        <f>43.173+50.365</f>
        <v>93.53800000000001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-44.26168933000001</v>
      </c>
    </row>
    <row r="10"/>
    <row r="11">
      <c r="B11" s="14" t="inlineStr">
        <is>
          <t>Net Cash / Share</t>
        </is>
      </c>
      <c r="C11" s="11">
        <f>(C7-C8)/C4</f>
        <v>3.9293457113030255</v>
      </c>
    </row>
    <row r="12">
      <c r="B12" s="14" t="inlineStr">
        <is>
          <t>Upside</t>
        </is>
      </c>
      <c r="C12" s="15">
        <f>IFERROR(C11/C3-1,"")</f>
        <v>0.8982346431415584</v>
      </c>
    </row>
    <row r="13">
      <c r="B13" s="14" t="inlineStr">
        <is>
          <t>Cash / Share</t>
        </is>
      </c>
      <c r="C13" s="11">
        <f>IFERROR((C7-C8)/C4,"")</f>
        <v>3.9293457113030255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-41.017</v>
      </c>
    </row>
    <row r="18">
      <c r="B18" s="14" t="inlineStr">
        <is>
          <t>Runway (years)</t>
        </is>
      </c>
      <c r="C18" s="22">
        <f>IF(AND(ISNUMBER(C17),C17&lt;0),IF(C7&gt;C8,(C7-C8)/-C17,"net debt"),"n/a")</f>
        <v>2.280469073798669</v>
      </c>
    </row>
    <row r="19">
      <c r="B19" s="14" t="inlineStr">
        <is>
          <t>Implied Pipeline Value</t>
        </is>
      </c>
      <c r="C19" s="13">
        <f>C9</f>
        <v>-44.26168933000001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2019</v>
      </c>
      <c r="C1" s="17" t="n">
        <v>2020</v>
      </c>
      <c r="D1" s="17" t="n">
        <v>2021</v>
      </c>
      <c r="E1" s="17" t="n">
        <v>2022</v>
      </c>
      <c r="F1" s="17" t="n">
        <v>2023</v>
      </c>
      <c r="G1" s="17" t="n">
        <v>2024</v>
      </c>
      <c r="H1" s="17" t="n">
        <v>2025</v>
      </c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0.165</v>
      </c>
      <c r="C2" s="23" t="n">
        <v>0</v>
      </c>
      <c r="D2" s="23" t="n">
        <v>0</v>
      </c>
      <c r="E2" s="23" t="n">
        <v>0</v>
      </c>
      <c r="F2" s="23" t="n">
        <v>0</v>
      </c>
      <c r="G2" s="23" t="n">
        <v>0</v>
      </c>
      <c r="H2" s="23" t="n">
        <v>0</v>
      </c>
      <c r="I2" s="1" t="n"/>
      <c r="J2" s="1" t="n"/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H3" s="23" t="n">
        <v>0</v>
      </c>
      <c r="I3" s="1" t="n"/>
      <c r="J3" s="1" t="n"/>
      <c r="K3" s="1" t="n"/>
    </row>
    <row r="4" customFormat="1" s="1">
      <c r="A4" s="5" t="inlineStr">
        <is>
          <t>Gross Margin</t>
        </is>
      </c>
      <c r="B4" s="23">
        <f>B2-B3</f>
        <v>0.165</v>
      </c>
      <c r="C4" s="23">
        <f>C2-C3</f>
        <v>0.0</v>
      </c>
      <c r="D4" s="23">
        <f>D2-D3</f>
        <v>0.0</v>
      </c>
      <c r="E4" s="23">
        <f>E2-E3</f>
        <v>0.0</v>
      </c>
      <c r="F4" s="23">
        <f>F2-F3</f>
        <v>0.0</v>
      </c>
      <c r="G4" s="23">
        <f>G2-G3</f>
        <v>0.0</v>
      </c>
      <c r="H4" s="23">
        <f>H2-H3</f>
        <v>0.0</v>
      </c>
      <c r="I4" s="1" t="n"/>
      <c r="J4" s="1" t="n"/>
      <c r="K4" s="1" t="n"/>
    </row>
    <row r="5">
      <c r="A5" s="2" t="inlineStr">
        <is>
          <t>Research &amp; Dev.</t>
        </is>
      </c>
      <c r="B5" s="23" t="n">
        <v>16.248</v>
      </c>
      <c r="C5" s="23" t="n">
        <v>49.663</v>
      </c>
      <c r="D5" s="23" t="n">
        <v>120.735</v>
      </c>
      <c r="E5" s="23" t="n">
        <v>118.87</v>
      </c>
      <c r="F5" s="23" t="n">
        <v>133.07</v>
      </c>
      <c r="G5" s="23" t="n">
        <v>45.042</v>
      </c>
      <c r="H5" s="23" t="n">
        <v>30.753</v>
      </c>
      <c r="I5" s="1" t="n"/>
      <c r="J5" s="1" t="n"/>
      <c r="K5" s="1" t="n"/>
    </row>
    <row r="6">
      <c r="A6" s="19" t="inlineStr">
        <is>
          <t>SG&amp;A &amp; Other</t>
        </is>
      </c>
      <c r="B6" s="23" t="n">
        <v>10.618</v>
      </c>
      <c r="C6" s="23" t="n">
        <v>21.646</v>
      </c>
      <c r="D6" s="23" t="n">
        <v>49.083</v>
      </c>
      <c r="E6" s="23" t="n">
        <v>52.332</v>
      </c>
      <c r="F6" s="23" t="n">
        <v>66.831</v>
      </c>
      <c r="G6" s="23" t="n">
        <v>6.69</v>
      </c>
      <c r="H6" s="23" t="n">
        <v>15.399</v>
      </c>
      <c r="I6" s="1" t="n"/>
      <c r="J6" s="1" t="n"/>
      <c r="K6" s="1" t="n"/>
    </row>
    <row r="7">
      <c r="A7" s="2" t="inlineStr">
        <is>
          <t>Operating Expense</t>
        </is>
      </c>
      <c r="B7" s="23">
        <f>SUM(B5:B6)</f>
        <v>26.866</v>
      </c>
      <c r="C7" s="23">
        <f>SUM(C5:C6)</f>
        <v>71.309</v>
      </c>
      <c r="D7" s="23">
        <f>SUM(D5:D6)</f>
        <v>169.81799999999998</v>
      </c>
      <c r="E7" s="23">
        <f>SUM(E5:E6)</f>
        <v>171.202</v>
      </c>
      <c r="F7" s="23">
        <f>SUM(F5:F6)</f>
        <v>199.901</v>
      </c>
      <c r="G7" s="23">
        <f>SUM(G5:G6)</f>
        <v>51.732</v>
      </c>
      <c r="H7" s="23">
        <f>SUM(H5:H6)</f>
        <v>46.152</v>
      </c>
      <c r="I7" s="1" t="n"/>
      <c r="J7" s="1" t="n"/>
      <c r="K7" s="1" t="n"/>
    </row>
    <row r="8">
      <c r="A8" s="2" t="inlineStr">
        <is>
          <t>Operating Income</t>
        </is>
      </c>
      <c r="B8" s="23">
        <f>B4-B7</f>
        <v>-26.701</v>
      </c>
      <c r="C8" s="23">
        <f>C4-C7</f>
        <v>-71.309</v>
      </c>
      <c r="D8" s="23">
        <f>D4-D7</f>
        <v>-169.81799999999998</v>
      </c>
      <c r="E8" s="23">
        <f>E4-E7</f>
        <v>-171.202</v>
      </c>
      <c r="F8" s="23">
        <f>F4-F7</f>
        <v>-199.901</v>
      </c>
      <c r="G8" s="23">
        <f>G4-G7</f>
        <v>-51.732</v>
      </c>
      <c r="H8" s="23">
        <f>H4-H7</f>
        <v>-46.152</v>
      </c>
      <c r="I8" s="1" t="n"/>
      <c r="J8" s="1" t="n"/>
      <c r="K8" s="1" t="n"/>
    </row>
    <row r="9">
      <c r="A9" s="19" t="inlineStr">
        <is>
          <t>Interest &amp; Other</t>
        </is>
      </c>
      <c r="B9" s="23" t="n">
        <v>2.862</v>
      </c>
      <c r="C9" s="23" t="n">
        <v>1.525</v>
      </c>
      <c r="D9" s="23" t="n">
        <v>-1.137</v>
      </c>
      <c r="E9" s="23" t="n">
        <v>2.227</v>
      </c>
      <c r="F9" s="23" t="n">
        <v>9.356999999999999</v>
      </c>
      <c r="G9" s="23" t="n">
        <v>-17.435</v>
      </c>
      <c r="H9" s="23" t="n">
        <v>2.72</v>
      </c>
    </row>
    <row r="10">
      <c r="A10" s="2" t="inlineStr">
        <is>
          <t>Pretax</t>
        </is>
      </c>
      <c r="B10" s="23">
        <f>B8+B9</f>
        <v>-23.839</v>
      </c>
      <c r="C10" s="23">
        <f>C8+C9</f>
        <v>-69.78399999999999</v>
      </c>
      <c r="D10" s="23">
        <f>D8+D9</f>
        <v>-170.95499999999998</v>
      </c>
      <c r="E10" s="23">
        <f>E8+E9</f>
        <v>-168.975</v>
      </c>
      <c r="F10" s="23">
        <f>F8+F9</f>
        <v>-190.544</v>
      </c>
      <c r="G10" s="23">
        <f>G8+G9</f>
        <v>-69.167</v>
      </c>
      <c r="H10" s="23">
        <f>H8+H9</f>
        <v>-43.432</v>
      </c>
      <c r="I10" s="1" t="n"/>
      <c r="J10" s="1" t="n"/>
      <c r="K10" s="1" t="n"/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1.007</v>
      </c>
      <c r="E11" s="23" t="n">
        <v>-0.265</v>
      </c>
      <c r="F11" s="23" t="n">
        <v>-0.126</v>
      </c>
      <c r="G11" s="23" t="n">
        <v>0</v>
      </c>
      <c r="H11" s="23" t="n">
        <v>0</v>
      </c>
    </row>
    <row r="12">
      <c r="A12" s="2" t="inlineStr">
        <is>
          <t>Net Income</t>
        </is>
      </c>
      <c r="B12" s="23" t="n">
        <v>-23.839</v>
      </c>
      <c r="C12" s="23" t="n">
        <v>-69.78400000000001</v>
      </c>
      <c r="D12" s="23" t="n">
        <v>-171.962</v>
      </c>
      <c r="E12" s="23" t="n">
        <v>-168.71</v>
      </c>
      <c r="F12" s="23" t="n">
        <v>-190.418</v>
      </c>
      <c r="G12" s="23" t="n">
        <v>-69.167</v>
      </c>
      <c r="H12" s="23" t="n">
        <v>-43.432</v>
      </c>
      <c r="I12" s="1" t="n"/>
      <c r="J12" s="1" t="n"/>
      <c r="K12" s="1" t="n"/>
    </row>
    <row r="13">
      <c r="A13" s="2" t="inlineStr">
        <is>
          <t>Earnings per Share</t>
        </is>
      </c>
      <c r="B13" s="11">
        <f>IFERROR(B12/B14,0)</f>
        <v>-15.002517306482064</v>
      </c>
      <c r="C13" s="11">
        <f>IFERROR(C12/C14,0)</f>
        <v>-44.11125158027813</v>
      </c>
      <c r="D13" s="11">
        <f>IFERROR(D12/D14,0)</f>
        <v>-46.564310858380715</v>
      </c>
      <c r="E13" s="11">
        <f>IFERROR(E12/E14,0)</f>
        <v>-37.41627855400311</v>
      </c>
      <c r="F13" s="11">
        <f>IFERROR(F12/F14,0)</f>
        <v>-42.09062776304156</v>
      </c>
      <c r="G13" s="11">
        <f>IFERROR(G12/G14,0)</f>
        <v>-51.77170658682635</v>
      </c>
      <c r="H13" s="11">
        <f>IFERROR(H12/H14,0)</f>
        <v>-2.844642389310977</v>
      </c>
    </row>
    <row r="14">
      <c r="A14" s="2" t="inlineStr">
        <is>
          <t>Shares</t>
        </is>
      </c>
      <c r="B14" s="23" t="n">
        <v>1.589</v>
      </c>
      <c r="C14" s="23" t="n">
        <v>1.582</v>
      </c>
      <c r="D14" s="23" t="n">
        <v>3.693</v>
      </c>
      <c r="E14" s="23" t="n">
        <v>4.509</v>
      </c>
      <c r="F14" s="23" t="n">
        <v>4.524</v>
      </c>
      <c r="G14" s="23" t="n">
        <v>1.336</v>
      </c>
      <c r="H14" s="23" t="n">
        <v>15.268</v>
      </c>
    </row>
    <row r="15"/>
    <row r="16" customFormat="1" s="4">
      <c r="A16" s="3" t="inlineStr">
        <is>
          <t>Revenue Change</t>
        </is>
      </c>
      <c r="C16" s="15">
        <f>IFERROR(C2/B2-1,"")</f>
        <v>-1.0</v>
      </c>
      <c r="D16" s="15">
        <f>IFERROR(D2/C2-1,"")</f>
        <v/>
      </c>
      <c r="E16" s="15">
        <f>IFERROR(E2/D2-1,"")</f>
        <v/>
      </c>
      <c r="F16" s="15">
        <f>IFERROR(F2/E2-1,"")</f>
        <v/>
      </c>
      <c r="G16" s="15">
        <f>IFERROR(G2/F2-1,"")</f>
        <v/>
      </c>
      <c r="H16" s="15">
        <f>IFERROR(H2/G2-1,"")</f>
        <v/>
      </c>
      <c r="I16" s="4" t="n"/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>1.0</v>
      </c>
      <c r="C17" s="15">
        <f>IFERROR(C4/C2,"")</f>
        <v/>
      </c>
      <c r="D17" s="15">
        <f>IFERROR(D4/D2,"")</f>
        <v/>
      </c>
      <c r="E17" s="15">
        <f>IFERROR(E4/E2,"")</f>
        <v/>
      </c>
      <c r="F17" s="15">
        <f>IFERROR(F4/F2,"")</f>
        <v/>
      </c>
      <c r="G17" s="15">
        <f>IFERROR(G4/G2,"")</f>
        <v/>
      </c>
      <c r="H17" s="15">
        <f>IFERROR(H4/H2,"")</f>
        <v/>
      </c>
      <c r="I17" s="4" t="n"/>
      <c r="J17" s="4" t="n"/>
      <c r="K17" s="4" t="n"/>
    </row>
    <row r="18">
      <c r="A18" s="14" t="inlineStr">
        <is>
          <t>Operating Margin</t>
        </is>
      </c>
      <c r="B18" s="15">
        <f>IFERROR(B8/B2,"")</f>
        <v>-161.8242424242424</v>
      </c>
      <c r="C18" s="15">
        <f>IFERROR(C8/C2,"")</f>
        <v/>
      </c>
      <c r="D18" s="15">
        <f>IFERROR(D8/D2,"")</f>
        <v/>
      </c>
      <c r="E18" s="15">
        <f>IFERROR(E8/E2,"")</f>
        <v/>
      </c>
      <c r="F18" s="15">
        <f>IFERROR(F8/F2,"")</f>
        <v/>
      </c>
      <c r="G18" s="15">
        <f>IFERROR(G8/G2,"")</f>
        <v/>
      </c>
      <c r="H18" s="15">
        <f>IFERROR(H8/H2,"")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2026-10-21T06:29:13Z</dcterms:modified>
  <cp:lastModifiedBy>Wang, Eric</cp:lastModifiedBy>
</cp:coreProperties>
</file>