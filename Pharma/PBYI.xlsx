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Puma Biotechnology Inc</t>
        </is>
      </c>
      <c r="C2" s="10" t="n"/>
    </row>
    <row r="3">
      <c r="B3" t="inlineStr">
        <is>
          <t>Price</t>
        </is>
      </c>
      <c r="C3" s="11">
        <f>INDEX([1]Pharma!$F$1:$F$1000,MATCH("PBYI",[1]Pharma!$B$1:$B$1000,0))</f>
        <v>10.76</v>
      </c>
      <c r="F3" s="1" t="n"/>
    </row>
    <row r="4">
      <c r="B4" t="inlineStr">
        <is>
          <t>Shares</t>
        </is>
      </c>
      <c r="C4" s="51" t="n">
        <v>51.620066</v>
      </c>
      <c r="F4" s="1" t="n"/>
    </row>
    <row r="5">
      <c r="B5" t="inlineStr">
        <is>
          <t>Market Cap.</t>
        </is>
      </c>
      <c r="C5" s="13">
        <f>C3*C4</f>
        <v>555.43191016</v>
      </c>
      <c r="F5" s="1" t="n"/>
    </row>
    <row r="6"/>
    <row r="7">
      <c r="B7" t="inlineStr">
        <is>
          <t>Cash</t>
        </is>
      </c>
      <c r="C7" s="51">
        <f>36.537+57.366</f>
        <v>93.90299999999999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461.52891016</v>
      </c>
    </row>
    <row r="10"/>
    <row r="11">
      <c r="B11" s="14" t="inlineStr">
        <is>
          <t>NPV / Share</t>
        </is>
      </c>
      <c r="C11" s="11">
        <f>NPV!B28</f>
        <v>7.83185750098168</v>
      </c>
    </row>
    <row r="12">
      <c r="B12" s="14" t="inlineStr">
        <is>
          <t>Upside</t>
        </is>
      </c>
      <c r="C12" s="15">
        <f>IFERROR(C11/C3-1,"")</f>
        <v>-0.27213220251099624</v>
      </c>
    </row>
    <row r="13">
      <c r="B13" s="14" t="inlineStr">
        <is>
          <t>Cash / Share</t>
        </is>
      </c>
      <c r="C13" s="11">
        <f>IFERROR((C7-C8)/C4,"")</f>
        <v>1.8191181700542574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2008</v>
      </c>
      <c r="C1" s="16" t="n">
        <v>2009</v>
      </c>
      <c r="D1" s="16" t="n">
        <v>2010</v>
      </c>
      <c r="E1" s="16" t="n">
        <v>2011</v>
      </c>
      <c r="F1" s="16" t="n">
        <v>2012</v>
      </c>
      <c r="G1" s="16" t="n">
        <v>2013</v>
      </c>
      <c r="H1" s="16" t="n">
        <v>2014</v>
      </c>
      <c r="I1" s="16" t="n">
        <v>2015</v>
      </c>
      <c r="J1" s="16" t="n">
        <v>2016</v>
      </c>
      <c r="K1" s="16" t="n">
        <v>2017</v>
      </c>
      <c r="L1" s="16" t="n">
        <v>2018</v>
      </c>
      <c r="M1" s="16" t="n">
        <v>2019</v>
      </c>
      <c r="N1" s="16" t="n">
        <v>2020</v>
      </c>
      <c r="O1" s="16" t="n">
        <v>2021</v>
      </c>
      <c r="P1" s="16" t="n">
        <v>2022</v>
      </c>
      <c r="Q1" s="16" t="n">
        <v>2023</v>
      </c>
      <c r="R1" s="16" t="n">
        <v>2024</v>
      </c>
      <c r="S1" s="16" t="n">
        <v>2025</v>
      </c>
      <c r="T1" s="16" t="n">
        <v>2026</v>
      </c>
      <c r="U1" s="16" t="n">
        <v>2027</v>
      </c>
      <c r="V1" s="16" t="n">
        <v>2028</v>
      </c>
      <c r="W1" s="16" t="n">
        <v>2029</v>
      </c>
      <c r="X1" s="16" t="n">
        <v>2030</v>
      </c>
      <c r="Y1" s="16" t="n">
        <v>2031</v>
      </c>
      <c r="Z1" s="16" t="n">
        <v>2032</v>
      </c>
      <c r="AA1" s="16" t="n">
        <v>2033</v>
      </c>
      <c r="AB1" s="16" t="n">
        <v>2034</v>
      </c>
      <c r="AC1" s="16" t="n">
        <v>2035</v>
      </c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</v>
      </c>
      <c r="G2" s="52" t="n">
        <v>0</v>
      </c>
      <c r="H2" s="52" t="n">
        <v>0</v>
      </c>
      <c r="I2" s="52" t="n">
        <v>0</v>
      </c>
      <c r="J2" s="52" t="n">
        <v>0</v>
      </c>
      <c r="K2" s="52" t="n">
        <v>27.685</v>
      </c>
      <c r="L2" s="52" t="n">
        <v>250.991</v>
      </c>
      <c r="M2" s="52" t="n">
        <v>272.26</v>
      </c>
      <c r="N2" s="52" t="n">
        <v>225.11</v>
      </c>
      <c r="O2" s="52" t="n">
        <v>253.155</v>
      </c>
      <c r="P2" s="52" t="n">
        <v>228.031</v>
      </c>
      <c r="Q2" s="52" t="n">
        <v>235.637</v>
      </c>
      <c r="R2" s="52" t="n">
        <v>230.468</v>
      </c>
      <c r="S2" s="52" t="n">
        <v>228.371</v>
      </c>
      <c r="T2" s="52">
        <f>S2*(1+NPV!C5)</f>
        <v>226.2928239</v>
      </c>
      <c r="U2" s="52">
        <f>T2*(1+NPV!D5)</f>
        <v>225.09095756861998</v>
      </c>
      <c r="V2" s="52">
        <f>U2*(1+NPV!E5)</f>
        <v>224.74831911098775</v>
      </c>
      <c r="W2" s="52">
        <f>V2*(1+NPV!F5)</f>
        <v>225.25774863430598</v>
      </c>
      <c r="X2" s="52">
        <f>W2*(1+NPV!G5)</f>
        <v>226.62180944548038</v>
      </c>
      <c r="Y2" s="52">
        <f>X2*(1+NPV!H5)</f>
        <v>228.8527752584659</v>
      </c>
      <c r="Z2" s="52">
        <f>Y2*(1+NPV!I5)</f>
        <v>231.972801427823</v>
      </c>
      <c r="AA2" s="52">
        <f>Z2*(1+NPV!J5)</f>
        <v>236.01428312380995</v>
      </c>
      <c r="AB2" s="52">
        <f>AA2*(1+NPV!K5)</f>
        <v>241.0204083069583</v>
      </c>
      <c r="AC2" s="52">
        <f>AB2*(1+NPV!L5)</f>
        <v>247.04591851463223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5.572</v>
      </c>
      <c r="L3" s="52" t="n">
        <v>34.621</v>
      </c>
      <c r="M3" s="52" t="n">
        <v>36.815</v>
      </c>
      <c r="N3" s="52" t="n">
        <v>39.374</v>
      </c>
      <c r="O3" s="52" t="n">
        <v>63.701</v>
      </c>
      <c r="P3" s="52" t="n">
        <v>55.093</v>
      </c>
      <c r="Q3" s="52" t="n">
        <v>62.682</v>
      </c>
      <c r="R3" s="52" t="n">
        <v>64.404</v>
      </c>
      <c r="S3" s="52" t="n">
        <v>58.157</v>
      </c>
      <c r="T3" s="52">
        <f>T2*(1-Assumptions!$B$19)</f>
        <v>57.63678224733001</v>
      </c>
      <c r="U3" s="52">
        <f>U2*(1-Assumptions!$B$19)</f>
        <v>57.33066689272752</v>
      </c>
      <c r="V3" s="52">
        <f>V2*(1-Assumptions!$B$19)</f>
        <v>57.243396877568586</v>
      </c>
      <c r="W3" s="52">
        <f>W2*(1-Assumptions!$B$19)</f>
        <v>57.37314857715774</v>
      </c>
      <c r="X3" s="52">
        <f>X2*(1-Assumptions!$B$19)</f>
        <v>57.72057486576386</v>
      </c>
      <c r="Y3" s="52">
        <f>Y2*(1-Assumptions!$B$19)</f>
        <v>58.288801858331276</v>
      </c>
      <c r="Z3" s="52">
        <f>Z2*(1-Assumptions!$B$19)</f>
        <v>59.08347252366652</v>
      </c>
      <c r="AA3" s="52">
        <f>AA2*(1-Assumptions!$B$19)</f>
        <v>60.1128379116344</v>
      </c>
      <c r="AB3" s="52">
        <f>AB2*(1-Assumptions!$B$19)</f>
        <v>61.38789799578229</v>
      </c>
      <c r="AC3" s="52">
        <f>AC2*(1-Assumptions!$B$19)</f>
        <v>62.92259544567684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0.0</v>
      </c>
      <c r="I4" s="52">
        <f>I2-I3</f>
        <v>0.0</v>
      </c>
      <c r="J4" s="52">
        <f>J2-J3</f>
        <v>0.0</v>
      </c>
      <c r="K4" s="52">
        <f>K2-K3</f>
        <v>22.113</v>
      </c>
      <c r="L4" s="52">
        <f>L2-L3</f>
        <v>216.37</v>
      </c>
      <c r="M4" s="52">
        <f>M2-M3</f>
        <v>235.445</v>
      </c>
      <c r="N4" s="52">
        <f>N2-N3</f>
        <v>185.73600000000002</v>
      </c>
      <c r="O4" s="52">
        <f>O2-O3</f>
        <v>189.454</v>
      </c>
      <c r="P4" s="52">
        <f>P2-P3</f>
        <v>172.938</v>
      </c>
      <c r="Q4" s="52">
        <f>Q2-Q3</f>
        <v>172.95499999999998</v>
      </c>
      <c r="R4" s="52">
        <f>R2-R3</f>
        <v>166.064</v>
      </c>
      <c r="S4" s="52">
        <f>S2-S3</f>
        <v>170.214</v>
      </c>
      <c r="T4" s="52">
        <f>T2-T3</f>
        <v>168.65604165266998</v>
      </c>
      <c r="U4" s="52">
        <f>U2-U3</f>
        <v>167.76029067589246</v>
      </c>
      <c r="V4" s="52">
        <f>V2-V3</f>
        <v>167.50492223341917</v>
      </c>
      <c r="W4" s="52">
        <f>W2-W3</f>
        <v>167.88460005714825</v>
      </c>
      <c r="X4" s="52">
        <f>X2-X3</f>
        <v>168.90123457971652</v>
      </c>
      <c r="Y4" s="52">
        <f>Y2-Y3</f>
        <v>170.5639734001346</v>
      </c>
      <c r="Z4" s="52">
        <f>Z2-Z3</f>
        <v>172.88932890415646</v>
      </c>
      <c r="AA4" s="52">
        <f>AA2-AA3</f>
        <v>175.90144521217553</v>
      </c>
      <c r="AB4" s="52">
        <f>AB2-AB3</f>
        <v>179.63251031117602</v>
      </c>
      <c r="AC4" s="52">
        <f>AC2-AC3</f>
        <v>184.1233230689554</v>
      </c>
    </row>
    <row r="5">
      <c r="A5" s="2" t="inlineStr">
        <is>
          <t>Research &amp; Dev.</t>
        </is>
      </c>
      <c r="B5" s="52" t="n">
        <v>0</v>
      </c>
      <c r="C5" s="52" t="n">
        <v>0</v>
      </c>
      <c r="D5" s="52" t="n">
        <v>0</v>
      </c>
      <c r="E5" s="52" t="n">
        <v>0.826</v>
      </c>
      <c r="F5" s="52" t="n">
        <v>49.636</v>
      </c>
      <c r="G5" s="52" t="n">
        <v>45.046</v>
      </c>
      <c r="H5" s="52" t="n">
        <v>122.917</v>
      </c>
      <c r="I5" s="52" t="n">
        <v>208.472</v>
      </c>
      <c r="J5" s="52" t="n">
        <v>222.798</v>
      </c>
      <c r="K5" s="52" t="n">
        <v>207.81</v>
      </c>
      <c r="L5" s="52" t="n">
        <v>164.854</v>
      </c>
      <c r="M5" s="52" t="n">
        <v>132.851</v>
      </c>
      <c r="N5" s="52" t="n">
        <v>97.65000000000001</v>
      </c>
      <c r="O5" s="52" t="n">
        <v>71.87</v>
      </c>
      <c r="P5" s="52" t="n">
        <v>52.24</v>
      </c>
      <c r="Q5" s="52" t="n">
        <v>50.382</v>
      </c>
      <c r="R5" s="52" t="n">
        <v>54.935</v>
      </c>
      <c r="S5" s="52" t="n">
        <v>62.068</v>
      </c>
      <c r="T5" s="52">
        <f>T7*Assumptions!$B$20</f>
        <v>64.13220547328251</v>
      </c>
      <c r="U5" s="52">
        <f>U7*Assumptions!$B$20</f>
        <v>63.07258866027101</v>
      </c>
      <c r="V5" s="52">
        <f>V7*Assumptions!$B$20</f>
        <v>62.25866910342942</v>
      </c>
      <c r="W5" s="52">
        <f>W7*Assumptions!$B$20</f>
        <v>61.6802524320896</v>
      </c>
      <c r="X5" s="52">
        <f>X7*Assumptions!$B$20</f>
        <v>61.3298671138973</v>
      </c>
      <c r="Y5" s="52">
        <f>Y7*Assumptions!$B$20</f>
        <v>61.2026057405326</v>
      </c>
      <c r="Z5" s="52">
        <f>Z7*Assumptions!$B$20</f>
        <v>61.296015185317</v>
      </c>
      <c r="AA5" s="52">
        <f>AA7*Assumptions!$B$20</f>
        <v>61.61003227891557</v>
      </c>
      <c r="AB5" s="52">
        <f>AB7*Assumptions!$B$20</f>
        <v>62.146962849296045</v>
      </c>
      <c r="AC5" s="52">
        <f>AC7*Assumptions!$B$20</f>
        <v>62.91150308393552</v>
      </c>
    </row>
    <row r="6">
      <c r="A6" s="18" t="inlineStr">
        <is>
          <t>SG&amp;A &amp; Other</t>
        </is>
      </c>
      <c r="B6" s="52" t="n">
        <v>0.014</v>
      </c>
      <c r="C6" s="52" t="n">
        <v>0.017</v>
      </c>
      <c r="D6" s="52" t="n">
        <v>0.016</v>
      </c>
      <c r="E6" s="52" t="n">
        <v>9.331</v>
      </c>
      <c r="F6" s="52" t="n">
        <v>24.814</v>
      </c>
      <c r="G6" s="52" t="n">
        <v>9.787000000000001</v>
      </c>
      <c r="H6" s="52" t="n">
        <v>19.358</v>
      </c>
      <c r="I6" s="52" t="n">
        <v>31.808</v>
      </c>
      <c r="J6" s="52" t="n">
        <v>53.798</v>
      </c>
      <c r="K6" s="52" t="n">
        <v>106.693</v>
      </c>
      <c r="L6" s="52" t="n">
        <v>146.171</v>
      </c>
      <c r="M6" s="52" t="n">
        <v>141.639</v>
      </c>
      <c r="N6" s="52" t="n">
        <v>118.488</v>
      </c>
      <c r="O6" s="52" t="n">
        <v>116.294</v>
      </c>
      <c r="P6" s="52" t="n">
        <v>96.97799999999999</v>
      </c>
      <c r="Q6" s="52" t="n">
        <v>89.93300000000001</v>
      </c>
      <c r="R6" s="52" t="n">
        <v>80.163</v>
      </c>
      <c r="S6" s="52" t="n">
        <v>70.84699999999999</v>
      </c>
      <c r="T6" s="52">
        <f>T7-T5</f>
        <v>73.19585763867147</v>
      </c>
      <c r="U6" s="52">
        <f>U7-U5</f>
        <v>71.98648770005235</v>
      </c>
      <c r="V6" s="52">
        <f>V7-V5</f>
        <v>71.05753882682629</v>
      </c>
      <c r="W6" s="52">
        <f>W7-W5</f>
        <v>70.39737590214936</v>
      </c>
      <c r="X6" s="52">
        <f>X7-X5</f>
        <v>69.99747145975857</v>
      </c>
      <c r="Y6" s="52">
        <f>Y7-Y5</f>
        <v>69.85222453898047</v>
      </c>
      <c r="Z6" s="52">
        <f>Z7-Z5</f>
        <v>69.95883531857379</v>
      </c>
      <c r="AA6" s="52">
        <f>AA7-AA5</f>
        <v>70.31723170163168</v>
      </c>
      <c r="AB6" s="52">
        <f>AB7-AB5</f>
        <v>70.93004539330789</v>
      </c>
      <c r="AC6" s="52">
        <f>AC7-AC5</f>
        <v>71.80263628209343</v>
      </c>
    </row>
    <row r="7">
      <c r="A7" s="2" t="inlineStr">
        <is>
          <t>Operating Expense</t>
        </is>
      </c>
      <c r="B7" s="52">
        <f>SUM(B5:B6)</f>
        <v>0.014</v>
      </c>
      <c r="C7" s="52">
        <f>SUM(C5:C6)</f>
        <v>0.017</v>
      </c>
      <c r="D7" s="52">
        <f>SUM(D5:D6)</f>
        <v>0.016</v>
      </c>
      <c r="E7" s="52">
        <f>SUM(E5:E6)</f>
        <v>10.157</v>
      </c>
      <c r="F7" s="52">
        <f>SUM(F5:F6)</f>
        <v>74.45</v>
      </c>
      <c r="G7" s="52">
        <f>SUM(G5:G6)</f>
        <v>54.833</v>
      </c>
      <c r="H7" s="52">
        <f>SUM(H5:H6)</f>
        <v>142.275</v>
      </c>
      <c r="I7" s="52">
        <f>SUM(I5:I6)</f>
        <v>240.28</v>
      </c>
      <c r="J7" s="52">
        <f>SUM(J5:J6)</f>
        <v>276.596</v>
      </c>
      <c r="K7" s="52">
        <f>SUM(K5:K6)</f>
        <v>314.503</v>
      </c>
      <c r="L7" s="52">
        <f>SUM(L5:L6)</f>
        <v>311.025</v>
      </c>
      <c r="M7" s="52">
        <f>SUM(M5:M6)</f>
        <v>274.49</v>
      </c>
      <c r="N7" s="52">
        <f>SUM(N5:N6)</f>
        <v>216.138</v>
      </c>
      <c r="O7" s="52">
        <f>SUM(O5:O6)</f>
        <v>188.164</v>
      </c>
      <c r="P7" s="52">
        <f>SUM(P5:P6)</f>
        <v>149.218</v>
      </c>
      <c r="Q7" s="52">
        <f>SUM(Q5:Q6)</f>
        <v>140.315</v>
      </c>
      <c r="R7" s="52">
        <f>SUM(R5:R6)</f>
        <v>135.098</v>
      </c>
      <c r="S7" s="52">
        <f>SUM(S5:S6)</f>
        <v>132.915</v>
      </c>
      <c r="T7" s="52">
        <f>T4-T2*NPV!C6</f>
        <v>137.32806311195398</v>
      </c>
      <c r="U7" s="52">
        <f>U4-U2*NPV!D6</f>
        <v>135.05907636032336</v>
      </c>
      <c r="V7" s="52">
        <f>V4-V2*NPV!E6</f>
        <v>133.3162079302557</v>
      </c>
      <c r="W7" s="52">
        <f>W4-W2*NPV!F6</f>
        <v>132.07762833423897</v>
      </c>
      <c r="X7" s="52">
        <f>X4-X2*NPV!G6</f>
        <v>131.32733857365588</v>
      </c>
      <c r="Y7" s="52">
        <f>Y4-Y2*NPV!H6</f>
        <v>131.05483027951306</v>
      </c>
      <c r="Z7" s="52">
        <f>Z4-Z2*NPV!I6</f>
        <v>131.2548505038908</v>
      </c>
      <c r="AA7" s="52">
        <f>AA4-AA2*NPV!J6</f>
        <v>131.92726398054725</v>
      </c>
      <c r="AB7" s="52">
        <f>AB4-AB2*NPV!K6</f>
        <v>133.07700824260394</v>
      </c>
      <c r="AC7" s="52">
        <f>AC4-AC2*NPV!L6</f>
        <v>134.71413936602895</v>
      </c>
    </row>
    <row r="8">
      <c r="A8" s="2" t="inlineStr">
        <is>
          <t>Operating Income</t>
        </is>
      </c>
      <c r="B8" s="52">
        <f>B4-B7</f>
        <v>-0.014</v>
      </c>
      <c r="C8" s="52">
        <f>C4-C7</f>
        <v>-0.017</v>
      </c>
      <c r="D8" s="52">
        <f>D4-D7</f>
        <v>-0.016</v>
      </c>
      <c r="E8" s="52">
        <f>E4-E7</f>
        <v>-10.157</v>
      </c>
      <c r="F8" s="52">
        <f>F4-F7</f>
        <v>-74.45</v>
      </c>
      <c r="G8" s="52">
        <f>G4-G7</f>
        <v>-54.833</v>
      </c>
      <c r="H8" s="52">
        <f>H4-H7</f>
        <v>-142.275</v>
      </c>
      <c r="I8" s="52">
        <f>I4-I7</f>
        <v>-240.28</v>
      </c>
      <c r="J8" s="52">
        <f>J4-J7</f>
        <v>-276.596</v>
      </c>
      <c r="K8" s="52">
        <f>K4-K7</f>
        <v>-292.39</v>
      </c>
      <c r="L8" s="52">
        <f>L4-L7</f>
        <v>-94.65499999999997</v>
      </c>
      <c r="M8" s="52">
        <f>M4-M7</f>
        <v>-39.045000000000016</v>
      </c>
      <c r="N8" s="52">
        <f>N4-N7</f>
        <v>-30.401999999999987</v>
      </c>
      <c r="O8" s="52">
        <f>O4-O7</f>
        <v>1.2900000000000205</v>
      </c>
      <c r="P8" s="52">
        <f>P4-P7</f>
        <v>23.72</v>
      </c>
      <c r="Q8" s="52">
        <f>Q4-Q7</f>
        <v>32.639999999999986</v>
      </c>
      <c r="R8" s="52">
        <f>R4-R7</f>
        <v>30.96599999999998</v>
      </c>
      <c r="S8" s="52">
        <f>S4-S7</f>
        <v>37.29900000000001</v>
      </c>
      <c r="T8" s="52">
        <f>T4-T7</f>
        <v>31.327978540716003</v>
      </c>
      <c r="U8" s="52">
        <f>U4-U7</f>
        <v>32.7012143155691</v>
      </c>
      <c r="V8" s="52">
        <f>V4-V7</f>
        <v>34.188714303163465</v>
      </c>
      <c r="W8" s="52">
        <f>W4-W7</f>
        <v>35.80697172290928</v>
      </c>
      <c r="X8" s="52">
        <f>X4-X7</f>
        <v>37.573896006060636</v>
      </c>
      <c r="Y8" s="52">
        <f>Y4-Y7</f>
        <v>39.50914312062156</v>
      </c>
      <c r="Z8" s="52">
        <f>Z4-Z7</f>
        <v>41.634478400265664</v>
      </c>
      <c r="AA8" s="52">
        <f>AA4-AA7</f>
        <v>43.97418123162828</v>
      </c>
      <c r="AB8" s="52">
        <f>AB4-AB7</f>
        <v>46.55550206857208</v>
      </c>
      <c r="AC8" s="52">
        <f>AC4-AC7</f>
        <v>49.40918370292644</v>
      </c>
    </row>
    <row r="9">
      <c r="A9" s="18" t="inlineStr">
        <is>
          <t>Interest &amp; Other</t>
        </is>
      </c>
      <c r="B9" s="52" t="n">
        <v>0</v>
      </c>
      <c r="C9" s="52" t="n">
        <v>0</v>
      </c>
      <c r="D9" s="52" t="n">
        <v>0</v>
      </c>
      <c r="E9" s="52" t="n">
        <v>-0.076</v>
      </c>
      <c r="F9" s="52" t="n">
        <v>0.098</v>
      </c>
      <c r="G9" s="52" t="n">
        <v>0.174</v>
      </c>
      <c r="H9" s="52" t="n">
        <v>0.31</v>
      </c>
      <c r="I9" s="52" t="n">
        <v>0.996</v>
      </c>
      <c r="J9" s="52" t="n">
        <v>0.585</v>
      </c>
      <c r="K9" s="52" t="n">
        <v>0.435</v>
      </c>
      <c r="L9" s="52" t="n">
        <v>-18.903</v>
      </c>
      <c r="M9" s="52" t="n">
        <v>-36.497</v>
      </c>
      <c r="N9" s="52" t="n">
        <v>-29.386</v>
      </c>
      <c r="O9" s="52" t="n">
        <v>28.16</v>
      </c>
      <c r="P9" s="52" t="n">
        <v>-23.263</v>
      </c>
      <c r="Q9" s="52" t="n">
        <v>-9.965999999999999</v>
      </c>
      <c r="R9" s="52" t="n">
        <v>-6.866</v>
      </c>
      <c r="S9" s="52" t="n">
        <v>-1.517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</row>
    <row r="10">
      <c r="A10" s="2" t="inlineStr">
        <is>
          <t>Pretax</t>
        </is>
      </c>
      <c r="B10" s="52">
        <f>B8+B9</f>
        <v>-0.014</v>
      </c>
      <c r="C10" s="52">
        <f>C8+C9</f>
        <v>-0.017</v>
      </c>
      <c r="D10" s="52">
        <f>D8+D9</f>
        <v>-0.016</v>
      </c>
      <c r="E10" s="52">
        <f>E8+E9</f>
        <v>-10.233</v>
      </c>
      <c r="F10" s="52">
        <f>F8+F9</f>
        <v>-74.352</v>
      </c>
      <c r="G10" s="52">
        <f>G8+G9</f>
        <v>-54.659</v>
      </c>
      <c r="H10" s="52">
        <f>H8+H9</f>
        <v>-141.965</v>
      </c>
      <c r="I10" s="52">
        <f>I8+I9</f>
        <v>-239.284</v>
      </c>
      <c r="J10" s="52">
        <f>J8+J9</f>
        <v>-276.011</v>
      </c>
      <c r="K10" s="52">
        <f>K8+K9</f>
        <v>-291.955</v>
      </c>
      <c r="L10" s="52">
        <f>L8+L9</f>
        <v>-113.55799999999996</v>
      </c>
      <c r="M10" s="52">
        <f>M8+M9</f>
        <v>-75.54200000000002</v>
      </c>
      <c r="N10" s="52">
        <f>N8+N9</f>
        <v>-59.78799999999998</v>
      </c>
      <c r="O10" s="52">
        <f>O8+O9</f>
        <v>29.45000000000002</v>
      </c>
      <c r="P10" s="52">
        <f>P8+P9</f>
        <v>0.4569999999999972</v>
      </c>
      <c r="Q10" s="52">
        <f>Q8+Q9</f>
        <v>22.673999999999985</v>
      </c>
      <c r="R10" s="52">
        <f>R8+R9</f>
        <v>24.09999999999998</v>
      </c>
      <c r="S10" s="52">
        <f>S8+S9</f>
        <v>35.782000000000004</v>
      </c>
      <c r="T10" s="52">
        <f>T8+T9</f>
        <v>31.327978540716003</v>
      </c>
      <c r="U10" s="52">
        <f>U8+U9</f>
        <v>32.7012143155691</v>
      </c>
      <c r="V10" s="52">
        <f>V8+V9</f>
        <v>34.188714303163465</v>
      </c>
      <c r="W10" s="52">
        <f>W8+W9</f>
        <v>35.80697172290928</v>
      </c>
      <c r="X10" s="52">
        <f>X8+X9</f>
        <v>37.573896006060636</v>
      </c>
      <c r="Y10" s="52">
        <f>Y8+Y9</f>
        <v>39.50914312062156</v>
      </c>
      <c r="Z10" s="52">
        <f>Z8+Z9</f>
        <v>41.634478400265664</v>
      </c>
      <c r="AA10" s="52">
        <f>AA8+AA9</f>
        <v>43.97418123162828</v>
      </c>
      <c r="AB10" s="52">
        <f>AB8+AB9</f>
        <v>46.55550206857208</v>
      </c>
      <c r="AC10" s="52">
        <f>AC8+AC9</f>
        <v>49.40918370292644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0.017</v>
      </c>
      <c r="M11" s="52" t="n">
        <v>0.053</v>
      </c>
      <c r="N11" s="52" t="n">
        <v>0.207</v>
      </c>
      <c r="O11" s="52" t="n">
        <v>0.324</v>
      </c>
      <c r="P11" s="52" t="n">
        <v>0.455</v>
      </c>
      <c r="Q11" s="52" t="n">
        <v>1.083</v>
      </c>
      <c r="R11" s="52" t="n">
        <v>-6.178</v>
      </c>
      <c r="S11" s="52" t="n">
        <v>4.671</v>
      </c>
      <c r="T11" s="52">
        <f>MAX(0,T10)*Assumptions!$E$14</f>
        <v>5.325756351921721</v>
      </c>
      <c r="U11" s="52">
        <f>MAX(0,U10)*Assumptions!$E$14</f>
        <v>5.559206433646748</v>
      </c>
      <c r="V11" s="52">
        <f>MAX(0,V10)*Assumptions!$E$14</f>
        <v>5.8120814315377896</v>
      </c>
      <c r="W11" s="52">
        <f>MAX(0,W10)*Assumptions!$E$14</f>
        <v>6.087185192894578</v>
      </c>
      <c r="X11" s="52">
        <f>MAX(0,X10)*Assumptions!$E$14</f>
        <v>6.387562321030309</v>
      </c>
      <c r="Y11" s="52">
        <f>MAX(0,Y10)*Assumptions!$E$14</f>
        <v>6.716554330505666</v>
      </c>
      <c r="Z11" s="52">
        <f>MAX(0,Z10)*Assumptions!$E$14</f>
        <v>7.077861328045163</v>
      </c>
      <c r="AA11" s="52">
        <f>MAX(0,AA10)*Assumptions!$E$14</f>
        <v>7.475610809376808</v>
      </c>
      <c r="AB11" s="52">
        <f>MAX(0,AB10)*Assumptions!$E$14</f>
        <v>7.9144353516572545</v>
      </c>
      <c r="AC11" s="52">
        <f>MAX(0,AC10)*Assumptions!$E$14</f>
        <v>8.399561229497495</v>
      </c>
    </row>
    <row r="12">
      <c r="A12" s="2" t="inlineStr">
        <is>
          <t>Net Income</t>
        </is>
      </c>
      <c r="B12" s="52" t="n">
        <v>-0.014</v>
      </c>
      <c r="C12" s="52" t="n">
        <v>-0.017</v>
      </c>
      <c r="D12" s="52" t="n">
        <v>-0.016</v>
      </c>
      <c r="E12" s="52" t="n">
        <v>-10.233</v>
      </c>
      <c r="F12" s="52" t="n">
        <v>-74.352</v>
      </c>
      <c r="G12" s="52" t="n">
        <v>-54.659</v>
      </c>
      <c r="H12" s="52" t="n">
        <v>-141.965</v>
      </c>
      <c r="I12" s="52" t="n">
        <v>-239.284</v>
      </c>
      <c r="J12" s="52" t="n">
        <v>-276.011</v>
      </c>
      <c r="K12" s="52" t="n">
        <v>-291.955</v>
      </c>
      <c r="L12" s="52" t="n">
        <v>-113.575</v>
      </c>
      <c r="M12" s="52" t="n">
        <v>-75.595</v>
      </c>
      <c r="N12" s="52" t="n">
        <v>-59.995</v>
      </c>
      <c r="O12" s="52" t="n">
        <v>29.126</v>
      </c>
      <c r="P12" s="52" t="n">
        <v>0.002</v>
      </c>
      <c r="Q12" s="52" t="n">
        <v>21.591</v>
      </c>
      <c r="R12" s="52" t="n">
        <v>30.278</v>
      </c>
      <c r="S12" s="52" t="n">
        <v>31.111</v>
      </c>
      <c r="T12" s="52">
        <f>T10-T11</f>
        <v>26.00222218879428</v>
      </c>
      <c r="U12" s="52">
        <f>U10-U11</f>
        <v>27.142007881922353</v>
      </c>
      <c r="V12" s="52">
        <f>V10-V11</f>
        <v>28.376632871625674</v>
      </c>
      <c r="W12" s="52">
        <f>W10-W11</f>
        <v>29.7197865300147</v>
      </c>
      <c r="X12" s="52">
        <f>X10-X11</f>
        <v>31.186333685030327</v>
      </c>
      <c r="Y12" s="52">
        <f>Y10-Y11</f>
        <v>32.79258879011589</v>
      </c>
      <c r="Z12" s="52">
        <f>Z10-Z11</f>
        <v>34.556617072220504</v>
      </c>
      <c r="AA12" s="52">
        <f>AA10-AA11</f>
        <v>36.49857042225147</v>
      </c>
      <c r="AB12" s="52">
        <f>AB10-AB11</f>
        <v>38.64106671691483</v>
      </c>
      <c r="AC12" s="52">
        <f>AC10-AC11</f>
        <v>41.00962247342895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-1.320898412288628</v>
      </c>
      <c r="F13" s="11">
        <f>IFERROR(F12/F14,0)</f>
        <v>-3.422259044462856</v>
      </c>
      <c r="G13" s="11">
        <f>IFERROR(G12/G14,0)</f>
        <v>-1.9046938704394187</v>
      </c>
      <c r="H13" s="11">
        <f>IFERROR(H12/H14,0)</f>
        <v>-4.730432174869215</v>
      </c>
      <c r="I13" s="11">
        <f>IFERROR(I12/I14,0)</f>
        <v>-7.4482973292660155</v>
      </c>
      <c r="J13" s="11">
        <f>IFERROR(J12/J14,0)</f>
        <v>-8.28986334284427</v>
      </c>
      <c r="K13" s="11">
        <f>IFERROR(K12/K14,0)</f>
        <v>-7.854587032553133</v>
      </c>
      <c r="L13" s="11">
        <f>IFERROR(L12/L14,0)</f>
        <v>-2.9933846397132466</v>
      </c>
      <c r="M13" s="11">
        <f>IFERROR(M12/M14,0)</f>
        <v>-1.9498826381903067</v>
      </c>
      <c r="N13" s="11">
        <f>IFERROR(N12/N14,0)</f>
        <v>-1.5159440064685668</v>
      </c>
      <c r="O13" s="11">
        <f>IFERROR(O12/O14,0)</f>
        <v>0.7167007062181648</v>
      </c>
      <c r="P13" s="11">
        <f>IFERROR(P12/P14,0)</f>
        <v>4.451368795904741e-05</v>
      </c>
      <c r="Q13" s="11">
        <f>IFERROR(Q12/Q14,0)</f>
        <v>0.4540598515278333</v>
      </c>
      <c r="R13" s="11">
        <f>IFERROR(R12/R14,0)</f>
        <v>0.6166598778004073</v>
      </c>
      <c r="S13" s="11">
        <f>IFERROR(S12/S14,0)</f>
        <v>0.6141985667186544</v>
      </c>
      <c r="T13" s="11">
        <f>IFERROR(T12/T14,0)</f>
        <v>0.5037231488389472</v>
      </c>
      <c r="U13" s="11">
        <f>IFERROR(U12/U14,0)</f>
        <v>0.5258034323691557</v>
      </c>
      <c r="V13" s="11">
        <f>IFERROR(V12/V14,0)</f>
        <v>0.549720972298363</v>
      </c>
      <c r="W13" s="11">
        <f>IFERROR(W12/W14,0)</f>
        <v>0.5757409634078093</v>
      </c>
      <c r="X13" s="11">
        <f>IFERROR(X12/X14,0)</f>
        <v>0.6041513717752768</v>
      </c>
      <c r="Y13" s="11">
        <f>IFERROR(Y12/Y14,0)</f>
        <v>0.6352682460753903</v>
      </c>
      <c r="Z13" s="11">
        <f>IFERROR(Z12/Z14,0)</f>
        <v>0.6694415515125552</v>
      </c>
      <c r="AA13" s="11">
        <f>IFERROR(AA12/AA14,0)</f>
        <v>0.7070616767954436</v>
      </c>
      <c r="AB13" s="11">
        <f>IFERROR(AB12/AB14,0)</f>
        <v>0.748566782477861</v>
      </c>
      <c r="AC13" s="11">
        <f>IFERROR(AC12/AC14,0)</f>
        <v>0.7944511824806452</v>
      </c>
    </row>
    <row r="14">
      <c r="A14" s="2" t="inlineStr">
        <is>
          <t>Shares</t>
        </is>
      </c>
      <c r="B14" s="52" t="n"/>
      <c r="C14" s="52" t="n"/>
      <c r="D14" s="52" t="n"/>
      <c r="E14" s="52" t="n">
        <v>7.747</v>
      </c>
      <c r="F14" s="52" t="n">
        <v>21.726</v>
      </c>
      <c r="G14" s="52" t="n">
        <v>28.697</v>
      </c>
      <c r="H14" s="52" t="n">
        <v>30.011</v>
      </c>
      <c r="I14" s="52" t="n">
        <v>32.126</v>
      </c>
      <c r="J14" s="52" t="n">
        <v>33.295</v>
      </c>
      <c r="K14" s="52" t="n">
        <v>37.17</v>
      </c>
      <c r="L14" s="52" t="n">
        <v>37.942</v>
      </c>
      <c r="M14" s="52" t="n">
        <v>38.769</v>
      </c>
      <c r="N14" s="52" t="n">
        <v>39.576</v>
      </c>
      <c r="O14" s="52" t="n">
        <v>40.639</v>
      </c>
      <c r="P14" s="52" t="n">
        <v>44.93</v>
      </c>
      <c r="Q14" s="52" t="n">
        <v>47.551</v>
      </c>
      <c r="R14" s="52" t="n">
        <v>49.1</v>
      </c>
      <c r="S14" s="52" t="n">
        <v>50.653</v>
      </c>
      <c r="T14" s="52">
        <f>Main!$C$4</f>
        <v>51.620066</v>
      </c>
      <c r="U14" s="52">
        <f>Main!$C$4</f>
        <v>51.620066</v>
      </c>
      <c r="V14" s="52">
        <f>Main!$C$4</f>
        <v>51.620066</v>
      </c>
      <c r="W14" s="52">
        <f>Main!$C$4</f>
        <v>51.620066</v>
      </c>
      <c r="X14" s="52">
        <f>Main!$C$4</f>
        <v>51.620066</v>
      </c>
      <c r="Y14" s="52">
        <f>Main!$C$4</f>
        <v>51.620066</v>
      </c>
      <c r="Z14" s="52">
        <f>Main!$C$4</f>
        <v>51.620066</v>
      </c>
      <c r="AA14" s="52">
        <f>Main!$C$4</f>
        <v>51.620066</v>
      </c>
      <c r="AB14" s="52">
        <f>Main!$C$4</f>
        <v>51.620066</v>
      </c>
      <c r="AC14" s="52">
        <f>Main!$C$4</f>
        <v>51.620066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>8.065956294022035</v>
      </c>
      <c r="M16" s="15">
        <f>IFERROR(M2/L2-1,"")</f>
        <v>0.0847400902821216</v>
      </c>
      <c r="N16" s="15">
        <f>IFERROR(N2/M2-1,"")</f>
        <v>-0.17318004848306756</v>
      </c>
      <c r="O16" s="15">
        <f>IFERROR(O2/N2-1,"")</f>
        <v>0.12458353693749724</v>
      </c>
      <c r="P16" s="15">
        <f>IFERROR(P2/O2-1,"")</f>
        <v>-0.09924354644387823</v>
      </c>
      <c r="Q16" s="15">
        <f>IFERROR(Q2/P2-1,"")</f>
        <v>0.033355113997658226</v>
      </c>
      <c r="R16" s="15">
        <f>IFERROR(R2/Q2-1,"")</f>
        <v>-0.02193628335108666</v>
      </c>
      <c r="S16" s="15">
        <f>IFERROR(S2/R2-1,"")</f>
        <v>-0.009098877067532096</v>
      </c>
      <c r="T16" s="15">
        <f>IFERROR(T2/S2-1,"")</f>
        <v>-0.009099999999999997</v>
      </c>
      <c r="U16" s="15">
        <f>IFERROR(U2/T2-1,"")</f>
        <v>-0.005311111111111155</v>
      </c>
      <c r="V16" s="15">
        <f>IFERROR(V2/U2-1,"")</f>
        <v>-0.0015222222222222026</v>
      </c>
      <c r="W16" s="15">
        <f>IFERROR(W2/V2-1,"")</f>
        <v>0.002266666666666639</v>
      </c>
      <c r="X16" s="15">
        <f>IFERROR(X2/W2-1,"")</f>
        <v>0.006055555555555481</v>
      </c>
      <c r="Y16" s="15">
        <f>IFERROR(Y2/X2-1,"")</f>
        <v>0.009844444444444544</v>
      </c>
      <c r="Z16" s="15">
        <f>IFERROR(Z2/Y2-1,"")</f>
        <v>0.013633333333333386</v>
      </c>
      <c r="AA16" s="15">
        <f>IFERROR(AA2/Z2-1,"")</f>
        <v>0.017422222222222228</v>
      </c>
      <c r="AB16" s="15">
        <f>IFERROR(AB2/AA2-1,"")</f>
        <v>0.02121111111111107</v>
      </c>
      <c r="AC16" s="15">
        <f>IFERROR(AC2/AB2-1,"")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>0.7987357774968394</v>
      </c>
      <c r="L17" s="15">
        <f>IFERROR(L4/L2,"")</f>
        <v>0.8620627831276818</v>
      </c>
      <c r="M17" s="15">
        <f>IFERROR(M4/M2,"")</f>
        <v>0.8647799897157129</v>
      </c>
      <c r="N17" s="15">
        <f>IFERROR(N4/N2,"")</f>
        <v>0.8250899560215006</v>
      </c>
      <c r="O17" s="15">
        <f>IFERROR(O4/O2,"")</f>
        <v>0.7483715510260512</v>
      </c>
      <c r="P17" s="15">
        <f>IFERROR(P4/P2,"")</f>
        <v>0.7583968846341067</v>
      </c>
      <c r="Q17" s="15">
        <f>IFERROR(Q4/Q2,"")</f>
        <v>0.7339891443194404</v>
      </c>
      <c r="R17" s="15">
        <f>IFERROR(R4/R2,"")</f>
        <v>0.7205512262006005</v>
      </c>
      <c r="S17" s="15">
        <f>IFERROR(S4/S2,"")</f>
        <v>0.7453398198545349</v>
      </c>
      <c r="T17" s="15">
        <f>IFERROR(T4/T2,"")</f>
        <v>0.7453</v>
      </c>
      <c r="U17" s="15">
        <f>IFERROR(U4/U2,"")</f>
        <v>0.7453</v>
      </c>
      <c r="V17" s="15">
        <f>IFERROR(V4/V2,"")</f>
        <v>0.7453</v>
      </c>
      <c r="W17" s="15">
        <f>IFERROR(W4/W2,"")</f>
        <v>0.7453</v>
      </c>
      <c r="X17" s="15">
        <f>IFERROR(X4/X2,"")</f>
        <v>0.7453</v>
      </c>
      <c r="Y17" s="15">
        <f>IFERROR(Y4/Y2,"")</f>
        <v>0.7453</v>
      </c>
      <c r="Z17" s="15">
        <f>IFERROR(Z4/Z2,"")</f>
        <v>0.7453</v>
      </c>
      <c r="AA17" s="15">
        <f>IFERROR(AA4/AA2,"")</f>
        <v>0.7453</v>
      </c>
      <c r="AB17" s="15">
        <f>IFERROR(AB4/AB2,"")</f>
        <v>0.7453</v>
      </c>
      <c r="AC17" s="15">
        <f>IFERROR(AC4/AC2,"")</f>
        <v>0.7453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>-10.561314791403287</v>
      </c>
      <c r="L18" s="15">
        <f>IFERROR(L8/L2,"")</f>
        <v>-0.3771250761979512</v>
      </c>
      <c r="M18" s="15">
        <f>IFERROR(M8/M2,"")</f>
        <v>-0.14341071035040043</v>
      </c>
      <c r="N18" s="15">
        <f>IFERROR(N8/N2,"")</f>
        <v>-0.13505397361290028</v>
      </c>
      <c r="O18" s="15">
        <f>IFERROR(O8/O2,"")</f>
        <v>0.005095692362386761</v>
      </c>
      <c r="P18" s="15">
        <f>IFERROR(P8/P2,"")</f>
        <v>0.10402094452070113</v>
      </c>
      <c r="Q18" s="15">
        <f>IFERROR(Q8/Q2,"")</f>
        <v>0.13851814443402347</v>
      </c>
      <c r="R18" s="15">
        <f>IFERROR(R8/R2,"")</f>
        <v>0.134361386396376</v>
      </c>
      <c r="S18" s="15">
        <f>IFERROR(S8/S2,"")</f>
        <v>0.1633263417859536</v>
      </c>
      <c r="T18" s="15">
        <f>IFERROR(T8/T2,"")</f>
        <v>0.13844</v>
      </c>
      <c r="U18" s="15">
        <f>IFERROR(U8/U2,"")</f>
        <v>0.14527999999999996</v>
      </c>
      <c r="V18" s="15">
        <f>IFERROR(V8/V2,"")</f>
        <v>0.15212000000000003</v>
      </c>
      <c r="W18" s="15">
        <f>IFERROR(W8/W2,"")</f>
        <v>0.15896000000000002</v>
      </c>
      <c r="X18" s="15">
        <f>IFERROR(X8/X2,"")</f>
        <v>0.16579999999999995</v>
      </c>
      <c r="Y18" s="15">
        <f>IFERROR(Y8/Y2,"")</f>
        <v>0.17264000000000002</v>
      </c>
      <c r="Z18" s="15">
        <f>IFERROR(Z8/Z2,"")</f>
        <v>0.17947999999999997</v>
      </c>
      <c r="AA18" s="15">
        <f>IFERROR(AA8/AA2,"")</f>
        <v>0.18632000000000004</v>
      </c>
      <c r="AB18" s="15">
        <f>IFERROR(AB8/AB2,"")</f>
        <v>0.19316000000000005</v>
      </c>
      <c r="AC18" s="15">
        <f>IFERROR(AC8/AC2,"")</f>
        <v>0.19999999999999998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Puma Biotechnology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-0.0591</v>
      </c>
      <c r="C12" s="53" t="n">
        <v>-0.0091</v>
      </c>
      <c r="D12" s="53" t="n">
        <v>0.0409</v>
      </c>
      <c r="E12" s="54">
        <f>CHOOSE($B$4,B12,C12,D12)</f>
        <v>-0.0091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0.1316</v>
      </c>
    </row>
    <row r="19">
      <c r="A19" s="14" t="inlineStr">
        <is>
          <t>Gross margin (forecast)</t>
        </is>
      </c>
      <c r="B19" s="53" t="n">
        <v>0.7453</v>
      </c>
    </row>
    <row r="20">
      <c r="A20" s="14" t="inlineStr">
        <is>
          <t>R&amp;D share of operating expense (forecast)</t>
        </is>
      </c>
      <c r="B20" s="53" t="n">
        <v>0.467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Model'!S2</f>
        <v>228.371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310.37800110326947</v>
      </c>
      <c r="C29" s="56">
        <f>NPV!B26</f>
        <v>404.28100110326943</v>
      </c>
      <c r="D29" s="35">
        <f>NPV!B28</f>
        <v>7.83185750098168</v>
      </c>
      <c r="E29" s="57">
        <f>NPV!B30</f>
        <v>-0.27213220251099624</v>
      </c>
    </row>
    <row r="30">
      <c r="A30" s="58" t="n">
        <v>1</v>
      </c>
      <c r="B30" s="59">
        <f t="dataTable" ref="B30:E32" r1="B4"/>
        <v>190.12483273042213</v>
      </c>
      <c r="C30" s="59">
        <v>284.0278327304221</v>
      </c>
      <c r="D30" s="39">
        <v>5.502275660213648</v>
      </c>
      <c r="E30" s="60">
        <v>-0.48863609105821115</v>
      </c>
    </row>
    <row r="31">
      <c r="A31" s="58" t="n">
        <v>2</v>
      </c>
      <c r="B31" s="59">
        <v>310.37800110326947</v>
      </c>
      <c r="C31" s="59">
        <v>404.28100110326943</v>
      </c>
      <c r="D31" s="39">
        <v>7.83185750098168</v>
      </c>
      <c r="E31" s="60">
        <v>-0.27213220251099624</v>
      </c>
    </row>
    <row r="32">
      <c r="A32" s="58" t="n">
        <v>3</v>
      </c>
      <c r="B32" s="59">
        <v>525.7146597357539</v>
      </c>
      <c r="C32" s="59">
        <v>619.6176597357539</v>
      </c>
      <c r="D32" s="39">
        <v>12.003426336877483</v>
      </c>
      <c r="E32" s="60">
        <v>0.11556006848303757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7.83185750098168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8.741874382046344</v>
      </c>
      <c r="C37" s="39">
        <v>9.02463203516293</v>
      </c>
      <c r="D37" s="39">
        <v>9.342327461295627</v>
      </c>
      <c r="E37" s="39">
        <v>9.701945122372901</v>
      </c>
      <c r="F37" s="39">
        <v>10.112465025819414</v>
      </c>
    </row>
    <row r="38">
      <c r="A38" s="62" t="n">
        <v>0.115</v>
      </c>
      <c r="B38" s="39">
        <v>8.040890805265066</v>
      </c>
      <c r="C38" s="39">
        <v>8.25933445106755</v>
      </c>
      <c r="D38" s="39">
        <v>8.501703912474406</v>
      </c>
      <c r="E38" s="39">
        <v>8.772218778638951</v>
      </c>
      <c r="F38" s="39">
        <v>9.076153523279652</v>
      </c>
    </row>
    <row r="39">
      <c r="A39" s="62" t="n">
        <v>0.125</v>
      </c>
      <c r="B39" s="39">
        <v>7.469901006699409</v>
      </c>
      <c r="C39" s="39">
        <v>7.642402769546688</v>
      </c>
      <c r="D39" s="39">
        <v>7.83185750098168</v>
      </c>
      <c r="E39" s="39">
        <v>8.040939748381689</v>
      </c>
      <c r="F39" s="39">
        <v>8.272918392088378</v>
      </c>
    </row>
    <row r="40">
      <c r="A40" s="62" t="n">
        <v>0.135</v>
      </c>
      <c r="B40" s="39">
        <v>6.996145574271442</v>
      </c>
      <c r="C40" s="39">
        <v>7.134861595516827</v>
      </c>
      <c r="D40" s="39">
        <v>7.285930175390763</v>
      </c>
      <c r="E40" s="39">
        <v>7.451114030757188</v>
      </c>
      <c r="F40" s="39">
        <v>7.6325284124225785</v>
      </c>
    </row>
    <row r="41">
      <c r="A41" s="62" t="n">
        <v>0.145</v>
      </c>
      <c r="B41" s="39">
        <v>6.596973792120672</v>
      </c>
      <c r="C41" s="39">
        <v>6.710237884996429</v>
      </c>
      <c r="D41" s="39">
        <v>6.832714924015154</v>
      </c>
      <c r="E41" s="39">
        <v>6.965604911448819</v>
      </c>
      <c r="F41" s="39">
        <v>7.110326023572671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Puma Biotechnology Inc: free-cash-flow DCF ($mm)</t>
        </is>
      </c>
    </row>
    <row r="3">
      <c r="A3" s="20" t="inlineStr">
        <is>
          <t>Fiscal year</t>
        </is>
      </c>
      <c r="B3" s="43">
        <f>'Yearly Model'!S1</f>
        <v>2025</v>
      </c>
      <c r="C3" s="43">
        <f>'Yearly Model'!T1</f>
        <v>2026</v>
      </c>
      <c r="D3" s="43">
        <f>'Yearly Model'!U1</f>
        <v>2027</v>
      </c>
      <c r="E3" s="43">
        <f>'Yearly Model'!V1</f>
        <v>2028</v>
      </c>
      <c r="F3" s="43">
        <f>'Yearly Model'!W1</f>
        <v>2029</v>
      </c>
      <c r="G3" s="43">
        <f>'Yearly Model'!X1</f>
        <v>2030</v>
      </c>
      <c r="H3" s="43">
        <f>'Yearly Model'!Y1</f>
        <v>2031</v>
      </c>
      <c r="I3" s="43">
        <f>'Yearly Model'!Z1</f>
        <v>2032</v>
      </c>
      <c r="J3" s="43">
        <f>'Yearly Model'!AA1</f>
        <v>2033</v>
      </c>
      <c r="K3" s="43">
        <f>'Yearly Model'!AB1</f>
        <v>2034</v>
      </c>
      <c r="L3" s="43">
        <f>'Yearly Model'!AC1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-0.0091</v>
      </c>
      <c r="D5" s="63">
        <f>Assumptions!$E$12+(Assumptions!$E$11-Assumptions!$E$12)*(D4-1)/(Assumptions!$B$21-1)</f>
        <v>-0.005311111111111111</v>
      </c>
      <c r="E5" s="63">
        <f>Assumptions!$E$12+(Assumptions!$E$11-Assumptions!$E$12)*(E4-1)/(Assumptions!$B$21-1)</f>
        <v>-0.0015222222222222217</v>
      </c>
      <c r="F5" s="63">
        <f>Assumptions!$E$12+(Assumptions!$E$11-Assumptions!$E$12)*(F4-1)/(Assumptions!$B$21-1)</f>
        <v>0.0022666666666666686</v>
      </c>
      <c r="G5" s="63">
        <f>Assumptions!$E$12+(Assumptions!$E$11-Assumptions!$E$12)*(G4-1)/(Assumptions!$B$21-1)</f>
        <v>0.006055555555555557</v>
      </c>
      <c r="H5" s="63">
        <f>Assumptions!$E$12+(Assumptions!$E$11-Assumptions!$E$12)*(H4-1)/(Assumptions!$B$21-1)</f>
        <v>0.009844444444444447</v>
      </c>
      <c r="I5" s="63">
        <f>Assumptions!$E$12+(Assumptions!$E$11-Assumptions!$E$12)*(I4-1)/(Assumptions!$B$21-1)</f>
        <v>0.013633333333333338</v>
      </c>
      <c r="J5" s="63">
        <f>Assumptions!$E$12+(Assumptions!$E$11-Assumptions!$E$12)*(J4-1)/(Assumptions!$B$21-1)</f>
        <v>0.017422222222222224</v>
      </c>
      <c r="K5" s="63">
        <f>Assumptions!$E$12+(Assumptions!$E$11-Assumptions!$E$12)*(K4-1)/(Assumptions!$B$21-1)</f>
        <v>0.021211111111111115</v>
      </c>
      <c r="L5" s="63">
        <f>Assumptions!$E$12+(Assumptions!$E$11-Assumptions!$E$12)*(L4-1)/(Assumptions!$B$21-1)</f>
        <v>0.025000000000000005</v>
      </c>
    </row>
    <row r="6">
      <c r="A6" s="14" t="inlineStr">
        <is>
          <t>Operating margin</t>
        </is>
      </c>
      <c r="B6" s="63">
        <f>IFERROR(B8/B7,0)</f>
        <v>0.1633263417859536</v>
      </c>
      <c r="C6" s="63">
        <f>Assumptions!$B$18+(Assumptions!$E$13-Assumptions!$B$18)*C4/Assumptions!$B$21</f>
        <v>0.13844</v>
      </c>
      <c r="D6" s="63">
        <f>Assumptions!$B$18+(Assumptions!$E$13-Assumptions!$B$18)*D4/Assumptions!$B$21</f>
        <v>0.14528</v>
      </c>
      <c r="E6" s="63">
        <f>Assumptions!$B$18+(Assumptions!$E$13-Assumptions!$B$18)*E4/Assumptions!$B$21</f>
        <v>0.15212</v>
      </c>
      <c r="F6" s="63">
        <f>Assumptions!$B$18+(Assumptions!$E$13-Assumptions!$B$18)*F4/Assumptions!$B$21</f>
        <v>0.15896</v>
      </c>
      <c r="G6" s="63">
        <f>Assumptions!$B$18+(Assumptions!$E$13-Assumptions!$B$18)*G4/Assumptions!$B$21</f>
        <v>0.1658</v>
      </c>
      <c r="H6" s="63">
        <f>Assumptions!$B$18+(Assumptions!$E$13-Assumptions!$B$18)*H4/Assumptions!$B$21</f>
        <v>0.17264000000000002</v>
      </c>
      <c r="I6" s="63">
        <f>Assumptions!$B$18+(Assumptions!$E$13-Assumptions!$B$18)*I4/Assumptions!$B$21</f>
        <v>0.17948</v>
      </c>
      <c r="J6" s="63">
        <f>Assumptions!$B$18+(Assumptions!$E$13-Assumptions!$B$18)*J4/Assumptions!$B$21</f>
        <v>0.18632</v>
      </c>
      <c r="K6" s="63">
        <f>Assumptions!$B$18+(Assumptions!$E$13-Assumptions!$B$18)*K4/Assumptions!$B$21</f>
        <v>0.19316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Model'!S2</f>
        <v>228.371</v>
      </c>
      <c r="C7" s="55">
        <f>'Yearly Model'!T2</f>
        <v>226.2928239</v>
      </c>
      <c r="D7" s="55">
        <f>'Yearly Model'!U2</f>
        <v>225.09095756861998</v>
      </c>
      <c r="E7" s="55">
        <f>'Yearly Model'!V2</f>
        <v>224.74831911098775</v>
      </c>
      <c r="F7" s="55">
        <f>'Yearly Model'!W2</f>
        <v>225.25774863430598</v>
      </c>
      <c r="G7" s="55">
        <f>'Yearly Model'!X2</f>
        <v>226.62180944548038</v>
      </c>
      <c r="H7" s="55">
        <f>'Yearly Model'!Y2</f>
        <v>228.8527752584659</v>
      </c>
      <c r="I7" s="55">
        <f>'Yearly Model'!Z2</f>
        <v>231.972801427823</v>
      </c>
      <c r="J7" s="55">
        <f>'Yearly Model'!AA2</f>
        <v>236.01428312380995</v>
      </c>
      <c r="K7" s="55">
        <f>'Yearly Model'!AB2</f>
        <v>241.0204083069583</v>
      </c>
      <c r="L7" s="55">
        <f>'Yearly Model'!AC2</f>
        <v>247.04591851463223</v>
      </c>
    </row>
    <row r="8">
      <c r="A8" s="14" t="inlineStr">
        <is>
          <t>Operating income</t>
        </is>
      </c>
      <c r="B8" s="55">
        <f>'Yearly Model'!S8</f>
        <v>37.29900000000001</v>
      </c>
      <c r="C8" s="55">
        <f>'Yearly Model'!T8</f>
        <v>31.327978540716003</v>
      </c>
      <c r="D8" s="55">
        <f>'Yearly Model'!U8</f>
        <v>32.7012143155691</v>
      </c>
      <c r="E8" s="55">
        <f>'Yearly Model'!V8</f>
        <v>34.188714303163465</v>
      </c>
      <c r="F8" s="55">
        <f>'Yearly Model'!W8</f>
        <v>35.80697172290928</v>
      </c>
      <c r="G8" s="55">
        <f>'Yearly Model'!X8</f>
        <v>37.573896006060636</v>
      </c>
      <c r="H8" s="55">
        <f>'Yearly Model'!Y8</f>
        <v>39.50914312062156</v>
      </c>
      <c r="I8" s="55">
        <f>'Yearly Model'!Z8</f>
        <v>41.634478400265664</v>
      </c>
      <c r="J8" s="55">
        <f>'Yearly Model'!AA8</f>
        <v>43.97418123162828</v>
      </c>
      <c r="K8" s="55">
        <f>'Yearly Model'!AB8</f>
        <v>46.55550206857208</v>
      </c>
      <c r="L8" s="55">
        <f>'Yearly Model'!AC8</f>
        <v>49.40918370292644</v>
      </c>
    </row>
    <row r="9">
      <c r="A9" s="14" t="inlineStr">
        <is>
          <t>Tax on operating income</t>
        </is>
      </c>
      <c r="C9" s="52">
        <f>MAX(0,C8)*Assumptions!$E$14</f>
        <v>5.325756351921721</v>
      </c>
      <c r="D9" s="52">
        <f>MAX(0,D8)*Assumptions!$E$14</f>
        <v>5.559206433646748</v>
      </c>
      <c r="E9" s="52">
        <f>MAX(0,E8)*Assumptions!$E$14</f>
        <v>5.8120814315377896</v>
      </c>
      <c r="F9" s="52">
        <f>MAX(0,F8)*Assumptions!$E$14</f>
        <v>6.087185192894578</v>
      </c>
      <c r="G9" s="52">
        <f>MAX(0,G8)*Assumptions!$E$14</f>
        <v>6.387562321030309</v>
      </c>
      <c r="H9" s="52">
        <f>MAX(0,H8)*Assumptions!$E$14</f>
        <v>6.716554330505666</v>
      </c>
      <c r="I9" s="52">
        <f>MAX(0,I8)*Assumptions!$E$14</f>
        <v>7.077861328045163</v>
      </c>
      <c r="J9" s="52">
        <f>MAX(0,J8)*Assumptions!$E$14</f>
        <v>7.475610809376808</v>
      </c>
      <c r="K9" s="52">
        <f>MAX(0,K8)*Assumptions!$E$14</f>
        <v>7.9144353516572545</v>
      </c>
      <c r="L9" s="52">
        <f>MAX(0,L8)*Assumptions!$E$14</f>
        <v>8.399561229497495</v>
      </c>
    </row>
    <row r="10">
      <c r="A10" s="14" t="inlineStr">
        <is>
          <t>NOPAT</t>
        </is>
      </c>
      <c r="C10" s="52">
        <f>C8-C9</f>
        <v>26.00222218879428</v>
      </c>
      <c r="D10" s="52">
        <f>D8-D9</f>
        <v>27.142007881922353</v>
      </c>
      <c r="E10" s="52">
        <f>E8-E9</f>
        <v>28.376632871625674</v>
      </c>
      <c r="F10" s="52">
        <f>F8-F9</f>
        <v>29.7197865300147</v>
      </c>
      <c r="G10" s="52">
        <f>G8-G9</f>
        <v>31.186333685030327</v>
      </c>
      <c r="H10" s="52">
        <f>H8-H9</f>
        <v>32.79258879011589</v>
      </c>
      <c r="I10" s="52">
        <f>I8-I9</f>
        <v>34.556617072220504</v>
      </c>
      <c r="J10" s="52">
        <f>J8-J9</f>
        <v>36.49857042225147</v>
      </c>
      <c r="K10" s="52">
        <f>K8-K9</f>
        <v>38.64106671691483</v>
      </c>
      <c r="L10" s="52">
        <f>L8-L9</f>
        <v>41.00962247342895</v>
      </c>
    </row>
    <row r="11">
      <c r="A11" s="14" t="inlineStr">
        <is>
          <t>Reinvestment</t>
        </is>
      </c>
      <c r="C11" s="52">
        <f>(C7-B7)*Assumptions!$E$15</f>
        <v>-0.5195440250000019</v>
      </c>
      <c r="D11" s="52">
        <f>(D7-C7)*Assumptions!$E$15</f>
        <v>-0.3004665828450044</v>
      </c>
      <c r="E11" s="52">
        <f>(E7-D7)*Assumptions!$E$15</f>
        <v>-0.08565961440805836</v>
      </c>
      <c r="F11" s="52">
        <f>(F7-E7)*Assumptions!$E$15</f>
        <v>0.12735738082955805</v>
      </c>
      <c r="G11" s="52">
        <f>(G7-F7)*Assumptions!$E$15</f>
        <v>0.3410152027935993</v>
      </c>
      <c r="H11" s="52">
        <f>(H7-G7)*Assumptions!$E$15</f>
        <v>0.5577414532463791</v>
      </c>
      <c r="I11" s="52">
        <f>(I7-H7)*Assumptions!$E$15</f>
        <v>0.7800065423392724</v>
      </c>
      <c r="J11" s="52">
        <f>(J7-I7)*Assumptions!$E$15</f>
        <v>1.01037042399674</v>
      </c>
      <c r="K11" s="52">
        <f>(K7-J7)*Assumptions!$E$15</f>
        <v>1.251531295787089</v>
      </c>
      <c r="L11" s="52">
        <f>(L7-K7)*Assumptions!$E$15</f>
        <v>1.506377551918483</v>
      </c>
    </row>
    <row r="12">
      <c r="A12" s="20" t="inlineStr">
        <is>
          <t>Free cash flow</t>
        </is>
      </c>
      <c r="C12" s="64">
        <f>C10-C11</f>
        <v>26.521766213794283</v>
      </c>
      <c r="D12" s="64">
        <f>D10-D11</f>
        <v>27.442474464767358</v>
      </c>
      <c r="E12" s="64">
        <f>E10-E11</f>
        <v>28.462292486033732</v>
      </c>
      <c r="F12" s="64">
        <f>F10-F11</f>
        <v>29.592429149185143</v>
      </c>
      <c r="G12" s="64">
        <f>G10-G11</f>
        <v>30.845318482236728</v>
      </c>
      <c r="H12" s="64">
        <f>H10-H11</f>
        <v>32.234847336869514</v>
      </c>
      <c r="I12" s="64">
        <f>I10-I11</f>
        <v>33.77661052988123</v>
      </c>
      <c r="J12" s="64">
        <f>J10-J11</f>
        <v>35.48819999825473</v>
      </c>
      <c r="K12" s="64">
        <f>K10-K11</f>
        <v>37.38953542112774</v>
      </c>
      <c r="L12" s="64">
        <f>L10-L11</f>
        <v>39.503244921510465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12.978549165096215</v>
      </c>
      <c r="D16" s="64">
        <f>D12*D13*D15</f>
        <v>24.381533694658476</v>
      </c>
      <c r="E16" s="64">
        <f>E12*E13*E15</f>
        <v>22.477867508839022</v>
      </c>
      <c r="F16" s="64">
        <f>F12*F13*F15</f>
        <v>20.773674565516597</v>
      </c>
      <c r="G16" s="64">
        <f>G12*G13*G15</f>
        <v>19.2472835171415</v>
      </c>
      <c r="H16" s="64">
        <f>H12*H13*H15</f>
        <v>17.87941398070714</v>
      </c>
      <c r="I16" s="64">
        <f>I12*I13*I15</f>
        <v>16.652951074076327</v>
      </c>
      <c r="J16" s="64">
        <f>J12*J13*J15</f>
        <v>15.552728457993343</v>
      </c>
      <c r="K16" s="64">
        <f>K12*K13*K15</f>
        <v>14.565324476653496</v>
      </c>
      <c r="L16" s="64">
        <f>L12*L13*L15</f>
        <v>13.678873838941342</v>
      </c>
    </row>
    <row r="19">
      <c r="A19" s="14" t="inlineStr">
        <is>
          <t>PV of forecast free cash flow</t>
        </is>
      </c>
      <c r="B19" s="52">
        <f>SUM(C16:L16)</f>
        <v>178.18820027962346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40.49082604454822</v>
      </c>
    </row>
    <row r="21">
      <c r="A21" s="14" t="inlineStr">
        <is>
          <t>Terminal value</t>
        </is>
      </c>
      <c r="B21" s="52">
        <f>B20/(Assumptions!$E$10-Assumptions!$E$11)</f>
        <v>404.9082604454822</v>
      </c>
    </row>
    <row r="22">
      <c r="A22" s="14" t="inlineStr">
        <is>
          <t>PV of terminal value</t>
        </is>
      </c>
      <c r="B22" s="52">
        <f>B21/(1+Assumptions!$E$10)^(L14+0.5)</f>
        <v>132.189800823646</v>
      </c>
    </row>
    <row r="23">
      <c r="A23" s="20" t="inlineStr">
        <is>
          <t>Enterprise value</t>
        </is>
      </c>
      <c r="B23" s="66">
        <f>B19+B22</f>
        <v>310.37800110326947</v>
      </c>
    </row>
    <row r="24">
      <c r="A24" s="14" t="inlineStr">
        <is>
          <t>Cash &amp; investments</t>
        </is>
      </c>
      <c r="B24" s="55">
        <f>Main!C7</f>
        <v>93.90299999999999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404.28100110326943</v>
      </c>
    </row>
    <row r="27">
      <c r="A27" s="14" t="inlineStr">
        <is>
          <t>Shares (mm)</t>
        </is>
      </c>
      <c r="B27" s="55">
        <f>Main!C4</f>
        <v>51.620066</v>
      </c>
    </row>
    <row r="28">
      <c r="A28" s="20" t="inlineStr">
        <is>
          <t>NPV / share</t>
        </is>
      </c>
      <c r="B28" s="49">
        <f>B26/B27</f>
        <v>7.83185750098168</v>
      </c>
    </row>
    <row r="29">
      <c r="A29" s="14" t="inlineStr">
        <is>
          <t>Price</t>
        </is>
      </c>
      <c r="B29" s="50">
        <f>Main!C3</f>
        <v>10.76</v>
      </c>
    </row>
    <row r="30">
      <c r="A30" s="14" t="inlineStr">
        <is>
          <t>Upside</t>
        </is>
      </c>
      <c r="B30" s="63">
        <f>B28/B29-1</f>
        <v>-0.27213220251099624</v>
      </c>
    </row>
    <row r="31">
      <c r="A31" s="14" t="inlineStr">
        <is>
          <t>Terminal value, % of EV</t>
        </is>
      </c>
      <c r="B31" s="63">
        <f>IFERROR(B22/B23,0)</f>
        <v>0.42589938833862007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2026-10-21T01:05:07Z</dcterms:modified>
  <cp:lastModifiedBy>Wang, Eric</cp:lastModifiedBy>
</cp:coreProperties>
</file>