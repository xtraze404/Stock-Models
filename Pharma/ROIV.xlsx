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Roivant Sciences Ltd</t>
        </is>
      </c>
      <c r="C2" s="10" t="n"/>
    </row>
    <row r="3">
      <c r="B3" t="inlineStr">
        <is>
          <t>Price</t>
        </is>
      </c>
      <c r="C3" s="11">
        <f>INDEX([1]Pharma!$F$1:$F$1000,MATCH("ROIV",[1]Pharma!$B$1:$B$1000,0))</f>
        <v>34.92</v>
      </c>
      <c r="F3" s="1" t="n"/>
    </row>
    <row r="4">
      <c r="B4" t="inlineStr">
        <is>
          <t>Shares</t>
        </is>
      </c>
      <c r="C4" s="21" t="n">
        <v>722.3230150000001</v>
      </c>
      <c r="F4" s="1" t="n"/>
    </row>
    <row r="5">
      <c r="B5" t="inlineStr">
        <is>
          <t>Market Cap.</t>
        </is>
      </c>
      <c r="C5" s="13">
        <f>C3*C4</f>
        <v>25223.519683800005</v>
      </c>
      <c r="F5" s="1" t="n"/>
    </row>
    <row r="6"/>
    <row r="7">
      <c r="B7" t="inlineStr">
        <is>
          <t>Cash</t>
        </is>
      </c>
      <c r="C7" s="21">
        <f>1248.456+2593.626</f>
        <v>3842.0820000000003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21381.437683800003</v>
      </c>
    </row>
    <row r="10"/>
    <row r="11">
      <c r="B11" s="14" t="inlineStr">
        <is>
          <t>Net Cash / Share</t>
        </is>
      </c>
      <c r="C11" s="11">
        <f>(C7-C8)/C4</f>
        <v>5.31906352174034</v>
      </c>
    </row>
    <row r="12">
      <c r="B12" s="14" t="inlineStr">
        <is>
          <t>Upside</t>
        </is>
      </c>
      <c r="C12" s="15">
        <f>IFERROR(C11/C3-1,"")</f>
        <v>-0.8476785933064049</v>
      </c>
    </row>
    <row r="13">
      <c r="B13" s="14" t="inlineStr">
        <is>
          <t>Cash / Share</t>
        </is>
      </c>
      <c r="C13" s="11">
        <f>IFERROR((C7-C8)/C4,"")</f>
        <v>5.31906352174034</v>
      </c>
    </row>
    <row r="14">
      <c r="B14" s="14" t="inlineStr">
        <is>
          <t>Scenario</t>
        </is>
      </c>
      <c r="C14" s="14" t="inlineStr">
        <is>
          <t>small 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-816.47</v>
      </c>
    </row>
    <row r="18">
      <c r="B18" s="14" t="inlineStr">
        <is>
          <t>Runway (years)</t>
        </is>
      </c>
      <c r="C18" s="22">
        <f>IF(AND(ISNUMBER(C17),C17&lt;0),IF(C7&gt;C8,(C7-C8)/-C17,"net debt"),"n/a")</f>
        <v>4.705723419109092</v>
      </c>
    </row>
    <row r="19">
      <c r="B19" s="14" t="inlineStr">
        <is>
          <t>Implied Pipeline Value</t>
        </is>
      </c>
      <c r="C19" s="13">
        <f>C9</f>
        <v>21381.437683800003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2021</v>
      </c>
      <c r="C1" s="17" t="n">
        <v>2022</v>
      </c>
      <c r="D1" s="17" t="n">
        <v>2023</v>
      </c>
      <c r="E1" s="17" t="n">
        <v>2024</v>
      </c>
      <c r="F1" s="17" t="n">
        <v>2025</v>
      </c>
      <c r="G1" s="17" t="n">
        <v>2026</v>
      </c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23.795</v>
      </c>
      <c r="C2" s="23" t="n">
        <v>55.286</v>
      </c>
      <c r="D2" s="23" t="n">
        <v>31.53</v>
      </c>
      <c r="E2" s="23" t="n">
        <v>32.713</v>
      </c>
      <c r="F2" s="23" t="n">
        <v>29.053</v>
      </c>
      <c r="G2" s="23" t="n">
        <v>8.26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23.795</v>
      </c>
      <c r="C4" s="23">
        <f>C2-C3</f>
        <v>55.286</v>
      </c>
      <c r="D4" s="23">
        <f>D2-D3</f>
        <v>31.53</v>
      </c>
      <c r="E4" s="23">
        <f>E2-E3</f>
        <v>32.713</v>
      </c>
      <c r="F4" s="23">
        <f>F2-F3</f>
        <v>29.053</v>
      </c>
      <c r="G4" s="23">
        <f>G2-G3</f>
        <v>8.26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236.626</v>
      </c>
      <c r="C5" s="23" t="n">
        <v>483.035</v>
      </c>
      <c r="D5" s="23" t="n">
        <v>454.062</v>
      </c>
      <c r="E5" s="23" t="n">
        <v>439.909</v>
      </c>
      <c r="F5" s="23" t="n">
        <v>550.413</v>
      </c>
      <c r="G5" s="23" t="n">
        <v>681.812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858.067</v>
      </c>
      <c r="C6" s="23" t="n">
        <v>923.893</v>
      </c>
      <c r="D6" s="23" t="n">
        <v>484.231</v>
      </c>
      <c r="E6" s="23" t="n">
        <v>-4904.228</v>
      </c>
      <c r="F6" s="23" t="n">
        <v>481.934</v>
      </c>
      <c r="G6" s="23" t="n">
        <v>-158.484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1094.693</v>
      </c>
      <c r="C7" s="23">
        <f>SUM(C5:C6)</f>
        <v>1406.928</v>
      </c>
      <c r="D7" s="23">
        <f>SUM(D5:D6)</f>
        <v>938.293</v>
      </c>
      <c r="E7" s="23">
        <f>SUM(E5:E6)</f>
        <v>-4464.319</v>
      </c>
      <c r="F7" s="23">
        <f>SUM(F5:F6)</f>
        <v>1032.347</v>
      </c>
      <c r="G7" s="23">
        <f>SUM(G5:G6)</f>
        <v>523.328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-1070.898</v>
      </c>
      <c r="C8" s="23">
        <f>C4-C7</f>
        <v>-1351.642</v>
      </c>
      <c r="D8" s="23">
        <f>D4-D7</f>
        <v>-906.763</v>
      </c>
      <c r="E8" s="23">
        <f>E4-E7</f>
        <v>4497.032</v>
      </c>
      <c r="F8" s="23">
        <f>F4-F7</f>
        <v>-1003.294</v>
      </c>
      <c r="G8" s="23">
        <f>G4-G7</f>
        <v>-515.068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263.35</v>
      </c>
      <c r="C9" s="23" t="n">
        <v>506.749</v>
      </c>
      <c r="D9" s="23" t="n">
        <v>-98.185</v>
      </c>
      <c r="E9" s="23" t="n">
        <v>-126.603</v>
      </c>
      <c r="F9" s="23" t="n">
        <v>879.487</v>
      </c>
      <c r="G9" s="23" t="n">
        <v>348.626</v>
      </c>
    </row>
    <row r="10">
      <c r="A10" s="2" t="inlineStr">
        <is>
          <t>Pretax</t>
        </is>
      </c>
      <c r="B10" s="23">
        <f>B8+B9</f>
        <v>-807.5479999999999</v>
      </c>
      <c r="C10" s="23">
        <f>C8+C9</f>
        <v>-844.893</v>
      </c>
      <c r="D10" s="23">
        <f>D8+D9</f>
        <v>-1004.9480000000001</v>
      </c>
      <c r="E10" s="23">
        <f>E8+E9</f>
        <v>4370.429</v>
      </c>
      <c r="F10" s="23">
        <f>F8+F9</f>
        <v>-123.80700000000002</v>
      </c>
      <c r="G10" s="23">
        <f>G8+G9</f>
        <v>-166.442</v>
      </c>
      <c r="I10" s="1" t="n"/>
      <c r="J10" s="1" t="n"/>
      <c r="K10" s="1" t="n"/>
    </row>
    <row r="11">
      <c r="A11" s="2" t="inlineStr">
        <is>
          <t>Taxes</t>
        </is>
      </c>
      <c r="B11" s="23" t="n">
        <v>1.686</v>
      </c>
      <c r="C11" s="23" t="n">
        <v>0.369</v>
      </c>
      <c r="D11" s="23" t="n">
        <v>4.082</v>
      </c>
      <c r="E11" s="23" t="n">
        <v>21.503</v>
      </c>
      <c r="F11" s="23" t="n">
        <v>48.174</v>
      </c>
      <c r="G11" s="23" t="n">
        <v>133.329</v>
      </c>
    </row>
    <row r="12">
      <c r="A12" s="2" t="inlineStr">
        <is>
          <t>Net Income</t>
        </is>
      </c>
      <c r="B12" s="23" t="n">
        <v>-809.234</v>
      </c>
      <c r="C12" s="23" t="n">
        <v>-845.2619999999999</v>
      </c>
      <c r="D12" s="23" t="n">
        <v>-1009.03</v>
      </c>
      <c r="E12" s="23" t="n">
        <v>4348.926</v>
      </c>
      <c r="F12" s="23" t="n">
        <v>-171.981</v>
      </c>
      <c r="G12" s="23" t="n">
        <v>-299.771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-1.284402592187567</v>
      </c>
      <c r="C13" s="11">
        <f>IFERROR(C12/C14,0)</f>
        <v>-1.2620503379604122</v>
      </c>
      <c r="D13" s="11">
        <f>IFERROR(D12/D14,0)</f>
        <v>-1.4156042935446715</v>
      </c>
      <c r="E13" s="11">
        <f>IFERROR(E12/E14,0)</f>
        <v>5.233056053253178</v>
      </c>
      <c r="F13" s="11">
        <f>IFERROR(F12/F14,0)</f>
        <v>-0.2370856745832621</v>
      </c>
      <c r="G13" s="11">
        <f>IFERROR(G12/G14,0)</f>
        <v>-0.43203072643814</v>
      </c>
    </row>
    <row r="14">
      <c r="A14" s="2" t="inlineStr">
        <is>
          <t>Shares</t>
        </is>
      </c>
      <c r="B14" s="23" t="n">
        <v>630.047</v>
      </c>
      <c r="C14" s="23" t="n">
        <v>669.753</v>
      </c>
      <c r="D14" s="23" t="n">
        <v>712.7910000000001</v>
      </c>
      <c r="E14" s="23" t="n">
        <v>831.049</v>
      </c>
      <c r="F14" s="23" t="n">
        <v>725.396</v>
      </c>
      <c r="G14" s="23" t="n">
        <v>693.865</v>
      </c>
    </row>
    <row r="15"/>
    <row r="16" customFormat="1" s="4">
      <c r="A16" s="3" t="inlineStr">
        <is>
          <t>Revenue Change</t>
        </is>
      </c>
      <c r="C16" s="15">
        <f>IFERROR(C2/B2-1,"")</f>
        <v>1.3234292918680395</v>
      </c>
      <c r="D16" s="15">
        <f>IFERROR(D2/C2-1,"")</f>
        <v>-0.42969286980429044</v>
      </c>
      <c r="E16" s="15">
        <f>IFERROR(E2/D2-1,"")</f>
        <v>0.0375198223913733</v>
      </c>
      <c r="F16" s="15">
        <f>IFERROR(F2/E2-1,"")</f>
        <v>-0.11188212637177886</v>
      </c>
      <c r="G16" s="15">
        <f>IFERROR(G2/F2-1,"")</f>
        <v>-0.7156920111520325</v>
      </c>
      <c r="H16" s="4" t="n"/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1.0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4" t="n"/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-45.00516915318344</v>
      </c>
      <c r="C18" s="15">
        <f>IFERROR(C8/C2,"")</f>
        <v>-24.44817856238469</v>
      </c>
      <c r="D18" s="15">
        <f>IFERROR(D8/D2,"")</f>
        <v>-28.758737710117348</v>
      </c>
      <c r="E18" s="15">
        <f>IFERROR(E8/E2,"")</f>
        <v>137.46926298413476</v>
      </c>
      <c r="F18" s="15">
        <f>IFERROR(F8/F2,"")</f>
        <v>-34.533232368430106</v>
      </c>
      <c r="G18" s="15">
        <f>IFERROR(G8/G2,"")</f>
        <v>-62.356900726392254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2026-10-21T01:03:45Z</dcterms:modified>
  <cp:lastModifiedBy>Wang, Eric</cp:lastModifiedBy>
</cp:coreProperties>
</file>