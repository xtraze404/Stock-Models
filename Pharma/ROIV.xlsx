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Roivant Sciences Ltd</t>
        </is>
      </c>
      <c r="C2" s="10" t="n"/>
    </row>
    <row r="3">
      <c r="B3" t="inlineStr">
        <is>
          <t>Price</t>
        </is>
      </c>
      <c r="C3" s="11">
        <f>INDEX([1]Pharma!$F$1:$F$1000,MATCH("ROIV",[1]Pharma!$B$1:$B$1000,0))</f>
        <v>34.92</v>
      </c>
      <c r="F3" s="1" t="n"/>
    </row>
    <row r="4">
      <c r="B4" t="inlineStr">
        <is>
          <t>Shares</t>
        </is>
      </c>
      <c r="C4" s="21" t="n">
        <v>722.3230150000001</v>
      </c>
      <c r="F4" s="1" t="n"/>
    </row>
    <row r="5">
      <c r="B5" t="inlineStr">
        <is>
          <t>Market Cap.</t>
        </is>
      </c>
      <c r="C5" s="13">
        <f>C3*C4</f>
        <v>25223.519683800005</v>
      </c>
      <c r="F5" s="1" t="n"/>
    </row>
    <row r="6"/>
    <row r="7">
      <c r="B7" t="inlineStr">
        <is>
          <t>Cash</t>
        </is>
      </c>
      <c r="C7" s="21">
        <f>1248.456+2593.626</f>
        <v>3842.0820000000003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21381.437683800003</v>
      </c>
    </row>
    <row r="10"/>
    <row r="11">
      <c r="B11" s="14" t="inlineStr">
        <is>
          <t>rNPV / Share</t>
        </is>
      </c>
      <c r="C11" s="11">
        <f>NPV!B27</f>
        <v>5.395354442666823</v>
      </c>
    </row>
    <row r="12">
      <c r="B12" s="14" t="inlineStr">
        <is>
          <t>Upside</t>
        </is>
      </c>
      <c r="C12" s="15">
        <f>IFERROR(C11/C3-1,"")</f>
        <v>-0.8454938590301597</v>
      </c>
    </row>
    <row r="13">
      <c r="B13" s="14" t="inlineStr">
        <is>
          <t>Cash / Share</t>
        </is>
      </c>
      <c r="C13" s="11">
        <f>IFERROR((C7-C8)/C4,"")</f>
        <v>5.31906352174034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-816.47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4.705723419109092</v>
      </c>
    </row>
    <row r="19">
      <c r="B19" s="14" t="inlineStr">
        <is>
          <t>Implied Pipeline Value</t>
        </is>
      </c>
      <c r="C19" s="13">
        <f>C9</f>
        <v>21381.437683800003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17" t="n">
        <v>2026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23.795</v>
      </c>
      <c r="C2" s="23" t="n">
        <v>55.286</v>
      </c>
      <c r="D2" s="23" t="n">
        <v>31.53</v>
      </c>
      <c r="E2" s="23" t="n">
        <v>32.713</v>
      </c>
      <c r="F2" s="23" t="n">
        <v>29.053</v>
      </c>
      <c r="G2" s="23" t="n">
        <v>8.26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23.795</v>
      </c>
      <c r="C4" s="23">
        <f>C2-C3</f>
        <v>55.286</v>
      </c>
      <c r="D4" s="23">
        <f>D2-D3</f>
        <v>31.53</v>
      </c>
      <c r="E4" s="23">
        <f>E2-E3</f>
        <v>32.713</v>
      </c>
      <c r="F4" s="23">
        <f>F2-F3</f>
        <v>29.053</v>
      </c>
      <c r="G4" s="23">
        <f>G2-G3</f>
        <v>8.26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236.626</v>
      </c>
      <c r="C5" s="23" t="n">
        <v>483.035</v>
      </c>
      <c r="D5" s="23" t="n">
        <v>454.062</v>
      </c>
      <c r="E5" s="23" t="n">
        <v>439.909</v>
      </c>
      <c r="F5" s="23" t="n">
        <v>550.413</v>
      </c>
      <c r="G5" s="23" t="n">
        <v>681.812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858.067</v>
      </c>
      <c r="C6" s="23" t="n">
        <v>923.893</v>
      </c>
      <c r="D6" s="23" t="n">
        <v>484.231</v>
      </c>
      <c r="E6" s="23" t="n">
        <v>-4904.228</v>
      </c>
      <c r="F6" s="23" t="n">
        <v>481.934</v>
      </c>
      <c r="G6" s="23" t="n">
        <v>-158.484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1094.693</v>
      </c>
      <c r="C7" s="23">
        <f>SUM(C5:C6)</f>
        <v>1406.928</v>
      </c>
      <c r="D7" s="23">
        <f>SUM(D5:D6)</f>
        <v>938.293</v>
      </c>
      <c r="E7" s="23">
        <f>SUM(E5:E6)</f>
        <v>-4464.319</v>
      </c>
      <c r="F7" s="23">
        <f>SUM(F5:F6)</f>
        <v>1032.347</v>
      </c>
      <c r="G7" s="23">
        <f>SUM(G5:G6)</f>
        <v>523.328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-1070.898</v>
      </c>
      <c r="C8" s="23">
        <f>C4-C7</f>
        <v>-1351.642</v>
      </c>
      <c r="D8" s="23">
        <f>D4-D7</f>
        <v>-906.763</v>
      </c>
      <c r="E8" s="23">
        <f>E4-E7</f>
        <v>4497.032</v>
      </c>
      <c r="F8" s="23">
        <f>F4-F7</f>
        <v>-1003.294</v>
      </c>
      <c r="G8" s="23">
        <f>G4-G7</f>
        <v>-515.068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263.35</v>
      </c>
      <c r="C9" s="23" t="n">
        <v>506.749</v>
      </c>
      <c r="D9" s="23" t="n">
        <v>-98.185</v>
      </c>
      <c r="E9" s="23" t="n">
        <v>-126.603</v>
      </c>
      <c r="F9" s="23" t="n">
        <v>879.487</v>
      </c>
      <c r="G9" s="23" t="n">
        <v>348.626</v>
      </c>
    </row>
    <row r="10">
      <c r="A10" s="2" t="inlineStr">
        <is>
          <t>Pretax</t>
        </is>
      </c>
      <c r="B10" s="23">
        <f>B8+B9</f>
        <v>-807.5479999999999</v>
      </c>
      <c r="C10" s="23">
        <f>C8+C9</f>
        <v>-844.893</v>
      </c>
      <c r="D10" s="23">
        <f>D8+D9</f>
        <v>-1004.9480000000001</v>
      </c>
      <c r="E10" s="23">
        <f>E8+E9</f>
        <v>4370.429</v>
      </c>
      <c r="F10" s="23">
        <f>F8+F9</f>
        <v>-123.80700000000002</v>
      </c>
      <c r="G10" s="23">
        <f>G8+G9</f>
        <v>-166.442</v>
      </c>
      <c r="I10" s="1" t="n"/>
      <c r="J10" s="1" t="n"/>
      <c r="K10" s="1" t="n"/>
    </row>
    <row r="11">
      <c r="A11" s="2" t="inlineStr">
        <is>
          <t>Taxes</t>
        </is>
      </c>
      <c r="B11" s="23" t="n">
        <v>1.686</v>
      </c>
      <c r="C11" s="23" t="n">
        <v>0.369</v>
      </c>
      <c r="D11" s="23" t="n">
        <v>4.082</v>
      </c>
      <c r="E11" s="23" t="n">
        <v>21.503</v>
      </c>
      <c r="F11" s="23" t="n">
        <v>48.174</v>
      </c>
      <c r="G11" s="23" t="n">
        <v>133.329</v>
      </c>
    </row>
    <row r="12">
      <c r="A12" s="2" t="inlineStr">
        <is>
          <t>Net Income</t>
        </is>
      </c>
      <c r="B12" s="23" t="n">
        <v>-809.234</v>
      </c>
      <c r="C12" s="23" t="n">
        <v>-845.2619999999999</v>
      </c>
      <c r="D12" s="23" t="n">
        <v>-1009.03</v>
      </c>
      <c r="E12" s="23" t="n">
        <v>4348.926</v>
      </c>
      <c r="F12" s="23" t="n">
        <v>-171.981</v>
      </c>
      <c r="G12" s="23" t="n">
        <v>-299.771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-1.284402592187567</v>
      </c>
      <c r="C13" s="11">
        <f>IFERROR(C12/C14,0)</f>
        <v>-1.2620503379604122</v>
      </c>
      <c r="D13" s="11">
        <f>IFERROR(D12/D14,0)</f>
        <v>-1.4156042935446715</v>
      </c>
      <c r="E13" s="11">
        <f>IFERROR(E12/E14,0)</f>
        <v>5.233056053253178</v>
      </c>
      <c r="F13" s="11">
        <f>IFERROR(F12/F14,0)</f>
        <v>-0.2370856745832621</v>
      </c>
      <c r="G13" s="11">
        <f>IFERROR(G12/G14,0)</f>
        <v>-0.43203072643814</v>
      </c>
    </row>
    <row r="14">
      <c r="A14" s="2" t="inlineStr">
        <is>
          <t>Shares</t>
        </is>
      </c>
      <c r="B14" s="23" t="n">
        <v>630.047</v>
      </c>
      <c r="C14" s="23" t="n">
        <v>669.753</v>
      </c>
      <c r="D14" s="23" t="n">
        <v>712.7910000000001</v>
      </c>
      <c r="E14" s="23" t="n">
        <v>831.049</v>
      </c>
      <c r="F14" s="23" t="n">
        <v>725.396</v>
      </c>
      <c r="G14" s="23" t="n">
        <v>693.865</v>
      </c>
    </row>
    <row r="15"/>
    <row r="16" customFormat="1" s="4">
      <c r="A16" s="3" t="inlineStr">
        <is>
          <t>Revenue Change</t>
        </is>
      </c>
      <c r="C16" s="15">
        <f>IFERROR(C2/B2-1,"")</f>
        <v>1.3234292918680395</v>
      </c>
      <c r="D16" s="15">
        <f>IFERROR(D2/C2-1,"")</f>
        <v>-0.42969286980429044</v>
      </c>
      <c r="E16" s="15">
        <f>IFERROR(E2/D2-1,"")</f>
        <v>0.0375198223913733</v>
      </c>
      <c r="F16" s="15">
        <f>IFERROR(F2/E2-1,"")</f>
        <v>-0.11188212637177886</v>
      </c>
      <c r="G16" s="15">
        <f>IFERROR(G2/F2-1,"")</f>
        <v>-0.7156920111520325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-45.00516915318344</v>
      </c>
      <c r="C18" s="15">
        <f>IFERROR(C8/C2,"")</f>
        <v>-24.44817856238469</v>
      </c>
      <c r="D18" s="15">
        <f>IFERROR(D8/D2,"")</f>
        <v>-28.758737710117348</v>
      </c>
      <c r="E18" s="15">
        <f>IFERROR(E8/E2,"")</f>
        <v>137.46926298413476</v>
      </c>
      <c r="F18" s="15">
        <f>IFERROR(F8/F2,"")</f>
        <v>-34.533232368430106</v>
      </c>
      <c r="G18" s="15">
        <f>IFERROR(G8/G2,"")</f>
        <v>-62.356900726392254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Roivant Sciences Ltd: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0.899168761576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596.139</v>
      </c>
    </row>
    <row r="19">
      <c r="A19" s="14" t="inlineStr">
        <is>
          <t>Years of full burn (until the first launch, max 4)</t>
        </is>
      </c>
      <c r="B19" s="39">
        <f>MIN(4,MAX(1,MIN(Pipeline!I4:I6)-2026))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3135.3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55.106688020744514</v>
      </c>
      <c r="C29" s="42">
        <f>NPV!B25</f>
        <v>3897.188688020745</v>
      </c>
      <c r="D29" s="43">
        <f>NPV!B27</f>
        <v>5.395354442666823</v>
      </c>
      <c r="E29" s="44">
        <f>NPV!B29</f>
        <v>-0.8454938590301597</v>
      </c>
    </row>
    <row r="30">
      <c r="A30" s="45" t="n">
        <v>1</v>
      </c>
      <c r="B30" s="46">
        <f t="dataTable" ref="B30:E32" r1="B4"/>
        <v>-1060.468960367105</v>
      </c>
      <c r="C30" s="46">
        <v>2781.6130396328954</v>
      </c>
      <c r="D30" s="47">
        <v>3.850926776343815</v>
      </c>
      <c r="E30" s="48">
        <v>-0.8897214554311622</v>
      </c>
    </row>
    <row r="31">
      <c r="A31" s="45" t="n">
        <v>2</v>
      </c>
      <c r="B31" s="46">
        <v>55.106688020744514</v>
      </c>
      <c r="C31" s="46">
        <v>3897.188688020745</v>
      </c>
      <c r="D31" s="47">
        <v>5.395354442666823</v>
      </c>
      <c r="E31" s="48">
        <v>-0.8454938590301597</v>
      </c>
    </row>
    <row r="32">
      <c r="A32" s="45" t="n">
        <v>3</v>
      </c>
      <c r="B32" s="46">
        <v>1669.5690472289575</v>
      </c>
      <c r="C32" s="46">
        <v>5511.651047228957</v>
      </c>
      <c r="D32" s="47">
        <v>7.630451934622292</v>
      </c>
      <c r="E32" s="48">
        <v>-0.7814876307381933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5.395354442666823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3.499016994216341</v>
      </c>
      <c r="C37" s="47">
        <v>3.9696813849663193</v>
      </c>
      <c r="D37" s="47">
        <v>4.440345775716297</v>
      </c>
      <c r="E37" s="47">
        <v>5.381674557216252</v>
      </c>
      <c r="F37" s="47">
        <v>6.234941277841206</v>
      </c>
    </row>
    <row r="38">
      <c r="A38" s="50" t="n">
        <v>0.8</v>
      </c>
      <c r="B38" s="47">
        <v>3.635261343280393</v>
      </c>
      <c r="C38" s="47">
        <v>4.262813864280363</v>
      </c>
      <c r="D38" s="47">
        <v>4.890366385280334</v>
      </c>
      <c r="E38" s="47">
        <v>6.0769272045629545</v>
      </c>
      <c r="F38" s="47">
        <v>7.14749224761615</v>
      </c>
    </row>
    <row r="39">
      <c r="A39" s="50" t="n">
        <v>1</v>
      </c>
      <c r="B39" s="47">
        <v>3.8264731401668977</v>
      </c>
      <c r="C39" s="47">
        <v>4.610913791416861</v>
      </c>
      <c r="D39" s="47">
        <v>5.395354442666823</v>
      </c>
      <c r="E39" s="47">
        <v>6.776143178578487</v>
      </c>
      <c r="F39" s="47">
        <v>8.086360191638866</v>
      </c>
    </row>
    <row r="40">
      <c r="A40" s="50" t="n">
        <v>1.2</v>
      </c>
      <c r="B40" s="47">
        <v>4.062603573323258</v>
      </c>
      <c r="C40" s="47">
        <v>5.003932354823213</v>
      </c>
      <c r="D40" s="47">
        <v>5.898546709920073</v>
      </c>
      <c r="E40" s="47">
        <v>7.499824759570402</v>
      </c>
      <c r="F40" s="47">
        <v>9.050899022866448</v>
      </c>
    </row>
    <row r="41">
      <c r="A41" s="50" t="n">
        <v>1.4</v>
      </c>
      <c r="B41" s="47">
        <v>4.33360383119688</v>
      </c>
      <c r="C41" s="47">
        <v>5.431820742946828</v>
      </c>
      <c r="D41" s="47">
        <v>6.403599780311879</v>
      </c>
      <c r="E41" s="47">
        <v>8.242914838750442</v>
      </c>
      <c r="F41" s="47">
        <v>10.037571342248409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Roivant Sciences Ltd: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Pulmonary hypertension</t>
        </is>
      </c>
      <c r="C4" s="14" t="inlineStr">
        <is>
          <t>Mosliciguat, inhaled mosliciguat</t>
        </is>
      </c>
      <c r="D4" s="14" t="inlineStr">
        <is>
          <t>Phase 3</t>
        </is>
      </c>
      <c r="E4" s="14" t="inlineStr">
        <is>
          <t>Cardiovascular / rare</t>
        </is>
      </c>
      <c r="F4" s="14" t="inlineStr">
        <is>
          <t>Owned</t>
        </is>
      </c>
      <c r="G4" s="40" t="n">
        <v>1500</v>
      </c>
      <c r="H4" s="27" t="n">
        <v>0.5653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1216.3440841125987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84.795</v>
      </c>
      <c r="Q4" s="23">
        <f>IF(Q$3&lt;$I4,0,$G4*Assumptions!$E$11*INDEX(Assumptions!$B$24:$G$24,MIN(6,Q$3-$I4+1))*IF(Q$3&gt;$J4,(1-Assumptions!$B$26)^(Q$3-$J4),1)*IF($H4&gt;=1,1,MIN(0.97,$H4*Assumptions!$E$12)))</f>
        <v>211.9875</v>
      </c>
      <c r="R4" s="23">
        <f>IF(R$3&lt;$I4,0,$G4*Assumptions!$E$11*INDEX(Assumptions!$B$24:$G$24,MIN(6,R$3-$I4+1))*IF(R$3&gt;$J4,(1-Assumptions!$B$26)^(R$3-$J4),1)*IF($H4&gt;=1,1,MIN(0.97,$H4*Assumptions!$E$12)))</f>
        <v>381.57750000000004</v>
      </c>
      <c r="S4" s="23">
        <f>IF(S$3&lt;$I4,0,$G4*Assumptions!$E$11*INDEX(Assumptions!$B$24:$G$24,MIN(6,S$3-$I4+1))*IF(S$3&gt;$J4,(1-Assumptions!$B$26)^(S$3-$J4),1)*IF($H4&gt;=1,1,MIN(0.97,$H4*Assumptions!$E$12)))</f>
        <v>551.1675</v>
      </c>
      <c r="T4" s="23">
        <f>IF(T$3&lt;$I4,0,$G4*Assumptions!$E$11*INDEX(Assumptions!$B$24:$G$24,MIN(6,T$3-$I4+1))*IF(T$3&gt;$J4,(1-Assumptions!$B$26)^(T$3-$J4),1)*IF($H4&gt;=1,1,MIN(0.97,$H4*Assumptions!$E$12)))</f>
        <v>720.7575</v>
      </c>
      <c r="U4" s="23">
        <f>IF(U$3&lt;$I4,0,$G4*Assumptions!$E$11*INDEX(Assumptions!$B$24:$G$24,MIN(6,U$3-$I4+1))*IF(U$3&gt;$J4,(1-Assumptions!$B$26)^(U$3-$J4),1)*IF($H4&gt;=1,1,MIN(0.97,$H4*Assumptions!$E$12)))</f>
        <v>847.95</v>
      </c>
      <c r="V4" s="23">
        <f>IF(V$3&lt;$I4,0,$G4*Assumptions!$E$11*INDEX(Assumptions!$B$24:$G$24,MIN(6,V$3-$I4+1))*IF(V$3&gt;$J4,(1-Assumptions!$B$26)^(V$3-$J4),1)*IF($H4&gt;=1,1,MIN(0.97,$H4*Assumptions!$E$12)))</f>
        <v>847.95</v>
      </c>
      <c r="W4" s="23">
        <f>IF(W$3&lt;$I4,0,$G4*Assumptions!$E$11*INDEX(Assumptions!$B$24:$G$24,MIN(6,W$3-$I4+1))*IF(W$3&gt;$J4,(1-Assumptions!$B$26)^(W$3-$J4),1)*IF($H4&gt;=1,1,MIN(0.97,$H4*Assumptions!$E$12)))</f>
        <v>847.95</v>
      </c>
      <c r="X4" s="23">
        <f>IF(X$3&lt;$I4,0,$G4*Assumptions!$E$11*INDEX(Assumptions!$B$24:$G$24,MIN(6,X$3-$I4+1))*IF(X$3&gt;$J4,(1-Assumptions!$B$26)^(X$3-$J4),1)*IF($H4&gt;=1,1,MIN(0.97,$H4*Assumptions!$E$12)))</f>
        <v>847.95</v>
      </c>
      <c r="Y4" s="23">
        <f>IF(Y$3&lt;$I4,0,$G4*Assumptions!$E$11*INDEX(Assumptions!$B$24:$G$24,MIN(6,Y$3-$I4+1))*IF(Y$3&gt;$J4,(1-Assumptions!$B$26)^(Y$3-$J4),1)*IF($H4&gt;=1,1,MIN(0.97,$H4*Assumptions!$E$12)))</f>
        <v>847.95</v>
      </c>
      <c r="Z4" s="23">
        <f>IF(Z$3&lt;$I4,0,$G4*Assumptions!$E$11*INDEX(Assumptions!$B$24:$G$24,MIN(6,Z$3-$I4+1))*IF(Z$3&gt;$J4,(1-Assumptions!$B$26)^(Z$3-$J4),1)*IF($H4&gt;=1,1,MIN(0.97,$H4*Assumptions!$E$12)))</f>
        <v>847.95</v>
      </c>
      <c r="AA4" s="23">
        <f>IF(AA$3&lt;$I4,0,$G4*Assumptions!$E$11*INDEX(Assumptions!$B$24:$G$24,MIN(6,AA$3-$I4+1))*IF(AA$3&gt;$J4,(1-Assumptions!$B$26)^(AA$3-$J4),1)*IF($H4&gt;=1,1,MIN(0.97,$H4*Assumptions!$E$12)))</f>
        <v>847.95</v>
      </c>
      <c r="AB4" s="23">
        <f>IF(AB$3&lt;$I4,0,$G4*Assumptions!$E$11*INDEX(Assumptions!$B$24:$G$24,MIN(6,AB$3-$I4+1))*IF(AB$3&gt;$J4,(1-Assumptions!$B$26)^(AB$3-$J4),1)*IF($H4&gt;=1,1,MIN(0.97,$H4*Assumptions!$E$12)))</f>
        <v>847.95</v>
      </c>
      <c r="AC4" s="23">
        <f>IF(AC$3&lt;$I4,0,$G4*Assumptions!$E$11*INDEX(Assumptions!$B$24:$G$24,MIN(6,AC$3-$I4+1))*IF(AC$3&gt;$J4,(1-Assumptions!$B$26)^(AC$3-$J4),1)*IF($H4&gt;=1,1,MIN(0.97,$H4*Assumptions!$E$12)))</f>
        <v>423.975</v>
      </c>
      <c r="AD4" s="23">
        <f>IF(AD$3&lt;$I4,0,$G4*Assumptions!$E$11*INDEX(Assumptions!$B$24:$G$24,MIN(6,AD$3-$I4+1))*IF(AD$3&gt;$J4,(1-Assumptions!$B$26)^(AD$3-$J4),1)*IF($H4&gt;=1,1,MIN(0.97,$H4*Assumptions!$E$12)))</f>
        <v>211.9875</v>
      </c>
      <c r="AE4" s="23">
        <f>IF(AE$3&lt;$I4,0,$G4*Assumptions!$E$11*INDEX(Assumptions!$B$24:$G$24,MIN(6,AE$3-$I4+1))*IF(AE$3&gt;$J4,(1-Assumptions!$B$26)^(AE$3-$J4),1)*IF($H4&gt;=1,1,MIN(0.97,$H4*Assumptions!$E$12)))</f>
        <v>105.99375</v>
      </c>
      <c r="AF4" s="23">
        <f>IF(AF$3&lt;$I4,0,$G4*Assumptions!$E$11*INDEX(Assumptions!$B$24:$G$24,MIN(6,AF$3-$I4+1))*IF(AF$3&gt;$J4,(1-Assumptions!$B$26)^(AF$3-$J4),1)*IF($H4&gt;=1,1,MIN(0.97,$H4*Assumptions!$E$12)))</f>
        <v>52.996875</v>
      </c>
      <c r="AG4" s="35">
        <f>IF(F4="Owned",1-IF(H4&gt;=1,1,MIN(0.97,H4*Assumptions!$E$12)),1)</f>
        <v>0.4347</v>
      </c>
    </row>
    <row r="5">
      <c r="A5" s="39" t="n">
        <v>2</v>
      </c>
      <c r="B5" s="14" t="inlineStr">
        <is>
          <t>Rare autoimmune</t>
        </is>
      </c>
      <c r="C5" s="14" t="inlineStr">
        <is>
          <t>Brepocitinib</t>
        </is>
      </c>
      <c r="D5" s="14" t="inlineStr">
        <is>
          <t>Phase 3</t>
        </is>
      </c>
      <c r="E5" s="14" t="inlineStr">
        <is>
          <t>Autoimmune / rare</t>
        </is>
      </c>
      <c r="F5" s="14" t="inlineStr">
        <is>
          <t>Owned</t>
        </is>
      </c>
      <c r="G5" s="40" t="n">
        <v>800</v>
      </c>
      <c r="H5" s="27" t="n">
        <v>0.5653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648.7168448600528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45.224000000000004</v>
      </c>
      <c r="Q5" s="23">
        <f>IF(Q$3&lt;$I5,0,$G5*Assumptions!$E$11*INDEX(Assumptions!$B$24:$G$24,MIN(6,Q$3-$I5+1))*IF(Q$3&gt;$J5,(1-Assumptions!$B$26)^(Q$3-$J5),1)*IF($H5&gt;=1,1,MIN(0.97,$H5*Assumptions!$E$12)))</f>
        <v>113.06</v>
      </c>
      <c r="R5" s="23">
        <f>IF(R$3&lt;$I5,0,$G5*Assumptions!$E$11*INDEX(Assumptions!$B$24:$G$24,MIN(6,R$3-$I5+1))*IF(R$3&gt;$J5,(1-Assumptions!$B$26)^(R$3-$J5),1)*IF($H5&gt;=1,1,MIN(0.97,$H5*Assumptions!$E$12)))</f>
        <v>203.508</v>
      </c>
      <c r="S5" s="23">
        <f>IF(S$3&lt;$I5,0,$G5*Assumptions!$E$11*INDEX(Assumptions!$B$24:$G$24,MIN(6,S$3-$I5+1))*IF(S$3&gt;$J5,(1-Assumptions!$B$26)^(S$3-$J5),1)*IF($H5&gt;=1,1,MIN(0.97,$H5*Assumptions!$E$12)))</f>
        <v>293.956</v>
      </c>
      <c r="T5" s="23">
        <f>IF(T$3&lt;$I5,0,$G5*Assumptions!$E$11*INDEX(Assumptions!$B$24:$G$24,MIN(6,T$3-$I5+1))*IF(T$3&gt;$J5,(1-Assumptions!$B$26)^(T$3-$J5),1)*IF($H5&gt;=1,1,MIN(0.97,$H5*Assumptions!$E$12)))</f>
        <v>384.404</v>
      </c>
      <c r="U5" s="23">
        <f>IF(U$3&lt;$I5,0,$G5*Assumptions!$E$11*INDEX(Assumptions!$B$24:$G$24,MIN(6,U$3-$I5+1))*IF(U$3&gt;$J5,(1-Assumptions!$B$26)^(U$3-$J5),1)*IF($H5&gt;=1,1,MIN(0.97,$H5*Assumptions!$E$12)))</f>
        <v>452.24</v>
      </c>
      <c r="V5" s="23">
        <f>IF(V$3&lt;$I5,0,$G5*Assumptions!$E$11*INDEX(Assumptions!$B$24:$G$24,MIN(6,V$3-$I5+1))*IF(V$3&gt;$J5,(1-Assumptions!$B$26)^(V$3-$J5),1)*IF($H5&gt;=1,1,MIN(0.97,$H5*Assumptions!$E$12)))</f>
        <v>452.24</v>
      </c>
      <c r="W5" s="23">
        <f>IF(W$3&lt;$I5,0,$G5*Assumptions!$E$11*INDEX(Assumptions!$B$24:$G$24,MIN(6,W$3-$I5+1))*IF(W$3&gt;$J5,(1-Assumptions!$B$26)^(W$3-$J5),1)*IF($H5&gt;=1,1,MIN(0.97,$H5*Assumptions!$E$12)))</f>
        <v>452.24</v>
      </c>
      <c r="X5" s="23">
        <f>IF(X$3&lt;$I5,0,$G5*Assumptions!$E$11*INDEX(Assumptions!$B$24:$G$24,MIN(6,X$3-$I5+1))*IF(X$3&gt;$J5,(1-Assumptions!$B$26)^(X$3-$J5),1)*IF($H5&gt;=1,1,MIN(0.97,$H5*Assumptions!$E$12)))</f>
        <v>452.24</v>
      </c>
      <c r="Y5" s="23">
        <f>IF(Y$3&lt;$I5,0,$G5*Assumptions!$E$11*INDEX(Assumptions!$B$24:$G$24,MIN(6,Y$3-$I5+1))*IF(Y$3&gt;$J5,(1-Assumptions!$B$26)^(Y$3-$J5),1)*IF($H5&gt;=1,1,MIN(0.97,$H5*Assumptions!$E$12)))</f>
        <v>452.24</v>
      </c>
      <c r="Z5" s="23">
        <f>IF(Z$3&lt;$I5,0,$G5*Assumptions!$E$11*INDEX(Assumptions!$B$24:$G$24,MIN(6,Z$3-$I5+1))*IF(Z$3&gt;$J5,(1-Assumptions!$B$26)^(Z$3-$J5),1)*IF($H5&gt;=1,1,MIN(0.97,$H5*Assumptions!$E$12)))</f>
        <v>452.24</v>
      </c>
      <c r="AA5" s="23">
        <f>IF(AA$3&lt;$I5,0,$G5*Assumptions!$E$11*INDEX(Assumptions!$B$24:$G$24,MIN(6,AA$3-$I5+1))*IF(AA$3&gt;$J5,(1-Assumptions!$B$26)^(AA$3-$J5),1)*IF($H5&gt;=1,1,MIN(0.97,$H5*Assumptions!$E$12)))</f>
        <v>452.24</v>
      </c>
      <c r="AB5" s="23">
        <f>IF(AB$3&lt;$I5,0,$G5*Assumptions!$E$11*INDEX(Assumptions!$B$24:$G$24,MIN(6,AB$3-$I5+1))*IF(AB$3&gt;$J5,(1-Assumptions!$B$26)^(AB$3-$J5),1)*IF($H5&gt;=1,1,MIN(0.97,$H5*Assumptions!$E$12)))</f>
        <v>452.24</v>
      </c>
      <c r="AC5" s="23">
        <f>IF(AC$3&lt;$I5,0,$G5*Assumptions!$E$11*INDEX(Assumptions!$B$24:$G$24,MIN(6,AC$3-$I5+1))*IF(AC$3&gt;$J5,(1-Assumptions!$B$26)^(AC$3-$J5),1)*IF($H5&gt;=1,1,MIN(0.97,$H5*Assumptions!$E$12)))</f>
        <v>226.12</v>
      </c>
      <c r="AD5" s="23">
        <f>IF(AD$3&lt;$I5,0,$G5*Assumptions!$E$11*INDEX(Assumptions!$B$24:$G$24,MIN(6,AD$3-$I5+1))*IF(AD$3&gt;$J5,(1-Assumptions!$B$26)^(AD$3-$J5),1)*IF($H5&gt;=1,1,MIN(0.97,$H5*Assumptions!$E$12)))</f>
        <v>113.06</v>
      </c>
      <c r="AE5" s="23">
        <f>IF(AE$3&lt;$I5,0,$G5*Assumptions!$E$11*INDEX(Assumptions!$B$24:$G$24,MIN(6,AE$3-$I5+1))*IF(AE$3&gt;$J5,(1-Assumptions!$B$26)^(AE$3-$J5),1)*IF($H5&gt;=1,1,MIN(0.97,$H5*Assumptions!$E$12)))</f>
        <v>56.53</v>
      </c>
      <c r="AF5" s="23">
        <f>IF(AF$3&lt;$I5,0,$G5*Assumptions!$E$11*INDEX(Assumptions!$B$24:$G$24,MIN(6,AF$3-$I5+1))*IF(AF$3&gt;$J5,(1-Assumptions!$B$26)^(AF$3-$J5),1)*IF($H5&gt;=1,1,MIN(0.97,$H5*Assumptions!$E$12)))</f>
        <v>28.265</v>
      </c>
      <c r="AG5" s="35">
        <f>IF(F5="Owned",1-IF(H5&gt;=1,1,MIN(0.97,H5*Assumptions!$E$12)),1)</f>
        <v>0.4347</v>
      </c>
    </row>
    <row r="6">
      <c r="A6" s="39" t="n">
        <v>3</v>
      </c>
      <c r="B6" s="14" t="inlineStr">
        <is>
          <t>Eye disease (other)</t>
        </is>
      </c>
      <c r="C6" s="14" t="inlineStr">
        <is>
          <t>Brepocitinib PO QD, Brepocitinib</t>
        </is>
      </c>
      <c r="D6" s="14" t="inlineStr">
        <is>
          <t>Phase 3</t>
        </is>
      </c>
      <c r="E6" s="14" t="inlineStr">
        <is>
          <t>Ophthalmology / area</t>
        </is>
      </c>
      <c r="F6" s="14" t="inlineStr">
        <is>
          <t>Owned</t>
        </is>
      </c>
      <c r="G6" s="40" t="n">
        <v>600</v>
      </c>
      <c r="H6" s="27" t="n">
        <v>0.4664</v>
      </c>
      <c r="I6" s="26" t="n">
        <v>2029</v>
      </c>
      <c r="J6" s="39">
        <f>I6+Assumptions!$B$25</f>
        <v>2041.0</v>
      </c>
      <c r="K6" s="53">
        <f>Assumptions!$E$13</f>
        <v>0.4</v>
      </c>
      <c r="L6" s="23">
        <f>K6*SUMPRODUCT(M6:AF6,NPV!$C$15:$V$15)</f>
        <v>401.41721622509533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27.983999999999998</v>
      </c>
      <c r="Q6" s="23">
        <f>IF(Q$3&lt;$I6,0,$G6*Assumptions!$E$11*INDEX(Assumptions!$B$24:$G$24,MIN(6,Q$3-$I6+1))*IF(Q$3&gt;$J6,(1-Assumptions!$B$26)^(Q$3-$J6),1)*IF($H6&gt;=1,1,MIN(0.97,$H6*Assumptions!$E$12)))</f>
        <v>69.96</v>
      </c>
      <c r="R6" s="23">
        <f>IF(R$3&lt;$I6,0,$G6*Assumptions!$E$11*INDEX(Assumptions!$B$24:$G$24,MIN(6,R$3-$I6+1))*IF(R$3&gt;$J6,(1-Assumptions!$B$26)^(R$3-$J6),1)*IF($H6&gt;=1,1,MIN(0.97,$H6*Assumptions!$E$12)))</f>
        <v>125.928</v>
      </c>
      <c r="S6" s="23">
        <f>IF(S$3&lt;$I6,0,$G6*Assumptions!$E$11*INDEX(Assumptions!$B$24:$G$24,MIN(6,S$3-$I6+1))*IF(S$3&gt;$J6,(1-Assumptions!$B$26)^(S$3-$J6),1)*IF($H6&gt;=1,1,MIN(0.97,$H6*Assumptions!$E$12)))</f>
        <v>181.896</v>
      </c>
      <c r="T6" s="23">
        <f>IF(T$3&lt;$I6,0,$G6*Assumptions!$E$11*INDEX(Assumptions!$B$24:$G$24,MIN(6,T$3-$I6+1))*IF(T$3&gt;$J6,(1-Assumptions!$B$26)^(T$3-$J6),1)*IF($H6&gt;=1,1,MIN(0.97,$H6*Assumptions!$E$12)))</f>
        <v>237.864</v>
      </c>
      <c r="U6" s="23">
        <f>IF(U$3&lt;$I6,0,$G6*Assumptions!$E$11*INDEX(Assumptions!$B$24:$G$24,MIN(6,U$3-$I6+1))*IF(U$3&gt;$J6,(1-Assumptions!$B$26)^(U$3-$J6),1)*IF($H6&gt;=1,1,MIN(0.97,$H6*Assumptions!$E$12)))</f>
        <v>279.84</v>
      </c>
      <c r="V6" s="23">
        <f>IF(V$3&lt;$I6,0,$G6*Assumptions!$E$11*INDEX(Assumptions!$B$24:$G$24,MIN(6,V$3-$I6+1))*IF(V$3&gt;$J6,(1-Assumptions!$B$26)^(V$3-$J6),1)*IF($H6&gt;=1,1,MIN(0.97,$H6*Assumptions!$E$12)))</f>
        <v>279.84</v>
      </c>
      <c r="W6" s="23">
        <f>IF(W$3&lt;$I6,0,$G6*Assumptions!$E$11*INDEX(Assumptions!$B$24:$G$24,MIN(6,W$3-$I6+1))*IF(W$3&gt;$J6,(1-Assumptions!$B$26)^(W$3-$J6),1)*IF($H6&gt;=1,1,MIN(0.97,$H6*Assumptions!$E$12)))</f>
        <v>279.84</v>
      </c>
      <c r="X6" s="23">
        <f>IF(X$3&lt;$I6,0,$G6*Assumptions!$E$11*INDEX(Assumptions!$B$24:$G$24,MIN(6,X$3-$I6+1))*IF(X$3&gt;$J6,(1-Assumptions!$B$26)^(X$3-$J6),1)*IF($H6&gt;=1,1,MIN(0.97,$H6*Assumptions!$E$12)))</f>
        <v>279.84</v>
      </c>
      <c r="Y6" s="23">
        <f>IF(Y$3&lt;$I6,0,$G6*Assumptions!$E$11*INDEX(Assumptions!$B$24:$G$24,MIN(6,Y$3-$I6+1))*IF(Y$3&gt;$J6,(1-Assumptions!$B$26)^(Y$3-$J6),1)*IF($H6&gt;=1,1,MIN(0.97,$H6*Assumptions!$E$12)))</f>
        <v>279.84</v>
      </c>
      <c r="Z6" s="23">
        <f>IF(Z$3&lt;$I6,0,$G6*Assumptions!$E$11*INDEX(Assumptions!$B$24:$G$24,MIN(6,Z$3-$I6+1))*IF(Z$3&gt;$J6,(1-Assumptions!$B$26)^(Z$3-$J6),1)*IF($H6&gt;=1,1,MIN(0.97,$H6*Assumptions!$E$12)))</f>
        <v>279.84</v>
      </c>
      <c r="AA6" s="23">
        <f>IF(AA$3&lt;$I6,0,$G6*Assumptions!$E$11*INDEX(Assumptions!$B$24:$G$24,MIN(6,AA$3-$I6+1))*IF(AA$3&gt;$J6,(1-Assumptions!$B$26)^(AA$3-$J6),1)*IF($H6&gt;=1,1,MIN(0.97,$H6*Assumptions!$E$12)))</f>
        <v>279.84</v>
      </c>
      <c r="AB6" s="23">
        <f>IF(AB$3&lt;$I6,0,$G6*Assumptions!$E$11*INDEX(Assumptions!$B$24:$G$24,MIN(6,AB$3-$I6+1))*IF(AB$3&gt;$J6,(1-Assumptions!$B$26)^(AB$3-$J6),1)*IF($H6&gt;=1,1,MIN(0.97,$H6*Assumptions!$E$12)))</f>
        <v>279.84</v>
      </c>
      <c r="AC6" s="23">
        <f>IF(AC$3&lt;$I6,0,$G6*Assumptions!$E$11*INDEX(Assumptions!$B$24:$G$24,MIN(6,AC$3-$I6+1))*IF(AC$3&gt;$J6,(1-Assumptions!$B$26)^(AC$3-$J6),1)*IF($H6&gt;=1,1,MIN(0.97,$H6*Assumptions!$E$12)))</f>
        <v>139.92</v>
      </c>
      <c r="AD6" s="23">
        <f>IF(AD$3&lt;$I6,0,$G6*Assumptions!$E$11*INDEX(Assumptions!$B$24:$G$24,MIN(6,AD$3-$I6+1))*IF(AD$3&gt;$J6,(1-Assumptions!$B$26)^(AD$3-$J6),1)*IF($H6&gt;=1,1,MIN(0.97,$H6*Assumptions!$E$12)))</f>
        <v>69.96</v>
      </c>
      <c r="AE6" s="23">
        <f>IF(AE$3&lt;$I6,0,$G6*Assumptions!$E$11*INDEX(Assumptions!$B$24:$G$24,MIN(6,AE$3-$I6+1))*IF(AE$3&gt;$J6,(1-Assumptions!$B$26)^(AE$3-$J6),1)*IF($H6&gt;=1,1,MIN(0.97,$H6*Assumptions!$E$12)))</f>
        <v>34.98</v>
      </c>
      <c r="AF6" s="23">
        <f>IF(AF$3&lt;$I6,0,$G6*Assumptions!$E$11*INDEX(Assumptions!$B$24:$G$24,MIN(6,AF$3-$I6+1))*IF(AF$3&gt;$J6,(1-Assumptions!$B$26)^(AF$3-$J6),1)*IF($H6&gt;=1,1,MIN(0.97,$H6*Assumptions!$E$12)))</f>
        <v>17.49</v>
      </c>
      <c r="AG6" s="35">
        <f>IF(F6="Owned",1-IF(H6&gt;=1,1,MIN(0.97,H6*Assumptions!$E$12)),1)</f>
        <v>0.5336000000000001</v>
      </c>
    </row>
    <row r="7">
      <c r="B7" s="24" t="inlineStr">
        <is>
          <t>Risked revenue</t>
        </is>
      </c>
      <c r="L7" s="54">
        <f>SUM(L4:L6)</f>
        <v>2266.478145197747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158.00300000000001</v>
      </c>
      <c r="Q7" s="54">
        <f>SUM(Q4:Q6)</f>
        <v>395.0075</v>
      </c>
      <c r="R7" s="54">
        <f>SUM(R4:R6)</f>
        <v>711.0135</v>
      </c>
      <c r="S7" s="54">
        <f>SUM(S4:S6)</f>
        <v>1027.0195</v>
      </c>
      <c r="T7" s="54">
        <f>SUM(T4:T6)</f>
        <v>1343.0255000000002</v>
      </c>
      <c r="U7" s="54">
        <f>SUM(U4:U6)</f>
        <v>1580.03</v>
      </c>
      <c r="V7" s="54">
        <f>SUM(V4:V6)</f>
        <v>1580.03</v>
      </c>
      <c r="W7" s="54">
        <f>SUM(W4:W6)</f>
        <v>1580.03</v>
      </c>
      <c r="X7" s="54">
        <f>SUM(X4:X6)</f>
        <v>1580.03</v>
      </c>
      <c r="Y7" s="54">
        <f>SUM(Y4:Y6)</f>
        <v>1580.03</v>
      </c>
      <c r="Z7" s="54">
        <f>SUM(Z4:Z6)</f>
        <v>1580.03</v>
      </c>
      <c r="AA7" s="54">
        <f>SUM(AA4:AA6)</f>
        <v>1580.03</v>
      </c>
      <c r="AB7" s="54">
        <f>SUM(AB4:AB6)</f>
        <v>1580.03</v>
      </c>
      <c r="AC7" s="54">
        <f>SUM(AC4:AC6)</f>
        <v>790.015</v>
      </c>
      <c r="AD7" s="54">
        <f>SUM(AD4:AD6)</f>
        <v>395.0075</v>
      </c>
      <c r="AE7" s="54">
        <f>SUM(AE4:AE6)</f>
        <v>197.50375</v>
      </c>
      <c r="AF7" s="54">
        <f>SUM(AF4:AF6)</f>
        <v>98.751875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63.2012</v>
      </c>
      <c r="Q8" s="55">
        <f>SUMPRODUCT(Q4:Q6,$K$4:$K$6)</f>
        <v>158.00300000000001</v>
      </c>
      <c r="R8" s="55">
        <f>SUMPRODUCT(R4:R6,$K$4:$K$6)</f>
        <v>284.40540000000004</v>
      </c>
      <c r="S8" s="55">
        <f>SUMPRODUCT(S4:S6,$K$4:$K$6)</f>
        <v>410.8078</v>
      </c>
      <c r="T8" s="55">
        <f>SUMPRODUCT(T4:T6,$K$4:$K$6)</f>
        <v>537.2102</v>
      </c>
      <c r="U8" s="55">
        <f>SUMPRODUCT(U4:U6,$K$4:$K$6)</f>
        <v>632.0120000000001</v>
      </c>
      <c r="V8" s="55">
        <f>SUMPRODUCT(V4:V6,$K$4:$K$6)</f>
        <v>632.0120000000001</v>
      </c>
      <c r="W8" s="55">
        <f>SUMPRODUCT(W4:W6,$K$4:$K$6)</f>
        <v>632.0120000000001</v>
      </c>
      <c r="X8" s="55">
        <f>SUMPRODUCT(X4:X6,$K$4:$K$6)</f>
        <v>632.0120000000001</v>
      </c>
      <c r="Y8" s="55">
        <f>SUMPRODUCT(Y4:Y6,$K$4:$K$6)</f>
        <v>632.0120000000001</v>
      </c>
      <c r="Z8" s="55">
        <f>SUMPRODUCT(Z4:Z6,$K$4:$K$6)</f>
        <v>632.0120000000001</v>
      </c>
      <c r="AA8" s="55">
        <f>SUMPRODUCT(AA4:AA6,$K$4:$K$6)</f>
        <v>632.0120000000001</v>
      </c>
      <c r="AB8" s="55">
        <f>SUMPRODUCT(AB4:AB6,$K$4:$K$6)</f>
        <v>632.0120000000001</v>
      </c>
      <c r="AC8" s="55">
        <f>SUMPRODUCT(AC4:AC6,$K$4:$K$6)</f>
        <v>316.00600000000003</v>
      </c>
      <c r="AD8" s="55">
        <f>SUMPRODUCT(AD4:AD6,$K$4:$K$6)</f>
        <v>158.00300000000001</v>
      </c>
      <c r="AE8" s="55">
        <f>SUMPRODUCT(AE4:AE6,$K$4:$K$6)</f>
        <v>79.00150000000001</v>
      </c>
      <c r="AF8" s="55">
        <f>SUMPRODUCT(AF4:AF6,$K$4:$K$6)</f>
        <v>39.500750000000004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Roivant Sciences Ltd: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158.00300000000001</v>
      </c>
      <c r="G4" s="57">
        <f>Pipeline!Q7</f>
        <v>395.0075</v>
      </c>
      <c r="H4" s="57">
        <f>Pipeline!R7</f>
        <v>711.0135</v>
      </c>
      <c r="I4" s="57">
        <f>Pipeline!S7</f>
        <v>1027.0195</v>
      </c>
      <c r="J4" s="57">
        <f>Pipeline!T7</f>
        <v>1343.0255000000002</v>
      </c>
      <c r="K4" s="57">
        <f>Pipeline!U7</f>
        <v>1580.03</v>
      </c>
      <c r="L4" s="57">
        <f>Pipeline!V7</f>
        <v>1580.03</v>
      </c>
      <c r="M4" s="57">
        <f>Pipeline!W7</f>
        <v>1580.03</v>
      </c>
      <c r="N4" s="57">
        <f>Pipeline!X7</f>
        <v>1580.03</v>
      </c>
      <c r="O4" s="57">
        <f>Pipeline!Y7</f>
        <v>1580.03</v>
      </c>
      <c r="P4" s="57">
        <f>Pipeline!Z7</f>
        <v>1580.03</v>
      </c>
      <c r="Q4" s="57">
        <f>Pipeline!AA7</f>
        <v>1580.03</v>
      </c>
      <c r="R4" s="57">
        <f>Pipeline!AB7</f>
        <v>1580.03</v>
      </c>
      <c r="S4" s="57">
        <f>Pipeline!AC7</f>
        <v>790.015</v>
      </c>
      <c r="T4" s="57">
        <f>Pipeline!AD7</f>
        <v>395.0075</v>
      </c>
      <c r="U4" s="57">
        <f>Pipeline!AE7</f>
        <v>197.50375</v>
      </c>
      <c r="V4" s="57">
        <f>Pipeline!AF7</f>
        <v>98.751875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63.2012</v>
      </c>
      <c r="G5" s="57">
        <f>Pipeline!Q8</f>
        <v>158.00300000000001</v>
      </c>
      <c r="H5" s="57">
        <f>Pipeline!R8</f>
        <v>284.40540000000004</v>
      </c>
      <c r="I5" s="57">
        <f>Pipeline!S8</f>
        <v>410.8078</v>
      </c>
      <c r="J5" s="57">
        <f>Pipeline!T8</f>
        <v>537.2102</v>
      </c>
      <c r="K5" s="57">
        <f>Pipeline!U8</f>
        <v>632.0120000000001</v>
      </c>
      <c r="L5" s="57">
        <f>Pipeline!V8</f>
        <v>632.0120000000001</v>
      </c>
      <c r="M5" s="57">
        <f>Pipeline!W8</f>
        <v>632.0120000000001</v>
      </c>
      <c r="N5" s="57">
        <f>Pipeline!X8</f>
        <v>632.0120000000001</v>
      </c>
      <c r="O5" s="57">
        <f>Pipeline!Y8</f>
        <v>632.0120000000001</v>
      </c>
      <c r="P5" s="57">
        <f>Pipeline!Z8</f>
        <v>632.0120000000001</v>
      </c>
      <c r="Q5" s="57">
        <f>Pipeline!AA8</f>
        <v>632.0120000000001</v>
      </c>
      <c r="R5" s="57">
        <f>Pipeline!AB8</f>
        <v>632.0120000000001</v>
      </c>
      <c r="S5" s="57">
        <f>Pipeline!AC8</f>
        <v>316.00600000000003</v>
      </c>
      <c r="T5" s="57">
        <f>Pipeline!AD8</f>
        <v>158.00300000000001</v>
      </c>
      <c r="U5" s="57">
        <f>Pipeline!AE8</f>
        <v>79.00150000000001</v>
      </c>
      <c r="V5" s="57">
        <f>Pipeline!AF8</f>
        <v>39.500750000000004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-596.139</v>
      </c>
      <c r="D6" s="23">
        <f>-IF(D3-2026&lt;Assumptions!$B$19,Assumptions!$B$18,Assumptions!$B$18*Assumptions!$B$20*Assumptions!$B$16)</f>
        <v>-596.139</v>
      </c>
      <c r="E6" s="23">
        <f>-IF(E3-2026&lt;Assumptions!$B$19,Assumptions!$B$18,Assumptions!$B$18*Assumptions!$B$20*Assumptions!$B$16)</f>
        <v>-596.139</v>
      </c>
      <c r="F6" s="23">
        <f>-IF(F3-2026&lt;Assumptions!$B$19,Assumptions!$B$18,Assumptions!$B$18*Assumptions!$B$20*Assumptions!$B$16)</f>
        <v>-160.80886990714652</v>
      </c>
      <c r="G6" s="23">
        <f>-IF(G3-2026&lt;Assumptions!$B$19,Assumptions!$B$18,Assumptions!$B$18*Assumptions!$B$20*Assumptions!$B$16)</f>
        <v>-160.80886990714652</v>
      </c>
      <c r="H6" s="23">
        <f>-IF(H3-2026&lt;Assumptions!$B$19,Assumptions!$B$18,Assumptions!$B$18*Assumptions!$B$20*Assumptions!$B$16)</f>
        <v>-160.80886990714652</v>
      </c>
      <c r="I6" s="23">
        <f>-IF(I3-2026&lt;Assumptions!$B$19,Assumptions!$B$18,Assumptions!$B$18*Assumptions!$B$20*Assumptions!$B$16)</f>
        <v>-160.80886990714652</v>
      </c>
      <c r="J6" s="23">
        <f>-IF(J3-2026&lt;Assumptions!$B$19,Assumptions!$B$18,Assumptions!$B$18*Assumptions!$B$20*Assumptions!$B$16)</f>
        <v>-160.80886990714652</v>
      </c>
      <c r="K6" s="23">
        <f>-IF(K3-2026&lt;Assumptions!$B$19,Assumptions!$B$18,Assumptions!$B$18*Assumptions!$B$20*Assumptions!$B$16)</f>
        <v>-160.80886990714652</v>
      </c>
      <c r="L6" s="23">
        <f>-IF(L3-2026&lt;Assumptions!$B$19,Assumptions!$B$18,Assumptions!$B$18*Assumptions!$B$20*Assumptions!$B$16)</f>
        <v>-160.80886990714652</v>
      </c>
      <c r="M6" s="23">
        <f>-IF(M3-2026&lt;Assumptions!$B$19,Assumptions!$B$18,Assumptions!$B$18*Assumptions!$B$20*Assumptions!$B$16)</f>
        <v>-160.80886990714652</v>
      </c>
      <c r="N6" s="23">
        <f>-IF(N3-2026&lt;Assumptions!$B$19,Assumptions!$B$18,Assumptions!$B$18*Assumptions!$B$20*Assumptions!$B$16)</f>
        <v>-160.80886990714652</v>
      </c>
      <c r="O6" s="23">
        <f>-IF(O3-2026&lt;Assumptions!$B$19,Assumptions!$B$18,Assumptions!$B$18*Assumptions!$B$20*Assumptions!$B$16)</f>
        <v>-160.80886990714652</v>
      </c>
      <c r="P6" s="23">
        <f>-IF(P3-2026&lt;Assumptions!$B$19,Assumptions!$B$18,Assumptions!$B$18*Assumptions!$B$20*Assumptions!$B$16)</f>
        <v>-160.80886990714652</v>
      </c>
      <c r="Q6" s="23">
        <f>-IF(Q3-2026&lt;Assumptions!$B$19,Assumptions!$B$18,Assumptions!$B$18*Assumptions!$B$20*Assumptions!$B$16)</f>
        <v>-160.80886990714652</v>
      </c>
      <c r="R6" s="23">
        <f>-IF(R3-2026&lt;Assumptions!$B$19,Assumptions!$B$18,Assumptions!$B$18*Assumptions!$B$20*Assumptions!$B$16)</f>
        <v>-160.80886990714652</v>
      </c>
      <c r="S6" s="23">
        <f>-IF(S3-2026&lt;Assumptions!$B$19,Assumptions!$B$18,Assumptions!$B$18*Assumptions!$B$20*Assumptions!$B$16)</f>
        <v>-160.80886990714652</v>
      </c>
      <c r="T6" s="23">
        <f>-IF(T3-2026&lt;Assumptions!$B$19,Assumptions!$B$18,Assumptions!$B$18*Assumptions!$B$20*Assumptions!$B$16)</f>
        <v>-160.80886990714652</v>
      </c>
      <c r="U6" s="23">
        <f>-IF(U3-2026&lt;Assumptions!$B$19,Assumptions!$B$18,Assumptions!$B$18*Assumptions!$B$20*Assumptions!$B$16)</f>
        <v>-160.80886990714652</v>
      </c>
      <c r="V6" s="23">
        <f>-IF(V3-2026&lt;Assumptions!$B$19,Assumptions!$B$18,Assumptions!$B$18*Assumptions!$B$20*Assumptions!$B$16)</f>
        <v>-160.80886990714652</v>
      </c>
    </row>
    <row r="7">
      <c r="A7" s="14" t="inlineStr">
        <is>
          <t>Pre-tax cash flow</t>
        </is>
      </c>
      <c r="C7" s="23">
        <f>C5+C6</f>
        <v>-596.139</v>
      </c>
      <c r="D7" s="23">
        <f>D5+D6</f>
        <v>-596.139</v>
      </c>
      <c r="E7" s="23">
        <f>E5+E6</f>
        <v>-596.139</v>
      </c>
      <c r="F7" s="23">
        <f>F5+F6</f>
        <v>-97.60766990714652</v>
      </c>
      <c r="G7" s="23">
        <f>G5+G6</f>
        <v>-2.8058699071465014</v>
      </c>
      <c r="H7" s="23">
        <f>H5+H6</f>
        <v>123.59653009285353</v>
      </c>
      <c r="I7" s="23">
        <f>I5+I6</f>
        <v>249.99893009285347</v>
      </c>
      <c r="J7" s="23">
        <f>J5+J6</f>
        <v>376.40133009285347</v>
      </c>
      <c r="K7" s="23">
        <f>K5+K6</f>
        <v>471.20313009285354</v>
      </c>
      <c r="L7" s="23">
        <f>L5+L6</f>
        <v>471.20313009285354</v>
      </c>
      <c r="M7" s="23">
        <f>M5+M6</f>
        <v>471.20313009285354</v>
      </c>
      <c r="N7" s="23">
        <f>N5+N6</f>
        <v>471.20313009285354</v>
      </c>
      <c r="O7" s="23">
        <f>O5+O6</f>
        <v>471.20313009285354</v>
      </c>
      <c r="P7" s="23">
        <f>P5+P6</f>
        <v>471.20313009285354</v>
      </c>
      <c r="Q7" s="23">
        <f>Q5+Q6</f>
        <v>471.20313009285354</v>
      </c>
      <c r="R7" s="23">
        <f>R5+R6</f>
        <v>471.20313009285354</v>
      </c>
      <c r="S7" s="23">
        <f>S5+S6</f>
        <v>155.1971300928535</v>
      </c>
      <c r="T7" s="23">
        <f>T5+T6</f>
        <v>-2.8058699071465014</v>
      </c>
      <c r="U7" s="23">
        <f>U5+U6</f>
        <v>-81.80736990714651</v>
      </c>
      <c r="V7" s="23">
        <f>V5+V6</f>
        <v>-121.3081199071465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123.59653009285353</v>
      </c>
      <c r="I8" s="23">
        <f>MIN(H17,MAX(0,I7))</f>
        <v>249.99893009285347</v>
      </c>
      <c r="J8" s="23">
        <f>MIN(I17,MAX(0,J7))</f>
        <v>376.40133009285347</v>
      </c>
      <c r="K8" s="23">
        <f>MIN(J17,MAX(0,K7))</f>
        <v>471.20313009285354</v>
      </c>
      <c r="L8" s="23">
        <f>MIN(K17,MAX(0,L7))</f>
        <v>471.20313009285354</v>
      </c>
      <c r="M8" s="23">
        <f>MIN(L17,MAX(0,M7))</f>
        <v>471.20313009285354</v>
      </c>
      <c r="N8" s="23">
        <f>MIN(M17,MAX(0,N7))</f>
        <v>471.20313009285354</v>
      </c>
      <c r="O8" s="23">
        <f>MIN(N17,MAX(0,O7))</f>
        <v>471.20313009285354</v>
      </c>
      <c r="P8" s="23">
        <f>MIN(O17,MAX(0,P7))</f>
        <v>471.20313009285354</v>
      </c>
      <c r="Q8" s="23">
        <f>MIN(P17,MAX(0,Q7))</f>
        <v>471.20313009285354</v>
      </c>
      <c r="R8" s="23">
        <f>MIN(Q17,MAX(0,R7))</f>
        <v>471.20313009285354</v>
      </c>
      <c r="S8" s="23">
        <f>MIN(R17,MAX(0,S7))</f>
        <v>155.1971300928535</v>
      </c>
      <c r="T8" s="23">
        <f>MIN(S17,MAX(0,T7))</f>
        <v>0</v>
      </c>
      <c r="U8" s="23">
        <f>MIN(T17,MAX(0,U7))</f>
        <v>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-596.139</v>
      </c>
      <c r="D11" s="55">
        <f>D7-D10</f>
        <v>-596.139</v>
      </c>
      <c r="E11" s="55">
        <f>E7-E10</f>
        <v>-596.139</v>
      </c>
      <c r="F11" s="55">
        <f>F7-F10</f>
        <v>-97.60766990714652</v>
      </c>
      <c r="G11" s="55">
        <f>G7-G10</f>
        <v>-2.8058699071465014</v>
      </c>
      <c r="H11" s="55">
        <f>H7-H10</f>
        <v>123.59653009285353</v>
      </c>
      <c r="I11" s="55">
        <f>I7-I10</f>
        <v>249.99893009285347</v>
      </c>
      <c r="J11" s="55">
        <f>J7-J10</f>
        <v>376.40133009285347</v>
      </c>
      <c r="K11" s="55">
        <f>K7-K10</f>
        <v>471.20313009285354</v>
      </c>
      <c r="L11" s="55">
        <f>L7-L10</f>
        <v>471.20313009285354</v>
      </c>
      <c r="M11" s="55">
        <f>M7-M10</f>
        <v>471.20313009285354</v>
      </c>
      <c r="N11" s="55">
        <f>N7-N10</f>
        <v>471.20313009285354</v>
      </c>
      <c r="O11" s="55">
        <f>O7-O10</f>
        <v>471.20313009285354</v>
      </c>
      <c r="P11" s="55">
        <f>P7-P10</f>
        <v>471.20313009285354</v>
      </c>
      <c r="Q11" s="55">
        <f>Q7-Q10</f>
        <v>471.20313009285354</v>
      </c>
      <c r="R11" s="55">
        <f>R7-R10</f>
        <v>471.20313009285354</v>
      </c>
      <c r="S11" s="55">
        <f>S7-S10</f>
        <v>155.1971300928535</v>
      </c>
      <c r="T11" s="55">
        <f>T7-T10</f>
        <v>-2.8058699071465014</v>
      </c>
      <c r="U11" s="55">
        <f>U7-U10</f>
        <v>-81.80736990714651</v>
      </c>
      <c r="V11" s="55">
        <f>V7-V10</f>
        <v>-121.3081199071465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-292.05108871725116</v>
      </c>
      <c r="D16" s="55">
        <f>D11*D15</f>
        <v>-532.0197051616344</v>
      </c>
      <c r="E16" s="55">
        <f>E11*E15</f>
        <v>-475.01759389431635</v>
      </c>
      <c r="F16" s="55">
        <f>F11*F15</f>
        <v>-69.44293748264637</v>
      </c>
      <c r="G16" s="55">
        <f>G11*G15</f>
        <v>-1.7823526932925404</v>
      </c>
      <c r="H16" s="55">
        <f>H11*H15</f>
        <v>70.09941135607248</v>
      </c>
      <c r="I16" s="55">
        <f>I11*I15</f>
        <v>126.59840093343017</v>
      </c>
      <c r="J16" s="55">
        <f>J11*J15</f>
        <v>170.1857515424196</v>
      </c>
      <c r="K16" s="55">
        <f>K11*K15</f>
        <v>190.22263418612067</v>
      </c>
      <c r="L16" s="55">
        <f>L11*L15</f>
        <v>169.84163766617917</v>
      </c>
      <c r="M16" s="55">
        <f>M11*M15</f>
        <v>151.6443193448028</v>
      </c>
      <c r="N16" s="55">
        <f>N11*N15</f>
        <v>135.39671370071676</v>
      </c>
      <c r="O16" s="55">
        <f>O11*O15</f>
        <v>120.88992294706853</v>
      </c>
      <c r="P16" s="55">
        <f>P11*P15</f>
        <v>107.93743120273975</v>
      </c>
      <c r="Q16" s="55">
        <f>Q11*Q15</f>
        <v>96.37270643101763</v>
      </c>
      <c r="R16" s="55">
        <f>R11*R15</f>
        <v>86.0470593134086</v>
      </c>
      <c r="S16" s="55">
        <f>S11*S15</f>
        <v>25.30425348113481</v>
      </c>
      <c r="T16" s="55">
        <f>T11*T15</f>
        <v>-0.40846923501100624</v>
      </c>
      <c r="U16" s="55">
        <f>U11*U15</f>
        <v>-10.633254986755338</v>
      </c>
      <c r="V16" s="55">
        <f>V11*V15</f>
        <v>-14.07815191345939</v>
      </c>
    </row>
    <row r="17">
      <c r="A17" s="14" t="inlineStr">
        <is>
          <t>Tax-loss carryforward, end of year</t>
        </is>
      </c>
      <c r="C17" s="23">
        <f>Assumptions!$B$21-C8+MAX(0,-C7)</f>
        <v>3731.4390000000003</v>
      </c>
      <c r="D17" s="23">
        <f>C17-D8+MAX(0,-D7)</f>
        <v>4327.578</v>
      </c>
      <c r="E17" s="23">
        <f>D17-E8+MAX(0,-E7)</f>
        <v>4923.717000000001</v>
      </c>
      <c r="F17" s="23">
        <f>E17-F8+MAX(0,-F7)</f>
        <v>5021.324669907147</v>
      </c>
      <c r="G17" s="23">
        <f>F17-G8+MAX(0,-G7)</f>
        <v>5024.130539814293</v>
      </c>
      <c r="H17" s="23">
        <f>G17-H8+MAX(0,-H7)</f>
        <v>4900.534009721439</v>
      </c>
      <c r="I17" s="23">
        <f>H17-I8+MAX(0,-I7)</f>
        <v>4650.535079628586</v>
      </c>
      <c r="J17" s="23">
        <f>I17-J8+MAX(0,-J7)</f>
        <v>4274.133749535732</v>
      </c>
      <c r="K17" s="23">
        <f>J17-K8+MAX(0,-K7)</f>
        <v>3802.9306194428787</v>
      </c>
      <c r="L17" s="23">
        <f>K17-L8+MAX(0,-L7)</f>
        <v>3331.7274893500253</v>
      </c>
      <c r="M17" s="23">
        <f>L17-M8+MAX(0,-M7)</f>
        <v>2860.524359257172</v>
      </c>
      <c r="N17" s="23">
        <f>M17-N8+MAX(0,-N7)</f>
        <v>2389.3212291643185</v>
      </c>
      <c r="O17" s="23">
        <f>N17-O8+MAX(0,-O7)</f>
        <v>1918.118099071465</v>
      </c>
      <c r="P17" s="23">
        <f>O17-P8+MAX(0,-P7)</f>
        <v>1446.9149689786113</v>
      </c>
      <c r="Q17" s="23">
        <f>P17-Q8+MAX(0,-Q7)</f>
        <v>975.7118388857577</v>
      </c>
      <c r="R17" s="23">
        <f>Q17-R8+MAX(0,-R7)</f>
        <v>504.5087087929042</v>
      </c>
      <c r="S17" s="23">
        <f>R17-S8+MAX(0,-S7)</f>
        <v>349.3115787000507</v>
      </c>
      <c r="T17" s="23">
        <f>S17-T8+MAX(0,-T7)</f>
        <v>352.11744860719716</v>
      </c>
      <c r="U17" s="23">
        <f>T17-U8+MAX(0,-U7)</f>
        <v>433.92481851434366</v>
      </c>
      <c r="V17" s="23">
        <f>U17-V8+MAX(0,-V7)</f>
        <v>555.2329384214902</v>
      </c>
    </row>
    <row r="19">
      <c r="A19" s="14" t="inlineStr">
        <is>
          <t>PV of risked pipeline contribution</t>
        </is>
      </c>
      <c r="B19" s="23">
        <f>SUMPRODUCT(C5:V5,C15:V15)</f>
        <v>2266.478145197747</v>
      </c>
    </row>
    <row r="20">
      <c r="A20" s="14" t="inlineStr">
        <is>
          <t>PV of corporate burn</t>
        </is>
      </c>
      <c r="B20" s="23">
        <f>SUMPRODUCT(C6:V6,C15:V15)</f>
        <v>-2211.371457177003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55.106688020744514</v>
      </c>
    </row>
    <row r="23">
      <c r="A23" s="14" t="inlineStr">
        <is>
          <t>Cash &amp; investments</t>
        </is>
      </c>
      <c r="B23" s="57">
        <f>Main!C7</f>
        <v>3842.0820000000003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3897.188688020745</v>
      </c>
    </row>
    <row r="26">
      <c r="A26" s="14" t="inlineStr">
        <is>
          <t>Shares (mm)</t>
        </is>
      </c>
      <c r="B26" s="57">
        <f>Main!C4</f>
        <v>722.323015</v>
      </c>
    </row>
    <row r="27">
      <c r="A27" s="24" t="inlineStr">
        <is>
          <t>rNPV / share</t>
        </is>
      </c>
      <c r="B27" s="60">
        <f>B25/B26</f>
        <v>5.395354442666823</v>
      </c>
    </row>
    <row r="28">
      <c r="A28" s="14" t="inlineStr">
        <is>
          <t>Price</t>
        </is>
      </c>
      <c r="B28" s="61">
        <f>Main!C3</f>
        <v>34.92</v>
      </c>
    </row>
    <row r="29">
      <c r="A29" s="14" t="inlineStr">
        <is>
          <t>Upside</t>
        </is>
      </c>
      <c r="B29" s="62">
        <f>B27/B28-1</f>
        <v>-0.8454938590301597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2026-10-21T06:21:12Z</dcterms:modified>
  <cp:lastModifiedBy>Wang, Eric</cp:lastModifiedBy>
</cp:coreProperties>
</file>