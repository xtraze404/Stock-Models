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Aprea Therapeutics Inc</t>
        </is>
      </c>
      <c r="C2" s="10" t="n"/>
    </row>
    <row r="3">
      <c r="B3" t="inlineStr">
        <is>
          <t>Price</t>
        </is>
      </c>
      <c r="C3" s="11">
        <f>INDEX([1]Pharma!$F$1:$F$1000,MATCH("APRE",[1]Pharma!$B$1:$B$1000,0))</f>
        <v>0.5612</v>
      </c>
      <c r="F3" s="1" t="n"/>
    </row>
    <row r="4">
      <c r="B4" t="inlineStr">
        <is>
          <t>Shares</t>
        </is>
      </c>
      <c r="C4" s="21" t="n">
        <v>12.591136</v>
      </c>
      <c r="F4" s="1" t="n"/>
    </row>
    <row r="5">
      <c r="B5" t="inlineStr">
        <is>
          <t>Market Cap.</t>
        </is>
      </c>
      <c r="C5" s="13">
        <f>C3*C4</f>
        <v>7.0661455232</v>
      </c>
      <c r="F5" s="1" t="n"/>
    </row>
    <row r="6"/>
    <row r="7">
      <c r="B7" t="inlineStr">
        <is>
          <t>Cash</t>
        </is>
      </c>
      <c r="C7" s="21" t="n">
        <v>41.233428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-34.167282476800004</v>
      </c>
    </row>
    <row r="10"/>
    <row r="11">
      <c r="B11" s="14" t="inlineStr">
        <is>
          <t>Net Cash / Share</t>
        </is>
      </c>
      <c r="C11" s="11">
        <f>(C7-C8)/C4</f>
        <v>3.274798080173227</v>
      </c>
    </row>
    <row r="12">
      <c r="B12" s="14" t="inlineStr">
        <is>
          <t>Upside</t>
        </is>
      </c>
      <c r="C12" s="15">
        <f>IFERROR(C11/C3-1,"")</f>
        <v>4.835349394464053</v>
      </c>
    </row>
    <row r="13">
      <c r="B13" s="14" t="inlineStr">
        <is>
          <t>Cash / Share</t>
        </is>
      </c>
      <c r="C13" s="11">
        <f>IFERROR((C7-C8)/C4,"")</f>
        <v>3.274798080173227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-12.168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3.3886775147929</v>
      </c>
    </row>
    <row r="19">
      <c r="B19" s="14" t="inlineStr">
        <is>
          <t>Implied Pipeline Value</t>
        </is>
      </c>
      <c r="C19" s="13">
        <f>C9</f>
        <v>-34.167282476800004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17" t="n">
        <v>2025</v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1" t="n"/>
    </row>
    <row r="5">
      <c r="A5" s="2" t="inlineStr">
        <is>
          <t>Research &amp; Dev.</t>
        </is>
      </c>
      <c r="B5" s="23" t="n">
        <v>13.393</v>
      </c>
      <c r="C5" s="23" t="n">
        <v>14.195</v>
      </c>
      <c r="D5" s="23" t="n">
        <v>20.951</v>
      </c>
      <c r="E5" s="23" t="n">
        <v>37.879</v>
      </c>
      <c r="F5" s="23" t="n">
        <v>23.896</v>
      </c>
      <c r="G5" s="23" t="n">
        <v>16.402</v>
      </c>
      <c r="H5" s="23" t="n">
        <v>7.627</v>
      </c>
      <c r="I5" s="23" t="n">
        <v>9.364000000000001</v>
      </c>
      <c r="J5" s="23" t="n">
        <v>7.043</v>
      </c>
      <c r="K5" s="1" t="n"/>
    </row>
    <row r="6">
      <c r="A6" s="19" t="inlineStr">
        <is>
          <t>SG&amp;A &amp; Other</t>
        </is>
      </c>
      <c r="B6" s="23" t="n">
        <v>2.46</v>
      </c>
      <c r="C6" s="23" t="n">
        <v>2.295</v>
      </c>
      <c r="D6" s="23" t="n">
        <v>8.593999999999999</v>
      </c>
      <c r="E6" s="23" t="n">
        <v>14.932</v>
      </c>
      <c r="F6" s="23" t="n">
        <v>13.55</v>
      </c>
      <c r="G6" s="23" t="n">
        <v>96.98999999999999</v>
      </c>
      <c r="H6" s="23" t="n">
        <v>7.844</v>
      </c>
      <c r="I6" s="23" t="n">
        <v>4.956</v>
      </c>
      <c r="J6" s="23" t="n">
        <v>6.191</v>
      </c>
      <c r="K6" s="1" t="n"/>
    </row>
    <row r="7">
      <c r="A7" s="2" t="inlineStr">
        <is>
          <t>Operating Expense</t>
        </is>
      </c>
      <c r="B7" s="23">
        <f>SUM(B5:B6)</f>
        <v>15.853000000000002</v>
      </c>
      <c r="C7" s="23">
        <f>SUM(C5:C6)</f>
        <v>16.490000000000002</v>
      </c>
      <c r="D7" s="23">
        <f>SUM(D5:D6)</f>
        <v>29.545</v>
      </c>
      <c r="E7" s="23">
        <f>SUM(E5:E6)</f>
        <v>52.811</v>
      </c>
      <c r="F7" s="23">
        <f>SUM(F5:F6)</f>
        <v>37.446</v>
      </c>
      <c r="G7" s="23">
        <f>SUM(G5:G6)</f>
        <v>113.392</v>
      </c>
      <c r="H7" s="23">
        <f>SUM(H5:H6)</f>
        <v>15.471</v>
      </c>
      <c r="I7" s="23">
        <f>SUM(I5:I6)</f>
        <v>14.32</v>
      </c>
      <c r="J7" s="23">
        <f>SUM(J5:J6)</f>
        <v>13.234</v>
      </c>
      <c r="K7" s="1" t="n"/>
    </row>
    <row r="8">
      <c r="A8" s="2" t="inlineStr">
        <is>
          <t>Operating Income</t>
        </is>
      </c>
      <c r="B8" s="23">
        <f>B4-B7</f>
        <v>-15.853000000000002</v>
      </c>
      <c r="C8" s="23">
        <f>C4-C7</f>
        <v>-16.490000000000002</v>
      </c>
      <c r="D8" s="23">
        <f>D4-D7</f>
        <v>-29.545</v>
      </c>
      <c r="E8" s="23">
        <f>E4-E7</f>
        <v>-52.811</v>
      </c>
      <c r="F8" s="23">
        <f>F4-F7</f>
        <v>-37.446</v>
      </c>
      <c r="G8" s="23">
        <f>G4-G7</f>
        <v>-113.392</v>
      </c>
      <c r="H8" s="23">
        <f>H4-H7</f>
        <v>-15.471</v>
      </c>
      <c r="I8" s="23">
        <f>I4-I7</f>
        <v>-14.32</v>
      </c>
      <c r="J8" s="23">
        <f>J4-J7</f>
        <v>-13.234</v>
      </c>
      <c r="K8" s="1" t="n"/>
    </row>
    <row r="9">
      <c r="A9" s="19" t="inlineStr">
        <is>
          <t>Interest &amp; Other</t>
        </is>
      </c>
      <c r="B9" s="23" t="n">
        <v>0.662</v>
      </c>
      <c r="C9" s="23" t="n">
        <v>0.961</v>
      </c>
      <c r="D9" s="23" t="n">
        <v>1.484</v>
      </c>
      <c r="E9" s="23" t="n">
        <v>-0.668</v>
      </c>
      <c r="F9" s="23" t="n">
        <v>0.319</v>
      </c>
      <c r="G9" s="23" t="n">
        <v>0.73</v>
      </c>
      <c r="H9" s="23" t="n">
        <v>1.185</v>
      </c>
      <c r="I9" s="23" t="n">
        <v>1.361</v>
      </c>
      <c r="J9" s="23" t="n">
        <v>0.634</v>
      </c>
    </row>
    <row r="10">
      <c r="A10" s="2" t="inlineStr">
        <is>
          <t>Pretax</t>
        </is>
      </c>
      <c r="B10" s="23">
        <f>B8+B9</f>
        <v>-15.191</v>
      </c>
      <c r="C10" s="23">
        <f>C8+C9</f>
        <v>-15.529000000000002</v>
      </c>
      <c r="D10" s="23">
        <f>D8+D9</f>
        <v>-28.061</v>
      </c>
      <c r="E10" s="23">
        <f>E8+E9</f>
        <v>-53.479</v>
      </c>
      <c r="F10" s="23">
        <f>F8+F9</f>
        <v>-37.126999999999995</v>
      </c>
      <c r="G10" s="23">
        <f>G8+G9</f>
        <v>-112.66199999999999</v>
      </c>
      <c r="H10" s="23">
        <f>H8+H9</f>
        <v>-14.286</v>
      </c>
      <c r="I10" s="23">
        <f>I8+I9</f>
        <v>-12.959</v>
      </c>
      <c r="J10" s="23">
        <f>J8+J9</f>
        <v>-12.6</v>
      </c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</row>
    <row r="12">
      <c r="A12" s="2" t="inlineStr">
        <is>
          <t>Net Income</t>
        </is>
      </c>
      <c r="B12" s="23" t="n">
        <v>-15.19</v>
      </c>
      <c r="C12" s="23" t="n">
        <v>-15.528</v>
      </c>
      <c r="D12" s="23" t="n">
        <v>-28.06</v>
      </c>
      <c r="E12" s="23" t="n">
        <v>-53.479</v>
      </c>
      <c r="F12" s="23" t="n">
        <v>-37.127</v>
      </c>
      <c r="G12" s="23" t="n">
        <v>-112.662</v>
      </c>
      <c r="H12" s="23" t="n">
        <v>-14.287</v>
      </c>
      <c r="I12" s="23" t="n">
        <v>-12.959</v>
      </c>
      <c r="J12" s="23" t="n">
        <v>-12.6</v>
      </c>
      <c r="K12" s="1" t="n"/>
    </row>
    <row r="13">
      <c r="A13" s="2" t="inlineStr">
        <is>
          <t>Earnings per Share</t>
        </is>
      </c>
      <c r="B13" s="11">
        <f>IFERROR(B12/B14,0)</f>
        <v>-13.174327840416305</v>
      </c>
      <c r="C13" s="11">
        <f>IFERROR(C12/C14,0)</f>
        <v>-13.455805892547662</v>
      </c>
      <c r="D13" s="11">
        <f>IFERROR(D12/D14,0)</f>
        <v>-4.675108297234255</v>
      </c>
      <c r="E13" s="11">
        <f>IFERROR(E12/E14,0)</f>
        <v>-50.595080416272474</v>
      </c>
      <c r="F13" s="11">
        <f>IFERROR(F12/F14,0)</f>
        <v>-34.89379699248121</v>
      </c>
      <c r="G13" s="11">
        <f>IFERROR(G12/G14,0)</f>
        <v>-67.9915509957755</v>
      </c>
      <c r="H13" s="11">
        <f>IFERROR(H12/H14,0)</f>
        <v>-3.9488667772249864</v>
      </c>
      <c r="I13" s="11">
        <f>IFERROR(I12/I14,0)</f>
        <v>-2.351905626134301</v>
      </c>
      <c r="J13" s="11">
        <f>IFERROR(J12/J14,0)</f>
        <v>-1.9269001376357242</v>
      </c>
    </row>
    <row r="14">
      <c r="A14" s="2" t="inlineStr">
        <is>
          <t>Shares</t>
        </is>
      </c>
      <c r="B14" s="23" t="n">
        <v>1.153</v>
      </c>
      <c r="C14" s="23" t="n">
        <v>1.154</v>
      </c>
      <c r="D14" s="23" t="n">
        <v>6.002</v>
      </c>
      <c r="E14" s="23" t="n">
        <v>1.057</v>
      </c>
      <c r="F14" s="23" t="n">
        <v>1.064</v>
      </c>
      <c r="G14" s="23" t="n">
        <v>1.657</v>
      </c>
      <c r="H14" s="23" t="n">
        <v>3.618</v>
      </c>
      <c r="I14" s="23" t="n">
        <v>5.51</v>
      </c>
      <c r="J14" s="23" t="n">
        <v>6.539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2026-10-21T01:06:41Z</dcterms:modified>
  <cp:lastModifiedBy>Wang, Eric</cp:lastModifiedBy>
</cp:coreProperties>
</file>