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Scilex Holding Co</t>
        </is>
      </c>
      <c r="C2" s="10" t="n"/>
    </row>
    <row r="3">
      <c r="B3" t="inlineStr">
        <is>
          <t>Price</t>
        </is>
      </c>
      <c r="C3" s="11">
        <f>INDEX([1]Pharma!$F$1:$F$1000,MATCH("SCLX",[1]Pharma!$B$1:$B$1000,0))</f>
        <v>2.53</v>
      </c>
      <c r="F3" s="1" t="n"/>
    </row>
    <row r="4">
      <c r="B4" t="inlineStr">
        <is>
          <t>Shares</t>
        </is>
      </c>
      <c r="C4" s="21" t="n">
        <v>8.493</v>
      </c>
      <c r="F4" s="1" t="n"/>
    </row>
    <row r="5">
      <c r="B5" t="inlineStr">
        <is>
          <t>Market Cap.</t>
        </is>
      </c>
      <c r="C5" s="13">
        <f>C3*C4</f>
        <v>21.487289999999998</v>
      </c>
      <c r="F5" s="1" t="n"/>
    </row>
    <row r="6"/>
    <row r="7">
      <c r="B7" t="inlineStr">
        <is>
          <t>Cash</t>
        </is>
      </c>
      <c r="C7" s="21" t="n">
        <v>0.5659999999999999</v>
      </c>
    </row>
    <row r="8">
      <c r="B8" t="inlineStr">
        <is>
          <t>Debt</t>
        </is>
      </c>
      <c r="C8" s="21" t="n">
        <v>80.806</v>
      </c>
    </row>
    <row r="9">
      <c r="B9" t="inlineStr">
        <is>
          <t>Enterprise V.</t>
        </is>
      </c>
      <c r="C9" s="13">
        <f>C5-C7+C8</f>
        <v>101.72729</v>
      </c>
    </row>
    <row r="10"/>
    <row r="11">
      <c r="B11" s="14" t="inlineStr">
        <is>
          <t>Net Cash / Share</t>
        </is>
      </c>
      <c r="C11" s="11">
        <f>(C7-C8)/C4</f>
        <v>-9.447780525138349</v>
      </c>
    </row>
    <row r="12">
      <c r="B12" s="14" t="inlineStr">
        <is>
          <t>Upside</t>
        </is>
      </c>
      <c r="C12" s="15">
        <f>IFERROR(C11/C3-1,"")</f>
        <v>-4.734300602821482</v>
      </c>
    </row>
    <row r="13">
      <c r="B13" s="14" t="inlineStr">
        <is>
          <t>Cash / Share</t>
        </is>
      </c>
      <c r="C13" s="11">
        <f>IFERROR((C7-C8)/C4,"")</f>
        <v>-9.447780525138349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-17.085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net debt</v>
      </c>
    </row>
    <row r="19">
      <c r="B19" s="14" t="inlineStr">
        <is>
          <t>Implied Pipeline Value</t>
        </is>
      </c>
      <c r="C19" s="13">
        <f>C9</f>
        <v>101.72729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0.024</v>
      </c>
      <c r="C2" s="23" t="n">
        <v>31.317</v>
      </c>
      <c r="D2" s="23" t="n">
        <v>38.034</v>
      </c>
      <c r="E2" s="23" t="n">
        <v>46.743</v>
      </c>
      <c r="F2" s="23" t="n">
        <v>56.59</v>
      </c>
      <c r="G2" s="23" t="n">
        <v>30.253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2.149</v>
      </c>
      <c r="C3" s="23" t="n">
        <v>3.634</v>
      </c>
      <c r="D3" s="23" t="n">
        <v>10.797</v>
      </c>
      <c r="E3" s="23" t="n">
        <v>15.681</v>
      </c>
      <c r="F3" s="23" t="n">
        <v>110.848</v>
      </c>
      <c r="G3" s="23" t="n">
        <v>96.262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-2.125</v>
      </c>
      <c r="C4" s="23">
        <f>C2-C3</f>
        <v>27.683</v>
      </c>
      <c r="D4" s="23">
        <f>D2-D3</f>
        <v>27.237</v>
      </c>
      <c r="E4" s="23">
        <f>E2-E3</f>
        <v>31.062000000000005</v>
      </c>
      <c r="F4" s="23">
        <f>F2-F3</f>
        <v>-54.257999999999996</v>
      </c>
      <c r="G4" s="23">
        <f>G2-G3</f>
        <v>-66.009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9.961</v>
      </c>
      <c r="C5" s="23" t="n">
        <v>9.201000000000001</v>
      </c>
      <c r="D5" s="23" t="n">
        <v>9.054</v>
      </c>
      <c r="E5" s="23" t="n">
        <v>12.746</v>
      </c>
      <c r="F5" s="23" t="n">
        <v>9.641</v>
      </c>
      <c r="G5" s="23" t="n">
        <v>20.71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23.172</v>
      </c>
      <c r="C6" s="23" t="n">
        <v>54.32</v>
      </c>
      <c r="D6" s="23" t="n">
        <v>68.81699999999999</v>
      </c>
      <c r="E6" s="23" t="n">
        <v>123.747</v>
      </c>
      <c r="F6" s="23" t="n">
        <v>19.497</v>
      </c>
      <c r="G6" s="23" t="n">
        <v>259.288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33.133</v>
      </c>
      <c r="C7" s="23">
        <f>SUM(C5:C6)</f>
        <v>63.521</v>
      </c>
      <c r="D7" s="23">
        <f>SUM(D5:D6)</f>
        <v>77.871</v>
      </c>
      <c r="E7" s="23">
        <f>SUM(E5:E6)</f>
        <v>136.493</v>
      </c>
      <c r="F7" s="23">
        <f>SUM(F5:F6)</f>
        <v>29.137999999999998</v>
      </c>
      <c r="G7" s="23">
        <f>SUM(G5:G6)</f>
        <v>279.998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-35.258</v>
      </c>
      <c r="C8" s="23">
        <f>C4-C7</f>
        <v>-35.838</v>
      </c>
      <c r="D8" s="23">
        <f>D4-D7</f>
        <v>-50.634</v>
      </c>
      <c r="E8" s="23">
        <f>E4-E7</f>
        <v>-105.43099999999998</v>
      </c>
      <c r="F8" s="23">
        <f>F4-F7</f>
        <v>-83.39599999999999</v>
      </c>
      <c r="G8" s="23">
        <f>G4-G7</f>
        <v>-346.007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-12.314</v>
      </c>
      <c r="C9" s="23" t="n">
        <v>-52.581</v>
      </c>
      <c r="D9" s="23" t="n">
        <v>27.274</v>
      </c>
      <c r="E9" s="23" t="n">
        <v>-8.887</v>
      </c>
      <c r="F9" s="23" t="n">
        <v>10.588</v>
      </c>
      <c r="G9" s="23" t="n">
        <v>-28.02</v>
      </c>
    </row>
    <row r="10">
      <c r="A10" s="2" t="inlineStr">
        <is>
          <t>Pretax</t>
        </is>
      </c>
      <c r="B10" s="23">
        <f>B8+B9</f>
        <v>-47.572</v>
      </c>
      <c r="C10" s="23">
        <f>C8+C9</f>
        <v>-88.41900000000001</v>
      </c>
      <c r="D10" s="23">
        <f>D8+D9</f>
        <v>-23.36</v>
      </c>
      <c r="E10" s="23">
        <f>E8+E9</f>
        <v>-114.31799999999998</v>
      </c>
      <c r="F10" s="23">
        <f>F8+F9</f>
        <v>-72.80799999999999</v>
      </c>
      <c r="G10" s="23">
        <f>G8+G9</f>
        <v>-374.027</v>
      </c>
      <c r="I10" s="1" t="n"/>
      <c r="J10" s="1" t="n"/>
      <c r="K10" s="1" t="n"/>
    </row>
    <row r="11">
      <c r="A11" s="2" t="inlineStr">
        <is>
          <t>Taxes</t>
        </is>
      </c>
      <c r="B11" s="23" t="n">
        <v>-0.053</v>
      </c>
      <c r="C11" s="23" t="n">
        <v>0.005</v>
      </c>
      <c r="D11" s="23" t="n">
        <v>0.004</v>
      </c>
      <c r="E11" s="23" t="n">
        <v>0.013</v>
      </c>
      <c r="F11" s="23" t="n">
        <v>-0.001</v>
      </c>
      <c r="G11" s="23" t="n">
        <v>0.026</v>
      </c>
    </row>
    <row r="12">
      <c r="A12" s="2" t="inlineStr">
        <is>
          <t>Net Income</t>
        </is>
      </c>
      <c r="B12" s="23" t="n">
        <v>-47.519</v>
      </c>
      <c r="C12" s="23" t="n">
        <v>-88.42400000000001</v>
      </c>
      <c r="D12" s="23" t="n">
        <v>-23.364</v>
      </c>
      <c r="E12" s="23" t="n">
        <v>-114.331</v>
      </c>
      <c r="F12" s="23" t="n">
        <v>-72.807</v>
      </c>
      <c r="G12" s="23" t="n">
        <v>-374.053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-4.648698884758365</v>
      </c>
      <c r="C13" s="11">
        <f>IFERROR(C12/C14,0)</f>
        <v>-8.652054794520549</v>
      </c>
      <c r="D13" s="11">
        <f>IFERROR(D12/D14,0)</f>
        <v>-2.262857142857143</v>
      </c>
      <c r="E13" s="11">
        <f>IFERROR(E12/E14,0)</f>
        <v>-11.406864212311683</v>
      </c>
      <c r="F13" s="11">
        <f>IFERROR(F12/F14,0)</f>
        <v>-7.176638738294727</v>
      </c>
      <c r="G13" s="11">
        <f>IFERROR(G12/G14,0)</f>
        <v>-33.900036251586</v>
      </c>
    </row>
    <row r="14">
      <c r="A14" s="2" t="inlineStr">
        <is>
          <t>Shares</t>
        </is>
      </c>
      <c r="B14" s="23" t="n">
        <v>10.222</v>
      </c>
      <c r="C14" s="23" t="n">
        <v>10.22</v>
      </c>
      <c r="D14" s="23" t="n">
        <v>10.325</v>
      </c>
      <c r="E14" s="23" t="n">
        <v>10.023</v>
      </c>
      <c r="F14" s="23" t="n">
        <v>10.145</v>
      </c>
      <c r="G14" s="23" t="n">
        <v>11.034</v>
      </c>
    </row>
    <row r="15"/>
    <row r="16" customFormat="1" s="4">
      <c r="A16" s="3" t="inlineStr">
        <is>
          <t>Revenue Change</t>
        </is>
      </c>
      <c r="C16" s="15">
        <f>IFERROR(C2/B2-1,"")</f>
        <v>1303.875</v>
      </c>
      <c r="D16" s="15">
        <f>IFERROR(D2/C2-1,"")</f>
        <v>0.2144841459909952</v>
      </c>
      <c r="E16" s="15">
        <f>IFERROR(E2/D2-1,"")</f>
        <v>0.22897933427985495</v>
      </c>
      <c r="F16" s="15">
        <f>IFERROR(F2/E2-1,"")</f>
        <v>0.21066255909975817</v>
      </c>
      <c r="G16" s="15">
        <f>IFERROR(G2/F2-1,"")</f>
        <v>-0.4654002473935325</v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-88.54166666666667</v>
      </c>
      <c r="C17" s="15">
        <f>IFERROR(C4/C2,"")</f>
        <v>0.8839607880703771</v>
      </c>
      <c r="D17" s="15">
        <f>IFERROR(D4/D2,"")</f>
        <v>0.7161224167849818</v>
      </c>
      <c r="E17" s="15">
        <f>IFERROR(E4/E2,"")</f>
        <v>0.6645273089018677</v>
      </c>
      <c r="F17" s="15">
        <f>IFERROR(F4/F2,"")</f>
        <v>-0.9587913058844317</v>
      </c>
      <c r="G17" s="15">
        <f>IFERROR(G4/G2,"")</f>
        <v>-2.181899315770337</v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-1469.0833333333335</v>
      </c>
      <c r="C18" s="15">
        <f>IFERROR(C8/C2,"")</f>
        <v>-1.1443624868282403</v>
      </c>
      <c r="D18" s="15">
        <f>IFERROR(D8/D2,"")</f>
        <v>-1.3312825366777095</v>
      </c>
      <c r="E18" s="15">
        <f>IFERROR(E8/E2,"")</f>
        <v>-2.255546285005241</v>
      </c>
      <c r="F18" s="15">
        <f>IFERROR(F8/F2,"")</f>
        <v>-1.4736879307298105</v>
      </c>
      <c r="G18" s="15">
        <f>IFERROR(G8/G2,"")</f>
        <v>-11.437113674676892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2026-10-21T01:06:26Z</dcterms:modified>
  <cp:lastModifiedBy>Wang, Eric</cp:lastModifiedBy>
</cp:coreProperties>
</file>