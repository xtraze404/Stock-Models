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BlossomHill Therapeutics Inc</t>
        </is>
      </c>
      <c r="C2" s="10" t="n"/>
    </row>
    <row r="3">
      <c r="B3" t="inlineStr">
        <is>
          <t>Price</t>
        </is>
      </c>
      <c r="C3" s="11">
        <f>INDEX([1]Pharma!$F$1:$F$1000,MATCH("BLSM",[1]Pharma!$B$1:$B$1000,0))</f>
        <v>14.4</v>
      </c>
      <c r="F3" s="1" t="n"/>
    </row>
    <row r="4">
      <c r="B4" t="inlineStr">
        <is>
          <t>Shares</t>
        </is>
      </c>
      <c r="C4" s="12" t="n">
        <v>31.784909</v>
      </c>
      <c r="F4" s="1" t="n"/>
    </row>
    <row r="5">
      <c r="B5" t="inlineStr">
        <is>
          <t>Market Cap.</t>
        </is>
      </c>
      <c r="C5" s="13">
        <f>C3*C4</f>
        <v>457.7026896</v>
      </c>
      <c r="F5" s="1" t="n"/>
    </row>
    <row r="6"/>
    <row r="7">
      <c r="B7" t="inlineStr">
        <is>
          <t>Cash</t>
        </is>
      </c>
      <c r="C7" s="12" t="n">
        <v>95.376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362.3266896</v>
      </c>
    </row>
    <row r="10"/>
    <row r="11">
      <c r="B11" s="14" t="inlineStr">
        <is>
          <t>rNPV / Share</t>
        </is>
      </c>
      <c r="C11" s="11">
        <f>NPV!B27</f>
        <v>10.365524960312989</v>
      </c>
    </row>
    <row r="12">
      <c r="B12" s="14" t="inlineStr">
        <is>
          <t>Upside</t>
        </is>
      </c>
      <c r="C12" s="15">
        <f>IFERROR(C11/C3-1,"")</f>
        <v>-0.28017187775604246</v>
      </c>
    </row>
    <row r="13">
      <c r="B13" s="14" t="inlineStr">
        <is>
          <t>Cash / Share</t>
        </is>
      </c>
      <c r="C13" s="11">
        <f>IFERROR((C7-C8)/C4,"")</f>
        <v>3.0006692798774415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362.3266896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BlossomHill Therapeutics Inc: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1-PRODUCT(Pipeline!AG4:AG5)</f>
        <v>0.12412641999999996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234.09126760077692</v>
      </c>
      <c r="C29" s="36">
        <f>NPV!B25</f>
        <v>329.46726760077695</v>
      </c>
      <c r="D29" s="37">
        <f>NPV!B27</f>
        <v>10.365524960312989</v>
      </c>
      <c r="E29" s="38">
        <f>NPV!B29</f>
        <v>-0.28017187775604246</v>
      </c>
    </row>
    <row r="30">
      <c r="A30" s="39" t="n">
        <v>1</v>
      </c>
      <c r="B30" s="40">
        <f t="dataTable" ref="B30:E32" r1="B4"/>
        <v>90.29882369232</v>
      </c>
      <c r="C30" s="40">
        <v>185.67482369232</v>
      </c>
      <c r="D30" s="41">
        <v>5.841603123429423</v>
      </c>
      <c r="E30" s="42">
        <v>-0.5943331164285123</v>
      </c>
    </row>
    <row r="31">
      <c r="A31" s="39" t="n">
        <v>2</v>
      </c>
      <c r="B31" s="40">
        <v>234.09126760077692</v>
      </c>
      <c r="C31" s="40">
        <v>329.46726760077695</v>
      </c>
      <c r="D31" s="41">
        <v>10.365524960312989</v>
      </c>
      <c r="E31" s="42">
        <v>-0.28017187775604246</v>
      </c>
    </row>
    <row r="32">
      <c r="A32" s="39" t="n">
        <v>3</v>
      </c>
      <c r="B32" s="40">
        <v>472.4752662079918</v>
      </c>
      <c r="C32" s="40">
        <v>567.8512662079918</v>
      </c>
      <c r="D32" s="41">
        <v>17.865436273798732</v>
      </c>
      <c r="E32" s="42">
        <v>0.2406552967915785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10.365524960312989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5.210125984008105</v>
      </c>
      <c r="C37" s="41">
        <v>6.314854336073437</v>
      </c>
      <c r="D37" s="41">
        <v>7.419582688138769</v>
      </c>
      <c r="E37" s="41">
        <v>9.629039392269434</v>
      </c>
      <c r="F37" s="41">
        <v>11.838496096400098</v>
      </c>
    </row>
    <row r="38">
      <c r="A38" s="44" t="n">
        <v>0.8</v>
      </c>
      <c r="B38" s="41">
        <v>5.94661155205166</v>
      </c>
      <c r="C38" s="41">
        <v>7.41958268813877</v>
      </c>
      <c r="D38" s="41">
        <v>8.89255382422588</v>
      </c>
      <c r="E38" s="41">
        <v>11.838496096400098</v>
      </c>
      <c r="F38" s="41">
        <v>14.784438368574317</v>
      </c>
    </row>
    <row r="39">
      <c r="A39" s="44" t="n">
        <v>1</v>
      </c>
      <c r="B39" s="41">
        <v>6.683097120095215</v>
      </c>
      <c r="C39" s="41">
        <v>8.524311040204102</v>
      </c>
      <c r="D39" s="41">
        <v>10.365524960312989</v>
      </c>
      <c r="E39" s="41">
        <v>14.047952800530762</v>
      </c>
      <c r="F39" s="41">
        <v>17.730380640748532</v>
      </c>
    </row>
    <row r="40">
      <c r="A40" s="44" t="n">
        <v>1.2</v>
      </c>
      <c r="B40" s="41">
        <v>7.419582688138769</v>
      </c>
      <c r="C40" s="41">
        <v>9.629039392269434</v>
      </c>
      <c r="D40" s="41">
        <v>11.838496096400098</v>
      </c>
      <c r="E40" s="41">
        <v>16.257409504661425</v>
      </c>
      <c r="F40" s="41">
        <v>20.676322912922753</v>
      </c>
    </row>
    <row r="41">
      <c r="A41" s="44" t="n">
        <v>1.4</v>
      </c>
      <c r="B41" s="41">
        <v>8.156068256182325</v>
      </c>
      <c r="C41" s="41">
        <v>10.733767744334765</v>
      </c>
      <c r="D41" s="41">
        <v>13.311467232487205</v>
      </c>
      <c r="E41" s="41">
        <v>18.466866208792087</v>
      </c>
      <c r="F41" s="41">
        <v>23.622265185096968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BlossomHill Therapeutics Inc: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Lung cancer</t>
        </is>
      </c>
      <c r="C4" s="14" t="inlineStr">
        <is>
          <t>BH-30643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34" t="n">
        <v>3000</v>
      </c>
      <c r="H4" s="21" t="n">
        <v>0.07539999999999999</v>
      </c>
      <c r="I4" s="20" t="n">
        <v>2032</v>
      </c>
      <c r="J4" s="33">
        <f>I4+Assumptions!$B$25</f>
        <v>2044.0</v>
      </c>
      <c r="K4" s="47">
        <f>Assumptions!$E$13</f>
        <v>0.4</v>
      </c>
      <c r="L4" s="48">
        <f>K4*SUMPRODUCT(M4:AF4,NPV!$C$15:$V$15)</f>
        <v>227.09625739047448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0</v>
      </c>
      <c r="Q4" s="48">
        <f>IF(Q$3&lt;$I4,0,$G4*Assumptions!$E$11*INDEX(Assumptions!$B$24:$G$24,MIN(6,Q$3-$I4+1))*IF(Q$3&gt;$J4,(1-Assumptions!$B$26)^(Q$3-$J4),1)*IF($H4&gt;=1,1,MIN(0.97,$H4*Assumptions!$E$12)))</f>
        <v>0</v>
      </c>
      <c r="R4" s="48">
        <f>IF(R$3&lt;$I4,0,$G4*Assumptions!$E$11*INDEX(Assumptions!$B$24:$G$24,MIN(6,R$3-$I4+1))*IF(R$3&gt;$J4,(1-Assumptions!$B$26)^(R$3-$J4),1)*IF($H4&gt;=1,1,MIN(0.97,$H4*Assumptions!$E$12)))</f>
        <v>0</v>
      </c>
      <c r="S4" s="48">
        <f>IF(S$3&lt;$I4,0,$G4*Assumptions!$E$11*INDEX(Assumptions!$B$24:$G$24,MIN(6,S$3-$I4+1))*IF(S$3&gt;$J4,(1-Assumptions!$B$26)^(S$3-$J4),1)*IF($H4&gt;=1,1,MIN(0.97,$H4*Assumptions!$E$12)))</f>
        <v>22.619999999999997</v>
      </c>
      <c r="T4" s="48">
        <f>IF(T$3&lt;$I4,0,$G4*Assumptions!$E$11*INDEX(Assumptions!$B$24:$G$24,MIN(6,T$3-$I4+1))*IF(T$3&gt;$J4,(1-Assumptions!$B$26)^(T$3-$J4),1)*IF($H4&gt;=1,1,MIN(0.97,$H4*Assumptions!$E$12)))</f>
        <v>56.55</v>
      </c>
      <c r="U4" s="48">
        <f>IF(U$3&lt;$I4,0,$G4*Assumptions!$E$11*INDEX(Assumptions!$B$24:$G$24,MIN(6,U$3-$I4+1))*IF(U$3&gt;$J4,(1-Assumptions!$B$26)^(U$3-$J4),1)*IF($H4&gt;=1,1,MIN(0.97,$H4*Assumptions!$E$12)))</f>
        <v>101.78999999999999</v>
      </c>
      <c r="V4" s="48">
        <f>IF(V$3&lt;$I4,0,$G4*Assumptions!$E$11*INDEX(Assumptions!$B$24:$G$24,MIN(6,V$3-$I4+1))*IF(V$3&gt;$J4,(1-Assumptions!$B$26)^(V$3-$J4),1)*IF($H4&gt;=1,1,MIN(0.97,$H4*Assumptions!$E$12)))</f>
        <v>147.03</v>
      </c>
      <c r="W4" s="48">
        <f>IF(W$3&lt;$I4,0,$G4*Assumptions!$E$11*INDEX(Assumptions!$B$24:$G$24,MIN(6,W$3-$I4+1))*IF(W$3&gt;$J4,(1-Assumptions!$B$26)^(W$3-$J4),1)*IF($H4&gt;=1,1,MIN(0.97,$H4*Assumptions!$E$12)))</f>
        <v>192.26999999999998</v>
      </c>
      <c r="X4" s="48">
        <f>IF(X$3&lt;$I4,0,$G4*Assumptions!$E$11*INDEX(Assumptions!$B$24:$G$24,MIN(6,X$3-$I4+1))*IF(X$3&gt;$J4,(1-Assumptions!$B$26)^(X$3-$J4),1)*IF($H4&gt;=1,1,MIN(0.97,$H4*Assumptions!$E$12)))</f>
        <v>226.2</v>
      </c>
      <c r="Y4" s="48">
        <f>IF(Y$3&lt;$I4,0,$G4*Assumptions!$E$11*INDEX(Assumptions!$B$24:$G$24,MIN(6,Y$3-$I4+1))*IF(Y$3&gt;$J4,(1-Assumptions!$B$26)^(Y$3-$J4),1)*IF($H4&gt;=1,1,MIN(0.97,$H4*Assumptions!$E$12)))</f>
        <v>226.2</v>
      </c>
      <c r="Z4" s="48">
        <f>IF(Z$3&lt;$I4,0,$G4*Assumptions!$E$11*INDEX(Assumptions!$B$24:$G$24,MIN(6,Z$3-$I4+1))*IF(Z$3&gt;$J4,(1-Assumptions!$B$26)^(Z$3-$J4),1)*IF($H4&gt;=1,1,MIN(0.97,$H4*Assumptions!$E$12)))</f>
        <v>226.2</v>
      </c>
      <c r="AA4" s="48">
        <f>IF(AA$3&lt;$I4,0,$G4*Assumptions!$E$11*INDEX(Assumptions!$B$24:$G$24,MIN(6,AA$3-$I4+1))*IF(AA$3&gt;$J4,(1-Assumptions!$B$26)^(AA$3-$J4),1)*IF($H4&gt;=1,1,MIN(0.97,$H4*Assumptions!$E$12)))</f>
        <v>226.2</v>
      </c>
      <c r="AB4" s="48">
        <f>IF(AB$3&lt;$I4,0,$G4*Assumptions!$E$11*INDEX(Assumptions!$B$24:$G$24,MIN(6,AB$3-$I4+1))*IF(AB$3&gt;$J4,(1-Assumptions!$B$26)^(AB$3-$J4),1)*IF($H4&gt;=1,1,MIN(0.97,$H4*Assumptions!$E$12)))</f>
        <v>226.2</v>
      </c>
      <c r="AC4" s="48">
        <f>IF(AC$3&lt;$I4,0,$G4*Assumptions!$E$11*INDEX(Assumptions!$B$24:$G$24,MIN(6,AC$3-$I4+1))*IF(AC$3&gt;$J4,(1-Assumptions!$B$26)^(AC$3-$J4),1)*IF($H4&gt;=1,1,MIN(0.97,$H4*Assumptions!$E$12)))</f>
        <v>226.2</v>
      </c>
      <c r="AD4" s="48">
        <f>IF(AD$3&lt;$I4,0,$G4*Assumptions!$E$11*INDEX(Assumptions!$B$24:$G$24,MIN(6,AD$3-$I4+1))*IF(AD$3&gt;$J4,(1-Assumptions!$B$26)^(AD$3-$J4),1)*IF($H4&gt;=1,1,MIN(0.97,$H4*Assumptions!$E$12)))</f>
        <v>226.2</v>
      </c>
      <c r="AE4" s="48">
        <f>IF(AE$3&lt;$I4,0,$G4*Assumptions!$E$11*INDEX(Assumptions!$B$24:$G$24,MIN(6,AE$3-$I4+1))*IF(AE$3&gt;$J4,(1-Assumptions!$B$26)^(AE$3-$J4),1)*IF($H4&gt;=1,1,MIN(0.97,$H4*Assumptions!$E$12)))</f>
        <v>226.2</v>
      </c>
      <c r="AF4" s="48">
        <f>IF(AF$3&lt;$I4,0,$G4*Assumptions!$E$11*INDEX(Assumptions!$B$24:$G$24,MIN(6,AF$3-$I4+1))*IF(AF$3&gt;$J4,(1-Assumptions!$B$26)^(AF$3-$J4),1)*IF($H4&gt;=1,1,MIN(0.97,$H4*Assumptions!$E$12)))</f>
        <v>113.1</v>
      </c>
      <c r="AG4" s="29">
        <f>IF(F4="Owned",1-IF(H4&gt;=1,1,MIN(0.97,H4*Assumptions!$E$12)),1)</f>
        <v>0.9246</v>
      </c>
    </row>
    <row r="5">
      <c r="A5" s="33" t="n">
        <v>2</v>
      </c>
      <c r="B5" s="14" t="inlineStr">
        <is>
          <t>Leukemia</t>
        </is>
      </c>
      <c r="C5" s="14" t="inlineStr">
        <is>
          <t>BH-30236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34" t="n">
        <v>1500</v>
      </c>
      <c r="H5" s="21" t="n">
        <v>0.0527</v>
      </c>
      <c r="I5" s="20" t="n">
        <v>2033</v>
      </c>
      <c r="J5" s="33">
        <f>I5+Assumptions!$B$25</f>
        <v>2045.0</v>
      </c>
      <c r="K5" s="47">
        <f>Assumptions!$E$13</f>
        <v>0.4</v>
      </c>
      <c r="L5" s="48">
        <f>K5*SUMPRODUCT(M5:AF5,NPV!$C$15:$V$15)</f>
        <v>69.22180286367352</v>
      </c>
      <c r="M5" s="48">
        <f>IF(M$3&lt;$I5,0,$G5*Assumptions!$E$11*INDEX(Assumptions!$B$24:$G$24,MIN(6,M$3-$I5+1))*IF(M$3&gt;$J5,(1-Assumptions!$B$26)^(M$3-$J5),1)*IF($H5&gt;=1,1,MIN(0.97,$H5*Assumptions!$E$12)))</f>
        <v>0</v>
      </c>
      <c r="N5" s="48">
        <f>IF(N$3&lt;$I5,0,$G5*Assumptions!$E$11*INDEX(Assumptions!$B$24:$G$24,MIN(6,N$3-$I5+1))*IF(N$3&gt;$J5,(1-Assumptions!$B$26)^(N$3-$J5),1)*IF($H5&gt;=1,1,MIN(0.97,$H5*Assumptions!$E$12)))</f>
        <v>0</v>
      </c>
      <c r="O5" s="48">
        <f>IF(O$3&lt;$I5,0,$G5*Assumptions!$E$11*INDEX(Assumptions!$B$24:$G$24,MIN(6,O$3-$I5+1))*IF(O$3&gt;$J5,(1-Assumptions!$B$26)^(O$3-$J5),1)*IF($H5&gt;=1,1,MIN(0.97,$H5*Assumptions!$E$12)))</f>
        <v>0</v>
      </c>
      <c r="P5" s="48">
        <f>IF(P$3&lt;$I5,0,$G5*Assumptions!$E$11*INDEX(Assumptions!$B$24:$G$24,MIN(6,P$3-$I5+1))*IF(P$3&gt;$J5,(1-Assumptions!$B$26)^(P$3-$J5),1)*IF($H5&gt;=1,1,MIN(0.97,$H5*Assumptions!$E$12)))</f>
        <v>0</v>
      </c>
      <c r="Q5" s="48">
        <f>IF(Q$3&lt;$I5,0,$G5*Assumptions!$E$11*INDEX(Assumptions!$B$24:$G$24,MIN(6,Q$3-$I5+1))*IF(Q$3&gt;$J5,(1-Assumptions!$B$26)^(Q$3-$J5),1)*IF($H5&gt;=1,1,MIN(0.97,$H5*Assumptions!$E$12)))</f>
        <v>0</v>
      </c>
      <c r="R5" s="48">
        <f>IF(R$3&lt;$I5,0,$G5*Assumptions!$E$11*INDEX(Assumptions!$B$24:$G$24,MIN(6,R$3-$I5+1))*IF(R$3&gt;$J5,(1-Assumptions!$B$26)^(R$3-$J5),1)*IF($H5&gt;=1,1,MIN(0.97,$H5*Assumptions!$E$12)))</f>
        <v>0</v>
      </c>
      <c r="S5" s="48">
        <f>IF(S$3&lt;$I5,0,$G5*Assumptions!$E$11*INDEX(Assumptions!$B$24:$G$24,MIN(6,S$3-$I5+1))*IF(S$3&gt;$J5,(1-Assumptions!$B$26)^(S$3-$J5),1)*IF($H5&gt;=1,1,MIN(0.97,$H5*Assumptions!$E$12)))</f>
        <v>0</v>
      </c>
      <c r="T5" s="48">
        <f>IF(T$3&lt;$I5,0,$G5*Assumptions!$E$11*INDEX(Assumptions!$B$24:$G$24,MIN(6,T$3-$I5+1))*IF(T$3&gt;$J5,(1-Assumptions!$B$26)^(T$3-$J5),1)*IF($H5&gt;=1,1,MIN(0.97,$H5*Assumptions!$E$12)))</f>
        <v>7.904999999999999</v>
      </c>
      <c r="U5" s="48">
        <f>IF(U$3&lt;$I5,0,$G5*Assumptions!$E$11*INDEX(Assumptions!$B$24:$G$24,MIN(6,U$3-$I5+1))*IF(U$3&gt;$J5,(1-Assumptions!$B$26)^(U$3-$J5),1)*IF($H5&gt;=1,1,MIN(0.97,$H5*Assumptions!$E$12)))</f>
        <v>19.7625</v>
      </c>
      <c r="V5" s="48">
        <f>IF(V$3&lt;$I5,0,$G5*Assumptions!$E$11*INDEX(Assumptions!$B$24:$G$24,MIN(6,V$3-$I5+1))*IF(V$3&gt;$J5,(1-Assumptions!$B$26)^(V$3-$J5),1)*IF($H5&gt;=1,1,MIN(0.97,$H5*Assumptions!$E$12)))</f>
        <v>35.5725</v>
      </c>
      <c r="W5" s="48">
        <f>IF(W$3&lt;$I5,0,$G5*Assumptions!$E$11*INDEX(Assumptions!$B$24:$G$24,MIN(6,W$3-$I5+1))*IF(W$3&gt;$J5,(1-Assumptions!$B$26)^(W$3-$J5),1)*IF($H5&gt;=1,1,MIN(0.97,$H5*Assumptions!$E$12)))</f>
        <v>51.3825</v>
      </c>
      <c r="X5" s="48">
        <f>IF(X$3&lt;$I5,0,$G5*Assumptions!$E$11*INDEX(Assumptions!$B$24:$G$24,MIN(6,X$3-$I5+1))*IF(X$3&gt;$J5,(1-Assumptions!$B$26)^(X$3-$J5),1)*IF($H5&gt;=1,1,MIN(0.97,$H5*Assumptions!$E$12)))</f>
        <v>67.1925</v>
      </c>
      <c r="Y5" s="48">
        <f>IF(Y$3&lt;$I5,0,$G5*Assumptions!$E$11*INDEX(Assumptions!$B$24:$G$24,MIN(6,Y$3-$I5+1))*IF(Y$3&gt;$J5,(1-Assumptions!$B$26)^(Y$3-$J5),1)*IF($H5&gt;=1,1,MIN(0.97,$H5*Assumptions!$E$12)))</f>
        <v>79.05</v>
      </c>
      <c r="Z5" s="48">
        <f>IF(Z$3&lt;$I5,0,$G5*Assumptions!$E$11*INDEX(Assumptions!$B$24:$G$24,MIN(6,Z$3-$I5+1))*IF(Z$3&gt;$J5,(1-Assumptions!$B$26)^(Z$3-$J5),1)*IF($H5&gt;=1,1,MIN(0.97,$H5*Assumptions!$E$12)))</f>
        <v>79.05</v>
      </c>
      <c r="AA5" s="48">
        <f>IF(AA$3&lt;$I5,0,$G5*Assumptions!$E$11*INDEX(Assumptions!$B$24:$G$24,MIN(6,AA$3-$I5+1))*IF(AA$3&gt;$J5,(1-Assumptions!$B$26)^(AA$3-$J5),1)*IF($H5&gt;=1,1,MIN(0.97,$H5*Assumptions!$E$12)))</f>
        <v>79.05</v>
      </c>
      <c r="AB5" s="48">
        <f>IF(AB$3&lt;$I5,0,$G5*Assumptions!$E$11*INDEX(Assumptions!$B$24:$G$24,MIN(6,AB$3-$I5+1))*IF(AB$3&gt;$J5,(1-Assumptions!$B$26)^(AB$3-$J5),1)*IF($H5&gt;=1,1,MIN(0.97,$H5*Assumptions!$E$12)))</f>
        <v>79.05</v>
      </c>
      <c r="AC5" s="48">
        <f>IF(AC$3&lt;$I5,0,$G5*Assumptions!$E$11*INDEX(Assumptions!$B$24:$G$24,MIN(6,AC$3-$I5+1))*IF(AC$3&gt;$J5,(1-Assumptions!$B$26)^(AC$3-$J5),1)*IF($H5&gt;=1,1,MIN(0.97,$H5*Assumptions!$E$12)))</f>
        <v>79.05</v>
      </c>
      <c r="AD5" s="48">
        <f>IF(AD$3&lt;$I5,0,$G5*Assumptions!$E$11*INDEX(Assumptions!$B$24:$G$24,MIN(6,AD$3-$I5+1))*IF(AD$3&gt;$J5,(1-Assumptions!$B$26)^(AD$3-$J5),1)*IF($H5&gt;=1,1,MIN(0.97,$H5*Assumptions!$E$12)))</f>
        <v>79.05</v>
      </c>
      <c r="AE5" s="48">
        <f>IF(AE$3&lt;$I5,0,$G5*Assumptions!$E$11*INDEX(Assumptions!$B$24:$G$24,MIN(6,AE$3-$I5+1))*IF(AE$3&gt;$J5,(1-Assumptions!$B$26)^(AE$3-$J5),1)*IF($H5&gt;=1,1,MIN(0.97,$H5*Assumptions!$E$12)))</f>
        <v>79.05</v>
      </c>
      <c r="AF5" s="48">
        <f>IF(AF$3&lt;$I5,0,$G5*Assumptions!$E$11*INDEX(Assumptions!$B$24:$G$24,MIN(6,AF$3-$I5+1))*IF(AF$3&gt;$J5,(1-Assumptions!$B$26)^(AF$3-$J5),1)*IF($H5&gt;=1,1,MIN(0.97,$H5*Assumptions!$E$12)))</f>
        <v>79.05</v>
      </c>
      <c r="AG5" s="29">
        <f>IF(F5="Owned",1-IF(H5&gt;=1,1,MIN(0.97,H5*Assumptions!$E$12)),1)</f>
        <v>0.9473</v>
      </c>
    </row>
    <row r="6">
      <c r="B6" s="18" t="inlineStr">
        <is>
          <t>Risked revenue</t>
        </is>
      </c>
      <c r="L6" s="49">
        <f>SUM(L4:L5)</f>
        <v>296.318060254148</v>
      </c>
      <c r="M6" s="49">
        <f>SUM(M4:M5)</f>
        <v>0.0</v>
      </c>
      <c r="N6" s="49">
        <f>SUM(N4:N5)</f>
        <v>0.0</v>
      </c>
      <c r="O6" s="49">
        <f>SUM(O4:O5)</f>
        <v>0.0</v>
      </c>
      <c r="P6" s="49">
        <f>SUM(P4:P5)</f>
        <v>0.0</v>
      </c>
      <c r="Q6" s="49">
        <f>SUM(Q4:Q5)</f>
        <v>0.0</v>
      </c>
      <c r="R6" s="49">
        <f>SUM(R4:R5)</f>
        <v>0.0</v>
      </c>
      <c r="S6" s="49">
        <f>SUM(S4:S5)</f>
        <v>22.619999999999997</v>
      </c>
      <c r="T6" s="49">
        <f>SUM(T4:T5)</f>
        <v>64.455</v>
      </c>
      <c r="U6" s="49">
        <f>SUM(U4:U5)</f>
        <v>121.5525</v>
      </c>
      <c r="V6" s="49">
        <f>SUM(V4:V5)</f>
        <v>182.6025</v>
      </c>
      <c r="W6" s="49">
        <f>SUM(W4:W5)</f>
        <v>243.65249999999997</v>
      </c>
      <c r="X6" s="49">
        <f>SUM(X4:X5)</f>
        <v>293.3925</v>
      </c>
      <c r="Y6" s="49">
        <f>SUM(Y4:Y5)</f>
        <v>305.25</v>
      </c>
      <c r="Z6" s="49">
        <f>SUM(Z4:Z5)</f>
        <v>305.25</v>
      </c>
      <c r="AA6" s="49">
        <f>SUM(AA4:AA5)</f>
        <v>305.25</v>
      </c>
      <c r="AB6" s="49">
        <f>SUM(AB4:AB5)</f>
        <v>305.25</v>
      </c>
      <c r="AC6" s="49">
        <f>SUM(AC4:AC5)</f>
        <v>305.25</v>
      </c>
      <c r="AD6" s="49">
        <f>SUM(AD4:AD5)</f>
        <v>305.25</v>
      </c>
      <c r="AE6" s="49">
        <f>SUM(AE4:AE5)</f>
        <v>305.25</v>
      </c>
      <c r="AF6" s="49">
        <f>SUM(AF4:AF5)</f>
        <v>192.14999999999998</v>
      </c>
    </row>
    <row r="7">
      <c r="B7" s="18" t="inlineStr">
        <is>
          <t>Risked contribution (revenue x share)</t>
        </is>
      </c>
      <c r="M7" s="50">
        <f>SUMPRODUCT(M4:M5,$K$4:$K$5)</f>
        <v>0.0</v>
      </c>
      <c r="N7" s="50">
        <f>SUMPRODUCT(N4:N5,$K$4:$K$5)</f>
        <v>0.0</v>
      </c>
      <c r="O7" s="50">
        <f>SUMPRODUCT(O4:O5,$K$4:$K$5)</f>
        <v>0.0</v>
      </c>
      <c r="P7" s="50">
        <f>SUMPRODUCT(P4:P5,$K$4:$K$5)</f>
        <v>0.0</v>
      </c>
      <c r="Q7" s="50">
        <f>SUMPRODUCT(Q4:Q5,$K$4:$K$5)</f>
        <v>0.0</v>
      </c>
      <c r="R7" s="50">
        <f>SUMPRODUCT(R4:R5,$K$4:$K$5)</f>
        <v>0.0</v>
      </c>
      <c r="S7" s="50">
        <f>SUMPRODUCT(S4:S5,$K$4:$K$5)</f>
        <v>9.048</v>
      </c>
      <c r="T7" s="50">
        <f>SUMPRODUCT(T4:T5,$K$4:$K$5)</f>
        <v>25.782</v>
      </c>
      <c r="U7" s="50">
        <f>SUMPRODUCT(U4:U5,$K$4:$K$5)</f>
        <v>48.621</v>
      </c>
      <c r="V7" s="50">
        <f>SUMPRODUCT(V4:V5,$K$4:$K$5)</f>
        <v>73.041</v>
      </c>
      <c r="W7" s="50">
        <f>SUMPRODUCT(W4:W5,$K$4:$K$5)</f>
        <v>97.461</v>
      </c>
      <c r="X7" s="50">
        <f>SUMPRODUCT(X4:X5,$K$4:$K$5)</f>
        <v>117.357</v>
      </c>
      <c r="Y7" s="50">
        <f>SUMPRODUCT(Y4:Y5,$K$4:$K$5)</f>
        <v>122.10000000000001</v>
      </c>
      <c r="Z7" s="50">
        <f>SUMPRODUCT(Z4:Z5,$K$4:$K$5)</f>
        <v>122.10000000000001</v>
      </c>
      <c r="AA7" s="50">
        <f>SUMPRODUCT(AA4:AA5,$K$4:$K$5)</f>
        <v>122.10000000000001</v>
      </c>
      <c r="AB7" s="50">
        <f>SUMPRODUCT(AB4:AB5,$K$4:$K$5)</f>
        <v>122.10000000000001</v>
      </c>
      <c r="AC7" s="50">
        <f>SUMPRODUCT(AC4:AC5,$K$4:$K$5)</f>
        <v>122.10000000000001</v>
      </c>
      <c r="AD7" s="50">
        <f>SUMPRODUCT(AD4:AD5,$K$4:$K$5)</f>
        <v>122.10000000000001</v>
      </c>
      <c r="AE7" s="50">
        <f>SUMPRODUCT(AE4:AE5,$K$4:$K$5)</f>
        <v>122.10000000000001</v>
      </c>
      <c r="AF7" s="50">
        <f>SUMPRODUCT(AF4:AF5,$K$4:$K$5)</f>
        <v>76.86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BlossomHill Therapeutics Inc: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Pipeline!M6</f>
        <v>0.0</v>
      </c>
      <c r="D4" s="52">
        <f>Pipeline!N6</f>
        <v>0.0</v>
      </c>
      <c r="E4" s="52">
        <f>Pipeline!O6</f>
        <v>0.0</v>
      </c>
      <c r="F4" s="52">
        <f>Pipeline!P6</f>
        <v>0.0</v>
      </c>
      <c r="G4" s="52">
        <f>Pipeline!Q6</f>
        <v>0.0</v>
      </c>
      <c r="H4" s="52">
        <f>Pipeline!R6</f>
        <v>0.0</v>
      </c>
      <c r="I4" s="52">
        <f>Pipeline!S6</f>
        <v>22.619999999999997</v>
      </c>
      <c r="J4" s="52">
        <f>Pipeline!T6</f>
        <v>64.455</v>
      </c>
      <c r="K4" s="52">
        <f>Pipeline!U6</f>
        <v>121.5525</v>
      </c>
      <c r="L4" s="52">
        <f>Pipeline!V6</f>
        <v>182.6025</v>
      </c>
      <c r="M4" s="52">
        <f>Pipeline!W6</f>
        <v>243.65249999999997</v>
      </c>
      <c r="N4" s="52">
        <f>Pipeline!X6</f>
        <v>293.3925</v>
      </c>
      <c r="O4" s="52">
        <f>Pipeline!Y6</f>
        <v>305.25</v>
      </c>
      <c r="P4" s="52">
        <f>Pipeline!Z6</f>
        <v>305.25</v>
      </c>
      <c r="Q4" s="52">
        <f>Pipeline!AA6</f>
        <v>305.25</v>
      </c>
      <c r="R4" s="52">
        <f>Pipeline!AB6</f>
        <v>305.25</v>
      </c>
      <c r="S4" s="52">
        <f>Pipeline!AC6</f>
        <v>305.25</v>
      </c>
      <c r="T4" s="52">
        <f>Pipeline!AD6</f>
        <v>305.25</v>
      </c>
      <c r="U4" s="52">
        <f>Pipeline!AE6</f>
        <v>305.25</v>
      </c>
      <c r="V4" s="52">
        <f>Pipeline!AF6</f>
        <v>192.14999999999998</v>
      </c>
    </row>
    <row r="5">
      <c r="A5" s="14" t="inlineStr">
        <is>
          <t>Risked contribution</t>
        </is>
      </c>
      <c r="C5" s="52">
        <f>Pipeline!M7</f>
        <v>0.0</v>
      </c>
      <c r="D5" s="52">
        <f>Pipeline!N7</f>
        <v>0.0</v>
      </c>
      <c r="E5" s="52">
        <f>Pipeline!O7</f>
        <v>0.0</v>
      </c>
      <c r="F5" s="52">
        <f>Pipeline!P7</f>
        <v>0.0</v>
      </c>
      <c r="G5" s="52">
        <f>Pipeline!Q7</f>
        <v>0.0</v>
      </c>
      <c r="H5" s="52">
        <f>Pipeline!R7</f>
        <v>0.0</v>
      </c>
      <c r="I5" s="52">
        <f>Pipeline!S7</f>
        <v>9.048</v>
      </c>
      <c r="J5" s="52">
        <f>Pipeline!T7</f>
        <v>25.782</v>
      </c>
      <c r="K5" s="52">
        <f>Pipeline!U7</f>
        <v>48.621</v>
      </c>
      <c r="L5" s="52">
        <f>Pipeline!V7</f>
        <v>73.041</v>
      </c>
      <c r="M5" s="52">
        <f>Pipeline!W7</f>
        <v>97.461</v>
      </c>
      <c r="N5" s="52">
        <f>Pipeline!X7</f>
        <v>117.357</v>
      </c>
      <c r="O5" s="52">
        <f>Pipeline!Y7</f>
        <v>122.10000000000001</v>
      </c>
      <c r="P5" s="52">
        <f>Pipeline!Z7</f>
        <v>122.10000000000001</v>
      </c>
      <c r="Q5" s="52">
        <f>Pipeline!AA7</f>
        <v>122.10000000000001</v>
      </c>
      <c r="R5" s="52">
        <f>Pipeline!AB7</f>
        <v>122.10000000000001</v>
      </c>
      <c r="S5" s="52">
        <f>Pipeline!AC7</f>
        <v>122.10000000000001</v>
      </c>
      <c r="T5" s="52">
        <f>Pipeline!AD7</f>
        <v>122.10000000000001</v>
      </c>
      <c r="U5" s="52">
        <f>Pipeline!AE7</f>
        <v>122.10000000000001</v>
      </c>
      <c r="V5" s="52">
        <f>Pipeline!AF7</f>
        <v>76.86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0.0</v>
      </c>
      <c r="G7" s="48">
        <f>G5+G6</f>
        <v>0.0</v>
      </c>
      <c r="H7" s="48">
        <f>H5+H6</f>
        <v>0.0</v>
      </c>
      <c r="I7" s="48">
        <f>I5+I6</f>
        <v>9.048</v>
      </c>
      <c r="J7" s="48">
        <f>J5+J6</f>
        <v>25.782</v>
      </c>
      <c r="K7" s="48">
        <f>K5+K6</f>
        <v>48.621</v>
      </c>
      <c r="L7" s="48">
        <f>L5+L6</f>
        <v>73.041</v>
      </c>
      <c r="M7" s="48">
        <f>M5+M6</f>
        <v>97.461</v>
      </c>
      <c r="N7" s="48">
        <f>N5+N6</f>
        <v>117.357</v>
      </c>
      <c r="O7" s="48">
        <f>O5+O6</f>
        <v>122.10000000000001</v>
      </c>
      <c r="P7" s="48">
        <f>P5+P6</f>
        <v>122.10000000000001</v>
      </c>
      <c r="Q7" s="48">
        <f>Q5+Q6</f>
        <v>122.10000000000001</v>
      </c>
      <c r="R7" s="48">
        <f>R5+R6</f>
        <v>122.10000000000001</v>
      </c>
      <c r="S7" s="48">
        <f>S5+S6</f>
        <v>122.10000000000001</v>
      </c>
      <c r="T7" s="48">
        <f>T5+T6</f>
        <v>122.10000000000001</v>
      </c>
      <c r="U7" s="48">
        <f>U5+U6</f>
        <v>122.10000000000001</v>
      </c>
      <c r="V7" s="48">
        <f>V5+V6</f>
        <v>76.86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0.0</v>
      </c>
      <c r="G9" s="48">
        <f>MAX(0,G7)-G8</f>
        <v>0.0</v>
      </c>
      <c r="H9" s="48">
        <f>MAX(0,H7)-H8</f>
        <v>0.0</v>
      </c>
      <c r="I9" s="48">
        <f>MAX(0,I7)-I8</f>
        <v>9.048</v>
      </c>
      <c r="J9" s="48">
        <f>MAX(0,J7)-J8</f>
        <v>25.782</v>
      </c>
      <c r="K9" s="48">
        <f>MAX(0,K7)-K8</f>
        <v>48.621</v>
      </c>
      <c r="L9" s="48">
        <f>MAX(0,L7)-L8</f>
        <v>73.041</v>
      </c>
      <c r="M9" s="48">
        <f>MAX(0,M7)-M8</f>
        <v>97.461</v>
      </c>
      <c r="N9" s="48">
        <f>MAX(0,N7)-N8</f>
        <v>117.357</v>
      </c>
      <c r="O9" s="48">
        <f>MAX(0,O7)-O8</f>
        <v>122.10000000000001</v>
      </c>
      <c r="P9" s="48">
        <f>MAX(0,P7)-P8</f>
        <v>122.10000000000001</v>
      </c>
      <c r="Q9" s="48">
        <f>MAX(0,Q7)-Q8</f>
        <v>122.10000000000001</v>
      </c>
      <c r="R9" s="48">
        <f>MAX(0,R7)-R8</f>
        <v>122.10000000000001</v>
      </c>
      <c r="S9" s="48">
        <f>MAX(0,S7)-S8</f>
        <v>122.10000000000001</v>
      </c>
      <c r="T9" s="48">
        <f>MAX(0,T7)-T8</f>
        <v>122.10000000000001</v>
      </c>
      <c r="U9" s="48">
        <f>MAX(0,U7)-U8</f>
        <v>122.10000000000001</v>
      </c>
      <c r="V9" s="48">
        <f>MAX(0,V7)-V8</f>
        <v>76.86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0.0</v>
      </c>
      <c r="G10" s="48">
        <f>G9*Assumptions!$E$15</f>
        <v>0.0</v>
      </c>
      <c r="H10" s="48">
        <f>H9*Assumptions!$E$15</f>
        <v>0.0</v>
      </c>
      <c r="I10" s="48">
        <f>I9*Assumptions!$E$15</f>
        <v>1.90008</v>
      </c>
      <c r="J10" s="48">
        <f>J9*Assumptions!$E$15</f>
        <v>5.414219999999999</v>
      </c>
      <c r="K10" s="48">
        <f>K9*Assumptions!$E$15</f>
        <v>10.21041</v>
      </c>
      <c r="L10" s="48">
        <f>L9*Assumptions!$E$15</f>
        <v>15.33861</v>
      </c>
      <c r="M10" s="48">
        <f>M9*Assumptions!$E$15</f>
        <v>20.46681</v>
      </c>
      <c r="N10" s="48">
        <f>N9*Assumptions!$E$15</f>
        <v>24.64497</v>
      </c>
      <c r="O10" s="48">
        <f>O9*Assumptions!$E$15</f>
        <v>25.641000000000002</v>
      </c>
      <c r="P10" s="48">
        <f>P9*Assumptions!$E$15</f>
        <v>25.641000000000002</v>
      </c>
      <c r="Q10" s="48">
        <f>Q9*Assumptions!$E$15</f>
        <v>25.641000000000002</v>
      </c>
      <c r="R10" s="48">
        <f>R9*Assumptions!$E$15</f>
        <v>25.641000000000002</v>
      </c>
      <c r="S10" s="48">
        <f>S9*Assumptions!$E$15</f>
        <v>25.641000000000002</v>
      </c>
      <c r="T10" s="48">
        <f>T9*Assumptions!$E$15</f>
        <v>25.641000000000002</v>
      </c>
      <c r="U10" s="48">
        <f>U9*Assumptions!$E$15</f>
        <v>25.641000000000002</v>
      </c>
      <c r="V10" s="48">
        <f>V9*Assumptions!$E$15</f>
        <v>16.1406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0.0</v>
      </c>
      <c r="G11" s="50">
        <f>G7-G10</f>
        <v>0.0</v>
      </c>
      <c r="H11" s="50">
        <f>H7-H10</f>
        <v>0.0</v>
      </c>
      <c r="I11" s="50">
        <f>I7-I10</f>
        <v>7.14792</v>
      </c>
      <c r="J11" s="50">
        <f>J7-J10</f>
        <v>20.36778</v>
      </c>
      <c r="K11" s="50">
        <f>K7-K10</f>
        <v>38.41059</v>
      </c>
      <c r="L11" s="50">
        <f>L7-L10</f>
        <v>57.702389999999994</v>
      </c>
      <c r="M11" s="50">
        <f>M7-M10</f>
        <v>76.99419</v>
      </c>
      <c r="N11" s="50">
        <f>N7-N10</f>
        <v>92.71203</v>
      </c>
      <c r="O11" s="50">
        <f>O7-O10</f>
        <v>96.459</v>
      </c>
      <c r="P11" s="50">
        <f>P7-P10</f>
        <v>96.459</v>
      </c>
      <c r="Q11" s="50">
        <f>Q7-Q10</f>
        <v>96.459</v>
      </c>
      <c r="R11" s="50">
        <f>R7-R10</f>
        <v>96.459</v>
      </c>
      <c r="S11" s="50">
        <f>S7-S10</f>
        <v>96.459</v>
      </c>
      <c r="T11" s="50">
        <f>T7-T10</f>
        <v>96.459</v>
      </c>
      <c r="U11" s="50">
        <f>U7-U10</f>
        <v>96.459</v>
      </c>
      <c r="V11" s="50">
        <f>V7-V10</f>
        <v>60.7194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0.0</v>
      </c>
      <c r="G16" s="50">
        <f>G11*G15</f>
        <v>0.0</v>
      </c>
      <c r="H16" s="50">
        <f>H11*H15</f>
        <v>0.0</v>
      </c>
      <c r="I16" s="50">
        <f>I11*I15</f>
        <v>3.6196764588711825</v>
      </c>
      <c r="J16" s="50">
        <f>J11*J15</f>
        <v>9.209069334838878</v>
      </c>
      <c r="K16" s="50">
        <f>K11*K15</f>
        <v>15.506186491170508</v>
      </c>
      <c r="L16" s="50">
        <f>L11*L15</f>
        <v>20.79839412977022</v>
      </c>
      <c r="M16" s="50">
        <f>M11*M15</f>
        <v>24.778552582521357</v>
      </c>
      <c r="N16" s="50">
        <f>N11*N15</f>
        <v>26.64011204689713</v>
      </c>
      <c r="O16" s="50">
        <f>O11*O15</f>
        <v>24.74712142776604</v>
      </c>
      <c r="P16" s="50">
        <f>P11*P15</f>
        <v>22.09564413193396</v>
      </c>
      <c r="Q16" s="50">
        <f>Q11*Q15</f>
        <v>19.72825368922675</v>
      </c>
      <c r="R16" s="50">
        <f>R11*R15</f>
        <v>17.61451222252388</v>
      </c>
      <c r="S16" s="50">
        <f>S11*S15</f>
        <v>15.727243055824893</v>
      </c>
      <c r="T16" s="50">
        <f>T11*T15</f>
        <v>14.042181299843653</v>
      </c>
      <c r="U16" s="50">
        <f>U11*U15</f>
        <v>12.537661874860405</v>
      </c>
      <c r="V16" s="50">
        <f>V11*V15</f>
        <v>7.046658854728051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296.318060254148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-62.22679265337107</v>
      </c>
    </row>
    <row r="22">
      <c r="A22" s="18" t="inlineStr">
        <is>
          <t>Pipeline rNPV (operations)</t>
        </is>
      </c>
      <c r="B22" s="49">
        <f>SUM(C16:V16)</f>
        <v>234.09126760077692</v>
      </c>
    </row>
    <row r="23">
      <c r="A23" s="14" t="inlineStr">
        <is>
          <t>Cash &amp; investments</t>
        </is>
      </c>
      <c r="B23" s="52">
        <f>Main!C7</f>
        <v>95.376</v>
      </c>
    </row>
    <row r="24">
      <c r="A24" s="14" t="inlineStr">
        <is>
          <t>Debt</t>
        </is>
      </c>
      <c r="B24" s="52">
        <f>Main!C8</f>
        <v>0</v>
      </c>
    </row>
    <row r="25">
      <c r="A25" s="18" t="inlineStr">
        <is>
          <t>Equity value</t>
        </is>
      </c>
      <c r="B25" s="49">
        <f>B22+B23-B24</f>
        <v>329.46726760077695</v>
      </c>
    </row>
    <row r="26">
      <c r="A26" s="14" t="inlineStr">
        <is>
          <t>Shares (mm)</t>
        </is>
      </c>
      <c r="B26" s="52">
        <f>Main!C4</f>
        <v>31.784909</v>
      </c>
    </row>
    <row r="27">
      <c r="A27" s="18" t="inlineStr">
        <is>
          <t>rNPV / share</t>
        </is>
      </c>
      <c r="B27" s="55">
        <f>B25/B26</f>
        <v>10.365524960312989</v>
      </c>
    </row>
    <row r="28">
      <c r="A28" s="14" t="inlineStr">
        <is>
          <t>Price</t>
        </is>
      </c>
      <c r="B28" s="56">
        <f>Main!C3</f>
        <v>14.4</v>
      </c>
    </row>
    <row r="29">
      <c r="A29" s="14" t="inlineStr">
        <is>
          <t>Upside</t>
        </is>
      </c>
      <c r="B29" s="57">
        <f>B27/B28-1</f>
        <v>-0.28017187775604246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2026-10-21T06:25:08Z</dcterms:modified>
  <cp:lastModifiedBy>Wang, Eric</cp:lastModifiedBy>
</cp:coreProperties>
</file>