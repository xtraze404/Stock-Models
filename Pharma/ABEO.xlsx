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Abeona Therapeutics Inc</t>
        </is>
      </c>
      <c r="C2" s="10" t="n"/>
    </row>
    <row r="3">
      <c r="B3" t="inlineStr">
        <is>
          <t>Price</t>
        </is>
      </c>
      <c r="C3" s="11">
        <f>INDEX([1]Pharma!$F$1:$F$1000,MATCH("ABEO",[1]Pharma!$B$1:$B$1000,0))</f>
        <v>4.6</v>
      </c>
      <c r="F3" s="1" t="n"/>
    </row>
    <row r="4">
      <c r="B4" t="inlineStr">
        <is>
          <t>Shares</t>
        </is>
      </c>
      <c r="C4" s="21" t="n">
        <v>57.184017</v>
      </c>
      <c r="F4" s="1" t="n"/>
    </row>
    <row r="5">
      <c r="B5" t="inlineStr">
        <is>
          <t>Market Cap.</t>
        </is>
      </c>
      <c r="C5" s="13">
        <f>C3*C4</f>
        <v>263.04647819999997</v>
      </c>
      <c r="F5" s="1" t="n"/>
    </row>
    <row r="6"/>
    <row r="7">
      <c r="B7" t="inlineStr">
        <is>
          <t>Cash</t>
        </is>
      </c>
      <c r="C7" s="21">
        <f>56.229+90.597</f>
        <v>146.826</v>
      </c>
    </row>
    <row r="8">
      <c r="B8" t="inlineStr">
        <is>
          <t>Debt</t>
        </is>
      </c>
      <c r="C8" s="21">
        <f>13.333+1.655</f>
        <v>14.988</v>
      </c>
    </row>
    <row r="9">
      <c r="B9" t="inlineStr">
        <is>
          <t>Enterprise V.</t>
        </is>
      </c>
      <c r="C9" s="13">
        <f>C5-C7+C8</f>
        <v>131.20847819999997</v>
      </c>
    </row>
    <row r="10"/>
    <row r="11">
      <c r="B11" s="14" t="inlineStr">
        <is>
          <t>Net Cash / Share</t>
        </is>
      </c>
      <c r="C11" s="11">
        <f>(C7-C8)/C4</f>
        <v>2.30550435097975</v>
      </c>
    </row>
    <row r="12">
      <c r="B12" s="14" t="inlineStr">
        <is>
          <t>Upside</t>
        </is>
      </c>
      <c r="C12" s="15">
        <f>IFERROR(C11/C3-1,"")</f>
        <v>-0.4988034019609239</v>
      </c>
    </row>
    <row r="13">
      <c r="B13" s="14" t="inlineStr">
        <is>
          <t>Cash / Share</t>
        </is>
      </c>
      <c r="C13" s="11">
        <f>IFERROR((C7-C8)/C4,"")</f>
        <v>2.30550435097975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-76.44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1.7247252747252746</v>
      </c>
    </row>
    <row r="19">
      <c r="B19" s="14" t="inlineStr">
        <is>
          <t>Implied Pipeline Value</t>
        </is>
      </c>
      <c r="C19" s="13">
        <f>C9</f>
        <v>131.20847819999997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2010</v>
      </c>
      <c r="C1" s="17" t="n">
        <v>2011</v>
      </c>
      <c r="D1" s="17" t="n">
        <v>2012</v>
      </c>
      <c r="E1" s="17" t="n">
        <v>2013</v>
      </c>
      <c r="F1" s="17" t="n">
        <v>2014</v>
      </c>
      <c r="G1" s="17" t="n">
        <v>2015</v>
      </c>
      <c r="H1" s="17" t="n">
        <v>2016</v>
      </c>
      <c r="I1" s="17" t="n">
        <v>2017</v>
      </c>
      <c r="J1" s="17" t="n">
        <v>2018</v>
      </c>
      <c r="K1" s="17" t="n">
        <v>2019</v>
      </c>
      <c r="L1" s="17" t="n">
        <v>2020</v>
      </c>
      <c r="M1" s="17" t="n">
        <v>2021</v>
      </c>
      <c r="N1" s="17" t="n">
        <v>2022</v>
      </c>
      <c r="O1" s="17" t="n">
        <v>2023</v>
      </c>
      <c r="P1" s="17" t="n">
        <v>2024</v>
      </c>
      <c r="Q1" s="17" t="n">
        <v>2025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0.481</v>
      </c>
      <c r="C2" s="23" t="n">
        <v>1.839</v>
      </c>
      <c r="D2" s="23" t="n">
        <v>4.404</v>
      </c>
      <c r="E2" s="23" t="n">
        <v>2.042</v>
      </c>
      <c r="F2" s="23" t="n">
        <v>0.925</v>
      </c>
      <c r="G2" s="23" t="n">
        <v>1.04</v>
      </c>
      <c r="H2" s="23" t="n">
        <v>0.889</v>
      </c>
      <c r="I2" s="23" t="n">
        <v>0.837</v>
      </c>
      <c r="J2" s="23" t="n">
        <v>2.998</v>
      </c>
      <c r="K2" s="23" t="n">
        <v>0</v>
      </c>
      <c r="L2" s="23" t="n">
        <v>10</v>
      </c>
      <c r="M2" s="23" t="n">
        <v>3</v>
      </c>
      <c r="N2" s="23" t="n">
        <v>1.414</v>
      </c>
      <c r="O2" s="23" t="n">
        <v>3.5</v>
      </c>
      <c r="P2" s="23" t="n">
        <v>0</v>
      </c>
      <c r="Q2" s="23" t="n">
        <v>5.82</v>
      </c>
    </row>
    <row r="3" customFormat="1" s="1">
      <c r="A3" s="5" t="inlineStr">
        <is>
          <t>Cost of Sales</t>
        </is>
      </c>
      <c r="B3" s="23" t="n">
        <v>0.14</v>
      </c>
      <c r="C3" s="23" t="n">
        <v>0.148</v>
      </c>
      <c r="D3" s="23" t="n">
        <v>0.267</v>
      </c>
      <c r="E3" s="23" t="n">
        <v>0.125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1.532</v>
      </c>
    </row>
    <row r="4" customFormat="1" s="1">
      <c r="A4" s="5" t="inlineStr">
        <is>
          <t>Gross Margin</t>
        </is>
      </c>
      <c r="B4" s="23">
        <f>B2-B3</f>
        <v>0.34099999999999997</v>
      </c>
      <c r="C4" s="23">
        <f>C2-C3</f>
        <v>1.691</v>
      </c>
      <c r="D4" s="23">
        <f>D2-D3</f>
        <v>4.137</v>
      </c>
      <c r="E4" s="23">
        <f>E2-E3</f>
        <v>1.9169999999999998</v>
      </c>
      <c r="F4" s="23">
        <f>F2-F3</f>
        <v>0.925</v>
      </c>
      <c r="G4" s="23">
        <f>G2-G3</f>
        <v>1.04</v>
      </c>
      <c r="H4" s="23">
        <f>H2-H3</f>
        <v>0.889</v>
      </c>
      <c r="I4" s="23">
        <f>I2-I3</f>
        <v>0.837</v>
      </c>
      <c r="J4" s="23">
        <f>J2-J3</f>
        <v>2.998</v>
      </c>
      <c r="K4" s="23">
        <f>K2-K3</f>
        <v>0.0</v>
      </c>
      <c r="L4" s="23">
        <f>L2-L3</f>
        <v>10.0</v>
      </c>
      <c r="M4" s="23">
        <f>M2-M3</f>
        <v>3.0</v>
      </c>
      <c r="N4" s="23">
        <f>N2-N3</f>
        <v>1.414</v>
      </c>
      <c r="O4" s="23">
        <f>O2-O3</f>
        <v>3.5</v>
      </c>
      <c r="P4" s="23">
        <f>P2-P3</f>
        <v>0.0</v>
      </c>
      <c r="Q4" s="23">
        <f>Q2-Q3</f>
        <v>4.288</v>
      </c>
    </row>
    <row r="5">
      <c r="A5" s="2" t="inlineStr">
        <is>
          <t>Research &amp; Dev.</t>
        </is>
      </c>
      <c r="B5" s="23" t="n">
        <v>3.349</v>
      </c>
      <c r="C5" s="23" t="n">
        <v>3.579</v>
      </c>
      <c r="D5" s="23" t="n">
        <v>2.01</v>
      </c>
      <c r="E5" s="23" t="n">
        <v>0.884</v>
      </c>
      <c r="F5" s="23" t="n">
        <v>0.333</v>
      </c>
      <c r="G5" s="23" t="n">
        <v>4.715</v>
      </c>
      <c r="H5" s="23" t="n">
        <v>10.655</v>
      </c>
      <c r="I5" s="23" t="n">
        <v>16.989</v>
      </c>
      <c r="J5" s="23" t="n">
        <v>38.698</v>
      </c>
      <c r="K5" s="23" t="n">
        <v>48.566</v>
      </c>
      <c r="L5" s="23" t="n">
        <v>30.139</v>
      </c>
      <c r="M5" s="23" t="n">
        <v>38.726</v>
      </c>
      <c r="N5" s="23" t="n">
        <v>28.965</v>
      </c>
      <c r="O5" s="23" t="n">
        <v>31.091</v>
      </c>
      <c r="P5" s="23" t="n">
        <v>34.36</v>
      </c>
      <c r="Q5" s="23" t="n">
        <v>26.812</v>
      </c>
    </row>
    <row r="6">
      <c r="A6" s="19" t="inlineStr">
        <is>
          <t>SG&amp;A &amp; Other</t>
        </is>
      </c>
      <c r="B6" s="23" t="n">
        <v>4.749</v>
      </c>
      <c r="C6" s="23" t="n">
        <v>5.988</v>
      </c>
      <c r="D6" s="23" t="n">
        <v>6.443</v>
      </c>
      <c r="E6" s="23" t="n">
        <v>4.837</v>
      </c>
      <c r="F6" s="23" t="n">
        <v>3.723</v>
      </c>
      <c r="G6" s="23" t="n">
        <v>14.871</v>
      </c>
      <c r="H6" s="23" t="n">
        <v>14.115</v>
      </c>
      <c r="I6" s="23" t="n">
        <v>11.684</v>
      </c>
      <c r="J6" s="23" t="n">
        <v>22.466</v>
      </c>
      <c r="K6" s="23" t="n">
        <v>28.524</v>
      </c>
      <c r="L6" s="23" t="n">
        <v>61.281</v>
      </c>
      <c r="M6" s="23" t="n">
        <v>54.11</v>
      </c>
      <c r="N6" s="23" t="n">
        <v>23.364</v>
      </c>
      <c r="O6" s="23" t="n">
        <v>19.544</v>
      </c>
      <c r="P6" s="23" t="n">
        <v>29.851</v>
      </c>
      <c r="Q6" s="23" t="n">
        <v>66.92400000000001</v>
      </c>
    </row>
    <row r="7">
      <c r="A7" s="2" t="inlineStr">
        <is>
          <t>Operating Expense</t>
        </is>
      </c>
      <c r="B7" s="23">
        <f>SUM(B5:B6)</f>
        <v>8.097999999999999</v>
      </c>
      <c r="C7" s="23">
        <f>SUM(C5:C6)</f>
        <v>9.567</v>
      </c>
      <c r="D7" s="23">
        <f>SUM(D5:D6)</f>
        <v>8.453</v>
      </c>
      <c r="E7" s="23">
        <f>SUM(E5:E6)</f>
        <v>5.721</v>
      </c>
      <c r="F7" s="23">
        <f>SUM(F5:F6)</f>
        <v>4.056</v>
      </c>
      <c r="G7" s="23">
        <f>SUM(G5:G6)</f>
        <v>19.586</v>
      </c>
      <c r="H7" s="23">
        <f>SUM(H5:H6)</f>
        <v>24.77</v>
      </c>
      <c r="I7" s="23">
        <f>SUM(I5:I6)</f>
        <v>28.673000000000002</v>
      </c>
      <c r="J7" s="23">
        <f>SUM(J5:J6)</f>
        <v>61.164</v>
      </c>
      <c r="K7" s="23">
        <f>SUM(K5:K6)</f>
        <v>77.09</v>
      </c>
      <c r="L7" s="23">
        <f>SUM(L5:L6)</f>
        <v>91.42</v>
      </c>
      <c r="M7" s="23">
        <f>SUM(M5:M6)</f>
        <v>92.836</v>
      </c>
      <c r="N7" s="23">
        <f>SUM(N5:N6)</f>
        <v>52.329</v>
      </c>
      <c r="O7" s="23">
        <f>SUM(O5:O6)</f>
        <v>50.635000000000005</v>
      </c>
      <c r="P7" s="23">
        <f>SUM(P5:P6)</f>
        <v>64.211</v>
      </c>
      <c r="Q7" s="23">
        <f>SUM(Q5:Q6)</f>
        <v>93.736</v>
      </c>
    </row>
    <row r="8">
      <c r="A8" s="2" t="inlineStr">
        <is>
          <t>Operating Income</t>
        </is>
      </c>
      <c r="B8" s="23">
        <f>B4-B7</f>
        <v>-7.756999999999999</v>
      </c>
      <c r="C8" s="23">
        <f>C4-C7</f>
        <v>-7.876</v>
      </c>
      <c r="D8" s="23">
        <f>D4-D7</f>
        <v>-4.316</v>
      </c>
      <c r="E8" s="23">
        <f>E4-E7</f>
        <v>-3.8040000000000003</v>
      </c>
      <c r="F8" s="23">
        <f>F4-F7</f>
        <v>-3.1310000000000002</v>
      </c>
      <c r="G8" s="23">
        <f>G4-G7</f>
        <v>-18.546</v>
      </c>
      <c r="H8" s="23">
        <f>H4-H7</f>
        <v>-23.881</v>
      </c>
      <c r="I8" s="23">
        <f>I4-I7</f>
        <v>-27.836000000000002</v>
      </c>
      <c r="J8" s="23">
        <f>J4-J7</f>
        <v>-58.166000000000004</v>
      </c>
      <c r="K8" s="23">
        <f>K4-K7</f>
        <v>-77.09</v>
      </c>
      <c r="L8" s="23">
        <f>L4-L7</f>
        <v>-81.42</v>
      </c>
      <c r="M8" s="23">
        <f>M4-M7</f>
        <v>-89.836</v>
      </c>
      <c r="N8" s="23">
        <f>N4-N7</f>
        <v>-50.915</v>
      </c>
      <c r="O8" s="23">
        <f>O4-O7</f>
        <v>-47.135000000000005</v>
      </c>
      <c r="P8" s="23">
        <f>P4-P7</f>
        <v>-64.211</v>
      </c>
      <c r="Q8" s="23">
        <f>Q4-Q7</f>
        <v>-89.44800000000001</v>
      </c>
    </row>
    <row r="9">
      <c r="A9" s="19" t="inlineStr">
        <is>
          <t>Interest &amp; Other</t>
        </is>
      </c>
      <c r="B9" s="23" t="n">
        <v>0.22</v>
      </c>
      <c r="C9" s="23" t="n">
        <v>5.361</v>
      </c>
      <c r="D9" s="23" t="n">
        <v>-6.216</v>
      </c>
      <c r="E9" s="23" t="n">
        <v>8.253</v>
      </c>
      <c r="F9" s="23" t="n">
        <v>-23.647</v>
      </c>
      <c r="G9" s="23" t="n">
        <v>4.02</v>
      </c>
      <c r="H9" s="23" t="n">
        <v>2.008</v>
      </c>
      <c r="I9" s="23" t="n">
        <v>0.517</v>
      </c>
      <c r="J9" s="23" t="n">
        <v>1.495</v>
      </c>
      <c r="K9" s="23" t="n">
        <v>0.8080000000000001</v>
      </c>
      <c r="L9" s="23" t="n">
        <v>-2.814</v>
      </c>
      <c r="M9" s="23" t="n">
        <v>4.9</v>
      </c>
      <c r="N9" s="23" t="n">
        <v>11.219</v>
      </c>
      <c r="O9" s="23" t="n">
        <v>101.323</v>
      </c>
      <c r="P9" s="23" t="n">
        <v>127.945</v>
      </c>
      <c r="Q9" s="23" t="n">
        <v>18.365</v>
      </c>
    </row>
    <row r="10">
      <c r="A10" s="2" t="inlineStr">
        <is>
          <t>Pretax</t>
        </is>
      </c>
      <c r="B10" s="23">
        <f>B8+B9</f>
        <v>-7.536999999999999</v>
      </c>
      <c r="C10" s="23">
        <f>C8+C9</f>
        <v>-2.5150000000000006</v>
      </c>
      <c r="D10" s="23">
        <f>D8+D9</f>
        <v>-10.532</v>
      </c>
      <c r="E10" s="23">
        <f>E8+E9</f>
        <v>4.449</v>
      </c>
      <c r="F10" s="23">
        <f>F8+F9</f>
        <v>-26.778</v>
      </c>
      <c r="G10" s="23">
        <f>G8+G9</f>
        <v>-14.526</v>
      </c>
      <c r="H10" s="23">
        <f>H8+H9</f>
        <v>-21.873</v>
      </c>
      <c r="I10" s="23">
        <f>I8+I9</f>
        <v>-27.319000000000003</v>
      </c>
      <c r="J10" s="23">
        <f>J8+J9</f>
        <v>-56.67100000000001</v>
      </c>
      <c r="K10" s="23">
        <f>K8+K9</f>
        <v>-76.282</v>
      </c>
      <c r="L10" s="23">
        <f>L8+L9</f>
        <v>-84.23400000000001</v>
      </c>
      <c r="M10" s="23">
        <f>M8+M9</f>
        <v>-84.93599999999999</v>
      </c>
      <c r="N10" s="23">
        <f>N8+N9</f>
        <v>-39.696</v>
      </c>
      <c r="O10" s="23">
        <f>O8+O9</f>
        <v>54.18799999999999</v>
      </c>
      <c r="P10" s="23">
        <f>P8+P9</f>
        <v>63.733999999999995</v>
      </c>
      <c r="Q10" s="23">
        <f>Q8+Q9</f>
        <v>-71.08300000000001</v>
      </c>
    </row>
    <row r="11">
      <c r="A11" s="2" t="inlineStr">
        <is>
          <t>Taxes</t>
        </is>
      </c>
      <c r="B11" s="23" t="n">
        <v>0</v>
      </c>
      <c r="C11" s="23" t="n">
        <v>0.017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0.1</v>
      </c>
    </row>
    <row r="12">
      <c r="A12" s="2" t="inlineStr">
        <is>
          <t>Net Income</t>
        </is>
      </c>
      <c r="B12" s="23" t="n">
        <v>-7.537</v>
      </c>
      <c r="C12" s="23" t="n">
        <v>-2.532</v>
      </c>
      <c r="D12" s="23" t="n">
        <v>-10.532</v>
      </c>
      <c r="E12" s="23" t="n">
        <v>4.449</v>
      </c>
      <c r="F12" s="23" t="n">
        <v>-26.778</v>
      </c>
      <c r="G12" s="23" t="n">
        <v>-14.526</v>
      </c>
      <c r="H12" s="23" t="n">
        <v>-21.873</v>
      </c>
      <c r="I12" s="23" t="n">
        <v>-27.319</v>
      </c>
      <c r="J12" s="23" t="n">
        <v>-56.671</v>
      </c>
      <c r="K12" s="23" t="n">
        <v>-76.282</v>
      </c>
      <c r="L12" s="23" t="n">
        <v>-84.23399999999999</v>
      </c>
      <c r="M12" s="23" t="n">
        <v>-84.93600000000001</v>
      </c>
      <c r="N12" s="23" t="n">
        <v>-39.696</v>
      </c>
      <c r="O12" s="23" t="n">
        <v>54.188</v>
      </c>
      <c r="P12" s="23" t="n">
        <v>63.734</v>
      </c>
      <c r="Q12" s="23" t="n">
        <v>-71.18300000000001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-0.4254032258064516</v>
      </c>
      <c r="D13" s="11">
        <f>IFERROR(D12/D14,0)</f>
        <v>-1.462371563454596</v>
      </c>
      <c r="E13" s="11">
        <f>IFERROR(E12/E14,0)</f>
        <v>0.623720734613767</v>
      </c>
      <c r="F13" s="11">
        <f>IFERROR(F12/F14,0)</f>
        <v>-0.9844491011359876</v>
      </c>
      <c r="G13" s="11">
        <f>IFERROR(G12/G14,0)</f>
        <v>-0.5263615610392434</v>
      </c>
      <c r="H13" s="11">
        <f>IFERROR(H12/H14,0)</f>
        <v>-0.6399356348741955</v>
      </c>
      <c r="I13" s="11">
        <f>IFERROR(I12/I14,0)</f>
        <v>-0.656123159689699</v>
      </c>
      <c r="J13" s="11">
        <f>IFERROR(J12/J14,0)</f>
        <v>-1.1923708129944455</v>
      </c>
      <c r="K13" s="11">
        <f>IFERROR(K12/K14,0)</f>
        <v>-1.5148843213186376</v>
      </c>
      <c r="L13" s="11">
        <f>IFERROR(L12/L14,0)</f>
        <v>-0.9090261590261589</v>
      </c>
      <c r="M13" s="11">
        <f>IFERROR(M12/M14,0)</f>
        <v>-0.8628024623636255</v>
      </c>
      <c r="N13" s="11">
        <f>IFERROR(N12/N14,0)</f>
        <v>-5.049096921902823</v>
      </c>
      <c r="O13" s="11">
        <f>IFERROR(O12/O14,0)</f>
        <v>2.5345182413470537</v>
      </c>
      <c r="P13" s="11">
        <f>IFERROR(P12/P14,0)</f>
        <v>1.5526700448255701</v>
      </c>
      <c r="Q13" s="11">
        <f>IFERROR(Q12/Q14,0)</f>
        <v>-1.076312447078747</v>
      </c>
    </row>
    <row r="14">
      <c r="A14" s="2" t="inlineStr">
        <is>
          <t>Shares</t>
        </is>
      </c>
      <c r="B14" s="23" t="n"/>
      <c r="C14" s="23" t="n">
        <v>5.952</v>
      </c>
      <c r="D14" s="23" t="n">
        <v>7.202</v>
      </c>
      <c r="E14" s="23" t="n">
        <v>7.133</v>
      </c>
      <c r="F14" s="23" t="n">
        <v>27.201</v>
      </c>
      <c r="G14" s="23" t="n">
        <v>27.597</v>
      </c>
      <c r="H14" s="23" t="n">
        <v>34.18</v>
      </c>
      <c r="I14" s="23" t="n">
        <v>41.637</v>
      </c>
      <c r="J14" s="23" t="n">
        <v>47.528</v>
      </c>
      <c r="K14" s="23" t="n">
        <v>50.355</v>
      </c>
      <c r="L14" s="23" t="n">
        <v>92.664</v>
      </c>
      <c r="M14" s="23" t="n">
        <v>98.44199999999999</v>
      </c>
      <c r="N14" s="23" t="n">
        <v>7.862</v>
      </c>
      <c r="O14" s="23" t="n">
        <v>21.38</v>
      </c>
      <c r="P14" s="23" t="n">
        <v>41.048</v>
      </c>
      <c r="Q14" s="23" t="n">
        <v>66.136</v>
      </c>
    </row>
    <row r="15"/>
    <row r="16" customFormat="1" s="4">
      <c r="A16" s="3" t="inlineStr">
        <is>
          <t>Revenue Change</t>
        </is>
      </c>
      <c r="C16" s="15">
        <f>IFERROR(C2/B2-1,"")</f>
        <v>2.8232848232848236</v>
      </c>
      <c r="D16" s="15">
        <f>IFERROR(D2/C2-1,"")</f>
        <v>1.394779771615008</v>
      </c>
      <c r="E16" s="15">
        <f>IFERROR(E2/D2-1,"")</f>
        <v>-0.5363306085376931</v>
      </c>
      <c r="F16" s="15">
        <f>IFERROR(F2/E2-1,"")</f>
        <v>-0.5470127326150832</v>
      </c>
      <c r="G16" s="15">
        <f>IFERROR(G2/F2-1,"")</f>
        <v>0.12432432432432439</v>
      </c>
      <c r="H16" s="15">
        <f>IFERROR(H2/G2-1,"")</f>
        <v>-0.14519230769230773</v>
      </c>
      <c r="I16" s="15">
        <f>IFERROR(I2/H2-1,"")</f>
        <v>-0.05849268841394828</v>
      </c>
      <c r="J16" s="15">
        <f>IFERROR(J2/I2-1,"")</f>
        <v>2.58183990442055</v>
      </c>
      <c r="K16" s="15">
        <f>IFERROR(K2/J2-1,"")</f>
        <v>-1.0</v>
      </c>
      <c r="L16" s="15">
        <f>IFERROR(L2/K2-1,"")</f>
        <v/>
      </c>
      <c r="M16" s="15">
        <f>IFERROR(M2/L2-1,"")</f>
        <v>-0.7</v>
      </c>
      <c r="N16" s="15">
        <f>IFERROR(N2/M2-1,"")</f>
        <v>-0.5286666666666666</v>
      </c>
      <c r="O16" s="15">
        <f>IFERROR(O2/N2-1,"")</f>
        <v>1.4752475247524752</v>
      </c>
      <c r="P16" s="15">
        <f>IFERROR(P2/O2-1,"")</f>
        <v>-1.0</v>
      </c>
      <c r="Q16" s="15">
        <f>IFERROR(Q2/P2-1,"")</f>
        <v/>
      </c>
    </row>
    <row r="17" customFormat="1" s="4">
      <c r="A17" s="3" t="inlineStr">
        <is>
          <t>Gross Margin</t>
        </is>
      </c>
      <c r="B17" s="15">
        <f>IFERROR(B4/B2,"")</f>
        <v>0.7089397089397089</v>
      </c>
      <c r="C17" s="15">
        <f>IFERROR(C4/C2,"")</f>
        <v>0.9195214790647092</v>
      </c>
      <c r="D17" s="15">
        <f>IFERROR(D4/D2,"")</f>
        <v>0.9393732970027248</v>
      </c>
      <c r="E17" s="15">
        <f>IFERROR(E4/E2,"")</f>
        <v>0.9387855044074437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/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/>
      </c>
      <c r="Q17" s="15">
        <f>IFERROR(Q4/Q2,"")</f>
        <v>0.7367697594501719</v>
      </c>
    </row>
    <row r="18">
      <c r="A18" s="14" t="inlineStr">
        <is>
          <t>Operating Margin</t>
        </is>
      </c>
      <c r="B18" s="15">
        <f>IFERROR(B8/B2,"")</f>
        <v>-16.126819126819125</v>
      </c>
      <c r="C18" s="15">
        <f>IFERROR(C8/C2,"")</f>
        <v>-4.2827623708537255</v>
      </c>
      <c r="D18" s="15">
        <f>IFERROR(D8/D2,"")</f>
        <v>-0.9800181653042688</v>
      </c>
      <c r="E18" s="15">
        <f>IFERROR(E8/E2,"")</f>
        <v>-1.8628795298726741</v>
      </c>
      <c r="F18" s="15">
        <f>IFERROR(F8/F2,"")</f>
        <v>-3.384864864864865</v>
      </c>
      <c r="G18" s="15">
        <f>IFERROR(G8/G2,"")</f>
        <v>-17.832692307692305</v>
      </c>
      <c r="H18" s="15">
        <f>IFERROR(H8/H2,"")</f>
        <v>-26.862767154105736</v>
      </c>
      <c r="I18" s="15">
        <f>IFERROR(I8/I2,"")</f>
        <v>-33.25686977299881</v>
      </c>
      <c r="J18" s="15">
        <f>IFERROR(J8/J2,"")</f>
        <v>-19.40160106737825</v>
      </c>
      <c r="K18" s="15">
        <f>IFERROR(K8/K2,"")</f>
        <v/>
      </c>
      <c r="L18" s="15">
        <f>IFERROR(L8/L2,"")</f>
        <v>-8.142</v>
      </c>
      <c r="M18" s="15">
        <f>IFERROR(M8/M2,"")</f>
        <v>-29.945333333333334</v>
      </c>
      <c r="N18" s="15">
        <f>IFERROR(N8/N2,"")</f>
        <v>-36.00777934936351</v>
      </c>
      <c r="O18" s="15">
        <f>IFERROR(O8/O2,"")</f>
        <v>-13.467142857142859</v>
      </c>
      <c r="P18" s="15">
        <f>IFERROR(P8/P2,"")</f>
        <v/>
      </c>
      <c r="Q18" s="15">
        <f>IFERROR(Q8/Q2,"")</f>
        <v>-15.369072164948454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2026-10-21T01:05:29Z</dcterms:modified>
  <cp:lastModifiedBy>Wang, Eric</cp:lastModifiedBy>
</cp:coreProperties>
</file>