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Abeona Therapeutics Inc</t>
        </is>
      </c>
      <c r="C2" s="10" t="n"/>
    </row>
    <row r="3">
      <c r="B3" t="inlineStr">
        <is>
          <t>Price</t>
        </is>
      </c>
      <c r="C3" s="11">
        <f>INDEX([1]Pharma!$F$1:$F$1000,MATCH("ABEO",[1]Pharma!$B$1:$B$1000,0))</f>
        <v>4.6</v>
      </c>
      <c r="F3" s="1" t="n"/>
    </row>
    <row r="4">
      <c r="B4" t="inlineStr">
        <is>
          <t>Shares</t>
        </is>
      </c>
      <c r="C4" s="21" t="n">
        <v>57.184017</v>
      </c>
      <c r="F4" s="1" t="n"/>
    </row>
    <row r="5">
      <c r="B5" t="inlineStr">
        <is>
          <t>Market Cap.</t>
        </is>
      </c>
      <c r="C5" s="13">
        <f>C3*C4</f>
        <v>263.04647819999997</v>
      </c>
      <c r="F5" s="1" t="n"/>
    </row>
    <row r="6"/>
    <row r="7">
      <c r="B7" t="inlineStr">
        <is>
          <t>Cash</t>
        </is>
      </c>
      <c r="C7" s="21">
        <f>56.229+90.597</f>
        <v>146.826</v>
      </c>
    </row>
    <row r="8">
      <c r="B8" t="inlineStr">
        <is>
          <t>Debt</t>
        </is>
      </c>
      <c r="C8" s="21">
        <f>13.333+1.655</f>
        <v>14.988</v>
      </c>
    </row>
    <row r="9">
      <c r="B9" t="inlineStr">
        <is>
          <t>Enterprise V.</t>
        </is>
      </c>
      <c r="C9" s="13">
        <f>C5-C7+C8</f>
        <v>131.20847819999997</v>
      </c>
    </row>
    <row r="10"/>
    <row r="11">
      <c r="B11" s="14" t="inlineStr">
        <is>
          <t>rNPV / Share</t>
        </is>
      </c>
      <c r="C11" s="11">
        <f>NPV!B27</f>
        <v>2.8082593292386204</v>
      </c>
    </row>
    <row r="12">
      <c r="B12" s="14" t="inlineStr">
        <is>
          <t>Upside</t>
        </is>
      </c>
      <c r="C12" s="15">
        <f>IFERROR(C11/C3-1,"")</f>
        <v>-0.3895088414698651</v>
      </c>
    </row>
    <row r="13">
      <c r="B13" s="14" t="inlineStr">
        <is>
          <t>Cash / Share</t>
        </is>
      </c>
      <c r="C13" s="11">
        <f>IFERROR((C7-C8)/C4,"")</f>
        <v>2.30550435097975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-76.44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1.7247252747252746</v>
      </c>
    </row>
    <row r="19">
      <c r="B19" s="14" t="inlineStr">
        <is>
          <t>Implied Pipeline Value</t>
        </is>
      </c>
      <c r="C19" s="13">
        <f>C9</f>
        <v>131.20847819999997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2011</v>
      </c>
      <c r="D1" s="17" t="n">
        <v>2012</v>
      </c>
      <c r="E1" s="17" t="n">
        <v>2013</v>
      </c>
      <c r="F1" s="17" t="n">
        <v>2014</v>
      </c>
      <c r="G1" s="17" t="n">
        <v>2015</v>
      </c>
      <c r="H1" s="17" t="n">
        <v>2016</v>
      </c>
      <c r="I1" s="17" t="n">
        <v>2017</v>
      </c>
      <c r="J1" s="17" t="n">
        <v>2018</v>
      </c>
      <c r="K1" s="17" t="n">
        <v>2019</v>
      </c>
      <c r="L1" s="17" t="n">
        <v>2020</v>
      </c>
      <c r="M1" s="17" t="n">
        <v>2021</v>
      </c>
      <c r="N1" s="17" t="n">
        <v>2022</v>
      </c>
      <c r="O1" s="17" t="n">
        <v>2023</v>
      </c>
      <c r="P1" s="17" t="n">
        <v>2024</v>
      </c>
      <c r="Q1" s="17" t="n">
        <v>2025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0.481</v>
      </c>
      <c r="C2" s="23" t="n">
        <v>1.839</v>
      </c>
      <c r="D2" s="23" t="n">
        <v>4.404</v>
      </c>
      <c r="E2" s="23" t="n">
        <v>2.042</v>
      </c>
      <c r="F2" s="23" t="n">
        <v>0.925</v>
      </c>
      <c r="G2" s="23" t="n">
        <v>1.04</v>
      </c>
      <c r="H2" s="23" t="n">
        <v>0.889</v>
      </c>
      <c r="I2" s="23" t="n">
        <v>0.837</v>
      </c>
      <c r="J2" s="23" t="n">
        <v>2.998</v>
      </c>
      <c r="K2" s="23" t="n">
        <v>0</v>
      </c>
      <c r="L2" s="23" t="n">
        <v>10</v>
      </c>
      <c r="M2" s="23" t="n">
        <v>3</v>
      </c>
      <c r="N2" s="23" t="n">
        <v>1.414</v>
      </c>
      <c r="O2" s="23" t="n">
        <v>3.5</v>
      </c>
      <c r="P2" s="23" t="n">
        <v>0</v>
      </c>
      <c r="Q2" s="23" t="n">
        <v>5.82</v>
      </c>
    </row>
    <row r="3" customFormat="1" s="1">
      <c r="A3" s="5" t="inlineStr">
        <is>
          <t>Cost of Sales</t>
        </is>
      </c>
      <c r="B3" s="23" t="n">
        <v>0.14</v>
      </c>
      <c r="C3" s="23" t="n">
        <v>0.148</v>
      </c>
      <c r="D3" s="23" t="n">
        <v>0.267</v>
      </c>
      <c r="E3" s="23" t="n">
        <v>0.125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1.532</v>
      </c>
    </row>
    <row r="4" customFormat="1" s="1">
      <c r="A4" s="5" t="inlineStr">
        <is>
          <t>Gross Margin</t>
        </is>
      </c>
      <c r="B4" s="23">
        <f>B2-B3</f>
        <v>0.34099999999999997</v>
      </c>
      <c r="C4" s="23">
        <f>C2-C3</f>
        <v>1.691</v>
      </c>
      <c r="D4" s="23">
        <f>D2-D3</f>
        <v>4.137</v>
      </c>
      <c r="E4" s="23">
        <f>E2-E3</f>
        <v>1.9169999999999998</v>
      </c>
      <c r="F4" s="23">
        <f>F2-F3</f>
        <v>0.925</v>
      </c>
      <c r="G4" s="23">
        <f>G2-G3</f>
        <v>1.04</v>
      </c>
      <c r="H4" s="23">
        <f>H2-H3</f>
        <v>0.889</v>
      </c>
      <c r="I4" s="23">
        <f>I2-I3</f>
        <v>0.837</v>
      </c>
      <c r="J4" s="23">
        <f>J2-J3</f>
        <v>2.998</v>
      </c>
      <c r="K4" s="23">
        <f>K2-K3</f>
        <v>0.0</v>
      </c>
      <c r="L4" s="23">
        <f>L2-L3</f>
        <v>10.0</v>
      </c>
      <c r="M4" s="23">
        <f>M2-M3</f>
        <v>3.0</v>
      </c>
      <c r="N4" s="23">
        <f>N2-N3</f>
        <v>1.414</v>
      </c>
      <c r="O4" s="23">
        <f>O2-O3</f>
        <v>3.5</v>
      </c>
      <c r="P4" s="23">
        <f>P2-P3</f>
        <v>0.0</v>
      </c>
      <c r="Q4" s="23">
        <f>Q2-Q3</f>
        <v>4.288</v>
      </c>
    </row>
    <row r="5">
      <c r="A5" s="2" t="inlineStr">
        <is>
          <t>Research &amp; Dev.</t>
        </is>
      </c>
      <c r="B5" s="23" t="n">
        <v>3.349</v>
      </c>
      <c r="C5" s="23" t="n">
        <v>3.579</v>
      </c>
      <c r="D5" s="23" t="n">
        <v>2.01</v>
      </c>
      <c r="E5" s="23" t="n">
        <v>0.884</v>
      </c>
      <c r="F5" s="23" t="n">
        <v>0.333</v>
      </c>
      <c r="G5" s="23" t="n">
        <v>4.715</v>
      </c>
      <c r="H5" s="23" t="n">
        <v>10.655</v>
      </c>
      <c r="I5" s="23" t="n">
        <v>16.989</v>
      </c>
      <c r="J5" s="23" t="n">
        <v>38.698</v>
      </c>
      <c r="K5" s="23" t="n">
        <v>48.566</v>
      </c>
      <c r="L5" s="23" t="n">
        <v>30.139</v>
      </c>
      <c r="M5" s="23" t="n">
        <v>38.726</v>
      </c>
      <c r="N5" s="23" t="n">
        <v>28.965</v>
      </c>
      <c r="O5" s="23" t="n">
        <v>31.091</v>
      </c>
      <c r="P5" s="23" t="n">
        <v>34.36</v>
      </c>
      <c r="Q5" s="23" t="n">
        <v>26.812</v>
      </c>
    </row>
    <row r="6">
      <c r="A6" s="19" t="inlineStr">
        <is>
          <t>SG&amp;A &amp; Other</t>
        </is>
      </c>
      <c r="B6" s="23" t="n">
        <v>4.749</v>
      </c>
      <c r="C6" s="23" t="n">
        <v>5.988</v>
      </c>
      <c r="D6" s="23" t="n">
        <v>6.443</v>
      </c>
      <c r="E6" s="23" t="n">
        <v>4.837</v>
      </c>
      <c r="F6" s="23" t="n">
        <v>3.723</v>
      </c>
      <c r="G6" s="23" t="n">
        <v>14.871</v>
      </c>
      <c r="H6" s="23" t="n">
        <v>14.115</v>
      </c>
      <c r="I6" s="23" t="n">
        <v>11.684</v>
      </c>
      <c r="J6" s="23" t="n">
        <v>22.466</v>
      </c>
      <c r="K6" s="23" t="n">
        <v>28.524</v>
      </c>
      <c r="L6" s="23" t="n">
        <v>61.281</v>
      </c>
      <c r="M6" s="23" t="n">
        <v>54.11</v>
      </c>
      <c r="N6" s="23" t="n">
        <v>23.364</v>
      </c>
      <c r="O6" s="23" t="n">
        <v>19.544</v>
      </c>
      <c r="P6" s="23" t="n">
        <v>29.851</v>
      </c>
      <c r="Q6" s="23" t="n">
        <v>66.92400000000001</v>
      </c>
    </row>
    <row r="7">
      <c r="A7" s="2" t="inlineStr">
        <is>
          <t>Operating Expense</t>
        </is>
      </c>
      <c r="B7" s="23">
        <f>SUM(B5:B6)</f>
        <v>8.097999999999999</v>
      </c>
      <c r="C7" s="23">
        <f>SUM(C5:C6)</f>
        <v>9.567</v>
      </c>
      <c r="D7" s="23">
        <f>SUM(D5:D6)</f>
        <v>8.453</v>
      </c>
      <c r="E7" s="23">
        <f>SUM(E5:E6)</f>
        <v>5.721</v>
      </c>
      <c r="F7" s="23">
        <f>SUM(F5:F6)</f>
        <v>4.056</v>
      </c>
      <c r="G7" s="23">
        <f>SUM(G5:G6)</f>
        <v>19.586</v>
      </c>
      <c r="H7" s="23">
        <f>SUM(H5:H6)</f>
        <v>24.77</v>
      </c>
      <c r="I7" s="23">
        <f>SUM(I5:I6)</f>
        <v>28.673000000000002</v>
      </c>
      <c r="J7" s="23">
        <f>SUM(J5:J6)</f>
        <v>61.164</v>
      </c>
      <c r="K7" s="23">
        <f>SUM(K5:K6)</f>
        <v>77.09</v>
      </c>
      <c r="L7" s="23">
        <f>SUM(L5:L6)</f>
        <v>91.42</v>
      </c>
      <c r="M7" s="23">
        <f>SUM(M5:M6)</f>
        <v>92.836</v>
      </c>
      <c r="N7" s="23">
        <f>SUM(N5:N6)</f>
        <v>52.329</v>
      </c>
      <c r="O7" s="23">
        <f>SUM(O5:O6)</f>
        <v>50.635000000000005</v>
      </c>
      <c r="P7" s="23">
        <f>SUM(P5:P6)</f>
        <v>64.211</v>
      </c>
      <c r="Q7" s="23">
        <f>SUM(Q5:Q6)</f>
        <v>93.736</v>
      </c>
    </row>
    <row r="8">
      <c r="A8" s="2" t="inlineStr">
        <is>
          <t>Operating Income</t>
        </is>
      </c>
      <c r="B8" s="23">
        <f>B4-B7</f>
        <v>-7.756999999999999</v>
      </c>
      <c r="C8" s="23">
        <f>C4-C7</f>
        <v>-7.876</v>
      </c>
      <c r="D8" s="23">
        <f>D4-D7</f>
        <v>-4.316</v>
      </c>
      <c r="E8" s="23">
        <f>E4-E7</f>
        <v>-3.8040000000000003</v>
      </c>
      <c r="F8" s="23">
        <f>F4-F7</f>
        <v>-3.1310000000000002</v>
      </c>
      <c r="G8" s="23">
        <f>G4-G7</f>
        <v>-18.546</v>
      </c>
      <c r="H8" s="23">
        <f>H4-H7</f>
        <v>-23.881</v>
      </c>
      <c r="I8" s="23">
        <f>I4-I7</f>
        <v>-27.836000000000002</v>
      </c>
      <c r="J8" s="23">
        <f>J4-J7</f>
        <v>-58.166000000000004</v>
      </c>
      <c r="K8" s="23">
        <f>K4-K7</f>
        <v>-77.09</v>
      </c>
      <c r="L8" s="23">
        <f>L4-L7</f>
        <v>-81.42</v>
      </c>
      <c r="M8" s="23">
        <f>M4-M7</f>
        <v>-89.836</v>
      </c>
      <c r="N8" s="23">
        <f>N4-N7</f>
        <v>-50.915</v>
      </c>
      <c r="O8" s="23">
        <f>O4-O7</f>
        <v>-47.135000000000005</v>
      </c>
      <c r="P8" s="23">
        <f>P4-P7</f>
        <v>-64.211</v>
      </c>
      <c r="Q8" s="23">
        <f>Q4-Q7</f>
        <v>-89.44800000000001</v>
      </c>
    </row>
    <row r="9">
      <c r="A9" s="19" t="inlineStr">
        <is>
          <t>Interest &amp; Other</t>
        </is>
      </c>
      <c r="B9" s="23" t="n">
        <v>0.22</v>
      </c>
      <c r="C9" s="23" t="n">
        <v>5.361</v>
      </c>
      <c r="D9" s="23" t="n">
        <v>-6.216</v>
      </c>
      <c r="E9" s="23" t="n">
        <v>8.253</v>
      </c>
      <c r="F9" s="23" t="n">
        <v>-23.647</v>
      </c>
      <c r="G9" s="23" t="n">
        <v>4.02</v>
      </c>
      <c r="H9" s="23" t="n">
        <v>2.008</v>
      </c>
      <c r="I9" s="23" t="n">
        <v>0.517</v>
      </c>
      <c r="J9" s="23" t="n">
        <v>1.495</v>
      </c>
      <c r="K9" s="23" t="n">
        <v>0.8080000000000001</v>
      </c>
      <c r="L9" s="23" t="n">
        <v>-2.814</v>
      </c>
      <c r="M9" s="23" t="n">
        <v>4.9</v>
      </c>
      <c r="N9" s="23" t="n">
        <v>11.219</v>
      </c>
      <c r="O9" s="23" t="n">
        <v>101.323</v>
      </c>
      <c r="P9" s="23" t="n">
        <v>127.945</v>
      </c>
      <c r="Q9" s="23" t="n">
        <v>18.365</v>
      </c>
    </row>
    <row r="10">
      <c r="A10" s="2" t="inlineStr">
        <is>
          <t>Pretax</t>
        </is>
      </c>
      <c r="B10" s="23">
        <f>B8+B9</f>
        <v>-7.536999999999999</v>
      </c>
      <c r="C10" s="23">
        <f>C8+C9</f>
        <v>-2.5150000000000006</v>
      </c>
      <c r="D10" s="23">
        <f>D8+D9</f>
        <v>-10.532</v>
      </c>
      <c r="E10" s="23">
        <f>E8+E9</f>
        <v>4.449</v>
      </c>
      <c r="F10" s="23">
        <f>F8+F9</f>
        <v>-26.778</v>
      </c>
      <c r="G10" s="23">
        <f>G8+G9</f>
        <v>-14.526</v>
      </c>
      <c r="H10" s="23">
        <f>H8+H9</f>
        <v>-21.873</v>
      </c>
      <c r="I10" s="23">
        <f>I8+I9</f>
        <v>-27.319000000000003</v>
      </c>
      <c r="J10" s="23">
        <f>J8+J9</f>
        <v>-56.67100000000001</v>
      </c>
      <c r="K10" s="23">
        <f>K8+K9</f>
        <v>-76.282</v>
      </c>
      <c r="L10" s="23">
        <f>L8+L9</f>
        <v>-84.23400000000001</v>
      </c>
      <c r="M10" s="23">
        <f>M8+M9</f>
        <v>-84.93599999999999</v>
      </c>
      <c r="N10" s="23">
        <f>N8+N9</f>
        <v>-39.696</v>
      </c>
      <c r="O10" s="23">
        <f>O8+O9</f>
        <v>54.18799999999999</v>
      </c>
      <c r="P10" s="23">
        <f>P8+P9</f>
        <v>63.733999999999995</v>
      </c>
      <c r="Q10" s="23">
        <f>Q8+Q9</f>
        <v>-71.08300000000001</v>
      </c>
    </row>
    <row r="11">
      <c r="A11" s="2" t="inlineStr">
        <is>
          <t>Taxes</t>
        </is>
      </c>
      <c r="B11" s="23" t="n">
        <v>0</v>
      </c>
      <c r="C11" s="23" t="n">
        <v>0.017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0.1</v>
      </c>
    </row>
    <row r="12">
      <c r="A12" s="2" t="inlineStr">
        <is>
          <t>Net Income</t>
        </is>
      </c>
      <c r="B12" s="23" t="n">
        <v>-7.537</v>
      </c>
      <c r="C12" s="23" t="n">
        <v>-2.532</v>
      </c>
      <c r="D12" s="23" t="n">
        <v>-10.532</v>
      </c>
      <c r="E12" s="23" t="n">
        <v>4.449</v>
      </c>
      <c r="F12" s="23" t="n">
        <v>-26.778</v>
      </c>
      <c r="G12" s="23" t="n">
        <v>-14.526</v>
      </c>
      <c r="H12" s="23" t="n">
        <v>-21.873</v>
      </c>
      <c r="I12" s="23" t="n">
        <v>-27.319</v>
      </c>
      <c r="J12" s="23" t="n">
        <v>-56.671</v>
      </c>
      <c r="K12" s="23" t="n">
        <v>-76.282</v>
      </c>
      <c r="L12" s="23" t="n">
        <v>-84.23399999999999</v>
      </c>
      <c r="M12" s="23" t="n">
        <v>-84.93600000000001</v>
      </c>
      <c r="N12" s="23" t="n">
        <v>-39.696</v>
      </c>
      <c r="O12" s="23" t="n">
        <v>54.188</v>
      </c>
      <c r="P12" s="23" t="n">
        <v>63.734</v>
      </c>
      <c r="Q12" s="23" t="n">
        <v>-71.18300000000001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-0.4254032258064516</v>
      </c>
      <c r="D13" s="11">
        <f>IFERROR(D12/D14,0)</f>
        <v>-1.462371563454596</v>
      </c>
      <c r="E13" s="11">
        <f>IFERROR(E12/E14,0)</f>
        <v>0.623720734613767</v>
      </c>
      <c r="F13" s="11">
        <f>IFERROR(F12/F14,0)</f>
        <v>-0.9844491011359876</v>
      </c>
      <c r="G13" s="11">
        <f>IFERROR(G12/G14,0)</f>
        <v>-0.5263615610392434</v>
      </c>
      <c r="H13" s="11">
        <f>IFERROR(H12/H14,0)</f>
        <v>-0.6399356348741955</v>
      </c>
      <c r="I13" s="11">
        <f>IFERROR(I12/I14,0)</f>
        <v>-0.656123159689699</v>
      </c>
      <c r="J13" s="11">
        <f>IFERROR(J12/J14,0)</f>
        <v>-1.1923708129944455</v>
      </c>
      <c r="K13" s="11">
        <f>IFERROR(K12/K14,0)</f>
        <v>-1.5148843213186376</v>
      </c>
      <c r="L13" s="11">
        <f>IFERROR(L12/L14,0)</f>
        <v>-0.9090261590261589</v>
      </c>
      <c r="M13" s="11">
        <f>IFERROR(M12/M14,0)</f>
        <v>-0.8628024623636255</v>
      </c>
      <c r="N13" s="11">
        <f>IFERROR(N12/N14,0)</f>
        <v>-5.049096921902823</v>
      </c>
      <c r="O13" s="11">
        <f>IFERROR(O12/O14,0)</f>
        <v>2.5345182413470537</v>
      </c>
      <c r="P13" s="11">
        <f>IFERROR(P12/P14,0)</f>
        <v>1.5526700448255701</v>
      </c>
      <c r="Q13" s="11">
        <f>IFERROR(Q12/Q14,0)</f>
        <v>-1.076312447078747</v>
      </c>
    </row>
    <row r="14">
      <c r="A14" s="2" t="inlineStr">
        <is>
          <t>Shares</t>
        </is>
      </c>
      <c r="B14" s="23" t="n"/>
      <c r="C14" s="23" t="n">
        <v>5.952</v>
      </c>
      <c r="D14" s="23" t="n">
        <v>7.202</v>
      </c>
      <c r="E14" s="23" t="n">
        <v>7.133</v>
      </c>
      <c r="F14" s="23" t="n">
        <v>27.201</v>
      </c>
      <c r="G14" s="23" t="n">
        <v>27.597</v>
      </c>
      <c r="H14" s="23" t="n">
        <v>34.18</v>
      </c>
      <c r="I14" s="23" t="n">
        <v>41.637</v>
      </c>
      <c r="J14" s="23" t="n">
        <v>47.528</v>
      </c>
      <c r="K14" s="23" t="n">
        <v>50.355</v>
      </c>
      <c r="L14" s="23" t="n">
        <v>92.664</v>
      </c>
      <c r="M14" s="23" t="n">
        <v>98.44199999999999</v>
      </c>
      <c r="N14" s="23" t="n">
        <v>7.862</v>
      </c>
      <c r="O14" s="23" t="n">
        <v>21.38</v>
      </c>
      <c r="P14" s="23" t="n">
        <v>41.048</v>
      </c>
      <c r="Q14" s="23" t="n">
        <v>66.136</v>
      </c>
    </row>
    <row r="15"/>
    <row r="16" customFormat="1" s="4">
      <c r="A16" s="3" t="inlineStr">
        <is>
          <t>Revenue Change</t>
        </is>
      </c>
      <c r="C16" s="15">
        <f>IFERROR(C2/B2-1,"")</f>
        <v>2.8232848232848236</v>
      </c>
      <c r="D16" s="15">
        <f>IFERROR(D2/C2-1,"")</f>
        <v>1.394779771615008</v>
      </c>
      <c r="E16" s="15">
        <f>IFERROR(E2/D2-1,"")</f>
        <v>-0.5363306085376931</v>
      </c>
      <c r="F16" s="15">
        <f>IFERROR(F2/E2-1,"")</f>
        <v>-0.5470127326150832</v>
      </c>
      <c r="G16" s="15">
        <f>IFERROR(G2/F2-1,"")</f>
        <v>0.12432432432432439</v>
      </c>
      <c r="H16" s="15">
        <f>IFERROR(H2/G2-1,"")</f>
        <v>-0.14519230769230773</v>
      </c>
      <c r="I16" s="15">
        <f>IFERROR(I2/H2-1,"")</f>
        <v>-0.05849268841394828</v>
      </c>
      <c r="J16" s="15">
        <f>IFERROR(J2/I2-1,"")</f>
        <v>2.58183990442055</v>
      </c>
      <c r="K16" s="15">
        <f>IFERROR(K2/J2-1,"")</f>
        <v>-1.0</v>
      </c>
      <c r="L16" s="15">
        <f>IFERROR(L2/K2-1,"")</f>
        <v/>
      </c>
      <c r="M16" s="15">
        <f>IFERROR(M2/L2-1,"")</f>
        <v>-0.7</v>
      </c>
      <c r="N16" s="15">
        <f>IFERROR(N2/M2-1,"")</f>
        <v>-0.5286666666666666</v>
      </c>
      <c r="O16" s="15">
        <f>IFERROR(O2/N2-1,"")</f>
        <v>1.4752475247524752</v>
      </c>
      <c r="P16" s="15">
        <f>IFERROR(P2/O2-1,"")</f>
        <v>-1.0</v>
      </c>
      <c r="Q16" s="15">
        <f>IFERROR(Q2/P2-1,"")</f>
        <v/>
      </c>
    </row>
    <row r="17" customFormat="1" s="4">
      <c r="A17" s="3" t="inlineStr">
        <is>
          <t>Gross Margin</t>
        </is>
      </c>
      <c r="B17" s="15">
        <f>IFERROR(B4/B2,"")</f>
        <v>0.7089397089397089</v>
      </c>
      <c r="C17" s="15">
        <f>IFERROR(C4/C2,"")</f>
        <v>0.9195214790647092</v>
      </c>
      <c r="D17" s="15">
        <f>IFERROR(D4/D2,"")</f>
        <v>0.9393732970027248</v>
      </c>
      <c r="E17" s="15">
        <f>IFERROR(E4/E2,"")</f>
        <v>0.9387855044074437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/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/>
      </c>
      <c r="Q17" s="15">
        <f>IFERROR(Q4/Q2,"")</f>
        <v>0.7367697594501719</v>
      </c>
    </row>
    <row r="18">
      <c r="A18" s="14" t="inlineStr">
        <is>
          <t>Operating Margin</t>
        </is>
      </c>
      <c r="B18" s="15">
        <f>IFERROR(B8/B2,"")</f>
        <v>-16.126819126819125</v>
      </c>
      <c r="C18" s="15">
        <f>IFERROR(C8/C2,"")</f>
        <v>-4.2827623708537255</v>
      </c>
      <c r="D18" s="15">
        <f>IFERROR(D8/D2,"")</f>
        <v>-0.9800181653042688</v>
      </c>
      <c r="E18" s="15">
        <f>IFERROR(E8/E2,"")</f>
        <v>-1.8628795298726741</v>
      </c>
      <c r="F18" s="15">
        <f>IFERROR(F8/F2,"")</f>
        <v>-3.384864864864865</v>
      </c>
      <c r="G18" s="15">
        <f>IFERROR(G8/G2,"")</f>
        <v>-17.832692307692305</v>
      </c>
      <c r="H18" s="15">
        <f>IFERROR(H8/H2,"")</f>
        <v>-26.862767154105736</v>
      </c>
      <c r="I18" s="15">
        <f>IFERROR(I8/I2,"")</f>
        <v>-33.25686977299881</v>
      </c>
      <c r="J18" s="15">
        <f>IFERROR(J8/J2,"")</f>
        <v>-19.40160106737825</v>
      </c>
      <c r="K18" s="15">
        <f>IFERROR(K8/K2,"")</f>
        <v/>
      </c>
      <c r="L18" s="15">
        <f>IFERROR(L8/L2,"")</f>
        <v>-8.142</v>
      </c>
      <c r="M18" s="15">
        <f>IFERROR(M8/M2,"")</f>
        <v>-29.945333333333334</v>
      </c>
      <c r="N18" s="15">
        <f>IFERROR(N8/N2,"")</f>
        <v>-36.00777934936351</v>
      </c>
      <c r="O18" s="15">
        <f>IFERROR(O8/O2,"")</f>
        <v>-13.467142857142859</v>
      </c>
      <c r="P18" s="15">
        <f>IFERROR(P8/P2,"")</f>
        <v/>
      </c>
      <c r="Q18" s="15">
        <f>IFERROR(Q8/Q2,"")</f>
        <v>-15.369072164948454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Abeona Therapeutics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1.0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83.61499999999999</v>
      </c>
    </row>
    <row r="19">
      <c r="A19" s="14" t="inlineStr">
        <is>
          <t>Years of full burn (until the first launch, max 4)</t>
        </is>
      </c>
      <c r="B19" s="39">
        <f>MIN(4,MAX(1,MIN(Pipeline!I4:I5)-2026))</f>
        <v>1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524.1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28.749549223589852</v>
      </c>
      <c r="C29" s="42">
        <f>NPV!B25</f>
        <v>160.58754922358986</v>
      </c>
      <c r="D29" s="43">
        <f>NPV!B27</f>
        <v>2.8082593292386204</v>
      </c>
      <c r="E29" s="44">
        <f>NPV!B29</f>
        <v>-0.3895088414698651</v>
      </c>
    </row>
    <row r="30">
      <c r="A30" s="45" t="n">
        <v>1</v>
      </c>
      <c r="B30" s="46">
        <f t="dataTable" ref="B30:E32" r1="B4"/>
        <v>-82.4064222956986</v>
      </c>
      <c r="C30" s="46">
        <v>49.43157770430139</v>
      </c>
      <c r="D30" s="47">
        <v>0.8644299630839399</v>
      </c>
      <c r="E30" s="48">
        <v>-0.8120804428078392</v>
      </c>
    </row>
    <row r="31">
      <c r="A31" s="45" t="n">
        <v>2</v>
      </c>
      <c r="B31" s="46">
        <v>28.749549223589852</v>
      </c>
      <c r="C31" s="46">
        <v>160.58754922358986</v>
      </c>
      <c r="D31" s="47">
        <v>2.8082593292386204</v>
      </c>
      <c r="E31" s="48">
        <v>-0.3895088414698651</v>
      </c>
    </row>
    <row r="32">
      <c r="A32" s="45" t="n">
        <v>3</v>
      </c>
      <c r="B32" s="46">
        <v>187.37073709059436</v>
      </c>
      <c r="C32" s="46">
        <v>319.20873709059435</v>
      </c>
      <c r="D32" s="47">
        <v>5.582132103286734</v>
      </c>
      <c r="E32" s="48">
        <v>0.21350697897537718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2.8082593292386204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0.22943182439224327</v>
      </c>
      <c r="C37" s="47">
        <v>1.164362502587944</v>
      </c>
      <c r="D37" s="47">
        <v>2.0992931807836444</v>
      </c>
      <c r="E37" s="47">
        <v>3.969154537175046</v>
      </c>
      <c r="F37" s="47">
        <v>5.788925706696332</v>
      </c>
    </row>
    <row r="38">
      <c r="A38" s="50" t="n">
        <v>0.8</v>
      </c>
      <c r="B38" s="47">
        <v>0.4066733615059874</v>
      </c>
      <c r="C38" s="47">
        <v>1.43022480825856</v>
      </c>
      <c r="D38" s="47">
        <v>2.453776255011132</v>
      </c>
      <c r="E38" s="47">
        <v>4.500879148516277</v>
      </c>
      <c r="F38" s="47">
        <v>6.388909323768152</v>
      </c>
    </row>
    <row r="39">
      <c r="A39" s="50" t="n">
        <v>1</v>
      </c>
      <c r="B39" s="47">
        <v>0.5839148986197312</v>
      </c>
      <c r="C39" s="47">
        <v>1.6960871139291762</v>
      </c>
      <c r="D39" s="47">
        <v>2.8082593292386204</v>
      </c>
      <c r="E39" s="47">
        <v>5.032603759857509</v>
      </c>
      <c r="F39" s="47">
        <v>6.980328406509943</v>
      </c>
    </row>
    <row r="40">
      <c r="A40" s="50" t="n">
        <v>1.2</v>
      </c>
      <c r="B40" s="47">
        <v>0.7611564357334749</v>
      </c>
      <c r="C40" s="47">
        <v>1.9619494195997915</v>
      </c>
      <c r="D40" s="47">
        <v>3.1627424034661082</v>
      </c>
      <c r="E40" s="47">
        <v>5.498356586574283</v>
      </c>
      <c r="F40" s="47">
        <v>7.566685979851368</v>
      </c>
    </row>
    <row r="41">
      <c r="A41" s="50" t="n">
        <v>1.4</v>
      </c>
      <c r="B41" s="47">
        <v>0.938397972847219</v>
      </c>
      <c r="C41" s="47">
        <v>2.2278117252704073</v>
      </c>
      <c r="D41" s="47">
        <v>3.517225477693596</v>
      </c>
      <c r="E41" s="47">
        <v>5.951740731761191</v>
      </c>
      <c r="F41" s="47">
        <v>8.148997377264239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Abeona Therapeutics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Dermatology (other)</t>
        </is>
      </c>
      <c r="C4" s="14" t="inlineStr">
        <is>
          <t xml:space="preserve">LZRSE-Col7A1 Engineered Autologous Epidermal Sheets, EB-101 </t>
        </is>
      </c>
      <c r="D4" s="14" t="inlineStr">
        <is>
          <t>Approved</t>
        </is>
      </c>
      <c r="E4" s="14" t="inlineStr">
        <is>
          <t>Other / area</t>
        </is>
      </c>
      <c r="F4" s="14" t="inlineStr">
        <is>
          <t>Owned</t>
        </is>
      </c>
      <c r="G4" s="40" t="n">
        <v>76.59999999999999</v>
      </c>
      <c r="H4" s="27" t="n">
        <v>1</v>
      </c>
      <c r="I4" s="26" t="n">
        <v>2026</v>
      </c>
      <c r="J4" s="39">
        <f>I4+Assumptions!$B$25</f>
        <v>2038.0</v>
      </c>
      <c r="K4" s="53">
        <f>Assumptions!$E$13</f>
        <v>0.4</v>
      </c>
      <c r="L4" s="23">
        <f>K4*SUMPRODUCT(M4:AF4,NPV!$C$15:$V$15)</f>
        <v>153.0400687545471</v>
      </c>
      <c r="M4" s="23">
        <f>IF(M$3&lt;$I4,0,$G4*Assumptions!$E$11*INDEX(Assumptions!$B$24:$G$24,MIN(6,M$3-$I4+1))*IF(M$3&gt;$J4,(1-Assumptions!$B$26)^(M$3-$J4),1)*IF($H4&gt;=1,1,MIN(0.97,$H4*Assumptions!$E$12)))</f>
        <v>7.66</v>
      </c>
      <c r="N4" s="23">
        <f>IF(N$3&lt;$I4,0,$G4*Assumptions!$E$11*INDEX(Assumptions!$B$24:$G$24,MIN(6,N$3-$I4+1))*IF(N$3&gt;$J4,(1-Assumptions!$B$26)^(N$3-$J4),1)*IF($H4&gt;=1,1,MIN(0.97,$H4*Assumptions!$E$12)))</f>
        <v>19.15</v>
      </c>
      <c r="O4" s="23">
        <f>IF(O$3&lt;$I4,0,$G4*Assumptions!$E$11*INDEX(Assumptions!$B$24:$G$24,MIN(6,O$3-$I4+1))*IF(O$3&gt;$J4,(1-Assumptions!$B$26)^(O$3-$J4),1)*IF($H4&gt;=1,1,MIN(0.97,$H4*Assumptions!$E$12)))</f>
        <v>34.47</v>
      </c>
      <c r="P4" s="23">
        <f>IF(P$3&lt;$I4,0,$G4*Assumptions!$E$11*INDEX(Assumptions!$B$24:$G$24,MIN(6,P$3-$I4+1))*IF(P$3&gt;$J4,(1-Assumptions!$B$26)^(P$3-$J4),1)*IF($H4&gt;=1,1,MIN(0.97,$H4*Assumptions!$E$12)))</f>
        <v>49.79</v>
      </c>
      <c r="Q4" s="23">
        <f>IF(Q$3&lt;$I4,0,$G4*Assumptions!$E$11*INDEX(Assumptions!$B$24:$G$24,MIN(6,Q$3-$I4+1))*IF(Q$3&gt;$J4,(1-Assumptions!$B$26)^(Q$3-$J4),1)*IF($H4&gt;=1,1,MIN(0.97,$H4*Assumptions!$E$12)))</f>
        <v>65.11</v>
      </c>
      <c r="R4" s="23">
        <f>IF(R$3&lt;$I4,0,$G4*Assumptions!$E$11*INDEX(Assumptions!$B$24:$G$24,MIN(6,R$3-$I4+1))*IF(R$3&gt;$J4,(1-Assumptions!$B$26)^(R$3-$J4),1)*IF($H4&gt;=1,1,MIN(0.97,$H4*Assumptions!$E$12)))</f>
        <v>76.6</v>
      </c>
      <c r="S4" s="23">
        <f>IF(S$3&lt;$I4,0,$G4*Assumptions!$E$11*INDEX(Assumptions!$B$24:$G$24,MIN(6,S$3-$I4+1))*IF(S$3&gt;$J4,(1-Assumptions!$B$26)^(S$3-$J4),1)*IF($H4&gt;=1,1,MIN(0.97,$H4*Assumptions!$E$12)))</f>
        <v>76.6</v>
      </c>
      <c r="T4" s="23">
        <f>IF(T$3&lt;$I4,0,$G4*Assumptions!$E$11*INDEX(Assumptions!$B$24:$G$24,MIN(6,T$3-$I4+1))*IF(T$3&gt;$J4,(1-Assumptions!$B$26)^(T$3-$J4),1)*IF($H4&gt;=1,1,MIN(0.97,$H4*Assumptions!$E$12)))</f>
        <v>76.6</v>
      </c>
      <c r="U4" s="23">
        <f>IF(U$3&lt;$I4,0,$G4*Assumptions!$E$11*INDEX(Assumptions!$B$24:$G$24,MIN(6,U$3-$I4+1))*IF(U$3&gt;$J4,(1-Assumptions!$B$26)^(U$3-$J4),1)*IF($H4&gt;=1,1,MIN(0.97,$H4*Assumptions!$E$12)))</f>
        <v>76.6</v>
      </c>
      <c r="V4" s="23">
        <f>IF(V$3&lt;$I4,0,$G4*Assumptions!$E$11*INDEX(Assumptions!$B$24:$G$24,MIN(6,V$3-$I4+1))*IF(V$3&gt;$J4,(1-Assumptions!$B$26)^(V$3-$J4),1)*IF($H4&gt;=1,1,MIN(0.97,$H4*Assumptions!$E$12)))</f>
        <v>76.6</v>
      </c>
      <c r="W4" s="23">
        <f>IF(W$3&lt;$I4,0,$G4*Assumptions!$E$11*INDEX(Assumptions!$B$24:$G$24,MIN(6,W$3-$I4+1))*IF(W$3&gt;$J4,(1-Assumptions!$B$26)^(W$3-$J4),1)*IF($H4&gt;=1,1,MIN(0.97,$H4*Assumptions!$E$12)))</f>
        <v>76.6</v>
      </c>
      <c r="X4" s="23">
        <f>IF(X$3&lt;$I4,0,$G4*Assumptions!$E$11*INDEX(Assumptions!$B$24:$G$24,MIN(6,X$3-$I4+1))*IF(X$3&gt;$J4,(1-Assumptions!$B$26)^(X$3-$J4),1)*IF($H4&gt;=1,1,MIN(0.97,$H4*Assumptions!$E$12)))</f>
        <v>76.6</v>
      </c>
      <c r="Y4" s="23">
        <f>IF(Y$3&lt;$I4,0,$G4*Assumptions!$E$11*INDEX(Assumptions!$B$24:$G$24,MIN(6,Y$3-$I4+1))*IF(Y$3&gt;$J4,(1-Assumptions!$B$26)^(Y$3-$J4),1)*IF($H4&gt;=1,1,MIN(0.97,$H4*Assumptions!$E$12)))</f>
        <v>76.6</v>
      </c>
      <c r="Z4" s="23">
        <f>IF(Z$3&lt;$I4,0,$G4*Assumptions!$E$11*INDEX(Assumptions!$B$24:$G$24,MIN(6,Z$3-$I4+1))*IF(Z$3&gt;$J4,(1-Assumptions!$B$26)^(Z$3-$J4),1)*IF($H4&gt;=1,1,MIN(0.97,$H4*Assumptions!$E$12)))</f>
        <v>38.3</v>
      </c>
      <c r="AA4" s="23">
        <f>IF(AA$3&lt;$I4,0,$G4*Assumptions!$E$11*INDEX(Assumptions!$B$24:$G$24,MIN(6,AA$3-$I4+1))*IF(AA$3&gt;$J4,(1-Assumptions!$B$26)^(AA$3-$J4),1)*IF($H4&gt;=1,1,MIN(0.97,$H4*Assumptions!$E$12)))</f>
        <v>19.15</v>
      </c>
      <c r="AB4" s="23">
        <f>IF(AB$3&lt;$I4,0,$G4*Assumptions!$E$11*INDEX(Assumptions!$B$24:$G$24,MIN(6,AB$3-$I4+1))*IF(AB$3&gt;$J4,(1-Assumptions!$B$26)^(AB$3-$J4),1)*IF($H4&gt;=1,1,MIN(0.97,$H4*Assumptions!$E$12)))</f>
        <v>9.575</v>
      </c>
      <c r="AC4" s="23">
        <f>IF(AC$3&lt;$I4,0,$G4*Assumptions!$E$11*INDEX(Assumptions!$B$24:$G$24,MIN(6,AC$3-$I4+1))*IF(AC$3&gt;$J4,(1-Assumptions!$B$26)^(AC$3-$J4),1)*IF($H4&gt;=1,1,MIN(0.97,$H4*Assumptions!$E$12)))</f>
        <v>4.7875</v>
      </c>
      <c r="AD4" s="23">
        <f>IF(AD$3&lt;$I4,0,$G4*Assumptions!$E$11*INDEX(Assumptions!$B$24:$G$24,MIN(6,AD$3-$I4+1))*IF(AD$3&gt;$J4,(1-Assumptions!$B$26)^(AD$3-$J4),1)*IF($H4&gt;=1,1,MIN(0.97,$H4*Assumptions!$E$12)))</f>
        <v>2.39375</v>
      </c>
      <c r="AE4" s="23">
        <f>IF(AE$3&lt;$I4,0,$G4*Assumptions!$E$11*INDEX(Assumptions!$B$24:$G$24,MIN(6,AE$3-$I4+1))*IF(AE$3&gt;$J4,(1-Assumptions!$B$26)^(AE$3-$J4),1)*IF($H4&gt;=1,1,MIN(0.97,$H4*Assumptions!$E$12)))</f>
        <v>1.196875</v>
      </c>
      <c r="AF4" s="23">
        <f>IF(AF$3&lt;$I4,0,$G4*Assumptions!$E$11*INDEX(Assumptions!$B$24:$G$24,MIN(6,AF$3-$I4+1))*IF(AF$3&gt;$J4,(1-Assumptions!$B$26)^(AF$3-$J4),1)*IF($H4&gt;=1,1,MIN(0.97,$H4*Assumptions!$E$12)))</f>
        <v>0.5984375</v>
      </c>
      <c r="AG4" s="35">
        <f>IF(F4="Owned",1-IF(H4&gt;=1,1,MIN(0.97,H4*Assumptions!$E$12)),1)</f>
        <v>0.0</v>
      </c>
    </row>
    <row r="5">
      <c r="A5" s="39" t="n">
        <v>2</v>
      </c>
      <c r="B5" s="14" t="inlineStr">
        <is>
          <t>Rare metabolic / lysosomal</t>
        </is>
      </c>
      <c r="C5" s="14" t="inlineStr">
        <is>
          <t>UX111, Prophylactic Immunomodulatory (IM) Therapy</t>
        </is>
      </c>
      <c r="D5" s="14" t="inlineStr">
        <is>
          <t>Phase 2/3</t>
        </is>
      </c>
      <c r="E5" s="14" t="inlineStr">
        <is>
          <t>Metabolic / rare</t>
        </is>
      </c>
      <c r="F5" s="14" t="inlineStr">
        <is>
          <t>Partnered</t>
        </is>
      </c>
      <c r="G5" s="40" t="n">
        <v>700</v>
      </c>
      <c r="H5" s="27" t="n">
        <v>0.3776</v>
      </c>
      <c r="I5" s="26" t="n">
        <v>2030</v>
      </c>
      <c r="J5" s="39">
        <f>I5+Assumptions!$B$25</f>
        <v>2042.0</v>
      </c>
      <c r="K5" s="53">
        <f>Assumptions!$E$14</f>
        <v>0.12</v>
      </c>
      <c r="L5" s="23">
        <f>K5*SUMPRODUCT(M5:AF5,NPV!$C$15:$V$15)</f>
        <v>101.35383071418464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26.432</v>
      </c>
      <c r="R5" s="23">
        <f>IF(R$3&lt;$I5,0,$G5*Assumptions!$E$11*INDEX(Assumptions!$B$24:$G$24,MIN(6,R$3-$I5+1))*IF(R$3&gt;$J5,(1-Assumptions!$B$26)^(R$3-$J5),1)*IF($H5&gt;=1,1,MIN(0.97,$H5*Assumptions!$E$12)))</f>
        <v>66.08</v>
      </c>
      <c r="S5" s="23">
        <f>IF(S$3&lt;$I5,0,$G5*Assumptions!$E$11*INDEX(Assumptions!$B$24:$G$24,MIN(6,S$3-$I5+1))*IF(S$3&gt;$J5,(1-Assumptions!$B$26)^(S$3-$J5),1)*IF($H5&gt;=1,1,MIN(0.97,$H5*Assumptions!$E$12)))</f>
        <v>118.944</v>
      </c>
      <c r="T5" s="23">
        <f>IF(T$3&lt;$I5,0,$G5*Assumptions!$E$11*INDEX(Assumptions!$B$24:$G$24,MIN(6,T$3-$I5+1))*IF(T$3&gt;$J5,(1-Assumptions!$B$26)^(T$3-$J5),1)*IF($H5&gt;=1,1,MIN(0.97,$H5*Assumptions!$E$12)))</f>
        <v>171.808</v>
      </c>
      <c r="U5" s="23">
        <f>IF(U$3&lt;$I5,0,$G5*Assumptions!$E$11*INDEX(Assumptions!$B$24:$G$24,MIN(6,U$3-$I5+1))*IF(U$3&gt;$J5,(1-Assumptions!$B$26)^(U$3-$J5),1)*IF($H5&gt;=1,1,MIN(0.97,$H5*Assumptions!$E$12)))</f>
        <v>224.672</v>
      </c>
      <c r="V5" s="23">
        <f>IF(V$3&lt;$I5,0,$G5*Assumptions!$E$11*INDEX(Assumptions!$B$24:$G$24,MIN(6,V$3-$I5+1))*IF(V$3&gt;$J5,(1-Assumptions!$B$26)^(V$3-$J5),1)*IF($H5&gt;=1,1,MIN(0.97,$H5*Assumptions!$E$12)))</f>
        <v>264.32</v>
      </c>
      <c r="W5" s="23">
        <f>IF(W$3&lt;$I5,0,$G5*Assumptions!$E$11*INDEX(Assumptions!$B$24:$G$24,MIN(6,W$3-$I5+1))*IF(W$3&gt;$J5,(1-Assumptions!$B$26)^(W$3-$J5),1)*IF($H5&gt;=1,1,MIN(0.97,$H5*Assumptions!$E$12)))</f>
        <v>264.32</v>
      </c>
      <c r="X5" s="23">
        <f>IF(X$3&lt;$I5,0,$G5*Assumptions!$E$11*INDEX(Assumptions!$B$24:$G$24,MIN(6,X$3-$I5+1))*IF(X$3&gt;$J5,(1-Assumptions!$B$26)^(X$3-$J5),1)*IF($H5&gt;=1,1,MIN(0.97,$H5*Assumptions!$E$12)))</f>
        <v>264.32</v>
      </c>
      <c r="Y5" s="23">
        <f>IF(Y$3&lt;$I5,0,$G5*Assumptions!$E$11*INDEX(Assumptions!$B$24:$G$24,MIN(6,Y$3-$I5+1))*IF(Y$3&gt;$J5,(1-Assumptions!$B$26)^(Y$3-$J5),1)*IF($H5&gt;=1,1,MIN(0.97,$H5*Assumptions!$E$12)))</f>
        <v>264.32</v>
      </c>
      <c r="Z5" s="23">
        <f>IF(Z$3&lt;$I5,0,$G5*Assumptions!$E$11*INDEX(Assumptions!$B$24:$G$24,MIN(6,Z$3-$I5+1))*IF(Z$3&gt;$J5,(1-Assumptions!$B$26)^(Z$3-$J5),1)*IF($H5&gt;=1,1,MIN(0.97,$H5*Assumptions!$E$12)))</f>
        <v>264.32</v>
      </c>
      <c r="AA5" s="23">
        <f>IF(AA$3&lt;$I5,0,$G5*Assumptions!$E$11*INDEX(Assumptions!$B$24:$G$24,MIN(6,AA$3-$I5+1))*IF(AA$3&gt;$J5,(1-Assumptions!$B$26)^(AA$3-$J5),1)*IF($H5&gt;=1,1,MIN(0.97,$H5*Assumptions!$E$12)))</f>
        <v>264.32</v>
      </c>
      <c r="AB5" s="23">
        <f>IF(AB$3&lt;$I5,0,$G5*Assumptions!$E$11*INDEX(Assumptions!$B$24:$G$24,MIN(6,AB$3-$I5+1))*IF(AB$3&gt;$J5,(1-Assumptions!$B$26)^(AB$3-$J5),1)*IF($H5&gt;=1,1,MIN(0.97,$H5*Assumptions!$E$12)))</f>
        <v>264.32</v>
      </c>
      <c r="AC5" s="23">
        <f>IF(AC$3&lt;$I5,0,$G5*Assumptions!$E$11*INDEX(Assumptions!$B$24:$G$24,MIN(6,AC$3-$I5+1))*IF(AC$3&gt;$J5,(1-Assumptions!$B$26)^(AC$3-$J5),1)*IF($H5&gt;=1,1,MIN(0.97,$H5*Assumptions!$E$12)))</f>
        <v>264.32</v>
      </c>
      <c r="AD5" s="23">
        <f>IF(AD$3&lt;$I5,0,$G5*Assumptions!$E$11*INDEX(Assumptions!$B$24:$G$24,MIN(6,AD$3-$I5+1))*IF(AD$3&gt;$J5,(1-Assumptions!$B$26)^(AD$3-$J5),1)*IF($H5&gt;=1,1,MIN(0.97,$H5*Assumptions!$E$12)))</f>
        <v>132.16</v>
      </c>
      <c r="AE5" s="23">
        <f>IF(AE$3&lt;$I5,0,$G5*Assumptions!$E$11*INDEX(Assumptions!$B$24:$G$24,MIN(6,AE$3-$I5+1))*IF(AE$3&gt;$J5,(1-Assumptions!$B$26)^(AE$3-$J5),1)*IF($H5&gt;=1,1,MIN(0.97,$H5*Assumptions!$E$12)))</f>
        <v>66.08</v>
      </c>
      <c r="AF5" s="23">
        <f>IF(AF$3&lt;$I5,0,$G5*Assumptions!$E$11*INDEX(Assumptions!$B$24:$G$24,MIN(6,AF$3-$I5+1))*IF(AF$3&gt;$J5,(1-Assumptions!$B$26)^(AF$3-$J5),1)*IF($H5&gt;=1,1,MIN(0.97,$H5*Assumptions!$E$12)))</f>
        <v>33.04</v>
      </c>
      <c r="AG5" s="35">
        <f>IF(F5="Owned",1-IF(H5&gt;=1,1,MIN(0.97,H5*Assumptions!$E$12)),1)</f>
        <v>1</v>
      </c>
    </row>
    <row r="6">
      <c r="B6" s="24" t="inlineStr">
        <is>
          <t>Risked revenue</t>
        </is>
      </c>
      <c r="L6" s="54">
        <f>SUM(L4:L5)</f>
        <v>254.39389946873172</v>
      </c>
      <c r="M6" s="54">
        <f>SUM(M4:M5)</f>
        <v>7.66</v>
      </c>
      <c r="N6" s="54">
        <f>SUM(N4:N5)</f>
        <v>19.15</v>
      </c>
      <c r="O6" s="54">
        <f>SUM(O4:O5)</f>
        <v>34.47</v>
      </c>
      <c r="P6" s="54">
        <f>SUM(P4:P5)</f>
        <v>49.79</v>
      </c>
      <c r="Q6" s="54">
        <f>SUM(Q4:Q5)</f>
        <v>91.542</v>
      </c>
      <c r="R6" s="54">
        <f>SUM(R4:R5)</f>
        <v>142.68</v>
      </c>
      <c r="S6" s="54">
        <f>SUM(S4:S5)</f>
        <v>195.54399999999998</v>
      </c>
      <c r="T6" s="54">
        <f>SUM(T4:T5)</f>
        <v>248.408</v>
      </c>
      <c r="U6" s="54">
        <f>SUM(U4:U5)</f>
        <v>301.272</v>
      </c>
      <c r="V6" s="54">
        <f>SUM(V4:V5)</f>
        <v>340.91999999999996</v>
      </c>
      <c r="W6" s="54">
        <f>SUM(W4:W5)</f>
        <v>340.91999999999996</v>
      </c>
      <c r="X6" s="54">
        <f>SUM(X4:X5)</f>
        <v>340.91999999999996</v>
      </c>
      <c r="Y6" s="54">
        <f>SUM(Y4:Y5)</f>
        <v>340.91999999999996</v>
      </c>
      <c r="Z6" s="54">
        <f>SUM(Z4:Z5)</f>
        <v>302.62</v>
      </c>
      <c r="AA6" s="54">
        <f>SUM(AA4:AA5)</f>
        <v>283.46999999999997</v>
      </c>
      <c r="AB6" s="54">
        <f>SUM(AB4:AB5)</f>
        <v>273.895</v>
      </c>
      <c r="AC6" s="54">
        <f>SUM(AC4:AC5)</f>
        <v>269.1075</v>
      </c>
      <c r="AD6" s="54">
        <f>SUM(AD4:AD5)</f>
        <v>134.55375</v>
      </c>
      <c r="AE6" s="54">
        <f>SUM(AE4:AE5)</f>
        <v>67.276875</v>
      </c>
      <c r="AF6" s="54">
        <f>SUM(AF4:AF5)</f>
        <v>33.6384375</v>
      </c>
    </row>
    <row r="7">
      <c r="B7" s="24" t="inlineStr">
        <is>
          <t>Risked contribution (revenue x share)</t>
        </is>
      </c>
      <c r="M7" s="55">
        <f>SUMPRODUCT(M4:M5,$K$4:$K$5)</f>
        <v>3.064</v>
      </c>
      <c r="N7" s="55">
        <f>SUMPRODUCT(N4:N5,$K$4:$K$5)</f>
        <v>7.66</v>
      </c>
      <c r="O7" s="55">
        <f>SUMPRODUCT(O4:O5,$K$4:$K$5)</f>
        <v>13.788</v>
      </c>
      <c r="P7" s="55">
        <f>SUMPRODUCT(P4:P5,$K$4:$K$5)</f>
        <v>19.916</v>
      </c>
      <c r="Q7" s="55">
        <f>SUMPRODUCT(Q4:Q5,$K$4:$K$5)</f>
        <v>29.21584</v>
      </c>
      <c r="R7" s="55">
        <f>SUMPRODUCT(R4:R5,$K$4:$K$5)</f>
        <v>38.5696</v>
      </c>
      <c r="S7" s="55">
        <f>SUMPRODUCT(S4:S5,$K$4:$K$5)</f>
        <v>44.91328</v>
      </c>
      <c r="T7" s="55">
        <f>SUMPRODUCT(T4:T5,$K$4:$K$5)</f>
        <v>51.25696</v>
      </c>
      <c r="U7" s="55">
        <f>SUMPRODUCT(U4:U5,$K$4:$K$5)</f>
        <v>57.60064</v>
      </c>
      <c r="V7" s="55">
        <f>SUMPRODUCT(V4:V5,$K$4:$K$5)</f>
        <v>62.3584</v>
      </c>
      <c r="W7" s="55">
        <f>SUMPRODUCT(W4:W5,$K$4:$K$5)</f>
        <v>62.3584</v>
      </c>
      <c r="X7" s="55">
        <f>SUMPRODUCT(X4:X5,$K$4:$K$5)</f>
        <v>62.3584</v>
      </c>
      <c r="Y7" s="55">
        <f>SUMPRODUCT(Y4:Y5,$K$4:$K$5)</f>
        <v>62.3584</v>
      </c>
      <c r="Z7" s="55">
        <f>SUMPRODUCT(Z4:Z5,$K$4:$K$5)</f>
        <v>47.038399999999996</v>
      </c>
      <c r="AA7" s="55">
        <f>SUMPRODUCT(AA4:AA5,$K$4:$K$5)</f>
        <v>39.3784</v>
      </c>
      <c r="AB7" s="55">
        <f>SUMPRODUCT(AB4:AB5,$K$4:$K$5)</f>
        <v>35.5484</v>
      </c>
      <c r="AC7" s="55">
        <f>SUMPRODUCT(AC4:AC5,$K$4:$K$5)</f>
        <v>33.6334</v>
      </c>
      <c r="AD7" s="55">
        <f>SUMPRODUCT(AD4:AD5,$K$4:$K$5)</f>
        <v>16.8167</v>
      </c>
      <c r="AE7" s="55">
        <f>SUMPRODUCT(AE4:AE5,$K$4:$K$5)</f>
        <v>8.40835</v>
      </c>
      <c r="AF7" s="55">
        <f>SUMPRODUCT(AF4:AF5,$K$4:$K$5)</f>
        <v>4.204175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Abeona Therapeutics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7.66</v>
      </c>
      <c r="D4" s="57">
        <f>Pipeline!N6</f>
        <v>19.15</v>
      </c>
      <c r="E4" s="57">
        <f>Pipeline!O6</f>
        <v>34.47</v>
      </c>
      <c r="F4" s="57">
        <f>Pipeline!P6</f>
        <v>49.79</v>
      </c>
      <c r="G4" s="57">
        <f>Pipeline!Q6</f>
        <v>91.542</v>
      </c>
      <c r="H4" s="57">
        <f>Pipeline!R6</f>
        <v>142.68</v>
      </c>
      <c r="I4" s="57">
        <f>Pipeline!S6</f>
        <v>195.54399999999998</v>
      </c>
      <c r="J4" s="57">
        <f>Pipeline!T6</f>
        <v>248.408</v>
      </c>
      <c r="K4" s="57">
        <f>Pipeline!U6</f>
        <v>301.272</v>
      </c>
      <c r="L4" s="57">
        <f>Pipeline!V6</f>
        <v>340.91999999999996</v>
      </c>
      <c r="M4" s="57">
        <f>Pipeline!W6</f>
        <v>340.91999999999996</v>
      </c>
      <c r="N4" s="57">
        <f>Pipeline!X6</f>
        <v>340.91999999999996</v>
      </c>
      <c r="O4" s="57">
        <f>Pipeline!Y6</f>
        <v>340.91999999999996</v>
      </c>
      <c r="P4" s="57">
        <f>Pipeline!Z6</f>
        <v>302.62</v>
      </c>
      <c r="Q4" s="57">
        <f>Pipeline!AA6</f>
        <v>283.46999999999997</v>
      </c>
      <c r="R4" s="57">
        <f>Pipeline!AB6</f>
        <v>273.895</v>
      </c>
      <c r="S4" s="57">
        <f>Pipeline!AC6</f>
        <v>269.1075</v>
      </c>
      <c r="T4" s="57">
        <f>Pipeline!AD6</f>
        <v>134.55375</v>
      </c>
      <c r="U4" s="57">
        <f>Pipeline!AE6</f>
        <v>67.276875</v>
      </c>
      <c r="V4" s="57">
        <f>Pipeline!AF6</f>
        <v>33.6384375</v>
      </c>
    </row>
    <row r="5">
      <c r="A5" s="14" t="inlineStr">
        <is>
          <t>Risked contribution</t>
        </is>
      </c>
      <c r="C5" s="57">
        <f>Pipeline!M7</f>
        <v>3.064</v>
      </c>
      <c r="D5" s="57">
        <f>Pipeline!N7</f>
        <v>7.66</v>
      </c>
      <c r="E5" s="57">
        <f>Pipeline!O7</f>
        <v>13.788</v>
      </c>
      <c r="F5" s="57">
        <f>Pipeline!P7</f>
        <v>19.916</v>
      </c>
      <c r="G5" s="57">
        <f>Pipeline!Q7</f>
        <v>29.21584</v>
      </c>
      <c r="H5" s="57">
        <f>Pipeline!R7</f>
        <v>38.5696</v>
      </c>
      <c r="I5" s="57">
        <f>Pipeline!S7</f>
        <v>44.91328</v>
      </c>
      <c r="J5" s="57">
        <f>Pipeline!T7</f>
        <v>51.25696</v>
      </c>
      <c r="K5" s="57">
        <f>Pipeline!U7</f>
        <v>57.60064</v>
      </c>
      <c r="L5" s="57">
        <f>Pipeline!V7</f>
        <v>62.3584</v>
      </c>
      <c r="M5" s="57">
        <f>Pipeline!W7</f>
        <v>62.3584</v>
      </c>
      <c r="N5" s="57">
        <f>Pipeline!X7</f>
        <v>62.3584</v>
      </c>
      <c r="O5" s="57">
        <f>Pipeline!Y7</f>
        <v>62.3584</v>
      </c>
      <c r="P5" s="57">
        <f>Pipeline!Z7</f>
        <v>47.038399999999996</v>
      </c>
      <c r="Q5" s="57">
        <f>Pipeline!AA7</f>
        <v>39.3784</v>
      </c>
      <c r="R5" s="57">
        <f>Pipeline!AB7</f>
        <v>35.5484</v>
      </c>
      <c r="S5" s="57">
        <f>Pipeline!AC7</f>
        <v>33.6334</v>
      </c>
      <c r="T5" s="57">
        <f>Pipeline!AD7</f>
        <v>16.8167</v>
      </c>
      <c r="U5" s="57">
        <f>Pipeline!AE7</f>
        <v>8.40835</v>
      </c>
      <c r="V5" s="57">
        <f>Pipeline!AF7</f>
        <v>4.204175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-83.615</v>
      </c>
      <c r="D6" s="23">
        <f>-IF(D3-2026&lt;Assumptions!$B$19,Assumptions!$B$18,Assumptions!$B$18*Assumptions!$B$20*Assumptions!$B$16)</f>
        <v>-25.0845</v>
      </c>
      <c r="E6" s="23">
        <f>-IF(E3-2026&lt;Assumptions!$B$19,Assumptions!$B$18,Assumptions!$B$18*Assumptions!$B$20*Assumptions!$B$16)</f>
        <v>-25.0845</v>
      </c>
      <c r="F6" s="23">
        <f>-IF(F3-2026&lt;Assumptions!$B$19,Assumptions!$B$18,Assumptions!$B$18*Assumptions!$B$20*Assumptions!$B$16)</f>
        <v>-25.0845</v>
      </c>
      <c r="G6" s="23">
        <f>-IF(G3-2026&lt;Assumptions!$B$19,Assumptions!$B$18,Assumptions!$B$18*Assumptions!$B$20*Assumptions!$B$16)</f>
        <v>-25.0845</v>
      </c>
      <c r="H6" s="23">
        <f>-IF(H3-2026&lt;Assumptions!$B$19,Assumptions!$B$18,Assumptions!$B$18*Assumptions!$B$20*Assumptions!$B$16)</f>
        <v>-25.0845</v>
      </c>
      <c r="I6" s="23">
        <f>-IF(I3-2026&lt;Assumptions!$B$19,Assumptions!$B$18,Assumptions!$B$18*Assumptions!$B$20*Assumptions!$B$16)</f>
        <v>-25.0845</v>
      </c>
      <c r="J6" s="23">
        <f>-IF(J3-2026&lt;Assumptions!$B$19,Assumptions!$B$18,Assumptions!$B$18*Assumptions!$B$20*Assumptions!$B$16)</f>
        <v>-25.0845</v>
      </c>
      <c r="K6" s="23">
        <f>-IF(K3-2026&lt;Assumptions!$B$19,Assumptions!$B$18,Assumptions!$B$18*Assumptions!$B$20*Assumptions!$B$16)</f>
        <v>-25.0845</v>
      </c>
      <c r="L6" s="23">
        <f>-IF(L3-2026&lt;Assumptions!$B$19,Assumptions!$B$18,Assumptions!$B$18*Assumptions!$B$20*Assumptions!$B$16)</f>
        <v>-25.0845</v>
      </c>
      <c r="M6" s="23">
        <f>-IF(M3-2026&lt;Assumptions!$B$19,Assumptions!$B$18,Assumptions!$B$18*Assumptions!$B$20*Assumptions!$B$16)</f>
        <v>-25.0845</v>
      </c>
      <c r="N6" s="23">
        <f>-IF(N3-2026&lt;Assumptions!$B$19,Assumptions!$B$18,Assumptions!$B$18*Assumptions!$B$20*Assumptions!$B$16)</f>
        <v>-25.0845</v>
      </c>
      <c r="O6" s="23">
        <f>-IF(O3-2026&lt;Assumptions!$B$19,Assumptions!$B$18,Assumptions!$B$18*Assumptions!$B$20*Assumptions!$B$16)</f>
        <v>-25.0845</v>
      </c>
      <c r="P6" s="23">
        <f>-IF(P3-2026&lt;Assumptions!$B$19,Assumptions!$B$18,Assumptions!$B$18*Assumptions!$B$20*Assumptions!$B$16)</f>
        <v>-25.0845</v>
      </c>
      <c r="Q6" s="23">
        <f>-IF(Q3-2026&lt;Assumptions!$B$19,Assumptions!$B$18,Assumptions!$B$18*Assumptions!$B$20*Assumptions!$B$16)</f>
        <v>-25.0845</v>
      </c>
      <c r="R6" s="23">
        <f>-IF(R3-2026&lt;Assumptions!$B$19,Assumptions!$B$18,Assumptions!$B$18*Assumptions!$B$20*Assumptions!$B$16)</f>
        <v>-25.0845</v>
      </c>
      <c r="S6" s="23">
        <f>-IF(S3-2026&lt;Assumptions!$B$19,Assumptions!$B$18,Assumptions!$B$18*Assumptions!$B$20*Assumptions!$B$16)</f>
        <v>-25.0845</v>
      </c>
      <c r="T6" s="23">
        <f>-IF(T3-2026&lt;Assumptions!$B$19,Assumptions!$B$18,Assumptions!$B$18*Assumptions!$B$20*Assumptions!$B$16)</f>
        <v>-25.0845</v>
      </c>
      <c r="U6" s="23">
        <f>-IF(U3-2026&lt;Assumptions!$B$19,Assumptions!$B$18,Assumptions!$B$18*Assumptions!$B$20*Assumptions!$B$16)</f>
        <v>-25.0845</v>
      </c>
      <c r="V6" s="23">
        <f>-IF(V3-2026&lt;Assumptions!$B$19,Assumptions!$B$18,Assumptions!$B$18*Assumptions!$B$20*Assumptions!$B$16)</f>
        <v>-25.0845</v>
      </c>
    </row>
    <row r="7">
      <c r="A7" s="14" t="inlineStr">
        <is>
          <t>Pre-tax cash flow</t>
        </is>
      </c>
      <c r="C7" s="23">
        <f>C5+C6</f>
        <v>-80.55099999999999</v>
      </c>
      <c r="D7" s="23">
        <f>D5+D6</f>
        <v>-17.4245</v>
      </c>
      <c r="E7" s="23">
        <f>E5+E6</f>
        <v>-11.296499999999998</v>
      </c>
      <c r="F7" s="23">
        <f>F5+F6</f>
        <v>-5.168499999999998</v>
      </c>
      <c r="G7" s="23">
        <f>G5+G6</f>
        <v>4.131340000000002</v>
      </c>
      <c r="H7" s="23">
        <f>H5+H6</f>
        <v>13.485100000000003</v>
      </c>
      <c r="I7" s="23">
        <f>I5+I6</f>
        <v>19.828780000000002</v>
      </c>
      <c r="J7" s="23">
        <f>J5+J6</f>
        <v>26.17246</v>
      </c>
      <c r="K7" s="23">
        <f>K5+K6</f>
        <v>32.51614</v>
      </c>
      <c r="L7" s="23">
        <f>L5+L6</f>
        <v>37.273900000000005</v>
      </c>
      <c r="M7" s="23">
        <f>M5+M6</f>
        <v>37.273900000000005</v>
      </c>
      <c r="N7" s="23">
        <f>N5+N6</f>
        <v>37.273900000000005</v>
      </c>
      <c r="O7" s="23">
        <f>O5+O6</f>
        <v>37.273900000000005</v>
      </c>
      <c r="P7" s="23">
        <f>P5+P6</f>
        <v>21.953899999999997</v>
      </c>
      <c r="Q7" s="23">
        <f>Q5+Q6</f>
        <v>14.2939</v>
      </c>
      <c r="R7" s="23">
        <f>R5+R6</f>
        <v>10.463900000000002</v>
      </c>
      <c r="S7" s="23">
        <f>S5+S6</f>
        <v>8.548900000000003</v>
      </c>
      <c r="T7" s="23">
        <f>T5+T6</f>
        <v>-8.267799999999998</v>
      </c>
      <c r="U7" s="23">
        <f>U5+U6</f>
        <v>-16.67615</v>
      </c>
      <c r="V7" s="23">
        <f>V5+V6</f>
        <v>-20.880325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4.131340000000002</v>
      </c>
      <c r="H8" s="23">
        <f>MIN(G17,MAX(0,H7))</f>
        <v>13.485100000000003</v>
      </c>
      <c r="I8" s="23">
        <f>MIN(H17,MAX(0,I7))</f>
        <v>19.828780000000002</v>
      </c>
      <c r="J8" s="23">
        <f>MIN(I17,MAX(0,J7))</f>
        <v>26.17246</v>
      </c>
      <c r="K8" s="23">
        <f>MIN(J17,MAX(0,K7))</f>
        <v>32.51614</v>
      </c>
      <c r="L8" s="23">
        <f>MIN(K17,MAX(0,L7))</f>
        <v>37.273900000000005</v>
      </c>
      <c r="M8" s="23">
        <f>MIN(L17,MAX(0,M7))</f>
        <v>37.273900000000005</v>
      </c>
      <c r="N8" s="23">
        <f>MIN(M17,MAX(0,N7))</f>
        <v>37.273900000000005</v>
      </c>
      <c r="O8" s="23">
        <f>MIN(N17,MAX(0,O7))</f>
        <v>37.273900000000005</v>
      </c>
      <c r="P8" s="23">
        <f>MIN(O17,MAX(0,P7))</f>
        <v>21.953899999999997</v>
      </c>
      <c r="Q8" s="23">
        <f>MIN(P17,MAX(0,Q7))</f>
        <v>14.2939</v>
      </c>
      <c r="R8" s="23">
        <f>MIN(Q17,MAX(0,R7))</f>
        <v>10.463900000000002</v>
      </c>
      <c r="S8" s="23">
        <f>MIN(R17,MAX(0,S7))</f>
        <v>8.548900000000003</v>
      </c>
      <c r="T8" s="23">
        <f>MIN(S17,MAX(0,T7))</f>
        <v>0</v>
      </c>
      <c r="U8" s="23">
        <f>MIN(T17,MAX(0,U7))</f>
        <v>0</v>
      </c>
      <c r="V8" s="23">
        <f>MIN(U17,MAX(0,V7))</f>
        <v>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0.0</v>
      </c>
      <c r="T9" s="23">
        <f>MAX(0,T7)-T8</f>
        <v>0.0</v>
      </c>
      <c r="U9" s="23">
        <f>MAX(0,U7)-U8</f>
        <v>0.0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0.0</v>
      </c>
      <c r="T10" s="23">
        <f>T9*Assumptions!$E$15</f>
        <v>0.0</v>
      </c>
      <c r="U10" s="23">
        <f>U9*Assumptions!$E$15</f>
        <v>0.0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-80.55099999999999</v>
      </c>
      <c r="D11" s="55">
        <f>D7-D10</f>
        <v>-17.4245</v>
      </c>
      <c r="E11" s="55">
        <f>E7-E10</f>
        <v>-11.296499999999998</v>
      </c>
      <c r="F11" s="55">
        <f>F7-F10</f>
        <v>-5.168499999999998</v>
      </c>
      <c r="G11" s="55">
        <f>G7-G10</f>
        <v>4.131340000000002</v>
      </c>
      <c r="H11" s="55">
        <f>H7-H10</f>
        <v>13.485100000000003</v>
      </c>
      <c r="I11" s="55">
        <f>I7-I10</f>
        <v>19.828780000000002</v>
      </c>
      <c r="J11" s="55">
        <f>J7-J10</f>
        <v>26.17246</v>
      </c>
      <c r="K11" s="55">
        <f>K7-K10</f>
        <v>32.51614</v>
      </c>
      <c r="L11" s="55">
        <f>L7-L10</f>
        <v>37.273900000000005</v>
      </c>
      <c r="M11" s="55">
        <f>M7-M10</f>
        <v>37.273900000000005</v>
      </c>
      <c r="N11" s="55">
        <f>N7-N10</f>
        <v>37.273900000000005</v>
      </c>
      <c r="O11" s="55">
        <f>O7-O10</f>
        <v>37.273900000000005</v>
      </c>
      <c r="P11" s="55">
        <f>P7-P10</f>
        <v>21.953899999999997</v>
      </c>
      <c r="Q11" s="55">
        <f>Q7-Q10</f>
        <v>14.2939</v>
      </c>
      <c r="R11" s="55">
        <f>R7-R10</f>
        <v>10.463900000000002</v>
      </c>
      <c r="S11" s="55">
        <f>S7-S10</f>
        <v>8.548900000000003</v>
      </c>
      <c r="T11" s="55">
        <f>T7-T10</f>
        <v>-8.267799999999998</v>
      </c>
      <c r="U11" s="55">
        <f>U7-U10</f>
        <v>-16.67615</v>
      </c>
      <c r="V11" s="55">
        <f>V7-V10</f>
        <v>-20.880325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-39.46228521747997</v>
      </c>
      <c r="D16" s="55">
        <f>D11*D15</f>
        <v>-15.550362168200534</v>
      </c>
      <c r="E16" s="55">
        <f>E11*E15</f>
        <v>-9.001317225390627</v>
      </c>
      <c r="F16" s="55">
        <f>F11*F15</f>
        <v>-3.677127245435648</v>
      </c>
      <c r="G16" s="55">
        <f>G11*G15</f>
        <v>2.6243215899470207</v>
      </c>
      <c r="H16" s="55">
        <f>H11*H15</f>
        <v>7.6482533236783095</v>
      </c>
      <c r="I16" s="55">
        <f>I11*I15</f>
        <v>10.041210334493913</v>
      </c>
      <c r="J16" s="55">
        <f>J11*J15</f>
        <v>11.833592016572114</v>
      </c>
      <c r="K16" s="55">
        <f>K11*K15</f>
        <v>13.126622913446761</v>
      </c>
      <c r="L16" s="55">
        <f>L11*L15</f>
        <v>13.435097973474624</v>
      </c>
      <c r="M16" s="55">
        <f>M11*M15</f>
        <v>11.995623190602341</v>
      </c>
      <c r="N16" s="55">
        <f>N11*N15</f>
        <v>10.710377848752088</v>
      </c>
      <c r="O16" s="55">
        <f>O11*O15</f>
        <v>9.562837364957222</v>
      </c>
      <c r="P16" s="55">
        <f>P11*P15</f>
        <v>5.0289300294225</v>
      </c>
      <c r="Q16" s="55">
        <f>Q11*Q15</f>
        <v>2.9234564468679776</v>
      </c>
      <c r="R16" s="55">
        <f>R11*R15</f>
        <v>1.9108273405827108</v>
      </c>
      <c r="S16" s="55">
        <f>S11*S15</f>
        <v>1.3938629693438815</v>
      </c>
      <c r="T16" s="55">
        <f>T11*T15</f>
        <v>-1.2035989026513578</v>
      </c>
      <c r="U16" s="55">
        <f>U11*U15</f>
        <v>-2.1675523287039398</v>
      </c>
      <c r="V16" s="55">
        <f>V11*V15</f>
        <v>-2.423221030689524</v>
      </c>
    </row>
    <row r="17">
      <c r="A17" s="14" t="inlineStr">
        <is>
          <t>Tax-loss carryforward, end of year</t>
        </is>
      </c>
      <c r="C17" s="23">
        <f>Assumptions!$B$21-C8+MAX(0,-C7)</f>
        <v>604.6510000000001</v>
      </c>
      <c r="D17" s="23">
        <f>C17-D8+MAX(0,-D7)</f>
        <v>622.0755</v>
      </c>
      <c r="E17" s="23">
        <f>D17-E8+MAX(0,-E7)</f>
        <v>633.3720000000001</v>
      </c>
      <c r="F17" s="23">
        <f>E17-F8+MAX(0,-F7)</f>
        <v>638.5405000000001</v>
      </c>
      <c r="G17" s="23">
        <f>F17-G8+MAX(0,-G7)</f>
        <v>634.40916</v>
      </c>
      <c r="H17" s="23">
        <f>G17-H8+MAX(0,-H7)</f>
        <v>620.92406</v>
      </c>
      <c r="I17" s="23">
        <f>H17-I8+MAX(0,-I7)</f>
        <v>601.09528</v>
      </c>
      <c r="J17" s="23">
        <f>I17-J8+MAX(0,-J7)</f>
        <v>574.92282</v>
      </c>
      <c r="K17" s="23">
        <f>J17-K8+MAX(0,-K7)</f>
        <v>542.40668</v>
      </c>
      <c r="L17" s="23">
        <f>K17-L8+MAX(0,-L7)</f>
        <v>505.13278</v>
      </c>
      <c r="M17" s="23">
        <f>L17-M8+MAX(0,-M7)</f>
        <v>467.85888</v>
      </c>
      <c r="N17" s="23">
        <f>M17-N8+MAX(0,-N7)</f>
        <v>430.58498</v>
      </c>
      <c r="O17" s="23">
        <f>N17-O8+MAX(0,-O7)</f>
        <v>393.31107999999995</v>
      </c>
      <c r="P17" s="23">
        <f>O17-P8+MAX(0,-P7)</f>
        <v>371.35717999999997</v>
      </c>
      <c r="Q17" s="23">
        <f>P17-Q8+MAX(0,-Q7)</f>
        <v>357.06327999999996</v>
      </c>
      <c r="R17" s="23">
        <f>Q17-R8+MAX(0,-R7)</f>
        <v>346.59937999999994</v>
      </c>
      <c r="S17" s="23">
        <f>R17-S8+MAX(0,-S7)</f>
        <v>338.05047999999994</v>
      </c>
      <c r="T17" s="23">
        <f>S17-T8+MAX(0,-T7)</f>
        <v>346.31827999999996</v>
      </c>
      <c r="U17" s="23">
        <f>T17-U8+MAX(0,-U7)</f>
        <v>362.99442999999997</v>
      </c>
      <c r="V17" s="23">
        <f>U17-V8+MAX(0,-V7)</f>
        <v>383.87475499999994</v>
      </c>
    </row>
    <row r="19">
      <c r="A19" s="14" t="inlineStr">
        <is>
          <t>PV of risked pipeline contribution</t>
        </is>
      </c>
      <c r="B19" s="23">
        <f>SUMPRODUCT(C5:V5,C15:V15)</f>
        <v>254.39389946873172</v>
      </c>
    </row>
    <row r="20">
      <c r="A20" s="14" t="inlineStr">
        <is>
          <t>PV of corporate burn</t>
        </is>
      </c>
      <c r="B20" s="23">
        <f>SUMPRODUCT(C6:V6,C15:V15)</f>
        <v>-225.64435024514185</v>
      </c>
    </row>
    <row r="21">
      <c r="A21" s="14" t="inlineStr">
        <is>
          <t>PV of taxes</t>
        </is>
      </c>
      <c r="B21" s="23">
        <f>-SUMPRODUCT(C10:V10,C15:V15)</f>
        <v>-0.0</v>
      </c>
    </row>
    <row r="22">
      <c r="A22" s="24" t="inlineStr">
        <is>
          <t>Pipeline rNPV (operations)</t>
        </is>
      </c>
      <c r="B22" s="54">
        <f>SUM(C16:V16)</f>
        <v>28.749549223589852</v>
      </c>
    </row>
    <row r="23">
      <c r="A23" s="14" t="inlineStr">
        <is>
          <t>Cash &amp; investments</t>
        </is>
      </c>
      <c r="B23" s="57">
        <f>Main!C7</f>
        <v>146.826</v>
      </c>
    </row>
    <row r="24">
      <c r="A24" s="14" t="inlineStr">
        <is>
          <t>Debt</t>
        </is>
      </c>
      <c r="B24" s="57">
        <f>Main!C8</f>
        <v>14.988</v>
      </c>
    </row>
    <row r="25">
      <c r="A25" s="24" t="inlineStr">
        <is>
          <t>Equity value</t>
        </is>
      </c>
      <c r="B25" s="54">
        <f>B22+B23-B24</f>
        <v>160.58754922358986</v>
      </c>
    </row>
    <row r="26">
      <c r="A26" s="14" t="inlineStr">
        <is>
          <t>Shares (mm)</t>
        </is>
      </c>
      <c r="B26" s="57">
        <f>Main!C4</f>
        <v>57.184017</v>
      </c>
    </row>
    <row r="27">
      <c r="A27" s="24" t="inlineStr">
        <is>
          <t>rNPV / share</t>
        </is>
      </c>
      <c r="B27" s="60">
        <f>B25/B26</f>
        <v>2.8082593292386204</v>
      </c>
    </row>
    <row r="28">
      <c r="A28" s="14" t="inlineStr">
        <is>
          <t>Price</t>
        </is>
      </c>
      <c r="B28" s="61">
        <f>Main!C3</f>
        <v>4.6</v>
      </c>
    </row>
    <row r="29">
      <c r="A29" s="14" t="inlineStr">
        <is>
          <t>Upside</t>
        </is>
      </c>
      <c r="B29" s="62">
        <f>B27/B28-1</f>
        <v>-0.3895088414698651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2026-10-21T06:26:23Z</dcterms:modified>
  <cp:lastModifiedBy>Wang, Eric</cp:lastModifiedBy>
</cp:coreProperties>
</file>