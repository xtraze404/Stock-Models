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Structure Therapeutics Inc.</t>
        </is>
      </c>
      <c r="C2" s="10" t="n"/>
    </row>
    <row r="3">
      <c r="B3" t="inlineStr">
        <is>
          <t>Price</t>
        </is>
      </c>
      <c r="C3" s="11">
        <f>INDEX([1]Pharma!$F$1:$F$1000,MATCH("GPCR",[1]Pharma!$B$1:$B$1000,0))</f>
        <v>22.88</v>
      </c>
      <c r="F3" s="1" t="n"/>
    </row>
    <row r="4">
      <c r="B4" t="inlineStr">
        <is>
          <t>Shares</t>
        </is>
      </c>
      <c r="C4" s="21">
        <f>213.929572/3</f>
        <v>71.30985733333334</v>
      </c>
      <c r="F4" s="1" t="n"/>
    </row>
    <row r="5">
      <c r="B5" t="inlineStr">
        <is>
          <t>Market Cap.</t>
        </is>
      </c>
      <c r="C5" s="13">
        <f>C3*C4</f>
        <v>1631.5695357866668</v>
      </c>
      <c r="F5" s="1" t="n"/>
    </row>
    <row r="6"/>
    <row r="7">
      <c r="B7" t="inlineStr">
        <is>
          <t>Cash</t>
        </is>
      </c>
      <c r="C7" s="21">
        <f>272.638+1070.02</f>
        <v>1342.658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288.91153578666695</v>
      </c>
    </row>
    <row r="10"/>
    <row r="11">
      <c r="B11" s="14" t="inlineStr">
        <is>
          <t>Net Cash / Share</t>
        </is>
      </c>
      <c r="C11" s="11">
        <f>(C7-C8)/C4</f>
        <v>18.82850492497596</v>
      </c>
    </row>
    <row r="12">
      <c r="B12" s="14" t="inlineStr">
        <is>
          <t>Upside</t>
        </is>
      </c>
      <c r="C12" s="15">
        <f>IFERROR(C11/C3-1,"")</f>
        <v>-0.17707583369860314</v>
      </c>
    </row>
    <row r="13">
      <c r="B13" s="14" t="inlineStr">
        <is>
          <t>Cash / Share</t>
        </is>
      </c>
      <c r="C13" s="11">
        <f>IFERROR((C7-C8)/C4,"")</f>
        <v>18.82850492497596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-220.293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6.094873645553875</v>
      </c>
    </row>
    <row r="19">
      <c r="B19" s="14" t="inlineStr">
        <is>
          <t>Implied Pipeline Value</t>
        </is>
      </c>
      <c r="C19" s="13">
        <f>C9</f>
        <v>288.91153578666695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36.193</v>
      </c>
      <c r="C5" s="23" t="n">
        <v>70.10299999999999</v>
      </c>
      <c r="D5" s="23" t="n">
        <v>108.814</v>
      </c>
      <c r="E5" s="23" t="n">
        <v>225.255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16.368</v>
      </c>
      <c r="C6" s="23" t="n">
        <v>32.672</v>
      </c>
      <c r="D6" s="23" t="n">
        <v>49.414</v>
      </c>
      <c r="E6" s="23" t="n">
        <v>-48.695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52.56099999999999</v>
      </c>
      <c r="C7" s="23">
        <f>SUM(C5:C6)</f>
        <v>102.77499999999999</v>
      </c>
      <c r="D7" s="23">
        <f>SUM(D5:D6)</f>
        <v>158.228</v>
      </c>
      <c r="E7" s="23">
        <f>SUM(E5:E6)</f>
        <v>176.56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-52.56099999999999</v>
      </c>
      <c r="C8" s="23">
        <f>C4-C7</f>
        <v>-102.77499999999999</v>
      </c>
      <c r="D8" s="23">
        <f>D4-D7</f>
        <v>-158.228</v>
      </c>
      <c r="E8" s="23">
        <f>E4-E7</f>
        <v>-176.56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1.257</v>
      </c>
      <c r="C9" s="23" t="n">
        <v>13.391</v>
      </c>
      <c r="D9" s="23" t="n">
        <v>36.012</v>
      </c>
      <c r="E9" s="23" t="n">
        <v>35.873</v>
      </c>
    </row>
    <row r="10">
      <c r="A10" s="2" t="inlineStr">
        <is>
          <t>Pretax</t>
        </is>
      </c>
      <c r="B10" s="23">
        <f>B8+B9</f>
        <v>-51.303999999999995</v>
      </c>
      <c r="C10" s="23">
        <f>C8+C9</f>
        <v>-89.38399999999999</v>
      </c>
      <c r="D10" s="23">
        <f>D8+D9</f>
        <v>-122.21600000000001</v>
      </c>
      <c r="E10" s="23">
        <f>E8+E9</f>
        <v>-140.687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0.017</v>
      </c>
      <c r="C11" s="23" t="n">
        <v>0.236</v>
      </c>
      <c r="D11" s="23" t="n">
        <v>0.31</v>
      </c>
      <c r="E11" s="23" t="n">
        <v>0.515</v>
      </c>
    </row>
    <row r="12">
      <c r="A12" s="2" t="inlineStr">
        <is>
          <t>Net Income</t>
        </is>
      </c>
      <c r="B12" s="23" t="n">
        <v>-51.321</v>
      </c>
      <c r="C12" s="23" t="n">
        <v>-89.62</v>
      </c>
      <c r="D12" s="23" t="n">
        <v>-122.526</v>
      </c>
      <c r="E12" s="23" t="n">
        <v>-141.202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-5.354862270450751</v>
      </c>
      <c r="C13" s="11">
        <f>IFERROR(C12/C14,0)</f>
        <v>-0.8132633986097753</v>
      </c>
      <c r="D13" s="11">
        <f>IFERROR(D12/D14,0)</f>
        <v>-0.7758640341434379</v>
      </c>
      <c r="E13" s="11">
        <f>IFERROR(E12/E14,0)</f>
        <v>-0.7950742133831843</v>
      </c>
    </row>
    <row r="14">
      <c r="A14" s="2" t="inlineStr">
        <is>
          <t>Shares</t>
        </is>
      </c>
      <c r="B14" s="23" t="n">
        <v>9.584</v>
      </c>
      <c r="C14" s="23" t="n">
        <v>110.198</v>
      </c>
      <c r="D14" s="23" t="n">
        <v>157.922</v>
      </c>
      <c r="E14" s="23" t="n">
        <v>177.596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2026-10-21T01:04:40Z</dcterms:modified>
  <cp:lastModifiedBy>Wang, Eric</cp:lastModifiedBy>
</cp:coreProperties>
</file>