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Structure Therapeutics Inc.</t>
        </is>
      </c>
      <c r="C2" s="10" t="n"/>
    </row>
    <row r="3">
      <c r="B3" t="inlineStr">
        <is>
          <t>Price</t>
        </is>
      </c>
      <c r="C3" s="11">
        <f>INDEX([1]Pharma!$F$1:$F$1000,MATCH("GPCR",[1]Pharma!$B$1:$B$1000,0))</f>
        <v>22.88</v>
      </c>
      <c r="F3" s="1" t="n"/>
    </row>
    <row r="4">
      <c r="B4" t="inlineStr">
        <is>
          <t>Shares</t>
        </is>
      </c>
      <c r="C4" s="21">
        <f>213.929572/3</f>
        <v>71.30985733333334</v>
      </c>
      <c r="F4" s="1" t="n"/>
    </row>
    <row r="5">
      <c r="B5" t="inlineStr">
        <is>
          <t>Market Cap.</t>
        </is>
      </c>
      <c r="C5" s="13">
        <f>C3*C4</f>
        <v>1631.5695357866668</v>
      </c>
      <c r="F5" s="1" t="n"/>
    </row>
    <row r="6"/>
    <row r="7">
      <c r="B7" t="inlineStr">
        <is>
          <t>Cash</t>
        </is>
      </c>
      <c r="C7" s="21">
        <f>272.638+1070.02</f>
        <v>1342.658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288.91153578666695</v>
      </c>
    </row>
    <row r="10"/>
    <row r="11">
      <c r="B11" s="14" t="inlineStr">
        <is>
          <t>rNPV / Share</t>
        </is>
      </c>
      <c r="C11" s="11">
        <f>NPV!B27</f>
        <v>62.828113762406794</v>
      </c>
    </row>
    <row r="12">
      <c r="B12" s="14" t="inlineStr">
        <is>
          <t>Upside</t>
        </is>
      </c>
      <c r="C12" s="15">
        <f>IFERROR(C11/C3-1,"")</f>
        <v>1.7459839931121852</v>
      </c>
    </row>
    <row r="13">
      <c r="B13" s="14" t="inlineStr">
        <is>
          <t>Cash / Share</t>
        </is>
      </c>
      <c r="C13" s="11">
        <f>IFERROR((C7-C8)/C4,"")</f>
        <v>18.82850492497596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-220.293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6.094873645553875</v>
      </c>
    </row>
    <row r="19">
      <c r="B19" s="14" t="inlineStr">
        <is>
          <t>Implied Pipeline Value</t>
        </is>
      </c>
      <c r="C19" s="13">
        <f>C9</f>
        <v>288.91153578666695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36.193</v>
      </c>
      <c r="C5" s="23" t="n">
        <v>70.10299999999999</v>
      </c>
      <c r="D5" s="23" t="n">
        <v>108.814</v>
      </c>
      <c r="E5" s="23" t="n">
        <v>225.255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16.368</v>
      </c>
      <c r="C6" s="23" t="n">
        <v>32.672</v>
      </c>
      <c r="D6" s="23" t="n">
        <v>49.414</v>
      </c>
      <c r="E6" s="23" t="n">
        <v>-48.695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52.56099999999999</v>
      </c>
      <c r="C7" s="23">
        <f>SUM(C5:C6)</f>
        <v>102.77499999999999</v>
      </c>
      <c r="D7" s="23">
        <f>SUM(D5:D6)</f>
        <v>158.228</v>
      </c>
      <c r="E7" s="23">
        <f>SUM(E5:E6)</f>
        <v>176.56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-52.56099999999999</v>
      </c>
      <c r="C8" s="23">
        <f>C4-C7</f>
        <v>-102.77499999999999</v>
      </c>
      <c r="D8" s="23">
        <f>D4-D7</f>
        <v>-158.228</v>
      </c>
      <c r="E8" s="23">
        <f>E4-E7</f>
        <v>-176.56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1.257</v>
      </c>
      <c r="C9" s="23" t="n">
        <v>13.391</v>
      </c>
      <c r="D9" s="23" t="n">
        <v>36.012</v>
      </c>
      <c r="E9" s="23" t="n">
        <v>35.873</v>
      </c>
    </row>
    <row r="10">
      <c r="A10" s="2" t="inlineStr">
        <is>
          <t>Pretax</t>
        </is>
      </c>
      <c r="B10" s="23">
        <f>B8+B9</f>
        <v>-51.303999999999995</v>
      </c>
      <c r="C10" s="23">
        <f>C8+C9</f>
        <v>-89.38399999999999</v>
      </c>
      <c r="D10" s="23">
        <f>D8+D9</f>
        <v>-122.21600000000001</v>
      </c>
      <c r="E10" s="23">
        <f>E8+E9</f>
        <v>-140.687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0.017</v>
      </c>
      <c r="C11" s="23" t="n">
        <v>0.236</v>
      </c>
      <c r="D11" s="23" t="n">
        <v>0.31</v>
      </c>
      <c r="E11" s="23" t="n">
        <v>0.515</v>
      </c>
    </row>
    <row r="12">
      <c r="A12" s="2" t="inlineStr">
        <is>
          <t>Net Income</t>
        </is>
      </c>
      <c r="B12" s="23" t="n">
        <v>-51.321</v>
      </c>
      <c r="C12" s="23" t="n">
        <v>-89.62</v>
      </c>
      <c r="D12" s="23" t="n">
        <v>-122.526</v>
      </c>
      <c r="E12" s="23" t="n">
        <v>-141.202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-5.354862270450751</v>
      </c>
      <c r="C13" s="11">
        <f>IFERROR(C12/C14,0)</f>
        <v>-0.8132633986097753</v>
      </c>
      <c r="D13" s="11">
        <f>IFERROR(D12/D14,0)</f>
        <v>-0.7758640341434379</v>
      </c>
      <c r="E13" s="11">
        <f>IFERROR(E12/E14,0)</f>
        <v>-0.7950742133831843</v>
      </c>
    </row>
    <row r="14">
      <c r="A14" s="2" t="inlineStr">
        <is>
          <t>Shares</t>
        </is>
      </c>
      <c r="B14" s="23" t="n">
        <v>9.584</v>
      </c>
      <c r="C14" s="23" t="n">
        <v>110.198</v>
      </c>
      <c r="D14" s="23" t="n">
        <v>157.922</v>
      </c>
      <c r="E14" s="23" t="n">
        <v>177.596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Structure Therapeutics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0.551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257.807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404.7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3137.605828919666</v>
      </c>
      <c r="C29" s="42">
        <f>NPV!B25</f>
        <v>4480.263828919666</v>
      </c>
      <c r="D29" s="43">
        <f>NPV!B27</f>
        <v>62.828113762406794</v>
      </c>
      <c r="E29" s="44">
        <f>NPV!B29</f>
        <v>1.7459839931121852</v>
      </c>
    </row>
    <row r="30">
      <c r="A30" s="45" t="n">
        <v>1</v>
      </c>
      <c r="B30" s="46">
        <f t="dataTable" ref="B30:E32" r1="B4"/>
        <v>960.0506884205897</v>
      </c>
      <c r="C30" s="46">
        <v>2302.7086884205896</v>
      </c>
      <c r="D30" s="47">
        <v>32.29159017464761</v>
      </c>
      <c r="E30" s="48">
        <v>0.4113457244164165</v>
      </c>
    </row>
    <row r="31">
      <c r="A31" s="45" t="n">
        <v>2</v>
      </c>
      <c r="B31" s="46">
        <v>3137.605828919666</v>
      </c>
      <c r="C31" s="46">
        <v>4480.263828919666</v>
      </c>
      <c r="D31" s="47">
        <v>62.828113762406794</v>
      </c>
      <c r="E31" s="48">
        <v>1.7459839931121852</v>
      </c>
    </row>
    <row r="32">
      <c r="A32" s="45" t="n">
        <v>3</v>
      </c>
      <c r="B32" s="46">
        <v>6491.004785723616</v>
      </c>
      <c r="C32" s="46">
        <v>7833.662785723616</v>
      </c>
      <c r="D32" s="47">
        <v>109.85385581555245</v>
      </c>
      <c r="E32" s="48">
        <v>3.8013048870433765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62.828113762406794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26.753087292146386</v>
      </c>
      <c r="C37" s="47">
        <v>34.785634397417546</v>
      </c>
      <c r="D37" s="47">
        <v>42.75892994364358</v>
      </c>
      <c r="E37" s="47">
        <v>58.634365501491885</v>
      </c>
      <c r="F37" s="47">
        <v>74.48641781327697</v>
      </c>
    </row>
    <row r="38">
      <c r="A38" s="50" t="n">
        <v>0.8</v>
      </c>
      <c r="B38" s="47">
        <v>31.557669133876775</v>
      </c>
      <c r="C38" s="47">
        <v>42.20791037016872</v>
      </c>
      <c r="D38" s="47">
        <v>52.80390039277648</v>
      </c>
      <c r="E38" s="47">
        <v>73.94347169723747</v>
      </c>
      <c r="F38" s="47">
        <v>95.00926501718362</v>
      </c>
    </row>
    <row r="39">
      <c r="A39" s="50" t="n">
        <v>1</v>
      </c>
      <c r="B39" s="47">
        <v>36.34091938791639</v>
      </c>
      <c r="C39" s="47">
        <v>49.61588169711867</v>
      </c>
      <c r="D39" s="47">
        <v>62.828113762406794</v>
      </c>
      <c r="E39" s="47">
        <v>89.20230751837515</v>
      </c>
      <c r="F39" s="47">
        <v>115.53211222109024</v>
      </c>
    </row>
    <row r="40">
      <c r="A40" s="50" t="n">
        <v>1.2</v>
      </c>
      <c r="B40" s="47">
        <v>41.105341969666846</v>
      </c>
      <c r="C40" s="47">
        <v>56.997648653691364</v>
      </c>
      <c r="D40" s="47">
        <v>72.85232713203713</v>
      </c>
      <c r="E40" s="47">
        <v>104.45919378173878</v>
      </c>
      <c r="F40" s="47">
        <v>136.05495942499687</v>
      </c>
    </row>
    <row r="41">
      <c r="A41" s="50" t="n">
        <v>1.4</v>
      </c>
      <c r="B41" s="47">
        <v>45.86976455141731</v>
      </c>
      <c r="C41" s="47">
        <v>64.37941561026406</v>
      </c>
      <c r="D41" s="47">
        <v>82.85435346130126</v>
      </c>
      <c r="E41" s="47">
        <v>119.71608004510237</v>
      </c>
      <c r="F41" s="47">
        <v>156.57780662890343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Structure Therapeutics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Obesity</t>
        </is>
      </c>
      <c r="C4" s="14" t="inlineStr">
        <is>
          <t>Aleniglipron, aleniglipron</t>
        </is>
      </c>
      <c r="D4" s="14" t="inlineStr">
        <is>
          <t>Phase 3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6000</v>
      </c>
      <c r="H4" s="27" t="n">
        <v>0.551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4742.3003031738335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330.6</v>
      </c>
      <c r="Q4" s="23">
        <f>IF(Q$3&lt;$I4,0,$G4*Assumptions!$E$11*INDEX(Assumptions!$B$24:$G$24,MIN(6,Q$3-$I4+1))*IF(Q$3&gt;$J4,(1-Assumptions!$B$26)^(Q$3-$J4),1)*IF($H4&gt;=1,1,MIN(0.97,$H4*Assumptions!$E$12)))</f>
        <v>826.5000000000001</v>
      </c>
      <c r="R4" s="23">
        <f>IF(R$3&lt;$I4,0,$G4*Assumptions!$E$11*INDEX(Assumptions!$B$24:$G$24,MIN(6,R$3-$I4+1))*IF(R$3&gt;$J4,(1-Assumptions!$B$26)^(R$3-$J4),1)*IF($H4&gt;=1,1,MIN(0.97,$H4*Assumptions!$E$12)))</f>
        <v>1487.7</v>
      </c>
      <c r="S4" s="23">
        <f>IF(S$3&lt;$I4,0,$G4*Assumptions!$E$11*INDEX(Assumptions!$B$24:$G$24,MIN(6,S$3-$I4+1))*IF(S$3&gt;$J4,(1-Assumptions!$B$26)^(S$3-$J4),1)*IF($H4&gt;=1,1,MIN(0.97,$H4*Assumptions!$E$12)))</f>
        <v>2148.9</v>
      </c>
      <c r="T4" s="23">
        <f>IF(T$3&lt;$I4,0,$G4*Assumptions!$E$11*INDEX(Assumptions!$B$24:$G$24,MIN(6,T$3-$I4+1))*IF(T$3&gt;$J4,(1-Assumptions!$B$26)^(T$3-$J4),1)*IF($H4&gt;=1,1,MIN(0.97,$H4*Assumptions!$E$12)))</f>
        <v>2810.1000000000004</v>
      </c>
      <c r="U4" s="23">
        <f>IF(U$3&lt;$I4,0,$G4*Assumptions!$E$11*INDEX(Assumptions!$B$24:$G$24,MIN(6,U$3-$I4+1))*IF(U$3&gt;$J4,(1-Assumptions!$B$26)^(U$3-$J4),1)*IF($H4&gt;=1,1,MIN(0.97,$H4*Assumptions!$E$12)))</f>
        <v>3306.0000000000005</v>
      </c>
      <c r="V4" s="23">
        <f>IF(V$3&lt;$I4,0,$G4*Assumptions!$E$11*INDEX(Assumptions!$B$24:$G$24,MIN(6,V$3-$I4+1))*IF(V$3&gt;$J4,(1-Assumptions!$B$26)^(V$3-$J4),1)*IF($H4&gt;=1,1,MIN(0.97,$H4*Assumptions!$E$12)))</f>
        <v>3306.0000000000005</v>
      </c>
      <c r="W4" s="23">
        <f>IF(W$3&lt;$I4,0,$G4*Assumptions!$E$11*INDEX(Assumptions!$B$24:$G$24,MIN(6,W$3-$I4+1))*IF(W$3&gt;$J4,(1-Assumptions!$B$26)^(W$3-$J4),1)*IF($H4&gt;=1,1,MIN(0.97,$H4*Assumptions!$E$12)))</f>
        <v>3306.0000000000005</v>
      </c>
      <c r="X4" s="23">
        <f>IF(X$3&lt;$I4,0,$G4*Assumptions!$E$11*INDEX(Assumptions!$B$24:$G$24,MIN(6,X$3-$I4+1))*IF(X$3&gt;$J4,(1-Assumptions!$B$26)^(X$3-$J4),1)*IF($H4&gt;=1,1,MIN(0.97,$H4*Assumptions!$E$12)))</f>
        <v>3306.0000000000005</v>
      </c>
      <c r="Y4" s="23">
        <f>IF(Y$3&lt;$I4,0,$G4*Assumptions!$E$11*INDEX(Assumptions!$B$24:$G$24,MIN(6,Y$3-$I4+1))*IF(Y$3&gt;$J4,(1-Assumptions!$B$26)^(Y$3-$J4),1)*IF($H4&gt;=1,1,MIN(0.97,$H4*Assumptions!$E$12)))</f>
        <v>3306.0000000000005</v>
      </c>
      <c r="Z4" s="23">
        <f>IF(Z$3&lt;$I4,0,$G4*Assumptions!$E$11*INDEX(Assumptions!$B$24:$G$24,MIN(6,Z$3-$I4+1))*IF(Z$3&gt;$J4,(1-Assumptions!$B$26)^(Z$3-$J4),1)*IF($H4&gt;=1,1,MIN(0.97,$H4*Assumptions!$E$12)))</f>
        <v>3306.0000000000005</v>
      </c>
      <c r="AA4" s="23">
        <f>IF(AA$3&lt;$I4,0,$G4*Assumptions!$E$11*INDEX(Assumptions!$B$24:$G$24,MIN(6,AA$3-$I4+1))*IF(AA$3&gt;$J4,(1-Assumptions!$B$26)^(AA$3-$J4),1)*IF($H4&gt;=1,1,MIN(0.97,$H4*Assumptions!$E$12)))</f>
        <v>3306.0000000000005</v>
      </c>
      <c r="AB4" s="23">
        <f>IF(AB$3&lt;$I4,0,$G4*Assumptions!$E$11*INDEX(Assumptions!$B$24:$G$24,MIN(6,AB$3-$I4+1))*IF(AB$3&gt;$J4,(1-Assumptions!$B$26)^(AB$3-$J4),1)*IF($H4&gt;=1,1,MIN(0.97,$H4*Assumptions!$E$12)))</f>
        <v>3306.0000000000005</v>
      </c>
      <c r="AC4" s="23">
        <f>IF(AC$3&lt;$I4,0,$G4*Assumptions!$E$11*INDEX(Assumptions!$B$24:$G$24,MIN(6,AC$3-$I4+1))*IF(AC$3&gt;$J4,(1-Assumptions!$B$26)^(AC$3-$J4),1)*IF($H4&gt;=1,1,MIN(0.97,$H4*Assumptions!$E$12)))</f>
        <v>1653.0000000000002</v>
      </c>
      <c r="AD4" s="23">
        <f>IF(AD$3&lt;$I4,0,$G4*Assumptions!$E$11*INDEX(Assumptions!$B$24:$G$24,MIN(6,AD$3-$I4+1))*IF(AD$3&gt;$J4,(1-Assumptions!$B$26)^(AD$3-$J4),1)*IF($H4&gt;=1,1,MIN(0.97,$H4*Assumptions!$E$12)))</f>
        <v>826.5000000000001</v>
      </c>
      <c r="AE4" s="23">
        <f>IF(AE$3&lt;$I4,0,$G4*Assumptions!$E$11*INDEX(Assumptions!$B$24:$G$24,MIN(6,AE$3-$I4+1))*IF(AE$3&gt;$J4,(1-Assumptions!$B$26)^(AE$3-$J4),1)*IF($H4&gt;=1,1,MIN(0.97,$H4*Assumptions!$E$12)))</f>
        <v>413.25000000000006</v>
      </c>
      <c r="AF4" s="23">
        <f>IF(AF$3&lt;$I4,0,$G4*Assumptions!$E$11*INDEX(Assumptions!$B$24:$G$24,MIN(6,AF$3-$I4+1))*IF(AF$3&gt;$J4,(1-Assumptions!$B$26)^(AF$3-$J4),1)*IF($H4&gt;=1,1,MIN(0.97,$H4*Assumptions!$E$12)))</f>
        <v>206.62500000000003</v>
      </c>
      <c r="AG4" s="35">
        <f>IF(F4="Owned",1-IF(H4&gt;=1,1,MIN(0.97,H4*Assumptions!$E$12)),1)</f>
        <v>0.44899999999999995</v>
      </c>
    </row>
    <row r="5">
      <c r="B5" s="24" t="inlineStr">
        <is>
          <t>Risked revenue</t>
        </is>
      </c>
      <c r="L5" s="54">
        <f>SUM(L4:L4)</f>
        <v>4742.3003031738335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330.6</v>
      </c>
      <c r="Q5" s="54">
        <f>SUM(Q4:Q4)</f>
        <v>826.5000000000001</v>
      </c>
      <c r="R5" s="54">
        <f>SUM(R4:R4)</f>
        <v>1487.7</v>
      </c>
      <c r="S5" s="54">
        <f>SUM(S4:S4)</f>
        <v>2148.9</v>
      </c>
      <c r="T5" s="54">
        <f>SUM(T4:T4)</f>
        <v>2810.1000000000004</v>
      </c>
      <c r="U5" s="54">
        <f>SUM(U4:U4)</f>
        <v>3306.0000000000005</v>
      </c>
      <c r="V5" s="54">
        <f>SUM(V4:V4)</f>
        <v>3306.0000000000005</v>
      </c>
      <c r="W5" s="54">
        <f>SUM(W4:W4)</f>
        <v>3306.0000000000005</v>
      </c>
      <c r="X5" s="54">
        <f>SUM(X4:X4)</f>
        <v>3306.0000000000005</v>
      </c>
      <c r="Y5" s="54">
        <f>SUM(Y4:Y4)</f>
        <v>3306.0000000000005</v>
      </c>
      <c r="Z5" s="54">
        <f>SUM(Z4:Z4)</f>
        <v>3306.0000000000005</v>
      </c>
      <c r="AA5" s="54">
        <f>SUM(AA4:AA4)</f>
        <v>3306.0000000000005</v>
      </c>
      <c r="AB5" s="54">
        <f>SUM(AB4:AB4)</f>
        <v>3306.0000000000005</v>
      </c>
      <c r="AC5" s="54">
        <f>SUM(AC4:AC4)</f>
        <v>1653.0000000000002</v>
      </c>
      <c r="AD5" s="54">
        <f>SUM(AD4:AD4)</f>
        <v>826.5000000000001</v>
      </c>
      <c r="AE5" s="54">
        <f>SUM(AE4:AE4)</f>
        <v>413.25000000000006</v>
      </c>
      <c r="AF5" s="54">
        <f>SUM(AF4:AF4)</f>
        <v>206.62500000000003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132.24</v>
      </c>
      <c r="Q6" s="55">
        <f>SUMPRODUCT(Q4:Q4,$K$4:$K$4)</f>
        <v>330.6000000000001</v>
      </c>
      <c r="R6" s="55">
        <f>SUMPRODUCT(R4:R4,$K$4:$K$4)</f>
        <v>595.08</v>
      </c>
      <c r="S6" s="55">
        <f>SUMPRODUCT(S4:S4,$K$4:$K$4)</f>
        <v>859.5600000000001</v>
      </c>
      <c r="T6" s="55">
        <f>SUMPRODUCT(T4:T4,$K$4:$K$4)</f>
        <v>1124.0400000000002</v>
      </c>
      <c r="U6" s="55">
        <f>SUMPRODUCT(U4:U4,$K$4:$K$4)</f>
        <v>1322.4000000000003</v>
      </c>
      <c r="V6" s="55">
        <f>SUMPRODUCT(V4:V4,$K$4:$K$4)</f>
        <v>1322.4000000000003</v>
      </c>
      <c r="W6" s="55">
        <f>SUMPRODUCT(W4:W4,$K$4:$K$4)</f>
        <v>1322.4000000000003</v>
      </c>
      <c r="X6" s="55">
        <f>SUMPRODUCT(X4:X4,$K$4:$K$4)</f>
        <v>1322.4000000000003</v>
      </c>
      <c r="Y6" s="55">
        <f>SUMPRODUCT(Y4:Y4,$K$4:$K$4)</f>
        <v>1322.4000000000003</v>
      </c>
      <c r="Z6" s="55">
        <f>SUMPRODUCT(Z4:Z4,$K$4:$K$4)</f>
        <v>1322.4000000000003</v>
      </c>
      <c r="AA6" s="55">
        <f>SUMPRODUCT(AA4:AA4,$K$4:$K$4)</f>
        <v>1322.4000000000003</v>
      </c>
      <c r="AB6" s="55">
        <f>SUMPRODUCT(AB4:AB4,$K$4:$K$4)</f>
        <v>1322.4000000000003</v>
      </c>
      <c r="AC6" s="55">
        <f>SUMPRODUCT(AC4:AC4,$K$4:$K$4)</f>
        <v>661.2000000000002</v>
      </c>
      <c r="AD6" s="55">
        <f>SUMPRODUCT(AD4:AD4,$K$4:$K$4)</f>
        <v>330.6000000000001</v>
      </c>
      <c r="AE6" s="55">
        <f>SUMPRODUCT(AE4:AE4,$K$4:$K$4)</f>
        <v>165.30000000000004</v>
      </c>
      <c r="AF6" s="55">
        <f>SUMPRODUCT(AF4:AF4,$K$4:$K$4)</f>
        <v>82.65000000000002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Structure Therapeutics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330.6</v>
      </c>
      <c r="G4" s="57">
        <f>Pipeline!Q5</f>
        <v>826.5000000000001</v>
      </c>
      <c r="H4" s="57">
        <f>Pipeline!R5</f>
        <v>1487.7</v>
      </c>
      <c r="I4" s="57">
        <f>Pipeline!S5</f>
        <v>2148.9</v>
      </c>
      <c r="J4" s="57">
        <f>Pipeline!T5</f>
        <v>2810.1000000000004</v>
      </c>
      <c r="K4" s="57">
        <f>Pipeline!U5</f>
        <v>3306.0000000000005</v>
      </c>
      <c r="L4" s="57">
        <f>Pipeline!V5</f>
        <v>3306.0000000000005</v>
      </c>
      <c r="M4" s="57">
        <f>Pipeline!W5</f>
        <v>3306.0000000000005</v>
      </c>
      <c r="N4" s="57">
        <f>Pipeline!X5</f>
        <v>3306.0000000000005</v>
      </c>
      <c r="O4" s="57">
        <f>Pipeline!Y5</f>
        <v>3306.0000000000005</v>
      </c>
      <c r="P4" s="57">
        <f>Pipeline!Z5</f>
        <v>3306.0000000000005</v>
      </c>
      <c r="Q4" s="57">
        <f>Pipeline!AA5</f>
        <v>3306.0000000000005</v>
      </c>
      <c r="R4" s="57">
        <f>Pipeline!AB5</f>
        <v>3306.0000000000005</v>
      </c>
      <c r="S4" s="57">
        <f>Pipeline!AC5</f>
        <v>1653.0000000000002</v>
      </c>
      <c r="T4" s="57">
        <f>Pipeline!AD5</f>
        <v>826.5000000000001</v>
      </c>
      <c r="U4" s="57">
        <f>Pipeline!AE5</f>
        <v>413.25000000000006</v>
      </c>
      <c r="V4" s="57">
        <f>Pipeline!AF5</f>
        <v>206.62500000000003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132.24</v>
      </c>
      <c r="G5" s="57">
        <f>Pipeline!Q6</f>
        <v>330.6000000000001</v>
      </c>
      <c r="H5" s="57">
        <f>Pipeline!R6</f>
        <v>595.08</v>
      </c>
      <c r="I5" s="57">
        <f>Pipeline!S6</f>
        <v>859.5600000000001</v>
      </c>
      <c r="J5" s="57">
        <f>Pipeline!T6</f>
        <v>1124.0400000000002</v>
      </c>
      <c r="K5" s="57">
        <f>Pipeline!U6</f>
        <v>1322.4000000000003</v>
      </c>
      <c r="L5" s="57">
        <f>Pipeline!V6</f>
        <v>1322.4000000000003</v>
      </c>
      <c r="M5" s="57">
        <f>Pipeline!W6</f>
        <v>1322.4000000000003</v>
      </c>
      <c r="N5" s="57">
        <f>Pipeline!X6</f>
        <v>1322.4000000000003</v>
      </c>
      <c r="O5" s="57">
        <f>Pipeline!Y6</f>
        <v>1322.4000000000003</v>
      </c>
      <c r="P5" s="57">
        <f>Pipeline!Z6</f>
        <v>1322.4000000000003</v>
      </c>
      <c r="Q5" s="57">
        <f>Pipeline!AA6</f>
        <v>1322.4000000000003</v>
      </c>
      <c r="R5" s="57">
        <f>Pipeline!AB6</f>
        <v>1322.4000000000003</v>
      </c>
      <c r="S5" s="57">
        <f>Pipeline!AC6</f>
        <v>661.2000000000002</v>
      </c>
      <c r="T5" s="57">
        <f>Pipeline!AD6</f>
        <v>330.6000000000001</v>
      </c>
      <c r="U5" s="57">
        <f>Pipeline!AE6</f>
        <v>165.30000000000004</v>
      </c>
      <c r="V5" s="57">
        <f>Pipeline!AF6</f>
        <v>82.65000000000002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-257.807</v>
      </c>
      <c r="D6" s="23">
        <f>-IF(D3-2026&lt;Assumptions!$B$19,Assumptions!$B$18,Assumptions!$B$18*Assumptions!$B$20*Assumptions!$B$16)</f>
        <v>-257.807</v>
      </c>
      <c r="E6" s="23">
        <f>-IF(E3-2026&lt;Assumptions!$B$19,Assumptions!$B$18,Assumptions!$B$18*Assumptions!$B$20*Assumptions!$B$16)</f>
        <v>-257.807</v>
      </c>
      <c r="F6" s="23">
        <f>-IF(F3-2026&lt;Assumptions!$B$19,Assumptions!$B$18,Assumptions!$B$18*Assumptions!$B$20*Assumptions!$B$16)</f>
        <v>-42.615497100000006</v>
      </c>
      <c r="G6" s="23">
        <f>-IF(G3-2026&lt;Assumptions!$B$19,Assumptions!$B$18,Assumptions!$B$18*Assumptions!$B$20*Assumptions!$B$16)</f>
        <v>-42.615497100000006</v>
      </c>
      <c r="H6" s="23">
        <f>-IF(H3-2026&lt;Assumptions!$B$19,Assumptions!$B$18,Assumptions!$B$18*Assumptions!$B$20*Assumptions!$B$16)</f>
        <v>-42.615497100000006</v>
      </c>
      <c r="I6" s="23">
        <f>-IF(I3-2026&lt;Assumptions!$B$19,Assumptions!$B$18,Assumptions!$B$18*Assumptions!$B$20*Assumptions!$B$16)</f>
        <v>-42.615497100000006</v>
      </c>
      <c r="J6" s="23">
        <f>-IF(J3-2026&lt;Assumptions!$B$19,Assumptions!$B$18,Assumptions!$B$18*Assumptions!$B$20*Assumptions!$B$16)</f>
        <v>-42.615497100000006</v>
      </c>
      <c r="K6" s="23">
        <f>-IF(K3-2026&lt;Assumptions!$B$19,Assumptions!$B$18,Assumptions!$B$18*Assumptions!$B$20*Assumptions!$B$16)</f>
        <v>-42.615497100000006</v>
      </c>
      <c r="L6" s="23">
        <f>-IF(L3-2026&lt;Assumptions!$B$19,Assumptions!$B$18,Assumptions!$B$18*Assumptions!$B$20*Assumptions!$B$16)</f>
        <v>-42.615497100000006</v>
      </c>
      <c r="M6" s="23">
        <f>-IF(M3-2026&lt;Assumptions!$B$19,Assumptions!$B$18,Assumptions!$B$18*Assumptions!$B$20*Assumptions!$B$16)</f>
        <v>-42.615497100000006</v>
      </c>
      <c r="N6" s="23">
        <f>-IF(N3-2026&lt;Assumptions!$B$19,Assumptions!$B$18,Assumptions!$B$18*Assumptions!$B$20*Assumptions!$B$16)</f>
        <v>-42.615497100000006</v>
      </c>
      <c r="O6" s="23">
        <f>-IF(O3-2026&lt;Assumptions!$B$19,Assumptions!$B$18,Assumptions!$B$18*Assumptions!$B$20*Assumptions!$B$16)</f>
        <v>-42.615497100000006</v>
      </c>
      <c r="P6" s="23">
        <f>-IF(P3-2026&lt;Assumptions!$B$19,Assumptions!$B$18,Assumptions!$B$18*Assumptions!$B$20*Assumptions!$B$16)</f>
        <v>-42.615497100000006</v>
      </c>
      <c r="Q6" s="23">
        <f>-IF(Q3-2026&lt;Assumptions!$B$19,Assumptions!$B$18,Assumptions!$B$18*Assumptions!$B$20*Assumptions!$B$16)</f>
        <v>-42.615497100000006</v>
      </c>
      <c r="R6" s="23">
        <f>-IF(R3-2026&lt;Assumptions!$B$19,Assumptions!$B$18,Assumptions!$B$18*Assumptions!$B$20*Assumptions!$B$16)</f>
        <v>-42.615497100000006</v>
      </c>
      <c r="S6" s="23">
        <f>-IF(S3-2026&lt;Assumptions!$B$19,Assumptions!$B$18,Assumptions!$B$18*Assumptions!$B$20*Assumptions!$B$16)</f>
        <v>-42.615497100000006</v>
      </c>
      <c r="T6" s="23">
        <f>-IF(T3-2026&lt;Assumptions!$B$19,Assumptions!$B$18,Assumptions!$B$18*Assumptions!$B$20*Assumptions!$B$16)</f>
        <v>-42.615497100000006</v>
      </c>
      <c r="U6" s="23">
        <f>-IF(U3-2026&lt;Assumptions!$B$19,Assumptions!$B$18,Assumptions!$B$18*Assumptions!$B$20*Assumptions!$B$16)</f>
        <v>-42.615497100000006</v>
      </c>
      <c r="V6" s="23">
        <f>-IF(V3-2026&lt;Assumptions!$B$19,Assumptions!$B$18,Assumptions!$B$18*Assumptions!$B$20*Assumptions!$B$16)</f>
        <v>-42.615497100000006</v>
      </c>
    </row>
    <row r="7">
      <c r="A7" s="14" t="inlineStr">
        <is>
          <t>Pre-tax cash flow</t>
        </is>
      </c>
      <c r="C7" s="23">
        <f>C5+C6</f>
        <v>-257.807</v>
      </c>
      <c r="D7" s="23">
        <f>D5+D6</f>
        <v>-257.807</v>
      </c>
      <c r="E7" s="23">
        <f>E5+E6</f>
        <v>-257.807</v>
      </c>
      <c r="F7" s="23">
        <f>F5+F6</f>
        <v>89.62450290000001</v>
      </c>
      <c r="G7" s="23">
        <f>G5+G6</f>
        <v>287.98450290000005</v>
      </c>
      <c r="H7" s="23">
        <f>H5+H6</f>
        <v>552.4645029000001</v>
      </c>
      <c r="I7" s="23">
        <f>I5+I6</f>
        <v>816.9445029000001</v>
      </c>
      <c r="J7" s="23">
        <f>J5+J6</f>
        <v>1081.4245029</v>
      </c>
      <c r="K7" s="23">
        <f>K5+K6</f>
        <v>1279.7845029000002</v>
      </c>
      <c r="L7" s="23">
        <f>L5+L6</f>
        <v>1279.7845029000002</v>
      </c>
      <c r="M7" s="23">
        <f>M5+M6</f>
        <v>1279.7845029000002</v>
      </c>
      <c r="N7" s="23">
        <f>N5+N6</f>
        <v>1279.7845029000002</v>
      </c>
      <c r="O7" s="23">
        <f>O5+O6</f>
        <v>1279.7845029000002</v>
      </c>
      <c r="P7" s="23">
        <f>P5+P6</f>
        <v>1279.7845029000002</v>
      </c>
      <c r="Q7" s="23">
        <f>Q5+Q6</f>
        <v>1279.7845029000002</v>
      </c>
      <c r="R7" s="23">
        <f>R5+R6</f>
        <v>1279.7845029000002</v>
      </c>
      <c r="S7" s="23">
        <f>S5+S6</f>
        <v>618.5845029000002</v>
      </c>
      <c r="T7" s="23">
        <f>T5+T6</f>
        <v>287.98450290000005</v>
      </c>
      <c r="U7" s="23">
        <f>U5+U6</f>
        <v>122.68450290000004</v>
      </c>
      <c r="V7" s="23">
        <f>V5+V6</f>
        <v>40.034502900000014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89.62450290000001</v>
      </c>
      <c r="G8" s="23">
        <f>MIN(F17,MAX(0,G7))</f>
        <v>287.98450290000005</v>
      </c>
      <c r="H8" s="23">
        <f>MIN(G17,MAX(0,H7))</f>
        <v>552.4645029000001</v>
      </c>
      <c r="I8" s="23">
        <f>MIN(H17,MAX(0,I7))</f>
        <v>248.04749130000005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568.8970116</v>
      </c>
      <c r="J9" s="23">
        <f>MAX(0,J7)-J8</f>
        <v>1081.4245029</v>
      </c>
      <c r="K9" s="23">
        <f>MAX(0,K7)-K8</f>
        <v>1279.7845029000002</v>
      </c>
      <c r="L9" s="23">
        <f>MAX(0,L7)-L8</f>
        <v>1279.7845029000002</v>
      </c>
      <c r="M9" s="23">
        <f>MAX(0,M7)-M8</f>
        <v>1279.7845029000002</v>
      </c>
      <c r="N9" s="23">
        <f>MAX(0,N7)-N8</f>
        <v>1279.7845029000002</v>
      </c>
      <c r="O9" s="23">
        <f>MAX(0,O7)-O8</f>
        <v>1279.7845029000002</v>
      </c>
      <c r="P9" s="23">
        <f>MAX(0,P7)-P8</f>
        <v>1279.7845029000002</v>
      </c>
      <c r="Q9" s="23">
        <f>MAX(0,Q7)-Q8</f>
        <v>1279.7845029000002</v>
      </c>
      <c r="R9" s="23">
        <f>MAX(0,R7)-R8</f>
        <v>1279.7845029000002</v>
      </c>
      <c r="S9" s="23">
        <f>MAX(0,S7)-S8</f>
        <v>618.5845029000002</v>
      </c>
      <c r="T9" s="23">
        <f>MAX(0,T7)-T8</f>
        <v>287.98450290000005</v>
      </c>
      <c r="U9" s="23">
        <f>MAX(0,U7)-U8</f>
        <v>122.68450290000004</v>
      </c>
      <c r="V9" s="23">
        <f>MAX(0,V7)-V8</f>
        <v>40.034502900000014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119.46837243600001</v>
      </c>
      <c r="J10" s="23">
        <f>J9*Assumptions!$E$15</f>
        <v>227.099145609</v>
      </c>
      <c r="K10" s="23">
        <f>K9*Assumptions!$E$15</f>
        <v>268.75474560900005</v>
      </c>
      <c r="L10" s="23">
        <f>L9*Assumptions!$E$15</f>
        <v>268.75474560900005</v>
      </c>
      <c r="M10" s="23">
        <f>M9*Assumptions!$E$15</f>
        <v>268.75474560900005</v>
      </c>
      <c r="N10" s="23">
        <f>N9*Assumptions!$E$15</f>
        <v>268.75474560900005</v>
      </c>
      <c r="O10" s="23">
        <f>O9*Assumptions!$E$15</f>
        <v>268.75474560900005</v>
      </c>
      <c r="P10" s="23">
        <f>P9*Assumptions!$E$15</f>
        <v>268.75474560900005</v>
      </c>
      <c r="Q10" s="23">
        <f>Q9*Assumptions!$E$15</f>
        <v>268.75474560900005</v>
      </c>
      <c r="R10" s="23">
        <f>R9*Assumptions!$E$15</f>
        <v>268.75474560900005</v>
      </c>
      <c r="S10" s="23">
        <f>S9*Assumptions!$E$15</f>
        <v>129.90274560900002</v>
      </c>
      <c r="T10" s="23">
        <f>T9*Assumptions!$E$15</f>
        <v>60.476745609000005</v>
      </c>
      <c r="U10" s="23">
        <f>U9*Assumptions!$E$15</f>
        <v>25.763745609000008</v>
      </c>
      <c r="V10" s="23">
        <f>V9*Assumptions!$E$15</f>
        <v>8.407245609000002</v>
      </c>
    </row>
    <row r="11">
      <c r="A11" s="24" t="inlineStr">
        <is>
          <t>Free cash flow</t>
        </is>
      </c>
      <c r="C11" s="55">
        <f>C7-C10</f>
        <v>-257.807</v>
      </c>
      <c r="D11" s="55">
        <f>D7-D10</f>
        <v>-257.807</v>
      </c>
      <c r="E11" s="55">
        <f>E7-E10</f>
        <v>-257.807</v>
      </c>
      <c r="F11" s="55">
        <f>F7-F10</f>
        <v>89.62450290000001</v>
      </c>
      <c r="G11" s="55">
        <f>G7-G10</f>
        <v>287.98450290000005</v>
      </c>
      <c r="H11" s="55">
        <f>H7-H10</f>
        <v>552.4645029000001</v>
      </c>
      <c r="I11" s="55">
        <f>I7-I10</f>
        <v>697.4761304640001</v>
      </c>
      <c r="J11" s="55">
        <f>J7-J10</f>
        <v>854.325357291</v>
      </c>
      <c r="K11" s="55">
        <f>K7-K10</f>
        <v>1011.0297572910001</v>
      </c>
      <c r="L11" s="55">
        <f>L7-L10</f>
        <v>1011.0297572910001</v>
      </c>
      <c r="M11" s="55">
        <f>M7-M10</f>
        <v>1011.0297572910001</v>
      </c>
      <c r="N11" s="55">
        <f>N7-N10</f>
        <v>1011.0297572910001</v>
      </c>
      <c r="O11" s="55">
        <f>O7-O10</f>
        <v>1011.0297572910001</v>
      </c>
      <c r="P11" s="55">
        <f>P7-P10</f>
        <v>1011.0297572910001</v>
      </c>
      <c r="Q11" s="55">
        <f>Q7-Q10</f>
        <v>1011.0297572910001</v>
      </c>
      <c r="R11" s="55">
        <f>R7-R10</f>
        <v>1011.0297572910001</v>
      </c>
      <c r="S11" s="55">
        <f>S7-S10</f>
        <v>488.68175729100017</v>
      </c>
      <c r="T11" s="55">
        <f>T7-T10</f>
        <v>227.50775729100005</v>
      </c>
      <c r="U11" s="55">
        <f>U7-U10</f>
        <v>96.92075729100003</v>
      </c>
      <c r="V11" s="55">
        <f>V7-V10</f>
        <v>31.627257291000014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-126.30077050642278</v>
      </c>
      <c r="D16" s="55">
        <f>D11*D15</f>
        <v>-230.0778914457962</v>
      </c>
      <c r="E16" s="55">
        <f>E11*E15</f>
        <v>-205.42668879088941</v>
      </c>
      <c r="F16" s="55">
        <f>F11*F15</f>
        <v>63.76331652746762</v>
      </c>
      <c r="G16" s="55">
        <f>G11*G15</f>
        <v>182.93433813983606</v>
      </c>
      <c r="H16" s="55">
        <f>H11*H15</f>
        <v>313.3375703939318</v>
      </c>
      <c r="I16" s="55">
        <f>I11*I15</f>
        <v>353.1989627842935</v>
      </c>
      <c r="J16" s="55">
        <f>J11*J15</f>
        <v>386.273882072755</v>
      </c>
      <c r="K16" s="55">
        <f>K11*K15</f>
        <v>408.14827277261566</v>
      </c>
      <c r="L16" s="55">
        <f>L11*L15</f>
        <v>364.4181006898354</v>
      </c>
      <c r="M16" s="55">
        <f>M11*M15</f>
        <v>325.37330418735297</v>
      </c>
      <c r="N16" s="55">
        <f>N11*N15</f>
        <v>290.511878738708</v>
      </c>
      <c r="O16" s="55">
        <f>O11*O15</f>
        <v>259.38560601670355</v>
      </c>
      <c r="P16" s="55">
        <f>P11*P15</f>
        <v>231.5942910863424</v>
      </c>
      <c r="Q16" s="55">
        <f>Q11*Q15</f>
        <v>206.78061704137716</v>
      </c>
      <c r="R16" s="55">
        <f>R11*R15</f>
        <v>184.62555092980102</v>
      </c>
      <c r="S16" s="55">
        <f>S11*S15</f>
        <v>79.67754977620739</v>
      </c>
      <c r="T16" s="55">
        <f>T11*T15</f>
        <v>33.11982474420271</v>
      </c>
      <c r="U16" s="55">
        <f>U11*U15</f>
        <v>12.597680709627609</v>
      </c>
      <c r="V16" s="55">
        <f>V11*V15</f>
        <v>3.6704330517163797</v>
      </c>
    </row>
    <row r="17">
      <c r="A17" s="14" t="inlineStr">
        <is>
          <t>Tax-loss carryforward, end of year</t>
        </is>
      </c>
      <c r="C17" s="23">
        <f>Assumptions!$B$21-C8+MAX(0,-C7)</f>
        <v>662.5070000000001</v>
      </c>
      <c r="D17" s="23">
        <f>C17-D8+MAX(0,-D7)</f>
        <v>920.3140000000001</v>
      </c>
      <c r="E17" s="23">
        <f>D17-E8+MAX(0,-E7)</f>
        <v>1178.121</v>
      </c>
      <c r="F17" s="23">
        <f>E17-F8+MAX(0,-F7)</f>
        <v>1088.4964971000002</v>
      </c>
      <c r="G17" s="23">
        <f>F17-G8+MAX(0,-G7)</f>
        <v>800.5119942000001</v>
      </c>
      <c r="H17" s="23">
        <f>G17-H8+MAX(0,-H7)</f>
        <v>248.04749130000005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4742.300303173834</v>
      </c>
    </row>
    <row r="20">
      <c r="A20" s="14" t="inlineStr">
        <is>
          <t>PV of corporate burn</t>
        </is>
      </c>
      <c r="B20" s="23">
        <f>SUMPRODUCT(C6:V6,C15:V15)</f>
        <v>-803.5668687551755</v>
      </c>
    </row>
    <row r="21">
      <c r="A21" s="14" t="inlineStr">
        <is>
          <t>PV of taxes</t>
        </is>
      </c>
      <c r="B21" s="23">
        <f>-SUMPRODUCT(C10:V10,C15:V15)</f>
        <v>-801.127605498992</v>
      </c>
    </row>
    <row r="22">
      <c r="A22" s="24" t="inlineStr">
        <is>
          <t>Pipeline rNPV (operations)</t>
        </is>
      </c>
      <c r="B22" s="54">
        <f>SUM(C16:V16)</f>
        <v>3137.605828919666</v>
      </c>
    </row>
    <row r="23">
      <c r="A23" s="14" t="inlineStr">
        <is>
          <t>Cash &amp; investments</t>
        </is>
      </c>
      <c r="B23" s="57">
        <f>Main!C7</f>
        <v>1342.658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4480.263828919666</v>
      </c>
    </row>
    <row r="26">
      <c r="A26" s="14" t="inlineStr">
        <is>
          <t>Shares (mm)</t>
        </is>
      </c>
      <c r="B26" s="57">
        <f>Main!C4</f>
        <v>71.30985733333334</v>
      </c>
    </row>
    <row r="27">
      <c r="A27" s="24" t="inlineStr">
        <is>
          <t>rNPV / share</t>
        </is>
      </c>
      <c r="B27" s="60">
        <f>B25/B26</f>
        <v>62.828113762406794</v>
      </c>
    </row>
    <row r="28">
      <c r="A28" s="14" t="inlineStr">
        <is>
          <t>Price</t>
        </is>
      </c>
      <c r="B28" s="61">
        <f>Main!C3</f>
        <v>22.88</v>
      </c>
    </row>
    <row r="29">
      <c r="A29" s="14" t="inlineStr">
        <is>
          <t>Upside</t>
        </is>
      </c>
      <c r="B29" s="62">
        <f>B27/B28-1</f>
        <v>1.7459839931121852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2026-10-21T06:23:10Z</dcterms:modified>
  <cp:lastModifiedBy>Wang, Eric</cp:lastModifiedBy>
</cp:coreProperties>
</file>