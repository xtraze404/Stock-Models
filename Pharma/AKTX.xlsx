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Akari Therapeutics PLC</t>
        </is>
      </c>
      <c r="C2" s="10" t="n"/>
    </row>
    <row r="3">
      <c r="B3" t="inlineStr">
        <is>
          <t>Price</t>
        </is>
      </c>
      <c r="C3" s="11">
        <f>INDEX([1]Pharma!$F$1:$F$1000,MATCH("AKTX",[1]Pharma!$B$1:$B$1000,0))</f>
        <v>9.29</v>
      </c>
      <c r="F3" s="1" t="n"/>
    </row>
    <row r="4">
      <c r="B4" t="inlineStr">
        <is>
          <t>Shares</t>
        </is>
      </c>
      <c r="C4" s="21">
        <f>155758.529533/80000</f>
        <v>1.9469816191625</v>
      </c>
      <c r="F4" s="1" t="n"/>
    </row>
    <row r="5">
      <c r="B5" t="inlineStr">
        <is>
          <t>Market Cap.</t>
        </is>
      </c>
      <c r="C5" s="13">
        <f>C3*C4</f>
        <v>18.087459242019623</v>
      </c>
      <c r="F5" s="1" t="n"/>
    </row>
    <row r="6"/>
    <row r="7">
      <c r="B7" t="inlineStr">
        <is>
          <t>Cash</t>
        </is>
      </c>
      <c r="C7" s="21" t="n">
        <v>7.694</v>
      </c>
    </row>
    <row r="8">
      <c r="B8" t="inlineStr">
        <is>
          <t>Debt</t>
        </is>
      </c>
      <c r="C8" s="21" t="n">
        <v>0.6929999999999999</v>
      </c>
    </row>
    <row r="9">
      <c r="B9" t="inlineStr">
        <is>
          <t>Enterprise V.</t>
        </is>
      </c>
      <c r="C9" s="13">
        <f>C5-C7+C8</f>
        <v>11.086459242019624</v>
      </c>
    </row>
    <row r="10"/>
    <row r="11">
      <c r="B11" s="14" t="inlineStr">
        <is>
          <t>Net Cash / Share</t>
        </is>
      </c>
      <c r="C11" s="11">
        <f>(C7-C8)/C4</f>
        <v>3.595822339099175</v>
      </c>
    </row>
    <row r="12">
      <c r="B12" s="14" t="inlineStr">
        <is>
          <t>Upside</t>
        </is>
      </c>
      <c r="C12" s="15">
        <f>IFERROR(C11/C3-1,"")</f>
        <v>-0.612936239063598</v>
      </c>
    </row>
    <row r="13">
      <c r="B13" s="14" t="inlineStr">
        <is>
          <t>Cash / Share</t>
        </is>
      </c>
      <c r="C13" s="11">
        <f>IFERROR((C7-C8)/C4,"")</f>
        <v>3.595822339099175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-10.759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0.6507110326238498</v>
      </c>
    </row>
    <row r="19">
      <c r="B19" s="14" t="inlineStr">
        <is>
          <t>Implied Pipeline Value</t>
        </is>
      </c>
      <c r="C19" s="13">
        <f>C9</f>
        <v>11.086459242019624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2006</v>
      </c>
      <c r="C1" s="17" t="n">
        <v>2007</v>
      </c>
      <c r="D1" s="17" t="n">
        <v>2008</v>
      </c>
      <c r="E1" s="17" t="n">
        <v>2009</v>
      </c>
      <c r="F1" s="17" t="n">
        <v>2010</v>
      </c>
      <c r="G1" s="17" t="n">
        <v>2011</v>
      </c>
      <c r="H1" s="17" t="n">
        <v>2012</v>
      </c>
      <c r="I1" s="17" t="n">
        <v>2013</v>
      </c>
      <c r="J1" s="17" t="n">
        <v>2014</v>
      </c>
      <c r="K1" s="17" t="n">
        <v>2015</v>
      </c>
      <c r="L1" s="17" t="n">
        <v>2016</v>
      </c>
      <c r="M1" s="17" t="n">
        <v>2017</v>
      </c>
      <c r="N1" s="17" t="n">
        <v>2018</v>
      </c>
      <c r="O1" s="17" t="n">
        <v>2019</v>
      </c>
      <c r="P1" s="17" t="n">
        <v>2020</v>
      </c>
      <c r="Q1" s="17" t="n">
        <v>2021</v>
      </c>
      <c r="R1" s="17" t="n">
        <v>2022</v>
      </c>
      <c r="S1" s="17" t="n">
        <v>2023</v>
      </c>
      <c r="T1" s="17" t="n">
        <v>2024</v>
      </c>
      <c r="U1" s="17" t="n">
        <v>2025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0.608</v>
      </c>
      <c r="S2" s="23" t="n">
        <v>0.368</v>
      </c>
      <c r="T2" s="23" t="n">
        <v>0</v>
      </c>
      <c r="U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0.608</v>
      </c>
      <c r="S4" s="23">
        <f>S2-S3</f>
        <v>0.368</v>
      </c>
      <c r="T4" s="23">
        <f>T2-T3</f>
        <v>0.0</v>
      </c>
      <c r="U4" s="23">
        <f>U2-U3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0.247</v>
      </c>
      <c r="G5" s="23" t="n">
        <v>0.841</v>
      </c>
      <c r="H5" s="23" t="n">
        <v>1.483</v>
      </c>
      <c r="I5" s="23" t="n">
        <v>1.276</v>
      </c>
      <c r="J5" s="23" t="n">
        <v>1.616</v>
      </c>
      <c r="K5" s="23" t="n">
        <v>5.799</v>
      </c>
      <c r="L5" s="23" t="n">
        <v>17.306</v>
      </c>
      <c r="M5" s="23" t="n">
        <v>23.285</v>
      </c>
      <c r="N5" s="23" t="n">
        <v>11.795</v>
      </c>
      <c r="O5" s="23" t="n">
        <v>8.739000000000001</v>
      </c>
      <c r="P5" s="23" t="n">
        <v>8.82</v>
      </c>
      <c r="Q5" s="23" t="n">
        <v>9.132999999999999</v>
      </c>
      <c r="R5" s="23" t="n">
        <v>3.924</v>
      </c>
      <c r="S5" s="23" t="n">
        <v>5.45</v>
      </c>
      <c r="T5" s="23" t="n">
        <v>6.983</v>
      </c>
      <c r="U5" s="23" t="n">
        <v>2.815</v>
      </c>
    </row>
    <row r="6">
      <c r="A6" s="19" t="inlineStr">
        <is>
          <t>SG&amp;A &amp; Other</t>
        </is>
      </c>
      <c r="B6" s="23" t="n">
        <v>1.769</v>
      </c>
      <c r="C6" s="23" t="n">
        <v>3.132</v>
      </c>
      <c r="D6" s="23" t="n">
        <v>1.435</v>
      </c>
      <c r="E6" s="23" t="n">
        <v>1.012</v>
      </c>
      <c r="F6" s="23" t="n">
        <v>0.545</v>
      </c>
      <c r="G6" s="23" t="n">
        <v>1.406</v>
      </c>
      <c r="H6" s="23" t="n">
        <v>2.184</v>
      </c>
      <c r="I6" s="23" t="n">
        <v>2.33</v>
      </c>
      <c r="J6" s="23" t="n">
        <v>0.303</v>
      </c>
      <c r="K6" s="23" t="n">
        <v>24.785</v>
      </c>
      <c r="L6" s="23" t="n">
        <v>9.941000000000001</v>
      </c>
      <c r="M6" s="23" t="n">
        <v>14.499</v>
      </c>
      <c r="N6" s="23" t="n">
        <v>8.99</v>
      </c>
      <c r="O6" s="23" t="n">
        <v>8.224</v>
      </c>
      <c r="P6" s="23" t="n">
        <v>9.161</v>
      </c>
      <c r="Q6" s="23" t="n">
        <v>8.081</v>
      </c>
      <c r="R6" s="23" t="n">
        <v>8.531000000000001</v>
      </c>
      <c r="S6" s="23" t="n">
        <v>11.724</v>
      </c>
      <c r="T6" s="23" t="n">
        <v>14.66</v>
      </c>
      <c r="U6" s="23" t="n">
        <v>14.46</v>
      </c>
    </row>
    <row r="7">
      <c r="A7" s="2" t="inlineStr">
        <is>
          <t>Operating Expense</t>
        </is>
      </c>
      <c r="B7" s="23">
        <f>SUM(B5:B6)</f>
        <v>1.769</v>
      </c>
      <c r="C7" s="23">
        <f>SUM(C5:C6)</f>
        <v>3.132</v>
      </c>
      <c r="D7" s="23">
        <f>SUM(D5:D6)</f>
        <v>1.435</v>
      </c>
      <c r="E7" s="23">
        <f>SUM(E5:E6)</f>
        <v>1.012</v>
      </c>
      <c r="F7" s="23">
        <f>SUM(F5:F6)</f>
        <v>0.792</v>
      </c>
      <c r="G7" s="23">
        <f>SUM(G5:G6)</f>
        <v>2.247</v>
      </c>
      <c r="H7" s="23">
        <f>SUM(H5:H6)</f>
        <v>3.6670000000000003</v>
      </c>
      <c r="I7" s="23">
        <f>SUM(I5:I6)</f>
        <v>3.606</v>
      </c>
      <c r="J7" s="23">
        <f>SUM(J5:J6)</f>
        <v>1.919</v>
      </c>
      <c r="K7" s="23">
        <f>SUM(K5:K6)</f>
        <v>30.584</v>
      </c>
      <c r="L7" s="23">
        <f>SUM(L5:L6)</f>
        <v>27.247</v>
      </c>
      <c r="M7" s="23">
        <f>SUM(M5:M6)</f>
        <v>37.784</v>
      </c>
      <c r="N7" s="23">
        <f>SUM(N5:N6)</f>
        <v>20.785</v>
      </c>
      <c r="O7" s="23">
        <f>SUM(O5:O6)</f>
        <v>16.963</v>
      </c>
      <c r="P7" s="23">
        <f>SUM(P5:P6)</f>
        <v>17.981</v>
      </c>
      <c r="Q7" s="23">
        <f>SUM(Q5:Q6)</f>
        <v>17.214</v>
      </c>
      <c r="R7" s="23">
        <f>SUM(R5:R6)</f>
        <v>12.455</v>
      </c>
      <c r="S7" s="23">
        <f>SUM(S5:S6)</f>
        <v>17.174</v>
      </c>
      <c r="T7" s="23">
        <f>SUM(T5:T6)</f>
        <v>21.643</v>
      </c>
      <c r="U7" s="23">
        <f>SUM(U5:U6)</f>
        <v>17.275000000000002</v>
      </c>
    </row>
    <row r="8">
      <c r="A8" s="2" t="inlineStr">
        <is>
          <t>Operating Income</t>
        </is>
      </c>
      <c r="B8" s="23">
        <f>B4-B7</f>
        <v>-1.769</v>
      </c>
      <c r="C8" s="23">
        <f>C4-C7</f>
        <v>-3.132</v>
      </c>
      <c r="D8" s="23">
        <f>D4-D7</f>
        <v>-1.435</v>
      </c>
      <c r="E8" s="23">
        <f>E4-E7</f>
        <v>-1.012</v>
      </c>
      <c r="F8" s="23">
        <f>F4-F7</f>
        <v>-0.792</v>
      </c>
      <c r="G8" s="23">
        <f>G4-G7</f>
        <v>-2.247</v>
      </c>
      <c r="H8" s="23">
        <f>H4-H7</f>
        <v>-3.6670000000000003</v>
      </c>
      <c r="I8" s="23">
        <f>I4-I7</f>
        <v>-3.606</v>
      </c>
      <c r="J8" s="23">
        <f>J4-J7</f>
        <v>-1.919</v>
      </c>
      <c r="K8" s="23">
        <f>K4-K7</f>
        <v>-30.584</v>
      </c>
      <c r="L8" s="23">
        <f>L4-L7</f>
        <v>-27.247</v>
      </c>
      <c r="M8" s="23">
        <f>M4-M7</f>
        <v>-37.784</v>
      </c>
      <c r="N8" s="23">
        <f>N4-N7</f>
        <v>-20.785</v>
      </c>
      <c r="O8" s="23">
        <f>O4-O7</f>
        <v>-16.963</v>
      </c>
      <c r="P8" s="23">
        <f>P4-P7</f>
        <v>-17.981</v>
      </c>
      <c r="Q8" s="23">
        <f>Q4-Q7</f>
        <v>-17.214</v>
      </c>
      <c r="R8" s="23">
        <f>R4-R7</f>
        <v>-11.847</v>
      </c>
      <c r="S8" s="23">
        <f>S4-S7</f>
        <v>-16.806</v>
      </c>
      <c r="T8" s="23">
        <f>T4-T7</f>
        <v>-21.643</v>
      </c>
      <c r="U8" s="23">
        <f>U4-U7</f>
        <v>-17.275000000000002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0.117</v>
      </c>
      <c r="G9" s="23" t="n">
        <v>0.128</v>
      </c>
      <c r="H9" s="23" t="n">
        <v>-0.601</v>
      </c>
      <c r="I9" s="23" t="n">
        <v>-0.014</v>
      </c>
      <c r="J9" s="23" t="n">
        <v>-0.028</v>
      </c>
      <c r="K9" s="23" t="n">
        <v>-14.733</v>
      </c>
      <c r="L9" s="23" t="n">
        <v>9.106</v>
      </c>
      <c r="M9" s="23" t="n">
        <v>2.385</v>
      </c>
      <c r="N9" s="23" t="n">
        <v>0.286</v>
      </c>
      <c r="O9" s="23" t="n">
        <v>0.117</v>
      </c>
      <c r="P9" s="23" t="n">
        <v>0.899</v>
      </c>
      <c r="Q9" s="23" t="n">
        <v>-0.21</v>
      </c>
      <c r="R9" s="23" t="n">
        <v>-1.315</v>
      </c>
      <c r="S9" s="23" t="n">
        <v>6.798</v>
      </c>
      <c r="T9" s="23" t="n">
        <v>1.843</v>
      </c>
      <c r="U9" s="23" t="n">
        <v>-1.028</v>
      </c>
    </row>
    <row r="10">
      <c r="A10" s="2" t="inlineStr">
        <is>
          <t>Pretax</t>
        </is>
      </c>
      <c r="B10" s="23">
        <f>B8+B9</f>
        <v>-1.769</v>
      </c>
      <c r="C10" s="23">
        <f>C8+C9</f>
        <v>-3.132</v>
      </c>
      <c r="D10" s="23">
        <f>D8+D9</f>
        <v>-1.435</v>
      </c>
      <c r="E10" s="23">
        <f>E8+E9</f>
        <v>-1.012</v>
      </c>
      <c r="F10" s="23">
        <f>F8+F9</f>
        <v>-0.675</v>
      </c>
      <c r="G10" s="23">
        <f>G8+G9</f>
        <v>-2.1189999999999998</v>
      </c>
      <c r="H10" s="23">
        <f>H8+H9</f>
        <v>-4.268000000000001</v>
      </c>
      <c r="I10" s="23">
        <f>I8+I9</f>
        <v>-3.6199999999999997</v>
      </c>
      <c r="J10" s="23">
        <f>J8+J9</f>
        <v>-1.947</v>
      </c>
      <c r="K10" s="23">
        <f>K8+K9</f>
        <v>-45.317</v>
      </c>
      <c r="L10" s="23">
        <f>L8+L9</f>
        <v>-18.141</v>
      </c>
      <c r="M10" s="23">
        <f>M8+M9</f>
        <v>-35.399</v>
      </c>
      <c r="N10" s="23">
        <f>N8+N9</f>
        <v>-20.499</v>
      </c>
      <c r="O10" s="23">
        <f>O8+O9</f>
        <v>-16.846</v>
      </c>
      <c r="P10" s="23">
        <f>P8+P9</f>
        <v>-17.082</v>
      </c>
      <c r="Q10" s="23">
        <f>Q8+Q9</f>
        <v>-17.424</v>
      </c>
      <c r="R10" s="23">
        <f>R8+R9</f>
        <v>-13.161999999999999</v>
      </c>
      <c r="S10" s="23">
        <f>S8+S9</f>
        <v>-10.008000000000001</v>
      </c>
      <c r="T10" s="23">
        <f>T8+T9</f>
        <v>-19.8</v>
      </c>
      <c r="U10" s="23">
        <f>U8+U9</f>
        <v>-18.303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-0.074</v>
      </c>
      <c r="S11" s="23" t="n">
        <v>0</v>
      </c>
      <c r="T11" s="23" t="n">
        <v>0</v>
      </c>
      <c r="U11" s="23" t="n">
        <v>-1.003</v>
      </c>
    </row>
    <row r="12">
      <c r="A12" s="2" t="inlineStr">
        <is>
          <t>Net Income</t>
        </is>
      </c>
      <c r="B12" s="23" t="n">
        <v>-1.769</v>
      </c>
      <c r="C12" s="23" t="n">
        <v>-3.132</v>
      </c>
      <c r="D12" s="23" t="n">
        <v>-1.435</v>
      </c>
      <c r="E12" s="23" t="n">
        <v>-1.012</v>
      </c>
      <c r="F12" s="23" t="n">
        <v>-0.675</v>
      </c>
      <c r="G12" s="23" t="n">
        <v>-2.119</v>
      </c>
      <c r="H12" s="23" t="n">
        <v>-4.268</v>
      </c>
      <c r="I12" s="23" t="n">
        <v>-3.62</v>
      </c>
      <c r="J12" s="23" t="n">
        <v>-1.948</v>
      </c>
      <c r="K12" s="23" t="n">
        <v>-45.318</v>
      </c>
      <c r="L12" s="23" t="n">
        <v>-18.141</v>
      </c>
      <c r="M12" s="23" t="n">
        <v>-35.399</v>
      </c>
      <c r="N12" s="23" t="n">
        <v>-20.499</v>
      </c>
      <c r="O12" s="23" t="n">
        <v>-16.846</v>
      </c>
      <c r="P12" s="23" t="n">
        <v>-17.082</v>
      </c>
      <c r="Q12" s="23" t="n">
        <v>-17.424</v>
      </c>
      <c r="R12" s="23" t="n">
        <v>-13.089</v>
      </c>
      <c r="S12" s="23" t="n">
        <v>-10.008</v>
      </c>
      <c r="T12" s="23" t="n">
        <v>-19.8</v>
      </c>
      <c r="U12" s="23" t="n">
        <v>-17.3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-0.0006466272878631412</v>
      </c>
      <c r="G13" s="11">
        <f>IFERROR(G12/G14,0)</f>
        <v>-0.001944753936773012</v>
      </c>
      <c r="H13" s="11">
        <f>IFERROR(H12/H14,0)</f>
        <v>-0.0037477948336981895</v>
      </c>
      <c r="I13" s="11">
        <f>IFERROR(I12/I14,0)</f>
        <v>-0.001879186966125319</v>
      </c>
      <c r="J13" s="11">
        <f>IFERROR(J12/J14,0)</f>
        <v>-0.000996859483239916</v>
      </c>
      <c r="K13" s="11">
        <f>IFERROR(K12/K14,0)</f>
        <v>-0.02327427883528972</v>
      </c>
      <c r="L13" s="11">
        <f>IFERROR(L12/L14,0)</f>
        <v>-0.006740921716350663</v>
      </c>
      <c r="M13" s="11">
        <f>IFERROR(M12/M14,0)</f>
        <v>-0.012419743037379572</v>
      </c>
      <c r="N13" s="11">
        <f>IFERROR(N12/N14,0)</f>
        <v>-0.0058239121040718515</v>
      </c>
      <c r="O13" s="11">
        <f>IFERROR(O12/O14,0)</f>
        <v>-0.004026233855688937</v>
      </c>
      <c r="P13" s="11">
        <f>IFERROR(P12/P14,0)</f>
        <v>-0.0023663235668345112</v>
      </c>
      <c r="Q13" s="11">
        <f>IFERROR(Q12/Q14,0)</f>
        <v>-0.0017765071609837264</v>
      </c>
      <c r="R13" s="11">
        <f>IFERROR(R12/R14,0)</f>
        <v>-0.0013363419148557545</v>
      </c>
      <c r="S13" s="11">
        <f>IFERROR(S12/S14,0)</f>
        <v>-0.0010223741390829278</v>
      </c>
      <c r="T13" s="11">
        <f>IFERROR(T12/T14,0)</f>
        <v>-0.0008288677039234328</v>
      </c>
      <c r="U13" s="11">
        <f>IFERROR(U12/U14,0)</f>
        <v>-0.00025695055331182603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>
        <v>1043.878</v>
      </c>
      <c r="G14" s="23" t="n">
        <v>1089.598</v>
      </c>
      <c r="H14" s="23" t="n">
        <v>1138.803</v>
      </c>
      <c r="I14" s="23" t="n">
        <v>1926.365</v>
      </c>
      <c r="J14" s="23" t="n">
        <v>1954.137</v>
      </c>
      <c r="K14" s="23" t="n">
        <v>1947.128</v>
      </c>
      <c r="L14" s="23" t="n">
        <v>2691.175</v>
      </c>
      <c r="M14" s="23" t="n">
        <v>2850.22</v>
      </c>
      <c r="N14" s="23" t="n">
        <v>3519.799</v>
      </c>
      <c r="O14" s="23" t="n">
        <v>4184.059</v>
      </c>
      <c r="P14" s="23" t="n">
        <v>7218.793</v>
      </c>
      <c r="Q14" s="23" t="n">
        <v>9808.01</v>
      </c>
      <c r="R14" s="23" t="n">
        <v>9794.648999999999</v>
      </c>
      <c r="S14" s="23" t="n">
        <v>9788.98</v>
      </c>
      <c r="T14" s="23" t="n">
        <v>23888.01</v>
      </c>
      <c r="U14" s="23" t="n">
        <v>67328.129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>-0.39473684210526316</v>
      </c>
      <c r="T16" s="15">
        <f>IFERROR(T2/S2-1,"")</f>
        <v>-1.0</v>
      </c>
      <c r="U16" s="15">
        <f>IFERROR(U2/T2-1,"")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>1.0</v>
      </c>
      <c r="S17" s="15">
        <f>IFERROR(S4/S2,"")</f>
        <v>1.0</v>
      </c>
      <c r="T17" s="15">
        <f>IFERROR(T4/T2,"")</f>
        <v/>
      </c>
      <c r="U17" s="15">
        <f>IFERROR(U4/U2,"")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>-19.48519736842105</v>
      </c>
      <c r="S18" s="15">
        <f>IFERROR(S8/S2,"")</f>
        <v>-45.66847826086957</v>
      </c>
      <c r="T18" s="15">
        <f>IFERROR(T8/T2,"")</f>
        <v/>
      </c>
      <c r="U18" s="15">
        <f>IFERROR(U8/U2,"")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2026-10-21T06:30:16Z</dcterms:modified>
  <cp:lastModifiedBy>Wang, Eric</cp:lastModifiedBy>
</cp:coreProperties>
</file>