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TScan Therapeutics Inc</t>
        </is>
      </c>
      <c r="C2" s="10" t="n"/>
    </row>
    <row r="3">
      <c r="B3" t="inlineStr">
        <is>
          <t>Price</t>
        </is>
      </c>
      <c r="C3" s="11">
        <f>INDEX([1]Pharma!$F$1:$F$1000,MATCH("TCRX",[1]Pharma!$B$1:$B$1000,0))</f>
        <v>0.224</v>
      </c>
      <c r="F3" s="1" t="n"/>
    </row>
    <row r="4">
      <c r="B4" t="inlineStr">
        <is>
          <t>Shares</t>
        </is>
      </c>
      <c r="C4" s="21" t="n">
        <v>67.77925500000001</v>
      </c>
      <c r="F4" s="1" t="n"/>
    </row>
    <row r="5">
      <c r="B5" t="inlineStr">
        <is>
          <t>Market Cap.</t>
        </is>
      </c>
      <c r="C5" s="13">
        <f>C3*C4</f>
        <v>15.182553120000001</v>
      </c>
      <c r="F5" s="1" t="n"/>
    </row>
    <row r="6"/>
    <row r="7">
      <c r="B7" t="inlineStr">
        <is>
          <t>Cash</t>
        </is>
      </c>
      <c r="C7" s="21" t="n">
        <v>100.156</v>
      </c>
    </row>
    <row r="8">
      <c r="B8" t="inlineStr">
        <is>
          <t>Debt</t>
        </is>
      </c>
      <c r="C8" s="21">
        <f>11.707+21.072</f>
        <v>32.778999999999996</v>
      </c>
    </row>
    <row r="9">
      <c r="B9" t="inlineStr">
        <is>
          <t>Enterprise V.</t>
        </is>
      </c>
      <c r="C9" s="13">
        <f>C5-C7+C8</f>
        <v>-52.194446880000015</v>
      </c>
    </row>
    <row r="10"/>
    <row r="11">
      <c r="B11" s="14" t="inlineStr">
        <is>
          <t>Net Cash / Share</t>
        </is>
      </c>
      <c r="C11" s="11">
        <f>(C7-C8)/C4</f>
        <v>0.9940652195129617</v>
      </c>
    </row>
    <row r="12">
      <c r="B12" s="14" t="inlineStr">
        <is>
          <t>Upside</t>
        </is>
      </c>
      <c r="C12" s="15">
        <f>IFERROR(C11/C3-1,"")</f>
        <v>3.4377911585400076</v>
      </c>
    </row>
    <row r="13">
      <c r="B13" s="14" t="inlineStr">
        <is>
          <t>Cash / Share</t>
        </is>
      </c>
      <c r="C13" s="11">
        <f>IFERROR((C7-C8)/C4,"")</f>
        <v>0.9940652195129617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-116.28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0.579437564499484</v>
      </c>
    </row>
    <row r="19">
      <c r="B19" s="14" t="inlineStr">
        <is>
          <t>Implied Pipeline Value</t>
        </is>
      </c>
      <c r="C19" s="13">
        <f>C9</f>
        <v>-52.194446880000015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1.085</v>
      </c>
      <c r="C2" s="23" t="n">
        <v>10.141</v>
      </c>
      <c r="D2" s="23" t="n">
        <v>13.535</v>
      </c>
      <c r="E2" s="23" t="n">
        <v>21.049</v>
      </c>
      <c r="F2" s="23" t="n">
        <v>2.816</v>
      </c>
      <c r="G2" s="23" t="n">
        <v>10.325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1.085</v>
      </c>
      <c r="C4" s="23">
        <f>C2-C3</f>
        <v>10.141</v>
      </c>
      <c r="D4" s="23">
        <f>D2-D3</f>
        <v>13.535</v>
      </c>
      <c r="E4" s="23">
        <f>E2-E3</f>
        <v>21.049</v>
      </c>
      <c r="F4" s="23">
        <f>F2-F3</f>
        <v>2.816</v>
      </c>
      <c r="G4" s="23">
        <f>G2-G3</f>
        <v>10.325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20.577</v>
      </c>
      <c r="C5" s="23" t="n">
        <v>44.954</v>
      </c>
      <c r="D5" s="23" t="n">
        <v>59.819</v>
      </c>
      <c r="E5" s="23" t="n">
        <v>88.15300000000001</v>
      </c>
      <c r="F5" s="23" t="n">
        <v>107.35</v>
      </c>
      <c r="G5" s="23" t="n">
        <v>114.15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6.741</v>
      </c>
      <c r="C6" s="23" t="n">
        <v>13.828</v>
      </c>
      <c r="D6" s="23" t="n">
        <v>20.352</v>
      </c>
      <c r="E6" s="23" t="n">
        <v>26.354</v>
      </c>
      <c r="F6" s="23" t="n">
        <v>30.287</v>
      </c>
      <c r="G6" s="23" t="n">
        <v>31.988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27.318</v>
      </c>
      <c r="C7" s="23">
        <f>SUM(C5:C6)</f>
        <v>58.782</v>
      </c>
      <c r="D7" s="23">
        <f>SUM(D5:D6)</f>
        <v>80.171</v>
      </c>
      <c r="E7" s="23">
        <f>SUM(E5:E6)</f>
        <v>114.507</v>
      </c>
      <c r="F7" s="23">
        <f>SUM(F5:F6)</f>
        <v>137.637</v>
      </c>
      <c r="G7" s="23">
        <f>SUM(G5:G6)</f>
        <v>146.138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-26.233</v>
      </c>
      <c r="C8" s="23">
        <f>C4-C7</f>
        <v>-48.641</v>
      </c>
      <c r="D8" s="23">
        <f>D4-D7</f>
        <v>-66.63600000000001</v>
      </c>
      <c r="E8" s="23">
        <f>E4-E7</f>
        <v>-93.458</v>
      </c>
      <c r="F8" s="23">
        <f>F4-F7</f>
        <v>-134.821</v>
      </c>
      <c r="G8" s="23">
        <f>G4-G7</f>
        <v>-135.81300000000002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0.106</v>
      </c>
      <c r="C9" s="23" t="n">
        <v>0.016</v>
      </c>
      <c r="D9" s="23" t="n">
        <v>0.415</v>
      </c>
      <c r="E9" s="23" t="n">
        <v>4.24</v>
      </c>
      <c r="F9" s="23" t="n">
        <v>7.322</v>
      </c>
      <c r="G9" s="23" t="n">
        <v>6.047</v>
      </c>
    </row>
    <row r="10">
      <c r="A10" s="2" t="inlineStr">
        <is>
          <t>Pretax</t>
        </is>
      </c>
      <c r="B10" s="23">
        <f>B8+B9</f>
        <v>-26.127</v>
      </c>
      <c r="C10" s="23">
        <f>C8+C9</f>
        <v>-48.625</v>
      </c>
      <c r="D10" s="23">
        <f>D8+D9</f>
        <v>-66.221</v>
      </c>
      <c r="E10" s="23">
        <f>E8+E9</f>
        <v>-89.218</v>
      </c>
      <c r="F10" s="23">
        <f>F8+F9</f>
        <v>-127.499</v>
      </c>
      <c r="G10" s="23">
        <f>G8+G9</f>
        <v>-129.76600000000002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-26.127</v>
      </c>
      <c r="C12" s="23" t="n">
        <v>-48.625</v>
      </c>
      <c r="D12" s="23" t="n">
        <v>-66.221</v>
      </c>
      <c r="E12" s="23" t="n">
        <v>-89.218</v>
      </c>
      <c r="F12" s="23" t="n">
        <v>-127.499</v>
      </c>
      <c r="G12" s="23" t="n">
        <v>-129.766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-28.522925764192138</v>
      </c>
      <c r="C13" s="11">
        <f>IFERROR(C12/C14,0)</f>
        <v>-4.169167452627969</v>
      </c>
      <c r="D13" s="11">
        <f>IFERROR(D12/D14,0)</f>
        <v>-2.753700931470393</v>
      </c>
      <c r="E13" s="11">
        <f>IFERROR(E12/E14,0)</f>
        <v>-1.3600304878048781</v>
      </c>
      <c r="F13" s="11">
        <f>IFERROR(F12/F14,0)</f>
        <v>-1.1384855790695598</v>
      </c>
      <c r="G13" s="11">
        <f>IFERROR(G12/G14,0)</f>
        <v>-0.9999152392180433</v>
      </c>
    </row>
    <row r="14">
      <c r="A14" s="2" t="inlineStr">
        <is>
          <t>Shares</t>
        </is>
      </c>
      <c r="B14" s="23" t="n">
        <v>0.916</v>
      </c>
      <c r="C14" s="23" t="n">
        <v>11.663</v>
      </c>
      <c r="D14" s="23" t="n">
        <v>24.048</v>
      </c>
      <c r="E14" s="23" t="n">
        <v>65.59999999999999</v>
      </c>
      <c r="F14" s="23" t="n">
        <v>111.99</v>
      </c>
      <c r="G14" s="23" t="n">
        <v>129.777</v>
      </c>
    </row>
    <row r="15"/>
    <row r="16" customFormat="1" s="4">
      <c r="A16" s="3" t="inlineStr">
        <is>
          <t>Revenue Change</t>
        </is>
      </c>
      <c r="C16" s="15">
        <f>IFERROR(C2/B2-1,"")</f>
        <v>8.346543778801843</v>
      </c>
      <c r="D16" s="15">
        <f>IFERROR(D2/C2-1,"")</f>
        <v>0.33468099792919825</v>
      </c>
      <c r="E16" s="15">
        <f>IFERROR(E2/D2-1,"")</f>
        <v>0.5551533062430734</v>
      </c>
      <c r="F16" s="15">
        <f>IFERROR(F2/E2-1,"")</f>
        <v>-0.8662169224191173</v>
      </c>
      <c r="G16" s="15">
        <f>IFERROR(G2/F2-1,"")</f>
        <v>2.6665482954545454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-24.177880184331798</v>
      </c>
      <c r="C18" s="15">
        <f>IFERROR(C8/C2,"")</f>
        <v>-4.796469776156197</v>
      </c>
      <c r="D18" s="15">
        <f>IFERROR(D8/D2,"")</f>
        <v>-4.923236054673071</v>
      </c>
      <c r="E18" s="15">
        <f>IFERROR(E8/E2,"")</f>
        <v>-4.440020903605872</v>
      </c>
      <c r="F18" s="15">
        <f>IFERROR(F8/F2,"")</f>
        <v>-47.87677556818182</v>
      </c>
      <c r="G18" s="15">
        <f>IFERROR(G8/G2,"")</f>
        <v>-13.153801452784506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2026-10-21T01:06:30Z</dcterms:modified>
  <cp:lastModifiedBy>Wang, Eric</cp:lastModifiedBy>
</cp:coreProperties>
</file>