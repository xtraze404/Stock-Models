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Pipeline" sheetId="5" state="visible" r:id="rId5"/>
    <sheet name="NPV" sheetId="6" state="visible" r:id="rId6"/>
  </sheets>
  <externalReferences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.0"/>
    <numFmt numFmtId="165" formatCode="0.0%"/>
    <numFmt numFmtId="166" formatCode="0.0"/>
    <numFmt numFmtId="167" formatCode="#,##0.0;(#,##0.0);&quot;-&quot;"/>
    <numFmt numFmtId="168" formatCode="0.0%;(0.0%);&quot;-&quot;"/>
    <numFmt numFmtId="169" formatCode="0%;(0%);&quot;-&quot;"/>
    <numFmt numFmtId="170" formatCode="#,##0;(#,##0);&quot;-&quot;"/>
    <numFmt numFmtId="171" formatCode="yyyy-mm-dd h:mm:ss"/>
    <numFmt numFmtId="172" formatCode="yyyy-mm-dd"/>
    <numFmt numFmtId="173" formatCode="$#,##0.00;($#,##0.00);&quot;-&quot;"/>
    <numFmt numFmtId="174" formatCode="[=1]&quot;Bear&quot;;[=2]&quot;Base&quot;;&quot;Bull&quot;"/>
    <numFmt numFmtId="175" formatCode="0.00x"/>
    <numFmt numFmtId="176" formatCode="0.000"/>
  </numFmts>
  <fonts count="9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i val="1"/>
      <color rgb="00008000"/>
      <sz val="12"/>
    </font>
    <font>
      <name val="Aptos Narrow"/>
      <b val="1"/>
      <color rgb="000000FF"/>
      <sz val="12"/>
    </font>
    <font>
      <name val="Aptos Narrow"/>
      <color rgb="00008000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3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8" fontId="5" fillId="0" borderId="0" pivotButton="0" quotePrefix="0" xfId="0"/>
    <xf numFmtId="2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8" fontId="3" fillId="0" borderId="0" pivotButton="0" quotePrefix="0" xfId="0"/>
    <xf numFmtId="2" fontId="3" fillId="0" borderId="0" pivotButton="0" quotePrefix="0" xfId="0"/>
    <xf numFmtId="169" fontId="5" fillId="0" borderId="0" pivotButton="0" quotePrefix="0" xfId="0"/>
    <xf numFmtId="169" fontId="3" fillId="0" borderId="0" pivotButton="0" quotePrefix="0" xfId="0"/>
    <xf numFmtId="169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67" fontId="5" fillId="0" borderId="0" pivotButton="0" quotePrefix="0" xfId="0"/>
    <xf numFmtId="1" fontId="2" fillId="0" borderId="0" pivotButton="0" quotePrefix="0" xfId="0"/>
    <xf numFmtId="170" fontId="5" fillId="0" borderId="0" pivotButton="0" quotePrefix="0" xfId="0"/>
    <xf numFmtId="172" fontId="2" fillId="0" borderId="0" pivotButton="0" quotePrefix="0" xfId="0"/>
    <xf numFmtId="170" fontId="6" fillId="0" borderId="0" pivotButton="0" quotePrefix="0" xfId="0"/>
    <xf numFmtId="173" fontId="6" fillId="0" borderId="0" pivotButton="0" quotePrefix="0" xfId="0"/>
    <xf numFmtId="168" fontId="6" fillId="0" borderId="0" pivotButton="0" quotePrefix="0" xfId="0"/>
    <xf numFmtId="174" fontId="2" fillId="0" borderId="0" pivotButton="0" quotePrefix="0" xfId="0"/>
    <xf numFmtId="170" fontId="0" fillId="0" borderId="0" pivotButton="0" quotePrefix="0" xfId="0"/>
    <xf numFmtId="173" fontId="0" fillId="0" borderId="0" pivotButton="0" quotePrefix="0" xfId="0"/>
    <xf numFmtId="168" fontId="0" fillId="0" borderId="0" pivotButton="0" quotePrefix="0" xfId="0"/>
    <xf numFmtId="175" fontId="7" fillId="2" borderId="0" pivotButton="0" quotePrefix="0" xfId="0"/>
    <xf numFmtId="175" fontId="7" fillId="2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1" fontId="7" fillId="2" borderId="0" pivotButton="0" quotePrefix="0" xfId="0"/>
    <xf numFmtId="169" fontId="8" fillId="0" borderId="0" pivotButton="0" quotePrefix="0" xfId="0"/>
    <xf numFmtId="167" fontId="3" fillId="0" borderId="6" pivotButton="0" quotePrefix="0" xfId="0"/>
    <xf numFmtId="167" fontId="3" fillId="0" borderId="0" pivotButton="0" quotePrefix="0" xfId="0"/>
    <xf numFmtId="1" fontId="3" fillId="2" borderId="0" pivotButton="0" quotePrefix="0" xfId="0"/>
    <xf numFmtId="167" fontId="8" fillId="0" borderId="0" pivotButton="0" quotePrefix="0" xfId="0"/>
    <xf numFmtId="2" fontId="8" fillId="0" borderId="0" pivotButton="0" quotePrefix="0" xfId="0"/>
    <xf numFmtId="176" fontId="2" fillId="0" borderId="0" pivotButton="0" quotePrefix="0" xfId="0"/>
    <xf numFmtId="173" fontId="3" fillId="0" borderId="6" pivotButton="0" quotePrefix="0" xfId="0"/>
    <xf numFmtId="173" fontId="8" fillId="0" borderId="0" pivotButton="0" quotePrefix="0" xfId="0"/>
    <xf numFmtId="168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TScan Therapeutics Inc</t>
        </is>
      </c>
      <c r="C2" s="10" t="n"/>
    </row>
    <row r="3">
      <c r="B3" t="inlineStr">
        <is>
          <t>Price</t>
        </is>
      </c>
      <c r="C3" s="11">
        <f>INDEX([1]Pharma!$F$1:$F$1000,MATCH("TCRX",[1]Pharma!$B$1:$B$1000,0))</f>
        <v>0.224</v>
      </c>
      <c r="F3" s="1" t="n"/>
    </row>
    <row r="4">
      <c r="B4" t="inlineStr">
        <is>
          <t>Shares</t>
        </is>
      </c>
      <c r="C4" s="21" t="n">
        <v>67.77925500000001</v>
      </c>
      <c r="F4" s="1" t="n"/>
    </row>
    <row r="5">
      <c r="B5" t="inlineStr">
        <is>
          <t>Market Cap.</t>
        </is>
      </c>
      <c r="C5" s="13">
        <f>C3*C4</f>
        <v>15.182553120000001</v>
      </c>
      <c r="F5" s="1" t="n"/>
    </row>
    <row r="6"/>
    <row r="7">
      <c r="B7" t="inlineStr">
        <is>
          <t>Cash</t>
        </is>
      </c>
      <c r="C7" s="21" t="n">
        <v>100.156</v>
      </c>
    </row>
    <row r="8">
      <c r="B8" t="inlineStr">
        <is>
          <t>Debt</t>
        </is>
      </c>
      <c r="C8" s="21">
        <f>11.707+21.072</f>
        <v>32.778999999999996</v>
      </c>
    </row>
    <row r="9">
      <c r="B9" t="inlineStr">
        <is>
          <t>Enterprise V.</t>
        </is>
      </c>
      <c r="C9" s="13">
        <f>C5-C7+C8</f>
        <v>-52.194446880000015</v>
      </c>
    </row>
    <row r="10"/>
    <row r="11">
      <c r="B11" s="14" t="inlineStr">
        <is>
          <t>rNPV / Share</t>
        </is>
      </c>
      <c r="C11" s="11">
        <f>NPV!B27</f>
        <v>9.038567675994958</v>
      </c>
    </row>
    <row r="12">
      <c r="B12" s="14" t="inlineStr">
        <is>
          <t>Upside</t>
        </is>
      </c>
      <c r="C12" s="15">
        <f>IFERROR(C11/C3-1,"")</f>
        <v>39.35074855354892</v>
      </c>
    </row>
    <row r="13">
      <c r="B13" s="14" t="inlineStr">
        <is>
          <t>Cash / Share</t>
        </is>
      </c>
      <c r="C13" s="11">
        <f>IFERROR((C7-C8)/C4,"")</f>
        <v>0.9940652195129617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Pipeline rNPV</t>
        </is>
      </c>
    </row>
    <row r="16"/>
    <row r="17">
      <c r="B17" s="14" t="inlineStr">
        <is>
          <t>TTM Operating Cash Flow</t>
        </is>
      </c>
      <c r="C17" s="21" t="n">
        <v>-116.28</v>
      </c>
    </row>
    <row r="18">
      <c r="B18" s="14" t="inlineStr">
        <is>
          <t>Runway (years)</t>
        </is>
      </c>
      <c r="C18" s="22">
        <f>IF(AND(ISNUMBER(C17),C17&lt;0),IF(C7&gt;C8,(C7-C8)/-C17,"net debt"),"n/a")</f>
        <v>0.579437564499484</v>
      </c>
    </row>
    <row r="19">
      <c r="B19" s="14" t="inlineStr">
        <is>
          <t>Implied Pipeline Value</t>
        </is>
      </c>
      <c r="C19" s="13">
        <f>C9</f>
        <v>-52.194446880000015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2020</v>
      </c>
      <c r="C1" s="17" t="n">
        <v>2021</v>
      </c>
      <c r="D1" s="17" t="n">
        <v>2022</v>
      </c>
      <c r="E1" s="17" t="n">
        <v>2023</v>
      </c>
      <c r="F1" s="17" t="n">
        <v>2024</v>
      </c>
      <c r="G1" s="17" t="n">
        <v>2025</v>
      </c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1.085</v>
      </c>
      <c r="C2" s="23" t="n">
        <v>10.141</v>
      </c>
      <c r="D2" s="23" t="n">
        <v>13.535</v>
      </c>
      <c r="E2" s="23" t="n">
        <v>21.049</v>
      </c>
      <c r="F2" s="23" t="n">
        <v>2.816</v>
      </c>
      <c r="G2" s="23" t="n">
        <v>10.325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1.085</v>
      </c>
      <c r="C4" s="23">
        <f>C2-C3</f>
        <v>10.141</v>
      </c>
      <c r="D4" s="23">
        <f>D2-D3</f>
        <v>13.535</v>
      </c>
      <c r="E4" s="23">
        <f>E2-E3</f>
        <v>21.049</v>
      </c>
      <c r="F4" s="23">
        <f>F2-F3</f>
        <v>2.816</v>
      </c>
      <c r="G4" s="23">
        <f>G2-G3</f>
        <v>10.325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20.577</v>
      </c>
      <c r="C5" s="23" t="n">
        <v>44.954</v>
      </c>
      <c r="D5" s="23" t="n">
        <v>59.819</v>
      </c>
      <c r="E5" s="23" t="n">
        <v>88.15300000000001</v>
      </c>
      <c r="F5" s="23" t="n">
        <v>107.35</v>
      </c>
      <c r="G5" s="23" t="n">
        <v>114.15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6.741</v>
      </c>
      <c r="C6" s="23" t="n">
        <v>13.828</v>
      </c>
      <c r="D6" s="23" t="n">
        <v>20.352</v>
      </c>
      <c r="E6" s="23" t="n">
        <v>26.354</v>
      </c>
      <c r="F6" s="23" t="n">
        <v>30.287</v>
      </c>
      <c r="G6" s="23" t="n">
        <v>31.988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27.318</v>
      </c>
      <c r="C7" s="23">
        <f>SUM(C5:C6)</f>
        <v>58.782</v>
      </c>
      <c r="D7" s="23">
        <f>SUM(D5:D6)</f>
        <v>80.171</v>
      </c>
      <c r="E7" s="23">
        <f>SUM(E5:E6)</f>
        <v>114.507</v>
      </c>
      <c r="F7" s="23">
        <f>SUM(F5:F6)</f>
        <v>137.637</v>
      </c>
      <c r="G7" s="23">
        <f>SUM(G5:G6)</f>
        <v>146.138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-26.233</v>
      </c>
      <c r="C8" s="23">
        <f>C4-C7</f>
        <v>-48.641</v>
      </c>
      <c r="D8" s="23">
        <f>D4-D7</f>
        <v>-66.63600000000001</v>
      </c>
      <c r="E8" s="23">
        <f>E4-E7</f>
        <v>-93.458</v>
      </c>
      <c r="F8" s="23">
        <f>F4-F7</f>
        <v>-134.821</v>
      </c>
      <c r="G8" s="23">
        <f>G4-G7</f>
        <v>-135.81300000000002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0.106</v>
      </c>
      <c r="C9" s="23" t="n">
        <v>0.016</v>
      </c>
      <c r="D9" s="23" t="n">
        <v>0.415</v>
      </c>
      <c r="E9" s="23" t="n">
        <v>4.24</v>
      </c>
      <c r="F9" s="23" t="n">
        <v>7.322</v>
      </c>
      <c r="G9" s="23" t="n">
        <v>6.047</v>
      </c>
    </row>
    <row r="10">
      <c r="A10" s="2" t="inlineStr">
        <is>
          <t>Pretax</t>
        </is>
      </c>
      <c r="B10" s="23">
        <f>B8+B9</f>
        <v>-26.127</v>
      </c>
      <c r="C10" s="23">
        <f>C8+C9</f>
        <v>-48.625</v>
      </c>
      <c r="D10" s="23">
        <f>D8+D9</f>
        <v>-66.221</v>
      </c>
      <c r="E10" s="23">
        <f>E8+E9</f>
        <v>-89.218</v>
      </c>
      <c r="F10" s="23">
        <f>F8+F9</f>
        <v>-127.499</v>
      </c>
      <c r="G10" s="23">
        <f>G8+G9</f>
        <v>-129.76600000000002</v>
      </c>
      <c r="I10" s="1" t="n"/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</row>
    <row r="12">
      <c r="A12" s="2" t="inlineStr">
        <is>
          <t>Net Income</t>
        </is>
      </c>
      <c r="B12" s="23" t="n">
        <v>-26.127</v>
      </c>
      <c r="C12" s="23" t="n">
        <v>-48.625</v>
      </c>
      <c r="D12" s="23" t="n">
        <v>-66.221</v>
      </c>
      <c r="E12" s="23" t="n">
        <v>-89.218</v>
      </c>
      <c r="F12" s="23" t="n">
        <v>-127.499</v>
      </c>
      <c r="G12" s="23" t="n">
        <v>-129.766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-28.522925764192138</v>
      </c>
      <c r="C13" s="11">
        <f>IFERROR(C12/C14,0)</f>
        <v>-4.169167452627969</v>
      </c>
      <c r="D13" s="11">
        <f>IFERROR(D12/D14,0)</f>
        <v>-2.753700931470393</v>
      </c>
      <c r="E13" s="11">
        <f>IFERROR(E12/E14,0)</f>
        <v>-1.3600304878048781</v>
      </c>
      <c r="F13" s="11">
        <f>IFERROR(F12/F14,0)</f>
        <v>-1.1384855790695598</v>
      </c>
      <c r="G13" s="11">
        <f>IFERROR(G12/G14,0)</f>
        <v>-0.9999152392180433</v>
      </c>
    </row>
    <row r="14">
      <c r="A14" s="2" t="inlineStr">
        <is>
          <t>Shares</t>
        </is>
      </c>
      <c r="B14" s="23" t="n">
        <v>0.916</v>
      </c>
      <c r="C14" s="23" t="n">
        <v>11.663</v>
      </c>
      <c r="D14" s="23" t="n">
        <v>24.048</v>
      </c>
      <c r="E14" s="23" t="n">
        <v>65.59999999999999</v>
      </c>
      <c r="F14" s="23" t="n">
        <v>111.99</v>
      </c>
      <c r="G14" s="23" t="n">
        <v>129.777</v>
      </c>
    </row>
    <row r="15"/>
    <row r="16" customFormat="1" s="4">
      <c r="A16" s="3" t="inlineStr">
        <is>
          <t>Revenue Change</t>
        </is>
      </c>
      <c r="C16" s="15">
        <f>IFERROR(C2/B2-1,"")</f>
        <v>8.346543778801843</v>
      </c>
      <c r="D16" s="15">
        <f>IFERROR(D2/C2-1,"")</f>
        <v>0.33468099792919825</v>
      </c>
      <c r="E16" s="15">
        <f>IFERROR(E2/D2-1,"")</f>
        <v>0.5551533062430734</v>
      </c>
      <c r="F16" s="15">
        <f>IFERROR(F2/E2-1,"")</f>
        <v>-0.8662169224191173</v>
      </c>
      <c r="G16" s="15">
        <f>IFERROR(G2/F2-1,"")</f>
        <v>2.6665482954545454</v>
      </c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>1.0</v>
      </c>
      <c r="C17" s="15">
        <f>IFERROR(C4/C2,"")</f>
        <v>1.0</v>
      </c>
      <c r="D17" s="15">
        <f>IFERROR(D4/D2,"")</f>
        <v>1.0</v>
      </c>
      <c r="E17" s="15">
        <f>IFERROR(E4/E2,"")</f>
        <v>1.0</v>
      </c>
      <c r="F17" s="15">
        <f>IFERROR(F4/F2,"")</f>
        <v>1.0</v>
      </c>
      <c r="G17" s="15">
        <f>IFERROR(G4/G2,"")</f>
        <v>1.0</v>
      </c>
      <c r="H17" s="4" t="n"/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>-24.177880184331798</v>
      </c>
      <c r="C18" s="15">
        <f>IFERROR(C8/C2,"")</f>
        <v>-4.796469776156197</v>
      </c>
      <c r="D18" s="15">
        <f>IFERROR(D8/D2,"")</f>
        <v>-4.923236054673071</v>
      </c>
      <c r="E18" s="15">
        <f>IFERROR(E8/E2,"")</f>
        <v>-4.440020903605872</v>
      </c>
      <c r="F18" s="15">
        <f>IFERROR(F8/F2,"")</f>
        <v>-47.87677556818182</v>
      </c>
      <c r="G18" s="15">
        <f>IFERROR(G8/G2,"")</f>
        <v>-13.153801452784506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46" customWidth="1" style="9" min="1" max="1"/>
    <col width="13" customWidth="1" style="9" min="2" max="2"/>
    <col width="13" customWidth="1" style="9" min="3" max="3"/>
    <col width="13" customWidth="1" style="9" min="4" max="4"/>
    <col width="13" customWidth="1" style="9" min="5" max="5"/>
    <col width="13" customWidth="1" style="9" min="6" max="6"/>
    <col width="13" customWidth="1" style="9" min="7" max="7"/>
  </cols>
  <sheetData>
    <row r="1">
      <c r="A1" s="24" t="inlineStr">
        <is>
          <t>TScan Therapeutics Inc: pipeline rNPV assumptions</t>
        </is>
      </c>
    </row>
    <row r="2">
      <c r="A2" s="25" t="inlineStr">
        <is>
          <t>Blue = input, black = formula, green = link. $mm unless noted.</t>
        </is>
      </c>
    </row>
    <row r="4">
      <c r="A4" s="24" t="inlineStr">
        <is>
          <t>Scenario (1 Bear, 2 Base, 3 Bull)</t>
        </is>
      </c>
      <c r="B4" s="26" t="n">
        <v>2</v>
      </c>
      <c r="C4" s="24" t="str">
        <f>CHOOSE($B$4,"Bear","Base","Bull")</f>
        <v>Base</v>
      </c>
    </row>
    <row r="6">
      <c r="A6" s="14" t="inlineStr">
        <is>
          <t>Discount rate override (blank = scenario)</t>
        </is>
      </c>
      <c r="B6" s="27" t="n"/>
    </row>
    <row r="7">
      <c r="A7" s="14" t="inlineStr">
        <is>
          <t>Approval-odds multiplier override</t>
        </is>
      </c>
      <c r="B7" s="28" t="n"/>
    </row>
    <row r="8">
      <c r="A8" s="14" t="inlineStr">
        <is>
          <t>Peak-sales multiplier override</t>
        </is>
      </c>
      <c r="B8" s="28" t="n"/>
    </row>
    <row r="9">
      <c r="A9" s="29" t="inlineStr">
        <is>
          <t>Parameter</t>
        </is>
      </c>
      <c r="B9" s="30" t="inlineStr">
        <is>
          <t>Bear</t>
        </is>
      </c>
      <c r="C9" s="30" t="inlineStr">
        <is>
          <t>Base</t>
        </is>
      </c>
      <c r="D9" s="30" t="inlineStr">
        <is>
          <t>Bull</t>
        </is>
      </c>
      <c r="E9" s="30" t="inlineStr">
        <is>
          <t>Live</t>
        </is>
      </c>
    </row>
    <row r="10">
      <c r="A10" s="14" t="inlineStr">
        <is>
          <t>Discount rate</t>
        </is>
      </c>
      <c r="B10" s="27" t="n">
        <v>0.14</v>
      </c>
      <c r="C10" s="27" t="n">
        <v>0.12</v>
      </c>
      <c r="D10" s="27" t="n">
        <v>0.1</v>
      </c>
      <c r="E10" s="31">
        <f>IF(ISNUMBER($B$6),$B$6,CHOOSE($B$4,B10,C10,D10))</f>
        <v>0.12</v>
      </c>
    </row>
    <row r="11">
      <c r="A11" s="14" t="inlineStr">
        <is>
          <t>Peak-sales multiplier (× indication table)</t>
        </is>
      </c>
      <c r="B11" s="28" t="n">
        <v>0.6</v>
      </c>
      <c r="C11" s="28" t="n">
        <v>1</v>
      </c>
      <c r="D11" s="28" t="n">
        <v>1.4</v>
      </c>
      <c r="E11" s="32">
        <f>IF(ISNUMBER($B$8),$B$8,CHOOSE($B$4,B11,C11,D11))</f>
        <v>1</v>
      </c>
    </row>
    <row r="12">
      <c r="A12" s="14" t="inlineStr">
        <is>
          <t>Approval-odds multiplier (× BIO rates)</t>
        </is>
      </c>
      <c r="B12" s="28" t="n">
        <v>0.8</v>
      </c>
      <c r="C12" s="28" t="n">
        <v>1</v>
      </c>
      <c r="D12" s="28" t="n">
        <v>1.15</v>
      </c>
      <c r="E12" s="32">
        <f>IF(ISNUMBER($B$7),$B$7,CHOOSE($B$4,B12,C12,D12))</f>
        <v>1</v>
      </c>
    </row>
    <row r="13">
      <c r="A13" s="14" t="inlineStr">
        <is>
          <t>Net margin on owned product sales at peak</t>
        </is>
      </c>
      <c r="B13" s="33" t="n">
        <v>0.4</v>
      </c>
      <c r="C13" s="33" t="n">
        <v>0.4</v>
      </c>
      <c r="D13" s="33" t="n">
        <v>0.4</v>
      </c>
      <c r="E13" s="34">
        <f>CHOOSE($B$4,B13,C13,D13)</f>
        <v>0.4</v>
      </c>
    </row>
    <row r="14">
      <c r="A14" s="14" t="inlineStr">
        <is>
          <t>Royalty / economics on partnered sales</t>
        </is>
      </c>
      <c r="B14" s="33" t="n">
        <v>0.12</v>
      </c>
      <c r="C14" s="33" t="n">
        <v>0.12</v>
      </c>
      <c r="D14" s="33" t="n">
        <v>0.12</v>
      </c>
      <c r="E14" s="34">
        <f>CHOOSE($B$4,B14,C14,D14)</f>
        <v>0.12</v>
      </c>
    </row>
    <row r="15">
      <c r="A15" s="14" t="inlineStr">
        <is>
          <t>Tax rate</t>
        </is>
      </c>
      <c r="B15" s="33" t="n">
        <v>0.21</v>
      </c>
      <c r="C15" s="33" t="n">
        <v>0.21</v>
      </c>
      <c r="D15" s="33" t="n">
        <v>0.21</v>
      </c>
      <c r="E15" s="34">
        <f>CHOOSE($B$4,B15,C15,D15)</f>
        <v>0.21</v>
      </c>
    </row>
    <row r="16">
      <c r="A16" s="14" t="inlineStr">
        <is>
          <t>Probability at least one owned program is approved</t>
        </is>
      </c>
      <c r="B16" s="35">
        <f>1-PRODUCT(Pipeline!AG4:AG5)</f>
        <v>0.4683752400000001</v>
      </c>
    </row>
    <row r="17">
      <c r="A17" s="36" t="inlineStr">
        <is>
          <t>Company costs and timing</t>
        </is>
      </c>
      <c r="B17" s="37" t="n"/>
      <c r="C17" s="37" t="n"/>
      <c r="D17" s="37" t="n"/>
      <c r="E17" s="37" t="n"/>
      <c r="F17" s="37" t="n"/>
      <c r="G17" s="37" t="n"/>
    </row>
    <row r="18">
      <c r="A18" s="14" t="inlineStr">
        <is>
          <t>Net operating burn, TTM (operating loss)</t>
        </is>
      </c>
      <c r="B18" s="38" t="n">
        <v>120.542</v>
      </c>
    </row>
    <row r="19">
      <c r="A19" s="14" t="inlineStr">
        <is>
          <t>Years of full burn (until the first launch, max 4)</t>
        </is>
      </c>
      <c r="B19" s="39">
        <f>MIN(4,MAX(1,MIN(Pipeline!I4:I5)-2026))</f>
        <v>3.0</v>
      </c>
    </row>
    <row r="20">
      <c r="A20" s="14" t="inlineStr">
        <is>
          <t>Burn after that, % of TTM (platform R&amp;D and G&amp;A), if a product is approved</t>
        </is>
      </c>
      <c r="B20" s="33" t="n">
        <v>0.3</v>
      </c>
    </row>
    <row r="21">
      <c r="A21" s="14" t="inlineStr">
        <is>
          <t>Tax-loss carryforward at start</t>
        </is>
      </c>
      <c r="B21" s="40" t="n">
        <v>487.5</v>
      </c>
    </row>
    <row r="22">
      <c r="A22" s="14" t="inlineStr">
        <is>
          <t>First year, fraction after the balance sheet date</t>
        </is>
      </c>
      <c r="B22" s="28" t="n">
        <v>0.5041</v>
      </c>
    </row>
    <row r="23">
      <c r="A23" s="14" t="inlineStr">
        <is>
          <t>Balance sheet date</t>
        </is>
      </c>
      <c r="B23" s="41" t="n">
        <v>46203</v>
      </c>
    </row>
    <row r="24">
      <c r="A24" s="14" t="inlineStr">
        <is>
          <t>Launch ramp, share of peak in years 1-6</t>
        </is>
      </c>
      <c r="B24" s="33" t="n">
        <v>0.1</v>
      </c>
      <c r="C24" s="33" t="n">
        <v>0.25</v>
      </c>
      <c r="D24" s="33" t="n">
        <v>0.45</v>
      </c>
      <c r="E24" s="33" t="n">
        <v>0.65</v>
      </c>
      <c r="F24" s="33" t="n">
        <v>0.85</v>
      </c>
      <c r="G24" s="33" t="n">
        <v>1</v>
      </c>
    </row>
    <row r="25">
      <c r="A25" s="14" t="inlineStr">
        <is>
          <t>Patent / exclusivity life after launch (years)</t>
        </is>
      </c>
      <c r="B25" s="26" t="n">
        <v>12</v>
      </c>
    </row>
    <row r="26">
      <c r="A26" s="14" t="inlineStr">
        <is>
          <t>Sales erosion per year after exclusivity</t>
        </is>
      </c>
      <c r="B26" s="33" t="n">
        <v>0.5</v>
      </c>
    </row>
    <row r="27">
      <c r="A27" s="36" t="inlineStr">
        <is>
          <t>Scenario summary</t>
        </is>
      </c>
    </row>
    <row r="28">
      <c r="A28" s="29" t="inlineStr">
        <is>
          <t>Scenario</t>
        </is>
      </c>
      <c r="B28" s="30" t="inlineStr">
        <is>
          <t>Pipeline rNPV (ops)</t>
        </is>
      </c>
      <c r="C28" s="30" t="inlineStr">
        <is>
          <t>Equity value</t>
        </is>
      </c>
      <c r="D28" s="30" t="inlineStr">
        <is>
          <t>rNPV / share</t>
        </is>
      </c>
      <c r="E28" s="30" t="inlineStr">
        <is>
          <t>Upside</t>
        </is>
      </c>
    </row>
    <row r="29">
      <c r="A29" s="25" t="inlineStr">
        <is>
          <t>Live</t>
        </is>
      </c>
      <c r="B29" s="42">
        <f>NPV!B22</f>
        <v>545.2503833460197</v>
      </c>
      <c r="C29" s="42">
        <f>NPV!B25</f>
        <v>612.6273833460198</v>
      </c>
      <c r="D29" s="43">
        <f>NPV!B27</f>
        <v>9.038567675994958</v>
      </c>
      <c r="E29" s="44">
        <f>NPV!B29</f>
        <v>39.35074855354892</v>
      </c>
    </row>
    <row r="30">
      <c r="A30" s="45" t="n">
        <v>1</v>
      </c>
      <c r="B30" s="46">
        <f t="dataTable" ref="B30:E32" r1="B4"/>
        <v>71.32493926334745</v>
      </c>
      <c r="C30" s="46">
        <v>138.70193926334747</v>
      </c>
      <c r="D30" s="47">
        <v>2.0463774537407864</v>
      </c>
      <c r="E30" s="48">
        <v>8.135613632771367</v>
      </c>
    </row>
    <row r="31">
      <c r="A31" s="45" t="n">
        <v>2</v>
      </c>
      <c r="B31" s="46">
        <v>545.2503833460197</v>
      </c>
      <c r="C31" s="46">
        <v>612.6273833460198</v>
      </c>
      <c r="D31" s="47">
        <v>9.038567675994958</v>
      </c>
      <c r="E31" s="48">
        <v>39.35074855354892</v>
      </c>
    </row>
    <row r="32">
      <c r="A32" s="45" t="n">
        <v>3</v>
      </c>
      <c r="B32" s="46">
        <v>1269.3084030996358</v>
      </c>
      <c r="C32" s="46">
        <v>1336.6854030996358</v>
      </c>
      <c r="D32" s="47">
        <v>19.721158090327723</v>
      </c>
      <c r="E32" s="48">
        <v>87.0408843318202</v>
      </c>
    </row>
    <row r="35">
      <c r="A35" s="36" t="inlineStr">
        <is>
          <t>rNPV / share: approval-odds multiplier (rows) x peak-sales multiplier (columns)</t>
        </is>
      </c>
    </row>
    <row r="36">
      <c r="A36" s="43">
        <f>NPV!B27</f>
        <v>9.038567675994958</v>
      </c>
      <c r="B36" s="49" t="n">
        <v>0.5</v>
      </c>
      <c r="C36" s="49" t="n">
        <v>0.75</v>
      </c>
      <c r="D36" s="49" t="n">
        <v>1</v>
      </c>
      <c r="E36" s="49" t="n">
        <v>1.5</v>
      </c>
      <c r="F36" s="49" t="n">
        <v>2</v>
      </c>
    </row>
    <row r="37">
      <c r="A37" s="50" t="n">
        <v>0.6</v>
      </c>
      <c r="B37" s="47">
        <f t="dataTable" ref="B37:F41" dt2D="1" r1="B8" r2="B7"/>
        <v>0.7364654808294626</v>
      </c>
      <c r="C37" s="47">
        <v>2.7160610501226365</v>
      </c>
      <c r="D37" s="47">
        <v>4.601514808789663</v>
      </c>
      <c r="E37" s="47">
        <v>8.280944053633718</v>
      </c>
      <c r="F37" s="47">
        <v>11.90662267473955</v>
      </c>
    </row>
    <row r="38">
      <c r="A38" s="50" t="n">
        <v>0.8</v>
      </c>
      <c r="B38" s="47">
        <v>1.8293093799541287</v>
      </c>
      <c r="C38" s="47">
        <v>4.364871542270845</v>
      </c>
      <c r="D38" s="47">
        <v>6.832630206869695</v>
      </c>
      <c r="E38" s="47">
        <v>11.678268680704774</v>
      </c>
      <c r="F38" s="47">
        <v>16.48270884632475</v>
      </c>
    </row>
    <row r="39">
      <c r="A39" s="50" t="n">
        <v>1</v>
      </c>
      <c r="B39" s="47">
        <v>2.875316592235103</v>
      </c>
      <c r="C39" s="47">
        <v>5.989102479206936</v>
      </c>
      <c r="D39" s="47">
        <v>9.038567675994958</v>
      </c>
      <c r="E39" s="47">
        <v>15.064192498295146</v>
      </c>
      <c r="F39" s="47">
        <v>21.03775541883792</v>
      </c>
    </row>
    <row r="40">
      <c r="A40" s="50" t="n">
        <v>1.2</v>
      </c>
      <c r="B40" s="47">
        <v>3.9058878193326203</v>
      </c>
      <c r="C40" s="47">
        <v>7.6018352390101285</v>
      </c>
      <c r="D40" s="47">
        <v>11.23536249591561</v>
      </c>
      <c r="E40" s="47">
        <v>18.43281513508195</v>
      </c>
      <c r="F40" s="47">
        <v>25.597352386557173</v>
      </c>
    </row>
    <row r="41">
      <c r="A41" s="50" t="n">
        <v>1.4</v>
      </c>
      <c r="B41" s="47">
        <v>4.927810230579752</v>
      </c>
      <c r="C41" s="47">
        <v>9.207300258205871</v>
      </c>
      <c r="D41" s="47">
        <v>13.427261778849015</v>
      </c>
      <c r="E41" s="47">
        <v>21.802872956094735</v>
      </c>
      <c r="F41" s="47">
        <v>30.140182075435142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cols>
    <col width="4" customWidth="1" style="9" min="1" max="1"/>
    <col width="34" customWidth="1" style="9" min="2" max="2"/>
    <col width="28" customWidth="1" style="9" min="3" max="3"/>
    <col width="15" customWidth="1" style="9" min="4" max="4"/>
    <col width="18" customWidth="1" style="9" min="5" max="5"/>
    <col width="12" customWidth="1" style="9" min="6" max="6"/>
    <col width="10" customWidth="1" style="9" min="7" max="7"/>
    <col width="9" customWidth="1" style="9" min="8" max="8"/>
    <col width="8" customWidth="1" style="9" min="9" max="9"/>
    <col width="8" customWidth="1" style="9" min="10" max="10"/>
    <col width="10" customWidth="1" style="9" min="11" max="11"/>
    <col width="11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  <col width="9" customWidth="1" style="9" min="23" max="23"/>
    <col width="9" customWidth="1" style="9" min="24" max="24"/>
    <col width="9" customWidth="1" style="9" min="25" max="25"/>
    <col width="9" customWidth="1" style="9" min="26" max="26"/>
    <col width="9" customWidth="1" style="9" min="27" max="27"/>
    <col width="9" customWidth="1" style="9" min="28" max="28"/>
    <col width="9" customWidth="1" style="9" min="29" max="29"/>
    <col width="9" customWidth="1" style="9" min="30" max="30"/>
    <col width="9" customWidth="1" style="9" min="31" max="31"/>
    <col width="9" customWidth="1" style="9" min="32" max="32"/>
    <col width="13" customWidth="1" style="9" min="33" max="33"/>
  </cols>
  <sheetData>
    <row r="1">
      <c r="A1" s="24" t="inlineStr">
        <is>
          <t>TScan Therapeutics Inc: pipeline (risked revenue, $mm)</t>
        </is>
      </c>
    </row>
    <row r="2">
      <c r="A2" s="25" t="inlineStr">
        <is>
          <t>Programs from ClinicalTrials.gov (company as lead sponsor, or partner of an industry sponsor), one row per indication; approval odds from BIO 2011-2020 phase-transition rates.</t>
        </is>
      </c>
    </row>
    <row r="3">
      <c r="A3" s="29" t="inlineStr">
        <is>
          <t>No.</t>
        </is>
      </c>
      <c r="B3" s="51" t="inlineStr">
        <is>
          <t>Program (indication)</t>
        </is>
      </c>
      <c r="C3" s="51" t="inlineStr">
        <is>
          <t>Drug(s)</t>
        </is>
      </c>
      <c r="D3" s="51" t="inlineStr">
        <is>
          <t>Stage</t>
        </is>
      </c>
      <c r="E3" s="51" t="inlineStr">
        <is>
          <t>Area / rate class</t>
        </is>
      </c>
      <c r="F3" s="51" t="inlineStr">
        <is>
          <t>Economics</t>
        </is>
      </c>
      <c r="G3" s="51" t="inlineStr">
        <is>
          <t>Peak</t>
        </is>
      </c>
      <c r="H3" s="51" t="inlineStr">
        <is>
          <t>PoS</t>
        </is>
      </c>
      <c r="I3" s="51" t="inlineStr">
        <is>
          <t>Launch</t>
        </is>
      </c>
      <c r="J3" s="51" t="inlineStr">
        <is>
          <t>LOE</t>
        </is>
      </c>
      <c r="K3" s="51" t="inlineStr">
        <is>
          <t>Share</t>
        </is>
      </c>
      <c r="L3" s="51" t="inlineStr">
        <is>
          <t>Risked PV</t>
        </is>
      </c>
      <c r="M3" s="52" t="n">
        <v>2026</v>
      </c>
      <c r="N3" s="52" t="n">
        <v>2027</v>
      </c>
      <c r="O3" s="52" t="n">
        <v>2028</v>
      </c>
      <c r="P3" s="52" t="n">
        <v>2029</v>
      </c>
      <c r="Q3" s="52" t="n">
        <v>2030</v>
      </c>
      <c r="R3" s="52" t="n">
        <v>2031</v>
      </c>
      <c r="S3" s="52" t="n">
        <v>2032</v>
      </c>
      <c r="T3" s="52" t="n">
        <v>2033</v>
      </c>
      <c r="U3" s="52" t="n">
        <v>2034</v>
      </c>
      <c r="V3" s="52" t="n">
        <v>2035</v>
      </c>
      <c r="W3" s="52" t="n">
        <v>2036</v>
      </c>
      <c r="X3" s="52" t="n">
        <v>2037</v>
      </c>
      <c r="Y3" s="52" t="n">
        <v>2038</v>
      </c>
      <c r="Z3" s="52" t="n">
        <v>2039</v>
      </c>
      <c r="AA3" s="52" t="n">
        <v>2040</v>
      </c>
      <c r="AB3" s="52" t="n">
        <v>2041</v>
      </c>
      <c r="AC3" s="52" t="n">
        <v>2042</v>
      </c>
      <c r="AD3" s="52" t="n">
        <v>2043</v>
      </c>
      <c r="AE3" s="52" t="n">
        <v>2044</v>
      </c>
      <c r="AF3" s="52" t="n">
        <v>2045</v>
      </c>
      <c r="AG3" s="29" t="inlineStr">
        <is>
          <t>1 - PoS (owned)</t>
        </is>
      </c>
    </row>
    <row r="4">
      <c r="A4" s="39" t="n">
        <v>1</v>
      </c>
      <c r="B4" s="14" t="inlineStr">
        <is>
          <t>Leukemia</t>
        </is>
      </c>
      <c r="C4" s="14" t="inlineStr">
        <is>
          <t>SOC + TSC-101, SOC + TSC-100</t>
        </is>
      </c>
      <c r="D4" s="14" t="inlineStr">
        <is>
          <t>Phase 3</t>
        </is>
      </c>
      <c r="E4" s="14" t="inlineStr">
        <is>
          <t>Oncology / area</t>
        </is>
      </c>
      <c r="F4" s="14" t="inlineStr">
        <is>
          <t>Owned</t>
        </is>
      </c>
      <c r="G4" s="40" t="n">
        <v>1500</v>
      </c>
      <c r="H4" s="27" t="n">
        <v>0.4388</v>
      </c>
      <c r="I4" s="26" t="n">
        <v>2029</v>
      </c>
      <c r="J4" s="39">
        <f>I4+Assumptions!$B$25</f>
        <v>2041.0</v>
      </c>
      <c r="K4" s="53">
        <f>Assumptions!$E$13</f>
        <v>0.4</v>
      </c>
      <c r="L4" s="23">
        <f>K4*SUMPRODUCT(M4:AF4,NPV!$C$15:$V$15)</f>
        <v>944.156702827894</v>
      </c>
      <c r="M4" s="23">
        <f>IF(M$3&lt;$I4,0,$G4*Assumptions!$E$11*INDEX(Assumptions!$B$24:$G$24,MIN(6,M$3-$I4+1))*IF(M$3&gt;$J4,(1-Assumptions!$B$26)^(M$3-$J4),1)*IF($H4&gt;=1,1,MIN(0.97,$H4*Assumptions!$E$12)))</f>
        <v>0</v>
      </c>
      <c r="N4" s="23">
        <f>IF(N$3&lt;$I4,0,$G4*Assumptions!$E$11*INDEX(Assumptions!$B$24:$G$24,MIN(6,N$3-$I4+1))*IF(N$3&gt;$J4,(1-Assumptions!$B$26)^(N$3-$J4),1)*IF($H4&gt;=1,1,MIN(0.97,$H4*Assumptions!$E$12)))</f>
        <v>0</v>
      </c>
      <c r="O4" s="23">
        <f>IF(O$3&lt;$I4,0,$G4*Assumptions!$E$11*INDEX(Assumptions!$B$24:$G$24,MIN(6,O$3-$I4+1))*IF(O$3&gt;$J4,(1-Assumptions!$B$26)^(O$3-$J4),1)*IF($H4&gt;=1,1,MIN(0.97,$H4*Assumptions!$E$12)))</f>
        <v>0</v>
      </c>
      <c r="P4" s="23">
        <f>IF(P$3&lt;$I4,0,$G4*Assumptions!$E$11*INDEX(Assumptions!$B$24:$G$24,MIN(6,P$3-$I4+1))*IF(P$3&gt;$J4,(1-Assumptions!$B$26)^(P$3-$J4),1)*IF($H4&gt;=1,1,MIN(0.97,$H4*Assumptions!$E$12)))</f>
        <v>65.82000000000001</v>
      </c>
      <c r="Q4" s="23">
        <f>IF(Q$3&lt;$I4,0,$G4*Assumptions!$E$11*INDEX(Assumptions!$B$24:$G$24,MIN(6,Q$3-$I4+1))*IF(Q$3&gt;$J4,(1-Assumptions!$B$26)^(Q$3-$J4),1)*IF($H4&gt;=1,1,MIN(0.97,$H4*Assumptions!$E$12)))</f>
        <v>164.55</v>
      </c>
      <c r="R4" s="23">
        <f>IF(R$3&lt;$I4,0,$G4*Assumptions!$E$11*INDEX(Assumptions!$B$24:$G$24,MIN(6,R$3-$I4+1))*IF(R$3&gt;$J4,(1-Assumptions!$B$26)^(R$3-$J4),1)*IF($H4&gt;=1,1,MIN(0.97,$H4*Assumptions!$E$12)))</f>
        <v>296.19</v>
      </c>
      <c r="S4" s="23">
        <f>IF(S$3&lt;$I4,0,$G4*Assumptions!$E$11*INDEX(Assumptions!$B$24:$G$24,MIN(6,S$3-$I4+1))*IF(S$3&gt;$J4,(1-Assumptions!$B$26)^(S$3-$J4),1)*IF($H4&gt;=1,1,MIN(0.97,$H4*Assumptions!$E$12)))</f>
        <v>427.83000000000004</v>
      </c>
      <c r="T4" s="23">
        <f>IF(T$3&lt;$I4,0,$G4*Assumptions!$E$11*INDEX(Assumptions!$B$24:$G$24,MIN(6,T$3-$I4+1))*IF(T$3&gt;$J4,(1-Assumptions!$B$26)^(T$3-$J4),1)*IF($H4&gt;=1,1,MIN(0.97,$H4*Assumptions!$E$12)))</f>
        <v>559.47</v>
      </c>
      <c r="U4" s="23">
        <f>IF(U$3&lt;$I4,0,$G4*Assumptions!$E$11*INDEX(Assumptions!$B$24:$G$24,MIN(6,U$3-$I4+1))*IF(U$3&gt;$J4,(1-Assumptions!$B$26)^(U$3-$J4),1)*IF($H4&gt;=1,1,MIN(0.97,$H4*Assumptions!$E$12)))</f>
        <v>658.2</v>
      </c>
      <c r="V4" s="23">
        <f>IF(V$3&lt;$I4,0,$G4*Assumptions!$E$11*INDEX(Assumptions!$B$24:$G$24,MIN(6,V$3-$I4+1))*IF(V$3&gt;$J4,(1-Assumptions!$B$26)^(V$3-$J4),1)*IF($H4&gt;=1,1,MIN(0.97,$H4*Assumptions!$E$12)))</f>
        <v>658.2</v>
      </c>
      <c r="W4" s="23">
        <f>IF(W$3&lt;$I4,0,$G4*Assumptions!$E$11*INDEX(Assumptions!$B$24:$G$24,MIN(6,W$3-$I4+1))*IF(W$3&gt;$J4,(1-Assumptions!$B$26)^(W$3-$J4),1)*IF($H4&gt;=1,1,MIN(0.97,$H4*Assumptions!$E$12)))</f>
        <v>658.2</v>
      </c>
      <c r="X4" s="23">
        <f>IF(X$3&lt;$I4,0,$G4*Assumptions!$E$11*INDEX(Assumptions!$B$24:$G$24,MIN(6,X$3-$I4+1))*IF(X$3&gt;$J4,(1-Assumptions!$B$26)^(X$3-$J4),1)*IF($H4&gt;=1,1,MIN(0.97,$H4*Assumptions!$E$12)))</f>
        <v>658.2</v>
      </c>
      <c r="Y4" s="23">
        <f>IF(Y$3&lt;$I4,0,$G4*Assumptions!$E$11*INDEX(Assumptions!$B$24:$G$24,MIN(6,Y$3-$I4+1))*IF(Y$3&gt;$J4,(1-Assumptions!$B$26)^(Y$3-$J4),1)*IF($H4&gt;=1,1,MIN(0.97,$H4*Assumptions!$E$12)))</f>
        <v>658.2</v>
      </c>
      <c r="Z4" s="23">
        <f>IF(Z$3&lt;$I4,0,$G4*Assumptions!$E$11*INDEX(Assumptions!$B$24:$G$24,MIN(6,Z$3-$I4+1))*IF(Z$3&gt;$J4,(1-Assumptions!$B$26)^(Z$3-$J4),1)*IF($H4&gt;=1,1,MIN(0.97,$H4*Assumptions!$E$12)))</f>
        <v>658.2</v>
      </c>
      <c r="AA4" s="23">
        <f>IF(AA$3&lt;$I4,0,$G4*Assumptions!$E$11*INDEX(Assumptions!$B$24:$G$24,MIN(6,AA$3-$I4+1))*IF(AA$3&gt;$J4,(1-Assumptions!$B$26)^(AA$3-$J4),1)*IF($H4&gt;=1,1,MIN(0.97,$H4*Assumptions!$E$12)))</f>
        <v>658.2</v>
      </c>
      <c r="AB4" s="23">
        <f>IF(AB$3&lt;$I4,0,$G4*Assumptions!$E$11*INDEX(Assumptions!$B$24:$G$24,MIN(6,AB$3-$I4+1))*IF(AB$3&gt;$J4,(1-Assumptions!$B$26)^(AB$3-$J4),1)*IF($H4&gt;=1,1,MIN(0.97,$H4*Assumptions!$E$12)))</f>
        <v>658.2</v>
      </c>
      <c r="AC4" s="23">
        <f>IF(AC$3&lt;$I4,0,$G4*Assumptions!$E$11*INDEX(Assumptions!$B$24:$G$24,MIN(6,AC$3-$I4+1))*IF(AC$3&gt;$J4,(1-Assumptions!$B$26)^(AC$3-$J4),1)*IF($H4&gt;=1,1,MIN(0.97,$H4*Assumptions!$E$12)))</f>
        <v>329.1</v>
      </c>
      <c r="AD4" s="23">
        <f>IF(AD$3&lt;$I4,0,$G4*Assumptions!$E$11*INDEX(Assumptions!$B$24:$G$24,MIN(6,AD$3-$I4+1))*IF(AD$3&gt;$J4,(1-Assumptions!$B$26)^(AD$3-$J4),1)*IF($H4&gt;=1,1,MIN(0.97,$H4*Assumptions!$E$12)))</f>
        <v>164.55</v>
      </c>
      <c r="AE4" s="23">
        <f>IF(AE$3&lt;$I4,0,$G4*Assumptions!$E$11*INDEX(Assumptions!$B$24:$G$24,MIN(6,AE$3-$I4+1))*IF(AE$3&gt;$J4,(1-Assumptions!$B$26)^(AE$3-$J4),1)*IF($H4&gt;=1,1,MIN(0.97,$H4*Assumptions!$E$12)))</f>
        <v>82.275</v>
      </c>
      <c r="AF4" s="23">
        <f>IF(AF$3&lt;$I4,0,$G4*Assumptions!$E$11*INDEX(Assumptions!$B$24:$G$24,MIN(6,AF$3-$I4+1))*IF(AF$3&gt;$J4,(1-Assumptions!$B$26)^(AF$3-$J4),1)*IF($H4&gt;=1,1,MIN(0.97,$H4*Assumptions!$E$12)))</f>
        <v>41.1375</v>
      </c>
      <c r="AG4" s="35">
        <f>IF(F4="Owned",1-IF(H4&gt;=1,1,MIN(0.97,H4*Assumptions!$E$12)),1)</f>
        <v>0.5611999999999999</v>
      </c>
    </row>
    <row r="5">
      <c r="A5" s="39" t="n">
        <v>2</v>
      </c>
      <c r="B5" s="14" t="inlineStr">
        <is>
          <t>Solid tumors (basket)</t>
        </is>
      </c>
      <c r="C5" s="14" t="inlineStr">
        <is>
          <t>TSC-204-A0201, TSC-204-C0702</t>
        </is>
      </c>
      <c r="D5" s="14" t="inlineStr">
        <is>
          <t>Phase 1</t>
        </is>
      </c>
      <c r="E5" s="14" t="inlineStr">
        <is>
          <t>Oncology / area</t>
        </is>
      </c>
      <c r="F5" s="14" t="inlineStr">
        <is>
          <t>Owned</t>
        </is>
      </c>
      <c r="G5" s="40" t="n">
        <v>1500</v>
      </c>
      <c r="H5" s="27" t="n">
        <v>0.0527</v>
      </c>
      <c r="I5" s="26" t="n">
        <v>2033</v>
      </c>
      <c r="J5" s="39">
        <f>I5+Assumptions!$B$25</f>
        <v>2045.0</v>
      </c>
      <c r="K5" s="53">
        <f>Assumptions!$E$13</f>
        <v>0.4</v>
      </c>
      <c r="L5" s="23">
        <f>K5*SUMPRODUCT(M5:AF5,NPV!$C$15:$V$15)</f>
        <v>69.22180286367352</v>
      </c>
      <c r="M5" s="23">
        <f>IF(M$3&lt;$I5,0,$G5*Assumptions!$E$11*INDEX(Assumptions!$B$24:$G$24,MIN(6,M$3-$I5+1))*IF(M$3&gt;$J5,(1-Assumptions!$B$26)^(M$3-$J5),1)*IF($H5&gt;=1,1,MIN(0.97,$H5*Assumptions!$E$12)))</f>
        <v>0</v>
      </c>
      <c r="N5" s="23">
        <f>IF(N$3&lt;$I5,0,$G5*Assumptions!$E$11*INDEX(Assumptions!$B$24:$G$24,MIN(6,N$3-$I5+1))*IF(N$3&gt;$J5,(1-Assumptions!$B$26)^(N$3-$J5),1)*IF($H5&gt;=1,1,MIN(0.97,$H5*Assumptions!$E$12)))</f>
        <v>0</v>
      </c>
      <c r="O5" s="23">
        <f>IF(O$3&lt;$I5,0,$G5*Assumptions!$E$11*INDEX(Assumptions!$B$24:$G$24,MIN(6,O$3-$I5+1))*IF(O$3&gt;$J5,(1-Assumptions!$B$26)^(O$3-$J5),1)*IF($H5&gt;=1,1,MIN(0.97,$H5*Assumptions!$E$12)))</f>
        <v>0</v>
      </c>
      <c r="P5" s="23">
        <f>IF(P$3&lt;$I5,0,$G5*Assumptions!$E$11*INDEX(Assumptions!$B$24:$G$24,MIN(6,P$3-$I5+1))*IF(P$3&gt;$J5,(1-Assumptions!$B$26)^(P$3-$J5),1)*IF($H5&gt;=1,1,MIN(0.97,$H5*Assumptions!$E$12)))</f>
        <v>0</v>
      </c>
      <c r="Q5" s="23">
        <f>IF(Q$3&lt;$I5,0,$G5*Assumptions!$E$11*INDEX(Assumptions!$B$24:$G$24,MIN(6,Q$3-$I5+1))*IF(Q$3&gt;$J5,(1-Assumptions!$B$26)^(Q$3-$J5),1)*IF($H5&gt;=1,1,MIN(0.97,$H5*Assumptions!$E$12)))</f>
        <v>0</v>
      </c>
      <c r="R5" s="23">
        <f>IF(R$3&lt;$I5,0,$G5*Assumptions!$E$11*INDEX(Assumptions!$B$24:$G$24,MIN(6,R$3-$I5+1))*IF(R$3&gt;$J5,(1-Assumptions!$B$26)^(R$3-$J5),1)*IF($H5&gt;=1,1,MIN(0.97,$H5*Assumptions!$E$12)))</f>
        <v>0</v>
      </c>
      <c r="S5" s="23">
        <f>IF(S$3&lt;$I5,0,$G5*Assumptions!$E$11*INDEX(Assumptions!$B$24:$G$24,MIN(6,S$3-$I5+1))*IF(S$3&gt;$J5,(1-Assumptions!$B$26)^(S$3-$J5),1)*IF($H5&gt;=1,1,MIN(0.97,$H5*Assumptions!$E$12)))</f>
        <v>0</v>
      </c>
      <c r="T5" s="23">
        <f>IF(T$3&lt;$I5,0,$G5*Assumptions!$E$11*INDEX(Assumptions!$B$24:$G$24,MIN(6,T$3-$I5+1))*IF(T$3&gt;$J5,(1-Assumptions!$B$26)^(T$3-$J5),1)*IF($H5&gt;=1,1,MIN(0.97,$H5*Assumptions!$E$12)))</f>
        <v>7.904999999999999</v>
      </c>
      <c r="U5" s="23">
        <f>IF(U$3&lt;$I5,0,$G5*Assumptions!$E$11*INDEX(Assumptions!$B$24:$G$24,MIN(6,U$3-$I5+1))*IF(U$3&gt;$J5,(1-Assumptions!$B$26)^(U$3-$J5),1)*IF($H5&gt;=1,1,MIN(0.97,$H5*Assumptions!$E$12)))</f>
        <v>19.7625</v>
      </c>
      <c r="V5" s="23">
        <f>IF(V$3&lt;$I5,0,$G5*Assumptions!$E$11*INDEX(Assumptions!$B$24:$G$24,MIN(6,V$3-$I5+1))*IF(V$3&gt;$J5,(1-Assumptions!$B$26)^(V$3-$J5),1)*IF($H5&gt;=1,1,MIN(0.97,$H5*Assumptions!$E$12)))</f>
        <v>35.5725</v>
      </c>
      <c r="W5" s="23">
        <f>IF(W$3&lt;$I5,0,$G5*Assumptions!$E$11*INDEX(Assumptions!$B$24:$G$24,MIN(6,W$3-$I5+1))*IF(W$3&gt;$J5,(1-Assumptions!$B$26)^(W$3-$J5),1)*IF($H5&gt;=1,1,MIN(0.97,$H5*Assumptions!$E$12)))</f>
        <v>51.3825</v>
      </c>
      <c r="X5" s="23">
        <f>IF(X$3&lt;$I5,0,$G5*Assumptions!$E$11*INDEX(Assumptions!$B$24:$G$24,MIN(6,X$3-$I5+1))*IF(X$3&gt;$J5,(1-Assumptions!$B$26)^(X$3-$J5),1)*IF($H5&gt;=1,1,MIN(0.97,$H5*Assumptions!$E$12)))</f>
        <v>67.1925</v>
      </c>
      <c r="Y5" s="23">
        <f>IF(Y$3&lt;$I5,0,$G5*Assumptions!$E$11*INDEX(Assumptions!$B$24:$G$24,MIN(6,Y$3-$I5+1))*IF(Y$3&gt;$J5,(1-Assumptions!$B$26)^(Y$3-$J5),1)*IF($H5&gt;=1,1,MIN(0.97,$H5*Assumptions!$E$12)))</f>
        <v>79.05</v>
      </c>
      <c r="Z5" s="23">
        <f>IF(Z$3&lt;$I5,0,$G5*Assumptions!$E$11*INDEX(Assumptions!$B$24:$G$24,MIN(6,Z$3-$I5+1))*IF(Z$3&gt;$J5,(1-Assumptions!$B$26)^(Z$3-$J5),1)*IF($H5&gt;=1,1,MIN(0.97,$H5*Assumptions!$E$12)))</f>
        <v>79.05</v>
      </c>
      <c r="AA5" s="23">
        <f>IF(AA$3&lt;$I5,0,$G5*Assumptions!$E$11*INDEX(Assumptions!$B$24:$G$24,MIN(6,AA$3-$I5+1))*IF(AA$3&gt;$J5,(1-Assumptions!$B$26)^(AA$3-$J5),1)*IF($H5&gt;=1,1,MIN(0.97,$H5*Assumptions!$E$12)))</f>
        <v>79.05</v>
      </c>
      <c r="AB5" s="23">
        <f>IF(AB$3&lt;$I5,0,$G5*Assumptions!$E$11*INDEX(Assumptions!$B$24:$G$24,MIN(6,AB$3-$I5+1))*IF(AB$3&gt;$J5,(1-Assumptions!$B$26)^(AB$3-$J5),1)*IF($H5&gt;=1,1,MIN(0.97,$H5*Assumptions!$E$12)))</f>
        <v>79.05</v>
      </c>
      <c r="AC5" s="23">
        <f>IF(AC$3&lt;$I5,0,$G5*Assumptions!$E$11*INDEX(Assumptions!$B$24:$G$24,MIN(6,AC$3-$I5+1))*IF(AC$3&gt;$J5,(1-Assumptions!$B$26)^(AC$3-$J5),1)*IF($H5&gt;=1,1,MIN(0.97,$H5*Assumptions!$E$12)))</f>
        <v>79.05</v>
      </c>
      <c r="AD5" s="23">
        <f>IF(AD$3&lt;$I5,0,$G5*Assumptions!$E$11*INDEX(Assumptions!$B$24:$G$24,MIN(6,AD$3-$I5+1))*IF(AD$3&gt;$J5,(1-Assumptions!$B$26)^(AD$3-$J5),1)*IF($H5&gt;=1,1,MIN(0.97,$H5*Assumptions!$E$12)))</f>
        <v>79.05</v>
      </c>
      <c r="AE5" s="23">
        <f>IF(AE$3&lt;$I5,0,$G5*Assumptions!$E$11*INDEX(Assumptions!$B$24:$G$24,MIN(6,AE$3-$I5+1))*IF(AE$3&gt;$J5,(1-Assumptions!$B$26)^(AE$3-$J5),1)*IF($H5&gt;=1,1,MIN(0.97,$H5*Assumptions!$E$12)))</f>
        <v>79.05</v>
      </c>
      <c r="AF5" s="23">
        <f>IF(AF$3&lt;$I5,0,$G5*Assumptions!$E$11*INDEX(Assumptions!$B$24:$G$24,MIN(6,AF$3-$I5+1))*IF(AF$3&gt;$J5,(1-Assumptions!$B$26)^(AF$3-$J5),1)*IF($H5&gt;=1,1,MIN(0.97,$H5*Assumptions!$E$12)))</f>
        <v>79.05</v>
      </c>
      <c r="AG5" s="35">
        <f>IF(F5="Owned",1-IF(H5&gt;=1,1,MIN(0.97,H5*Assumptions!$E$12)),1)</f>
        <v>0.9473</v>
      </c>
    </row>
    <row r="6">
      <c r="B6" s="24" t="inlineStr">
        <is>
          <t>Risked revenue</t>
        </is>
      </c>
      <c r="L6" s="54">
        <f>SUM(L4:L5)</f>
        <v>1013.3785056915675</v>
      </c>
      <c r="M6" s="54">
        <f>SUM(M4:M5)</f>
        <v>0.0</v>
      </c>
      <c r="N6" s="54">
        <f>SUM(N4:N5)</f>
        <v>0.0</v>
      </c>
      <c r="O6" s="54">
        <f>SUM(O4:O5)</f>
        <v>0.0</v>
      </c>
      <c r="P6" s="54">
        <f>SUM(P4:P5)</f>
        <v>65.82000000000001</v>
      </c>
      <c r="Q6" s="54">
        <f>SUM(Q4:Q5)</f>
        <v>164.55</v>
      </c>
      <c r="R6" s="54">
        <f>SUM(R4:R5)</f>
        <v>296.19</v>
      </c>
      <c r="S6" s="54">
        <f>SUM(S4:S5)</f>
        <v>427.83000000000004</v>
      </c>
      <c r="T6" s="54">
        <f>SUM(T4:T5)</f>
        <v>567.375</v>
      </c>
      <c r="U6" s="54">
        <f>SUM(U4:U5)</f>
        <v>677.9625000000001</v>
      </c>
      <c r="V6" s="54">
        <f>SUM(V4:V5)</f>
        <v>693.7725</v>
      </c>
      <c r="W6" s="54">
        <f>SUM(W4:W5)</f>
        <v>709.5825000000001</v>
      </c>
      <c r="X6" s="54">
        <f>SUM(X4:X5)</f>
        <v>725.3925</v>
      </c>
      <c r="Y6" s="54">
        <f>SUM(Y4:Y5)</f>
        <v>737.25</v>
      </c>
      <c r="Z6" s="54">
        <f>SUM(Z4:Z5)</f>
        <v>737.25</v>
      </c>
      <c r="AA6" s="54">
        <f>SUM(AA4:AA5)</f>
        <v>737.25</v>
      </c>
      <c r="AB6" s="54">
        <f>SUM(AB4:AB5)</f>
        <v>737.25</v>
      </c>
      <c r="AC6" s="54">
        <f>SUM(AC4:AC5)</f>
        <v>408.15000000000003</v>
      </c>
      <c r="AD6" s="54">
        <f>SUM(AD4:AD5)</f>
        <v>243.60000000000002</v>
      </c>
      <c r="AE6" s="54">
        <f>SUM(AE4:AE5)</f>
        <v>161.325</v>
      </c>
      <c r="AF6" s="54">
        <f>SUM(AF4:AF5)</f>
        <v>120.1875</v>
      </c>
    </row>
    <row r="7">
      <c r="B7" s="24" t="inlineStr">
        <is>
          <t>Risked contribution (revenue x share)</t>
        </is>
      </c>
      <c r="M7" s="55">
        <f>SUMPRODUCT(M4:M5,$K$4:$K$5)</f>
        <v>0.0</v>
      </c>
      <c r="N7" s="55">
        <f>SUMPRODUCT(N4:N5,$K$4:$K$5)</f>
        <v>0.0</v>
      </c>
      <c r="O7" s="55">
        <f>SUMPRODUCT(O4:O5,$K$4:$K$5)</f>
        <v>0.0</v>
      </c>
      <c r="P7" s="55">
        <f>SUMPRODUCT(P4:P5,$K$4:$K$5)</f>
        <v>26.328000000000003</v>
      </c>
      <c r="Q7" s="55">
        <f>SUMPRODUCT(Q4:Q5,$K$4:$K$5)</f>
        <v>65.82000000000001</v>
      </c>
      <c r="R7" s="55">
        <f>SUMPRODUCT(R4:R5,$K$4:$K$5)</f>
        <v>118.476</v>
      </c>
      <c r="S7" s="55">
        <f>SUMPRODUCT(S4:S5,$K$4:$K$5)</f>
        <v>171.13200000000003</v>
      </c>
      <c r="T7" s="55">
        <f>SUMPRODUCT(T4:T5,$K$4:$K$5)</f>
        <v>226.95000000000002</v>
      </c>
      <c r="U7" s="55">
        <f>SUMPRODUCT(U4:U5,$K$4:$K$5)</f>
        <v>271.185</v>
      </c>
      <c r="V7" s="55">
        <f>SUMPRODUCT(V4:V5,$K$4:$K$5)</f>
        <v>277.509</v>
      </c>
      <c r="W7" s="55">
        <f>SUMPRODUCT(W4:W5,$K$4:$K$5)</f>
        <v>283.833</v>
      </c>
      <c r="X7" s="55">
        <f>SUMPRODUCT(X4:X5,$K$4:$K$5)</f>
        <v>290.15700000000004</v>
      </c>
      <c r="Y7" s="55">
        <f>SUMPRODUCT(Y4:Y5,$K$4:$K$5)</f>
        <v>294.90000000000003</v>
      </c>
      <c r="Z7" s="55">
        <f>SUMPRODUCT(Z4:Z5,$K$4:$K$5)</f>
        <v>294.90000000000003</v>
      </c>
      <c r="AA7" s="55">
        <f>SUMPRODUCT(AA4:AA5,$K$4:$K$5)</f>
        <v>294.90000000000003</v>
      </c>
      <c r="AB7" s="55">
        <f>SUMPRODUCT(AB4:AB5,$K$4:$K$5)</f>
        <v>294.90000000000003</v>
      </c>
      <c r="AC7" s="55">
        <f>SUMPRODUCT(AC4:AC5,$K$4:$K$5)</f>
        <v>163.26000000000002</v>
      </c>
      <c r="AD7" s="55">
        <f>SUMPRODUCT(AD4:AD5,$K$4:$K$5)</f>
        <v>97.44000000000001</v>
      </c>
      <c r="AE7" s="55">
        <f>SUMPRODUCT(AE4:AE5,$K$4:$K$5)</f>
        <v>64.53</v>
      </c>
      <c r="AF7" s="55">
        <f>SUMPRODUCT(AF4:AF5,$K$4:$K$5)</f>
        <v>48.075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40" customWidth="1" style="9" min="1" max="1"/>
    <col width="13" customWidth="1" style="9" min="2" max="2"/>
    <col width="9" customWidth="1" style="9" min="3" max="3"/>
    <col width="9" customWidth="1" style="9" min="4" max="4"/>
    <col width="9" customWidth="1" style="9" min="5" max="5"/>
    <col width="9" customWidth="1" style="9" min="6" max="6"/>
    <col width="9" customWidth="1" style="9" min="7" max="7"/>
    <col width="9" customWidth="1" style="9" min="8" max="8"/>
    <col width="9" customWidth="1" style="9" min="9" max="9"/>
    <col width="9" customWidth="1" style="9" min="10" max="10"/>
    <col width="9" customWidth="1" style="9" min="11" max="11"/>
    <col width="9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</cols>
  <sheetData>
    <row r="1">
      <c r="A1" s="24" t="inlineStr">
        <is>
          <t>TScan Therapeutics Inc: risk-adjusted NPV ($mm)</t>
        </is>
      </c>
    </row>
    <row r="3">
      <c r="A3" s="24" t="inlineStr">
        <is>
          <t>Year</t>
        </is>
      </c>
      <c r="C3" s="56" t="n">
        <v>2026</v>
      </c>
      <c r="D3" s="56" t="n">
        <v>2027</v>
      </c>
      <c r="E3" s="56" t="n">
        <v>2028</v>
      </c>
      <c r="F3" s="56" t="n">
        <v>2029</v>
      </c>
      <c r="G3" s="56" t="n">
        <v>2030</v>
      </c>
      <c r="H3" s="56" t="n">
        <v>2031</v>
      </c>
      <c r="I3" s="56" t="n">
        <v>2032</v>
      </c>
      <c r="J3" s="56" t="n">
        <v>2033</v>
      </c>
      <c r="K3" s="56" t="n">
        <v>2034</v>
      </c>
      <c r="L3" s="56" t="n">
        <v>2035</v>
      </c>
      <c r="M3" s="56" t="n">
        <v>2036</v>
      </c>
      <c r="N3" s="56" t="n">
        <v>2037</v>
      </c>
      <c r="O3" s="56" t="n">
        <v>2038</v>
      </c>
      <c r="P3" s="56" t="n">
        <v>2039</v>
      </c>
      <c r="Q3" s="56" t="n">
        <v>2040</v>
      </c>
      <c r="R3" s="56" t="n">
        <v>2041</v>
      </c>
      <c r="S3" s="56" t="n">
        <v>2042</v>
      </c>
      <c r="T3" s="56" t="n">
        <v>2043</v>
      </c>
      <c r="U3" s="56" t="n">
        <v>2044</v>
      </c>
      <c r="V3" s="56" t="n">
        <v>2045</v>
      </c>
    </row>
    <row r="4">
      <c r="A4" s="14" t="inlineStr">
        <is>
          <t>Risked pipeline revenue</t>
        </is>
      </c>
      <c r="C4" s="57">
        <f>Pipeline!M6</f>
        <v>0.0</v>
      </c>
      <c r="D4" s="57">
        <f>Pipeline!N6</f>
        <v>0.0</v>
      </c>
      <c r="E4" s="57">
        <f>Pipeline!O6</f>
        <v>0.0</v>
      </c>
      <c r="F4" s="57">
        <f>Pipeline!P6</f>
        <v>65.82000000000001</v>
      </c>
      <c r="G4" s="57">
        <f>Pipeline!Q6</f>
        <v>164.55</v>
      </c>
      <c r="H4" s="57">
        <f>Pipeline!R6</f>
        <v>296.19</v>
      </c>
      <c r="I4" s="57">
        <f>Pipeline!S6</f>
        <v>427.83000000000004</v>
      </c>
      <c r="J4" s="57">
        <f>Pipeline!T6</f>
        <v>567.375</v>
      </c>
      <c r="K4" s="57">
        <f>Pipeline!U6</f>
        <v>677.9625000000001</v>
      </c>
      <c r="L4" s="57">
        <f>Pipeline!V6</f>
        <v>693.7725</v>
      </c>
      <c r="M4" s="57">
        <f>Pipeline!W6</f>
        <v>709.5825000000001</v>
      </c>
      <c r="N4" s="57">
        <f>Pipeline!X6</f>
        <v>725.3925</v>
      </c>
      <c r="O4" s="57">
        <f>Pipeline!Y6</f>
        <v>737.25</v>
      </c>
      <c r="P4" s="57">
        <f>Pipeline!Z6</f>
        <v>737.25</v>
      </c>
      <c r="Q4" s="57">
        <f>Pipeline!AA6</f>
        <v>737.25</v>
      </c>
      <c r="R4" s="57">
        <f>Pipeline!AB6</f>
        <v>737.25</v>
      </c>
      <c r="S4" s="57">
        <f>Pipeline!AC6</f>
        <v>408.15000000000003</v>
      </c>
      <c r="T4" s="57">
        <f>Pipeline!AD6</f>
        <v>243.60000000000002</v>
      </c>
      <c r="U4" s="57">
        <f>Pipeline!AE6</f>
        <v>161.325</v>
      </c>
      <c r="V4" s="57">
        <f>Pipeline!AF6</f>
        <v>120.1875</v>
      </c>
    </row>
    <row r="5">
      <c r="A5" s="14" t="inlineStr">
        <is>
          <t>Risked contribution</t>
        </is>
      </c>
      <c r="C5" s="57">
        <f>Pipeline!M7</f>
        <v>0.0</v>
      </c>
      <c r="D5" s="57">
        <f>Pipeline!N7</f>
        <v>0.0</v>
      </c>
      <c r="E5" s="57">
        <f>Pipeline!O7</f>
        <v>0.0</v>
      </c>
      <c r="F5" s="57">
        <f>Pipeline!P7</f>
        <v>26.328000000000003</v>
      </c>
      <c r="G5" s="57">
        <f>Pipeline!Q7</f>
        <v>65.82000000000001</v>
      </c>
      <c r="H5" s="57">
        <f>Pipeline!R7</f>
        <v>118.476</v>
      </c>
      <c r="I5" s="57">
        <f>Pipeline!S7</f>
        <v>171.13200000000003</v>
      </c>
      <c r="J5" s="57">
        <f>Pipeline!T7</f>
        <v>226.95000000000002</v>
      </c>
      <c r="K5" s="57">
        <f>Pipeline!U7</f>
        <v>271.185</v>
      </c>
      <c r="L5" s="57">
        <f>Pipeline!V7</f>
        <v>277.509</v>
      </c>
      <c r="M5" s="57">
        <f>Pipeline!W7</f>
        <v>283.833</v>
      </c>
      <c r="N5" s="57">
        <f>Pipeline!X7</f>
        <v>290.15700000000004</v>
      </c>
      <c r="O5" s="57">
        <f>Pipeline!Y7</f>
        <v>294.90000000000003</v>
      </c>
      <c r="P5" s="57">
        <f>Pipeline!Z7</f>
        <v>294.90000000000003</v>
      </c>
      <c r="Q5" s="57">
        <f>Pipeline!AA7</f>
        <v>294.90000000000003</v>
      </c>
      <c r="R5" s="57">
        <f>Pipeline!AB7</f>
        <v>294.90000000000003</v>
      </c>
      <c r="S5" s="57">
        <f>Pipeline!AC7</f>
        <v>163.26000000000002</v>
      </c>
      <c r="T5" s="57">
        <f>Pipeline!AD7</f>
        <v>97.44000000000001</v>
      </c>
      <c r="U5" s="57">
        <f>Pipeline!AE7</f>
        <v>64.53</v>
      </c>
      <c r="V5" s="57">
        <f>Pipeline!AF7</f>
        <v>48.075</v>
      </c>
    </row>
    <row r="6">
      <c r="A6" s="14" t="inlineStr">
        <is>
          <t>Corporate burn</t>
        </is>
      </c>
      <c r="C6" s="23">
        <f>-IF(C3-2026&lt;Assumptions!$B$19,Assumptions!$B$18,Assumptions!$B$18*Assumptions!$B$20*Assumptions!$B$16)</f>
        <v>-120.542</v>
      </c>
      <c r="D6" s="23">
        <f>-IF(D3-2026&lt;Assumptions!$B$19,Assumptions!$B$18,Assumptions!$B$18*Assumptions!$B$20*Assumptions!$B$16)</f>
        <v>-120.542</v>
      </c>
      <c r="E6" s="23">
        <f>-IF(E3-2026&lt;Assumptions!$B$19,Assumptions!$B$18,Assumptions!$B$18*Assumptions!$B$20*Assumptions!$B$16)</f>
        <v>-120.542</v>
      </c>
      <c r="F6" s="23">
        <f>-IF(F3-2026&lt;Assumptions!$B$19,Assumptions!$B$18,Assumptions!$B$18*Assumptions!$B$20*Assumptions!$B$16)</f>
        <v>-16.937666454024</v>
      </c>
      <c r="G6" s="23">
        <f>-IF(G3-2026&lt;Assumptions!$B$19,Assumptions!$B$18,Assumptions!$B$18*Assumptions!$B$20*Assumptions!$B$16)</f>
        <v>-16.937666454024</v>
      </c>
      <c r="H6" s="23">
        <f>-IF(H3-2026&lt;Assumptions!$B$19,Assumptions!$B$18,Assumptions!$B$18*Assumptions!$B$20*Assumptions!$B$16)</f>
        <v>-16.937666454024</v>
      </c>
      <c r="I6" s="23">
        <f>-IF(I3-2026&lt;Assumptions!$B$19,Assumptions!$B$18,Assumptions!$B$18*Assumptions!$B$20*Assumptions!$B$16)</f>
        <v>-16.937666454024</v>
      </c>
      <c r="J6" s="23">
        <f>-IF(J3-2026&lt;Assumptions!$B$19,Assumptions!$B$18,Assumptions!$B$18*Assumptions!$B$20*Assumptions!$B$16)</f>
        <v>-16.937666454024</v>
      </c>
      <c r="K6" s="23">
        <f>-IF(K3-2026&lt;Assumptions!$B$19,Assumptions!$B$18,Assumptions!$B$18*Assumptions!$B$20*Assumptions!$B$16)</f>
        <v>-16.937666454024</v>
      </c>
      <c r="L6" s="23">
        <f>-IF(L3-2026&lt;Assumptions!$B$19,Assumptions!$B$18,Assumptions!$B$18*Assumptions!$B$20*Assumptions!$B$16)</f>
        <v>-16.937666454024</v>
      </c>
      <c r="M6" s="23">
        <f>-IF(M3-2026&lt;Assumptions!$B$19,Assumptions!$B$18,Assumptions!$B$18*Assumptions!$B$20*Assumptions!$B$16)</f>
        <v>-16.937666454024</v>
      </c>
      <c r="N6" s="23">
        <f>-IF(N3-2026&lt;Assumptions!$B$19,Assumptions!$B$18,Assumptions!$B$18*Assumptions!$B$20*Assumptions!$B$16)</f>
        <v>-16.937666454024</v>
      </c>
      <c r="O6" s="23">
        <f>-IF(O3-2026&lt;Assumptions!$B$19,Assumptions!$B$18,Assumptions!$B$18*Assumptions!$B$20*Assumptions!$B$16)</f>
        <v>-16.937666454024</v>
      </c>
      <c r="P6" s="23">
        <f>-IF(P3-2026&lt;Assumptions!$B$19,Assumptions!$B$18,Assumptions!$B$18*Assumptions!$B$20*Assumptions!$B$16)</f>
        <v>-16.937666454024</v>
      </c>
      <c r="Q6" s="23">
        <f>-IF(Q3-2026&lt;Assumptions!$B$19,Assumptions!$B$18,Assumptions!$B$18*Assumptions!$B$20*Assumptions!$B$16)</f>
        <v>-16.937666454024</v>
      </c>
      <c r="R6" s="23">
        <f>-IF(R3-2026&lt;Assumptions!$B$19,Assumptions!$B$18,Assumptions!$B$18*Assumptions!$B$20*Assumptions!$B$16)</f>
        <v>-16.937666454024</v>
      </c>
      <c r="S6" s="23">
        <f>-IF(S3-2026&lt;Assumptions!$B$19,Assumptions!$B$18,Assumptions!$B$18*Assumptions!$B$20*Assumptions!$B$16)</f>
        <v>-16.937666454024</v>
      </c>
      <c r="T6" s="23">
        <f>-IF(T3-2026&lt;Assumptions!$B$19,Assumptions!$B$18,Assumptions!$B$18*Assumptions!$B$20*Assumptions!$B$16)</f>
        <v>-16.937666454024</v>
      </c>
      <c r="U6" s="23">
        <f>-IF(U3-2026&lt;Assumptions!$B$19,Assumptions!$B$18,Assumptions!$B$18*Assumptions!$B$20*Assumptions!$B$16)</f>
        <v>-16.937666454024</v>
      </c>
      <c r="V6" s="23">
        <f>-IF(V3-2026&lt;Assumptions!$B$19,Assumptions!$B$18,Assumptions!$B$18*Assumptions!$B$20*Assumptions!$B$16)</f>
        <v>-16.937666454024</v>
      </c>
    </row>
    <row r="7">
      <c r="A7" s="14" t="inlineStr">
        <is>
          <t>Pre-tax cash flow</t>
        </is>
      </c>
      <c r="C7" s="23">
        <f>C5+C6</f>
        <v>-120.542</v>
      </c>
      <c r="D7" s="23">
        <f>D5+D6</f>
        <v>-120.542</v>
      </c>
      <c r="E7" s="23">
        <f>E5+E6</f>
        <v>-120.542</v>
      </c>
      <c r="F7" s="23">
        <f>F5+F6</f>
        <v>9.390333545976002</v>
      </c>
      <c r="G7" s="23">
        <f>G5+G6</f>
        <v>48.88233354597601</v>
      </c>
      <c r="H7" s="23">
        <f>H5+H6</f>
        <v>101.538333545976</v>
      </c>
      <c r="I7" s="23">
        <f>I5+I6</f>
        <v>154.19433354597604</v>
      </c>
      <c r="J7" s="23">
        <f>J5+J6</f>
        <v>210.01233354597602</v>
      </c>
      <c r="K7" s="23">
        <f>K5+K6</f>
        <v>254.247333545976</v>
      </c>
      <c r="L7" s="23">
        <f>L5+L6</f>
        <v>260.571333545976</v>
      </c>
      <c r="M7" s="23">
        <f>M5+M6</f>
        <v>266.89533354597603</v>
      </c>
      <c r="N7" s="23">
        <f>N5+N6</f>
        <v>273.21933354597604</v>
      </c>
      <c r="O7" s="23">
        <f>O5+O6</f>
        <v>277.96233354597604</v>
      </c>
      <c r="P7" s="23">
        <f>P5+P6</f>
        <v>277.96233354597604</v>
      </c>
      <c r="Q7" s="23">
        <f>Q5+Q6</f>
        <v>277.96233354597604</v>
      </c>
      <c r="R7" s="23">
        <f>R5+R6</f>
        <v>277.96233354597604</v>
      </c>
      <c r="S7" s="23">
        <f>S5+S6</f>
        <v>146.32233354597602</v>
      </c>
      <c r="T7" s="23">
        <f>T5+T6</f>
        <v>80.50233354597601</v>
      </c>
      <c r="U7" s="23">
        <f>U5+U6</f>
        <v>47.592333545976004</v>
      </c>
      <c r="V7" s="23">
        <f>V5+V6</f>
        <v>31.137333545976002</v>
      </c>
    </row>
    <row r="8">
      <c r="A8" s="14" t="inlineStr">
        <is>
          <t>Tax-loss carryforward used</t>
        </is>
      </c>
      <c r="C8" s="23">
        <f>MIN(Assumptions!$B$21,MAX(0,C7))</f>
        <v>0</v>
      </c>
      <c r="D8" s="23">
        <f>MIN(C17,MAX(0,D7))</f>
        <v>0</v>
      </c>
      <c r="E8" s="23">
        <f>MIN(D17,MAX(0,E7))</f>
        <v>0</v>
      </c>
      <c r="F8" s="23">
        <f>MIN(E17,MAX(0,F7))</f>
        <v>9.390333545976002</v>
      </c>
      <c r="G8" s="23">
        <f>MIN(F17,MAX(0,G7))</f>
        <v>48.88233354597601</v>
      </c>
      <c r="H8" s="23">
        <f>MIN(G17,MAX(0,H7))</f>
        <v>101.538333545976</v>
      </c>
      <c r="I8" s="23">
        <f>MIN(H17,MAX(0,I7))</f>
        <v>154.19433354597604</v>
      </c>
      <c r="J8" s="23">
        <f>MIN(I17,MAX(0,J7))</f>
        <v>210.01233354597602</v>
      </c>
      <c r="K8" s="23">
        <f>MIN(J17,MAX(0,K7))</f>
        <v>254.247333545976</v>
      </c>
      <c r="L8" s="23">
        <f>MIN(K17,MAX(0,L7))</f>
        <v>70.86099872414394</v>
      </c>
      <c r="M8" s="23">
        <f>MIN(L17,MAX(0,M7))</f>
        <v>0.0</v>
      </c>
      <c r="N8" s="23">
        <f>MIN(M17,MAX(0,N7))</f>
        <v>0.0</v>
      </c>
      <c r="O8" s="23">
        <f>MIN(N17,MAX(0,O7))</f>
        <v>0.0</v>
      </c>
      <c r="P8" s="23">
        <f>MIN(O17,MAX(0,P7))</f>
        <v>0.0</v>
      </c>
      <c r="Q8" s="23">
        <f>MIN(P17,MAX(0,Q7))</f>
        <v>0.0</v>
      </c>
      <c r="R8" s="23">
        <f>MIN(Q17,MAX(0,R7))</f>
        <v>0.0</v>
      </c>
      <c r="S8" s="23">
        <f>MIN(R17,MAX(0,S7))</f>
        <v>0.0</v>
      </c>
      <c r="T8" s="23">
        <f>MIN(S17,MAX(0,T7))</f>
        <v>0.0</v>
      </c>
      <c r="U8" s="23">
        <f>MIN(T17,MAX(0,U7))</f>
        <v>0.0</v>
      </c>
      <c r="V8" s="23">
        <f>MIN(U17,MAX(0,V7))</f>
        <v>0.0</v>
      </c>
    </row>
    <row r="9">
      <c r="A9" s="14" t="inlineStr">
        <is>
          <t>Taxable income</t>
        </is>
      </c>
      <c r="C9" s="23">
        <f>MAX(0,C7)-C8</f>
        <v>0.0</v>
      </c>
      <c r="D9" s="23">
        <f>MAX(0,D7)-D8</f>
        <v>0.0</v>
      </c>
      <c r="E9" s="23">
        <f>MAX(0,E7)-E8</f>
        <v>0.0</v>
      </c>
      <c r="F9" s="23">
        <f>MAX(0,F7)-F8</f>
        <v>0.0</v>
      </c>
      <c r="G9" s="23">
        <f>MAX(0,G7)-G8</f>
        <v>0.0</v>
      </c>
      <c r="H9" s="23">
        <f>MAX(0,H7)-H8</f>
        <v>0.0</v>
      </c>
      <c r="I9" s="23">
        <f>MAX(0,I7)-I8</f>
        <v>0.0</v>
      </c>
      <c r="J9" s="23">
        <f>MAX(0,J7)-J8</f>
        <v>0.0</v>
      </c>
      <c r="K9" s="23">
        <f>MAX(0,K7)-K8</f>
        <v>0.0</v>
      </c>
      <c r="L9" s="23">
        <f>MAX(0,L7)-L8</f>
        <v>189.71033482183208</v>
      </c>
      <c r="M9" s="23">
        <f>MAX(0,M7)-M8</f>
        <v>266.89533354597603</v>
      </c>
      <c r="N9" s="23">
        <f>MAX(0,N7)-N8</f>
        <v>273.21933354597604</v>
      </c>
      <c r="O9" s="23">
        <f>MAX(0,O7)-O8</f>
        <v>277.96233354597604</v>
      </c>
      <c r="P9" s="23">
        <f>MAX(0,P7)-P8</f>
        <v>277.96233354597604</v>
      </c>
      <c r="Q9" s="23">
        <f>MAX(0,Q7)-Q8</f>
        <v>277.96233354597604</v>
      </c>
      <c r="R9" s="23">
        <f>MAX(0,R7)-R8</f>
        <v>277.96233354597604</v>
      </c>
      <c r="S9" s="23">
        <f>MAX(0,S7)-S8</f>
        <v>146.32233354597602</v>
      </c>
      <c r="T9" s="23">
        <f>MAX(0,T7)-T8</f>
        <v>80.50233354597601</v>
      </c>
      <c r="U9" s="23">
        <f>MAX(0,U7)-U8</f>
        <v>47.592333545976004</v>
      </c>
      <c r="V9" s="23">
        <f>MAX(0,V7)-V8</f>
        <v>31.137333545976002</v>
      </c>
    </row>
    <row r="10">
      <c r="A10" s="14" t="inlineStr">
        <is>
          <t>Tax</t>
        </is>
      </c>
      <c r="C10" s="23">
        <f>C9*Assumptions!$E$15</f>
        <v>0.0</v>
      </c>
      <c r="D10" s="23">
        <f>D9*Assumptions!$E$15</f>
        <v>0.0</v>
      </c>
      <c r="E10" s="23">
        <f>E9*Assumptions!$E$15</f>
        <v>0.0</v>
      </c>
      <c r="F10" s="23">
        <f>F9*Assumptions!$E$15</f>
        <v>0.0</v>
      </c>
      <c r="G10" s="23">
        <f>G9*Assumptions!$E$15</f>
        <v>0.0</v>
      </c>
      <c r="H10" s="23">
        <f>H9*Assumptions!$E$15</f>
        <v>0.0</v>
      </c>
      <c r="I10" s="23">
        <f>I9*Assumptions!$E$15</f>
        <v>0.0</v>
      </c>
      <c r="J10" s="23">
        <f>J9*Assumptions!$E$15</f>
        <v>0.0</v>
      </c>
      <c r="K10" s="23">
        <f>K9*Assumptions!$E$15</f>
        <v>0.0</v>
      </c>
      <c r="L10" s="23">
        <f>L9*Assumptions!$E$15</f>
        <v>39.839170312584734</v>
      </c>
      <c r="M10" s="23">
        <f>M9*Assumptions!$E$15</f>
        <v>56.04802004465496</v>
      </c>
      <c r="N10" s="23">
        <f>N9*Assumptions!$E$15</f>
        <v>57.37606004465497</v>
      </c>
      <c r="O10" s="23">
        <f>O9*Assumptions!$E$15</f>
        <v>58.37209004465497</v>
      </c>
      <c r="P10" s="23">
        <f>P9*Assumptions!$E$15</f>
        <v>58.37209004465497</v>
      </c>
      <c r="Q10" s="23">
        <f>Q9*Assumptions!$E$15</f>
        <v>58.37209004465497</v>
      </c>
      <c r="R10" s="23">
        <f>R9*Assumptions!$E$15</f>
        <v>58.37209004465497</v>
      </c>
      <c r="S10" s="23">
        <f>S9*Assumptions!$E$15</f>
        <v>30.727690044654963</v>
      </c>
      <c r="T10" s="23">
        <f>T9*Assumptions!$E$15</f>
        <v>16.90549004465496</v>
      </c>
      <c r="U10" s="23">
        <f>U9*Assumptions!$E$15</f>
        <v>9.99439004465496</v>
      </c>
      <c r="V10" s="23">
        <f>V9*Assumptions!$E$15</f>
        <v>6.53884004465496</v>
      </c>
    </row>
    <row r="11">
      <c r="A11" s="24" t="inlineStr">
        <is>
          <t>Free cash flow</t>
        </is>
      </c>
      <c r="C11" s="55">
        <f>C7-C10</f>
        <v>-120.542</v>
      </c>
      <c r="D11" s="55">
        <f>D7-D10</f>
        <v>-120.542</v>
      </c>
      <c r="E11" s="55">
        <f>E7-E10</f>
        <v>-120.542</v>
      </c>
      <c r="F11" s="55">
        <f>F7-F10</f>
        <v>9.390333545976002</v>
      </c>
      <c r="G11" s="55">
        <f>G7-G10</f>
        <v>48.88233354597601</v>
      </c>
      <c r="H11" s="55">
        <f>H7-H10</f>
        <v>101.538333545976</v>
      </c>
      <c r="I11" s="55">
        <f>I7-I10</f>
        <v>154.19433354597604</v>
      </c>
      <c r="J11" s="55">
        <f>J7-J10</f>
        <v>210.01233354597602</v>
      </c>
      <c r="K11" s="55">
        <f>K7-K10</f>
        <v>254.247333545976</v>
      </c>
      <c r="L11" s="55">
        <f>L7-L10</f>
        <v>220.73216323339128</v>
      </c>
      <c r="M11" s="55">
        <f>M7-M10</f>
        <v>210.84731350132108</v>
      </c>
      <c r="N11" s="55">
        <f>N7-N10</f>
        <v>215.84327350132108</v>
      </c>
      <c r="O11" s="55">
        <f>O7-O10</f>
        <v>219.59024350132108</v>
      </c>
      <c r="P11" s="55">
        <f>P7-P10</f>
        <v>219.59024350132108</v>
      </c>
      <c r="Q11" s="55">
        <f>Q7-Q10</f>
        <v>219.59024350132108</v>
      </c>
      <c r="R11" s="55">
        <f>R7-R10</f>
        <v>219.59024350132108</v>
      </c>
      <c r="S11" s="55">
        <f>S7-S10</f>
        <v>115.59464350132106</v>
      </c>
      <c r="T11" s="55">
        <f>T7-T10</f>
        <v>63.596843501321054</v>
      </c>
      <c r="U11" s="55">
        <f>U7-U10</f>
        <v>37.59794350132104</v>
      </c>
      <c r="V11" s="55">
        <f>V7-V10</f>
        <v>24.59849350132104</v>
      </c>
    </row>
    <row r="12">
      <c r="A12" s="14" t="inlineStr">
        <is>
          <t>Year fraction</t>
        </is>
      </c>
      <c r="C12" s="58">
        <f>Assumptions!$B$22</f>
        <v>0.5041</v>
      </c>
      <c r="D12" s="11" t="n">
        <v>1</v>
      </c>
      <c r="E12" s="11" t="n">
        <v>1</v>
      </c>
      <c r="F12" s="11" t="n">
        <v>1</v>
      </c>
      <c r="G12" s="11" t="n">
        <v>1</v>
      </c>
      <c r="H12" s="11" t="n">
        <v>1</v>
      </c>
      <c r="I12" s="11" t="n">
        <v>1</v>
      </c>
      <c r="J12" s="11" t="n">
        <v>1</v>
      </c>
      <c r="K12" s="11" t="n">
        <v>1</v>
      </c>
      <c r="L12" s="11" t="n">
        <v>1</v>
      </c>
      <c r="M12" s="11" t="n">
        <v>1</v>
      </c>
      <c r="N12" s="11" t="n">
        <v>1</v>
      </c>
      <c r="O12" s="11" t="n">
        <v>1</v>
      </c>
      <c r="P12" s="11" t="n">
        <v>1</v>
      </c>
      <c r="Q12" s="11" t="n">
        <v>1</v>
      </c>
      <c r="R12" s="11" t="n">
        <v>1</v>
      </c>
      <c r="S12" s="11" t="n">
        <v>1</v>
      </c>
      <c r="T12" s="11" t="n">
        <v>1</v>
      </c>
      <c r="U12" s="11" t="n">
        <v>1</v>
      </c>
      <c r="V12" s="11" t="n">
        <v>1</v>
      </c>
    </row>
    <row r="13">
      <c r="A13" s="14" t="inlineStr">
        <is>
          <t>Discount time (mid-year)</t>
        </is>
      </c>
      <c r="C13" s="11">
        <f>C12/2</f>
        <v>0.25205</v>
      </c>
      <c r="D13" s="11">
        <f>C13+C12/2+D12/2</f>
        <v>1.0041</v>
      </c>
      <c r="E13" s="11">
        <f>D13+D12/2+E12/2</f>
        <v>2.0041</v>
      </c>
      <c r="F13" s="11">
        <f>E13+E12/2+F12/2</f>
        <v>3.0041</v>
      </c>
      <c r="G13" s="11">
        <f>F13+F12/2+G12/2</f>
        <v>4.0041</v>
      </c>
      <c r="H13" s="11">
        <f>G13+G12/2+H12/2</f>
        <v>5.0041</v>
      </c>
      <c r="I13" s="11">
        <f>H13+H12/2+I12/2</f>
        <v>6.0041</v>
      </c>
      <c r="J13" s="11">
        <f>I13+I12/2+J12/2</f>
        <v>7.0041</v>
      </c>
      <c r="K13" s="11">
        <f>J13+J12/2+K12/2</f>
        <v>8.004100000000001</v>
      </c>
      <c r="L13" s="11">
        <f>K13+K12/2+L12/2</f>
        <v>9.004100000000001</v>
      </c>
      <c r="M13" s="11">
        <f>L13+L12/2+M12/2</f>
        <v>10.004100000000001</v>
      </c>
      <c r="N13" s="11">
        <f>M13+M12/2+N12/2</f>
        <v>11.004100000000001</v>
      </c>
      <c r="O13" s="11">
        <f>N13+N12/2+O12/2</f>
        <v>12.004100000000001</v>
      </c>
      <c r="P13" s="11">
        <f>O13+O12/2+P12/2</f>
        <v>13.004100000000001</v>
      </c>
      <c r="Q13" s="11">
        <f>P13+P12/2+Q12/2</f>
        <v>14.004100000000001</v>
      </c>
      <c r="R13" s="11">
        <f>Q13+Q12/2+R12/2</f>
        <v>15.004100000000001</v>
      </c>
      <c r="S13" s="11">
        <f>R13+R12/2+S12/2</f>
        <v>16.0041</v>
      </c>
      <c r="T13" s="11">
        <f>S13+S12/2+T12/2</f>
        <v>17.0041</v>
      </c>
      <c r="U13" s="11">
        <f>T13+T12/2+U12/2</f>
        <v>18.0041</v>
      </c>
      <c r="V13" s="11">
        <f>U13+U12/2+V12/2</f>
        <v>19.0041</v>
      </c>
    </row>
    <row r="14">
      <c r="A14" s="14" t="inlineStr">
        <is>
          <t>Discount factor</t>
        </is>
      </c>
      <c r="C14" s="59">
        <f>1/(1+Assumptions!$E$10)^C13</f>
        <v>0.9718396132010737</v>
      </c>
      <c r="D14" s="59">
        <f>1/(1+Assumptions!$E$10)^D13</f>
        <v>0.8924423752877004</v>
      </c>
      <c r="E14" s="59">
        <f>1/(1+Assumptions!$E$10)^E13</f>
        <v>0.796823549364018</v>
      </c>
      <c r="F14" s="59">
        <f>1/(1+Assumptions!$E$10)^F13</f>
        <v>0.7114495976464447</v>
      </c>
      <c r="G14" s="59">
        <f>1/(1+Assumptions!$E$10)^G13</f>
        <v>0.6352228550414684</v>
      </c>
      <c r="H14" s="59">
        <f>1/(1+Assumptions!$E$10)^H13</f>
        <v>0.5671632634298824</v>
      </c>
      <c r="I14" s="59">
        <f>1/(1+Assumptions!$E$10)^I13</f>
        <v>0.5063957709195378</v>
      </c>
      <c r="J14" s="59">
        <f>1/(1+Assumptions!$E$10)^J13</f>
        <v>0.45213908117815876</v>
      </c>
      <c r="K14" s="59">
        <f>1/(1+Assumptions!$E$10)^K13</f>
        <v>0.4036956081947845</v>
      </c>
      <c r="L14" s="59">
        <f>1/(1+Assumptions!$E$10)^L13</f>
        <v>0.36044250731677185</v>
      </c>
      <c r="M14" s="59">
        <f>1/(1+Assumptions!$E$10)^M13</f>
        <v>0.3218236672471177</v>
      </c>
      <c r="N14" s="59">
        <f>1/(1+Assumptions!$E$10)^N13</f>
        <v>0.2873425600420693</v>
      </c>
      <c r="O14" s="59">
        <f>1/(1+Assumptions!$E$10)^O13</f>
        <v>0.256555857180419</v>
      </c>
      <c r="P14" s="59">
        <f>1/(1+Assumptions!$E$10)^P13</f>
        <v>0.22906772962537408</v>
      </c>
      <c r="Q14" s="59">
        <f>1/(1+Assumptions!$E$10)^Q13</f>
        <v>0.204524758594084</v>
      </c>
      <c r="R14" s="59">
        <f>1/(1+Assumptions!$E$10)^R13</f>
        <v>0.1826113916018607</v>
      </c>
      <c r="S14" s="59">
        <f>1/(1+Assumptions!$E$10)^S13</f>
        <v>0.16304588535880418</v>
      </c>
      <c r="T14" s="59">
        <f>1/(1+Assumptions!$E$10)^T13</f>
        <v>0.14557668335607515</v>
      </c>
      <c r="U14" s="59">
        <f>1/(1+Assumptions!$E$10)^U13</f>
        <v>0.12997918156792423</v>
      </c>
      <c r="V14" s="59">
        <f>1/(1+Assumptions!$E$10)^V13</f>
        <v>0.11605284068564661</v>
      </c>
    </row>
    <row r="15">
      <c r="A15" s="14" t="inlineStr">
        <is>
          <t>PV factor</t>
        </is>
      </c>
      <c r="C15" s="59">
        <f>C12*C14</f>
        <v>0.48990434901466123</v>
      </c>
      <c r="D15" s="59">
        <f>D12*D14</f>
        <v>0.8924423752877004</v>
      </c>
      <c r="E15" s="59">
        <f>E12*E14</f>
        <v>0.796823549364018</v>
      </c>
      <c r="F15" s="59">
        <f>F12*F14</f>
        <v>0.7114495976464447</v>
      </c>
      <c r="G15" s="59">
        <f>G12*G14</f>
        <v>0.6352228550414684</v>
      </c>
      <c r="H15" s="59">
        <f>H12*H14</f>
        <v>0.5671632634298824</v>
      </c>
      <c r="I15" s="59">
        <f>I12*I14</f>
        <v>0.5063957709195378</v>
      </c>
      <c r="J15" s="59">
        <f>J12*J14</f>
        <v>0.45213908117815876</v>
      </c>
      <c r="K15" s="59">
        <f>K12*K14</f>
        <v>0.4036956081947845</v>
      </c>
      <c r="L15" s="59">
        <f>L12*L14</f>
        <v>0.36044250731677185</v>
      </c>
      <c r="M15" s="59">
        <f>M12*M14</f>
        <v>0.3218236672471177</v>
      </c>
      <c r="N15" s="59">
        <f>N12*N14</f>
        <v>0.2873425600420693</v>
      </c>
      <c r="O15" s="59">
        <f>O12*O14</f>
        <v>0.256555857180419</v>
      </c>
      <c r="P15" s="59">
        <f>P12*P14</f>
        <v>0.22906772962537408</v>
      </c>
      <c r="Q15" s="59">
        <f>Q12*Q14</f>
        <v>0.204524758594084</v>
      </c>
      <c r="R15" s="59">
        <f>R12*R14</f>
        <v>0.1826113916018607</v>
      </c>
      <c r="S15" s="59">
        <f>S12*S14</f>
        <v>0.16304588535880418</v>
      </c>
      <c r="T15" s="59">
        <f>T12*T14</f>
        <v>0.14557668335607515</v>
      </c>
      <c r="U15" s="59">
        <f>U12*U14</f>
        <v>0.12997918156792423</v>
      </c>
      <c r="V15" s="59">
        <f>V12*V14</f>
        <v>0.11605284068564661</v>
      </c>
    </row>
    <row r="16">
      <c r="A16" s="24" t="inlineStr">
        <is>
          <t>PV of free cash flow</t>
        </is>
      </c>
      <c r="C16" s="55">
        <f>C11*C15</f>
        <v>-59.0540500389253</v>
      </c>
      <c r="D16" s="55">
        <f>D11*D15</f>
        <v>-107.57678880193</v>
      </c>
      <c r="E16" s="55">
        <f>E11*E15</f>
        <v>-96.05070428743745</v>
      </c>
      <c r="F16" s="55">
        <f>F11*F15</f>
        <v>6.680749023050539</v>
      </c>
      <c r="G16" s="55">
        <f>G11*G15</f>
        <v>31.051175476164225</v>
      </c>
      <c r="H16" s="55">
        <f>H11*H15</f>
        <v>57.588812617167655</v>
      </c>
      <c r="I16" s="55">
        <f>I11*I15</f>
        <v>78.08335840743888</v>
      </c>
      <c r="J16" s="55">
        <f>J11*J15</f>
        <v>94.95478352555861</v>
      </c>
      <c r="K16" s="55">
        <f>K11*K15</f>
        <v>102.63853194774502</v>
      </c>
      <c r="L16" s="55">
        <f>L11*L15</f>
        <v>79.56125436129851</v>
      </c>
      <c r="M16" s="55">
        <f>M11*M15</f>
        <v>67.85565566019787</v>
      </c>
      <c r="N16" s="55">
        <f>N11*N15</f>
        <v>62.02095877573014</v>
      </c>
      <c r="O16" s="55">
        <f>O11*O15</f>
        <v>56.33716314993836</v>
      </c>
      <c r="P16" s="55">
        <f>P11*P15</f>
        <v>50.30103852673068</v>
      </c>
      <c r="Q16" s="55">
        <f>Q11*Q15</f>
        <v>44.91164154172382</v>
      </c>
      <c r="R16" s="55">
        <f>R11*R15</f>
        <v>40.099679947967694</v>
      </c>
      <c r="S16" s="55">
        <f>S11*S15</f>
        <v>18.84723099240823</v>
      </c>
      <c r="T16" s="55">
        <f>T11*T15</f>
        <v>9.258217548837681</v>
      </c>
      <c r="U16" s="55">
        <f>U11*U15</f>
        <v>4.886949924938764</v>
      </c>
      <c r="V16" s="55">
        <f>V11*V15</f>
        <v>2.8547250474157244</v>
      </c>
    </row>
    <row r="17">
      <c r="A17" s="14" t="inlineStr">
        <is>
          <t>Tax-loss carryforward, end of year</t>
        </is>
      </c>
      <c r="C17" s="23">
        <f>Assumptions!$B$21-C8+MAX(0,-C7)</f>
        <v>608.042</v>
      </c>
      <c r="D17" s="23">
        <f>C17-D8+MAX(0,-D7)</f>
        <v>728.5840000000001</v>
      </c>
      <c r="E17" s="23">
        <f>D17-E8+MAX(0,-E7)</f>
        <v>849.1260000000001</v>
      </c>
      <c r="F17" s="23">
        <f>E17-F8+MAX(0,-F7)</f>
        <v>839.7356664540241</v>
      </c>
      <c r="G17" s="23">
        <f>F17-G8+MAX(0,-G7)</f>
        <v>790.8533329080481</v>
      </c>
      <c r="H17" s="23">
        <f>G17-H8+MAX(0,-H7)</f>
        <v>689.3149993620721</v>
      </c>
      <c r="I17" s="23">
        <f>H17-I8+MAX(0,-I7)</f>
        <v>535.120665816096</v>
      </c>
      <c r="J17" s="23">
        <f>I17-J8+MAX(0,-J7)</f>
        <v>325.10833227011994</v>
      </c>
      <c r="K17" s="23">
        <f>J17-K8+MAX(0,-K7)</f>
        <v>70.86099872414394</v>
      </c>
      <c r="L17" s="23">
        <f>K17-L8+MAX(0,-L7)</f>
        <v>0.0</v>
      </c>
      <c r="M17" s="23">
        <f>L17-M8+MAX(0,-M7)</f>
        <v>0.0</v>
      </c>
      <c r="N17" s="23">
        <f>M17-N8+MAX(0,-N7)</f>
        <v>0.0</v>
      </c>
      <c r="O17" s="23">
        <f>N17-O8+MAX(0,-O7)</f>
        <v>0.0</v>
      </c>
      <c r="P17" s="23">
        <f>O17-P8+MAX(0,-P7)</f>
        <v>0.0</v>
      </c>
      <c r="Q17" s="23">
        <f>P17-Q8+MAX(0,-Q7)</f>
        <v>0.0</v>
      </c>
      <c r="R17" s="23">
        <f>Q17-R8+MAX(0,-R7)</f>
        <v>0.0</v>
      </c>
      <c r="S17" s="23">
        <f>R17-S8+MAX(0,-S7)</f>
        <v>0.0</v>
      </c>
      <c r="T17" s="23">
        <f>S17-T8+MAX(0,-T7)</f>
        <v>0.0</v>
      </c>
      <c r="U17" s="23">
        <f>T17-U8+MAX(0,-U7)</f>
        <v>0.0</v>
      </c>
      <c r="V17" s="23">
        <f>U17-V8+MAX(0,-V7)</f>
        <v>0.0</v>
      </c>
    </row>
    <row r="19">
      <c r="A19" s="14" t="inlineStr">
        <is>
          <t>PV of risked pipeline contribution</t>
        </is>
      </c>
      <c r="B19" s="23">
        <f>SUMPRODUCT(C5:V5,C15:V15)</f>
        <v>1013.3785056915675</v>
      </c>
    </row>
    <row r="20">
      <c r="A20" s="14" t="inlineStr">
        <is>
          <t>PV of corporate burn</t>
        </is>
      </c>
      <c r="B20" s="23">
        <f>SUMPRODUCT(C6:V6,C15:V15)</f>
        <v>-358.7704364221577</v>
      </c>
    </row>
    <row r="21">
      <c r="A21" s="14" t="inlineStr">
        <is>
          <t>PV of taxes</t>
        </is>
      </c>
      <c r="B21" s="23">
        <f>-SUMPRODUCT(C10:V10,C15:V15)</f>
        <v>-109.35768592339005</v>
      </c>
    </row>
    <row r="22">
      <c r="A22" s="24" t="inlineStr">
        <is>
          <t>Pipeline rNPV (operations)</t>
        </is>
      </c>
      <c r="B22" s="54">
        <f>SUM(C16:V16)</f>
        <v>545.2503833460197</v>
      </c>
    </row>
    <row r="23">
      <c r="A23" s="14" t="inlineStr">
        <is>
          <t>Cash &amp; investments</t>
        </is>
      </c>
      <c r="B23" s="57">
        <f>Main!C7</f>
        <v>100.156</v>
      </c>
    </row>
    <row r="24">
      <c r="A24" s="14" t="inlineStr">
        <is>
          <t>Debt</t>
        </is>
      </c>
      <c r="B24" s="57">
        <f>Main!C8</f>
        <v>32.778999999999996</v>
      </c>
    </row>
    <row r="25">
      <c r="A25" s="24" t="inlineStr">
        <is>
          <t>Equity value</t>
        </is>
      </c>
      <c r="B25" s="54">
        <f>B22+B23-B24</f>
        <v>612.6273833460198</v>
      </c>
    </row>
    <row r="26">
      <c r="A26" s="14" t="inlineStr">
        <is>
          <t>Shares (mm)</t>
        </is>
      </c>
      <c r="B26" s="57">
        <f>Main!C4</f>
        <v>67.779255</v>
      </c>
    </row>
    <row r="27">
      <c r="A27" s="24" t="inlineStr">
        <is>
          <t>rNPV / share</t>
        </is>
      </c>
      <c r="B27" s="60">
        <f>B25/B26</f>
        <v>9.038567675994958</v>
      </c>
    </row>
    <row r="28">
      <c r="A28" s="14" t="inlineStr">
        <is>
          <t>Price</t>
        </is>
      </c>
      <c r="B28" s="61">
        <f>Main!C3</f>
        <v>0.224</v>
      </c>
    </row>
    <row r="29">
      <c r="A29" s="14" t="inlineStr">
        <is>
          <t>Upside</t>
        </is>
      </c>
      <c r="B29" s="62">
        <f>B27/B28-1</f>
        <v>39.35074855354892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2026-10-21T06:30:22Z</dcterms:modified>
  <cp:lastModifiedBy>Wang, Eric</cp:lastModifiedBy>
</cp:coreProperties>
</file>