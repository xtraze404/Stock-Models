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Alvotech SA</t>
        </is>
      </c>
      <c r="C2" s="10" t="n"/>
    </row>
    <row r="3">
      <c r="B3" t="inlineStr">
        <is>
          <t>Price</t>
        </is>
      </c>
      <c r="C3" s="11">
        <f>INDEX([1]Pharma!$F$1:$F$1000,MATCH("ALVO",[1]Pharma!$B$1:$B$1000,0))</f>
        <v>5.03</v>
      </c>
      <c r="F3" s="1" t="n"/>
    </row>
    <row r="4">
      <c r="B4" t="inlineStr">
        <is>
          <t>Shares</t>
        </is>
      </c>
      <c r="C4" s="51" t="n">
        <v>312.021375</v>
      </c>
      <c r="F4" s="1" t="n"/>
    </row>
    <row r="5">
      <c r="B5" t="inlineStr">
        <is>
          <t>Market Cap.</t>
        </is>
      </c>
      <c r="C5" s="13">
        <f>C3*C4</f>
        <v>1569.46751625</v>
      </c>
      <c r="F5" s="1" t="n"/>
    </row>
    <row r="6"/>
    <row r="7">
      <c r="B7" t="inlineStr">
        <is>
          <t>Cash</t>
        </is>
      </c>
      <c r="C7" s="51" t="n">
        <v>172.359</v>
      </c>
    </row>
    <row r="8">
      <c r="B8" t="inlineStr">
        <is>
          <t>Debt</t>
        </is>
      </c>
      <c r="C8" s="51">
        <f>36.921+1262.147</f>
        <v>1299.068</v>
      </c>
    </row>
    <row r="9">
      <c r="B9" t="inlineStr">
        <is>
          <t>Enterprise V.</t>
        </is>
      </c>
      <c r="C9" s="13">
        <f>C5-C7+C8</f>
        <v>2696.17651625</v>
      </c>
    </row>
    <row r="10"/>
    <row r="11">
      <c r="B11" s="14" t="inlineStr">
        <is>
          <t>NPV / Share</t>
        </is>
      </c>
      <c r="C11" s="11">
        <f>NPV!B28</f>
        <v>2.6593298705318773</v>
      </c>
    </row>
    <row r="12">
      <c r="B12" s="14" t="inlineStr">
        <is>
          <t>Upside</t>
        </is>
      </c>
      <c r="C12" s="15">
        <f>IFERROR(C11/C3-1,"")</f>
        <v>-0.47130618876105823</v>
      </c>
    </row>
    <row r="13">
      <c r="B13" s="14" t="inlineStr">
        <is>
          <t>Cash / Share</t>
        </is>
      </c>
      <c r="C13" s="11">
        <f>IFERROR((C7-C8)/C4,"")</f>
        <v>-3.6109994066912887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2020</v>
      </c>
      <c r="C1" s="16" t="n">
        <v>2021</v>
      </c>
      <c r="D1" s="16" t="n">
        <v>2022</v>
      </c>
      <c r="E1" s="16" t="n">
        <v>2023</v>
      </c>
      <c r="F1" s="16" t="n">
        <v>2024</v>
      </c>
      <c r="G1" s="16" t="n">
        <v>2025</v>
      </c>
      <c r="H1" s="16" t="n">
        <v>2026</v>
      </c>
      <c r="I1" s="16" t="n">
        <v>2027</v>
      </c>
      <c r="J1" s="16" t="n">
        <v>2028</v>
      </c>
      <c r="K1" s="16" t="n">
        <v>2029</v>
      </c>
      <c r="L1" s="16" t="n">
        <v>2030</v>
      </c>
      <c r="M1" s="16" t="n">
        <v>2031</v>
      </c>
      <c r="N1" s="16" t="n">
        <v>2032</v>
      </c>
      <c r="O1" s="16" t="n">
        <v>2033</v>
      </c>
      <c r="P1" s="16" t="n">
        <v>2034</v>
      </c>
      <c r="Q1" s="16" t="n">
        <v>2035</v>
      </c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66.616</v>
      </c>
      <c r="C2" s="52" t="n">
        <v>36.772</v>
      </c>
      <c r="D2" s="52" t="n">
        <v>83.029</v>
      </c>
      <c r="E2" s="52" t="n">
        <v>91.434</v>
      </c>
      <c r="F2" s="52" t="n">
        <v>489.682</v>
      </c>
      <c r="G2" s="52" t="n">
        <v>586.321</v>
      </c>
      <c r="H2" s="52">
        <f>G2*(1+NPV!C5)</f>
        <v>702.0607654</v>
      </c>
      <c r="I2" s="52">
        <f>H2*(1+NPV!D5)</f>
        <v>827.1991964949644</v>
      </c>
      <c r="J2" s="52">
        <f>I2*(1+NPV!E5)</f>
        <v>958.7973975551299</v>
      </c>
      <c r="K2" s="52">
        <f>J2*(1+NPV!F5)</f>
        <v>1092.9651133863445</v>
      </c>
      <c r="L2" s="52">
        <f>K2*(1+NPV!G5)</f>
        <v>1224.9710109697842</v>
      </c>
      <c r="M2" s="52">
        <f>L2*(1+NPV!H5)</f>
        <v>1349.4552872623358</v>
      </c>
      <c r="N2" s="52">
        <f>M2*(1+NPV!I5)</f>
        <v>1460.7403666185699</v>
      </c>
      <c r="O2" s="52">
        <f>N2*(1+NPV!J5)</f>
        <v>1553.2214622740432</v>
      </c>
      <c r="P2" s="52">
        <f>O2*(1+NPV!K5)</f>
        <v>1621.804818841566</v>
      </c>
      <c r="Q2" s="52">
        <f>P2*(1+NPV!L5)</f>
        <v>1662.3499393126049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64.095</v>
      </c>
      <c r="E3" s="52" t="n">
        <v>160.856</v>
      </c>
      <c r="F3" s="52" t="n">
        <v>185.309</v>
      </c>
      <c r="G3" s="52" t="n">
        <v>235.558</v>
      </c>
      <c r="H3" s="52">
        <f>H2*(1-Assumptions!$B$19)</f>
        <v>282.08801553772</v>
      </c>
      <c r="I3" s="52">
        <f>I2*(1-Assumptions!$B$19)</f>
        <v>332.36863715167675</v>
      </c>
      <c r="J3" s="52">
        <f>J2*(1-Assumptions!$B$19)</f>
        <v>385.24479433765123</v>
      </c>
      <c r="K3" s="52">
        <f>K2*(1-Assumptions!$B$19)</f>
        <v>439.15338255863327</v>
      </c>
      <c r="L3" s="52">
        <f>L2*(1-Assumptions!$B$19)</f>
        <v>492.19335220765936</v>
      </c>
      <c r="M3" s="52">
        <f>M2*(1-Assumptions!$B$19)</f>
        <v>542.2111344220066</v>
      </c>
      <c r="N3" s="52">
        <f>N2*(1-Assumptions!$B$19)</f>
        <v>586.9254793073414</v>
      </c>
      <c r="O3" s="52">
        <f>O2*(1-Assumptions!$B$19)</f>
        <v>624.0843835417106</v>
      </c>
      <c r="P3" s="52">
        <f>P2*(1-Assumptions!$B$19)</f>
        <v>651.6411762105413</v>
      </c>
      <c r="Q3" s="52">
        <f>Q2*(1-Assumptions!$B$19)</f>
        <v>667.9322056158047</v>
      </c>
    </row>
    <row r="4" customFormat="1" s="1">
      <c r="A4" s="5" t="inlineStr">
        <is>
          <t>Gross Margin</t>
        </is>
      </c>
      <c r="B4" s="52">
        <f>B2-B3</f>
        <v>66.616</v>
      </c>
      <c r="C4" s="52">
        <f>C2-C3</f>
        <v>36.772</v>
      </c>
      <c r="D4" s="52">
        <f>D2-D3</f>
        <v>18.933999999999997</v>
      </c>
      <c r="E4" s="52">
        <f>E2-E3</f>
        <v>-69.422</v>
      </c>
      <c r="F4" s="52">
        <f>F2-F3</f>
        <v>304.37300000000005</v>
      </c>
      <c r="G4" s="52">
        <f>G2-G3</f>
        <v>350.76300000000003</v>
      </c>
      <c r="H4" s="52">
        <f>H2-H3</f>
        <v>419.97274986228</v>
      </c>
      <c r="I4" s="52">
        <f>I2-I3</f>
        <v>494.8305593432877</v>
      </c>
      <c r="J4" s="52">
        <f>J2-J3</f>
        <v>573.5526032174787</v>
      </c>
      <c r="K4" s="52">
        <f>K2-K3</f>
        <v>653.8117308277112</v>
      </c>
      <c r="L4" s="52">
        <f>L2-L3</f>
        <v>732.7776587621248</v>
      </c>
      <c r="M4" s="52">
        <f>M2-M3</f>
        <v>807.2441528403292</v>
      </c>
      <c r="N4" s="52">
        <f>N2-N3</f>
        <v>873.8148873112284</v>
      </c>
      <c r="O4" s="52">
        <f>O2-O3</f>
        <v>929.1370787323326</v>
      </c>
      <c r="P4" s="52">
        <f>P2-P3</f>
        <v>970.1636426310247</v>
      </c>
      <c r="Q4" s="52">
        <f>Q2-Q3</f>
        <v>994.4177336968002</v>
      </c>
    </row>
    <row r="5">
      <c r="A5" s="2" t="inlineStr">
        <is>
          <t>Research &amp; Dev.</t>
        </is>
      </c>
      <c r="B5" s="52" t="n">
        <v>148.072</v>
      </c>
      <c r="C5" s="52" t="n">
        <v>191.006</v>
      </c>
      <c r="D5" s="52" t="n">
        <v>180.622</v>
      </c>
      <c r="E5" s="52" t="n">
        <v>210.827</v>
      </c>
      <c r="F5" s="52" t="n">
        <v>171.312</v>
      </c>
      <c r="G5" s="52" t="n">
        <v>184.193</v>
      </c>
      <c r="H5" s="52">
        <f>H7*Assumptions!$B$20</f>
        <v>217.36574406098856</v>
      </c>
      <c r="I5" s="52">
        <f>I7*Assumptions!$B$20</f>
        <v>252.3868990472307</v>
      </c>
      <c r="J5" s="52">
        <f>J7*Assumptions!$B$20</f>
        <v>288.2234682135236</v>
      </c>
      <c r="K5" s="52">
        <f>K7*Assumptions!$B$20</f>
        <v>323.63629088018354</v>
      </c>
      <c r="L5" s="52">
        <f>L7*Assumptions!$B$20</f>
        <v>357.21097907557345</v>
      </c>
      <c r="M5" s="52">
        <f>M7*Assumptions!$B$20</f>
        <v>387.4378864297506</v>
      </c>
      <c r="N5" s="52">
        <f>N7*Assumptions!$B$20</f>
        <v>412.8140563211836</v>
      </c>
      <c r="O5" s="52">
        <f>O7*Assumptions!$B$20</f>
        <v>431.95899026155854</v>
      </c>
      <c r="P5" s="52">
        <f>P7*Assumptions!$B$20</f>
        <v>443.7329149145974</v>
      </c>
      <c r="Q5" s="52">
        <f>Q7*Assumptions!$B$20</f>
        <v>447.3442866348059</v>
      </c>
    </row>
    <row r="6">
      <c r="A6" s="18" t="inlineStr">
        <is>
          <t>SG&amp;A &amp; Other</t>
        </is>
      </c>
      <c r="B6" s="52" t="n">
        <v>56.081</v>
      </c>
      <c r="C6" s="52" t="n">
        <v>81.22199999999999</v>
      </c>
      <c r="D6" s="52" t="n">
        <v>184.754</v>
      </c>
      <c r="E6" s="52" t="n">
        <v>74.611</v>
      </c>
      <c r="F6" s="52" t="n">
        <v>63.417</v>
      </c>
      <c r="G6" s="52" t="n">
        <v>88.363</v>
      </c>
      <c r="H6" s="52">
        <f>H7-H5</f>
        <v>104.27637499936742</v>
      </c>
      <c r="I6" s="52">
        <f>I7-I5</f>
        <v>121.0769941863158</v>
      </c>
      <c r="J6" s="52">
        <f>J7-J5</f>
        <v>138.26879016694932</v>
      </c>
      <c r="K6" s="52">
        <f>K7-K5</f>
        <v>155.25730320117714</v>
      </c>
      <c r="L6" s="52">
        <f>L7-L5</f>
        <v>171.36401215788834</v>
      </c>
      <c r="M6" s="52">
        <f>M7-M5</f>
        <v>185.86469781078006</v>
      </c>
      <c r="N6" s="52">
        <f>N7-N5</f>
        <v>198.03835019136983</v>
      </c>
      <c r="O6" s="52">
        <f>O7-O5</f>
        <v>207.2227058934556</v>
      </c>
      <c r="P6" s="52">
        <f>P7-P5</f>
        <v>212.8709840415989</v>
      </c>
      <c r="Q6" s="52">
        <f>Q7-Q5</f>
        <v>214.60345919947332</v>
      </c>
    </row>
    <row r="7">
      <c r="A7" s="2" t="inlineStr">
        <is>
          <t>Operating Expense</t>
        </is>
      </c>
      <c r="B7" s="52">
        <f>SUM(B5:B6)</f>
        <v>204.15300000000002</v>
      </c>
      <c r="C7" s="52">
        <f>SUM(C5:C6)</f>
        <v>272.228</v>
      </c>
      <c r="D7" s="52">
        <f>SUM(D5:D6)</f>
        <v>365.376</v>
      </c>
      <c r="E7" s="52">
        <f>SUM(E5:E6)</f>
        <v>285.438</v>
      </c>
      <c r="F7" s="52">
        <f>SUM(F5:F6)</f>
        <v>234.729</v>
      </c>
      <c r="G7" s="52">
        <f>SUM(G5:G6)</f>
        <v>272.55600000000004</v>
      </c>
      <c r="H7" s="52">
        <f>H4-H2*NPV!C6</f>
        <v>321.642119060356</v>
      </c>
      <c r="I7" s="52">
        <f>I4-I2*NPV!D6</f>
        <v>373.4638932335465</v>
      </c>
      <c r="J7" s="52">
        <f>J4-J2*NPV!E6</f>
        <v>426.4922583804729</v>
      </c>
      <c r="K7" s="52">
        <f>K4-K2*NPV!F6</f>
        <v>478.8935940813607</v>
      </c>
      <c r="L7" s="52">
        <f>L4-L2*NPV!G6</f>
        <v>528.5749912334618</v>
      </c>
      <c r="M7" s="52">
        <f>M4-M2*NPV!H6</f>
        <v>573.3025842405307</v>
      </c>
      <c r="N7" s="52">
        <f>N4-N2*NPV!I6</f>
        <v>610.8524065125534</v>
      </c>
      <c r="O7" s="52">
        <f>O4-O2*NPV!J6</f>
        <v>639.1816961550142</v>
      </c>
      <c r="P7" s="52">
        <f>P4-P2*NPV!K6</f>
        <v>656.6038989561963</v>
      </c>
      <c r="Q7" s="52">
        <f>Q4-Q2*NPV!L6</f>
        <v>661.9477458342792</v>
      </c>
    </row>
    <row r="8">
      <c r="A8" s="2" t="inlineStr">
        <is>
          <t>Operating Income</t>
        </is>
      </c>
      <c r="B8" s="52">
        <f>B4-B7</f>
        <v>-137.53700000000003</v>
      </c>
      <c r="C8" s="52">
        <f>C4-C7</f>
        <v>-235.45600000000002</v>
      </c>
      <c r="D8" s="52">
        <f>D4-D7</f>
        <v>-346.442</v>
      </c>
      <c r="E8" s="52">
        <f>E4-E7</f>
        <v>-354.86</v>
      </c>
      <c r="F8" s="52">
        <f>F4-F7</f>
        <v>69.64400000000003</v>
      </c>
      <c r="G8" s="52">
        <f>G4-G7</f>
        <v>78.207</v>
      </c>
      <c r="H8" s="52">
        <f>H4-H7</f>
        <v>98.33063080192403</v>
      </c>
      <c r="I8" s="52">
        <f>I4-I7</f>
        <v>121.36666610974117</v>
      </c>
      <c r="J8" s="52">
        <f>J4-J7</f>
        <v>147.0603448370058</v>
      </c>
      <c r="K8" s="52">
        <f>K4-K7</f>
        <v>174.91813674635057</v>
      </c>
      <c r="L8" s="52">
        <f>L4-L7</f>
        <v>204.20266752866303</v>
      </c>
      <c r="M8" s="52">
        <f>M4-M7</f>
        <v>233.94156859979853</v>
      </c>
      <c r="N8" s="52">
        <f>N4-N7</f>
        <v>262.96248079867496</v>
      </c>
      <c r="O8" s="52">
        <f>O4-O7</f>
        <v>289.95538257731846</v>
      </c>
      <c r="P8" s="52">
        <f>P4-P7</f>
        <v>313.5597436748284</v>
      </c>
      <c r="Q8" s="52">
        <f>Q4-Q7</f>
        <v>332.46998786252095</v>
      </c>
    </row>
    <row r="9">
      <c r="A9" s="18" t="inlineStr">
        <is>
          <t>Interest &amp; Other</t>
        </is>
      </c>
      <c r="B9" s="52" t="n">
        <v>-154.233</v>
      </c>
      <c r="C9" s="52" t="n">
        <v>86.258</v>
      </c>
      <c r="D9" s="52" t="n">
        <v>-205.205</v>
      </c>
      <c r="E9" s="52" t="n">
        <v>-296.189</v>
      </c>
      <c r="F9" s="52" t="n">
        <v>-287.207</v>
      </c>
      <c r="G9" s="52" t="n">
        <v>58.141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</row>
    <row r="10">
      <c r="A10" s="2" t="inlineStr">
        <is>
          <t>Pretax</t>
        </is>
      </c>
      <c r="B10" s="52">
        <f>B8+B9</f>
        <v>-291.77000000000004</v>
      </c>
      <c r="C10" s="52">
        <f>C8+C9</f>
        <v>-149.19800000000004</v>
      </c>
      <c r="D10" s="52">
        <f>D8+D9</f>
        <v>-551.647</v>
      </c>
      <c r="E10" s="52">
        <f>E8+E9</f>
        <v>-651.049</v>
      </c>
      <c r="F10" s="52">
        <f>F8+F9</f>
        <v>-217.56299999999996</v>
      </c>
      <c r="G10" s="52">
        <f>G8+G9</f>
        <v>136.34799999999998</v>
      </c>
      <c r="H10" s="52">
        <f>H8+H9</f>
        <v>98.33063080192403</v>
      </c>
      <c r="I10" s="52">
        <f>I8+I9</f>
        <v>121.36666610974117</v>
      </c>
      <c r="J10" s="52">
        <f>J8+J9</f>
        <v>147.0603448370058</v>
      </c>
      <c r="K10" s="52">
        <f>K8+K9</f>
        <v>174.91813674635057</v>
      </c>
      <c r="L10" s="52">
        <f>L8+L9</f>
        <v>204.20266752866303</v>
      </c>
      <c r="M10" s="52">
        <f>M8+M9</f>
        <v>233.94156859979853</v>
      </c>
      <c r="N10" s="52">
        <f>N8+N9</f>
        <v>262.96248079867496</v>
      </c>
      <c r="O10" s="52">
        <f>O8+O9</f>
        <v>289.95538257731846</v>
      </c>
      <c r="P10" s="52">
        <f>P8+P9</f>
        <v>313.5597436748284</v>
      </c>
      <c r="Q10" s="52">
        <f>Q8+Q9</f>
        <v>332.46998786252095</v>
      </c>
    </row>
    <row r="11">
      <c r="A11" s="2" t="inlineStr">
        <is>
          <t>Taxes</t>
        </is>
      </c>
      <c r="B11" s="52" t="n">
        <v>-121.726</v>
      </c>
      <c r="C11" s="52" t="n">
        <v>-47.694</v>
      </c>
      <c r="D11" s="52" t="n">
        <v>-38.067</v>
      </c>
      <c r="E11" s="52" t="n">
        <v>-99.318</v>
      </c>
      <c r="F11" s="52" t="n">
        <v>14.301</v>
      </c>
      <c r="G11" s="52" t="n">
        <v>108.429</v>
      </c>
      <c r="H11" s="52">
        <f>MAX(0,H10)*Assumptions!$E$14</f>
        <v>16.716207236327087</v>
      </c>
      <c r="I11" s="52">
        <f>MAX(0,I10)*Assumptions!$E$14</f>
        <v>20.632333238656003</v>
      </c>
      <c r="J11" s="52">
        <f>MAX(0,J10)*Assumptions!$E$14</f>
        <v>25.00025862229099</v>
      </c>
      <c r="K11" s="52">
        <f>MAX(0,K10)*Assumptions!$E$14</f>
        <v>29.7360832468796</v>
      </c>
      <c r="L11" s="52">
        <f>MAX(0,L10)*Assumptions!$E$14</f>
        <v>34.71445347987272</v>
      </c>
      <c r="M11" s="52">
        <f>MAX(0,M10)*Assumptions!$E$14</f>
        <v>39.77006666196575</v>
      </c>
      <c r="N11" s="52">
        <f>MAX(0,N10)*Assumptions!$E$14</f>
        <v>44.703621735774746</v>
      </c>
      <c r="O11" s="52">
        <f>MAX(0,O10)*Assumptions!$E$14</f>
        <v>49.29241503814414</v>
      </c>
      <c r="P11" s="52">
        <f>MAX(0,P10)*Assumptions!$E$14</f>
        <v>53.30515642472083</v>
      </c>
      <c r="Q11" s="52">
        <f>MAX(0,Q10)*Assumptions!$E$14</f>
        <v>56.51989793662857</v>
      </c>
    </row>
    <row r="12">
      <c r="A12" s="2" t="inlineStr">
        <is>
          <t>Net Income</t>
        </is>
      </c>
      <c r="B12" s="52" t="n">
        <v>-170.044</v>
      </c>
      <c r="C12" s="52" t="n">
        <v>-101.504</v>
      </c>
      <c r="D12" s="52" t="n">
        <v>-513.58</v>
      </c>
      <c r="E12" s="52" t="n">
        <v>-551.731</v>
      </c>
      <c r="F12" s="52" t="n">
        <v>-231.864</v>
      </c>
      <c r="G12" s="52" t="n">
        <v>27.919</v>
      </c>
      <c r="H12" s="52">
        <f>H10-H11</f>
        <v>81.61442356559695</v>
      </c>
      <c r="I12" s="52">
        <f>I10-I11</f>
        <v>100.73433287108517</v>
      </c>
      <c r="J12" s="52">
        <f>J10-J11</f>
        <v>122.06008621471481</v>
      </c>
      <c r="K12" s="52">
        <f>K10-K11</f>
        <v>145.18205349947098</v>
      </c>
      <c r="L12" s="52">
        <f>L10-L11</f>
        <v>169.48821404879033</v>
      </c>
      <c r="M12" s="52">
        <f>M10-M11</f>
        <v>194.17150193783277</v>
      </c>
      <c r="N12" s="52">
        <f>N10-N11</f>
        <v>218.25885906290023</v>
      </c>
      <c r="O12" s="52">
        <f>O10-O11</f>
        <v>240.6629675391743</v>
      </c>
      <c r="P12" s="52">
        <f>P10-P11</f>
        <v>260.25458725010753</v>
      </c>
      <c r="Q12" s="52">
        <f>Q10-Q11</f>
        <v>275.95008992589237</v>
      </c>
    </row>
    <row r="13">
      <c r="A13" s="2" t="inlineStr">
        <is>
          <t>Earnings per Share</t>
        </is>
      </c>
      <c r="B13" s="11">
        <f>IFERROR(B12/B14,0)</f>
        <v>-1.8157588441948127</v>
      </c>
      <c r="C13" s="11">
        <f>IFERROR(C12/C14,0)</f>
        <v>-0.917152331643671</v>
      </c>
      <c r="D13" s="11">
        <f>IFERROR(D12/D14,0)</f>
        <v>-2.5974853582302426</v>
      </c>
      <c r="E13" s="11">
        <f>IFERROR(E12/E14,0)</f>
        <v>-2.427795085718309</v>
      </c>
      <c r="F13" s="11">
        <f>IFERROR(F12/F14,0)</f>
        <v>-0.8654063637211906</v>
      </c>
      <c r="G13" s="11">
        <f>IFERROR(G12/G14,0)</f>
        <v>0.0958289570333148</v>
      </c>
      <c r="H13" s="11">
        <f>IFERROR(H12/H14,0)</f>
        <v>0.261566771076491</v>
      </c>
      <c r="I13" s="11">
        <f>IFERROR(I12/I14,0)</f>
        <v>0.3228443335687665</v>
      </c>
      <c r="J13" s="11">
        <f>IFERROR(J12/J14,0)</f>
        <v>0.3911914246731168</v>
      </c>
      <c r="K13" s="11">
        <f>IFERROR(K12/K14,0)</f>
        <v>0.46529521735320534</v>
      </c>
      <c r="L13" s="11">
        <f>IFERROR(L12/L14,0)</f>
        <v>0.5431942412560369</v>
      </c>
      <c r="M13" s="11">
        <f>IFERROR(M12/M14,0)</f>
        <v>0.6223019238275993</v>
      </c>
      <c r="N13" s="11">
        <f>IFERROR(N12/N14,0)</f>
        <v>0.6994997027460066</v>
      </c>
      <c r="O13" s="11">
        <f>IFERROR(O12/O14,0)</f>
        <v>0.7713028235298762</v>
      </c>
      <c r="P13" s="11">
        <f>IFERROR(P12/P14,0)</f>
        <v>0.8340921747752299</v>
      </c>
      <c r="Q13" s="11">
        <f>IFERROR(Q12/Q14,0)</f>
        <v>0.8843948268797046</v>
      </c>
    </row>
    <row r="14">
      <c r="A14" s="2" t="inlineStr">
        <is>
          <t>Shares</t>
        </is>
      </c>
      <c r="B14" s="52" t="n">
        <v>93.649</v>
      </c>
      <c r="C14" s="52" t="n">
        <v>110.673</v>
      </c>
      <c r="D14" s="52" t="n">
        <v>197.722</v>
      </c>
      <c r="E14" s="52" t="n">
        <v>227.256</v>
      </c>
      <c r="F14" s="52" t="n">
        <v>267.925</v>
      </c>
      <c r="G14" s="52" t="n">
        <v>291.342</v>
      </c>
      <c r="H14" s="52">
        <f>Main!$C$4</f>
        <v>312.021375</v>
      </c>
      <c r="I14" s="52">
        <f>Main!$C$4</f>
        <v>312.021375</v>
      </c>
      <c r="J14" s="52">
        <f>Main!$C$4</f>
        <v>312.021375</v>
      </c>
      <c r="K14" s="52">
        <f>Main!$C$4</f>
        <v>312.021375</v>
      </c>
      <c r="L14" s="52">
        <f>Main!$C$4</f>
        <v>312.021375</v>
      </c>
      <c r="M14" s="52">
        <f>Main!$C$4</f>
        <v>312.021375</v>
      </c>
      <c r="N14" s="52">
        <f>Main!$C$4</f>
        <v>312.021375</v>
      </c>
      <c r="O14" s="52">
        <f>Main!$C$4</f>
        <v>312.021375</v>
      </c>
      <c r="P14" s="52">
        <f>Main!$C$4</f>
        <v>312.021375</v>
      </c>
      <c r="Q14" s="52">
        <f>Main!$C$4</f>
        <v>312.021375</v>
      </c>
    </row>
    <row r="15"/>
    <row r="16" customFormat="1" s="4">
      <c r="A16" s="3" t="inlineStr">
        <is>
          <t>Revenue Change</t>
        </is>
      </c>
      <c r="C16" s="15">
        <f>IFERROR(C2/B2-1,"")</f>
        <v>-0.44800048036507745</v>
      </c>
      <c r="D16" s="15">
        <f>IFERROR(D2/C2-1,"")</f>
        <v>1.2579408245404111</v>
      </c>
      <c r="E16" s="15">
        <f>IFERROR(E2/D2-1,"")</f>
        <v>0.10122969083091449</v>
      </c>
      <c r="F16" s="15">
        <f>IFERROR(F2/E2-1,"")</f>
        <v>4.355578887503555</v>
      </c>
      <c r="G16" s="15">
        <f>IFERROR(G2/F2-1,"")</f>
        <v>0.19735052544304255</v>
      </c>
      <c r="H16" s="15">
        <f>IFERROR(H2/G2-1,"")</f>
        <v>0.19740000000000002</v>
      </c>
      <c r="I16" s="15">
        <f>IFERROR(I2/H2-1,"")</f>
        <v>0.17824444444444443</v>
      </c>
      <c r="J16" s="15">
        <f>IFERROR(J2/I2-1,"")</f>
        <v>0.15908888888888884</v>
      </c>
      <c r="K16" s="15">
        <f>IFERROR(K2/J2-1,"")</f>
        <v>0.13993333333333347</v>
      </c>
      <c r="L16" s="15">
        <f>IFERROR(L2/K2-1,"")</f>
        <v>0.12077777777777787</v>
      </c>
      <c r="M16" s="15">
        <f>IFERROR(M2/L2-1,"")</f>
        <v>0.10162222222222228</v>
      </c>
      <c r="N16" s="15">
        <f>IFERROR(N2/M2-1,"")</f>
        <v>0.08246666666666669</v>
      </c>
      <c r="O16" s="15">
        <f>IFERROR(O2/N2-1,"")</f>
        <v>0.0633111111111111</v>
      </c>
      <c r="P16" s="15">
        <f>IFERROR(P2/O2-1,"")</f>
        <v>0.044155555555555503</v>
      </c>
      <c r="Q16" s="15">
        <f>IFERROR(Q2/P2-1,"")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0.22804080501993276</v>
      </c>
      <c r="E17" s="15">
        <f>IFERROR(E4/E2,"")</f>
        <v>-0.7592580440536343</v>
      </c>
      <c r="F17" s="15">
        <f>IFERROR(F4/F2,"")</f>
        <v>0.6215727758014385</v>
      </c>
      <c r="G17" s="15">
        <f>IFERROR(G4/G2,"")</f>
        <v>0.5982439653363942</v>
      </c>
      <c r="H17" s="15">
        <f>IFERROR(H4/H2,"")</f>
        <v>0.5982</v>
      </c>
      <c r="I17" s="15">
        <f>IFERROR(I4/I2,"")</f>
        <v>0.5982</v>
      </c>
      <c r="J17" s="15">
        <f>IFERROR(J4/J2,"")</f>
        <v>0.5982</v>
      </c>
      <c r="K17" s="15">
        <f>IFERROR(K4/K2,"")</f>
        <v>0.5982</v>
      </c>
      <c r="L17" s="15">
        <f>IFERROR(L4/L2,"")</f>
        <v>0.5982</v>
      </c>
      <c r="M17" s="15">
        <f>IFERROR(M4/M2,"")</f>
        <v>0.5982</v>
      </c>
      <c r="N17" s="15">
        <f>IFERROR(N4/N2,"")</f>
        <v>0.5982</v>
      </c>
      <c r="O17" s="15">
        <f>IFERROR(O4/O2,"")</f>
        <v>0.5982</v>
      </c>
      <c r="P17" s="15">
        <f>IFERROR(P4/P2,"")</f>
        <v>0.5982</v>
      </c>
      <c r="Q17" s="15">
        <f>IFERROR(Q4/Q2,"")</f>
        <v>0.5982</v>
      </c>
    </row>
    <row r="18">
      <c r="A18" s="14" t="inlineStr">
        <is>
          <t>Operating Margin</t>
        </is>
      </c>
      <c r="B18" s="15">
        <f>IFERROR(B8/B2,"")</f>
        <v>-2.064624114326889</v>
      </c>
      <c r="C18" s="15">
        <f>IFERROR(C8/C2,"")</f>
        <v>-6.40313281844882</v>
      </c>
      <c r="D18" s="15">
        <f>IFERROR(D8/D2,"")</f>
        <v>-4.172542123836251</v>
      </c>
      <c r="E18" s="15">
        <f>IFERROR(E8/E2,"")</f>
        <v>-3.8810508126080014</v>
      </c>
      <c r="F18" s="15">
        <f>IFERROR(F8/F2,"")</f>
        <v>0.1422229120122856</v>
      </c>
      <c r="G18" s="15">
        <f>IFERROR(G8/G2,"")</f>
        <v>0.13338597798816687</v>
      </c>
      <c r="H18" s="15">
        <f>IFERROR(H8/H2,"")</f>
        <v>0.14006000000000005</v>
      </c>
      <c r="I18" s="15">
        <f>IFERROR(I8/I2,"")</f>
        <v>0.14672</v>
      </c>
      <c r="J18" s="15">
        <f>IFERROR(J8/J2,"")</f>
        <v>0.15337999999999996</v>
      </c>
      <c r="K18" s="15">
        <f>IFERROR(K8/K2,"")</f>
        <v>0.16004000000000002</v>
      </c>
      <c r="L18" s="15">
        <f>IFERROR(L8/L2,"")</f>
        <v>0.16670000000000001</v>
      </c>
      <c r="M18" s="15">
        <f>IFERROR(M8/M2,"")</f>
        <v>0.17336</v>
      </c>
      <c r="N18" s="15">
        <f>IFERROR(N8/N2,"")</f>
        <v>0.18002</v>
      </c>
      <c r="O18" s="15">
        <f>IFERROR(O8/O2,"")</f>
        <v>0.18668000000000004</v>
      </c>
      <c r="P18" s="15">
        <f>IFERROR(P8/P2,"")</f>
        <v>0.19334</v>
      </c>
      <c r="Q18" s="15">
        <f>IFERROR(Q8/Q2,"")</f>
        <v>0.19999999999999998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E</t>
        </is>
      </c>
      <c r="I19" s="19" t="inlineStr">
        <is>
          <t>E</t>
        </is>
      </c>
      <c r="J19" s="19" t="inlineStr">
        <is>
          <t>E</t>
        </is>
      </c>
      <c r="K19" s="19" t="inlineStr">
        <is>
          <t>E</t>
        </is>
      </c>
      <c r="L19" s="19" t="inlineStr">
        <is>
          <t>E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Alvotech SA: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0.12</v>
      </c>
      <c r="C10" s="53" t="n">
        <v>0.11</v>
      </c>
      <c r="D10" s="53" t="n">
        <v>0.1</v>
      </c>
      <c r="E10" s="54">
        <f>IF(ISNUMBER($B$6),$B$6,CHOOSE($B$4,B10,C10,D10))</f>
        <v>0.11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0.1474</v>
      </c>
      <c r="C12" s="53" t="n">
        <v>0.1974</v>
      </c>
      <c r="D12" s="53" t="n">
        <v>0.2474</v>
      </c>
      <c r="E12" s="54">
        <f>CHOOSE($B$4,B12,C12,D12)</f>
        <v>0.1974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0.1334</v>
      </c>
    </row>
    <row r="19">
      <c r="A19" s="14" t="inlineStr">
        <is>
          <t>Gross margin (forecast)</t>
        </is>
      </c>
      <c r="B19" s="53" t="n">
        <v>0.5982</v>
      </c>
    </row>
    <row r="20">
      <c r="A20" s="14" t="inlineStr">
        <is>
          <t>R&amp;D share of operating expense (forecast)</t>
        </is>
      </c>
      <c r="B20" s="53" t="n">
        <v>0.6758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1</v>
      </c>
    </row>
    <row r="23">
      <c r="A23" s="14" t="inlineStr">
        <is>
          <t>Balance sheet date</t>
        </is>
      </c>
      <c r="B23" s="31" t="n">
        <v>46022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Model'!G2</f>
        <v>586.321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1956.4767627819283</v>
      </c>
      <c r="C29" s="56">
        <f>NPV!B26</f>
        <v>829.7677627819282</v>
      </c>
      <c r="D29" s="35">
        <f>NPV!B28</f>
        <v>2.6593298705318773</v>
      </c>
      <c r="E29" s="57">
        <f>NPV!B30</f>
        <v>-0.47130618876105823</v>
      </c>
    </row>
    <row r="30">
      <c r="A30" s="58" t="n">
        <v>1</v>
      </c>
      <c r="B30" s="59">
        <f t="dataTable" ref="B30:E32" r1="B4"/>
        <v>1077.495438776408</v>
      </c>
      <c r="C30" s="59">
        <v>-49.21356122359202</v>
      </c>
      <c r="D30" s="39">
        <v>-0.15772496747568024</v>
      </c>
      <c r="E30" s="60">
        <v>-1.031356852380851</v>
      </c>
    </row>
    <row r="31">
      <c r="A31" s="58" t="n">
        <v>2</v>
      </c>
      <c r="B31" s="59">
        <v>1956.4767627819283</v>
      </c>
      <c r="C31" s="59">
        <v>829.7677627819282</v>
      </c>
      <c r="D31" s="39">
        <v>2.6593298705318773</v>
      </c>
      <c r="E31" s="60">
        <v>-0.47130618876105823</v>
      </c>
    </row>
    <row r="32">
      <c r="A32" s="58" t="n">
        <v>3</v>
      </c>
      <c r="B32" s="59">
        <v>3601.8961046053664</v>
      </c>
      <c r="C32" s="59">
        <v>2475.1871046053666</v>
      </c>
      <c r="D32" s="39">
        <v>7.932748532389382</v>
      </c>
      <c r="E32" s="60">
        <v>0.5770871833776106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2.6593298705318773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0.09</v>
      </c>
      <c r="B37" s="39">
        <f t="dataTable" ref="B37:F41" dt2D="1" r1="B7" r2="B6"/>
        <v>4.0140906465315584</v>
      </c>
      <c r="C37" s="39">
        <v>4.473011891782081</v>
      </c>
      <c r="D37" s="39">
        <v>5.002189276281478</v>
      </c>
      <c r="E37" s="39">
        <v>5.6191841649332845</v>
      </c>
      <c r="F37" s="39">
        <v>6.347943863852995</v>
      </c>
    </row>
    <row r="38">
      <c r="A38" s="62" t="n">
        <v>0.1</v>
      </c>
      <c r="B38" s="39">
        <v>2.9497681801692615</v>
      </c>
      <c r="C38" s="39">
        <v>3.2865989167438188</v>
      </c>
      <c r="D38" s="39">
        <v>3.6680524202304183</v>
      </c>
      <c r="E38" s="39">
        <v>4.103688510300526</v>
      </c>
      <c r="F38" s="39">
        <v>4.606008481598933</v>
      </c>
    </row>
    <row r="39">
      <c r="A39" s="62" t="n">
        <v>0.11</v>
      </c>
      <c r="B39" s="39">
        <v>2.119872224242981</v>
      </c>
      <c r="C39" s="39">
        <v>2.3747308592130167</v>
      </c>
      <c r="D39" s="39">
        <v>2.6593298705318773</v>
      </c>
      <c r="E39" s="39">
        <v>2.9792437290638465</v>
      </c>
      <c r="F39" s="39">
        <v>3.3415334244809842</v>
      </c>
    </row>
    <row r="40">
      <c r="A40" s="62" t="n">
        <v>0.12</v>
      </c>
      <c r="B40" s="39">
        <v>1.4566060787227395</v>
      </c>
      <c r="C40" s="39">
        <v>1.654183555929144</v>
      </c>
      <c r="D40" s="39">
        <v>1.8723509678114838</v>
      </c>
      <c r="E40" s="39">
        <v>2.114538394485207</v>
      </c>
      <c r="F40" s="39">
        <v>2.3849829879567905</v>
      </c>
    </row>
    <row r="41">
      <c r="A41" s="62" t="n">
        <v>0.13</v>
      </c>
      <c r="B41" s="39">
        <v>0.9158320645065935</v>
      </c>
      <c r="C41" s="39">
        <v>1.0720778336870609</v>
      </c>
      <c r="D41" s="39">
        <v>1.2430247926581262</v>
      </c>
      <c r="E41" s="39">
        <v>1.430876763071948</v>
      </c>
      <c r="F41" s="39">
        <v>1.6383015240314878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Alvotech SA: free-cash-flow DCF ($mm)</t>
        </is>
      </c>
    </row>
    <row r="3">
      <c r="A3" s="20" t="inlineStr">
        <is>
          <t>Fiscal year</t>
        </is>
      </c>
      <c r="B3" s="43">
        <f>'Yearly Model'!G1</f>
        <v>2025</v>
      </c>
      <c r="C3" s="43">
        <f>'Yearly Model'!H1</f>
        <v>2026</v>
      </c>
      <c r="D3" s="43">
        <f>'Yearly Model'!I1</f>
        <v>2027</v>
      </c>
      <c r="E3" s="43">
        <f>'Yearly Model'!J1</f>
        <v>2028</v>
      </c>
      <c r="F3" s="43">
        <f>'Yearly Model'!K1</f>
        <v>2029</v>
      </c>
      <c r="G3" s="43">
        <f>'Yearly Model'!L1</f>
        <v>2030</v>
      </c>
      <c r="H3" s="43">
        <f>'Yearly Model'!M1</f>
        <v>2031</v>
      </c>
      <c r="I3" s="43">
        <f>'Yearly Model'!N1</f>
        <v>2032</v>
      </c>
      <c r="J3" s="43">
        <f>'Yearly Model'!O1</f>
        <v>2033</v>
      </c>
      <c r="K3" s="43">
        <f>'Yearly Model'!P1</f>
        <v>2034</v>
      </c>
      <c r="L3" s="43">
        <f>'Yearly Model'!Q1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0.1974</v>
      </c>
      <c r="D5" s="63">
        <f>Assumptions!$E$12+(Assumptions!$E$11-Assumptions!$E$12)*(D4-1)/(Assumptions!$B$21-1)</f>
        <v>0.17824444444444443</v>
      </c>
      <c r="E5" s="63">
        <f>Assumptions!$E$12+(Assumptions!$E$11-Assumptions!$E$12)*(E4-1)/(Assumptions!$B$21-1)</f>
        <v>0.1590888888888889</v>
      </c>
      <c r="F5" s="63">
        <f>Assumptions!$E$12+(Assumptions!$E$11-Assumptions!$E$12)*(F4-1)/(Assumptions!$B$21-1)</f>
        <v>0.13993333333333333</v>
      </c>
      <c r="G5" s="63">
        <f>Assumptions!$E$12+(Assumptions!$E$11-Assumptions!$E$12)*(G4-1)/(Assumptions!$B$21-1)</f>
        <v>0.12077777777777778</v>
      </c>
      <c r="H5" s="63">
        <f>Assumptions!$E$12+(Assumptions!$E$11-Assumptions!$E$12)*(H4-1)/(Assumptions!$B$21-1)</f>
        <v>0.10162222222222221</v>
      </c>
      <c r="I5" s="63">
        <f>Assumptions!$E$12+(Assumptions!$E$11-Assumptions!$E$12)*(I4-1)/(Assumptions!$B$21-1)</f>
        <v>0.08246666666666666</v>
      </c>
      <c r="J5" s="63">
        <f>Assumptions!$E$12+(Assumptions!$E$11-Assumptions!$E$12)*(J4-1)/(Assumptions!$B$21-1)</f>
        <v>0.06331111111111112</v>
      </c>
      <c r="K5" s="63">
        <f>Assumptions!$E$12+(Assumptions!$E$11-Assumptions!$E$12)*(K4-1)/(Assumptions!$B$21-1)</f>
        <v>0.04415555555555556</v>
      </c>
      <c r="L5" s="63">
        <f>Assumptions!$E$12+(Assumptions!$E$11-Assumptions!$E$12)*(L4-1)/(Assumptions!$B$21-1)</f>
        <v>0.024999999999999994</v>
      </c>
    </row>
    <row r="6">
      <c r="A6" s="14" t="inlineStr">
        <is>
          <t>Operating margin</t>
        </is>
      </c>
      <c r="B6" s="63">
        <f>IFERROR(B8/B7,0)</f>
        <v>0.13338597798816687</v>
      </c>
      <c r="C6" s="63">
        <f>Assumptions!$B$18+(Assumptions!$E$13-Assumptions!$B$18)*C4/Assumptions!$B$21</f>
        <v>0.14006</v>
      </c>
      <c r="D6" s="63">
        <f>Assumptions!$B$18+(Assumptions!$E$13-Assumptions!$B$18)*D4/Assumptions!$B$21</f>
        <v>0.14672</v>
      </c>
      <c r="E6" s="63">
        <f>Assumptions!$B$18+(Assumptions!$E$13-Assumptions!$B$18)*E4/Assumptions!$B$21</f>
        <v>0.15338</v>
      </c>
      <c r="F6" s="63">
        <f>Assumptions!$B$18+(Assumptions!$E$13-Assumptions!$B$18)*F4/Assumptions!$B$21</f>
        <v>0.16004</v>
      </c>
      <c r="G6" s="63">
        <f>Assumptions!$B$18+(Assumptions!$E$13-Assumptions!$B$18)*G4/Assumptions!$B$21</f>
        <v>0.16670000000000001</v>
      </c>
      <c r="H6" s="63">
        <f>Assumptions!$B$18+(Assumptions!$E$13-Assumptions!$B$18)*H4/Assumptions!$B$21</f>
        <v>0.17336000000000001</v>
      </c>
      <c r="I6" s="63">
        <f>Assumptions!$B$18+(Assumptions!$E$13-Assumptions!$B$18)*I4/Assumptions!$B$21</f>
        <v>0.18002</v>
      </c>
      <c r="J6" s="63">
        <f>Assumptions!$B$18+(Assumptions!$E$13-Assumptions!$B$18)*J4/Assumptions!$B$21</f>
        <v>0.18668</v>
      </c>
      <c r="K6" s="63">
        <f>Assumptions!$B$18+(Assumptions!$E$13-Assumptions!$B$18)*K4/Assumptions!$B$21</f>
        <v>0.19334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Model'!G2</f>
        <v>586.321</v>
      </c>
      <c r="C7" s="55">
        <f>'Yearly Model'!H2</f>
        <v>702.0607654</v>
      </c>
      <c r="D7" s="55">
        <f>'Yearly Model'!I2</f>
        <v>827.1991964949644</v>
      </c>
      <c r="E7" s="55">
        <f>'Yearly Model'!J2</f>
        <v>958.7973975551299</v>
      </c>
      <c r="F7" s="55">
        <f>'Yearly Model'!K2</f>
        <v>1092.9651133863445</v>
      </c>
      <c r="G7" s="55">
        <f>'Yearly Model'!L2</f>
        <v>1224.9710109697842</v>
      </c>
      <c r="H7" s="55">
        <f>'Yearly Model'!M2</f>
        <v>1349.4552872623358</v>
      </c>
      <c r="I7" s="55">
        <f>'Yearly Model'!N2</f>
        <v>1460.7403666185699</v>
      </c>
      <c r="J7" s="55">
        <f>'Yearly Model'!O2</f>
        <v>1553.2214622740432</v>
      </c>
      <c r="K7" s="55">
        <f>'Yearly Model'!P2</f>
        <v>1621.804818841566</v>
      </c>
      <c r="L7" s="55">
        <f>'Yearly Model'!Q2</f>
        <v>1662.3499393126049</v>
      </c>
    </row>
    <row r="8">
      <c r="A8" s="14" t="inlineStr">
        <is>
          <t>Operating income</t>
        </is>
      </c>
      <c r="B8" s="55">
        <f>'Yearly Model'!G8</f>
        <v>78.207</v>
      </c>
      <c r="C8" s="55">
        <f>'Yearly Model'!H8</f>
        <v>98.33063080192403</v>
      </c>
      <c r="D8" s="55">
        <f>'Yearly Model'!I8</f>
        <v>121.36666610974117</v>
      </c>
      <c r="E8" s="55">
        <f>'Yearly Model'!J8</f>
        <v>147.0603448370058</v>
      </c>
      <c r="F8" s="55">
        <f>'Yearly Model'!K8</f>
        <v>174.91813674635057</v>
      </c>
      <c r="G8" s="55">
        <f>'Yearly Model'!L8</f>
        <v>204.20266752866303</v>
      </c>
      <c r="H8" s="55">
        <f>'Yearly Model'!M8</f>
        <v>233.94156859979853</v>
      </c>
      <c r="I8" s="55">
        <f>'Yearly Model'!N8</f>
        <v>262.96248079867496</v>
      </c>
      <c r="J8" s="55">
        <f>'Yearly Model'!O8</f>
        <v>289.95538257731846</v>
      </c>
      <c r="K8" s="55">
        <f>'Yearly Model'!P8</f>
        <v>313.5597436748284</v>
      </c>
      <c r="L8" s="55">
        <f>'Yearly Model'!Q8</f>
        <v>332.46998786252095</v>
      </c>
    </row>
    <row r="9">
      <c r="A9" s="14" t="inlineStr">
        <is>
          <t>Tax on operating income</t>
        </is>
      </c>
      <c r="C9" s="52">
        <f>MAX(0,C8)*Assumptions!$E$14</f>
        <v>16.716207236327087</v>
      </c>
      <c r="D9" s="52">
        <f>MAX(0,D8)*Assumptions!$E$14</f>
        <v>20.632333238656003</v>
      </c>
      <c r="E9" s="52">
        <f>MAX(0,E8)*Assumptions!$E$14</f>
        <v>25.00025862229099</v>
      </c>
      <c r="F9" s="52">
        <f>MAX(0,F8)*Assumptions!$E$14</f>
        <v>29.7360832468796</v>
      </c>
      <c r="G9" s="52">
        <f>MAX(0,G8)*Assumptions!$E$14</f>
        <v>34.71445347987272</v>
      </c>
      <c r="H9" s="52">
        <f>MAX(0,H8)*Assumptions!$E$14</f>
        <v>39.77006666196575</v>
      </c>
      <c r="I9" s="52">
        <f>MAX(0,I8)*Assumptions!$E$14</f>
        <v>44.703621735774746</v>
      </c>
      <c r="J9" s="52">
        <f>MAX(0,J8)*Assumptions!$E$14</f>
        <v>49.29241503814414</v>
      </c>
      <c r="K9" s="52">
        <f>MAX(0,K8)*Assumptions!$E$14</f>
        <v>53.30515642472083</v>
      </c>
      <c r="L9" s="52">
        <f>MAX(0,L8)*Assumptions!$E$14</f>
        <v>56.51989793662857</v>
      </c>
    </row>
    <row r="10">
      <c r="A10" s="14" t="inlineStr">
        <is>
          <t>NOPAT</t>
        </is>
      </c>
      <c r="C10" s="52">
        <f>C8-C9</f>
        <v>81.61442356559695</v>
      </c>
      <c r="D10" s="52">
        <f>D8-D9</f>
        <v>100.73433287108517</v>
      </c>
      <c r="E10" s="52">
        <f>E8-E9</f>
        <v>122.06008621471481</v>
      </c>
      <c r="F10" s="52">
        <f>F8-F9</f>
        <v>145.18205349947098</v>
      </c>
      <c r="G10" s="52">
        <f>G8-G9</f>
        <v>169.48821404879033</v>
      </c>
      <c r="H10" s="52">
        <f>H8-H9</f>
        <v>194.17150193783277</v>
      </c>
      <c r="I10" s="52">
        <f>I8-I9</f>
        <v>218.25885906290023</v>
      </c>
      <c r="J10" s="52">
        <f>J8-J9</f>
        <v>240.6629675391743</v>
      </c>
      <c r="K10" s="52">
        <f>K8-K9</f>
        <v>260.25458725010753</v>
      </c>
      <c r="L10" s="52">
        <f>L8-L9</f>
        <v>275.95008992589237</v>
      </c>
    </row>
    <row r="11">
      <c r="A11" s="14" t="inlineStr">
        <is>
          <t>Reinvestment</t>
        </is>
      </c>
      <c r="C11" s="52">
        <f>(C7-B7)*Assumptions!$E$15</f>
        <v>28.934941350000003</v>
      </c>
      <c r="D11" s="52">
        <f>(D7-C7)*Assumptions!$E$15</f>
        <v>31.2846077737411</v>
      </c>
      <c r="E11" s="52">
        <f>(E7-D7)*Assumptions!$E$15</f>
        <v>32.89955026504137</v>
      </c>
      <c r="F11" s="52">
        <f>(F7-E7)*Assumptions!$E$15</f>
        <v>33.541928957803634</v>
      </c>
      <c r="G11" s="52">
        <f>(G7-F7)*Assumptions!$E$15</f>
        <v>33.00147439585993</v>
      </c>
      <c r="H11" s="52">
        <f>(H7-G7)*Assumptions!$E$15</f>
        <v>31.121069073137903</v>
      </c>
      <c r="I11" s="52">
        <f>(I7-H7)*Assumptions!$E$15</f>
        <v>27.821269839058516</v>
      </c>
      <c r="J11" s="52">
        <f>(J7-I7)*Assumptions!$E$15</f>
        <v>23.120273913868346</v>
      </c>
      <c r="K11" s="52">
        <f>(K7-J7)*Assumptions!$E$15</f>
        <v>17.145839141880685</v>
      </c>
      <c r="L11" s="52">
        <f>(L7-K7)*Assumptions!$E$15</f>
        <v>10.136280117759725</v>
      </c>
    </row>
    <row r="12">
      <c r="A12" s="20" t="inlineStr">
        <is>
          <t>Free cash flow</t>
        </is>
      </c>
      <c r="C12" s="64">
        <f>C10-C11</f>
        <v>52.67948221559695</v>
      </c>
      <c r="D12" s="64">
        <f>D10-D11</f>
        <v>69.44972509734407</v>
      </c>
      <c r="E12" s="64">
        <f>E10-E11</f>
        <v>89.16053594967345</v>
      </c>
      <c r="F12" s="64">
        <f>F10-F11</f>
        <v>111.64012454166735</v>
      </c>
      <c r="G12" s="64">
        <f>G10-G11</f>
        <v>136.4867396529304</v>
      </c>
      <c r="H12" s="64">
        <f>H10-H11</f>
        <v>163.05043286469487</v>
      </c>
      <c r="I12" s="64">
        <f>I10-I11</f>
        <v>190.4375892238417</v>
      </c>
      <c r="J12" s="64">
        <f>J10-J11</f>
        <v>217.54269362530596</v>
      </c>
      <c r="K12" s="64">
        <f>K10-K11</f>
        <v>243.10874810822685</v>
      </c>
      <c r="L12" s="64">
        <f>L10-L11</f>
        <v>265.81380980813265</v>
      </c>
    </row>
    <row r="13">
      <c r="A13" s="14" t="inlineStr">
        <is>
          <t>Year fraction</t>
        </is>
      </c>
      <c r="C13" s="46">
        <f>Assumptions!$B$22</f>
        <v>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0.5</v>
      </c>
      <c r="D14" s="11">
        <f>C14+C13/2+D13/2</f>
        <v>1.5</v>
      </c>
      <c r="E14" s="11">
        <f>D14+D13/2+E13/2</f>
        <v>2.5</v>
      </c>
      <c r="F14" s="11">
        <f>E14+E13/2+F13/2</f>
        <v>3.5</v>
      </c>
      <c r="G14" s="11">
        <f>F14+F13/2+G13/2</f>
        <v>4.5</v>
      </c>
      <c r="H14" s="11">
        <f>G14+G13/2+H13/2</f>
        <v>5.5</v>
      </c>
      <c r="I14" s="11">
        <f>H14+H13/2+I13/2</f>
        <v>6.5</v>
      </c>
      <c r="J14" s="11">
        <f>I14+I13/2+J13/2</f>
        <v>7.5</v>
      </c>
      <c r="K14" s="11">
        <f>J14+J13/2+K13/2</f>
        <v>8.5</v>
      </c>
      <c r="L14" s="11">
        <f>K14+K13/2+L13/2</f>
        <v>9.5</v>
      </c>
    </row>
    <row r="15">
      <c r="A15" s="14" t="inlineStr">
        <is>
          <t>Discount factor</t>
        </is>
      </c>
      <c r="C15" s="65">
        <f>1/(1+Assumptions!$E$10)^C14</f>
        <v>0.949157995752499</v>
      </c>
      <c r="D15" s="65">
        <f>1/(1+Assumptions!$E$10)^D14</f>
        <v>0.8550972934707196</v>
      </c>
      <c r="E15" s="65">
        <f>1/(1+Assumptions!$E$10)^E14</f>
        <v>0.7703579220456934</v>
      </c>
      <c r="F15" s="65">
        <f>1/(1+Assumptions!$E$10)^F14</f>
        <v>0.694016145987111</v>
      </c>
      <c r="G15" s="65">
        <f>1/(1+Assumptions!$E$10)^G14</f>
        <v>0.6252397711595595</v>
      </c>
      <c r="H15" s="65">
        <f>1/(1+Assumptions!$E$10)^H14</f>
        <v>0.5632790731167202</v>
      </c>
      <c r="I15" s="65">
        <f>1/(1+Assumptions!$E$10)^I14</f>
        <v>0.5074586244294776</v>
      </c>
      <c r="J15" s="65">
        <f>1/(1+Assumptions!$E$10)^J14</f>
        <v>0.4571699319184483</v>
      </c>
      <c r="K15" s="65">
        <f>1/(1+Assumptions!$E$10)^K14</f>
        <v>0.4118648035301335</v>
      </c>
      <c r="L15" s="65">
        <f>1/(1+Assumptions!$E$10)^L14</f>
        <v>0.37104937254966985</v>
      </c>
    </row>
    <row r="16">
      <c r="A16" s="20" t="inlineStr">
        <is>
          <t>PV of free cash flow</t>
        </is>
      </c>
      <c r="C16" s="64">
        <f>C12*C13*C15</f>
        <v>50.001151757035416</v>
      </c>
      <c r="D16" s="64">
        <f>D12*D13*D15</f>
        <v>59.38627196302443</v>
      </c>
      <c r="E16" s="64">
        <f>E12*E13*E15</f>
        <v>68.68552520267079</v>
      </c>
      <c r="F16" s="64">
        <f>F12*F13*F15</f>
        <v>77.48004897192907</v>
      </c>
      <c r="G16" s="64">
        <f>G12*G13*G15</f>
        <v>85.33693786691258</v>
      </c>
      <c r="H16" s="64">
        <f>H12*H13*H15</f>
        <v>91.84289669530534</v>
      </c>
      <c r="I16" s="64">
        <f>I12*I13*I15</f>
        <v>96.63919706719663</v>
      </c>
      <c r="J16" s="64">
        <f>J12*J13*J15</f>
        <v>99.45397843403698</v>
      </c>
      <c r="K16" s="64">
        <f>K12*K13*K15</f>
        <v>100.12793677605157</v>
      </c>
      <c r="L16" s="64">
        <f>L12*L13*L15</f>
        <v>98.6300473443449</v>
      </c>
    </row>
    <row r="19">
      <c r="A19" s="14" t="inlineStr">
        <is>
          <t>PV of forecast free cash flow</t>
        </is>
      </c>
      <c r="B19" s="52">
        <f>SUM(C16:L16)</f>
        <v>827.5839920785078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272.45915505333585</v>
      </c>
    </row>
    <row r="21">
      <c r="A21" s="14" t="inlineStr">
        <is>
          <t>Terminal value</t>
        </is>
      </c>
      <c r="B21" s="52">
        <f>B20/(Assumptions!$E$10-Assumptions!$E$11)</f>
        <v>3205.4018241568924</v>
      </c>
    </row>
    <row r="22">
      <c r="A22" s="14" t="inlineStr">
        <is>
          <t>PV of terminal value</t>
        </is>
      </c>
      <c r="B22" s="52">
        <f>B21/(1+Assumptions!$E$10)^(L14+0.5)</f>
        <v>1128.8927707034206</v>
      </c>
    </row>
    <row r="23">
      <c r="A23" s="20" t="inlineStr">
        <is>
          <t>Enterprise value</t>
        </is>
      </c>
      <c r="B23" s="66">
        <f>B19+B22</f>
        <v>1956.4767627819283</v>
      </c>
    </row>
    <row r="24">
      <c r="A24" s="14" t="inlineStr">
        <is>
          <t>Cash &amp; investments</t>
        </is>
      </c>
      <c r="B24" s="55">
        <f>Main!C7</f>
        <v>172.359</v>
      </c>
    </row>
    <row r="25">
      <c r="A25" s="14" t="inlineStr">
        <is>
          <t>Debt</t>
        </is>
      </c>
      <c r="B25" s="55">
        <f>Main!C8</f>
        <v>1299.068</v>
      </c>
    </row>
    <row r="26">
      <c r="A26" s="20" t="inlineStr">
        <is>
          <t>Equity value</t>
        </is>
      </c>
      <c r="B26" s="66">
        <f>B23+B24-B25</f>
        <v>829.7677627819282</v>
      </c>
    </row>
    <row r="27">
      <c r="A27" s="14" t="inlineStr">
        <is>
          <t>Shares (mm)</t>
        </is>
      </c>
      <c r="B27" s="55">
        <f>Main!C4</f>
        <v>312.021375</v>
      </c>
    </row>
    <row r="28">
      <c r="A28" s="20" t="inlineStr">
        <is>
          <t>NPV / share</t>
        </is>
      </c>
      <c r="B28" s="49">
        <f>B26/B27</f>
        <v>2.6593298705318773</v>
      </c>
    </row>
    <row r="29">
      <c r="A29" s="14" t="inlineStr">
        <is>
          <t>Price</t>
        </is>
      </c>
      <c r="B29" s="50">
        <f>Main!C3</f>
        <v>5.03</v>
      </c>
    </row>
    <row r="30">
      <c r="A30" s="14" t="inlineStr">
        <is>
          <t>Upside</t>
        </is>
      </c>
      <c r="B30" s="63">
        <f>B28/B29-1</f>
        <v>-0.47130618876105823</v>
      </c>
    </row>
    <row r="31">
      <c r="A31" s="14" t="inlineStr">
        <is>
          <t>Terminal value, % of EV</t>
        </is>
      </c>
      <c r="B31" s="63">
        <f>IFERROR(B22/B23,0)</f>
        <v>0.5770029024511591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2026-10-21T01:04:36Z</dcterms:modified>
  <cp:lastModifiedBy>Wang, Eric</cp:lastModifiedBy>
</cp:coreProperties>
</file>