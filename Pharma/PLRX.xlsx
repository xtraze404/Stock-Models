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Pliant Therapeutics, Inc.</t>
        </is>
      </c>
      <c r="C2" s="10" t="n"/>
    </row>
    <row r="3">
      <c r="B3" t="inlineStr">
        <is>
          <t>Price</t>
        </is>
      </c>
      <c r="C3" s="11">
        <f>INDEX([1]Pharma!$F$1:$F$1000,MATCH("PLRX",[1]Pharma!$B$1:$B$1000,0))</f>
        <v>0.9124</v>
      </c>
      <c r="F3" s="1" t="n"/>
    </row>
    <row r="4">
      <c r="B4" t="inlineStr">
        <is>
          <t>Shares</t>
        </is>
      </c>
      <c r="C4" s="21" t="n">
        <v>61.921897</v>
      </c>
      <c r="F4" s="1" t="n"/>
    </row>
    <row r="5">
      <c r="B5" t="inlineStr">
        <is>
          <t>Market Cap.</t>
        </is>
      </c>
      <c r="C5" s="13">
        <f>C3*C4</f>
        <v>56.4975388228</v>
      </c>
      <c r="F5" s="1" t="n"/>
    </row>
    <row r="6"/>
    <row r="7">
      <c r="B7" t="inlineStr">
        <is>
          <t>Cash</t>
        </is>
      </c>
      <c r="C7" s="21">
        <f>24.883+133.218</f>
        <v>158.101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-101.60346117719999</v>
      </c>
    </row>
    <row r="10"/>
    <row r="11">
      <c r="B11" s="14" t="inlineStr">
        <is>
          <t>Net Cash / Share</t>
        </is>
      </c>
      <c r="C11" s="11">
        <f>(C7-C8)/C4</f>
        <v>2.5532325019047786</v>
      </c>
    </row>
    <row r="12">
      <c r="B12" s="14" t="inlineStr">
        <is>
          <t>Upside</t>
        </is>
      </c>
      <c r="C12" s="15">
        <f>IFERROR(C11/C3-1,"")</f>
        <v>1.7983696864366272</v>
      </c>
    </row>
    <row r="13">
      <c r="B13" s="14" t="inlineStr">
        <is>
          <t>Cash / Share</t>
        </is>
      </c>
      <c r="C13" s="11">
        <f>IFERROR((C7-C8)/C4,"")</f>
        <v>2.5532325019047786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-70.895</v>
      </c>
    </row>
    <row r="18">
      <c r="B18" s="14" t="inlineStr">
        <is>
          <t>Runway (years)</t>
        </is>
      </c>
      <c r="C18" s="22">
        <f>IF(AND(ISNUMBER(C17),C17&lt;0),IF(C7&gt;C8,(C7-C8)/-C17,"net debt"),"n/a")</f>
        <v>2.2300726426405246</v>
      </c>
    </row>
    <row r="19">
      <c r="B19" s="14" t="inlineStr">
        <is>
          <t>Implied Pipeline Value</t>
        </is>
      </c>
      <c r="C19" s="13">
        <f>C9</f>
        <v>-101.60346117719999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2019</v>
      </c>
      <c r="C1" s="17" t="n">
        <v>2020</v>
      </c>
      <c r="D1" s="17" t="n">
        <v>2021</v>
      </c>
      <c r="E1" s="17" t="n">
        <v>2022</v>
      </c>
      <c r="F1" s="17" t="n">
        <v>2023</v>
      </c>
      <c r="G1" s="17" t="n">
        <v>2024</v>
      </c>
      <c r="H1" s="17" t="n">
        <v>2025</v>
      </c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57.052</v>
      </c>
      <c r="C2" s="23" t="n">
        <v>41.817</v>
      </c>
      <c r="D2" s="23" t="n">
        <v>7.572</v>
      </c>
      <c r="E2" s="23" t="n">
        <v>9.685</v>
      </c>
      <c r="F2" s="23" t="n">
        <v>1.58</v>
      </c>
      <c r="G2" s="23" t="n">
        <v>0</v>
      </c>
      <c r="H2" s="23" t="n">
        <v>0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57.052</v>
      </c>
      <c r="C4" s="23">
        <f>C2-C3</f>
        <v>41.817</v>
      </c>
      <c r="D4" s="23">
        <f>D2-D3</f>
        <v>7.572</v>
      </c>
      <c r="E4" s="23">
        <f>E2-E3</f>
        <v>9.685</v>
      </c>
      <c r="F4" s="23">
        <f>F2-F3</f>
        <v>1.58</v>
      </c>
      <c r="G4" s="23">
        <f>G2-G3</f>
        <v>0.0</v>
      </c>
      <c r="H4" s="23">
        <f>H2-H3</f>
        <v>0.0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47.353</v>
      </c>
      <c r="C5" s="23" t="n">
        <v>66.193</v>
      </c>
      <c r="D5" s="23" t="n">
        <v>77.54900000000001</v>
      </c>
      <c r="E5" s="23" t="n">
        <v>96.93600000000001</v>
      </c>
      <c r="F5" s="23" t="n">
        <v>127.797</v>
      </c>
      <c r="G5" s="23" t="n">
        <v>169.31</v>
      </c>
      <c r="H5" s="23" t="n">
        <v>109.157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10.93</v>
      </c>
      <c r="C6" s="23" t="n">
        <v>17.269</v>
      </c>
      <c r="D6" s="23" t="n">
        <v>27.558</v>
      </c>
      <c r="E6" s="23" t="n">
        <v>39.949</v>
      </c>
      <c r="F6" s="23" t="n">
        <v>57.928</v>
      </c>
      <c r="G6" s="23" t="n">
        <v>59.055</v>
      </c>
      <c r="H6" s="23" t="n">
        <v>47.216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58.283</v>
      </c>
      <c r="C7" s="23">
        <f>SUM(C5:C6)</f>
        <v>83.46199999999999</v>
      </c>
      <c r="D7" s="23">
        <f>SUM(D5:D6)</f>
        <v>105.107</v>
      </c>
      <c r="E7" s="23">
        <f>SUM(E5:E6)</f>
        <v>136.885</v>
      </c>
      <c r="F7" s="23">
        <f>SUM(F5:F6)</f>
        <v>185.725</v>
      </c>
      <c r="G7" s="23">
        <f>SUM(G5:G6)</f>
        <v>228.365</v>
      </c>
      <c r="H7" s="23">
        <f>SUM(H5:H6)</f>
        <v>156.373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-1.2310000000000016</v>
      </c>
      <c r="C8" s="23">
        <f>C4-C7</f>
        <v>-41.64499999999999</v>
      </c>
      <c r="D8" s="23">
        <f>D4-D7</f>
        <v>-97.535</v>
      </c>
      <c r="E8" s="23">
        <f>E4-E7</f>
        <v>-127.19999999999999</v>
      </c>
      <c r="F8" s="23">
        <f>F4-F7</f>
        <v>-184.14499999999998</v>
      </c>
      <c r="G8" s="23">
        <f>G4-G7</f>
        <v>-228.365</v>
      </c>
      <c r="H8" s="23">
        <f>H4-H7</f>
        <v>-156.373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0.6</v>
      </c>
      <c r="C9" s="23" t="n">
        <v>0.112</v>
      </c>
      <c r="D9" s="23" t="n">
        <v>0.272</v>
      </c>
      <c r="E9" s="23" t="n">
        <v>3.879</v>
      </c>
      <c r="F9" s="23" t="n">
        <v>345.445</v>
      </c>
      <c r="G9" s="23" t="n">
        <v>438.665</v>
      </c>
      <c r="H9" s="23" t="n">
        <v>305.673</v>
      </c>
    </row>
    <row r="10">
      <c r="A10" s="2" t="inlineStr">
        <is>
          <t>Pretax</t>
        </is>
      </c>
      <c r="B10" s="23">
        <f>B8+B9</f>
        <v>-0.6310000000000017</v>
      </c>
      <c r="C10" s="23">
        <f>C8+C9</f>
        <v>-41.53299999999999</v>
      </c>
      <c r="D10" s="23">
        <f>D8+D9</f>
        <v>-97.26299999999999</v>
      </c>
      <c r="E10" s="23">
        <f>E8+E9</f>
        <v>-123.32099999999998</v>
      </c>
      <c r="F10" s="23">
        <f>F8+F9</f>
        <v>161.3</v>
      </c>
      <c r="G10" s="23">
        <f>G8+G9</f>
        <v>210.3</v>
      </c>
      <c r="H10" s="23">
        <f>H8+H9</f>
        <v>149.3</v>
      </c>
      <c r="I10" s="1" t="n"/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</row>
    <row r="12">
      <c r="A12" s="2" t="inlineStr">
        <is>
          <t>Net Income</t>
        </is>
      </c>
      <c r="B12" s="23" t="n">
        <v>-0.631</v>
      </c>
      <c r="C12" s="23" t="n">
        <v>-41.533</v>
      </c>
      <c r="D12" s="23" t="n">
        <v>-97.26300000000001</v>
      </c>
      <c r="E12" s="23" t="n">
        <v>-123.321</v>
      </c>
      <c r="F12" s="23" t="n">
        <v>161.3</v>
      </c>
      <c r="G12" s="23" t="n">
        <v>210.3</v>
      </c>
      <c r="H12" s="23" t="n">
        <v>149.3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-0.029899545109931768</v>
      </c>
      <c r="C13" s="11">
        <f>IFERROR(C12/C14,0)</f>
        <v>-1.9458864317841078</v>
      </c>
      <c r="D13" s="11">
        <f>IFERROR(D12/D14,0)</f>
        <v>-2.713357138871841</v>
      </c>
      <c r="E13" s="11">
        <f>IFERROR(E12/E14,0)</f>
        <v>-2.9350961538461537</v>
      </c>
      <c r="F13" s="11">
        <f>IFERROR(F12/F14,0)</f>
        <v>2.7469813859227847</v>
      </c>
      <c r="G13" s="11">
        <f>IFERROR(G12/G14,0)</f>
        <v>3.4737937527874596</v>
      </c>
      <c r="H13" s="11">
        <f>IFERROR(H12/H14,0)</f>
        <v>2.4329036778724724</v>
      </c>
    </row>
    <row r="14">
      <c r="A14" s="2" t="inlineStr">
        <is>
          <t>Shares</t>
        </is>
      </c>
      <c r="B14" s="23" t="n">
        <v>21.104</v>
      </c>
      <c r="C14" s="23" t="n">
        <v>21.344</v>
      </c>
      <c r="D14" s="23" t="n">
        <v>35.846</v>
      </c>
      <c r="E14" s="23" t="n">
        <v>42.016</v>
      </c>
      <c r="F14" s="23" t="n">
        <v>58.719</v>
      </c>
      <c r="G14" s="23" t="n">
        <v>60.539</v>
      </c>
      <c r="H14" s="23" t="n">
        <v>61.367</v>
      </c>
    </row>
    <row r="15"/>
    <row r="16" customFormat="1" s="4">
      <c r="A16" s="3" t="inlineStr">
        <is>
          <t>Revenue Change</t>
        </is>
      </c>
      <c r="C16" s="15">
        <f>IFERROR(C2/B2-1,"")</f>
        <v>-0.2670370889714646</v>
      </c>
      <c r="D16" s="15">
        <f>IFERROR(D2/C2-1,"")</f>
        <v>-0.8189253174546237</v>
      </c>
      <c r="E16" s="15">
        <f>IFERROR(E2/D2-1,"")</f>
        <v>0.2790544109878501</v>
      </c>
      <c r="F16" s="15">
        <f>IFERROR(F2/E2-1,"")</f>
        <v>-0.8368611254517295</v>
      </c>
      <c r="G16" s="15">
        <f>IFERROR(G2/F2-1,"")</f>
        <v>-1.0</v>
      </c>
      <c r="H16" s="15">
        <f>IFERROR(H2/G2-1,"")</f>
        <v/>
      </c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>1.0</v>
      </c>
      <c r="C17" s="15">
        <f>IFERROR(C4/C2,"")</f>
        <v>1.0</v>
      </c>
      <c r="D17" s="15">
        <f>IFERROR(D4/D2,"")</f>
        <v>1.0</v>
      </c>
      <c r="E17" s="15">
        <f>IFERROR(E4/E2,"")</f>
        <v>1.0</v>
      </c>
      <c r="F17" s="15">
        <f>IFERROR(F4/F2,"")</f>
        <v>1.0</v>
      </c>
      <c r="G17" s="15">
        <f>IFERROR(G4/G2,"")</f>
        <v/>
      </c>
      <c r="H17" s="15">
        <f>IFERROR(H4/H2,"")</f>
        <v/>
      </c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>-0.021576807123326117</v>
      </c>
      <c r="C18" s="15">
        <f>IFERROR(C8/C2,"")</f>
        <v>-0.9958868402802685</v>
      </c>
      <c r="D18" s="15">
        <f>IFERROR(D8/D2,"")</f>
        <v>-12.881008980454304</v>
      </c>
      <c r="E18" s="15">
        <f>IFERROR(E8/E2,"")</f>
        <v>-13.133711925658233</v>
      </c>
      <c r="F18" s="15">
        <f>IFERROR(F8/F2,"")</f>
        <v>-116.54746835443036</v>
      </c>
      <c r="G18" s="15">
        <f>IFERROR(G8/G2,"")</f>
        <v/>
      </c>
      <c r="H18" s="15">
        <f>IFERROR(H8/H2,"")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2026-10-21T01:06:09Z</dcterms:modified>
  <cp:lastModifiedBy>Wang, Eric</cp:lastModifiedBy>
</cp:coreProperties>
</file>