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Pliant Therapeutics, Inc.</t>
        </is>
      </c>
      <c r="C2" s="10" t="n"/>
    </row>
    <row r="3">
      <c r="B3" t="inlineStr">
        <is>
          <t>Price</t>
        </is>
      </c>
      <c r="C3" s="11">
        <f>INDEX([1]Pharma!$F$1:$F$1000,MATCH("PLRX",[1]Pharma!$B$1:$B$1000,0))</f>
        <v>0.9124</v>
      </c>
      <c r="F3" s="1" t="n"/>
    </row>
    <row r="4">
      <c r="B4" t="inlineStr">
        <is>
          <t>Shares</t>
        </is>
      </c>
      <c r="C4" s="21" t="n">
        <v>61.921897</v>
      </c>
      <c r="F4" s="1" t="n"/>
    </row>
    <row r="5">
      <c r="B5" t="inlineStr">
        <is>
          <t>Market Cap.</t>
        </is>
      </c>
      <c r="C5" s="13">
        <f>C3*C4</f>
        <v>56.4975388228</v>
      </c>
      <c r="F5" s="1" t="n"/>
    </row>
    <row r="6"/>
    <row r="7">
      <c r="B7" t="inlineStr">
        <is>
          <t>Cash</t>
        </is>
      </c>
      <c r="C7" s="21">
        <f>24.883+133.218</f>
        <v>158.101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-101.60346117719999</v>
      </c>
    </row>
    <row r="10"/>
    <row r="11">
      <c r="B11" s="14" t="inlineStr">
        <is>
          <t>rNPV / Share</t>
        </is>
      </c>
      <c r="C11" s="11">
        <f>NPV!B27</f>
        <v>-1.00290042450703</v>
      </c>
    </row>
    <row r="12">
      <c r="B12" s="14" t="inlineStr">
        <is>
          <t>Upside</t>
        </is>
      </c>
      <c r="C12" s="15">
        <f>IFERROR(C11/C3-1,"")</f>
        <v>-2.0991894174781125</v>
      </c>
    </row>
    <row r="13">
      <c r="B13" s="14" t="inlineStr">
        <is>
          <t>Cash / Share</t>
        </is>
      </c>
      <c r="C13" s="11">
        <f>IFERROR((C7-C8)/C4,"")</f>
        <v>2.5532325019047786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-70.895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2.2300726426405246</v>
      </c>
    </row>
    <row r="19">
      <c r="B19" s="14" t="inlineStr">
        <is>
          <t>Implied Pipeline Value</t>
        </is>
      </c>
      <c r="C19" s="13">
        <f>C9</f>
        <v>-101.60346117719999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57.052</v>
      </c>
      <c r="C2" s="23" t="n">
        <v>41.817</v>
      </c>
      <c r="D2" s="23" t="n">
        <v>7.572</v>
      </c>
      <c r="E2" s="23" t="n">
        <v>9.685</v>
      </c>
      <c r="F2" s="23" t="n">
        <v>1.58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57.052</v>
      </c>
      <c r="C4" s="23">
        <f>C2-C3</f>
        <v>41.817</v>
      </c>
      <c r="D4" s="23">
        <f>D2-D3</f>
        <v>7.572</v>
      </c>
      <c r="E4" s="23">
        <f>E2-E3</f>
        <v>9.685</v>
      </c>
      <c r="F4" s="23">
        <f>F2-F3</f>
        <v>1.58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47.353</v>
      </c>
      <c r="C5" s="23" t="n">
        <v>66.193</v>
      </c>
      <c r="D5" s="23" t="n">
        <v>77.54900000000001</v>
      </c>
      <c r="E5" s="23" t="n">
        <v>96.93600000000001</v>
      </c>
      <c r="F5" s="23" t="n">
        <v>127.797</v>
      </c>
      <c r="G5" s="23" t="n">
        <v>169.31</v>
      </c>
      <c r="H5" s="23" t="n">
        <v>109.157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10.93</v>
      </c>
      <c r="C6" s="23" t="n">
        <v>17.269</v>
      </c>
      <c r="D6" s="23" t="n">
        <v>27.558</v>
      </c>
      <c r="E6" s="23" t="n">
        <v>39.949</v>
      </c>
      <c r="F6" s="23" t="n">
        <v>57.928</v>
      </c>
      <c r="G6" s="23" t="n">
        <v>59.055</v>
      </c>
      <c r="H6" s="23" t="n">
        <v>47.216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58.283</v>
      </c>
      <c r="C7" s="23">
        <f>SUM(C5:C6)</f>
        <v>83.46199999999999</v>
      </c>
      <c r="D7" s="23">
        <f>SUM(D5:D6)</f>
        <v>105.107</v>
      </c>
      <c r="E7" s="23">
        <f>SUM(E5:E6)</f>
        <v>136.885</v>
      </c>
      <c r="F7" s="23">
        <f>SUM(F5:F6)</f>
        <v>185.725</v>
      </c>
      <c r="G7" s="23">
        <f>SUM(G5:G6)</f>
        <v>228.365</v>
      </c>
      <c r="H7" s="23">
        <f>SUM(H5:H6)</f>
        <v>156.373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-1.2310000000000016</v>
      </c>
      <c r="C8" s="23">
        <f>C4-C7</f>
        <v>-41.64499999999999</v>
      </c>
      <c r="D8" s="23">
        <f>D4-D7</f>
        <v>-97.535</v>
      </c>
      <c r="E8" s="23">
        <f>E4-E7</f>
        <v>-127.19999999999999</v>
      </c>
      <c r="F8" s="23">
        <f>F4-F7</f>
        <v>-184.14499999999998</v>
      </c>
      <c r="G8" s="23">
        <f>G4-G7</f>
        <v>-228.365</v>
      </c>
      <c r="H8" s="23">
        <f>H4-H7</f>
        <v>-156.373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0.6</v>
      </c>
      <c r="C9" s="23" t="n">
        <v>0.112</v>
      </c>
      <c r="D9" s="23" t="n">
        <v>0.272</v>
      </c>
      <c r="E9" s="23" t="n">
        <v>3.879</v>
      </c>
      <c r="F9" s="23" t="n">
        <v>345.445</v>
      </c>
      <c r="G9" s="23" t="n">
        <v>438.665</v>
      </c>
      <c r="H9" s="23" t="n">
        <v>305.673</v>
      </c>
    </row>
    <row r="10">
      <c r="A10" s="2" t="inlineStr">
        <is>
          <t>Pretax</t>
        </is>
      </c>
      <c r="B10" s="23">
        <f>B8+B9</f>
        <v>-0.6310000000000017</v>
      </c>
      <c r="C10" s="23">
        <f>C8+C9</f>
        <v>-41.53299999999999</v>
      </c>
      <c r="D10" s="23">
        <f>D8+D9</f>
        <v>-97.26299999999999</v>
      </c>
      <c r="E10" s="23">
        <f>E8+E9</f>
        <v>-123.32099999999998</v>
      </c>
      <c r="F10" s="23">
        <f>F8+F9</f>
        <v>161.3</v>
      </c>
      <c r="G10" s="23">
        <f>G8+G9</f>
        <v>210.3</v>
      </c>
      <c r="H10" s="23">
        <f>H8+H9</f>
        <v>149.3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-0.631</v>
      </c>
      <c r="C12" s="23" t="n">
        <v>-41.533</v>
      </c>
      <c r="D12" s="23" t="n">
        <v>-97.26300000000001</v>
      </c>
      <c r="E12" s="23" t="n">
        <v>-123.321</v>
      </c>
      <c r="F12" s="23" t="n">
        <v>161.3</v>
      </c>
      <c r="G12" s="23" t="n">
        <v>210.3</v>
      </c>
      <c r="H12" s="23" t="n">
        <v>149.3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-0.029899545109931768</v>
      </c>
      <c r="C13" s="11">
        <f>IFERROR(C12/C14,0)</f>
        <v>-1.9458864317841078</v>
      </c>
      <c r="D13" s="11">
        <f>IFERROR(D12/D14,0)</f>
        <v>-2.713357138871841</v>
      </c>
      <c r="E13" s="11">
        <f>IFERROR(E12/E14,0)</f>
        <v>-2.9350961538461537</v>
      </c>
      <c r="F13" s="11">
        <f>IFERROR(F12/F14,0)</f>
        <v>2.7469813859227847</v>
      </c>
      <c r="G13" s="11">
        <f>IFERROR(G12/G14,0)</f>
        <v>3.4737937527874596</v>
      </c>
      <c r="H13" s="11">
        <f>IFERROR(H12/H14,0)</f>
        <v>2.4329036778724724</v>
      </c>
    </row>
    <row r="14">
      <c r="A14" s="2" t="inlineStr">
        <is>
          <t>Shares</t>
        </is>
      </c>
      <c r="B14" s="23" t="n">
        <v>21.104</v>
      </c>
      <c r="C14" s="23" t="n">
        <v>21.344</v>
      </c>
      <c r="D14" s="23" t="n">
        <v>35.846</v>
      </c>
      <c r="E14" s="23" t="n">
        <v>42.016</v>
      </c>
      <c r="F14" s="23" t="n">
        <v>58.719</v>
      </c>
      <c r="G14" s="23" t="n">
        <v>60.539</v>
      </c>
      <c r="H14" s="23" t="n">
        <v>61.367</v>
      </c>
    </row>
    <row r="15"/>
    <row r="16" customFormat="1" s="4">
      <c r="A16" s="3" t="inlineStr">
        <is>
          <t>Revenue Change</t>
        </is>
      </c>
      <c r="C16" s="15">
        <f>IFERROR(C2/B2-1,"")</f>
        <v>-0.2670370889714646</v>
      </c>
      <c r="D16" s="15">
        <f>IFERROR(D2/C2-1,"")</f>
        <v>-0.8189253174546237</v>
      </c>
      <c r="E16" s="15">
        <f>IFERROR(E2/D2-1,"")</f>
        <v>0.2790544109878501</v>
      </c>
      <c r="F16" s="15">
        <f>IFERROR(F2/E2-1,"")</f>
        <v>-0.8368611254517295</v>
      </c>
      <c r="G16" s="15">
        <f>IFERROR(G2/F2-1,"")</f>
        <v>-1.0</v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-0.021576807123326117</v>
      </c>
      <c r="C18" s="15">
        <f>IFERROR(C8/C2,"")</f>
        <v>-0.9958868402802685</v>
      </c>
      <c r="D18" s="15">
        <f>IFERROR(D8/D2,"")</f>
        <v>-12.881008980454304</v>
      </c>
      <c r="E18" s="15">
        <f>IFERROR(E8/E2,"")</f>
        <v>-13.133711925658233</v>
      </c>
      <c r="F18" s="15">
        <f>IFERROR(F8/F2,"")</f>
        <v>-116.54746835443036</v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Pliant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97.48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262.7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-220.2024967875806</v>
      </c>
      <c r="C29" s="42">
        <f>NPV!B25</f>
        <v>-62.1014967875806</v>
      </c>
      <c r="D29" s="43">
        <f>NPV!B27</f>
        <v>-1.00290042450703</v>
      </c>
      <c r="E29" s="44">
        <f>NPV!B29</f>
        <v>-2.0991894174781125</v>
      </c>
    </row>
    <row r="30">
      <c r="A30" s="45" t="n">
        <v>1</v>
      </c>
      <c r="B30" s="46">
        <f t="dataTable" ref="B30:E32" r1="B4"/>
        <v>-252.54937546627895</v>
      </c>
      <c r="C30" s="46">
        <v>-94.44837546627895</v>
      </c>
      <c r="D30" s="47">
        <v>-1.5252823321333153</v>
      </c>
      <c r="E30" s="48">
        <v>-2.6717254845827654</v>
      </c>
    </row>
    <row r="31">
      <c r="A31" s="45" t="n">
        <v>2</v>
      </c>
      <c r="B31" s="46">
        <v>-220.2024967875806</v>
      </c>
      <c r="C31" s="46">
        <v>-62.1014967875806</v>
      </c>
      <c r="D31" s="47">
        <v>-1.00290042450703</v>
      </c>
      <c r="E31" s="48">
        <v>-2.0991894174781125</v>
      </c>
    </row>
    <row r="32">
      <c r="A32" s="45" t="n">
        <v>3</v>
      </c>
      <c r="B32" s="46">
        <v>-159.38527854966944</v>
      </c>
      <c r="C32" s="46">
        <v>-1.2842785496694376</v>
      </c>
      <c r="D32" s="47">
        <v>-0.020740297243629947</v>
      </c>
      <c r="E32" s="48">
        <v>-1.0227315840022249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-1.00290042450703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-1.7360270625087604</v>
      </c>
      <c r="C37" s="47">
        <v>-1.5683437237772129</v>
      </c>
      <c r="D37" s="47">
        <v>-1.4006603850456638</v>
      </c>
      <c r="E37" s="47">
        <v>-1.06529370758257</v>
      </c>
      <c r="F37" s="47">
        <v>-0.7299270301194737</v>
      </c>
    </row>
    <row r="38">
      <c r="A38" s="50" t="n">
        <v>0.8</v>
      </c>
      <c r="B38" s="47">
        <v>-1.6489359747271426</v>
      </c>
      <c r="C38" s="47">
        <v>-1.4253581897517442</v>
      </c>
      <c r="D38" s="47">
        <v>-1.201780404776346</v>
      </c>
      <c r="E38" s="47">
        <v>-0.7546248348255528</v>
      </c>
      <c r="F38" s="47">
        <v>-0.30746926487475773</v>
      </c>
    </row>
    <row r="39">
      <c r="A39" s="50" t="n">
        <v>1</v>
      </c>
      <c r="B39" s="47">
        <v>-1.5618448869455228</v>
      </c>
      <c r="C39" s="47">
        <v>-1.2823726557262767</v>
      </c>
      <c r="D39" s="47">
        <v>-1.00290042450703</v>
      </c>
      <c r="E39" s="47">
        <v>-0.44395596206853577</v>
      </c>
      <c r="F39" s="47">
        <v>0.11498850036995777</v>
      </c>
    </row>
    <row r="40">
      <c r="A40" s="50" t="n">
        <v>1.2</v>
      </c>
      <c r="B40" s="47">
        <v>-1.4747537991639053</v>
      </c>
      <c r="C40" s="47">
        <v>-1.1393871217008078</v>
      </c>
      <c r="D40" s="47">
        <v>-0.8040204442377129</v>
      </c>
      <c r="E40" s="47">
        <v>-0.1332870893115196</v>
      </c>
      <c r="F40" s="47">
        <v>0.4971108742497106</v>
      </c>
    </row>
    <row r="41">
      <c r="A41" s="50" t="n">
        <v>1.4</v>
      </c>
      <c r="B41" s="47">
        <v>-1.3876627113822861</v>
      </c>
      <c r="C41" s="47">
        <v>-0.9964015876753402</v>
      </c>
      <c r="D41" s="47">
        <v>-0.6051404639683947</v>
      </c>
      <c r="E41" s="47">
        <v>0.17738178344549516</v>
      </c>
      <c r="F41" s="47">
        <v>0.8621476510859599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Pliant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PLN-101095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69.22180286367352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7.904999999999999</v>
      </c>
      <c r="U4" s="23">
        <f>IF(U$3&lt;$I4,0,$G4*Assumptions!$E$11*INDEX(Assumptions!$B$24:$G$24,MIN(6,U$3-$I4+1))*IF(U$3&gt;$J4,(1-Assumptions!$B$26)^(U$3-$J4),1)*IF($H4&gt;=1,1,MIN(0.97,$H4*Assumptions!$E$12)))</f>
        <v>19.7625</v>
      </c>
      <c r="V4" s="23">
        <f>IF(V$3&lt;$I4,0,$G4*Assumptions!$E$11*INDEX(Assumptions!$B$24:$G$24,MIN(6,V$3-$I4+1))*IF(V$3&gt;$J4,(1-Assumptions!$B$26)^(V$3-$J4),1)*IF($H4&gt;=1,1,MIN(0.97,$H4*Assumptions!$E$12)))</f>
        <v>35.5725</v>
      </c>
      <c r="W4" s="23">
        <f>IF(W$3&lt;$I4,0,$G4*Assumptions!$E$11*INDEX(Assumptions!$B$24:$G$24,MIN(6,W$3-$I4+1))*IF(W$3&gt;$J4,(1-Assumptions!$B$26)^(W$3-$J4),1)*IF($H4&gt;=1,1,MIN(0.97,$H4*Assumptions!$E$12)))</f>
        <v>51.3825</v>
      </c>
      <c r="X4" s="23">
        <f>IF(X$3&lt;$I4,0,$G4*Assumptions!$E$11*INDEX(Assumptions!$B$24:$G$24,MIN(6,X$3-$I4+1))*IF(X$3&gt;$J4,(1-Assumptions!$B$26)^(X$3-$J4),1)*IF($H4&gt;=1,1,MIN(0.97,$H4*Assumptions!$E$12)))</f>
        <v>67.1925</v>
      </c>
      <c r="Y4" s="23">
        <f>IF(Y$3&lt;$I4,0,$G4*Assumptions!$E$11*INDEX(Assumptions!$B$24:$G$24,MIN(6,Y$3-$I4+1))*IF(Y$3&gt;$J4,(1-Assumptions!$B$26)^(Y$3-$J4),1)*IF($H4&gt;=1,1,MIN(0.97,$H4*Assumptions!$E$12)))</f>
        <v>79.05</v>
      </c>
      <c r="Z4" s="23">
        <f>IF(Z$3&lt;$I4,0,$G4*Assumptions!$E$11*INDEX(Assumptions!$B$24:$G$24,MIN(6,Z$3-$I4+1))*IF(Z$3&gt;$J4,(1-Assumptions!$B$26)^(Z$3-$J4),1)*IF($H4&gt;=1,1,MIN(0.97,$H4*Assumptions!$E$12)))</f>
        <v>79.05</v>
      </c>
      <c r="AA4" s="23">
        <f>IF(AA$3&lt;$I4,0,$G4*Assumptions!$E$11*INDEX(Assumptions!$B$24:$G$24,MIN(6,AA$3-$I4+1))*IF(AA$3&gt;$J4,(1-Assumptions!$B$26)^(AA$3-$J4),1)*IF($H4&gt;=1,1,MIN(0.97,$H4*Assumptions!$E$12)))</f>
        <v>79.05</v>
      </c>
      <c r="AB4" s="23">
        <f>IF(AB$3&lt;$I4,0,$G4*Assumptions!$E$11*INDEX(Assumptions!$B$24:$G$24,MIN(6,AB$3-$I4+1))*IF(AB$3&gt;$J4,(1-Assumptions!$B$26)^(AB$3-$J4),1)*IF($H4&gt;=1,1,MIN(0.97,$H4*Assumptions!$E$12)))</f>
        <v>79.05</v>
      </c>
      <c r="AC4" s="23">
        <f>IF(AC$3&lt;$I4,0,$G4*Assumptions!$E$11*INDEX(Assumptions!$B$24:$G$24,MIN(6,AC$3-$I4+1))*IF(AC$3&gt;$J4,(1-Assumptions!$B$26)^(AC$3-$J4),1)*IF($H4&gt;=1,1,MIN(0.97,$H4*Assumptions!$E$12)))</f>
        <v>79.05</v>
      </c>
      <c r="AD4" s="23">
        <f>IF(AD$3&lt;$I4,0,$G4*Assumptions!$E$11*INDEX(Assumptions!$B$24:$G$24,MIN(6,AD$3-$I4+1))*IF(AD$3&gt;$J4,(1-Assumptions!$B$26)^(AD$3-$J4),1)*IF($H4&gt;=1,1,MIN(0.97,$H4*Assumptions!$E$12)))</f>
        <v>79.05</v>
      </c>
      <c r="AE4" s="23">
        <f>IF(AE$3&lt;$I4,0,$G4*Assumptions!$E$11*INDEX(Assumptions!$B$24:$G$24,MIN(6,AE$3-$I4+1))*IF(AE$3&gt;$J4,(1-Assumptions!$B$26)^(AE$3-$J4),1)*IF($H4&gt;=1,1,MIN(0.97,$H4*Assumptions!$E$12)))</f>
        <v>79.05</v>
      </c>
      <c r="AF4" s="23">
        <f>IF(AF$3&lt;$I4,0,$G4*Assumptions!$E$11*INDEX(Assumptions!$B$24:$G$24,MIN(6,AF$3-$I4+1))*IF(AF$3&gt;$J4,(1-Assumptions!$B$26)^(AF$3-$J4),1)*IF($H4&gt;=1,1,MIN(0.97,$H4*Assumptions!$E$12)))</f>
        <v>79.05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69.22180286367352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7.904999999999999</v>
      </c>
      <c r="U5" s="54">
        <f>SUM(U4:U4)</f>
        <v>19.7625</v>
      </c>
      <c r="V5" s="54">
        <f>SUM(V4:V4)</f>
        <v>35.5725</v>
      </c>
      <c r="W5" s="54">
        <f>SUM(W4:W4)</f>
        <v>51.3825</v>
      </c>
      <c r="X5" s="54">
        <f>SUM(X4:X4)</f>
        <v>67.1925</v>
      </c>
      <c r="Y5" s="54">
        <f>SUM(Y4:Y4)</f>
        <v>79.05</v>
      </c>
      <c r="Z5" s="54">
        <f>SUM(Z4:Z4)</f>
        <v>79.05</v>
      </c>
      <c r="AA5" s="54">
        <f>SUM(AA4:AA4)</f>
        <v>79.05</v>
      </c>
      <c r="AB5" s="54">
        <f>SUM(AB4:AB4)</f>
        <v>79.05</v>
      </c>
      <c r="AC5" s="54">
        <f>SUM(AC4:AC4)</f>
        <v>79.05</v>
      </c>
      <c r="AD5" s="54">
        <f>SUM(AD4:AD4)</f>
        <v>79.05</v>
      </c>
      <c r="AE5" s="54">
        <f>SUM(AE4:AE4)</f>
        <v>79.05</v>
      </c>
      <c r="AF5" s="54">
        <f>SUM(AF4:AF4)</f>
        <v>79.05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3.162</v>
      </c>
      <c r="U6" s="55">
        <f>SUMPRODUCT(U4:U4,$K$4:$K$4)</f>
        <v>7.905</v>
      </c>
      <c r="V6" s="55">
        <f>SUMPRODUCT(V4:V4,$K$4:$K$4)</f>
        <v>14.229</v>
      </c>
      <c r="W6" s="55">
        <f>SUMPRODUCT(W4:W4,$K$4:$K$4)</f>
        <v>20.553</v>
      </c>
      <c r="X6" s="55">
        <f>SUMPRODUCT(X4:X4,$K$4:$K$4)</f>
        <v>26.877</v>
      </c>
      <c r="Y6" s="55">
        <f>SUMPRODUCT(Y4:Y4,$K$4:$K$4)</f>
        <v>31.62</v>
      </c>
      <c r="Z6" s="55">
        <f>SUMPRODUCT(Z4:Z4,$K$4:$K$4)</f>
        <v>31.62</v>
      </c>
      <c r="AA6" s="55">
        <f>SUMPRODUCT(AA4:AA4,$K$4:$K$4)</f>
        <v>31.62</v>
      </c>
      <c r="AB6" s="55">
        <f>SUMPRODUCT(AB4:AB4,$K$4:$K$4)</f>
        <v>31.62</v>
      </c>
      <c r="AC6" s="55">
        <f>SUMPRODUCT(AC4:AC4,$K$4:$K$4)</f>
        <v>31.62</v>
      </c>
      <c r="AD6" s="55">
        <f>SUMPRODUCT(AD4:AD4,$K$4:$K$4)</f>
        <v>31.62</v>
      </c>
      <c r="AE6" s="55">
        <f>SUMPRODUCT(AE4:AE4,$K$4:$K$4)</f>
        <v>31.62</v>
      </c>
      <c r="AF6" s="55">
        <f>SUMPRODUCT(AF4:AF4,$K$4:$K$4)</f>
        <v>31.62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Pliant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7.904999999999999</v>
      </c>
      <c r="K4" s="57">
        <f>Pipeline!U5</f>
        <v>19.7625</v>
      </c>
      <c r="L4" s="57">
        <f>Pipeline!V5</f>
        <v>35.5725</v>
      </c>
      <c r="M4" s="57">
        <f>Pipeline!W5</f>
        <v>51.3825</v>
      </c>
      <c r="N4" s="57">
        <f>Pipeline!X5</f>
        <v>67.1925</v>
      </c>
      <c r="O4" s="57">
        <f>Pipeline!Y5</f>
        <v>79.05</v>
      </c>
      <c r="P4" s="57">
        <f>Pipeline!Z5</f>
        <v>79.05</v>
      </c>
      <c r="Q4" s="57">
        <f>Pipeline!AA5</f>
        <v>79.05</v>
      </c>
      <c r="R4" s="57">
        <f>Pipeline!AB5</f>
        <v>79.05</v>
      </c>
      <c r="S4" s="57">
        <f>Pipeline!AC5</f>
        <v>79.05</v>
      </c>
      <c r="T4" s="57">
        <f>Pipeline!AD5</f>
        <v>79.05</v>
      </c>
      <c r="U4" s="57">
        <f>Pipeline!AE5</f>
        <v>79.05</v>
      </c>
      <c r="V4" s="57">
        <f>Pipeline!AF5</f>
        <v>79.05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3.162</v>
      </c>
      <c r="K5" s="57">
        <f>Pipeline!U6</f>
        <v>7.905</v>
      </c>
      <c r="L5" s="57">
        <f>Pipeline!V6</f>
        <v>14.229</v>
      </c>
      <c r="M5" s="57">
        <f>Pipeline!W6</f>
        <v>20.553</v>
      </c>
      <c r="N5" s="57">
        <f>Pipeline!X6</f>
        <v>26.877</v>
      </c>
      <c r="O5" s="57">
        <f>Pipeline!Y6</f>
        <v>31.62</v>
      </c>
      <c r="P5" s="57">
        <f>Pipeline!Z6</f>
        <v>31.62</v>
      </c>
      <c r="Q5" s="57">
        <f>Pipeline!AA6</f>
        <v>31.62</v>
      </c>
      <c r="R5" s="57">
        <f>Pipeline!AB6</f>
        <v>31.62</v>
      </c>
      <c r="S5" s="57">
        <f>Pipeline!AC6</f>
        <v>31.62</v>
      </c>
      <c r="T5" s="57">
        <f>Pipeline!AD6</f>
        <v>31.62</v>
      </c>
      <c r="U5" s="57">
        <f>Pipeline!AE6</f>
        <v>31.62</v>
      </c>
      <c r="V5" s="57">
        <f>Pipeline!AF6</f>
        <v>31.62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-97.48</v>
      </c>
      <c r="D6" s="23">
        <f>-IF(D3-2026&lt;Assumptions!$B$19,Assumptions!$B$18,Assumptions!$B$18*Assumptions!$B$20*Assumptions!$B$16)</f>
        <v>-97.48</v>
      </c>
      <c r="E6" s="23">
        <f>-IF(E3-2026&lt;Assumptions!$B$19,Assumptions!$B$18,Assumptions!$B$18*Assumptions!$B$20*Assumptions!$B$16)</f>
        <v>-97.48</v>
      </c>
      <c r="F6" s="23">
        <f>-IF(F3-2026&lt;Assumptions!$B$19,Assumptions!$B$18,Assumptions!$B$18*Assumptions!$B$20*Assumptions!$B$16)</f>
        <v>-97.48</v>
      </c>
      <c r="G6" s="23">
        <f>-IF(G3-2026&lt;Assumptions!$B$19,Assumptions!$B$18,Assumptions!$B$18*Assumptions!$B$20*Assumptions!$B$16)</f>
        <v>-1.5411587999999992</v>
      </c>
      <c r="H6" s="23">
        <f>-IF(H3-2026&lt;Assumptions!$B$19,Assumptions!$B$18,Assumptions!$B$18*Assumptions!$B$20*Assumptions!$B$16)</f>
        <v>-1.5411587999999992</v>
      </c>
      <c r="I6" s="23">
        <f>-IF(I3-2026&lt;Assumptions!$B$19,Assumptions!$B$18,Assumptions!$B$18*Assumptions!$B$20*Assumptions!$B$16)</f>
        <v>-1.5411587999999992</v>
      </c>
      <c r="J6" s="23">
        <f>-IF(J3-2026&lt;Assumptions!$B$19,Assumptions!$B$18,Assumptions!$B$18*Assumptions!$B$20*Assumptions!$B$16)</f>
        <v>-1.5411587999999992</v>
      </c>
      <c r="K6" s="23">
        <f>-IF(K3-2026&lt;Assumptions!$B$19,Assumptions!$B$18,Assumptions!$B$18*Assumptions!$B$20*Assumptions!$B$16)</f>
        <v>-1.5411587999999992</v>
      </c>
      <c r="L6" s="23">
        <f>-IF(L3-2026&lt;Assumptions!$B$19,Assumptions!$B$18,Assumptions!$B$18*Assumptions!$B$20*Assumptions!$B$16)</f>
        <v>-1.5411587999999992</v>
      </c>
      <c r="M6" s="23">
        <f>-IF(M3-2026&lt;Assumptions!$B$19,Assumptions!$B$18,Assumptions!$B$18*Assumptions!$B$20*Assumptions!$B$16)</f>
        <v>-1.5411587999999992</v>
      </c>
      <c r="N6" s="23">
        <f>-IF(N3-2026&lt;Assumptions!$B$19,Assumptions!$B$18,Assumptions!$B$18*Assumptions!$B$20*Assumptions!$B$16)</f>
        <v>-1.5411587999999992</v>
      </c>
      <c r="O6" s="23">
        <f>-IF(O3-2026&lt;Assumptions!$B$19,Assumptions!$B$18,Assumptions!$B$18*Assumptions!$B$20*Assumptions!$B$16)</f>
        <v>-1.5411587999999992</v>
      </c>
      <c r="P6" s="23">
        <f>-IF(P3-2026&lt;Assumptions!$B$19,Assumptions!$B$18,Assumptions!$B$18*Assumptions!$B$20*Assumptions!$B$16)</f>
        <v>-1.5411587999999992</v>
      </c>
      <c r="Q6" s="23">
        <f>-IF(Q3-2026&lt;Assumptions!$B$19,Assumptions!$B$18,Assumptions!$B$18*Assumptions!$B$20*Assumptions!$B$16)</f>
        <v>-1.5411587999999992</v>
      </c>
      <c r="R6" s="23">
        <f>-IF(R3-2026&lt;Assumptions!$B$19,Assumptions!$B$18,Assumptions!$B$18*Assumptions!$B$20*Assumptions!$B$16)</f>
        <v>-1.5411587999999992</v>
      </c>
      <c r="S6" s="23">
        <f>-IF(S3-2026&lt;Assumptions!$B$19,Assumptions!$B$18,Assumptions!$B$18*Assumptions!$B$20*Assumptions!$B$16)</f>
        <v>-1.5411587999999992</v>
      </c>
      <c r="T6" s="23">
        <f>-IF(T3-2026&lt;Assumptions!$B$19,Assumptions!$B$18,Assumptions!$B$18*Assumptions!$B$20*Assumptions!$B$16)</f>
        <v>-1.5411587999999992</v>
      </c>
      <c r="U6" s="23">
        <f>-IF(U3-2026&lt;Assumptions!$B$19,Assumptions!$B$18,Assumptions!$B$18*Assumptions!$B$20*Assumptions!$B$16)</f>
        <v>-1.5411587999999992</v>
      </c>
      <c r="V6" s="23">
        <f>-IF(V3-2026&lt;Assumptions!$B$19,Assumptions!$B$18,Assumptions!$B$18*Assumptions!$B$20*Assumptions!$B$16)</f>
        <v>-1.5411587999999992</v>
      </c>
    </row>
    <row r="7">
      <c r="A7" s="14" t="inlineStr">
        <is>
          <t>Pre-tax cash flow</t>
        </is>
      </c>
      <c r="C7" s="23">
        <f>C5+C6</f>
        <v>-97.48</v>
      </c>
      <c r="D7" s="23">
        <f>D5+D6</f>
        <v>-97.48</v>
      </c>
      <c r="E7" s="23">
        <f>E5+E6</f>
        <v>-97.48</v>
      </c>
      <c r="F7" s="23">
        <f>F5+F6</f>
        <v>-97.48</v>
      </c>
      <c r="G7" s="23">
        <f>G5+G6</f>
        <v>-1.5411587999999992</v>
      </c>
      <c r="H7" s="23">
        <f>H5+H6</f>
        <v>-1.5411587999999992</v>
      </c>
      <c r="I7" s="23">
        <f>I5+I6</f>
        <v>-1.5411587999999992</v>
      </c>
      <c r="J7" s="23">
        <f>J5+J6</f>
        <v>1.6208412000000008</v>
      </c>
      <c r="K7" s="23">
        <f>K5+K6</f>
        <v>6.363841200000001</v>
      </c>
      <c r="L7" s="23">
        <f>L5+L6</f>
        <v>12.6878412</v>
      </c>
      <c r="M7" s="23">
        <f>M5+M6</f>
        <v>19.011841200000003</v>
      </c>
      <c r="N7" s="23">
        <f>N5+N6</f>
        <v>25.3358412</v>
      </c>
      <c r="O7" s="23">
        <f>O5+O6</f>
        <v>30.078841200000003</v>
      </c>
      <c r="P7" s="23">
        <f>P5+P6</f>
        <v>30.078841200000003</v>
      </c>
      <c r="Q7" s="23">
        <f>Q5+Q6</f>
        <v>30.078841200000003</v>
      </c>
      <c r="R7" s="23">
        <f>R5+R6</f>
        <v>30.078841200000003</v>
      </c>
      <c r="S7" s="23">
        <f>S5+S6</f>
        <v>30.078841200000003</v>
      </c>
      <c r="T7" s="23">
        <f>T5+T6</f>
        <v>30.078841200000003</v>
      </c>
      <c r="U7" s="23">
        <f>U5+U6</f>
        <v>30.078841200000003</v>
      </c>
      <c r="V7" s="23">
        <f>V5+V6</f>
        <v>30.078841200000003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1.6208412000000008</v>
      </c>
      <c r="K8" s="23">
        <f>MIN(J17,MAX(0,K7))</f>
        <v>6.363841200000001</v>
      </c>
      <c r="L8" s="23">
        <f>MIN(K17,MAX(0,L7))</f>
        <v>12.6878412</v>
      </c>
      <c r="M8" s="23">
        <f>MIN(L17,MAX(0,M7))</f>
        <v>19.011841200000003</v>
      </c>
      <c r="N8" s="23">
        <f>MIN(M17,MAX(0,N7))</f>
        <v>25.3358412</v>
      </c>
      <c r="O8" s="23">
        <f>MIN(N17,MAX(0,O7))</f>
        <v>30.078841200000003</v>
      </c>
      <c r="P8" s="23">
        <f>MIN(O17,MAX(0,P7))</f>
        <v>30.078841200000003</v>
      </c>
      <c r="Q8" s="23">
        <f>MIN(P17,MAX(0,Q7))</f>
        <v>30.078841200000003</v>
      </c>
      <c r="R8" s="23">
        <f>MIN(Q17,MAX(0,R7))</f>
        <v>30.078841200000003</v>
      </c>
      <c r="S8" s="23">
        <f>MIN(R17,MAX(0,S7))</f>
        <v>30.078841200000003</v>
      </c>
      <c r="T8" s="23">
        <f>MIN(S17,MAX(0,T7))</f>
        <v>30.078841200000003</v>
      </c>
      <c r="U8" s="23">
        <f>MIN(T17,MAX(0,U7))</f>
        <v>30.078841200000003</v>
      </c>
      <c r="V8" s="23">
        <f>MIN(U17,MAX(0,V7))</f>
        <v>30.078841200000003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-97.48</v>
      </c>
      <c r="D11" s="55">
        <f>D7-D10</f>
        <v>-97.48</v>
      </c>
      <c r="E11" s="55">
        <f>E7-E10</f>
        <v>-97.48</v>
      </c>
      <c r="F11" s="55">
        <f>F7-F10</f>
        <v>-97.48</v>
      </c>
      <c r="G11" s="55">
        <f>G7-G10</f>
        <v>-1.5411587999999992</v>
      </c>
      <c r="H11" s="55">
        <f>H7-H10</f>
        <v>-1.5411587999999992</v>
      </c>
      <c r="I11" s="55">
        <f>I7-I10</f>
        <v>-1.5411587999999992</v>
      </c>
      <c r="J11" s="55">
        <f>J7-J10</f>
        <v>1.6208412000000008</v>
      </c>
      <c r="K11" s="55">
        <f>K7-K10</f>
        <v>6.363841200000001</v>
      </c>
      <c r="L11" s="55">
        <f>L7-L10</f>
        <v>12.6878412</v>
      </c>
      <c r="M11" s="55">
        <f>M7-M10</f>
        <v>19.011841200000003</v>
      </c>
      <c r="N11" s="55">
        <f>N7-N10</f>
        <v>25.3358412</v>
      </c>
      <c r="O11" s="55">
        <f>O7-O10</f>
        <v>30.078841200000003</v>
      </c>
      <c r="P11" s="55">
        <f>P7-P10</f>
        <v>30.078841200000003</v>
      </c>
      <c r="Q11" s="55">
        <f>Q7-Q10</f>
        <v>30.078841200000003</v>
      </c>
      <c r="R11" s="55">
        <f>R7-R10</f>
        <v>30.078841200000003</v>
      </c>
      <c r="S11" s="55">
        <f>S7-S10</f>
        <v>30.078841200000003</v>
      </c>
      <c r="T11" s="55">
        <f>T7-T10</f>
        <v>30.078841200000003</v>
      </c>
      <c r="U11" s="55">
        <f>U7-U10</f>
        <v>30.078841200000003</v>
      </c>
      <c r="V11" s="55">
        <f>V7-V10</f>
        <v>30.078841200000003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-47.75587594194918</v>
      </c>
      <c r="D16" s="55">
        <f>D11*D15</f>
        <v>-86.99528274304504</v>
      </c>
      <c r="E16" s="55">
        <f>E11*E15</f>
        <v>-77.67435959200448</v>
      </c>
      <c r="F16" s="55">
        <f>F11*F15</f>
        <v>-69.35210677857543</v>
      </c>
      <c r="G16" s="55">
        <f>G11*G15</f>
        <v>-0.9789792930082828</v>
      </c>
      <c r="H16" s="55">
        <f>H11*H15</f>
        <v>-0.874088654471681</v>
      </c>
      <c r="I16" s="55">
        <f>I11*I15</f>
        <v>-0.7804362986354294</v>
      </c>
      <c r="J16" s="55">
        <f>J11*J15</f>
        <v>0.7328456509037046</v>
      </c>
      <c r="K16" s="55">
        <f>K11*K15</f>
        <v>2.5690547436890276</v>
      </c>
      <c r="L16" s="55">
        <f>L11*L15</f>
        <v>4.573237294565039</v>
      </c>
      <c r="M16" s="55">
        <f>M11*M15</f>
        <v>6.118460456103843</v>
      </c>
      <c r="N16" s="55">
        <f>N11*N15</f>
        <v>7.280065471227334</v>
      </c>
      <c r="O16" s="55">
        <f>O11*O15</f>
        <v>7.716902887059704</v>
      </c>
      <c r="P16" s="55">
        <f>P11*P15</f>
        <v>6.890091863446163</v>
      </c>
      <c r="Q16" s="55">
        <f>Q11*Q15</f>
        <v>6.151867735219788</v>
      </c>
      <c r="R16" s="55">
        <f>R11*R15</f>
        <v>5.492739049303382</v>
      </c>
      <c r="S16" s="55">
        <f>S11*S15</f>
        <v>4.904231294020876</v>
      </c>
      <c r="T16" s="55">
        <f>T11*T15</f>
        <v>4.3787779410900685</v>
      </c>
      <c r="U16" s="55">
        <f>U11*U15</f>
        <v>3.9096231616875605</v>
      </c>
      <c r="V16" s="55">
        <f>V11*V15</f>
        <v>3.490734965792464</v>
      </c>
    </row>
    <row r="17">
      <c r="A17" s="14" t="inlineStr">
        <is>
          <t>Tax-loss carryforward, end of year</t>
        </is>
      </c>
      <c r="C17" s="23">
        <f>Assumptions!$B$21-C8+MAX(0,-C7)</f>
        <v>360.18</v>
      </c>
      <c r="D17" s="23">
        <f>C17-D8+MAX(0,-D7)</f>
        <v>457.66</v>
      </c>
      <c r="E17" s="23">
        <f>D17-E8+MAX(0,-E7)</f>
        <v>555.14</v>
      </c>
      <c r="F17" s="23">
        <f>E17-F8+MAX(0,-F7)</f>
        <v>652.62</v>
      </c>
      <c r="G17" s="23">
        <f>F17-G8+MAX(0,-G7)</f>
        <v>654.1611588</v>
      </c>
      <c r="H17" s="23">
        <f>G17-H8+MAX(0,-H7)</f>
        <v>655.7023175999999</v>
      </c>
      <c r="I17" s="23">
        <f>H17-I8+MAX(0,-I7)</f>
        <v>657.2434763999998</v>
      </c>
      <c r="J17" s="23">
        <f>I17-J8+MAX(0,-J7)</f>
        <v>655.6226351999999</v>
      </c>
      <c r="K17" s="23">
        <f>J17-K8+MAX(0,-K7)</f>
        <v>649.2587939999999</v>
      </c>
      <c r="L17" s="23">
        <f>K17-L8+MAX(0,-L7)</f>
        <v>636.5709527999999</v>
      </c>
      <c r="M17" s="23">
        <f>L17-M8+MAX(0,-M7)</f>
        <v>617.5591115999998</v>
      </c>
      <c r="N17" s="23">
        <f>M17-N8+MAX(0,-N7)</f>
        <v>592.2232703999998</v>
      </c>
      <c r="O17" s="23">
        <f>N17-O8+MAX(0,-O7)</f>
        <v>562.1444291999998</v>
      </c>
      <c r="P17" s="23">
        <f>O17-P8+MAX(0,-P7)</f>
        <v>532.0655879999997</v>
      </c>
      <c r="Q17" s="23">
        <f>P17-Q8+MAX(0,-Q7)</f>
        <v>501.9867467999997</v>
      </c>
      <c r="R17" s="23">
        <f>Q17-R8+MAX(0,-R7)</f>
        <v>471.9079055999997</v>
      </c>
      <c r="S17" s="23">
        <f>R17-S8+MAX(0,-S7)</f>
        <v>441.8290643999997</v>
      </c>
      <c r="T17" s="23">
        <f>S17-T8+MAX(0,-T7)</f>
        <v>411.7502231999997</v>
      </c>
      <c r="U17" s="23">
        <f>T17-U8+MAX(0,-U7)</f>
        <v>381.6713819999997</v>
      </c>
      <c r="V17" s="23">
        <f>U17-V8+MAX(0,-V7)</f>
        <v>351.5925407999997</v>
      </c>
    </row>
    <row r="19">
      <c r="A19" s="14" t="inlineStr">
        <is>
          <t>PV of risked pipeline contribution</t>
        </is>
      </c>
      <c r="B19" s="23">
        <f>SUMPRODUCT(C5:V5,C15:V15)</f>
        <v>69.2218028636735</v>
      </c>
    </row>
    <row r="20">
      <c r="A20" s="14" t="inlineStr">
        <is>
          <t>PV of corporate burn</t>
        </is>
      </c>
      <c r="B20" s="23">
        <f>SUMPRODUCT(C6:V6,C15:V15)</f>
        <v>-289.42429965125405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-220.2024967875806</v>
      </c>
    </row>
    <row r="23">
      <c r="A23" s="14" t="inlineStr">
        <is>
          <t>Cash &amp; investments</t>
        </is>
      </c>
      <c r="B23" s="57">
        <f>Main!C7</f>
        <v>158.101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-62.1014967875806</v>
      </c>
    </row>
    <row r="26">
      <c r="A26" s="14" t="inlineStr">
        <is>
          <t>Shares (mm)</t>
        </is>
      </c>
      <c r="B26" s="57">
        <f>Main!C4</f>
        <v>61.921897</v>
      </c>
    </row>
    <row r="27">
      <c r="A27" s="24" t="inlineStr">
        <is>
          <t>rNPV / share</t>
        </is>
      </c>
      <c r="B27" s="60">
        <f>B25/B26</f>
        <v>-1.00290042450703</v>
      </c>
    </row>
    <row r="28">
      <c r="A28" s="14" t="inlineStr">
        <is>
          <t>Price</t>
        </is>
      </c>
      <c r="B28" s="61">
        <f>Main!C3</f>
        <v>0.9124</v>
      </c>
    </row>
    <row r="29">
      <c r="A29" s="14" t="inlineStr">
        <is>
          <t>Upside</t>
        </is>
      </c>
      <c r="B29" s="62">
        <f>B27/B28-1</f>
        <v>-2.0991894174781125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2026-10-21T06:29:05Z</dcterms:modified>
  <cp:lastModifiedBy>Wang, Eric</cp:lastModifiedBy>
</cp:coreProperties>
</file>