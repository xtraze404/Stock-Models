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Burning Rock Biotech Limited</t>
        </is>
      </c>
      <c r="C2" s="10" t="n"/>
    </row>
    <row r="3">
      <c r="B3" t="inlineStr">
        <is>
          <t>Price</t>
        </is>
      </c>
      <c r="C3" s="11">
        <f>INDEX([1]Pharma!$F$1:$F$1000,MATCH("BNR",[1]Pharma!$B$1:$B$1000,0))</f>
        <v>12.66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>
        <f>(478.392)/6.6862</f>
        <v>71.54916095839191</v>
      </c>
    </row>
    <row r="8">
      <c r="B8" t="inlineStr">
        <is>
          <t>Debt</t>
        </is>
      </c>
      <c r="C8" s="21">
        <f>(1.7)/6.6862</f>
        <v>0.25425503275403066</v>
      </c>
    </row>
    <row r="9">
      <c r="B9" t="inlineStr">
        <is>
          <t>Enterprise V.</t>
        </is>
      </c>
      <c r="C9" s="13">
        <f>C5-C7+C8</f>
        <v>-71.29490592563788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-4.254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16.759498337009376</v>
      </c>
    </row>
    <row r="19">
      <c r="B19" s="14" t="inlineStr">
        <is>
          <t>Implied Pipeline Value</t>
        </is>
      </c>
      <c r="C19" s="13">
        <f>C9</f>
        <v>-71.29490592563788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31.239</v>
      </c>
      <c r="C2" s="23" t="n">
        <v>57.084</v>
      </c>
      <c r="D2" s="23" t="n">
        <v>64.297</v>
      </c>
      <c r="E2" s="23" t="n">
        <v>75.95699999999999</v>
      </c>
      <c r="F2" s="23" t="n">
        <v>84.239</v>
      </c>
      <c r="G2" s="23" t="n">
        <v>80.38</v>
      </c>
      <c r="H2" s="23" t="n">
        <v>77.14700000000001</v>
      </c>
      <c r="I2" s="23" t="n">
        <v>80.699</v>
      </c>
      <c r="J2" s="1" t="n"/>
      <c r="K2" s="1" t="n"/>
    </row>
    <row r="3" customFormat="1" s="1">
      <c r="A3" s="5" t="inlineStr">
        <is>
          <t>Cost of Sales</t>
        </is>
      </c>
      <c r="B3" s="23" t="n">
        <v>11.039</v>
      </c>
      <c r="C3" s="23" t="n">
        <v>16.204</v>
      </c>
      <c r="D3" s="23" t="n">
        <v>17.346</v>
      </c>
      <c r="E3" s="23" t="n">
        <v>21.494</v>
      </c>
      <c r="F3" s="23" t="n">
        <v>27.4</v>
      </c>
      <c r="G3" s="23" t="n">
        <v>26.055</v>
      </c>
      <c r="H3" s="23" t="n">
        <v>22.946</v>
      </c>
      <c r="I3" s="23" t="n">
        <v>20.438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20.200000000000003</v>
      </c>
      <c r="C4" s="23">
        <f>C2-C3</f>
        <v>40.88</v>
      </c>
      <c r="D4" s="23">
        <f>D2-D3</f>
        <v>46.95099999999999</v>
      </c>
      <c r="E4" s="23">
        <f>E2-E3</f>
        <v>54.462999999999994</v>
      </c>
      <c r="F4" s="23">
        <f>F2-F3</f>
        <v>56.839000000000006</v>
      </c>
      <c r="G4" s="23">
        <f>G2-G3</f>
        <v>54.324999999999996</v>
      </c>
      <c r="H4" s="23">
        <f>H2-H3</f>
        <v>54.20100000000001</v>
      </c>
      <c r="I4" s="23">
        <f>I2-I3</f>
        <v>60.260999999999996</v>
      </c>
      <c r="J4" s="1" t="n"/>
      <c r="K4" s="1" t="n"/>
    </row>
    <row r="5">
      <c r="A5" s="2" t="inlineStr">
        <is>
          <t>Research &amp; Dev.</t>
        </is>
      </c>
      <c r="B5" s="23" t="n">
        <v>15.749</v>
      </c>
      <c r="C5" s="23" t="n">
        <v>23.471</v>
      </c>
      <c r="D5" s="23" t="n">
        <v>39.475</v>
      </c>
      <c r="E5" s="23" t="n">
        <v>55.017</v>
      </c>
      <c r="F5" s="23" t="n">
        <v>63.095</v>
      </c>
      <c r="G5" s="23" t="n">
        <v>51.9</v>
      </c>
      <c r="H5" s="23" t="n">
        <v>34.742</v>
      </c>
      <c r="I5" s="23" t="n">
        <v>24.901</v>
      </c>
      <c r="J5" s="1" t="n"/>
      <c r="K5" s="1" t="n"/>
    </row>
    <row r="6">
      <c r="A6" s="19" t="inlineStr">
        <is>
          <t>SG&amp;A &amp; Other</t>
        </is>
      </c>
      <c r="B6" s="23" t="n">
        <v>28.59</v>
      </c>
      <c r="C6" s="23" t="n">
        <v>42.699</v>
      </c>
      <c r="D6" s="23" t="n">
        <v>69.155</v>
      </c>
      <c r="E6" s="23" t="n">
        <v>118.655</v>
      </c>
      <c r="F6" s="23" t="n">
        <v>140.375</v>
      </c>
      <c r="G6" s="23" t="n">
        <v>102.529</v>
      </c>
      <c r="H6" s="23" t="n">
        <v>72.937</v>
      </c>
      <c r="I6" s="23" t="n">
        <v>43.562</v>
      </c>
      <c r="J6" s="1" t="n"/>
      <c r="K6" s="1" t="n"/>
    </row>
    <row r="7">
      <c r="A7" s="2" t="inlineStr">
        <is>
          <t>Operating Expense</t>
        </is>
      </c>
      <c r="B7" s="23">
        <f>SUM(B5:B6)</f>
        <v>44.339</v>
      </c>
      <c r="C7" s="23">
        <f>SUM(C5:C6)</f>
        <v>66.17</v>
      </c>
      <c r="D7" s="23">
        <f>SUM(D5:D6)</f>
        <v>108.63</v>
      </c>
      <c r="E7" s="23">
        <f>SUM(E5:E6)</f>
        <v>173.672</v>
      </c>
      <c r="F7" s="23">
        <f>SUM(F5:F6)</f>
        <v>203.47</v>
      </c>
      <c r="G7" s="23">
        <f>SUM(G5:G6)</f>
        <v>154.429</v>
      </c>
      <c r="H7" s="23">
        <f>SUM(H5:H6)</f>
        <v>107.679</v>
      </c>
      <c r="I7" s="23">
        <f>SUM(I5:I6)</f>
        <v>68.463</v>
      </c>
      <c r="J7" s="1" t="n"/>
      <c r="K7" s="1" t="n"/>
    </row>
    <row r="8">
      <c r="A8" s="2" t="inlineStr">
        <is>
          <t>Operating Income</t>
        </is>
      </c>
      <c r="B8" s="23">
        <f>B4-B7</f>
        <v>-24.138999999999996</v>
      </c>
      <c r="C8" s="23">
        <f>C4-C7</f>
        <v>-25.29</v>
      </c>
      <c r="D8" s="23">
        <f>D4-D7</f>
        <v>-61.679</v>
      </c>
      <c r="E8" s="23">
        <f>E4-E7</f>
        <v>-119.209</v>
      </c>
      <c r="F8" s="23">
        <f>F4-F7</f>
        <v>-146.631</v>
      </c>
      <c r="G8" s="23">
        <f>G4-G7</f>
        <v>-100.10400000000001</v>
      </c>
      <c r="H8" s="23">
        <f>H4-H7</f>
        <v>-53.477999999999994</v>
      </c>
      <c r="I8" s="23">
        <f>I4-I7</f>
        <v>-8.201999999999998</v>
      </c>
      <c r="J8" s="1" t="n"/>
      <c r="K8" s="1" t="n"/>
    </row>
    <row r="9">
      <c r="A9" s="19" t="inlineStr">
        <is>
          <t>Interest &amp; Other</t>
        </is>
      </c>
      <c r="B9" s="23" t="n">
        <v>-2.408</v>
      </c>
      <c r="C9" s="23" t="n">
        <v>-0.01</v>
      </c>
      <c r="D9" s="23" t="n">
        <v>0.773</v>
      </c>
      <c r="E9" s="23" t="n">
        <v>0.189</v>
      </c>
      <c r="F9" s="23" t="n">
        <v>1.669</v>
      </c>
      <c r="G9" s="23" t="n">
        <v>2.695</v>
      </c>
      <c r="H9" s="23" t="n">
        <v>2.515</v>
      </c>
      <c r="I9" s="23" t="n">
        <v>0.158</v>
      </c>
    </row>
    <row r="10">
      <c r="A10" s="2" t="inlineStr">
        <is>
          <t>Pretax</t>
        </is>
      </c>
      <c r="B10" s="23">
        <f>B8+B9</f>
        <v>-26.546999999999997</v>
      </c>
      <c r="C10" s="23">
        <f>C8+C9</f>
        <v>-25.3</v>
      </c>
      <c r="D10" s="23">
        <f>D8+D9</f>
        <v>-60.906</v>
      </c>
      <c r="E10" s="23">
        <f>E8+E9</f>
        <v>-119.02000000000001</v>
      </c>
      <c r="F10" s="23">
        <f>F8+F9</f>
        <v>-144.962</v>
      </c>
      <c r="G10" s="23">
        <f>G8+G9</f>
        <v>-97.40900000000002</v>
      </c>
      <c r="H10" s="23">
        <f>H8+H9</f>
        <v>-50.962999999999994</v>
      </c>
      <c r="I10" s="23">
        <f>I8+I9</f>
        <v>-8.043999999999999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0.134</v>
      </c>
      <c r="F11" s="23" t="n">
        <v>0.297</v>
      </c>
      <c r="G11" s="23" t="n">
        <v>0.357</v>
      </c>
      <c r="H11" s="23" t="n">
        <v>0.88</v>
      </c>
      <c r="I11" s="23" t="n">
        <v>0.233</v>
      </c>
    </row>
    <row r="12">
      <c r="A12" s="2" t="inlineStr">
        <is>
          <t>Net Income</t>
        </is>
      </c>
      <c r="B12" s="23" t="n">
        <v>-26.547</v>
      </c>
      <c r="C12" s="23" t="n">
        <v>-25.299</v>
      </c>
      <c r="D12" s="23" t="n">
        <v>-60.907</v>
      </c>
      <c r="E12" s="23" t="n">
        <v>-119.155</v>
      </c>
      <c r="F12" s="23" t="n">
        <v>-145.259</v>
      </c>
      <c r="G12" s="23" t="n">
        <v>-97.767</v>
      </c>
      <c r="H12" s="23" t="n">
        <v>-51.842</v>
      </c>
      <c r="I12" s="23" t="n">
        <v>-8.278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-1.1862460342285177</v>
      </c>
      <c r="C13" s="11">
        <f>IFERROR(C12/C14,0)</f>
        <v>-1.077286663260092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</row>
    <row r="14">
      <c r="A14" s="2" t="inlineStr">
        <is>
          <t>Shares</t>
        </is>
      </c>
      <c r="B14" s="23" t="n">
        <v>22.379</v>
      </c>
      <c r="C14" s="23" t="n">
        <v>23.484</v>
      </c>
      <c r="D14" s="23" t="n"/>
      <c r="E14" s="23" t="n"/>
      <c r="F14" s="23" t="n"/>
      <c r="G14" s="23" t="n"/>
      <c r="H14" s="23" t="n"/>
      <c r="I14" s="23" t="n"/>
    </row>
    <row r="15"/>
    <row r="16" customFormat="1" s="4">
      <c r="A16" s="3" t="inlineStr">
        <is>
          <t>Revenue Change</t>
        </is>
      </c>
      <c r="C16" s="15">
        <f>IFERROR(C2/B2-1,"")</f>
        <v>0.8273312205896477</v>
      </c>
      <c r="D16" s="15">
        <f>IFERROR(D2/C2-1,"")</f>
        <v>0.12635764837782903</v>
      </c>
      <c r="E16" s="15">
        <f>IFERROR(E2/D2-1,"")</f>
        <v>0.1813459414902716</v>
      </c>
      <c r="F16" s="15">
        <f>IFERROR(F2/E2-1,"")</f>
        <v>0.10903537527811813</v>
      </c>
      <c r="G16" s="15">
        <f>IFERROR(G2/F2-1,"")</f>
        <v>-0.04581013544795176</v>
      </c>
      <c r="H16" s="15">
        <f>IFERROR(H2/G2-1,"")</f>
        <v>-0.04022144812142314</v>
      </c>
      <c r="I16" s="15">
        <f>IFERROR(I2/H2-1,"")</f>
        <v>0.04604197182003178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0.6466276129197478</v>
      </c>
      <c r="C17" s="15">
        <f>IFERROR(C4/C2,"")</f>
        <v>0.716137621750403</v>
      </c>
      <c r="D17" s="15">
        <f>IFERROR(D4/D2,"")</f>
        <v>0.730220694589172</v>
      </c>
      <c r="E17" s="15">
        <f>IFERROR(E4/E2,"")</f>
        <v>0.7170241057440394</v>
      </c>
      <c r="F17" s="15">
        <f>IFERROR(F4/F2,"")</f>
        <v>0.6747349802348082</v>
      </c>
      <c r="G17" s="15">
        <f>IFERROR(G4/G2,"")</f>
        <v>0.6758522020403085</v>
      </c>
      <c r="H17" s="15">
        <f>IFERROR(H4/H2,"")</f>
        <v>0.7025678250612467</v>
      </c>
      <c r="I17" s="15">
        <f>IFERROR(I4/I2,"")</f>
        <v>0.7467378777927856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-0.7727199974390984</v>
      </c>
      <c r="C18" s="15">
        <f>IFERROR(C8/C2,"")</f>
        <v>-0.44303132226192976</v>
      </c>
      <c r="D18" s="15">
        <f>IFERROR(D8/D2,"")</f>
        <v>-0.9592827037031277</v>
      </c>
      <c r="E18" s="15">
        <f>IFERROR(E8/E2,"")</f>
        <v>-1.5694274392090264</v>
      </c>
      <c r="F18" s="15">
        <f>IFERROR(F8/F2,"")</f>
        <v>-1.740654566174812</v>
      </c>
      <c r="G18" s="15">
        <f>IFERROR(G8/G2,"")</f>
        <v>-1.2453844239860665</v>
      </c>
      <c r="H18" s="15">
        <f>IFERROR(H8/H2,"")</f>
        <v>-0.6931961061350408</v>
      </c>
      <c r="I18" s="15">
        <f>IFERROR(I8/I2,"")</f>
        <v>-0.10163694717406657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2026-10-21T06:31:52Z</dcterms:modified>
  <cp:lastModifiedBy>Wang, Eric</cp:lastModifiedBy>
</cp:coreProperties>
</file>