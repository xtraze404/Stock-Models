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Vistagen Therapeutics, Inc.</t>
        </is>
      </c>
      <c r="C2" s="10" t="n"/>
    </row>
    <row r="3">
      <c r="B3" t="inlineStr">
        <is>
          <t>Price</t>
        </is>
      </c>
      <c r="C3" s="11">
        <f>INDEX([1]Pharma!$F$1:$F$1000,MATCH("VTGN",[1]Pharma!$B$1:$B$1000,0))</f>
        <v>0.1978</v>
      </c>
      <c r="F3" s="1" t="n"/>
    </row>
    <row r="4">
      <c r="B4" t="inlineStr">
        <is>
          <t>Shares</t>
        </is>
      </c>
      <c r="C4" s="21" t="n">
        <v>44.376911</v>
      </c>
      <c r="F4" s="1" t="n"/>
    </row>
    <row r="5">
      <c r="B5" t="inlineStr">
        <is>
          <t>Market Cap.</t>
        </is>
      </c>
      <c r="C5" s="13">
        <f>C3*C4</f>
        <v>8.7777529958</v>
      </c>
      <c r="F5" s="1" t="n"/>
    </row>
    <row r="6"/>
    <row r="7">
      <c r="B7" t="inlineStr">
        <is>
          <t>Cash</t>
        </is>
      </c>
      <c r="C7" s="21">
        <f>16.991+14.739</f>
        <v>31.73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-22.9522470042</v>
      </c>
    </row>
    <row r="10"/>
    <row r="11">
      <c r="B11" s="14" t="inlineStr">
        <is>
          <t>Net Cash / Share</t>
        </is>
      </c>
      <c r="C11" s="11">
        <f>(C7-C8)/C4</f>
        <v>0.7150114617035873</v>
      </c>
    </row>
    <row r="12">
      <c r="B12" s="14" t="inlineStr">
        <is>
          <t>Upside</t>
        </is>
      </c>
      <c r="C12" s="15">
        <f>IFERROR(C11/C3-1,"")</f>
        <v>2.6148203321718264</v>
      </c>
    </row>
    <row r="13">
      <c r="B13" s="14" t="inlineStr">
        <is>
          <t>Cash / Share</t>
        </is>
      </c>
      <c r="C13" s="11">
        <f>IFERROR((C7-C8)/C4,"")</f>
        <v>0.7150114617035873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-62.297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0.5093343178644236</v>
      </c>
    </row>
    <row r="19">
      <c r="B19" s="14" t="inlineStr">
        <is>
          <t>Implied Pipeline Value</t>
        </is>
      </c>
      <c r="C19" s="13">
        <f>C9</f>
        <v>-22.9522470042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2000</v>
      </c>
      <c r="C1" s="17" t="n">
        <v>2001</v>
      </c>
      <c r="D1" s="17" t="n">
        <v>2002</v>
      </c>
      <c r="E1" s="17" t="n">
        <v>2003</v>
      </c>
      <c r="F1" s="17" t="n">
        <v>2004</v>
      </c>
      <c r="G1" s="17" t="n">
        <v>2005</v>
      </c>
      <c r="H1" s="17" t="n">
        <v>2006</v>
      </c>
      <c r="I1" s="17" t="n">
        <v>2007</v>
      </c>
      <c r="J1" s="17" t="n">
        <v>2008</v>
      </c>
      <c r="K1" s="17" t="n">
        <v>2009</v>
      </c>
      <c r="L1" s="17" t="n">
        <v>2010</v>
      </c>
      <c r="M1" s="17" t="n">
        <v>2011</v>
      </c>
      <c r="N1" s="17" t="n">
        <v>2012</v>
      </c>
      <c r="O1" s="17" t="n">
        <v>2013</v>
      </c>
      <c r="P1" s="17" t="n">
        <v>2014</v>
      </c>
      <c r="Q1" s="17" t="n">
        <v>2015</v>
      </c>
      <c r="R1" s="17" t="n">
        <v>2016</v>
      </c>
      <c r="S1" s="17" t="n">
        <v>2017</v>
      </c>
      <c r="T1" s="17" t="n">
        <v>2018</v>
      </c>
      <c r="U1" s="17" t="n">
        <v>2019</v>
      </c>
      <c r="V1" s="17" t="n">
        <v>2020</v>
      </c>
      <c r="W1" s="17" t="n">
        <v>2021</v>
      </c>
      <c r="X1" s="17" t="n">
        <v>2022</v>
      </c>
      <c r="Y1" s="17" t="n">
        <v>2023</v>
      </c>
      <c r="Z1" s="17" t="n">
        <v>2024</v>
      </c>
      <c r="AA1" s="17" t="n">
        <v>2025</v>
      </c>
      <c r="AB1" s="17" t="n">
        <v>2026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2.071</v>
      </c>
      <c r="N2" s="23" t="n">
        <v>1.342</v>
      </c>
      <c r="O2" s="23" t="n">
        <v>0.2</v>
      </c>
      <c r="P2" s="23" t="n">
        <v>0</v>
      </c>
      <c r="Q2" s="23" t="n">
        <v>0</v>
      </c>
      <c r="R2" s="23" t="n">
        <v>0</v>
      </c>
      <c r="S2" s="23" t="n">
        <v>1.25</v>
      </c>
      <c r="T2" s="23" t="n">
        <v>0</v>
      </c>
      <c r="U2" s="23" t="n">
        <v>0</v>
      </c>
      <c r="V2" s="23" t="n">
        <v>0</v>
      </c>
      <c r="W2" s="23" t="n">
        <v>1.089</v>
      </c>
      <c r="X2" s="23" t="n">
        <v>1.109</v>
      </c>
      <c r="Y2" s="23" t="n">
        <v>-0.227</v>
      </c>
      <c r="Z2" s="23" t="n">
        <v>1.064</v>
      </c>
      <c r="AA2" s="23" t="n">
        <v>0.486</v>
      </c>
      <c r="AB2" s="23" t="n">
        <v>1.269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0</v>
      </c>
      <c r="AA3" s="23" t="n">
        <v>0</v>
      </c>
      <c r="AB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2.071</v>
      </c>
      <c r="N4" s="23">
        <f>N2-N3</f>
        <v>1.342</v>
      </c>
      <c r="O4" s="23">
        <f>O2-O3</f>
        <v>0.2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1.25</v>
      </c>
      <c r="T4" s="23">
        <f>T2-T3</f>
        <v>0.0</v>
      </c>
      <c r="U4" s="23">
        <f>U2-U3</f>
        <v>0.0</v>
      </c>
      <c r="V4" s="23">
        <f>V2-V3</f>
        <v>0.0</v>
      </c>
      <c r="W4" s="23">
        <f>W2-W3</f>
        <v>1.089</v>
      </c>
      <c r="X4" s="23">
        <f>X2-X3</f>
        <v>1.109</v>
      </c>
      <c r="Y4" s="23">
        <f>Y2-Y3</f>
        <v>-0.227</v>
      </c>
      <c r="Z4" s="23">
        <f>Z2-Z3</f>
        <v>1.064</v>
      </c>
      <c r="AA4" s="23">
        <f>AA2-AA3</f>
        <v>0.486</v>
      </c>
      <c r="AB4" s="23">
        <f>AB2-AB3</f>
        <v>1.269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3.678</v>
      </c>
      <c r="N5" s="23" t="n">
        <v>5.389</v>
      </c>
      <c r="O5" s="23" t="n">
        <v>3.431</v>
      </c>
      <c r="P5" s="23" t="n">
        <v>2.481</v>
      </c>
      <c r="Q5" s="23" t="n">
        <v>2.433</v>
      </c>
      <c r="R5" s="23" t="n">
        <v>3.932</v>
      </c>
      <c r="S5" s="23" t="n">
        <v>5.204</v>
      </c>
      <c r="T5" s="23" t="n">
        <v>7.763</v>
      </c>
      <c r="U5" s="23" t="n">
        <v>17.099</v>
      </c>
      <c r="V5" s="23" t="n">
        <v>13.374</v>
      </c>
      <c r="W5" s="23" t="n">
        <v>11.926</v>
      </c>
      <c r="X5" s="23" t="n">
        <v>35.408</v>
      </c>
      <c r="Y5" s="23" t="n">
        <v>44.377</v>
      </c>
      <c r="Z5" s="23" t="n">
        <v>20.022</v>
      </c>
      <c r="AA5" s="23" t="n">
        <v>39.375</v>
      </c>
      <c r="AB5" s="23" t="n">
        <v>54.974</v>
      </c>
    </row>
    <row r="6">
      <c r="A6" s="19" t="inlineStr">
        <is>
          <t>SG&amp;A &amp; Other</t>
        </is>
      </c>
      <c r="B6" s="23" t="n">
        <v>0.7</v>
      </c>
      <c r="C6" s="23" t="n">
        <v>1.809</v>
      </c>
      <c r="D6" s="23" t="n">
        <v>2.113</v>
      </c>
      <c r="E6" s="23" t="n">
        <v>0.503</v>
      </c>
      <c r="F6" s="23" t="n">
        <v>8.755000000000001</v>
      </c>
      <c r="G6" s="23" t="n">
        <v>1.083</v>
      </c>
      <c r="H6" s="23" t="n">
        <v>1.772</v>
      </c>
      <c r="I6" s="23" t="n">
        <v>2</v>
      </c>
      <c r="J6" s="23" t="n">
        <v>5.447</v>
      </c>
      <c r="K6" s="23" t="n">
        <v>4.696</v>
      </c>
      <c r="L6" s="23" t="n">
        <v>4.125</v>
      </c>
      <c r="M6" s="23" t="n">
        <v>4.958</v>
      </c>
      <c r="N6" s="23" t="n">
        <v>4.997</v>
      </c>
      <c r="O6" s="23" t="n">
        <v>3.562</v>
      </c>
      <c r="P6" s="23" t="n">
        <v>2.548</v>
      </c>
      <c r="Q6" s="23" t="n">
        <v>4.344</v>
      </c>
      <c r="R6" s="23" t="n">
        <v>13.919</v>
      </c>
      <c r="S6" s="23" t="n">
        <v>6.295</v>
      </c>
      <c r="T6" s="23" t="n">
        <v>6.437</v>
      </c>
      <c r="U6" s="23" t="n">
        <v>7.458</v>
      </c>
      <c r="V6" s="23" t="n">
        <v>7.427</v>
      </c>
      <c r="W6" s="23" t="n">
        <v>7.098</v>
      </c>
      <c r="X6" s="23" t="n">
        <v>13.48</v>
      </c>
      <c r="Y6" s="23" t="n">
        <v>14.664</v>
      </c>
      <c r="Z6" s="23" t="n">
        <v>14.063</v>
      </c>
      <c r="AA6" s="23" t="n">
        <v>17.084</v>
      </c>
      <c r="AB6" s="23" t="n">
        <v>18.421</v>
      </c>
    </row>
    <row r="7">
      <c r="A7" s="2" t="inlineStr">
        <is>
          <t>Operating Expense</t>
        </is>
      </c>
      <c r="B7" s="23">
        <f>SUM(B5:B6)</f>
        <v>0.7</v>
      </c>
      <c r="C7" s="23">
        <f>SUM(C5:C6)</f>
        <v>1.809</v>
      </c>
      <c r="D7" s="23">
        <f>SUM(D5:D6)</f>
        <v>2.113</v>
      </c>
      <c r="E7" s="23">
        <f>SUM(E5:E6)</f>
        <v>0.503</v>
      </c>
      <c r="F7" s="23">
        <f>SUM(F5:F6)</f>
        <v>8.755</v>
      </c>
      <c r="G7" s="23">
        <f>SUM(G5:G6)</f>
        <v>1.083</v>
      </c>
      <c r="H7" s="23">
        <f>SUM(H5:H6)</f>
        <v>1.772</v>
      </c>
      <c r="I7" s="23">
        <f>SUM(I5:I6)</f>
        <v>2.0</v>
      </c>
      <c r="J7" s="23">
        <f>SUM(J5:J6)</f>
        <v>5.447</v>
      </c>
      <c r="K7" s="23">
        <f>SUM(K5:K6)</f>
        <v>4.696</v>
      </c>
      <c r="L7" s="23">
        <f>SUM(L5:L6)</f>
        <v>4.125</v>
      </c>
      <c r="M7" s="23">
        <f>SUM(M5:M6)</f>
        <v>8.636</v>
      </c>
      <c r="N7" s="23">
        <f>SUM(N5:N6)</f>
        <v>10.386</v>
      </c>
      <c r="O7" s="23">
        <f>SUM(O5:O6)</f>
        <v>6.993</v>
      </c>
      <c r="P7" s="23">
        <f>SUM(P5:P6)</f>
        <v>5.029</v>
      </c>
      <c r="Q7" s="23">
        <f>SUM(Q5:Q6)</f>
        <v>6.777</v>
      </c>
      <c r="R7" s="23">
        <f>SUM(R5:R6)</f>
        <v>17.851</v>
      </c>
      <c r="S7" s="23">
        <f>SUM(S5:S6)</f>
        <v>11.498999999999999</v>
      </c>
      <c r="T7" s="23">
        <f>SUM(T5:T6)</f>
        <v>14.2</v>
      </c>
      <c r="U7" s="23">
        <f>SUM(U5:U6)</f>
        <v>24.557000000000002</v>
      </c>
      <c r="V7" s="23">
        <f>SUM(V5:V6)</f>
        <v>20.801000000000002</v>
      </c>
      <c r="W7" s="23">
        <f>SUM(W5:W6)</f>
        <v>19.024</v>
      </c>
      <c r="X7" s="23">
        <f>SUM(X5:X6)</f>
        <v>48.888000000000005</v>
      </c>
      <c r="Y7" s="23">
        <f>SUM(Y5:Y6)</f>
        <v>59.041000000000004</v>
      </c>
      <c r="Z7" s="23">
        <f>SUM(Z5:Z6)</f>
        <v>34.085</v>
      </c>
      <c r="AA7" s="23">
        <f>SUM(AA5:AA6)</f>
        <v>56.459</v>
      </c>
      <c r="AB7" s="23">
        <f>SUM(AB5:AB6)</f>
        <v>73.395</v>
      </c>
    </row>
    <row r="8">
      <c r="A8" s="2" t="inlineStr">
        <is>
          <t>Operating Income</t>
        </is>
      </c>
      <c r="B8" s="23">
        <f>B4-B7</f>
        <v>-0.7</v>
      </c>
      <c r="C8" s="23">
        <f>C4-C7</f>
        <v>-1.809</v>
      </c>
      <c r="D8" s="23">
        <f>D4-D7</f>
        <v>-2.113</v>
      </c>
      <c r="E8" s="23">
        <f>E4-E7</f>
        <v>-0.503</v>
      </c>
      <c r="F8" s="23">
        <f>F4-F7</f>
        <v>-8.755</v>
      </c>
      <c r="G8" s="23">
        <f>G4-G7</f>
        <v>-1.083</v>
      </c>
      <c r="H8" s="23">
        <f>H4-H7</f>
        <v>-1.772</v>
      </c>
      <c r="I8" s="23">
        <f>I4-I7</f>
        <v>-2.0</v>
      </c>
      <c r="J8" s="23">
        <f>J4-J7</f>
        <v>-5.447</v>
      </c>
      <c r="K8" s="23">
        <f>K4-K7</f>
        <v>-4.696</v>
      </c>
      <c r="L8" s="23">
        <f>L4-L7</f>
        <v>-4.125</v>
      </c>
      <c r="M8" s="23">
        <f>M4-M7</f>
        <v>-6.5649999999999995</v>
      </c>
      <c r="N8" s="23">
        <f>N4-N7</f>
        <v>-9.043999999999999</v>
      </c>
      <c r="O8" s="23">
        <f>O4-O7</f>
        <v>-6.793</v>
      </c>
      <c r="P8" s="23">
        <f>P4-P7</f>
        <v>-5.029</v>
      </c>
      <c r="Q8" s="23">
        <f>Q4-Q7</f>
        <v>-6.777</v>
      </c>
      <c r="R8" s="23">
        <f>R4-R7</f>
        <v>-17.851</v>
      </c>
      <c r="S8" s="23">
        <f>S4-S7</f>
        <v>-10.248999999999999</v>
      </c>
      <c r="T8" s="23">
        <f>T4-T7</f>
        <v>-14.2</v>
      </c>
      <c r="U8" s="23">
        <f>U4-U7</f>
        <v>-24.557000000000002</v>
      </c>
      <c r="V8" s="23">
        <f>V4-V7</f>
        <v>-20.801000000000002</v>
      </c>
      <c r="W8" s="23">
        <f>W4-W7</f>
        <v>-17.935000000000002</v>
      </c>
      <c r="X8" s="23">
        <f>X4-X7</f>
        <v>-47.779</v>
      </c>
      <c r="Y8" s="23">
        <f>Y4-Y7</f>
        <v>-59.268</v>
      </c>
      <c r="Z8" s="23">
        <f>Z4-Z7</f>
        <v>-33.021</v>
      </c>
      <c r="AA8" s="23">
        <f>AA4-AA7</f>
        <v>-55.973000000000006</v>
      </c>
      <c r="AB8" s="23">
        <f>AB4-AB7</f>
        <v>-72.12599999999999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-2.916</v>
      </c>
      <c r="N9" s="23" t="n">
        <v>-3.165</v>
      </c>
      <c r="O9" s="23" t="n">
        <v>-6.09</v>
      </c>
      <c r="P9" s="23" t="n">
        <v>2.064</v>
      </c>
      <c r="Q9" s="23" t="n">
        <v>-7.106</v>
      </c>
      <c r="R9" s="23" t="n">
        <v>-29.368</v>
      </c>
      <c r="S9" s="23" t="n">
        <v>-0.005</v>
      </c>
      <c r="T9" s="23" t="n">
        <v>-0.144</v>
      </c>
      <c r="U9" s="23" t="n">
        <v>-0.031</v>
      </c>
      <c r="V9" s="23" t="n">
        <v>0.03</v>
      </c>
      <c r="W9" s="23" t="n">
        <v>0.002</v>
      </c>
      <c r="X9" s="23" t="n">
        <v>0.02</v>
      </c>
      <c r="Y9" s="23" t="n">
        <v>0.026</v>
      </c>
      <c r="Z9" s="23" t="n">
        <v>3.663</v>
      </c>
      <c r="AA9" s="23" t="n">
        <v>4.562</v>
      </c>
      <c r="AB9" s="23" t="n">
        <v>2.441</v>
      </c>
    </row>
    <row r="10">
      <c r="A10" s="2" t="inlineStr">
        <is>
          <t>Pretax</t>
        </is>
      </c>
      <c r="B10" s="23">
        <f>B8+B9</f>
        <v>-0.7</v>
      </c>
      <c r="C10" s="23">
        <f>C8+C9</f>
        <v>-1.809</v>
      </c>
      <c r="D10" s="23">
        <f>D8+D9</f>
        <v>-2.113</v>
      </c>
      <c r="E10" s="23">
        <f>E8+E9</f>
        <v>-0.503</v>
      </c>
      <c r="F10" s="23">
        <f>F8+F9</f>
        <v>-8.755</v>
      </c>
      <c r="G10" s="23">
        <f>G8+G9</f>
        <v>-1.083</v>
      </c>
      <c r="H10" s="23">
        <f>H8+H9</f>
        <v>-1.772</v>
      </c>
      <c r="I10" s="23">
        <f>I8+I9</f>
        <v>-2.0</v>
      </c>
      <c r="J10" s="23">
        <f>J8+J9</f>
        <v>-5.447</v>
      </c>
      <c r="K10" s="23">
        <f>K8+K9</f>
        <v>-4.696</v>
      </c>
      <c r="L10" s="23">
        <f>L8+L9</f>
        <v>-4.125</v>
      </c>
      <c r="M10" s="23">
        <f>M8+M9</f>
        <v>-9.481</v>
      </c>
      <c r="N10" s="23">
        <f>N8+N9</f>
        <v>-12.209</v>
      </c>
      <c r="O10" s="23">
        <f>O8+O9</f>
        <v>-12.883</v>
      </c>
      <c r="P10" s="23">
        <f>P8+P9</f>
        <v>-2.965</v>
      </c>
      <c r="Q10" s="23">
        <f>Q8+Q9</f>
        <v>-13.883</v>
      </c>
      <c r="R10" s="23">
        <f>R8+R9</f>
        <v>-47.218999999999994</v>
      </c>
      <c r="S10" s="23">
        <f>S8+S9</f>
        <v>-10.254</v>
      </c>
      <c r="T10" s="23">
        <f>T8+T9</f>
        <v>-14.344</v>
      </c>
      <c r="U10" s="23">
        <f>U8+U9</f>
        <v>-24.588</v>
      </c>
      <c r="V10" s="23">
        <f>V8+V9</f>
        <v>-20.771</v>
      </c>
      <c r="W10" s="23">
        <f>W8+W9</f>
        <v>-17.933000000000003</v>
      </c>
      <c r="X10" s="23">
        <f>X8+X9</f>
        <v>-47.759</v>
      </c>
      <c r="Y10" s="23">
        <f>Y8+Y9</f>
        <v>-59.242</v>
      </c>
      <c r="Z10" s="23">
        <f>Z8+Z9</f>
        <v>-29.358</v>
      </c>
      <c r="AA10" s="23">
        <f>AA8+AA9</f>
        <v>-51.41100000000001</v>
      </c>
      <c r="AB10" s="23">
        <f>AB8+AB9</f>
        <v>-69.68499999999999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0.002</v>
      </c>
      <c r="N11" s="23" t="n">
        <v>0.002</v>
      </c>
      <c r="O11" s="23" t="n">
        <v>0.004</v>
      </c>
      <c r="P11" s="23" t="n">
        <v>0.003</v>
      </c>
      <c r="Q11" s="23" t="n">
        <v>0.002</v>
      </c>
      <c r="R11" s="23" t="n">
        <v>0.002</v>
      </c>
      <c r="S11" s="23" t="n">
        <v>0.002</v>
      </c>
      <c r="T11" s="23" t="n">
        <v>0.002</v>
      </c>
      <c r="U11" s="23" t="n">
        <v>0.003</v>
      </c>
      <c r="V11" s="23" t="n">
        <v>0.003</v>
      </c>
      <c r="W11" s="23" t="n">
        <v>0.003</v>
      </c>
      <c r="X11" s="23" t="n">
        <v>0.003</v>
      </c>
      <c r="Y11" s="23" t="n">
        <v>0.006</v>
      </c>
      <c r="Z11" s="23" t="n">
        <v>0.004</v>
      </c>
      <c r="AA11" s="23" t="n">
        <v>0.007</v>
      </c>
      <c r="AB11" s="23" t="n">
        <v>0.007</v>
      </c>
    </row>
    <row r="12">
      <c r="A12" s="2" t="inlineStr">
        <is>
          <t>Net Income</t>
        </is>
      </c>
      <c r="B12" s="23" t="n">
        <v>-0.7</v>
      </c>
      <c r="C12" s="23" t="n">
        <v>-1.809</v>
      </c>
      <c r="D12" s="23" t="n">
        <v>-2.113</v>
      </c>
      <c r="E12" s="23" t="n">
        <v>-0.503</v>
      </c>
      <c r="F12" s="23" t="n">
        <v>-8.755000000000001</v>
      </c>
      <c r="G12" s="23" t="n">
        <v>-1.083</v>
      </c>
      <c r="H12" s="23" t="n">
        <v>-1.772</v>
      </c>
      <c r="I12" s="23" t="n">
        <v>-2</v>
      </c>
      <c r="J12" s="23" t="n">
        <v>-5.447</v>
      </c>
      <c r="K12" s="23" t="n">
        <v>-4.696</v>
      </c>
      <c r="L12" s="23" t="n">
        <v>-4.125</v>
      </c>
      <c r="M12" s="23" t="n">
        <v>-9.481999999999999</v>
      </c>
      <c r="N12" s="23" t="n">
        <v>-12.21</v>
      </c>
      <c r="O12" s="23" t="n">
        <v>-12.887</v>
      </c>
      <c r="P12" s="23" t="n">
        <v>-2.968</v>
      </c>
      <c r="Q12" s="23" t="n">
        <v>-13.886</v>
      </c>
      <c r="R12" s="23" t="n">
        <v>-47.221</v>
      </c>
      <c r="S12" s="23" t="n">
        <v>-10.255</v>
      </c>
      <c r="T12" s="23" t="n">
        <v>-14.346</v>
      </c>
      <c r="U12" s="23" t="n">
        <v>-24.59</v>
      </c>
      <c r="V12" s="23" t="n">
        <v>-20.774</v>
      </c>
      <c r="W12" s="23" t="n">
        <v>-17.934</v>
      </c>
      <c r="X12" s="23" t="n">
        <v>-47.762</v>
      </c>
      <c r="Y12" s="23" t="n">
        <v>-59.248</v>
      </c>
      <c r="Z12" s="23" t="n">
        <v>-29.362</v>
      </c>
      <c r="AA12" s="23" t="n">
        <v>-51.418</v>
      </c>
      <c r="AB12" s="23" t="n">
        <v>-69.69199999999999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-225.76190476190473</v>
      </c>
      <c r="N13" s="11">
        <f>IFERROR(N12/N14,0)</f>
        <v>-102.60504201680673</v>
      </c>
      <c r="O13" s="11">
        <f>IFERROR(O12/O14,0)</f>
        <v>-76.25443786982248</v>
      </c>
      <c r="P13" s="11">
        <f>IFERROR(P12/P14,0)</f>
        <v>-17.562130177514792</v>
      </c>
      <c r="Q13" s="11">
        <f>IFERROR(Q12/Q14,0)</f>
        <v>-68.4039408866995</v>
      </c>
      <c r="R13" s="11">
        <f>IFERROR(R12/R14,0)</f>
        <v>-173.6066176470588</v>
      </c>
      <c r="S13" s="11">
        <f>IFERROR(S12/S14,0)</f>
        <v>-8.848144952545297</v>
      </c>
      <c r="T13" s="11">
        <f>IFERROR(T12/T14,0)</f>
        <v>-6.713149274684136</v>
      </c>
      <c r="U13" s="11">
        <f>IFERROR(U12/U14,0)</f>
        <v>-5.596267637687756</v>
      </c>
      <c r="V13" s="11">
        <f>IFERROR(V12/V14,0)</f>
        <v>-3.078085642317381</v>
      </c>
      <c r="W13" s="11">
        <f>IFERROR(W12/W14,0)</f>
        <v>-2.7066103229701177</v>
      </c>
      <c r="X13" s="11">
        <f>IFERROR(X12/X14,0)</f>
        <v>-7.237763297469313</v>
      </c>
      <c r="Y13" s="11">
        <f>IFERROR(Y12/Y14,0)</f>
        <v>-8.51386693490444</v>
      </c>
      <c r="Z13" s="11">
        <f>IFERROR(Z12/Z14,0)</f>
        <v>-1.5170240247997933</v>
      </c>
      <c r="AA13" s="11">
        <f>IFERROR(AA12/AA14,0)</f>
        <v>-1.6652524532823785</v>
      </c>
      <c r="AB13" s="11">
        <f>IFERROR(AB12/AB14,0)</f>
        <v>-1.8304354677732835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>
        <v>0.042</v>
      </c>
      <c r="N14" s="23" t="n">
        <v>0.119</v>
      </c>
      <c r="O14" s="23" t="n">
        <v>0.169</v>
      </c>
      <c r="P14" s="23" t="n">
        <v>0.169</v>
      </c>
      <c r="Q14" s="23" t="n">
        <v>0.203</v>
      </c>
      <c r="R14" s="23" t="n">
        <v>0.272</v>
      </c>
      <c r="S14" s="23" t="n">
        <v>1.159</v>
      </c>
      <c r="T14" s="23" t="n">
        <v>2.137</v>
      </c>
      <c r="U14" s="23" t="n">
        <v>4.394</v>
      </c>
      <c r="V14" s="23" t="n">
        <v>6.749</v>
      </c>
      <c r="W14" s="23" t="n">
        <v>6.626</v>
      </c>
      <c r="X14" s="23" t="n">
        <v>6.599</v>
      </c>
      <c r="Y14" s="23" t="n">
        <v>6.959</v>
      </c>
      <c r="Z14" s="23" t="n">
        <v>19.355</v>
      </c>
      <c r="AA14" s="23" t="n">
        <v>30.877</v>
      </c>
      <c r="AB14" s="23" t="n">
        <v>38.074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>-0.35200386286817964</v>
      </c>
      <c r="O16" s="15">
        <f>IFERROR(O2/N2-1,"")</f>
        <v>-0.8509687034277198</v>
      </c>
      <c r="P16" s="15">
        <f>IFERROR(P2/O2-1,"")</f>
        <v>-1.0</v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>-1.0</v>
      </c>
      <c r="U16" s="15">
        <f>IFERROR(U2/T2-1,"")</f>
        <v/>
      </c>
      <c r="V16" s="15">
        <f>IFERROR(V2/U2-1,"")</f>
        <v/>
      </c>
      <c r="W16" s="15">
        <f>IFERROR(W2/V2-1,"")</f>
        <v/>
      </c>
      <c r="X16" s="15">
        <f>IFERROR(X2/W2-1,"")</f>
        <v>0.018365472910927494</v>
      </c>
      <c r="Y16" s="15">
        <f>IFERROR(Y2/X2-1,"")</f>
        <v>-1.2046889089269612</v>
      </c>
      <c r="Z16" s="15">
        <f>IFERROR(Z2/Y2-1,"")</f>
        <v>-5.687224669603524</v>
      </c>
      <c r="AA16" s="15">
        <f>IFERROR(AA2/Z2-1,"")</f>
        <v>-0.543233082706767</v>
      </c>
      <c r="AB16" s="15">
        <f>IFERROR(AB2/AA2-1,"")</f>
        <v>1.6111111111111112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>1.0</v>
      </c>
      <c r="T17" s="15">
        <f>IFERROR(T4/T2,"")</f>
        <v/>
      </c>
      <c r="U17" s="15">
        <f>IFERROR(U4/U2,"")</f>
        <v/>
      </c>
      <c r="V17" s="15">
        <f>IFERROR(V4/V2,"")</f>
        <v/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>-3.1699661999034277</v>
      </c>
      <c r="N18" s="15">
        <f>IFERROR(N8/N2,"")</f>
        <v>-6.739195230998508</v>
      </c>
      <c r="O18" s="15">
        <f>IFERROR(O8/O2,"")</f>
        <v>-33.964999999999996</v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>-8.1992</v>
      </c>
      <c r="T18" s="15">
        <f>IFERROR(T8/T2,"")</f>
        <v/>
      </c>
      <c r="U18" s="15">
        <f>IFERROR(U8/U2,"")</f>
        <v/>
      </c>
      <c r="V18" s="15">
        <f>IFERROR(V8/V2,"")</f>
        <v/>
      </c>
      <c r="W18" s="15">
        <f>IFERROR(W8/W2,"")</f>
        <v>-16.4692378328742</v>
      </c>
      <c r="X18" s="15">
        <f>IFERROR(X8/X2,"")</f>
        <v>-43.08295761947701</v>
      </c>
      <c r="Y18" s="15">
        <f>IFERROR(Y8/Y2,"")</f>
        <v>261.09251101321587</v>
      </c>
      <c r="Z18" s="15">
        <f>IFERROR(Z8/Z2,"")</f>
        <v>-31.034774436090224</v>
      </c>
      <c r="AA18" s="15">
        <f>IFERROR(AA8/AA2,"")</f>
        <v>-115.17078189300413</v>
      </c>
      <c r="AB18" s="15">
        <f>IFERROR(AB8/AB2,"")</f>
        <v>-56.83687943262411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  <c r="AA19" s="20" t="inlineStr">
        <is>
          <t>A</t>
        </is>
      </c>
      <c r="AB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2026-10-21T01:06:39Z</dcterms:modified>
  <cp:lastModifiedBy>Wang, Eric</cp:lastModifiedBy>
</cp:coreProperties>
</file>