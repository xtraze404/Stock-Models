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Lantern Pharma Inc</t>
        </is>
      </c>
      <c r="C2" s="10" t="n"/>
    </row>
    <row r="3">
      <c r="B3" t="inlineStr">
        <is>
          <t>Price</t>
        </is>
      </c>
      <c r="C3" s="11">
        <f>INDEX([1]Pharma!$F$1:$F$1000,MATCH("LTRN",[1]Pharma!$B$1:$B$1000,0))</f>
        <v>0.6564</v>
      </c>
      <c r="F3" s="1" t="n"/>
    </row>
    <row r="4">
      <c r="B4" t="inlineStr">
        <is>
          <t>Shares</t>
        </is>
      </c>
      <c r="C4" s="21" t="n">
        <v>12.784146</v>
      </c>
      <c r="F4" s="1" t="n"/>
    </row>
    <row r="5">
      <c r="B5" t="inlineStr">
        <is>
          <t>Market Cap.</t>
        </is>
      </c>
      <c r="C5" s="13">
        <f>C3*C4</f>
        <v>8.3915134344</v>
      </c>
      <c r="F5" s="1" t="n"/>
    </row>
    <row r="6"/>
    <row r="7">
      <c r="B7" t="inlineStr">
        <is>
          <t>Cash</t>
        </is>
      </c>
      <c r="C7" s="21">
        <f>6.66017+0.701085</f>
        <v>7.361255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1.0302584344000003</v>
      </c>
    </row>
    <row r="10"/>
    <row r="11">
      <c r="B11" s="14" t="inlineStr">
        <is>
          <t>Net Cash / Share</t>
        </is>
      </c>
      <c r="C11" s="11">
        <f>(C7-C8)/C4</f>
        <v>0.5758112430818609</v>
      </c>
    </row>
    <row r="12">
      <c r="B12" s="14" t="inlineStr">
        <is>
          <t>Upside</t>
        </is>
      </c>
      <c r="C12" s="15">
        <f>IFERROR(C11/C3-1,"")</f>
        <v>-0.12277385270892605</v>
      </c>
    </row>
    <row r="13">
      <c r="B13" s="14" t="inlineStr">
        <is>
          <t>Cash / Share</t>
        </is>
      </c>
      <c r="C13" s="11">
        <f>IFERROR((C7-C8)/C4,"")</f>
        <v>0.5758112430818609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-14.078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0.5228906804943885</v>
      </c>
    </row>
    <row r="19">
      <c r="B19" s="14" t="inlineStr">
        <is>
          <t>Implied Pipeline Value</t>
        </is>
      </c>
      <c r="C19" s="13">
        <f>C9</f>
        <v>1.0302584344000003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2.243</v>
      </c>
      <c r="D5" s="23" t="n">
        <v>7.571</v>
      </c>
      <c r="E5" s="23" t="n">
        <v>8.603</v>
      </c>
      <c r="F5" s="23" t="n">
        <v>11.894</v>
      </c>
      <c r="G5" s="23" t="n">
        <v>16.126</v>
      </c>
      <c r="H5" s="23" t="n">
        <v>11.514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2.428</v>
      </c>
      <c r="C6" s="23" t="n">
        <v>3.665</v>
      </c>
      <c r="D6" s="23" t="n">
        <v>5.021</v>
      </c>
      <c r="E6" s="23" t="n">
        <v>5.83</v>
      </c>
      <c r="F6" s="23" t="n">
        <v>5.983</v>
      </c>
      <c r="G6" s="23" t="n">
        <v>6.091</v>
      </c>
      <c r="H6" s="23" t="n">
        <v>6.464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2.428</v>
      </c>
      <c r="C7" s="23">
        <f>SUM(C5:C6)</f>
        <v>5.9079999999999995</v>
      </c>
      <c r="D7" s="23">
        <f>SUM(D5:D6)</f>
        <v>12.591999999999999</v>
      </c>
      <c r="E7" s="23">
        <f>SUM(E5:E6)</f>
        <v>14.433</v>
      </c>
      <c r="F7" s="23">
        <f>SUM(F5:F6)</f>
        <v>17.877</v>
      </c>
      <c r="G7" s="23">
        <f>SUM(G5:G6)</f>
        <v>22.217000000000002</v>
      </c>
      <c r="H7" s="23">
        <f>SUM(H5:H6)</f>
        <v>17.978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-2.428</v>
      </c>
      <c r="C8" s="23">
        <f>C4-C7</f>
        <v>-5.9079999999999995</v>
      </c>
      <c r="D8" s="23">
        <f>D4-D7</f>
        <v>-12.591999999999999</v>
      </c>
      <c r="E8" s="23">
        <f>E4-E7</f>
        <v>-14.433</v>
      </c>
      <c r="F8" s="23">
        <f>F4-F7</f>
        <v>-17.877</v>
      </c>
      <c r="G8" s="23">
        <f>G4-G7</f>
        <v>-22.217000000000002</v>
      </c>
      <c r="H8" s="23">
        <f>H4-H7</f>
        <v>-17.978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0.228</v>
      </c>
      <c r="E9" s="23" t="n">
        <v>0.173</v>
      </c>
      <c r="F9" s="23" t="n">
        <v>1.916</v>
      </c>
      <c r="G9" s="23" t="n">
        <v>1.435</v>
      </c>
      <c r="H9" s="23" t="n">
        <v>0.859</v>
      </c>
    </row>
    <row r="10">
      <c r="A10" s="2" t="inlineStr">
        <is>
          <t>Pretax</t>
        </is>
      </c>
      <c r="B10" s="23">
        <f>B8+B9</f>
        <v>-2.428</v>
      </c>
      <c r="C10" s="23">
        <f>C8+C9</f>
        <v>-5.9079999999999995</v>
      </c>
      <c r="D10" s="23">
        <f>D8+D9</f>
        <v>-12.363999999999999</v>
      </c>
      <c r="E10" s="23">
        <f>E8+E9</f>
        <v>-14.26</v>
      </c>
      <c r="F10" s="23">
        <f>F8+F9</f>
        <v>-15.960999999999999</v>
      </c>
      <c r="G10" s="23">
        <f>G8+G9</f>
        <v>-20.782000000000004</v>
      </c>
      <c r="H10" s="23">
        <f>H8+H9</f>
        <v>-17.119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-2.428</v>
      </c>
      <c r="C12" s="23" t="n">
        <v>-5.908</v>
      </c>
      <c r="D12" s="23" t="n">
        <v>-12.363</v>
      </c>
      <c r="E12" s="23" t="n">
        <v>-14.26</v>
      </c>
      <c r="F12" s="23" t="n">
        <v>-15.962</v>
      </c>
      <c r="G12" s="23" t="n">
        <v>-20.781</v>
      </c>
      <c r="H12" s="23" t="n">
        <v>-17.119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-1.2275025278058644</v>
      </c>
      <c r="C13" s="11">
        <f>IFERROR(C12/C14,0)</f>
        <v>-1.372357723577236</v>
      </c>
      <c r="D13" s="11">
        <f>IFERROR(D12/D14,0)</f>
        <v>-1.1337001375515818</v>
      </c>
      <c r="E13" s="11">
        <f>IFERROR(E12/E14,0)</f>
        <v>-1.3141645931250574</v>
      </c>
      <c r="F13" s="11">
        <f>IFERROR(F12/F14,0)</f>
        <v>-1.4722375945397528</v>
      </c>
      <c r="G13" s="11">
        <f>IFERROR(G12/G14,0)</f>
        <v>-1.9309607879576285</v>
      </c>
      <c r="H13" s="11">
        <f>IFERROR(H12/H14,0)</f>
        <v>-1.5708386859974308</v>
      </c>
    </row>
    <row r="14">
      <c r="A14" s="2" t="inlineStr">
        <is>
          <t>Shares</t>
        </is>
      </c>
      <c r="B14" s="23" t="n">
        <v>1.978</v>
      </c>
      <c r="C14" s="23" t="n">
        <v>4.305</v>
      </c>
      <c r="D14" s="23" t="n">
        <v>10.905</v>
      </c>
      <c r="E14" s="23" t="n">
        <v>10.851</v>
      </c>
      <c r="F14" s="23" t="n">
        <v>10.842</v>
      </c>
      <c r="G14" s="23" t="n">
        <v>10.762</v>
      </c>
      <c r="H14" s="23" t="n">
        <v>10.898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2026-10-21T01:06:40Z</dcterms:modified>
  <cp:lastModifiedBy>Wang, Eric</cp:lastModifiedBy>
</cp:coreProperties>
</file>