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Abivax SA</t>
        </is>
      </c>
      <c r="C2" s="10" t="n"/>
    </row>
    <row r="3">
      <c r="B3" t="inlineStr">
        <is>
          <t>Price</t>
        </is>
      </c>
      <c r="C3" s="11">
        <f>INDEX([1]Pharma!$F$1:$F$1000,MATCH("ABVX",[1]Pharma!$B$1:$B$1000,0))</f>
        <v>92.59</v>
      </c>
      <c r="F3" s="1" t="n"/>
    </row>
    <row r="4">
      <c r="B4" t="inlineStr">
        <is>
          <t>Shares</t>
        </is>
      </c>
      <c r="C4" s="21" t="n">
        <v>78.536412</v>
      </c>
      <c r="F4" s="1" t="n"/>
    </row>
    <row r="5">
      <c r="B5" t="inlineStr">
        <is>
          <t>Market Cap.</t>
        </is>
      </c>
      <c r="C5" s="13">
        <f>C3*C4</f>
        <v>7271.68638708</v>
      </c>
      <c r="F5" s="1" t="n"/>
    </row>
    <row r="6"/>
    <row r="7">
      <c r="B7" t="inlineStr">
        <is>
          <t>Cash</t>
        </is>
      </c>
      <c r="C7" s="21">
        <f>(516.685)/0.88865</f>
        <v>581.4268834749338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6690.259503605066</v>
      </c>
    </row>
    <row r="10"/>
    <row r="11">
      <c r="B11" s="14" t="inlineStr">
        <is>
          <t>rNPV / Share</t>
        </is>
      </c>
      <c r="C11" s="11">
        <f>NPV!B27</f>
        <v>22.950633622880922</v>
      </c>
    </row>
    <row r="12">
      <c r="B12" s="14" t="inlineStr">
        <is>
          <t>Upside</t>
        </is>
      </c>
      <c r="C12" s="15">
        <f>IFERROR(C11/C3-1,"")</f>
        <v>-0.7521262164069454</v>
      </c>
    </row>
    <row r="13">
      <c r="B13" s="14" t="inlineStr">
        <is>
          <t>Cash / Share</t>
        </is>
      </c>
      <c r="C13" s="11">
        <f>IFERROR((C7-C8)/C4,"")</f>
        <v>7.403277902165097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-181.319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3.206651721413276</v>
      </c>
    </row>
    <row r="19">
      <c r="B19" s="14" t="inlineStr">
        <is>
          <t>Implied Pipeline Value</t>
        </is>
      </c>
      <c r="C19" s="13">
        <f>C9</f>
        <v>6690.259503605066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13.46</v>
      </c>
      <c r="C2" s="23" t="n">
        <v>5.157</v>
      </c>
      <c r="D2" s="23" t="n">
        <v>5.2</v>
      </c>
      <c r="E2" s="23" t="n">
        <v>14.009</v>
      </c>
      <c r="F2" s="23" t="n">
        <v>5.143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13.46</v>
      </c>
      <c r="C4" s="23">
        <f>C2-C3</f>
        <v>5.157</v>
      </c>
      <c r="D4" s="23">
        <f>D2-D3</f>
        <v>5.2</v>
      </c>
      <c r="E4" s="23">
        <f>E2-E3</f>
        <v>14.009</v>
      </c>
      <c r="F4" s="23">
        <f>F2-F3</f>
        <v>5.143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53.768</v>
      </c>
      <c r="C5" s="23" t="n">
        <v>54.346</v>
      </c>
      <c r="D5" s="23" t="n">
        <v>116.104</v>
      </c>
      <c r="E5" s="23" t="n">
        <v>164.893</v>
      </c>
      <c r="F5" s="23" t="n">
        <v>200.035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6.279</v>
      </c>
      <c r="C6" s="23" t="n">
        <v>23.771</v>
      </c>
      <c r="D6" s="23" t="n">
        <v>32.432</v>
      </c>
      <c r="E6" s="23" t="n">
        <v>43.775</v>
      </c>
      <c r="F6" s="23" t="n">
        <v>81.995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60.047</v>
      </c>
      <c r="C7" s="23">
        <f>SUM(C5:C6)</f>
        <v>78.11699999999999</v>
      </c>
      <c r="D7" s="23">
        <f>SUM(D5:D6)</f>
        <v>148.536</v>
      </c>
      <c r="E7" s="23">
        <f>SUM(E5:E6)</f>
        <v>208.668</v>
      </c>
      <c r="F7" s="23">
        <f>SUM(F5:F6)</f>
        <v>282.03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-46.586999999999996</v>
      </c>
      <c r="C8" s="23">
        <f>C4-C7</f>
        <v>-72.96</v>
      </c>
      <c r="D8" s="23">
        <f>D4-D7</f>
        <v>-143.336</v>
      </c>
      <c r="E8" s="23">
        <f>E4-E7</f>
        <v>-194.659</v>
      </c>
      <c r="F8" s="23">
        <f>F4-F7</f>
        <v>-276.887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-1.184</v>
      </c>
      <c r="C9" s="23" t="n">
        <v>4.609</v>
      </c>
      <c r="D9" s="23" t="n">
        <v>-22.916</v>
      </c>
      <c r="E9" s="23" t="n">
        <v>-3.666</v>
      </c>
      <c r="F9" s="23" t="n">
        <v>-94.748</v>
      </c>
    </row>
    <row r="10">
      <c r="A10" s="2" t="inlineStr">
        <is>
          <t>Pretax</t>
        </is>
      </c>
      <c r="B10" s="23">
        <f>B8+B9</f>
        <v>-47.770999999999994</v>
      </c>
      <c r="C10" s="23">
        <f>C8+C9</f>
        <v>-68.351</v>
      </c>
      <c r="D10" s="23">
        <f>D8+D9</f>
        <v>-166.252</v>
      </c>
      <c r="E10" s="23">
        <f>E8+E9</f>
        <v>-198.325</v>
      </c>
      <c r="F10" s="23">
        <f>F8+F9</f>
        <v>-371.635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6.581</v>
      </c>
    </row>
    <row r="12">
      <c r="A12" s="2" t="inlineStr">
        <is>
          <t>Net Income</t>
        </is>
      </c>
      <c r="B12" s="23" t="n">
        <v>-47.771</v>
      </c>
      <c r="C12" s="23" t="n">
        <v>-68.351</v>
      </c>
      <c r="D12" s="23" t="n">
        <v>-166.252</v>
      </c>
      <c r="E12" s="23" t="n">
        <v>-198.326</v>
      </c>
      <c r="F12" s="23" t="n">
        <v>-378.216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-3.0907738095238098</v>
      </c>
      <c r="C13" s="11">
        <f>IFERROR(C12/C14,0)</f>
        <v>-3.580085899853342</v>
      </c>
      <c r="D13" s="11">
        <f>IFERROR(D12/D14,0)</f>
        <v>-3.860400315794362</v>
      </c>
      <c r="E13" s="11">
        <f>IFERROR(E12/E14,0)</f>
        <v>-3.1457348602607618</v>
      </c>
      <c r="F13" s="11">
        <f>IFERROR(F12/F14,0)</f>
        <v>-5.43984351403052</v>
      </c>
    </row>
    <row r="14">
      <c r="A14" s="2" t="inlineStr">
        <is>
          <t>Shares</t>
        </is>
      </c>
      <c r="B14" s="23" t="n">
        <v>15.456</v>
      </c>
      <c r="C14" s="23" t="n">
        <v>19.092</v>
      </c>
      <c r="D14" s="23" t="n">
        <v>43.066</v>
      </c>
      <c r="E14" s="23" t="n">
        <v>63.046</v>
      </c>
      <c r="F14" s="23" t="n">
        <v>69.527</v>
      </c>
    </row>
    <row r="15"/>
    <row r="16" customFormat="1" s="4">
      <c r="A16" s="3" t="inlineStr">
        <is>
          <t>Revenue Change</t>
        </is>
      </c>
      <c r="C16" s="15">
        <f>IFERROR(C2/B2-1,"")</f>
        <v>-0.6168647845468054</v>
      </c>
      <c r="D16" s="15">
        <f>IFERROR(D2/C2-1,"")</f>
        <v>0.008338181113050291</v>
      </c>
      <c r="E16" s="15">
        <f>IFERROR(E2/D2-1,"")</f>
        <v>1.6940384615384616</v>
      </c>
      <c r="F16" s="15">
        <f>IFERROR(F2/E2-1,"")</f>
        <v>-0.6328788635876936</v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-3.4611441307578006</v>
      </c>
      <c r="C18" s="15">
        <f>IFERROR(C8/C2,"")</f>
        <v>-14.147760325770795</v>
      </c>
      <c r="D18" s="15">
        <f>IFERROR(D8/D2,"")</f>
        <v>-27.564615384615387</v>
      </c>
      <c r="E18" s="15">
        <f>IFERROR(E8/E2,"")</f>
        <v>-13.895281604682703</v>
      </c>
      <c r="F18" s="15">
        <f>IFERROR(F8/F2,"")</f>
        <v>-53.837643398794484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Abivax SA: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0.6145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276.887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858.9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1221.033534392695</v>
      </c>
      <c r="C29" s="42">
        <f>NPV!B25</f>
        <v>1802.4604178676286</v>
      </c>
      <c r="D29" s="43">
        <f>NPV!B27</f>
        <v>22.950633622880922</v>
      </c>
      <c r="E29" s="44">
        <f>NPV!B29</f>
        <v>-0.7521262164069454</v>
      </c>
    </row>
    <row r="30">
      <c r="A30" s="45" t="n">
        <v>1</v>
      </c>
      <c r="B30" s="46">
        <f t="dataTable" ref="B30:E32" r1="B4"/>
        <v>80.44527108844945</v>
      </c>
      <c r="C30" s="46">
        <v>661.8721545633832</v>
      </c>
      <c r="D30" s="47">
        <v>8.427583304459889</v>
      </c>
      <c r="E30" s="48">
        <v>-0.9089795517392819</v>
      </c>
    </row>
    <row r="31">
      <c r="A31" s="45" t="n">
        <v>2</v>
      </c>
      <c r="B31" s="46">
        <v>1221.033534392695</v>
      </c>
      <c r="C31" s="46">
        <v>1802.4604178676286</v>
      </c>
      <c r="D31" s="47">
        <v>22.950633622880922</v>
      </c>
      <c r="E31" s="48">
        <v>-0.7521262164069454</v>
      </c>
    </row>
    <row r="32">
      <c r="A32" s="45" t="n">
        <v>3</v>
      </c>
      <c r="B32" s="46">
        <v>2993.695100349769</v>
      </c>
      <c r="C32" s="46">
        <v>3575.1219838247025</v>
      </c>
      <c r="D32" s="47">
        <v>45.52184003293533</v>
      </c>
      <c r="E32" s="48">
        <v>-0.5083503614544191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22.950633622880922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5.769478814239647</v>
      </c>
      <c r="C37" s="47">
        <v>9.840185732623667</v>
      </c>
      <c r="D37" s="47">
        <v>13.791396065160038</v>
      </c>
      <c r="E37" s="47">
        <v>21.532622813251432</v>
      </c>
      <c r="F37" s="47">
        <v>29.204074288889665</v>
      </c>
    </row>
    <row r="38">
      <c r="A38" s="50" t="n">
        <v>0.8</v>
      </c>
      <c r="B38" s="47">
        <v>7.897858160986585</v>
      </c>
      <c r="C38" s="47">
        <v>13.201955837105144</v>
      </c>
      <c r="D38" s="47">
        <v>18.393678098509913</v>
      </c>
      <c r="E38" s="47">
        <v>28.637552693970214</v>
      </c>
      <c r="F38" s="47">
        <v>38.81451535741734</v>
      </c>
    </row>
    <row r="39">
      <c r="A39" s="50" t="n">
        <v>1</v>
      </c>
      <c r="B39" s="47">
        <v>9.974432300030484</v>
      </c>
      <c r="C39" s="47">
        <v>16.51606034632685</v>
      </c>
      <c r="D39" s="47">
        <v>22.950633622880922</v>
      </c>
      <c r="E39" s="47">
        <v>35.70375309663611</v>
      </c>
      <c r="F39" s="47">
        <v>48.3913928472063</v>
      </c>
    </row>
    <row r="40">
      <c r="A40" s="50" t="n">
        <v>1.2</v>
      </c>
      <c r="B40" s="47">
        <v>12.021121124544466</v>
      </c>
      <c r="C40" s="47">
        <v>19.808505313651914</v>
      </c>
      <c r="D40" s="47">
        <v>27.502764632300156</v>
      </c>
      <c r="E40" s="47">
        <v>42.769953499302005</v>
      </c>
      <c r="F40" s="47">
        <v>57.94877670155535</v>
      </c>
    </row>
    <row r="41">
      <c r="A41" s="50" t="n">
        <v>1.4</v>
      </c>
      <c r="B41" s="47">
        <v>14.052368656960423</v>
      </c>
      <c r="C41" s="47">
        <v>23.082280199089585</v>
      </c>
      <c r="D41" s="47">
        <v>32.02443355713241</v>
      </c>
      <c r="E41" s="47">
        <v>49.79912696707373</v>
      </c>
      <c r="F41" s="47">
        <v>67.50616055590439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Abivax SA: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IBD (UC / Crohn's)</t>
        </is>
      </c>
      <c r="C4" s="14" t="inlineStr">
        <is>
          <t>ABX464, Obefazimod</t>
        </is>
      </c>
      <c r="D4" s="14" t="inlineStr">
        <is>
          <t>Phase 3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3000</v>
      </c>
      <c r="H4" s="27" t="n">
        <v>0.6145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2499.8970681003493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184.35000000000002</v>
      </c>
      <c r="Q4" s="23">
        <f>IF(Q$3&lt;$I4,0,$G4*Assumptions!$E$11*INDEX(Assumptions!$B$24:$G$24,MIN(6,Q$3-$I4+1))*IF(Q$3&gt;$J4,(1-Assumptions!$B$26)^(Q$3-$J4),1)*IF($H4&gt;=1,1,MIN(0.97,$H4*Assumptions!$E$12)))</f>
        <v>460.87500000000006</v>
      </c>
      <c r="R4" s="23">
        <f>IF(R$3&lt;$I4,0,$G4*Assumptions!$E$11*INDEX(Assumptions!$B$24:$G$24,MIN(6,R$3-$I4+1))*IF(R$3&gt;$J4,(1-Assumptions!$B$26)^(R$3-$J4),1)*IF($H4&gt;=1,1,MIN(0.97,$H4*Assumptions!$E$12)))</f>
        <v>829.575</v>
      </c>
      <c r="S4" s="23">
        <f>IF(S$3&lt;$I4,0,$G4*Assumptions!$E$11*INDEX(Assumptions!$B$24:$G$24,MIN(6,S$3-$I4+1))*IF(S$3&gt;$J4,(1-Assumptions!$B$26)^(S$3-$J4),1)*IF($H4&gt;=1,1,MIN(0.97,$H4*Assumptions!$E$12)))</f>
        <v>1198.275</v>
      </c>
      <c r="T4" s="23">
        <f>IF(T$3&lt;$I4,0,$G4*Assumptions!$E$11*INDEX(Assumptions!$B$24:$G$24,MIN(6,T$3-$I4+1))*IF(T$3&gt;$J4,(1-Assumptions!$B$26)^(T$3-$J4),1)*IF($H4&gt;=1,1,MIN(0.97,$H4*Assumptions!$E$12)))</f>
        <v>1566.9750000000001</v>
      </c>
      <c r="U4" s="23">
        <f>IF(U$3&lt;$I4,0,$G4*Assumptions!$E$11*INDEX(Assumptions!$B$24:$G$24,MIN(6,U$3-$I4+1))*IF(U$3&gt;$J4,(1-Assumptions!$B$26)^(U$3-$J4),1)*IF($H4&gt;=1,1,MIN(0.97,$H4*Assumptions!$E$12)))</f>
        <v>1843.5000000000002</v>
      </c>
      <c r="V4" s="23">
        <f>IF(V$3&lt;$I4,0,$G4*Assumptions!$E$11*INDEX(Assumptions!$B$24:$G$24,MIN(6,V$3-$I4+1))*IF(V$3&gt;$J4,(1-Assumptions!$B$26)^(V$3-$J4),1)*IF($H4&gt;=1,1,MIN(0.97,$H4*Assumptions!$E$12)))</f>
        <v>1843.5000000000002</v>
      </c>
      <c r="W4" s="23">
        <f>IF(W$3&lt;$I4,0,$G4*Assumptions!$E$11*INDEX(Assumptions!$B$24:$G$24,MIN(6,W$3-$I4+1))*IF(W$3&gt;$J4,(1-Assumptions!$B$26)^(W$3-$J4),1)*IF($H4&gt;=1,1,MIN(0.97,$H4*Assumptions!$E$12)))</f>
        <v>1843.5000000000002</v>
      </c>
      <c r="X4" s="23">
        <f>IF(X$3&lt;$I4,0,$G4*Assumptions!$E$11*INDEX(Assumptions!$B$24:$G$24,MIN(6,X$3-$I4+1))*IF(X$3&gt;$J4,(1-Assumptions!$B$26)^(X$3-$J4),1)*IF($H4&gt;=1,1,MIN(0.97,$H4*Assumptions!$E$12)))</f>
        <v>1843.5000000000002</v>
      </c>
      <c r="Y4" s="23">
        <f>IF(Y$3&lt;$I4,0,$G4*Assumptions!$E$11*INDEX(Assumptions!$B$24:$G$24,MIN(6,Y$3-$I4+1))*IF(Y$3&gt;$J4,(1-Assumptions!$B$26)^(Y$3-$J4),1)*IF($H4&gt;=1,1,MIN(0.97,$H4*Assumptions!$E$12)))</f>
        <v>1843.5000000000002</v>
      </c>
      <c r="Z4" s="23">
        <f>IF(Z$3&lt;$I4,0,$G4*Assumptions!$E$11*INDEX(Assumptions!$B$24:$G$24,MIN(6,Z$3-$I4+1))*IF(Z$3&gt;$J4,(1-Assumptions!$B$26)^(Z$3-$J4),1)*IF($H4&gt;=1,1,MIN(0.97,$H4*Assumptions!$E$12)))</f>
        <v>1843.5000000000002</v>
      </c>
      <c r="AA4" s="23">
        <f>IF(AA$3&lt;$I4,0,$G4*Assumptions!$E$11*INDEX(Assumptions!$B$24:$G$24,MIN(6,AA$3-$I4+1))*IF(AA$3&gt;$J4,(1-Assumptions!$B$26)^(AA$3-$J4),1)*IF($H4&gt;=1,1,MIN(0.97,$H4*Assumptions!$E$12)))</f>
        <v>1843.5000000000002</v>
      </c>
      <c r="AB4" s="23">
        <f>IF(AB$3&lt;$I4,0,$G4*Assumptions!$E$11*INDEX(Assumptions!$B$24:$G$24,MIN(6,AB$3-$I4+1))*IF(AB$3&gt;$J4,(1-Assumptions!$B$26)^(AB$3-$J4),1)*IF($H4&gt;=1,1,MIN(0.97,$H4*Assumptions!$E$12)))</f>
        <v>1843.5000000000002</v>
      </c>
      <c r="AC4" s="23">
        <f>IF(AC$3&lt;$I4,0,$G4*Assumptions!$E$11*INDEX(Assumptions!$B$24:$G$24,MIN(6,AC$3-$I4+1))*IF(AC$3&gt;$J4,(1-Assumptions!$B$26)^(AC$3-$J4),1)*IF($H4&gt;=1,1,MIN(0.97,$H4*Assumptions!$E$12)))</f>
        <v>921.7500000000001</v>
      </c>
      <c r="AD4" s="23">
        <f>IF(AD$3&lt;$I4,0,$G4*Assumptions!$E$11*INDEX(Assumptions!$B$24:$G$24,MIN(6,AD$3-$I4+1))*IF(AD$3&gt;$J4,(1-Assumptions!$B$26)^(AD$3-$J4),1)*IF($H4&gt;=1,1,MIN(0.97,$H4*Assumptions!$E$12)))</f>
        <v>460.87500000000006</v>
      </c>
      <c r="AE4" s="23">
        <f>IF(AE$3&lt;$I4,0,$G4*Assumptions!$E$11*INDEX(Assumptions!$B$24:$G$24,MIN(6,AE$3-$I4+1))*IF(AE$3&gt;$J4,(1-Assumptions!$B$26)^(AE$3-$J4),1)*IF($H4&gt;=1,1,MIN(0.97,$H4*Assumptions!$E$12)))</f>
        <v>230.43750000000003</v>
      </c>
      <c r="AF4" s="23">
        <f>IF(AF$3&lt;$I4,0,$G4*Assumptions!$E$11*INDEX(Assumptions!$B$24:$G$24,MIN(6,AF$3-$I4+1))*IF(AF$3&gt;$J4,(1-Assumptions!$B$26)^(AF$3-$J4),1)*IF($H4&gt;=1,1,MIN(0.97,$H4*Assumptions!$E$12)))</f>
        <v>115.21875000000001</v>
      </c>
      <c r="AG4" s="35">
        <f>IF(F4="Owned",1-IF(H4&gt;=1,1,MIN(0.97,H4*Assumptions!$E$12)),1)</f>
        <v>0.38549999999999995</v>
      </c>
    </row>
    <row r="5">
      <c r="B5" s="24" t="inlineStr">
        <is>
          <t>Risked revenue</t>
        </is>
      </c>
      <c r="L5" s="54">
        <f>SUM(L4:L4)</f>
        <v>2499.8970681003493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184.35000000000002</v>
      </c>
      <c r="Q5" s="54">
        <f>SUM(Q4:Q4)</f>
        <v>460.87500000000006</v>
      </c>
      <c r="R5" s="54">
        <f>SUM(R4:R4)</f>
        <v>829.575</v>
      </c>
      <c r="S5" s="54">
        <f>SUM(S4:S4)</f>
        <v>1198.275</v>
      </c>
      <c r="T5" s="54">
        <f>SUM(T4:T4)</f>
        <v>1566.9750000000001</v>
      </c>
      <c r="U5" s="54">
        <f>SUM(U4:U4)</f>
        <v>1843.5000000000002</v>
      </c>
      <c r="V5" s="54">
        <f>SUM(V4:V4)</f>
        <v>1843.5000000000002</v>
      </c>
      <c r="W5" s="54">
        <f>SUM(W4:W4)</f>
        <v>1843.5000000000002</v>
      </c>
      <c r="X5" s="54">
        <f>SUM(X4:X4)</f>
        <v>1843.5000000000002</v>
      </c>
      <c r="Y5" s="54">
        <f>SUM(Y4:Y4)</f>
        <v>1843.5000000000002</v>
      </c>
      <c r="Z5" s="54">
        <f>SUM(Z4:Z4)</f>
        <v>1843.5000000000002</v>
      </c>
      <c r="AA5" s="54">
        <f>SUM(AA4:AA4)</f>
        <v>1843.5000000000002</v>
      </c>
      <c r="AB5" s="54">
        <f>SUM(AB4:AB4)</f>
        <v>1843.5000000000002</v>
      </c>
      <c r="AC5" s="54">
        <f>SUM(AC4:AC4)</f>
        <v>921.7500000000001</v>
      </c>
      <c r="AD5" s="54">
        <f>SUM(AD4:AD4)</f>
        <v>460.87500000000006</v>
      </c>
      <c r="AE5" s="54">
        <f>SUM(AE4:AE4)</f>
        <v>230.43750000000003</v>
      </c>
      <c r="AF5" s="54">
        <f>SUM(AF4:AF4)</f>
        <v>115.21875000000001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73.74000000000001</v>
      </c>
      <c r="Q6" s="55">
        <f>SUMPRODUCT(Q4:Q4,$K$4:$K$4)</f>
        <v>184.35000000000002</v>
      </c>
      <c r="R6" s="55">
        <f>SUMPRODUCT(R4:R4,$K$4:$K$4)</f>
        <v>331.83000000000004</v>
      </c>
      <c r="S6" s="55">
        <f>SUMPRODUCT(S4:S4,$K$4:$K$4)</f>
        <v>479.31000000000006</v>
      </c>
      <c r="T6" s="55">
        <f>SUMPRODUCT(T4:T4,$K$4:$K$4)</f>
        <v>626.7900000000001</v>
      </c>
      <c r="U6" s="55">
        <f>SUMPRODUCT(U4:U4,$K$4:$K$4)</f>
        <v>737.4000000000001</v>
      </c>
      <c r="V6" s="55">
        <f>SUMPRODUCT(V4:V4,$K$4:$K$4)</f>
        <v>737.4000000000001</v>
      </c>
      <c r="W6" s="55">
        <f>SUMPRODUCT(W4:W4,$K$4:$K$4)</f>
        <v>737.4000000000001</v>
      </c>
      <c r="X6" s="55">
        <f>SUMPRODUCT(X4:X4,$K$4:$K$4)</f>
        <v>737.4000000000001</v>
      </c>
      <c r="Y6" s="55">
        <f>SUMPRODUCT(Y4:Y4,$K$4:$K$4)</f>
        <v>737.4000000000001</v>
      </c>
      <c r="Z6" s="55">
        <f>SUMPRODUCT(Z4:Z4,$K$4:$K$4)</f>
        <v>737.4000000000001</v>
      </c>
      <c r="AA6" s="55">
        <f>SUMPRODUCT(AA4:AA4,$K$4:$K$4)</f>
        <v>737.4000000000001</v>
      </c>
      <c r="AB6" s="55">
        <f>SUMPRODUCT(AB4:AB4,$K$4:$K$4)</f>
        <v>737.4000000000001</v>
      </c>
      <c r="AC6" s="55">
        <f>SUMPRODUCT(AC4:AC4,$K$4:$K$4)</f>
        <v>368.70000000000005</v>
      </c>
      <c r="AD6" s="55">
        <f>SUMPRODUCT(AD4:AD4,$K$4:$K$4)</f>
        <v>184.35000000000002</v>
      </c>
      <c r="AE6" s="55">
        <f>SUMPRODUCT(AE4:AE4,$K$4:$K$4)</f>
        <v>92.17500000000001</v>
      </c>
      <c r="AF6" s="55">
        <f>SUMPRODUCT(AF4:AF4,$K$4:$K$4)</f>
        <v>46.087500000000006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Abivax SA: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184.35000000000002</v>
      </c>
      <c r="G4" s="57">
        <f>Pipeline!Q5</f>
        <v>460.87500000000006</v>
      </c>
      <c r="H4" s="57">
        <f>Pipeline!R5</f>
        <v>829.575</v>
      </c>
      <c r="I4" s="57">
        <f>Pipeline!S5</f>
        <v>1198.275</v>
      </c>
      <c r="J4" s="57">
        <f>Pipeline!T5</f>
        <v>1566.9750000000001</v>
      </c>
      <c r="K4" s="57">
        <f>Pipeline!U5</f>
        <v>1843.5000000000002</v>
      </c>
      <c r="L4" s="57">
        <f>Pipeline!V5</f>
        <v>1843.5000000000002</v>
      </c>
      <c r="M4" s="57">
        <f>Pipeline!W5</f>
        <v>1843.5000000000002</v>
      </c>
      <c r="N4" s="57">
        <f>Pipeline!X5</f>
        <v>1843.5000000000002</v>
      </c>
      <c r="O4" s="57">
        <f>Pipeline!Y5</f>
        <v>1843.5000000000002</v>
      </c>
      <c r="P4" s="57">
        <f>Pipeline!Z5</f>
        <v>1843.5000000000002</v>
      </c>
      <c r="Q4" s="57">
        <f>Pipeline!AA5</f>
        <v>1843.5000000000002</v>
      </c>
      <c r="R4" s="57">
        <f>Pipeline!AB5</f>
        <v>1843.5000000000002</v>
      </c>
      <c r="S4" s="57">
        <f>Pipeline!AC5</f>
        <v>921.7500000000001</v>
      </c>
      <c r="T4" s="57">
        <f>Pipeline!AD5</f>
        <v>460.87500000000006</v>
      </c>
      <c r="U4" s="57">
        <f>Pipeline!AE5</f>
        <v>230.43750000000003</v>
      </c>
      <c r="V4" s="57">
        <f>Pipeline!AF5</f>
        <v>115.21875000000001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73.74000000000001</v>
      </c>
      <c r="G5" s="57">
        <f>Pipeline!Q6</f>
        <v>184.35000000000002</v>
      </c>
      <c r="H5" s="57">
        <f>Pipeline!R6</f>
        <v>331.83000000000004</v>
      </c>
      <c r="I5" s="57">
        <f>Pipeline!S6</f>
        <v>479.31000000000006</v>
      </c>
      <c r="J5" s="57">
        <f>Pipeline!T6</f>
        <v>626.7900000000001</v>
      </c>
      <c r="K5" s="57">
        <f>Pipeline!U6</f>
        <v>737.4000000000001</v>
      </c>
      <c r="L5" s="57">
        <f>Pipeline!V6</f>
        <v>737.4000000000001</v>
      </c>
      <c r="M5" s="57">
        <f>Pipeline!W6</f>
        <v>737.4000000000001</v>
      </c>
      <c r="N5" s="57">
        <f>Pipeline!X6</f>
        <v>737.4000000000001</v>
      </c>
      <c r="O5" s="57">
        <f>Pipeline!Y6</f>
        <v>737.4000000000001</v>
      </c>
      <c r="P5" s="57">
        <f>Pipeline!Z6</f>
        <v>737.4000000000001</v>
      </c>
      <c r="Q5" s="57">
        <f>Pipeline!AA6</f>
        <v>737.4000000000001</v>
      </c>
      <c r="R5" s="57">
        <f>Pipeline!AB6</f>
        <v>737.4000000000001</v>
      </c>
      <c r="S5" s="57">
        <f>Pipeline!AC6</f>
        <v>368.70000000000005</v>
      </c>
      <c r="T5" s="57">
        <f>Pipeline!AD6</f>
        <v>184.35000000000002</v>
      </c>
      <c r="U5" s="57">
        <f>Pipeline!AE6</f>
        <v>92.17500000000001</v>
      </c>
      <c r="V5" s="57">
        <f>Pipeline!AF6</f>
        <v>46.087500000000006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-276.887</v>
      </c>
      <c r="D6" s="23">
        <f>-IF(D3-2026&lt;Assumptions!$B$19,Assumptions!$B$18,Assumptions!$B$18*Assumptions!$B$20*Assumptions!$B$16)</f>
        <v>-276.887</v>
      </c>
      <c r="E6" s="23">
        <f>-IF(E3-2026&lt;Assumptions!$B$19,Assumptions!$B$18,Assumptions!$B$18*Assumptions!$B$20*Assumptions!$B$16)</f>
        <v>-276.887</v>
      </c>
      <c r="F6" s="23">
        <f>-IF(F3-2026&lt;Assumptions!$B$19,Assumptions!$B$18,Assumptions!$B$18*Assumptions!$B$20*Assumptions!$B$16)</f>
        <v>-51.04411845</v>
      </c>
      <c r="G6" s="23">
        <f>-IF(G3-2026&lt;Assumptions!$B$19,Assumptions!$B$18,Assumptions!$B$18*Assumptions!$B$20*Assumptions!$B$16)</f>
        <v>-51.04411845</v>
      </c>
      <c r="H6" s="23">
        <f>-IF(H3-2026&lt;Assumptions!$B$19,Assumptions!$B$18,Assumptions!$B$18*Assumptions!$B$20*Assumptions!$B$16)</f>
        <v>-51.04411845</v>
      </c>
      <c r="I6" s="23">
        <f>-IF(I3-2026&lt;Assumptions!$B$19,Assumptions!$B$18,Assumptions!$B$18*Assumptions!$B$20*Assumptions!$B$16)</f>
        <v>-51.04411845</v>
      </c>
      <c r="J6" s="23">
        <f>-IF(J3-2026&lt;Assumptions!$B$19,Assumptions!$B$18,Assumptions!$B$18*Assumptions!$B$20*Assumptions!$B$16)</f>
        <v>-51.04411845</v>
      </c>
      <c r="K6" s="23">
        <f>-IF(K3-2026&lt;Assumptions!$B$19,Assumptions!$B$18,Assumptions!$B$18*Assumptions!$B$20*Assumptions!$B$16)</f>
        <v>-51.04411845</v>
      </c>
      <c r="L6" s="23">
        <f>-IF(L3-2026&lt;Assumptions!$B$19,Assumptions!$B$18,Assumptions!$B$18*Assumptions!$B$20*Assumptions!$B$16)</f>
        <v>-51.04411845</v>
      </c>
      <c r="M6" s="23">
        <f>-IF(M3-2026&lt;Assumptions!$B$19,Assumptions!$B$18,Assumptions!$B$18*Assumptions!$B$20*Assumptions!$B$16)</f>
        <v>-51.04411845</v>
      </c>
      <c r="N6" s="23">
        <f>-IF(N3-2026&lt;Assumptions!$B$19,Assumptions!$B$18,Assumptions!$B$18*Assumptions!$B$20*Assumptions!$B$16)</f>
        <v>-51.04411845</v>
      </c>
      <c r="O6" s="23">
        <f>-IF(O3-2026&lt;Assumptions!$B$19,Assumptions!$B$18,Assumptions!$B$18*Assumptions!$B$20*Assumptions!$B$16)</f>
        <v>-51.04411845</v>
      </c>
      <c r="P6" s="23">
        <f>-IF(P3-2026&lt;Assumptions!$B$19,Assumptions!$B$18,Assumptions!$B$18*Assumptions!$B$20*Assumptions!$B$16)</f>
        <v>-51.04411845</v>
      </c>
      <c r="Q6" s="23">
        <f>-IF(Q3-2026&lt;Assumptions!$B$19,Assumptions!$B$18,Assumptions!$B$18*Assumptions!$B$20*Assumptions!$B$16)</f>
        <v>-51.04411845</v>
      </c>
      <c r="R6" s="23">
        <f>-IF(R3-2026&lt;Assumptions!$B$19,Assumptions!$B$18,Assumptions!$B$18*Assumptions!$B$20*Assumptions!$B$16)</f>
        <v>-51.04411845</v>
      </c>
      <c r="S6" s="23">
        <f>-IF(S3-2026&lt;Assumptions!$B$19,Assumptions!$B$18,Assumptions!$B$18*Assumptions!$B$20*Assumptions!$B$16)</f>
        <v>-51.04411845</v>
      </c>
      <c r="T6" s="23">
        <f>-IF(T3-2026&lt;Assumptions!$B$19,Assumptions!$B$18,Assumptions!$B$18*Assumptions!$B$20*Assumptions!$B$16)</f>
        <v>-51.04411845</v>
      </c>
      <c r="U6" s="23">
        <f>-IF(U3-2026&lt;Assumptions!$B$19,Assumptions!$B$18,Assumptions!$B$18*Assumptions!$B$20*Assumptions!$B$16)</f>
        <v>-51.04411845</v>
      </c>
      <c r="V6" s="23">
        <f>-IF(V3-2026&lt;Assumptions!$B$19,Assumptions!$B$18,Assumptions!$B$18*Assumptions!$B$20*Assumptions!$B$16)</f>
        <v>-51.04411845</v>
      </c>
    </row>
    <row r="7">
      <c r="A7" s="14" t="inlineStr">
        <is>
          <t>Pre-tax cash flow</t>
        </is>
      </c>
      <c r="C7" s="23">
        <f>C5+C6</f>
        <v>-276.887</v>
      </c>
      <c r="D7" s="23">
        <f>D5+D6</f>
        <v>-276.887</v>
      </c>
      <c r="E7" s="23">
        <f>E5+E6</f>
        <v>-276.887</v>
      </c>
      <c r="F7" s="23">
        <f>F5+F6</f>
        <v>22.69588155000001</v>
      </c>
      <c r="G7" s="23">
        <f>G5+G6</f>
        <v>133.30588155000004</v>
      </c>
      <c r="H7" s="23">
        <f>H5+H6</f>
        <v>280.78588155000006</v>
      </c>
      <c r="I7" s="23">
        <f>I5+I6</f>
        <v>428.2658815500001</v>
      </c>
      <c r="J7" s="23">
        <f>J5+J6</f>
        <v>575.74588155</v>
      </c>
      <c r="K7" s="23">
        <f>K5+K6</f>
        <v>686.35588155</v>
      </c>
      <c r="L7" s="23">
        <f>L5+L6</f>
        <v>686.35588155</v>
      </c>
      <c r="M7" s="23">
        <f>M5+M6</f>
        <v>686.35588155</v>
      </c>
      <c r="N7" s="23">
        <f>N5+N6</f>
        <v>686.35588155</v>
      </c>
      <c r="O7" s="23">
        <f>O5+O6</f>
        <v>686.35588155</v>
      </c>
      <c r="P7" s="23">
        <f>P5+P6</f>
        <v>686.35588155</v>
      </c>
      <c r="Q7" s="23">
        <f>Q5+Q6</f>
        <v>686.35588155</v>
      </c>
      <c r="R7" s="23">
        <f>R5+R6</f>
        <v>686.35588155</v>
      </c>
      <c r="S7" s="23">
        <f>S5+S6</f>
        <v>317.65588155000006</v>
      </c>
      <c r="T7" s="23">
        <f>T5+T6</f>
        <v>133.30588155000004</v>
      </c>
      <c r="U7" s="23">
        <f>U5+U6</f>
        <v>41.13088155000001</v>
      </c>
      <c r="V7" s="23">
        <f>V5+V6</f>
        <v>-4.9566184499999935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22.69588155000001</v>
      </c>
      <c r="G8" s="23">
        <f>MIN(F17,MAX(0,G7))</f>
        <v>133.30588155000004</v>
      </c>
      <c r="H8" s="23">
        <f>MIN(G17,MAX(0,H7))</f>
        <v>280.78588155000006</v>
      </c>
      <c r="I8" s="23">
        <f>MIN(H17,MAX(0,I7))</f>
        <v>428.2658815500001</v>
      </c>
      <c r="J8" s="23">
        <f>MIN(I17,MAX(0,J7))</f>
        <v>575.74588155</v>
      </c>
      <c r="K8" s="23">
        <f>MIN(J17,MAX(0,K7))</f>
        <v>248.76159224999958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437.59428930000047</v>
      </c>
      <c r="L9" s="23">
        <f>MAX(0,L7)-L8</f>
        <v>686.35588155</v>
      </c>
      <c r="M9" s="23">
        <f>MAX(0,M7)-M8</f>
        <v>686.35588155</v>
      </c>
      <c r="N9" s="23">
        <f>MAX(0,N7)-N8</f>
        <v>686.35588155</v>
      </c>
      <c r="O9" s="23">
        <f>MAX(0,O7)-O8</f>
        <v>686.35588155</v>
      </c>
      <c r="P9" s="23">
        <f>MAX(0,P7)-P8</f>
        <v>686.35588155</v>
      </c>
      <c r="Q9" s="23">
        <f>MAX(0,Q7)-Q8</f>
        <v>686.35588155</v>
      </c>
      <c r="R9" s="23">
        <f>MAX(0,R7)-R8</f>
        <v>686.35588155</v>
      </c>
      <c r="S9" s="23">
        <f>MAX(0,S7)-S8</f>
        <v>317.65588155000006</v>
      </c>
      <c r="T9" s="23">
        <f>MAX(0,T7)-T8</f>
        <v>133.30588155000004</v>
      </c>
      <c r="U9" s="23">
        <f>MAX(0,U7)-U8</f>
        <v>41.13088155000001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91.8948007530001</v>
      </c>
      <c r="L10" s="23">
        <f>L9*Assumptions!$E$15</f>
        <v>144.13473512550001</v>
      </c>
      <c r="M10" s="23">
        <f>M9*Assumptions!$E$15</f>
        <v>144.13473512550001</v>
      </c>
      <c r="N10" s="23">
        <f>N9*Assumptions!$E$15</f>
        <v>144.13473512550001</v>
      </c>
      <c r="O10" s="23">
        <f>O9*Assumptions!$E$15</f>
        <v>144.13473512550001</v>
      </c>
      <c r="P10" s="23">
        <f>P9*Assumptions!$E$15</f>
        <v>144.13473512550001</v>
      </c>
      <c r="Q10" s="23">
        <f>Q9*Assumptions!$E$15</f>
        <v>144.13473512550001</v>
      </c>
      <c r="R10" s="23">
        <f>R9*Assumptions!$E$15</f>
        <v>144.13473512550001</v>
      </c>
      <c r="S10" s="23">
        <f>S9*Assumptions!$E$15</f>
        <v>66.70773512550001</v>
      </c>
      <c r="T10" s="23">
        <f>T9*Assumptions!$E$15</f>
        <v>27.99423512550001</v>
      </c>
      <c r="U10" s="23">
        <f>U9*Assumptions!$E$15</f>
        <v>8.637485125500003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-276.887</v>
      </c>
      <c r="D11" s="55">
        <f>D7-D10</f>
        <v>-276.887</v>
      </c>
      <c r="E11" s="55">
        <f>E7-E10</f>
        <v>-276.887</v>
      </c>
      <c r="F11" s="55">
        <f>F7-F10</f>
        <v>22.69588155000001</v>
      </c>
      <c r="G11" s="55">
        <f>G7-G10</f>
        <v>133.30588155000004</v>
      </c>
      <c r="H11" s="55">
        <f>H7-H10</f>
        <v>280.78588155000006</v>
      </c>
      <c r="I11" s="55">
        <f>I7-I10</f>
        <v>428.2658815500001</v>
      </c>
      <c r="J11" s="55">
        <f>J7-J10</f>
        <v>575.74588155</v>
      </c>
      <c r="K11" s="55">
        <f>K7-K10</f>
        <v>594.4610807969999</v>
      </c>
      <c r="L11" s="55">
        <f>L7-L10</f>
        <v>542.2211464245</v>
      </c>
      <c r="M11" s="55">
        <f>M7-M10</f>
        <v>542.2211464245</v>
      </c>
      <c r="N11" s="55">
        <f>N7-N10</f>
        <v>542.2211464245</v>
      </c>
      <c r="O11" s="55">
        <f>O7-O10</f>
        <v>542.2211464245</v>
      </c>
      <c r="P11" s="55">
        <f>P7-P10</f>
        <v>542.2211464245</v>
      </c>
      <c r="Q11" s="55">
        <f>Q7-Q10</f>
        <v>542.2211464245</v>
      </c>
      <c r="R11" s="55">
        <f>R7-R10</f>
        <v>542.2211464245</v>
      </c>
      <c r="S11" s="55">
        <f>S7-S10</f>
        <v>250.94814642450007</v>
      </c>
      <c r="T11" s="55">
        <f>T7-T10</f>
        <v>105.31164642450003</v>
      </c>
      <c r="U11" s="55">
        <f>U7-U10</f>
        <v>32.493396424500006</v>
      </c>
      <c r="V11" s="55">
        <f>V7-V10</f>
        <v>-4.9566184499999935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-261.63362259526474</v>
      </c>
      <c r="D16" s="55">
        <f>D11*D15</f>
        <v>-233.60144874577205</v>
      </c>
      <c r="E16" s="55">
        <f>E11*E15</f>
        <v>-208.57272209443934</v>
      </c>
      <c r="F16" s="55">
        <f>F11*F15</f>
        <v>15.264548983160692</v>
      </c>
      <c r="G16" s="55">
        <f>G11*G15</f>
        <v>80.0512668447184</v>
      </c>
      <c r="H16" s="55">
        <f>H11*H15</f>
        <v>150.5483992692255</v>
      </c>
      <c r="I16" s="55">
        <f>I11*I15</f>
        <v>205.0200474476616</v>
      </c>
      <c r="J16" s="55">
        <f>J11*J15</f>
        <v>246.09096541257688</v>
      </c>
      <c r="K16" s="55">
        <f>K11*K15</f>
        <v>226.86642846620083</v>
      </c>
      <c r="L16" s="55">
        <f>L11*L15</f>
        <v>184.75884367888926</v>
      </c>
      <c r="M16" s="55">
        <f>M11*M15</f>
        <v>164.96325328472253</v>
      </c>
      <c r="N16" s="55">
        <f>N11*N15</f>
        <v>147.28861900421654</v>
      </c>
      <c r="O16" s="55">
        <f>O11*O15</f>
        <v>131.50769553947902</v>
      </c>
      <c r="P16" s="55">
        <f>P11*P15</f>
        <v>117.41758530310628</v>
      </c>
      <c r="Q16" s="55">
        <f>Q11*Q15</f>
        <v>104.8371297349163</v>
      </c>
      <c r="R16" s="55">
        <f>R11*R15</f>
        <v>93.60458012046098</v>
      </c>
      <c r="S16" s="55">
        <f>S11*S15</f>
        <v>38.68001360332159</v>
      </c>
      <c r="T16" s="55">
        <f>T11*T15</f>
        <v>14.49309055592298</v>
      </c>
      <c r="U16" s="55">
        <f>U11*U15</f>
        <v>3.992654123317768</v>
      </c>
      <c r="V16" s="55">
        <f>V11*V15</f>
        <v>-0.5437935437262222</v>
      </c>
    </row>
    <row r="17">
      <c r="A17" s="14" t="inlineStr">
        <is>
          <t>Tax-loss carryforward, end of year</t>
        </is>
      </c>
      <c r="C17" s="23">
        <f>Assumptions!$B$21-C8+MAX(0,-C7)</f>
        <v>1135.787</v>
      </c>
      <c r="D17" s="23">
        <f>C17-D8+MAX(0,-D7)</f>
        <v>1412.674</v>
      </c>
      <c r="E17" s="23">
        <f>D17-E8+MAX(0,-E7)</f>
        <v>1689.561</v>
      </c>
      <c r="F17" s="23">
        <f>E17-F8+MAX(0,-F7)</f>
        <v>1666.86511845</v>
      </c>
      <c r="G17" s="23">
        <f>F17-G8+MAX(0,-G7)</f>
        <v>1533.5592368999999</v>
      </c>
      <c r="H17" s="23">
        <f>G17-H8+MAX(0,-H7)</f>
        <v>1252.7733553499997</v>
      </c>
      <c r="I17" s="23">
        <f>H17-I8+MAX(0,-I7)</f>
        <v>824.5074737999996</v>
      </c>
      <c r="J17" s="23">
        <f>I17-J8+MAX(0,-J7)</f>
        <v>248.76159224999958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4.9566184499999935</v>
      </c>
    </row>
    <row r="19">
      <c r="A19" s="14" t="inlineStr">
        <is>
          <t>PV of risked pipeline contribution</t>
        </is>
      </c>
      <c r="B19" s="23">
        <f>SUMPRODUCT(C5:V5,C15:V15)</f>
        <v>2499.8970681003484</v>
      </c>
    </row>
    <row r="20">
      <c r="A20" s="14" t="inlineStr">
        <is>
          <t>PV of corporate burn</t>
        </is>
      </c>
      <c r="B20" s="23">
        <f>SUMPRODUCT(C6:V6,C15:V15)</f>
        <v>-977.5603007061203</v>
      </c>
    </row>
    <row r="21">
      <c r="A21" s="14" t="inlineStr">
        <is>
          <t>PV of taxes</t>
        </is>
      </c>
      <c r="B21" s="23">
        <f>-SUMPRODUCT(C10:V10,C15:V15)</f>
        <v>-301.30323300153356</v>
      </c>
    </row>
    <row r="22">
      <c r="A22" s="24" t="inlineStr">
        <is>
          <t>Pipeline rNPV (operations)</t>
        </is>
      </c>
      <c r="B22" s="54">
        <f>SUM(C16:V16)</f>
        <v>1221.033534392695</v>
      </c>
    </row>
    <row r="23">
      <c r="A23" s="14" t="inlineStr">
        <is>
          <t>Cash &amp; investments</t>
        </is>
      </c>
      <c r="B23" s="57">
        <f>Main!C7</f>
        <v>581.4268834749338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1802.4604178676286</v>
      </c>
    </row>
    <row r="26">
      <c r="A26" s="14" t="inlineStr">
        <is>
          <t>Shares (mm)</t>
        </is>
      </c>
      <c r="B26" s="57">
        <f>Main!C4</f>
        <v>78.536412</v>
      </c>
    </row>
    <row r="27">
      <c r="A27" s="24" t="inlineStr">
        <is>
          <t>rNPV / share</t>
        </is>
      </c>
      <c r="B27" s="60">
        <f>B25/B26</f>
        <v>22.950633622880922</v>
      </c>
    </row>
    <row r="28">
      <c r="A28" s="14" t="inlineStr">
        <is>
          <t>Price</t>
        </is>
      </c>
      <c r="B28" s="61">
        <f>Main!C3</f>
        <v>92.59</v>
      </c>
    </row>
    <row r="29">
      <c r="A29" s="14" t="inlineStr">
        <is>
          <t>Upside</t>
        </is>
      </c>
      <c r="B29" s="62">
        <f>B27/B28-1</f>
        <v>-0.7521262164069454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2026-10-21T06:21:31Z</dcterms:modified>
  <cp:lastModifiedBy>Wang, Eric</cp:lastModifiedBy>
</cp:coreProperties>
</file>