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Abivax SA</t>
        </is>
      </c>
      <c r="C2" s="10" t="n"/>
    </row>
    <row r="3">
      <c r="B3" t="inlineStr">
        <is>
          <t>Price</t>
        </is>
      </c>
      <c r="C3" s="11">
        <f>INDEX([1]Pharma!$F$1:$F$1000,MATCH("ABVX",[1]Pharma!$B$1:$B$1000,0))</f>
        <v>92.59</v>
      </c>
      <c r="F3" s="1" t="n"/>
    </row>
    <row r="4">
      <c r="B4" t="inlineStr">
        <is>
          <t>Shares</t>
        </is>
      </c>
      <c r="C4" s="21" t="n">
        <v>78.536412</v>
      </c>
      <c r="F4" s="1" t="n"/>
    </row>
    <row r="5">
      <c r="B5" t="inlineStr">
        <is>
          <t>Market Cap.</t>
        </is>
      </c>
      <c r="C5" s="13">
        <f>C3*C4</f>
        <v>7271.68638708</v>
      </c>
      <c r="F5" s="1" t="n"/>
    </row>
    <row r="6"/>
    <row r="7">
      <c r="B7" t="inlineStr">
        <is>
          <t>Cash</t>
        </is>
      </c>
      <c r="C7" s="21">
        <f>(516.685)/0.88865</f>
        <v>581.4268834749338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6690.259503605066</v>
      </c>
    </row>
    <row r="10"/>
    <row r="11">
      <c r="B11" s="14" t="inlineStr">
        <is>
          <t>Net Cash / Share</t>
        </is>
      </c>
      <c r="C11" s="11">
        <f>(C7-C8)/C4</f>
        <v>7.403277902165097</v>
      </c>
    </row>
    <row r="12">
      <c r="B12" s="14" t="inlineStr">
        <is>
          <t>Upside</t>
        </is>
      </c>
      <c r="C12" s="15">
        <f>IFERROR(C11/C3-1,"")</f>
        <v>-0.9200423598426926</v>
      </c>
    </row>
    <row r="13">
      <c r="B13" s="14" t="inlineStr">
        <is>
          <t>Cash / Share</t>
        </is>
      </c>
      <c r="C13" s="11">
        <f>IFERROR((C7-C8)/C4,"")</f>
        <v>7.403277902165097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-181.319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3.206651721413276</v>
      </c>
    </row>
    <row r="19">
      <c r="B19" s="14" t="inlineStr">
        <is>
          <t>Implied Pipeline Value</t>
        </is>
      </c>
      <c r="C19" s="13">
        <f>C9</f>
        <v>6690.259503605066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13.46</v>
      </c>
      <c r="C2" s="23" t="n">
        <v>5.157</v>
      </c>
      <c r="D2" s="23" t="n">
        <v>5.2</v>
      </c>
      <c r="E2" s="23" t="n">
        <v>14.009</v>
      </c>
      <c r="F2" s="23" t="n">
        <v>5.143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13.46</v>
      </c>
      <c r="C4" s="23">
        <f>C2-C3</f>
        <v>5.157</v>
      </c>
      <c r="D4" s="23">
        <f>D2-D3</f>
        <v>5.2</v>
      </c>
      <c r="E4" s="23">
        <f>E2-E3</f>
        <v>14.009</v>
      </c>
      <c r="F4" s="23">
        <f>F2-F3</f>
        <v>5.143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53.768</v>
      </c>
      <c r="C5" s="23" t="n">
        <v>54.346</v>
      </c>
      <c r="D5" s="23" t="n">
        <v>116.104</v>
      </c>
      <c r="E5" s="23" t="n">
        <v>164.893</v>
      </c>
      <c r="F5" s="23" t="n">
        <v>200.035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6.279</v>
      </c>
      <c r="C6" s="23" t="n">
        <v>23.771</v>
      </c>
      <c r="D6" s="23" t="n">
        <v>32.432</v>
      </c>
      <c r="E6" s="23" t="n">
        <v>43.775</v>
      </c>
      <c r="F6" s="23" t="n">
        <v>81.995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60.047</v>
      </c>
      <c r="C7" s="23">
        <f>SUM(C5:C6)</f>
        <v>78.11699999999999</v>
      </c>
      <c r="D7" s="23">
        <f>SUM(D5:D6)</f>
        <v>148.536</v>
      </c>
      <c r="E7" s="23">
        <f>SUM(E5:E6)</f>
        <v>208.668</v>
      </c>
      <c r="F7" s="23">
        <f>SUM(F5:F6)</f>
        <v>282.03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-46.586999999999996</v>
      </c>
      <c r="C8" s="23">
        <f>C4-C7</f>
        <v>-72.96</v>
      </c>
      <c r="D8" s="23">
        <f>D4-D7</f>
        <v>-143.336</v>
      </c>
      <c r="E8" s="23">
        <f>E4-E7</f>
        <v>-194.659</v>
      </c>
      <c r="F8" s="23">
        <f>F4-F7</f>
        <v>-276.887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-1.184</v>
      </c>
      <c r="C9" s="23" t="n">
        <v>4.609</v>
      </c>
      <c r="D9" s="23" t="n">
        <v>-22.916</v>
      </c>
      <c r="E9" s="23" t="n">
        <v>-3.666</v>
      </c>
      <c r="F9" s="23" t="n">
        <v>-94.748</v>
      </c>
    </row>
    <row r="10">
      <c r="A10" s="2" t="inlineStr">
        <is>
          <t>Pretax</t>
        </is>
      </c>
      <c r="B10" s="23">
        <f>B8+B9</f>
        <v>-47.770999999999994</v>
      </c>
      <c r="C10" s="23">
        <f>C8+C9</f>
        <v>-68.351</v>
      </c>
      <c r="D10" s="23">
        <f>D8+D9</f>
        <v>-166.252</v>
      </c>
      <c r="E10" s="23">
        <f>E8+E9</f>
        <v>-198.325</v>
      </c>
      <c r="F10" s="23">
        <f>F8+F9</f>
        <v>-371.635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6.581</v>
      </c>
    </row>
    <row r="12">
      <c r="A12" s="2" t="inlineStr">
        <is>
          <t>Net Income</t>
        </is>
      </c>
      <c r="B12" s="23" t="n">
        <v>-47.771</v>
      </c>
      <c r="C12" s="23" t="n">
        <v>-68.351</v>
      </c>
      <c r="D12" s="23" t="n">
        <v>-166.252</v>
      </c>
      <c r="E12" s="23" t="n">
        <v>-198.326</v>
      </c>
      <c r="F12" s="23" t="n">
        <v>-378.216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-3.0907738095238098</v>
      </c>
      <c r="C13" s="11">
        <f>IFERROR(C12/C14,0)</f>
        <v>-3.580085899853342</v>
      </c>
      <c r="D13" s="11">
        <f>IFERROR(D12/D14,0)</f>
        <v>-3.860400315794362</v>
      </c>
      <c r="E13" s="11">
        <f>IFERROR(E12/E14,0)</f>
        <v>-3.1457348602607618</v>
      </c>
      <c r="F13" s="11">
        <f>IFERROR(F12/F14,0)</f>
        <v>-5.43984351403052</v>
      </c>
    </row>
    <row r="14">
      <c r="A14" s="2" t="inlineStr">
        <is>
          <t>Shares</t>
        </is>
      </c>
      <c r="B14" s="23" t="n">
        <v>15.456</v>
      </c>
      <c r="C14" s="23" t="n">
        <v>19.092</v>
      </c>
      <c r="D14" s="23" t="n">
        <v>43.066</v>
      </c>
      <c r="E14" s="23" t="n">
        <v>63.046</v>
      </c>
      <c r="F14" s="23" t="n">
        <v>69.527</v>
      </c>
    </row>
    <row r="15"/>
    <row r="16" customFormat="1" s="4">
      <c r="A16" s="3" t="inlineStr">
        <is>
          <t>Revenue Change</t>
        </is>
      </c>
      <c r="C16" s="15">
        <f>IFERROR(C2/B2-1,"")</f>
        <v>-0.6168647845468054</v>
      </c>
      <c r="D16" s="15">
        <f>IFERROR(D2/C2-1,"")</f>
        <v>0.008338181113050291</v>
      </c>
      <c r="E16" s="15">
        <f>IFERROR(E2/D2-1,"")</f>
        <v>1.6940384615384616</v>
      </c>
      <c r="F16" s="15">
        <f>IFERROR(F2/E2-1,"")</f>
        <v>-0.6328788635876936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-3.4611441307578006</v>
      </c>
      <c r="C18" s="15">
        <f>IFERROR(C8/C2,"")</f>
        <v>-14.147760325770795</v>
      </c>
      <c r="D18" s="15">
        <f>IFERROR(D8/D2,"")</f>
        <v>-27.564615384615387</v>
      </c>
      <c r="E18" s="15">
        <f>IFERROR(E8/E2,"")</f>
        <v>-13.895281604682703</v>
      </c>
      <c r="F18" s="15">
        <f>IFERROR(F8/F2,"")</f>
        <v>-53.837643398794484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2026-10-21T01:04:00Z</dcterms:modified>
  <cp:lastModifiedBy>Wang, Eric</cp:lastModifiedBy>
</cp:coreProperties>
</file>