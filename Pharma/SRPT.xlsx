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Sarepta Therapeutics, Inc.</t>
        </is>
      </c>
      <c r="C2" s="10" t="n"/>
    </row>
    <row r="3">
      <c r="B3" t="inlineStr">
        <is>
          <t>Price</t>
        </is>
      </c>
      <c r="C3" s="11">
        <f>INDEX([1]Pharma!$F$1:$F$1000,MATCH("SRPT",[1]Pharma!$B$1:$B$1000,0))</f>
        <v>19.17</v>
      </c>
      <c r="F3" s="1" t="n"/>
    </row>
    <row r="4">
      <c r="B4" t="inlineStr">
        <is>
          <t>Shares</t>
        </is>
      </c>
      <c r="C4" s="51" t="n">
        <v>105.627021</v>
      </c>
      <c r="F4" s="1" t="n"/>
    </row>
    <row r="5">
      <c r="B5" t="inlineStr">
        <is>
          <t>Market Cap.</t>
        </is>
      </c>
      <c r="C5" s="13">
        <f>C3*C4</f>
        <v>2024.8699925700002</v>
      </c>
      <c r="F5" s="1" t="n"/>
    </row>
    <row r="6"/>
    <row r="7">
      <c r="B7" t="inlineStr">
        <is>
          <t>Cash</t>
        </is>
      </c>
      <c r="C7" s="51">
        <f>571.148+217.341</f>
        <v>788.489</v>
      </c>
    </row>
    <row r="8">
      <c r="B8" t="inlineStr">
        <is>
          <t>Debt</t>
        </is>
      </c>
      <c r="C8" s="51" t="n">
        <v>847.623</v>
      </c>
    </row>
    <row r="9">
      <c r="B9" t="inlineStr">
        <is>
          <t>Enterprise V.</t>
        </is>
      </c>
      <c r="C9" s="13">
        <f>C5-C7+C8</f>
        <v>2084.0039925700003</v>
      </c>
    </row>
    <row r="10"/>
    <row r="11">
      <c r="B11" s="14" t="inlineStr">
        <is>
          <t>NPV / Share</t>
        </is>
      </c>
      <c r="C11" s="11">
        <f>NPV!B28</f>
        <v>14.829629866902051</v>
      </c>
    </row>
    <row r="12">
      <c r="B12" s="14" t="inlineStr">
        <is>
          <t>Upside</t>
        </is>
      </c>
      <c r="C12" s="15">
        <f>IFERROR(C11/C3-1,"")</f>
        <v>-0.22641471742816643</v>
      </c>
    </row>
    <row r="13">
      <c r="B13" s="14" t="inlineStr">
        <is>
          <t>Cash / Share</t>
        </is>
      </c>
      <c r="C13" s="11">
        <f>IFERROR((C7-C8)/C4,"")</f>
        <v>-0.5598378089258053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0</v>
      </c>
      <c r="G2" s="52" t="n">
        <v>9.757</v>
      </c>
      <c r="H2" s="52" t="n">
        <v>1.253</v>
      </c>
      <c r="I2" s="52" t="n">
        <v>5.421</v>
      </c>
      <c r="J2" s="52" t="n">
        <v>154.584</v>
      </c>
      <c r="K2" s="52" t="n">
        <v>301.034</v>
      </c>
      <c r="L2" s="52" t="n">
        <v>380.833</v>
      </c>
      <c r="M2" s="52" t="n">
        <v>540.099</v>
      </c>
      <c r="N2" s="52" t="n">
        <v>701.8869999999999</v>
      </c>
      <c r="O2" s="52" t="n">
        <v>933.013</v>
      </c>
      <c r="P2" s="52" t="n">
        <v>1243.336</v>
      </c>
      <c r="Q2" s="52" t="n">
        <v>1901.979</v>
      </c>
      <c r="R2" s="52" t="n">
        <v>2198.237</v>
      </c>
      <c r="S2" s="52">
        <f>R2*(1+NPV!C5)</f>
        <v>1978.4133000000002</v>
      </c>
      <c r="T2" s="52">
        <f>S2*(1+NPV!D5)</f>
        <v>1808.0499325</v>
      </c>
      <c r="U2" s="52">
        <f>T2*(1+NPV!E5)</f>
        <v>1677.4685484861113</v>
      </c>
      <c r="V2" s="52">
        <f>U2*(1+NPV!F5)</f>
        <v>1579.6162164910882</v>
      </c>
      <c r="W2" s="52">
        <f>V2*(1+NPV!G5)</f>
        <v>1509.4110513137064</v>
      </c>
      <c r="X2" s="52">
        <f>W2*(1+NPV!H5)</f>
        <v>1463.2901580791208</v>
      </c>
      <c r="Y2" s="52">
        <f>X2*(1+NPV!I5)</f>
        <v>1438.901988777802</v>
      </c>
      <c r="Z2" s="52">
        <f>Y2*(1+NPV!J5)</f>
        <v>1434.9050388089747</v>
      </c>
      <c r="AA2" s="52">
        <f>Z2*(1+NPV!K5)</f>
        <v>1450.8484281290744</v>
      </c>
      <c r="AB2" s="52">
        <f>AA2*(1+NPV!L5)</f>
        <v>1487.119638832301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0.13</v>
      </c>
      <c r="J3" s="52" t="n">
        <v>0</v>
      </c>
      <c r="K3" s="52" t="n">
        <v>0</v>
      </c>
      <c r="L3" s="52" t="n">
        <v>0</v>
      </c>
      <c r="M3" s="52" t="n">
        <v>0</v>
      </c>
      <c r="N3" s="52" t="n">
        <v>0</v>
      </c>
      <c r="O3" s="52" t="n">
        <v>0</v>
      </c>
      <c r="P3" s="52" t="n">
        <v>0</v>
      </c>
      <c r="Q3" s="52" t="n">
        <v>0</v>
      </c>
      <c r="R3" s="52" t="n">
        <v>25.5</v>
      </c>
      <c r="S3" s="52">
        <f>S2*(1-Assumptions!$B$19)</f>
        <v>22.94959428000011</v>
      </c>
      <c r="T3" s="52">
        <f>T2*(1-Assumptions!$B$19)</f>
        <v>20.9733792170001</v>
      </c>
      <c r="U3" s="52">
        <f>U2*(1-Assumptions!$B$19)</f>
        <v>19.458635162438984</v>
      </c>
      <c r="V3" s="52">
        <f>V2*(1-Assumptions!$B$19)</f>
        <v>18.32354811129671</v>
      </c>
      <c r="W3" s="52">
        <f>W2*(1-Assumptions!$B$19)</f>
        <v>17.509168195239077</v>
      </c>
      <c r="X3" s="52">
        <f>X2*(1-Assumptions!$B$19)</f>
        <v>16.974165833717883</v>
      </c>
      <c r="Y3" s="52">
        <f>Y2*(1-Assumptions!$B$19)</f>
        <v>16.691263069822583</v>
      </c>
      <c r="Z3" s="52">
        <f>Z2*(1-Assumptions!$B$19)</f>
        <v>16.644898450184186</v>
      </c>
      <c r="AA3" s="52">
        <f>AA2*(1-Assumptions!$B$19)</f>
        <v>16.829841766297342</v>
      </c>
      <c r="AB3" s="52">
        <f>AB2*(1-Assumptions!$B$19)</f>
        <v>17.250587810454775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0.0</v>
      </c>
      <c r="G4" s="52">
        <f>G2-G3</f>
        <v>9.757</v>
      </c>
      <c r="H4" s="52">
        <f>H2-H3</f>
        <v>1.253</v>
      </c>
      <c r="I4" s="52">
        <f>I2-I3</f>
        <v>5.291</v>
      </c>
      <c r="J4" s="52">
        <f>J2-J3</f>
        <v>154.584</v>
      </c>
      <c r="K4" s="52">
        <f>K2-K3</f>
        <v>301.034</v>
      </c>
      <c r="L4" s="52">
        <f>L2-L3</f>
        <v>380.833</v>
      </c>
      <c r="M4" s="52">
        <f>M2-M3</f>
        <v>540.099</v>
      </c>
      <c r="N4" s="52">
        <f>N2-N3</f>
        <v>701.887</v>
      </c>
      <c r="O4" s="52">
        <f>O2-O3</f>
        <v>933.013</v>
      </c>
      <c r="P4" s="52">
        <f>P2-P3</f>
        <v>1243.336</v>
      </c>
      <c r="Q4" s="52">
        <f>Q2-Q3</f>
        <v>1901.979</v>
      </c>
      <c r="R4" s="52">
        <f>R2-R3</f>
        <v>2172.737</v>
      </c>
      <c r="S4" s="52">
        <f>S2-S3</f>
        <v>1955.46370572</v>
      </c>
      <c r="T4" s="52">
        <f>T2-T3</f>
        <v>1787.076553283</v>
      </c>
      <c r="U4" s="52">
        <f>U2-U3</f>
        <v>1658.0099133236724</v>
      </c>
      <c r="V4" s="52">
        <f>V2-V3</f>
        <v>1561.2926683797914</v>
      </c>
      <c r="W4" s="52">
        <f>W2-W3</f>
        <v>1491.9018831184674</v>
      </c>
      <c r="X4" s="52">
        <f>X2-X3</f>
        <v>1446.3159922454029</v>
      </c>
      <c r="Y4" s="52">
        <f>Y2-Y3</f>
        <v>1422.2107257079795</v>
      </c>
      <c r="Z4" s="52">
        <f>Z2-Z3</f>
        <v>1418.2601403587905</v>
      </c>
      <c r="AA4" s="52">
        <f>AA2-AA3</f>
        <v>1434.0185863627771</v>
      </c>
      <c r="AB4" s="52">
        <f>AB2-AB3</f>
        <v>1469.8690510218462</v>
      </c>
    </row>
    <row r="5">
      <c r="A5" s="2" t="inlineStr">
        <is>
          <t>Research &amp; Dev.</t>
        </is>
      </c>
      <c r="B5" s="52" t="n">
        <v>24.396</v>
      </c>
      <c r="C5" s="52" t="n">
        <v>35.972</v>
      </c>
      <c r="D5" s="52" t="n">
        <v>66.86199999999999</v>
      </c>
      <c r="E5" s="52" t="n">
        <v>52.402</v>
      </c>
      <c r="F5" s="52" t="n">
        <v>72.90900000000001</v>
      </c>
      <c r="G5" s="52" t="n">
        <v>94.23099999999999</v>
      </c>
      <c r="H5" s="52" t="n">
        <v>146.394</v>
      </c>
      <c r="I5" s="52" t="n">
        <v>188.272</v>
      </c>
      <c r="J5" s="52" t="n">
        <v>166.707</v>
      </c>
      <c r="K5" s="52" t="n">
        <v>401.843</v>
      </c>
      <c r="L5" s="52" t="n">
        <v>560.909</v>
      </c>
      <c r="M5" s="52" t="n">
        <v>722.343</v>
      </c>
      <c r="N5" s="52" t="n">
        <v>771.182</v>
      </c>
      <c r="O5" s="52" t="n">
        <v>877.09</v>
      </c>
      <c r="P5" s="52" t="n">
        <v>877.3869999999999</v>
      </c>
      <c r="Q5" s="52" t="n">
        <v>804.522</v>
      </c>
      <c r="R5" s="52" t="n">
        <v>1522.066</v>
      </c>
      <c r="S5" s="52">
        <f>S7*Assumptions!$B$20</f>
        <v>1083.7329148167858</v>
      </c>
      <c r="T5" s="52">
        <f>T7*Assumptions!$B$20</f>
        <v>964.2940543035719</v>
      </c>
      <c r="U5" s="52">
        <f>U7*Assumptions!$B$20</f>
        <v>870.4194375105374</v>
      </c>
      <c r="V5" s="52">
        <f>V7*Assumptions!$B$20</f>
        <v>796.8272971836087</v>
      </c>
      <c r="W5" s="52">
        <f>W7*Assumptions!$B$20</f>
        <v>739.6091963094707</v>
      </c>
      <c r="X5" s="52">
        <f>X7*Assumptions!$B$20</f>
        <v>695.8726918053121</v>
      </c>
      <c r="Y5" s="52">
        <f>Y7*Assumptions!$B$20</f>
        <v>663.4897679019144</v>
      </c>
      <c r="Z5" s="52">
        <f>Z7*Assumptions!$B$20</f>
        <v>640.919431300285</v>
      </c>
      <c r="AA5" s="52">
        <f>AA7*Assumptions!$B$20</f>
        <v>627.0831454076244</v>
      </c>
      <c r="AB5" s="52">
        <f>AB7*Assumptions!$B$20</f>
        <v>621.2786708130292</v>
      </c>
    </row>
    <row r="6">
      <c r="A6" s="18" t="inlineStr">
        <is>
          <t>SG&amp;A &amp; Other</t>
        </is>
      </c>
      <c r="B6" s="52" t="n">
        <v>-8.888999999999999</v>
      </c>
      <c r="C6" s="52" t="n">
        <v>-15.038</v>
      </c>
      <c r="D6" s="52" t="n">
        <v>-30.935</v>
      </c>
      <c r="E6" s="52" t="n">
        <v>-22.699</v>
      </c>
      <c r="F6" s="52" t="n">
        <v>17.375</v>
      </c>
      <c r="G6" s="52" t="n">
        <v>49.315</v>
      </c>
      <c r="H6" s="52" t="n">
        <v>75.04300000000001</v>
      </c>
      <c r="I6" s="52" t="n">
        <v>83.749</v>
      </c>
      <c r="J6" s="52" t="n">
        <v>159.515</v>
      </c>
      <c r="K6" s="52" t="n">
        <v>242.819</v>
      </c>
      <c r="L6" s="52" t="n">
        <v>525.487</v>
      </c>
      <c r="M6" s="52" t="n">
        <v>381.919</v>
      </c>
      <c r="N6" s="52" t="n">
        <v>390.415</v>
      </c>
      <c r="O6" s="52" t="n">
        <v>592.124</v>
      </c>
      <c r="P6" s="52" t="n">
        <v>633.773</v>
      </c>
      <c r="Q6" s="52" t="n">
        <v>879.376</v>
      </c>
      <c r="R6" s="52" t="n">
        <v>1350.452</v>
      </c>
      <c r="S6" s="52">
        <f>S7-S5</f>
        <v>961.4320499252142</v>
      </c>
      <c r="T6" s="52">
        <f>T7-T5</f>
        <v>855.4720417590282</v>
      </c>
      <c r="U6" s="52">
        <f>U7-U5</f>
        <v>772.1913145380327</v>
      </c>
      <c r="V6" s="52">
        <f>V7-V5</f>
        <v>706.9041562672475</v>
      </c>
      <c r="W6" s="52">
        <f>W7-W5</f>
        <v>656.1432028403135</v>
      </c>
      <c r="X6" s="52">
        <f>X7-X5</f>
        <v>617.3424276612138</v>
      </c>
      <c r="Y6" s="52">
        <f>Y7-Y5</f>
        <v>588.6139646927533</v>
      </c>
      <c r="Z6" s="52">
        <f>Z7-Z5</f>
        <v>568.5907240125758</v>
      </c>
      <c r="AA6" s="52">
        <f>AA7-AA5</f>
        <v>556.3158834801363</v>
      </c>
      <c r="AB6" s="52">
        <f>AB7-AB5</f>
        <v>551.1664524423569</v>
      </c>
    </row>
    <row r="7">
      <c r="A7" s="2" t="inlineStr">
        <is>
          <t>Operating Expense</t>
        </is>
      </c>
      <c r="B7" s="52">
        <f>SUM(B5:B6)</f>
        <v>15.507000000000001</v>
      </c>
      <c r="C7" s="52">
        <f>SUM(C5:C6)</f>
        <v>20.934</v>
      </c>
      <c r="D7" s="52">
        <f>SUM(D5:D6)</f>
        <v>35.92699999999999</v>
      </c>
      <c r="E7" s="52">
        <f>SUM(E5:E6)</f>
        <v>29.703</v>
      </c>
      <c r="F7" s="52">
        <f>SUM(F5:F6)</f>
        <v>90.284</v>
      </c>
      <c r="G7" s="52">
        <f>SUM(G5:G6)</f>
        <v>143.546</v>
      </c>
      <c r="H7" s="52">
        <f>SUM(H5:H6)</f>
        <v>221.437</v>
      </c>
      <c r="I7" s="52">
        <f>SUM(I5:I6)</f>
        <v>272.02099999999996</v>
      </c>
      <c r="J7" s="52">
        <f>SUM(J5:J6)</f>
        <v>326.222</v>
      </c>
      <c r="K7" s="52">
        <f>SUM(K5:K6)</f>
        <v>644.662</v>
      </c>
      <c r="L7" s="52">
        <f>SUM(L5:L6)</f>
        <v>1086.396</v>
      </c>
      <c r="M7" s="52">
        <f>SUM(M5:M6)</f>
        <v>1104.262</v>
      </c>
      <c r="N7" s="52">
        <f>SUM(N5:N6)</f>
        <v>1161.597</v>
      </c>
      <c r="O7" s="52">
        <f>SUM(O5:O6)</f>
        <v>1469.214</v>
      </c>
      <c r="P7" s="52">
        <f>SUM(P5:P6)</f>
        <v>1511.1599999999999</v>
      </c>
      <c r="Q7" s="52">
        <f>SUM(Q5:Q6)</f>
        <v>1683.8980000000001</v>
      </c>
      <c r="R7" s="52">
        <f>SUM(R5:R6)</f>
        <v>2872.518</v>
      </c>
      <c r="S7" s="52">
        <f>S4-S2*NPV!C6</f>
        <v>2045.164964742</v>
      </c>
      <c r="T7" s="52">
        <f>T4-T2*NPV!D6</f>
        <v>1819.7660960626001</v>
      </c>
      <c r="U7" s="52">
        <f>U4-U2*NPV!E6</f>
        <v>1642.61075204857</v>
      </c>
      <c r="V7" s="52">
        <f>V4-V2*NPV!F6</f>
        <v>1503.7314534508562</v>
      </c>
      <c r="W7" s="52">
        <f>W4-W2*NPV!G6</f>
        <v>1395.7523991497842</v>
      </c>
      <c r="X7" s="52">
        <f>X4-X2*NPV!H6</f>
        <v>1313.215119466526</v>
      </c>
      <c r="Y7" s="52">
        <f>Y4-Y2*NPV!I6</f>
        <v>1252.1037325946677</v>
      </c>
      <c r="Z7" s="52">
        <f>Z4-Z2*NPV!J6</f>
        <v>1209.510155312861</v>
      </c>
      <c r="AA7" s="52">
        <f>AA4-AA2*NPV!K6</f>
        <v>1183.3990288877608</v>
      </c>
      <c r="AB7" s="52">
        <f>AB4-AB2*NPV!L6</f>
        <v>1172.445123255386</v>
      </c>
    </row>
    <row r="8">
      <c r="A8" s="2" t="inlineStr">
        <is>
          <t>Operating Income</t>
        </is>
      </c>
      <c r="B8" s="52">
        <f>B4-B7</f>
        <v>-15.507000000000001</v>
      </c>
      <c r="C8" s="52">
        <f>C4-C7</f>
        <v>-20.934</v>
      </c>
      <c r="D8" s="52">
        <f>D4-D7</f>
        <v>-35.92699999999999</v>
      </c>
      <c r="E8" s="52">
        <f>E4-E7</f>
        <v>-29.703</v>
      </c>
      <c r="F8" s="52">
        <f>F4-F7</f>
        <v>-90.284</v>
      </c>
      <c r="G8" s="52">
        <f>G4-G7</f>
        <v>-133.789</v>
      </c>
      <c r="H8" s="52">
        <f>H4-H7</f>
        <v>-220.18400000000003</v>
      </c>
      <c r="I8" s="52">
        <f>I4-I7</f>
        <v>-266.72999999999996</v>
      </c>
      <c r="J8" s="52">
        <f>J4-J7</f>
        <v>-171.63799999999998</v>
      </c>
      <c r="K8" s="52">
        <f>K4-K7</f>
        <v>-343.62800000000004</v>
      </c>
      <c r="L8" s="52">
        <f>L4-L7</f>
        <v>-705.5629999999999</v>
      </c>
      <c r="M8" s="52">
        <f>M4-M7</f>
        <v>-564.1629999999999</v>
      </c>
      <c r="N8" s="52">
        <f>N4-N7</f>
        <v>-459.71000000000004</v>
      </c>
      <c r="O8" s="52">
        <f>O4-O7</f>
        <v>-536.2009999999999</v>
      </c>
      <c r="P8" s="52">
        <f>P4-P7</f>
        <v>-267.82399999999984</v>
      </c>
      <c r="Q8" s="52">
        <f>Q4-Q7</f>
        <v>218.0809999999999</v>
      </c>
      <c r="R8" s="52">
        <f>R4-R7</f>
        <v>-699.781</v>
      </c>
      <c r="S8" s="52">
        <f>S4-S7</f>
        <v>-89.70125902199993</v>
      </c>
      <c r="T8" s="52">
        <f>T4-T7</f>
        <v>-32.68954277960006</v>
      </c>
      <c r="U8" s="52">
        <f>U4-U7</f>
        <v>15.399161275102415</v>
      </c>
      <c r="V8" s="52">
        <f>V4-V7</f>
        <v>57.561214928935215</v>
      </c>
      <c r="W8" s="52">
        <f>W4-W7</f>
        <v>96.14948396868317</v>
      </c>
      <c r="X8" s="52">
        <f>X4-X7</f>
        <v>133.10087277887692</v>
      </c>
      <c r="Y8" s="52">
        <f>Y4-Y7</f>
        <v>170.10699311331177</v>
      </c>
      <c r="Z8" s="52">
        <f>Z4-Z7</f>
        <v>208.74998504592963</v>
      </c>
      <c r="AA8" s="52">
        <f>AA4-AA7</f>
        <v>250.61955747501634</v>
      </c>
      <c r="AB8" s="52">
        <f>AB4-AB7</f>
        <v>297.4239277664601</v>
      </c>
    </row>
    <row r="9">
      <c r="A9" s="18" t="inlineStr">
        <is>
          <t>Interest &amp; Other</t>
        </is>
      </c>
      <c r="B9" s="52" t="n">
        <v>-9.651999999999999</v>
      </c>
      <c r="C9" s="52" t="n">
        <v>-11.243</v>
      </c>
      <c r="D9" s="52" t="n">
        <v>33.609</v>
      </c>
      <c r="E9" s="52" t="n">
        <v>-91.584</v>
      </c>
      <c r="F9" s="52" t="n">
        <v>-21.701</v>
      </c>
      <c r="G9" s="52" t="n">
        <v>-2</v>
      </c>
      <c r="H9" s="52" t="n">
        <v>0.154</v>
      </c>
      <c r="I9" s="52" t="n">
        <v>-0.535</v>
      </c>
      <c r="J9" s="52" t="n">
        <v>123.01</v>
      </c>
      <c r="K9" s="52" t="n">
        <v>-18.982</v>
      </c>
      <c r="L9" s="52" t="n">
        <v>-8.317</v>
      </c>
      <c r="M9" s="52" t="n">
        <v>11.098</v>
      </c>
      <c r="N9" s="52" t="n">
        <v>40.762</v>
      </c>
      <c r="O9" s="52" t="n">
        <v>-153.762</v>
      </c>
      <c r="P9" s="52" t="n">
        <v>-252.274</v>
      </c>
      <c r="Q9" s="52" t="n">
        <v>42.693</v>
      </c>
      <c r="R9" s="52" t="n">
        <v>-2.444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-25.159</v>
      </c>
      <c r="C10" s="52">
        <f>C8+C9</f>
        <v>-32.177</v>
      </c>
      <c r="D10" s="52">
        <f>D8+D9</f>
        <v>-2.3179999999999907</v>
      </c>
      <c r="E10" s="52">
        <f>E8+E9</f>
        <v>-121.287</v>
      </c>
      <c r="F10" s="52">
        <f>F8+F9</f>
        <v>-111.98500000000001</v>
      </c>
      <c r="G10" s="52">
        <f>G8+G9</f>
        <v>-135.789</v>
      </c>
      <c r="H10" s="52">
        <f>H8+H9</f>
        <v>-220.03000000000003</v>
      </c>
      <c r="I10" s="52">
        <f>I8+I9</f>
        <v>-267.265</v>
      </c>
      <c r="J10" s="52">
        <f>J8+J9</f>
        <v>-48.62799999999997</v>
      </c>
      <c r="K10" s="52">
        <f>K8+K9</f>
        <v>-362.61</v>
      </c>
      <c r="L10" s="52">
        <f>L8+L9</f>
        <v>-713.8799999999999</v>
      </c>
      <c r="M10" s="52">
        <f>M8+M9</f>
        <v>-553.0649999999999</v>
      </c>
      <c r="N10" s="52">
        <f>N8+N9</f>
        <v>-418.94800000000004</v>
      </c>
      <c r="O10" s="52">
        <f>O8+O9</f>
        <v>-689.963</v>
      </c>
      <c r="P10" s="52">
        <f>P8+P9</f>
        <v>-520.0979999999998</v>
      </c>
      <c r="Q10" s="52">
        <f>Q8+Q9</f>
        <v>260.7739999999999</v>
      </c>
      <c r="R10" s="52">
        <f>R8+R9</f>
        <v>-702.2249999999999</v>
      </c>
      <c r="S10" s="52">
        <f>S8+S9</f>
        <v>-89.70125902199993</v>
      </c>
      <c r="T10" s="52">
        <f>T8+T9</f>
        <v>-32.68954277960006</v>
      </c>
      <c r="U10" s="52">
        <f>U8+U9</f>
        <v>15.399161275102415</v>
      </c>
      <c r="V10" s="52">
        <f>V8+V9</f>
        <v>57.561214928935215</v>
      </c>
      <c r="W10" s="52">
        <f>W8+W9</f>
        <v>96.14948396868317</v>
      </c>
      <c r="X10" s="52">
        <f>X8+X9</f>
        <v>133.10087277887692</v>
      </c>
      <c r="Y10" s="52">
        <f>Y8+Y9</f>
        <v>170.10699311331177</v>
      </c>
      <c r="Z10" s="52">
        <f>Z8+Z9</f>
        <v>208.74998504592963</v>
      </c>
      <c r="AA10" s="52">
        <f>AA8+AA9</f>
        <v>250.61955747501634</v>
      </c>
      <c r="AB10" s="52">
        <f>AB8+AB9</f>
        <v>297.4239277664601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2.06</v>
      </c>
      <c r="K11" s="52" t="n">
        <v>-0.6919999999999999</v>
      </c>
      <c r="L11" s="52" t="n">
        <v>1.195</v>
      </c>
      <c r="M11" s="52" t="n">
        <v>1.063</v>
      </c>
      <c r="N11" s="52" t="n">
        <v>-0.168</v>
      </c>
      <c r="O11" s="52" t="n">
        <v>13.525</v>
      </c>
      <c r="P11" s="52" t="n">
        <v>15.879</v>
      </c>
      <c r="Q11" s="52" t="n">
        <v>25.535</v>
      </c>
      <c r="R11" s="52" t="n">
        <v>11.185</v>
      </c>
      <c r="S11" s="52">
        <f>MAX(0,S10)*Assumptions!$E$14</f>
        <v>0.0</v>
      </c>
      <c r="T11" s="52">
        <f>MAX(0,T10)*Assumptions!$E$14</f>
        <v>0.0</v>
      </c>
      <c r="U11" s="52">
        <f>MAX(0,U10)*Assumptions!$E$14</f>
        <v>2.6178574167674107</v>
      </c>
      <c r="V11" s="52">
        <f>MAX(0,V10)*Assumptions!$E$14</f>
        <v>9.785406537918988</v>
      </c>
      <c r="W11" s="52">
        <f>MAX(0,W10)*Assumptions!$E$14</f>
        <v>16.34541227467614</v>
      </c>
      <c r="X11" s="52">
        <f>MAX(0,X10)*Assumptions!$E$14</f>
        <v>22.627148372409078</v>
      </c>
      <c r="Y11" s="52">
        <f>MAX(0,Y10)*Assumptions!$E$14</f>
        <v>28.918188829263002</v>
      </c>
      <c r="Z11" s="52">
        <f>MAX(0,Z10)*Assumptions!$E$14</f>
        <v>35.48749745780804</v>
      </c>
      <c r="AA11" s="52">
        <f>MAX(0,AA10)*Assumptions!$E$14</f>
        <v>42.60532477075278</v>
      </c>
      <c r="AB11" s="52">
        <f>MAX(0,AB10)*Assumptions!$E$14</f>
        <v>50.562067720298224</v>
      </c>
    </row>
    <row r="12">
      <c r="A12" s="2" t="inlineStr">
        <is>
          <t>Net Income</t>
        </is>
      </c>
      <c r="B12" s="52" t="n">
        <v>-25.159</v>
      </c>
      <c r="C12" s="52" t="n">
        <v>-32.177</v>
      </c>
      <c r="D12" s="52" t="n">
        <v>-2.318</v>
      </c>
      <c r="E12" s="52" t="n">
        <v>-121.287</v>
      </c>
      <c r="F12" s="52" t="n">
        <v>-111.985</v>
      </c>
      <c r="G12" s="52" t="n">
        <v>-135.789</v>
      </c>
      <c r="H12" s="52" t="n">
        <v>-220.03</v>
      </c>
      <c r="I12" s="52" t="n">
        <v>-267.265</v>
      </c>
      <c r="J12" s="52" t="n">
        <v>-50.688</v>
      </c>
      <c r="K12" s="52" t="n">
        <v>-361.918</v>
      </c>
      <c r="L12" s="52" t="n">
        <v>-715.075</v>
      </c>
      <c r="M12" s="52" t="n">
        <v>-554.128</v>
      </c>
      <c r="N12" s="52" t="n">
        <v>-418.78</v>
      </c>
      <c r="O12" s="52" t="n">
        <v>-703.4880000000001</v>
      </c>
      <c r="P12" s="52" t="n">
        <v>-535.977</v>
      </c>
      <c r="Q12" s="52" t="n">
        <v>235.239</v>
      </c>
      <c r="R12" s="52" t="n">
        <v>-713.41</v>
      </c>
      <c r="S12" s="52">
        <f>S10-S11</f>
        <v>-89.70125902199993</v>
      </c>
      <c r="T12" s="52">
        <f>T10-T11</f>
        <v>-32.68954277960006</v>
      </c>
      <c r="U12" s="52">
        <f>U10-U11</f>
        <v>12.781303858335004</v>
      </c>
      <c r="V12" s="52">
        <f>V10-V11</f>
        <v>47.77580839101623</v>
      </c>
      <c r="W12" s="52">
        <f>W10-W11</f>
        <v>79.80407169400704</v>
      </c>
      <c r="X12" s="52">
        <f>X10-X11</f>
        <v>110.47372440646784</v>
      </c>
      <c r="Y12" s="52">
        <f>Y10-Y11</f>
        <v>141.18880428404879</v>
      </c>
      <c r="Z12" s="52">
        <f>Z10-Z11</f>
        <v>173.2624875881216</v>
      </c>
      <c r="AA12" s="52">
        <f>AA10-AA11</f>
        <v>208.01423270426355</v>
      </c>
      <c r="AB12" s="52">
        <f>AB10-AB11</f>
        <v>246.8618600461619</v>
      </c>
    </row>
    <row r="13">
      <c r="A13" s="2" t="inlineStr">
        <is>
          <t>Earnings per Share</t>
        </is>
      </c>
      <c r="B13" s="11">
        <f>IFERROR(B12/B14,0)</f>
        <v>-0.2702653346224084</v>
      </c>
      <c r="C13" s="11">
        <f>IFERROR(C12/C14,0)</f>
        <v>-0.28927566459593823</v>
      </c>
      <c r="D13" s="11">
        <f>IFERROR(D12/D14,0)</f>
        <v>-0.0178864925344342</v>
      </c>
      <c r="E13" s="11">
        <f>IFERROR(E12/E14,0)</f>
        <v>-5.138844165748665</v>
      </c>
      <c r="F13" s="11">
        <f>IFERROR(F12/F14,0)</f>
        <v>-3.308271787296898</v>
      </c>
      <c r="G13" s="11">
        <f>IFERROR(G12/G14,0)</f>
        <v>-3.392519862089641</v>
      </c>
      <c r="H13" s="11">
        <f>IFERROR(H12/H14,0)</f>
        <v>-5.2028848427524235</v>
      </c>
      <c r="I13" s="11">
        <f>IFERROR(I12/I14,0)</f>
        <v>-5.488325769554592</v>
      </c>
      <c r="J13" s="11">
        <f>IFERROR(J12/J14,0)</f>
        <v>-0.8617770070386617</v>
      </c>
      <c r="K13" s="11">
        <f>IFERROR(K12/K14,0)</f>
        <v>-5.46291320754717</v>
      </c>
      <c r="L13" s="11">
        <f>IFERROR(L12/L14,0)</f>
        <v>-9.713713237791213</v>
      </c>
      <c r="M13" s="11">
        <f>IFERROR(M12/M14,0)</f>
        <v>-7.108214890451024</v>
      </c>
      <c r="N13" s="11">
        <f>IFERROR(N12/N14,0)</f>
        <v>-5.153454259063277</v>
      </c>
      <c r="O13" s="11">
        <f>IFERROR(O12/O14,0)</f>
        <v>-8.03444534542423</v>
      </c>
      <c r="P13" s="11">
        <f>IFERROR(P12/P14,0)</f>
        <v>-5.800742440312561</v>
      </c>
      <c r="Q13" s="11">
        <f>IFERROR(Q12/Q14,0)</f>
        <v>2.1806628041714946</v>
      </c>
      <c r="R13" s="11">
        <f>IFERROR(R12/R14,0)</f>
        <v>-7.12554934079105</v>
      </c>
      <c r="S13" s="11">
        <f>IFERROR(S12/S14,0)</f>
        <v>-0.8492264400981254</v>
      </c>
      <c r="T13" s="11">
        <f>IFERROR(T12/T14,0)</f>
        <v>-0.3094808740237033</v>
      </c>
      <c r="U13" s="11">
        <f>IFERROR(U12/U14,0)</f>
        <v>0.12100411180142062</v>
      </c>
      <c r="V13" s="11">
        <f>IFERROR(V12/V14,0)</f>
        <v>0.4523066914006429</v>
      </c>
      <c r="W13" s="11">
        <f>IFERROR(W12/W14,0)</f>
        <v>0.7555270511132472</v>
      </c>
      <c r="X13" s="11">
        <f>IFERROR(X12/X14,0)</f>
        <v>1.0458850714578785</v>
      </c>
      <c r="Y13" s="11">
        <f>IFERROR(Y12/Y14,0)</f>
        <v>1.3366731632434166</v>
      </c>
      <c r="Z13" s="11">
        <f>IFERROR(Z12/Z14,0)</f>
        <v>1.6403235265730118</v>
      </c>
      <c r="AA13" s="11">
        <f>IFERROR(AA12/AA14,0)</f>
        <v>1.9693278361439688</v>
      </c>
      <c r="AB13" s="11">
        <f>IFERROR(AB12/AB14,0)</f>
        <v>2.337108986971827</v>
      </c>
    </row>
    <row r="14">
      <c r="A14" s="2" t="inlineStr">
        <is>
          <t>Shares</t>
        </is>
      </c>
      <c r="B14" s="52" t="n">
        <v>93.09</v>
      </c>
      <c r="C14" s="52" t="n">
        <v>111.233</v>
      </c>
      <c r="D14" s="52" t="n">
        <v>129.595</v>
      </c>
      <c r="E14" s="52" t="n">
        <v>23.602</v>
      </c>
      <c r="F14" s="52" t="n">
        <v>33.85</v>
      </c>
      <c r="G14" s="52" t="n">
        <v>40.026</v>
      </c>
      <c r="H14" s="52" t="n">
        <v>42.29</v>
      </c>
      <c r="I14" s="52" t="n">
        <v>48.697</v>
      </c>
      <c r="J14" s="52" t="n">
        <v>58.818</v>
      </c>
      <c r="K14" s="52" t="n">
        <v>66.25</v>
      </c>
      <c r="L14" s="52" t="n">
        <v>73.61499999999999</v>
      </c>
      <c r="M14" s="52" t="n">
        <v>77.956</v>
      </c>
      <c r="N14" s="52" t="n">
        <v>81.262</v>
      </c>
      <c r="O14" s="52" t="n">
        <v>87.559</v>
      </c>
      <c r="P14" s="52" t="n">
        <v>92.398</v>
      </c>
      <c r="Q14" s="52" t="n">
        <v>107.875</v>
      </c>
      <c r="R14" s="52" t="n">
        <v>100.12</v>
      </c>
      <c r="S14" s="52">
        <f>Main!$C$4</f>
        <v>105.627021</v>
      </c>
      <c r="T14" s="52">
        <f>Main!$C$4</f>
        <v>105.627021</v>
      </c>
      <c r="U14" s="52">
        <f>Main!$C$4</f>
        <v>105.627021</v>
      </c>
      <c r="V14" s="52">
        <f>Main!$C$4</f>
        <v>105.627021</v>
      </c>
      <c r="W14" s="52">
        <f>Main!$C$4</f>
        <v>105.627021</v>
      </c>
      <c r="X14" s="52">
        <f>Main!$C$4</f>
        <v>105.627021</v>
      </c>
      <c r="Y14" s="52">
        <f>Main!$C$4</f>
        <v>105.627021</v>
      </c>
      <c r="Z14" s="52">
        <f>Main!$C$4</f>
        <v>105.627021</v>
      </c>
      <c r="AA14" s="52">
        <f>Main!$C$4</f>
        <v>105.627021</v>
      </c>
      <c r="AB14" s="52">
        <f>Main!$C$4</f>
        <v>105.627021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>-0.8715793789074511</v>
      </c>
      <c r="I16" s="15">
        <f>IFERROR(I2/H2-1,"")</f>
        <v>3.326416600159617</v>
      </c>
      <c r="J16" s="15">
        <f>IFERROR(J2/I2-1,"")</f>
        <v>27.515771997786384</v>
      </c>
      <c r="K16" s="15">
        <f>IFERROR(K2/J2-1,"")</f>
        <v>0.9473813590022253</v>
      </c>
      <c r="L16" s="15">
        <f>IFERROR(L2/K2-1,"")</f>
        <v>0.26508301387883115</v>
      </c>
      <c r="M16" s="15">
        <f>IFERROR(M2/L2-1,"")</f>
        <v>0.4182043047740085</v>
      </c>
      <c r="N16" s="15">
        <f>IFERROR(N2/M2-1,"")</f>
        <v>0.29955248945100776</v>
      </c>
      <c r="O16" s="15">
        <f>IFERROR(O2/N2-1,"")</f>
        <v>0.3292923219834534</v>
      </c>
      <c r="P16" s="15">
        <f>IFERROR(P2/O2-1,"")</f>
        <v>0.3326030827008841</v>
      </c>
      <c r="Q16" s="15">
        <f>IFERROR(Q2/P2-1,"")</f>
        <v>0.5297385421157275</v>
      </c>
      <c r="R16" s="15">
        <f>IFERROR(R2/Q2-1,"")</f>
        <v>0.15576302367165984</v>
      </c>
      <c r="S16" s="15">
        <f>IFERROR(S2/R2-1,"")</f>
        <v>-0.09999999999999998</v>
      </c>
      <c r="T16" s="15">
        <f>IFERROR(T2/S2-1,"")</f>
        <v>-0.08611111111111114</v>
      </c>
      <c r="U16" s="15">
        <f>IFERROR(U2/T2-1,"")</f>
        <v>-0.07222222222222219</v>
      </c>
      <c r="V16" s="15">
        <f>IFERROR(V2/U2-1,"")</f>
        <v>-0.05833333333333335</v>
      </c>
      <c r="W16" s="15">
        <f>IFERROR(W2/V2-1,"")</f>
        <v>-0.04444444444444451</v>
      </c>
      <c r="X16" s="15">
        <f>IFERROR(X2/W2-1,"")</f>
        <v>-0.030555555555555558</v>
      </c>
      <c r="Y16" s="15">
        <f>IFERROR(Y2/X2-1,"")</f>
        <v>-0.01666666666666683</v>
      </c>
      <c r="Z16" s="15">
        <f>IFERROR(Z2/Y2-1,"")</f>
        <v>-0.002777777777777768</v>
      </c>
      <c r="AA16" s="15">
        <f>IFERROR(AA2/Z2-1,"")</f>
        <v>0.011111111111111072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>1.0</v>
      </c>
      <c r="H17" s="15">
        <f>IFERROR(H4/H2,"")</f>
        <v>1.0</v>
      </c>
      <c r="I17" s="15">
        <f>IFERROR(I4/I2,"")</f>
        <v>0.9760191846522782</v>
      </c>
      <c r="J17" s="15">
        <f>IFERROR(J4/J2,"")</f>
        <v>1.0</v>
      </c>
      <c r="K17" s="15">
        <f>IFERROR(K4/K2,"")</f>
        <v>1.0</v>
      </c>
      <c r="L17" s="15">
        <f>IFERROR(L4/L2,"")</f>
        <v>1.0</v>
      </c>
      <c r="M17" s="15">
        <f>IFERROR(M4/M2,"")</f>
        <v>1.0</v>
      </c>
      <c r="N17" s="15">
        <f>IFERROR(N4/N2,"")</f>
        <v>1.0</v>
      </c>
      <c r="O17" s="15">
        <f>IFERROR(O4/O2,"")</f>
        <v>1.0</v>
      </c>
      <c r="P17" s="15">
        <f>IFERROR(P4/P2,"")</f>
        <v>1.0</v>
      </c>
      <c r="Q17" s="15">
        <f>IFERROR(Q4/Q2,"")</f>
        <v>1.0</v>
      </c>
      <c r="R17" s="15">
        <f>IFERROR(R4/R2,"")</f>
        <v>0.9883997949265707</v>
      </c>
      <c r="S17" s="15">
        <f>IFERROR(S4/S2,"")</f>
        <v>0.9884</v>
      </c>
      <c r="T17" s="15">
        <f>IFERROR(T4/T2,"")</f>
        <v>0.9884</v>
      </c>
      <c r="U17" s="15">
        <f>IFERROR(U4/U2,"")</f>
        <v>0.9884</v>
      </c>
      <c r="V17" s="15">
        <f>IFERROR(V4/V2,"")</f>
        <v>0.9884</v>
      </c>
      <c r="W17" s="15">
        <f>IFERROR(W4/W2,"")</f>
        <v>0.9884</v>
      </c>
      <c r="X17" s="15">
        <f>IFERROR(X4/X2,"")</f>
        <v>0.9884</v>
      </c>
      <c r="Y17" s="15">
        <f>IFERROR(Y4/Y2,"")</f>
        <v>0.9884</v>
      </c>
      <c r="Z17" s="15">
        <f>IFERROR(Z4/Z2,"")</f>
        <v>0.9884</v>
      </c>
      <c r="AA17" s="15">
        <f>IFERROR(AA4/AA2,"")</f>
        <v>0.9884000000000001</v>
      </c>
      <c r="AB17" s="15">
        <f>IFERROR(AB4/AB2,"")</f>
        <v>0.9884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>-13.71210413036794</v>
      </c>
      <c r="H18" s="15">
        <f>IFERROR(H8/H2,"")</f>
        <v>-175.7254588986433</v>
      </c>
      <c r="I18" s="15">
        <f>IFERROR(I8/I2,"")</f>
        <v>-49.20309905921416</v>
      </c>
      <c r="J18" s="15">
        <f>IFERROR(J8/J2,"")</f>
        <v>-1.1103218961858923</v>
      </c>
      <c r="K18" s="15">
        <f>IFERROR(K8/K2,"")</f>
        <v>-1.1414923231262915</v>
      </c>
      <c r="L18" s="15">
        <f>IFERROR(L8/L2,"")</f>
        <v>-1.8526834596791766</v>
      </c>
      <c r="M18" s="15">
        <f>IFERROR(M8/M2,"")</f>
        <v>-1.0445547945839557</v>
      </c>
      <c r="N18" s="15">
        <f>IFERROR(N8/N2,"")</f>
        <v>-0.6549629783711625</v>
      </c>
      <c r="O18" s="15">
        <f>IFERROR(O8/O2,"")</f>
        <v>-0.574698316100633</v>
      </c>
      <c r="P18" s="15">
        <f>IFERROR(P8/P2,"")</f>
        <v>-0.21540758089526874</v>
      </c>
      <c r="Q18" s="15">
        <f>IFERROR(Q8/Q2,"")</f>
        <v>0.11466004619399052</v>
      </c>
      <c r="R18" s="15">
        <f>IFERROR(R8/R2,"")</f>
        <v>-0.31833737672507556</v>
      </c>
      <c r="S18" s="15">
        <f>IFERROR(S8/S2,"")</f>
        <v>-0.045339999999999964</v>
      </c>
      <c r="T18" s="15">
        <f>IFERROR(T8/T2,"")</f>
        <v>-0.018080000000000034</v>
      </c>
      <c r="U18" s="15">
        <f>IFERROR(U8/U2,"")</f>
        <v>0.009179999999999949</v>
      </c>
      <c r="V18" s="15">
        <f>IFERROR(V8/V2,"")</f>
        <v>0.03643999999999998</v>
      </c>
      <c r="W18" s="15">
        <f>IFERROR(W8/W2,"")</f>
        <v>0.06370000000000005</v>
      </c>
      <c r="X18" s="15">
        <f>IFERROR(X8/X2,"")</f>
        <v>0.09096000000000005</v>
      </c>
      <c r="Y18" s="15">
        <f>IFERROR(Y8/Y2,"")</f>
        <v>0.11822000000000002</v>
      </c>
      <c r="Z18" s="15">
        <f>IFERROR(Z8/Z2,"")</f>
        <v>0.14548</v>
      </c>
      <c r="AA18" s="15">
        <f>IFERROR(AA8/AA2,"")</f>
        <v>0.17274000000000003</v>
      </c>
      <c r="AB18" s="15">
        <f>IFERROR(AB8/AB2,"")</f>
        <v>0.19999999999999993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Sarepta Therapeutics,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-0.0726</v>
      </c>
    </row>
    <row r="19">
      <c r="A19" s="14" t="inlineStr">
        <is>
          <t>Gross margin (forecast)</t>
        </is>
      </c>
      <c r="B19" s="53" t="n">
        <v>0.9883999999999999</v>
      </c>
    </row>
    <row r="20">
      <c r="A20" s="14" t="inlineStr">
        <is>
          <t>R&amp;D share of operating expense (forecast)</t>
        </is>
      </c>
      <c r="B20" s="53" t="n">
        <v>0.5299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2198.237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1625.5436253734902</v>
      </c>
      <c r="C29" s="56">
        <f>NPV!B26</f>
        <v>1566.4096253734901</v>
      </c>
      <c r="D29" s="35">
        <f>NPV!B28</f>
        <v>14.829629866902051</v>
      </c>
      <c r="E29" s="57">
        <f>NPV!B30</f>
        <v>-0.22641471742816643</v>
      </c>
    </row>
    <row r="30">
      <c r="A30" s="58" t="n">
        <v>1</v>
      </c>
      <c r="B30" s="59">
        <f t="dataTable" ref="B30:E32" r1="B4"/>
        <v>798.0728251925459</v>
      </c>
      <c r="C30" s="59">
        <v>738.9388251925459</v>
      </c>
      <c r="D30" s="39">
        <v>6.995736679845831</v>
      </c>
      <c r="E30" s="60">
        <v>-0.6350685091368894</v>
      </c>
    </row>
    <row r="31">
      <c r="A31" s="58" t="n">
        <v>2</v>
      </c>
      <c r="B31" s="59">
        <v>1625.5436253734902</v>
      </c>
      <c r="C31" s="59">
        <v>1566.4096253734901</v>
      </c>
      <c r="D31" s="39">
        <v>14.829629866902051</v>
      </c>
      <c r="E31" s="60">
        <v>-0.22641471742816643</v>
      </c>
    </row>
    <row r="32">
      <c r="A32" s="58" t="n">
        <v>3</v>
      </c>
      <c r="B32" s="59">
        <v>3276.769241505113</v>
      </c>
      <c r="C32" s="59">
        <v>3217.635241505113</v>
      </c>
      <c r="D32" s="39">
        <v>30.462235998354178</v>
      </c>
      <c r="E32" s="60">
        <v>0.5890576942281782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14.829629866902051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18.295366939117976</v>
      </c>
      <c r="C37" s="39">
        <v>19.57131108453664</v>
      </c>
      <c r="D37" s="39">
        <v>21.045944662890804</v>
      </c>
      <c r="E37" s="39">
        <v>22.768975274874748</v>
      </c>
      <c r="F37" s="39">
        <v>24.80818654458207</v>
      </c>
    </row>
    <row r="38">
      <c r="A38" s="62" t="n">
        <v>0.1</v>
      </c>
      <c r="B38" s="39">
        <v>15.497160104062804</v>
      </c>
      <c r="C38" s="39">
        <v>16.436468005959423</v>
      </c>
      <c r="D38" s="39">
        <v>17.50298111244057</v>
      </c>
      <c r="E38" s="39">
        <v>18.723985883681408</v>
      </c>
      <c r="F38" s="39">
        <v>20.13516503314976</v>
      </c>
    </row>
    <row r="39">
      <c r="A39" s="62" t="n">
        <v>0.11</v>
      </c>
      <c r="B39" s="39">
        <v>13.319662552989438</v>
      </c>
      <c r="C39" s="39">
        <v>14.031925304140326</v>
      </c>
      <c r="D39" s="39">
        <v>14.829629866902051</v>
      </c>
      <c r="E39" s="39">
        <v>15.728819651212849</v>
      </c>
      <c r="F39" s="39">
        <v>16.749816648489606</v>
      </c>
    </row>
    <row r="40">
      <c r="A40" s="62" t="n">
        <v>0.12</v>
      </c>
      <c r="B40" s="39">
        <v>11.583153766339224</v>
      </c>
      <c r="C40" s="39">
        <v>12.136066880781588</v>
      </c>
      <c r="D40" s="39">
        <v>12.748582938212115</v>
      </c>
      <c r="E40" s="39">
        <v>13.430654960356923</v>
      </c>
      <c r="F40" s="39">
        <v>14.194578135379398</v>
      </c>
    </row>
    <row r="41">
      <c r="A41" s="62" t="n">
        <v>0.13</v>
      </c>
      <c r="B41" s="39">
        <v>10.170639256909748</v>
      </c>
      <c r="C41" s="39">
        <v>10.608092134020533</v>
      </c>
      <c r="D41" s="39">
        <v>11.088415916448879</v>
      </c>
      <c r="E41" s="39">
        <v>11.618057436701724</v>
      </c>
      <c r="F41" s="39">
        <v>12.204820988322911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Sarepta Therapeutics, Inc.: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-0.31833737672507556</v>
      </c>
      <c r="C6" s="63">
        <f>Assumptions!$B$18+(Assumptions!$E$13-Assumptions!$B$18)*C4/Assumptions!$B$21</f>
        <v>-0.04534</v>
      </c>
      <c r="D6" s="63">
        <f>Assumptions!$B$18+(Assumptions!$E$13-Assumptions!$B$18)*D4/Assumptions!$B$21</f>
        <v>-0.01808</v>
      </c>
      <c r="E6" s="63">
        <f>Assumptions!$B$18+(Assumptions!$E$13-Assumptions!$B$18)*E4/Assumptions!$B$21</f>
        <v>0.009180000000000008</v>
      </c>
      <c r="F6" s="63">
        <f>Assumptions!$B$18+(Assumptions!$E$13-Assumptions!$B$18)*F4/Assumptions!$B$21</f>
        <v>0.03644</v>
      </c>
      <c r="G6" s="63">
        <f>Assumptions!$B$18+(Assumptions!$E$13-Assumptions!$B$18)*G4/Assumptions!$B$21</f>
        <v>0.0637</v>
      </c>
      <c r="H6" s="63">
        <f>Assumptions!$B$18+(Assumptions!$E$13-Assumptions!$B$18)*H4/Assumptions!$B$21</f>
        <v>0.09096000000000001</v>
      </c>
      <c r="I6" s="63">
        <f>Assumptions!$B$18+(Assumptions!$E$13-Assumptions!$B$18)*I4/Assumptions!$B$21</f>
        <v>0.11822000000000002</v>
      </c>
      <c r="J6" s="63">
        <f>Assumptions!$B$18+(Assumptions!$E$13-Assumptions!$B$18)*J4/Assumptions!$B$21</f>
        <v>0.14548</v>
      </c>
      <c r="K6" s="63">
        <f>Assumptions!$B$18+(Assumptions!$E$13-Assumptions!$B$18)*K4/Assumptions!$B$21</f>
        <v>0.17274000000000003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Model'!R2</f>
        <v>2198.237</v>
      </c>
      <c r="C7" s="55">
        <f>'Yearly Model'!S2</f>
        <v>1978.4133000000002</v>
      </c>
      <c r="D7" s="55">
        <f>'Yearly Model'!T2</f>
        <v>1808.0499325</v>
      </c>
      <c r="E7" s="55">
        <f>'Yearly Model'!U2</f>
        <v>1677.4685484861113</v>
      </c>
      <c r="F7" s="55">
        <f>'Yearly Model'!V2</f>
        <v>1579.6162164910882</v>
      </c>
      <c r="G7" s="55">
        <f>'Yearly Model'!W2</f>
        <v>1509.4110513137064</v>
      </c>
      <c r="H7" s="55">
        <f>'Yearly Model'!X2</f>
        <v>1463.2901580791208</v>
      </c>
      <c r="I7" s="55">
        <f>'Yearly Model'!Y2</f>
        <v>1438.901988777802</v>
      </c>
      <c r="J7" s="55">
        <f>'Yearly Model'!Z2</f>
        <v>1434.9050388089747</v>
      </c>
      <c r="K7" s="55">
        <f>'Yearly Model'!AA2</f>
        <v>1450.8484281290744</v>
      </c>
      <c r="L7" s="55">
        <f>'Yearly Model'!AB2</f>
        <v>1487.119638832301</v>
      </c>
    </row>
    <row r="8">
      <c r="A8" s="14" t="inlineStr">
        <is>
          <t>Operating income</t>
        </is>
      </c>
      <c r="B8" s="55">
        <f>'Yearly Model'!R8</f>
        <v>-699.781</v>
      </c>
      <c r="C8" s="55">
        <f>'Yearly Model'!S8</f>
        <v>-89.70125902199993</v>
      </c>
      <c r="D8" s="55">
        <f>'Yearly Model'!T8</f>
        <v>-32.68954277960006</v>
      </c>
      <c r="E8" s="55">
        <f>'Yearly Model'!U8</f>
        <v>15.399161275102415</v>
      </c>
      <c r="F8" s="55">
        <f>'Yearly Model'!V8</f>
        <v>57.561214928935215</v>
      </c>
      <c r="G8" s="55">
        <f>'Yearly Model'!W8</f>
        <v>96.14948396868317</v>
      </c>
      <c r="H8" s="55">
        <f>'Yearly Model'!X8</f>
        <v>133.10087277887692</v>
      </c>
      <c r="I8" s="55">
        <f>'Yearly Model'!Y8</f>
        <v>170.10699311331177</v>
      </c>
      <c r="J8" s="55">
        <f>'Yearly Model'!Z8</f>
        <v>208.74998504592963</v>
      </c>
      <c r="K8" s="55">
        <f>'Yearly Model'!AA8</f>
        <v>250.61955747501634</v>
      </c>
      <c r="L8" s="55">
        <f>'Yearly Model'!AB8</f>
        <v>297.4239277664601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2.6178574167674107</v>
      </c>
      <c r="F9" s="52">
        <f>MAX(0,F8)*Assumptions!$E$14</f>
        <v>9.785406537918988</v>
      </c>
      <c r="G9" s="52">
        <f>MAX(0,G8)*Assumptions!$E$14</f>
        <v>16.34541227467614</v>
      </c>
      <c r="H9" s="52">
        <f>MAX(0,H8)*Assumptions!$E$14</f>
        <v>22.627148372409078</v>
      </c>
      <c r="I9" s="52">
        <f>MAX(0,I8)*Assumptions!$E$14</f>
        <v>28.918188829263002</v>
      </c>
      <c r="J9" s="52">
        <f>MAX(0,J8)*Assumptions!$E$14</f>
        <v>35.48749745780804</v>
      </c>
      <c r="K9" s="52">
        <f>MAX(0,K8)*Assumptions!$E$14</f>
        <v>42.60532477075278</v>
      </c>
      <c r="L9" s="52">
        <f>MAX(0,L8)*Assumptions!$E$14</f>
        <v>50.562067720298224</v>
      </c>
    </row>
    <row r="10">
      <c r="A10" s="14" t="inlineStr">
        <is>
          <t>NOPAT</t>
        </is>
      </c>
      <c r="C10" s="52">
        <f>C8-C9</f>
        <v>-89.70125902199993</v>
      </c>
      <c r="D10" s="52">
        <f>D8-D9</f>
        <v>-32.68954277960006</v>
      </c>
      <c r="E10" s="52">
        <f>E8-E9</f>
        <v>12.781303858335004</v>
      </c>
      <c r="F10" s="52">
        <f>F8-F9</f>
        <v>47.77580839101623</v>
      </c>
      <c r="G10" s="52">
        <f>G8-G9</f>
        <v>79.80407169400704</v>
      </c>
      <c r="H10" s="52">
        <f>H8-H9</f>
        <v>110.47372440646784</v>
      </c>
      <c r="I10" s="52">
        <f>I8-I9</f>
        <v>141.18880428404879</v>
      </c>
      <c r="J10" s="52">
        <f>J8-J9</f>
        <v>173.2624875881216</v>
      </c>
      <c r="K10" s="52">
        <f>K8-K9</f>
        <v>208.01423270426355</v>
      </c>
      <c r="L10" s="52">
        <f>L8-L9</f>
        <v>246.8618600461619</v>
      </c>
    </row>
    <row r="11">
      <c r="A11" s="14" t="inlineStr">
        <is>
          <t>Reinvestment</t>
        </is>
      </c>
      <c r="C11" s="52">
        <f>(C7-B7)*Assumptions!$E$15</f>
        <v>-54.95592499999998</v>
      </c>
      <c r="D11" s="52">
        <f>(D7-C7)*Assumptions!$E$15</f>
        <v>-42.590841875000024</v>
      </c>
      <c r="E11" s="52">
        <f>(E7-D7)*Assumptions!$E$15</f>
        <v>-32.645346003472184</v>
      </c>
      <c r="F11" s="52">
        <f>(F7-E7)*Assumptions!$E$15</f>
        <v>-24.463082998755795</v>
      </c>
      <c r="G11" s="52">
        <f>(G7-F7)*Assumptions!$E$15</f>
        <v>-17.551291294345447</v>
      </c>
      <c r="H11" s="52">
        <f>(H7-G7)*Assumptions!$E$15</f>
        <v>-11.530223308646384</v>
      </c>
      <c r="I11" s="52">
        <f>(I7-H7)*Assumptions!$E$15</f>
        <v>-6.09704232532971</v>
      </c>
      <c r="J11" s="52">
        <f>(J7-I7)*Assumptions!$E$15</f>
        <v>-0.9992374922068166</v>
      </c>
      <c r="K11" s="52">
        <f>(K7-J7)*Assumptions!$E$15</f>
        <v>3.98584733002491</v>
      </c>
      <c r="L11" s="52">
        <f>(L7-K7)*Assumptions!$E$15</f>
        <v>9.06780267580666</v>
      </c>
    </row>
    <row r="12">
      <c r="A12" s="20" t="inlineStr">
        <is>
          <t>Free cash flow</t>
        </is>
      </c>
      <c r="C12" s="64">
        <f>C10-C11</f>
        <v>-34.74533402199995</v>
      </c>
      <c r="D12" s="64">
        <f>D10-D11</f>
        <v>9.901299095399963</v>
      </c>
      <c r="E12" s="64">
        <f>E10-E11</f>
        <v>45.42664986180719</v>
      </c>
      <c r="F12" s="64">
        <f>F10-F11</f>
        <v>72.23889138977202</v>
      </c>
      <c r="G12" s="64">
        <f>G10-G11</f>
        <v>97.35536298835248</v>
      </c>
      <c r="H12" s="64">
        <f>H10-H11</f>
        <v>122.00394771511422</v>
      </c>
      <c r="I12" s="64">
        <f>I10-I11</f>
        <v>147.2858466093785</v>
      </c>
      <c r="J12" s="64">
        <f>J10-J11</f>
        <v>174.2617250803284</v>
      </c>
      <c r="K12" s="64">
        <f>K10-K11</f>
        <v>204.02838537423864</v>
      </c>
      <c r="L12" s="64">
        <f>L10-L11</f>
        <v>237.79405737035523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-17.060412659566403</v>
      </c>
      <c r="D16" s="64">
        <f>D12*D13*D15</f>
        <v>8.916273398875243</v>
      </c>
      <c r="E16" s="64">
        <f>E12*E13*E15</f>
        <v>36.85351598363134</v>
      </c>
      <c r="F16" s="64">
        <f>F12*F13*F15</f>
        <v>52.79785900514914</v>
      </c>
      <c r="G16" s="64">
        <f>G12*G13*G15</f>
        <v>64.10355885237213</v>
      </c>
      <c r="H16" s="64">
        <f>H12*H13*H15</f>
        <v>72.37243174292763</v>
      </c>
      <c r="I16" s="64">
        <f>I12*I13*I15</f>
        <v>78.71134226987078</v>
      </c>
      <c r="J16" s="64">
        <f>J12*J13*J15</f>
        <v>83.89871964634503</v>
      </c>
      <c r="K16" s="64">
        <f>K12*K13*K15</f>
        <v>88.49544922445611</v>
      </c>
      <c r="L16" s="64">
        <f>L12*L13*L15</f>
        <v>92.91982085311238</v>
      </c>
    </row>
    <row r="19">
      <c r="A19" s="14" t="inlineStr">
        <is>
          <t>PV of forecast free cash flow</t>
        </is>
      </c>
      <c r="B19" s="52">
        <f>SUM(C16:L16)</f>
        <v>562.0085583171734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243.73890880461403</v>
      </c>
    </row>
    <row r="21">
      <c r="A21" s="14" t="inlineStr">
        <is>
          <t>Terminal value</t>
        </is>
      </c>
      <c r="B21" s="52">
        <f>B20/(Assumptions!$E$10-Assumptions!$E$11)</f>
        <v>2867.51657417193</v>
      </c>
    </row>
    <row r="22">
      <c r="A22" s="14" t="inlineStr">
        <is>
          <t>PV of terminal value</t>
        </is>
      </c>
      <c r="B22" s="52">
        <f>B21/(1+Assumptions!$E$10)^(L14+0.5)</f>
        <v>1063.5350670563168</v>
      </c>
    </row>
    <row r="23">
      <c r="A23" s="20" t="inlineStr">
        <is>
          <t>Enterprise value</t>
        </is>
      </c>
      <c r="B23" s="66">
        <f>B19+B22</f>
        <v>1625.5436253734902</v>
      </c>
    </row>
    <row r="24">
      <c r="A24" s="14" t="inlineStr">
        <is>
          <t>Cash &amp; investments</t>
        </is>
      </c>
      <c r="B24" s="55">
        <f>Main!C7</f>
        <v>788.489</v>
      </c>
    </row>
    <row r="25">
      <c r="A25" s="14" t="inlineStr">
        <is>
          <t>Debt</t>
        </is>
      </c>
      <c r="B25" s="55">
        <f>Main!C8</f>
        <v>847.623</v>
      </c>
    </row>
    <row r="26">
      <c r="A26" s="20" t="inlineStr">
        <is>
          <t>Equity value</t>
        </is>
      </c>
      <c r="B26" s="66">
        <f>B23+B24-B25</f>
        <v>1566.4096253734901</v>
      </c>
    </row>
    <row r="27">
      <c r="A27" s="14" t="inlineStr">
        <is>
          <t>Shares (mm)</t>
        </is>
      </c>
      <c r="B27" s="55">
        <f>Main!C4</f>
        <v>105.627021</v>
      </c>
    </row>
    <row r="28">
      <c r="A28" s="20" t="inlineStr">
        <is>
          <t>NPV / share</t>
        </is>
      </c>
      <c r="B28" s="49">
        <f>B26/B27</f>
        <v>14.829629866902051</v>
      </c>
    </row>
    <row r="29">
      <c r="A29" s="14" t="inlineStr">
        <is>
          <t>Price</t>
        </is>
      </c>
      <c r="B29" s="50">
        <f>Main!C3</f>
        <v>19.17</v>
      </c>
    </row>
    <row r="30">
      <c r="A30" s="14" t="inlineStr">
        <is>
          <t>Upside</t>
        </is>
      </c>
      <c r="B30" s="63">
        <f>B28/B29-1</f>
        <v>-0.22641471742816643</v>
      </c>
    </row>
    <row r="31">
      <c r="A31" s="14" t="inlineStr">
        <is>
          <t>Terminal value, % of EV</t>
        </is>
      </c>
      <c r="B31" s="63">
        <f>IFERROR(B22/B23,0)</f>
        <v>0.6542642414853403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2026-10-21T06:22:45Z</dcterms:modified>
  <cp:lastModifiedBy>Wang, Eric</cp:lastModifiedBy>
</cp:coreProperties>
</file>