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Spero Therapeutics, Inc.</t>
        </is>
      </c>
      <c r="C2" s="10" t="n"/>
    </row>
    <row r="3">
      <c r="B3" t="inlineStr">
        <is>
          <t>Price</t>
        </is>
      </c>
      <c r="C3" s="11">
        <f>INDEX([1]Pharma!$F$1:$F$1000,MATCH("SPRO",[1]Pharma!$B$1:$B$1000,0))</f>
        <v>1.22</v>
      </c>
      <c r="F3" s="1" t="n"/>
    </row>
    <row r="4">
      <c r="B4" t="inlineStr">
        <is>
          <t>Shares</t>
        </is>
      </c>
      <c r="C4" s="21" t="n">
        <v>58.234827</v>
      </c>
      <c r="F4" s="1" t="n"/>
    </row>
    <row r="5">
      <c r="B5" t="inlineStr">
        <is>
          <t>Market Cap.</t>
        </is>
      </c>
      <c r="C5" s="13">
        <f>C3*C4</f>
        <v>71.04648894</v>
      </c>
      <c r="F5" s="1" t="n"/>
    </row>
    <row r="6"/>
    <row r="7">
      <c r="B7" t="inlineStr">
        <is>
          <t>Cash</t>
        </is>
      </c>
      <c r="C7" s="21" t="n">
        <v>50.774</v>
      </c>
    </row>
    <row r="8">
      <c r="B8" t="inlineStr">
        <is>
          <t>Debt</t>
        </is>
      </c>
      <c r="C8" s="21" t="n">
        <v>0.091</v>
      </c>
    </row>
    <row r="9">
      <c r="B9" t="inlineStr">
        <is>
          <t>Enterprise V.</t>
        </is>
      </c>
      <c r="C9" s="13">
        <f>C5-C7+C8</f>
        <v>20.363488940000003</v>
      </c>
    </row>
    <row r="10"/>
    <row r="11">
      <c r="B11" s="14" t="inlineStr">
        <is>
          <t>Net Cash / Share</t>
        </is>
      </c>
      <c r="C11" s="11">
        <f>(C7-C8)/C4</f>
        <v>0.8703211224444781</v>
      </c>
    </row>
    <row r="12">
      <c r="B12" s="14" t="inlineStr">
        <is>
          <t>Upside</t>
        </is>
      </c>
      <c r="C12" s="15">
        <f>IFERROR(C11/C3-1,"")</f>
        <v>-0.2866220307832147</v>
      </c>
    </row>
    <row r="13">
      <c r="B13" s="14" t="inlineStr">
        <is>
          <t>Cash / Share</t>
        </is>
      </c>
      <c r="C13" s="11">
        <f>IFERROR((C7-C8)/C4,"")</f>
        <v>0.8703211224444781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19.58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20.363488940000003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0.335</v>
      </c>
      <c r="D2" s="23" t="n">
        <v>1.979</v>
      </c>
      <c r="E2" s="23" t="n">
        <v>3.966</v>
      </c>
      <c r="F2" s="23" t="n">
        <v>18.147</v>
      </c>
      <c r="G2" s="23" t="n">
        <v>9.33</v>
      </c>
      <c r="H2" s="23" t="n">
        <v>18.256</v>
      </c>
      <c r="I2" s="23" t="n">
        <v>53.509</v>
      </c>
      <c r="J2" s="23" t="n">
        <v>103.781</v>
      </c>
      <c r="K2" s="23" t="n">
        <v>47.977</v>
      </c>
      <c r="L2" s="23" t="n">
        <v>66.80200000000001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0.335</v>
      </c>
      <c r="D4" s="23">
        <f>D2-D3</f>
        <v>1.979</v>
      </c>
      <c r="E4" s="23">
        <f>E2-E3</f>
        <v>3.966</v>
      </c>
      <c r="F4" s="23">
        <f>F2-F3</f>
        <v>18.147</v>
      </c>
      <c r="G4" s="23">
        <f>G2-G3</f>
        <v>9.33</v>
      </c>
      <c r="H4" s="23">
        <f>H2-H3</f>
        <v>18.256</v>
      </c>
      <c r="I4" s="23">
        <f>I2-I3</f>
        <v>53.509</v>
      </c>
      <c r="J4" s="23">
        <f>J2-J3</f>
        <v>103.781</v>
      </c>
      <c r="K4" s="23">
        <f>K2-K3</f>
        <v>47.977</v>
      </c>
      <c r="L4" s="23">
        <f>L2-L3</f>
        <v>66.802</v>
      </c>
    </row>
    <row r="5">
      <c r="A5" s="2" t="inlineStr">
        <is>
          <t>Research &amp; Dev.</t>
        </is>
      </c>
      <c r="B5" s="23" t="n">
        <v>11.125</v>
      </c>
      <c r="C5" s="23" t="n">
        <v>26.333</v>
      </c>
      <c r="D5" s="23" t="n">
        <v>32.869</v>
      </c>
      <c r="E5" s="23" t="n">
        <v>33.885</v>
      </c>
      <c r="F5" s="23" t="n">
        <v>65.77500000000001</v>
      </c>
      <c r="G5" s="23" t="n">
        <v>67.003</v>
      </c>
      <c r="H5" s="23" t="n">
        <v>64.526</v>
      </c>
      <c r="I5" s="23" t="n">
        <v>47.593</v>
      </c>
      <c r="J5" s="23" t="n">
        <v>51.44</v>
      </c>
      <c r="K5" s="23" t="n">
        <v>96.75700000000001</v>
      </c>
      <c r="L5" s="23" t="n">
        <v>38.467</v>
      </c>
    </row>
    <row r="6">
      <c r="A6" s="19" t="inlineStr">
        <is>
          <t>SG&amp;A &amp; Other</t>
        </is>
      </c>
      <c r="B6" s="23" t="n">
        <v>2.202</v>
      </c>
      <c r="C6" s="23" t="n">
        <v>7.223</v>
      </c>
      <c r="D6" s="23" t="n">
        <v>10.84</v>
      </c>
      <c r="E6" s="23" t="n">
        <v>12.887</v>
      </c>
      <c r="F6" s="23" t="n">
        <v>15.588</v>
      </c>
      <c r="G6" s="23" t="n">
        <v>21.44</v>
      </c>
      <c r="H6" s="23" t="n">
        <v>41.701</v>
      </c>
      <c r="I6" s="23" t="n">
        <v>48.113</v>
      </c>
      <c r="J6" s="23" t="n">
        <v>30.86</v>
      </c>
      <c r="K6" s="23" t="n">
        <v>24.581</v>
      </c>
      <c r="L6" s="23" t="n">
        <v>22.021</v>
      </c>
    </row>
    <row r="7">
      <c r="A7" s="2" t="inlineStr">
        <is>
          <t>Operating Expense</t>
        </is>
      </c>
      <c r="B7" s="23">
        <f>SUM(B5:B6)</f>
        <v>13.327</v>
      </c>
      <c r="C7" s="23">
        <f>SUM(C5:C6)</f>
        <v>33.556</v>
      </c>
      <c r="D7" s="23">
        <f>SUM(D5:D6)</f>
        <v>43.709</v>
      </c>
      <c r="E7" s="23">
        <f>SUM(E5:E6)</f>
        <v>46.772</v>
      </c>
      <c r="F7" s="23">
        <f>SUM(F5:F6)</f>
        <v>81.363</v>
      </c>
      <c r="G7" s="23">
        <f>SUM(G5:G6)</f>
        <v>88.443</v>
      </c>
      <c r="H7" s="23">
        <f>SUM(H5:H6)</f>
        <v>106.227</v>
      </c>
      <c r="I7" s="23">
        <f>SUM(I5:I6)</f>
        <v>95.706</v>
      </c>
      <c r="J7" s="23">
        <f>SUM(J5:J6)</f>
        <v>82.3</v>
      </c>
      <c r="K7" s="23">
        <f>SUM(K5:K6)</f>
        <v>121.33800000000001</v>
      </c>
      <c r="L7" s="23">
        <f>SUM(L5:L6)</f>
        <v>60.488</v>
      </c>
    </row>
    <row r="8">
      <c r="A8" s="2" t="inlineStr">
        <is>
          <t>Operating Income</t>
        </is>
      </c>
      <c r="B8" s="23">
        <f>B4-B7</f>
        <v>-13.327</v>
      </c>
      <c r="C8" s="23">
        <f>C4-C7</f>
        <v>-33.221</v>
      </c>
      <c r="D8" s="23">
        <f>D4-D7</f>
        <v>-41.730000000000004</v>
      </c>
      <c r="E8" s="23">
        <f>E4-E7</f>
        <v>-42.806</v>
      </c>
      <c r="F8" s="23">
        <f>F4-F7</f>
        <v>-63.216</v>
      </c>
      <c r="G8" s="23">
        <f>G4-G7</f>
        <v>-79.113</v>
      </c>
      <c r="H8" s="23">
        <f>H4-H7</f>
        <v>-87.971</v>
      </c>
      <c r="I8" s="23">
        <f>I4-I7</f>
        <v>-42.197</v>
      </c>
      <c r="J8" s="23">
        <f>J4-J7</f>
        <v>21.48100000000001</v>
      </c>
      <c r="K8" s="23">
        <f>K4-K7</f>
        <v>-73.36100000000002</v>
      </c>
      <c r="L8" s="23">
        <f>L4-L7</f>
        <v>6.314000000000007</v>
      </c>
    </row>
    <row r="9">
      <c r="A9" s="19" t="inlineStr">
        <is>
          <t>Interest &amp; Other</t>
        </is>
      </c>
      <c r="B9" s="23" t="n">
        <v>3.127</v>
      </c>
      <c r="C9" s="23" t="n">
        <v>7.73</v>
      </c>
      <c r="D9" s="23" t="n">
        <v>2.987</v>
      </c>
      <c r="E9" s="23" t="n">
        <v>1.106</v>
      </c>
      <c r="F9" s="23" t="n">
        <v>2.316</v>
      </c>
      <c r="G9" s="23" t="n">
        <v>0.8129999999999999</v>
      </c>
      <c r="H9" s="23" t="n">
        <v>-1.829</v>
      </c>
      <c r="I9" s="23" t="n">
        <v>88.61199999999999</v>
      </c>
      <c r="J9" s="23" t="n">
        <v>3.923</v>
      </c>
      <c r="K9" s="23" t="n">
        <v>4.795</v>
      </c>
      <c r="L9" s="23" t="n">
        <v>2.519</v>
      </c>
    </row>
    <row r="10">
      <c r="A10" s="2" t="inlineStr">
        <is>
          <t>Pretax</t>
        </is>
      </c>
      <c r="B10" s="23">
        <f>B8+B9</f>
        <v>-10.2</v>
      </c>
      <c r="C10" s="23">
        <f>C8+C9</f>
        <v>-25.490999999999996</v>
      </c>
      <c r="D10" s="23">
        <f>D8+D9</f>
        <v>-38.743</v>
      </c>
      <c r="E10" s="23">
        <f>E8+E9</f>
        <v>-41.699999999999996</v>
      </c>
      <c r="F10" s="23">
        <f>F8+F9</f>
        <v>-60.9</v>
      </c>
      <c r="G10" s="23">
        <f>G8+G9</f>
        <v>-78.3</v>
      </c>
      <c r="H10" s="23">
        <f>H8+H9</f>
        <v>-89.8</v>
      </c>
      <c r="I10" s="23">
        <f>I8+I9</f>
        <v>46.41499999999999</v>
      </c>
      <c r="J10" s="23">
        <f>J8+J9</f>
        <v>25.40400000000001</v>
      </c>
      <c r="K10" s="23">
        <f>K8+K9</f>
        <v>-68.56600000000002</v>
      </c>
      <c r="L10" s="23">
        <f>L8+L9</f>
        <v>8.833000000000007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2.598</v>
      </c>
      <c r="K11" s="23" t="n">
        <v>0</v>
      </c>
      <c r="L11" s="23" t="n">
        <v>0.261</v>
      </c>
    </row>
    <row r="12">
      <c r="A12" s="2" t="inlineStr">
        <is>
          <t>Net Income</t>
        </is>
      </c>
      <c r="B12" s="23" t="n">
        <v>-10.2</v>
      </c>
      <c r="C12" s="23" t="n">
        <v>-25.491</v>
      </c>
      <c r="D12" s="23" t="n">
        <v>-38.743</v>
      </c>
      <c r="E12" s="23" t="n">
        <v>-41.7</v>
      </c>
      <c r="F12" s="23" t="n">
        <v>-60.9</v>
      </c>
      <c r="G12" s="23" t="n">
        <v>-78.3</v>
      </c>
      <c r="H12" s="23" t="n">
        <v>-89.8</v>
      </c>
      <c r="I12" s="23" t="n">
        <v>46.415</v>
      </c>
      <c r="J12" s="23" t="n">
        <v>22.806</v>
      </c>
      <c r="K12" s="23" t="n">
        <v>-68.566</v>
      </c>
      <c r="L12" s="23" t="n">
        <v>8.571999999999999</v>
      </c>
    </row>
    <row r="13">
      <c r="A13" s="2" t="inlineStr">
        <is>
          <t>Earnings per Share</t>
        </is>
      </c>
      <c r="B13" s="11">
        <f>IFERROR(B12/B14,0)</f>
        <v>-40.316205533596836</v>
      </c>
      <c r="C13" s="11">
        <f>IFERROR(C12/C14,0)</f>
        <v>-81.70192307692308</v>
      </c>
      <c r="D13" s="11">
        <f>IFERROR(D12/D14,0)</f>
        <v>-14.97603401623502</v>
      </c>
      <c r="E13" s="11">
        <f>IFERROR(E12/E14,0)</f>
        <v>-2.605924259467567</v>
      </c>
      <c r="F13" s="11">
        <f>IFERROR(F12/F14,0)</f>
        <v>-3.3533395738120144</v>
      </c>
      <c r="G13" s="11">
        <f>IFERROR(G12/G14,0)</f>
        <v>-3.497721790404717</v>
      </c>
      <c r="H13" s="11">
        <f>IFERROR(H12/H14,0)</f>
        <v>-2.9065251165199375</v>
      </c>
      <c r="I13" s="11">
        <f>IFERROR(I12/I14,0)</f>
        <v>1.2349341492616734</v>
      </c>
      <c r="J13" s="11">
        <f>IFERROR(J12/J14,0)</f>
        <v>0.43039121327067886</v>
      </c>
      <c r="K13" s="11">
        <f>IFERROR(K12/K14,0)</f>
        <v>-1.2688478478107998</v>
      </c>
      <c r="L13" s="11">
        <f>IFERROR(L12/L14,0)</f>
        <v>0.14519216111383998</v>
      </c>
    </row>
    <row r="14">
      <c r="A14" s="2" t="inlineStr">
        <is>
          <t>Shares</t>
        </is>
      </c>
      <c r="B14" s="23" t="n">
        <v>0.253</v>
      </c>
      <c r="C14" s="23" t="n">
        <v>0.312</v>
      </c>
      <c r="D14" s="23" t="n">
        <v>2.587</v>
      </c>
      <c r="E14" s="23" t="n">
        <v>16.002</v>
      </c>
      <c r="F14" s="23" t="n">
        <v>18.161</v>
      </c>
      <c r="G14" s="23" t="n">
        <v>22.386</v>
      </c>
      <c r="H14" s="23" t="n">
        <v>30.896</v>
      </c>
      <c r="I14" s="23" t="n">
        <v>37.585</v>
      </c>
      <c r="J14" s="23" t="n">
        <v>52.989</v>
      </c>
      <c r="K14" s="23" t="n">
        <v>54.038</v>
      </c>
      <c r="L14" s="23" t="n">
        <v>59.039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4.907462686567164</v>
      </c>
      <c r="E16" s="15">
        <f>IFERROR(E2/D2-1,"")</f>
        <v>1.004042445679636</v>
      </c>
      <c r="F16" s="15">
        <f>IFERROR(F2/E2-1,"")</f>
        <v>3.575642965204235</v>
      </c>
      <c r="G16" s="15">
        <f>IFERROR(G2/F2-1,"")</f>
        <v>-0.48586543230285995</v>
      </c>
      <c r="H16" s="15">
        <f>IFERROR(H2/G2-1,"")</f>
        <v>0.9566988210075027</v>
      </c>
      <c r="I16" s="15">
        <f>IFERROR(I2/H2-1,"")</f>
        <v>1.9310363716038563</v>
      </c>
      <c r="J16" s="15">
        <f>IFERROR(J2/I2-1,"")</f>
        <v>0.9395055037470332</v>
      </c>
      <c r="K16" s="15">
        <f>IFERROR(K2/J2-1,"")</f>
        <v>-0.5377092145961208</v>
      </c>
      <c r="L16" s="15">
        <f>IFERROR(L2/K2-1,"")</f>
        <v>0.3923755132667739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-99.16716417910446</v>
      </c>
      <c r="D18" s="15">
        <f>IFERROR(D8/D2,"")</f>
        <v>-21.086407276402223</v>
      </c>
      <c r="E18" s="15">
        <f>IFERROR(E8/E2,"")</f>
        <v>-10.793242561775086</v>
      </c>
      <c r="F18" s="15">
        <f>IFERROR(F8/F2,"")</f>
        <v>-3.483551000165317</v>
      </c>
      <c r="G18" s="15">
        <f>IFERROR(G8/G2,"")</f>
        <v>-8.479421221864952</v>
      </c>
      <c r="H18" s="15">
        <f>IFERROR(H8/H2,"")</f>
        <v>-4.818744522348817</v>
      </c>
      <c r="I18" s="15">
        <f>IFERROR(I8/I2,"")</f>
        <v>-0.7885963109009699</v>
      </c>
      <c r="J18" s="15">
        <f>IFERROR(J8/J2,"")</f>
        <v>0.20698393732956907</v>
      </c>
      <c r="K18" s="15">
        <f>IFERROR(K8/K2,"")</f>
        <v>-1.5290868541175986</v>
      </c>
      <c r="L18" s="15">
        <f>IFERROR(L8/L2,"")</f>
        <v>0.0945181281997546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2026-10-21T01:06:05Z</dcterms:modified>
  <cp:lastModifiedBy>Wang, Eric</cp:lastModifiedBy>
</cp:coreProperties>
</file>