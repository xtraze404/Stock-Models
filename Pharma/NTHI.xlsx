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NeOnc Technologies Holdings Inc</t>
        </is>
      </c>
      <c r="C2" s="10" t="n"/>
    </row>
    <row r="3">
      <c r="B3" t="inlineStr">
        <is>
          <t>Price</t>
        </is>
      </c>
      <c r="C3" s="11">
        <f>INDEX([1]Pharma!$F$1:$F$1000,MATCH("NTHI",[1]Pharma!$B$1:$B$1000,0))</f>
        <v>2.77</v>
      </c>
      <c r="F3" s="1" t="n"/>
    </row>
    <row r="4">
      <c r="B4" t="inlineStr">
        <is>
          <t>Shares</t>
        </is>
      </c>
      <c r="C4" s="21" t="n">
        <v>25.936365</v>
      </c>
      <c r="F4" s="1" t="n"/>
    </row>
    <row r="5">
      <c r="B5" t="inlineStr">
        <is>
          <t>Market Cap.</t>
        </is>
      </c>
      <c r="C5" s="13">
        <f>C3*C4</f>
        <v>71.84373105</v>
      </c>
      <c r="F5" s="1" t="n"/>
    </row>
    <row r="6"/>
    <row r="7">
      <c r="B7" t="inlineStr">
        <is>
          <t>Cash</t>
        </is>
      </c>
      <c r="C7" s="21" t="n">
        <v>1.97342</v>
      </c>
    </row>
    <row r="8">
      <c r="B8" t="inlineStr">
        <is>
          <t>Debt</t>
        </is>
      </c>
      <c r="C8" s="21" t="n">
        <v>0.32</v>
      </c>
    </row>
    <row r="9">
      <c r="B9" t="inlineStr">
        <is>
          <t>Enterprise V.</t>
        </is>
      </c>
      <c r="C9" s="13">
        <f>C5-C7+C8</f>
        <v>70.19031104999999</v>
      </c>
    </row>
    <row r="10"/>
    <row r="11">
      <c r="B11" s="14" t="inlineStr">
        <is>
          <t>Net Cash / Share</t>
        </is>
      </c>
      <c r="C11" s="11">
        <f>(C7-C8)/C4</f>
        <v>0.06374910285230795</v>
      </c>
    </row>
    <row r="12">
      <c r="B12" s="14" t="inlineStr">
        <is>
          <t>Upside</t>
        </is>
      </c>
      <c r="C12" s="15">
        <f>IFERROR(C11/C3-1,"")</f>
        <v>-0.9769858834468202</v>
      </c>
    </row>
    <row r="13">
      <c r="B13" s="14" t="inlineStr">
        <is>
          <t>Cash / Share</t>
        </is>
      </c>
      <c r="C13" s="11">
        <f>IFERROR((C7-C8)/C4,"")</f>
        <v>0.06374910285230795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-21.157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0.07815002126955617</v>
      </c>
    </row>
    <row r="19">
      <c r="B19" s="14" t="inlineStr">
        <is>
          <t>Implied Pipeline Value</t>
        </is>
      </c>
      <c r="C19" s="13">
        <f>C9</f>
        <v>70.19031104999999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0.083</v>
      </c>
      <c r="C2" s="23" t="n">
        <v>0.04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0.083</v>
      </c>
      <c r="C4" s="23">
        <f>C2-C3</f>
        <v>0.04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3.045</v>
      </c>
      <c r="C5" s="23" t="n">
        <v>3.638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4.18</v>
      </c>
      <c r="C6" s="23" t="n">
        <v>54.642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7.225</v>
      </c>
      <c r="C7" s="23">
        <f>SUM(C5:C6)</f>
        <v>58.28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-7.1419999999999995</v>
      </c>
      <c r="C8" s="23">
        <f>C4-C7</f>
        <v>-58.24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-4.756</v>
      </c>
      <c r="C9" s="23" t="n">
        <v>-3.906</v>
      </c>
    </row>
    <row r="10">
      <c r="A10" s="2" t="inlineStr">
        <is>
          <t>Pretax</t>
        </is>
      </c>
      <c r="B10" s="23">
        <f>B8+B9</f>
        <v>-11.898</v>
      </c>
      <c r="C10" s="23">
        <f>C8+C9</f>
        <v>-62.146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-11.898</v>
      </c>
      <c r="C12" s="23" t="n">
        <v>-62.146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-0.6860404774260508</v>
      </c>
      <c r="C13" s="11">
        <f>IFERROR(C12/C14,0)</f>
        <v>-2.824818181818182</v>
      </c>
    </row>
    <row r="14">
      <c r="A14" s="2" t="inlineStr">
        <is>
          <t>Shares</t>
        </is>
      </c>
      <c r="B14" s="23" t="n">
        <v>17.343</v>
      </c>
      <c r="C14" s="23" t="n">
        <v>22</v>
      </c>
    </row>
    <row r="15"/>
    <row r="16" customFormat="1" s="4">
      <c r="A16" s="3" t="inlineStr">
        <is>
          <t>Revenue Change</t>
        </is>
      </c>
      <c r="C16" s="15">
        <f>IFERROR(C2/B2-1,"")</f>
        <v>-0.5180722891566265</v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-86.04819277108433</v>
      </c>
      <c r="C18" s="15">
        <f>IFERROR(C8/C2,"")</f>
        <v>-1456.0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2026-10-21T01:06:04Z</dcterms:modified>
  <cp:lastModifiedBy>Wang, Eric</cp:lastModifiedBy>
</cp:coreProperties>
</file>