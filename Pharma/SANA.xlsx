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Sana Biotechnology, Inc.</t>
        </is>
      </c>
      <c r="C2" s="10" t="n"/>
    </row>
    <row r="3">
      <c r="B3" t="inlineStr">
        <is>
          <t>Price</t>
        </is>
      </c>
      <c r="C3" s="11">
        <f>INDEX([1]Pharma!$F$1:$F$1000,MATCH("SANA",[1]Pharma!$B$1:$B$1000,0))</f>
        <v>2.36</v>
      </c>
      <c r="F3" s="1" t="n"/>
    </row>
    <row r="4">
      <c r="B4" t="inlineStr">
        <is>
          <t>Shares</t>
        </is>
      </c>
      <c r="C4" s="21" t="n">
        <v>299.360637</v>
      </c>
      <c r="F4" s="1" t="n"/>
    </row>
    <row r="5">
      <c r="B5" t="inlineStr">
        <is>
          <t>Market Cap.</t>
        </is>
      </c>
      <c r="C5" s="13">
        <f>C3*C4</f>
        <v>706.49110332</v>
      </c>
      <c r="F5" s="1" t="n"/>
    </row>
    <row r="6"/>
    <row r="7">
      <c r="B7" t="inlineStr">
        <is>
          <t>Cash</t>
        </is>
      </c>
      <c r="C7" s="21">
        <f>57.073+103.417</f>
        <v>160.49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546.00110332</v>
      </c>
    </row>
    <row r="10"/>
    <row r="11">
      <c r="B11" s="14" t="inlineStr">
        <is>
          <t>Net Cash / Share</t>
        </is>
      </c>
      <c r="C11" s="11">
        <f>(C7-C8)/C4</f>
        <v>0.5361092280145034</v>
      </c>
    </row>
    <row r="12">
      <c r="B12" s="14" t="inlineStr">
        <is>
          <t>Upside</t>
        </is>
      </c>
      <c r="C12" s="15">
        <f>IFERROR(C11/C3-1,"")</f>
        <v>-0.7728350728752104</v>
      </c>
    </row>
    <row r="13">
      <c r="B13" s="14" t="inlineStr">
        <is>
          <t>Cash / Share</t>
        </is>
      </c>
      <c r="C13" s="11">
        <f>IFERROR((C7-C8)/C4,"")</f>
        <v>0.5361092280145034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-132.239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1.2136359167870296</v>
      </c>
    </row>
    <row r="19">
      <c r="B19" s="14" t="inlineStr">
        <is>
          <t>Implied Pipeline Value</t>
        </is>
      </c>
      <c r="C19" s="13">
        <f>C9</f>
        <v>546.00110332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99.59099999999999</v>
      </c>
      <c r="C5" s="23" t="n">
        <v>132.944</v>
      </c>
      <c r="D5" s="23" t="n">
        <v>248.626</v>
      </c>
      <c r="E5" s="23" t="n">
        <v>285.885</v>
      </c>
      <c r="F5" s="23" t="n">
        <v>261.809</v>
      </c>
      <c r="G5" s="23" t="n">
        <v>215.673</v>
      </c>
      <c r="H5" s="23" t="n">
        <v>131.98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41.561</v>
      </c>
      <c r="C6" s="23" t="n">
        <v>153.205</v>
      </c>
      <c r="D6" s="23" t="n">
        <v>108.283</v>
      </c>
      <c r="E6" s="23" t="n">
        <v>-13.321</v>
      </c>
      <c r="F6" s="23" t="n">
        <v>31.332</v>
      </c>
      <c r="G6" s="23" t="n">
        <v>57.05</v>
      </c>
      <c r="H6" s="23" t="n">
        <v>118.339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141.152</v>
      </c>
      <c r="C7" s="23">
        <f>SUM(C5:C6)</f>
        <v>286.149</v>
      </c>
      <c r="D7" s="23">
        <f>SUM(D5:D6)</f>
        <v>356.909</v>
      </c>
      <c r="E7" s="23">
        <f>SUM(E5:E6)</f>
        <v>272.56399999999996</v>
      </c>
      <c r="F7" s="23">
        <f>SUM(F5:F6)</f>
        <v>293.141</v>
      </c>
      <c r="G7" s="23">
        <f>SUM(G5:G6)</f>
        <v>272.723</v>
      </c>
      <c r="H7" s="23">
        <f>SUM(H5:H6)</f>
        <v>250.319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-141.152</v>
      </c>
      <c r="C8" s="23">
        <f>C4-C7</f>
        <v>-286.149</v>
      </c>
      <c r="D8" s="23">
        <f>D4-D7</f>
        <v>-356.909</v>
      </c>
      <c r="E8" s="23">
        <f>E4-E7</f>
        <v>-272.56399999999996</v>
      </c>
      <c r="F8" s="23">
        <f>F4-F7</f>
        <v>-293.141</v>
      </c>
      <c r="G8" s="23">
        <f>G4-G7</f>
        <v>-272.723</v>
      </c>
      <c r="H8" s="23">
        <f>H4-H7</f>
        <v>-250.319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2.827</v>
      </c>
      <c r="C9" s="23" t="n">
        <v>0.844</v>
      </c>
      <c r="D9" s="23" t="n">
        <v>0.981</v>
      </c>
      <c r="E9" s="23" t="n">
        <v>3.088</v>
      </c>
      <c r="F9" s="23" t="n">
        <v>9.885999999999999</v>
      </c>
      <c r="G9" s="23" t="n">
        <v>5.964</v>
      </c>
      <c r="H9" s="23" t="n">
        <v>6.153</v>
      </c>
    </row>
    <row r="10">
      <c r="A10" s="2" t="inlineStr">
        <is>
          <t>Pretax</t>
        </is>
      </c>
      <c r="B10" s="23">
        <f>B8+B9</f>
        <v>-138.325</v>
      </c>
      <c r="C10" s="23">
        <f>C8+C9</f>
        <v>-285.305</v>
      </c>
      <c r="D10" s="23">
        <f>D8+D9</f>
        <v>-355.928</v>
      </c>
      <c r="E10" s="23">
        <f>E8+E9</f>
        <v>-269.47599999999994</v>
      </c>
      <c r="F10" s="23">
        <f>F8+F9</f>
        <v>-283.255</v>
      </c>
      <c r="G10" s="23">
        <f>G8+G9</f>
        <v>-266.759</v>
      </c>
      <c r="H10" s="23">
        <f>H8+H9</f>
        <v>-244.166</v>
      </c>
      <c r="I10" s="1" t="n"/>
      <c r="J10" s="1" t="n"/>
      <c r="K10" s="1" t="n"/>
    </row>
    <row r="11">
      <c r="A11" s="2" t="inlineStr">
        <is>
          <t>Taxes</t>
        </is>
      </c>
      <c r="B11" s="23" t="n">
        <v>-7.547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-130.778</v>
      </c>
      <c r="C12" s="23" t="n">
        <v>-285.305</v>
      </c>
      <c r="D12" s="23" t="n">
        <v>-355.928</v>
      </c>
      <c r="E12" s="23" t="n">
        <v>-269.476</v>
      </c>
      <c r="F12" s="23" t="n">
        <v>-283.255</v>
      </c>
      <c r="G12" s="23" t="n">
        <v>-266.759</v>
      </c>
      <c r="H12" s="23" t="n">
        <v>-244.166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-2.051773639373068</v>
      </c>
      <c r="C13" s="11">
        <f>IFERROR(C12/C14,0)</f>
        <v>-1.6863791656322777</v>
      </c>
      <c r="D13" s="11">
        <f>IFERROR(D12/D14,0)</f>
        <v>-2.1385662699104144</v>
      </c>
      <c r="E13" s="11">
        <f>IFERROR(E12/E14,0)</f>
        <v>-1.4307649832221891</v>
      </c>
      <c r="F13" s="11">
        <f>IFERROR(F12/F14,0)</f>
        <v>-1.456016983566446</v>
      </c>
      <c r="G13" s="11">
        <f>IFERROR(G12/G14,0)</f>
        <v>-1.1553460290786564</v>
      </c>
      <c r="H13" s="11">
        <f>IFERROR(H12/H14,0)</f>
        <v>-0.9641912223477099</v>
      </c>
    </row>
    <row r="14">
      <c r="A14" s="2" t="inlineStr">
        <is>
          <t>Shares</t>
        </is>
      </c>
      <c r="B14" s="23" t="n">
        <v>63.739</v>
      </c>
      <c r="C14" s="23" t="n">
        <v>169.182</v>
      </c>
      <c r="D14" s="23" t="n">
        <v>166.433</v>
      </c>
      <c r="E14" s="23" t="n">
        <v>188.344</v>
      </c>
      <c r="F14" s="23" t="n">
        <v>194.541</v>
      </c>
      <c r="G14" s="23" t="n">
        <v>230.891</v>
      </c>
      <c r="H14" s="23" t="n">
        <v>253.234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2026-10-21T01:04:58Z</dcterms:modified>
  <cp:lastModifiedBy>Wang, Eric</cp:lastModifiedBy>
</cp:coreProperties>
</file>