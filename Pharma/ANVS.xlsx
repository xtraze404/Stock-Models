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Annovis Bio Inc</t>
        </is>
      </c>
      <c r="C2" s="10" t="n"/>
    </row>
    <row r="3">
      <c r="B3" t="inlineStr">
        <is>
          <t>Price</t>
        </is>
      </c>
      <c r="C3" s="11">
        <f>INDEX([1]Pharma!$F$1:$F$1000,MATCH("ANVS",[1]Pharma!$B$1:$B$1000,0))</f>
        <v>0.9932</v>
      </c>
      <c r="F3" s="1" t="n"/>
    </row>
    <row r="4">
      <c r="B4" t="inlineStr">
        <is>
          <t>Shares</t>
        </is>
      </c>
      <c r="C4" s="21" t="n">
        <v>42.606152</v>
      </c>
      <c r="F4" s="1" t="n"/>
    </row>
    <row r="5">
      <c r="B5" t="inlineStr">
        <is>
          <t>Market Cap.</t>
        </is>
      </c>
      <c r="C5" s="13">
        <f>C3*C4</f>
        <v>42.3164301664</v>
      </c>
      <c r="F5" s="1" t="n"/>
    </row>
    <row r="6"/>
    <row r="7">
      <c r="B7" t="inlineStr">
        <is>
          <t>Cash</t>
        </is>
      </c>
      <c r="C7" s="21" t="n">
        <v>18.728945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23.587485166400004</v>
      </c>
    </row>
    <row r="10"/>
    <row r="11">
      <c r="B11" s="14" t="inlineStr">
        <is>
          <t>Net Cash / Share</t>
        </is>
      </c>
      <c r="C11" s="11">
        <f>(C7-C8)/C4</f>
        <v>0.4395831146638166</v>
      </c>
    </row>
    <row r="12">
      <c r="B12" s="14" t="inlineStr">
        <is>
          <t>Upside</t>
        </is>
      </c>
      <c r="C12" s="15">
        <f>IFERROR(C11/C3-1,"")</f>
        <v>-0.5574072546679253</v>
      </c>
    </row>
    <row r="13">
      <c r="B13" s="14" t="inlineStr">
        <is>
          <t>Cash / Share</t>
        </is>
      </c>
      <c r="C13" s="11">
        <f>IFERROR((C7-C8)/C4,"")</f>
        <v>0.4395831146638166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-43.34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0.4321399400092293</v>
      </c>
    </row>
    <row r="19">
      <c r="B19" s="14" t="inlineStr">
        <is>
          <t>Implied Pipeline Value</t>
        </is>
      </c>
      <c r="C19" s="13">
        <f>C9</f>
        <v>23.587485166400004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0.776</v>
      </c>
      <c r="C5" s="23" t="n">
        <v>3.054</v>
      </c>
      <c r="D5" s="23" t="n">
        <v>8.478999999999999</v>
      </c>
      <c r="E5" s="23" t="n">
        <v>16.516</v>
      </c>
      <c r="F5" s="23" t="n">
        <v>38.791</v>
      </c>
      <c r="G5" s="23" t="n">
        <v>19.995</v>
      </c>
      <c r="H5" s="23" t="n">
        <v>25.216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0.829</v>
      </c>
      <c r="C6" s="23" t="n">
        <v>3.586</v>
      </c>
      <c r="D6" s="23" t="n">
        <v>6.058</v>
      </c>
      <c r="E6" s="23" t="n">
        <v>8.996</v>
      </c>
      <c r="F6" s="23" t="n">
        <v>6.244</v>
      </c>
      <c r="G6" s="23" t="n">
        <v>6.699</v>
      </c>
      <c r="H6" s="23" t="n">
        <v>4.48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1.605</v>
      </c>
      <c r="C7" s="23">
        <f>SUM(C5:C6)</f>
        <v>6.64</v>
      </c>
      <c r="D7" s="23">
        <f>SUM(D5:D6)</f>
        <v>14.536999999999999</v>
      </c>
      <c r="E7" s="23">
        <f>SUM(E5:E6)</f>
        <v>25.512</v>
      </c>
      <c r="F7" s="23">
        <f>SUM(F5:F6)</f>
        <v>45.035</v>
      </c>
      <c r="G7" s="23">
        <f>SUM(G5:G6)</f>
        <v>26.694000000000003</v>
      </c>
      <c r="H7" s="23">
        <f>SUM(H5:H6)</f>
        <v>29.696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-1.605</v>
      </c>
      <c r="C8" s="23">
        <f>C4-C7</f>
        <v>-6.64</v>
      </c>
      <c r="D8" s="23">
        <f>D4-D7</f>
        <v>-14.536999999999999</v>
      </c>
      <c r="E8" s="23">
        <f>E4-E7</f>
        <v>-25.512</v>
      </c>
      <c r="F8" s="23">
        <f>F4-F7</f>
        <v>-45.035</v>
      </c>
      <c r="G8" s="23">
        <f>G4-G7</f>
        <v>-26.694000000000003</v>
      </c>
      <c r="H8" s="23">
        <f>H4-H7</f>
        <v>-29.696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0.615</v>
      </c>
      <c r="C9" s="23" t="n">
        <v>1.178</v>
      </c>
      <c r="D9" s="23" t="n">
        <v>0.05</v>
      </c>
      <c r="E9" s="23" t="n">
        <v>0.183</v>
      </c>
      <c r="F9" s="23" t="n">
        <v>-11.169</v>
      </c>
      <c r="G9" s="23" t="n">
        <v>2.105</v>
      </c>
      <c r="H9" s="23" t="n">
        <v>0.841</v>
      </c>
    </row>
    <row r="10">
      <c r="A10" s="2" t="inlineStr">
        <is>
          <t>Pretax</t>
        </is>
      </c>
      <c r="B10" s="23">
        <f>B8+B9</f>
        <v>-0.99</v>
      </c>
      <c r="C10" s="23">
        <f>C8+C9</f>
        <v>-5.462</v>
      </c>
      <c r="D10" s="23">
        <f>D8+D9</f>
        <v>-14.486999999999998</v>
      </c>
      <c r="E10" s="23">
        <f>E8+E9</f>
        <v>-25.329</v>
      </c>
      <c r="F10" s="23">
        <f>F8+F9</f>
        <v>-56.20399999999999</v>
      </c>
      <c r="G10" s="23">
        <f>G8+G9</f>
        <v>-24.589000000000002</v>
      </c>
      <c r="H10" s="23">
        <f>H8+H9</f>
        <v>-28.855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-0.991</v>
      </c>
      <c r="C12" s="23" t="n">
        <v>-5.462</v>
      </c>
      <c r="D12" s="23" t="n">
        <v>-14.487</v>
      </c>
      <c r="E12" s="23" t="n">
        <v>-25.329</v>
      </c>
      <c r="F12" s="23" t="n">
        <v>-56.204</v>
      </c>
      <c r="G12" s="23" t="n">
        <v>-24.59</v>
      </c>
      <c r="H12" s="23" t="n">
        <v>-28.854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-0.1593760051463493</v>
      </c>
      <c r="C13" s="11">
        <f>IFERROR(C12/C14,0)</f>
        <v>-0.8657473450626089</v>
      </c>
      <c r="D13" s="11">
        <f>IFERROR(D12/D14,0)</f>
        <v>-1.8996852871754524</v>
      </c>
      <c r="E13" s="11">
        <f>IFERROR(E12/E14,0)</f>
        <v>-3.103283508943886</v>
      </c>
      <c r="F13" s="11">
        <f>IFERROR(F12/F14,0)</f>
        <v>-6.228970408954893</v>
      </c>
      <c r="G13" s="11">
        <f>IFERROR(G12/G14,0)</f>
        <v>-2.0098079280751944</v>
      </c>
      <c r="H13" s="11">
        <f>IFERROR(H12/H14,0)</f>
        <v>-1.403950953678474</v>
      </c>
    </row>
    <row r="14">
      <c r="A14" s="2" t="inlineStr">
        <is>
          <t>Shares</t>
        </is>
      </c>
      <c r="B14" s="23" t="n">
        <v>6.218</v>
      </c>
      <c r="C14" s="23" t="n">
        <v>6.309</v>
      </c>
      <c r="D14" s="23" t="n">
        <v>7.626</v>
      </c>
      <c r="E14" s="23" t="n">
        <v>8.162000000000001</v>
      </c>
      <c r="F14" s="23" t="n">
        <v>9.023</v>
      </c>
      <c r="G14" s="23" t="n">
        <v>12.235</v>
      </c>
      <c r="H14" s="23" t="n">
        <v>20.552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2026-10-21T01:06:15Z</dcterms:modified>
  <cp:lastModifiedBy>Wang, Eric</cp:lastModifiedBy>
</cp:coreProperties>
</file>