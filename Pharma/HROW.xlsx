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Harrow, Inc.</t>
        </is>
      </c>
      <c r="C2" s="10" t="n"/>
    </row>
    <row r="3">
      <c r="B3" t="inlineStr">
        <is>
          <t>Price</t>
        </is>
      </c>
      <c r="C3" s="11">
        <f>INDEX([1]Pharma!$F$1:$F$1000,MATCH("HROW",[1]Pharma!$B$1:$B$1000,0))</f>
        <v>28.07</v>
      </c>
      <c r="F3" s="1" t="n"/>
    </row>
    <row r="4">
      <c r="B4" t="inlineStr">
        <is>
          <t>Shares</t>
        </is>
      </c>
      <c r="C4" s="51" t="n">
        <v>37.48785</v>
      </c>
      <c r="F4" s="1" t="n"/>
    </row>
    <row r="5">
      <c r="B5" t="inlineStr">
        <is>
          <t>Market Cap.</t>
        </is>
      </c>
      <c r="C5" s="13">
        <f>C3*C4</f>
        <v>1052.2839495</v>
      </c>
      <c r="F5" s="1" t="n"/>
    </row>
    <row r="6"/>
    <row r="7">
      <c r="B7" t="inlineStr">
        <is>
          <t>Cash</t>
        </is>
      </c>
      <c r="C7" s="51" t="n">
        <v>83.889</v>
      </c>
    </row>
    <row r="8">
      <c r="B8" t="inlineStr">
        <is>
          <t>Debt</t>
        </is>
      </c>
      <c r="C8" s="51" t="n">
        <v>292.379</v>
      </c>
    </row>
    <row r="9">
      <c r="B9" t="inlineStr">
        <is>
          <t>Enterprise V.</t>
        </is>
      </c>
      <c r="C9" s="13">
        <f>C5-C7+C8</f>
        <v>1260.7739495</v>
      </c>
    </row>
    <row r="10"/>
    <row r="11">
      <c r="B11" s="14" t="inlineStr">
        <is>
          <t>NPV / Share</t>
        </is>
      </c>
      <c r="C11" s="11">
        <f>NPV!B28</f>
        <v>5.009593019469181</v>
      </c>
    </row>
    <row r="12">
      <c r="B12" s="14" t="inlineStr">
        <is>
          <t>Upside</t>
        </is>
      </c>
      <c r="C12" s="15">
        <f>IFERROR(C11/C3-1,"")</f>
        <v>-0.8215321332572433</v>
      </c>
    </row>
    <row r="13">
      <c r="B13" s="14" t="inlineStr">
        <is>
          <t>Cash / Share</t>
        </is>
      </c>
      <c r="C13" s="11">
        <f>IFERROR((C7-C8)/C4,"")</f>
        <v>-5.56153527076106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1999</v>
      </c>
      <c r="C1" s="16" t="n">
        <v>2000</v>
      </c>
      <c r="D1" s="16" t="n">
        <v>2001</v>
      </c>
      <c r="E1" s="16" t="n">
        <v>2002</v>
      </c>
      <c r="F1" s="16" t="n">
        <v>2003</v>
      </c>
      <c r="G1" s="16" t="n">
        <v>2004</v>
      </c>
      <c r="H1" s="16" t="n">
        <v>2005</v>
      </c>
      <c r="I1" s="16" t="n">
        <v>2006</v>
      </c>
      <c r="J1" s="16" t="n">
        <v>2007</v>
      </c>
      <c r="K1" s="16" t="n">
        <v>2008</v>
      </c>
      <c r="L1" s="16" t="n">
        <v>2009</v>
      </c>
      <c r="M1" s="16" t="n">
        <v>2010</v>
      </c>
      <c r="N1" s="16" t="n">
        <v>2011</v>
      </c>
      <c r="O1" s="16" t="n">
        <v>2012</v>
      </c>
      <c r="P1" s="16" t="n">
        <v>2013</v>
      </c>
      <c r="Q1" s="16" t="n">
        <v>2014</v>
      </c>
      <c r="R1" s="16" t="n">
        <v>2015</v>
      </c>
      <c r="S1" s="16" t="n">
        <v>2016</v>
      </c>
      <c r="T1" s="16" t="n">
        <v>2017</v>
      </c>
      <c r="U1" s="16" t="n">
        <v>2018</v>
      </c>
      <c r="V1" s="16" t="n">
        <v>2019</v>
      </c>
      <c r="W1" s="16" t="n">
        <v>2020</v>
      </c>
      <c r="X1" s="16" t="n">
        <v>2021</v>
      </c>
      <c r="Y1" s="16" t="n">
        <v>2022</v>
      </c>
      <c r="Z1" s="16" t="n">
        <v>2023</v>
      </c>
      <c r="AA1" s="16" t="n">
        <v>2024</v>
      </c>
      <c r="AB1" s="16" t="n">
        <v>2025</v>
      </c>
      <c r="AC1" s="16" t="n">
        <v>2026</v>
      </c>
      <c r="AD1" s="16" t="n">
        <v>2027</v>
      </c>
      <c r="AE1" s="16" t="n">
        <v>2028</v>
      </c>
      <c r="AF1" s="16" t="n">
        <v>2029</v>
      </c>
      <c r="AG1" s="16" t="n">
        <v>2030</v>
      </c>
      <c r="AH1" s="16" t="n">
        <v>2031</v>
      </c>
      <c r="AI1" s="16" t="n">
        <v>2032</v>
      </c>
      <c r="AJ1" s="16" t="n">
        <v>2033</v>
      </c>
      <c r="AK1" s="17" t="n">
        <v>2034</v>
      </c>
      <c r="AL1" s="17" t="n">
        <v>2035</v>
      </c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0</v>
      </c>
      <c r="M2" s="52" t="n">
        <v>0</v>
      </c>
      <c r="N2" s="52" t="n">
        <v>0</v>
      </c>
      <c r="O2" s="52" t="n">
        <v>0</v>
      </c>
      <c r="P2" s="52" t="n">
        <v>0.01</v>
      </c>
      <c r="Q2" s="52" t="n">
        <v>1.66</v>
      </c>
      <c r="R2" s="52" t="n">
        <v>9.715999999999999</v>
      </c>
      <c r="S2" s="52" t="n">
        <v>19.942</v>
      </c>
      <c r="T2" s="52" t="n">
        <v>26.774</v>
      </c>
      <c r="U2" s="52" t="n">
        <v>41.372</v>
      </c>
      <c r="V2" s="52" t="n">
        <v>51.165</v>
      </c>
      <c r="W2" s="52" t="n">
        <v>48.871</v>
      </c>
      <c r="X2" s="52" t="n">
        <v>72.476</v>
      </c>
      <c r="Y2" s="52" t="n">
        <v>88.595</v>
      </c>
      <c r="Z2" s="52" t="n">
        <v>130.193</v>
      </c>
      <c r="AA2" s="52" t="n">
        <v>199.614</v>
      </c>
      <c r="AB2" s="52" t="n">
        <v>272.303</v>
      </c>
      <c r="AC2" s="52">
        <f>AB2*(1+NPV!C5)</f>
        <v>280.3359385</v>
      </c>
      <c r="AD2" s="52">
        <f>AC2*(1+NPV!D5)</f>
        <v>288.46568071649995</v>
      </c>
      <c r="AE2" s="52">
        <f>AD2*(1+NPV!E5)</f>
        <v>296.68695261692017</v>
      </c>
      <c r="AF2" s="52">
        <f>AE2*(1+NPV!F5)</f>
        <v>304.99418729019396</v>
      </c>
      <c r="AG2" s="52">
        <f>AF2*(1+NPV!G5)</f>
        <v>313.38152744067435</v>
      </c>
      <c r="AH2" s="52">
        <f>AG2*(1+NPV!H5)</f>
        <v>321.84282868157254</v>
      </c>
      <c r="AI2" s="52">
        <f>AH2*(1+NPV!I5)</f>
        <v>330.3716636416342</v>
      </c>
      <c r="AJ2" s="52">
        <f>AI2*(1+NPV!J5)</f>
        <v>338.9613268963167</v>
      </c>
      <c r="AK2" s="52">
        <f>AJ2*(1+NPV!K5)</f>
        <v>347.60484073217276</v>
      </c>
      <c r="AL2" s="52">
        <f>AK2*(1+NPV!L5)</f>
        <v>356.29496175047706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13.505</v>
      </c>
      <c r="U3" s="52" t="n">
        <v>16.521</v>
      </c>
      <c r="V3" s="52" t="n">
        <v>16.749</v>
      </c>
      <c r="W3" s="52" t="n">
        <v>14.463</v>
      </c>
      <c r="X3" s="52" t="n">
        <v>18.214</v>
      </c>
      <c r="Y3" s="52" t="n">
        <v>25.383</v>
      </c>
      <c r="Z3" s="52" t="n">
        <v>39.64</v>
      </c>
      <c r="AA3" s="52" t="n">
        <v>49.245</v>
      </c>
      <c r="AB3" s="52" t="n">
        <v>67.934</v>
      </c>
      <c r="AC3" s="52">
        <f>AC2*(1-Assumptions!$B$19)</f>
        <v>69.94381665575001</v>
      </c>
      <c r="AD3" s="52">
        <f>AD2*(1-Assumptions!$B$19)</f>
        <v>71.97218733876676</v>
      </c>
      <c r="AE3" s="52">
        <f>AE2*(1-Assumptions!$B$19)</f>
        <v>74.0233946779216</v>
      </c>
      <c r="AF3" s="52">
        <f>AF2*(1-Assumptions!$B$19)</f>
        <v>76.09604972890341</v>
      </c>
      <c r="AG3" s="52">
        <f>AG2*(1-Assumptions!$B$19)</f>
        <v>78.18869109644827</v>
      </c>
      <c r="AH3" s="52">
        <f>AH2*(1-Assumptions!$B$19)</f>
        <v>80.29978575605237</v>
      </c>
      <c r="AI3" s="52">
        <f>AI2*(1-Assumptions!$B$19)</f>
        <v>82.42773007858776</v>
      </c>
      <c r="AJ3" s="52">
        <f>AJ2*(1-Assumptions!$B$19)</f>
        <v>84.57085106063103</v>
      </c>
      <c r="AK3" s="52">
        <f>AK2*(1-Assumptions!$B$19)</f>
        <v>86.72740776267712</v>
      </c>
      <c r="AL3" s="52">
        <f>AL2*(1-Assumptions!$B$19)</f>
        <v>88.89559295674404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0.0</v>
      </c>
      <c r="M4" s="52">
        <f>M2-M3</f>
        <v>0.0</v>
      </c>
      <c r="N4" s="52">
        <f>N2-N3</f>
        <v>0.0</v>
      </c>
      <c r="O4" s="52">
        <f>O2-O3</f>
        <v>0.0</v>
      </c>
      <c r="P4" s="52">
        <f>P2-P3</f>
        <v>0.01</v>
      </c>
      <c r="Q4" s="52">
        <f>Q2-Q3</f>
        <v>1.66</v>
      </c>
      <c r="R4" s="52">
        <f>R2-R3</f>
        <v>9.716</v>
      </c>
      <c r="S4" s="52">
        <f>S2-S3</f>
        <v>19.942</v>
      </c>
      <c r="T4" s="52">
        <f>T2-T3</f>
        <v>13.269</v>
      </c>
      <c r="U4" s="52">
        <f>U2-U3</f>
        <v>24.851</v>
      </c>
      <c r="V4" s="52">
        <f>V2-V3</f>
        <v>34.416</v>
      </c>
      <c r="W4" s="52">
        <f>W2-W3</f>
        <v>34.408</v>
      </c>
      <c r="X4" s="52">
        <f>X2-X3</f>
        <v>54.262</v>
      </c>
      <c r="Y4" s="52">
        <f>Y2-Y3</f>
        <v>63.212</v>
      </c>
      <c r="Z4" s="52">
        <f>Z2-Z3</f>
        <v>90.55300000000001</v>
      </c>
      <c r="AA4" s="52">
        <f>AA2-AA3</f>
        <v>150.369</v>
      </c>
      <c r="AB4" s="52">
        <f>AB2-AB3</f>
        <v>204.369</v>
      </c>
      <c r="AC4" s="52">
        <f>AC2-AC3</f>
        <v>210.39212184424997</v>
      </c>
      <c r="AD4" s="52">
        <f>AD2-AD3</f>
        <v>216.4934933777332</v>
      </c>
      <c r="AE4" s="52">
        <f>AE2-AE3</f>
        <v>222.66355793899857</v>
      </c>
      <c r="AF4" s="52">
        <f>AF2-AF3</f>
        <v>228.89813756129055</v>
      </c>
      <c r="AG4" s="52">
        <f>AG2-AG3</f>
        <v>235.19283634422607</v>
      </c>
      <c r="AH4" s="52">
        <f>AH2-AH3</f>
        <v>241.54304292552018</v>
      </c>
      <c r="AI4" s="52">
        <f>AI2-AI3</f>
        <v>247.94393356304644</v>
      </c>
      <c r="AJ4" s="52">
        <f>AJ2-AJ3</f>
        <v>254.39047583568566</v>
      </c>
      <c r="AK4" s="52">
        <f>AK2-AK3</f>
        <v>260.87743296949566</v>
      </c>
      <c r="AL4" s="52">
        <f>AL2-AL3</f>
        <v>267.399368793733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0.195</v>
      </c>
      <c r="N5" s="52" t="n">
        <v>0.112</v>
      </c>
      <c r="O5" s="52" t="n">
        <v>1.299</v>
      </c>
      <c r="P5" s="52" t="n">
        <v>1.616</v>
      </c>
      <c r="Q5" s="52" t="n">
        <v>0.237</v>
      </c>
      <c r="R5" s="52" t="n">
        <v>0.332</v>
      </c>
      <c r="S5" s="52" t="n">
        <v>0.739</v>
      </c>
      <c r="T5" s="52" t="n">
        <v>0.413</v>
      </c>
      <c r="U5" s="52" t="n">
        <v>0.825</v>
      </c>
      <c r="V5" s="52" t="n">
        <v>2.083</v>
      </c>
      <c r="W5" s="52" t="n">
        <v>2.413</v>
      </c>
      <c r="X5" s="52" t="n">
        <v>11.084</v>
      </c>
      <c r="Y5" s="52" t="n">
        <v>3.05</v>
      </c>
      <c r="Z5" s="52" t="n">
        <v>6.652</v>
      </c>
      <c r="AA5" s="52" t="n">
        <v>12.23</v>
      </c>
      <c r="AB5" s="52" t="n">
        <v>20.94</v>
      </c>
      <c r="AC5" s="52">
        <f>AC7*Assumptions!$B$20</f>
        <v>24.959934553098297</v>
      </c>
      <c r="AD5" s="52">
        <f>AD7*Assumptions!$B$20</f>
        <v>24.954416028014546</v>
      </c>
      <c r="AE5" s="52">
        <f>AE7*Assumptions!$B$20</f>
        <v>24.915473593816333</v>
      </c>
      <c r="AF5" s="52">
        <f>AF7*Assumptions!$B$20</f>
        <v>24.84195955129867</v>
      </c>
      <c r="AG5" s="52">
        <f>AG7*Assumptions!$B$20</f>
        <v>24.732759584978385</v>
      </c>
      <c r="AH5" s="52">
        <f>AH7*Assumptions!$B$20</f>
        <v>24.586796685734313</v>
      </c>
      <c r="AI5" s="52">
        <f>AI7*Assumptions!$B$20</f>
        <v>24.403035083554762</v>
      </c>
      <c r="AJ5" s="52">
        <f>AJ7*Assumptions!$B$20</f>
        <v>24.18048417680254</v>
      </c>
      <c r="AK5" s="52">
        <f>AK7*Assumptions!$B$20</f>
        <v>23.918202444003782</v>
      </c>
      <c r="AL5" s="52">
        <f>AL7*Assumptions!$B$20</f>
        <v>23.615301323813966</v>
      </c>
    </row>
    <row r="6">
      <c r="A6" s="19" t="inlineStr">
        <is>
          <t>SG&amp;A &amp; Other</t>
        </is>
      </c>
      <c r="B6" s="52" t="n">
        <v>0.204</v>
      </c>
      <c r="C6" s="52" t="n">
        <v>0.213</v>
      </c>
      <c r="D6" s="52" t="n">
        <v>0.208</v>
      </c>
      <c r="E6" s="52" t="n">
        <v>0.228</v>
      </c>
      <c r="F6" s="52" t="n">
        <v>0.207</v>
      </c>
      <c r="G6" s="52" t="n">
        <v>0.508</v>
      </c>
      <c r="H6" s="52" t="n">
        <v>0.54</v>
      </c>
      <c r="I6" s="52" t="n">
        <v>0.584</v>
      </c>
      <c r="J6" s="52" t="n">
        <v>4.285</v>
      </c>
      <c r="K6" s="52" t="n">
        <v>3.304</v>
      </c>
      <c r="L6" s="52" t="n">
        <v>4.554</v>
      </c>
      <c r="M6" s="52" t="n">
        <v>2.308</v>
      </c>
      <c r="N6" s="52" t="n">
        <v>0.828</v>
      </c>
      <c r="O6" s="52" t="n">
        <v>2.88</v>
      </c>
      <c r="P6" s="52" t="n">
        <v>6.081</v>
      </c>
      <c r="Q6" s="52" t="n">
        <v>11.57</v>
      </c>
      <c r="R6" s="52" t="n">
        <v>24.206</v>
      </c>
      <c r="S6" s="52" t="n">
        <v>35.085</v>
      </c>
      <c r="T6" s="52" t="n">
        <v>25.019</v>
      </c>
      <c r="U6" s="52" t="n">
        <v>29.243</v>
      </c>
      <c r="V6" s="52" t="n">
        <v>37.128</v>
      </c>
      <c r="W6" s="52" t="n">
        <v>31.61</v>
      </c>
      <c r="X6" s="52" t="n">
        <v>41.564</v>
      </c>
      <c r="Y6" s="52" t="n">
        <v>58.243</v>
      </c>
      <c r="Z6" s="52" t="n">
        <v>83.47</v>
      </c>
      <c r="AA6" s="52" t="n">
        <v>129.317</v>
      </c>
      <c r="AB6" s="52" t="n">
        <v>152.914</v>
      </c>
      <c r="AC6" s="52">
        <f>AC7-AC5</f>
        <v>182.34849196765168</v>
      </c>
      <c r="AD6" s="52">
        <f>AD7-AD5</f>
        <v>182.30817556679065</v>
      </c>
      <c r="AE6" s="52">
        <f>AE7-AE5</f>
        <v>182.02367585648545</v>
      </c>
      <c r="AF6" s="52">
        <f>AF7-AF5</f>
        <v>181.48660815051755</v>
      </c>
      <c r="AG6" s="52">
        <f>AG7-AG5</f>
        <v>180.6888316523836</v>
      </c>
      <c r="AH6" s="52">
        <f>AH7-AH5</f>
        <v>179.62247811272346</v>
      </c>
      <c r="AI6" s="52">
        <f>AI7-AI5</f>
        <v>178.2799805605878</v>
      </c>
      <c r="AJ6" s="52">
        <f>AJ7-AJ5</f>
        <v>176.65410200926507</v>
      </c>
      <c r="AK6" s="52">
        <f>AK7-AK5</f>
        <v>174.73796403443296</v>
      </c>
      <c r="AL6" s="52">
        <f>AL7-AL5</f>
        <v>172.5250751198236</v>
      </c>
    </row>
    <row r="7">
      <c r="A7" s="2" t="inlineStr">
        <is>
          <t>Operating Expense</t>
        </is>
      </c>
      <c r="B7" s="52">
        <f>SUM(B5:B6)</f>
        <v>0.204</v>
      </c>
      <c r="C7" s="52">
        <f>SUM(C5:C6)</f>
        <v>0.213</v>
      </c>
      <c r="D7" s="52">
        <f>SUM(D5:D6)</f>
        <v>0.208</v>
      </c>
      <c r="E7" s="52">
        <f>SUM(E5:E6)</f>
        <v>0.228</v>
      </c>
      <c r="F7" s="52">
        <f>SUM(F5:F6)</f>
        <v>0.207</v>
      </c>
      <c r="G7" s="52">
        <f>SUM(G5:G6)</f>
        <v>0.508</v>
      </c>
      <c r="H7" s="52">
        <f>SUM(H5:H6)</f>
        <v>0.54</v>
      </c>
      <c r="I7" s="52">
        <f>SUM(I5:I6)</f>
        <v>0.584</v>
      </c>
      <c r="J7" s="52">
        <f>SUM(J5:J6)</f>
        <v>4.285</v>
      </c>
      <c r="K7" s="52">
        <f>SUM(K5:K6)</f>
        <v>3.304</v>
      </c>
      <c r="L7" s="52">
        <f>SUM(L5:L6)</f>
        <v>4.554</v>
      </c>
      <c r="M7" s="52">
        <f>SUM(M5:M6)</f>
        <v>2.5029999999999997</v>
      </c>
      <c r="N7" s="52">
        <f>SUM(N5:N6)</f>
        <v>0.94</v>
      </c>
      <c r="O7" s="52">
        <f>SUM(O5:O6)</f>
        <v>4.179</v>
      </c>
      <c r="P7" s="52">
        <f>SUM(P5:P6)</f>
        <v>7.697000000000001</v>
      </c>
      <c r="Q7" s="52">
        <f>SUM(Q5:Q6)</f>
        <v>11.807</v>
      </c>
      <c r="R7" s="52">
        <f>SUM(R5:R6)</f>
        <v>24.538</v>
      </c>
      <c r="S7" s="52">
        <f>SUM(S5:S6)</f>
        <v>35.824</v>
      </c>
      <c r="T7" s="52">
        <f>SUM(T5:T6)</f>
        <v>25.432</v>
      </c>
      <c r="U7" s="52">
        <f>SUM(U5:U6)</f>
        <v>30.067999999999998</v>
      </c>
      <c r="V7" s="52">
        <f>SUM(V5:V6)</f>
        <v>39.211</v>
      </c>
      <c r="W7" s="52">
        <f>SUM(W5:W6)</f>
        <v>34.022999999999996</v>
      </c>
      <c r="X7" s="52">
        <f>SUM(X5:X6)</f>
        <v>52.647999999999996</v>
      </c>
      <c r="Y7" s="52">
        <f>SUM(Y5:Y6)</f>
        <v>61.293</v>
      </c>
      <c r="Z7" s="52">
        <f>SUM(Z5:Z6)</f>
        <v>90.122</v>
      </c>
      <c r="AA7" s="52">
        <f>SUM(AA5:AA6)</f>
        <v>141.547</v>
      </c>
      <c r="AB7" s="52">
        <f>SUM(AB5:AB6)</f>
        <v>173.85399999999998</v>
      </c>
      <c r="AC7" s="52">
        <f>AC4-AC2*NPV!C6</f>
        <v>207.30842652074998</v>
      </c>
      <c r="AD7" s="52">
        <f>AD4-AD2*NPV!D6</f>
        <v>207.2625915948052</v>
      </c>
      <c r="AE7" s="52">
        <f>AE4-AE2*NPV!E6</f>
        <v>206.93914945030178</v>
      </c>
      <c r="AF7" s="52">
        <f>AF4-AF2*NPV!F6</f>
        <v>206.3285677018162</v>
      </c>
      <c r="AG7" s="52">
        <f>AG4-AG2*NPV!G6</f>
        <v>205.421591237362</v>
      </c>
      <c r="AH7" s="52">
        <f>AH4-AH2*NPV!H6</f>
        <v>204.20927479845776</v>
      </c>
      <c r="AI7" s="52">
        <f>AI4-AI2*NPV!I6</f>
        <v>202.68301564414256</v>
      </c>
      <c r="AJ7" s="52">
        <f>AJ4-AJ2*NPV!J6</f>
        <v>200.8345861860676</v>
      </c>
      <c r="AK7" s="52">
        <f>AK4-AK2*NPV!K6</f>
        <v>198.65616647843675</v>
      </c>
      <c r="AL7" s="52">
        <f>AL4-AL2*NPV!L6</f>
        <v>196.1403764436376</v>
      </c>
    </row>
    <row r="8">
      <c r="A8" s="2" t="inlineStr">
        <is>
          <t>Operating Income</t>
        </is>
      </c>
      <c r="B8" s="52">
        <f>B4-B7</f>
        <v>-0.204</v>
      </c>
      <c r="C8" s="52">
        <f>C4-C7</f>
        <v>-0.213</v>
      </c>
      <c r="D8" s="52">
        <f>D4-D7</f>
        <v>-0.208</v>
      </c>
      <c r="E8" s="52">
        <f>E4-E7</f>
        <v>-0.228</v>
      </c>
      <c r="F8" s="52">
        <f>F4-F7</f>
        <v>-0.207</v>
      </c>
      <c r="G8" s="52">
        <f>G4-G7</f>
        <v>-0.508</v>
      </c>
      <c r="H8" s="52">
        <f>H4-H7</f>
        <v>-0.54</v>
      </c>
      <c r="I8" s="52">
        <f>I4-I7</f>
        <v>-0.584</v>
      </c>
      <c r="J8" s="52">
        <f>J4-J7</f>
        <v>-4.285</v>
      </c>
      <c r="K8" s="52">
        <f>K4-K7</f>
        <v>-3.304</v>
      </c>
      <c r="L8" s="52">
        <f>L4-L7</f>
        <v>-4.554</v>
      </c>
      <c r="M8" s="52">
        <f>M4-M7</f>
        <v>-2.5029999999999997</v>
      </c>
      <c r="N8" s="52">
        <f>N4-N7</f>
        <v>-0.94</v>
      </c>
      <c r="O8" s="52">
        <f>O4-O7</f>
        <v>-4.179</v>
      </c>
      <c r="P8" s="52">
        <f>P4-P7</f>
        <v>-7.687000000000001</v>
      </c>
      <c r="Q8" s="52">
        <f>Q4-Q7</f>
        <v>-10.147</v>
      </c>
      <c r="R8" s="52">
        <f>R4-R7</f>
        <v>-14.822000000000001</v>
      </c>
      <c r="S8" s="52">
        <f>S4-S7</f>
        <v>-15.881999999999998</v>
      </c>
      <c r="T8" s="52">
        <f>T4-T7</f>
        <v>-12.162999999999998</v>
      </c>
      <c r="U8" s="52">
        <f>U4-U7</f>
        <v>-5.216999999999999</v>
      </c>
      <c r="V8" s="52">
        <f>V4-V7</f>
        <v>-4.795000000000002</v>
      </c>
      <c r="W8" s="52">
        <f>W4-W7</f>
        <v>0.3850000000000051</v>
      </c>
      <c r="X8" s="52">
        <f>X4-X7</f>
        <v>1.6140000000000043</v>
      </c>
      <c r="Y8" s="52">
        <f>Y4-Y7</f>
        <v>1.919000000000004</v>
      </c>
      <c r="Z8" s="52">
        <f>Z4-Z7</f>
        <v>0.4310000000000116</v>
      </c>
      <c r="AA8" s="52">
        <f>AA4-AA7</f>
        <v>8.822000000000003</v>
      </c>
      <c r="AB8" s="52">
        <f>AB4-AB7</f>
        <v>30.515000000000015</v>
      </c>
      <c r="AC8" s="52">
        <f>AC4-AC7</f>
        <v>3.0836953234999953</v>
      </c>
      <c r="AD8" s="52">
        <f>AD4-AD7</f>
        <v>9.230901782927987</v>
      </c>
      <c r="AE8" s="52">
        <f>AE4-AE7</f>
        <v>15.724408488696781</v>
      </c>
      <c r="AF8" s="52">
        <f>AF4-AF7</f>
        <v>22.569569859474342</v>
      </c>
      <c r="AG8" s="52">
        <f>AG4-AG7</f>
        <v>29.771245106864058</v>
      </c>
      <c r="AH8" s="52">
        <f>AH4-AH7</f>
        <v>37.33376812706243</v>
      </c>
      <c r="AI8" s="52">
        <f>AI4-AI7</f>
        <v>45.260917918903885</v>
      </c>
      <c r="AJ8" s="52">
        <f>AJ4-AJ7</f>
        <v>53.55588964961805</v>
      </c>
      <c r="AK8" s="52">
        <f>AK4-AK7</f>
        <v>62.22126649105891</v>
      </c>
      <c r="AL8" s="52">
        <f>AL4-AL7</f>
        <v>71.25899235009541</v>
      </c>
    </row>
    <row r="9">
      <c r="A9" s="19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-0.029</v>
      </c>
      <c r="N9" s="52" t="n">
        <v>-0.015</v>
      </c>
      <c r="O9" s="52" t="n">
        <v>-1.203</v>
      </c>
      <c r="P9" s="52" t="n">
        <v>0.044</v>
      </c>
      <c r="Q9" s="52" t="n">
        <v>0.032</v>
      </c>
      <c r="R9" s="52" t="n">
        <v>-1.072</v>
      </c>
      <c r="S9" s="52" t="n">
        <v>-3.316</v>
      </c>
      <c r="T9" s="52" t="n">
        <v>-0.757</v>
      </c>
      <c r="U9" s="52" t="n">
        <v>19.842</v>
      </c>
      <c r="V9" s="52" t="n">
        <v>4.971</v>
      </c>
      <c r="W9" s="52" t="n">
        <v>-3.738</v>
      </c>
      <c r="X9" s="52" t="n">
        <v>-19.488</v>
      </c>
      <c r="Y9" s="52" t="n">
        <v>-15.93</v>
      </c>
      <c r="Z9" s="52" t="n">
        <v>-24.141</v>
      </c>
      <c r="AA9" s="52" t="n">
        <v>-26.142</v>
      </c>
      <c r="AB9" s="52" t="n">
        <v>-31.883</v>
      </c>
      <c r="AC9" s="52" t="n">
        <v>0</v>
      </c>
      <c r="AD9" s="52" t="n">
        <v>0</v>
      </c>
      <c r="AE9" s="52" t="n">
        <v>0</v>
      </c>
      <c r="AF9" s="52" t="n">
        <v>0</v>
      </c>
      <c r="AG9" s="52" t="n">
        <v>0</v>
      </c>
      <c r="AH9" s="52" t="n">
        <v>0</v>
      </c>
      <c r="AI9" s="52" t="n">
        <v>0</v>
      </c>
      <c r="AJ9" s="52" t="n">
        <v>0</v>
      </c>
      <c r="AK9" s="52" t="n">
        <v>0</v>
      </c>
      <c r="AL9" s="52" t="n">
        <v>0</v>
      </c>
    </row>
    <row r="10">
      <c r="A10" s="2" t="inlineStr">
        <is>
          <t>Pretax</t>
        </is>
      </c>
      <c r="B10" s="52">
        <f>B8+B9</f>
        <v>-0.204</v>
      </c>
      <c r="C10" s="52">
        <f>C8+C9</f>
        <v>-0.213</v>
      </c>
      <c r="D10" s="52">
        <f>D8+D9</f>
        <v>-0.208</v>
      </c>
      <c r="E10" s="52">
        <f>E8+E9</f>
        <v>-0.228</v>
      </c>
      <c r="F10" s="52">
        <f>F8+F9</f>
        <v>-0.207</v>
      </c>
      <c r="G10" s="52">
        <f>G8+G9</f>
        <v>-0.508</v>
      </c>
      <c r="H10" s="52">
        <f>H8+H9</f>
        <v>-0.54</v>
      </c>
      <c r="I10" s="52">
        <f>I8+I9</f>
        <v>-0.584</v>
      </c>
      <c r="J10" s="52">
        <f>J8+J9</f>
        <v>-4.285</v>
      </c>
      <c r="K10" s="52">
        <f>K8+K9</f>
        <v>-3.304</v>
      </c>
      <c r="L10" s="52">
        <f>L8+L9</f>
        <v>-4.554</v>
      </c>
      <c r="M10" s="52">
        <f>M8+M9</f>
        <v>-2.5319999999999996</v>
      </c>
      <c r="N10" s="52">
        <f>N8+N9</f>
        <v>-0.955</v>
      </c>
      <c r="O10" s="52">
        <f>O8+O9</f>
        <v>-5.382000000000001</v>
      </c>
      <c r="P10" s="52">
        <f>P8+P9</f>
        <v>-7.643000000000002</v>
      </c>
      <c r="Q10" s="52">
        <f>Q8+Q9</f>
        <v>-10.115</v>
      </c>
      <c r="R10" s="52">
        <f>R8+R9</f>
        <v>-15.894000000000002</v>
      </c>
      <c r="S10" s="52">
        <f>S8+S9</f>
        <v>-19.197999999999997</v>
      </c>
      <c r="T10" s="52">
        <f>T8+T9</f>
        <v>-12.919999999999998</v>
      </c>
      <c r="U10" s="52">
        <f>U8+U9</f>
        <v>14.625</v>
      </c>
      <c r="V10" s="52">
        <f>V8+V9</f>
        <v>0.17599999999999838</v>
      </c>
      <c r="W10" s="52">
        <f>W8+W9</f>
        <v>-3.352999999999995</v>
      </c>
      <c r="X10" s="52">
        <f>X8+X9</f>
        <v>-17.873999999999995</v>
      </c>
      <c r="Y10" s="52">
        <f>Y8+Y9</f>
        <v>-14.010999999999996</v>
      </c>
      <c r="Z10" s="52">
        <f>Z8+Z9</f>
        <v>-23.709999999999987</v>
      </c>
      <c r="AA10" s="52">
        <f>AA8+AA9</f>
        <v>-17.319999999999997</v>
      </c>
      <c r="AB10" s="52">
        <f>AB8+AB9</f>
        <v>-1.3679999999999843</v>
      </c>
      <c r="AC10" s="52">
        <f>AC8+AC9</f>
        <v>3.0836953234999953</v>
      </c>
      <c r="AD10" s="52">
        <f>AD8+AD9</f>
        <v>9.230901782927987</v>
      </c>
      <c r="AE10" s="52">
        <f>AE8+AE9</f>
        <v>15.724408488696781</v>
      </c>
      <c r="AF10" s="52">
        <f>AF8+AF9</f>
        <v>22.569569859474342</v>
      </c>
      <c r="AG10" s="52">
        <f>AG8+AG9</f>
        <v>29.771245106864058</v>
      </c>
      <c r="AH10" s="52">
        <f>AH8+AH9</f>
        <v>37.33376812706243</v>
      </c>
      <c r="AI10" s="52">
        <f>AI8+AI9</f>
        <v>45.260917918903885</v>
      </c>
      <c r="AJ10" s="52">
        <f>AJ8+AJ9</f>
        <v>53.55588964961805</v>
      </c>
      <c r="AK10" s="52">
        <f>AK8+AK9</f>
        <v>62.22126649105891</v>
      </c>
      <c r="AL10" s="52">
        <f>AL8+AL9</f>
        <v>71.25899235009541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0.002</v>
      </c>
      <c r="P11" s="52" t="n">
        <v>0</v>
      </c>
      <c r="Q11" s="52" t="n">
        <v>0.003</v>
      </c>
      <c r="R11" s="52" t="n">
        <v>0.005</v>
      </c>
      <c r="S11" s="52" t="n">
        <v>-0.111</v>
      </c>
      <c r="T11" s="52" t="n">
        <v>-0.9350000000000001</v>
      </c>
      <c r="U11" s="52" t="n">
        <v>0</v>
      </c>
      <c r="V11" s="52" t="n">
        <v>0.008</v>
      </c>
      <c r="W11" s="52" t="n">
        <v>0.004</v>
      </c>
      <c r="X11" s="52" t="n">
        <v>0.133</v>
      </c>
      <c r="Y11" s="52" t="n">
        <v>0.075</v>
      </c>
      <c r="Z11" s="52" t="n">
        <v>0.701</v>
      </c>
      <c r="AA11" s="52" t="n">
        <v>0.161</v>
      </c>
      <c r="AB11" s="52" t="n">
        <v>3.771</v>
      </c>
      <c r="AC11" s="52">
        <f>MAX(0,AC10)*Assumptions!$E$14</f>
        <v>0.5242282049949992</v>
      </c>
      <c r="AD11" s="52">
        <f>MAX(0,AD10)*Assumptions!$E$14</f>
        <v>1.5692533030977578</v>
      </c>
      <c r="AE11" s="52">
        <f>MAX(0,AE10)*Assumptions!$E$14</f>
        <v>2.673149443078453</v>
      </c>
      <c r="AF11" s="52">
        <f>MAX(0,AF10)*Assumptions!$E$14</f>
        <v>3.8368268761106386</v>
      </c>
      <c r="AG11" s="52">
        <f>MAX(0,AG10)*Assumptions!$E$14</f>
        <v>5.06111166816689</v>
      </c>
      <c r="AH11" s="52">
        <f>MAX(0,AH10)*Assumptions!$E$14</f>
        <v>6.3467405816006135</v>
      </c>
      <c r="AI11" s="52">
        <f>MAX(0,AI10)*Assumptions!$E$14</f>
        <v>7.694356046213661</v>
      </c>
      <c r="AJ11" s="52">
        <f>MAX(0,AJ10)*Assumptions!$E$14</f>
        <v>9.10450124043507</v>
      </c>
      <c r="AK11" s="52">
        <f>MAX(0,AK10)*Assumptions!$E$14</f>
        <v>10.577615303480016</v>
      </c>
      <c r="AL11" s="52">
        <f>MAX(0,AL10)*Assumptions!$E$14</f>
        <v>12.11402869951622</v>
      </c>
    </row>
    <row r="12">
      <c r="A12" s="2" t="inlineStr">
        <is>
          <t>Net Income</t>
        </is>
      </c>
      <c r="B12" s="52" t="n">
        <v>-0.204</v>
      </c>
      <c r="C12" s="52" t="n">
        <v>-0.213</v>
      </c>
      <c r="D12" s="52" t="n">
        <v>-0.208</v>
      </c>
      <c r="E12" s="52" t="n">
        <v>-0.228</v>
      </c>
      <c r="F12" s="52" t="n">
        <v>-0.207</v>
      </c>
      <c r="G12" s="52" t="n">
        <v>-0.508</v>
      </c>
      <c r="H12" s="52" t="n">
        <v>-0.54</v>
      </c>
      <c r="I12" s="52" t="n">
        <v>-0.584</v>
      </c>
      <c r="J12" s="52" t="n">
        <v>-4.285</v>
      </c>
      <c r="K12" s="52" t="n">
        <v>-3.304</v>
      </c>
      <c r="L12" s="52" t="n">
        <v>-4.554</v>
      </c>
      <c r="M12" s="52" t="n">
        <v>-2.531</v>
      </c>
      <c r="N12" s="52" t="n">
        <v>-0.954</v>
      </c>
      <c r="O12" s="52" t="n">
        <v>-5.384</v>
      </c>
      <c r="P12" s="52" t="n">
        <v>-7.643</v>
      </c>
      <c r="Q12" s="52" t="n">
        <v>-10.118</v>
      </c>
      <c r="R12" s="52" t="n">
        <v>-15.899</v>
      </c>
      <c r="S12" s="52" t="n">
        <v>-19.087</v>
      </c>
      <c r="T12" s="52" t="n">
        <v>-11.985</v>
      </c>
      <c r="U12" s="52" t="n">
        <v>14.625</v>
      </c>
      <c r="V12" s="52" t="n">
        <v>0.168</v>
      </c>
      <c r="W12" s="52" t="n">
        <v>-3.357</v>
      </c>
      <c r="X12" s="52" t="n">
        <v>-18.007</v>
      </c>
      <c r="Y12" s="52" t="n">
        <v>-14.086</v>
      </c>
      <c r="Z12" s="52" t="n">
        <v>-24.411</v>
      </c>
      <c r="AA12" s="52" t="n">
        <v>-17.481</v>
      </c>
      <c r="AB12" s="52" t="n">
        <v>-5.139</v>
      </c>
      <c r="AC12" s="52">
        <f>AC10-AC11</f>
        <v>2.559467118504996</v>
      </c>
      <c r="AD12" s="52">
        <f>AD10-AD11</f>
        <v>7.6616484798302285</v>
      </c>
      <c r="AE12" s="52">
        <f>AE10-AE11</f>
        <v>13.051259045618329</v>
      </c>
      <c r="AF12" s="52">
        <f>AF10-AF11</f>
        <v>18.732742983363703</v>
      </c>
      <c r="AG12" s="52">
        <f>AG10-AG11</f>
        <v>24.710133438697166</v>
      </c>
      <c r="AH12" s="52">
        <f>AH10-AH11</f>
        <v>30.987027545461814</v>
      </c>
      <c r="AI12" s="52">
        <f>AI10-AI11</f>
        <v>37.56656187269022</v>
      </c>
      <c r="AJ12" s="52">
        <f>AJ10-AJ11</f>
        <v>44.45138840918298</v>
      </c>
      <c r="AK12" s="52">
        <f>AK10-AK11</f>
        <v>51.6436511875789</v>
      </c>
      <c r="AL12" s="52">
        <f>AL10-AL11</f>
        <v>59.14496365057919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-2.396984924623115</v>
      </c>
      <c r="O13" s="11">
        <f>IFERROR(O12/O14,0)</f>
        <v>-1.1980418335558525</v>
      </c>
      <c r="P13" s="11">
        <f>IFERROR(P12/P14,0)</f>
        <v>-0.8828693542797735</v>
      </c>
      <c r="Q13" s="11">
        <f>IFERROR(Q12/Q14,0)</f>
        <v>-1.1078506514836308</v>
      </c>
      <c r="R13" s="11">
        <f>IFERROR(R12/R14,0)</f>
        <v>-1.6602965747702587</v>
      </c>
      <c r="S13" s="11">
        <f>IFERROR(S12/S14,0)</f>
        <v>-1.4978419524444793</v>
      </c>
      <c r="T13" s="11">
        <f>IFERROR(T12/T14,0)</f>
        <v>-0.5984122228879569</v>
      </c>
      <c r="U13" s="11">
        <f>IFERROR(U12/U14,0)</f>
        <v>0.6141861246430371</v>
      </c>
      <c r="V13" s="11">
        <f>IFERROR(V12/V14,0)</f>
        <v>0.006347766946270687</v>
      </c>
      <c r="W13" s="11">
        <f>IFERROR(W12/W14,0)</f>
        <v>-0.12963892643367447</v>
      </c>
      <c r="X13" s="11">
        <f>IFERROR(X12/X14,0)</f>
        <v>-0.6729827708636993</v>
      </c>
      <c r="Y13" s="11">
        <f>IFERROR(Y12/Y14,0)</f>
        <v>-0.5129456319871819</v>
      </c>
      <c r="Z13" s="11">
        <f>IFERROR(Z12/Z14,0)</f>
        <v>-0.7484134040531012</v>
      </c>
      <c r="AA13" s="11">
        <f>IFERROR(AA12/AA14,0)</f>
        <v>-0.49033687694594824</v>
      </c>
      <c r="AB13" s="11">
        <f>IFERROR(AB12/AB14,0)</f>
        <v>-0.13979869423286181</v>
      </c>
      <c r="AC13" s="11">
        <f>IFERROR(AC12/AC14,0)</f>
        <v>0.06827457745656249</v>
      </c>
      <c r="AD13" s="11">
        <f>IFERROR(AD12/AD14,0)</f>
        <v>0.20437684422633542</v>
      </c>
      <c r="AE13" s="11">
        <f>IFERROR(AE12/AE14,0)</f>
        <v>0.34814637397499</v>
      </c>
      <c r="AF13" s="11">
        <f>IFERROR(AF12/AF14,0)</f>
        <v>0.4997017162457624</v>
      </c>
      <c r="AG13" s="11">
        <f>IFERROR(AG12/AG14,0)</f>
        <v>0.6591504564464797</v>
      </c>
      <c r="AH13" s="11">
        <f>IFERROR(AH12/AH14,0)</f>
        <v>0.8265885492356007</v>
      </c>
      <c r="AI13" s="11">
        <f>IFERROR(AI12/AI14,0)</f>
        <v>1.0020996635627335</v>
      </c>
      <c r="AJ13" s="11">
        <f>IFERROR(AJ12/AJ14,0)</f>
        <v>1.185754542049837</v>
      </c>
      <c r="AK13" s="11">
        <f>IFERROR(AK12/AK14,0)</f>
        <v>1.3776103774310582</v>
      </c>
      <c r="AL13" s="11">
        <f>IFERROR(AL12/AL14,0)</f>
        <v>1.5777102087897596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>
        <v>0.398</v>
      </c>
      <c r="O14" s="52" t="n">
        <v>4.494</v>
      </c>
      <c r="P14" s="52" t="n">
        <v>8.657</v>
      </c>
      <c r="Q14" s="52" t="n">
        <v>9.132999999999999</v>
      </c>
      <c r="R14" s="52" t="n">
        <v>9.576000000000001</v>
      </c>
      <c r="S14" s="52" t="n">
        <v>12.743</v>
      </c>
      <c r="T14" s="52" t="n">
        <v>20.028</v>
      </c>
      <c r="U14" s="52" t="n">
        <v>23.812</v>
      </c>
      <c r="V14" s="52" t="n">
        <v>26.466</v>
      </c>
      <c r="W14" s="52" t="n">
        <v>25.895</v>
      </c>
      <c r="X14" s="52" t="n">
        <v>26.757</v>
      </c>
      <c r="Y14" s="52" t="n">
        <v>27.461</v>
      </c>
      <c r="Z14" s="52" t="n">
        <v>32.617</v>
      </c>
      <c r="AA14" s="52" t="n">
        <v>35.651</v>
      </c>
      <c r="AB14" s="52" t="n">
        <v>36.76</v>
      </c>
      <c r="AC14" s="52">
        <f>Main!$C$4</f>
        <v>37.48785</v>
      </c>
      <c r="AD14" s="52">
        <f>Main!$C$4</f>
        <v>37.48785</v>
      </c>
      <c r="AE14" s="52">
        <f>Main!$C$4</f>
        <v>37.48785</v>
      </c>
      <c r="AF14" s="52">
        <f>Main!$C$4</f>
        <v>37.48785</v>
      </c>
      <c r="AG14" s="52">
        <f>Main!$C$4</f>
        <v>37.48785</v>
      </c>
      <c r="AH14" s="52">
        <f>Main!$C$4</f>
        <v>37.48785</v>
      </c>
      <c r="AI14" s="52">
        <f>Main!$C$4</f>
        <v>37.48785</v>
      </c>
      <c r="AJ14" s="52">
        <f>Main!$C$4</f>
        <v>37.48785</v>
      </c>
      <c r="AK14" s="52">
        <f>Main!$C$4</f>
        <v>37.48785</v>
      </c>
      <c r="AL14" s="52">
        <f>Main!$C$4</f>
        <v>37.48785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>165.0</v>
      </c>
      <c r="R16" s="15">
        <f>IFERROR(R2/Q2-1,"")</f>
        <v>4.853012048192771</v>
      </c>
      <c r="S16" s="15">
        <f>IFERROR(S2/R2-1,"")</f>
        <v>1.0524907369287773</v>
      </c>
      <c r="T16" s="15">
        <f>IFERROR(T2/S2-1,"")</f>
        <v>0.34259352121151343</v>
      </c>
      <c r="U16" s="15">
        <f>IFERROR(U2/T2-1,"")</f>
        <v>0.5452304474490177</v>
      </c>
      <c r="V16" s="15">
        <f>IFERROR(V2/U2-1,"")</f>
        <v>0.23670598472396787</v>
      </c>
      <c r="W16" s="15">
        <f>IFERROR(W2/V2-1,"")</f>
        <v>-0.0448353366559171</v>
      </c>
      <c r="X16" s="15">
        <f>IFERROR(X2/W2-1,"")</f>
        <v>0.4830062818440384</v>
      </c>
      <c r="Y16" s="15">
        <f>IFERROR(Y2/X2-1,"")</f>
        <v>0.2224046580937138</v>
      </c>
      <c r="Z16" s="15">
        <f>IFERROR(Z2/Y2-1,"")</f>
        <v>0.46952988317625155</v>
      </c>
      <c r="AA16" s="15">
        <f>IFERROR(AA2/Z2-1,"")</f>
        <v>0.5332160715245826</v>
      </c>
      <c r="AB16" s="15">
        <f>IFERROR(AB2/AA2-1,"")</f>
        <v>0.3641478052641598</v>
      </c>
      <c r="AC16" s="15">
        <f>IFERROR(AC2/AB2-1,"")</f>
        <v>0.02950000000000008</v>
      </c>
      <c r="AD16" s="15">
        <f>IFERROR(AD2/AC2-1,"")</f>
        <v>0.028999999999999915</v>
      </c>
      <c r="AE16" s="15">
        <f>IFERROR(AE2/AD2-1,"")</f>
        <v>0.02849999999999997</v>
      </c>
      <c r="AF16" s="15">
        <f>IFERROR(AF2/AE2-1,"")</f>
        <v>0.028000000000000025</v>
      </c>
      <c r="AG16" s="15">
        <f>IFERROR(AG2/AF2-1,"")</f>
        <v>0.02750000000000008</v>
      </c>
      <c r="AH16" s="15">
        <f>IFERROR(AH2/AG2-1,"")</f>
        <v>0.026999999999999913</v>
      </c>
      <c r="AI16" s="15">
        <f>IFERROR(AI2/AH2-1,"")</f>
        <v>0.026499999999999968</v>
      </c>
      <c r="AJ16" s="15">
        <f>IFERROR(AJ2/AI2-1,"")</f>
        <v>0.026000000000000023</v>
      </c>
      <c r="AK16" s="15">
        <f>IFERROR(AK2/AJ2-1,"")</f>
        <v>0.025500000000000078</v>
      </c>
      <c r="AL16" s="15">
        <f>IFERROR(AL2/AK2-1,"")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0.4955927392246209</v>
      </c>
      <c r="U17" s="15">
        <f>IFERROR(U4/U2,"")</f>
        <v>0.6006719520448612</v>
      </c>
      <c r="V17" s="15">
        <f>IFERROR(V4/V2,"")</f>
        <v>0.6726473175021987</v>
      </c>
      <c r="W17" s="15">
        <f>IFERROR(W4/W2,"")</f>
        <v>0.7040576210840784</v>
      </c>
      <c r="X17" s="15">
        <f>IFERROR(X4/X2,"")</f>
        <v>0.7486892212594514</v>
      </c>
      <c r="Y17" s="15">
        <f>IFERROR(Y4/Y2,"")</f>
        <v>0.7134939895027936</v>
      </c>
      <c r="Z17" s="15">
        <f>IFERROR(Z4/Z2,"")</f>
        <v>0.6955289454886208</v>
      </c>
      <c r="AA17" s="15">
        <f>IFERROR(AA4/AA2,"")</f>
        <v>0.753298866812949</v>
      </c>
      <c r="AB17" s="15">
        <f>IFERROR(AB4/AB2,"")</f>
        <v>0.7505205598175562</v>
      </c>
      <c r="AC17" s="15">
        <f>IFERROR(AC4/AC2,"")</f>
        <v>0.7505</v>
      </c>
      <c r="AD17" s="15">
        <f>IFERROR(AD4/AD2,"")</f>
        <v>0.7505</v>
      </c>
      <c r="AE17" s="15">
        <f>IFERROR(AE4/AE2,"")</f>
        <v>0.7505</v>
      </c>
      <c r="AF17" s="15">
        <f>IFERROR(AF4/AF2,"")</f>
        <v>0.7505</v>
      </c>
      <c r="AG17" s="15">
        <f>IFERROR(AG4/AG2,"")</f>
        <v>0.7505</v>
      </c>
      <c r="AH17" s="15">
        <f>IFERROR(AH4/AH2,"")</f>
        <v>0.7505</v>
      </c>
      <c r="AI17" s="15">
        <f>IFERROR(AI4/AI2,"")</f>
        <v>0.7505</v>
      </c>
      <c r="AJ17" s="15">
        <f>IFERROR(AJ4/AJ2,"")</f>
        <v>0.7505</v>
      </c>
      <c r="AK17" s="15">
        <f>IFERROR(AK4/AK2,"")</f>
        <v>0.7505000000000001</v>
      </c>
      <c r="AL17" s="15">
        <f>IFERROR(AL4/AL2,"")</f>
        <v>0.7505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>-768.7</v>
      </c>
      <c r="Q18" s="15">
        <f>IFERROR(Q8/Q2,"")</f>
        <v>-6.112650602409639</v>
      </c>
      <c r="R18" s="15">
        <f>IFERROR(R8/R2,"")</f>
        <v>-1.525524907369288</v>
      </c>
      <c r="S18" s="15">
        <f>IFERROR(S8/S2,"")</f>
        <v>-0.7964095878046333</v>
      </c>
      <c r="T18" s="15">
        <f>IFERROR(T8/T2,"")</f>
        <v>-0.4542840068723388</v>
      </c>
      <c r="U18" s="15">
        <f>IFERROR(U8/U2,"")</f>
        <v>-0.1260997776273808</v>
      </c>
      <c r="V18" s="15">
        <f>IFERROR(V8/V2,"")</f>
        <v>-0.0937164077005766</v>
      </c>
      <c r="W18" s="15">
        <f>IFERROR(W8/W2,"")</f>
        <v>0.007877882588856482</v>
      </c>
      <c r="X18" s="15">
        <f>IFERROR(X8/X2,"")</f>
        <v>0.02226944091837304</v>
      </c>
      <c r="Y18" s="15">
        <f>IFERROR(Y8/Y2,"")</f>
        <v>0.021660364580393974</v>
      </c>
      <c r="Z18" s="15">
        <f>IFERROR(Z8/Z2,"")</f>
        <v>0.0033104698409285563</v>
      </c>
      <c r="AA18" s="15">
        <f>IFERROR(AA8/AA2,"")</f>
        <v>0.04419529692306152</v>
      </c>
      <c r="AB18" s="15">
        <f>IFERROR(AB8/AB2,"")</f>
        <v>0.11206266548660872</v>
      </c>
      <c r="AC18" s="15">
        <f>IFERROR(AC8/AC2,"")</f>
        <v>0.010999999999999984</v>
      </c>
      <c r="AD18" s="15">
        <f>IFERROR(AD8/AD2,"")</f>
        <v>0.03199999999999996</v>
      </c>
      <c r="AE18" s="15">
        <f>IFERROR(AE8/AE2,"")</f>
        <v>0.05300000000000004</v>
      </c>
      <c r="AF18" s="15">
        <f>IFERROR(AF8/AF2,"")</f>
        <v>0.07399999999999997</v>
      </c>
      <c r="AG18" s="15">
        <f>IFERROR(AG8/AG2,"")</f>
        <v>0.09499999999999999</v>
      </c>
      <c r="AH18" s="15">
        <f>IFERROR(AH8/AH2,"")</f>
        <v>0.11600000000000003</v>
      </c>
      <c r="AI18" s="15">
        <f>IFERROR(AI8/AI2,"")</f>
        <v>0.137</v>
      </c>
      <c r="AJ18" s="15">
        <f>IFERROR(AJ8/AJ2,"")</f>
        <v>0.15800000000000006</v>
      </c>
      <c r="AK18" s="15">
        <f>IFERROR(AK8/AK2,"")</f>
        <v>0.17899999999999996</v>
      </c>
      <c r="AL18" s="15">
        <f>IFERROR(AL8/AL2,"")</f>
        <v>0.2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  <c r="AB19" s="20" t="inlineStr">
        <is>
          <t>A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  <c r="AF19" s="20" t="inlineStr">
        <is>
          <t>E</t>
        </is>
      </c>
      <c r="AG19" s="20" t="inlineStr">
        <is>
          <t>E</t>
        </is>
      </c>
      <c r="AH19" s="20" t="inlineStr">
        <is>
          <t>E</t>
        </is>
      </c>
      <c r="AI19" s="20" t="inlineStr">
        <is>
          <t>E</t>
        </is>
      </c>
      <c r="AJ19" s="20" t="inlineStr">
        <is>
          <t>E</t>
        </is>
      </c>
      <c r="AK19" s="20" t="inlineStr">
        <is>
          <t>E</t>
        </is>
      </c>
      <c r="AL19" s="20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17" t="inlineStr">
        <is>
          <t>Harrow,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17" t="inlineStr">
        <is>
          <t>Scenario (1 Bear, 2 Base, 3 Bull)</t>
        </is>
      </c>
      <c r="B4" s="22" t="n">
        <v>2</v>
      </c>
      <c r="C4" s="17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-0.0205</v>
      </c>
      <c r="C12" s="53" t="n">
        <v>0.0295</v>
      </c>
      <c r="D12" s="53" t="n">
        <v>0.0795</v>
      </c>
      <c r="E12" s="54">
        <f>CHOOSE($B$4,B12,C12,D12)</f>
        <v>0.0295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-0.01</v>
      </c>
    </row>
    <row r="19">
      <c r="A19" s="14" t="inlineStr">
        <is>
          <t>Gross margin (forecast)</t>
        </is>
      </c>
      <c r="B19" s="53" t="n">
        <v>0.7504999999999999</v>
      </c>
    </row>
    <row r="20">
      <c r="A20" s="14" t="inlineStr">
        <is>
          <t>R&amp;D share of operating expense (forecast)</t>
        </is>
      </c>
      <c r="B20" s="53" t="n">
        <v>0.1204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Model'!AB2</f>
        <v>272.303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396.28887167490774</v>
      </c>
      <c r="C29" s="56">
        <f>NPV!B26</f>
        <v>187.79887167490773</v>
      </c>
      <c r="D29" s="35">
        <f>NPV!B28</f>
        <v>5.009593019469181</v>
      </c>
      <c r="E29" s="57">
        <f>NPV!B30</f>
        <v>-0.8215321332572433</v>
      </c>
    </row>
    <row r="30">
      <c r="A30" s="58" t="n">
        <v>1</v>
      </c>
      <c r="B30" s="59">
        <f t="dataTable" ref="B30:E32" r1="B4"/>
        <v>200.33529810922198</v>
      </c>
      <c r="C30" s="59">
        <v>-8.154701890778028</v>
      </c>
      <c r="D30" s="39">
        <v>-0.21752919654709535</v>
      </c>
      <c r="E30" s="60">
        <v>-1.0077495260615281</v>
      </c>
    </row>
    <row r="31">
      <c r="A31" s="58" t="n">
        <v>2</v>
      </c>
      <c r="B31" s="59">
        <v>396.28887167490774</v>
      </c>
      <c r="C31" s="59">
        <v>187.79887167490773</v>
      </c>
      <c r="D31" s="39">
        <v>5.009593019469181</v>
      </c>
      <c r="E31" s="60">
        <v>-0.8215321332572433</v>
      </c>
    </row>
    <row r="32">
      <c r="A32" s="58" t="n">
        <v>3</v>
      </c>
      <c r="B32" s="59">
        <v>775.7770916682925</v>
      </c>
      <c r="C32" s="59">
        <v>567.2870916682925</v>
      </c>
      <c r="D32" s="39">
        <v>15.132558726848632</v>
      </c>
      <c r="E32" s="60">
        <v>-0.4608992259761798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5.009593019469181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7.361987206700223</v>
      </c>
      <c r="C37" s="39">
        <v>8.218819215165759</v>
      </c>
      <c r="D37" s="39">
        <v>9.208196309868644</v>
      </c>
      <c r="E37" s="39">
        <v>10.363267057674236</v>
      </c>
      <c r="F37" s="39">
        <v>11.729234248448785</v>
      </c>
    </row>
    <row r="38">
      <c r="A38" s="62" t="n">
        <v>0.1</v>
      </c>
      <c r="B38" s="39">
        <v>5.468687231142913</v>
      </c>
      <c r="C38" s="39">
        <v>6.099655753321107</v>
      </c>
      <c r="D38" s="39">
        <v>6.8153427171060965</v>
      </c>
      <c r="E38" s="39">
        <v>7.633911844859328</v>
      </c>
      <c r="F38" s="39">
        <v>8.57911585278615</v>
      </c>
    </row>
    <row r="39">
      <c r="A39" s="62" t="n">
        <v>0.11</v>
      </c>
      <c r="B39" s="39">
        <v>3.9952585564568346</v>
      </c>
      <c r="C39" s="39">
        <v>4.474018856576888</v>
      </c>
      <c r="D39" s="39">
        <v>5.009593019469181</v>
      </c>
      <c r="E39" s="39">
        <v>5.6126415837630645</v>
      </c>
      <c r="F39" s="39">
        <v>6.296668024294739</v>
      </c>
    </row>
    <row r="40">
      <c r="A40" s="62" t="n">
        <v>0.12</v>
      </c>
      <c r="B40" s="39">
        <v>2.8201369920892105</v>
      </c>
      <c r="C40" s="39">
        <v>3.192152452469293</v>
      </c>
      <c r="D40" s="39">
        <v>3.603740170901292</v>
      </c>
      <c r="E40" s="39">
        <v>4.0615020883308866</v>
      </c>
      <c r="F40" s="39">
        <v>4.57359364701289</v>
      </c>
    </row>
    <row r="41">
      <c r="A41" s="62" t="n">
        <v>0.13</v>
      </c>
      <c r="B41" s="39">
        <v>1.864185852431525</v>
      </c>
      <c r="C41" s="39">
        <v>2.1589100821388736</v>
      </c>
      <c r="D41" s="39">
        <v>2.482056359391476</v>
      </c>
      <c r="E41" s="39">
        <v>2.8378934960395923</v>
      </c>
      <c r="F41" s="39">
        <v>3.2315890874316255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17" t="inlineStr">
        <is>
          <t>Harrow, Inc.: free-cash-flow DCF ($mm)</t>
        </is>
      </c>
    </row>
    <row r="3">
      <c r="A3" s="17" t="inlineStr">
        <is>
          <t>Fiscal year</t>
        </is>
      </c>
      <c r="B3" s="43">
        <f>'Yearly Model'!AB1</f>
        <v>2025</v>
      </c>
      <c r="C3" s="43">
        <f>'Yearly Model'!AC1</f>
        <v>2026</v>
      </c>
      <c r="D3" s="43">
        <f>'Yearly Model'!AD1</f>
        <v>2027</v>
      </c>
      <c r="E3" s="43">
        <f>'Yearly Model'!AE1</f>
        <v>2028</v>
      </c>
      <c r="F3" s="43">
        <f>'Yearly Model'!AF1</f>
        <v>2029</v>
      </c>
      <c r="G3" s="43">
        <f>'Yearly Model'!AG1</f>
        <v>2030</v>
      </c>
      <c r="H3" s="43">
        <f>'Yearly Model'!AH1</f>
        <v>2031</v>
      </c>
      <c r="I3" s="43">
        <f>'Yearly Model'!AI1</f>
        <v>2032</v>
      </c>
      <c r="J3" s="43">
        <f>'Yearly Model'!AJ1</f>
        <v>2033</v>
      </c>
      <c r="K3" s="43">
        <f>'Yearly Model'!AK1</f>
        <v>2034</v>
      </c>
      <c r="L3" s="43">
        <f>'Yearly Model'!AL1</f>
        <v>2035</v>
      </c>
    </row>
    <row r="4">
      <c r="A4" s="14" t="inlineStr">
        <is>
          <t>Period</t>
        </is>
      </c>
      <c r="B4" s="20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0.0295</v>
      </c>
      <c r="D5" s="63">
        <f>Assumptions!$E$12+(Assumptions!$E$11-Assumptions!$E$12)*(D4-1)/(Assumptions!$B$21-1)</f>
        <v>0.028999999999999998</v>
      </c>
      <c r="E5" s="63">
        <f>Assumptions!$E$12+(Assumptions!$E$11-Assumptions!$E$12)*(E4-1)/(Assumptions!$B$21-1)</f>
        <v>0.028499999999999998</v>
      </c>
      <c r="F5" s="63">
        <f>Assumptions!$E$12+(Assumptions!$E$11-Assumptions!$E$12)*(F4-1)/(Assumptions!$B$21-1)</f>
        <v>0.028</v>
      </c>
      <c r="G5" s="63">
        <f>Assumptions!$E$12+(Assumptions!$E$11-Assumptions!$E$12)*(G4-1)/(Assumptions!$B$21-1)</f>
        <v>0.0275</v>
      </c>
      <c r="H5" s="63">
        <f>Assumptions!$E$12+(Assumptions!$E$11-Assumptions!$E$12)*(H4-1)/(Assumptions!$B$21-1)</f>
        <v>0.027</v>
      </c>
      <c r="I5" s="63">
        <f>Assumptions!$E$12+(Assumptions!$E$11-Assumptions!$E$12)*(I4-1)/(Assumptions!$B$21-1)</f>
        <v>0.0265</v>
      </c>
      <c r="J5" s="63">
        <f>Assumptions!$E$12+(Assumptions!$E$11-Assumptions!$E$12)*(J4-1)/(Assumptions!$B$21-1)</f>
        <v>0.026000000000000002</v>
      </c>
      <c r="K5" s="63">
        <f>Assumptions!$E$12+(Assumptions!$E$11-Assumptions!$E$12)*(K4-1)/(Assumptions!$B$21-1)</f>
        <v>0.025500000000000002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0.11206266548660872</v>
      </c>
      <c r="C6" s="63">
        <f>Assumptions!$B$18+(Assumptions!$E$13-Assumptions!$B$18)*C4/Assumptions!$B$21</f>
        <v>0.011000000000000001</v>
      </c>
      <c r="D6" s="63">
        <f>Assumptions!$B$18+(Assumptions!$E$13-Assumptions!$B$18)*D4/Assumptions!$B$21</f>
        <v>0.032</v>
      </c>
      <c r="E6" s="63">
        <f>Assumptions!$B$18+(Assumptions!$E$13-Assumptions!$B$18)*E4/Assumptions!$B$21</f>
        <v>0.05300000000000001</v>
      </c>
      <c r="F6" s="63">
        <f>Assumptions!$B$18+(Assumptions!$E$13-Assumptions!$B$18)*F4/Assumptions!$B$21</f>
        <v>0.07400000000000001</v>
      </c>
      <c r="G6" s="63">
        <f>Assumptions!$B$18+(Assumptions!$E$13-Assumptions!$B$18)*G4/Assumptions!$B$21</f>
        <v>0.09500000000000001</v>
      </c>
      <c r="H6" s="63">
        <f>Assumptions!$B$18+(Assumptions!$E$13-Assumptions!$B$18)*H4/Assumptions!$B$21</f>
        <v>0.11600000000000003</v>
      </c>
      <c r="I6" s="63">
        <f>Assumptions!$B$18+(Assumptions!$E$13-Assumptions!$B$18)*I4/Assumptions!$B$21</f>
        <v>0.137</v>
      </c>
      <c r="J6" s="63">
        <f>Assumptions!$B$18+(Assumptions!$E$13-Assumptions!$B$18)*J4/Assumptions!$B$21</f>
        <v>0.158</v>
      </c>
      <c r="K6" s="63">
        <f>Assumptions!$B$18+(Assumptions!$E$13-Assumptions!$B$18)*K4/Assumptions!$B$21</f>
        <v>0.179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Model'!AB2</f>
        <v>272.303</v>
      </c>
      <c r="C7" s="55">
        <f>'Yearly Model'!AC2</f>
        <v>280.3359385</v>
      </c>
      <c r="D7" s="55">
        <f>'Yearly Model'!AD2</f>
        <v>288.46568071649995</v>
      </c>
      <c r="E7" s="55">
        <f>'Yearly Model'!AE2</f>
        <v>296.68695261692017</v>
      </c>
      <c r="F7" s="55">
        <f>'Yearly Model'!AF2</f>
        <v>304.99418729019396</v>
      </c>
      <c r="G7" s="55">
        <f>'Yearly Model'!AG2</f>
        <v>313.38152744067435</v>
      </c>
      <c r="H7" s="55">
        <f>'Yearly Model'!AH2</f>
        <v>321.84282868157254</v>
      </c>
      <c r="I7" s="55">
        <f>'Yearly Model'!AI2</f>
        <v>330.3716636416342</v>
      </c>
      <c r="J7" s="55">
        <f>'Yearly Model'!AJ2</f>
        <v>338.9613268963167</v>
      </c>
      <c r="K7" s="55">
        <f>'Yearly Model'!AK2</f>
        <v>347.60484073217276</v>
      </c>
      <c r="L7" s="55">
        <f>'Yearly Model'!AL2</f>
        <v>356.29496175047706</v>
      </c>
    </row>
    <row r="8">
      <c r="A8" s="14" t="inlineStr">
        <is>
          <t>Operating income</t>
        </is>
      </c>
      <c r="B8" s="55">
        <f>'Yearly Model'!AB8</f>
        <v>30.515000000000015</v>
      </c>
      <c r="C8" s="55">
        <f>'Yearly Model'!AC8</f>
        <v>3.0836953234999953</v>
      </c>
      <c r="D8" s="55">
        <f>'Yearly Model'!AD8</f>
        <v>9.230901782927987</v>
      </c>
      <c r="E8" s="55">
        <f>'Yearly Model'!AE8</f>
        <v>15.724408488696781</v>
      </c>
      <c r="F8" s="55">
        <f>'Yearly Model'!AF8</f>
        <v>22.569569859474342</v>
      </c>
      <c r="G8" s="55">
        <f>'Yearly Model'!AG8</f>
        <v>29.771245106864058</v>
      </c>
      <c r="H8" s="55">
        <f>'Yearly Model'!AH8</f>
        <v>37.33376812706243</v>
      </c>
      <c r="I8" s="55">
        <f>'Yearly Model'!AI8</f>
        <v>45.260917918903885</v>
      </c>
      <c r="J8" s="55">
        <f>'Yearly Model'!AJ8</f>
        <v>53.55588964961805</v>
      </c>
      <c r="K8" s="55">
        <f>'Yearly Model'!AK8</f>
        <v>62.22126649105891</v>
      </c>
      <c r="L8" s="55">
        <f>'Yearly Model'!AL8</f>
        <v>71.25899235009541</v>
      </c>
    </row>
    <row r="9">
      <c r="A9" s="14" t="inlineStr">
        <is>
          <t>Tax on operating income</t>
        </is>
      </c>
      <c r="C9" s="52">
        <f>MAX(0,C8)*Assumptions!$E$14</f>
        <v>0.5242282049949992</v>
      </c>
      <c r="D9" s="52">
        <f>MAX(0,D8)*Assumptions!$E$14</f>
        <v>1.5692533030977578</v>
      </c>
      <c r="E9" s="52">
        <f>MAX(0,E8)*Assumptions!$E$14</f>
        <v>2.673149443078453</v>
      </c>
      <c r="F9" s="52">
        <f>MAX(0,F8)*Assumptions!$E$14</f>
        <v>3.8368268761106386</v>
      </c>
      <c r="G9" s="52">
        <f>MAX(0,G8)*Assumptions!$E$14</f>
        <v>5.06111166816689</v>
      </c>
      <c r="H9" s="52">
        <f>MAX(0,H8)*Assumptions!$E$14</f>
        <v>6.3467405816006135</v>
      </c>
      <c r="I9" s="52">
        <f>MAX(0,I8)*Assumptions!$E$14</f>
        <v>7.694356046213661</v>
      </c>
      <c r="J9" s="52">
        <f>MAX(0,J8)*Assumptions!$E$14</f>
        <v>9.10450124043507</v>
      </c>
      <c r="K9" s="52">
        <f>MAX(0,K8)*Assumptions!$E$14</f>
        <v>10.577615303480016</v>
      </c>
      <c r="L9" s="52">
        <f>MAX(0,L8)*Assumptions!$E$14</f>
        <v>12.11402869951622</v>
      </c>
    </row>
    <row r="10">
      <c r="A10" s="14" t="inlineStr">
        <is>
          <t>NOPAT</t>
        </is>
      </c>
      <c r="C10" s="52">
        <f>C8-C9</f>
        <v>2.559467118504996</v>
      </c>
      <c r="D10" s="52">
        <f>D8-D9</f>
        <v>7.6616484798302285</v>
      </c>
      <c r="E10" s="52">
        <f>E8-E9</f>
        <v>13.051259045618329</v>
      </c>
      <c r="F10" s="52">
        <f>F8-F9</f>
        <v>18.732742983363703</v>
      </c>
      <c r="G10" s="52">
        <f>G8-G9</f>
        <v>24.710133438697166</v>
      </c>
      <c r="H10" s="52">
        <f>H8-H9</f>
        <v>30.987027545461814</v>
      </c>
      <c r="I10" s="52">
        <f>I8-I9</f>
        <v>37.56656187269022</v>
      </c>
      <c r="J10" s="52">
        <f>J8-J9</f>
        <v>44.45138840918298</v>
      </c>
      <c r="K10" s="52">
        <f>K8-K9</f>
        <v>51.6436511875789</v>
      </c>
      <c r="L10" s="52">
        <f>L8-L9</f>
        <v>59.14496365057919</v>
      </c>
    </row>
    <row r="11">
      <c r="A11" s="14" t="inlineStr">
        <is>
          <t>Reinvestment</t>
        </is>
      </c>
      <c r="C11" s="52">
        <f>(C7-B7)*Assumptions!$E$15</f>
        <v>2.008234625</v>
      </c>
      <c r="D11" s="52">
        <f>(D7-C7)*Assumptions!$E$15</f>
        <v>2.032435554124987</v>
      </c>
      <c r="E11" s="52">
        <f>(E7-D7)*Assumptions!$E$15</f>
        <v>2.055317975105055</v>
      </c>
      <c r="F11" s="52">
        <f>(F7-E7)*Assumptions!$E$15</f>
        <v>2.0768086683184492</v>
      </c>
      <c r="G11" s="52">
        <f>(G7-F7)*Assumptions!$E$15</f>
        <v>2.096835037620096</v>
      </c>
      <c r="H11" s="52">
        <f>(H7-G7)*Assumptions!$E$15</f>
        <v>2.1153253102245486</v>
      </c>
      <c r="I11" s="52">
        <f>(I7-H7)*Assumptions!$E$15</f>
        <v>2.1322087400154146</v>
      </c>
      <c r="J11" s="52">
        <f>(J7-I7)*Assumptions!$E$15</f>
        <v>2.1474158136706194</v>
      </c>
      <c r="K11" s="52">
        <f>(K7-J7)*Assumptions!$E$15</f>
        <v>2.160878458964021</v>
      </c>
      <c r="L11" s="52">
        <f>(L7-K7)*Assumptions!$E$15</f>
        <v>2.172530254576074</v>
      </c>
    </row>
    <row r="12">
      <c r="A12" s="17" t="inlineStr">
        <is>
          <t>Free cash flow</t>
        </is>
      </c>
      <c r="C12" s="64">
        <f>C10-C11</f>
        <v>0.5512324935049961</v>
      </c>
      <c r="D12" s="64">
        <f>D10-D11</f>
        <v>5.629212925705241</v>
      </c>
      <c r="E12" s="64">
        <f>E10-E11</f>
        <v>10.995941070513274</v>
      </c>
      <c r="F12" s="64">
        <f>F10-F11</f>
        <v>16.655934315045254</v>
      </c>
      <c r="G12" s="64">
        <f>G10-G11</f>
        <v>22.61329840107707</v>
      </c>
      <c r="H12" s="64">
        <f>H10-H11</f>
        <v>28.871702235237265</v>
      </c>
      <c r="I12" s="64">
        <f>I10-I11</f>
        <v>35.43435313267481</v>
      </c>
      <c r="J12" s="64">
        <f>J10-J11</f>
        <v>42.30397259551236</v>
      </c>
      <c r="K12" s="64">
        <f>K10-K11</f>
        <v>49.482772728614876</v>
      </c>
      <c r="L12" s="64">
        <f>L10-L11</f>
        <v>56.97243339600312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17" t="inlineStr">
        <is>
          <t>PV of free cash flow</t>
        </is>
      </c>
      <c r="C16" s="64">
        <f>C12*C13*C15</f>
        <v>0.2706623515146647</v>
      </c>
      <c r="D16" s="64">
        <f>D12*D13*D15</f>
        <v>5.069193545459989</v>
      </c>
      <c r="E16" s="64">
        <f>E12*E13*E15</f>
        <v>8.920734661922255</v>
      </c>
      <c r="F16" s="64">
        <f>F12*F13*F15</f>
        <v>12.173465769565984</v>
      </c>
      <c r="G16" s="64">
        <f>G12*G13*G15</f>
        <v>14.889707771652237</v>
      </c>
      <c r="H16" s="64">
        <f>H12*H13*H15</f>
        <v>17.126620395931536</v>
      </c>
      <c r="I16" s="64">
        <f>I12*I13*I15</f>
        <v>18.9365479558566</v>
      </c>
      <c r="J16" s="64">
        <f>J12*J13*J15</f>
        <v>20.36734764952819</v>
      </c>
      <c r="K16" s="64">
        <f>K12*K13*K15</f>
        <v>21.462700856345393</v>
      </c>
      <c r="L16" s="64">
        <f>L12*L13*L15</f>
        <v>22.262407914077887</v>
      </c>
    </row>
    <row r="19">
      <c r="A19" s="14" t="inlineStr">
        <is>
          <t>PV of forecast free cash flow</t>
        </is>
      </c>
      <c r="B19" s="52">
        <f>SUM(C16:L16)</f>
        <v>141.47938887185475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58.39674423090318</v>
      </c>
    </row>
    <row r="21">
      <c r="A21" s="14" t="inlineStr">
        <is>
          <t>Terminal value</t>
        </is>
      </c>
      <c r="B21" s="52">
        <f>B20/(Assumptions!$E$10-Assumptions!$E$11)</f>
        <v>687.0205203635669</v>
      </c>
    </row>
    <row r="22">
      <c r="A22" s="14" t="inlineStr">
        <is>
          <t>PV of terminal value</t>
        </is>
      </c>
      <c r="B22" s="52">
        <f>B21/(1+Assumptions!$E$10)^(L14+0.5)</f>
        <v>254.809482803053</v>
      </c>
    </row>
    <row r="23">
      <c r="A23" s="17" t="inlineStr">
        <is>
          <t>Enterprise value</t>
        </is>
      </c>
      <c r="B23" s="66">
        <f>B19+B22</f>
        <v>396.28887167490774</v>
      </c>
    </row>
    <row r="24">
      <c r="A24" s="14" t="inlineStr">
        <is>
          <t>Cash &amp; investments</t>
        </is>
      </c>
      <c r="B24" s="55">
        <f>Main!C7</f>
        <v>83.889</v>
      </c>
    </row>
    <row r="25">
      <c r="A25" s="14" t="inlineStr">
        <is>
          <t>Debt</t>
        </is>
      </c>
      <c r="B25" s="55">
        <f>Main!C8</f>
        <v>292.379</v>
      </c>
    </row>
    <row r="26">
      <c r="A26" s="17" t="inlineStr">
        <is>
          <t>Equity value</t>
        </is>
      </c>
      <c r="B26" s="66">
        <f>B23+B24-B25</f>
        <v>187.79887167490773</v>
      </c>
    </row>
    <row r="27">
      <c r="A27" s="14" t="inlineStr">
        <is>
          <t>Shares (mm)</t>
        </is>
      </c>
      <c r="B27" s="55">
        <f>Main!C4</f>
        <v>37.48785</v>
      </c>
    </row>
    <row r="28">
      <c r="A28" s="17" t="inlineStr">
        <is>
          <t>NPV / share</t>
        </is>
      </c>
      <c r="B28" s="49">
        <f>B26/B27</f>
        <v>5.009593019469181</v>
      </c>
    </row>
    <row r="29">
      <c r="A29" s="14" t="inlineStr">
        <is>
          <t>Price</t>
        </is>
      </c>
      <c r="B29" s="50">
        <f>Main!C3</f>
        <v>28.07</v>
      </c>
    </row>
    <row r="30">
      <c r="A30" s="14" t="inlineStr">
        <is>
          <t>Upside</t>
        </is>
      </c>
      <c r="B30" s="63">
        <f>B28/B29-1</f>
        <v>-0.8215321332572433</v>
      </c>
    </row>
    <row r="31">
      <c r="A31" s="14" t="inlineStr">
        <is>
          <t>Terminal value, % of EV</t>
        </is>
      </c>
      <c r="B31" s="63">
        <f>IFERROR(B22/B23,0)</f>
        <v>0.642989246016688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2026-10-21T01:04:50Z</dcterms:modified>
  <cp:lastModifiedBy>Wang, Eric</cp:lastModifiedBy>
</cp:coreProperties>
</file>