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Pharming Group N.V.</t>
        </is>
      </c>
      <c r="C2" s="10" t="n"/>
    </row>
    <row r="3">
      <c r="B3" t="inlineStr">
        <is>
          <t>Price</t>
        </is>
      </c>
      <c r="C3" s="11">
        <f>INDEX([1]Pharma!$F$1:$F$1000,MATCH("PHAR",[1]Pharma!$B$1:$B$1000,0))</f>
        <v>9.75</v>
      </c>
      <c r="F3" s="1" t="n"/>
    </row>
    <row r="4">
      <c r="B4" t="inlineStr">
        <is>
          <t>Shares</t>
        </is>
      </c>
      <c r="C4" s="51">
        <f>701.68044/10</f>
        <v>70.168044</v>
      </c>
      <c r="F4" s="1" t="n"/>
    </row>
    <row r="5">
      <c r="B5" t="inlineStr">
        <is>
          <t>Market Cap.</t>
        </is>
      </c>
      <c r="C5" s="13">
        <f>C3*C4</f>
        <v>684.138429</v>
      </c>
      <c r="F5" s="1" t="n"/>
    </row>
    <row r="6"/>
    <row r="7">
      <c r="B7" t="inlineStr">
        <is>
          <t>Cash</t>
        </is>
      </c>
      <c r="C7" s="51" t="n">
        <v>145.305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538.833429</v>
      </c>
    </row>
    <row r="10"/>
    <row r="11">
      <c r="B11" s="14" t="inlineStr">
        <is>
          <t>NPV / Share</t>
        </is>
      </c>
      <c r="C11" s="11">
        <f>NPV!B28</f>
        <v>17.332362841178522</v>
      </c>
    </row>
    <row r="12">
      <c r="B12" s="14" t="inlineStr">
        <is>
          <t>Upside</t>
        </is>
      </c>
      <c r="C12" s="15">
        <f>IFERROR(C11/C3-1,"")</f>
        <v>0.7776782401208742</v>
      </c>
    </row>
    <row r="13">
      <c r="B13" s="14" t="inlineStr">
        <is>
          <t>Cash / Share</t>
        </is>
      </c>
      <c r="C13" s="11">
        <f>IFERROR((C7-C8)/C4,"")</f>
        <v>2.070814457931876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2018</v>
      </c>
      <c r="C1" s="16" t="n">
        <v>2019</v>
      </c>
      <c r="D1" s="16" t="n">
        <v>2020</v>
      </c>
      <c r="E1" s="16" t="n">
        <v>2021</v>
      </c>
      <c r="F1" s="16" t="n">
        <v>2022</v>
      </c>
      <c r="G1" s="16" t="n">
        <v>2023</v>
      </c>
      <c r="H1" s="16" t="n">
        <v>2024</v>
      </c>
      <c r="I1" s="16" t="n">
        <v>2025</v>
      </c>
      <c r="J1" s="16" t="n">
        <v>2026</v>
      </c>
      <c r="K1" s="16" t="n">
        <v>2027</v>
      </c>
      <c r="L1" s="16" t="n">
        <v>2028</v>
      </c>
      <c r="M1" s="16" t="n">
        <v>2029</v>
      </c>
      <c r="N1" s="16" t="n">
        <v>2030</v>
      </c>
      <c r="O1" s="16" t="n">
        <v>2031</v>
      </c>
      <c r="P1" s="16" t="n">
        <v>2032</v>
      </c>
      <c r="Q1" s="16" t="n">
        <v>2033</v>
      </c>
      <c r="R1" s="16" t="n">
        <v>2034</v>
      </c>
      <c r="S1" s="16" t="n">
        <v>2035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152.062</v>
      </c>
      <c r="C2" s="52" t="n">
        <v>189.389</v>
      </c>
      <c r="D2" s="52" t="n">
        <v>212.174</v>
      </c>
      <c r="E2" s="52" t="n">
        <v>198.871</v>
      </c>
      <c r="F2" s="52" t="n">
        <v>205.622</v>
      </c>
      <c r="G2" s="52" t="n">
        <v>245.316</v>
      </c>
      <c r="H2" s="52" t="n">
        <v>297.2</v>
      </c>
      <c r="I2" s="52" t="n">
        <v>376.134</v>
      </c>
      <c r="J2" s="52">
        <f>I2*(1+NPV!C5)</f>
        <v>465.841959</v>
      </c>
      <c r="K2" s="52">
        <f>J2*(1+NPV!D5)</f>
        <v>565.8944597496666</v>
      </c>
      <c r="L2" s="52">
        <f>K2*(1+NPV!E5)</f>
        <v>674.0117401429501</v>
      </c>
      <c r="M2" s="52">
        <f>L2*(1+NPV!F5)</f>
        <v>786.7963713268704</v>
      </c>
      <c r="N2" s="52">
        <f>M2*(1+NPV!G5)</f>
        <v>899.7890724313127</v>
      </c>
      <c r="O2" s="52">
        <f>N2*(1+NPV!H5)</f>
        <v>1007.6637845594668</v>
      </c>
      <c r="P2" s="52">
        <f>O2*(1+NPV!I5)</f>
        <v>1104.5674518412688</v>
      </c>
      <c r="Q2" s="52">
        <f>P2*(1+NPV!J5)</f>
        <v>1184.5872272413253</v>
      </c>
      <c r="R2" s="52">
        <f>Q2*(1+NPV!K5)</f>
        <v>1242.302949368583</v>
      </c>
      <c r="S2" s="52">
        <f>R2*(1+NPV!L5)</f>
        <v>1273.3605231027975</v>
      </c>
    </row>
    <row r="3" customFormat="1" s="1">
      <c r="A3" s="5" t="inlineStr">
        <is>
          <t>Cost of Sales</t>
        </is>
      </c>
      <c r="B3" s="52" t="n">
        <v>24.959</v>
      </c>
      <c r="C3" s="52" t="n">
        <v>23.928</v>
      </c>
      <c r="D3" s="52" t="n">
        <v>23.539</v>
      </c>
      <c r="E3" s="52" t="n">
        <v>21.142</v>
      </c>
      <c r="F3" s="52" t="n">
        <v>17.562</v>
      </c>
      <c r="G3" s="52" t="n">
        <v>25.212</v>
      </c>
      <c r="H3" s="52" t="n">
        <v>35.399</v>
      </c>
      <c r="I3" s="52" t="n">
        <v>45.5</v>
      </c>
      <c r="J3" s="52">
        <f>J2*(1-Assumptions!$B$19)</f>
        <v>56.366877038999995</v>
      </c>
      <c r="K3" s="52">
        <f>K2*(1-Assumptions!$B$19)</f>
        <v>68.47322962970965</v>
      </c>
      <c r="L3" s="52">
        <f>L2*(1-Assumptions!$B$19)</f>
        <v>81.55542055729696</v>
      </c>
      <c r="M3" s="52">
        <f>M2*(1-Assumptions!$B$19)</f>
        <v>95.20236093055131</v>
      </c>
      <c r="N3" s="52">
        <f>N2*(1-Assumptions!$B$19)</f>
        <v>108.87447776418882</v>
      </c>
      <c r="O3" s="52">
        <f>O2*(1-Assumptions!$B$19)</f>
        <v>121.92731793169547</v>
      </c>
      <c r="P3" s="52">
        <f>P2*(1-Assumptions!$B$19)</f>
        <v>133.65266167279353</v>
      </c>
      <c r="Q3" s="52">
        <f>Q2*(1-Assumptions!$B$19)</f>
        <v>143.33505449620037</v>
      </c>
      <c r="R3" s="52">
        <f>R2*(1-Assumptions!$B$19)</f>
        <v>150.31865687359854</v>
      </c>
      <c r="S3" s="52">
        <f>S2*(1-Assumptions!$B$19)</f>
        <v>154.0766232954385</v>
      </c>
    </row>
    <row r="4" customFormat="1" s="1">
      <c r="A4" s="5" t="inlineStr">
        <is>
          <t>Gross Margin</t>
        </is>
      </c>
      <c r="B4" s="52">
        <f>B2-B3</f>
        <v>127.10300000000001</v>
      </c>
      <c r="C4" s="52">
        <f>C2-C3</f>
        <v>165.461</v>
      </c>
      <c r="D4" s="52">
        <f>D2-D3</f>
        <v>188.635</v>
      </c>
      <c r="E4" s="52">
        <f>E2-E3</f>
        <v>177.729</v>
      </c>
      <c r="F4" s="52">
        <f>F2-F3</f>
        <v>188.06</v>
      </c>
      <c r="G4" s="52">
        <f>G2-G3</f>
        <v>220.104</v>
      </c>
      <c r="H4" s="52">
        <f>H2-H3</f>
        <v>261.801</v>
      </c>
      <c r="I4" s="52">
        <f>I2-I3</f>
        <v>330.634</v>
      </c>
      <c r="J4" s="52">
        <f>J2-J3</f>
        <v>409.475081961</v>
      </c>
      <c r="K4" s="52">
        <f>K2-K3</f>
        <v>497.42123011995693</v>
      </c>
      <c r="L4" s="52">
        <f>L2-L3</f>
        <v>592.4563195856531</v>
      </c>
      <c r="M4" s="52">
        <f>M2-M3</f>
        <v>691.594010396319</v>
      </c>
      <c r="N4" s="52">
        <f>N2-N3</f>
        <v>790.9145946671239</v>
      </c>
      <c r="O4" s="52">
        <f>O2-O3</f>
        <v>885.7364666277713</v>
      </c>
      <c r="P4" s="52">
        <f>P2-P3</f>
        <v>970.9147901684753</v>
      </c>
      <c r="Q4" s="52">
        <f>Q2-Q3</f>
        <v>1041.2521727451249</v>
      </c>
      <c r="R4" s="52">
        <f>R2-R3</f>
        <v>1091.9842924949846</v>
      </c>
      <c r="S4" s="52">
        <f>S2-S3</f>
        <v>1119.283899807359</v>
      </c>
    </row>
    <row r="5">
      <c r="A5" s="2" t="inlineStr">
        <is>
          <t>Research &amp; Dev.</t>
        </is>
      </c>
      <c r="B5" s="52" t="n">
        <v>32.501</v>
      </c>
      <c r="C5" s="52" t="n">
        <v>31.786</v>
      </c>
      <c r="D5" s="52" t="n">
        <v>38.519</v>
      </c>
      <c r="E5" s="52" t="n">
        <v>70.369</v>
      </c>
      <c r="F5" s="52" t="n">
        <v>52.531</v>
      </c>
      <c r="G5" s="52" t="n">
        <v>68.914</v>
      </c>
      <c r="H5" s="52" t="n">
        <v>83.14700000000001</v>
      </c>
      <c r="I5" s="52" t="n">
        <v>100.367</v>
      </c>
      <c r="J5" s="52">
        <f>J7*Assumptions!$B$20</f>
        <v>122.28727870637069</v>
      </c>
      <c r="K5" s="52">
        <f>K7*Assumptions!$B$20</f>
        <v>146.10510570874692</v>
      </c>
      <c r="L5" s="52">
        <f>L7*Assumptions!$B$20</f>
        <v>171.105067222473</v>
      </c>
      <c r="M5" s="52">
        <f>M7*Assumptions!$B$20</f>
        <v>196.33476991916015</v>
      </c>
      <c r="N5" s="52">
        <f>N7*Assumptions!$B$20</f>
        <v>220.6401982664222</v>
      </c>
      <c r="O5" s="52">
        <f>O7*Assumptions!$B$20</f>
        <v>242.7356615065339</v>
      </c>
      <c r="P5" s="52">
        <f>P7*Assumptions!$B$20</f>
        <v>261.3029127221124</v>
      </c>
      <c r="Q5" s="52">
        <f>Q7*Assumptions!$B$20</f>
        <v>275.11104661027264</v>
      </c>
      <c r="R5" s="52">
        <f>R7*Assumptions!$B$20</f>
        <v>283.143711716095</v>
      </c>
      <c r="S5" s="52">
        <f>S7*Assumptions!$B$20</f>
        <v>284.71666415501306</v>
      </c>
    </row>
    <row r="6">
      <c r="A6" s="18" t="inlineStr">
        <is>
          <t>SG&amp;A &amp; Other</t>
        </is>
      </c>
      <c r="B6" s="52" t="n">
        <v>51.849</v>
      </c>
      <c r="C6" s="52" t="n">
        <v>65.429</v>
      </c>
      <c r="D6" s="52" t="n">
        <v>73.86</v>
      </c>
      <c r="E6" s="52" t="n">
        <v>93.79900000000001</v>
      </c>
      <c r="F6" s="52" t="n">
        <v>117.296</v>
      </c>
      <c r="G6" s="52" t="n">
        <v>156.577</v>
      </c>
      <c r="H6" s="52" t="n">
        <v>187.275</v>
      </c>
      <c r="I6" s="52" t="n">
        <v>204.425</v>
      </c>
      <c r="J6" s="52">
        <f>J7-J5</f>
        <v>249.06795574965935</v>
      </c>
      <c r="K6" s="52">
        <f>K7-K5</f>
        <v>297.57878651338166</v>
      </c>
      <c r="L6" s="52">
        <f>L7-L5</f>
        <v>348.49732337112863</v>
      </c>
      <c r="M6" s="52">
        <f>M7-M5</f>
        <v>399.8837843449156</v>
      </c>
      <c r="N6" s="52">
        <f>N7-N5</f>
        <v>449.3877345195548</v>
      </c>
      <c r="O6" s="52">
        <f>O7-O5</f>
        <v>494.39055017440717</v>
      </c>
      <c r="P6" s="52">
        <f>P7-P5</f>
        <v>532.2072990061366</v>
      </c>
      <c r="Q6" s="52">
        <f>Q7-Q5</f>
        <v>560.3309412739444</v>
      </c>
      <c r="R6" s="52">
        <f>R7-R5</f>
        <v>576.6914286303825</v>
      </c>
      <c r="S6" s="52">
        <f>S7-S5</f>
        <v>579.8951310317864</v>
      </c>
    </row>
    <row r="7">
      <c r="A7" s="2" t="inlineStr">
        <is>
          <t>Operating Expense</t>
        </is>
      </c>
      <c r="B7" s="52">
        <f>SUM(B5:B6)</f>
        <v>84.35</v>
      </c>
      <c r="C7" s="52">
        <f>SUM(C5:C6)</f>
        <v>97.215</v>
      </c>
      <c r="D7" s="52">
        <f>SUM(D5:D6)</f>
        <v>112.37899999999999</v>
      </c>
      <c r="E7" s="52">
        <f>SUM(E5:E6)</f>
        <v>164.168</v>
      </c>
      <c r="F7" s="52">
        <f>SUM(F5:F6)</f>
        <v>169.827</v>
      </c>
      <c r="G7" s="52">
        <f>SUM(G5:G6)</f>
        <v>225.49099999999999</v>
      </c>
      <c r="H7" s="52">
        <f>SUM(H5:H6)</f>
        <v>270.422</v>
      </c>
      <c r="I7" s="52">
        <f>SUM(I5:I6)</f>
        <v>304.79200000000003</v>
      </c>
      <c r="J7" s="52">
        <f>J4-J2*NPV!C6</f>
        <v>371.35523445603</v>
      </c>
      <c r="K7" s="52">
        <f>K4-K2*NPV!D6</f>
        <v>443.6838922221286</v>
      </c>
      <c r="L7" s="52">
        <f>L4-L2*NPV!E6</f>
        <v>519.6023905936016</v>
      </c>
      <c r="M7" s="52">
        <f>M4-M2*NPV!F6</f>
        <v>596.2185542640758</v>
      </c>
      <c r="N7" s="52">
        <f>N4-N2*NPV!G6</f>
        <v>670.027932785977</v>
      </c>
      <c r="O7" s="52">
        <f>O4-O2*NPV!H6</f>
        <v>737.1262116809411</v>
      </c>
      <c r="P7" s="52">
        <f>P4-P2*NPV!I6</f>
        <v>793.510211728249</v>
      </c>
      <c r="Q7" s="52">
        <f>Q4-Q2*NPV!J6</f>
        <v>835.441987884217</v>
      </c>
      <c r="R7" s="52">
        <f>R4-R2*NPV!K6</f>
        <v>859.8351403464775</v>
      </c>
      <c r="S7" s="52">
        <f>S4-S2*NPV!L6</f>
        <v>864.6117951867994</v>
      </c>
    </row>
    <row r="8">
      <c r="A8" s="2" t="inlineStr">
        <is>
          <t>Operating Income</t>
        </is>
      </c>
      <c r="B8" s="52">
        <f>B4-B7</f>
        <v>42.753000000000014</v>
      </c>
      <c r="C8" s="52">
        <f>C4-C7</f>
        <v>68.24600000000001</v>
      </c>
      <c r="D8" s="52">
        <f>D4-D7</f>
        <v>76.256</v>
      </c>
      <c r="E8" s="52">
        <f>E4-E7</f>
        <v>13.561000000000007</v>
      </c>
      <c r="F8" s="52">
        <f>F4-F7</f>
        <v>18.233000000000004</v>
      </c>
      <c r="G8" s="52">
        <f>G4-G7</f>
        <v>-5.386999999999972</v>
      </c>
      <c r="H8" s="52">
        <f>H4-H7</f>
        <v>-8.621000000000038</v>
      </c>
      <c r="I8" s="52">
        <f>I4-I7</f>
        <v>25.841999999999985</v>
      </c>
      <c r="J8" s="52">
        <f>J4-J7</f>
        <v>38.11984750496998</v>
      </c>
      <c r="K8" s="52">
        <f>K4-K7</f>
        <v>53.737337897828354</v>
      </c>
      <c r="L8" s="52">
        <f>L4-L7</f>
        <v>72.85392899205146</v>
      </c>
      <c r="M8" s="52">
        <f>M4-M7</f>
        <v>95.37545613224324</v>
      </c>
      <c r="N8" s="52">
        <f>N4-N7</f>
        <v>120.88666188114689</v>
      </c>
      <c r="O8" s="52">
        <f>O4-O7</f>
        <v>148.6102549468302</v>
      </c>
      <c r="P8" s="52">
        <f>P4-P7</f>
        <v>177.40457844022626</v>
      </c>
      <c r="Q8" s="52">
        <f>Q4-Q7</f>
        <v>205.81018486090784</v>
      </c>
      <c r="R8" s="52">
        <f>R4-R7</f>
        <v>232.14915214850714</v>
      </c>
      <c r="S8" s="52">
        <f>S4-S7</f>
        <v>254.67210462055948</v>
      </c>
    </row>
    <row r="9">
      <c r="A9" s="18" t="inlineStr">
        <is>
          <t>Interest &amp; Other</t>
        </is>
      </c>
      <c r="B9" s="52" t="n">
        <v>-41.788</v>
      </c>
      <c r="C9" s="52" t="n">
        <v>-15.942</v>
      </c>
      <c r="D9" s="52" t="n">
        <v>-32.162</v>
      </c>
      <c r="E9" s="52" t="n">
        <v>9.516999999999999</v>
      </c>
      <c r="F9" s="52" t="n">
        <v>-3.246</v>
      </c>
      <c r="G9" s="52" t="n">
        <v>-6.625</v>
      </c>
      <c r="H9" s="52" t="n">
        <v>0.129</v>
      </c>
      <c r="I9" s="52" t="n">
        <v>-12.681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</row>
    <row r="10">
      <c r="A10" s="2" t="inlineStr">
        <is>
          <t>Pretax</t>
        </is>
      </c>
      <c r="B10" s="52">
        <f>B8+B9</f>
        <v>0.9650000000000176</v>
      </c>
      <c r="C10" s="52">
        <f>C8+C9</f>
        <v>52.30400000000001</v>
      </c>
      <c r="D10" s="52">
        <f>D8+D9</f>
        <v>44.094</v>
      </c>
      <c r="E10" s="52">
        <f>E8+E9</f>
        <v>23.078000000000007</v>
      </c>
      <c r="F10" s="52">
        <f>F8+F9</f>
        <v>14.987000000000004</v>
      </c>
      <c r="G10" s="52">
        <f>G8+G9</f>
        <v>-12.011999999999972</v>
      </c>
      <c r="H10" s="52">
        <f>H8+H9</f>
        <v>-8.492000000000038</v>
      </c>
      <c r="I10" s="52">
        <f>I8+I9</f>
        <v>13.160999999999985</v>
      </c>
      <c r="J10" s="52">
        <f>J8+J9</f>
        <v>38.11984750496998</v>
      </c>
      <c r="K10" s="52">
        <f>K8+K9</f>
        <v>53.737337897828354</v>
      </c>
      <c r="L10" s="52">
        <f>L8+L9</f>
        <v>72.85392899205146</v>
      </c>
      <c r="M10" s="52">
        <f>M8+M9</f>
        <v>95.37545613224324</v>
      </c>
      <c r="N10" s="52">
        <f>N8+N9</f>
        <v>120.88666188114689</v>
      </c>
      <c r="O10" s="52">
        <f>O8+O9</f>
        <v>148.6102549468302</v>
      </c>
      <c r="P10" s="52">
        <f>P8+P9</f>
        <v>177.40457844022626</v>
      </c>
      <c r="Q10" s="52">
        <f>Q8+Q9</f>
        <v>205.81018486090784</v>
      </c>
      <c r="R10" s="52">
        <f>R8+R9</f>
        <v>232.14915214850714</v>
      </c>
      <c r="S10" s="52">
        <f>S8+S9</f>
        <v>254.67210462055948</v>
      </c>
    </row>
    <row r="11">
      <c r="A11" s="2" t="inlineStr">
        <is>
          <t>Taxes</t>
        </is>
      </c>
      <c r="B11" s="52" t="n">
        <v>-27.16</v>
      </c>
      <c r="C11" s="52" t="n">
        <v>11.747</v>
      </c>
      <c r="D11" s="52" t="n">
        <v>6.348</v>
      </c>
      <c r="E11" s="52" t="n">
        <v>7.082</v>
      </c>
      <c r="F11" s="52" t="n">
        <v>1.313</v>
      </c>
      <c r="G11" s="52" t="n">
        <v>-1.464</v>
      </c>
      <c r="H11" s="52" t="n">
        <v>3.349</v>
      </c>
      <c r="I11" s="52" t="n">
        <v>10.31</v>
      </c>
      <c r="J11" s="52">
        <f>MAX(0,J10)*Assumptions!$E$14</f>
        <v>6.480374075844898</v>
      </c>
      <c r="K11" s="52">
        <f>MAX(0,K10)*Assumptions!$E$14</f>
        <v>9.13534744263082</v>
      </c>
      <c r="L11" s="52">
        <f>MAX(0,L10)*Assumptions!$E$14</f>
        <v>12.38516792864875</v>
      </c>
      <c r="M11" s="52">
        <f>MAX(0,M10)*Assumptions!$E$14</f>
        <v>16.213827542481354</v>
      </c>
      <c r="N11" s="52">
        <f>MAX(0,N10)*Assumptions!$E$14</f>
        <v>20.550732519794973</v>
      </c>
      <c r="O11" s="52">
        <f>MAX(0,O10)*Assumptions!$E$14</f>
        <v>25.263743340961135</v>
      </c>
      <c r="P11" s="52">
        <f>MAX(0,P10)*Assumptions!$E$14</f>
        <v>30.158778334838466</v>
      </c>
      <c r="Q11" s="52">
        <f>MAX(0,Q10)*Assumptions!$E$14</f>
        <v>34.98773142635434</v>
      </c>
      <c r="R11" s="52">
        <f>MAX(0,R10)*Assumptions!$E$14</f>
        <v>39.46535586524622</v>
      </c>
      <c r="S11" s="52">
        <f>MAX(0,S10)*Assumptions!$E$14</f>
        <v>43.29425778549511</v>
      </c>
    </row>
    <row r="12">
      <c r="A12" s="2" t="inlineStr">
        <is>
          <t>Net Income</t>
        </is>
      </c>
      <c r="B12" s="52" t="n">
        <v>28.125</v>
      </c>
      <c r="C12" s="52" t="n">
        <v>40.557</v>
      </c>
      <c r="D12" s="52" t="n">
        <v>37.746</v>
      </c>
      <c r="E12" s="52" t="n">
        <v>15.996</v>
      </c>
      <c r="F12" s="52" t="n">
        <v>13.674</v>
      </c>
      <c r="G12" s="52" t="n">
        <v>-10.548</v>
      </c>
      <c r="H12" s="52" t="n">
        <v>-11.841</v>
      </c>
      <c r="I12" s="52" t="n">
        <v>2.851</v>
      </c>
      <c r="J12" s="52">
        <f>J10-J11</f>
        <v>31.639473429125083</v>
      </c>
      <c r="K12" s="52">
        <f>K10-K11</f>
        <v>44.60199045519754</v>
      </c>
      <c r="L12" s="52">
        <f>L10-L11</f>
        <v>60.46876106340272</v>
      </c>
      <c r="M12" s="52">
        <f>M10-M11</f>
        <v>79.16162858976189</v>
      </c>
      <c r="N12" s="52">
        <f>N10-N11</f>
        <v>100.33592936135192</v>
      </c>
      <c r="O12" s="52">
        <f>O10-O11</f>
        <v>123.34651160586907</v>
      </c>
      <c r="P12" s="52">
        <f>P10-P11</f>
        <v>147.2458001053878</v>
      </c>
      <c r="Q12" s="52">
        <f>Q10-Q11</f>
        <v>170.8224534345535</v>
      </c>
      <c r="R12" s="52">
        <f>R10-R11</f>
        <v>192.68379628326093</v>
      </c>
      <c r="S12" s="52">
        <f>S10-S11</f>
        <v>211.37784683506436</v>
      </c>
    </row>
    <row r="13">
      <c r="A13" s="2" t="inlineStr">
        <is>
          <t>Earnings per Share</t>
        </is>
      </c>
      <c r="B13" s="11">
        <f>IFERROR(B12/B14,0)</f>
        <v>0.04303564652164865</v>
      </c>
      <c r="C13" s="11">
        <f>IFERROR(C12/C14,0)</f>
        <v>0.06021647464069367</v>
      </c>
      <c r="D13" s="11">
        <f>IFERROR(D12/D14,0)</f>
        <v>0.055286296187258055</v>
      </c>
      <c r="E13" s="11">
        <f>IFERROR(E12/E14,0)</f>
        <v>0.022813883437542787</v>
      </c>
      <c r="F13" s="11">
        <f>IFERROR(F12/F14,0)</f>
        <v>0.01933702048106389</v>
      </c>
      <c r="G13" s="11">
        <f>IFERROR(G12/G14,0)</f>
        <v>-0.014539660134755135</v>
      </c>
      <c r="H13" s="11">
        <f>IFERROR(H12/H14,0)</f>
        <v>-0.015076163847763975</v>
      </c>
      <c r="I13" s="11">
        <f>IFERROR(I12/I14,0)</f>
        <v>0.0038172844928005827</v>
      </c>
      <c r="J13" s="11">
        <f>IFERROR(J12/J14,0)</f>
        <v>0.45091001010552734</v>
      </c>
      <c r="K13" s="11">
        <f>IFERROR(K12/K14,0)</f>
        <v>0.6356453438433818</v>
      </c>
      <c r="L13" s="11">
        <f>IFERROR(L12/L14,0)</f>
        <v>0.861770652512456</v>
      </c>
      <c r="M13" s="11">
        <f>IFERROR(M12/M14,0)</f>
        <v>1.1281720862813547</v>
      </c>
      <c r="N13" s="11">
        <f>IFERROR(N12/N14,0)</f>
        <v>1.429937670221389</v>
      </c>
      <c r="O13" s="11">
        <f>IFERROR(O12/O14,0)</f>
        <v>1.7578730227376593</v>
      </c>
      <c r="P13" s="11">
        <f>IFERROR(P12/P14,0)</f>
        <v>2.098473773978762</v>
      </c>
      <c r="Q13" s="11">
        <f>IFERROR(Q12/Q14,0)</f>
        <v>2.434476489533519</v>
      </c>
      <c r="R13" s="11">
        <f>IFERROR(R12/R14,0)</f>
        <v>2.7460334548197034</v>
      </c>
      <c r="S13" s="11">
        <f>IFERROR(S12/S14,0)</f>
        <v>3.0124517484777598</v>
      </c>
    </row>
    <row r="14">
      <c r="A14" s="2" t="inlineStr">
        <is>
          <t>Shares</t>
        </is>
      </c>
      <c r="B14" s="52" t="n">
        <v>653.528</v>
      </c>
      <c r="C14" s="52" t="n">
        <v>673.52</v>
      </c>
      <c r="D14" s="52" t="n">
        <v>682.737</v>
      </c>
      <c r="E14" s="52" t="n">
        <v>701.152</v>
      </c>
      <c r="F14" s="52" t="n">
        <v>707.141</v>
      </c>
      <c r="G14" s="52" t="n">
        <v>725.4640000000001</v>
      </c>
      <c r="H14" s="52" t="n">
        <v>785.412</v>
      </c>
      <c r="I14" s="52" t="n">
        <v>746.866</v>
      </c>
      <c r="J14" s="52">
        <f>Main!$C$4</f>
        <v>70.168044</v>
      </c>
      <c r="K14" s="52">
        <f>Main!$C$4</f>
        <v>70.168044</v>
      </c>
      <c r="L14" s="52">
        <f>Main!$C$4</f>
        <v>70.168044</v>
      </c>
      <c r="M14" s="52">
        <f>Main!$C$4</f>
        <v>70.168044</v>
      </c>
      <c r="N14" s="52">
        <f>Main!$C$4</f>
        <v>70.168044</v>
      </c>
      <c r="O14" s="52">
        <f>Main!$C$4</f>
        <v>70.168044</v>
      </c>
      <c r="P14" s="52">
        <f>Main!$C$4</f>
        <v>70.168044</v>
      </c>
      <c r="Q14" s="52">
        <f>Main!$C$4</f>
        <v>70.168044</v>
      </c>
      <c r="R14" s="52">
        <f>Main!$C$4</f>
        <v>70.168044</v>
      </c>
      <c r="S14" s="52">
        <f>Main!$C$4</f>
        <v>70.168044</v>
      </c>
    </row>
    <row r="15"/>
    <row r="16" customFormat="1" s="4">
      <c r="A16" s="3" t="inlineStr">
        <is>
          <t>Revenue Change</t>
        </is>
      </c>
      <c r="C16" s="15">
        <f>IFERROR(C2/B2-1,"")</f>
        <v>0.24547224158566894</v>
      </c>
      <c r="D16" s="15">
        <f>IFERROR(D2/C2-1,"")</f>
        <v>0.12030793763101344</v>
      </c>
      <c r="E16" s="15">
        <f>IFERROR(E2/D2-1,"")</f>
        <v>-0.06269853987764762</v>
      </c>
      <c r="F16" s="15">
        <f>IFERROR(F2/E2-1,"")</f>
        <v>0.033946628719119465</v>
      </c>
      <c r="G16" s="15">
        <f>IFERROR(G2/F2-1,"")</f>
        <v>0.19304354592407424</v>
      </c>
      <c r="H16" s="15">
        <f>IFERROR(H2/G2-1,"")</f>
        <v>0.2114986384907629</v>
      </c>
      <c r="I16" s="15">
        <f>IFERROR(I2/H2-1,"")</f>
        <v>0.265592193808883</v>
      </c>
      <c r="J16" s="15">
        <f>IFERROR(J2/I2-1,"")</f>
        <v>0.23849999999999993</v>
      </c>
      <c r="K16" s="15">
        <f>IFERROR(K2/J2-1,"")</f>
        <v>0.21477777777777773</v>
      </c>
      <c r="L16" s="15">
        <f>IFERROR(L2/K2-1,"")</f>
        <v>0.19105555555555553</v>
      </c>
      <c r="M16" s="15">
        <f>IFERROR(M2/L2-1,"")</f>
        <v>0.16733333333333333</v>
      </c>
      <c r="N16" s="15">
        <f>IFERROR(N2/M2-1,"")</f>
        <v>0.14361111111111113</v>
      </c>
      <c r="O16" s="15">
        <f>IFERROR(O2/N2-1,"")</f>
        <v>0.11988888888888893</v>
      </c>
      <c r="P16" s="15">
        <f>IFERROR(P2/O2-1,"")</f>
        <v>0.09616666666666673</v>
      </c>
      <c r="Q16" s="15">
        <f>IFERROR(Q2/P2-1,"")</f>
        <v>0.07244444444444453</v>
      </c>
      <c r="R16" s="15">
        <f>IFERROR(R2/Q2-1,"")</f>
        <v>0.04872222222222211</v>
      </c>
      <c r="S16" s="15">
        <f>IFERROR(S2/R2-1,"")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0.8358630032486749</v>
      </c>
      <c r="C17" s="15">
        <f>IFERROR(C4/C2,"")</f>
        <v>0.8736568649710384</v>
      </c>
      <c r="D17" s="15">
        <f>IFERROR(D4/D2,"")</f>
        <v>0.8890580372712962</v>
      </c>
      <c r="E17" s="15">
        <f>IFERROR(E4/E2,"")</f>
        <v>0.8936898793690382</v>
      </c>
      <c r="F17" s="15">
        <f>IFERROR(F4/F2,"")</f>
        <v>0.9145908511735125</v>
      </c>
      <c r="G17" s="15">
        <f>IFERROR(G4/G2,"")</f>
        <v>0.8972264344763489</v>
      </c>
      <c r="H17" s="15">
        <f>IFERROR(H4/H2,"")</f>
        <v>0.8808916554508748</v>
      </c>
      <c r="I17" s="15">
        <f>IFERROR(I4/I2,"")</f>
        <v>0.8790324724699177</v>
      </c>
      <c r="J17" s="15">
        <f>IFERROR(J4/J2,"")</f>
        <v>0.879</v>
      </c>
      <c r="K17" s="15">
        <f>IFERROR(K4/K2,"")</f>
        <v>0.879</v>
      </c>
      <c r="L17" s="15">
        <f>IFERROR(L4/L2,"")</f>
        <v>0.8789999999999999</v>
      </c>
      <c r="M17" s="15">
        <f>IFERROR(M4/M2,"")</f>
        <v>0.879</v>
      </c>
      <c r="N17" s="15">
        <f>IFERROR(N4/N2,"")</f>
        <v>0.879</v>
      </c>
      <c r="O17" s="15">
        <f>IFERROR(O4/O2,"")</f>
        <v>0.879</v>
      </c>
      <c r="P17" s="15">
        <f>IFERROR(P4/P2,"")</f>
        <v>0.879</v>
      </c>
      <c r="Q17" s="15">
        <f>IFERROR(Q4/Q2,"")</f>
        <v>0.8789999999999999</v>
      </c>
      <c r="R17" s="15">
        <f>IFERROR(R4/R2,"")</f>
        <v>0.8790000000000001</v>
      </c>
      <c r="S17" s="15">
        <f>IFERROR(S4/S2,"")</f>
        <v>0.8789999999999999</v>
      </c>
    </row>
    <row r="18">
      <c r="A18" s="14" t="inlineStr">
        <is>
          <t>Operating Margin</t>
        </is>
      </c>
      <c r="B18" s="15">
        <f>IFERROR(B8/B2,"")</f>
        <v>0.28115505517486294</v>
      </c>
      <c r="C18" s="15">
        <f>IFERROR(C8/C2,"")</f>
        <v>0.3603482778830872</v>
      </c>
      <c r="D18" s="15">
        <f>IFERROR(D8/D2,"")</f>
        <v>0.35940313139215924</v>
      </c>
      <c r="E18" s="15">
        <f>IFERROR(E8/E2,"")</f>
        <v>0.06818993216708322</v>
      </c>
      <c r="F18" s="15">
        <f>IFERROR(F8/F2,"")</f>
        <v>0.08867241832099679</v>
      </c>
      <c r="G18" s="15">
        <f>IFERROR(G8/G2,"")</f>
        <v>-0.02195943191638528</v>
      </c>
      <c r="H18" s="15">
        <f>IFERROR(H8/H2,"")</f>
        <v>-0.029007402422611163</v>
      </c>
      <c r="I18" s="15">
        <f>IFERROR(I8/I2,"")</f>
        <v>0.06870423838312938</v>
      </c>
      <c r="J18" s="15">
        <f>IFERROR(J8/J2,"")</f>
        <v>0.08182999999999997</v>
      </c>
      <c r="K18" s="15">
        <f>IFERROR(K8/K2,"")</f>
        <v>0.09496000000000003</v>
      </c>
      <c r="L18" s="15">
        <f>IFERROR(L8/L2,"")</f>
        <v>0.10808999999999998</v>
      </c>
      <c r="M18" s="15">
        <f>IFERROR(M8/M2,"")</f>
        <v>0.12122000000000002</v>
      </c>
      <c r="N18" s="15">
        <f>IFERROR(N8/N2,"")</f>
        <v>0.13435000000000005</v>
      </c>
      <c r="O18" s="15">
        <f>IFERROR(O8/O2,"")</f>
        <v>0.14748000000000003</v>
      </c>
      <c r="P18" s="15">
        <f>IFERROR(P8/P2,"")</f>
        <v>0.16061000000000006</v>
      </c>
      <c r="Q18" s="15">
        <f>IFERROR(Q8/Q2,"")</f>
        <v>0.17373999999999998</v>
      </c>
      <c r="R18" s="15">
        <f>IFERROR(R8/R2,"")</f>
        <v>0.18687</v>
      </c>
      <c r="S18" s="15">
        <f>IFERROR(S8/S2,"")</f>
        <v>0.19999999999999998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Pharming Group N.V.: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0.1885</v>
      </c>
      <c r="C12" s="53" t="n">
        <v>0.2385</v>
      </c>
      <c r="D12" s="53" t="n">
        <v>0.2885</v>
      </c>
      <c r="E12" s="54">
        <f>CHOOSE($B$4,B12,C12,D12)</f>
        <v>0.2385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0.0687</v>
      </c>
    </row>
    <row r="19">
      <c r="A19" s="14" t="inlineStr">
        <is>
          <t>Gross margin (forecast)</t>
        </is>
      </c>
      <c r="B19" s="53" t="n">
        <v>0.879</v>
      </c>
    </row>
    <row r="20">
      <c r="A20" s="14" t="inlineStr">
        <is>
          <t>R&amp;D share of operating expense (forecast)</t>
        </is>
      </c>
      <c r="B20" s="53" t="n">
        <v>0.3293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Model'!I2</f>
        <v>376.134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1070.8729984637794</v>
      </c>
      <c r="C29" s="56">
        <f>NPV!B26</f>
        <v>1216.1779984637794</v>
      </c>
      <c r="D29" s="35">
        <f>NPV!B28</f>
        <v>17.332362841178522</v>
      </c>
      <c r="E29" s="57">
        <f>NPV!B30</f>
        <v>0.7776782401208742</v>
      </c>
    </row>
    <row r="30">
      <c r="A30" s="58" t="n">
        <v>1</v>
      </c>
      <c r="B30" s="59">
        <f t="dataTable" ref="B30:E32" r1="B4"/>
        <v>569.3292427964111</v>
      </c>
      <c r="C30" s="59">
        <v>714.6342427964112</v>
      </c>
      <c r="D30" s="39">
        <v>10.184611142878818</v>
      </c>
      <c r="E30" s="60">
        <v>0.04457550183372505</v>
      </c>
    </row>
    <row r="31">
      <c r="A31" s="58" t="n">
        <v>2</v>
      </c>
      <c r="B31" s="59">
        <v>1070.8729984637794</v>
      </c>
      <c r="C31" s="59">
        <v>1216.1779984637794</v>
      </c>
      <c r="D31" s="39">
        <v>17.332362841178522</v>
      </c>
      <c r="E31" s="60">
        <v>0.7776782401208742</v>
      </c>
    </row>
    <row r="32">
      <c r="A32" s="58" t="n">
        <v>3</v>
      </c>
      <c r="B32" s="59">
        <v>1974.2954279602372</v>
      </c>
      <c r="C32" s="59">
        <v>2119.600427960237</v>
      </c>
      <c r="D32" s="39">
        <v>30.207489152187815</v>
      </c>
      <c r="E32" s="60">
        <v>2.0982040156090065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17.332362841178522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20.52077855785468</v>
      </c>
      <c r="C37" s="39">
        <v>21.504212245683945</v>
      </c>
      <c r="D37" s="39">
        <v>22.610563768079402</v>
      </c>
      <c r="E37" s="39">
        <v>23.864419611633007</v>
      </c>
      <c r="F37" s="39">
        <v>25.297391053558137</v>
      </c>
    </row>
    <row r="38">
      <c r="A38" s="62" t="n">
        <v>0.115</v>
      </c>
      <c r="B38" s="39">
        <v>18.068785060548755</v>
      </c>
      <c r="C38" s="39">
        <v>18.820755141914454</v>
      </c>
      <c r="D38" s="39">
        <v>19.656258049404368</v>
      </c>
      <c r="E38" s="39">
        <v>20.590037141458446</v>
      </c>
      <c r="F38" s="39">
        <v>21.640521680669824</v>
      </c>
    </row>
    <row r="39">
      <c r="A39" s="62" t="n">
        <v>0.125</v>
      </c>
      <c r="B39" s="39">
        <v>16.098399748909237</v>
      </c>
      <c r="C39" s="39">
        <v>16.68601259370435</v>
      </c>
      <c r="D39" s="39">
        <v>17.332362841178522</v>
      </c>
      <c r="E39" s="39">
        <v>18.04672661343899</v>
      </c>
      <c r="F39" s="39">
        <v>18.84044144592562</v>
      </c>
    </row>
    <row r="40">
      <c r="A40" s="62" t="n">
        <v>0.135</v>
      </c>
      <c r="B40" s="39">
        <v>14.48651095510142</v>
      </c>
      <c r="C40" s="39">
        <v>14.953997475878904</v>
      </c>
      <c r="D40" s="39">
        <v>15.463956717863605</v>
      </c>
      <c r="E40" s="39">
        <v>16.022457650615305</v>
      </c>
      <c r="F40" s="39">
        <v>16.636783081507083</v>
      </c>
    </row>
    <row r="41">
      <c r="A41" s="62" t="n">
        <v>0.145</v>
      </c>
      <c r="B41" s="39">
        <v>13.14813244672336</v>
      </c>
      <c r="C41" s="39">
        <v>13.525695565156001</v>
      </c>
      <c r="D41" s="39">
        <v>13.934695562061828</v>
      </c>
      <c r="E41" s="39">
        <v>14.379234064787045</v>
      </c>
      <c r="F41" s="39">
        <v>14.864158487981516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Pharming Group N.V.: free-cash-flow DCF ($mm)</t>
        </is>
      </c>
    </row>
    <row r="3">
      <c r="A3" s="20" t="inlineStr">
        <is>
          <t>Fiscal year</t>
        </is>
      </c>
      <c r="B3" s="43">
        <f>'Yearly Model'!I1</f>
        <v>2025</v>
      </c>
      <c r="C3" s="43">
        <f>'Yearly Model'!J1</f>
        <v>2026</v>
      </c>
      <c r="D3" s="43">
        <f>'Yearly Model'!K1</f>
        <v>2027</v>
      </c>
      <c r="E3" s="43">
        <f>'Yearly Model'!L1</f>
        <v>2028</v>
      </c>
      <c r="F3" s="43">
        <f>'Yearly Model'!M1</f>
        <v>2029</v>
      </c>
      <c r="G3" s="43">
        <f>'Yearly Model'!N1</f>
        <v>2030</v>
      </c>
      <c r="H3" s="43">
        <f>'Yearly Model'!O1</f>
        <v>2031</v>
      </c>
      <c r="I3" s="43">
        <f>'Yearly Model'!P1</f>
        <v>2032</v>
      </c>
      <c r="J3" s="43">
        <f>'Yearly Model'!Q1</f>
        <v>2033</v>
      </c>
      <c r="K3" s="43">
        <f>'Yearly Model'!R1</f>
        <v>2034</v>
      </c>
      <c r="L3" s="43">
        <f>'Yearly Model'!S1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0.2385</v>
      </c>
      <c r="D5" s="63">
        <f>Assumptions!$E$12+(Assumptions!$E$11-Assumptions!$E$12)*(D4-1)/(Assumptions!$B$21-1)</f>
        <v>0.21477777777777776</v>
      </c>
      <c r="E5" s="63">
        <f>Assumptions!$E$12+(Assumptions!$E$11-Assumptions!$E$12)*(E4-1)/(Assumptions!$B$21-1)</f>
        <v>0.19105555555555553</v>
      </c>
      <c r="F5" s="63">
        <f>Assumptions!$E$12+(Assumptions!$E$11-Assumptions!$E$12)*(F4-1)/(Assumptions!$B$21-1)</f>
        <v>0.16733333333333333</v>
      </c>
      <c r="G5" s="63">
        <f>Assumptions!$E$12+(Assumptions!$E$11-Assumptions!$E$12)*(G4-1)/(Assumptions!$B$21-1)</f>
        <v>0.1436111111111111</v>
      </c>
      <c r="H5" s="63">
        <f>Assumptions!$E$12+(Assumptions!$E$11-Assumptions!$E$12)*(H4-1)/(Assumptions!$B$21-1)</f>
        <v>0.11988888888888889</v>
      </c>
      <c r="I5" s="63">
        <f>Assumptions!$E$12+(Assumptions!$E$11-Assumptions!$E$12)*(I4-1)/(Assumptions!$B$21-1)</f>
        <v>0.09616666666666668</v>
      </c>
      <c r="J5" s="63">
        <f>Assumptions!$E$12+(Assumptions!$E$11-Assumptions!$E$12)*(J4-1)/(Assumptions!$B$21-1)</f>
        <v>0.07244444444444445</v>
      </c>
      <c r="K5" s="63">
        <f>Assumptions!$E$12+(Assumptions!$E$11-Assumptions!$E$12)*(K4-1)/(Assumptions!$B$21-1)</f>
        <v>0.04872222222222222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0.06870423838312938</v>
      </c>
      <c r="C6" s="63">
        <f>Assumptions!$B$18+(Assumptions!$E$13-Assumptions!$B$18)*C4/Assumptions!$B$21</f>
        <v>0.08183</v>
      </c>
      <c r="D6" s="63">
        <f>Assumptions!$B$18+(Assumptions!$E$13-Assumptions!$B$18)*D4/Assumptions!$B$21</f>
        <v>0.09496</v>
      </c>
      <c r="E6" s="63">
        <f>Assumptions!$B$18+(Assumptions!$E$13-Assumptions!$B$18)*E4/Assumptions!$B$21</f>
        <v>0.10809</v>
      </c>
      <c r="F6" s="63">
        <f>Assumptions!$B$18+(Assumptions!$E$13-Assumptions!$B$18)*F4/Assumptions!$B$21</f>
        <v>0.12122000000000001</v>
      </c>
      <c r="G6" s="63">
        <f>Assumptions!$B$18+(Assumptions!$E$13-Assumptions!$B$18)*G4/Assumptions!$B$21</f>
        <v>0.13435000000000002</v>
      </c>
      <c r="H6" s="63">
        <f>Assumptions!$B$18+(Assumptions!$E$13-Assumptions!$B$18)*H4/Assumptions!$B$21</f>
        <v>0.14748</v>
      </c>
      <c r="I6" s="63">
        <f>Assumptions!$B$18+(Assumptions!$E$13-Assumptions!$B$18)*I4/Assumptions!$B$21</f>
        <v>0.16061000000000003</v>
      </c>
      <c r="J6" s="63">
        <f>Assumptions!$B$18+(Assumptions!$E$13-Assumptions!$B$18)*J4/Assumptions!$B$21</f>
        <v>0.17374</v>
      </c>
      <c r="K6" s="63">
        <f>Assumptions!$B$18+(Assumptions!$E$13-Assumptions!$B$18)*K4/Assumptions!$B$21</f>
        <v>0.18687000000000004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Model'!I2</f>
        <v>376.134</v>
      </c>
      <c r="C7" s="55">
        <f>'Yearly Model'!J2</f>
        <v>465.841959</v>
      </c>
      <c r="D7" s="55">
        <f>'Yearly Model'!K2</f>
        <v>565.8944597496666</v>
      </c>
      <c r="E7" s="55">
        <f>'Yearly Model'!L2</f>
        <v>674.0117401429501</v>
      </c>
      <c r="F7" s="55">
        <f>'Yearly Model'!M2</f>
        <v>786.7963713268704</v>
      </c>
      <c r="G7" s="55">
        <f>'Yearly Model'!N2</f>
        <v>899.7890724313127</v>
      </c>
      <c r="H7" s="55">
        <f>'Yearly Model'!O2</f>
        <v>1007.6637845594668</v>
      </c>
      <c r="I7" s="55">
        <f>'Yearly Model'!P2</f>
        <v>1104.5674518412688</v>
      </c>
      <c r="J7" s="55">
        <f>'Yearly Model'!Q2</f>
        <v>1184.5872272413253</v>
      </c>
      <c r="K7" s="55">
        <f>'Yearly Model'!R2</f>
        <v>1242.302949368583</v>
      </c>
      <c r="L7" s="55">
        <f>'Yearly Model'!S2</f>
        <v>1273.3605231027975</v>
      </c>
    </row>
    <row r="8">
      <c r="A8" s="14" t="inlineStr">
        <is>
          <t>Operating income</t>
        </is>
      </c>
      <c r="B8" s="55">
        <f>'Yearly Model'!I8</f>
        <v>25.841999999999985</v>
      </c>
      <c r="C8" s="55">
        <f>'Yearly Model'!J8</f>
        <v>38.11984750496998</v>
      </c>
      <c r="D8" s="55">
        <f>'Yearly Model'!K8</f>
        <v>53.737337897828354</v>
      </c>
      <c r="E8" s="55">
        <f>'Yearly Model'!L8</f>
        <v>72.85392899205146</v>
      </c>
      <c r="F8" s="55">
        <f>'Yearly Model'!M8</f>
        <v>95.37545613224324</v>
      </c>
      <c r="G8" s="55">
        <f>'Yearly Model'!N8</f>
        <v>120.88666188114689</v>
      </c>
      <c r="H8" s="55">
        <f>'Yearly Model'!O8</f>
        <v>148.6102549468302</v>
      </c>
      <c r="I8" s="55">
        <f>'Yearly Model'!P8</f>
        <v>177.40457844022626</v>
      </c>
      <c r="J8" s="55">
        <f>'Yearly Model'!Q8</f>
        <v>205.81018486090784</v>
      </c>
      <c r="K8" s="55">
        <f>'Yearly Model'!R8</f>
        <v>232.14915214850714</v>
      </c>
      <c r="L8" s="55">
        <f>'Yearly Model'!S8</f>
        <v>254.67210462055948</v>
      </c>
    </row>
    <row r="9">
      <c r="A9" s="14" t="inlineStr">
        <is>
          <t>Tax on operating income</t>
        </is>
      </c>
      <c r="C9" s="52">
        <f>MAX(0,C8)*Assumptions!$E$14</f>
        <v>6.480374075844898</v>
      </c>
      <c r="D9" s="52">
        <f>MAX(0,D8)*Assumptions!$E$14</f>
        <v>9.13534744263082</v>
      </c>
      <c r="E9" s="52">
        <f>MAX(0,E8)*Assumptions!$E$14</f>
        <v>12.38516792864875</v>
      </c>
      <c r="F9" s="52">
        <f>MAX(0,F8)*Assumptions!$E$14</f>
        <v>16.213827542481354</v>
      </c>
      <c r="G9" s="52">
        <f>MAX(0,G8)*Assumptions!$E$14</f>
        <v>20.550732519794973</v>
      </c>
      <c r="H9" s="52">
        <f>MAX(0,H8)*Assumptions!$E$14</f>
        <v>25.263743340961135</v>
      </c>
      <c r="I9" s="52">
        <f>MAX(0,I8)*Assumptions!$E$14</f>
        <v>30.158778334838466</v>
      </c>
      <c r="J9" s="52">
        <f>MAX(0,J8)*Assumptions!$E$14</f>
        <v>34.98773142635434</v>
      </c>
      <c r="K9" s="52">
        <f>MAX(0,K8)*Assumptions!$E$14</f>
        <v>39.46535586524622</v>
      </c>
      <c r="L9" s="52">
        <f>MAX(0,L8)*Assumptions!$E$14</f>
        <v>43.29425778549511</v>
      </c>
    </row>
    <row r="10">
      <c r="A10" s="14" t="inlineStr">
        <is>
          <t>NOPAT</t>
        </is>
      </c>
      <c r="C10" s="52">
        <f>C8-C9</f>
        <v>31.639473429125083</v>
      </c>
      <c r="D10" s="52">
        <f>D8-D9</f>
        <v>44.60199045519754</v>
      </c>
      <c r="E10" s="52">
        <f>E8-E9</f>
        <v>60.46876106340272</v>
      </c>
      <c r="F10" s="52">
        <f>F8-F9</f>
        <v>79.16162858976189</v>
      </c>
      <c r="G10" s="52">
        <f>G8-G9</f>
        <v>100.33592936135192</v>
      </c>
      <c r="H10" s="52">
        <f>H8-H9</f>
        <v>123.34651160586907</v>
      </c>
      <c r="I10" s="52">
        <f>I8-I9</f>
        <v>147.2458001053878</v>
      </c>
      <c r="J10" s="52">
        <f>J8-J9</f>
        <v>170.8224534345535</v>
      </c>
      <c r="K10" s="52">
        <f>K8-K9</f>
        <v>192.68379628326093</v>
      </c>
      <c r="L10" s="52">
        <f>L8-L9</f>
        <v>211.37784683506436</v>
      </c>
    </row>
    <row r="11">
      <c r="A11" s="14" t="inlineStr">
        <is>
          <t>Reinvestment</t>
        </is>
      </c>
      <c r="C11" s="52">
        <f>(C7-B7)*Assumptions!$E$15</f>
        <v>22.42698974999999</v>
      </c>
      <c r="D11" s="52">
        <f>(D7-C7)*Assumptions!$E$15</f>
        <v>25.013125187416648</v>
      </c>
      <c r="E11" s="52">
        <f>(E7-D7)*Assumptions!$E$15</f>
        <v>27.02932009832088</v>
      </c>
      <c r="F11" s="52">
        <f>(F7-E7)*Assumptions!$E$15</f>
        <v>28.19615779598007</v>
      </c>
      <c r="G11" s="52">
        <f>(G7-F7)*Assumptions!$E$15</f>
        <v>28.248175276110572</v>
      </c>
      <c r="H11" s="52">
        <f>(H7-G7)*Assumptions!$E$15</f>
        <v>26.968678032038525</v>
      </c>
      <c r="I11" s="52">
        <f>(I7-H7)*Assumptions!$E$15</f>
        <v>24.22591682045052</v>
      </c>
      <c r="J11" s="52">
        <f>(J7-I7)*Assumptions!$E$15</f>
        <v>20.004943850014115</v>
      </c>
      <c r="K11" s="52">
        <f>(K7-J7)*Assumptions!$E$15</f>
        <v>14.428930531814444</v>
      </c>
      <c r="L11" s="52">
        <f>(L7-K7)*Assumptions!$E$15</f>
        <v>7.764393433553607</v>
      </c>
    </row>
    <row r="12">
      <c r="A12" s="20" t="inlineStr">
        <is>
          <t>Free cash flow</t>
        </is>
      </c>
      <c r="C12" s="64">
        <f>C10-C11</f>
        <v>9.212483679125093</v>
      </c>
      <c r="D12" s="64">
        <f>D10-D11</f>
        <v>19.58886526778089</v>
      </c>
      <c r="E12" s="64">
        <f>E10-E11</f>
        <v>33.439440965081836</v>
      </c>
      <c r="F12" s="64">
        <f>F10-F11</f>
        <v>50.96547079378182</v>
      </c>
      <c r="G12" s="64">
        <f>G10-G11</f>
        <v>72.08775408524134</v>
      </c>
      <c r="H12" s="64">
        <f>H10-H11</f>
        <v>96.37783357383054</v>
      </c>
      <c r="I12" s="64">
        <f>I10-I11</f>
        <v>123.01988328493726</v>
      </c>
      <c r="J12" s="64">
        <f>J10-J11</f>
        <v>150.81750958453938</v>
      </c>
      <c r="K12" s="64">
        <f>K10-K11</f>
        <v>178.2548657514465</v>
      </c>
      <c r="L12" s="64">
        <f>L10-L11</f>
        <v>203.61345340151075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0.9428090415820635</v>
      </c>
      <c r="D15" s="65">
        <f>1/(1+Assumptions!$E$10)^D14</f>
        <v>0.8380524814062785</v>
      </c>
      <c r="E15" s="65">
        <f>1/(1+Assumptions!$E$10)^E14</f>
        <v>0.7449355390278032</v>
      </c>
      <c r="F15" s="65">
        <f>1/(1+Assumptions!$E$10)^F14</f>
        <v>0.6621649235802695</v>
      </c>
      <c r="G15" s="65">
        <f>1/(1+Assumptions!$E$10)^G14</f>
        <v>0.5885910431824618</v>
      </c>
      <c r="H15" s="65">
        <f>1/(1+Assumptions!$E$10)^H14</f>
        <v>0.5231920383844104</v>
      </c>
      <c r="I15" s="65">
        <f>1/(1+Assumptions!$E$10)^I14</f>
        <v>0.4650595896750315</v>
      </c>
      <c r="J15" s="65">
        <f>1/(1+Assumptions!$E$10)^J14</f>
        <v>0.41338630193336134</v>
      </c>
      <c r="K15" s="65">
        <f>1/(1+Assumptions!$E$10)^K14</f>
        <v>0.3674544906074323</v>
      </c>
      <c r="L15" s="65">
        <f>1/(1+Assumptions!$E$10)^L14</f>
        <v>0.3266262138732731</v>
      </c>
    </row>
    <row r="16">
      <c r="A16" s="20" t="inlineStr">
        <is>
          <t>PV of free cash flow</t>
        </is>
      </c>
      <c r="C16" s="64">
        <f>C12*C13*C15</f>
        <v>8.68561290810633</v>
      </c>
      <c r="D16" s="64">
        <f>D12*D13*D15</f>
        <v>16.416497145597038</v>
      </c>
      <c r="E16" s="64">
        <f>E12*E13*E15</f>
        <v>24.910227980111642</v>
      </c>
      <c r="F16" s="64">
        <f>F12*F13*F15</f>
        <v>33.747547073396994</v>
      </c>
      <c r="G16" s="64">
        <f>G12*G13*G15</f>
        <v>42.43020637771298</v>
      </c>
      <c r="H16" s="64">
        <f>H12*H13*H15</f>
        <v>50.42411520256587</v>
      </c>
      <c r="I16" s="64">
        <f>I12*I13*I15</f>
        <v>57.211576442363196</v>
      </c>
      <c r="J16" s="64">
        <f>J12*J13*J15</f>
        <v>62.34589255395201</v>
      </c>
      <c r="K16" s="64">
        <f>K12*K13*K15</f>
        <v>65.500550892994</v>
      </c>
      <c r="L16" s="64">
        <f>L12*L13*L15</f>
        <v>66.50549137819758</v>
      </c>
    </row>
    <row r="19">
      <c r="A19" s="14" t="inlineStr">
        <is>
          <t>PV of forecast free cash flow</t>
        </is>
      </c>
      <c r="B19" s="52">
        <f>SUM(C16:L16)</f>
        <v>428.1777179549976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208.70378973654846</v>
      </c>
    </row>
    <row r="21">
      <c r="A21" s="14" t="inlineStr">
        <is>
          <t>Terminal value</t>
        </is>
      </c>
      <c r="B21" s="52">
        <f>B20/(Assumptions!$E$10-Assumptions!$E$11)</f>
        <v>2087.0378973654842</v>
      </c>
    </row>
    <row r="22">
      <c r="A22" s="14" t="inlineStr">
        <is>
          <t>PV of terminal value</t>
        </is>
      </c>
      <c r="B22" s="52">
        <f>B21/(1+Assumptions!$E$10)^(L14+0.5)</f>
        <v>642.6952805087818</v>
      </c>
    </row>
    <row r="23">
      <c r="A23" s="20" t="inlineStr">
        <is>
          <t>Enterprise value</t>
        </is>
      </c>
      <c r="B23" s="66">
        <f>B19+B22</f>
        <v>1070.8729984637794</v>
      </c>
    </row>
    <row r="24">
      <c r="A24" s="14" t="inlineStr">
        <is>
          <t>Cash &amp; investments</t>
        </is>
      </c>
      <c r="B24" s="55">
        <f>Main!C7</f>
        <v>145.305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1216.1779984637794</v>
      </c>
    </row>
    <row r="27">
      <c r="A27" s="14" t="inlineStr">
        <is>
          <t>Shares (mm)</t>
        </is>
      </c>
      <c r="B27" s="55">
        <f>Main!C4</f>
        <v>70.168044</v>
      </c>
    </row>
    <row r="28">
      <c r="A28" s="20" t="inlineStr">
        <is>
          <t>NPV / share</t>
        </is>
      </c>
      <c r="B28" s="49">
        <f>B26/B27</f>
        <v>17.332362841178522</v>
      </c>
    </row>
    <row r="29">
      <c r="A29" s="14" t="inlineStr">
        <is>
          <t>Price</t>
        </is>
      </c>
      <c r="B29" s="50">
        <f>Main!C3</f>
        <v>9.75</v>
      </c>
    </row>
    <row r="30">
      <c r="A30" s="14" t="inlineStr">
        <is>
          <t>Upside</t>
        </is>
      </c>
      <c r="B30" s="63">
        <f>B28/B29-1</f>
        <v>0.7776782401208742</v>
      </c>
    </row>
    <row r="31">
      <c r="A31" s="14" t="inlineStr">
        <is>
          <t>Terminal value, % of EV</t>
        </is>
      </c>
      <c r="B31" s="63">
        <f>IFERROR(B22/B23,0)</f>
        <v>0.6001601323693474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2026-10-21T01:05:00Z</dcterms:modified>
  <cp:lastModifiedBy>Wang, Eric</cp:lastModifiedBy>
</cp:coreProperties>
</file>