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Kyverna Therapeutics, Inc.</t>
        </is>
      </c>
      <c r="C2" s="10" t="n"/>
    </row>
    <row r="3">
      <c r="B3" t="inlineStr">
        <is>
          <t>Price</t>
        </is>
      </c>
      <c r="C3" s="11">
        <f>INDEX([1]Pharma!$F$1:$F$1000,MATCH("KYTX",[1]Pharma!$B$1:$B$1000,0))</f>
        <v>6.04</v>
      </c>
      <c r="F3" s="1" t="n"/>
    </row>
    <row r="4">
      <c r="B4" t="inlineStr">
        <is>
          <t>Shares</t>
        </is>
      </c>
      <c r="C4" s="21" t="n">
        <v>61.843444</v>
      </c>
      <c r="F4" s="1" t="n"/>
    </row>
    <row r="5">
      <c r="B5" t="inlineStr">
        <is>
          <t>Market Cap.</t>
        </is>
      </c>
      <c r="C5" s="13">
        <f>C3*C4</f>
        <v>373.53440176</v>
      </c>
      <c r="F5" s="1" t="n"/>
    </row>
    <row r="6"/>
    <row r="7">
      <c r="B7" t="inlineStr">
        <is>
          <t>Cash</t>
        </is>
      </c>
      <c r="C7" s="21">
        <f>31.806+167.621</f>
        <v>199.42700000000002</v>
      </c>
    </row>
    <row r="8">
      <c r="B8" t="inlineStr">
        <is>
          <t>Debt</t>
        </is>
      </c>
      <c r="C8" s="21" t="n">
        <v>24.883</v>
      </c>
    </row>
    <row r="9">
      <c r="B9" t="inlineStr">
        <is>
          <t>Enterprise V.</t>
        </is>
      </c>
      <c r="C9" s="13">
        <f>C5-C7+C8</f>
        <v>198.99040175999997</v>
      </c>
    </row>
    <row r="10"/>
    <row r="11">
      <c r="B11" s="14" t="inlineStr">
        <is>
          <t>Net Cash / Share</t>
        </is>
      </c>
      <c r="C11" s="11">
        <f>(C7-C8)/C4</f>
        <v>2.822352519694731</v>
      </c>
    </row>
    <row r="12">
      <c r="B12" s="14" t="inlineStr">
        <is>
          <t>Upside</t>
        </is>
      </c>
      <c r="C12" s="15">
        <f>IFERROR(C11/C3-1,"")</f>
        <v>-0.5327230927657729</v>
      </c>
    </row>
    <row r="13">
      <c r="B13" s="14" t="inlineStr">
        <is>
          <t>Cash / Share</t>
        </is>
      </c>
      <c r="C13" s="11">
        <f>IFERROR((C7-C8)/C4,"")</f>
        <v>2.822352519694731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-158.751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1.0994828379033834</v>
      </c>
    </row>
    <row r="19">
      <c r="B19" s="14" t="inlineStr">
        <is>
          <t>Implied Pipeline Value</t>
        </is>
      </c>
      <c r="C19" s="13">
        <f>C9</f>
        <v>198.99040175999997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2023</v>
      </c>
      <c r="C1" s="17" t="n">
        <v>2024</v>
      </c>
      <c r="D1" s="17" t="n">
        <v>2025</v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49.923</v>
      </c>
      <c r="C5" s="23" t="n">
        <v>112.473</v>
      </c>
      <c r="D5" s="23" t="n">
        <v>133.72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12.483</v>
      </c>
      <c r="C6" s="23" t="n">
        <v>30.131</v>
      </c>
      <c r="D6" s="23" t="n">
        <v>36.107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62.406000000000006</v>
      </c>
      <c r="C7" s="23">
        <f>SUM(C5:C6)</f>
        <v>142.60399999999998</v>
      </c>
      <c r="D7" s="23">
        <f>SUM(D5:D6)</f>
        <v>169.827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-62.406000000000006</v>
      </c>
      <c r="C8" s="23">
        <f>C4-C7</f>
        <v>-142.60399999999998</v>
      </c>
      <c r="D8" s="23">
        <f>D4-D7</f>
        <v>-169.827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2.04</v>
      </c>
      <c r="C9" s="23" t="n">
        <v>15.127</v>
      </c>
      <c r="D9" s="23" t="n">
        <v>8.52</v>
      </c>
    </row>
    <row r="10">
      <c r="A10" s="2" t="inlineStr">
        <is>
          <t>Pretax</t>
        </is>
      </c>
      <c r="B10" s="23">
        <f>B8+B9</f>
        <v>-60.36600000000001</v>
      </c>
      <c r="C10" s="23">
        <f>C8+C9</f>
        <v>-127.47699999999999</v>
      </c>
      <c r="D10" s="23">
        <f>D8+D9</f>
        <v>-161.307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</row>
    <row r="12">
      <c r="A12" s="2" t="inlineStr">
        <is>
          <t>Net Income</t>
        </is>
      </c>
      <c r="B12" s="23" t="n">
        <v>-60.366</v>
      </c>
      <c r="C12" s="23" t="n">
        <v>-127.477</v>
      </c>
      <c r="D12" s="23" t="n">
        <v>-161.307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-1.572195020314616</v>
      </c>
      <c r="C13" s="11">
        <f>IFERROR(C12/C14,0)</f>
        <v>-3.3253423764184165</v>
      </c>
      <c r="D13" s="11">
        <f>IFERROR(D12/D14,0)</f>
        <v>-3.644532309082693</v>
      </c>
    </row>
    <row r="14">
      <c r="A14" s="2" t="inlineStr">
        <is>
          <t>Shares</t>
        </is>
      </c>
      <c r="B14" s="23" t="n">
        <v>38.396</v>
      </c>
      <c r="C14" s="23" t="n">
        <v>38.335</v>
      </c>
      <c r="D14" s="23" t="n">
        <v>44.26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2026-10-21T01:05:19Z</dcterms:modified>
  <cp:lastModifiedBy>Wang, Eric</cp:lastModifiedBy>
</cp:coreProperties>
</file>