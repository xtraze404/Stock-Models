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(Dec 18, 2026)</a:t>
            </a:r>
          </a:p>
        </rich>
      </tx>
    </title>
    <plotArea>
      <scatterChart>
        <ser>
          <idx val="0"/>
          <order val="0"/>
          <tx>
            <strRef>
              <f>'Options'!B58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'Options'!$A$59:$A$89</f>
            </numRef>
          </xVal>
          <yVal>
            <numRef>
              <f>'Options'!$B$59:$B$89</f>
            </numRef>
          </yVal>
        </ser>
        <ser>
          <idx val="1"/>
          <order val="1"/>
          <tx>
            <strRef>
              <f>'Options'!C58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'Options'!$A$59:$A$89</f>
            </numRef>
          </xVal>
          <yVal>
            <numRef>
              <f>'Options'!$C$59:$C$89</f>
            </numRef>
          </yVal>
        </ser>
        <ser>
          <idx val="2"/>
          <order val="2"/>
          <tx>
            <strRef>
              <f>'Options'!D58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'Options'!$A$59:$A$89</f>
            </numRef>
          </xVal>
          <yVal>
            <numRef>
              <f>'Options'!$D$59:$D$89</f>
            </numRef>
          </yVal>
        </ser>
        <ser>
          <idx val="3"/>
          <order val="3"/>
          <tx>
            <strRef>
              <f>'Options'!E58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'Options'!$A$59:$A$89</f>
            </numRef>
          </xVal>
          <yVal>
            <numRef>
              <f>'Options'!$E$59:$E$89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PYPD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57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PolyPid Ltd</t>
        </is>
      </c>
      <c r="C2" s="10" t="n"/>
    </row>
    <row r="3">
      <c r="B3" t="inlineStr">
        <is>
          <t>Price</t>
        </is>
      </c>
      <c r="C3" s="11">
        <f>INDEX([1]Pharma!$F$1:$F$1000,MATCH("PYPD",[1]Pharma!$B$1:$B$1000,0))</f>
        <v>5.15</v>
      </c>
      <c r="F3" s="1" t="n"/>
    </row>
    <row r="4">
      <c r="B4" t="inlineStr">
        <is>
          <t>Shares</t>
        </is>
      </c>
      <c r="C4" s="12">
        <f>20.311766+2.828319</f>
        <v>23.140085</v>
      </c>
      <c r="F4" s="1" t="n"/>
    </row>
    <row r="5">
      <c r="B5" t="inlineStr">
        <is>
          <t>Market Cap.</t>
        </is>
      </c>
      <c r="C5" s="1">
        <f>C3*C4</f>
        <v>119.17143775000001</v>
      </c>
      <c r="F5" s="1" t="n"/>
    </row>
    <row r="6"/>
    <row r="7">
      <c r="B7" t="inlineStr">
        <is>
          <t>Cash</t>
        </is>
      </c>
      <c r="C7" s="12">
        <f>6.563+30</f>
        <v>36.563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82.60843775000001</v>
      </c>
    </row>
    <row r="11">
      <c r="B11" s="13" t="inlineStr">
        <is>
          <t>rNPV / Share</t>
        </is>
      </c>
      <c r="C11" s="11">
        <f>NPV!C43</f>
        <v>7.069712564981416</v>
      </c>
    </row>
    <row r="12">
      <c r="B12" s="13" t="inlineStr">
        <is>
          <t>Upside</t>
        </is>
      </c>
      <c r="C12" s="14">
        <f>C11/C3-1</f>
        <v>0.37275972135561464</v>
      </c>
    </row>
    <row r="13">
      <c r="B13" s="13" t="inlineStr">
        <is>
          <t>Cash / Share</t>
        </is>
      </c>
      <c r="C13" s="11">
        <f>(C7-C8)/C4</f>
        <v>1.580071983313804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46354</v>
      </c>
    </row>
    <row r="17">
      <c r="B17" s="13" t="inlineStr">
        <is>
          <t>P(Approval)</t>
        </is>
      </c>
      <c r="C17" s="16">
        <f>Assumptions!$B$32</f>
        <v>0.8</v>
      </c>
    </row>
    <row r="18">
      <c r="B18" s="13" t="inlineStr">
        <is>
          <t>If Approved</t>
        </is>
      </c>
      <c r="C18" s="11">
        <f>Assumptions!$D$94</f>
        <v>7.46732439280706</v>
      </c>
    </row>
    <row r="19">
      <c r="B19" s="13" t="inlineStr">
        <is>
          <t>If CRL</t>
        </is>
      </c>
      <c r="C19" s="11">
        <f>Assumptions!$D$93</f>
        <v>5.381269660919994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>
        <f>SUM('Quarterly Model'!F2:I2)</f>
        <v>0.0</v>
      </c>
      <c r="H2" s="18">
        <f>Pipeline!C27</f>
        <v>35.52</v>
      </c>
      <c r="I2" s="18">
        <f>Pipeline!D27</f>
        <v>10.3</v>
      </c>
      <c r="J2" s="18">
        <f>Pipeline!E27</f>
        <v>24.918</v>
      </c>
      <c r="K2" s="18">
        <f>Pipeline!F27</f>
        <v>50.95</v>
      </c>
      <c r="L2" s="18">
        <f>Pipeline!G27</f>
        <v>40.989999999999995</v>
      </c>
      <c r="M2" s="18">
        <f>Pipeline!H27</f>
        <v>71.468</v>
      </c>
      <c r="N2" s="18">
        <f>Pipeline!I27</f>
        <v>53.479600000000005</v>
      </c>
      <c r="O2" s="18">
        <f>Pipeline!J27</f>
        <v>78.1104</v>
      </c>
      <c r="P2" s="18">
        <f>Pipeline!K27</f>
        <v>55.48</v>
      </c>
      <c r="Q2" s="18">
        <f>Pipeline!L27</f>
        <v>58.48</v>
      </c>
      <c r="R2" s="18">
        <f>Pipeline!M27</f>
        <v>55.48</v>
      </c>
      <c r="S2" s="18">
        <f>Pipeline!N27</f>
        <v>55.48</v>
      </c>
      <c r="T2" s="18">
        <f>Pipeline!O27</f>
        <v>55.48</v>
      </c>
      <c r="U2" s="18">
        <f>Pipeline!P27</f>
        <v>55.48</v>
      </c>
      <c r="V2" s="18">
        <f>Pipeline!Q27</f>
        <v>27.74</v>
      </c>
      <c r="W2" s="18">
        <f>Pipeline!R27</f>
        <v>13.87</v>
      </c>
      <c r="X2" s="18">
        <f>Pipeline!S27</f>
        <v>6.935</v>
      </c>
      <c r="Y2" s="18">
        <f>Pipeline!T27</f>
        <v>3.4675</v>
      </c>
      <c r="Z2" s="18">
        <f>Pipeline!U27</f>
        <v>1.73375</v>
      </c>
      <c r="AA2" s="18">
        <f>Pipeline!V27</f>
        <v>0.866875</v>
      </c>
      <c r="AB2" s="18">
        <f>Pipeline!W27</f>
        <v>0.4334375</v>
      </c>
      <c r="AC2" s="18">
        <f>Pipeline!X27</f>
        <v>0.21671875</v>
      </c>
      <c r="AD2" s="18">
        <f>Pipeline!Y27</f>
        <v>0.108359375</v>
      </c>
      <c r="AE2" s="18">
        <f>Pipeline!Z27</f>
        <v>0.0541796875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Pipeline!C28</f>
        <v>0.0</v>
      </c>
      <c r="I3" s="18">
        <f>Pipeline!D28</f>
        <v>0.0</v>
      </c>
      <c r="J3" s="18">
        <f>Pipeline!E28</f>
        <v>0.0</v>
      </c>
      <c r="K3" s="18">
        <f>Pipeline!F28</f>
        <v>0.0</v>
      </c>
      <c r="L3" s="18">
        <f>Pipeline!G28</f>
        <v>0.0</v>
      </c>
      <c r="M3" s="18">
        <f>Pipeline!H28</f>
        <v>0.0</v>
      </c>
      <c r="N3" s="18">
        <f>Pipeline!I28</f>
        <v>0.0</v>
      </c>
      <c r="O3" s="18">
        <f>Pipeline!J28</f>
        <v>0.0</v>
      </c>
      <c r="P3" s="18">
        <f>Pipeline!K28</f>
        <v>0.0</v>
      </c>
      <c r="Q3" s="18">
        <f>Pipeline!L28</f>
        <v>0.0</v>
      </c>
      <c r="R3" s="18">
        <f>Pipeline!M28</f>
        <v>0.0</v>
      </c>
      <c r="S3" s="18">
        <f>Pipeline!N28</f>
        <v>0.0</v>
      </c>
      <c r="T3" s="18">
        <f>Pipeline!O28</f>
        <v>0.0</v>
      </c>
      <c r="U3" s="18">
        <f>Pipeline!P28</f>
        <v>0.0</v>
      </c>
      <c r="V3" s="18">
        <f>Pipeline!Q28</f>
        <v>0.0</v>
      </c>
      <c r="W3" s="18">
        <f>Pipeline!R28</f>
        <v>0.0</v>
      </c>
      <c r="X3" s="18">
        <f>Pipeline!S28</f>
        <v>0.0</v>
      </c>
      <c r="Y3" s="18">
        <f>Pipeline!T28</f>
        <v>0.0</v>
      </c>
      <c r="Z3" s="18">
        <f>Pipeline!U28</f>
        <v>0.0</v>
      </c>
      <c r="AA3" s="18">
        <f>Pipeline!V28</f>
        <v>0.0</v>
      </c>
      <c r="AB3" s="18">
        <f>Pipeline!W28</f>
        <v>0.0</v>
      </c>
      <c r="AC3" s="18">
        <f>Pipeline!X28</f>
        <v>0.0</v>
      </c>
      <c r="AD3" s="18">
        <f>Pipeline!Y28</f>
        <v>0.0</v>
      </c>
      <c r="AE3" s="18">
        <f>Pipeline!Z28</f>
        <v>0.0</v>
      </c>
    </row>
    <row r="4" customFormat="1" s="1">
      <c r="A4" s="5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35.52</v>
      </c>
      <c r="I4" s="18">
        <f>I2-I3</f>
        <v>10.3</v>
      </c>
      <c r="J4" s="18">
        <f>J2-J3</f>
        <v>24.918</v>
      </c>
      <c r="K4" s="18">
        <f>K2-K3</f>
        <v>50.95</v>
      </c>
      <c r="L4" s="18">
        <f>L2-L3</f>
        <v>40.989999999999995</v>
      </c>
      <c r="M4" s="18">
        <f>M2-M3</f>
        <v>71.468</v>
      </c>
      <c r="N4" s="18">
        <f>N2-N3</f>
        <v>53.479600000000005</v>
      </c>
      <c r="O4" s="18">
        <f>O2-O3</f>
        <v>78.1104</v>
      </c>
      <c r="P4" s="18">
        <f>P2-P3</f>
        <v>55.48</v>
      </c>
      <c r="Q4" s="18">
        <f>Q2-Q3</f>
        <v>58.48</v>
      </c>
      <c r="R4" s="18">
        <f>R2-R3</f>
        <v>55.48</v>
      </c>
      <c r="S4" s="18">
        <f>S2-S3</f>
        <v>55.48</v>
      </c>
      <c r="T4" s="18">
        <f>T2-T3</f>
        <v>55.48</v>
      </c>
      <c r="U4" s="18">
        <f>U2-U3</f>
        <v>55.48</v>
      </c>
      <c r="V4" s="18">
        <f>V2-V3</f>
        <v>27.74</v>
      </c>
      <c r="W4" s="18">
        <f>W2-W3</f>
        <v>13.87</v>
      </c>
      <c r="X4" s="18">
        <f>X2-X3</f>
        <v>6.935</v>
      </c>
      <c r="Y4" s="18">
        <f>Y2-Y3</f>
        <v>3.4675</v>
      </c>
      <c r="Z4" s="18">
        <f>Z2-Z3</f>
        <v>1.73375</v>
      </c>
      <c r="AA4" s="18">
        <f>AA2-AA3</f>
        <v>0.866875</v>
      </c>
      <c r="AB4" s="18">
        <f>AB2-AB3</f>
        <v>0.4334375</v>
      </c>
      <c r="AC4" s="18">
        <f>AC2-AC3</f>
        <v>0.21671875</v>
      </c>
      <c r="AD4" s="18">
        <f>AD2-AD3</f>
        <v>0.108359375</v>
      </c>
      <c r="AE4" s="18">
        <f>AE2-AE3</f>
        <v>0.0541796875</v>
      </c>
    </row>
    <row r="5">
      <c r="A5" s="2" t="inlineStr">
        <is>
          <t>Research &amp; Dev.</t>
        </is>
      </c>
      <c r="B5" s="18" t="n">
        <v>30.553</v>
      </c>
      <c r="C5" s="18" t="n">
        <v>27.99</v>
      </c>
      <c r="D5" s="18" t="n">
        <v>16.148</v>
      </c>
      <c r="E5" s="18" t="n">
        <v>22.811</v>
      </c>
      <c r="F5" s="18" t="n">
        <v>23.807</v>
      </c>
      <c r="G5" s="18">
        <f>SUM('Quarterly Model'!F5:I5)</f>
        <v>23.881</v>
      </c>
      <c r="H5" s="18">
        <f>Pipeline!C31</f>
        <v>12.16</v>
      </c>
      <c r="I5" s="18">
        <f>Pipeline!D31</f>
        <v>7.3148</v>
      </c>
      <c r="J5" s="18">
        <f>Pipeline!E31</f>
        <v>5.474244</v>
      </c>
      <c r="K5" s="18">
        <f>Pipeline!F31</f>
        <v>5.638471320000001</v>
      </c>
      <c r="L5" s="18">
        <f>Pipeline!G31</f>
        <v>5.807625459600001</v>
      </c>
      <c r="M5" s="18">
        <f>Pipeline!H31</f>
        <v>5.981854223388002</v>
      </c>
      <c r="N5" s="18">
        <f>Pipeline!I31</f>
        <v>6.1613098500896415</v>
      </c>
      <c r="O5" s="18">
        <f>Pipeline!J31</f>
        <v>6.346149145592332</v>
      </c>
      <c r="P5" s="18">
        <f>Pipeline!K31</f>
        <v>6.536533619960101</v>
      </c>
      <c r="Q5" s="18">
        <f>Pipeline!L31</f>
        <v>6.732629628558904</v>
      </c>
      <c r="R5" s="18">
        <f>Pipeline!M31</f>
        <v>6.934608517415671</v>
      </c>
      <c r="S5" s="18">
        <f>Pipeline!N31</f>
        <v>7.142646772938143</v>
      </c>
      <c r="T5" s="18">
        <f>Pipeline!O31</f>
        <v>7.3569261761262865</v>
      </c>
      <c r="U5" s="18">
        <f>Pipeline!P31</f>
        <v>7.577633961410075</v>
      </c>
      <c r="V5" s="18">
        <f>Pipeline!Q31</f>
        <v>7.804962980252378</v>
      </c>
      <c r="W5" s="18">
        <f>Pipeline!R31</f>
        <v>0.8321999999999999</v>
      </c>
      <c r="X5" s="18">
        <f>Pipeline!S31</f>
        <v>0.41609999999999997</v>
      </c>
      <c r="Y5" s="18">
        <f>Pipeline!T31</f>
        <v>0.20804999999999998</v>
      </c>
      <c r="Z5" s="18">
        <f>Pipeline!U31</f>
        <v>0.10402499999999999</v>
      </c>
      <c r="AA5" s="18">
        <f>Pipeline!V31</f>
        <v>0.052012499999999996</v>
      </c>
      <c r="AB5" s="18">
        <f>Pipeline!W31</f>
        <v>0.026006249999999998</v>
      </c>
      <c r="AC5" s="18">
        <f>Pipeline!X31</f>
        <v>0.013003124999999999</v>
      </c>
      <c r="AD5" s="18">
        <f>Pipeline!Y31</f>
        <v>0.0065015624999999995</v>
      </c>
      <c r="AE5" s="18">
        <f>Pipeline!Z31</f>
        <v>0.0032507812499999998</v>
      </c>
    </row>
    <row r="6">
      <c r="A6" s="2" t="inlineStr">
        <is>
          <t>General &amp; Admin</t>
        </is>
      </c>
      <c r="B6" s="18" t="n">
        <v>12.592</v>
      </c>
      <c r="C6" s="18" t="n">
        <v>10.898</v>
      </c>
      <c r="D6" s="18" t="n">
        <v>6.719</v>
      </c>
      <c r="E6" s="18" t="n">
        <v>5.218</v>
      </c>
      <c r="F6" s="18" t="n">
        <v>9.16</v>
      </c>
      <c r="G6" s="18">
        <f>SUM('Quarterly Model'!F6:I6)</f>
        <v>8.328</v>
      </c>
      <c r="H6" s="18">
        <f>Pipeline!C34</f>
        <v>6.0200000000000005</v>
      </c>
      <c r="I6" s="18">
        <f>Pipeline!D34</f>
        <v>6.2006000000000006</v>
      </c>
      <c r="J6" s="18">
        <f>Pipeline!E34</f>
        <v>6.386618</v>
      </c>
      <c r="K6" s="18">
        <f>Pipeline!F34</f>
        <v>6.578216540000001</v>
      </c>
      <c r="L6" s="18">
        <f>Pipeline!G34</f>
        <v>6.775563036200001</v>
      </c>
      <c r="M6" s="18">
        <f>Pipeline!H34</f>
        <v>6.978829927286001</v>
      </c>
      <c r="N6" s="18">
        <f>Pipeline!I34</f>
        <v>7.188194825104582</v>
      </c>
      <c r="O6" s="18">
        <f>Pipeline!J34</f>
        <v>7.403840669857719</v>
      </c>
      <c r="P6" s="18">
        <f>Pipeline!K34</f>
        <v>7.625955889953452</v>
      </c>
      <c r="Q6" s="18">
        <f>Pipeline!L34</f>
        <v>7.854734566652056</v>
      </c>
      <c r="R6" s="18">
        <f>Pipeline!M34</f>
        <v>8.090376603651617</v>
      </c>
      <c r="S6" s="18">
        <f>Pipeline!N34</f>
        <v>8.333087901761166</v>
      </c>
      <c r="T6" s="18">
        <f>Pipeline!O34</f>
        <v>8.583080538814</v>
      </c>
      <c r="U6" s="18">
        <f>Pipeline!P34</f>
        <v>8.840572954978422</v>
      </c>
      <c r="V6" s="18">
        <f>Pipeline!Q34</f>
        <v>9.105790143627775</v>
      </c>
      <c r="W6" s="18">
        <f>Pipeline!R34</f>
        <v>1.1096</v>
      </c>
      <c r="X6" s="18">
        <f>Pipeline!S34</f>
        <v>0.5548</v>
      </c>
      <c r="Y6" s="18">
        <f>Pipeline!T34</f>
        <v>0.2774</v>
      </c>
      <c r="Z6" s="18">
        <f>Pipeline!U34</f>
        <v>0.1387</v>
      </c>
      <c r="AA6" s="18">
        <f>Pipeline!V34</f>
        <v>0.06935</v>
      </c>
      <c r="AB6" s="18">
        <f>Pipeline!W34</f>
        <v>0.034675</v>
      </c>
      <c r="AC6" s="18">
        <f>Pipeline!X34</f>
        <v>0.0173375</v>
      </c>
      <c r="AD6" s="18">
        <f>Pipeline!Y34</f>
        <v>0.00866875</v>
      </c>
      <c r="AE6" s="18">
        <f>Pipeline!Z34</f>
        <v>0.004334375</v>
      </c>
    </row>
    <row r="7">
      <c r="A7" s="2" t="inlineStr">
        <is>
          <t>Operating Expense</t>
        </is>
      </c>
      <c r="B7" s="18">
        <f>SUM(B5:B6)</f>
        <v>43.145</v>
      </c>
      <c r="C7" s="18">
        <f>SUM(C5:C6)</f>
        <v>38.888</v>
      </c>
      <c r="D7" s="18">
        <f>SUM(D5:D6)</f>
        <v>22.867</v>
      </c>
      <c r="E7" s="18">
        <f>SUM(E5:E6)</f>
        <v>28.029</v>
      </c>
      <c r="F7" s="18">
        <f>SUM(F5:F6)</f>
        <v>32.967</v>
      </c>
      <c r="G7" s="18">
        <f>SUM(G5:G6)</f>
        <v>32.209</v>
      </c>
      <c r="H7" s="18">
        <f>SUM(H5:H6)</f>
        <v>18.18</v>
      </c>
      <c r="I7" s="18">
        <f>SUM(I5:I6)</f>
        <v>13.5154</v>
      </c>
      <c r="J7" s="18">
        <f>SUM(J5:J6)</f>
        <v>11.860862000000001</v>
      </c>
      <c r="K7" s="18">
        <f>SUM(K5:K6)</f>
        <v>12.21668786</v>
      </c>
      <c r="L7" s="18">
        <f>SUM(L5:L6)</f>
        <v>12.583188495800002</v>
      </c>
      <c r="M7" s="18">
        <f>SUM(M5:M6)</f>
        <v>12.960684150674002</v>
      </c>
      <c r="N7" s="18">
        <f>SUM(N5:N6)</f>
        <v>13.349504675194224</v>
      </c>
      <c r="O7" s="18">
        <f>SUM(O5:O6)</f>
        <v>13.74998981545005</v>
      </c>
      <c r="P7" s="18">
        <f>SUM(P5:P6)</f>
        <v>14.162489509913552</v>
      </c>
      <c r="Q7" s="18">
        <f>SUM(Q5:Q6)</f>
        <v>14.58736419521096</v>
      </c>
      <c r="R7" s="18">
        <f>SUM(R5:R6)</f>
        <v>15.024985121067289</v>
      </c>
      <c r="S7" s="18">
        <f>SUM(S5:S6)</f>
        <v>15.475734674699309</v>
      </c>
      <c r="T7" s="18">
        <f>SUM(T5:T6)</f>
        <v>15.940006714940287</v>
      </c>
      <c r="U7" s="18">
        <f>SUM(U5:U6)</f>
        <v>16.418206916388495</v>
      </c>
      <c r="V7" s="18">
        <f>SUM(V5:V6)</f>
        <v>16.910753123880152</v>
      </c>
      <c r="W7" s="18">
        <f>SUM(W5:W6)</f>
        <v>1.9417999999999997</v>
      </c>
      <c r="X7" s="18">
        <f>SUM(X5:X6)</f>
        <v>0.9708999999999999</v>
      </c>
      <c r="Y7" s="18">
        <f>SUM(Y5:Y6)</f>
        <v>0.48544999999999994</v>
      </c>
      <c r="Z7" s="18">
        <f>SUM(Z5:Z6)</f>
        <v>0.24272499999999997</v>
      </c>
      <c r="AA7" s="18">
        <f>SUM(AA5:AA6)</f>
        <v>0.12136249999999998</v>
      </c>
      <c r="AB7" s="18">
        <f>SUM(AB5:AB6)</f>
        <v>0.06068124999999999</v>
      </c>
      <c r="AC7" s="18">
        <f>SUM(AC5:AC6)</f>
        <v>0.030340624999999996</v>
      </c>
      <c r="AD7" s="18">
        <f>SUM(AD5:AD6)</f>
        <v>0.015170312499999998</v>
      </c>
      <c r="AE7" s="18">
        <f>SUM(AE5:AE6)</f>
        <v>0.007585156249999999</v>
      </c>
    </row>
    <row r="8">
      <c r="A8" s="2" t="inlineStr">
        <is>
          <t>Operating Income</t>
        </is>
      </c>
      <c r="B8" s="18">
        <f>B4-B7</f>
        <v>-43.145</v>
      </c>
      <c r="C8" s="18">
        <f>C4-C7</f>
        <v>-38.888</v>
      </c>
      <c r="D8" s="18">
        <f>D4-D7</f>
        <v>-22.867</v>
      </c>
      <c r="E8" s="18">
        <f>E4-E7</f>
        <v>-28.029</v>
      </c>
      <c r="F8" s="18">
        <f>F4-F7</f>
        <v>-32.967</v>
      </c>
      <c r="G8" s="18">
        <f>G4-G7</f>
        <v>-32.209</v>
      </c>
      <c r="H8" s="18">
        <f>H4-H7</f>
        <v>17.340000000000003</v>
      </c>
      <c r="I8" s="18">
        <f>I4-I7</f>
        <v>-3.215399999999999</v>
      </c>
      <c r="J8" s="18">
        <f>J4-J7</f>
        <v>13.057137999999998</v>
      </c>
      <c r="K8" s="18">
        <f>K4-K7</f>
        <v>38.73331214</v>
      </c>
      <c r="L8" s="18">
        <f>L4-L7</f>
        <v>28.406811504199993</v>
      </c>
      <c r="M8" s="18">
        <f>M4-M7</f>
        <v>58.507315849326005</v>
      </c>
      <c r="N8" s="18">
        <f>N4-N7</f>
        <v>40.13009532480578</v>
      </c>
      <c r="O8" s="18">
        <f>O4-O7</f>
        <v>64.36041018454995</v>
      </c>
      <c r="P8" s="18">
        <f>P4-P7</f>
        <v>41.31751049008645</v>
      </c>
      <c r="Q8" s="18">
        <f>Q4-Q7</f>
        <v>43.89263580478904</v>
      </c>
      <c r="R8" s="18">
        <f>R4-R7</f>
        <v>40.45501487893271</v>
      </c>
      <c r="S8" s="18">
        <f>S4-S7</f>
        <v>40.004265325300686</v>
      </c>
      <c r="T8" s="18">
        <f>T4-T7</f>
        <v>39.53999328505971</v>
      </c>
      <c r="U8" s="18">
        <f>U4-U7</f>
        <v>39.061793083611505</v>
      </c>
      <c r="V8" s="18">
        <f>V4-V7</f>
        <v>10.829246876119846</v>
      </c>
      <c r="W8" s="18">
        <f>W4-W7</f>
        <v>11.9282</v>
      </c>
      <c r="X8" s="18">
        <f>X4-X7</f>
        <v>5.9641</v>
      </c>
      <c r="Y8" s="18">
        <f>Y4-Y7</f>
        <v>2.98205</v>
      </c>
      <c r="Z8" s="18">
        <f>Z4-Z7</f>
        <v>1.491025</v>
      </c>
      <c r="AA8" s="18">
        <f>AA4-AA7</f>
        <v>0.7455125</v>
      </c>
      <c r="AB8" s="18">
        <f>AB4-AB7</f>
        <v>0.37275625</v>
      </c>
      <c r="AC8" s="18">
        <f>AC4-AC7</f>
        <v>0.186378125</v>
      </c>
      <c r="AD8" s="18">
        <f>AD4-AD7</f>
        <v>0.0931890625</v>
      </c>
      <c r="AE8" s="18">
        <f>AE4-AE7</f>
        <v>0.04659453125</v>
      </c>
    </row>
    <row r="9">
      <c r="A9" s="19" t="inlineStr">
        <is>
          <t>Interest &amp; Other</t>
        </is>
      </c>
      <c r="B9" s="18" t="n">
        <v>0.544</v>
      </c>
      <c r="C9" s="18" t="n">
        <v>-0.54</v>
      </c>
      <c r="D9" s="18" t="n">
        <v>-0.929</v>
      </c>
      <c r="E9" s="18" t="n">
        <v>-0.951</v>
      </c>
      <c r="F9" s="18" t="n">
        <v>-1.197</v>
      </c>
      <c r="G9" s="18">
        <f>SUM('Quarterly Model'!F9:I9)</f>
        <v>0.36600807617187503</v>
      </c>
      <c r="H9" s="18">
        <f>Assumptions!$B$16*MAX(0,G20)-Assumptions!$B$17*Main!$C$8</f>
        <v>0.7609128028564454</v>
      </c>
      <c r="I9" s="18">
        <f>Assumptions!$B$16*MAX(0,H20)-Assumptions!$B$17*Main!$C$8</f>
        <v>1.439697032963562</v>
      </c>
      <c r="J9" s="18">
        <f>Assumptions!$B$16*MAX(0,I20)-Assumptions!$B$17*Main!$C$8</f>
        <v>1.3731081716996958</v>
      </c>
      <c r="K9" s="18">
        <f>Assumptions!$B$16*MAX(0,J20)-Assumptions!$B$17*Main!$C$8</f>
        <v>1.9142424031384342</v>
      </c>
      <c r="L9" s="18">
        <f>Assumptions!$B$16*MAX(0,K20)-Assumptions!$B$17*Main!$C$8</f>
        <v>3.4385256985061257</v>
      </c>
      <c r="M9" s="18">
        <f>Assumptions!$B$16*MAX(0,L20)-Assumptions!$B$17*Main!$C$8</f>
        <v>4.632725843607605</v>
      </c>
      <c r="N9" s="18">
        <f>Assumptions!$B$16*MAX(0,M20)-Assumptions!$B$17*Main!$C$8</f>
        <v>7.000477407092615</v>
      </c>
      <c r="O9" s="18">
        <f>Assumptions!$B$16*MAX(0,N20)-Assumptions!$B$17*Main!$C$8</f>
        <v>8.767873884538805</v>
      </c>
      <c r="P9" s="18">
        <f>Assumptions!$B$16*MAX(0,O20)-Assumptions!$B$17*Main!$C$8</f>
        <v>11.468747843589817</v>
      </c>
      <c r="Q9" s="18">
        <f>Assumptions!$B$16*MAX(0,P20)-Assumptions!$B$17*Main!$C$8</f>
        <v>12.99295105297472</v>
      </c>
      <c r="R9" s="18">
        <f>Assumptions!$B$16*MAX(0,Q20)-Assumptions!$B$17*Main!$C$8</f>
        <v>14.635522373492648</v>
      </c>
      <c r="S9" s="18">
        <f>Assumptions!$B$16*MAX(0,R20)-Assumptions!$B$17*Main!$C$8</f>
        <v>16.22626163665643</v>
      </c>
      <c r="T9" s="18">
        <f>Assumptions!$B$16*MAX(0,S20)-Assumptions!$B$17*Main!$C$8</f>
        <v>17.849918102682942</v>
      </c>
      <c r="U9" s="18">
        <f>Assumptions!$B$16*MAX(0,T20)-Assumptions!$B$17*Main!$C$8</f>
        <v>19.507051794004013</v>
      </c>
      <c r="V9" s="18">
        <f>Assumptions!$B$16*MAX(0,U20)-Assumptions!$B$17*Main!$C$8</f>
        <v>21.198227189845163</v>
      </c>
      <c r="W9" s="18">
        <f>Assumptions!$B$16*MAX(0,V20)-Assumptions!$B$17*Main!$C$8</f>
        <v>22.123020503499905</v>
      </c>
      <c r="X9" s="18">
        <f>Assumptions!$B$16*MAX(0,W20)-Assumptions!$B$17*Main!$C$8</f>
        <v>23.106249495538464</v>
      </c>
      <c r="Y9" s="18">
        <f>Assumptions!$B$16*MAX(0,X20)-Assumptions!$B$17*Main!$C$8</f>
        <v>23.945655837222134</v>
      </c>
      <c r="Z9" s="18">
        <f>Assumptions!$B$16*MAX(0,Y20)-Assumptions!$B$17*Main!$C$8</f>
        <v>24.723193343271927</v>
      </c>
      <c r="AA9" s="18">
        <f>Assumptions!$B$16*MAX(0,Z20)-Assumptions!$B$17*Main!$C$8</f>
        <v>25.480128897933902</v>
      </c>
      <c r="AB9" s="18">
        <f>Assumptions!$B$16*MAX(0,AA20)-Assumptions!$B$17*Main!$C$8</f>
        <v>26.237394293299243</v>
      </c>
      <c r="AC9" s="18">
        <f>Assumptions!$B$16*MAX(0,AB20)-Assumptions!$B$17*Main!$C$8</f>
        <v>27.005762390237013</v>
      </c>
      <c r="AD9" s="18">
        <f>Assumptions!$B$16*MAX(0,AC20)-Assumptions!$B$17*Main!$C$8</f>
        <v>27.79093544761448</v>
      </c>
      <c r="AE9" s="18">
        <f>Assumptions!$B$16*MAX(0,AD20)-Assumptions!$B$17*Main!$C$8</f>
        <v>28.596089542844037</v>
      </c>
    </row>
    <row r="10">
      <c r="A10" s="2" t="inlineStr">
        <is>
          <t>Pretax</t>
        </is>
      </c>
      <c r="B10" s="18">
        <f>B8+B9</f>
        <v>-42.601000000000006</v>
      </c>
      <c r="C10" s="18">
        <f>C8+C9</f>
        <v>-39.428</v>
      </c>
      <c r="D10" s="18">
        <f>D8+D9</f>
        <v>-23.796</v>
      </c>
      <c r="E10" s="18">
        <f>E8+E9</f>
        <v>-28.98</v>
      </c>
      <c r="F10" s="18">
        <f>F8+F9</f>
        <v>-34.164</v>
      </c>
      <c r="G10" s="18">
        <f>G8+G9</f>
        <v>-31.842991923828126</v>
      </c>
      <c r="H10" s="18">
        <f>H8+H9</f>
        <v>18.10091280285645</v>
      </c>
      <c r="I10" s="18">
        <f>I8+I9</f>
        <v>-1.7757029670364368</v>
      </c>
      <c r="J10" s="18">
        <f>J8+J9</f>
        <v>14.430246171699695</v>
      </c>
      <c r="K10" s="18">
        <f>K8+K9</f>
        <v>40.64755454313843</v>
      </c>
      <c r="L10" s="18">
        <f>L8+L9</f>
        <v>31.84533720270612</v>
      </c>
      <c r="M10" s="18">
        <f>M8+M9</f>
        <v>63.14004169293361</v>
      </c>
      <c r="N10" s="18">
        <f>N8+N9</f>
        <v>47.1305727318984</v>
      </c>
      <c r="O10" s="18">
        <f>O8+O9</f>
        <v>73.12828406908875</v>
      </c>
      <c r="P10" s="18">
        <f>P8+P9</f>
        <v>52.786258333676265</v>
      </c>
      <c r="Q10" s="18">
        <f>Q8+Q9</f>
        <v>56.885586857763755</v>
      </c>
      <c r="R10" s="18">
        <f>R8+R9</f>
        <v>55.09053725242536</v>
      </c>
      <c r="S10" s="18">
        <f>S8+S9</f>
        <v>56.23052696195712</v>
      </c>
      <c r="T10" s="18">
        <f>T8+T9</f>
        <v>57.38991138774265</v>
      </c>
      <c r="U10" s="18">
        <f>U8+U9</f>
        <v>58.56884487761552</v>
      </c>
      <c r="V10" s="18">
        <f>V8+V9</f>
        <v>32.02747406596501</v>
      </c>
      <c r="W10" s="18">
        <f>W8+W9</f>
        <v>34.051220503499906</v>
      </c>
      <c r="X10" s="18">
        <f>X8+X9</f>
        <v>29.070349495538466</v>
      </c>
      <c r="Y10" s="18">
        <f>Y8+Y9</f>
        <v>26.927705837222135</v>
      </c>
      <c r="Z10" s="18">
        <f>Z8+Z9</f>
        <v>26.214218343271927</v>
      </c>
      <c r="AA10" s="18">
        <f>AA8+AA9</f>
        <v>26.225641397933902</v>
      </c>
      <c r="AB10" s="18">
        <f>AB8+AB9</f>
        <v>26.61015054329924</v>
      </c>
      <c r="AC10" s="18">
        <f>AC8+AC9</f>
        <v>27.192140515237014</v>
      </c>
      <c r="AD10" s="18">
        <f>AD8+AD9</f>
        <v>27.88412451011448</v>
      </c>
      <c r="AE10" s="18">
        <f>AE8+AE9</f>
        <v>28.64268407409404</v>
      </c>
    </row>
    <row r="11">
      <c r="A11" s="2" t="inlineStr">
        <is>
          <t>Taxes</t>
        </is>
      </c>
      <c r="B11" s="18" t="n">
        <v>0</v>
      </c>
      <c r="C11" s="18" t="n">
        <v>0.129</v>
      </c>
      <c r="D11" s="18" t="n">
        <v>0.06900000000000001</v>
      </c>
      <c r="E11" s="18" t="n">
        <v>0.042</v>
      </c>
      <c r="F11" s="18" t="n">
        <v>0.005</v>
      </c>
      <c r="G11" s="18">
        <f>SUM('Quarterly Model'!F11:I11)</f>
        <v>0.006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0.0</v>
      </c>
      <c r="O11" s="18">
        <f>MAX(0,O10-N21)*Assumptions!$B$15</f>
        <v>1.1049784943950811</v>
      </c>
      <c r="P11" s="18">
        <f>MAX(0,P10-O21)*Assumptions!$B$15</f>
        <v>12.140839416745541</v>
      </c>
      <c r="Q11" s="18">
        <f>MAX(0,Q10-P21)*Assumptions!$B$15</f>
        <v>13.083684977285664</v>
      </c>
      <c r="R11" s="18">
        <f>MAX(0,R10-Q21)*Assumptions!$B$15</f>
        <v>12.670823568057832</v>
      </c>
      <c r="S11" s="18">
        <f>MAX(0,S10-R21)*Assumptions!$B$15</f>
        <v>12.933021201250138</v>
      </c>
      <c r="T11" s="18">
        <f>MAX(0,T10-S21)*Assumptions!$B$15</f>
        <v>13.19967961918081</v>
      </c>
      <c r="U11" s="18">
        <f>MAX(0,U10-T21)*Assumptions!$B$15</f>
        <v>13.47083432185157</v>
      </c>
      <c r="V11" s="18">
        <f>MAX(0,V10-U21)*Assumptions!$B$15</f>
        <v>7.366319035171952</v>
      </c>
      <c r="W11" s="18">
        <f>MAX(0,W10-V21)*Assumptions!$B$15</f>
        <v>7.831780715804979</v>
      </c>
      <c r="X11" s="18">
        <f>MAX(0,X10-W21)*Assumptions!$B$15</f>
        <v>6.686180383973848</v>
      </c>
      <c r="Y11" s="18">
        <f>MAX(0,Y10-X21)*Assumptions!$B$15</f>
        <v>6.193372342561092</v>
      </c>
      <c r="Z11" s="18">
        <f>MAX(0,Z10-Y21)*Assumptions!$B$15</f>
        <v>6.029270218952544</v>
      </c>
      <c r="AA11" s="18">
        <f>MAX(0,AA10-Z21)*Assumptions!$B$15</f>
        <v>6.031897521524797</v>
      </c>
      <c r="AB11" s="18">
        <f>MAX(0,AB10-AA21)*Assumptions!$B$15</f>
        <v>6.120334624958826</v>
      </c>
      <c r="AC11" s="18">
        <f>MAX(0,AC10-AB21)*Assumptions!$B$15</f>
        <v>6.254192318504513</v>
      </c>
      <c r="AD11" s="18">
        <f>MAX(0,AD10-AC21)*Assumptions!$B$15</f>
        <v>6.41334863732633</v>
      </c>
      <c r="AE11" s="18">
        <f>MAX(0,AE10-AD21)*Assumptions!$B$15</f>
        <v>6.5878173370416295</v>
      </c>
    </row>
    <row r="12">
      <c r="A12" s="2" t="inlineStr">
        <is>
          <t>Net Income</t>
        </is>
      </c>
      <c r="B12" s="18" t="n">
        <v>-42.601</v>
      </c>
      <c r="C12" s="18" t="n">
        <v>-39.557</v>
      </c>
      <c r="D12" s="18" t="n">
        <v>-23.865</v>
      </c>
      <c r="E12" s="18" t="n">
        <v>-29.022</v>
      </c>
      <c r="F12" s="18" t="n">
        <v>-34.169</v>
      </c>
      <c r="G12" s="18">
        <f>G10-G11</f>
        <v>-31.848991923828127</v>
      </c>
      <c r="H12" s="18">
        <f>H10-H11</f>
        <v>18.10091280285645</v>
      </c>
      <c r="I12" s="18">
        <f>I10-I11</f>
        <v>-1.7757029670364368</v>
      </c>
      <c r="J12" s="18">
        <f>J10-J11</f>
        <v>14.430246171699695</v>
      </c>
      <c r="K12" s="18">
        <f>K10-K11</f>
        <v>40.64755454313843</v>
      </c>
      <c r="L12" s="18">
        <f>L10-L11</f>
        <v>31.84533720270612</v>
      </c>
      <c r="M12" s="18">
        <f>M10-M11</f>
        <v>63.14004169293361</v>
      </c>
      <c r="N12" s="18">
        <f>N10-N11</f>
        <v>47.1305727318984</v>
      </c>
      <c r="O12" s="18">
        <f>O10-O11</f>
        <v>72.02330557469367</v>
      </c>
      <c r="P12" s="18">
        <f>P10-P11</f>
        <v>40.64541891693072</v>
      </c>
      <c r="Q12" s="18">
        <f>Q10-Q11</f>
        <v>43.80190188047809</v>
      </c>
      <c r="R12" s="18">
        <f>R10-R11</f>
        <v>42.41971368436752</v>
      </c>
      <c r="S12" s="18">
        <f>S10-S11</f>
        <v>43.29750576070698</v>
      </c>
      <c r="T12" s="18">
        <f>T10-T11</f>
        <v>44.190231768561844</v>
      </c>
      <c r="U12" s="18">
        <f>U10-U11</f>
        <v>45.09801055576395</v>
      </c>
      <c r="V12" s="18">
        <f>V10-V11</f>
        <v>24.661155030793058</v>
      </c>
      <c r="W12" s="18">
        <f>W10-W11</f>
        <v>26.219439787694927</v>
      </c>
      <c r="X12" s="18">
        <f>X10-X11</f>
        <v>22.384169111564617</v>
      </c>
      <c r="Y12" s="18">
        <f>Y10-Y11</f>
        <v>20.734333494661044</v>
      </c>
      <c r="Z12" s="18">
        <f>Z10-Z11</f>
        <v>20.184948124319384</v>
      </c>
      <c r="AA12" s="18">
        <f>AA10-AA11</f>
        <v>20.193743876409105</v>
      </c>
      <c r="AB12" s="18">
        <f>AB10-AB11</f>
        <v>20.489815918340415</v>
      </c>
      <c r="AC12" s="18">
        <f>AC10-AC11</f>
        <v>20.9379481967325</v>
      </c>
      <c r="AD12" s="18">
        <f>AD10-AD11</f>
        <v>21.47077587278815</v>
      </c>
      <c r="AE12" s="18">
        <f>AE10-AE11</f>
        <v>22.054866737052407</v>
      </c>
    </row>
    <row r="13">
      <c r="A13" s="2" t="inlineStr">
        <is>
          <t>Earnings per Share</t>
        </is>
      </c>
      <c r="B13" s="11">
        <f>IFERROR(B12/B14,0)</f>
        <v>-68.27083333333333</v>
      </c>
      <c r="C13" s="11">
        <f>IFERROR(C12/C14,0)</f>
        <v>-61.04475308641975</v>
      </c>
      <c r="D13" s="11">
        <f>IFERROR(D12/D14,0)</f>
        <v>-16.7945109078114</v>
      </c>
      <c r="E13" s="11">
        <f>IFERROR(E12/E14,0)</f>
        <v>-4.908168442415017</v>
      </c>
      <c r="F13" s="11">
        <f>IFERROR(F12/F14,0)</f>
        <v>-2.089591487279843</v>
      </c>
      <c r="G13" s="11">
        <f>IFERROR(G12/G14,0)</f>
        <v>-1.3990332494543434</v>
      </c>
      <c r="H13" s="11">
        <f>IFERROR(H12/H14,0)</f>
        <v>0.7822319063588768</v>
      </c>
      <c r="I13" s="11">
        <f>IFERROR(I12/I14,0)</f>
        <v>-0.076737097855796</v>
      </c>
      <c r="J13" s="11">
        <f>IFERROR(J12/J14,0)</f>
        <v>0.6236038533004393</v>
      </c>
      <c r="K13" s="11">
        <f>IFERROR(K12/K14,0)</f>
        <v>1.7565862244299637</v>
      </c>
      <c r="L13" s="11">
        <f>IFERROR(L12/L14,0)</f>
        <v>1.3761979354313574</v>
      </c>
      <c r="M13" s="11">
        <f>IFERROR(M12/M14,0)</f>
        <v>2.7286002490022665</v>
      </c>
      <c r="N13" s="11">
        <f>IFERROR(N12/N14,0)</f>
        <v>2.0367501991413772</v>
      </c>
      <c r="O13" s="11">
        <f>IFERROR(O12/O14,0)</f>
        <v>3.1124909685808704</v>
      </c>
      <c r="P13" s="11">
        <f>IFERROR(P12/P14,0)</f>
        <v>1.7564939332301814</v>
      </c>
      <c r="Q13" s="11">
        <f>IFERROR(Q12/Q14,0)</f>
        <v>1.8929015118344679</v>
      </c>
      <c r="R13" s="11">
        <f>IFERROR(R12/R14,0)</f>
        <v>1.8331701756656262</v>
      </c>
      <c r="S13" s="11">
        <f>IFERROR(S12/S14,0)</f>
        <v>1.871104006779015</v>
      </c>
      <c r="T13" s="11">
        <f>IFERROR(T12/T14,0)</f>
        <v>1.909683208534534</v>
      </c>
      <c r="U13" s="11">
        <f>IFERROR(U12/U14,0)</f>
        <v>1.9489129169475372</v>
      </c>
      <c r="V13" s="11">
        <f>IFERROR(V12/V14,0)</f>
        <v>1.0657331220171862</v>
      </c>
      <c r="W13" s="11">
        <f>IFERROR(W12/W14,0)</f>
        <v>1.1330744803960282</v>
      </c>
      <c r="X13" s="11">
        <f>IFERROR(X12/X14,0)</f>
        <v>0.9673330548079067</v>
      </c>
      <c r="Y13" s="11">
        <f>IFERROR(Y12/Y14,0)</f>
        <v>0.8960353211607064</v>
      </c>
      <c r="Z13" s="11">
        <f>IFERROR(Z12/Z14,0)</f>
        <v>0.8722936032568327</v>
      </c>
      <c r="AA13" s="11">
        <f>IFERROR(AA12/AA14,0)</f>
        <v>0.872673712149679</v>
      </c>
      <c r="AB13" s="11">
        <f>IFERROR(AB12/AB14,0)</f>
        <v>0.8854684811374036</v>
      </c>
      <c r="AC13" s="11">
        <f>IFERROR(AC12/AC14,0)</f>
        <v>0.9048345413049477</v>
      </c>
      <c r="AD13" s="11">
        <f>IFERROR(AD12/AD14,0)</f>
        <v>0.9278607175724787</v>
      </c>
      <c r="AE13" s="11">
        <f>IFERROR(AE12/AE14,0)</f>
        <v>0.9531022352360593</v>
      </c>
    </row>
    <row r="14">
      <c r="A14" s="2" t="inlineStr">
        <is>
          <t>Shares</t>
        </is>
      </c>
      <c r="B14" s="18" t="n">
        <v>0.624</v>
      </c>
      <c r="C14" s="18" t="n">
        <v>0.648</v>
      </c>
      <c r="D14" s="18" t="n">
        <v>1.421</v>
      </c>
      <c r="E14" s="18" t="n">
        <v>5.913</v>
      </c>
      <c r="F14" s="18" t="n">
        <v>16.352</v>
      </c>
      <c r="G14" s="18">
        <f>AVERAGE('Quarterly Model'!F14:I14)</f>
        <v>22.765</v>
      </c>
      <c r="H14" s="18">
        <f>Main!$C$4*(1+Assumptions!$B$26)^(H1-2026)</f>
        <v>23.140085</v>
      </c>
      <c r="I14" s="18">
        <f>Main!$C$4*(1+Assumptions!$B$26)^(I1-2026)</f>
        <v>23.140085</v>
      </c>
      <c r="J14" s="18">
        <f>Main!$C$4*(1+Assumptions!$B$26)^(J1-2026)</f>
        <v>23.140085</v>
      </c>
      <c r="K14" s="18">
        <f>Main!$C$4*(1+Assumptions!$B$26)^(K1-2026)</f>
        <v>23.140085</v>
      </c>
      <c r="L14" s="18">
        <f>Main!$C$4*(1+Assumptions!$B$26)^(L1-2026)</f>
        <v>23.140085</v>
      </c>
      <c r="M14" s="18">
        <f>Main!$C$4*(1+Assumptions!$B$26)^(M1-2026)</f>
        <v>23.140085</v>
      </c>
      <c r="N14" s="18">
        <f>Main!$C$4*(1+Assumptions!$B$26)^(N1-2026)</f>
        <v>23.140085</v>
      </c>
      <c r="O14" s="18">
        <f>Main!$C$4*(1+Assumptions!$B$26)^(O1-2026)</f>
        <v>23.140085</v>
      </c>
      <c r="P14" s="18">
        <f>Main!$C$4*(1+Assumptions!$B$26)^(P1-2026)</f>
        <v>23.140085</v>
      </c>
      <c r="Q14" s="18">
        <f>Main!$C$4*(1+Assumptions!$B$26)^(Q1-2026)</f>
        <v>23.140085</v>
      </c>
      <c r="R14" s="18">
        <f>Main!$C$4*(1+Assumptions!$B$26)^(R1-2026)</f>
        <v>23.140085</v>
      </c>
      <c r="S14" s="18">
        <f>Main!$C$4*(1+Assumptions!$B$26)^(S1-2026)</f>
        <v>23.140085</v>
      </c>
      <c r="T14" s="18">
        <f>Main!$C$4*(1+Assumptions!$B$26)^(T1-2026)</f>
        <v>23.140085</v>
      </c>
      <c r="U14" s="18">
        <f>Main!$C$4*(1+Assumptions!$B$26)^(U1-2026)</f>
        <v>23.140085</v>
      </c>
      <c r="V14" s="18">
        <f>Main!$C$4*(1+Assumptions!$B$26)^(V1-2026)</f>
        <v>23.140085</v>
      </c>
      <c r="W14" s="18">
        <f>Main!$C$4*(1+Assumptions!$B$26)^(W1-2026)</f>
        <v>23.140085</v>
      </c>
      <c r="X14" s="18">
        <f>Main!$C$4*(1+Assumptions!$B$26)^(X1-2026)</f>
        <v>23.140085</v>
      </c>
      <c r="Y14" s="18">
        <f>Main!$C$4*(1+Assumptions!$B$26)^(Y1-2026)</f>
        <v>23.140085</v>
      </c>
      <c r="Z14" s="18">
        <f>Main!$C$4*(1+Assumptions!$B$26)^(Z1-2026)</f>
        <v>23.140085</v>
      </c>
      <c r="AA14" s="18">
        <f>Main!$C$4*(1+Assumptions!$B$26)^(AA1-2026)</f>
        <v>23.140085</v>
      </c>
      <c r="AB14" s="18">
        <f>Main!$C$4*(1+Assumptions!$B$26)^(AB1-2026)</f>
        <v>23.140085</v>
      </c>
      <c r="AC14" s="18">
        <f>Main!$C$4*(1+Assumptions!$B$26)^(AC1-2026)</f>
        <v>23.140085</v>
      </c>
      <c r="AD14" s="18">
        <f>Main!$C$4*(1+Assumptions!$B$26)^(AD1-2026)</f>
        <v>23.140085</v>
      </c>
      <c r="AE14" s="18">
        <f>Main!$C$4*(1+Assumptions!$B$26)^(AE1-2026)</f>
        <v>23.140085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/>
      </c>
      <c r="E16" s="14">
        <f>IFERROR(E2/D2-1,"")</f>
        <v/>
      </c>
      <c r="F16" s="14">
        <f>IFERROR(F2/E2-1,"")</f>
        <v/>
      </c>
      <c r="G16" s="14">
        <f>IFERROR(G2/F2-1,"")</f>
        <v/>
      </c>
      <c r="H16" s="14">
        <f>IFERROR(H2/G2-1,"")</f>
        <v/>
      </c>
      <c r="I16" s="14">
        <f>IFERROR(I2/H2-1,"")</f>
        <v>-0.7100225225225225</v>
      </c>
      <c r="J16" s="14">
        <f>IFERROR(J2/I2-1,"")</f>
        <v>1.4192233009708737</v>
      </c>
      <c r="K16" s="14">
        <f>IFERROR(K2/J2-1,"")</f>
        <v>1.0447066377718919</v>
      </c>
      <c r="L16" s="14">
        <f>IFERROR(L2/K2-1,"")</f>
        <v>-0.19548577036310122</v>
      </c>
      <c r="M16" s="14">
        <f>IFERROR(M2/L2-1,"")</f>
        <v>0.7435472066357651</v>
      </c>
      <c r="N16" s="14">
        <f>IFERROR(N2/M2-1,"")</f>
        <v>-0.2516986623383892</v>
      </c>
      <c r="O16" s="14">
        <f>IFERROR(O2/N2-1,"")</f>
        <v>0.460564402127166</v>
      </c>
      <c r="P16" s="14">
        <f>IFERROR(P2/O2-1,"")</f>
        <v>-0.28972326348347976</v>
      </c>
      <c r="Q16" s="14">
        <f>IFERROR(Q2/P2-1,"")</f>
        <v>0.05407354001441966</v>
      </c>
      <c r="R16" s="14">
        <f>IFERROR(R2/Q2-1,"")</f>
        <v>-0.05129958960328318</v>
      </c>
      <c r="S16" s="14">
        <f>IFERROR(S2/R2-1,"")</f>
        <v>0.0</v>
      </c>
      <c r="T16" s="14">
        <f>IFERROR(T2/S2-1,"")</f>
        <v>0.0</v>
      </c>
      <c r="U16" s="14">
        <f>IFERROR(U2/T2-1,"")</f>
        <v>0.0</v>
      </c>
      <c r="V16" s="14">
        <f>IFERROR(V2/U2-1,"")</f>
        <v>-0.5</v>
      </c>
      <c r="W16" s="14">
        <f>IFERROR(W2/V2-1,"")</f>
        <v>-0.5</v>
      </c>
      <c r="X16" s="14">
        <f>IFERROR(X2/W2-1,"")</f>
        <v>-0.5</v>
      </c>
      <c r="Y16" s="14">
        <f>IFERROR(Y2/X2-1,"")</f>
        <v>-0.5</v>
      </c>
      <c r="Z16" s="14">
        <f>IFERROR(Z2/Y2-1,"")</f>
        <v>-0.5</v>
      </c>
      <c r="AA16" s="14">
        <f>IFERROR(AA2/Z2-1,"")</f>
        <v>-0.5</v>
      </c>
      <c r="AB16" s="14">
        <f>IFERROR(AB2/AA2-1,"")</f>
        <v>-0.5</v>
      </c>
      <c r="AC16" s="14">
        <f>IFERROR(AC2/AB2-1,"")</f>
        <v>-0.5</v>
      </c>
      <c r="AD16" s="14">
        <f>IFERROR(AD2/AC2-1,"")</f>
        <v>-0.5</v>
      </c>
      <c r="AE16" s="14">
        <f>IFERROR(AE2/AD2-1,"")</f>
        <v>-0.5</v>
      </c>
    </row>
    <row r="17" customFormat="1" s="4">
      <c r="A17" s="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>1.0</v>
      </c>
      <c r="I17" s="14">
        <f>IFERROR(I4/I2,"")</f>
        <v>1.0</v>
      </c>
      <c r="J17" s="14">
        <f>IFERROR(J4/J2,"")</f>
        <v>1.0</v>
      </c>
      <c r="K17" s="14">
        <f>IFERROR(K4/K2,"")</f>
        <v>1.0</v>
      </c>
      <c r="L17" s="14">
        <f>IFERROR(L4/L2,"")</f>
        <v>1.0</v>
      </c>
      <c r="M17" s="14">
        <f>IFERROR(M4/M2,"")</f>
        <v>1.0</v>
      </c>
      <c r="N17" s="14">
        <f>IFERROR(N4/N2,"")</f>
        <v>1.0</v>
      </c>
      <c r="O17" s="14">
        <f>IFERROR(O4/O2,"")</f>
        <v>1.0</v>
      </c>
      <c r="P17" s="14">
        <f>IFERROR(P4/P2,"")</f>
        <v>1.0</v>
      </c>
      <c r="Q17" s="14">
        <f>IFERROR(Q4/Q2,"")</f>
        <v>1.0</v>
      </c>
      <c r="R17" s="14">
        <f>IFERROR(R4/R2,"")</f>
        <v>1.0</v>
      </c>
      <c r="S17" s="14">
        <f>IFERROR(S4/S2,"")</f>
        <v>1.0</v>
      </c>
      <c r="T17" s="14">
        <f>IFERROR(T4/T2,"")</f>
        <v>1.0</v>
      </c>
      <c r="U17" s="14">
        <f>IFERROR(U4/U2,"")</f>
        <v>1.0</v>
      </c>
      <c r="V17" s="14">
        <f>IFERROR(V4/V2,"")</f>
        <v>1.0</v>
      </c>
      <c r="W17" s="14">
        <f>IFERROR(W4/W2,"")</f>
        <v>1.0</v>
      </c>
      <c r="X17" s="14">
        <f>IFERROR(X4/X2,"")</f>
        <v>1.0</v>
      </c>
      <c r="Y17" s="14">
        <f>IFERROR(Y4/Y2,"")</f>
        <v>1.0</v>
      </c>
      <c r="Z17" s="14">
        <f>IFERROR(Z4/Z2,"")</f>
        <v>1.0</v>
      </c>
      <c r="AA17" s="14">
        <f>IFERROR(AA4/AA2,"")</f>
        <v>1.0</v>
      </c>
      <c r="AB17" s="14">
        <f>IFERROR(AB4/AB2,"")</f>
        <v>1.0</v>
      </c>
      <c r="AC17" s="14">
        <f>IFERROR(AC4/AC2,"")</f>
        <v>1.0</v>
      </c>
      <c r="AD17" s="14">
        <f>IFERROR(AD4/AD2,"")</f>
        <v>1.0</v>
      </c>
      <c r="AE17" s="14">
        <f>IFERROR(AE4/AE2,"")</f>
        <v>1.0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20.291008076171877</v>
      </c>
      <c r="H20" s="18">
        <f>G20+H12</f>
        <v>38.391920879028326</v>
      </c>
      <c r="I20" s="18">
        <f>H20+I12</f>
        <v>36.61621791199189</v>
      </c>
      <c r="J20" s="18">
        <f>I20+J12</f>
        <v>51.04646408369158</v>
      </c>
      <c r="K20" s="18">
        <f>J20+K12</f>
        <v>91.69401862683002</v>
      </c>
      <c r="L20" s="18">
        <f>K20+L12</f>
        <v>123.53935582953613</v>
      </c>
      <c r="M20" s="18">
        <f>L20+M12</f>
        <v>186.67939752246974</v>
      </c>
      <c r="N20" s="18">
        <f>M20+N12</f>
        <v>233.80997025436812</v>
      </c>
      <c r="O20" s="18">
        <f>N20+O12</f>
        <v>305.8332758290618</v>
      </c>
      <c r="P20" s="18">
        <f>O20+P12</f>
        <v>346.4786947459925</v>
      </c>
      <c r="Q20" s="18">
        <f>P20+Q12</f>
        <v>390.28059662647064</v>
      </c>
      <c r="R20" s="18">
        <f>Q20+R12</f>
        <v>432.7003103108382</v>
      </c>
      <c r="S20" s="18">
        <f>R20+S12</f>
        <v>475.9978160715452</v>
      </c>
      <c r="T20" s="18">
        <f>S20+T12</f>
        <v>520.1880478401071</v>
      </c>
      <c r="U20" s="18">
        <f>T20+U12</f>
        <v>565.286058395871</v>
      </c>
      <c r="V20" s="18">
        <f>U20+V12</f>
        <v>589.9472134266641</v>
      </c>
      <c r="W20" s="18">
        <f>V20+W12</f>
        <v>616.166653214359</v>
      </c>
      <c r="X20" s="18">
        <f>W20+X12</f>
        <v>638.5508223259236</v>
      </c>
      <c r="Y20" s="18">
        <f>X20+Y12</f>
        <v>659.2851558205847</v>
      </c>
      <c r="Z20" s="18">
        <f>Y20+Z12</f>
        <v>679.470103944904</v>
      </c>
      <c r="AA20" s="18">
        <f>Z20+AA12</f>
        <v>699.6638478213132</v>
      </c>
      <c r="AB20" s="18">
        <f>AA20+AB12</f>
        <v>720.1536637396537</v>
      </c>
      <c r="AC20" s="18">
        <f>AB20+AC12</f>
        <v>741.0916119363861</v>
      </c>
      <c r="AD20" s="18">
        <f>AC20+AD12</f>
        <v>762.5623878091743</v>
      </c>
      <c r="AE20" s="18">
        <f>AD20+AE12</f>
        <v>784.6172545462267</v>
      </c>
    </row>
    <row r="21">
      <c r="A21" s="13" t="inlineStr">
        <is>
          <t>Tax-Loss Pool</t>
        </is>
      </c>
      <c r="F21" s="18">
        <f>Assumptions!$B$18</f>
        <v>250</v>
      </c>
      <c r="G21" s="18">
        <f>F21-MIN(F21,MAX(0,G10))+MAX(0,-G10)</f>
        <v>281.84299192382815</v>
      </c>
      <c r="H21" s="18">
        <f>G21-MIN(G21,MAX(0,H10))+MAX(0,-H10)</f>
        <v>263.7420791209717</v>
      </c>
      <c r="I21" s="18">
        <f>H21-MIN(H21,MAX(0,I10))+MAX(0,-I10)</f>
        <v>265.5177820880081</v>
      </c>
      <c r="J21" s="18">
        <f>I21-MIN(I21,MAX(0,J10))+MAX(0,-J10)</f>
        <v>251.0875359163084</v>
      </c>
      <c r="K21" s="18">
        <f>J21-MIN(J21,MAX(0,K10))+MAX(0,-K10)</f>
        <v>210.43998137316999</v>
      </c>
      <c r="L21" s="18">
        <f>K21-MIN(K21,MAX(0,L10))+MAX(0,-L10)</f>
        <v>178.59464417046388</v>
      </c>
      <c r="M21" s="18">
        <f>L21-MIN(L21,MAX(0,M10))+MAX(0,-M10)</f>
        <v>115.45460247753027</v>
      </c>
      <c r="N21" s="18">
        <f>M21-MIN(M21,MAX(0,N10))+MAX(0,-N10)</f>
        <v>68.32402974563188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6.122</v>
      </c>
      <c r="C5" s="18" t="n">
        <v>6.21</v>
      </c>
      <c r="D5" s="18" t="n">
        <v>5.74</v>
      </c>
      <c r="E5" s="18" t="n">
        <v>5.738</v>
      </c>
      <c r="F5" s="18" t="n">
        <v>5.781</v>
      </c>
      <c r="G5" s="18" t="n">
        <v>6.1</v>
      </c>
      <c r="H5" s="18" t="n">
        <v>6</v>
      </c>
      <c r="I5" s="18" t="n">
        <v>6</v>
      </c>
    </row>
    <row r="6">
      <c r="A6" s="13" t="inlineStr">
        <is>
          <t>General &amp; Admin</t>
        </is>
      </c>
      <c r="B6" s="18" t="n">
        <v>1.461</v>
      </c>
      <c r="C6" s="18" t="n">
        <v>3.189</v>
      </c>
      <c r="D6" s="18" t="n">
        <v>2.25</v>
      </c>
      <c r="E6" s="18" t="n">
        <v>2.26</v>
      </c>
      <c r="F6" s="18" t="n">
        <v>1.928</v>
      </c>
      <c r="G6" s="18" t="n">
        <v>1.8</v>
      </c>
      <c r="H6" s="18" t="n">
        <v>2.2</v>
      </c>
      <c r="I6" s="18" t="n">
        <v>2.4</v>
      </c>
    </row>
    <row r="7">
      <c r="A7" s="13" t="inlineStr">
        <is>
          <t>Operating Expense</t>
        </is>
      </c>
      <c r="B7" s="18">
        <f>SUM(B5:B6)</f>
        <v>7.583</v>
      </c>
      <c r="C7" s="18">
        <f>SUM(C5:C6)</f>
        <v>9.399000000000001</v>
      </c>
      <c r="D7" s="18">
        <f>SUM(D5:D6)</f>
        <v>7.99</v>
      </c>
      <c r="E7" s="18">
        <f>SUM(E5:E6)</f>
        <v>7.998</v>
      </c>
      <c r="F7" s="18">
        <f>SUM(F5:F6)</f>
        <v>7.709</v>
      </c>
      <c r="G7" s="18">
        <f>SUM(G5:G6)</f>
        <v>7.8999999999999995</v>
      </c>
      <c r="H7" s="18">
        <f>SUM(H5:H6)</f>
        <v>8.2</v>
      </c>
      <c r="I7" s="18">
        <f>SUM(I5:I6)</f>
        <v>8.4</v>
      </c>
    </row>
    <row r="8">
      <c r="A8" s="13" t="inlineStr">
        <is>
          <t>Operating Income</t>
        </is>
      </c>
      <c r="B8" s="18">
        <f>B4-B7</f>
        <v>-7.583</v>
      </c>
      <c r="C8" s="18">
        <f>C4-C7</f>
        <v>-9.399000000000001</v>
      </c>
      <c r="D8" s="18">
        <f>D4-D7</f>
        <v>-7.99</v>
      </c>
      <c r="E8" s="18">
        <f>E4-E7</f>
        <v>-7.998</v>
      </c>
      <c r="F8" s="18">
        <f>F4-F7</f>
        <v>-7.709</v>
      </c>
      <c r="G8" s="18">
        <f>G4-G7</f>
        <v>-7.8999999999999995</v>
      </c>
      <c r="H8" s="18">
        <f>H4-H7</f>
        <v>-8.2</v>
      </c>
      <c r="I8" s="18">
        <f>I4-I7</f>
        <v>-8.4</v>
      </c>
    </row>
    <row r="9">
      <c r="A9" s="13" t="inlineStr">
        <is>
          <t>Interest &amp; Other</t>
        </is>
      </c>
      <c r="B9" s="18" t="n">
        <v>-0.668</v>
      </c>
      <c r="C9" s="18" t="n">
        <v>-0.531</v>
      </c>
      <c r="D9" s="18" t="n">
        <v>0.03</v>
      </c>
      <c r="E9" s="18" t="n">
        <v>0.033</v>
      </c>
      <c r="F9" s="18" t="n">
        <v>-0.065</v>
      </c>
      <c r="G9" s="18" t="n">
        <v>0.103</v>
      </c>
      <c r="H9" s="18">
        <f>Assumptions!$B$16*G20/4</f>
        <v>0.061528124999999996</v>
      </c>
      <c r="I9" s="18">
        <f>Assumptions!$B$16*H20/4</f>
        <v>0.266479951171875</v>
      </c>
    </row>
    <row r="10">
      <c r="A10" s="13" t="inlineStr">
        <is>
          <t>Pretax</t>
        </is>
      </c>
      <c r="B10" s="18">
        <f>B8+B9</f>
        <v>-8.251</v>
      </c>
      <c r="C10" s="18">
        <f>C8+C9</f>
        <v>-9.930000000000001</v>
      </c>
      <c r="D10" s="18">
        <f>D8+D9</f>
        <v>-7.96</v>
      </c>
      <c r="E10" s="18">
        <f>E8+E9</f>
        <v>-7.965</v>
      </c>
      <c r="F10" s="18">
        <f>F8+F9</f>
        <v>-7.774</v>
      </c>
      <c r="G10" s="18">
        <f>G8+G9</f>
        <v>-7.797</v>
      </c>
      <c r="H10" s="18">
        <f>H8+H9</f>
        <v>-8.138471874999999</v>
      </c>
      <c r="I10" s="18">
        <f>I8+I9</f>
        <v>-8.133520048828125</v>
      </c>
    </row>
    <row r="11">
      <c r="A11" s="13" t="inlineStr">
        <is>
          <t>Taxes</t>
        </is>
      </c>
      <c r="B11" s="18" t="n">
        <v>0.014</v>
      </c>
      <c r="C11" s="18" t="n">
        <v>0.05</v>
      </c>
      <c r="D11" s="18" t="n">
        <v>0</v>
      </c>
      <c r="E11" s="18" t="n">
        <v>0</v>
      </c>
      <c r="F11" s="18" t="n">
        <v>0.003</v>
      </c>
      <c r="G11" s="18" t="n">
        <v>0.003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-8.264999999999999</v>
      </c>
      <c r="C12" s="18">
        <f>C10-C11</f>
        <v>-9.980000000000002</v>
      </c>
      <c r="D12" s="18">
        <f>D10-D11</f>
        <v>-7.96</v>
      </c>
      <c r="E12" s="18">
        <f>E10-E11</f>
        <v>-7.965</v>
      </c>
      <c r="F12" s="18">
        <f>F10-F11</f>
        <v>-7.777</v>
      </c>
      <c r="G12" s="18">
        <f>G10-G11</f>
        <v>-7.8</v>
      </c>
      <c r="H12" s="18">
        <f>H10-H11</f>
        <v>-8.138471874999999</v>
      </c>
      <c r="I12" s="18">
        <f>I10-I11</f>
        <v>-8.133520048828125</v>
      </c>
    </row>
    <row r="13">
      <c r="A13" s="13" t="inlineStr">
        <is>
          <t>Earnings per Share</t>
        </is>
      </c>
      <c r="B13" s="11">
        <f>IFERROR(B12/B14,0)</f>
        <v>-0.7034042553191489</v>
      </c>
      <c r="C13" s="11">
        <f>IFERROR(C12/C14,0)</f>
        <v>-0.7772585669781933</v>
      </c>
      <c r="D13" s="11">
        <f>IFERROR(D12/D14,0)</f>
        <v>-0.402020202020202</v>
      </c>
      <c r="E13" s="11">
        <f>IFERROR(E12/E14,0)</f>
        <v>-0.3792857142857143</v>
      </c>
      <c r="F13" s="11">
        <f>IFERROR(F12/F14,0)</f>
        <v>-0.3493710691823899</v>
      </c>
      <c r="G13" s="11">
        <f>IFERROR(G12/G14,0)</f>
        <v>-0.3497757847533632</v>
      </c>
      <c r="H13" s="11">
        <f>IFERROR(H12/H14,0)</f>
        <v>-0.3507962015086206</v>
      </c>
      <c r="I13" s="11">
        <f>IFERROR(I12/I14,0)</f>
        <v>-0.34907811368361047</v>
      </c>
    </row>
    <row r="14">
      <c r="A14" s="13" t="inlineStr">
        <is>
          <t>Shares</t>
        </is>
      </c>
      <c r="B14" s="18" t="n">
        <v>11.75</v>
      </c>
      <c r="C14" s="18" t="n">
        <v>12.84</v>
      </c>
      <c r="D14" s="18" t="n">
        <v>19.8</v>
      </c>
      <c r="E14" s="18" t="n">
        <v>21</v>
      </c>
      <c r="F14" s="18" t="n">
        <v>22.26</v>
      </c>
      <c r="G14" s="18" t="n">
        <v>22.3</v>
      </c>
      <c r="H14" s="18" t="n">
        <v>23.2</v>
      </c>
      <c r="I14" s="18" t="n">
        <v>23.3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6.563</v>
      </c>
      <c r="H20" s="18">
        <f>G20+H12+H21</f>
        <v>28.424528125000002</v>
      </c>
      <c r="I20" s="18">
        <f>H20+I12+I21</f>
        <v>20.291008076171877</v>
      </c>
    </row>
    <row r="21">
      <c r="A21" s="13" t="inlineStr">
        <is>
          <t>Other Cash Flows (est.)</t>
        </is>
      </c>
      <c r="H21" s="18" t="n">
        <v>30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PYPD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0.14</v>
      </c>
      <c r="C14" s="34" t="n">
        <v>0.16</v>
      </c>
      <c r="D14" s="34" t="n">
        <v>0.14</v>
      </c>
      <c r="E14" s="34" t="n">
        <v>0.12</v>
      </c>
    </row>
    <row r="15">
      <c r="A15" s="13" t="inlineStr">
        <is>
          <t>Tax rate</t>
        </is>
      </c>
      <c r="B15" s="33">
        <f>CHOOSE($B$4,C15,D15,E15)</f>
        <v>0.23</v>
      </c>
      <c r="C15" s="35" t="n">
        <v>0.23</v>
      </c>
      <c r="D15" s="35" t="n">
        <v>0.23</v>
      </c>
      <c r="E15" s="35" t="n">
        <v>0.23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250</v>
      </c>
      <c r="C18" s="37" t="n">
        <v>250</v>
      </c>
      <c r="D18" s="37" t="n">
        <v>250</v>
      </c>
      <c r="E18" s="37" t="n">
        <v>250</v>
      </c>
    </row>
    <row r="19">
      <c r="A19" s="13" t="inlineStr">
        <is>
          <t>Corporate G&amp;A, 2027</t>
        </is>
      </c>
      <c r="B19" s="36">
        <f>CHOOSE($B$4,C19,D19,E19)</f>
        <v>7</v>
      </c>
      <c r="C19" s="37" t="n">
        <v>7</v>
      </c>
      <c r="D19" s="37" t="n">
        <v>7</v>
      </c>
      <c r="E19" s="37" t="n">
        <v>7</v>
      </c>
    </row>
    <row r="20">
      <c r="A20" s="13" t="inlineStr">
        <is>
          <t>Platform / unallocated R&amp;D, 2027</t>
        </is>
      </c>
      <c r="B20" s="36">
        <f>CHOOSE($B$4,C20,D20,E20)</f>
        <v>6</v>
      </c>
      <c r="C20" s="37" t="n">
        <v>6</v>
      </c>
      <c r="D20" s="37" t="n">
        <v>6</v>
      </c>
      <c r="E20" s="37" t="n">
        <v>6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0.06</v>
      </c>
      <c r="C23" s="35" t="n">
        <v>0.06</v>
      </c>
      <c r="D23" s="35" t="n">
        <v>0.06</v>
      </c>
      <c r="E23" s="35" t="n">
        <v>0.06</v>
      </c>
    </row>
    <row r="24">
      <c r="A24" s="13" t="inlineStr">
        <is>
          <t>Corporate cost cut after a CRL (2027+)</t>
        </is>
      </c>
      <c r="B24" s="33">
        <f>CHOOSE($B$4,C24,D24,E24)</f>
        <v>0.7</v>
      </c>
      <c r="C24" s="35" t="n">
        <v>0.7</v>
      </c>
      <c r="D24" s="35" t="n">
        <v>0.7</v>
      </c>
      <c r="E24" s="35" t="n">
        <v>0.7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2041</v>
      </c>
      <c r="C25" s="39" t="n">
        <v>2041</v>
      </c>
      <c r="D25" s="39" t="n">
        <v>2041</v>
      </c>
      <c r="E25" s="39" t="n">
        <v>2041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8</v>
      </c>
      <c r="C27" s="37" t="n">
        <v>8</v>
      </c>
      <c r="D27" s="37" t="n">
        <v>8</v>
      </c>
      <c r="E27" s="37" t="n">
        <v>8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DATE(2026,11,28)</f>
        <v>46354</v>
      </c>
    </row>
    <row r="31">
      <c r="A31" s="13" t="inlineStr">
        <is>
          <t>Application</t>
        </is>
      </c>
      <c r="B31" s="25" t="inlineStr">
        <is>
          <t>D-PLEX100 NDA, surgical-site infection prevention (priority)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0.8</v>
      </c>
      <c r="C32" s="34" t="n">
        <v>0.7</v>
      </c>
      <c r="D32" s="34" t="n">
        <v>0.8</v>
      </c>
      <c r="E32" s="34" t="n">
        <v>0.88</v>
      </c>
    </row>
    <row r="33">
      <c r="A33" s="13" t="inlineStr">
        <is>
          <t>Probability of approval later, after a CRL</t>
        </is>
      </c>
      <c r="B33" s="33">
        <f>CHOOSE($B$4,C33,D33,E33)</f>
        <v>0.6</v>
      </c>
      <c r="C33" s="35" t="n">
        <v>0.55</v>
      </c>
      <c r="D33" s="35" t="n">
        <v>0.6</v>
      </c>
      <c r="E33" s="35" t="n">
        <v>0.7</v>
      </c>
    </row>
    <row r="34">
      <c r="A34" s="13" t="inlineStr">
        <is>
          <t>Launch delay after a CRL (years)</t>
        </is>
      </c>
      <c r="B34" s="38">
        <f>CHOOSE($B$4,C34,D34,E34)</f>
        <v>2</v>
      </c>
      <c r="C34" s="39" t="n">
        <v>2</v>
      </c>
      <c r="D34" s="39" t="n">
        <v>2</v>
      </c>
      <c r="E34" s="39" t="n">
        <v>2</v>
      </c>
    </row>
    <row r="35">
      <c r="A35" s="13" t="inlineStr">
        <is>
          <t>Probability of approval, scenario value (before override)</t>
        </is>
      </c>
      <c r="B35" s="40">
        <f>CHOOSE($B$4,C32,D32,E32)</f>
        <v>0.8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0.8600000000000001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D-PLEX100 — U.S./Canada via Azurity (royalty + supply)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200</v>
      </c>
      <c r="C48" s="44" t="n">
        <v>100</v>
      </c>
      <c r="D48" s="44" t="n">
        <v>200</v>
      </c>
      <c r="E48" s="44" t="n">
        <v>400</v>
      </c>
    </row>
    <row r="49">
      <c r="A49" s="13" t="inlineStr">
        <is>
          <t>Probability of approval (PDUFA event above)</t>
        </is>
      </c>
      <c r="B49" s="33">
        <f>$B$32</f>
        <v>0.8</v>
      </c>
    </row>
    <row r="50">
      <c r="A50" s="13" t="inlineStr">
        <is>
          <t>Company revenue, % of product net sales</t>
        </is>
      </c>
      <c r="B50" s="35" t="n">
        <v>0.22</v>
      </c>
    </row>
    <row r="51">
      <c r="A51" s="13" t="inlineStr">
        <is>
          <t>Cost of goods, % of product sales</t>
        </is>
      </c>
      <c r="B51" s="35" t="n">
        <v>0</v>
      </c>
    </row>
    <row r="52">
      <c r="A52" s="13" t="inlineStr">
        <is>
          <t>Royalties owed, % of product sales</t>
        </is>
      </c>
      <c r="B52" s="35" t="n">
        <v>0</v>
      </c>
    </row>
    <row r="53">
      <c r="A53" s="13" t="inlineStr">
        <is>
          <t>Commercial SG&amp;A at maturity, % of sales</t>
        </is>
      </c>
      <c r="B53" s="35" t="n">
        <v>0</v>
      </c>
    </row>
    <row r="54">
      <c r="A54" s="13" t="inlineStr">
        <is>
          <t>Pre-launch commercial spend, year before launch</t>
        </is>
      </c>
      <c r="B54" s="37" t="n">
        <v>0</v>
      </c>
    </row>
    <row r="55">
      <c r="A55" s="13" t="inlineStr">
        <is>
          <t>Launch ramp (1 = standard, 2 = orphan)</t>
        </is>
      </c>
      <c r="B55" s="39" t="n">
        <v>1</v>
      </c>
    </row>
    <row r="56">
      <c r="A56" s="13" t="inlineStr">
        <is>
          <t>Loss of exclusivity (year)</t>
        </is>
      </c>
      <c r="B56" s="38">
        <f>CHOOSE($B$4,C56,D56,E56)</f>
        <v>2040</v>
      </c>
      <c r="C56" s="39" t="n">
        <v>2040</v>
      </c>
      <c r="D56" s="39" t="n">
        <v>2040</v>
      </c>
      <c r="E56" s="39" t="n">
        <v>2040</v>
      </c>
    </row>
    <row r="57">
      <c r="A57" s="13" t="inlineStr">
        <is>
          <t>Post-LOE annual sales erosion</t>
        </is>
      </c>
      <c r="B57" s="35" t="n">
        <v>0.5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3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1">
      <c r="A61" s="25" t="inlineStr">
        <is>
          <t>Milestones / PRV received, by year relative to launch (on-time path)</t>
        </is>
      </c>
      <c r="B61" s="42" t="n">
        <v>0</v>
      </c>
      <c r="C61" s="42" t="n">
        <v>1</v>
      </c>
      <c r="D61" s="42" t="n">
        <v>2</v>
      </c>
      <c r="E61" s="42" t="n">
        <v>3</v>
      </c>
      <c r="F61" s="42" t="n">
        <v>4</v>
      </c>
      <c r="G61" s="42" t="n">
        <v>5</v>
      </c>
      <c r="H61" s="42" t="n">
        <v>6</v>
      </c>
      <c r="I61" s="42" t="n">
        <v>7</v>
      </c>
      <c r="J61" s="42" t="n">
        <v>8</v>
      </c>
      <c r="K61" s="42" t="n">
        <v>9</v>
      </c>
    </row>
    <row r="62">
      <c r="A62" s="13" t="inlineStr">
        <is>
          <t xml:space="preserve">  Amount ($mm, unrisked)</t>
        </is>
      </c>
      <c r="B62" s="37" t="n">
        <v>40</v>
      </c>
      <c r="C62" s="37" t="n">
        <v>0</v>
      </c>
      <c r="D62" s="37" t="n">
        <v>0</v>
      </c>
      <c r="E62" s="37" t="n">
        <v>25</v>
      </c>
      <c r="F62" s="37" t="n">
        <v>0</v>
      </c>
      <c r="G62" s="37" t="n">
        <v>25</v>
      </c>
      <c r="H62" s="37" t="n">
        <v>0</v>
      </c>
      <c r="I62" s="37" t="n">
        <v>25</v>
      </c>
      <c r="J62" s="37" t="n">
        <v>0</v>
      </c>
      <c r="K62" s="37" t="n">
        <v>0</v>
      </c>
    </row>
    <row r="64">
      <c r="A64" s="30" t="inlineStr">
        <is>
          <t>D-PLEX100 — Europe &amp; RoW (partner to be found)  (pipeline)</t>
        </is>
      </c>
      <c r="B64" s="31" t="n"/>
      <c r="C64" s="31" t="n"/>
      <c r="D64" s="31" t="n"/>
      <c r="E64" s="31" t="n"/>
    </row>
    <row r="65">
      <c r="A65" s="13" t="inlineStr">
        <is>
          <t>Launch year (first full year of sales)</t>
        </is>
      </c>
      <c r="B65" s="38">
        <f>CHOOSE($B$4,C65,D65,E65)</f>
        <v>2028</v>
      </c>
      <c r="C65" s="39" t="n">
        <v>2029</v>
      </c>
      <c r="D65" s="39" t="n">
        <v>2028</v>
      </c>
      <c r="E65" s="39" t="n">
        <v>2028</v>
      </c>
    </row>
    <row r="66">
      <c r="A66" s="13" t="inlineStr">
        <is>
          <t>Peak net sales, unrisked</t>
        </is>
      </c>
      <c r="B66" s="36">
        <f>CHOOSE($B$4,C66,D66,E66)</f>
        <v>100</v>
      </c>
      <c r="C66" s="44" t="n">
        <v>50</v>
      </c>
      <c r="D66" s="44" t="n">
        <v>100</v>
      </c>
      <c r="E66" s="44" t="n">
        <v>200</v>
      </c>
    </row>
    <row r="67">
      <c r="A67" s="13" t="inlineStr">
        <is>
          <t>Probability of reaching market</t>
        </is>
      </c>
      <c r="B67" s="33">
        <f>CHOOSE($B$4,C67,D67,E67)</f>
        <v>0.6</v>
      </c>
      <c r="C67" s="34" t="n">
        <v>0.5</v>
      </c>
      <c r="D67" s="34" t="n">
        <v>0.6</v>
      </c>
      <c r="E67" s="34" t="n">
        <v>0.7</v>
      </c>
    </row>
    <row r="68">
      <c r="A68" s="13" t="inlineStr">
        <is>
          <t>Company revenue, % of product net sales</t>
        </is>
      </c>
      <c r="B68" s="35" t="n">
        <v>0.25</v>
      </c>
    </row>
    <row r="69">
      <c r="A69" s="13" t="inlineStr">
        <is>
          <t>Cost of goods, % of product sales</t>
        </is>
      </c>
      <c r="B69" s="35" t="n">
        <v>0</v>
      </c>
    </row>
    <row r="70">
      <c r="A70" s="13" t="inlineStr">
        <is>
          <t>Royalties owed, % of product sales</t>
        </is>
      </c>
      <c r="B70" s="35" t="n">
        <v>0</v>
      </c>
    </row>
    <row r="71">
      <c r="A71" s="13" t="inlineStr">
        <is>
          <t>Commercial SG&amp;A at maturity, % of sales</t>
        </is>
      </c>
      <c r="B71" s="35" t="n">
        <v>0</v>
      </c>
    </row>
    <row r="72">
      <c r="A72" s="13" t="inlineStr">
        <is>
          <t>Pre-launch commercial spend, year before launch</t>
        </is>
      </c>
      <c r="B72" s="37" t="n">
        <v>0</v>
      </c>
    </row>
    <row r="73">
      <c r="A73" s="13" t="inlineStr">
        <is>
          <t>Launch ramp (1 = standard, 2 = orphan)</t>
        </is>
      </c>
      <c r="B73" s="39" t="n">
        <v>1</v>
      </c>
    </row>
    <row r="74">
      <c r="A74" s="13" t="inlineStr">
        <is>
          <t>Loss of exclusivity (year)</t>
        </is>
      </c>
      <c r="B74" s="38">
        <f>CHOOSE($B$4,C74,D74,E74)</f>
        <v>2040</v>
      </c>
      <c r="C74" s="39" t="n">
        <v>2040</v>
      </c>
      <c r="D74" s="39" t="n">
        <v>2040</v>
      </c>
      <c r="E74" s="39" t="n">
        <v>2040</v>
      </c>
    </row>
    <row r="75">
      <c r="A75" s="13" t="inlineStr">
        <is>
          <t>Post-LOE annual sales erosion</t>
        </is>
      </c>
      <c r="B75" s="35" t="n">
        <v>0.5</v>
      </c>
    </row>
    <row r="76">
      <c r="A76" s="25" t="inlineStr">
        <is>
          <t>Development spend, unrisked ($mm) by year</t>
        </is>
      </c>
      <c r="B76" s="42" t="n">
        <v>2027</v>
      </c>
      <c r="C76" s="42" t="n">
        <v>2028</v>
      </c>
      <c r="D76" s="42" t="n">
        <v>2029</v>
      </c>
      <c r="E76" s="42" t="n">
        <v>2030</v>
      </c>
      <c r="F76" s="42" t="n">
        <v>2031</v>
      </c>
      <c r="G76" s="42" t="n">
        <v>2032</v>
      </c>
      <c r="H76" s="42" t="n">
        <v>2033</v>
      </c>
      <c r="I76" s="42" t="n">
        <v>2034</v>
      </c>
    </row>
    <row r="77">
      <c r="A77" s="13" t="inlineStr">
        <is>
          <t xml:space="preserve">  Cost</t>
        </is>
      </c>
      <c r="B77" s="37" t="n">
        <v>4</v>
      </c>
      <c r="C77" s="37" t="n">
        <v>2</v>
      </c>
      <c r="D77" s="37" t="n">
        <v>0</v>
      </c>
      <c r="E77" s="37" t="n">
        <v>0</v>
      </c>
      <c r="F77" s="37" t="n">
        <v>0</v>
      </c>
      <c r="G77" s="37" t="n">
        <v>0</v>
      </c>
      <c r="H77" s="37" t="n">
        <v>0</v>
      </c>
      <c r="I77" s="37" t="n">
        <v>0</v>
      </c>
    </row>
    <row r="78">
      <c r="A78" s="13" t="inlineStr">
        <is>
          <t xml:space="preserve">  Probability the cost is incurred</t>
        </is>
      </c>
      <c r="B78" s="43" t="n">
        <v>1</v>
      </c>
      <c r="C78" s="43" t="n">
        <v>1</v>
      </c>
      <c r="D78" s="43" t="n">
        <v>1</v>
      </c>
      <c r="E78" s="43" t="n">
        <v>1</v>
      </c>
      <c r="F78" s="43" t="n">
        <v>1</v>
      </c>
      <c r="G78" s="43" t="n">
        <v>1</v>
      </c>
      <c r="H78" s="43" t="n">
        <v>1</v>
      </c>
      <c r="I78" s="43" t="n">
        <v>1</v>
      </c>
    </row>
    <row r="81">
      <c r="A81" s="45" t="inlineStr">
        <is>
          <t>Sensitivity tables (Excel data tables)</t>
        </is>
      </c>
    </row>
    <row r="83">
      <c r="A83" s="30" t="inlineStr">
        <is>
          <t>Scenario summary</t>
        </is>
      </c>
    </row>
    <row r="84">
      <c r="A84" s="13" t="inlineStr">
        <is>
          <t>Scenario</t>
        </is>
      </c>
      <c r="B84" s="42" t="inlineStr">
        <is>
          <t>Case</t>
        </is>
      </c>
      <c r="C84" s="42" t="inlineStr">
        <is>
          <t>Equity value</t>
        </is>
      </c>
      <c r="D84" s="42" t="inlineStr">
        <is>
          <t>rNPV / share</t>
        </is>
      </c>
      <c r="E84" s="42" t="inlineStr">
        <is>
          <t>Upside</t>
        </is>
      </c>
      <c r="F84" s="42" t="inlineStr">
        <is>
          <t>D-PLEX100 PV / share</t>
        </is>
      </c>
      <c r="G84" s="42" t="inlineStr">
        <is>
          <t>P(approval)</t>
        </is>
      </c>
      <c r="H84" s="42" t="inlineStr">
        <is>
          <t>Discount rate</t>
        </is>
      </c>
    </row>
    <row r="85">
      <c r="A85" s="25" t="inlineStr">
        <is>
          <t>Live (active scenario)</t>
        </is>
      </c>
      <c r="C85" s="46">
        <f>NPV!C31</f>
        <v>197.31554494389246</v>
      </c>
      <c r="D85" s="47">
        <f>NPV!C43</f>
        <v>7.069712564981416</v>
      </c>
      <c r="E85" s="48">
        <f>NPV!C45</f>
        <v>0.37275972135561464</v>
      </c>
      <c r="F85" s="47">
        <f>NPV!C52</f>
        <v>8.112451989362352</v>
      </c>
      <c r="G85" s="49">
        <f>$B$32</f>
        <v>0.8</v>
      </c>
      <c r="H85" s="50">
        <f>$B$14</f>
        <v>0.14</v>
      </c>
    </row>
    <row r="86">
      <c r="A86" s="23" t="inlineStr">
        <is>
          <t>Bear</t>
        </is>
      </c>
      <c r="B86" s="51" t="n">
        <v>1</v>
      </c>
      <c r="C86" s="52">
        <f t="dataTable" ref="C86:H88" r1="B4"/>
        <v>83.11238946198756</v>
      </c>
      <c r="D86" s="53">
        <v>3.5917063166357237</v>
      </c>
      <c r="E86" s="54">
        <v>-0.30258129774063625</v>
      </c>
      <c r="F86" s="53">
        <v>5.226624859035409</v>
      </c>
      <c r="G86" s="55">
        <v>0.7</v>
      </c>
      <c r="H86" s="54">
        <v>0.16</v>
      </c>
    </row>
    <row r="87">
      <c r="A87" s="23" t="inlineStr">
        <is>
          <t>Base</t>
        </is>
      </c>
      <c r="B87" s="51" t="n">
        <v>2</v>
      </c>
      <c r="C87" s="56">
        <v>197.31554494389246</v>
      </c>
      <c r="D87" s="57">
        <v>7.069712564981416</v>
      </c>
      <c r="E87" s="58">
        <v>0.37275972135561464</v>
      </c>
      <c r="F87" s="57">
        <v>8.112451989362352</v>
      </c>
      <c r="G87" s="59">
        <v>0.8</v>
      </c>
      <c r="H87" s="58">
        <v>0.14</v>
      </c>
    </row>
    <row r="88">
      <c r="A88" s="23" t="inlineStr">
        <is>
          <t>Bull</t>
        </is>
      </c>
      <c r="B88" s="51" t="n">
        <v>3</v>
      </c>
      <c r="C88" s="52">
        <v>444.7080140175972</v>
      </c>
      <c r="D88" s="53">
        <v>14.484431699267361</v>
      </c>
      <c r="E88" s="54">
        <v>1.8125110095664776</v>
      </c>
      <c r="F88" s="53">
        <v>15.22211799240727</v>
      </c>
      <c r="G88" s="55">
        <v>0.88</v>
      </c>
      <c r="H88" s="54">
        <v>0.12</v>
      </c>
    </row>
    <row r="90">
      <c r="A90" s="30" t="inlineStr">
        <is>
          <t>PDUFA outcome (D-PLEX100): value if the FDA approves vs. issues a CRL</t>
        </is>
      </c>
    </row>
    <row r="91">
      <c r="A91" s="13" t="inlineStr">
        <is>
          <t>Outcome</t>
        </is>
      </c>
      <c r="B91" s="42" t="inlineStr">
        <is>
          <t>P(approval)</t>
        </is>
      </c>
      <c r="C91" s="42" t="inlineStr">
        <is>
          <t>Equity value</t>
        </is>
      </c>
      <c r="D91" s="42" t="inlineStr">
        <is>
          <t>rNPV / share</t>
        </is>
      </c>
      <c r="E91" s="42" t="inlineStr">
        <is>
          <t>Upside</t>
        </is>
      </c>
      <c r="F91" s="42" t="inlineStr">
        <is>
          <t>D-PLEX100 PV / share</t>
        </is>
      </c>
    </row>
    <row r="92">
      <c r="A92" s="25" t="inlineStr">
        <is>
          <t>Live (probability-weighted)</t>
        </is>
      </c>
      <c r="B92" s="60">
        <f>$B$32</f>
        <v>0.8</v>
      </c>
      <c r="C92" s="46">
        <f>NPV!C31</f>
        <v>197.31554494389246</v>
      </c>
      <c r="D92" s="47">
        <f>NPV!C43</f>
        <v>7.069712564981416</v>
      </c>
      <c r="E92" s="48">
        <f>NPV!C45</f>
        <v>0.37275972135561464</v>
      </c>
      <c r="F92" s="47">
        <f>NPV!C52</f>
        <v>8.112451989362352</v>
      </c>
    </row>
    <row r="93">
      <c r="A93" s="23" t="inlineStr">
        <is>
          <t>Complete response letter (CRL)</t>
        </is>
      </c>
      <c r="B93" s="61" t="n">
        <v>0</v>
      </c>
      <c r="C93" s="56">
        <f t="dataTable" ref="C93:F94" r1="B7"/>
        <v>138.80429873267536</v>
      </c>
      <c r="D93" s="57">
        <v>5.381269660919994</v>
      </c>
      <c r="E93" s="58">
        <v>0.04490673027572689</v>
      </c>
      <c r="F93" s="57">
        <v>4.2669433406555015</v>
      </c>
    </row>
    <row r="94">
      <c r="A94" s="23" t="inlineStr">
        <is>
          <t>Approved on time</t>
        </is>
      </c>
      <c r="B94" s="61" t="n">
        <v>1</v>
      </c>
      <c r="C94" s="56">
        <v>210.81279521104665</v>
      </c>
      <c r="D94" s="57">
        <v>7.46732439280706</v>
      </c>
      <c r="E94" s="58">
        <v>0.44996590151593385</v>
      </c>
      <c r="F94" s="57">
        <v>9.050486437968688</v>
      </c>
    </row>
    <row r="96">
      <c r="A96" s="30" t="inlineStr">
        <is>
          <t>rNPV / share: D-PLEX100 peak sales × probability of approval</t>
        </is>
      </c>
    </row>
    <row r="97">
      <c r="C97" s="25" t="inlineStr">
        <is>
          <t>Probability of approval →</t>
        </is>
      </c>
    </row>
    <row r="98">
      <c r="A98" s="25" t="inlineStr">
        <is>
          <t>Peak sales ($mm) ↓</t>
        </is>
      </c>
      <c r="B98" s="47">
        <f>NPV!C43</f>
        <v>7.069712564981416</v>
      </c>
      <c r="C98" s="62" t="n">
        <v>0</v>
      </c>
      <c r="D98" s="62" t="n">
        <v>0.25</v>
      </c>
      <c r="E98" s="62" t="n">
        <v>0.5</v>
      </c>
      <c r="F98" s="62" t="n">
        <v>0.75</v>
      </c>
      <c r="G98" s="62" t="n">
        <v>1</v>
      </c>
    </row>
    <row r="99">
      <c r="B99" s="56" t="n">
        <v>75</v>
      </c>
      <c r="C99" s="53">
        <f t="dataTable" ref="C99:G105" dt2D="1" r1="B7" r2="B8"/>
        <v>4.232977917324443</v>
      </c>
      <c r="D99" s="53">
        <v>4.37021173564019</v>
      </c>
      <c r="E99" s="53">
        <v>4.474065997643774</v>
      </c>
      <c r="F99" s="53">
        <v>4.5514676238468015</v>
      </c>
      <c r="G99" s="53">
        <v>4.628759831070732</v>
      </c>
    </row>
    <row r="100">
      <c r="B100" s="56" t="n">
        <v>125</v>
      </c>
      <c r="C100" s="53">
        <v>4.737681406464752</v>
      </c>
      <c r="D100" s="53">
        <v>5.012519644165311</v>
      </c>
      <c r="E100" s="53">
        <v>5.269198253664525</v>
      </c>
      <c r="F100" s="53">
        <v>5.51307719047012</v>
      </c>
      <c r="G100" s="53">
        <v>5.776319782283017</v>
      </c>
    </row>
    <row r="101">
      <c r="B101" s="56" t="n">
        <v>150</v>
      </c>
      <c r="C101" s="53">
        <v>4.952748984714843</v>
      </c>
      <c r="D101" s="53">
        <v>5.3292420054529375</v>
      </c>
      <c r="E101" s="53">
        <v>5.66697246634471</v>
      </c>
      <c r="F101" s="53">
        <v>5.998789878380565</v>
      </c>
      <c r="G101" s="53">
        <v>6.346454875327445</v>
      </c>
    </row>
    <row r="102">
      <c r="B102" s="56" t="n">
        <v>200</v>
      </c>
      <c r="C102" s="53">
        <v>5.381269660919994</v>
      </c>
      <c r="D102" s="53">
        <v>5.948455288098323</v>
      </c>
      <c r="E102" s="53">
        <v>6.472292677227019</v>
      </c>
      <c r="F102" s="53">
        <v>6.9611124184551</v>
      </c>
      <c r="G102" s="53">
        <v>7.46732439280706</v>
      </c>
    </row>
    <row r="103">
      <c r="B103" s="56" t="n">
        <v>250</v>
      </c>
      <c r="C103" s="53">
        <v>5.802519141157305</v>
      </c>
      <c r="D103" s="53">
        <v>6.567856972413829</v>
      </c>
      <c r="E103" s="53">
        <v>7.2572334133846175</v>
      </c>
      <c r="F103" s="53">
        <v>7.923439897302689</v>
      </c>
      <c r="G103" s="53">
        <v>8.58686220200459</v>
      </c>
    </row>
    <row r="104">
      <c r="B104" s="56" t="n">
        <v>300</v>
      </c>
      <c r="C104" s="53">
        <v>6.209860341084509</v>
      </c>
      <c r="D104" s="53">
        <v>7.1524782201943635</v>
      </c>
      <c r="E104" s="53">
        <v>8.034417718886724</v>
      </c>
      <c r="F104" s="53">
        <v>8.883017128680304</v>
      </c>
      <c r="G104" s="53">
        <v>9.69919160370765</v>
      </c>
    </row>
    <row r="105">
      <c r="B105" s="56" t="n">
        <v>400</v>
      </c>
      <c r="C105" s="53">
        <v>7.043168081086456</v>
      </c>
      <c r="D105" s="53">
        <v>8.303447018129312</v>
      </c>
      <c r="E105" s="53">
        <v>9.545732378560707</v>
      </c>
      <c r="F105" s="53">
        <v>10.723822831088977</v>
      </c>
      <c r="G105" s="53">
        <v>11.887187789947387</v>
      </c>
    </row>
    <row r="107">
      <c r="A107" s="30" t="inlineStr">
        <is>
          <t>rNPV / share: discount rate × scenario</t>
        </is>
      </c>
    </row>
    <row r="108">
      <c r="C108" s="25" t="inlineStr">
        <is>
          <t>Scenario →</t>
        </is>
      </c>
    </row>
    <row r="109">
      <c r="A109" s="25" t="inlineStr">
        <is>
          <t>Discount rate ↓</t>
        </is>
      </c>
      <c r="B109" s="47">
        <f>NPV!C43</f>
        <v>7.069712564981416</v>
      </c>
      <c r="C109" s="38" t="n">
        <v>1</v>
      </c>
      <c r="D109" s="38" t="n">
        <v>2</v>
      </c>
      <c r="E109" s="38" t="n">
        <v>3</v>
      </c>
      <c r="F109" s="25" t="inlineStr">
        <is>
          <t>1 = Bear, 2 = Base, 3 = Bull</t>
        </is>
      </c>
    </row>
    <row r="110">
      <c r="B110" s="58" t="n">
        <v>0.11</v>
      </c>
      <c r="C110" s="53">
        <f t="dataTable" ref="C110:E116" dt2D="1" r1="B4" r2="B6"/>
        <v>4.45829174841014</v>
      </c>
      <c r="D110" s="53">
        <v>8.111446298976961</v>
      </c>
      <c r="E110" s="53">
        <v>15.331572103284598</v>
      </c>
    </row>
    <row r="111">
      <c r="B111" s="58" t="n">
        <v>0.12</v>
      </c>
      <c r="C111" s="53">
        <v>4.2696062449518495</v>
      </c>
      <c r="D111" s="53">
        <v>7.732863800430815</v>
      </c>
      <c r="E111" s="53">
        <v>14.484431699267361</v>
      </c>
    </row>
    <row r="112">
      <c r="B112" s="58" t="n">
        <v>0.13</v>
      </c>
      <c r="C112" s="53">
        <v>4.09089916460974</v>
      </c>
      <c r="D112" s="53">
        <v>7.386680734215479</v>
      </c>
      <c r="E112" s="53">
        <v>13.710143620883986</v>
      </c>
    </row>
    <row r="113">
      <c r="B113" s="58" t="n">
        <v>0.14</v>
      </c>
      <c r="C113" s="53">
        <v>3.9177929347725815</v>
      </c>
      <c r="D113" s="53">
        <v>7.069712564981416</v>
      </c>
      <c r="E113" s="53">
        <v>13.001225826619756</v>
      </c>
    </row>
    <row r="114">
      <c r="B114" s="58" t="n">
        <v>0.15</v>
      </c>
      <c r="C114" s="53">
        <v>3.7481935979744057</v>
      </c>
      <c r="D114" s="53">
        <v>6.779140768079608</v>
      </c>
      <c r="E114" s="53">
        <v>12.351076332616307</v>
      </c>
    </row>
    <row r="115">
      <c r="B115" s="58" t="n">
        <v>0.16</v>
      </c>
      <c r="C115" s="53">
        <v>3.5917063166357237</v>
      </c>
      <c r="D115" s="53">
        <v>6.512465956073789</v>
      </c>
      <c r="E115" s="53">
        <v>11.753858470555752</v>
      </c>
    </row>
    <row r="116">
      <c r="B116" s="58" t="n">
        <v>0.17</v>
      </c>
      <c r="C116" s="53">
        <v>3.447109296106598</v>
      </c>
      <c r="D116" s="53">
        <v>6.267467576973128</v>
      </c>
      <c r="E116" s="53">
        <v>11.204402416109202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PYPD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D-PLEX100 — U.S./Canada via Azurity (royalty + supply)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20.0</v>
      </c>
      <c r="D6" s="52">
        <f>IF(D$2&gt;Assumptions!$B$56,C6*(1-Assumptions!$B$57),IF(D5&gt;=1,Assumptions!$B$48*CHOOSE(Assumptions!$B$55,INDEX(Assumptions!$B$42:$H$42,MIN(D5,7)),INDEX(Assumptions!$B$43:$H$43,MIN(D5,7))),0))</f>
        <v>50.0</v>
      </c>
      <c r="E6" s="52">
        <f>IF(E$2&gt;Assumptions!$B$56,D6*(1-Assumptions!$B$57),IF(E5&gt;=1,Assumptions!$B$48*CHOOSE(Assumptions!$B$55,INDEX(Assumptions!$B$42:$H$42,MIN(E5,7)),INDEX(Assumptions!$B$43:$H$43,MIN(E5,7))),0))</f>
        <v>90.0</v>
      </c>
      <c r="F6" s="52">
        <f>IF(F$2&gt;Assumptions!$B$56,E6*(1-Assumptions!$B$57),IF(F5&gt;=1,Assumptions!$B$48*CHOOSE(Assumptions!$B$55,INDEX(Assumptions!$B$42:$H$42,MIN(F5,7)),INDEX(Assumptions!$B$43:$H$43,MIN(F5,7))),0))</f>
        <v>130.0</v>
      </c>
      <c r="G6" s="52">
        <f>IF(G$2&gt;Assumptions!$B$56,F6*(1-Assumptions!$B$57),IF(G5&gt;=1,Assumptions!$B$48*CHOOSE(Assumptions!$B$55,INDEX(Assumptions!$B$42:$H$42,MIN(G5,7)),INDEX(Assumptions!$B$43:$H$43,MIN(G5,7))),0))</f>
        <v>164.0</v>
      </c>
      <c r="H6" s="52">
        <f>IF(H$2&gt;Assumptions!$B$56,G6*(1-Assumptions!$B$57),IF(H5&gt;=1,Assumptions!$B$48*CHOOSE(Assumptions!$B$55,INDEX(Assumptions!$B$42:$H$42,MIN(H5,7)),INDEX(Assumptions!$B$43:$H$43,MIN(H5,7))),0))</f>
        <v>186.0</v>
      </c>
      <c r="I6" s="52">
        <f>IF(I$2&gt;Assumptions!$B$56,H6*(1-Assumptions!$B$57),IF(I5&gt;=1,Assumptions!$B$48*CHOOSE(Assumptions!$B$55,INDEX(Assumptions!$B$42:$H$42,MIN(I5,7)),INDEX(Assumptions!$B$43:$H$43,MIN(I5,7))),0))</f>
        <v>200.0</v>
      </c>
      <c r="J6" s="52">
        <f>IF(J$2&gt;Assumptions!$B$56,I6*(1-Assumptions!$B$57),IF(J5&gt;=1,Assumptions!$B$48*CHOOSE(Assumptions!$B$55,INDEX(Assumptions!$B$42:$H$42,MIN(J5,7)),INDEX(Assumptions!$B$43:$H$43,MIN(J5,7))),0))</f>
        <v>200.0</v>
      </c>
      <c r="K6" s="52">
        <f>IF(K$2&gt;Assumptions!$B$56,J6*(1-Assumptions!$B$57),IF(K5&gt;=1,Assumptions!$B$48*CHOOSE(Assumptions!$B$55,INDEX(Assumptions!$B$42:$H$42,MIN(K5,7)),INDEX(Assumptions!$B$43:$H$43,MIN(K5,7))),0))</f>
        <v>200.0</v>
      </c>
      <c r="L6" s="52">
        <f>IF(L$2&gt;Assumptions!$B$56,K6*(1-Assumptions!$B$57),IF(L5&gt;=1,Assumptions!$B$48*CHOOSE(Assumptions!$B$55,INDEX(Assumptions!$B$42:$H$42,MIN(L5,7)),INDEX(Assumptions!$B$43:$H$43,MIN(L5,7))),0))</f>
        <v>200.0</v>
      </c>
      <c r="M6" s="52">
        <f>IF(M$2&gt;Assumptions!$B$56,L6*(1-Assumptions!$B$57),IF(M5&gt;=1,Assumptions!$B$48*CHOOSE(Assumptions!$B$55,INDEX(Assumptions!$B$42:$H$42,MIN(M5,7)),INDEX(Assumptions!$B$43:$H$43,MIN(M5,7))),0))</f>
        <v>200.0</v>
      </c>
      <c r="N6" s="52">
        <f>IF(N$2&gt;Assumptions!$B$56,M6*(1-Assumptions!$B$57),IF(N5&gt;=1,Assumptions!$B$48*CHOOSE(Assumptions!$B$55,INDEX(Assumptions!$B$42:$H$42,MIN(N5,7)),INDEX(Assumptions!$B$43:$H$43,MIN(N5,7))),0))</f>
        <v>200.0</v>
      </c>
      <c r="O6" s="52">
        <f>IF(O$2&gt;Assumptions!$B$56,N6*(1-Assumptions!$B$57),IF(O5&gt;=1,Assumptions!$B$48*CHOOSE(Assumptions!$B$55,INDEX(Assumptions!$B$42:$H$42,MIN(O5,7)),INDEX(Assumptions!$B$43:$H$43,MIN(O5,7))),0))</f>
        <v>200.0</v>
      </c>
      <c r="P6" s="52">
        <f>IF(P$2&gt;Assumptions!$B$56,O6*(1-Assumptions!$B$57),IF(P5&gt;=1,Assumptions!$B$48*CHOOSE(Assumptions!$B$55,INDEX(Assumptions!$B$42:$H$42,MIN(P5,7)),INDEX(Assumptions!$B$43:$H$43,MIN(P5,7))),0))</f>
        <v>200.0</v>
      </c>
      <c r="Q6" s="52">
        <f>IF(Q$2&gt;Assumptions!$B$56,P6*(1-Assumptions!$B$57),IF(Q5&gt;=1,Assumptions!$B$48*CHOOSE(Assumptions!$B$55,INDEX(Assumptions!$B$42:$H$42,MIN(Q5,7)),INDEX(Assumptions!$B$43:$H$43,MIN(Q5,7))),0))</f>
        <v>100.0</v>
      </c>
      <c r="R6" s="52">
        <f>IF(R$2&gt;Assumptions!$B$56,Q6*(1-Assumptions!$B$57),IF(R5&gt;=1,Assumptions!$B$48*CHOOSE(Assumptions!$B$55,INDEX(Assumptions!$B$42:$H$42,MIN(R5,7)),INDEX(Assumptions!$B$43:$H$43,MIN(R5,7))),0))</f>
        <v>50.0</v>
      </c>
      <c r="S6" s="52">
        <f>IF(S$2&gt;Assumptions!$B$56,R6*(1-Assumptions!$B$57),IF(S5&gt;=1,Assumptions!$B$48*CHOOSE(Assumptions!$B$55,INDEX(Assumptions!$B$42:$H$42,MIN(S5,7)),INDEX(Assumptions!$B$43:$H$43,MIN(S5,7))),0))</f>
        <v>25.0</v>
      </c>
      <c r="T6" s="52">
        <f>IF(T$2&gt;Assumptions!$B$56,S6*(1-Assumptions!$B$57),IF(T5&gt;=1,Assumptions!$B$48*CHOOSE(Assumptions!$B$55,INDEX(Assumptions!$B$42:$H$42,MIN(T5,7)),INDEX(Assumptions!$B$43:$H$43,MIN(T5,7))),0))</f>
        <v>12.5</v>
      </c>
      <c r="U6" s="52">
        <f>IF(U$2&gt;Assumptions!$B$56,T6*(1-Assumptions!$B$57),IF(U5&gt;=1,Assumptions!$B$48*CHOOSE(Assumptions!$B$55,INDEX(Assumptions!$B$42:$H$42,MIN(U5,7)),INDEX(Assumptions!$B$43:$H$43,MIN(U5,7))),0))</f>
        <v>6.25</v>
      </c>
      <c r="V6" s="52">
        <f>IF(V$2&gt;Assumptions!$B$56,U6*(1-Assumptions!$B$57),IF(V5&gt;=1,Assumptions!$B$48*CHOOSE(Assumptions!$B$55,INDEX(Assumptions!$B$42:$H$42,MIN(V5,7)),INDEX(Assumptions!$B$43:$H$43,MIN(V5,7))),0))</f>
        <v>3.125</v>
      </c>
      <c r="W6" s="52">
        <f>IF(W$2&gt;Assumptions!$B$56,V6*(1-Assumptions!$B$57),IF(W5&gt;=1,Assumptions!$B$48*CHOOSE(Assumptions!$B$55,INDEX(Assumptions!$B$42:$H$42,MIN(W5,7)),INDEX(Assumptions!$B$43:$H$43,MIN(W5,7))),0))</f>
        <v>1.5625</v>
      </c>
      <c r="X6" s="52">
        <f>IF(X$2&gt;Assumptions!$B$56,W6*(1-Assumptions!$B$57),IF(X5&gt;=1,Assumptions!$B$48*CHOOSE(Assumptions!$B$55,INDEX(Assumptions!$B$42:$H$42,MIN(X5,7)),INDEX(Assumptions!$B$43:$H$43,MIN(X5,7))),0))</f>
        <v>0.78125</v>
      </c>
      <c r="Y6" s="52">
        <f>IF(Y$2&gt;Assumptions!$B$56,X6*(1-Assumptions!$B$57),IF(Y5&gt;=1,Assumptions!$B$48*CHOOSE(Assumptions!$B$55,INDEX(Assumptions!$B$42:$H$42,MIN(Y5,7)),INDEX(Assumptions!$B$43:$H$43,MIN(Y5,7))),0))</f>
        <v>0.390625</v>
      </c>
      <c r="Z6" s="52">
        <f>IF(Z$2&gt;Assumptions!$B$56,Y6*(1-Assumptions!$B$57),IF(Z5&gt;=1,Assumptions!$B$48*CHOOSE(Assumptions!$B$55,INDEX(Assumptions!$B$42:$H$42,MIN(Z5,7)),INDEX(Assumptions!$B$43:$H$43,MIN(Z5,7))),0))</f>
        <v>0.1953125</v>
      </c>
    </row>
    <row r="7">
      <c r="A7" s="13" t="inlineStr">
        <is>
          <t>Years since launch (approved after a CRL)</t>
        </is>
      </c>
      <c r="C7" s="63">
        <f>C$2-(Assumptions!$B$47+Assumptions!$B$34)+1</f>
        <v>-1.0</v>
      </c>
      <c r="D7" s="63">
        <f>D$2-(Assumptions!$B$47+Assumptions!$B$34)+1</f>
        <v>0.0</v>
      </c>
      <c r="E7" s="63">
        <f>E$2-(Assumptions!$B$47+Assumptions!$B$34)+1</f>
        <v>1.0</v>
      </c>
      <c r="F7" s="63">
        <f>F$2-(Assumptions!$B$47+Assumptions!$B$34)+1</f>
        <v>2.0</v>
      </c>
      <c r="G7" s="63">
        <f>G$2-(Assumptions!$B$47+Assumptions!$B$34)+1</f>
        <v>3.0</v>
      </c>
      <c r="H7" s="63">
        <f>H$2-(Assumptions!$B$47+Assumptions!$B$34)+1</f>
        <v>4.0</v>
      </c>
      <c r="I7" s="63">
        <f>I$2-(Assumptions!$B$47+Assumptions!$B$34)+1</f>
        <v>5.0</v>
      </c>
      <c r="J7" s="63">
        <f>J$2-(Assumptions!$B$47+Assumptions!$B$34)+1</f>
        <v>6.0</v>
      </c>
      <c r="K7" s="63">
        <f>K$2-(Assumptions!$B$47+Assumptions!$B$34)+1</f>
        <v>7.0</v>
      </c>
      <c r="L7" s="63">
        <f>L$2-(Assumptions!$B$47+Assumptions!$B$34)+1</f>
        <v>8.0</v>
      </c>
      <c r="M7" s="63">
        <f>M$2-(Assumptions!$B$47+Assumptions!$B$34)+1</f>
        <v>9.0</v>
      </c>
      <c r="N7" s="63">
        <f>N$2-(Assumptions!$B$47+Assumptions!$B$34)+1</f>
        <v>10.0</v>
      </c>
      <c r="O7" s="63">
        <f>O$2-(Assumptions!$B$47+Assumptions!$B$34)+1</f>
        <v>11.0</v>
      </c>
      <c r="P7" s="63">
        <f>P$2-(Assumptions!$B$47+Assumptions!$B$34)+1</f>
        <v>12.0</v>
      </c>
      <c r="Q7" s="63">
        <f>Q$2-(Assumptions!$B$47+Assumptions!$B$34)+1</f>
        <v>13.0</v>
      </c>
      <c r="R7" s="63">
        <f>R$2-(Assumptions!$B$47+Assumptions!$B$34)+1</f>
        <v>14.0</v>
      </c>
      <c r="S7" s="63">
        <f>S$2-(Assumptions!$B$47+Assumptions!$B$34)+1</f>
        <v>15.0</v>
      </c>
      <c r="T7" s="63">
        <f>T$2-(Assumptions!$B$47+Assumptions!$B$34)+1</f>
        <v>16.0</v>
      </c>
      <c r="U7" s="63">
        <f>U$2-(Assumptions!$B$47+Assumptions!$B$34)+1</f>
        <v>17.0</v>
      </c>
      <c r="V7" s="63">
        <f>V$2-(Assumptions!$B$47+Assumptions!$B$34)+1</f>
        <v>18.0</v>
      </c>
      <c r="W7" s="63">
        <f>W$2-(Assumptions!$B$47+Assumptions!$B$34)+1</f>
        <v>19.0</v>
      </c>
      <c r="X7" s="63">
        <f>X$2-(Assumptions!$B$47+Assumptions!$B$34)+1</f>
        <v>20.0</v>
      </c>
      <c r="Y7" s="63">
        <f>Y$2-(Assumptions!$B$47+Assumptions!$B$34)+1</f>
        <v>21.0</v>
      </c>
      <c r="Z7" s="63">
        <f>Z$2-(Assumptions!$B$47+Assumptions!$B$34)+1</f>
        <v>22.0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0</v>
      </c>
      <c r="E8" s="52">
        <f>IF(E$2&gt;Assumptions!$B$56,D8*(1-Assumptions!$B$57),IF(E7&gt;=1,Assumptions!$B$48*CHOOSE(Assumptions!$B$55,INDEX(Assumptions!$B$42:$H$42,MIN(E7,7)),INDEX(Assumptions!$B$43:$H$43,MIN(E7,7))),0))</f>
        <v>20.0</v>
      </c>
      <c r="F8" s="52">
        <f>IF(F$2&gt;Assumptions!$B$56,E8*(1-Assumptions!$B$57),IF(F7&gt;=1,Assumptions!$B$48*CHOOSE(Assumptions!$B$55,INDEX(Assumptions!$B$42:$H$42,MIN(F7,7)),INDEX(Assumptions!$B$43:$H$43,MIN(F7,7))),0))</f>
        <v>50.0</v>
      </c>
      <c r="G8" s="52">
        <f>IF(G$2&gt;Assumptions!$B$56,F8*(1-Assumptions!$B$57),IF(G7&gt;=1,Assumptions!$B$48*CHOOSE(Assumptions!$B$55,INDEX(Assumptions!$B$42:$H$42,MIN(G7,7)),INDEX(Assumptions!$B$43:$H$43,MIN(G7,7))),0))</f>
        <v>90.0</v>
      </c>
      <c r="H8" s="52">
        <f>IF(H$2&gt;Assumptions!$B$56,G8*(1-Assumptions!$B$57),IF(H7&gt;=1,Assumptions!$B$48*CHOOSE(Assumptions!$B$55,INDEX(Assumptions!$B$42:$H$42,MIN(H7,7)),INDEX(Assumptions!$B$43:$H$43,MIN(H7,7))),0))</f>
        <v>130.0</v>
      </c>
      <c r="I8" s="52">
        <f>IF(I$2&gt;Assumptions!$B$56,H8*(1-Assumptions!$B$57),IF(I7&gt;=1,Assumptions!$B$48*CHOOSE(Assumptions!$B$55,INDEX(Assumptions!$B$42:$H$42,MIN(I7,7)),INDEX(Assumptions!$B$43:$H$43,MIN(I7,7))),0))</f>
        <v>164.0</v>
      </c>
      <c r="J8" s="52">
        <f>IF(J$2&gt;Assumptions!$B$56,I8*(1-Assumptions!$B$57),IF(J7&gt;=1,Assumptions!$B$48*CHOOSE(Assumptions!$B$55,INDEX(Assumptions!$B$42:$H$42,MIN(J7,7)),INDEX(Assumptions!$B$43:$H$43,MIN(J7,7))),0))</f>
        <v>186.0</v>
      </c>
      <c r="K8" s="52">
        <f>IF(K$2&gt;Assumptions!$B$56,J8*(1-Assumptions!$B$57),IF(K7&gt;=1,Assumptions!$B$48*CHOOSE(Assumptions!$B$55,INDEX(Assumptions!$B$42:$H$42,MIN(K7,7)),INDEX(Assumptions!$B$43:$H$43,MIN(K7,7))),0))</f>
        <v>200.0</v>
      </c>
      <c r="L8" s="52">
        <f>IF(L$2&gt;Assumptions!$B$56,K8*(1-Assumptions!$B$57),IF(L7&gt;=1,Assumptions!$B$48*CHOOSE(Assumptions!$B$55,INDEX(Assumptions!$B$42:$H$42,MIN(L7,7)),INDEX(Assumptions!$B$43:$H$43,MIN(L7,7))),0))</f>
        <v>200.0</v>
      </c>
      <c r="M8" s="52">
        <f>IF(M$2&gt;Assumptions!$B$56,L8*(1-Assumptions!$B$57),IF(M7&gt;=1,Assumptions!$B$48*CHOOSE(Assumptions!$B$55,INDEX(Assumptions!$B$42:$H$42,MIN(M7,7)),INDEX(Assumptions!$B$43:$H$43,MIN(M7,7))),0))</f>
        <v>200.0</v>
      </c>
      <c r="N8" s="52">
        <f>IF(N$2&gt;Assumptions!$B$56,M8*(1-Assumptions!$B$57),IF(N7&gt;=1,Assumptions!$B$48*CHOOSE(Assumptions!$B$55,INDEX(Assumptions!$B$42:$H$42,MIN(N7,7)),INDEX(Assumptions!$B$43:$H$43,MIN(N7,7))),0))</f>
        <v>200.0</v>
      </c>
      <c r="O8" s="52">
        <f>IF(O$2&gt;Assumptions!$B$56,N8*(1-Assumptions!$B$57),IF(O7&gt;=1,Assumptions!$B$48*CHOOSE(Assumptions!$B$55,INDEX(Assumptions!$B$42:$H$42,MIN(O7,7)),INDEX(Assumptions!$B$43:$H$43,MIN(O7,7))),0))</f>
        <v>200.0</v>
      </c>
      <c r="P8" s="52">
        <f>IF(P$2&gt;Assumptions!$B$56,O8*(1-Assumptions!$B$57),IF(P7&gt;=1,Assumptions!$B$48*CHOOSE(Assumptions!$B$55,INDEX(Assumptions!$B$42:$H$42,MIN(P7,7)),INDEX(Assumptions!$B$43:$H$43,MIN(P7,7))),0))</f>
        <v>200.0</v>
      </c>
      <c r="Q8" s="52">
        <f>IF(Q$2&gt;Assumptions!$B$56,P8*(1-Assumptions!$B$57),IF(Q7&gt;=1,Assumptions!$B$48*CHOOSE(Assumptions!$B$55,INDEX(Assumptions!$B$42:$H$42,MIN(Q7,7)),INDEX(Assumptions!$B$43:$H$43,MIN(Q7,7))),0))</f>
        <v>100.0</v>
      </c>
      <c r="R8" s="52">
        <f>IF(R$2&gt;Assumptions!$B$56,Q8*(1-Assumptions!$B$57),IF(R7&gt;=1,Assumptions!$B$48*CHOOSE(Assumptions!$B$55,INDEX(Assumptions!$B$42:$H$42,MIN(R7,7)),INDEX(Assumptions!$B$43:$H$43,MIN(R7,7))),0))</f>
        <v>50.0</v>
      </c>
      <c r="S8" s="52">
        <f>IF(S$2&gt;Assumptions!$B$56,R8*(1-Assumptions!$B$57),IF(S7&gt;=1,Assumptions!$B$48*CHOOSE(Assumptions!$B$55,INDEX(Assumptions!$B$42:$H$42,MIN(S7,7)),INDEX(Assumptions!$B$43:$H$43,MIN(S7,7))),0))</f>
        <v>25.0</v>
      </c>
      <c r="T8" s="52">
        <f>IF(T$2&gt;Assumptions!$B$56,S8*(1-Assumptions!$B$57),IF(T7&gt;=1,Assumptions!$B$48*CHOOSE(Assumptions!$B$55,INDEX(Assumptions!$B$42:$H$42,MIN(T7,7)),INDEX(Assumptions!$B$43:$H$43,MIN(T7,7))),0))</f>
        <v>12.5</v>
      </c>
      <c r="U8" s="52">
        <f>IF(U$2&gt;Assumptions!$B$56,T8*(1-Assumptions!$B$57),IF(U7&gt;=1,Assumptions!$B$48*CHOOSE(Assumptions!$B$55,INDEX(Assumptions!$B$42:$H$42,MIN(U7,7)),INDEX(Assumptions!$B$43:$H$43,MIN(U7,7))),0))</f>
        <v>6.25</v>
      </c>
      <c r="V8" s="52">
        <f>IF(V$2&gt;Assumptions!$B$56,U8*(1-Assumptions!$B$57),IF(V7&gt;=1,Assumptions!$B$48*CHOOSE(Assumptions!$B$55,INDEX(Assumptions!$B$42:$H$42,MIN(V7,7)),INDEX(Assumptions!$B$43:$H$43,MIN(V7,7))),0))</f>
        <v>3.125</v>
      </c>
      <c r="W8" s="52">
        <f>IF(W$2&gt;Assumptions!$B$56,V8*(1-Assumptions!$B$57),IF(W7&gt;=1,Assumptions!$B$48*CHOOSE(Assumptions!$B$55,INDEX(Assumptions!$B$42:$H$42,MIN(W7,7)),INDEX(Assumptions!$B$43:$H$43,MIN(W7,7))),0))</f>
        <v>1.5625</v>
      </c>
      <c r="X8" s="52">
        <f>IF(X$2&gt;Assumptions!$B$56,W8*(1-Assumptions!$B$57),IF(X7&gt;=1,Assumptions!$B$48*CHOOSE(Assumptions!$B$55,INDEX(Assumptions!$B$42:$H$42,MIN(X7,7)),INDEX(Assumptions!$B$43:$H$43,MIN(X7,7))),0))</f>
        <v>0.78125</v>
      </c>
      <c r="Y8" s="52">
        <f>IF(Y$2&gt;Assumptions!$B$56,X8*(1-Assumptions!$B$57),IF(Y7&gt;=1,Assumptions!$B$48*CHOOSE(Assumptions!$B$55,INDEX(Assumptions!$B$42:$H$42,MIN(Y7,7)),INDEX(Assumptions!$B$43:$H$43,MIN(Y7,7))),0))</f>
        <v>0.390625</v>
      </c>
      <c r="Z8" s="52">
        <f>IF(Z$2&gt;Assumptions!$B$56,Y8*(1-Assumptions!$B$57),IF(Z7&gt;=1,Assumptions!$B$48*CHOOSE(Assumptions!$B$55,INDEX(Assumptions!$B$42:$H$42,MIN(Z7,7)),INDEX(Assumptions!$B$43:$H$43,MIN(Z7,7))),0))</f>
        <v>0.1953125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16.0</v>
      </c>
      <c r="D9" s="52">
        <f>Assumptions!$B$32*D6+(1-Assumptions!$B$32)*Assumptions!$B$33*D8</f>
        <v>40.0</v>
      </c>
      <c r="E9" s="52">
        <f>Assumptions!$B$32*E6+(1-Assumptions!$B$32)*Assumptions!$B$33*E8</f>
        <v>74.4</v>
      </c>
      <c r="F9" s="52">
        <f>Assumptions!$B$32*F6+(1-Assumptions!$B$32)*Assumptions!$B$33*F8</f>
        <v>110.0</v>
      </c>
      <c r="G9" s="52">
        <f>Assumptions!$B$32*G6+(1-Assumptions!$B$32)*Assumptions!$B$33*G8</f>
        <v>142.0</v>
      </c>
      <c r="H9" s="52">
        <f>Assumptions!$B$32*H6+(1-Assumptions!$B$32)*Assumptions!$B$33*H8</f>
        <v>164.4</v>
      </c>
      <c r="I9" s="52">
        <f>Assumptions!$B$32*I6+(1-Assumptions!$B$32)*Assumptions!$B$33*I8</f>
        <v>179.68</v>
      </c>
      <c r="J9" s="52">
        <f>Assumptions!$B$32*J6+(1-Assumptions!$B$32)*Assumptions!$B$33*J8</f>
        <v>182.32</v>
      </c>
      <c r="K9" s="52">
        <f>Assumptions!$B$32*K6+(1-Assumptions!$B$32)*Assumptions!$B$33*K8</f>
        <v>184.0</v>
      </c>
      <c r="L9" s="52">
        <f>Assumptions!$B$32*L6+(1-Assumptions!$B$32)*Assumptions!$B$33*L8</f>
        <v>184.0</v>
      </c>
      <c r="M9" s="52">
        <f>Assumptions!$B$32*M6+(1-Assumptions!$B$32)*Assumptions!$B$33*M8</f>
        <v>184.0</v>
      </c>
      <c r="N9" s="52">
        <f>Assumptions!$B$32*N6+(1-Assumptions!$B$32)*Assumptions!$B$33*N8</f>
        <v>184.0</v>
      </c>
      <c r="O9" s="52">
        <f>Assumptions!$B$32*O6+(1-Assumptions!$B$32)*Assumptions!$B$33*O8</f>
        <v>184.0</v>
      </c>
      <c r="P9" s="52">
        <f>Assumptions!$B$32*P6+(1-Assumptions!$B$32)*Assumptions!$B$33*P8</f>
        <v>184.0</v>
      </c>
      <c r="Q9" s="52">
        <f>Assumptions!$B$32*Q6+(1-Assumptions!$B$32)*Assumptions!$B$33*Q8</f>
        <v>92.0</v>
      </c>
      <c r="R9" s="52">
        <f>Assumptions!$B$32*R6+(1-Assumptions!$B$32)*Assumptions!$B$33*R8</f>
        <v>46.0</v>
      </c>
      <c r="S9" s="52">
        <f>Assumptions!$B$32*S6+(1-Assumptions!$B$32)*Assumptions!$B$33*S8</f>
        <v>23.0</v>
      </c>
      <c r="T9" s="52">
        <f>Assumptions!$B$32*T6+(1-Assumptions!$B$32)*Assumptions!$B$33*T8</f>
        <v>11.5</v>
      </c>
      <c r="U9" s="52">
        <f>Assumptions!$B$32*U6+(1-Assumptions!$B$32)*Assumptions!$B$33*U8</f>
        <v>5.75</v>
      </c>
      <c r="V9" s="52">
        <f>Assumptions!$B$32*V6+(1-Assumptions!$B$32)*Assumptions!$B$33*V8</f>
        <v>2.875</v>
      </c>
      <c r="W9" s="52">
        <f>Assumptions!$B$32*W6+(1-Assumptions!$B$32)*Assumptions!$B$33*W8</f>
        <v>1.4375</v>
      </c>
      <c r="X9" s="52">
        <f>Assumptions!$B$32*X6+(1-Assumptions!$B$32)*Assumptions!$B$33*X8</f>
        <v>0.71875</v>
      </c>
      <c r="Y9" s="52">
        <f>Assumptions!$B$32*Y6+(1-Assumptions!$B$32)*Assumptions!$B$33*Y8</f>
        <v>0.359375</v>
      </c>
      <c r="Z9" s="52">
        <f>Assumptions!$B$32*Z6+(1-Assumptions!$B$32)*Assumptions!$B$33*Z8</f>
        <v>0.1796875</v>
      </c>
    </row>
    <row r="10">
      <c r="A10" s="13" t="inlineStr">
        <is>
          <t>Company revenue, risk-adjusted (incl. milestones)</t>
        </is>
      </c>
      <c r="C10" s="52">
        <f>C9*Assumptions!$B$50+Assumptions!$B$32*IFERROR(INDEX(Assumptions!$B$62:$K$62,MATCH(C$2-Assumptions!$B$47,Assumptions!$B$61:$K$61,0)),0)+(1-Assumptions!$B$32)*Assumptions!$B$33*IFERROR(INDEX(Assumptions!$B$62:$K$62,MATCH(C$2-Assumptions!$B$47-Assumptions!$B$34,Assumptions!$B$61:$K$61,0)),0)</f>
        <v>35.52</v>
      </c>
      <c r="D10" s="52">
        <f>D9*Assumptions!$B$50+Assumptions!$B$32*IFERROR(INDEX(Assumptions!$B$62:$K$62,MATCH(D$2-Assumptions!$B$47,Assumptions!$B$61:$K$61,0)),0)+(1-Assumptions!$B$32)*Assumptions!$B$33*IFERROR(INDEX(Assumptions!$B$62:$K$62,MATCH(D$2-Assumptions!$B$47-Assumptions!$B$34,Assumptions!$B$61:$K$61,0)),0)</f>
        <v>8.8</v>
      </c>
      <c r="E10" s="52">
        <f>E9*Assumptions!$B$50+Assumptions!$B$32*IFERROR(INDEX(Assumptions!$B$62:$K$62,MATCH(E$2-Assumptions!$B$47,Assumptions!$B$61:$K$61,0)),0)+(1-Assumptions!$B$32)*Assumptions!$B$33*IFERROR(INDEX(Assumptions!$B$62:$K$62,MATCH(E$2-Assumptions!$B$47-Assumptions!$B$34,Assumptions!$B$61:$K$61,0)),0)</f>
        <v>21.168</v>
      </c>
      <c r="F10" s="52">
        <f>F9*Assumptions!$B$50+Assumptions!$B$32*IFERROR(INDEX(Assumptions!$B$62:$K$62,MATCH(F$2-Assumptions!$B$47,Assumptions!$B$61:$K$61,0)),0)+(1-Assumptions!$B$32)*Assumptions!$B$33*IFERROR(INDEX(Assumptions!$B$62:$K$62,MATCH(F$2-Assumptions!$B$47-Assumptions!$B$34,Assumptions!$B$61:$K$61,0)),0)</f>
        <v>44.2</v>
      </c>
      <c r="G10" s="52">
        <f>G9*Assumptions!$B$50+Assumptions!$B$32*IFERROR(INDEX(Assumptions!$B$62:$K$62,MATCH(G$2-Assumptions!$B$47,Assumptions!$B$61:$K$61,0)),0)+(1-Assumptions!$B$32)*Assumptions!$B$33*IFERROR(INDEX(Assumptions!$B$62:$K$62,MATCH(G$2-Assumptions!$B$47-Assumptions!$B$34,Assumptions!$B$61:$K$61,0)),0)</f>
        <v>31.24</v>
      </c>
      <c r="H10" s="52">
        <f>H9*Assumptions!$B$50+Assumptions!$B$32*IFERROR(INDEX(Assumptions!$B$62:$K$62,MATCH(H$2-Assumptions!$B$47,Assumptions!$B$61:$K$61,0)),0)+(1-Assumptions!$B$32)*Assumptions!$B$33*IFERROR(INDEX(Assumptions!$B$62:$K$62,MATCH(H$2-Assumptions!$B$47-Assumptions!$B$34,Assumptions!$B$61:$K$61,0)),0)</f>
        <v>59.168</v>
      </c>
      <c r="I10" s="52">
        <f>I9*Assumptions!$B$50+Assumptions!$B$32*IFERROR(INDEX(Assumptions!$B$62:$K$62,MATCH(I$2-Assumptions!$B$47,Assumptions!$B$61:$K$61,0)),0)+(1-Assumptions!$B$32)*Assumptions!$B$33*IFERROR(INDEX(Assumptions!$B$62:$K$62,MATCH(I$2-Assumptions!$B$47-Assumptions!$B$34,Assumptions!$B$61:$K$61,0)),0)</f>
        <v>39.5296</v>
      </c>
      <c r="J10" s="52">
        <f>J9*Assumptions!$B$50+Assumptions!$B$32*IFERROR(INDEX(Assumptions!$B$62:$K$62,MATCH(J$2-Assumptions!$B$47,Assumptions!$B$61:$K$61,0)),0)+(1-Assumptions!$B$32)*Assumptions!$B$33*IFERROR(INDEX(Assumptions!$B$62:$K$62,MATCH(J$2-Assumptions!$B$47-Assumptions!$B$34,Assumptions!$B$61:$K$61,0)),0)</f>
        <v>63.1104</v>
      </c>
      <c r="K10" s="52">
        <f>K9*Assumptions!$B$50+Assumptions!$B$32*IFERROR(INDEX(Assumptions!$B$62:$K$62,MATCH(K$2-Assumptions!$B$47,Assumptions!$B$61:$K$61,0)),0)+(1-Assumptions!$B$32)*Assumptions!$B$33*IFERROR(INDEX(Assumptions!$B$62:$K$62,MATCH(K$2-Assumptions!$B$47-Assumptions!$B$34,Assumptions!$B$61:$K$61,0)),0)</f>
        <v>40.48</v>
      </c>
      <c r="L10" s="52">
        <f>L9*Assumptions!$B$50+Assumptions!$B$32*IFERROR(INDEX(Assumptions!$B$62:$K$62,MATCH(L$2-Assumptions!$B$47,Assumptions!$B$61:$K$61,0)),0)+(1-Assumptions!$B$32)*Assumptions!$B$33*IFERROR(INDEX(Assumptions!$B$62:$K$62,MATCH(L$2-Assumptions!$B$47-Assumptions!$B$34,Assumptions!$B$61:$K$61,0)),0)</f>
        <v>43.48</v>
      </c>
      <c r="M10" s="52">
        <f>M9*Assumptions!$B$50+Assumptions!$B$32*IFERROR(INDEX(Assumptions!$B$62:$K$62,MATCH(M$2-Assumptions!$B$47,Assumptions!$B$61:$K$61,0)),0)+(1-Assumptions!$B$32)*Assumptions!$B$33*IFERROR(INDEX(Assumptions!$B$62:$K$62,MATCH(M$2-Assumptions!$B$47-Assumptions!$B$34,Assumptions!$B$61:$K$61,0)),0)</f>
        <v>40.48</v>
      </c>
      <c r="N10" s="52">
        <f>N9*Assumptions!$B$50+Assumptions!$B$32*IFERROR(INDEX(Assumptions!$B$62:$K$62,MATCH(N$2-Assumptions!$B$47,Assumptions!$B$61:$K$61,0)),0)+(1-Assumptions!$B$32)*Assumptions!$B$33*IFERROR(INDEX(Assumptions!$B$62:$K$62,MATCH(N$2-Assumptions!$B$47-Assumptions!$B$34,Assumptions!$B$61:$K$61,0)),0)</f>
        <v>40.48</v>
      </c>
      <c r="O10" s="52">
        <f>O9*Assumptions!$B$50+Assumptions!$B$32*IFERROR(INDEX(Assumptions!$B$62:$K$62,MATCH(O$2-Assumptions!$B$47,Assumptions!$B$61:$K$61,0)),0)+(1-Assumptions!$B$32)*Assumptions!$B$33*IFERROR(INDEX(Assumptions!$B$62:$K$62,MATCH(O$2-Assumptions!$B$47-Assumptions!$B$34,Assumptions!$B$61:$K$61,0)),0)</f>
        <v>40.48</v>
      </c>
      <c r="P10" s="52">
        <f>P9*Assumptions!$B$50+Assumptions!$B$32*IFERROR(INDEX(Assumptions!$B$62:$K$62,MATCH(P$2-Assumptions!$B$47,Assumptions!$B$61:$K$61,0)),0)+(1-Assumptions!$B$32)*Assumptions!$B$33*IFERROR(INDEX(Assumptions!$B$62:$K$62,MATCH(P$2-Assumptions!$B$47-Assumptions!$B$34,Assumptions!$B$61:$K$61,0)),0)</f>
        <v>40.48</v>
      </c>
      <c r="Q10" s="52">
        <f>Q9*Assumptions!$B$50+Assumptions!$B$32*IFERROR(INDEX(Assumptions!$B$62:$K$62,MATCH(Q$2-Assumptions!$B$47,Assumptions!$B$61:$K$61,0)),0)+(1-Assumptions!$B$32)*Assumptions!$B$33*IFERROR(INDEX(Assumptions!$B$62:$K$62,MATCH(Q$2-Assumptions!$B$47-Assumptions!$B$34,Assumptions!$B$61:$K$61,0)),0)</f>
        <v>20.24</v>
      </c>
      <c r="R10" s="52">
        <f>R9*Assumptions!$B$50+Assumptions!$B$32*IFERROR(INDEX(Assumptions!$B$62:$K$62,MATCH(R$2-Assumptions!$B$47,Assumptions!$B$61:$K$61,0)),0)+(1-Assumptions!$B$32)*Assumptions!$B$33*IFERROR(INDEX(Assumptions!$B$62:$K$62,MATCH(R$2-Assumptions!$B$47-Assumptions!$B$34,Assumptions!$B$61:$K$61,0)),0)</f>
        <v>10.12</v>
      </c>
      <c r="S10" s="52">
        <f>S9*Assumptions!$B$50+Assumptions!$B$32*IFERROR(INDEX(Assumptions!$B$62:$K$62,MATCH(S$2-Assumptions!$B$47,Assumptions!$B$61:$K$61,0)),0)+(1-Assumptions!$B$32)*Assumptions!$B$33*IFERROR(INDEX(Assumptions!$B$62:$K$62,MATCH(S$2-Assumptions!$B$47-Assumptions!$B$34,Assumptions!$B$61:$K$61,0)),0)</f>
        <v>5.06</v>
      </c>
      <c r="T10" s="52">
        <f>T9*Assumptions!$B$50+Assumptions!$B$32*IFERROR(INDEX(Assumptions!$B$62:$K$62,MATCH(T$2-Assumptions!$B$47,Assumptions!$B$61:$K$61,0)),0)+(1-Assumptions!$B$32)*Assumptions!$B$33*IFERROR(INDEX(Assumptions!$B$62:$K$62,MATCH(T$2-Assumptions!$B$47-Assumptions!$B$34,Assumptions!$B$61:$K$61,0)),0)</f>
        <v>2.53</v>
      </c>
      <c r="U10" s="52">
        <f>U9*Assumptions!$B$50+Assumptions!$B$32*IFERROR(INDEX(Assumptions!$B$62:$K$62,MATCH(U$2-Assumptions!$B$47,Assumptions!$B$61:$K$61,0)),0)+(1-Assumptions!$B$32)*Assumptions!$B$33*IFERROR(INDEX(Assumptions!$B$62:$K$62,MATCH(U$2-Assumptions!$B$47-Assumptions!$B$34,Assumptions!$B$61:$K$61,0)),0)</f>
        <v>1.265</v>
      </c>
      <c r="V10" s="52">
        <f>V9*Assumptions!$B$50+Assumptions!$B$32*IFERROR(INDEX(Assumptions!$B$62:$K$62,MATCH(V$2-Assumptions!$B$47,Assumptions!$B$61:$K$61,0)),0)+(1-Assumptions!$B$32)*Assumptions!$B$33*IFERROR(INDEX(Assumptions!$B$62:$K$62,MATCH(V$2-Assumptions!$B$47-Assumptions!$B$34,Assumptions!$B$61:$K$61,0)),0)</f>
        <v>0.6325</v>
      </c>
      <c r="W10" s="52">
        <f>W9*Assumptions!$B$50+Assumptions!$B$32*IFERROR(INDEX(Assumptions!$B$62:$K$62,MATCH(W$2-Assumptions!$B$47,Assumptions!$B$61:$K$61,0)),0)+(1-Assumptions!$B$32)*Assumptions!$B$33*IFERROR(INDEX(Assumptions!$B$62:$K$62,MATCH(W$2-Assumptions!$B$47-Assumptions!$B$34,Assumptions!$B$61:$K$61,0)),0)</f>
        <v>0.31625</v>
      </c>
      <c r="X10" s="52">
        <f>X9*Assumptions!$B$50+Assumptions!$B$32*IFERROR(INDEX(Assumptions!$B$62:$K$62,MATCH(X$2-Assumptions!$B$47,Assumptions!$B$61:$K$61,0)),0)+(1-Assumptions!$B$32)*Assumptions!$B$33*IFERROR(INDEX(Assumptions!$B$62:$K$62,MATCH(X$2-Assumptions!$B$47-Assumptions!$B$34,Assumptions!$B$61:$K$61,0)),0)</f>
        <v>0.158125</v>
      </c>
      <c r="Y10" s="52">
        <f>Y9*Assumptions!$B$50+Assumptions!$B$32*IFERROR(INDEX(Assumptions!$B$62:$K$62,MATCH(Y$2-Assumptions!$B$47,Assumptions!$B$61:$K$61,0)),0)+(1-Assumptions!$B$32)*Assumptions!$B$33*IFERROR(INDEX(Assumptions!$B$62:$K$62,MATCH(Y$2-Assumptions!$B$47-Assumptions!$B$34,Assumptions!$B$61:$K$61,0)),0)</f>
        <v>0.0790625</v>
      </c>
      <c r="Z10" s="52">
        <f>Z9*Assumptions!$B$50+Assumptions!$B$32*IFERROR(INDEX(Assumptions!$B$62:$K$62,MATCH(Z$2-Assumptions!$B$47,Assumptions!$B$61:$K$61,0)),0)+(1-Assumptions!$B$32)*Assumptions!$B$33*IFERROR(INDEX(Assumptions!$B$62:$K$62,MATCH(Z$2-Assumptions!$B$47-Assumptions!$B$34,Assumptions!$B$61:$K$61,0)),0)</f>
        <v>0.03953125</v>
      </c>
    </row>
    <row r="11">
      <c r="A11" s="13" t="inlineStr">
        <is>
          <t>COGS + royalties, risk-adjusted</t>
        </is>
      </c>
      <c r="C11" s="52">
        <f>C9*(Assumptions!$B$51+Assumptions!$B$52)</f>
        <v>0.0</v>
      </c>
      <c r="D11" s="52">
        <f>D9*(Assumptions!$B$51+Assumptions!$B$52)</f>
        <v>0.0</v>
      </c>
      <c r="E11" s="52">
        <f>E9*(Assumptions!$B$51+Assumptions!$B$52)</f>
        <v>0.0</v>
      </c>
      <c r="F11" s="52">
        <f>F9*(Assumptions!$B$51+Assumptions!$B$52)</f>
        <v>0.0</v>
      </c>
      <c r="G11" s="52">
        <f>G9*(Assumptions!$B$51+Assumptions!$B$52)</f>
        <v>0.0</v>
      </c>
      <c r="H11" s="52">
        <f>H9*(Assumptions!$B$51+Assumptions!$B$52)</f>
        <v>0.0</v>
      </c>
      <c r="I11" s="52">
        <f>I9*(Assumptions!$B$51+Assumptions!$B$52)</f>
        <v>0.0</v>
      </c>
      <c r="J11" s="52">
        <f>J9*(Assumptions!$B$51+Assumptions!$B$52)</f>
        <v>0.0</v>
      </c>
      <c r="K11" s="52">
        <f>K9*(Assumptions!$B$51+Assumptions!$B$52)</f>
        <v>0.0</v>
      </c>
      <c r="L11" s="52">
        <f>L9*(Assumptions!$B$51+Assumptions!$B$52)</f>
        <v>0.0</v>
      </c>
      <c r="M11" s="52">
        <f>M9*(Assumptions!$B$51+Assumptions!$B$52)</f>
        <v>0.0</v>
      </c>
      <c r="N11" s="52">
        <f>N9*(Assumptions!$B$51+Assumptions!$B$52)</f>
        <v>0.0</v>
      </c>
      <c r="O11" s="52">
        <f>O9*(Assumptions!$B$51+Assumptions!$B$52)</f>
        <v>0.0</v>
      </c>
      <c r="P11" s="52">
        <f>P9*(Assumptions!$B$51+Assumptions!$B$52)</f>
        <v>0.0</v>
      </c>
      <c r="Q11" s="52">
        <f>Q9*(Assumptions!$B$51+Assumptions!$B$52)</f>
        <v>0.0</v>
      </c>
      <c r="R11" s="52">
        <f>R9*(Assumptions!$B$51+Assumptions!$B$52)</f>
        <v>0.0</v>
      </c>
      <c r="S11" s="52">
        <f>S9*(Assumptions!$B$51+Assumptions!$B$52)</f>
        <v>0.0</v>
      </c>
      <c r="T11" s="52">
        <f>T9*(Assumptions!$B$51+Assumptions!$B$52)</f>
        <v>0.0</v>
      </c>
      <c r="U11" s="52">
        <f>U9*(Assumptions!$B$51+Assumptions!$B$52)</f>
        <v>0.0</v>
      </c>
      <c r="V11" s="52">
        <f>V9*(Assumptions!$B$51+Assumptions!$B$52)</f>
        <v>0.0</v>
      </c>
      <c r="W11" s="52">
        <f>W9*(Assumptions!$B$51+Assumptions!$B$52)</f>
        <v>0.0</v>
      </c>
      <c r="X11" s="52">
        <f>X9*(Assumptions!$B$51+Assumptions!$B$52)</f>
        <v>0.0</v>
      </c>
      <c r="Y11" s="52">
        <f>Y9*(Assumptions!$B$51+Assumptions!$B$52)</f>
        <v>0.0</v>
      </c>
      <c r="Z11" s="52">
        <f>Z9*(Assumptions!$B$51+Assumptions!$B$52)</f>
        <v>0.0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0.0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0.0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0.0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0.0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0.0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0.0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0.0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0.0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0.0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0.0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0.0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0.0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0.0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0.0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0.0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0.0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0.0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0.0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0.0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0.0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0.0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0.0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0.0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0.0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3.0</v>
      </c>
      <c r="D13" s="52">
        <f>IFERROR(INDEX(Assumptions!$B$59:$I$59,MATCH(D$2,Assumptions!$B$58:$I$58,0))*INDEX(Assumptions!$B$60:$I$60,MATCH(D$2,Assumptions!$B$58:$I$58,0)),0)</f>
        <v>0.0</v>
      </c>
      <c r="E13" s="52">
        <f>IFERROR(INDEX(Assumptions!$B$59:$I$59,MATCH(E$2,Assumptions!$B$58:$I$58,0))*INDEX(Assumptions!$B$60:$I$60,MATCH(E$2,Assumptions!$B$58:$I$58,0)),0)</f>
        <v>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32.52</v>
      </c>
      <c r="D14" s="56">
        <f>D10-D11-D12-D13</f>
        <v>8.8</v>
      </c>
      <c r="E14" s="56">
        <f>E10-E11-E12-E13</f>
        <v>21.168</v>
      </c>
      <c r="F14" s="56">
        <f>F10-F11-F12-F13</f>
        <v>44.2</v>
      </c>
      <c r="G14" s="56">
        <f>G10-G11-G12-G13</f>
        <v>31.24</v>
      </c>
      <c r="H14" s="56">
        <f>H10-H11-H12-H13</f>
        <v>59.168</v>
      </c>
      <c r="I14" s="56">
        <f>I10-I11-I12-I13</f>
        <v>39.5296</v>
      </c>
      <c r="J14" s="56">
        <f>J10-J11-J12-J13</f>
        <v>63.1104</v>
      </c>
      <c r="K14" s="56">
        <f>K10-K11-K12-K13</f>
        <v>40.48</v>
      </c>
      <c r="L14" s="56">
        <f>L10-L11-L12-L13</f>
        <v>43.48</v>
      </c>
      <c r="M14" s="56">
        <f>M10-M11-M12-M13</f>
        <v>40.48</v>
      </c>
      <c r="N14" s="56">
        <f>N10-N11-N12-N13</f>
        <v>40.48</v>
      </c>
      <c r="O14" s="56">
        <f>O10-O11-O12-O13</f>
        <v>40.48</v>
      </c>
      <c r="P14" s="56">
        <f>P10-P11-P12-P13</f>
        <v>40.48</v>
      </c>
      <c r="Q14" s="56">
        <f>Q10-Q11-Q12-Q13</f>
        <v>20.24</v>
      </c>
      <c r="R14" s="56">
        <f>R10-R11-R12-R13</f>
        <v>10.12</v>
      </c>
      <c r="S14" s="56">
        <f>S10-S11-S12-S13</f>
        <v>5.06</v>
      </c>
      <c r="T14" s="56">
        <f>T10-T11-T12-T13</f>
        <v>2.53</v>
      </c>
      <c r="U14" s="56">
        <f>U10-U11-U12-U13</f>
        <v>1.265</v>
      </c>
      <c r="V14" s="56">
        <f>V10-V11-V12-V13</f>
        <v>0.6325</v>
      </c>
      <c r="W14" s="56">
        <f>W10-W11-W12-W13</f>
        <v>0.31625</v>
      </c>
      <c r="X14" s="56">
        <f>X10-X11-X12-X13</f>
        <v>0.158125</v>
      </c>
      <c r="Y14" s="56">
        <f>Y10-Y11-Y12-Y13</f>
        <v>0.0790625</v>
      </c>
      <c r="Z14" s="56">
        <f>Z10-Z11-Z12-Z13</f>
        <v>0.03953125</v>
      </c>
    </row>
    <row r="16">
      <c r="A16" s="30" t="inlineStr">
        <is>
          <t>D-PLEX100 — Europe &amp; RoW (partner to be found)</t>
        </is>
      </c>
    </row>
    <row r="17">
      <c r="A17" s="13" t="inlineStr">
        <is>
          <t>Years since launch</t>
        </is>
      </c>
      <c r="C17" s="63">
        <f>C$2-Assumptions!$B$65+1</f>
        <v>0.0</v>
      </c>
      <c r="D17" s="63">
        <f>D$2-Assumptions!$B$65+1</f>
        <v>1.0</v>
      </c>
      <c r="E17" s="63">
        <f>E$2-Assumptions!$B$65+1</f>
        <v>2.0</v>
      </c>
      <c r="F17" s="63">
        <f>F$2-Assumptions!$B$65+1</f>
        <v>3.0</v>
      </c>
      <c r="G17" s="63">
        <f>G$2-Assumptions!$B$65+1</f>
        <v>4.0</v>
      </c>
      <c r="H17" s="63">
        <f>H$2-Assumptions!$B$65+1</f>
        <v>5.0</v>
      </c>
      <c r="I17" s="63">
        <f>I$2-Assumptions!$B$65+1</f>
        <v>6.0</v>
      </c>
      <c r="J17" s="63">
        <f>J$2-Assumptions!$B$65+1</f>
        <v>7.0</v>
      </c>
      <c r="K17" s="63">
        <f>K$2-Assumptions!$B$65+1</f>
        <v>8.0</v>
      </c>
      <c r="L17" s="63">
        <f>L$2-Assumptions!$B$65+1</f>
        <v>9.0</v>
      </c>
      <c r="M17" s="63">
        <f>M$2-Assumptions!$B$65+1</f>
        <v>10.0</v>
      </c>
      <c r="N17" s="63">
        <f>N$2-Assumptions!$B$65+1</f>
        <v>11.0</v>
      </c>
      <c r="O17" s="63">
        <f>O$2-Assumptions!$B$65+1</f>
        <v>12.0</v>
      </c>
      <c r="P17" s="63">
        <f>P$2-Assumptions!$B$65+1</f>
        <v>13.0</v>
      </c>
      <c r="Q17" s="63">
        <f>Q$2-Assumptions!$B$65+1</f>
        <v>14.0</v>
      </c>
      <c r="R17" s="63">
        <f>R$2-Assumptions!$B$65+1</f>
        <v>15.0</v>
      </c>
      <c r="S17" s="63">
        <f>S$2-Assumptions!$B$65+1</f>
        <v>16.0</v>
      </c>
      <c r="T17" s="63">
        <f>T$2-Assumptions!$B$65+1</f>
        <v>17.0</v>
      </c>
      <c r="U17" s="63">
        <f>U$2-Assumptions!$B$65+1</f>
        <v>18.0</v>
      </c>
      <c r="V17" s="63">
        <f>V$2-Assumptions!$B$65+1</f>
        <v>19.0</v>
      </c>
      <c r="W17" s="63">
        <f>W$2-Assumptions!$B$65+1</f>
        <v>20.0</v>
      </c>
      <c r="X17" s="63">
        <f>X$2-Assumptions!$B$65+1</f>
        <v>21.0</v>
      </c>
      <c r="Y17" s="63">
        <f>Y$2-Assumptions!$B$65+1</f>
        <v>22.0</v>
      </c>
      <c r="Z17" s="63">
        <f>Z$2-Assumptions!$B$65+1</f>
        <v>23.0</v>
      </c>
    </row>
    <row r="18">
      <c r="A18" s="13" t="inlineStr">
        <is>
          <t>Net sales, unrisked</t>
        </is>
      </c>
      <c r="C18" s="52">
        <f>IF(C$2&gt;Assumptions!$B$74,0*(1-Assumptions!$B$75),IF(C17&gt;=1,Assumptions!$B$66*CHOOSE(Assumptions!$B$73,INDEX(Assumptions!$B$42:$H$42,MIN(C17,7)),INDEX(Assumptions!$B$43:$H$43,MIN(C17,7))),0))</f>
        <v>0</v>
      </c>
      <c r="D18" s="52">
        <f>IF(D$2&gt;Assumptions!$B$74,C18*(1-Assumptions!$B$75),IF(D17&gt;=1,Assumptions!$B$66*CHOOSE(Assumptions!$B$73,INDEX(Assumptions!$B$42:$H$42,MIN(D17,7)),INDEX(Assumptions!$B$43:$H$43,MIN(D17,7))),0))</f>
        <v>10.0</v>
      </c>
      <c r="E18" s="52">
        <f>IF(E$2&gt;Assumptions!$B$74,D18*(1-Assumptions!$B$75),IF(E17&gt;=1,Assumptions!$B$66*CHOOSE(Assumptions!$B$73,INDEX(Assumptions!$B$42:$H$42,MIN(E17,7)),INDEX(Assumptions!$B$43:$H$43,MIN(E17,7))),0))</f>
        <v>25.0</v>
      </c>
      <c r="F18" s="52">
        <f>IF(F$2&gt;Assumptions!$B$74,E18*(1-Assumptions!$B$75),IF(F17&gt;=1,Assumptions!$B$66*CHOOSE(Assumptions!$B$73,INDEX(Assumptions!$B$42:$H$42,MIN(F17,7)),INDEX(Assumptions!$B$43:$H$43,MIN(F17,7))),0))</f>
        <v>45.0</v>
      </c>
      <c r="G18" s="52">
        <f>IF(G$2&gt;Assumptions!$B$74,F18*(1-Assumptions!$B$75),IF(G17&gt;=1,Assumptions!$B$66*CHOOSE(Assumptions!$B$73,INDEX(Assumptions!$B$42:$H$42,MIN(G17,7)),INDEX(Assumptions!$B$43:$H$43,MIN(G17,7))),0))</f>
        <v>65.0</v>
      </c>
      <c r="H18" s="52">
        <f>IF(H$2&gt;Assumptions!$B$74,G18*(1-Assumptions!$B$75),IF(H17&gt;=1,Assumptions!$B$66*CHOOSE(Assumptions!$B$73,INDEX(Assumptions!$B$42:$H$42,MIN(H17,7)),INDEX(Assumptions!$B$43:$H$43,MIN(H17,7))),0))</f>
        <v>82.0</v>
      </c>
      <c r="I18" s="52">
        <f>IF(I$2&gt;Assumptions!$B$74,H18*(1-Assumptions!$B$75),IF(I17&gt;=1,Assumptions!$B$66*CHOOSE(Assumptions!$B$73,INDEX(Assumptions!$B$42:$H$42,MIN(I17,7)),INDEX(Assumptions!$B$43:$H$43,MIN(I17,7))),0))</f>
        <v>93.0</v>
      </c>
      <c r="J18" s="52">
        <f>IF(J$2&gt;Assumptions!$B$74,I18*(1-Assumptions!$B$75),IF(J17&gt;=1,Assumptions!$B$66*CHOOSE(Assumptions!$B$73,INDEX(Assumptions!$B$42:$H$42,MIN(J17,7)),INDEX(Assumptions!$B$43:$H$43,MIN(J17,7))),0))</f>
        <v>100.0</v>
      </c>
      <c r="K18" s="52">
        <f>IF(K$2&gt;Assumptions!$B$74,J18*(1-Assumptions!$B$75),IF(K17&gt;=1,Assumptions!$B$66*CHOOSE(Assumptions!$B$73,INDEX(Assumptions!$B$42:$H$42,MIN(K17,7)),INDEX(Assumptions!$B$43:$H$43,MIN(K17,7))),0))</f>
        <v>100.0</v>
      </c>
      <c r="L18" s="52">
        <f>IF(L$2&gt;Assumptions!$B$74,K18*(1-Assumptions!$B$75),IF(L17&gt;=1,Assumptions!$B$66*CHOOSE(Assumptions!$B$73,INDEX(Assumptions!$B$42:$H$42,MIN(L17,7)),INDEX(Assumptions!$B$43:$H$43,MIN(L17,7))),0))</f>
        <v>100.0</v>
      </c>
      <c r="M18" s="52">
        <f>IF(M$2&gt;Assumptions!$B$74,L18*(1-Assumptions!$B$75),IF(M17&gt;=1,Assumptions!$B$66*CHOOSE(Assumptions!$B$73,INDEX(Assumptions!$B$42:$H$42,MIN(M17,7)),INDEX(Assumptions!$B$43:$H$43,MIN(M17,7))),0))</f>
        <v>100.0</v>
      </c>
      <c r="N18" s="52">
        <f>IF(N$2&gt;Assumptions!$B$74,M18*(1-Assumptions!$B$75),IF(N17&gt;=1,Assumptions!$B$66*CHOOSE(Assumptions!$B$73,INDEX(Assumptions!$B$42:$H$42,MIN(N17,7)),INDEX(Assumptions!$B$43:$H$43,MIN(N17,7))),0))</f>
        <v>100.0</v>
      </c>
      <c r="O18" s="52">
        <f>IF(O$2&gt;Assumptions!$B$74,N18*(1-Assumptions!$B$75),IF(O17&gt;=1,Assumptions!$B$66*CHOOSE(Assumptions!$B$73,INDEX(Assumptions!$B$42:$H$42,MIN(O17,7)),INDEX(Assumptions!$B$43:$H$43,MIN(O17,7))),0))</f>
        <v>100.0</v>
      </c>
      <c r="P18" s="52">
        <f>IF(P$2&gt;Assumptions!$B$74,O18*(1-Assumptions!$B$75),IF(P17&gt;=1,Assumptions!$B$66*CHOOSE(Assumptions!$B$73,INDEX(Assumptions!$B$42:$H$42,MIN(P17,7)),INDEX(Assumptions!$B$43:$H$43,MIN(P17,7))),0))</f>
        <v>100.0</v>
      </c>
      <c r="Q18" s="52">
        <f>IF(Q$2&gt;Assumptions!$B$74,P18*(1-Assumptions!$B$75),IF(Q17&gt;=1,Assumptions!$B$66*CHOOSE(Assumptions!$B$73,INDEX(Assumptions!$B$42:$H$42,MIN(Q17,7)),INDEX(Assumptions!$B$43:$H$43,MIN(Q17,7))),0))</f>
        <v>50.0</v>
      </c>
      <c r="R18" s="52">
        <f>IF(R$2&gt;Assumptions!$B$74,Q18*(1-Assumptions!$B$75),IF(R17&gt;=1,Assumptions!$B$66*CHOOSE(Assumptions!$B$73,INDEX(Assumptions!$B$42:$H$42,MIN(R17,7)),INDEX(Assumptions!$B$43:$H$43,MIN(R17,7))),0))</f>
        <v>25.0</v>
      </c>
      <c r="S18" s="52">
        <f>IF(S$2&gt;Assumptions!$B$74,R18*(1-Assumptions!$B$75),IF(S17&gt;=1,Assumptions!$B$66*CHOOSE(Assumptions!$B$73,INDEX(Assumptions!$B$42:$H$42,MIN(S17,7)),INDEX(Assumptions!$B$43:$H$43,MIN(S17,7))),0))</f>
        <v>12.5</v>
      </c>
      <c r="T18" s="52">
        <f>IF(T$2&gt;Assumptions!$B$74,S18*(1-Assumptions!$B$75),IF(T17&gt;=1,Assumptions!$B$66*CHOOSE(Assumptions!$B$73,INDEX(Assumptions!$B$42:$H$42,MIN(T17,7)),INDEX(Assumptions!$B$43:$H$43,MIN(T17,7))),0))</f>
        <v>6.25</v>
      </c>
      <c r="U18" s="52">
        <f>IF(U$2&gt;Assumptions!$B$74,T18*(1-Assumptions!$B$75),IF(U17&gt;=1,Assumptions!$B$66*CHOOSE(Assumptions!$B$73,INDEX(Assumptions!$B$42:$H$42,MIN(U17,7)),INDEX(Assumptions!$B$43:$H$43,MIN(U17,7))),0))</f>
        <v>3.125</v>
      </c>
      <c r="V18" s="52">
        <f>IF(V$2&gt;Assumptions!$B$74,U18*(1-Assumptions!$B$75),IF(V17&gt;=1,Assumptions!$B$66*CHOOSE(Assumptions!$B$73,INDEX(Assumptions!$B$42:$H$42,MIN(V17,7)),INDEX(Assumptions!$B$43:$H$43,MIN(V17,7))),0))</f>
        <v>1.5625</v>
      </c>
      <c r="W18" s="52">
        <f>IF(W$2&gt;Assumptions!$B$74,V18*(1-Assumptions!$B$75),IF(W17&gt;=1,Assumptions!$B$66*CHOOSE(Assumptions!$B$73,INDEX(Assumptions!$B$42:$H$42,MIN(W17,7)),INDEX(Assumptions!$B$43:$H$43,MIN(W17,7))),0))</f>
        <v>0.78125</v>
      </c>
      <c r="X18" s="52">
        <f>IF(X$2&gt;Assumptions!$B$74,W18*(1-Assumptions!$B$75),IF(X17&gt;=1,Assumptions!$B$66*CHOOSE(Assumptions!$B$73,INDEX(Assumptions!$B$42:$H$42,MIN(X17,7)),INDEX(Assumptions!$B$43:$H$43,MIN(X17,7))),0))</f>
        <v>0.390625</v>
      </c>
      <c r="Y18" s="52">
        <f>IF(Y$2&gt;Assumptions!$B$74,X18*(1-Assumptions!$B$75),IF(Y17&gt;=1,Assumptions!$B$66*CHOOSE(Assumptions!$B$73,INDEX(Assumptions!$B$42:$H$42,MIN(Y17,7)),INDEX(Assumptions!$B$43:$H$43,MIN(Y17,7))),0))</f>
        <v>0.1953125</v>
      </c>
      <c r="Z18" s="52">
        <f>IF(Z$2&gt;Assumptions!$B$74,Y18*(1-Assumptions!$B$75),IF(Z17&gt;=1,Assumptions!$B$66*CHOOSE(Assumptions!$B$73,INDEX(Assumptions!$B$42:$H$42,MIN(Z17,7)),INDEX(Assumptions!$B$43:$H$43,MIN(Z17,7))),0))</f>
        <v>0.09765625</v>
      </c>
    </row>
    <row r="19">
      <c r="A19" s="13" t="inlineStr">
        <is>
          <t>Product net sales, risk-adjusted</t>
        </is>
      </c>
      <c r="C19" s="52">
        <f>C18*MIN(1,Assumptions!$B$67*Assumptions!$B$37)</f>
        <v>0.0</v>
      </c>
      <c r="D19" s="52">
        <f>D18*MIN(1,Assumptions!$B$67*Assumptions!$B$37)</f>
        <v>6.0</v>
      </c>
      <c r="E19" s="52">
        <f>E18*MIN(1,Assumptions!$B$67*Assumptions!$B$37)</f>
        <v>15.0</v>
      </c>
      <c r="F19" s="52">
        <f>F18*MIN(1,Assumptions!$B$67*Assumptions!$B$37)</f>
        <v>27.0</v>
      </c>
      <c r="G19" s="52">
        <f>G18*MIN(1,Assumptions!$B$67*Assumptions!$B$37)</f>
        <v>39.0</v>
      </c>
      <c r="H19" s="52">
        <f>H18*MIN(1,Assumptions!$B$67*Assumptions!$B$37)</f>
        <v>49.199999999999996</v>
      </c>
      <c r="I19" s="52">
        <f>I18*MIN(1,Assumptions!$B$67*Assumptions!$B$37)</f>
        <v>55.8</v>
      </c>
      <c r="J19" s="52">
        <f>J18*MIN(1,Assumptions!$B$67*Assumptions!$B$37)</f>
        <v>60.0</v>
      </c>
      <c r="K19" s="52">
        <f>K18*MIN(1,Assumptions!$B$67*Assumptions!$B$37)</f>
        <v>60.0</v>
      </c>
      <c r="L19" s="52">
        <f>L18*MIN(1,Assumptions!$B$67*Assumptions!$B$37)</f>
        <v>60.0</v>
      </c>
      <c r="M19" s="52">
        <f>M18*MIN(1,Assumptions!$B$67*Assumptions!$B$37)</f>
        <v>60.0</v>
      </c>
      <c r="N19" s="52">
        <f>N18*MIN(1,Assumptions!$B$67*Assumptions!$B$37)</f>
        <v>60.0</v>
      </c>
      <c r="O19" s="52">
        <f>O18*MIN(1,Assumptions!$B$67*Assumptions!$B$37)</f>
        <v>60.0</v>
      </c>
      <c r="P19" s="52">
        <f>P18*MIN(1,Assumptions!$B$67*Assumptions!$B$37)</f>
        <v>60.0</v>
      </c>
      <c r="Q19" s="52">
        <f>Q18*MIN(1,Assumptions!$B$67*Assumptions!$B$37)</f>
        <v>30.0</v>
      </c>
      <c r="R19" s="52">
        <f>R18*MIN(1,Assumptions!$B$67*Assumptions!$B$37)</f>
        <v>15.0</v>
      </c>
      <c r="S19" s="52">
        <f>S18*MIN(1,Assumptions!$B$67*Assumptions!$B$37)</f>
        <v>7.5</v>
      </c>
      <c r="T19" s="52">
        <f>T18*MIN(1,Assumptions!$B$67*Assumptions!$B$37)</f>
        <v>3.75</v>
      </c>
      <c r="U19" s="52">
        <f>U18*MIN(1,Assumptions!$B$67*Assumptions!$B$37)</f>
        <v>1.875</v>
      </c>
      <c r="V19" s="52">
        <f>V18*MIN(1,Assumptions!$B$67*Assumptions!$B$37)</f>
        <v>0.9375</v>
      </c>
      <c r="W19" s="52">
        <f>W18*MIN(1,Assumptions!$B$67*Assumptions!$B$37)</f>
        <v>0.46875</v>
      </c>
      <c r="X19" s="52">
        <f>X18*MIN(1,Assumptions!$B$67*Assumptions!$B$37)</f>
        <v>0.234375</v>
      </c>
      <c r="Y19" s="52">
        <f>Y18*MIN(1,Assumptions!$B$67*Assumptions!$B$37)</f>
        <v>0.1171875</v>
      </c>
      <c r="Z19" s="52">
        <f>Z18*MIN(1,Assumptions!$B$67*Assumptions!$B$37)</f>
        <v>0.05859375</v>
      </c>
    </row>
    <row r="20">
      <c r="A20" s="13" t="inlineStr">
        <is>
          <t>Company revenue, risk-adjusted (incl. milestones)</t>
        </is>
      </c>
      <c r="C20" s="52">
        <f>C19*Assumptions!$B$68</f>
        <v>0.0</v>
      </c>
      <c r="D20" s="52">
        <f>D19*Assumptions!$B$68</f>
        <v>1.5</v>
      </c>
      <c r="E20" s="52">
        <f>E19*Assumptions!$B$68</f>
        <v>3.75</v>
      </c>
      <c r="F20" s="52">
        <f>F19*Assumptions!$B$68</f>
        <v>6.75</v>
      </c>
      <c r="G20" s="52">
        <f>G19*Assumptions!$B$68</f>
        <v>9.75</v>
      </c>
      <c r="H20" s="52">
        <f>H19*Assumptions!$B$68</f>
        <v>12.299999999999999</v>
      </c>
      <c r="I20" s="52">
        <f>I19*Assumptions!$B$68</f>
        <v>13.95</v>
      </c>
      <c r="J20" s="52">
        <f>J19*Assumptions!$B$68</f>
        <v>15.0</v>
      </c>
      <c r="K20" s="52">
        <f>K19*Assumptions!$B$68</f>
        <v>15.0</v>
      </c>
      <c r="L20" s="52">
        <f>L19*Assumptions!$B$68</f>
        <v>15.0</v>
      </c>
      <c r="M20" s="52">
        <f>M19*Assumptions!$B$68</f>
        <v>15.0</v>
      </c>
      <c r="N20" s="52">
        <f>N19*Assumptions!$B$68</f>
        <v>15.0</v>
      </c>
      <c r="O20" s="52">
        <f>O19*Assumptions!$B$68</f>
        <v>15.0</v>
      </c>
      <c r="P20" s="52">
        <f>P19*Assumptions!$B$68</f>
        <v>15.0</v>
      </c>
      <c r="Q20" s="52">
        <f>Q19*Assumptions!$B$68</f>
        <v>7.5</v>
      </c>
      <c r="R20" s="52">
        <f>R19*Assumptions!$B$68</f>
        <v>3.75</v>
      </c>
      <c r="S20" s="52">
        <f>S19*Assumptions!$B$68</f>
        <v>1.875</v>
      </c>
      <c r="T20" s="52">
        <f>T19*Assumptions!$B$68</f>
        <v>0.9375</v>
      </c>
      <c r="U20" s="52">
        <f>U19*Assumptions!$B$68</f>
        <v>0.46875</v>
      </c>
      <c r="V20" s="52">
        <f>V19*Assumptions!$B$68</f>
        <v>0.234375</v>
      </c>
      <c r="W20" s="52">
        <f>W19*Assumptions!$B$68</f>
        <v>0.1171875</v>
      </c>
      <c r="X20" s="52">
        <f>X19*Assumptions!$B$68</f>
        <v>0.05859375</v>
      </c>
      <c r="Y20" s="52">
        <f>Y19*Assumptions!$B$68</f>
        <v>0.029296875</v>
      </c>
      <c r="Z20" s="52">
        <f>Z19*Assumptions!$B$68</f>
        <v>0.0146484375</v>
      </c>
    </row>
    <row r="21">
      <c r="A21" s="13" t="inlineStr">
        <is>
          <t>COGS + royalties, risk-adjusted</t>
        </is>
      </c>
      <c r="C21" s="52">
        <f>C19*(Assumptions!$B$69+Assumptions!$B$70)</f>
        <v>0.0</v>
      </c>
      <c r="D21" s="52">
        <f>D19*(Assumptions!$B$69+Assumptions!$B$70)</f>
        <v>0.0</v>
      </c>
      <c r="E21" s="52">
        <f>E19*(Assumptions!$B$69+Assumptions!$B$70)</f>
        <v>0.0</v>
      </c>
      <c r="F21" s="52">
        <f>F19*(Assumptions!$B$69+Assumptions!$B$70)</f>
        <v>0.0</v>
      </c>
      <c r="G21" s="52">
        <f>G19*(Assumptions!$B$69+Assumptions!$B$70)</f>
        <v>0.0</v>
      </c>
      <c r="H21" s="52">
        <f>H19*(Assumptions!$B$69+Assumptions!$B$70)</f>
        <v>0.0</v>
      </c>
      <c r="I21" s="52">
        <f>I19*(Assumptions!$B$69+Assumptions!$B$70)</f>
        <v>0.0</v>
      </c>
      <c r="J21" s="52">
        <f>J19*(Assumptions!$B$69+Assumptions!$B$70)</f>
        <v>0.0</v>
      </c>
      <c r="K21" s="52">
        <f>K19*(Assumptions!$B$69+Assumptions!$B$70)</f>
        <v>0.0</v>
      </c>
      <c r="L21" s="52">
        <f>L19*(Assumptions!$B$69+Assumptions!$B$70)</f>
        <v>0.0</v>
      </c>
      <c r="M21" s="52">
        <f>M19*(Assumptions!$B$69+Assumptions!$B$70)</f>
        <v>0.0</v>
      </c>
      <c r="N21" s="52">
        <f>N19*(Assumptions!$B$69+Assumptions!$B$70)</f>
        <v>0.0</v>
      </c>
      <c r="O21" s="52">
        <f>O19*(Assumptions!$B$69+Assumptions!$B$70)</f>
        <v>0.0</v>
      </c>
      <c r="P21" s="52">
        <f>P19*(Assumptions!$B$69+Assumptions!$B$70)</f>
        <v>0.0</v>
      </c>
      <c r="Q21" s="52">
        <f>Q19*(Assumptions!$B$69+Assumptions!$B$70)</f>
        <v>0.0</v>
      </c>
      <c r="R21" s="52">
        <f>R19*(Assumptions!$B$69+Assumptions!$B$70)</f>
        <v>0.0</v>
      </c>
      <c r="S21" s="52">
        <f>S19*(Assumptions!$B$69+Assumptions!$B$70)</f>
        <v>0.0</v>
      </c>
      <c r="T21" s="52">
        <f>T19*(Assumptions!$B$69+Assumptions!$B$70)</f>
        <v>0.0</v>
      </c>
      <c r="U21" s="52">
        <f>U19*(Assumptions!$B$69+Assumptions!$B$70)</f>
        <v>0.0</v>
      </c>
      <c r="V21" s="52">
        <f>V19*(Assumptions!$B$69+Assumptions!$B$70)</f>
        <v>0.0</v>
      </c>
      <c r="W21" s="52">
        <f>W19*(Assumptions!$B$69+Assumptions!$B$70)</f>
        <v>0.0</v>
      </c>
      <c r="X21" s="52">
        <f>X19*(Assumptions!$B$69+Assumptions!$B$70)</f>
        <v>0.0</v>
      </c>
      <c r="Y21" s="52">
        <f>Y19*(Assumptions!$B$69+Assumptions!$B$70)</f>
        <v>0.0</v>
      </c>
      <c r="Z21" s="52">
        <f>Z19*(Assumptions!$B$69+Assumptions!$B$70)</f>
        <v>0.0</v>
      </c>
    </row>
    <row r="22">
      <c r="A22" s="13" t="inlineStr">
        <is>
          <t>Commercial SG&amp;A, risk-adjusted</t>
        </is>
      </c>
      <c r="C22" s="52">
        <f>MIN(1,Assumptions!$B$67*Assumptions!$B$37)*IF(Assumptions!$B$71=0,0,IF(C17=0,Assumptions!$B$72,IF(C17&gt;=1,C18*IF(OR(Assumptions!$B$68&lt;1,C17&gt;5),Assumptions!$B$71,MAX(Assumptions!$B$71,INDEX(Assumptions!$B$44:$F$44,C17))),0)))</f>
        <v>0.0</v>
      </c>
      <c r="D22" s="52">
        <f>MIN(1,Assumptions!$B$67*Assumptions!$B$37)*IF(Assumptions!$B$71=0,0,IF(D17=0,Assumptions!$B$72,IF(D17&gt;=1,D18*IF(OR(Assumptions!$B$68&lt;1,D17&gt;5),Assumptions!$B$71,MAX(Assumptions!$B$71,INDEX(Assumptions!$B$44:$F$44,D17))),0)))</f>
        <v>0.0</v>
      </c>
      <c r="E22" s="52">
        <f>MIN(1,Assumptions!$B$67*Assumptions!$B$37)*IF(Assumptions!$B$71=0,0,IF(E17=0,Assumptions!$B$72,IF(E17&gt;=1,E18*IF(OR(Assumptions!$B$68&lt;1,E17&gt;5),Assumptions!$B$71,MAX(Assumptions!$B$71,INDEX(Assumptions!$B$44:$F$44,E17))),0)))</f>
        <v>0.0</v>
      </c>
      <c r="F22" s="52">
        <f>MIN(1,Assumptions!$B$67*Assumptions!$B$37)*IF(Assumptions!$B$71=0,0,IF(F17=0,Assumptions!$B$72,IF(F17&gt;=1,F18*IF(OR(Assumptions!$B$68&lt;1,F17&gt;5),Assumptions!$B$71,MAX(Assumptions!$B$71,INDEX(Assumptions!$B$44:$F$44,F17))),0)))</f>
        <v>0.0</v>
      </c>
      <c r="G22" s="52">
        <f>MIN(1,Assumptions!$B$67*Assumptions!$B$37)*IF(Assumptions!$B$71=0,0,IF(G17=0,Assumptions!$B$72,IF(G17&gt;=1,G18*IF(OR(Assumptions!$B$68&lt;1,G17&gt;5),Assumptions!$B$71,MAX(Assumptions!$B$71,INDEX(Assumptions!$B$44:$F$44,G17))),0)))</f>
        <v>0.0</v>
      </c>
      <c r="H22" s="52">
        <f>MIN(1,Assumptions!$B$67*Assumptions!$B$37)*IF(Assumptions!$B$71=0,0,IF(H17=0,Assumptions!$B$72,IF(H17&gt;=1,H18*IF(OR(Assumptions!$B$68&lt;1,H17&gt;5),Assumptions!$B$71,MAX(Assumptions!$B$71,INDEX(Assumptions!$B$44:$F$44,H17))),0)))</f>
        <v>0.0</v>
      </c>
      <c r="I22" s="52">
        <f>MIN(1,Assumptions!$B$67*Assumptions!$B$37)*IF(Assumptions!$B$71=0,0,IF(I17=0,Assumptions!$B$72,IF(I17&gt;=1,I18*IF(OR(Assumptions!$B$68&lt;1,I17&gt;5),Assumptions!$B$71,MAX(Assumptions!$B$71,INDEX(Assumptions!$B$44:$F$44,I17))),0)))</f>
        <v>0.0</v>
      </c>
      <c r="J22" s="52">
        <f>MIN(1,Assumptions!$B$67*Assumptions!$B$37)*IF(Assumptions!$B$71=0,0,IF(J17=0,Assumptions!$B$72,IF(J17&gt;=1,J18*IF(OR(Assumptions!$B$68&lt;1,J17&gt;5),Assumptions!$B$71,MAX(Assumptions!$B$71,INDEX(Assumptions!$B$44:$F$44,J17))),0)))</f>
        <v>0.0</v>
      </c>
      <c r="K22" s="52">
        <f>MIN(1,Assumptions!$B$67*Assumptions!$B$37)*IF(Assumptions!$B$71=0,0,IF(K17=0,Assumptions!$B$72,IF(K17&gt;=1,K18*IF(OR(Assumptions!$B$68&lt;1,K17&gt;5),Assumptions!$B$71,MAX(Assumptions!$B$71,INDEX(Assumptions!$B$44:$F$44,K17))),0)))</f>
        <v>0.0</v>
      </c>
      <c r="L22" s="52">
        <f>MIN(1,Assumptions!$B$67*Assumptions!$B$37)*IF(Assumptions!$B$71=0,0,IF(L17=0,Assumptions!$B$72,IF(L17&gt;=1,L18*IF(OR(Assumptions!$B$68&lt;1,L17&gt;5),Assumptions!$B$71,MAX(Assumptions!$B$71,INDEX(Assumptions!$B$44:$F$44,L17))),0)))</f>
        <v>0.0</v>
      </c>
      <c r="M22" s="52">
        <f>MIN(1,Assumptions!$B$67*Assumptions!$B$37)*IF(Assumptions!$B$71=0,0,IF(M17=0,Assumptions!$B$72,IF(M17&gt;=1,M18*IF(OR(Assumptions!$B$68&lt;1,M17&gt;5),Assumptions!$B$71,MAX(Assumptions!$B$71,INDEX(Assumptions!$B$44:$F$44,M17))),0)))</f>
        <v>0.0</v>
      </c>
      <c r="N22" s="52">
        <f>MIN(1,Assumptions!$B$67*Assumptions!$B$37)*IF(Assumptions!$B$71=0,0,IF(N17=0,Assumptions!$B$72,IF(N17&gt;=1,N18*IF(OR(Assumptions!$B$68&lt;1,N17&gt;5),Assumptions!$B$71,MAX(Assumptions!$B$71,INDEX(Assumptions!$B$44:$F$44,N17))),0)))</f>
        <v>0.0</v>
      </c>
      <c r="O22" s="52">
        <f>MIN(1,Assumptions!$B$67*Assumptions!$B$37)*IF(Assumptions!$B$71=0,0,IF(O17=0,Assumptions!$B$72,IF(O17&gt;=1,O18*IF(OR(Assumptions!$B$68&lt;1,O17&gt;5),Assumptions!$B$71,MAX(Assumptions!$B$71,INDEX(Assumptions!$B$44:$F$44,O17))),0)))</f>
        <v>0.0</v>
      </c>
      <c r="P22" s="52">
        <f>MIN(1,Assumptions!$B$67*Assumptions!$B$37)*IF(Assumptions!$B$71=0,0,IF(P17=0,Assumptions!$B$72,IF(P17&gt;=1,P18*IF(OR(Assumptions!$B$68&lt;1,P17&gt;5),Assumptions!$B$71,MAX(Assumptions!$B$71,INDEX(Assumptions!$B$44:$F$44,P17))),0)))</f>
        <v>0.0</v>
      </c>
      <c r="Q22" s="52">
        <f>MIN(1,Assumptions!$B$67*Assumptions!$B$37)*IF(Assumptions!$B$71=0,0,IF(Q17=0,Assumptions!$B$72,IF(Q17&gt;=1,Q18*IF(OR(Assumptions!$B$68&lt;1,Q17&gt;5),Assumptions!$B$71,MAX(Assumptions!$B$71,INDEX(Assumptions!$B$44:$F$44,Q17))),0)))</f>
        <v>0.0</v>
      </c>
      <c r="R22" s="52">
        <f>MIN(1,Assumptions!$B$67*Assumptions!$B$37)*IF(Assumptions!$B$71=0,0,IF(R17=0,Assumptions!$B$72,IF(R17&gt;=1,R18*IF(OR(Assumptions!$B$68&lt;1,R17&gt;5),Assumptions!$B$71,MAX(Assumptions!$B$71,INDEX(Assumptions!$B$44:$F$44,R17))),0)))</f>
        <v>0.0</v>
      </c>
      <c r="S22" s="52">
        <f>MIN(1,Assumptions!$B$67*Assumptions!$B$37)*IF(Assumptions!$B$71=0,0,IF(S17=0,Assumptions!$B$72,IF(S17&gt;=1,S18*IF(OR(Assumptions!$B$68&lt;1,S17&gt;5),Assumptions!$B$71,MAX(Assumptions!$B$71,INDEX(Assumptions!$B$44:$F$44,S17))),0)))</f>
        <v>0.0</v>
      </c>
      <c r="T22" s="52">
        <f>MIN(1,Assumptions!$B$67*Assumptions!$B$37)*IF(Assumptions!$B$71=0,0,IF(T17=0,Assumptions!$B$72,IF(T17&gt;=1,T18*IF(OR(Assumptions!$B$68&lt;1,T17&gt;5),Assumptions!$B$71,MAX(Assumptions!$B$71,INDEX(Assumptions!$B$44:$F$44,T17))),0)))</f>
        <v>0.0</v>
      </c>
      <c r="U22" s="52">
        <f>MIN(1,Assumptions!$B$67*Assumptions!$B$37)*IF(Assumptions!$B$71=0,0,IF(U17=0,Assumptions!$B$72,IF(U17&gt;=1,U18*IF(OR(Assumptions!$B$68&lt;1,U17&gt;5),Assumptions!$B$71,MAX(Assumptions!$B$71,INDEX(Assumptions!$B$44:$F$44,U17))),0)))</f>
        <v>0.0</v>
      </c>
      <c r="V22" s="52">
        <f>MIN(1,Assumptions!$B$67*Assumptions!$B$37)*IF(Assumptions!$B$71=0,0,IF(V17=0,Assumptions!$B$72,IF(V17&gt;=1,V18*IF(OR(Assumptions!$B$68&lt;1,V17&gt;5),Assumptions!$B$71,MAX(Assumptions!$B$71,INDEX(Assumptions!$B$44:$F$44,V17))),0)))</f>
        <v>0.0</v>
      </c>
      <c r="W22" s="52">
        <f>MIN(1,Assumptions!$B$67*Assumptions!$B$37)*IF(Assumptions!$B$71=0,0,IF(W17=0,Assumptions!$B$72,IF(W17&gt;=1,W18*IF(OR(Assumptions!$B$68&lt;1,W17&gt;5),Assumptions!$B$71,MAX(Assumptions!$B$71,INDEX(Assumptions!$B$44:$F$44,W17))),0)))</f>
        <v>0.0</v>
      </c>
      <c r="X22" s="52">
        <f>MIN(1,Assumptions!$B$67*Assumptions!$B$37)*IF(Assumptions!$B$71=0,0,IF(X17=0,Assumptions!$B$72,IF(X17&gt;=1,X18*IF(OR(Assumptions!$B$68&lt;1,X17&gt;5),Assumptions!$B$71,MAX(Assumptions!$B$71,INDEX(Assumptions!$B$44:$F$44,X17))),0)))</f>
        <v>0.0</v>
      </c>
      <c r="Y22" s="52">
        <f>MIN(1,Assumptions!$B$67*Assumptions!$B$37)*IF(Assumptions!$B$71=0,0,IF(Y17=0,Assumptions!$B$72,IF(Y17&gt;=1,Y18*IF(OR(Assumptions!$B$68&lt;1,Y17&gt;5),Assumptions!$B$71,MAX(Assumptions!$B$71,INDEX(Assumptions!$B$44:$F$44,Y17))),0)))</f>
        <v>0.0</v>
      </c>
      <c r="Z22" s="52">
        <f>MIN(1,Assumptions!$B$67*Assumptions!$B$37)*IF(Assumptions!$B$71=0,0,IF(Z17=0,Assumptions!$B$72,IF(Z17&gt;=1,Z18*IF(OR(Assumptions!$B$68&lt;1,Z17&gt;5),Assumptions!$B$71,MAX(Assumptions!$B$71,INDEX(Assumptions!$B$44:$F$44,Z17))),0)))</f>
        <v>0.0</v>
      </c>
    </row>
    <row r="23">
      <c r="A23" s="13" t="inlineStr">
        <is>
          <t>Development R&amp;D, risk-adjusted</t>
        </is>
      </c>
      <c r="C23" s="52">
        <f>IFERROR(INDEX(Assumptions!$B$77:$I$77,MATCH(C$2,Assumptions!$B$76:$I$76,0))*INDEX(Assumptions!$B$78:$I$78,MATCH(C$2,Assumptions!$B$76:$I$76,0)),0)</f>
        <v>4.0</v>
      </c>
      <c r="D23" s="52">
        <f>IFERROR(INDEX(Assumptions!$B$77:$I$77,MATCH(D$2,Assumptions!$B$76:$I$76,0))*INDEX(Assumptions!$B$78:$I$78,MATCH(D$2,Assumptions!$B$76:$I$76,0)),0)</f>
        <v>2.0</v>
      </c>
      <c r="E23" s="52">
        <f>IFERROR(INDEX(Assumptions!$B$77:$I$77,MATCH(E$2,Assumptions!$B$76:$I$76,0))*INDEX(Assumptions!$B$78:$I$78,MATCH(E$2,Assumptions!$B$76:$I$76,0)),0)</f>
        <v>0.0</v>
      </c>
      <c r="F23" s="52">
        <f>IFERROR(INDEX(Assumptions!$B$77:$I$77,MATCH(F$2,Assumptions!$B$76:$I$76,0))*INDEX(Assumptions!$B$78:$I$78,MATCH(F$2,Assumptions!$B$76:$I$76,0)),0)</f>
        <v>0.0</v>
      </c>
      <c r="G23" s="52">
        <f>IFERROR(INDEX(Assumptions!$B$77:$I$77,MATCH(G$2,Assumptions!$B$76:$I$76,0))*INDEX(Assumptions!$B$78:$I$78,MATCH(G$2,Assumptions!$B$76:$I$76,0)),0)</f>
        <v>0.0</v>
      </c>
      <c r="H23" s="52">
        <f>IFERROR(INDEX(Assumptions!$B$77:$I$77,MATCH(H$2,Assumptions!$B$76:$I$76,0))*INDEX(Assumptions!$B$78:$I$78,MATCH(H$2,Assumptions!$B$76:$I$76,0)),0)</f>
        <v>0.0</v>
      </c>
      <c r="I23" s="52">
        <f>IFERROR(INDEX(Assumptions!$B$77:$I$77,MATCH(I$2,Assumptions!$B$76:$I$76,0))*INDEX(Assumptions!$B$78:$I$78,MATCH(I$2,Assumptions!$B$76:$I$76,0)),0)</f>
        <v>0.0</v>
      </c>
      <c r="J23" s="52">
        <f>IFERROR(INDEX(Assumptions!$B$77:$I$77,MATCH(J$2,Assumptions!$B$76:$I$76,0))*INDEX(Assumptions!$B$78:$I$78,MATCH(J$2,Assumptions!$B$76:$I$76,0)),0)</f>
        <v>0.0</v>
      </c>
      <c r="K23" s="52">
        <f>IFERROR(INDEX(Assumptions!$B$77:$I$77,MATCH(K$2,Assumptions!$B$76:$I$76,0))*INDEX(Assumptions!$B$78:$I$78,MATCH(K$2,Assumptions!$B$76:$I$76,0)),0)</f>
        <v>0</v>
      </c>
      <c r="L23" s="52">
        <f>IFERROR(INDEX(Assumptions!$B$77:$I$77,MATCH(L$2,Assumptions!$B$76:$I$76,0))*INDEX(Assumptions!$B$78:$I$78,MATCH(L$2,Assumptions!$B$76:$I$76,0)),0)</f>
        <v>0</v>
      </c>
      <c r="M23" s="52">
        <f>IFERROR(INDEX(Assumptions!$B$77:$I$77,MATCH(M$2,Assumptions!$B$76:$I$76,0))*INDEX(Assumptions!$B$78:$I$78,MATCH(M$2,Assumptions!$B$76:$I$76,0)),0)</f>
        <v>0</v>
      </c>
      <c r="N23" s="52">
        <f>IFERROR(INDEX(Assumptions!$B$77:$I$77,MATCH(N$2,Assumptions!$B$76:$I$76,0))*INDEX(Assumptions!$B$78:$I$78,MATCH(N$2,Assumptions!$B$76:$I$76,0)),0)</f>
        <v>0</v>
      </c>
      <c r="O23" s="52">
        <f>IFERROR(INDEX(Assumptions!$B$77:$I$77,MATCH(O$2,Assumptions!$B$76:$I$76,0))*INDEX(Assumptions!$B$78:$I$78,MATCH(O$2,Assumptions!$B$76:$I$76,0)),0)</f>
        <v>0</v>
      </c>
      <c r="P23" s="52">
        <f>IFERROR(INDEX(Assumptions!$B$77:$I$77,MATCH(P$2,Assumptions!$B$76:$I$76,0))*INDEX(Assumptions!$B$78:$I$78,MATCH(P$2,Assumptions!$B$76:$I$76,0)),0)</f>
        <v>0</v>
      </c>
      <c r="Q23" s="52">
        <f>IFERROR(INDEX(Assumptions!$B$77:$I$77,MATCH(Q$2,Assumptions!$B$76:$I$76,0))*INDEX(Assumptions!$B$78:$I$78,MATCH(Q$2,Assumptions!$B$76:$I$76,0)),0)</f>
        <v>0</v>
      </c>
      <c r="R23" s="52">
        <f>IFERROR(INDEX(Assumptions!$B$77:$I$77,MATCH(R$2,Assumptions!$B$76:$I$76,0))*INDEX(Assumptions!$B$78:$I$78,MATCH(R$2,Assumptions!$B$76:$I$76,0)),0)</f>
        <v>0</v>
      </c>
      <c r="S23" s="52">
        <f>IFERROR(INDEX(Assumptions!$B$77:$I$77,MATCH(S$2,Assumptions!$B$76:$I$76,0))*INDEX(Assumptions!$B$78:$I$78,MATCH(S$2,Assumptions!$B$76:$I$76,0)),0)</f>
        <v>0</v>
      </c>
      <c r="T23" s="52">
        <f>IFERROR(INDEX(Assumptions!$B$77:$I$77,MATCH(T$2,Assumptions!$B$76:$I$76,0))*INDEX(Assumptions!$B$78:$I$78,MATCH(T$2,Assumptions!$B$76:$I$76,0)),0)</f>
        <v>0</v>
      </c>
      <c r="U23" s="52">
        <f>IFERROR(INDEX(Assumptions!$B$77:$I$77,MATCH(U$2,Assumptions!$B$76:$I$76,0))*INDEX(Assumptions!$B$78:$I$78,MATCH(U$2,Assumptions!$B$76:$I$76,0)),0)</f>
        <v>0</v>
      </c>
      <c r="V23" s="52">
        <f>IFERROR(INDEX(Assumptions!$B$77:$I$77,MATCH(V$2,Assumptions!$B$76:$I$76,0))*INDEX(Assumptions!$B$78:$I$78,MATCH(V$2,Assumptions!$B$76:$I$76,0)),0)</f>
        <v>0</v>
      </c>
      <c r="W23" s="52">
        <f>IFERROR(INDEX(Assumptions!$B$77:$I$77,MATCH(W$2,Assumptions!$B$76:$I$76,0))*INDEX(Assumptions!$B$78:$I$78,MATCH(W$2,Assumptions!$B$76:$I$76,0)),0)</f>
        <v>0</v>
      </c>
      <c r="X23" s="52">
        <f>IFERROR(INDEX(Assumptions!$B$77:$I$77,MATCH(X$2,Assumptions!$B$76:$I$76,0))*INDEX(Assumptions!$B$78:$I$78,MATCH(X$2,Assumptions!$B$76:$I$76,0)),0)</f>
        <v>0</v>
      </c>
      <c r="Y23" s="52">
        <f>IFERROR(INDEX(Assumptions!$B$77:$I$77,MATCH(Y$2,Assumptions!$B$76:$I$76,0))*INDEX(Assumptions!$B$78:$I$78,MATCH(Y$2,Assumptions!$B$76:$I$76,0)),0)</f>
        <v>0</v>
      </c>
      <c r="Z23" s="52">
        <f>IFERROR(INDEX(Assumptions!$B$77:$I$77,MATCH(Z$2,Assumptions!$B$76:$I$76,0))*INDEX(Assumptions!$B$78:$I$78,MATCH(Z$2,Assumptions!$B$76:$I$76,0)),0)</f>
        <v>0</v>
      </c>
    </row>
    <row r="24">
      <c r="A24" s="23" t="inlineStr">
        <is>
          <t>Program contribution (pre-tax)</t>
        </is>
      </c>
      <c r="C24" s="56">
        <f>C20-C21-C22-C23</f>
        <v>-4.0</v>
      </c>
      <c r="D24" s="56">
        <f>D20-D21-D22-D23</f>
        <v>-0.5</v>
      </c>
      <c r="E24" s="56">
        <f>E20-E21-E22-E23</f>
        <v>3.75</v>
      </c>
      <c r="F24" s="56">
        <f>F20-F21-F22-F23</f>
        <v>6.75</v>
      </c>
      <c r="G24" s="56">
        <f>G20-G21-G22-G23</f>
        <v>9.75</v>
      </c>
      <c r="H24" s="56">
        <f>H20-H21-H22-H23</f>
        <v>12.299999999999999</v>
      </c>
      <c r="I24" s="56">
        <f>I20-I21-I22-I23</f>
        <v>13.95</v>
      </c>
      <c r="J24" s="56">
        <f>J20-J21-J22-J23</f>
        <v>15.0</v>
      </c>
      <c r="K24" s="56">
        <f>K20-K21-K22-K23</f>
        <v>15.0</v>
      </c>
      <c r="L24" s="56">
        <f>L20-L21-L22-L23</f>
        <v>15.0</v>
      </c>
      <c r="M24" s="56">
        <f>M20-M21-M22-M23</f>
        <v>15.0</v>
      </c>
      <c r="N24" s="56">
        <f>N20-N21-N22-N23</f>
        <v>15.0</v>
      </c>
      <c r="O24" s="56">
        <f>O20-O21-O22-O23</f>
        <v>15.0</v>
      </c>
      <c r="P24" s="56">
        <f>P20-P21-P22-P23</f>
        <v>15.0</v>
      </c>
      <c r="Q24" s="56">
        <f>Q20-Q21-Q22-Q23</f>
        <v>7.5</v>
      </c>
      <c r="R24" s="56">
        <f>R20-R21-R22-R23</f>
        <v>3.75</v>
      </c>
      <c r="S24" s="56">
        <f>S20-S21-S22-S23</f>
        <v>1.875</v>
      </c>
      <c r="T24" s="56">
        <f>T20-T21-T22-T23</f>
        <v>0.9375</v>
      </c>
      <c r="U24" s="56">
        <f>U20-U21-U22-U23</f>
        <v>0.46875</v>
      </c>
      <c r="V24" s="56">
        <f>V20-V21-V22-V23</f>
        <v>0.234375</v>
      </c>
      <c r="W24" s="56">
        <f>W20-W21-W22-W23</f>
        <v>0.1171875</v>
      </c>
      <c r="X24" s="56">
        <f>X20-X21-X22-X23</f>
        <v>0.05859375</v>
      </c>
      <c r="Y24" s="56">
        <f>Y20-Y21-Y22-Y23</f>
        <v>0.029296875</v>
      </c>
      <c r="Z24" s="56">
        <f>Z20-Z21-Z22-Z23</f>
        <v>0.0146484375</v>
      </c>
    </row>
    <row r="26">
      <c r="A26" s="30" t="inlineStr">
        <is>
          <t>Company totals (risk-adjusted)</t>
        </is>
      </c>
    </row>
    <row r="27">
      <c r="A27" s="23" t="inlineStr">
        <is>
          <t>Revenue</t>
        </is>
      </c>
      <c r="C27" s="56">
        <f>C10+C20</f>
        <v>35.52</v>
      </c>
      <c r="D27" s="56">
        <f>D10+D20</f>
        <v>10.3</v>
      </c>
      <c r="E27" s="56">
        <f>E10+E20</f>
        <v>24.918</v>
      </c>
      <c r="F27" s="56">
        <f>F10+F20</f>
        <v>50.95</v>
      </c>
      <c r="G27" s="56">
        <f>G10+G20</f>
        <v>40.989999999999995</v>
      </c>
      <c r="H27" s="56">
        <f>H10+H20</f>
        <v>71.468</v>
      </c>
      <c r="I27" s="56">
        <f>I10+I20</f>
        <v>53.479600000000005</v>
      </c>
      <c r="J27" s="56">
        <f>J10+J20</f>
        <v>78.1104</v>
      </c>
      <c r="K27" s="56">
        <f>K10+K20</f>
        <v>55.48</v>
      </c>
      <c r="L27" s="56">
        <f>L10+L20</f>
        <v>58.48</v>
      </c>
      <c r="M27" s="56">
        <f>M10+M20</f>
        <v>55.48</v>
      </c>
      <c r="N27" s="56">
        <f>N10+N20</f>
        <v>55.48</v>
      </c>
      <c r="O27" s="56">
        <f>O10+O20</f>
        <v>55.48</v>
      </c>
      <c r="P27" s="56">
        <f>P10+P20</f>
        <v>55.48</v>
      </c>
      <c r="Q27" s="56">
        <f>Q10+Q20</f>
        <v>27.74</v>
      </c>
      <c r="R27" s="56">
        <f>R10+R20</f>
        <v>13.87</v>
      </c>
      <c r="S27" s="56">
        <f>S10+S20</f>
        <v>6.935</v>
      </c>
      <c r="T27" s="56">
        <f>T10+T20</f>
        <v>3.4675</v>
      </c>
      <c r="U27" s="56">
        <f>U10+U20</f>
        <v>1.73375</v>
      </c>
      <c r="V27" s="56">
        <f>V10+V20</f>
        <v>0.866875</v>
      </c>
      <c r="W27" s="56">
        <f>W10+W20</f>
        <v>0.4334375</v>
      </c>
      <c r="X27" s="56">
        <f>X10+X20</f>
        <v>0.21671875</v>
      </c>
      <c r="Y27" s="56">
        <f>Y10+Y20</f>
        <v>0.108359375</v>
      </c>
      <c r="Z27" s="56">
        <f>Z10+Z20</f>
        <v>0.0541796875</v>
      </c>
    </row>
    <row r="28">
      <c r="A28" s="13" t="inlineStr">
        <is>
          <t>Cost of sales (COGS + royalties)</t>
        </is>
      </c>
      <c r="C28" s="52">
        <f>C11+C21</f>
        <v>0.0</v>
      </c>
      <c r="D28" s="52">
        <f>D11+D21</f>
        <v>0.0</v>
      </c>
      <c r="E28" s="52">
        <f>E11+E21</f>
        <v>0.0</v>
      </c>
      <c r="F28" s="52">
        <f>F11+F21</f>
        <v>0.0</v>
      </c>
      <c r="G28" s="52">
        <f>G11+G21</f>
        <v>0.0</v>
      </c>
      <c r="H28" s="52">
        <f>H11+H21</f>
        <v>0.0</v>
      </c>
      <c r="I28" s="52">
        <f>I11+I21</f>
        <v>0.0</v>
      </c>
      <c r="J28" s="52">
        <f>J11+J21</f>
        <v>0.0</v>
      </c>
      <c r="K28" s="52">
        <f>K11+K21</f>
        <v>0.0</v>
      </c>
      <c r="L28" s="52">
        <f>L11+L21</f>
        <v>0.0</v>
      </c>
      <c r="M28" s="52">
        <f>M11+M21</f>
        <v>0.0</v>
      </c>
      <c r="N28" s="52">
        <f>N11+N21</f>
        <v>0.0</v>
      </c>
      <c r="O28" s="52">
        <f>O11+O21</f>
        <v>0.0</v>
      </c>
      <c r="P28" s="52">
        <f>P11+P21</f>
        <v>0.0</v>
      </c>
      <c r="Q28" s="52">
        <f>Q11+Q21</f>
        <v>0.0</v>
      </c>
      <c r="R28" s="52">
        <f>R11+R21</f>
        <v>0.0</v>
      </c>
      <c r="S28" s="52">
        <f>S11+S21</f>
        <v>0.0</v>
      </c>
      <c r="T28" s="52">
        <f>T11+T21</f>
        <v>0.0</v>
      </c>
      <c r="U28" s="52">
        <f>U11+U21</f>
        <v>0.0</v>
      </c>
      <c r="V28" s="52">
        <f>V11+V21</f>
        <v>0.0</v>
      </c>
      <c r="W28" s="52">
        <f>W11+W21</f>
        <v>0.0</v>
      </c>
      <c r="X28" s="52">
        <f>X11+X21</f>
        <v>0.0</v>
      </c>
      <c r="Y28" s="52">
        <f>Y11+Y21</f>
        <v>0.0</v>
      </c>
      <c r="Z28" s="52">
        <f>Z11+Z21</f>
        <v>0.0</v>
      </c>
    </row>
    <row r="29">
      <c r="A29" s="13" t="inlineStr">
        <is>
          <t>Program development R&amp;D</t>
        </is>
      </c>
      <c r="C29" s="52">
        <f>C13+C23</f>
        <v>7.0</v>
      </c>
      <c r="D29" s="52">
        <f>D13+D23</f>
        <v>2.0</v>
      </c>
      <c r="E29" s="52">
        <f>E13+E23</f>
        <v>0.0</v>
      </c>
      <c r="F29" s="52">
        <f>F13+F23</f>
        <v>0.0</v>
      </c>
      <c r="G29" s="52">
        <f>G13+G23</f>
        <v>0.0</v>
      </c>
      <c r="H29" s="52">
        <f>H13+H23</f>
        <v>0.0</v>
      </c>
      <c r="I29" s="52">
        <f>I13+I23</f>
        <v>0.0</v>
      </c>
      <c r="J29" s="52">
        <f>J13+J23</f>
        <v>0.0</v>
      </c>
      <c r="K29" s="52">
        <f>K13+K23</f>
        <v>0.0</v>
      </c>
      <c r="L29" s="52">
        <f>L13+L23</f>
        <v>0.0</v>
      </c>
      <c r="M29" s="52">
        <f>M13+M23</f>
        <v>0.0</v>
      </c>
      <c r="N29" s="52">
        <f>N13+N23</f>
        <v>0.0</v>
      </c>
      <c r="O29" s="52">
        <f>O13+O23</f>
        <v>0.0</v>
      </c>
      <c r="P29" s="52">
        <f>P13+P23</f>
        <v>0.0</v>
      </c>
      <c r="Q29" s="52">
        <f>Q13+Q23</f>
        <v>0.0</v>
      </c>
      <c r="R29" s="52">
        <f>R13+R23</f>
        <v>0.0</v>
      </c>
      <c r="S29" s="52">
        <f>S13+S23</f>
        <v>0.0</v>
      </c>
      <c r="T29" s="52">
        <f>T13+T23</f>
        <v>0.0</v>
      </c>
      <c r="U29" s="52">
        <f>U13+U23</f>
        <v>0.0</v>
      </c>
      <c r="V29" s="52">
        <f>V13+V23</f>
        <v>0.0</v>
      </c>
      <c r="W29" s="52">
        <f>W13+W23</f>
        <v>0.0</v>
      </c>
      <c r="X29" s="52">
        <f>X13+X23</f>
        <v>0.0</v>
      </c>
      <c r="Y29" s="52">
        <f>Y13+Y23</f>
        <v>0.0</v>
      </c>
      <c r="Z29" s="52">
        <f>Z13+Z23</f>
        <v>0.0</v>
      </c>
    </row>
    <row r="30">
      <c r="A30" s="13" t="inlineStr">
        <is>
          <t>Platform / unallocated R&amp;D</t>
        </is>
      </c>
      <c r="C30" s="52">
        <f>IF(C$2&gt;Assumptions!$B$25,Assumptions!$B$23*C27,MAX(Assumptions!$B$20*(1+Assumptions!$B$21)^(C$2-2027)*Assumptions!$B$38,Assumptions!$B$23*C27))</f>
        <v>5.16</v>
      </c>
      <c r="D30" s="52">
        <f>IF(D$2&gt;Assumptions!$B$25,Assumptions!$B$23*D27,MAX(Assumptions!$B$20*(1+Assumptions!$B$21)^(D$2-2027)*Assumptions!$B$38,Assumptions!$B$23*D27))</f>
        <v>5.3148</v>
      </c>
      <c r="E30" s="52">
        <f>IF(E$2&gt;Assumptions!$B$25,Assumptions!$B$23*E27,MAX(Assumptions!$B$20*(1+Assumptions!$B$21)^(E$2-2027)*Assumptions!$B$38,Assumptions!$B$23*E27))</f>
        <v>5.474244</v>
      </c>
      <c r="F30" s="52">
        <f>IF(F$2&gt;Assumptions!$B$25,Assumptions!$B$23*F27,MAX(Assumptions!$B$20*(1+Assumptions!$B$21)^(F$2-2027)*Assumptions!$B$38,Assumptions!$B$23*F27))</f>
        <v>5.638471320000001</v>
      </c>
      <c r="G30" s="52">
        <f>IF(G$2&gt;Assumptions!$B$25,Assumptions!$B$23*G27,MAX(Assumptions!$B$20*(1+Assumptions!$B$21)^(G$2-2027)*Assumptions!$B$38,Assumptions!$B$23*G27))</f>
        <v>5.807625459600001</v>
      </c>
      <c r="H30" s="52">
        <f>IF(H$2&gt;Assumptions!$B$25,Assumptions!$B$23*H27,MAX(Assumptions!$B$20*(1+Assumptions!$B$21)^(H$2-2027)*Assumptions!$B$38,Assumptions!$B$23*H27))</f>
        <v>5.981854223388002</v>
      </c>
      <c r="I30" s="52">
        <f>IF(I$2&gt;Assumptions!$B$25,Assumptions!$B$23*I27,MAX(Assumptions!$B$20*(1+Assumptions!$B$21)^(I$2-2027)*Assumptions!$B$38,Assumptions!$B$23*I27))</f>
        <v>6.1613098500896415</v>
      </c>
      <c r="J30" s="52">
        <f>IF(J$2&gt;Assumptions!$B$25,Assumptions!$B$23*J27,MAX(Assumptions!$B$20*(1+Assumptions!$B$21)^(J$2-2027)*Assumptions!$B$38,Assumptions!$B$23*J27))</f>
        <v>6.346149145592332</v>
      </c>
      <c r="K30" s="52">
        <f>IF(K$2&gt;Assumptions!$B$25,Assumptions!$B$23*K27,MAX(Assumptions!$B$20*(1+Assumptions!$B$21)^(K$2-2027)*Assumptions!$B$38,Assumptions!$B$23*K27))</f>
        <v>6.536533619960101</v>
      </c>
      <c r="L30" s="52">
        <f>IF(L$2&gt;Assumptions!$B$25,Assumptions!$B$23*L27,MAX(Assumptions!$B$20*(1+Assumptions!$B$21)^(L$2-2027)*Assumptions!$B$38,Assumptions!$B$23*L27))</f>
        <v>6.732629628558904</v>
      </c>
      <c r="M30" s="52">
        <f>IF(M$2&gt;Assumptions!$B$25,Assumptions!$B$23*M27,MAX(Assumptions!$B$20*(1+Assumptions!$B$21)^(M$2-2027)*Assumptions!$B$38,Assumptions!$B$23*M27))</f>
        <v>6.934608517415671</v>
      </c>
      <c r="N30" s="52">
        <f>IF(N$2&gt;Assumptions!$B$25,Assumptions!$B$23*N27,MAX(Assumptions!$B$20*(1+Assumptions!$B$21)^(N$2-2027)*Assumptions!$B$38,Assumptions!$B$23*N27))</f>
        <v>7.142646772938143</v>
      </c>
      <c r="O30" s="52">
        <f>IF(O$2&gt;Assumptions!$B$25,Assumptions!$B$23*O27,MAX(Assumptions!$B$20*(1+Assumptions!$B$21)^(O$2-2027)*Assumptions!$B$38,Assumptions!$B$23*O27))</f>
        <v>7.3569261761262865</v>
      </c>
      <c r="P30" s="52">
        <f>IF(P$2&gt;Assumptions!$B$25,Assumptions!$B$23*P27,MAX(Assumptions!$B$20*(1+Assumptions!$B$21)^(P$2-2027)*Assumptions!$B$38,Assumptions!$B$23*P27))</f>
        <v>7.577633961410075</v>
      </c>
      <c r="Q30" s="52">
        <f>IF(Q$2&gt;Assumptions!$B$25,Assumptions!$B$23*Q27,MAX(Assumptions!$B$20*(1+Assumptions!$B$21)^(Q$2-2027)*Assumptions!$B$38,Assumptions!$B$23*Q27))</f>
        <v>7.804962980252378</v>
      </c>
      <c r="R30" s="52">
        <f>IF(R$2&gt;Assumptions!$B$25,Assumptions!$B$23*R27,MAX(Assumptions!$B$20*(1+Assumptions!$B$21)^(R$2-2027)*Assumptions!$B$38,Assumptions!$B$23*R27))</f>
        <v>0.8321999999999999</v>
      </c>
      <c r="S30" s="52">
        <f>IF(S$2&gt;Assumptions!$B$25,Assumptions!$B$23*S27,MAX(Assumptions!$B$20*(1+Assumptions!$B$21)^(S$2-2027)*Assumptions!$B$38,Assumptions!$B$23*S27))</f>
        <v>0.41609999999999997</v>
      </c>
      <c r="T30" s="52">
        <f>IF(T$2&gt;Assumptions!$B$25,Assumptions!$B$23*T27,MAX(Assumptions!$B$20*(1+Assumptions!$B$21)^(T$2-2027)*Assumptions!$B$38,Assumptions!$B$23*T27))</f>
        <v>0.20804999999999998</v>
      </c>
      <c r="U30" s="52">
        <f>IF(U$2&gt;Assumptions!$B$25,Assumptions!$B$23*U27,MAX(Assumptions!$B$20*(1+Assumptions!$B$21)^(U$2-2027)*Assumptions!$B$38,Assumptions!$B$23*U27))</f>
        <v>0.10402499999999999</v>
      </c>
      <c r="V30" s="52">
        <f>IF(V$2&gt;Assumptions!$B$25,Assumptions!$B$23*V27,MAX(Assumptions!$B$20*(1+Assumptions!$B$21)^(V$2-2027)*Assumptions!$B$38,Assumptions!$B$23*V27))</f>
        <v>0.052012499999999996</v>
      </c>
      <c r="W30" s="52">
        <f>IF(W$2&gt;Assumptions!$B$25,Assumptions!$B$23*W27,MAX(Assumptions!$B$20*(1+Assumptions!$B$21)^(W$2-2027)*Assumptions!$B$38,Assumptions!$B$23*W27))</f>
        <v>0.026006249999999998</v>
      </c>
      <c r="X30" s="52">
        <f>IF(X$2&gt;Assumptions!$B$25,Assumptions!$B$23*X27,MAX(Assumptions!$B$20*(1+Assumptions!$B$21)^(X$2-2027)*Assumptions!$B$38,Assumptions!$B$23*X27))</f>
        <v>0.013003124999999999</v>
      </c>
      <c r="Y30" s="52">
        <f>IF(Y$2&gt;Assumptions!$B$25,Assumptions!$B$23*Y27,MAX(Assumptions!$B$20*(1+Assumptions!$B$21)^(Y$2-2027)*Assumptions!$B$38,Assumptions!$B$23*Y27))</f>
        <v>0.0065015624999999995</v>
      </c>
      <c r="Z30" s="52">
        <f>IF(Z$2&gt;Assumptions!$B$25,Assumptions!$B$23*Z27,MAX(Assumptions!$B$20*(1+Assumptions!$B$21)^(Z$2-2027)*Assumptions!$B$38,Assumptions!$B$23*Z27))</f>
        <v>0.0032507812499999998</v>
      </c>
    </row>
    <row r="31">
      <c r="A31" s="13" t="inlineStr">
        <is>
          <t>Total R&amp;D</t>
        </is>
      </c>
      <c r="C31" s="52">
        <f>C29+C30</f>
        <v>12.16</v>
      </c>
      <c r="D31" s="52">
        <f>D29+D30</f>
        <v>7.3148</v>
      </c>
      <c r="E31" s="52">
        <f>E29+E30</f>
        <v>5.474244</v>
      </c>
      <c r="F31" s="52">
        <f>F29+F30</f>
        <v>5.638471320000001</v>
      </c>
      <c r="G31" s="52">
        <f>G29+G30</f>
        <v>5.807625459600001</v>
      </c>
      <c r="H31" s="52">
        <f>H29+H30</f>
        <v>5.981854223388002</v>
      </c>
      <c r="I31" s="52">
        <f>I29+I30</f>
        <v>6.1613098500896415</v>
      </c>
      <c r="J31" s="52">
        <f>J29+J30</f>
        <v>6.346149145592332</v>
      </c>
      <c r="K31" s="52">
        <f>K29+K30</f>
        <v>6.536533619960101</v>
      </c>
      <c r="L31" s="52">
        <f>L29+L30</f>
        <v>6.732629628558904</v>
      </c>
      <c r="M31" s="52">
        <f>M29+M30</f>
        <v>6.934608517415671</v>
      </c>
      <c r="N31" s="52">
        <f>N29+N30</f>
        <v>7.142646772938143</v>
      </c>
      <c r="O31" s="52">
        <f>O29+O30</f>
        <v>7.3569261761262865</v>
      </c>
      <c r="P31" s="52">
        <f>P29+P30</f>
        <v>7.577633961410075</v>
      </c>
      <c r="Q31" s="52">
        <f>Q29+Q30</f>
        <v>7.804962980252378</v>
      </c>
      <c r="R31" s="52">
        <f>R29+R30</f>
        <v>0.8321999999999999</v>
      </c>
      <c r="S31" s="52">
        <f>S29+S30</f>
        <v>0.41609999999999997</v>
      </c>
      <c r="T31" s="52">
        <f>T29+T30</f>
        <v>0.20804999999999998</v>
      </c>
      <c r="U31" s="52">
        <f>U29+U30</f>
        <v>0.10402499999999999</v>
      </c>
      <c r="V31" s="52">
        <f>V29+V30</f>
        <v>0.052012499999999996</v>
      </c>
      <c r="W31" s="52">
        <f>W29+W30</f>
        <v>0.026006249999999998</v>
      </c>
      <c r="X31" s="52">
        <f>X29+X30</f>
        <v>0.013003124999999999</v>
      </c>
      <c r="Y31" s="52">
        <f>Y29+Y30</f>
        <v>0.0065015624999999995</v>
      </c>
      <c r="Z31" s="52">
        <f>Z29+Z30</f>
        <v>0.0032507812499999998</v>
      </c>
    </row>
    <row r="32">
      <c r="A32" s="13" t="inlineStr">
        <is>
          <t>Commercial SG&amp;A</t>
        </is>
      </c>
      <c r="C32" s="52">
        <f>C12+C22</f>
        <v>0.0</v>
      </c>
      <c r="D32" s="52">
        <f>D12+D22</f>
        <v>0.0</v>
      </c>
      <c r="E32" s="52">
        <f>E12+E22</f>
        <v>0.0</v>
      </c>
      <c r="F32" s="52">
        <f>F12+F22</f>
        <v>0.0</v>
      </c>
      <c r="G32" s="52">
        <f>G12+G22</f>
        <v>0.0</v>
      </c>
      <c r="H32" s="52">
        <f>H12+H22</f>
        <v>0.0</v>
      </c>
      <c r="I32" s="52">
        <f>I12+I22</f>
        <v>0.0</v>
      </c>
      <c r="J32" s="52">
        <f>J12+J22</f>
        <v>0.0</v>
      </c>
      <c r="K32" s="52">
        <f>K12+K22</f>
        <v>0.0</v>
      </c>
      <c r="L32" s="52">
        <f>L12+L22</f>
        <v>0.0</v>
      </c>
      <c r="M32" s="52">
        <f>M12+M22</f>
        <v>0.0</v>
      </c>
      <c r="N32" s="52">
        <f>N12+N22</f>
        <v>0.0</v>
      </c>
      <c r="O32" s="52">
        <f>O12+O22</f>
        <v>0.0</v>
      </c>
      <c r="P32" s="52">
        <f>P12+P22</f>
        <v>0.0</v>
      </c>
      <c r="Q32" s="52">
        <f>Q12+Q22</f>
        <v>0.0</v>
      </c>
      <c r="R32" s="52">
        <f>R12+R22</f>
        <v>0.0</v>
      </c>
      <c r="S32" s="52">
        <f>S12+S22</f>
        <v>0.0</v>
      </c>
      <c r="T32" s="52">
        <f>T12+T22</f>
        <v>0.0</v>
      </c>
      <c r="U32" s="52">
        <f>U12+U22</f>
        <v>0.0</v>
      </c>
      <c r="V32" s="52">
        <f>V12+V22</f>
        <v>0.0</v>
      </c>
      <c r="W32" s="52">
        <f>W12+W22</f>
        <v>0.0</v>
      </c>
      <c r="X32" s="52">
        <f>X12+X22</f>
        <v>0.0</v>
      </c>
      <c r="Y32" s="52">
        <f>Y12+Y22</f>
        <v>0.0</v>
      </c>
      <c r="Z32" s="52">
        <f>Z12+Z22</f>
        <v>0.0</v>
      </c>
    </row>
    <row r="33">
      <c r="A33" s="13" t="inlineStr">
        <is>
          <t>Corporate G&amp;A</t>
        </is>
      </c>
      <c r="C33" s="52">
        <f>IF(C$2&gt;Assumptions!$B$25,Assumptions!$B$22*C27,MAX(Assumptions!$B$19*(1+Assumptions!$B$21)^(C$2-2027)*Assumptions!$B$38,Assumptions!$B$22*C27))</f>
        <v>6.0200000000000005</v>
      </c>
      <c r="D33" s="52">
        <f>IF(D$2&gt;Assumptions!$B$25,Assumptions!$B$22*D27,MAX(Assumptions!$B$19*(1+Assumptions!$B$21)^(D$2-2027)*Assumptions!$B$38,Assumptions!$B$22*D27))</f>
        <v>6.2006000000000006</v>
      </c>
      <c r="E33" s="52">
        <f>IF(E$2&gt;Assumptions!$B$25,Assumptions!$B$22*E27,MAX(Assumptions!$B$19*(1+Assumptions!$B$21)^(E$2-2027)*Assumptions!$B$38,Assumptions!$B$22*E27))</f>
        <v>6.386618</v>
      </c>
      <c r="F33" s="52">
        <f>IF(F$2&gt;Assumptions!$B$25,Assumptions!$B$22*F27,MAX(Assumptions!$B$19*(1+Assumptions!$B$21)^(F$2-2027)*Assumptions!$B$38,Assumptions!$B$22*F27))</f>
        <v>6.578216540000001</v>
      </c>
      <c r="G33" s="52">
        <f>IF(G$2&gt;Assumptions!$B$25,Assumptions!$B$22*G27,MAX(Assumptions!$B$19*(1+Assumptions!$B$21)^(G$2-2027)*Assumptions!$B$38,Assumptions!$B$22*G27))</f>
        <v>6.775563036200001</v>
      </c>
      <c r="H33" s="52">
        <f>IF(H$2&gt;Assumptions!$B$25,Assumptions!$B$22*H27,MAX(Assumptions!$B$19*(1+Assumptions!$B$21)^(H$2-2027)*Assumptions!$B$38,Assumptions!$B$22*H27))</f>
        <v>6.978829927286001</v>
      </c>
      <c r="I33" s="52">
        <f>IF(I$2&gt;Assumptions!$B$25,Assumptions!$B$22*I27,MAX(Assumptions!$B$19*(1+Assumptions!$B$21)^(I$2-2027)*Assumptions!$B$38,Assumptions!$B$22*I27))</f>
        <v>7.188194825104582</v>
      </c>
      <c r="J33" s="52">
        <f>IF(J$2&gt;Assumptions!$B$25,Assumptions!$B$22*J27,MAX(Assumptions!$B$19*(1+Assumptions!$B$21)^(J$2-2027)*Assumptions!$B$38,Assumptions!$B$22*J27))</f>
        <v>7.403840669857719</v>
      </c>
      <c r="K33" s="52">
        <f>IF(K$2&gt;Assumptions!$B$25,Assumptions!$B$22*K27,MAX(Assumptions!$B$19*(1+Assumptions!$B$21)^(K$2-2027)*Assumptions!$B$38,Assumptions!$B$22*K27))</f>
        <v>7.625955889953452</v>
      </c>
      <c r="L33" s="52">
        <f>IF(L$2&gt;Assumptions!$B$25,Assumptions!$B$22*L27,MAX(Assumptions!$B$19*(1+Assumptions!$B$21)^(L$2-2027)*Assumptions!$B$38,Assumptions!$B$22*L27))</f>
        <v>7.854734566652056</v>
      </c>
      <c r="M33" s="52">
        <f>IF(M$2&gt;Assumptions!$B$25,Assumptions!$B$22*M27,MAX(Assumptions!$B$19*(1+Assumptions!$B$21)^(M$2-2027)*Assumptions!$B$38,Assumptions!$B$22*M27))</f>
        <v>8.090376603651617</v>
      </c>
      <c r="N33" s="52">
        <f>IF(N$2&gt;Assumptions!$B$25,Assumptions!$B$22*N27,MAX(Assumptions!$B$19*(1+Assumptions!$B$21)^(N$2-2027)*Assumptions!$B$38,Assumptions!$B$22*N27))</f>
        <v>8.333087901761166</v>
      </c>
      <c r="O33" s="52">
        <f>IF(O$2&gt;Assumptions!$B$25,Assumptions!$B$22*O27,MAX(Assumptions!$B$19*(1+Assumptions!$B$21)^(O$2-2027)*Assumptions!$B$38,Assumptions!$B$22*O27))</f>
        <v>8.583080538814</v>
      </c>
      <c r="P33" s="52">
        <f>IF(P$2&gt;Assumptions!$B$25,Assumptions!$B$22*P27,MAX(Assumptions!$B$19*(1+Assumptions!$B$21)^(P$2-2027)*Assumptions!$B$38,Assumptions!$B$22*P27))</f>
        <v>8.840572954978422</v>
      </c>
      <c r="Q33" s="52">
        <f>IF(Q$2&gt;Assumptions!$B$25,Assumptions!$B$22*Q27,MAX(Assumptions!$B$19*(1+Assumptions!$B$21)^(Q$2-2027)*Assumptions!$B$38,Assumptions!$B$22*Q27))</f>
        <v>9.105790143627775</v>
      </c>
      <c r="R33" s="52">
        <f>IF(R$2&gt;Assumptions!$B$25,Assumptions!$B$22*R27,MAX(Assumptions!$B$19*(1+Assumptions!$B$21)^(R$2-2027)*Assumptions!$B$38,Assumptions!$B$22*R27))</f>
        <v>1.1096</v>
      </c>
      <c r="S33" s="52">
        <f>IF(S$2&gt;Assumptions!$B$25,Assumptions!$B$22*S27,MAX(Assumptions!$B$19*(1+Assumptions!$B$21)^(S$2-2027)*Assumptions!$B$38,Assumptions!$B$22*S27))</f>
        <v>0.5548</v>
      </c>
      <c r="T33" s="52">
        <f>IF(T$2&gt;Assumptions!$B$25,Assumptions!$B$22*T27,MAX(Assumptions!$B$19*(1+Assumptions!$B$21)^(T$2-2027)*Assumptions!$B$38,Assumptions!$B$22*T27))</f>
        <v>0.2774</v>
      </c>
      <c r="U33" s="52">
        <f>IF(U$2&gt;Assumptions!$B$25,Assumptions!$B$22*U27,MAX(Assumptions!$B$19*(1+Assumptions!$B$21)^(U$2-2027)*Assumptions!$B$38,Assumptions!$B$22*U27))</f>
        <v>0.1387</v>
      </c>
      <c r="V33" s="52">
        <f>IF(V$2&gt;Assumptions!$B$25,Assumptions!$B$22*V27,MAX(Assumptions!$B$19*(1+Assumptions!$B$21)^(V$2-2027)*Assumptions!$B$38,Assumptions!$B$22*V27))</f>
        <v>0.06935</v>
      </c>
      <c r="W33" s="52">
        <f>IF(W$2&gt;Assumptions!$B$25,Assumptions!$B$22*W27,MAX(Assumptions!$B$19*(1+Assumptions!$B$21)^(W$2-2027)*Assumptions!$B$38,Assumptions!$B$22*W27))</f>
        <v>0.034675</v>
      </c>
      <c r="X33" s="52">
        <f>IF(X$2&gt;Assumptions!$B$25,Assumptions!$B$22*X27,MAX(Assumptions!$B$19*(1+Assumptions!$B$21)^(X$2-2027)*Assumptions!$B$38,Assumptions!$B$22*X27))</f>
        <v>0.0173375</v>
      </c>
      <c r="Y33" s="52">
        <f>IF(Y$2&gt;Assumptions!$B$25,Assumptions!$B$22*Y27,MAX(Assumptions!$B$19*(1+Assumptions!$B$21)^(Y$2-2027)*Assumptions!$B$38,Assumptions!$B$22*Y27))</f>
        <v>0.00866875</v>
      </c>
      <c r="Z33" s="52">
        <f>IF(Z$2&gt;Assumptions!$B$25,Assumptions!$B$22*Z27,MAX(Assumptions!$B$19*(1+Assumptions!$B$21)^(Z$2-2027)*Assumptions!$B$38,Assumptions!$B$22*Z27))</f>
        <v>0.004334375</v>
      </c>
    </row>
    <row r="34">
      <c r="A34" s="13" t="inlineStr">
        <is>
          <t>Total G&amp;A incl. SG&amp;A</t>
        </is>
      </c>
      <c r="C34" s="52">
        <f>C32+C33</f>
        <v>6.0200000000000005</v>
      </c>
      <c r="D34" s="52">
        <f>D32+D33</f>
        <v>6.2006000000000006</v>
      </c>
      <c r="E34" s="52">
        <f>E32+E33</f>
        <v>6.386618</v>
      </c>
      <c r="F34" s="52">
        <f>F32+F33</f>
        <v>6.578216540000001</v>
      </c>
      <c r="G34" s="52">
        <f>G32+G33</f>
        <v>6.775563036200001</v>
      </c>
      <c r="H34" s="52">
        <f>H32+H33</f>
        <v>6.978829927286001</v>
      </c>
      <c r="I34" s="52">
        <f>I32+I33</f>
        <v>7.188194825104582</v>
      </c>
      <c r="J34" s="52">
        <f>J32+J33</f>
        <v>7.403840669857719</v>
      </c>
      <c r="K34" s="52">
        <f>K32+K33</f>
        <v>7.625955889953452</v>
      </c>
      <c r="L34" s="52">
        <f>L32+L33</f>
        <v>7.854734566652056</v>
      </c>
      <c r="M34" s="52">
        <f>M32+M33</f>
        <v>8.090376603651617</v>
      </c>
      <c r="N34" s="52">
        <f>N32+N33</f>
        <v>8.333087901761166</v>
      </c>
      <c r="O34" s="52">
        <f>O32+O33</f>
        <v>8.583080538814</v>
      </c>
      <c r="P34" s="52">
        <f>P32+P33</f>
        <v>8.840572954978422</v>
      </c>
      <c r="Q34" s="52">
        <f>Q32+Q33</f>
        <v>9.105790143627775</v>
      </c>
      <c r="R34" s="52">
        <f>R32+R33</f>
        <v>1.1096</v>
      </c>
      <c r="S34" s="52">
        <f>S32+S33</f>
        <v>0.5548</v>
      </c>
      <c r="T34" s="52">
        <f>T32+T33</f>
        <v>0.2774</v>
      </c>
      <c r="U34" s="52">
        <f>U32+U33</f>
        <v>0.1387</v>
      </c>
      <c r="V34" s="52">
        <f>V32+V33</f>
        <v>0.06935</v>
      </c>
      <c r="W34" s="52">
        <f>W32+W33</f>
        <v>0.034675</v>
      </c>
      <c r="X34" s="52">
        <f>X32+X33</f>
        <v>0.0173375</v>
      </c>
      <c r="Y34" s="52">
        <f>Y32+Y33</f>
        <v>0.00866875</v>
      </c>
      <c r="Z34" s="52">
        <f>Z32+Z33</f>
        <v>0.004334375</v>
      </c>
    </row>
    <row r="35">
      <c r="A35" s="23" t="inlineStr">
        <is>
          <t>Operating income (EBIT)</t>
        </is>
      </c>
      <c r="C35" s="64">
        <f>C27-C28-C31-C34</f>
        <v>17.340000000000003</v>
      </c>
      <c r="D35" s="64">
        <f>D27-D28-D31-D34</f>
        <v>-3.2154</v>
      </c>
      <c r="E35" s="64">
        <f>E27-E28-E31-E34</f>
        <v>13.057138</v>
      </c>
      <c r="F35" s="64">
        <f>F27-F28-F31-F34</f>
        <v>38.73331214</v>
      </c>
      <c r="G35" s="64">
        <f>G27-G28-G31-G34</f>
        <v>28.40681150419999</v>
      </c>
      <c r="H35" s="64">
        <f>H27-H28-H31-H34</f>
        <v>58.507315849326005</v>
      </c>
      <c r="I35" s="64">
        <f>I27-I28-I31-I34</f>
        <v>40.13009532480578</v>
      </c>
      <c r="J35" s="64">
        <f>J27-J28-J31-J34</f>
        <v>64.36041018454995</v>
      </c>
      <c r="K35" s="64">
        <f>K27-K28-K31-K34</f>
        <v>41.31751049008644</v>
      </c>
      <c r="L35" s="64">
        <f>L27-L28-L31-L34</f>
        <v>43.89263580478904</v>
      </c>
      <c r="M35" s="64">
        <f>M27-M28-M31-M34</f>
        <v>40.455014878932715</v>
      </c>
      <c r="N35" s="64">
        <f>N27-N28-N31-N34</f>
        <v>40.004265325300686</v>
      </c>
      <c r="O35" s="64">
        <f>O27-O28-O31-O34</f>
        <v>39.53999328505971</v>
      </c>
      <c r="P35" s="64">
        <f>P27-P28-P31-P34</f>
        <v>39.061793083611505</v>
      </c>
      <c r="Q35" s="64">
        <f>Q27-Q28-Q31-Q34</f>
        <v>10.829246876119846</v>
      </c>
      <c r="R35" s="64">
        <f>R27-R28-R31-R34</f>
        <v>11.928199999999999</v>
      </c>
      <c r="S35" s="64">
        <f>S27-S28-S31-S34</f>
        <v>5.964099999999999</v>
      </c>
      <c r="T35" s="64">
        <f>T27-T28-T31-T34</f>
        <v>2.9820499999999996</v>
      </c>
      <c r="U35" s="64">
        <f>U27-U28-U31-U34</f>
        <v>1.4910249999999998</v>
      </c>
      <c r="V35" s="64">
        <f>V27-V28-V31-V34</f>
        <v>0.7455124999999999</v>
      </c>
      <c r="W35" s="64">
        <f>W27-W28-W31-W34</f>
        <v>0.37275624999999996</v>
      </c>
      <c r="X35" s="64">
        <f>X27-X28-X31-X34</f>
        <v>0.18637812499999998</v>
      </c>
      <c r="Y35" s="64">
        <f>Y27-Y28-Y31-Y34</f>
        <v>0.09318906249999999</v>
      </c>
      <c r="Z35" s="64">
        <f>Z27-Z28-Z31-Z34</f>
        <v>0.046594531249999994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PYPD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0.14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35.52</v>
      </c>
      <c r="E8" s="70">
        <f>'Yearly Model'!I2</f>
        <v>10.3</v>
      </c>
      <c r="F8" s="70">
        <f>'Yearly Model'!J2</f>
        <v>24.918</v>
      </c>
      <c r="G8" s="70">
        <f>'Yearly Model'!K2</f>
        <v>50.95</v>
      </c>
      <c r="H8" s="70">
        <f>'Yearly Model'!L2</f>
        <v>40.989999999999995</v>
      </c>
      <c r="I8" s="70">
        <f>'Yearly Model'!M2</f>
        <v>71.468</v>
      </c>
      <c r="J8" s="70">
        <f>'Yearly Model'!N2</f>
        <v>53.479600000000005</v>
      </c>
      <c r="K8" s="70">
        <f>'Yearly Model'!O2</f>
        <v>78.1104</v>
      </c>
      <c r="L8" s="70">
        <f>'Yearly Model'!P2</f>
        <v>55.48</v>
      </c>
      <c r="M8" s="70">
        <f>'Yearly Model'!Q2</f>
        <v>58.48</v>
      </c>
      <c r="N8" s="70">
        <f>'Yearly Model'!R2</f>
        <v>55.48</v>
      </c>
      <c r="O8" s="70">
        <f>'Yearly Model'!S2</f>
        <v>55.48</v>
      </c>
      <c r="P8" s="70">
        <f>'Yearly Model'!T2</f>
        <v>55.48</v>
      </c>
      <c r="Q8" s="70">
        <f>'Yearly Model'!U2</f>
        <v>55.48</v>
      </c>
      <c r="R8" s="70">
        <f>'Yearly Model'!V2</f>
        <v>27.74</v>
      </c>
      <c r="S8" s="70">
        <f>'Yearly Model'!W2</f>
        <v>13.87</v>
      </c>
      <c r="T8" s="70">
        <f>'Yearly Model'!X2</f>
        <v>6.935</v>
      </c>
      <c r="U8" s="70">
        <f>'Yearly Model'!Y2</f>
        <v>3.4675</v>
      </c>
      <c r="V8" s="70">
        <f>'Yearly Model'!Z2</f>
        <v>1.73375</v>
      </c>
      <c r="W8" s="70">
        <f>'Yearly Model'!AA2</f>
        <v>0.866875</v>
      </c>
      <c r="X8" s="70">
        <f>'Yearly Model'!AB2</f>
        <v>0.4334375</v>
      </c>
      <c r="Y8" s="70">
        <f>'Yearly Model'!AC2</f>
        <v>0.21671875</v>
      </c>
      <c r="Z8" s="70">
        <f>'Yearly Model'!AD2</f>
        <v>0.108359375</v>
      </c>
      <c r="AA8" s="70">
        <f>'Yearly Model'!AE2</f>
        <v>0.0541796875</v>
      </c>
    </row>
    <row r="9">
      <c r="A9" s="13" t="inlineStr">
        <is>
          <t>Operating income (EBIT)</t>
        </is>
      </c>
      <c r="C9" s="52">
        <f>SUM('Quarterly Model'!H8:I8)</f>
        <v>-16.6</v>
      </c>
      <c r="D9" s="70">
        <f>'Yearly Model'!H8</f>
        <v>17.340000000000003</v>
      </c>
      <c r="E9" s="70">
        <f>'Yearly Model'!I8</f>
        <v>-3.215399999999999</v>
      </c>
      <c r="F9" s="70">
        <f>'Yearly Model'!J8</f>
        <v>13.057137999999998</v>
      </c>
      <c r="G9" s="70">
        <f>'Yearly Model'!K8</f>
        <v>38.73331214</v>
      </c>
      <c r="H9" s="70">
        <f>'Yearly Model'!L8</f>
        <v>28.406811504199993</v>
      </c>
      <c r="I9" s="70">
        <f>'Yearly Model'!M8</f>
        <v>58.507315849326005</v>
      </c>
      <c r="J9" s="70">
        <f>'Yearly Model'!N8</f>
        <v>40.13009532480578</v>
      </c>
      <c r="K9" s="70">
        <f>'Yearly Model'!O8</f>
        <v>64.36041018454995</v>
      </c>
      <c r="L9" s="70">
        <f>'Yearly Model'!P8</f>
        <v>41.31751049008645</v>
      </c>
      <c r="M9" s="70">
        <f>'Yearly Model'!Q8</f>
        <v>43.89263580478904</v>
      </c>
      <c r="N9" s="70">
        <f>'Yearly Model'!R8</f>
        <v>40.45501487893271</v>
      </c>
      <c r="O9" s="70">
        <f>'Yearly Model'!S8</f>
        <v>40.004265325300686</v>
      </c>
      <c r="P9" s="70">
        <f>'Yearly Model'!T8</f>
        <v>39.53999328505971</v>
      </c>
      <c r="Q9" s="70">
        <f>'Yearly Model'!U8</f>
        <v>39.061793083611505</v>
      </c>
      <c r="R9" s="70">
        <f>'Yearly Model'!V8</f>
        <v>10.829246876119846</v>
      </c>
      <c r="S9" s="70">
        <f>'Yearly Model'!W8</f>
        <v>11.9282</v>
      </c>
      <c r="T9" s="70">
        <f>'Yearly Model'!X8</f>
        <v>5.9641</v>
      </c>
      <c r="U9" s="70">
        <f>'Yearly Model'!Y8</f>
        <v>2.98205</v>
      </c>
      <c r="V9" s="70">
        <f>'Yearly Model'!Z8</f>
        <v>1.491025</v>
      </c>
      <c r="W9" s="70">
        <f>'Yearly Model'!AA8</f>
        <v>0.7455125</v>
      </c>
      <c r="X9" s="70">
        <f>'Yearly Model'!AB8</f>
        <v>0.37275625</v>
      </c>
      <c r="Y9" s="70">
        <f>'Yearly Model'!AC8</f>
        <v>0.186378125</v>
      </c>
      <c r="Z9" s="70">
        <f>'Yearly Model'!AD8</f>
        <v>0.0931890625</v>
      </c>
      <c r="AA9" s="70">
        <f>'Yearly Model'!AE8</f>
        <v>0.04659453125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0.0</v>
      </c>
      <c r="E10" s="52">
        <f>IF(E9&gt;0,MAX(0,E9-'Yearly Model'!H21)*Assumptions!$B$15,0)</f>
        <v>0</v>
      </c>
      <c r="F10" s="52">
        <f>IF(F9&gt;0,MAX(0,F9-'Yearly Model'!I21)*Assumptions!$B$15,0)</f>
        <v>0.0</v>
      </c>
      <c r="G10" s="52">
        <f>IF(G9&gt;0,MAX(0,G9-'Yearly Model'!J21)*Assumptions!$B$15,0)</f>
        <v>0.0</v>
      </c>
      <c r="H10" s="52">
        <f>IF(H9&gt;0,MAX(0,H9-'Yearly Model'!K21)*Assumptions!$B$15,0)</f>
        <v>0.0</v>
      </c>
      <c r="I10" s="52">
        <f>IF(I9&gt;0,MAX(0,I9-'Yearly Model'!L21)*Assumptions!$B$15,0)</f>
        <v>0.0</v>
      </c>
      <c r="J10" s="52">
        <f>IF(J9&gt;0,MAX(0,J9-'Yearly Model'!M21)*Assumptions!$B$15,0)</f>
        <v>0.0</v>
      </c>
      <c r="K10" s="52">
        <f>IF(K9&gt;0,MAX(0,K9-'Yearly Model'!N21)*Assumptions!$B$15,0)</f>
        <v>0.0</v>
      </c>
      <c r="L10" s="52">
        <f>IF(L9&gt;0,MAX(0,L9-'Yearly Model'!O21)*Assumptions!$B$15,0)</f>
        <v>9.503027412719884</v>
      </c>
      <c r="M10" s="52">
        <f>IF(M9&gt;0,MAX(0,M9-'Yearly Model'!P21)*Assumptions!$B$15,0)</f>
        <v>10.095306235101479</v>
      </c>
      <c r="N10" s="52">
        <f>IF(N9&gt;0,MAX(0,N9-'Yearly Model'!Q21)*Assumptions!$B$15,0)</f>
        <v>9.304653422154523</v>
      </c>
      <c r="O10" s="52">
        <f>IF(O9&gt;0,MAX(0,O9-'Yearly Model'!R21)*Assumptions!$B$15,0)</f>
        <v>9.200981024819159</v>
      </c>
      <c r="P10" s="52">
        <f>IF(P9&gt;0,MAX(0,P9-'Yearly Model'!S21)*Assumptions!$B$15,0)</f>
        <v>9.094198455563733</v>
      </c>
      <c r="Q10" s="52">
        <f>IF(Q9&gt;0,MAX(0,Q9-'Yearly Model'!T21)*Assumptions!$B$15,0)</f>
        <v>8.984212409230647</v>
      </c>
      <c r="R10" s="52">
        <f>IF(R9&gt;0,MAX(0,R9-'Yearly Model'!U21)*Assumptions!$B$15,0)</f>
        <v>2.490726781507565</v>
      </c>
      <c r="S10" s="52">
        <f>IF(S9&gt;0,MAX(0,S9-'Yearly Model'!V21)*Assumptions!$B$15,0)</f>
        <v>2.7434860000000003</v>
      </c>
      <c r="T10" s="52">
        <f>IF(T9&gt;0,MAX(0,T9-'Yearly Model'!W21)*Assumptions!$B$15,0)</f>
        <v>1.3717430000000002</v>
      </c>
      <c r="U10" s="52">
        <f>IF(U9&gt;0,MAX(0,U9-'Yearly Model'!X21)*Assumptions!$B$15,0)</f>
        <v>0.6858715000000001</v>
      </c>
      <c r="V10" s="52">
        <f>IF(V9&gt;0,MAX(0,V9-'Yearly Model'!Y21)*Assumptions!$B$15,0)</f>
        <v>0.34293575000000004</v>
      </c>
      <c r="W10" s="52">
        <f>IF(W9&gt;0,MAX(0,W9-'Yearly Model'!Z21)*Assumptions!$B$15,0)</f>
        <v>0.17146787500000002</v>
      </c>
      <c r="X10" s="52">
        <f>IF(X9&gt;0,MAX(0,X9-'Yearly Model'!AA21)*Assumptions!$B$15,0)</f>
        <v>0.08573393750000001</v>
      </c>
      <c r="Y10" s="52">
        <f>IF(Y9&gt;0,MAX(0,Y9-'Yearly Model'!AB21)*Assumptions!$B$15,0)</f>
        <v>0.042866968750000005</v>
      </c>
      <c r="Z10" s="52">
        <f>IF(Z9&gt;0,MAX(0,Z9-'Yearly Model'!AC21)*Assumptions!$B$15,0)</f>
        <v>0.021433484375000002</v>
      </c>
      <c r="AA10" s="52">
        <f>IF(AA9&gt;0,MAX(0,AA9-'Yearly Model'!AD21)*Assumptions!$B$15,0)</f>
        <v>0.010716742187500001</v>
      </c>
    </row>
    <row r="11">
      <c r="A11" s="23" t="inlineStr">
        <is>
          <t>Unlevered free cash flow</t>
        </is>
      </c>
      <c r="C11" s="56">
        <f>C9-C10</f>
        <v>-16.6</v>
      </c>
      <c r="D11" s="56">
        <f>D9-D10</f>
        <v>17.340000000000003</v>
      </c>
      <c r="E11" s="56">
        <f>E9-E10</f>
        <v>-3.215399999999999</v>
      </c>
      <c r="F11" s="56">
        <f>F9-F10</f>
        <v>13.057137999999998</v>
      </c>
      <c r="G11" s="56">
        <f>G9-G10</f>
        <v>38.73331214</v>
      </c>
      <c r="H11" s="56">
        <f>H9-H10</f>
        <v>28.406811504199993</v>
      </c>
      <c r="I11" s="56">
        <f>I9-I10</f>
        <v>58.507315849326005</v>
      </c>
      <c r="J11" s="56">
        <f>J9-J10</f>
        <v>40.13009532480578</v>
      </c>
      <c r="K11" s="56">
        <f>K9-K10</f>
        <v>64.36041018454995</v>
      </c>
      <c r="L11" s="56">
        <f>L9-L10</f>
        <v>31.814483077366564</v>
      </c>
      <c r="M11" s="56">
        <f>M9-M10</f>
        <v>33.79732956968756</v>
      </c>
      <c r="N11" s="56">
        <f>N9-N10</f>
        <v>31.150361456778185</v>
      </c>
      <c r="O11" s="56">
        <f>O9-O10</f>
        <v>30.80328430048153</v>
      </c>
      <c r="P11" s="56">
        <f>P9-P10</f>
        <v>30.445794829495973</v>
      </c>
      <c r="Q11" s="56">
        <f>Q9-Q10</f>
        <v>30.077580674380858</v>
      </c>
      <c r="R11" s="56">
        <f>R9-R10</f>
        <v>8.338520094612281</v>
      </c>
      <c r="S11" s="56">
        <f>S9-S10</f>
        <v>9.184714</v>
      </c>
      <c r="T11" s="56">
        <f>T9-T10</f>
        <v>4.592357</v>
      </c>
      <c r="U11" s="56">
        <f>U9-U10</f>
        <v>2.2961785</v>
      </c>
      <c r="V11" s="56">
        <f>V9-V10</f>
        <v>1.14808925</v>
      </c>
      <c r="W11" s="56">
        <f>W9-W10</f>
        <v>0.574044625</v>
      </c>
      <c r="X11" s="56">
        <f>X9-X10</f>
        <v>0.2870223125</v>
      </c>
      <c r="Y11" s="56">
        <f>Y9-Y10</f>
        <v>0.14351115625</v>
      </c>
      <c r="Z11" s="56">
        <f>Z9-Z10</f>
        <v>0.071755578125</v>
      </c>
      <c r="AA11" s="56">
        <f>AA9-AA10</f>
        <v>0.0358777890625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0.9116001249969589</v>
      </c>
      <c r="E14" s="72">
        <f>1/(1+$B$5)^E13</f>
        <v>0.7994341142695915</v>
      </c>
      <c r="F14" s="72">
        <f>1/(1+$B$5)^F13</f>
        <v>0.7013208893860509</v>
      </c>
      <c r="G14" s="72">
        <f>1/(1+$B$5)^G13</f>
        <v>0.6152489381049548</v>
      </c>
      <c r="H14" s="72">
        <f>1/(1+$B$5)^H13</f>
        <v>0.5397404548588988</v>
      </c>
      <c r="I14" s="72">
        <f>1/(1+$B$5)^I13</f>
        <v>0.4733291721159315</v>
      </c>
      <c r="J14" s="72">
        <f>1/(1+$B$5)^J13</f>
        <v>0.4152382667132009</v>
      </c>
      <c r="K14" s="72">
        <f>1/(1+$B$5)^K13</f>
        <v>0.36427676192489616</v>
      </c>
      <c r="L14" s="72">
        <f>1/(1+$B$5)^L13</f>
        <v>0.31956967822076904</v>
      </c>
      <c r="M14" s="72">
        <f>1/(1+$B$5)^M13</f>
        <v>0.28024886751380285</v>
      </c>
      <c r="N14" s="72">
        <f>1/(1+$B$5)^N13</f>
        <v>0.24585438813026872</v>
      </c>
      <c r="O14" s="72">
        <f>1/(1+$B$5)^O13</f>
        <v>0.215681086240007</v>
      </c>
      <c r="P14" s="72">
        <f>1/(1+$B$5)^P13</f>
        <v>0.1892109037200551</v>
      </c>
      <c r="Q14" s="72">
        <f>1/(1+$B$5)^Q13</f>
        <v>0.16592982721025387</v>
      </c>
      <c r="R14" s="72">
        <f>1/(1+$B$5)^R13</f>
        <v>0.1455655343168477</v>
      </c>
      <c r="S14" s="72">
        <f>1/(1+$B$5)^S13</f>
        <v>0.1277005173644871</v>
      </c>
      <c r="T14" s="72">
        <f>1/(1+$B$5)^T13</f>
        <v>0.11202804435603445</v>
      </c>
      <c r="U14" s="72">
        <f>1/(1+$B$5)^U13</f>
        <v>0.09824377811863472</v>
      </c>
      <c r="V14" s="72">
        <f>1/(1+$B$5)^V13</f>
        <v>0.08618648193385901</v>
      </c>
      <c r="W14" s="72">
        <f>1/(1+$B$5)^W13</f>
        <v>0.07560895774148223</v>
      </c>
      <c r="X14" s="72">
        <f>1/(1+$B$5)^X13</f>
        <v>0.06632959557556077</v>
      </c>
      <c r="Y14" s="72">
        <f>1/(1+$B$5)^Y13</f>
        <v>0.05816820339837659</v>
      </c>
      <c r="Z14" s="72">
        <f>1/(1+$B$5)^Z13</f>
        <v>0.05102931612896006</v>
      </c>
      <c r="AA14" s="72">
        <f>1/(1+$B$5)^AA13</f>
        <v>0.04476657267124773</v>
      </c>
    </row>
    <row r="15">
      <c r="A15" s="23" t="inlineStr">
        <is>
          <t>PV of free cash flow</t>
        </is>
      </c>
      <c r="C15" s="56">
        <f>C11*C14</f>
        <v>-16.6</v>
      </c>
      <c r="D15" s="56">
        <f>D11*D14</f>
        <v>15.80714616744727</v>
      </c>
      <c r="E15" s="56">
        <f>E11*E14</f>
        <v>-2.570500451022444</v>
      </c>
      <c r="F15" s="56">
        <f>F11*F14</f>
        <v>9.1572436349964</v>
      </c>
      <c r="G15" s="56">
        <f>G11*G14</f>
        <v>23.830629163422756</v>
      </c>
      <c r="H15" s="56">
        <f>H11*H14</f>
        <v>15.332305362367903</v>
      </c>
      <c r="I15" s="56">
        <f>I11*I14</f>
        <v>27.693219373686794</v>
      </c>
      <c r="J15" s="56">
        <f>J11*J14</f>
        <v>16.66355122570788</v>
      </c>
      <c r="K15" s="56">
        <f>K11*K14</f>
        <v>23.445001818185965</v>
      </c>
      <c r="L15" s="56">
        <f>L11*L14</f>
        <v>10.166944119794135</v>
      </c>
      <c r="M15" s="56">
        <f>M11*M14</f>
        <v>9.4716633368957</v>
      </c>
      <c r="N15" s="56">
        <f>N11*N14</f>
        <v>7.658453055992907</v>
      </c>
      <c r="O15" s="56">
        <f>O11*O14</f>
        <v>6.643685817687611</v>
      </c>
      <c r="P15" s="56">
        <f>P11*P14</f>
        <v>5.760676354164314</v>
      </c>
      <c r="Q15" s="56">
        <f>Q11*Q14</f>
        <v>4.990767764202487</v>
      </c>
      <c r="R15" s="56">
        <f>R11*R14</f>
        <v>1.2138011329840084</v>
      </c>
      <c r="S15" s="56">
        <f>S11*S14</f>
        <v>1.1728927296448477</v>
      </c>
      <c r="T15" s="56">
        <f>T11*T14</f>
        <v>0.5144727736947452</v>
      </c>
      <c r="U15" s="56">
        <f>U11*U14</f>
        <v>0.22558525107477947</v>
      </c>
      <c r="V15" s="56">
        <f>V11*V14</f>
        <v>0.09894977340358274</v>
      </c>
      <c r="W15" s="56">
        <f>W11*W14</f>
        <v>0.04340291579335001</v>
      </c>
      <c r="X15" s="56">
        <f>X11*X14</f>
        <v>0.01903807390928722</v>
      </c>
      <c r="Y15" s="56">
        <f>Y11*Y14</f>
        <v>0.008347786126686204</v>
      </c>
      <c r="Z15" s="56">
        <f>Z11*Z14</f>
        <v>0.0036616380801569163</v>
      </c>
      <c r="AA15" s="56">
        <f>AA11*AA14</f>
        <v>0.001606125651350103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160.75254494389247</v>
      </c>
    </row>
    <row r="19">
      <c r="A19" s="13" t="inlineStr">
        <is>
          <t>Cash &amp; investments (Main; incl. post-quarter financing)</t>
        </is>
      </c>
      <c r="C19" s="70">
        <f>Main!C7</f>
        <v>36.563</v>
      </c>
    </row>
    <row r="20">
      <c r="A20" s="13" t="inlineStr">
        <is>
          <t>Debt, convertibles &amp; preferred at face (Main)</t>
        </is>
      </c>
      <c r="C20" s="70">
        <f>Main!C8</f>
        <v>0</v>
      </c>
    </row>
    <row r="21">
      <c r="A21" s="13" t="inlineStr">
        <is>
          <t>Equity value, all claims treated as debt</t>
        </is>
      </c>
      <c r="C21" s="52">
        <f>C18+C19-C20</f>
        <v>197.31554494389246</v>
      </c>
    </row>
    <row r="22">
      <c r="A22" s="13" t="inlineStr">
        <is>
          <t>Basic shares incl. pre-funded / as-converted (Main)</t>
        </is>
      </c>
      <c r="C22" s="73">
        <f>Main!C4</f>
        <v>23.140085</v>
      </c>
    </row>
    <row r="23">
      <c r="A23" s="13" t="inlineStr">
        <is>
          <t>Value / share before conversions</t>
        </is>
      </c>
      <c r="C23" s="53">
        <f>C21/C22</f>
        <v>8.527001735036517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197.31554494389246</v>
      </c>
    </row>
    <row r="32">
      <c r="A32" s="13" t="inlineStr">
        <is>
          <t>Shares after conversions (mm)</t>
        </is>
      </c>
      <c r="C32" s="18">
        <f>C22+SUMPRODUCT(C26:C30,E26:E30)</f>
        <v>23.140085</v>
      </c>
    </row>
    <row r="33">
      <c r="A33" s="13" t="inlineStr">
        <is>
          <t>Value / share before options &amp; warrants</t>
        </is>
      </c>
      <c r="C33" s="53">
        <f>C31/C32</f>
        <v>8.527001735036517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New warrants</t>
        </is>
      </c>
      <c r="B36" s="75" t="n">
        <v>7.289644</v>
      </c>
      <c r="C36" s="76" t="n">
        <v>4.5</v>
      </c>
      <c r="D36" s="72">
        <f>IF(AND(B36&gt;0,$C$33&gt;C36),B36*(1-C36/$C$33),0)</f>
        <v>3.4426413818095494</v>
      </c>
    </row>
    <row r="37">
      <c r="A37" s="13" t="inlineStr">
        <is>
          <t>Options (estimate)</t>
        </is>
      </c>
      <c r="B37" s="75" t="n">
        <v>2.5</v>
      </c>
      <c r="C37" s="76" t="n">
        <v>4</v>
      </c>
      <c r="D37" s="72">
        <f>IF(AND(B37&gt;0,$C$33&gt;C37),B37*(1-C37/$C$33),0)</f>
        <v>1.3272548416507184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27.909981223460267</v>
      </c>
    </row>
    <row r="43">
      <c r="A43" s="23" t="inlineStr">
        <is>
          <t>rNPV / share, diluted</t>
        </is>
      </c>
      <c r="C43" s="77">
        <f>C31/C42</f>
        <v>7.069712564981416</v>
      </c>
    </row>
    <row r="44">
      <c r="A44" s="13" t="inlineStr">
        <is>
          <t>Current price (Main)</t>
        </is>
      </c>
      <c r="C44" s="78">
        <f>Main!C3</f>
        <v>5.15</v>
      </c>
    </row>
    <row r="45">
      <c r="A45" s="23" t="inlineStr">
        <is>
          <t>Upside / (downside) to rNPV</t>
        </is>
      </c>
      <c r="C45" s="58">
        <f>C43/C44-1</f>
        <v>0.37275972135561464</v>
      </c>
    </row>
    <row r="46">
      <c r="A46" s="13" t="inlineStr">
        <is>
          <t>Net cash / share</t>
        </is>
      </c>
      <c r="C46" s="53">
        <f>(C19-C20)/C22</f>
        <v>1.580071983313804</v>
      </c>
    </row>
    <row r="47">
      <c r="A47" s="13" t="inlineStr">
        <is>
          <t>Est. cash &amp; investments at 12/31/2026</t>
        </is>
      </c>
      <c r="C47" s="70">
        <f>'Quarterly Model'!I20</f>
        <v>20.291008076171877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0.5311565655948056</v>
      </c>
    </row>
    <row r="49">
      <c r="A49" s="13" t="inlineStr">
        <is>
          <t>Market-implied value of pipeline (market cap − net cash)</t>
        </is>
      </c>
      <c r="C49" s="52">
        <f>Main!C5-(C19-C20)</f>
        <v>82.60843775000001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D-PLEX100 — U.S./Canada via Azurity (royalty + supply)</t>
        </is>
      </c>
      <c r="B52" s="52">
        <f>SUMPRODUCT(Pipeline!C14:Z14,$D$14:$AA$14)</f>
        <v>226.41838269932612</v>
      </c>
      <c r="C52" s="53">
        <f>B52/$C$42</f>
        <v>8.112451989362352</v>
      </c>
    </row>
    <row r="53">
      <c r="A53" s="13" t="inlineStr">
        <is>
          <t>D-PLEX100 — Europe &amp; RoW (partner to be found)</t>
        </is>
      </c>
      <c r="B53" s="52">
        <f>SUMPRODUCT(Pipeline!C24:Z24,$D$14:$AA$14)</f>
        <v>48.26955826524501</v>
      </c>
      <c r="C53" s="53">
        <f>B53/$C$42</f>
        <v>1.7294729752333589</v>
      </c>
    </row>
    <row r="54">
      <c r="A54" s="13" t="inlineStr">
        <is>
          <t>Corporate G&amp;A + platform R&amp;D (2027+)</t>
        </is>
      </c>
      <c r="B54" s="52">
        <f>-SUMPRODUCT(Pipeline!C30:Z30,$D$14:$AA$14)-SUMPRODUCT(Pipeline!C33:Z33,$D$14:$AA$14)</f>
        <v>-82.99954122938908</v>
      </c>
      <c r="C54" s="53">
        <f>B54/$C$42</f>
        <v>-2.9738300633331214</v>
      </c>
    </row>
    <row r="55">
      <c r="A55" s="13" t="inlineStr">
        <is>
          <t>2H 2026 operating result</t>
        </is>
      </c>
      <c r="B55" s="52">
        <f>C11*C14</f>
        <v>-16.6</v>
      </c>
      <c r="C55" s="53">
        <f>B55/$C$42</f>
        <v>-0.5947693001687352</v>
      </c>
    </row>
    <row r="56">
      <c r="A56" s="13" t="inlineStr">
        <is>
          <t>Taxes</t>
        </is>
      </c>
      <c r="B56" s="52">
        <f>-SUMPRODUCT(D10:AA10,D14:AA14)</f>
        <v>-14.335854791289597</v>
      </c>
      <c r="C56" s="53">
        <f>B56/$C$42</f>
        <v>-0.513646163947947</v>
      </c>
    </row>
    <row r="57">
      <c r="A57" s="13" t="inlineStr">
        <is>
          <t>Net cash (cash − all claims at face)</t>
        </is>
      </c>
      <c r="B57" s="52">
        <f>C19-C20</f>
        <v>36.563</v>
      </c>
      <c r="C57" s="53">
        <f>B57/$C$42</f>
        <v>1.3100331278355097</v>
      </c>
    </row>
    <row r="58">
      <c r="A58" s="13" t="inlineStr">
        <is>
          <t>Add back converted claims</t>
        </is>
      </c>
      <c r="B58" s="52">
        <f>SUMPRODUCT(B26:B30,E26:E30)</f>
        <v>0.0</v>
      </c>
      <c r="C58" s="53">
        <f>B58/$C$42</f>
        <v>0.0</v>
      </c>
    </row>
    <row r="59">
      <c r="A59" s="23" t="inlineStr">
        <is>
          <t>Equity value</t>
        </is>
      </c>
      <c r="B59" s="64">
        <f>SUM(B52:B58)</f>
        <v>197.31554494389246</v>
      </c>
      <c r="C59" s="80">
        <f>B59/$C$42</f>
        <v>7.069712564981416</v>
      </c>
    </row>
    <row r="60">
      <c r="A60" s="25" t="inlineStr">
        <is>
          <t>Check vs. equity value above (should be 0)</t>
        </is>
      </c>
      <c r="B60" s="81">
        <f>ROUND(B59-C31,6)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PYPD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4.72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46354</v>
      </c>
    </row>
    <row r="7">
      <c r="A7" s="13" t="inlineStr">
        <is>
          <t>Expiry (first monthly after the PDUFA date)</t>
        </is>
      </c>
      <c r="B7" s="82">
        <f>DATE(2026,12,18)</f>
        <v>46374</v>
      </c>
    </row>
    <row r="8">
      <c r="A8" s="13" t="inlineStr">
        <is>
          <t>Years to expiry (T)</t>
        </is>
      </c>
      <c r="B8" s="72">
        <f>(B7-B5)/365</f>
        <v>0.1726027397260274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1.05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7.069712564981416</v>
      </c>
    </row>
    <row r="15">
      <c r="A15" s="13" t="inlineStr">
        <is>
          <t>Model value / share if approved</t>
        </is>
      </c>
      <c r="B15" s="78">
        <f>Assumptions!$D$94</f>
        <v>7.46732439280706</v>
      </c>
    </row>
    <row r="16">
      <c r="A16" s="13" t="inlineStr">
        <is>
          <t>Model value / share if CRL</t>
        </is>
      </c>
      <c r="B16" s="78">
        <f>Assumptions!$D$93</f>
        <v>5.381269660919994</v>
      </c>
    </row>
    <row r="17">
      <c r="A17" s="13" t="inlineStr">
        <is>
          <t>Model probability of approval</t>
        </is>
      </c>
      <c r="B17" s="67">
        <f>Assumptions!$B$32</f>
        <v>0.8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0.43843849484934644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4.985460272972494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3.5927334479416895</v>
      </c>
    </row>
    <row r="23">
      <c r="A23" s="13" t="inlineStr">
        <is>
          <t>Model expected price after the decision</t>
        </is>
      </c>
      <c r="B23" s="53">
        <f>B17*B21+(1-B17)*B22</f>
        <v>4.7069149079663335</v>
      </c>
    </row>
    <row r="24">
      <c r="A24" s="13" t="inlineStr">
        <is>
          <t>Non-event volatility (6-month realized, 3 largest days removed)</t>
        </is>
      </c>
      <c r="B24" s="26" t="n">
        <v>0.498</v>
      </c>
    </row>
    <row r="25">
      <c r="A25" s="13" t="inlineStr">
        <is>
          <t>Model fair ATM straddle, % of spot (jump + non-event volatility)</t>
        </is>
      </c>
      <c r="B25" s="58">
        <f>(B17*((B21*NORMSDIST(((LN(B21/5.0)+$B$24^2*$B$8/2)/($B$24*SQRT($B$8))))-5.0*NORMSDIST((((LN(B21/5.0)+$B$24^2*$B$8/2)/($B$24*SQRT($B$8)))-$B$24*SQRT($B$8))))+(5.0*NORMSDIST(-(((LN(B21/5.0)+$B$24^2*$B$8/2)/($B$24*SQRT($B$8)))-$B$24*SQRT($B$8)))-B21*NORMSDIST(-((LN(B21/5.0)+$B$24^2*$B$8/2)/($B$24*SQRT($B$8))))))+(1-B17)*((B22*NORMSDIST(((LN(B22/5.0)+$B$24^2*$B$8/2)/($B$24*SQRT($B$8))))-5.0*NORMSDIST((((LN(B22/5.0)+$B$24^2*$B$8/2)/($B$24*SQRT($B$8)))-$B$24*SQRT($B$8))))+(5.0*NORMSDIST(-(((LN(B22/5.0)+$B$24^2*$B$8/2)/($B$24*SQRT($B$8)))-$B$24*SQRT($B$8)))-B22*NORMSDIST(-((LN(B22/5.0)+$B$24^2*$B$8/2)/($B$24*SQRT($B$8)))))))/B4</f>
        <v>0.20081986901936022</v>
      </c>
    </row>
    <row r="26">
      <c r="A26" s="13" t="inlineStr">
        <is>
          <t>Market ATM straddle, % of spot</t>
        </is>
      </c>
      <c r="B26" s="58">
        <f>($G$37+$G$38)/B4</f>
        <v>0.3566574885622489</v>
      </c>
    </row>
    <row r="27">
      <c r="A27" s="23" t="inlineStr">
        <is>
          <t>Options richness (market straddle ÷ model straddle)</t>
        </is>
      </c>
      <c r="B27" s="85">
        <f>B26/B25</f>
        <v>1.7760069773168958</v>
      </c>
    </row>
    <row r="28">
      <c r="A28" s="30" t="inlineStr">
        <is>
          <t>Market snapshot — 12/18/2026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2.5</v>
      </c>
      <c r="B30" s="76" t="n">
        <v>1.15</v>
      </c>
      <c r="C30" s="76" t="n">
        <v>3.7</v>
      </c>
      <c r="D30" s="53">
        <f>(B30+C30)/2</f>
        <v>2.425</v>
      </c>
      <c r="E30" s="83" t="n">
        <v>1.2023</v>
      </c>
      <c r="F30" s="76" t="n">
        <v>0</v>
      </c>
      <c r="G30" s="76" t="n">
        <v>1.85</v>
      </c>
      <c r="H30" s="53">
        <f>(F30+G30)/2</f>
        <v>0.925</v>
      </c>
      <c r="I30" s="83" t="n">
        <v>3.4737</v>
      </c>
      <c r="J30" s="87" t="n">
        <v>0</v>
      </c>
      <c r="K30" s="87" t="n">
        <v>0</v>
      </c>
    </row>
    <row r="31">
      <c r="A31" s="86" t="n">
        <v>5</v>
      </c>
      <c r="B31" s="76" t="n">
        <v>0.3</v>
      </c>
      <c r="C31" s="76" t="n">
        <v>1.25</v>
      </c>
      <c r="D31" s="53">
        <f>(B31+C31)/2</f>
        <v>0.775</v>
      </c>
      <c r="E31" s="83" t="n">
        <v>1.038</v>
      </c>
      <c r="F31" s="76" t="n">
        <v>0.05</v>
      </c>
      <c r="G31" s="76" t="n">
        <v>1.85</v>
      </c>
      <c r="H31" s="53">
        <f>(F31+G31)/2</f>
        <v>0.9500000000000001</v>
      </c>
      <c r="I31" s="83" t="n">
        <v>1.0864</v>
      </c>
      <c r="J31" s="87" t="n">
        <v>1</v>
      </c>
      <c r="K31" s="87" t="n">
        <v>0</v>
      </c>
    </row>
    <row r="32">
      <c r="A32" s="86" t="n">
        <v>7.5</v>
      </c>
      <c r="B32" s="76" t="n">
        <v>0</v>
      </c>
      <c r="C32" s="76" t="n">
        <v>1.85</v>
      </c>
      <c r="D32" s="53">
        <f>(B32+C32)/2</f>
        <v>0.925</v>
      </c>
      <c r="E32" s="83" t="n">
        <v>2.0111</v>
      </c>
      <c r="F32" s="76" t="n">
        <v>2.2</v>
      </c>
      <c r="G32" s="76" t="n">
        <v>3.5</v>
      </c>
      <c r="H32" s="53">
        <f>(F32+G32)/2</f>
        <v>2.85</v>
      </c>
      <c r="I32" s="83" t="n">
        <v>1.0073</v>
      </c>
      <c r="J32" s="87" t="n">
        <v>0</v>
      </c>
      <c r="K32" s="87" t="n">
        <v>0</v>
      </c>
    </row>
    <row r="33">
      <c r="A33" s="86" t="n">
        <v>10</v>
      </c>
      <c r="B33" s="76" t="n">
        <v>0</v>
      </c>
      <c r="C33" s="76" t="n">
        <v>1.85</v>
      </c>
      <c r="D33" s="53">
        <f>(B33+C33)/2</f>
        <v>0.925</v>
      </c>
      <c r="E33" s="83" t="n">
        <v>2.4475</v>
      </c>
      <c r="F33" s="76" t="n">
        <v>4.3</v>
      </c>
      <c r="G33" s="76" t="n">
        <v>6.7</v>
      </c>
      <c r="H33" s="53">
        <f>(F33+G33)/2</f>
        <v>5.5</v>
      </c>
      <c r="I33" s="83" t="n">
        <v>1.6788</v>
      </c>
      <c r="J33" s="87" t="n">
        <v>0</v>
      </c>
      <c r="K33" s="87" t="n">
        <v>0</v>
      </c>
    </row>
    <row r="35">
      <c r="A35" s="30" t="inlineStr">
        <is>
          <t>Legs (premium = mid when the market is tight, else Black-Scholes at the reference IV)</t>
        </is>
      </c>
    </row>
    <row r="36">
      <c r="A36" s="29" t="inlineStr">
        <is>
          <t>Leg</t>
        </is>
      </c>
      <c r="B36" s="29" t="inlineStr">
        <is>
          <t>Type</t>
        </is>
      </c>
      <c r="C36" s="29" t="inlineStr">
        <is>
          <t>Strike</t>
        </is>
      </c>
      <c r="D36" s="29" t="inlineStr">
        <is>
          <t>Mid</t>
        </is>
      </c>
      <c r="E36" s="29" t="inlineStr">
        <is>
          <t>Spread % of mid</t>
        </is>
      </c>
      <c r="F36" s="29" t="inlineStr">
        <is>
          <t>BS value</t>
        </is>
      </c>
      <c r="G36" s="29" t="inlineStr">
        <is>
          <t>Premium used</t>
        </is>
      </c>
      <c r="H36" s="29" t="inlineStr">
        <is>
          <t>Source</t>
        </is>
      </c>
      <c r="I36" s="29" t="inlineStr">
        <is>
          <t>d1</t>
        </is>
      </c>
      <c r="J36" s="29" t="inlineStr">
        <is>
          <t>Delta</t>
        </is>
      </c>
      <c r="K36" s="29" t="inlineStr">
        <is>
          <t>E[payoff] if approved</t>
        </is>
      </c>
      <c r="L36" s="29" t="inlineStr">
        <is>
          <t>E[payoff] if CRL</t>
        </is>
      </c>
    </row>
    <row r="37">
      <c r="A37" s="13" t="inlineStr">
        <is>
          <t>Dec-26 $5 call</t>
        </is>
      </c>
      <c r="B37" s="88" t="inlineStr">
        <is>
          <t>C</t>
        </is>
      </c>
      <c r="C37" s="11">
        <f>A31</f>
        <v>5</v>
      </c>
      <c r="D37" s="53">
        <f>(B31+C31)/2</f>
        <v>0.775</v>
      </c>
      <c r="E37" s="55">
        <f>IF(B31&gt;0,(C31-B31)/D37,9.99)</f>
        <v>1.225806451612903</v>
      </c>
      <c r="F37" s="53">
        <f>IF(B37="C",$B$4*NORMSDIST((LN($B$4/C37)+($B$9+$B$10^2/2)*$B$8)/($B$10*SQRT($B$8)))-C37*EXP(-$B$9*$B$8)*NORMSDIST((LN($B$4/C37)+($B$9+$B$10^2/2)*$B$8)/($B$10*SQRT($B$8))-$B$10*SQRT($B$8)),C37*EXP(-$B$9*$B$8)*NORMSDIST(-((LN($B$4/C37)+($B$9+$B$10^2/2)*$B$8)/($B$10*SQRT($B$8))-$B$10*SQRT($B$8)))-$B$4*NORMSDIST(-(LN($B$4/C37)+($B$9+$B$10^2/2)*$B$8)/($B$10*SQRT($B$8))))</f>
        <v>0.7189125004551034</v>
      </c>
      <c r="G37" s="57">
        <f>IF(AND(B31&gt;0,E37&lt;=0.6),D37,F37)</f>
        <v>0.7189125004551034</v>
      </c>
      <c r="H37" s="51" t="str">
        <f>IF(AND(B31&gt;0,E37&lt;=0.6),"market","theo")</f>
        <v>theo</v>
      </c>
      <c r="I37" s="72">
        <f>(LN($B$4/C37)+($B$9+$B$10^2/2)*$B$8)/($B$10*SQRT($B$8))</f>
        <v>0.10183275163219142</v>
      </c>
      <c r="J37" s="11">
        <f>IF(B37="C",NORMSDIST(I37),NORMSDIST(I37)-1)</f>
        <v>0.5405552856354096</v>
      </c>
      <c r="K37" s="53">
        <f>IF(B37="C",($B$21*NORMSDIST(((LN($B$21/C37)+$B$24^2*$B$8/2)/($B$24*SQRT($B$8))))-C37*NORMSDIST((((LN($B$21/C37)+$B$24^2*$B$8/2)/($B$24*SQRT($B$8)))-$B$24*SQRT($B$8)))),(C37*NORMSDIST(-(((LN($B$21/C37)+$B$24^2*$B$8/2)/($B$24*SQRT($B$8)))-$B$24*SQRT($B$8)))-$B$21*NORMSDIST(-((LN($B$21/C37)+$B$24^2*$B$8/2)/($B$24*SQRT($B$8))))))</f>
        <v>0.40413569757755763</v>
      </c>
      <c r="L37" s="53">
        <f>IF(B37="C",($B$22*NORMSDIST(((LN($B$22/C37)+$B$24^2*$B$8/2)/($B$24*SQRT($B$8))))-C37*NORMSDIST((((LN($B$22/C37)+$B$24^2*$B$8/2)/($B$24*SQRT($B$8)))-$B$24*SQRT($B$8)))),(C37*NORMSDIST(-(((LN($B$22/C37)+$B$24^2*$B$8/2)/($B$24*SQRT($B$8)))-$B$24*SQRT($B$8)))-$B$22*NORMSDIST(-((LN($B$22/C37)+$B$24^2*$B$8/2)/($B$24*SQRT($B$8))))))</f>
        <v>0.020418934034052788</v>
      </c>
    </row>
    <row r="38">
      <c r="A38" s="13" t="inlineStr">
        <is>
          <t>Dec-26 $5 put</t>
        </is>
      </c>
      <c r="B38" s="88" t="inlineStr">
        <is>
          <t>P</t>
        </is>
      </c>
      <c r="C38" s="11">
        <f>A31</f>
        <v>5</v>
      </c>
      <c r="D38" s="53">
        <f>(F31+G31)/2</f>
        <v>0.9500000000000001</v>
      </c>
      <c r="E38" s="55">
        <f>IF(F31&gt;0,(G31-F31)/D38,9.99)</f>
        <v>1.894736842105263</v>
      </c>
      <c r="F38" s="53">
        <f>IF(B38="C",$B$4*NORMSDIST((LN($B$4/C38)+($B$9+$B$10^2/2)*$B$8)/($B$10*SQRT($B$8)))-C38*EXP(-$B$9*$B$8)*NORMSDIST((LN($B$4/C38)+($B$9+$B$10^2/2)*$B$8)/($B$10*SQRT($B$8))-$B$10*SQRT($B$8)),C38*EXP(-$B$9*$B$8)*NORMSDIST(-((LN($B$4/C38)+($B$9+$B$10^2/2)*$B$8)/($B$10*SQRT($B$8))-$B$10*SQRT($B$8)))-$B$4*NORMSDIST(-(LN($B$4/C38)+($B$9+$B$10^2/2)*$B$8)/($B$10*SQRT($B$8))))</f>
        <v>0.9645108455587112</v>
      </c>
      <c r="G38" s="57">
        <f>IF(AND(F31&gt;0,E38&lt;=0.6),D38,F38)</f>
        <v>0.9645108455587112</v>
      </c>
      <c r="H38" s="51" t="str">
        <f>IF(AND(F31&gt;0,E38&lt;=0.6),"market","theo")</f>
        <v>theo</v>
      </c>
      <c r="I38" s="72">
        <f>(LN($B$4/C38)+($B$9+$B$10^2/2)*$B$8)/($B$10*SQRT($B$8))</f>
        <v>0.10183275163219142</v>
      </c>
      <c r="J38" s="11">
        <f>IF(B38="C",NORMSDIST(I38),NORMSDIST(I38)-1)</f>
        <v>-0.45944471436459045</v>
      </c>
      <c r="K38" s="53">
        <f>IF(B38="C",($B$21*NORMSDIST(((LN($B$21/C38)+$B$24^2*$B$8/2)/($B$24*SQRT($B$8))))-C38*NORMSDIST((((LN($B$21/C38)+$B$24^2*$B$8/2)/($B$24*SQRT($B$8)))-$B$24*SQRT($B$8)))),(C38*NORMSDIST(-(((LN($B$21/C38)+$B$24^2*$B$8/2)/($B$24*SQRT($B$8)))-$B$24*SQRT($B$8)))-$B$21*NORMSDIST(-((LN($B$21/C38)+$B$24^2*$B$8/2)/($B$24*SQRT($B$8))))))</f>
        <v>0.41867542460506346</v>
      </c>
      <c r="L38" s="53">
        <f>IF(B38="C",($B$22*NORMSDIST(((LN($B$22/C38)+$B$24^2*$B$8/2)/($B$24*SQRT($B$8))))-C38*NORMSDIST((((LN($B$22/C38)+$B$24^2*$B$8/2)/($B$24*SQRT($B$8)))-$B$24*SQRT($B$8)))),(C38*NORMSDIST(-(((LN($B$22/C38)+$B$24^2*$B$8/2)/($B$24*SQRT($B$8)))-$B$24*SQRT($B$8)))-$B$22*NORMSDIST(-((LN($B$22/C38)+$B$24^2*$B$8/2)/($B$24*SQRT($B$8))))))</f>
        <v>1.4276854860923636</v>
      </c>
    </row>
    <row r="39">
      <c r="A39" s="13" t="inlineStr">
        <is>
          <t>Dec-26 $7.50 call</t>
        </is>
      </c>
      <c r="B39" s="88" t="inlineStr">
        <is>
          <t>C</t>
        </is>
      </c>
      <c r="C39" s="11">
        <f>A32</f>
        <v>7.5</v>
      </c>
      <c r="D39" s="53">
        <f>(B32+C32)/2</f>
        <v>0.925</v>
      </c>
      <c r="E39" s="55">
        <f>IF(B32&gt;0,(C32-B32)/D39,9.99)</f>
        <v>9.99</v>
      </c>
      <c r="F39" s="53">
        <f>IF(B39="C",$B$4*NORMSDIST((LN($B$4/C39)+($B$9+$B$10^2/2)*$B$8)/($B$10*SQRT($B$8)))-C39*EXP(-$B$9*$B$8)*NORMSDIST((LN($B$4/C39)+($B$9+$B$10^2/2)*$B$8)/($B$10*SQRT($B$8))-$B$10*SQRT($B$8)),C39*EXP(-$B$9*$B$8)*NORMSDIST(-((LN($B$4/C39)+($B$9+$B$10^2/2)*$B$8)/($B$10*SQRT($B$8))-$B$10*SQRT($B$8)))-$B$4*NORMSDIST(-(LN($B$4/C39)+($B$9+$B$10^2/2)*$B$8)/($B$10*SQRT($B$8))))</f>
        <v>0.19436499960128706</v>
      </c>
      <c r="G39" s="57">
        <f>IF(AND(B32&gt;0,E39&lt;=0.6),D39,F39)</f>
        <v>0.19436499960128706</v>
      </c>
      <c r="H39" s="51" t="str">
        <f>IF(AND(B32&gt;0,E39&lt;=0.6),"market","theo")</f>
        <v>theo</v>
      </c>
      <c r="I39" s="72">
        <f>(LN($B$4/C39)+($B$9+$B$10^2/2)*$B$8)/($B$10*SQRT($B$8))</f>
        <v>-0.8276478829285685</v>
      </c>
      <c r="J39" s="11">
        <f>IF(B39="C",NORMSDIST(I39),NORMSDIST(I39)-1)</f>
        <v>0.20393497121156098</v>
      </c>
      <c r="K39" s="53">
        <f>IF(B39="C",($B$21*NORMSDIST(((LN($B$21/C39)+$B$24^2*$B$8/2)/($B$24*SQRT($B$8))))-C39*NORMSDIST((((LN($B$21/C39)+$B$24^2*$B$8/2)/($B$24*SQRT($B$8)))-$B$24*SQRT($B$8)))),(C39*NORMSDIST(-(((LN($B$21/C39)+$B$24^2*$B$8/2)/($B$24*SQRT($B$8)))-$B$24*SQRT($B$8)))-$B$21*NORMSDIST(-((LN($B$21/C39)+$B$24^2*$B$8/2)/($B$24*SQRT($B$8))))))</f>
        <v>0.011470904289572842</v>
      </c>
      <c r="L39" s="53">
        <f>IF(B39="C",($B$22*NORMSDIST(((LN($B$22/C39)+$B$24^2*$B$8/2)/($B$24*SQRT($B$8))))-C39*NORMSDIST((((LN($B$22/C39)+$B$24^2*$B$8/2)/($B$24*SQRT($B$8)))-$B$24*SQRT($B$8)))),(C39*NORMSDIST(-(((LN($B$22/C39)+$B$24^2*$B$8/2)/($B$24*SQRT($B$8)))-$B$24*SQRT($B$8)))-$B$22*NORMSDIST(-((LN($B$22/C39)+$B$24^2*$B$8/2)/($B$24*SQRT($B$8))))))</f>
        <v>4.969701569107845e-05</v>
      </c>
    </row>
    <row r="40">
      <c r="A40" s="13" t="inlineStr">
        <is>
          <t>Dec-26 $2.50 put</t>
        </is>
      </c>
      <c r="B40" s="88" t="inlineStr">
        <is>
          <t>P</t>
        </is>
      </c>
      <c r="C40" s="11">
        <f>A30</f>
        <v>2.5</v>
      </c>
      <c r="D40" s="53">
        <f>(F30+G30)/2</f>
        <v>0.925</v>
      </c>
      <c r="E40" s="55">
        <f>IF(F30&gt;0,(G30-F30)/D40,9.99)</f>
        <v>9.99</v>
      </c>
      <c r="F40" s="53">
        <f>IF(B40="C",$B$4*NORMSDIST((LN($B$4/C40)+($B$9+$B$10^2/2)*$B$8)/($B$10*SQRT($B$8)))-C40*EXP(-$B$9*$B$8)*NORMSDIST((LN($B$4/C40)+($B$9+$B$10^2/2)*$B$8)/($B$10*SQRT($B$8))-$B$10*SQRT($B$8)),C40*EXP(-$B$9*$B$8)*NORMSDIST(-((LN($B$4/C40)+($B$9+$B$10^2/2)*$B$8)/($B$10*SQRT($B$8))-$B$10*SQRT($B$8)))-$B$4*NORMSDIST(-(LN($B$4/C40)+($B$9+$B$10^2/2)*$B$8)/($B$10*SQRT($B$8))))</f>
        <v>0.04577457939357282</v>
      </c>
      <c r="G40" s="57">
        <f>IF(AND(F30&gt;0,E40&lt;=0.6),D40,F40)</f>
        <v>0.04577457939357282</v>
      </c>
      <c r="H40" s="51" t="str">
        <f>IF(AND(F30&gt;0,E40&lt;=0.6),"market","theo")</f>
        <v>theo</v>
      </c>
      <c r="I40" s="72">
        <f>(LN($B$4/C40)+($B$9+$B$10^2/2)*$B$8)/($B$10*SQRT($B$8))</f>
        <v>1.6907903915063258</v>
      </c>
      <c r="J40" s="11">
        <f>IF(B40="C",NORMSDIST(I40),NORMSDIST(I40)-1)</f>
        <v>-0.04543842148373867</v>
      </c>
      <c r="K40" s="53">
        <f>IF(B40="C",($B$21*NORMSDIST(((LN($B$21/C40)+$B$24^2*$B$8/2)/($B$24*SQRT($B$8))))-C40*NORMSDIST((((LN($B$21/C40)+$B$24^2*$B$8/2)/($B$24*SQRT($B$8)))-$B$24*SQRT($B$8)))),(C40*NORMSDIST(-(((LN($B$21/C40)+$B$24^2*$B$8/2)/($B$24*SQRT($B$8)))-$B$24*SQRT($B$8)))-$B$21*NORMSDIST(-((LN($B$21/C40)+$B$24^2*$B$8/2)/($B$24*SQRT($B$8))))))</f>
        <v>8.06085845746591e-05</v>
      </c>
      <c r="L40" s="53">
        <f>IF(B40="C",($B$22*NORMSDIST(((LN($B$22/C40)+$B$24^2*$B$8/2)/($B$24*SQRT($B$8))))-C40*NORMSDIST((((LN($B$22/C40)+$B$24^2*$B$8/2)/($B$24*SQRT($B$8)))-$B$24*SQRT($B$8)))),(C40*NORMSDIST(-(((LN($B$22/C40)+$B$24^2*$B$8/2)/($B$24*SQRT($B$8)))-$B$24*SQRT($B$8)))-$B$22*NORMSDIST(-((LN($B$22/C40)+$B$24^2*$B$8/2)/($B$24*SQRT($B$8))))))</f>
        <v>0.009922186162289806</v>
      </c>
    </row>
    <row r="42">
      <c r="A42" s="30" t="inlineStr">
        <is>
          <t>Strategies (+ = credit received, − = debit paid; per share unless noted)</t>
        </is>
      </c>
    </row>
    <row r="43">
      <c r="A43" s="29" t="inlineStr">
        <is>
          <t>Metric</t>
        </is>
      </c>
      <c r="B43" s="29" t="inlineStr">
        <is>
          <t>Long straddle</t>
        </is>
      </c>
      <c r="C43" s="29" t="inlineStr">
        <is>
          <t>Bull call spread</t>
        </is>
      </c>
      <c r="D43" s="29" t="inlineStr">
        <is>
          <t>Bear put spread</t>
        </is>
      </c>
      <c r="E43" s="29" t="inlineStr">
        <is>
          <t>Iron butterfly</t>
        </is>
      </c>
    </row>
    <row r="44" ht="50" customHeight="1" s="9">
      <c r="A44" s="13" t="inlineStr">
        <is>
          <t>Structure</t>
        </is>
      </c>
      <c r="B44" s="89" t="inlineStr">
        <is>
          <t>Buy $5 call + $5 put</t>
        </is>
      </c>
      <c r="C44" s="89" t="inlineStr">
        <is>
          <t>Buy $5 / sell $7.50 call</t>
        </is>
      </c>
      <c r="D44" s="89" t="inlineStr">
        <is>
          <t>Buy $5 / sell $2.50 put</t>
        </is>
      </c>
      <c r="E44" s="89" t="inlineStr">
        <is>
          <t>Sell $5 straddle, buy $2.50 put + $7.50 call</t>
        </is>
      </c>
    </row>
    <row r="45">
      <c r="A45" s="13" t="inlineStr">
        <is>
          <t>Net premium</t>
        </is>
      </c>
      <c r="B45" s="53">
        <f>-$G$37-$G$38</f>
        <v>-1.6834233460138146</v>
      </c>
      <c r="C45" s="53">
        <f>-$G$37+$G$39</f>
        <v>-0.5245475008538163</v>
      </c>
      <c r="D45" s="53">
        <f>-$G$38+$G$40</f>
        <v>-0.9187362661651384</v>
      </c>
      <c r="E45" s="53">
        <f>$G$37+$G$38-$G$39-$G$40</f>
        <v>1.4432837670189547</v>
      </c>
    </row>
    <row r="46">
      <c r="A46" s="13" t="inlineStr">
        <is>
          <t>Net premium / contract</t>
        </is>
      </c>
      <c r="B46" s="90">
        <f>B45*$B$11</f>
        <v>-168.34233460138145</v>
      </c>
      <c r="C46" s="90">
        <f>C45*$B$11</f>
        <v>-52.45475008538163</v>
      </c>
      <c r="D46" s="90">
        <f>D45*$B$11</f>
        <v>-91.87362661651383</v>
      </c>
      <c r="E46" s="90">
        <f>E45*$B$11</f>
        <v>144.32837670189548</v>
      </c>
    </row>
    <row r="47">
      <c r="A47" s="13" t="inlineStr">
        <is>
          <t>Max profit / contract</t>
        </is>
      </c>
      <c r="B47" s="91" t="str">
        <f>"Unlimited"</f>
        <v>Unlimited</v>
      </c>
      <c r="C47" s="91">
        <f>(7.5-5.0+C45)*$B$11</f>
        <v>197.54524991461838</v>
      </c>
      <c r="D47" s="91">
        <f>(5.0-2.5+D45)*$B$11</f>
        <v>158.12637338348617</v>
      </c>
      <c r="E47" s="91">
        <f>E45*$B$11</f>
        <v>144.32837670189548</v>
      </c>
    </row>
    <row r="48">
      <c r="A48" s="13" t="inlineStr">
        <is>
          <t>Max loss / contract</t>
        </is>
      </c>
      <c r="B48" s="90">
        <f>B45*$B$11</f>
        <v>-168.34233460138145</v>
      </c>
      <c r="C48" s="90">
        <f>C45*$B$11</f>
        <v>-52.45475008538163</v>
      </c>
      <c r="D48" s="90">
        <f>D45*$B$11</f>
        <v>-91.87362661651383</v>
      </c>
      <c r="E48" s="90">
        <f>-(MAX(7.5-5.0,5.0-2.5)-E45)*$B$11</f>
        <v>-105.67162329810454</v>
      </c>
    </row>
    <row r="49">
      <c r="A49" s="13" t="inlineStr">
        <is>
          <t>Breakeven (low)</t>
        </is>
      </c>
      <c r="B49" s="92">
        <f>5.0+B45</f>
        <v>3.3165766539861856</v>
      </c>
      <c r="C49" s="92" t="str">
        <f>"—"</f>
        <v>—</v>
      </c>
      <c r="D49" s="92">
        <f>5.0+D45</f>
        <v>4.081263733834861</v>
      </c>
      <c r="E49" s="92">
        <f>5.0-E45</f>
        <v>3.5567162329810453</v>
      </c>
    </row>
    <row r="50">
      <c r="A50" s="13" t="inlineStr">
        <is>
          <t>Breakeven (high)</t>
        </is>
      </c>
      <c r="B50" s="92">
        <f>5.0-B45</f>
        <v>6.683423346013814</v>
      </c>
      <c r="C50" s="92">
        <f>5.0-C45</f>
        <v>5.524547500853816</v>
      </c>
      <c r="D50" s="92" t="str">
        <f>"—"</f>
        <v>—</v>
      </c>
      <c r="E50" s="92">
        <f>5.0+E45</f>
        <v>6.443283767018954</v>
      </c>
    </row>
    <row r="51">
      <c r="A51" s="13" t="inlineStr">
        <is>
          <t>Prob. of profit (market-implied, lognormal)</t>
        </is>
      </c>
      <c r="B51" s="54">
        <f>(1-NORMSDIST((LN($B$4/B49)+($B$9-IF((($E$31+$I$31)/2)&gt;0,(($E$31+$I$31)/2),$B$10)^2/2)*$B$8)/(IF((($E$31+$I$31)/2)&gt;0,(($E$31+$I$31)/2),$B$10)*SQRT($B$8))))+NORMSDIST((LN($B$4/B50)+($B$9-IF((($E$31+$I$31)/2)&gt;0,(($E$31+$I$31)/2),$B$10)^2/2)*$B$8)/(IF((($E$31+$I$31)/2)&gt;0,(($E$31+$I$31)/2),$B$10)*SQRT($B$8)))</f>
        <v>0.4363548581592317</v>
      </c>
      <c r="C51" s="54">
        <f>NORMSDIST((LN($B$4/C50)+($B$9-IF((($E$31+$I$31)/2)&gt;0,(($E$31+$I$31)/2),$B$10)^2/2)*$B$8)/(IF((($E$31+$I$31)/2)&gt;0,(($E$31+$I$31)/2),$B$10)*SQRT($B$8)))</f>
        <v>0.28717293133997335</v>
      </c>
      <c r="D51" s="54">
        <f>1-NORMSDIST((LN($B$4/D49)+($B$9-IF((($E$31+$I$31)/2)&gt;0,(($E$31+$I$31)/2),$B$10)^2/2)*$B$8)/(IF((($E$31+$I$31)/2)&gt;0,(($E$31+$I$31)/2),$B$10)*SQRT($B$8)))</f>
        <v>0.4504653401188684</v>
      </c>
      <c r="E51" s="54">
        <f>MAX(0,NORMSDIST((LN($B$4/E49)+($B$9-IF((($E$31+$I$31)/2)&gt;0,(($E$31+$I$31)/2),$B$10)^2/2)*$B$8)/(IF((($E$31+$I$31)/2)&gt;0,(($E$31+$I$31)/2),$B$10)*SQRT($B$8)))-NORMSDIST((LN($B$4/E50)+($B$9-IF((($E$31+$I$31)/2)&gt;0,(($E$31+$I$31)/2),$B$10)^2/2)*$B$8)/(IF((($E$31+$I$31)/2)&gt;0,(($E$31+$I$31)/2),$B$10)*SQRT($B$8))))</f>
        <v>0.4873216343179594</v>
      </c>
    </row>
    <row r="52">
      <c r="A52" s="13" t="inlineStr">
        <is>
          <t>Expected P/L if approved</t>
        </is>
      </c>
      <c r="B52" s="90">
        <f>((1)*$K$37+(1)*$K$38+B45)*$B$11</f>
        <v>-86.06122238311936</v>
      </c>
      <c r="C52" s="90">
        <f>((1)*$K$37+(-1)*$K$39+C45)*$B$11</f>
        <v>-13.188270756583155</v>
      </c>
      <c r="D52" s="90">
        <f>((1)*$K$38+(-1)*$K$40+D45)*$B$11</f>
        <v>-50.01414501446495</v>
      </c>
      <c r="E52" s="90">
        <f>((-1)*$K$37+(-1)*$K$38+(1)*$K$39+(1)*$K$40+E45)*$B$11</f>
        <v>63.202415771048116</v>
      </c>
    </row>
    <row r="53">
      <c r="A53" s="13" t="inlineStr">
        <is>
          <t>Expected P/L if CRL</t>
        </is>
      </c>
      <c r="B53" s="90">
        <f>((1)*$L$37+(1)*$L$38+B45)*$B$11</f>
        <v>-23.531892588739822</v>
      </c>
      <c r="C53" s="90">
        <f>((1)*$L$37+(-1)*$L$39+C45)*$B$11</f>
        <v>-50.41782638354546</v>
      </c>
      <c r="D53" s="90">
        <f>((1)*$L$38+(-1)*$L$40+D45)*$B$11</f>
        <v>49.90270337649354</v>
      </c>
      <c r="E53" s="90">
        <f>((-1)*$L$37+(-1)*$L$38+(1)*$L$39+(1)*$L$40+E45)*$B$11</f>
        <v>0.5151230070519208</v>
      </c>
    </row>
    <row r="54">
      <c r="A54" s="23" t="inlineStr">
        <is>
          <t>Model expected P/L</t>
        </is>
      </c>
      <c r="B54" s="93">
        <f>$B$17*B52+(1-$B$17)*B53</f>
        <v>-73.55535642424346</v>
      </c>
      <c r="C54" s="93">
        <f>$B$17*C52+(1-$B$17)*C53</f>
        <v>-20.634181881975614</v>
      </c>
      <c r="D54" s="93">
        <f>$B$17*D52+(1-$B$17)*D53</f>
        <v>-30.03077533627326</v>
      </c>
      <c r="E54" s="93">
        <f>$B$17*E52+(1-$B$17)*E53</f>
        <v>50.66495721824888</v>
      </c>
    </row>
    <row r="55">
      <c r="A55" s="13" t="inlineStr">
        <is>
          <t>Expected P/L ÷ max loss</t>
        </is>
      </c>
      <c r="B55" s="54">
        <f>B54/-B48</f>
        <v>-0.4369391490168858</v>
      </c>
      <c r="C55" s="54">
        <f>C54/-C48</f>
        <v>-0.39337108361757417</v>
      </c>
      <c r="D55" s="54">
        <f>D54/-D48</f>
        <v>-0.3268704680791971</v>
      </c>
      <c r="E55" s="54">
        <f>E54/-E48</f>
        <v>0.47945659995513357</v>
      </c>
    </row>
    <row r="57">
      <c r="A57" s="30" t="inlineStr">
        <is>
          <t>Payoff at expiry per contract ($)</t>
        </is>
      </c>
    </row>
    <row r="58">
      <c r="A58" s="29" t="inlineStr">
        <is>
          <t>Price at expiry</t>
        </is>
      </c>
      <c r="B58" s="29" t="inlineStr">
        <is>
          <t>Long straddle</t>
        </is>
      </c>
      <c r="C58" s="29" t="inlineStr">
        <is>
          <t>Bull call spread</t>
        </is>
      </c>
      <c r="D58" s="29" t="inlineStr">
        <is>
          <t>Bear put spread</t>
        </is>
      </c>
      <c r="E58" s="29" t="inlineStr">
        <is>
          <t>Iron butterfly</t>
        </is>
      </c>
    </row>
    <row r="59">
      <c r="A59" s="94" t="n">
        <v>0</v>
      </c>
      <c r="B59" s="52">
        <f>(MAX($A59-5.0,0)+MAX(5.0-$A59,0)-$G$37-$G$38)*$B$11</f>
        <v>331.6576653986185</v>
      </c>
      <c r="C59" s="52">
        <f>(MAX($A59-5.0,0)-MAX($A59-7.5,0)-$G$37+$G$39)*$B$11</f>
        <v>-52.45475008538163</v>
      </c>
      <c r="D59" s="52">
        <f>(MAX(5.0-$A59,0)-MAX(2.5-$A59,0)-$G$38+$G$40)*$B$11</f>
        <v>158.12637338348617</v>
      </c>
      <c r="E59" s="52">
        <f>($G$37+$G$38-$G$39-$G$40-MAX($A59-5.0,0)-MAX(5.0-$A59,0)+MAX($A59-7.5,0)+MAX(2.5-$A59,0))*$B$11</f>
        <v>-105.67162329810454</v>
      </c>
    </row>
    <row r="60">
      <c r="A60" s="94" t="n">
        <v>0.33</v>
      </c>
      <c r="B60" s="52">
        <f>(MAX($A60-5.0,0)+MAX(5.0-$A60,0)-$G$37-$G$38)*$B$11</f>
        <v>298.6576653986185</v>
      </c>
      <c r="C60" s="52">
        <f>(MAX($A60-5.0,0)-MAX($A60-7.5,0)-$G$37+$G$39)*$B$11</f>
        <v>-52.45475008538163</v>
      </c>
      <c r="D60" s="52">
        <f>(MAX(5.0-$A60,0)-MAX(2.5-$A60,0)-$G$38+$G$40)*$B$11</f>
        <v>158.12637338348617</v>
      </c>
      <c r="E60" s="52">
        <f>($G$37+$G$38-$G$39-$G$40-MAX($A60-5.0,0)-MAX(5.0-$A60,0)+MAX($A60-7.5,0)+MAX(2.5-$A60,0))*$B$11</f>
        <v>-105.67162329810454</v>
      </c>
    </row>
    <row r="61">
      <c r="A61" s="94" t="n">
        <v>0.65</v>
      </c>
      <c r="B61" s="52">
        <f>(MAX($A61-5.0,0)+MAX(5.0-$A61,0)-$G$37-$G$38)*$B$11</f>
        <v>266.65766539861846</v>
      </c>
      <c r="C61" s="52">
        <f>(MAX($A61-5.0,0)-MAX($A61-7.5,0)-$G$37+$G$39)*$B$11</f>
        <v>-52.45475008538163</v>
      </c>
      <c r="D61" s="52">
        <f>(MAX(5.0-$A61,0)-MAX(2.5-$A61,0)-$G$38+$G$40)*$B$11</f>
        <v>158.1263733834861</v>
      </c>
      <c r="E61" s="52">
        <f>($G$37+$G$38-$G$39-$G$40-MAX($A61-5.0,0)-MAX(5.0-$A61,0)+MAX($A61-7.5,0)+MAX(2.5-$A61,0))*$B$11</f>
        <v>-105.67162329810449</v>
      </c>
    </row>
    <row r="62">
      <c r="A62" s="94" t="n">
        <v>0.98</v>
      </c>
      <c r="B62" s="52">
        <f>(MAX($A62-5.0,0)+MAX(5.0-$A62,0)-$G$37-$G$38)*$B$11</f>
        <v>233.65766539861846</v>
      </c>
      <c r="C62" s="52">
        <f>(MAX($A62-5.0,0)-MAX($A62-7.5,0)-$G$37+$G$39)*$B$11</f>
        <v>-52.45475008538163</v>
      </c>
      <c r="D62" s="52">
        <f>(MAX(5.0-$A62,0)-MAX(2.5-$A62,0)-$G$38+$G$40)*$B$11</f>
        <v>158.1263733834861</v>
      </c>
      <c r="E62" s="52">
        <f>($G$37+$G$38-$G$39-$G$40-MAX($A62-5.0,0)-MAX(5.0-$A62,0)+MAX($A62-7.5,0)+MAX(2.5-$A62,0))*$B$11</f>
        <v>-105.67162329810449</v>
      </c>
    </row>
    <row r="63">
      <c r="A63" s="94" t="n">
        <v>1.3</v>
      </c>
      <c r="B63" s="52">
        <f>(MAX($A63-5.0,0)+MAX(5.0-$A63,0)-$G$37-$G$38)*$B$11</f>
        <v>201.65766539861855</v>
      </c>
      <c r="C63" s="52">
        <f>(MAX($A63-5.0,0)-MAX($A63-7.5,0)-$G$37+$G$39)*$B$11</f>
        <v>-52.45475008538163</v>
      </c>
      <c r="D63" s="52">
        <f>(MAX(5.0-$A63,0)-MAX(2.5-$A63,0)-$G$38+$G$40)*$B$11</f>
        <v>158.12637338348617</v>
      </c>
      <c r="E63" s="52">
        <f>($G$37+$G$38-$G$39-$G$40-MAX($A63-5.0,0)-MAX(5.0-$A63,0)+MAX($A63-7.5,0)+MAX(2.5-$A63,0))*$B$11</f>
        <v>-105.67162329810455</v>
      </c>
    </row>
    <row r="64">
      <c r="A64" s="94" t="n">
        <v>1.63</v>
      </c>
      <c r="B64" s="52">
        <f>(MAX($A64-5.0,0)+MAX(5.0-$A64,0)-$G$37-$G$38)*$B$11</f>
        <v>168.65766539861852</v>
      </c>
      <c r="C64" s="52">
        <f>(MAX($A64-5.0,0)-MAX($A64-7.5,0)-$G$37+$G$39)*$B$11</f>
        <v>-52.45475008538163</v>
      </c>
      <c r="D64" s="52">
        <f>(MAX(5.0-$A64,0)-MAX(2.5-$A64,0)-$G$38+$G$40)*$B$11</f>
        <v>158.12637338348617</v>
      </c>
      <c r="E64" s="52">
        <f>($G$37+$G$38-$G$39-$G$40-MAX($A64-5.0,0)-MAX(5.0-$A64,0)+MAX($A64-7.5,0)+MAX(2.5-$A64,0))*$B$11</f>
        <v>-105.67162329810454</v>
      </c>
    </row>
    <row r="65">
      <c r="A65" s="94" t="n">
        <v>1.95</v>
      </c>
      <c r="B65" s="52">
        <f>(MAX($A65-5.0,0)+MAX(5.0-$A65,0)-$G$37-$G$38)*$B$11</f>
        <v>136.6576653986185</v>
      </c>
      <c r="C65" s="52">
        <f>(MAX($A65-5.0,0)-MAX($A65-7.5,0)-$G$37+$G$39)*$B$11</f>
        <v>-52.45475008538163</v>
      </c>
      <c r="D65" s="52">
        <f>(MAX(5.0-$A65,0)-MAX(2.5-$A65,0)-$G$38+$G$40)*$B$11</f>
        <v>158.12637338348617</v>
      </c>
      <c r="E65" s="52">
        <f>($G$37+$G$38-$G$39-$G$40-MAX($A65-5.0,0)-MAX(5.0-$A65,0)+MAX($A65-7.5,0)+MAX(2.5-$A65,0))*$B$11</f>
        <v>-105.6716232981045</v>
      </c>
    </row>
    <row r="66">
      <c r="A66" s="94" t="n">
        <v>2.28</v>
      </c>
      <c r="B66" s="52">
        <f>(MAX($A66-5.0,0)+MAX(5.0-$A66,0)-$G$37-$G$38)*$B$11</f>
        <v>103.65766539861858</v>
      </c>
      <c r="C66" s="52">
        <f>(MAX($A66-5.0,0)-MAX($A66-7.5,0)-$G$37+$G$39)*$B$11</f>
        <v>-52.45475008538163</v>
      </c>
      <c r="D66" s="52">
        <f>(MAX(5.0-$A66,0)-MAX(2.5-$A66,0)-$G$38+$G$40)*$B$11</f>
        <v>158.12637338348617</v>
      </c>
      <c r="E66" s="52">
        <f>($G$37+$G$38-$G$39-$G$40-MAX($A66-5.0,0)-MAX(5.0-$A66,0)+MAX($A66-7.5,0)+MAX(2.5-$A66,0))*$B$11</f>
        <v>-105.67162329810454</v>
      </c>
    </row>
    <row r="67">
      <c r="A67" s="94" t="n">
        <v>2.61</v>
      </c>
      <c r="B67" s="52">
        <f>(MAX($A67-5.0,0)+MAX(5.0-$A67,0)-$G$37-$G$38)*$B$11</f>
        <v>70.65766539861855</v>
      </c>
      <c r="C67" s="52">
        <f>(MAX($A67-5.0,0)-MAX($A67-7.5,0)-$G$37+$G$39)*$B$11</f>
        <v>-52.45475008538163</v>
      </c>
      <c r="D67" s="52">
        <f>(MAX(5.0-$A67,0)-MAX(2.5-$A67,0)-$G$38+$G$40)*$B$11</f>
        <v>147.12637338348617</v>
      </c>
      <c r="E67" s="52">
        <f>($G$37+$G$38-$G$39-$G$40-MAX($A67-5.0,0)-MAX(5.0-$A67,0)+MAX($A67-7.5,0)+MAX(2.5-$A67,0))*$B$11</f>
        <v>-94.67162329810455</v>
      </c>
    </row>
    <row r="68">
      <c r="A68" s="94" t="n">
        <v>2.93</v>
      </c>
      <c r="B68" s="52">
        <f>(MAX($A68-5.0,0)+MAX(5.0-$A68,0)-$G$37-$G$38)*$B$11</f>
        <v>38.657665398618526</v>
      </c>
      <c r="C68" s="52">
        <f>(MAX($A68-5.0,0)-MAX($A68-7.5,0)-$G$37+$G$39)*$B$11</f>
        <v>-52.45475008538163</v>
      </c>
      <c r="D68" s="52">
        <f>(MAX(5.0-$A68,0)-MAX(2.5-$A68,0)-$G$38+$G$40)*$B$11</f>
        <v>115.12637338348614</v>
      </c>
      <c r="E68" s="52">
        <f>($G$37+$G$38-$G$39-$G$40-MAX($A68-5.0,0)-MAX(5.0-$A68,0)+MAX($A68-7.5,0)+MAX(2.5-$A68,0))*$B$11</f>
        <v>-62.67162329810452</v>
      </c>
    </row>
    <row r="69">
      <c r="A69" s="94" t="n">
        <v>3.26</v>
      </c>
      <c r="B69" s="52">
        <f>(MAX($A69-5.0,0)+MAX(5.0-$A69,0)-$G$37-$G$38)*$B$11</f>
        <v>5.657665398618561</v>
      </c>
      <c r="C69" s="52">
        <f>(MAX($A69-5.0,0)-MAX($A69-7.5,0)-$G$37+$G$39)*$B$11</f>
        <v>-52.45475008538163</v>
      </c>
      <c r="D69" s="52">
        <f>(MAX(5.0-$A69,0)-MAX(2.5-$A69,0)-$G$38+$G$40)*$B$11</f>
        <v>82.12637338348618</v>
      </c>
      <c r="E69" s="52">
        <f>($G$37+$G$38-$G$39-$G$40-MAX($A69-5.0,0)-MAX(5.0-$A69,0)+MAX($A69-7.5,0)+MAX(2.5-$A69,0))*$B$11</f>
        <v>-29.671623298104556</v>
      </c>
    </row>
    <row r="70">
      <c r="A70" s="94" t="n">
        <v>3.58</v>
      </c>
      <c r="B70" s="52">
        <f>(MAX($A70-5.0,0)+MAX(5.0-$A70,0)-$G$37-$G$38)*$B$11</f>
        <v>-26.342334601381467</v>
      </c>
      <c r="C70" s="52">
        <f>(MAX($A70-5.0,0)-MAX($A70-7.5,0)-$G$37+$G$39)*$B$11</f>
        <v>-52.45475008538163</v>
      </c>
      <c r="D70" s="52">
        <f>(MAX(5.0-$A70,0)-MAX(2.5-$A70,0)-$G$38+$G$40)*$B$11</f>
        <v>50.126373383486154</v>
      </c>
      <c r="E70" s="52">
        <f>($G$37+$G$38-$G$39-$G$40-MAX($A70-5.0,0)-MAX(5.0-$A70,0)+MAX($A70-7.5,0)+MAX(2.5-$A70,0))*$B$11</f>
        <v>2.3283767018954737</v>
      </c>
    </row>
    <row r="71">
      <c r="A71" s="94" t="n">
        <v>3.91</v>
      </c>
      <c r="B71" s="52">
        <f>(MAX($A71-5.0,0)+MAX(5.0-$A71,0)-$G$37-$G$38)*$B$11</f>
        <v>-59.342334601381474</v>
      </c>
      <c r="C71" s="52">
        <f>(MAX($A71-5.0,0)-MAX($A71-7.5,0)-$G$37+$G$39)*$B$11</f>
        <v>-52.45475008538163</v>
      </c>
      <c r="D71" s="52">
        <f>(MAX(5.0-$A71,0)-MAX(2.5-$A71,0)-$G$38+$G$40)*$B$11</f>
        <v>17.126373383486143</v>
      </c>
      <c r="E71" s="52">
        <f>($G$37+$G$38-$G$39-$G$40-MAX($A71-5.0,0)-MAX(5.0-$A71,0)+MAX($A71-7.5,0)+MAX(2.5-$A71,0))*$B$11</f>
        <v>35.32837670189548</v>
      </c>
    </row>
    <row r="72">
      <c r="A72" s="94" t="n">
        <v>4.23</v>
      </c>
      <c r="B72" s="52">
        <f>(MAX($A72-5.0,0)+MAX(5.0-$A72,0)-$G$37-$G$38)*$B$11</f>
        <v>-91.34233460138151</v>
      </c>
      <c r="C72" s="52">
        <f>(MAX($A72-5.0,0)-MAX($A72-7.5,0)-$G$37+$G$39)*$B$11</f>
        <v>-52.45475008538163</v>
      </c>
      <c r="D72" s="52">
        <f>(MAX(5.0-$A72,0)-MAX(2.5-$A72,0)-$G$38+$G$40)*$B$11</f>
        <v>-14.873626616513885</v>
      </c>
      <c r="E72" s="52">
        <f>($G$37+$G$38-$G$39-$G$40-MAX($A72-5.0,0)-MAX(5.0-$A72,0)+MAX($A72-7.5,0)+MAX(2.5-$A72,0))*$B$11</f>
        <v>67.32837670189551</v>
      </c>
    </row>
    <row r="73">
      <c r="A73" s="94" t="n">
        <v>4.56</v>
      </c>
      <c r="B73" s="52">
        <f>(MAX($A73-5.0,0)+MAX(5.0-$A73,0)-$G$37-$G$38)*$B$11</f>
        <v>-124.34233460138142</v>
      </c>
      <c r="C73" s="52">
        <f>(MAX($A73-5.0,0)-MAX($A73-7.5,0)-$G$37+$G$39)*$B$11</f>
        <v>-52.45475008538163</v>
      </c>
      <c r="D73" s="52">
        <f>(MAX(5.0-$A73,0)-MAX(2.5-$A73,0)-$G$38+$G$40)*$B$11</f>
        <v>-47.8736266165138</v>
      </c>
      <c r="E73" s="52">
        <f>($G$37+$G$38-$G$39-$G$40-MAX($A73-5.0,0)-MAX(5.0-$A73,0)+MAX($A73-7.5,0)+MAX(2.5-$A73,0))*$B$11</f>
        <v>100.32837670189542</v>
      </c>
    </row>
    <row r="74">
      <c r="A74" s="94" t="n">
        <v>4.89</v>
      </c>
      <c r="B74" s="52">
        <f>(MAX($A74-5.0,0)+MAX(5.0-$A74,0)-$G$37-$G$38)*$B$11</f>
        <v>-157.34233460138142</v>
      </c>
      <c r="C74" s="52">
        <f>(MAX($A74-5.0,0)-MAX($A74-7.5,0)-$G$37+$G$39)*$B$11</f>
        <v>-52.45475008538163</v>
      </c>
      <c r="D74" s="52">
        <f>(MAX(5.0-$A74,0)-MAX(2.5-$A74,0)-$G$38+$G$40)*$B$11</f>
        <v>-80.8736266165138</v>
      </c>
      <c r="E74" s="52">
        <f>($G$37+$G$38-$G$39-$G$40-MAX($A74-5.0,0)-MAX(5.0-$A74,0)+MAX($A74-7.5,0)+MAX(2.5-$A74,0))*$B$11</f>
        <v>133.32837670189542</v>
      </c>
    </row>
    <row r="75">
      <c r="A75" s="94" t="n">
        <v>5.21</v>
      </c>
      <c r="B75" s="52">
        <f>(MAX($A75-5.0,0)+MAX(5.0-$A75,0)-$G$37-$G$38)*$B$11</f>
        <v>-147.34233460138145</v>
      </c>
      <c r="C75" s="52">
        <f>(MAX($A75-5.0,0)-MAX($A75-7.5,0)-$G$37+$G$39)*$B$11</f>
        <v>-31.454750085381633</v>
      </c>
      <c r="D75" s="52">
        <f>(MAX(5.0-$A75,0)-MAX(2.5-$A75,0)-$G$38+$G$40)*$B$11</f>
        <v>-91.87362661651383</v>
      </c>
      <c r="E75" s="52">
        <f>($G$37+$G$38-$G$39-$G$40-MAX($A75-5.0,0)-MAX(5.0-$A75,0)+MAX($A75-7.5,0)+MAX(2.5-$A75,0))*$B$11</f>
        <v>123.32837670189546</v>
      </c>
    </row>
    <row r="76">
      <c r="A76" s="94" t="n">
        <v>5.54</v>
      </c>
      <c r="B76" s="52">
        <f>(MAX($A76-5.0,0)+MAX(5.0-$A76,0)-$G$37-$G$38)*$B$11</f>
        <v>-114.34233460138145</v>
      </c>
      <c r="C76" s="52">
        <f>(MAX($A76-5.0,0)-MAX($A76-7.5,0)-$G$37+$G$39)*$B$11</f>
        <v>1.545249914618374</v>
      </c>
      <c r="D76" s="52">
        <f>(MAX(5.0-$A76,0)-MAX(2.5-$A76,0)-$G$38+$G$40)*$B$11</f>
        <v>-91.87362661651383</v>
      </c>
      <c r="E76" s="52">
        <f>($G$37+$G$38-$G$39-$G$40-MAX($A76-5.0,0)-MAX(5.0-$A76,0)+MAX($A76-7.5,0)+MAX(2.5-$A76,0))*$B$11</f>
        <v>90.32837670189546</v>
      </c>
    </row>
    <row r="77">
      <c r="A77" s="94" t="n">
        <v>5.86</v>
      </c>
      <c r="B77" s="52">
        <f>(MAX($A77-5.0,0)+MAX(5.0-$A77,0)-$G$37-$G$38)*$B$11</f>
        <v>-82.34233460138142</v>
      </c>
      <c r="C77" s="52">
        <f>(MAX($A77-5.0,0)-MAX($A77-7.5,0)-$G$37+$G$39)*$B$11</f>
        <v>33.5452499146184</v>
      </c>
      <c r="D77" s="52">
        <f>(MAX(5.0-$A77,0)-MAX(2.5-$A77,0)-$G$38+$G$40)*$B$11</f>
        <v>-91.87362661651383</v>
      </c>
      <c r="E77" s="52">
        <f>($G$37+$G$38-$G$39-$G$40-MAX($A77-5.0,0)-MAX(5.0-$A77,0)+MAX($A77-7.5,0)+MAX(2.5-$A77,0))*$B$11</f>
        <v>58.328376701895436</v>
      </c>
    </row>
    <row r="78">
      <c r="A78" s="94" t="n">
        <v>6.19</v>
      </c>
      <c r="B78" s="52">
        <f>(MAX($A78-5.0,0)+MAX(5.0-$A78,0)-$G$37-$G$38)*$B$11</f>
        <v>-49.342334601381424</v>
      </c>
      <c r="C78" s="52">
        <f>(MAX($A78-5.0,0)-MAX($A78-7.5,0)-$G$37+$G$39)*$B$11</f>
        <v>66.54524991461841</v>
      </c>
      <c r="D78" s="52">
        <f>(MAX(5.0-$A78,0)-MAX(2.5-$A78,0)-$G$38+$G$40)*$B$11</f>
        <v>-91.87362661651383</v>
      </c>
      <c r="E78" s="52">
        <f>($G$37+$G$38-$G$39-$G$40-MAX($A78-5.0,0)-MAX(5.0-$A78,0)+MAX($A78-7.5,0)+MAX(2.5-$A78,0))*$B$11</f>
        <v>25.32837670189543</v>
      </c>
    </row>
    <row r="79">
      <c r="A79" s="94" t="n">
        <v>6.51</v>
      </c>
      <c r="B79" s="52">
        <f>(MAX($A79-5.0,0)+MAX(5.0-$A79,0)-$G$37-$G$38)*$B$11</f>
        <v>-17.34233460138148</v>
      </c>
      <c r="C79" s="52">
        <f>(MAX($A79-5.0,0)-MAX($A79-7.5,0)-$G$37+$G$39)*$B$11</f>
        <v>98.54524991461835</v>
      </c>
      <c r="D79" s="52">
        <f>(MAX(5.0-$A79,0)-MAX(2.5-$A79,0)-$G$38+$G$40)*$B$11</f>
        <v>-91.87362661651383</v>
      </c>
      <c r="E79" s="52">
        <f>($G$37+$G$38-$G$39-$G$40-MAX($A79-5.0,0)-MAX(5.0-$A79,0)+MAX($A79-7.5,0)+MAX(2.5-$A79,0))*$B$11</f>
        <v>-6.671623298104512</v>
      </c>
    </row>
    <row r="80">
      <c r="A80" s="94" t="n">
        <v>6.84</v>
      </c>
      <c r="B80" s="52">
        <f>(MAX($A80-5.0,0)+MAX(5.0-$A80,0)-$G$37-$G$38)*$B$11</f>
        <v>15.657665398618526</v>
      </c>
      <c r="C80" s="52">
        <f>(MAX($A80-5.0,0)-MAX($A80-7.5,0)-$G$37+$G$39)*$B$11</f>
        <v>131.54524991461835</v>
      </c>
      <c r="D80" s="52">
        <f>(MAX(5.0-$A80,0)-MAX(2.5-$A80,0)-$G$38+$G$40)*$B$11</f>
        <v>-91.87362661651383</v>
      </c>
      <c r="E80" s="52">
        <f>($G$37+$G$38-$G$39-$G$40-MAX($A80-5.0,0)-MAX(5.0-$A80,0)+MAX($A80-7.5,0)+MAX(2.5-$A80,0))*$B$11</f>
        <v>-39.67162329810452</v>
      </c>
    </row>
    <row r="81">
      <c r="A81" s="94" t="n">
        <v>7.16</v>
      </c>
      <c r="B81" s="52">
        <f>(MAX($A81-5.0,0)+MAX(5.0-$A81,0)-$G$37-$G$38)*$B$11</f>
        <v>47.657665398618555</v>
      </c>
      <c r="C81" s="52">
        <f>(MAX($A81-5.0,0)-MAX($A81-7.5,0)-$G$37+$G$39)*$B$11</f>
        <v>163.54524991461838</v>
      </c>
      <c r="D81" s="52">
        <f>(MAX(5.0-$A81,0)-MAX(2.5-$A81,0)-$G$38+$G$40)*$B$11</f>
        <v>-91.87362661651383</v>
      </c>
      <c r="E81" s="52">
        <f>($G$37+$G$38-$G$39-$G$40-MAX($A81-5.0,0)-MAX(5.0-$A81,0)+MAX($A81-7.5,0)+MAX(2.5-$A81,0))*$B$11</f>
        <v>-71.67162329810455</v>
      </c>
    </row>
    <row r="82">
      <c r="A82" s="94" t="n">
        <v>7.49</v>
      </c>
      <c r="B82" s="52">
        <f>(MAX($A82-5.0,0)+MAX(5.0-$A82,0)-$G$37-$G$38)*$B$11</f>
        <v>80.65766539861856</v>
      </c>
      <c r="C82" s="52">
        <f>(MAX($A82-5.0,0)-MAX($A82-7.5,0)-$G$37+$G$39)*$B$11</f>
        <v>196.54524991461838</v>
      </c>
      <c r="D82" s="52">
        <f>(MAX(5.0-$A82,0)-MAX(2.5-$A82,0)-$G$38+$G$40)*$B$11</f>
        <v>-91.87362661651383</v>
      </c>
      <c r="E82" s="52">
        <f>($G$37+$G$38-$G$39-$G$40-MAX($A82-5.0,0)-MAX(5.0-$A82,0)+MAX($A82-7.5,0)+MAX(2.5-$A82,0))*$B$11</f>
        <v>-104.67162329810455</v>
      </c>
    </row>
    <row r="83">
      <c r="A83" s="94" t="n">
        <v>7.82</v>
      </c>
      <c r="B83" s="52">
        <f>(MAX($A83-5.0,0)+MAX(5.0-$A83,0)-$G$37-$G$38)*$B$11</f>
        <v>113.65766539861855</v>
      </c>
      <c r="C83" s="52">
        <f>(MAX($A83-5.0,0)-MAX($A83-7.5,0)-$G$37+$G$39)*$B$11</f>
        <v>197.54524991461838</v>
      </c>
      <c r="D83" s="52">
        <f>(MAX(5.0-$A83,0)-MAX(2.5-$A83,0)-$G$38+$G$40)*$B$11</f>
        <v>-91.87362661651383</v>
      </c>
      <c r="E83" s="52">
        <f>($G$37+$G$38-$G$39-$G$40-MAX($A83-5.0,0)-MAX(5.0-$A83,0)+MAX($A83-7.5,0)+MAX(2.5-$A83,0))*$B$11</f>
        <v>-105.67162329810454</v>
      </c>
    </row>
    <row r="84">
      <c r="A84" s="94" t="n">
        <v>8.140000000000001</v>
      </c>
      <c r="B84" s="52">
        <f>(MAX($A84-5.0,0)+MAX(5.0-$A84,0)-$G$37-$G$38)*$B$11</f>
        <v>145.65766539861858</v>
      </c>
      <c r="C84" s="52">
        <f>(MAX($A84-5.0,0)-MAX($A84-7.5,0)-$G$37+$G$39)*$B$11</f>
        <v>197.54524991461838</v>
      </c>
      <c r="D84" s="52">
        <f>(MAX(5.0-$A84,0)-MAX(2.5-$A84,0)-$G$38+$G$40)*$B$11</f>
        <v>-91.87362661651383</v>
      </c>
      <c r="E84" s="52">
        <f>($G$37+$G$38-$G$39-$G$40-MAX($A84-5.0,0)-MAX(5.0-$A84,0)+MAX($A84-7.5,0)+MAX(2.5-$A84,0))*$B$11</f>
        <v>-105.67162329810454</v>
      </c>
    </row>
    <row r="85">
      <c r="A85" s="94" t="n">
        <v>8.470000000000001</v>
      </c>
      <c r="B85" s="52">
        <f>(MAX($A85-5.0,0)+MAX(5.0-$A85,0)-$G$37-$G$38)*$B$11</f>
        <v>178.65766539861858</v>
      </c>
      <c r="C85" s="52">
        <f>(MAX($A85-5.0,0)-MAX($A85-7.5,0)-$G$37+$G$39)*$B$11</f>
        <v>197.54524991461838</v>
      </c>
      <c r="D85" s="52">
        <f>(MAX(5.0-$A85,0)-MAX(2.5-$A85,0)-$G$38+$G$40)*$B$11</f>
        <v>-91.87362661651383</v>
      </c>
      <c r="E85" s="52">
        <f>($G$37+$G$38-$G$39-$G$40-MAX($A85-5.0,0)-MAX(5.0-$A85,0)+MAX($A85-7.5,0)+MAX(2.5-$A85,0))*$B$11</f>
        <v>-105.67162329810454</v>
      </c>
    </row>
    <row r="86">
      <c r="A86" s="94" t="n">
        <v>8.789999999999999</v>
      </c>
      <c r="B86" s="52">
        <f>(MAX($A86-5.0,0)+MAX(5.0-$A86,0)-$G$37-$G$38)*$B$11</f>
        <v>210.65766539861843</v>
      </c>
      <c r="C86" s="52">
        <f>(MAX($A86-5.0,0)-MAX($A86-7.5,0)-$G$37+$G$39)*$B$11</f>
        <v>197.54524991461838</v>
      </c>
      <c r="D86" s="52">
        <f>(MAX(5.0-$A86,0)-MAX(2.5-$A86,0)-$G$38+$G$40)*$B$11</f>
        <v>-91.87362661651383</v>
      </c>
      <c r="E86" s="52">
        <f>($G$37+$G$38-$G$39-$G$40-MAX($A86-5.0,0)-MAX(5.0-$A86,0)+MAX($A86-7.5,0)+MAX(2.5-$A86,0))*$B$11</f>
        <v>-105.67162329810454</v>
      </c>
    </row>
    <row r="87">
      <c r="A87" s="94" t="n">
        <v>9.119999999999999</v>
      </c>
      <c r="B87" s="52">
        <f>(MAX($A87-5.0,0)+MAX(5.0-$A87,0)-$G$37-$G$38)*$B$11</f>
        <v>243.65766539861843</v>
      </c>
      <c r="C87" s="52">
        <f>(MAX($A87-5.0,0)-MAX($A87-7.5,0)-$G$37+$G$39)*$B$11</f>
        <v>197.54524991461838</v>
      </c>
      <c r="D87" s="52">
        <f>(MAX(5.0-$A87,0)-MAX(2.5-$A87,0)-$G$38+$G$40)*$B$11</f>
        <v>-91.87362661651383</v>
      </c>
      <c r="E87" s="52">
        <f>($G$37+$G$38-$G$39-$G$40-MAX($A87-5.0,0)-MAX(5.0-$A87,0)+MAX($A87-7.5,0)+MAX(2.5-$A87,0))*$B$11</f>
        <v>-105.67162329810454</v>
      </c>
    </row>
    <row r="88">
      <c r="A88" s="94" t="n">
        <v>9.44</v>
      </c>
      <c r="B88" s="52">
        <f>(MAX($A88-5.0,0)+MAX(5.0-$A88,0)-$G$37-$G$38)*$B$11</f>
        <v>275.65766539861846</v>
      </c>
      <c r="C88" s="52">
        <f>(MAX($A88-5.0,0)-MAX($A88-7.5,0)-$G$37+$G$39)*$B$11</f>
        <v>197.54524991461838</v>
      </c>
      <c r="D88" s="52">
        <f>(MAX(5.0-$A88,0)-MAX(2.5-$A88,0)-$G$38+$G$40)*$B$11</f>
        <v>-91.87362661651383</v>
      </c>
      <c r="E88" s="52">
        <f>($G$37+$G$38-$G$39-$G$40-MAX($A88-5.0,0)-MAX(5.0-$A88,0)+MAX($A88-7.5,0)+MAX(2.5-$A88,0))*$B$11</f>
        <v>-105.67162329810454</v>
      </c>
    </row>
    <row r="89">
      <c r="A89" s="94" t="n">
        <v>9.77</v>
      </c>
      <c r="B89" s="52">
        <f>(MAX($A89-5.0,0)+MAX(5.0-$A89,0)-$G$37-$G$38)*$B$11</f>
        <v>308.65766539861846</v>
      </c>
      <c r="C89" s="52">
        <f>(MAX($A89-5.0,0)-MAX($A89-7.5,0)-$G$37+$G$39)*$B$11</f>
        <v>197.54524991461838</v>
      </c>
      <c r="D89" s="52">
        <f>(MAX(5.0-$A89,0)-MAX(2.5-$A89,0)-$G$38+$G$40)*$B$11</f>
        <v>-91.87362661651383</v>
      </c>
      <c r="E89" s="52">
        <f>($G$37+$G$38-$G$39-$G$40-MAX($A89-5.0,0)-MAX(5.0-$A89,0)+MAX($A89-7.5,0)+MAX(2.5-$A89,0))*$B$11</f>
        <v>-105.67162329810454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2026-10-19T00:51:33Z</dcterms:modified>
  <cp:lastModifiedBy>Wang, Eric</cp:lastModifiedBy>
</cp:coreProperties>
</file>