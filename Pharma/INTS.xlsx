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Intensity Therapeutics Inc</t>
        </is>
      </c>
      <c r="C2" s="10" t="n"/>
    </row>
    <row r="3">
      <c r="B3" t="inlineStr">
        <is>
          <t>Price</t>
        </is>
      </c>
      <c r="C3" s="11">
        <f>INDEX([1]Pharma!$F$1:$F$1000,MATCH("INTS",[1]Pharma!$B$1:$B$1000,0))</f>
        <v>3.28</v>
      </c>
      <c r="F3" s="1" t="n"/>
    </row>
    <row r="4">
      <c r="B4" t="inlineStr">
        <is>
          <t>Shares</t>
        </is>
      </c>
      <c r="C4" s="21" t="n">
        <v>3.264879</v>
      </c>
      <c r="F4" s="1" t="n"/>
    </row>
    <row r="5">
      <c r="B5" t="inlineStr">
        <is>
          <t>Market Cap.</t>
        </is>
      </c>
      <c r="C5" s="13">
        <f>C3*C4</f>
        <v>10.708803119999999</v>
      </c>
      <c r="F5" s="1" t="n"/>
    </row>
    <row r="6"/>
    <row r="7">
      <c r="B7" t="inlineStr">
        <is>
          <t>Cash</t>
        </is>
      </c>
      <c r="C7" s="21" t="n">
        <v>9.529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1.179803119999999</v>
      </c>
    </row>
    <row r="10"/>
    <row r="11">
      <c r="B11" s="14" t="inlineStr">
        <is>
          <t>Net Cash / Share</t>
        </is>
      </c>
      <c r="C11" s="11">
        <f>(C7-C8)/C4</f>
        <v>2.9186380260953007</v>
      </c>
    </row>
    <row r="12">
      <c r="B12" s="14" t="inlineStr">
        <is>
          <t>Upside</t>
        </is>
      </c>
      <c r="C12" s="15">
        <f>IFERROR(C11/C3-1,"")</f>
        <v>-0.11017133350753028</v>
      </c>
    </row>
    <row r="13">
      <c r="B13" s="14" t="inlineStr">
        <is>
          <t>Cash / Share</t>
        </is>
      </c>
      <c r="C13" s="11">
        <f>IFERROR((C7-C8)/C4,"")</f>
        <v>2.9186380260953007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-8.954000000000001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1.064217109671655</v>
      </c>
    </row>
    <row r="19">
      <c r="B19" s="14" t="inlineStr">
        <is>
          <t>Implied Pipeline Value</t>
        </is>
      </c>
      <c r="C19" s="13">
        <f>C9</f>
        <v>1.179803119999999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2022</v>
      </c>
      <c r="C1" s="17" t="n">
        <v>2023</v>
      </c>
      <c r="D1" s="17" t="n">
        <v>2024</v>
      </c>
      <c r="E1" s="17" t="n">
        <v>2025</v>
      </c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5.132</v>
      </c>
      <c r="C5" s="23" t="n">
        <v>4.786</v>
      </c>
      <c r="D5" s="23" t="n">
        <v>10.496</v>
      </c>
      <c r="E5" s="23" t="n">
        <v>6.785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2.418</v>
      </c>
      <c r="C6" s="23" t="n">
        <v>3.533</v>
      </c>
      <c r="D6" s="23" t="n">
        <v>6.089</v>
      </c>
      <c r="E6" s="23" t="n">
        <v>5.187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7.55</v>
      </c>
      <c r="C7" s="23">
        <f>SUM(C5:C6)</f>
        <v>8.318999999999999</v>
      </c>
      <c r="D7" s="23">
        <f>SUM(D5:D6)</f>
        <v>16.585</v>
      </c>
      <c r="E7" s="23">
        <f>SUM(E5:E6)</f>
        <v>11.972000000000001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-7.55</v>
      </c>
      <c r="C8" s="23">
        <f>C4-C7</f>
        <v>-8.318999999999999</v>
      </c>
      <c r="D8" s="23">
        <f>D4-D7</f>
        <v>-16.585</v>
      </c>
      <c r="E8" s="23">
        <f>E4-E7</f>
        <v>-11.972000000000001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-0.032</v>
      </c>
      <c r="C9" s="23" t="n">
        <v>-2.219</v>
      </c>
      <c r="D9" s="23" t="n">
        <v>0.317</v>
      </c>
      <c r="E9" s="23" t="n">
        <v>0.366</v>
      </c>
    </row>
    <row r="10">
      <c r="A10" s="2" t="inlineStr">
        <is>
          <t>Pretax</t>
        </is>
      </c>
      <c r="B10" s="23">
        <f>B8+B9</f>
        <v>-7.582</v>
      </c>
      <c r="C10" s="23">
        <f>C8+C9</f>
        <v>-10.537999999999998</v>
      </c>
      <c r="D10" s="23">
        <f>D8+D9</f>
        <v>-16.268</v>
      </c>
      <c r="E10" s="23">
        <f>E8+E9</f>
        <v>-11.606000000000002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</row>
    <row r="12">
      <c r="A12" s="2" t="inlineStr">
        <is>
          <t>Net Income</t>
        </is>
      </c>
      <c r="B12" s="23" t="n">
        <v>-7.582</v>
      </c>
      <c r="C12" s="23" t="n">
        <v>-10.538</v>
      </c>
      <c r="D12" s="23" t="n">
        <v>-16.268</v>
      </c>
      <c r="E12" s="23" t="n">
        <v>-11.606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-2.2234604105571845</v>
      </c>
      <c r="C13" s="11">
        <f>IFERROR(C12/C14,0)</f>
        <v>-1.2230733519034356</v>
      </c>
      <c r="D13" s="11">
        <f>IFERROR(D12/D14,0)</f>
        <v>-29.258992805755394</v>
      </c>
      <c r="E13" s="11">
        <f>IFERROR(E12/E14,0)</f>
        <v>-8.558997050147491</v>
      </c>
    </row>
    <row r="14">
      <c r="A14" s="2" t="inlineStr">
        <is>
          <t>Shares</t>
        </is>
      </c>
      <c r="B14" s="23" t="n">
        <v>3.41</v>
      </c>
      <c r="C14" s="23" t="n">
        <v>8.616</v>
      </c>
      <c r="D14" s="23" t="n">
        <v>0.556</v>
      </c>
      <c r="E14" s="23" t="n">
        <v>1.356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2026-10-21T01:06:36Z</dcterms:modified>
  <cp:lastModifiedBy>Wang, Eric</cp:lastModifiedBy>
</cp:coreProperties>
</file>