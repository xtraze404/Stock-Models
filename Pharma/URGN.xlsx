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UroGen Pharma Ltd.</t>
        </is>
      </c>
      <c r="C2" s="10" t="n"/>
    </row>
    <row r="3">
      <c r="B3" t="inlineStr">
        <is>
          <t>Price</t>
        </is>
      </c>
      <c r="C3" s="11">
        <f>INDEX([1]Pharma!$F$1:$F$1000,MATCH("URGN",[1]Pharma!$B$1:$B$1000,0))</f>
        <v>35.01</v>
      </c>
      <c r="F3" s="1" t="n"/>
    </row>
    <row r="4">
      <c r="B4" t="inlineStr">
        <is>
          <t>Shares</t>
        </is>
      </c>
      <c r="C4" s="51" t="n">
        <v>48.880564</v>
      </c>
      <c r="F4" s="1" t="n"/>
    </row>
    <row r="5">
      <c r="B5" t="inlineStr">
        <is>
          <t>Market Cap.</t>
        </is>
      </c>
      <c r="C5" s="13">
        <f>C3*C4</f>
        <v>1711.30854564</v>
      </c>
      <c r="F5" s="1" t="n"/>
    </row>
    <row r="6"/>
    <row r="7">
      <c r="B7" t="inlineStr">
        <is>
          <t>Cash</t>
        </is>
      </c>
      <c r="C7" s="51">
        <f>79.133+30.162</f>
        <v>109.29499999999999</v>
      </c>
    </row>
    <row r="8">
      <c r="B8" t="inlineStr">
        <is>
          <t>Debt</t>
        </is>
      </c>
      <c r="C8" s="51" t="n">
        <v>188.734</v>
      </c>
    </row>
    <row r="9">
      <c r="B9" t="inlineStr">
        <is>
          <t>Enterprise V.</t>
        </is>
      </c>
      <c r="C9" s="13">
        <f>C5-C7+C8</f>
        <v>1790.7475456399998</v>
      </c>
    </row>
    <row r="10"/>
    <row r="11">
      <c r="B11" s="14" t="inlineStr">
        <is>
          <t>NPV / Share</t>
        </is>
      </c>
      <c r="C11" s="11">
        <f>NPV!B28</f>
        <v>1.2256017952827458</v>
      </c>
    </row>
    <row r="12">
      <c r="B12" s="14" t="inlineStr">
        <is>
          <t>Upside</t>
        </is>
      </c>
      <c r="C12" s="15">
        <f>IFERROR(C11/C3-1,"")</f>
        <v>-0.964992807903949</v>
      </c>
    </row>
    <row r="13">
      <c r="B13" s="14" t="inlineStr">
        <is>
          <t>Cash / Share</t>
        </is>
      </c>
      <c r="C13" s="11">
        <f>IFERROR((C7-C8)/C4,"")</f>
        <v>-1.6251653724781085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2015</v>
      </c>
      <c r="C1" s="16" t="n">
        <v>2016</v>
      </c>
      <c r="D1" s="16" t="n">
        <v>2017</v>
      </c>
      <c r="E1" s="16" t="n">
        <v>2018</v>
      </c>
      <c r="F1" s="16" t="n">
        <v>2019</v>
      </c>
      <c r="G1" s="16" t="n">
        <v>2020</v>
      </c>
      <c r="H1" s="16" t="n">
        <v>2021</v>
      </c>
      <c r="I1" s="16" t="n">
        <v>2022</v>
      </c>
      <c r="J1" s="16" t="n">
        <v>2023</v>
      </c>
      <c r="K1" s="16" t="n">
        <v>2024</v>
      </c>
      <c r="L1" s="16" t="n">
        <v>2025</v>
      </c>
      <c r="M1" s="16" t="n">
        <v>2026</v>
      </c>
      <c r="N1" s="16" t="n">
        <v>2027</v>
      </c>
      <c r="O1" s="16" t="n">
        <v>2028</v>
      </c>
      <c r="P1" s="16" t="n">
        <v>2029</v>
      </c>
      <c r="Q1" s="16" t="n">
        <v>2030</v>
      </c>
      <c r="R1" s="16" t="n">
        <v>2031</v>
      </c>
      <c r="S1" s="16" t="n">
        <v>2032</v>
      </c>
      <c r="T1" s="16" t="n">
        <v>2033</v>
      </c>
      <c r="U1" s="16" t="n">
        <v>2034</v>
      </c>
      <c r="V1" s="16" t="n">
        <v>2035</v>
      </c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2" t="n">
        <v>0</v>
      </c>
      <c r="C2" s="52" t="n">
        <v>17.53</v>
      </c>
      <c r="D2" s="52" t="n">
        <v>8.157999999999999</v>
      </c>
      <c r="E2" s="52" t="n">
        <v>1.128</v>
      </c>
      <c r="F2" s="52" t="n">
        <v>0.018</v>
      </c>
      <c r="G2" s="52" t="n">
        <v>11.799</v>
      </c>
      <c r="H2" s="52" t="n">
        <v>48.042</v>
      </c>
      <c r="I2" s="52" t="n">
        <v>64.357</v>
      </c>
      <c r="J2" s="52" t="n">
        <v>82.71299999999999</v>
      </c>
      <c r="K2" s="52" t="n">
        <v>90.398</v>
      </c>
      <c r="L2" s="52" t="n">
        <v>109.788</v>
      </c>
      <c r="M2" s="52">
        <f>L2*(1+NPV!C5)</f>
        <v>133.337526</v>
      </c>
      <c r="N2" s="52">
        <f>M2*(1+NPV!D5)</f>
        <v>159.13092964066666</v>
      </c>
      <c r="O2" s="52">
        <f>N2*(1+NPV!E5)</f>
        <v>186.56333378927715</v>
      </c>
      <c r="P2" s="52">
        <f>O2*(1+NPV!F5)</f>
        <v>214.79658496938777</v>
      </c>
      <c r="Q2" s="52">
        <f>P2*(1+NPV!G5)</f>
        <v>242.77980673345522</v>
      </c>
      <c r="R2" s="52">
        <f>Q2*(1+NPV!H5)</f>
        <v>269.2967567355648</v>
      </c>
      <c r="S2" s="52">
        <f>R2*(1+NPV!I5)</f>
        <v>293.03975412108383</v>
      </c>
      <c r="T2" s="52">
        <f>S2*(1+NPV!J5)</f>
        <v>312.7059776198766</v>
      </c>
      <c r="U2" s="52">
        <f>T2*(1+NPV!K5)</f>
        <v>327.1078251447031</v>
      </c>
      <c r="V2" s="52">
        <f>U2*(1+NPV!L5)</f>
        <v>335.2855207733206</v>
      </c>
    </row>
    <row r="3" customFormat="1" s="1">
      <c r="A3" s="5" t="inlineStr">
        <is>
          <t>Cost of Sales</t>
        </is>
      </c>
      <c r="B3" s="52" t="n">
        <v>0</v>
      </c>
      <c r="C3" s="52" t="n">
        <v>0.028</v>
      </c>
      <c r="D3" s="52" t="n">
        <v>0.6</v>
      </c>
      <c r="E3" s="52" t="n">
        <v>1.803</v>
      </c>
      <c r="F3" s="52" t="n">
        <v>0</v>
      </c>
      <c r="G3" s="52" t="n">
        <v>1.009</v>
      </c>
      <c r="H3" s="52" t="n">
        <v>5.157</v>
      </c>
      <c r="I3" s="52" t="n">
        <v>7.654</v>
      </c>
      <c r="J3" s="52" t="n">
        <v>9.361000000000001</v>
      </c>
      <c r="K3" s="52" t="n">
        <v>8.881</v>
      </c>
      <c r="L3" s="52" t="n">
        <v>12.447</v>
      </c>
      <c r="M3" s="52">
        <f>M2*(1-Assumptions!$B$19)</f>
        <v>15.120475448399992</v>
      </c>
      <c r="N3" s="52">
        <f>N2*(1-Assumptions!$B$19)</f>
        <v>18.04544742125159</v>
      </c>
      <c r="O3" s="52">
        <f>O2*(1-Assumptions!$B$19)</f>
        <v>21.156282051704018</v>
      </c>
      <c r="P3" s="52">
        <f>P2*(1-Assumptions!$B$19)</f>
        <v>24.35793273552856</v>
      </c>
      <c r="Q3" s="52">
        <f>Q2*(1-Assumptions!$B$19)</f>
        <v>27.53123008357381</v>
      </c>
      <c r="R3" s="52">
        <f>R2*(1-Assumptions!$B$19)</f>
        <v>30.53825221381304</v>
      </c>
      <c r="S3" s="52">
        <f>S2*(1-Assumptions!$B$19)</f>
        <v>33.23070811733089</v>
      </c>
      <c r="T3" s="52">
        <f>T2*(1-Assumptions!$B$19)</f>
        <v>35.46085786209399</v>
      </c>
      <c r="U3" s="52">
        <f>U2*(1-Assumptions!$B$19)</f>
        <v>37.09402737140931</v>
      </c>
      <c r="V3" s="52">
        <f>V2*(1-Assumptions!$B$19)</f>
        <v>38.02137805569454</v>
      </c>
    </row>
    <row r="4" customFormat="1" s="1">
      <c r="A4" s="5" t="inlineStr">
        <is>
          <t>Gross Margin</t>
        </is>
      </c>
      <c r="B4" s="52">
        <f>B2-B3</f>
        <v>0.0</v>
      </c>
      <c r="C4" s="52">
        <f>C2-C3</f>
        <v>17.502000000000002</v>
      </c>
      <c r="D4" s="52">
        <f>D2-D3</f>
        <v>7.558</v>
      </c>
      <c r="E4" s="52">
        <f>E2-E3</f>
        <v>-0.675</v>
      </c>
      <c r="F4" s="52">
        <f>F2-F3</f>
        <v>0.018</v>
      </c>
      <c r="G4" s="52">
        <f>G2-G3</f>
        <v>10.79</v>
      </c>
      <c r="H4" s="52">
        <f>H2-H3</f>
        <v>42.885000000000005</v>
      </c>
      <c r="I4" s="52">
        <f>I2-I3</f>
        <v>56.703</v>
      </c>
      <c r="J4" s="52">
        <f>J2-J3</f>
        <v>73.35199999999999</v>
      </c>
      <c r="K4" s="52">
        <f>K2-K3</f>
        <v>81.517</v>
      </c>
      <c r="L4" s="52">
        <f>L2-L3</f>
        <v>97.341</v>
      </c>
      <c r="M4" s="52">
        <f>M2-M3</f>
        <v>118.21705055160001</v>
      </c>
      <c r="N4" s="52">
        <f>N2-N3</f>
        <v>141.08548221941507</v>
      </c>
      <c r="O4" s="52">
        <f>O2-O3</f>
        <v>165.40705173757314</v>
      </c>
      <c r="P4" s="52">
        <f>P2-P3</f>
        <v>190.43865223385922</v>
      </c>
      <c r="Q4" s="52">
        <f>Q2-Q3</f>
        <v>215.24857664988141</v>
      </c>
      <c r="R4" s="52">
        <f>R2-R3</f>
        <v>238.75850452175177</v>
      </c>
      <c r="S4" s="52">
        <f>S2-S3</f>
        <v>259.80904600375294</v>
      </c>
      <c r="T4" s="52">
        <f>T2-T3</f>
        <v>277.2451197577826</v>
      </c>
      <c r="U4" s="52">
        <f>U2-U3</f>
        <v>290.0137977732938</v>
      </c>
      <c r="V4" s="52">
        <f>V2-V3</f>
        <v>297.2641427176261</v>
      </c>
    </row>
    <row r="5">
      <c r="A5" s="2" t="inlineStr">
        <is>
          <t>Research &amp; Dev.</t>
        </is>
      </c>
      <c r="B5" s="52" t="n">
        <v>0</v>
      </c>
      <c r="C5" s="52" t="n">
        <v>0</v>
      </c>
      <c r="D5" s="52" t="n">
        <v>18.697</v>
      </c>
      <c r="E5" s="52" t="n">
        <v>36.934</v>
      </c>
      <c r="F5" s="52" t="n">
        <v>49.297</v>
      </c>
      <c r="G5" s="52" t="n">
        <v>47.31</v>
      </c>
      <c r="H5" s="52" t="n">
        <v>47.642</v>
      </c>
      <c r="I5" s="52" t="n">
        <v>52.906</v>
      </c>
      <c r="J5" s="52" t="n">
        <v>45.614</v>
      </c>
      <c r="K5" s="52" t="n">
        <v>57.145</v>
      </c>
      <c r="L5" s="52" t="n">
        <v>67.107</v>
      </c>
      <c r="M5" s="52">
        <f>M7*Assumptions!$B$20</f>
        <v>47.69656110453696</v>
      </c>
      <c r="N5" s="52">
        <f>N7*Assumptions!$B$20</f>
        <v>54.26465271494266</v>
      </c>
      <c r="O5" s="52">
        <f>O7*Assumptions!$B$20</f>
        <v>60.50242944759577</v>
      </c>
      <c r="P5" s="52">
        <f>P7*Assumptions!$B$20</f>
        <v>66.0699345523523</v>
      </c>
      <c r="Q5" s="52">
        <f>Q7*Assumptions!$B$20</f>
        <v>70.62134397339055</v>
      </c>
      <c r="R5" s="52">
        <f>R7*Assumptions!$B$20</f>
        <v>73.83572013053553</v>
      </c>
      <c r="S5" s="52">
        <f>S7*Assumptions!$B$20</f>
        <v>75.44985977758832</v>
      </c>
      <c r="T5" s="52">
        <f>T7*Assumptions!$B$20</f>
        <v>75.28911750649647</v>
      </c>
      <c r="U5" s="52">
        <f>U7*Assumptions!$B$20</f>
        <v>73.29172696467016</v>
      </c>
      <c r="V5" s="52">
        <f>V7*Assumptions!$B$20</f>
        <v>69.52252564601451</v>
      </c>
    </row>
    <row r="6">
      <c r="A6" s="18" t="inlineStr">
        <is>
          <t>SG&amp;A &amp; Other</t>
        </is>
      </c>
      <c r="B6" s="52" t="n">
        <v>12.41</v>
      </c>
      <c r="C6" s="52" t="n">
        <v>16.704</v>
      </c>
      <c r="D6" s="52" t="n">
        <v>8.811</v>
      </c>
      <c r="E6" s="52" t="n">
        <v>39.571</v>
      </c>
      <c r="F6" s="52" t="n">
        <v>60.199</v>
      </c>
      <c r="G6" s="52" t="n">
        <v>90.21899999999999</v>
      </c>
      <c r="H6" s="52" t="n">
        <v>87.535</v>
      </c>
      <c r="I6" s="52" t="n">
        <v>82.83799999999999</v>
      </c>
      <c r="J6" s="52" t="n">
        <v>93.274</v>
      </c>
      <c r="K6" s="52" t="n">
        <v>121.154</v>
      </c>
      <c r="L6" s="52" t="n">
        <v>155.097</v>
      </c>
      <c r="M6" s="52">
        <f>M7-M5</f>
        <v>110.23907169194305</v>
      </c>
      <c r="N6" s="52">
        <f>N7-N5</f>
        <v>125.41962779811251</v>
      </c>
      <c r="O6" s="52">
        <f>O7-O5</f>
        <v>139.83674090868163</v>
      </c>
      <c r="P6" s="52">
        <f>P7-P5</f>
        <v>152.70468317066857</v>
      </c>
      <c r="Q6" s="52">
        <f>Q7-Q5</f>
        <v>163.22416587227355</v>
      </c>
      <c r="R6" s="52">
        <f>R7-R5</f>
        <v>170.65341937454906</v>
      </c>
      <c r="S6" s="52">
        <f>S7-S5</f>
        <v>174.3841129958829</v>
      </c>
      <c r="T6" s="52">
        <f>T7-T5</f>
        <v>174.01259609117398</v>
      </c>
      <c r="U6" s="52">
        <f>U7-U5</f>
        <v>169.396110666688</v>
      </c>
      <c r="V6" s="52">
        <f>V7-V5</f>
        <v>160.68451291694745</v>
      </c>
    </row>
    <row r="7">
      <c r="A7" s="2" t="inlineStr">
        <is>
          <t>Operating Expense</t>
        </is>
      </c>
      <c r="B7" s="52">
        <f>SUM(B5:B6)</f>
        <v>12.41</v>
      </c>
      <c r="C7" s="52">
        <f>SUM(C5:C6)</f>
        <v>16.704</v>
      </c>
      <c r="D7" s="52">
        <f>SUM(D5:D6)</f>
        <v>27.508</v>
      </c>
      <c r="E7" s="52">
        <f>SUM(E5:E6)</f>
        <v>76.505</v>
      </c>
      <c r="F7" s="52">
        <f>SUM(F5:F6)</f>
        <v>109.496</v>
      </c>
      <c r="G7" s="52">
        <f>SUM(G5:G6)</f>
        <v>137.529</v>
      </c>
      <c r="H7" s="52">
        <f>SUM(H5:H6)</f>
        <v>135.177</v>
      </c>
      <c r="I7" s="52">
        <f>SUM(I5:I6)</f>
        <v>135.744</v>
      </c>
      <c r="J7" s="52">
        <f>SUM(J5:J6)</f>
        <v>138.888</v>
      </c>
      <c r="K7" s="52">
        <f>SUM(K5:K6)</f>
        <v>178.299</v>
      </c>
      <c r="L7" s="52">
        <f>SUM(L5:L6)</f>
        <v>222.204</v>
      </c>
      <c r="M7" s="52">
        <f>M4-M2*NPV!C6</f>
        <v>157.93563279648</v>
      </c>
      <c r="N7" s="52">
        <f>N4-N2*NPV!D6</f>
        <v>179.68428051305517</v>
      </c>
      <c r="O7" s="52">
        <f>O4-O2*NPV!E6</f>
        <v>200.3391703562774</v>
      </c>
      <c r="P7" s="52">
        <f>P4-P2*NPV!F6</f>
        <v>218.77461772302087</v>
      </c>
      <c r="Q7" s="52">
        <f>Q4-Q2*NPV!G6</f>
        <v>233.84550984566408</v>
      </c>
      <c r="R7" s="52">
        <f>R4-R2*NPV!H6</f>
        <v>244.48913950508458</v>
      </c>
      <c r="S7" s="52">
        <f>S4-S2*NPV!I6</f>
        <v>249.83397277347123</v>
      </c>
      <c r="T7" s="52">
        <f>T4-T2*NPV!J6</f>
        <v>249.30171359767044</v>
      </c>
      <c r="U7" s="52">
        <f>U4-U2*NPV!K6</f>
        <v>242.68783763135815</v>
      </c>
      <c r="V7" s="52">
        <f>V4-V2*NPV!L6</f>
        <v>230.20703856296197</v>
      </c>
    </row>
    <row r="8">
      <c r="A8" s="2" t="inlineStr">
        <is>
          <t>Operating Income</t>
        </is>
      </c>
      <c r="B8" s="52">
        <f>B4-B7</f>
        <v>-12.41</v>
      </c>
      <c r="C8" s="52">
        <f>C4-C7</f>
        <v>0.7980000000000018</v>
      </c>
      <c r="D8" s="52">
        <f>D4-D7</f>
        <v>-19.95</v>
      </c>
      <c r="E8" s="52">
        <f>E4-E7</f>
        <v>-77.17999999999999</v>
      </c>
      <c r="F8" s="52">
        <f>F4-F7</f>
        <v>-109.478</v>
      </c>
      <c r="G8" s="52">
        <f>G4-G7</f>
        <v>-126.739</v>
      </c>
      <c r="H8" s="52">
        <f>H4-H7</f>
        <v>-92.29199999999999</v>
      </c>
      <c r="I8" s="52">
        <f>I4-I7</f>
        <v>-79.041</v>
      </c>
      <c r="J8" s="52">
        <f>J4-J7</f>
        <v>-65.53600000000002</v>
      </c>
      <c r="K8" s="52">
        <f>K4-K7</f>
        <v>-96.78200000000001</v>
      </c>
      <c r="L8" s="52">
        <f>L4-L7</f>
        <v>-124.86300000000001</v>
      </c>
      <c r="M8" s="52">
        <f>M4-M7</f>
        <v>-39.71858224488</v>
      </c>
      <c r="N8" s="52">
        <f>N4-N7</f>
        <v>-38.5987982936401</v>
      </c>
      <c r="O8" s="52">
        <f>O4-O7</f>
        <v>-34.932118618704266</v>
      </c>
      <c r="P8" s="52">
        <f>P4-P7</f>
        <v>-28.33596548916165</v>
      </c>
      <c r="Q8" s="52">
        <f>Q4-Q7</f>
        <v>-18.59693319578267</v>
      </c>
      <c r="R8" s="52">
        <f>R4-R7</f>
        <v>-5.730634983332806</v>
      </c>
      <c r="S8" s="52">
        <f>S4-S7</f>
        <v>9.975073230281708</v>
      </c>
      <c r="T8" s="52">
        <f>T4-T7</f>
        <v>27.943406160112175</v>
      </c>
      <c r="U8" s="52">
        <f>U4-U7</f>
        <v>47.32596014193564</v>
      </c>
      <c r="V8" s="52">
        <f>V4-V7</f>
        <v>67.05710415466413</v>
      </c>
    </row>
    <row r="9">
      <c r="A9" s="18" t="inlineStr">
        <is>
          <t>Interest &amp; Other</t>
        </is>
      </c>
      <c r="B9" s="52" t="n">
        <v>-0.279</v>
      </c>
      <c r="C9" s="52" t="n">
        <v>-2.739</v>
      </c>
      <c r="D9" s="52" t="n">
        <v>-0.031</v>
      </c>
      <c r="E9" s="52" t="n">
        <v>1.648</v>
      </c>
      <c r="F9" s="52" t="n">
        <v>4.332</v>
      </c>
      <c r="G9" s="52" t="n">
        <v>1.629</v>
      </c>
      <c r="H9" s="52" t="n">
        <v>-17.079</v>
      </c>
      <c r="I9" s="52" t="n">
        <v>-28.987</v>
      </c>
      <c r="J9" s="52" t="n">
        <v>-32.788</v>
      </c>
      <c r="K9" s="52" t="n">
        <v>-27.26</v>
      </c>
      <c r="L9" s="52" t="n">
        <v>-28.553</v>
      </c>
      <c r="M9" s="52" t="n">
        <v>0</v>
      </c>
      <c r="N9" s="52" t="n">
        <v>0</v>
      </c>
      <c r="O9" s="52" t="n">
        <v>0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0</v>
      </c>
      <c r="V9" s="52" t="n">
        <v>0</v>
      </c>
    </row>
    <row r="10">
      <c r="A10" s="2" t="inlineStr">
        <is>
          <t>Pretax</t>
        </is>
      </c>
      <c r="B10" s="52">
        <f>B8+B9</f>
        <v>-12.689</v>
      </c>
      <c r="C10" s="52">
        <f>C8+C9</f>
        <v>-1.940999999999998</v>
      </c>
      <c r="D10" s="52">
        <f>D8+D9</f>
        <v>-19.980999999999998</v>
      </c>
      <c r="E10" s="52">
        <f>E8+E9</f>
        <v>-75.532</v>
      </c>
      <c r="F10" s="52">
        <f>F8+F9</f>
        <v>-105.146</v>
      </c>
      <c r="G10" s="52">
        <f>G8+G9</f>
        <v>-125.11</v>
      </c>
      <c r="H10" s="52">
        <f>H8+H9</f>
        <v>-109.37099999999998</v>
      </c>
      <c r="I10" s="52">
        <f>I8+I9</f>
        <v>-108.02799999999999</v>
      </c>
      <c r="J10" s="52">
        <f>J8+J9</f>
        <v>-98.32400000000001</v>
      </c>
      <c r="K10" s="52">
        <f>K8+K9</f>
        <v>-124.04200000000002</v>
      </c>
      <c r="L10" s="52">
        <f>L8+L9</f>
        <v>-153.41600000000003</v>
      </c>
      <c r="M10" s="52">
        <f>M8+M9</f>
        <v>-39.71858224488</v>
      </c>
      <c r="N10" s="52">
        <f>N8+N9</f>
        <v>-38.5987982936401</v>
      </c>
      <c r="O10" s="52">
        <f>O8+O9</f>
        <v>-34.932118618704266</v>
      </c>
      <c r="P10" s="52">
        <f>P8+P9</f>
        <v>-28.33596548916165</v>
      </c>
      <c r="Q10" s="52">
        <f>Q8+Q9</f>
        <v>-18.59693319578267</v>
      </c>
      <c r="R10" s="52">
        <f>R8+R9</f>
        <v>-5.730634983332806</v>
      </c>
      <c r="S10" s="52">
        <f>S8+S9</f>
        <v>9.975073230281708</v>
      </c>
      <c r="T10" s="52">
        <f>T8+T9</f>
        <v>27.943406160112175</v>
      </c>
      <c r="U10" s="52">
        <f>U8+U9</f>
        <v>47.32596014193564</v>
      </c>
      <c r="V10" s="52">
        <f>V8+V9</f>
        <v>67.05710415466413</v>
      </c>
    </row>
    <row r="11">
      <c r="A11" s="2" t="inlineStr">
        <is>
          <t>Taxes</t>
        </is>
      </c>
      <c r="B11" s="52" t="n">
        <v>0</v>
      </c>
      <c r="C11" s="52" t="n">
        <v>0</v>
      </c>
      <c r="D11" s="52" t="n">
        <v>0.019</v>
      </c>
      <c r="E11" s="52" t="n">
        <v>0.125</v>
      </c>
      <c r="F11" s="52" t="n">
        <v>0</v>
      </c>
      <c r="G11" s="52" t="n">
        <v>3.374</v>
      </c>
      <c r="H11" s="52" t="n">
        <v>1.449</v>
      </c>
      <c r="I11" s="52" t="n">
        <v>1.755</v>
      </c>
      <c r="J11" s="52" t="n">
        <v>3.92</v>
      </c>
      <c r="K11" s="52" t="n">
        <v>2.832</v>
      </c>
      <c r="L11" s="52" t="n">
        <v>0.078</v>
      </c>
      <c r="M11" s="52">
        <f>MAX(0,M10)*Assumptions!$E$14</f>
        <v>0.0</v>
      </c>
      <c r="N11" s="52">
        <f>MAX(0,N10)*Assumptions!$E$14</f>
        <v>0.0</v>
      </c>
      <c r="O11" s="52">
        <f>MAX(0,O10)*Assumptions!$E$14</f>
        <v>0.0</v>
      </c>
      <c r="P11" s="52">
        <f>MAX(0,P10)*Assumptions!$E$14</f>
        <v>0.0</v>
      </c>
      <c r="Q11" s="52">
        <f>MAX(0,Q10)*Assumptions!$E$14</f>
        <v>0.0</v>
      </c>
      <c r="R11" s="52">
        <f>MAX(0,R10)*Assumptions!$E$14</f>
        <v>0.0</v>
      </c>
      <c r="S11" s="52">
        <f>MAX(0,S10)*Assumptions!$E$14</f>
        <v>1.6957624491478906</v>
      </c>
      <c r="T11" s="52">
        <f>MAX(0,T10)*Assumptions!$E$14</f>
        <v>4.75037904721907</v>
      </c>
      <c r="U11" s="52">
        <f>MAX(0,U10)*Assumptions!$E$14</f>
        <v>8.045413224129058</v>
      </c>
      <c r="V11" s="52">
        <f>MAX(0,V10)*Assumptions!$E$14</f>
        <v>11.399707706292903</v>
      </c>
    </row>
    <row r="12">
      <c r="A12" s="2" t="inlineStr">
        <is>
          <t>Net Income</t>
        </is>
      </c>
      <c r="B12" s="52" t="n">
        <v>-12.689</v>
      </c>
      <c r="C12" s="52" t="n">
        <v>-1.941</v>
      </c>
      <c r="D12" s="52" t="n">
        <v>-20</v>
      </c>
      <c r="E12" s="52" t="n">
        <v>-75.657</v>
      </c>
      <c r="F12" s="52" t="n">
        <v>-105.146</v>
      </c>
      <c r="G12" s="52" t="n">
        <v>-128.484</v>
      </c>
      <c r="H12" s="52" t="n">
        <v>-110.82</v>
      </c>
      <c r="I12" s="52" t="n">
        <v>-109.783</v>
      </c>
      <c r="J12" s="52" t="n">
        <v>-102.244</v>
      </c>
      <c r="K12" s="52" t="n">
        <v>-126.874</v>
      </c>
      <c r="L12" s="52" t="n">
        <v>-153.494</v>
      </c>
      <c r="M12" s="52">
        <f>M10-M11</f>
        <v>-39.71858224488</v>
      </c>
      <c r="N12" s="52">
        <f>N10-N11</f>
        <v>-38.5987982936401</v>
      </c>
      <c r="O12" s="52">
        <f>O10-O11</f>
        <v>-34.932118618704266</v>
      </c>
      <c r="P12" s="52">
        <f>P10-P11</f>
        <v>-28.33596548916165</v>
      </c>
      <c r="Q12" s="52">
        <f>Q10-Q11</f>
        <v>-18.59693319578267</v>
      </c>
      <c r="R12" s="52">
        <f>R10-R11</f>
        <v>-5.730634983332806</v>
      </c>
      <c r="S12" s="52">
        <f>S10-S11</f>
        <v>8.279310781133818</v>
      </c>
      <c r="T12" s="52">
        <f>T10-T11</f>
        <v>23.193027112893105</v>
      </c>
      <c r="U12" s="52">
        <f>U10-U11</f>
        <v>39.28054691780658</v>
      </c>
      <c r="V12" s="52">
        <f>V10-V11</f>
        <v>55.65739644837123</v>
      </c>
    </row>
    <row r="13">
      <c r="A13" s="2" t="inlineStr">
        <is>
          <t>Earnings per Share</t>
        </is>
      </c>
      <c r="B13" s="11">
        <f>IFERROR(B12/B14,0)</f>
        <v>-5.514558887440243</v>
      </c>
      <c r="C13" s="11">
        <f>IFERROR(C12/C14,0)</f>
        <v>-0.8417172593235039</v>
      </c>
      <c r="D13" s="11">
        <f>IFERROR(D12/D14,0)</f>
        <v>-2.0582484305855715</v>
      </c>
      <c r="E13" s="11">
        <f>IFERROR(E12/E14,0)</f>
        <v>-4.802399390630951</v>
      </c>
      <c r="F13" s="11">
        <f>IFERROR(F12/F14,0)</f>
        <v>-5.12182765843441</v>
      </c>
      <c r="G13" s="11">
        <f>IFERROR(G12/G14,0)</f>
        <v>-5.898902713374042</v>
      </c>
      <c r="H13" s="11">
        <f>IFERROR(H12/H14,0)</f>
        <v>-4.959054906698885</v>
      </c>
      <c r="I13" s="11">
        <f>IFERROR(I12/I14,0)</f>
        <v>-4.813566010435393</v>
      </c>
      <c r="J13" s="11">
        <f>IFERROR(J12/J14,0)</f>
        <v>-3.545952694735382</v>
      </c>
      <c r="K13" s="11">
        <f>IFERROR(K12/K14,0)</f>
        <v>-2.959022319658558</v>
      </c>
      <c r="L13" s="11">
        <f>IFERROR(L12/L14,0)</f>
        <v>-3.190082301105661</v>
      </c>
      <c r="M13" s="11">
        <f>IFERROR(M12/M14,0)</f>
        <v>-0.8125639107781162</v>
      </c>
      <c r="N13" s="11">
        <f>IFERROR(N12/N14,0)</f>
        <v>-0.7896553381348076</v>
      </c>
      <c r="O13" s="11">
        <f>IFERROR(O12/O14,0)</f>
        <v>-0.7146422986998322</v>
      </c>
      <c r="P13" s="11">
        <f>IFERROR(P12/P14,0)</f>
        <v>-0.579698006126968</v>
      </c>
      <c r="Q13" s="11">
        <f>IFERROR(Q12/Q14,0)</f>
        <v>-0.38045660020990485</v>
      </c>
      <c r="R13" s="11">
        <f>IFERROR(R12/R14,0)</f>
        <v>-0.11723749716416541</v>
      </c>
      <c r="S13" s="11">
        <f>IFERROR(S12/S14,0)</f>
        <v>0.16937838076364703</v>
      </c>
      <c r="T13" s="11">
        <f>IFERROR(T12/T14,0)</f>
        <v>0.4744836232432405</v>
      </c>
      <c r="U13" s="11">
        <f>IFERROR(U12/U14,0)</f>
        <v>0.8036025713166195</v>
      </c>
      <c r="V13" s="11">
        <f>IFERROR(V12/V14,0)</f>
        <v>1.1386406353325063</v>
      </c>
    </row>
    <row r="14">
      <c r="A14" s="2" t="inlineStr">
        <is>
          <t>Shares</t>
        </is>
      </c>
      <c r="B14" s="52" t="n">
        <v>2.301</v>
      </c>
      <c r="C14" s="52" t="n">
        <v>2.306</v>
      </c>
      <c r="D14" s="52" t="n">
        <v>9.717000000000001</v>
      </c>
      <c r="E14" s="52" t="n">
        <v>15.754</v>
      </c>
      <c r="F14" s="52" t="n">
        <v>20.529</v>
      </c>
      <c r="G14" s="52" t="n">
        <v>21.781</v>
      </c>
      <c r="H14" s="52" t="n">
        <v>22.347</v>
      </c>
      <c r="I14" s="52" t="n">
        <v>22.807</v>
      </c>
      <c r="J14" s="52" t="n">
        <v>28.834</v>
      </c>
      <c r="K14" s="52" t="n">
        <v>42.877</v>
      </c>
      <c r="L14" s="52" t="n">
        <v>48.116</v>
      </c>
      <c r="M14" s="52">
        <f>Main!$C$4</f>
        <v>48.880564</v>
      </c>
      <c r="N14" s="52">
        <f>Main!$C$4</f>
        <v>48.880564</v>
      </c>
      <c r="O14" s="52">
        <f>Main!$C$4</f>
        <v>48.880564</v>
      </c>
      <c r="P14" s="52">
        <f>Main!$C$4</f>
        <v>48.880564</v>
      </c>
      <c r="Q14" s="52">
        <f>Main!$C$4</f>
        <v>48.880564</v>
      </c>
      <c r="R14" s="52">
        <f>Main!$C$4</f>
        <v>48.880564</v>
      </c>
      <c r="S14" s="52">
        <f>Main!$C$4</f>
        <v>48.880564</v>
      </c>
      <c r="T14" s="52">
        <f>Main!$C$4</f>
        <v>48.880564</v>
      </c>
      <c r="U14" s="52">
        <f>Main!$C$4</f>
        <v>48.880564</v>
      </c>
      <c r="V14" s="52">
        <f>Main!$C$4</f>
        <v>48.880564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>-0.5346263548203081</v>
      </c>
      <c r="E16" s="15">
        <f>IFERROR(E2/D2-1,"")</f>
        <v>-0.8617308163765629</v>
      </c>
      <c r="F16" s="15">
        <f>IFERROR(F2/E2-1,"")</f>
        <v>-0.9840425531914894</v>
      </c>
      <c r="G16" s="15">
        <f>IFERROR(G2/F2-1,"")</f>
        <v>654.5</v>
      </c>
      <c r="H16" s="15">
        <f>IFERROR(H2/G2-1,"")</f>
        <v>3.0717009916094584</v>
      </c>
      <c r="I16" s="15">
        <f>IFERROR(I2/H2-1,"")</f>
        <v>0.33959868448440944</v>
      </c>
      <c r="J16" s="15">
        <f>IFERROR(J2/I2-1,"")</f>
        <v>0.28522149882685643</v>
      </c>
      <c r="K16" s="15">
        <f>IFERROR(K2/J2-1,"")</f>
        <v>0.09291163420502224</v>
      </c>
      <c r="L16" s="15">
        <f>IFERROR(L2/K2-1,"")</f>
        <v>0.214495895926901</v>
      </c>
      <c r="M16" s="15">
        <f>IFERROR(M2/L2-1,"")</f>
        <v>0.2144999999999999</v>
      </c>
      <c r="N16" s="15">
        <f>IFERROR(N2/M2-1,"")</f>
        <v>0.19344444444444453</v>
      </c>
      <c r="O16" s="15">
        <f>IFERROR(O2/N2-1,"")</f>
        <v>0.17238888888888892</v>
      </c>
      <c r="P16" s="15">
        <f>IFERROR(P2/O2-1,"")</f>
        <v>0.15133333333333332</v>
      </c>
      <c r="Q16" s="15">
        <f>IFERROR(Q2/P2-1,"")</f>
        <v>0.13027777777777771</v>
      </c>
      <c r="R16" s="15">
        <f>IFERROR(R2/Q2-1,"")</f>
        <v>0.10922222222222233</v>
      </c>
      <c r="S16" s="15">
        <f>IFERROR(S2/R2-1,"")</f>
        <v>0.08816666666666673</v>
      </c>
      <c r="T16" s="15">
        <f>IFERROR(T2/S2-1,"")</f>
        <v>0.06711111111111112</v>
      </c>
      <c r="U16" s="15">
        <f>IFERROR(U2/T2-1,"")</f>
        <v>0.046055555555555516</v>
      </c>
      <c r="V16" s="15">
        <f>IFERROR(V2/U2-1,"")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>0.998402738163149</v>
      </c>
      <c r="D17" s="15">
        <f>IFERROR(D4/D2,"")</f>
        <v>0.9264525619024271</v>
      </c>
      <c r="E17" s="15">
        <f>IFERROR(E4/E2,"")</f>
        <v>-0.598404255319149</v>
      </c>
      <c r="F17" s="15">
        <f>IFERROR(F4/F2,"")</f>
        <v>1.0</v>
      </c>
      <c r="G17" s="15">
        <f>IFERROR(G4/G2,"")</f>
        <v>0.9144842783286719</v>
      </c>
      <c r="H17" s="15">
        <f>IFERROR(H4/H2,"")</f>
        <v>0.892656425627576</v>
      </c>
      <c r="I17" s="15">
        <f>IFERROR(I4/I2,"")</f>
        <v>0.8810696583122272</v>
      </c>
      <c r="J17" s="15">
        <f>IFERROR(J4/J2,"")</f>
        <v>0.88682552923966</v>
      </c>
      <c r="K17" s="15">
        <f>IFERROR(K4/K2,"")</f>
        <v>0.9017566760326556</v>
      </c>
      <c r="L17" s="15">
        <f>IFERROR(L4/L2,"")</f>
        <v>0.8866269537654388</v>
      </c>
      <c r="M17" s="15">
        <f>IFERROR(M4/M2,"")</f>
        <v>0.8866</v>
      </c>
      <c r="N17" s="15">
        <f>IFERROR(N4/N2,"")</f>
        <v>0.8866</v>
      </c>
      <c r="O17" s="15">
        <f>IFERROR(O4/O2,"")</f>
        <v>0.8866</v>
      </c>
      <c r="P17" s="15">
        <f>IFERROR(P4/P2,"")</f>
        <v>0.8866</v>
      </c>
      <c r="Q17" s="15">
        <f>IFERROR(Q4/Q2,"")</f>
        <v>0.8866</v>
      </c>
      <c r="R17" s="15">
        <f>IFERROR(R4/R2,"")</f>
        <v>0.8865999999999999</v>
      </c>
      <c r="S17" s="15">
        <f>IFERROR(S4/S2,"")</f>
        <v>0.8866</v>
      </c>
      <c r="T17" s="15">
        <f>IFERROR(T4/T2,"")</f>
        <v>0.8866</v>
      </c>
      <c r="U17" s="15">
        <f>IFERROR(U4/U2,"")</f>
        <v>0.8866</v>
      </c>
      <c r="V17" s="15">
        <f>IFERROR(V4/V2,"")</f>
        <v>0.8866</v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>0.0455219623502568</v>
      </c>
      <c r="D18" s="15">
        <f>IFERROR(D8/D2,"")</f>
        <v>-2.4454523167443</v>
      </c>
      <c r="E18" s="15">
        <f>IFERROR(E8/E2,"")</f>
        <v>-68.42198581560284</v>
      </c>
      <c r="F18" s="15">
        <f>IFERROR(F8/F2,"")</f>
        <v>-6082.111111111111</v>
      </c>
      <c r="G18" s="15">
        <f>IFERROR(G8/G2,"")</f>
        <v>-10.741503517247224</v>
      </c>
      <c r="H18" s="15">
        <f>IFERROR(H8/H2,"")</f>
        <v>-1.9210690645685022</v>
      </c>
      <c r="I18" s="15">
        <f>IFERROR(I8/I2,"")</f>
        <v>-1.2281647684012618</v>
      </c>
      <c r="J18" s="15">
        <f>IFERROR(J8/J2,"")</f>
        <v>-0.7923301053038824</v>
      </c>
      <c r="K18" s="15">
        <f>IFERROR(K8/K2,"")</f>
        <v>-1.0706210314387488</v>
      </c>
      <c r="L18" s="15">
        <f>IFERROR(L8/L2,"")</f>
        <v>-1.1373100885342662</v>
      </c>
      <c r="M18" s="15">
        <f>IFERROR(M8/M2,"")</f>
        <v>-0.29788</v>
      </c>
      <c r="N18" s="15">
        <f>IFERROR(N8/N2,"")</f>
        <v>-0.24255999999999997</v>
      </c>
      <c r="O18" s="15">
        <f>IFERROR(O8/O2,"")</f>
        <v>-0.18724000000000007</v>
      </c>
      <c r="P18" s="15">
        <f>IFERROR(P8/P2,"")</f>
        <v>-0.1319200000000001</v>
      </c>
      <c r="Q18" s="15">
        <f>IFERROR(Q8/Q2,"")</f>
        <v>-0.07659999999999999</v>
      </c>
      <c r="R18" s="15">
        <f>IFERROR(R8/R2,"")</f>
        <v>-0.021279999999999948</v>
      </c>
      <c r="S18" s="15">
        <f>IFERROR(S8/S2,"")</f>
        <v>0.03404000000000005</v>
      </c>
      <c r="T18" s="15">
        <f>IFERROR(T8/T2,"")</f>
        <v>0.08936000000000001</v>
      </c>
      <c r="U18" s="15">
        <f>IFERROR(U8/U2,"")</f>
        <v>0.14467999999999998</v>
      </c>
      <c r="V18" s="15">
        <f>IFERROR(V8/V2,"")</f>
        <v>0.2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A</t>
        </is>
      </c>
      <c r="I19" s="19" t="inlineStr">
        <is>
          <t>A</t>
        </is>
      </c>
      <c r="J19" s="19" t="inlineStr">
        <is>
          <t>A</t>
        </is>
      </c>
      <c r="K19" s="19" t="inlineStr">
        <is>
          <t>A</t>
        </is>
      </c>
      <c r="L19" s="19" t="inlineStr">
        <is>
          <t>A</t>
        </is>
      </c>
      <c r="M19" s="19" t="inlineStr">
        <is>
          <t>E</t>
        </is>
      </c>
      <c r="N19" s="19" t="inlineStr">
        <is>
          <t>E</t>
        </is>
      </c>
      <c r="O19" s="19" t="inlineStr">
        <is>
          <t>E</t>
        </is>
      </c>
      <c r="P19" s="19" t="inlineStr">
        <is>
          <t>E</t>
        </is>
      </c>
      <c r="Q19" s="19" t="inlineStr">
        <is>
          <t>E</t>
        </is>
      </c>
      <c r="R19" s="19" t="inlineStr">
        <is>
          <t>E</t>
        </is>
      </c>
      <c r="S19" s="19" t="inlineStr">
        <is>
          <t>E</t>
        </is>
      </c>
      <c r="T19" s="19" t="inlineStr">
        <is>
          <t>E</t>
        </is>
      </c>
      <c r="U19" s="19" t="inlineStr">
        <is>
          <t>E</t>
        </is>
      </c>
      <c r="V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UroGen Pharma Ltd.: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0.12</v>
      </c>
      <c r="C10" s="53" t="n">
        <v>0.11</v>
      </c>
      <c r="D10" s="53" t="n">
        <v>0.1</v>
      </c>
      <c r="E10" s="54">
        <f>IF(ISNUMBER($B$6),$B$6,CHOOSE($B$4,B10,C10,D10))</f>
        <v>0.11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0.1645</v>
      </c>
      <c r="C12" s="53" t="n">
        <v>0.2145</v>
      </c>
      <c r="D12" s="53" t="n">
        <v>0.2645</v>
      </c>
      <c r="E12" s="54">
        <f>CHOOSE($B$4,B12,C12,D12)</f>
        <v>0.2145</v>
      </c>
    </row>
    <row r="13">
      <c r="A13" s="14" t="inlineStr">
        <is>
          <t>Operating margin, year 10</t>
        </is>
      </c>
      <c r="B13" s="53" t="n">
        <v>0.15</v>
      </c>
      <c r="C13" s="53" t="n">
        <v>0.2</v>
      </c>
      <c r="D13" s="53" t="n">
        <v>0.25</v>
      </c>
      <c r="E13" s="54">
        <f>CHOOSE($B$4,B13,C13,D13)</f>
        <v>0.2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-0.3532</v>
      </c>
    </row>
    <row r="19">
      <c r="A19" s="14" t="inlineStr">
        <is>
          <t>Gross margin (forecast)</t>
        </is>
      </c>
      <c r="B19" s="53" t="n">
        <v>0.8866000000000001</v>
      </c>
    </row>
    <row r="20">
      <c r="A20" s="14" t="inlineStr">
        <is>
          <t>R&amp;D share of operating expense (forecast)</t>
        </is>
      </c>
      <c r="B20" s="53" t="n">
        <v>0.302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0.5041</v>
      </c>
    </row>
    <row r="23">
      <c r="A23" s="14" t="inlineStr">
        <is>
          <t>Balance sheet date</t>
        </is>
      </c>
      <c r="B23" s="31" t="n">
        <v>46203</v>
      </c>
    </row>
    <row r="24">
      <c r="A24" s="14" t="inlineStr">
        <is>
          <t>Reporting currency per USD (USD)</t>
        </is>
      </c>
      <c r="B24" s="32" t="n">
        <v>1</v>
      </c>
    </row>
    <row r="25">
      <c r="A25" s="14" t="inlineStr">
        <is>
          <t>Base revenue, FY2025</t>
        </is>
      </c>
      <c r="B25" s="55">
        <f>'Yearly Model'!L2</f>
        <v>109.788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139.34710699283318</v>
      </c>
      <c r="C29" s="56">
        <f>NPV!B26</f>
        <v>59.908106992833154</v>
      </c>
      <c r="D29" s="35">
        <f>NPV!B28</f>
        <v>1.2256017952827458</v>
      </c>
      <c r="E29" s="57">
        <f>NPV!B30</f>
        <v>-0.964992807903949</v>
      </c>
    </row>
    <row r="30">
      <c r="A30" s="58" t="n">
        <v>1</v>
      </c>
      <c r="B30" s="59">
        <f t="dataTable" ref="B30:E32" r1="B4"/>
        <v>-8.20313497600695</v>
      </c>
      <c r="C30" s="59">
        <v>-87.64213497600697</v>
      </c>
      <c r="D30" s="39">
        <v>-1.7929853464049017</v>
      </c>
      <c r="E30" s="60">
        <v>-1.0512135203200486</v>
      </c>
    </row>
    <row r="31">
      <c r="A31" s="58" t="n">
        <v>2</v>
      </c>
      <c r="B31" s="59">
        <v>139.34710699283318</v>
      </c>
      <c r="C31" s="59">
        <v>59.908106992833154</v>
      </c>
      <c r="D31" s="39">
        <v>1.2256017952827458</v>
      </c>
      <c r="E31" s="60">
        <v>-0.964992807903949</v>
      </c>
    </row>
    <row r="32">
      <c r="A32" s="58" t="n">
        <v>3</v>
      </c>
      <c r="B32" s="59">
        <v>439.50025512094805</v>
      </c>
      <c r="C32" s="59">
        <v>360.061255120948</v>
      </c>
      <c r="D32" s="39">
        <v>7.366143629622358</v>
      </c>
      <c r="E32" s="60">
        <v>-0.7895988680484902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1.2256017952827458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0.09</v>
      </c>
      <c r="B37" s="39">
        <f t="dataTable" ref="B37:F41" dt2D="1" r1="B7" r2="B6"/>
        <v>2.705949672667168</v>
      </c>
      <c r="C37" s="39">
        <v>3.2984869632602503</v>
      </c>
      <c r="D37" s="39">
        <v>3.9851440180812996</v>
      </c>
      <c r="E37" s="39">
        <v>4.789486296391601</v>
      </c>
      <c r="F37" s="39">
        <v>5.743648942761952</v>
      </c>
    </row>
    <row r="38">
      <c r="A38" s="62" t="n">
        <v>0.1</v>
      </c>
      <c r="B38" s="39">
        <v>1.4733604536331368</v>
      </c>
      <c r="C38" s="39">
        <v>1.9050999176629324</v>
      </c>
      <c r="D38" s="39">
        <v>2.3968294714147436</v>
      </c>
      <c r="E38" s="39">
        <v>2.961432637878571</v>
      </c>
      <c r="F38" s="39">
        <v>3.6157574385713214</v>
      </c>
    </row>
    <row r="39">
      <c r="A39" s="62" t="n">
        <v>0.11</v>
      </c>
      <c r="B39" s="39">
        <v>0.5379869160862892</v>
      </c>
      <c r="C39" s="39">
        <v>0.8617379656764874</v>
      </c>
      <c r="D39" s="39">
        <v>1.2256017952827458</v>
      </c>
      <c r="E39" s="39">
        <v>1.6371229238913003</v>
      </c>
      <c r="F39" s="39">
        <v>2.105858015576894</v>
      </c>
    </row>
    <row r="40">
      <c r="A40" s="62" t="n">
        <v>0.12</v>
      </c>
      <c r="B40" s="39">
        <v>-0.1877107116559363</v>
      </c>
      <c r="C40" s="39">
        <v>0.060599775806667984</v>
      </c>
      <c r="D40" s="39">
        <v>0.33676386444432954</v>
      </c>
      <c r="E40" s="39">
        <v>0.6454433082997117</v>
      </c>
      <c r="F40" s="39">
        <v>0.9923969702354165</v>
      </c>
    </row>
    <row r="41">
      <c r="A41" s="62" t="n">
        <v>0.13</v>
      </c>
      <c r="B41" s="39">
        <v>-0.7606084211693036</v>
      </c>
      <c r="C41" s="39">
        <v>-0.5666869383326711</v>
      </c>
      <c r="D41" s="39">
        <v>-0.35282496071475494</v>
      </c>
      <c r="E41" s="39">
        <v>-0.11601494885787514</v>
      </c>
      <c r="F41" s="39">
        <v>0.1473839916959653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UroGen Pharma Ltd.: free-cash-flow DCF ($mm)</t>
        </is>
      </c>
    </row>
    <row r="3">
      <c r="A3" s="20" t="inlineStr">
        <is>
          <t>Fiscal year</t>
        </is>
      </c>
      <c r="B3" s="43">
        <f>'Yearly Model'!L1</f>
        <v>2025</v>
      </c>
      <c r="C3" s="43">
        <f>'Yearly Model'!M1</f>
        <v>2026</v>
      </c>
      <c r="D3" s="43">
        <f>'Yearly Model'!N1</f>
        <v>2027</v>
      </c>
      <c r="E3" s="43">
        <f>'Yearly Model'!O1</f>
        <v>2028</v>
      </c>
      <c r="F3" s="43">
        <f>'Yearly Model'!P1</f>
        <v>2029</v>
      </c>
      <c r="G3" s="43">
        <f>'Yearly Model'!Q1</f>
        <v>2030</v>
      </c>
      <c r="H3" s="43">
        <f>'Yearly Model'!R1</f>
        <v>2031</v>
      </c>
      <c r="I3" s="43">
        <f>'Yearly Model'!S1</f>
        <v>2032</v>
      </c>
      <c r="J3" s="43">
        <f>'Yearly Model'!T1</f>
        <v>2033</v>
      </c>
      <c r="K3" s="43">
        <f>'Yearly Model'!U1</f>
        <v>2034</v>
      </c>
      <c r="L3" s="43">
        <f>'Yearly Model'!V1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0.2145</v>
      </c>
      <c r="D5" s="63">
        <f>Assumptions!$E$12+(Assumptions!$E$11-Assumptions!$E$12)*(D4-1)/(Assumptions!$B$21-1)</f>
        <v>0.19344444444444445</v>
      </c>
      <c r="E5" s="63">
        <f>Assumptions!$E$12+(Assumptions!$E$11-Assumptions!$E$12)*(E4-1)/(Assumptions!$B$21-1)</f>
        <v>0.17238888888888887</v>
      </c>
      <c r="F5" s="63">
        <f>Assumptions!$E$12+(Assumptions!$E$11-Assumptions!$E$12)*(F4-1)/(Assumptions!$B$21-1)</f>
        <v>0.15133333333333332</v>
      </c>
      <c r="G5" s="63">
        <f>Assumptions!$E$12+(Assumptions!$E$11-Assumptions!$E$12)*(G4-1)/(Assumptions!$B$21-1)</f>
        <v>0.13027777777777777</v>
      </c>
      <c r="H5" s="63">
        <f>Assumptions!$E$12+(Assumptions!$E$11-Assumptions!$E$12)*(H4-1)/(Assumptions!$B$21-1)</f>
        <v>0.10922222222222222</v>
      </c>
      <c r="I5" s="63">
        <f>Assumptions!$E$12+(Assumptions!$E$11-Assumptions!$E$12)*(I4-1)/(Assumptions!$B$21-1)</f>
        <v>0.08816666666666667</v>
      </c>
      <c r="J5" s="63">
        <f>Assumptions!$E$12+(Assumptions!$E$11-Assumptions!$E$12)*(J4-1)/(Assumptions!$B$21-1)</f>
        <v>0.0671111111111111</v>
      </c>
      <c r="K5" s="63">
        <f>Assumptions!$E$12+(Assumptions!$E$11-Assumptions!$E$12)*(K4-1)/(Assumptions!$B$21-1)</f>
        <v>0.046055555555555544</v>
      </c>
      <c r="L5" s="63">
        <f>Assumptions!$E$12+(Assumptions!$E$11-Assumptions!$E$12)*(L4-1)/(Assumptions!$B$21-1)</f>
        <v>0.024999999999999994</v>
      </c>
    </row>
    <row r="6">
      <c r="A6" s="14" t="inlineStr">
        <is>
          <t>Operating margin</t>
        </is>
      </c>
      <c r="B6" s="63">
        <f>IFERROR(B8/B7,0)</f>
        <v>-1.1373100885342662</v>
      </c>
      <c r="C6" s="63">
        <f>Assumptions!$B$18+(Assumptions!$E$13-Assumptions!$B$18)*C4/Assumptions!$B$21</f>
        <v>-0.29788000000000003</v>
      </c>
      <c r="D6" s="63">
        <f>Assumptions!$B$18+(Assumptions!$E$13-Assumptions!$B$18)*D4/Assumptions!$B$21</f>
        <v>-0.24256</v>
      </c>
      <c r="E6" s="63">
        <f>Assumptions!$B$18+(Assumptions!$E$13-Assumptions!$B$18)*E4/Assumptions!$B$21</f>
        <v>-0.18724</v>
      </c>
      <c r="F6" s="63">
        <f>Assumptions!$B$18+(Assumptions!$E$13-Assumptions!$B$18)*F4/Assumptions!$B$21</f>
        <v>-0.13192</v>
      </c>
      <c r="G6" s="63">
        <f>Assumptions!$B$18+(Assumptions!$E$13-Assumptions!$B$18)*G4/Assumptions!$B$21</f>
        <v>-0.0766</v>
      </c>
      <c r="H6" s="63">
        <f>Assumptions!$B$18+(Assumptions!$E$13-Assumptions!$B$18)*H4/Assumptions!$B$21</f>
        <v>-0.021279999999999966</v>
      </c>
      <c r="I6" s="63">
        <f>Assumptions!$B$18+(Assumptions!$E$13-Assumptions!$B$18)*I4/Assumptions!$B$21</f>
        <v>0.034040000000000015</v>
      </c>
      <c r="J6" s="63">
        <f>Assumptions!$B$18+(Assumptions!$E$13-Assumptions!$B$18)*J4/Assumptions!$B$21</f>
        <v>0.08936</v>
      </c>
      <c r="K6" s="63">
        <f>Assumptions!$B$18+(Assumptions!$E$13-Assumptions!$B$18)*K4/Assumptions!$B$21</f>
        <v>0.14468000000000003</v>
      </c>
      <c r="L6" s="63">
        <f>Assumptions!$B$18+(Assumptions!$E$13-Assumptions!$B$18)*L4/Assumptions!$B$21</f>
        <v>0.2</v>
      </c>
    </row>
    <row r="7">
      <c r="A7" s="14" t="inlineStr">
        <is>
          <t>Revenue</t>
        </is>
      </c>
      <c r="B7" s="55">
        <f>'Yearly Model'!L2</f>
        <v>109.788</v>
      </c>
      <c r="C7" s="55">
        <f>'Yearly Model'!M2</f>
        <v>133.337526</v>
      </c>
      <c r="D7" s="55">
        <f>'Yearly Model'!N2</f>
        <v>159.13092964066666</v>
      </c>
      <c r="E7" s="55">
        <f>'Yearly Model'!O2</f>
        <v>186.56333378927715</v>
      </c>
      <c r="F7" s="55">
        <f>'Yearly Model'!P2</f>
        <v>214.79658496938777</v>
      </c>
      <c r="G7" s="55">
        <f>'Yearly Model'!Q2</f>
        <v>242.77980673345522</v>
      </c>
      <c r="H7" s="55">
        <f>'Yearly Model'!R2</f>
        <v>269.2967567355648</v>
      </c>
      <c r="I7" s="55">
        <f>'Yearly Model'!S2</f>
        <v>293.03975412108383</v>
      </c>
      <c r="J7" s="55">
        <f>'Yearly Model'!T2</f>
        <v>312.7059776198766</v>
      </c>
      <c r="K7" s="55">
        <f>'Yearly Model'!U2</f>
        <v>327.1078251447031</v>
      </c>
      <c r="L7" s="55">
        <f>'Yearly Model'!V2</f>
        <v>335.2855207733206</v>
      </c>
    </row>
    <row r="8">
      <c r="A8" s="14" t="inlineStr">
        <is>
          <t>Operating income</t>
        </is>
      </c>
      <c r="B8" s="55">
        <f>'Yearly Model'!L8</f>
        <v>-124.86300000000001</v>
      </c>
      <c r="C8" s="55">
        <f>'Yearly Model'!M8</f>
        <v>-39.71858224488</v>
      </c>
      <c r="D8" s="55">
        <f>'Yearly Model'!N8</f>
        <v>-38.5987982936401</v>
      </c>
      <c r="E8" s="55">
        <f>'Yearly Model'!O8</f>
        <v>-34.932118618704266</v>
      </c>
      <c r="F8" s="55">
        <f>'Yearly Model'!P8</f>
        <v>-28.33596548916165</v>
      </c>
      <c r="G8" s="55">
        <f>'Yearly Model'!Q8</f>
        <v>-18.59693319578267</v>
      </c>
      <c r="H8" s="55">
        <f>'Yearly Model'!R8</f>
        <v>-5.730634983332806</v>
      </c>
      <c r="I8" s="55">
        <f>'Yearly Model'!S8</f>
        <v>9.975073230281708</v>
      </c>
      <c r="J8" s="55">
        <f>'Yearly Model'!T8</f>
        <v>27.943406160112175</v>
      </c>
      <c r="K8" s="55">
        <f>'Yearly Model'!U8</f>
        <v>47.32596014193564</v>
      </c>
      <c r="L8" s="55">
        <f>'Yearly Model'!V8</f>
        <v>67.05710415466413</v>
      </c>
    </row>
    <row r="9">
      <c r="A9" s="14" t="inlineStr">
        <is>
          <t>Tax on operating income</t>
        </is>
      </c>
      <c r="C9" s="52">
        <f>MAX(0,C8)*Assumptions!$E$14</f>
        <v>0.0</v>
      </c>
      <c r="D9" s="52">
        <f>MAX(0,D8)*Assumptions!$E$14</f>
        <v>0.0</v>
      </c>
      <c r="E9" s="52">
        <f>MAX(0,E8)*Assumptions!$E$14</f>
        <v>0.0</v>
      </c>
      <c r="F9" s="52">
        <f>MAX(0,F8)*Assumptions!$E$14</f>
        <v>0.0</v>
      </c>
      <c r="G9" s="52">
        <f>MAX(0,G8)*Assumptions!$E$14</f>
        <v>0.0</v>
      </c>
      <c r="H9" s="52">
        <f>MAX(0,H8)*Assumptions!$E$14</f>
        <v>0.0</v>
      </c>
      <c r="I9" s="52">
        <f>MAX(0,I8)*Assumptions!$E$14</f>
        <v>1.6957624491478906</v>
      </c>
      <c r="J9" s="52">
        <f>MAX(0,J8)*Assumptions!$E$14</f>
        <v>4.75037904721907</v>
      </c>
      <c r="K9" s="52">
        <f>MAX(0,K8)*Assumptions!$E$14</f>
        <v>8.045413224129058</v>
      </c>
      <c r="L9" s="52">
        <f>MAX(0,L8)*Assumptions!$E$14</f>
        <v>11.399707706292903</v>
      </c>
    </row>
    <row r="10">
      <c r="A10" s="14" t="inlineStr">
        <is>
          <t>NOPAT</t>
        </is>
      </c>
      <c r="C10" s="52">
        <f>C8-C9</f>
        <v>-39.71858224488</v>
      </c>
      <c r="D10" s="52">
        <f>D8-D9</f>
        <v>-38.5987982936401</v>
      </c>
      <c r="E10" s="52">
        <f>E8-E9</f>
        <v>-34.932118618704266</v>
      </c>
      <c r="F10" s="52">
        <f>F8-F9</f>
        <v>-28.33596548916165</v>
      </c>
      <c r="G10" s="52">
        <f>G8-G9</f>
        <v>-18.59693319578267</v>
      </c>
      <c r="H10" s="52">
        <f>H8-H9</f>
        <v>-5.730634983332806</v>
      </c>
      <c r="I10" s="52">
        <f>I8-I9</f>
        <v>8.279310781133818</v>
      </c>
      <c r="J10" s="52">
        <f>J8-J9</f>
        <v>23.193027112893105</v>
      </c>
      <c r="K10" s="52">
        <f>K8-K9</f>
        <v>39.28054691780658</v>
      </c>
      <c r="L10" s="52">
        <f>L8-L9</f>
        <v>55.65739644837123</v>
      </c>
    </row>
    <row r="11">
      <c r="A11" s="14" t="inlineStr">
        <is>
          <t>Reinvestment</t>
        </is>
      </c>
      <c r="C11" s="52">
        <f>(C7-B7)*Assumptions!$E$15</f>
        <v>5.8873815</v>
      </c>
      <c r="D11" s="52">
        <f>(D7-C7)*Assumptions!$E$15</f>
        <v>6.448350910166667</v>
      </c>
      <c r="E11" s="52">
        <f>(E7-D7)*Assumptions!$E$15</f>
        <v>6.858101037152622</v>
      </c>
      <c r="F11" s="52">
        <f>(F7-E7)*Assumptions!$E$15</f>
        <v>7.058312795027653</v>
      </c>
      <c r="G11" s="52">
        <f>(G7-F7)*Assumptions!$E$15</f>
        <v>6.995805441016863</v>
      </c>
      <c r="H11" s="52">
        <f>(H7-G7)*Assumptions!$E$15</f>
        <v>6.6292375005274025</v>
      </c>
      <c r="I11" s="52">
        <f>(I7-H7)*Assumptions!$E$15</f>
        <v>5.935749346379751</v>
      </c>
      <c r="J11" s="52">
        <f>(J7-I7)*Assumptions!$E$15</f>
        <v>4.91655587469819</v>
      </c>
      <c r="K11" s="52">
        <f>(K7-J7)*Assumptions!$E$15</f>
        <v>3.600461881206627</v>
      </c>
      <c r="L11" s="52">
        <f>(L7-K7)*Assumptions!$E$15</f>
        <v>2.044423907154382</v>
      </c>
    </row>
    <row r="12">
      <c r="A12" s="20" t="inlineStr">
        <is>
          <t>Free cash flow</t>
        </is>
      </c>
      <c r="C12" s="64">
        <f>C10-C11</f>
        <v>-45.60596374488</v>
      </c>
      <c r="D12" s="64">
        <f>D10-D11</f>
        <v>-45.04714920380677</v>
      </c>
      <c r="E12" s="64">
        <f>E10-E11</f>
        <v>-41.79021965585689</v>
      </c>
      <c r="F12" s="64">
        <f>F10-F11</f>
        <v>-35.394278284189305</v>
      </c>
      <c r="G12" s="64">
        <f>G10-G11</f>
        <v>-25.59273863679953</v>
      </c>
      <c r="H12" s="64">
        <f>H10-H11</f>
        <v>-12.359872483860208</v>
      </c>
      <c r="I12" s="64">
        <f>I10-I11</f>
        <v>2.3435614347540668</v>
      </c>
      <c r="J12" s="64">
        <f>J10-J11</f>
        <v>18.276471238194915</v>
      </c>
      <c r="K12" s="64">
        <f>K10-K11</f>
        <v>35.680085036599955</v>
      </c>
      <c r="L12" s="64">
        <f>L10-L11</f>
        <v>53.61297254121685</v>
      </c>
    </row>
    <row r="13">
      <c r="A13" s="14" t="inlineStr">
        <is>
          <t>Year fraction</t>
        </is>
      </c>
      <c r="C13" s="46">
        <f>Assumptions!$B$22</f>
        <v>0.5041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0.25205</v>
      </c>
      <c r="D14" s="11">
        <f>C14+C13/2+D13/2</f>
        <v>1.0041</v>
      </c>
      <c r="E14" s="11">
        <f>D14+D13/2+E13/2</f>
        <v>2.0041</v>
      </c>
      <c r="F14" s="11">
        <f>E14+E13/2+F13/2</f>
        <v>3.0041</v>
      </c>
      <c r="G14" s="11">
        <f>F14+F13/2+G13/2</f>
        <v>4.0041</v>
      </c>
      <c r="H14" s="11">
        <f>G14+G13/2+H13/2</f>
        <v>5.0041</v>
      </c>
      <c r="I14" s="11">
        <f>H14+H13/2+I13/2</f>
        <v>6.0041</v>
      </c>
      <c r="J14" s="11">
        <f>I14+I13/2+J13/2</f>
        <v>7.0041</v>
      </c>
      <c r="K14" s="11">
        <f>J14+J13/2+K13/2</f>
        <v>8.004100000000001</v>
      </c>
      <c r="L14" s="11">
        <f>K14+K13/2+L13/2</f>
        <v>9.004100000000001</v>
      </c>
    </row>
    <row r="15">
      <c r="A15" s="14" t="inlineStr">
        <is>
          <t>Discount factor</t>
        </is>
      </c>
      <c r="C15" s="65">
        <f>1/(1+Assumptions!$E$10)^C14</f>
        <v>0.9740389933872364</v>
      </c>
      <c r="D15" s="65">
        <f>1/(1+Assumptions!$E$10)^D14</f>
        <v>0.9005155094261971</v>
      </c>
      <c r="E15" s="65">
        <f>1/(1+Assumptions!$E$10)^E14</f>
        <v>0.8112752337172946</v>
      </c>
      <c r="F15" s="65">
        <f>1/(1+Assumptions!$E$10)^F14</f>
        <v>0.7308785889344995</v>
      </c>
      <c r="G15" s="65">
        <f>1/(1+Assumptions!$E$10)^G14</f>
        <v>0.6584491792202698</v>
      </c>
      <c r="H15" s="65">
        <f>1/(1+Assumptions!$E$10)^H14</f>
        <v>0.5931974587569998</v>
      </c>
      <c r="I15" s="65">
        <f>1/(1+Assumptions!$E$10)^I14</f>
        <v>0.534412125006306</v>
      </c>
      <c r="J15" s="65">
        <f>1/(1+Assumptions!$E$10)^J14</f>
        <v>0.4814523648705459</v>
      </c>
      <c r="K15" s="65">
        <f>1/(1+Assumptions!$E$10)^K14</f>
        <v>0.433740869252744</v>
      </c>
      <c r="L15" s="65">
        <f>1/(1+Assumptions!$E$10)^L14</f>
        <v>0.3907575398673369</v>
      </c>
    </row>
    <row r="16">
      <c r="A16" s="20" t="inlineStr">
        <is>
          <t>PV of free cash flow</t>
        </is>
      </c>
      <c r="C16" s="64">
        <f>C12*C13*C15</f>
        <v>-22.393123656034778</v>
      </c>
      <c r="D16" s="64">
        <f>D12*D13*D15</f>
        <v>-40.565656513463956</v>
      </c>
      <c r="E16" s="64">
        <f>E12*E13*E15</f>
        <v>-33.90337021840237</v>
      </c>
      <c r="F16" s="64">
        <f>F12*F13*F15</f>
        <v>-25.86892016870328</v>
      </c>
      <c r="G16" s="64">
        <f>G12*G13*G15</f>
        <v>-16.851517749399537</v>
      </c>
      <c r="H16" s="64">
        <f>H12*H13*H15</f>
        <v>-7.3318449479864425</v>
      </c>
      <c r="I16" s="64">
        <f>I12*I13*I15</f>
        <v>1.2524276464297481</v>
      </c>
      <c r="J16" s="64">
        <f>J12*J13*J15</f>
        <v>8.799250299117455</v>
      </c>
      <c r="K16" s="64">
        <f>K12*K13*K15</f>
        <v>15.475911098786689</v>
      </c>
      <c r="L16" s="64">
        <f>L12*L13*L15</f>
        <v>20.949673255180983</v>
      </c>
    </row>
    <row r="19">
      <c r="A19" s="14" t="inlineStr">
        <is>
          <t>PV of forecast free cash flow</t>
        </is>
      </c>
      <c r="B19" s="52">
        <f>SUM(C16:L16)</f>
        <v>-100.4371709544755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54.95329685474725</v>
      </c>
    </row>
    <row r="21">
      <c r="A21" s="14" t="inlineStr">
        <is>
          <t>Terminal value</t>
        </is>
      </c>
      <c r="B21" s="52">
        <f>B20/(Assumptions!$E$10-Assumptions!$E$11)</f>
        <v>646.5093747617324</v>
      </c>
    </row>
    <row r="22">
      <c r="A22" s="14" t="inlineStr">
        <is>
          <t>PV of terminal value</t>
        </is>
      </c>
      <c r="B22" s="52">
        <f>B21/(1+Assumptions!$E$10)^(L14+0.5)</f>
        <v>239.78427794730868</v>
      </c>
    </row>
    <row r="23">
      <c r="A23" s="20" t="inlineStr">
        <is>
          <t>Enterprise value</t>
        </is>
      </c>
      <c r="B23" s="66">
        <f>B19+B22</f>
        <v>139.34710699283318</v>
      </c>
    </row>
    <row r="24">
      <c r="A24" s="14" t="inlineStr">
        <is>
          <t>Cash &amp; investments</t>
        </is>
      </c>
      <c r="B24" s="55">
        <f>Main!C7</f>
        <v>109.29499999999999</v>
      </c>
    </row>
    <row r="25">
      <c r="A25" s="14" t="inlineStr">
        <is>
          <t>Debt</t>
        </is>
      </c>
      <c r="B25" s="55">
        <f>Main!C8</f>
        <v>188.734</v>
      </c>
    </row>
    <row r="26">
      <c r="A26" s="20" t="inlineStr">
        <is>
          <t>Equity value</t>
        </is>
      </c>
      <c r="B26" s="66">
        <f>B23+B24-B25</f>
        <v>59.908106992833154</v>
      </c>
    </row>
    <row r="27">
      <c r="A27" s="14" t="inlineStr">
        <is>
          <t>Shares (mm)</t>
        </is>
      </c>
      <c r="B27" s="55">
        <f>Main!C4</f>
        <v>48.880564</v>
      </c>
    </row>
    <row r="28">
      <c r="A28" s="20" t="inlineStr">
        <is>
          <t>NPV / share</t>
        </is>
      </c>
      <c r="B28" s="49">
        <f>B26/B27</f>
        <v>1.2256017952827458</v>
      </c>
    </row>
    <row r="29">
      <c r="A29" s="14" t="inlineStr">
        <is>
          <t>Price</t>
        </is>
      </c>
      <c r="B29" s="50">
        <f>Main!C3</f>
        <v>35.01</v>
      </c>
    </row>
    <row r="30">
      <c r="A30" s="14" t="inlineStr">
        <is>
          <t>Upside</t>
        </is>
      </c>
      <c r="B30" s="63">
        <f>B28/B29-1</f>
        <v>-0.964992807903949</v>
      </c>
    </row>
    <row r="31">
      <c r="A31" s="14" t="inlineStr">
        <is>
          <t>Terminal value, % of EV</t>
        </is>
      </c>
      <c r="B31" s="63">
        <f>IFERROR(B22/B23,0)</f>
        <v>1.7207696888866242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2026-10-21T06:22:51Z</dcterms:modified>
  <cp:lastModifiedBy>Wang, Eric</cp:lastModifiedBy>
</cp:coreProperties>
</file>