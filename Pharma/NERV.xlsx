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Minerva Neurosciences, Inc</t>
        </is>
      </c>
      <c r="C2" s="10" t="n"/>
    </row>
    <row r="3">
      <c r="B3" t="inlineStr">
        <is>
          <t>Price</t>
        </is>
      </c>
      <c r="C3" s="11">
        <f>INDEX([1]Pharma!$F$1:$F$1000,MATCH("NERV",[1]Pharma!$B$1:$B$1000,0))</f>
        <v>2.53</v>
      </c>
      <c r="F3" s="1" t="n"/>
    </row>
    <row r="4">
      <c r="B4" t="inlineStr">
        <is>
          <t>Shares</t>
        </is>
      </c>
      <c r="C4" s="21" t="n">
        <v>47.747559</v>
      </c>
      <c r="F4" s="1" t="n"/>
    </row>
    <row r="5">
      <c r="B5" t="inlineStr">
        <is>
          <t>Market Cap.</t>
        </is>
      </c>
      <c r="C5" s="13">
        <f>C3*C4</f>
        <v>120.80132427</v>
      </c>
      <c r="F5" s="1" t="n"/>
    </row>
    <row r="6"/>
    <row r="7">
      <c r="B7" t="inlineStr">
        <is>
          <t>Cash</t>
        </is>
      </c>
      <c r="C7" s="21">
        <f>24.652086+50.615164</f>
        <v>75.26725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45.53407426999999</v>
      </c>
    </row>
    <row r="10"/>
    <row r="11">
      <c r="B11" s="14" t="inlineStr">
        <is>
          <t>rNPV / Share</t>
        </is>
      </c>
      <c r="C11" s="11">
        <f>NPV!B27</f>
        <v>34.04641434809163</v>
      </c>
    </row>
    <row r="12">
      <c r="B12" s="14" t="inlineStr">
        <is>
          <t>Upside</t>
        </is>
      </c>
      <c r="C12" s="15">
        <f>IFERROR(C11/C3-1,"")</f>
        <v>12.457080769996693</v>
      </c>
    </row>
    <row r="13">
      <c r="B13" s="14" t="inlineStr">
        <is>
          <t>Cash / Share</t>
        </is>
      </c>
      <c r="C13" s="11">
        <f>IFERROR((C7-C8)/C4,"")</f>
        <v>1.5763580709958387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-26.169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2.8761989376743475</v>
      </c>
    </row>
    <row r="19">
      <c r="B19" s="14" t="inlineStr">
        <is>
          <t>Implied Pipeline Value</t>
        </is>
      </c>
      <c r="C19" s="13">
        <f>C9</f>
        <v>45.53407426999999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2013</v>
      </c>
      <c r="C1" s="17" t="n">
        <v>2014</v>
      </c>
      <c r="D1" s="17" t="n">
        <v>2015</v>
      </c>
      <c r="E1" s="17" t="n">
        <v>2016</v>
      </c>
      <c r="F1" s="17" t="n">
        <v>2017</v>
      </c>
      <c r="G1" s="17" t="n">
        <v>2018</v>
      </c>
      <c r="H1" s="17" t="n">
        <v>2019</v>
      </c>
      <c r="I1" s="17" t="n">
        <v>2020</v>
      </c>
      <c r="J1" s="17" t="n">
        <v>2021</v>
      </c>
      <c r="K1" s="17" t="n">
        <v>2022</v>
      </c>
      <c r="L1" s="17" t="n">
        <v>2023</v>
      </c>
      <c r="M1" s="17" t="n">
        <v>2024</v>
      </c>
      <c r="N1" s="17" t="n">
        <v>2025</v>
      </c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41.176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41.176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</row>
    <row r="5">
      <c r="A5" s="2" t="inlineStr">
        <is>
          <t>Research &amp; Dev.</t>
        </is>
      </c>
      <c r="B5" s="23" t="n">
        <v>0.708</v>
      </c>
      <c r="C5" s="23" t="n">
        <v>42.909</v>
      </c>
      <c r="D5" s="23" t="n">
        <v>18.533</v>
      </c>
      <c r="E5" s="23" t="n">
        <v>20.44</v>
      </c>
      <c r="F5" s="23" t="n">
        <v>30.256</v>
      </c>
      <c r="G5" s="23" t="n">
        <v>34.889</v>
      </c>
      <c r="H5" s="23" t="n">
        <v>58.124</v>
      </c>
      <c r="I5" s="23" t="n">
        <v>22.039</v>
      </c>
      <c r="J5" s="23" t="n">
        <v>32.039</v>
      </c>
      <c r="K5" s="23" t="n">
        <v>14.649</v>
      </c>
      <c r="L5" s="23" t="n">
        <v>12.705</v>
      </c>
      <c r="M5" s="23" t="n">
        <v>11.899</v>
      </c>
      <c r="N5" s="23" t="n">
        <v>5.759</v>
      </c>
    </row>
    <row r="6">
      <c r="A6" s="19" t="inlineStr">
        <is>
          <t>SG&amp;A &amp; Other</t>
        </is>
      </c>
      <c r="B6" s="23" t="n">
        <v>2.466</v>
      </c>
      <c r="C6" s="23" t="n">
        <v>11.962</v>
      </c>
      <c r="D6" s="23" t="n">
        <v>7.576</v>
      </c>
      <c r="E6" s="23" t="n">
        <v>9.750999999999999</v>
      </c>
      <c r="F6" s="23" t="n">
        <v>10.914</v>
      </c>
      <c r="G6" s="23" t="n">
        <v>16.841</v>
      </c>
      <c r="H6" s="23" t="n">
        <v>17.741</v>
      </c>
      <c r="I6" s="23" t="n">
        <v>17.289</v>
      </c>
      <c r="J6" s="23" t="n">
        <v>13.327</v>
      </c>
      <c r="K6" s="23" t="n">
        <v>10.582</v>
      </c>
      <c r="L6" s="23" t="n">
        <v>10.414</v>
      </c>
      <c r="M6" s="23" t="n">
        <v>9.949999999999999</v>
      </c>
      <c r="N6" s="23" t="n">
        <v>9.343</v>
      </c>
    </row>
    <row r="7">
      <c r="A7" s="2" t="inlineStr">
        <is>
          <t>Operating Expense</t>
        </is>
      </c>
      <c r="B7" s="23">
        <f>SUM(B5:B6)</f>
        <v>3.1740000000000004</v>
      </c>
      <c r="C7" s="23">
        <f>SUM(C5:C6)</f>
        <v>54.870999999999995</v>
      </c>
      <c r="D7" s="23">
        <f>SUM(D5:D6)</f>
        <v>26.109</v>
      </c>
      <c r="E7" s="23">
        <f>SUM(E5:E6)</f>
        <v>30.191000000000003</v>
      </c>
      <c r="F7" s="23">
        <f>SUM(F5:F6)</f>
        <v>41.17</v>
      </c>
      <c r="G7" s="23">
        <f>SUM(G5:G6)</f>
        <v>51.730000000000004</v>
      </c>
      <c r="H7" s="23">
        <f>SUM(H5:H6)</f>
        <v>75.86500000000001</v>
      </c>
      <c r="I7" s="23">
        <f>SUM(I5:I6)</f>
        <v>39.328</v>
      </c>
      <c r="J7" s="23">
        <f>SUM(J5:J6)</f>
        <v>45.366</v>
      </c>
      <c r="K7" s="23">
        <f>SUM(K5:K6)</f>
        <v>25.231</v>
      </c>
      <c r="L7" s="23">
        <f>SUM(L5:L6)</f>
        <v>23.119</v>
      </c>
      <c r="M7" s="23">
        <f>SUM(M5:M6)</f>
        <v>21.848999999999997</v>
      </c>
      <c r="N7" s="23">
        <f>SUM(N5:N6)</f>
        <v>15.102</v>
      </c>
    </row>
    <row r="8">
      <c r="A8" s="2" t="inlineStr">
        <is>
          <t>Operating Income</t>
        </is>
      </c>
      <c r="B8" s="23">
        <f>B4-B7</f>
        <v>-3.1740000000000004</v>
      </c>
      <c r="C8" s="23">
        <f>C4-C7</f>
        <v>-54.870999999999995</v>
      </c>
      <c r="D8" s="23">
        <f>D4-D7</f>
        <v>-26.109</v>
      </c>
      <c r="E8" s="23">
        <f>E4-E7</f>
        <v>-30.191000000000003</v>
      </c>
      <c r="F8" s="23">
        <f>F4-F7</f>
        <v>-41.17</v>
      </c>
      <c r="G8" s="23">
        <f>G4-G7</f>
        <v>-51.730000000000004</v>
      </c>
      <c r="H8" s="23">
        <f>H4-H7</f>
        <v>-75.86500000000001</v>
      </c>
      <c r="I8" s="23">
        <f>I4-I7</f>
        <v>1.847999999999999</v>
      </c>
      <c r="J8" s="23">
        <f>J4-J7</f>
        <v>-45.366</v>
      </c>
      <c r="K8" s="23">
        <f>K4-K7</f>
        <v>-25.231</v>
      </c>
      <c r="L8" s="23">
        <f>L4-L7</f>
        <v>-23.119</v>
      </c>
      <c r="M8" s="23">
        <f>M4-M7</f>
        <v>-21.848999999999997</v>
      </c>
      <c r="N8" s="23">
        <f>N4-N7</f>
        <v>-15.102</v>
      </c>
    </row>
    <row r="9">
      <c r="A9" s="19" t="inlineStr">
        <is>
          <t>Interest &amp; Other</t>
        </is>
      </c>
      <c r="B9" s="23" t="n">
        <v>-0.08699999999999999</v>
      </c>
      <c r="C9" s="23" t="n">
        <v>-2.031</v>
      </c>
      <c r="D9" s="23" t="n">
        <v>-0.972</v>
      </c>
      <c r="E9" s="23" t="n">
        <v>-0.855</v>
      </c>
      <c r="F9" s="23" t="n">
        <v>0.247</v>
      </c>
      <c r="G9" s="23" t="n">
        <v>1.559</v>
      </c>
      <c r="H9" s="23" t="n">
        <v>1.427</v>
      </c>
      <c r="I9" s="23" t="n">
        <v>0.094</v>
      </c>
      <c r="J9" s="23" t="n">
        <v>-6.344</v>
      </c>
      <c r="K9" s="23" t="n">
        <v>-6.877</v>
      </c>
      <c r="L9" s="23" t="n">
        <v>-6.886</v>
      </c>
      <c r="M9" s="23" t="n">
        <v>23.287</v>
      </c>
      <c r="N9" s="23" t="n">
        <v>-278.32</v>
      </c>
    </row>
    <row r="10">
      <c r="A10" s="2" t="inlineStr">
        <is>
          <t>Pretax</t>
        </is>
      </c>
      <c r="B10" s="23">
        <f>B8+B9</f>
        <v>-3.2610000000000006</v>
      </c>
      <c r="C10" s="23">
        <f>C8+C9</f>
        <v>-56.901999999999994</v>
      </c>
      <c r="D10" s="23">
        <f>D8+D9</f>
        <v>-27.081000000000003</v>
      </c>
      <c r="E10" s="23">
        <f>E8+E9</f>
        <v>-31.046000000000003</v>
      </c>
      <c r="F10" s="23">
        <f>F8+F9</f>
        <v>-40.923</v>
      </c>
      <c r="G10" s="23">
        <f>G8+G9</f>
        <v>-50.17100000000001</v>
      </c>
      <c r="H10" s="23">
        <f>H8+H9</f>
        <v>-74.438</v>
      </c>
      <c r="I10" s="23">
        <f>I8+I9</f>
        <v>1.941999999999999</v>
      </c>
      <c r="J10" s="23">
        <f>J8+J9</f>
        <v>-51.71</v>
      </c>
      <c r="K10" s="23">
        <f>K8+K9</f>
        <v>-32.108000000000004</v>
      </c>
      <c r="L10" s="23">
        <f>L8+L9</f>
        <v>-30.005</v>
      </c>
      <c r="M10" s="23">
        <f>M8+M9</f>
        <v>1.4380000000000024</v>
      </c>
      <c r="N10" s="23">
        <f>N8+N9</f>
        <v>-293.42199999999997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-9.4</v>
      </c>
      <c r="G11" s="23" t="n">
        <v>0</v>
      </c>
      <c r="H11" s="23" t="n">
        <v>-2.254</v>
      </c>
      <c r="I11" s="23" t="n">
        <v>0</v>
      </c>
      <c r="J11" s="23" t="n">
        <v>-1.803</v>
      </c>
      <c r="K11" s="23" t="n">
        <v>0</v>
      </c>
      <c r="L11" s="23" t="n">
        <v>0</v>
      </c>
      <c r="M11" s="23" t="n">
        <v>0</v>
      </c>
      <c r="N11" s="23" t="n">
        <v>0</v>
      </c>
    </row>
    <row r="12">
      <c r="A12" s="2" t="inlineStr">
        <is>
          <t>Net Income</t>
        </is>
      </c>
      <c r="B12" s="23" t="n">
        <v>-3.262</v>
      </c>
      <c r="C12" s="23" t="n">
        <v>-56.901</v>
      </c>
      <c r="D12" s="23" t="n">
        <v>-27.082</v>
      </c>
      <c r="E12" s="23" t="n">
        <v>-31.045</v>
      </c>
      <c r="F12" s="23" t="n">
        <v>-31.523</v>
      </c>
      <c r="G12" s="23" t="n">
        <v>-50.171</v>
      </c>
      <c r="H12" s="23" t="n">
        <v>-72.18300000000001</v>
      </c>
      <c r="I12" s="23" t="n">
        <v>1.941</v>
      </c>
      <c r="J12" s="23" t="n">
        <v>-49.906</v>
      </c>
      <c r="K12" s="23" t="n">
        <v>-32.109</v>
      </c>
      <c r="L12" s="23" t="n">
        <v>-30.005</v>
      </c>
      <c r="M12" s="23" t="n">
        <v>1.439</v>
      </c>
      <c r="N12" s="23" t="n">
        <v>-293.423</v>
      </c>
    </row>
    <row r="13">
      <c r="A13" s="2" t="inlineStr">
        <is>
          <t>Earnings per Share</t>
        </is>
      </c>
      <c r="B13" s="11">
        <f>IFERROR(B12/B14,0)</f>
        <v>-0.2597547380156076</v>
      </c>
      <c r="C13" s="11">
        <f>IFERROR(C12/C14,0)</f>
        <v>-4.471942785287646</v>
      </c>
      <c r="D13" s="11">
        <f>IFERROR(D12/D14,0)</f>
        <v>-1.156757218520417</v>
      </c>
      <c r="E13" s="11">
        <f>IFERROR(E12/E14,0)</f>
        <v>-0.9851177254553533</v>
      </c>
      <c r="F13" s="11">
        <f>IFERROR(F12/F14,0)</f>
        <v>-0.8309302264280255</v>
      </c>
      <c r="G13" s="11">
        <f>IFERROR(G12/G14,0)</f>
        <v>-1.2933003376897894</v>
      </c>
      <c r="H13" s="11">
        <f>IFERROR(H12/H14,0)</f>
        <v>-1.8501819859537603</v>
      </c>
      <c r="I13" s="11">
        <f>IFERROR(I12/I14,0)</f>
        <v>0.04743749541755261</v>
      </c>
      <c r="J13" s="11">
        <f>IFERROR(J12/J14,0)</f>
        <v>-9.345692883895131</v>
      </c>
      <c r="K13" s="11">
        <f>IFERROR(K12/K14,0)</f>
        <v>-6.012921348314607</v>
      </c>
      <c r="L13" s="11">
        <f>IFERROR(L12/L14,0)</f>
        <v>-4.611896710728558</v>
      </c>
      <c r="M13" s="11">
        <f>IFERROR(M12/M14,0)</f>
        <v>0.18999207816213362</v>
      </c>
      <c r="N13" s="11">
        <f>IFERROR(N12/N14,0)</f>
        <v>-34.667178638941394</v>
      </c>
    </row>
    <row r="14">
      <c r="A14" s="2" t="inlineStr">
        <is>
          <t>Shares</t>
        </is>
      </c>
      <c r="B14" s="23" t="n">
        <v>12.558</v>
      </c>
      <c r="C14" s="23" t="n">
        <v>12.724</v>
      </c>
      <c r="D14" s="23" t="n">
        <v>23.412</v>
      </c>
      <c r="E14" s="23" t="n">
        <v>31.514</v>
      </c>
      <c r="F14" s="23" t="n">
        <v>37.937</v>
      </c>
      <c r="G14" s="23" t="n">
        <v>38.793</v>
      </c>
      <c r="H14" s="23" t="n">
        <v>39.014</v>
      </c>
      <c r="I14" s="23" t="n">
        <v>40.917</v>
      </c>
      <c r="J14" s="23" t="n">
        <v>5.34</v>
      </c>
      <c r="K14" s="23" t="n">
        <v>5.34</v>
      </c>
      <c r="L14" s="23" t="n">
        <v>6.506</v>
      </c>
      <c r="M14" s="23" t="n">
        <v>7.574</v>
      </c>
      <c r="N14" s="23" t="n">
        <v>8.464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>-1.0</v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>1.0</v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>0.04488051292014763</v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Minerva Neurosciences,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0.551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35.14</v>
      </c>
    </row>
    <row r="19">
      <c r="A19" s="14" t="inlineStr">
        <is>
          <t>Years of full burn (until the first launch, max 4)</t>
        </is>
      </c>
      <c r="B19" s="39">
        <f>MIN(4,MAX(1,MIN(Pipeline!I4:I4)-2026))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677.6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1550.3659278239516</v>
      </c>
      <c r="C29" s="42">
        <f>NPV!B25</f>
        <v>1625.6331778239517</v>
      </c>
      <c r="D29" s="43">
        <f>NPV!B27</f>
        <v>34.04641434809163</v>
      </c>
      <c r="E29" s="44">
        <f>NPV!B29</f>
        <v>12.457080769996693</v>
      </c>
    </row>
    <row r="30">
      <c r="A30" s="45" t="n">
        <v>1</v>
      </c>
      <c r="B30" s="46">
        <f t="dataTable" ref="B30:E32" r1="B4"/>
        <v>614.9935401338157</v>
      </c>
      <c r="C30" s="46">
        <v>690.2607901338157</v>
      </c>
      <c r="D30" s="47">
        <v>14.456462373999384</v>
      </c>
      <c r="E30" s="48">
        <v>4.714016748616358</v>
      </c>
    </row>
    <row r="31">
      <c r="A31" s="45" t="n">
        <v>2</v>
      </c>
      <c r="B31" s="46">
        <v>1550.3659278239516</v>
      </c>
      <c r="C31" s="46">
        <v>1625.6331778239517</v>
      </c>
      <c r="D31" s="47">
        <v>34.04641434809163</v>
      </c>
      <c r="E31" s="48">
        <v>12.457080769996693</v>
      </c>
    </row>
    <row r="32">
      <c r="A32" s="45" t="n">
        <v>3</v>
      </c>
      <c r="B32" s="46">
        <v>2975.009173451102</v>
      </c>
      <c r="C32" s="46">
        <v>3050.276423451102</v>
      </c>
      <c r="D32" s="47">
        <v>63.88340026871534</v>
      </c>
      <c r="E32" s="48">
        <v>24.250355837436896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34.04641434809163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10.961328683783796</v>
      </c>
      <c r="C37" s="47">
        <v>16.02904378323086</v>
      </c>
      <c r="D37" s="47">
        <v>21.03118286574269</v>
      </c>
      <c r="E37" s="47">
        <v>30.962993950473084</v>
      </c>
      <c r="F37" s="47">
        <v>40.84766349793418</v>
      </c>
    </row>
    <row r="38">
      <c r="A38" s="50" t="n">
        <v>0.8</v>
      </c>
      <c r="B38" s="47">
        <v>14.232357654686174</v>
      </c>
      <c r="C38" s="47">
        <v>20.91777636949084</v>
      </c>
      <c r="D38" s="47">
        <v>27.543066844449307</v>
      </c>
      <c r="E38" s="47">
        <v>40.736603478863756</v>
      </c>
      <c r="F38" s="47">
        <v>53.891375553258726</v>
      </c>
    </row>
    <row r="39">
      <c r="A39" s="50" t="n">
        <v>1</v>
      </c>
      <c r="B39" s="47">
        <v>17.469610484897768</v>
      </c>
      <c r="C39" s="47">
        <v>25.777018840036558</v>
      </c>
      <c r="D39" s="47">
        <v>34.04641434809163</v>
      </c>
      <c r="E39" s="47">
        <v>50.49162251558953</v>
      </c>
      <c r="F39" s="47">
        <v>66.91339809744748</v>
      </c>
    </row>
    <row r="40">
      <c r="A40" s="50" t="n">
        <v>1.2</v>
      </c>
      <c r="B40" s="47">
        <v>20.690963376987135</v>
      </c>
      <c r="C40" s="47">
        <v>30.626487242067864</v>
      </c>
      <c r="D40" s="47">
        <v>40.51448344072288</v>
      </c>
      <c r="E40" s="47">
        <v>60.246641552315346</v>
      </c>
      <c r="F40" s="47">
        <v>79.91091773807881</v>
      </c>
    </row>
    <row r="41">
      <c r="A41" s="50" t="n">
        <v>1.4</v>
      </c>
      <c r="B41" s="47">
        <v>23.89880193282207</v>
      </c>
      <c r="C41" s="47">
        <v>35.47038389375434</v>
      </c>
      <c r="D41" s="47">
        <v>46.98080945884993</v>
      </c>
      <c r="E41" s="47">
        <v>69.97005303331707</v>
      </c>
      <c r="F41" s="47">
        <v>92.90843737871016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Minerva Neurosciences,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Schizophrenia / psychosis</t>
        </is>
      </c>
      <c r="C4" s="14" t="inlineStr">
        <is>
          <t>Roluperidone 64 mg, Olanzapine 10 MG</t>
        </is>
      </c>
      <c r="D4" s="14" t="inlineStr">
        <is>
          <t>Phase 3</t>
        </is>
      </c>
      <c r="E4" s="14" t="inlineStr">
        <is>
          <t>Psychiatry / chronic</t>
        </is>
      </c>
      <c r="F4" s="14" t="inlineStr">
        <is>
          <t>Owned</t>
        </is>
      </c>
      <c r="G4" s="40" t="n">
        <v>2500</v>
      </c>
      <c r="H4" s="27" t="n">
        <v>0.551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1975.9584596557638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137.75</v>
      </c>
      <c r="Q4" s="23">
        <f>IF(Q$3&lt;$I4,0,$G4*Assumptions!$E$11*INDEX(Assumptions!$B$24:$G$24,MIN(6,Q$3-$I4+1))*IF(Q$3&gt;$J4,(1-Assumptions!$B$26)^(Q$3-$J4),1)*IF($H4&gt;=1,1,MIN(0.97,$H4*Assumptions!$E$12)))</f>
        <v>344.375</v>
      </c>
      <c r="R4" s="23">
        <f>IF(R$3&lt;$I4,0,$G4*Assumptions!$E$11*INDEX(Assumptions!$B$24:$G$24,MIN(6,R$3-$I4+1))*IF(R$3&gt;$J4,(1-Assumptions!$B$26)^(R$3-$J4),1)*IF($H4&gt;=1,1,MIN(0.97,$H4*Assumptions!$E$12)))</f>
        <v>619.875</v>
      </c>
      <c r="S4" s="23">
        <f>IF(S$3&lt;$I4,0,$G4*Assumptions!$E$11*INDEX(Assumptions!$B$24:$G$24,MIN(6,S$3-$I4+1))*IF(S$3&gt;$J4,(1-Assumptions!$B$26)^(S$3-$J4),1)*IF($H4&gt;=1,1,MIN(0.97,$H4*Assumptions!$E$12)))</f>
        <v>895.3750000000001</v>
      </c>
      <c r="T4" s="23">
        <f>IF(T$3&lt;$I4,0,$G4*Assumptions!$E$11*INDEX(Assumptions!$B$24:$G$24,MIN(6,T$3-$I4+1))*IF(T$3&gt;$J4,(1-Assumptions!$B$26)^(T$3-$J4),1)*IF($H4&gt;=1,1,MIN(0.97,$H4*Assumptions!$E$12)))</f>
        <v>1170.875</v>
      </c>
      <c r="U4" s="23">
        <f>IF(U$3&lt;$I4,0,$G4*Assumptions!$E$11*INDEX(Assumptions!$B$24:$G$24,MIN(6,U$3-$I4+1))*IF(U$3&gt;$J4,(1-Assumptions!$B$26)^(U$3-$J4),1)*IF($H4&gt;=1,1,MIN(0.97,$H4*Assumptions!$E$12)))</f>
        <v>1377.5</v>
      </c>
      <c r="V4" s="23">
        <f>IF(V$3&lt;$I4,0,$G4*Assumptions!$E$11*INDEX(Assumptions!$B$24:$G$24,MIN(6,V$3-$I4+1))*IF(V$3&gt;$J4,(1-Assumptions!$B$26)^(V$3-$J4),1)*IF($H4&gt;=1,1,MIN(0.97,$H4*Assumptions!$E$12)))</f>
        <v>1377.5</v>
      </c>
      <c r="W4" s="23">
        <f>IF(W$3&lt;$I4,0,$G4*Assumptions!$E$11*INDEX(Assumptions!$B$24:$G$24,MIN(6,W$3-$I4+1))*IF(W$3&gt;$J4,(1-Assumptions!$B$26)^(W$3-$J4),1)*IF($H4&gt;=1,1,MIN(0.97,$H4*Assumptions!$E$12)))</f>
        <v>1377.5</v>
      </c>
      <c r="X4" s="23">
        <f>IF(X$3&lt;$I4,0,$G4*Assumptions!$E$11*INDEX(Assumptions!$B$24:$G$24,MIN(6,X$3-$I4+1))*IF(X$3&gt;$J4,(1-Assumptions!$B$26)^(X$3-$J4),1)*IF($H4&gt;=1,1,MIN(0.97,$H4*Assumptions!$E$12)))</f>
        <v>1377.5</v>
      </c>
      <c r="Y4" s="23">
        <f>IF(Y$3&lt;$I4,0,$G4*Assumptions!$E$11*INDEX(Assumptions!$B$24:$G$24,MIN(6,Y$3-$I4+1))*IF(Y$3&gt;$J4,(1-Assumptions!$B$26)^(Y$3-$J4),1)*IF($H4&gt;=1,1,MIN(0.97,$H4*Assumptions!$E$12)))</f>
        <v>1377.5</v>
      </c>
      <c r="Z4" s="23">
        <f>IF(Z$3&lt;$I4,0,$G4*Assumptions!$E$11*INDEX(Assumptions!$B$24:$G$24,MIN(6,Z$3-$I4+1))*IF(Z$3&gt;$J4,(1-Assumptions!$B$26)^(Z$3-$J4),1)*IF($H4&gt;=1,1,MIN(0.97,$H4*Assumptions!$E$12)))</f>
        <v>1377.5</v>
      </c>
      <c r="AA4" s="23">
        <f>IF(AA$3&lt;$I4,0,$G4*Assumptions!$E$11*INDEX(Assumptions!$B$24:$G$24,MIN(6,AA$3-$I4+1))*IF(AA$3&gt;$J4,(1-Assumptions!$B$26)^(AA$3-$J4),1)*IF($H4&gt;=1,1,MIN(0.97,$H4*Assumptions!$E$12)))</f>
        <v>1377.5</v>
      </c>
      <c r="AB4" s="23">
        <f>IF(AB$3&lt;$I4,0,$G4*Assumptions!$E$11*INDEX(Assumptions!$B$24:$G$24,MIN(6,AB$3-$I4+1))*IF(AB$3&gt;$J4,(1-Assumptions!$B$26)^(AB$3-$J4),1)*IF($H4&gt;=1,1,MIN(0.97,$H4*Assumptions!$E$12)))</f>
        <v>1377.5</v>
      </c>
      <c r="AC4" s="23">
        <f>IF(AC$3&lt;$I4,0,$G4*Assumptions!$E$11*INDEX(Assumptions!$B$24:$G$24,MIN(6,AC$3-$I4+1))*IF(AC$3&gt;$J4,(1-Assumptions!$B$26)^(AC$3-$J4),1)*IF($H4&gt;=1,1,MIN(0.97,$H4*Assumptions!$E$12)))</f>
        <v>688.75</v>
      </c>
      <c r="AD4" s="23">
        <f>IF(AD$3&lt;$I4,0,$G4*Assumptions!$E$11*INDEX(Assumptions!$B$24:$G$24,MIN(6,AD$3-$I4+1))*IF(AD$3&gt;$J4,(1-Assumptions!$B$26)^(AD$3-$J4),1)*IF($H4&gt;=1,1,MIN(0.97,$H4*Assumptions!$E$12)))</f>
        <v>344.375</v>
      </c>
      <c r="AE4" s="23">
        <f>IF(AE$3&lt;$I4,0,$G4*Assumptions!$E$11*INDEX(Assumptions!$B$24:$G$24,MIN(6,AE$3-$I4+1))*IF(AE$3&gt;$J4,(1-Assumptions!$B$26)^(AE$3-$J4),1)*IF($H4&gt;=1,1,MIN(0.97,$H4*Assumptions!$E$12)))</f>
        <v>172.1875</v>
      </c>
      <c r="AF4" s="23">
        <f>IF(AF$3&lt;$I4,0,$G4*Assumptions!$E$11*INDEX(Assumptions!$B$24:$G$24,MIN(6,AF$3-$I4+1))*IF(AF$3&gt;$J4,(1-Assumptions!$B$26)^(AF$3-$J4),1)*IF($H4&gt;=1,1,MIN(0.97,$H4*Assumptions!$E$12)))</f>
        <v>86.09375</v>
      </c>
      <c r="AG4" s="35">
        <f>IF(F4="Owned",1-IF(H4&gt;=1,1,MIN(0.97,H4*Assumptions!$E$12)),1)</f>
        <v>0.44899999999999995</v>
      </c>
    </row>
    <row r="5">
      <c r="B5" s="24" t="inlineStr">
        <is>
          <t>Risked revenue</t>
        </is>
      </c>
      <c r="L5" s="54">
        <f>SUM(L4:L4)</f>
        <v>1975.9584596557638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137.75</v>
      </c>
      <c r="Q5" s="54">
        <f>SUM(Q4:Q4)</f>
        <v>344.375</v>
      </c>
      <c r="R5" s="54">
        <f>SUM(R4:R4)</f>
        <v>619.875</v>
      </c>
      <c r="S5" s="54">
        <f>SUM(S4:S4)</f>
        <v>895.3750000000001</v>
      </c>
      <c r="T5" s="54">
        <f>SUM(T4:T4)</f>
        <v>1170.875</v>
      </c>
      <c r="U5" s="54">
        <f>SUM(U4:U4)</f>
        <v>1377.5</v>
      </c>
      <c r="V5" s="54">
        <f>SUM(V4:V4)</f>
        <v>1377.5</v>
      </c>
      <c r="W5" s="54">
        <f>SUM(W4:W4)</f>
        <v>1377.5</v>
      </c>
      <c r="X5" s="54">
        <f>SUM(X4:X4)</f>
        <v>1377.5</v>
      </c>
      <c r="Y5" s="54">
        <f>SUM(Y4:Y4)</f>
        <v>1377.5</v>
      </c>
      <c r="Z5" s="54">
        <f>SUM(Z4:Z4)</f>
        <v>1377.5</v>
      </c>
      <c r="AA5" s="54">
        <f>SUM(AA4:AA4)</f>
        <v>1377.5</v>
      </c>
      <c r="AB5" s="54">
        <f>SUM(AB4:AB4)</f>
        <v>1377.5</v>
      </c>
      <c r="AC5" s="54">
        <f>SUM(AC4:AC4)</f>
        <v>688.75</v>
      </c>
      <c r="AD5" s="54">
        <f>SUM(AD4:AD4)</f>
        <v>344.375</v>
      </c>
      <c r="AE5" s="54">
        <f>SUM(AE4:AE4)</f>
        <v>172.1875</v>
      </c>
      <c r="AF5" s="54">
        <f>SUM(AF4:AF4)</f>
        <v>86.09375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55.1</v>
      </c>
      <c r="Q6" s="55">
        <f>SUMPRODUCT(Q4:Q4,$K$4:$K$4)</f>
        <v>137.75</v>
      </c>
      <c r="R6" s="55">
        <f>SUMPRODUCT(R4:R4,$K$4:$K$4)</f>
        <v>247.95000000000002</v>
      </c>
      <c r="S6" s="55">
        <f>SUMPRODUCT(S4:S4,$K$4:$K$4)</f>
        <v>358.1500000000001</v>
      </c>
      <c r="T6" s="55">
        <f>SUMPRODUCT(T4:T4,$K$4:$K$4)</f>
        <v>468.35</v>
      </c>
      <c r="U6" s="55">
        <f>SUMPRODUCT(U4:U4,$K$4:$K$4)</f>
        <v>551.0</v>
      </c>
      <c r="V6" s="55">
        <f>SUMPRODUCT(V4:V4,$K$4:$K$4)</f>
        <v>551.0</v>
      </c>
      <c r="W6" s="55">
        <f>SUMPRODUCT(W4:W4,$K$4:$K$4)</f>
        <v>551.0</v>
      </c>
      <c r="X6" s="55">
        <f>SUMPRODUCT(X4:X4,$K$4:$K$4)</f>
        <v>551.0</v>
      </c>
      <c r="Y6" s="55">
        <f>SUMPRODUCT(Y4:Y4,$K$4:$K$4)</f>
        <v>551.0</v>
      </c>
      <c r="Z6" s="55">
        <f>SUMPRODUCT(Z4:Z4,$K$4:$K$4)</f>
        <v>551.0</v>
      </c>
      <c r="AA6" s="55">
        <f>SUMPRODUCT(AA4:AA4,$K$4:$K$4)</f>
        <v>551.0</v>
      </c>
      <c r="AB6" s="55">
        <f>SUMPRODUCT(AB4:AB4,$K$4:$K$4)</f>
        <v>551.0</v>
      </c>
      <c r="AC6" s="55">
        <f>SUMPRODUCT(AC4:AC4,$K$4:$K$4)</f>
        <v>275.5</v>
      </c>
      <c r="AD6" s="55">
        <f>SUMPRODUCT(AD4:AD4,$K$4:$K$4)</f>
        <v>137.75</v>
      </c>
      <c r="AE6" s="55">
        <f>SUMPRODUCT(AE4:AE4,$K$4:$K$4)</f>
        <v>68.875</v>
      </c>
      <c r="AF6" s="55">
        <f>SUMPRODUCT(AF4:AF4,$K$4:$K$4)</f>
        <v>34.4375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Minerva Neurosciences,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137.75</v>
      </c>
      <c r="G4" s="57">
        <f>Pipeline!Q5</f>
        <v>344.375</v>
      </c>
      <c r="H4" s="57">
        <f>Pipeline!R5</f>
        <v>619.875</v>
      </c>
      <c r="I4" s="57">
        <f>Pipeline!S5</f>
        <v>895.3750000000001</v>
      </c>
      <c r="J4" s="57">
        <f>Pipeline!T5</f>
        <v>1170.875</v>
      </c>
      <c r="K4" s="57">
        <f>Pipeline!U5</f>
        <v>1377.5</v>
      </c>
      <c r="L4" s="57">
        <f>Pipeline!V5</f>
        <v>1377.5</v>
      </c>
      <c r="M4" s="57">
        <f>Pipeline!W5</f>
        <v>1377.5</v>
      </c>
      <c r="N4" s="57">
        <f>Pipeline!X5</f>
        <v>1377.5</v>
      </c>
      <c r="O4" s="57">
        <f>Pipeline!Y5</f>
        <v>1377.5</v>
      </c>
      <c r="P4" s="57">
        <f>Pipeline!Z5</f>
        <v>1377.5</v>
      </c>
      <c r="Q4" s="57">
        <f>Pipeline!AA5</f>
        <v>1377.5</v>
      </c>
      <c r="R4" s="57">
        <f>Pipeline!AB5</f>
        <v>1377.5</v>
      </c>
      <c r="S4" s="57">
        <f>Pipeline!AC5</f>
        <v>688.75</v>
      </c>
      <c r="T4" s="57">
        <f>Pipeline!AD5</f>
        <v>344.375</v>
      </c>
      <c r="U4" s="57">
        <f>Pipeline!AE5</f>
        <v>172.1875</v>
      </c>
      <c r="V4" s="57">
        <f>Pipeline!AF5</f>
        <v>86.09375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55.1</v>
      </c>
      <c r="G5" s="57">
        <f>Pipeline!Q6</f>
        <v>137.75</v>
      </c>
      <c r="H5" s="57">
        <f>Pipeline!R6</f>
        <v>247.95000000000002</v>
      </c>
      <c r="I5" s="57">
        <f>Pipeline!S6</f>
        <v>358.1500000000001</v>
      </c>
      <c r="J5" s="57">
        <f>Pipeline!T6</f>
        <v>468.35</v>
      </c>
      <c r="K5" s="57">
        <f>Pipeline!U6</f>
        <v>551.0</v>
      </c>
      <c r="L5" s="57">
        <f>Pipeline!V6</f>
        <v>551.0</v>
      </c>
      <c r="M5" s="57">
        <f>Pipeline!W6</f>
        <v>551.0</v>
      </c>
      <c r="N5" s="57">
        <f>Pipeline!X6</f>
        <v>551.0</v>
      </c>
      <c r="O5" s="57">
        <f>Pipeline!Y6</f>
        <v>551.0</v>
      </c>
      <c r="P5" s="57">
        <f>Pipeline!Z6</f>
        <v>551.0</v>
      </c>
      <c r="Q5" s="57">
        <f>Pipeline!AA6</f>
        <v>551.0</v>
      </c>
      <c r="R5" s="57">
        <f>Pipeline!AB6</f>
        <v>551.0</v>
      </c>
      <c r="S5" s="57">
        <f>Pipeline!AC6</f>
        <v>275.5</v>
      </c>
      <c r="T5" s="57">
        <f>Pipeline!AD6</f>
        <v>137.75</v>
      </c>
      <c r="U5" s="57">
        <f>Pipeline!AE6</f>
        <v>68.875</v>
      </c>
      <c r="V5" s="57">
        <f>Pipeline!AF6</f>
        <v>34.4375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-35.14</v>
      </c>
      <c r="D6" s="23">
        <f>-IF(D3-2026&lt;Assumptions!$B$19,Assumptions!$B$18,Assumptions!$B$18*Assumptions!$B$20*Assumptions!$B$16)</f>
        <v>-35.14</v>
      </c>
      <c r="E6" s="23">
        <f>-IF(E3-2026&lt;Assumptions!$B$19,Assumptions!$B$18,Assumptions!$B$18*Assumptions!$B$20*Assumptions!$B$16)</f>
        <v>-35.14</v>
      </c>
      <c r="F6" s="23">
        <f>-IF(F3-2026&lt;Assumptions!$B$19,Assumptions!$B$18,Assumptions!$B$18*Assumptions!$B$20*Assumptions!$B$16)</f>
        <v>-5.808642000000001</v>
      </c>
      <c r="G6" s="23">
        <f>-IF(G3-2026&lt;Assumptions!$B$19,Assumptions!$B$18,Assumptions!$B$18*Assumptions!$B$20*Assumptions!$B$16)</f>
        <v>-5.808642000000001</v>
      </c>
      <c r="H6" s="23">
        <f>-IF(H3-2026&lt;Assumptions!$B$19,Assumptions!$B$18,Assumptions!$B$18*Assumptions!$B$20*Assumptions!$B$16)</f>
        <v>-5.808642000000001</v>
      </c>
      <c r="I6" s="23">
        <f>-IF(I3-2026&lt;Assumptions!$B$19,Assumptions!$B$18,Assumptions!$B$18*Assumptions!$B$20*Assumptions!$B$16)</f>
        <v>-5.808642000000001</v>
      </c>
      <c r="J6" s="23">
        <f>-IF(J3-2026&lt;Assumptions!$B$19,Assumptions!$B$18,Assumptions!$B$18*Assumptions!$B$20*Assumptions!$B$16)</f>
        <v>-5.808642000000001</v>
      </c>
      <c r="K6" s="23">
        <f>-IF(K3-2026&lt;Assumptions!$B$19,Assumptions!$B$18,Assumptions!$B$18*Assumptions!$B$20*Assumptions!$B$16)</f>
        <v>-5.808642000000001</v>
      </c>
      <c r="L6" s="23">
        <f>-IF(L3-2026&lt;Assumptions!$B$19,Assumptions!$B$18,Assumptions!$B$18*Assumptions!$B$20*Assumptions!$B$16)</f>
        <v>-5.808642000000001</v>
      </c>
      <c r="M6" s="23">
        <f>-IF(M3-2026&lt;Assumptions!$B$19,Assumptions!$B$18,Assumptions!$B$18*Assumptions!$B$20*Assumptions!$B$16)</f>
        <v>-5.808642000000001</v>
      </c>
      <c r="N6" s="23">
        <f>-IF(N3-2026&lt;Assumptions!$B$19,Assumptions!$B$18,Assumptions!$B$18*Assumptions!$B$20*Assumptions!$B$16)</f>
        <v>-5.808642000000001</v>
      </c>
      <c r="O6" s="23">
        <f>-IF(O3-2026&lt;Assumptions!$B$19,Assumptions!$B$18,Assumptions!$B$18*Assumptions!$B$20*Assumptions!$B$16)</f>
        <v>-5.808642000000001</v>
      </c>
      <c r="P6" s="23">
        <f>-IF(P3-2026&lt;Assumptions!$B$19,Assumptions!$B$18,Assumptions!$B$18*Assumptions!$B$20*Assumptions!$B$16)</f>
        <v>-5.808642000000001</v>
      </c>
      <c r="Q6" s="23">
        <f>-IF(Q3-2026&lt;Assumptions!$B$19,Assumptions!$B$18,Assumptions!$B$18*Assumptions!$B$20*Assumptions!$B$16)</f>
        <v>-5.808642000000001</v>
      </c>
      <c r="R6" s="23">
        <f>-IF(R3-2026&lt;Assumptions!$B$19,Assumptions!$B$18,Assumptions!$B$18*Assumptions!$B$20*Assumptions!$B$16)</f>
        <v>-5.808642000000001</v>
      </c>
      <c r="S6" s="23">
        <f>-IF(S3-2026&lt;Assumptions!$B$19,Assumptions!$B$18,Assumptions!$B$18*Assumptions!$B$20*Assumptions!$B$16)</f>
        <v>-5.808642000000001</v>
      </c>
      <c r="T6" s="23">
        <f>-IF(T3-2026&lt;Assumptions!$B$19,Assumptions!$B$18,Assumptions!$B$18*Assumptions!$B$20*Assumptions!$B$16)</f>
        <v>-5.808642000000001</v>
      </c>
      <c r="U6" s="23">
        <f>-IF(U3-2026&lt;Assumptions!$B$19,Assumptions!$B$18,Assumptions!$B$18*Assumptions!$B$20*Assumptions!$B$16)</f>
        <v>-5.808642000000001</v>
      </c>
      <c r="V6" s="23">
        <f>-IF(V3-2026&lt;Assumptions!$B$19,Assumptions!$B$18,Assumptions!$B$18*Assumptions!$B$20*Assumptions!$B$16)</f>
        <v>-5.808642000000001</v>
      </c>
    </row>
    <row r="7">
      <c r="A7" s="14" t="inlineStr">
        <is>
          <t>Pre-tax cash flow</t>
        </is>
      </c>
      <c r="C7" s="23">
        <f>C5+C6</f>
        <v>-35.14</v>
      </c>
      <c r="D7" s="23">
        <f>D5+D6</f>
        <v>-35.14</v>
      </c>
      <c r="E7" s="23">
        <f>E5+E6</f>
        <v>-35.14</v>
      </c>
      <c r="F7" s="23">
        <f>F5+F6</f>
        <v>49.291358</v>
      </c>
      <c r="G7" s="23">
        <f>G5+G6</f>
        <v>131.941358</v>
      </c>
      <c r="H7" s="23">
        <f>H5+H6</f>
        <v>242.14135800000003</v>
      </c>
      <c r="I7" s="23">
        <f>I5+I6</f>
        <v>352.34135800000007</v>
      </c>
      <c r="J7" s="23">
        <f>J5+J6</f>
        <v>462.541358</v>
      </c>
      <c r="K7" s="23">
        <f>K5+K6</f>
        <v>545.191358</v>
      </c>
      <c r="L7" s="23">
        <f>L5+L6</f>
        <v>545.191358</v>
      </c>
      <c r="M7" s="23">
        <f>M5+M6</f>
        <v>545.191358</v>
      </c>
      <c r="N7" s="23">
        <f>N5+N6</f>
        <v>545.191358</v>
      </c>
      <c r="O7" s="23">
        <f>O5+O6</f>
        <v>545.191358</v>
      </c>
      <c r="P7" s="23">
        <f>P5+P6</f>
        <v>545.191358</v>
      </c>
      <c r="Q7" s="23">
        <f>Q5+Q6</f>
        <v>545.191358</v>
      </c>
      <c r="R7" s="23">
        <f>R5+R6</f>
        <v>545.191358</v>
      </c>
      <c r="S7" s="23">
        <f>S5+S6</f>
        <v>269.691358</v>
      </c>
      <c r="T7" s="23">
        <f>T5+T6</f>
        <v>131.941358</v>
      </c>
      <c r="U7" s="23">
        <f>U5+U6</f>
        <v>63.066358</v>
      </c>
      <c r="V7" s="23">
        <f>V5+V6</f>
        <v>28.628858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49.291358</v>
      </c>
      <c r="G8" s="23">
        <f>MIN(F17,MAX(0,G7))</f>
        <v>131.941358</v>
      </c>
      <c r="H8" s="23">
        <f>MIN(G17,MAX(0,H7))</f>
        <v>242.14135800000003</v>
      </c>
      <c r="I8" s="23">
        <f>MIN(H17,MAX(0,I7))</f>
        <v>352.34135800000007</v>
      </c>
      <c r="J8" s="23">
        <f>MIN(I17,MAX(0,J7))</f>
        <v>7.304567999999904</v>
      </c>
      <c r="K8" s="23">
        <f>MIN(J17,MAX(0,K7))</f>
        <v>0.0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455.2367900000001</v>
      </c>
      <c r="K9" s="23">
        <f>MAX(0,K7)-K8</f>
        <v>545.191358</v>
      </c>
      <c r="L9" s="23">
        <f>MAX(0,L7)-L8</f>
        <v>545.191358</v>
      </c>
      <c r="M9" s="23">
        <f>MAX(0,M7)-M8</f>
        <v>545.191358</v>
      </c>
      <c r="N9" s="23">
        <f>MAX(0,N7)-N8</f>
        <v>545.191358</v>
      </c>
      <c r="O9" s="23">
        <f>MAX(0,O7)-O8</f>
        <v>545.191358</v>
      </c>
      <c r="P9" s="23">
        <f>MAX(0,P7)-P8</f>
        <v>545.191358</v>
      </c>
      <c r="Q9" s="23">
        <f>MAX(0,Q7)-Q8</f>
        <v>545.191358</v>
      </c>
      <c r="R9" s="23">
        <f>MAX(0,R7)-R8</f>
        <v>545.191358</v>
      </c>
      <c r="S9" s="23">
        <f>MAX(0,S7)-S8</f>
        <v>269.691358</v>
      </c>
      <c r="T9" s="23">
        <f>MAX(0,T7)-T8</f>
        <v>131.941358</v>
      </c>
      <c r="U9" s="23">
        <f>MAX(0,U7)-U8</f>
        <v>63.066358</v>
      </c>
      <c r="V9" s="23">
        <f>MAX(0,V7)-V8</f>
        <v>28.628858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95.59972590000002</v>
      </c>
      <c r="K10" s="23">
        <f>K9*Assumptions!$E$15</f>
        <v>114.49018518</v>
      </c>
      <c r="L10" s="23">
        <f>L9*Assumptions!$E$15</f>
        <v>114.49018518</v>
      </c>
      <c r="M10" s="23">
        <f>M9*Assumptions!$E$15</f>
        <v>114.49018518</v>
      </c>
      <c r="N10" s="23">
        <f>N9*Assumptions!$E$15</f>
        <v>114.49018518</v>
      </c>
      <c r="O10" s="23">
        <f>O9*Assumptions!$E$15</f>
        <v>114.49018518</v>
      </c>
      <c r="P10" s="23">
        <f>P9*Assumptions!$E$15</f>
        <v>114.49018518</v>
      </c>
      <c r="Q10" s="23">
        <f>Q9*Assumptions!$E$15</f>
        <v>114.49018518</v>
      </c>
      <c r="R10" s="23">
        <f>R9*Assumptions!$E$15</f>
        <v>114.49018518</v>
      </c>
      <c r="S10" s="23">
        <f>S9*Assumptions!$E$15</f>
        <v>56.63518517999999</v>
      </c>
      <c r="T10" s="23">
        <f>T9*Assumptions!$E$15</f>
        <v>27.707685180000002</v>
      </c>
      <c r="U10" s="23">
        <f>U9*Assumptions!$E$15</f>
        <v>13.24393518</v>
      </c>
      <c r="V10" s="23">
        <f>V9*Assumptions!$E$15</f>
        <v>6.01206018</v>
      </c>
    </row>
    <row r="11">
      <c r="A11" s="24" t="inlineStr">
        <is>
          <t>Free cash flow</t>
        </is>
      </c>
      <c r="C11" s="55">
        <f>C7-C10</f>
        <v>-35.14</v>
      </c>
      <c r="D11" s="55">
        <f>D7-D10</f>
        <v>-35.14</v>
      </c>
      <c r="E11" s="55">
        <f>E7-E10</f>
        <v>-35.14</v>
      </c>
      <c r="F11" s="55">
        <f>F7-F10</f>
        <v>49.291358</v>
      </c>
      <c r="G11" s="55">
        <f>G7-G10</f>
        <v>131.941358</v>
      </c>
      <c r="H11" s="55">
        <f>H7-H10</f>
        <v>242.14135800000003</v>
      </c>
      <c r="I11" s="55">
        <f>I7-I10</f>
        <v>352.34135800000007</v>
      </c>
      <c r="J11" s="55">
        <f>J7-J10</f>
        <v>366.9416321</v>
      </c>
      <c r="K11" s="55">
        <f>K7-K10</f>
        <v>430.70117282</v>
      </c>
      <c r="L11" s="55">
        <f>L7-L10</f>
        <v>430.70117282</v>
      </c>
      <c r="M11" s="55">
        <f>M7-M10</f>
        <v>430.70117282</v>
      </c>
      <c r="N11" s="55">
        <f>N7-N10</f>
        <v>430.70117282</v>
      </c>
      <c r="O11" s="55">
        <f>O7-O10</f>
        <v>430.70117282</v>
      </c>
      <c r="P11" s="55">
        <f>P7-P10</f>
        <v>430.70117282</v>
      </c>
      <c r="Q11" s="55">
        <f>Q7-Q10</f>
        <v>430.70117282</v>
      </c>
      <c r="R11" s="55">
        <f>R7-R10</f>
        <v>430.70117282</v>
      </c>
      <c r="S11" s="55">
        <f>S7-S10</f>
        <v>213.05617281999997</v>
      </c>
      <c r="T11" s="55">
        <f>T7-T10</f>
        <v>104.23367282000001</v>
      </c>
      <c r="U11" s="55">
        <f>U7-U10</f>
        <v>49.82242282</v>
      </c>
      <c r="V11" s="55">
        <f>V7-V10</f>
        <v>22.616797820000002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-17.215238824375195</v>
      </c>
      <c r="D16" s="55">
        <f>D11*D15</f>
        <v>-31.360425067609793</v>
      </c>
      <c r="E16" s="55">
        <f>E11*E15</f>
        <v>-28.000379524651592</v>
      </c>
      <c r="F16" s="55">
        <f>F11*F15</f>
        <v>35.06831681654686</v>
      </c>
      <c r="G16" s="55">
        <f>G11*G15</f>
        <v>83.81216612680849</v>
      </c>
      <c r="H16" s="55">
        <f>H11*H15</f>
        <v>137.33368281462347</v>
      </c>
      <c r="I16" s="55">
        <f>I11*I15</f>
        <v>178.42417361124689</v>
      </c>
      <c r="J16" s="55">
        <f>J11*J15</f>
        <v>165.90865238370796</v>
      </c>
      <c r="K16" s="55">
        <f>K11*K15</f>
        <v>173.8721719117769</v>
      </c>
      <c r="L16" s="55">
        <f>L11*L15</f>
        <v>155.24301063551508</v>
      </c>
      <c r="M16" s="55">
        <f>M11*M15</f>
        <v>138.609830924567</v>
      </c>
      <c r="N16" s="55">
        <f>N11*N15</f>
        <v>123.75877761122052</v>
      </c>
      <c r="O16" s="55">
        <f>O11*O15</f>
        <v>110.49890858144688</v>
      </c>
      <c r="P16" s="55">
        <f>P11*P15</f>
        <v>98.65973980486328</v>
      </c>
      <c r="Q16" s="55">
        <f>Q11*Q15</f>
        <v>88.08905339719935</v>
      </c>
      <c r="R16" s="55">
        <f>R11*R15</f>
        <v>78.65094053321371</v>
      </c>
      <c r="S16" s="55">
        <f>S11*S15</f>
        <v>34.737932328595285</v>
      </c>
      <c r="T16" s="55">
        <f>T11*T15</f>
        <v>15.173992383157879</v>
      </c>
      <c r="U16" s="55">
        <f>U11*U15</f>
        <v>6.475877741874672</v>
      </c>
      <c r="V16" s="55">
        <f>V11*V15</f>
        <v>2.62474363422394</v>
      </c>
    </row>
    <row r="17">
      <c r="A17" s="14" t="inlineStr">
        <is>
          <t>Tax-loss carryforward, end of year</t>
        </is>
      </c>
      <c r="C17" s="23">
        <f>Assumptions!$B$21-C8+MAX(0,-C7)</f>
        <v>712.74</v>
      </c>
      <c r="D17" s="23">
        <f>C17-D8+MAX(0,-D7)</f>
        <v>747.88</v>
      </c>
      <c r="E17" s="23">
        <f>D17-E8+MAX(0,-E7)</f>
        <v>783.02</v>
      </c>
      <c r="F17" s="23">
        <f>E17-F8+MAX(0,-F7)</f>
        <v>733.728642</v>
      </c>
      <c r="G17" s="23">
        <f>F17-G8+MAX(0,-G7)</f>
        <v>601.787284</v>
      </c>
      <c r="H17" s="23">
        <f>G17-H8+MAX(0,-H7)</f>
        <v>359.645926</v>
      </c>
      <c r="I17" s="23">
        <f>H17-I8+MAX(0,-I7)</f>
        <v>7.304567999999904</v>
      </c>
      <c r="J17" s="23">
        <f>I17-J8+MAX(0,-J7)</f>
        <v>0.0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1975.9584596557636</v>
      </c>
    </row>
    <row r="20">
      <c r="A20" s="14" t="inlineStr">
        <is>
          <t>PV of corporate burn</t>
        </is>
      </c>
      <c r="B20" s="23">
        <f>SUMPRODUCT(C6:V6,C15:V15)</f>
        <v>-109.52898783996116</v>
      </c>
    </row>
    <row r="21">
      <c r="A21" s="14" t="inlineStr">
        <is>
          <t>PV of taxes</t>
        </is>
      </c>
      <c r="B21" s="23">
        <f>-SUMPRODUCT(C10:V10,C15:V15)</f>
        <v>-316.06354399185096</v>
      </c>
    </row>
    <row r="22">
      <c r="A22" s="24" t="inlineStr">
        <is>
          <t>Pipeline rNPV (operations)</t>
        </is>
      </c>
      <c r="B22" s="54">
        <f>SUM(C16:V16)</f>
        <v>1550.3659278239516</v>
      </c>
    </row>
    <row r="23">
      <c r="A23" s="14" t="inlineStr">
        <is>
          <t>Cash &amp; investments</t>
        </is>
      </c>
      <c r="B23" s="57">
        <f>Main!C7</f>
        <v>75.26725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1625.6331778239517</v>
      </c>
    </row>
    <row r="26">
      <c r="A26" s="14" t="inlineStr">
        <is>
          <t>Shares (mm)</t>
        </is>
      </c>
      <c r="B26" s="57">
        <f>Main!C4</f>
        <v>47.747559</v>
      </c>
    </row>
    <row r="27">
      <c r="A27" s="24" t="inlineStr">
        <is>
          <t>rNPV / share</t>
        </is>
      </c>
      <c r="B27" s="60">
        <f>B25/B26</f>
        <v>34.04641434809163</v>
      </c>
    </row>
    <row r="28">
      <c r="A28" s="14" t="inlineStr">
        <is>
          <t>Price</t>
        </is>
      </c>
      <c r="B28" s="61">
        <f>Main!C3</f>
        <v>2.53</v>
      </c>
    </row>
    <row r="29">
      <c r="A29" s="14" t="inlineStr">
        <is>
          <t>Upside</t>
        </is>
      </c>
      <c r="B29" s="62">
        <f>B27/B28-1</f>
        <v>12.457080769996693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2026-10-21T06:27:55Z</dcterms:modified>
  <cp:lastModifiedBy>Wang, Eric</cp:lastModifiedBy>
</cp:coreProperties>
</file>