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Minerva Neurosciences, Inc</t>
        </is>
      </c>
      <c r="C2" s="10" t="n"/>
    </row>
    <row r="3">
      <c r="B3" t="inlineStr">
        <is>
          <t>Price</t>
        </is>
      </c>
      <c r="C3" s="11">
        <f>INDEX([1]Pharma!$F$1:$F$1000,MATCH("NERV",[1]Pharma!$B$1:$B$1000,0))</f>
        <v>2.53</v>
      </c>
      <c r="F3" s="1" t="n"/>
    </row>
    <row r="4">
      <c r="B4" t="inlineStr">
        <is>
          <t>Shares</t>
        </is>
      </c>
      <c r="C4" s="21" t="n">
        <v>47.747559</v>
      </c>
      <c r="F4" s="1" t="n"/>
    </row>
    <row r="5">
      <c r="B5" t="inlineStr">
        <is>
          <t>Market Cap.</t>
        </is>
      </c>
      <c r="C5" s="13">
        <f>C3*C4</f>
        <v>120.80132427</v>
      </c>
      <c r="F5" s="1" t="n"/>
    </row>
    <row r="6"/>
    <row r="7">
      <c r="B7" t="inlineStr">
        <is>
          <t>Cash</t>
        </is>
      </c>
      <c r="C7" s="21">
        <f>24.652086+50.615164</f>
        <v>75.26725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45.53407426999999</v>
      </c>
    </row>
    <row r="10"/>
    <row r="11">
      <c r="B11" s="14" t="inlineStr">
        <is>
          <t>Net Cash / Share</t>
        </is>
      </c>
      <c r="C11" s="11">
        <f>(C7-C8)/C4</f>
        <v>1.5763580709958387</v>
      </c>
    </row>
    <row r="12">
      <c r="B12" s="14" t="inlineStr">
        <is>
          <t>Upside</t>
        </is>
      </c>
      <c r="C12" s="15">
        <f>IFERROR(C11/C3-1,"")</f>
        <v>-0.3769335687763483</v>
      </c>
    </row>
    <row r="13">
      <c r="B13" s="14" t="inlineStr">
        <is>
          <t>Cash / Share</t>
        </is>
      </c>
      <c r="C13" s="11">
        <f>IFERROR((C7-C8)/C4,"")</f>
        <v>1.5763580709958387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-26.169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2.8761989376743475</v>
      </c>
    </row>
    <row r="19">
      <c r="B19" s="14" t="inlineStr">
        <is>
          <t>Implied Pipeline Value</t>
        </is>
      </c>
      <c r="C19" s="13">
        <f>C9</f>
        <v>45.53407426999999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2013</v>
      </c>
      <c r="C1" s="17" t="n">
        <v>2014</v>
      </c>
      <c r="D1" s="17" t="n">
        <v>2015</v>
      </c>
      <c r="E1" s="17" t="n">
        <v>2016</v>
      </c>
      <c r="F1" s="17" t="n">
        <v>2017</v>
      </c>
      <c r="G1" s="17" t="n">
        <v>2018</v>
      </c>
      <c r="H1" s="17" t="n">
        <v>2019</v>
      </c>
      <c r="I1" s="17" t="n">
        <v>2020</v>
      </c>
      <c r="J1" s="17" t="n">
        <v>2021</v>
      </c>
      <c r="K1" s="17" t="n">
        <v>2022</v>
      </c>
      <c r="L1" s="17" t="n">
        <v>2023</v>
      </c>
      <c r="M1" s="17" t="n">
        <v>2024</v>
      </c>
      <c r="N1" s="17" t="n">
        <v>2025</v>
      </c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41.176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41.176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</row>
    <row r="5">
      <c r="A5" s="2" t="inlineStr">
        <is>
          <t>Research &amp; Dev.</t>
        </is>
      </c>
      <c r="B5" s="23" t="n">
        <v>0.708</v>
      </c>
      <c r="C5" s="23" t="n">
        <v>42.909</v>
      </c>
      <c r="D5" s="23" t="n">
        <v>18.533</v>
      </c>
      <c r="E5" s="23" t="n">
        <v>20.44</v>
      </c>
      <c r="F5" s="23" t="n">
        <v>30.256</v>
      </c>
      <c r="G5" s="23" t="n">
        <v>34.889</v>
      </c>
      <c r="H5" s="23" t="n">
        <v>58.124</v>
      </c>
      <c r="I5" s="23" t="n">
        <v>22.039</v>
      </c>
      <c r="J5" s="23" t="n">
        <v>32.039</v>
      </c>
      <c r="K5" s="23" t="n">
        <v>14.649</v>
      </c>
      <c r="L5" s="23" t="n">
        <v>12.705</v>
      </c>
      <c r="M5" s="23" t="n">
        <v>11.899</v>
      </c>
      <c r="N5" s="23" t="n">
        <v>5.759</v>
      </c>
    </row>
    <row r="6">
      <c r="A6" s="19" t="inlineStr">
        <is>
          <t>SG&amp;A &amp; Other</t>
        </is>
      </c>
      <c r="B6" s="23" t="n">
        <v>2.466</v>
      </c>
      <c r="C6" s="23" t="n">
        <v>11.962</v>
      </c>
      <c r="D6" s="23" t="n">
        <v>7.576</v>
      </c>
      <c r="E6" s="23" t="n">
        <v>9.750999999999999</v>
      </c>
      <c r="F6" s="23" t="n">
        <v>10.914</v>
      </c>
      <c r="G6" s="23" t="n">
        <v>16.841</v>
      </c>
      <c r="H6" s="23" t="n">
        <v>17.741</v>
      </c>
      <c r="I6" s="23" t="n">
        <v>17.289</v>
      </c>
      <c r="J6" s="23" t="n">
        <v>13.327</v>
      </c>
      <c r="K6" s="23" t="n">
        <v>10.582</v>
      </c>
      <c r="L6" s="23" t="n">
        <v>10.414</v>
      </c>
      <c r="M6" s="23" t="n">
        <v>9.949999999999999</v>
      </c>
      <c r="N6" s="23" t="n">
        <v>9.343</v>
      </c>
    </row>
    <row r="7">
      <c r="A7" s="2" t="inlineStr">
        <is>
          <t>Operating Expense</t>
        </is>
      </c>
      <c r="B7" s="23">
        <f>SUM(B5:B6)</f>
        <v>3.1740000000000004</v>
      </c>
      <c r="C7" s="23">
        <f>SUM(C5:C6)</f>
        <v>54.870999999999995</v>
      </c>
      <c r="D7" s="23">
        <f>SUM(D5:D6)</f>
        <v>26.109</v>
      </c>
      <c r="E7" s="23">
        <f>SUM(E5:E6)</f>
        <v>30.191000000000003</v>
      </c>
      <c r="F7" s="23">
        <f>SUM(F5:F6)</f>
        <v>41.17</v>
      </c>
      <c r="G7" s="23">
        <f>SUM(G5:G6)</f>
        <v>51.730000000000004</v>
      </c>
      <c r="H7" s="23">
        <f>SUM(H5:H6)</f>
        <v>75.86500000000001</v>
      </c>
      <c r="I7" s="23">
        <f>SUM(I5:I6)</f>
        <v>39.328</v>
      </c>
      <c r="J7" s="23">
        <f>SUM(J5:J6)</f>
        <v>45.366</v>
      </c>
      <c r="K7" s="23">
        <f>SUM(K5:K6)</f>
        <v>25.231</v>
      </c>
      <c r="L7" s="23">
        <f>SUM(L5:L6)</f>
        <v>23.119</v>
      </c>
      <c r="M7" s="23">
        <f>SUM(M5:M6)</f>
        <v>21.848999999999997</v>
      </c>
      <c r="N7" s="23">
        <f>SUM(N5:N6)</f>
        <v>15.102</v>
      </c>
    </row>
    <row r="8">
      <c r="A8" s="2" t="inlineStr">
        <is>
          <t>Operating Income</t>
        </is>
      </c>
      <c r="B8" s="23">
        <f>B4-B7</f>
        <v>-3.1740000000000004</v>
      </c>
      <c r="C8" s="23">
        <f>C4-C7</f>
        <v>-54.870999999999995</v>
      </c>
      <c r="D8" s="23">
        <f>D4-D7</f>
        <v>-26.109</v>
      </c>
      <c r="E8" s="23">
        <f>E4-E7</f>
        <v>-30.191000000000003</v>
      </c>
      <c r="F8" s="23">
        <f>F4-F7</f>
        <v>-41.17</v>
      </c>
      <c r="G8" s="23">
        <f>G4-G7</f>
        <v>-51.730000000000004</v>
      </c>
      <c r="H8" s="23">
        <f>H4-H7</f>
        <v>-75.86500000000001</v>
      </c>
      <c r="I8" s="23">
        <f>I4-I7</f>
        <v>1.847999999999999</v>
      </c>
      <c r="J8" s="23">
        <f>J4-J7</f>
        <v>-45.366</v>
      </c>
      <c r="K8" s="23">
        <f>K4-K7</f>
        <v>-25.231</v>
      </c>
      <c r="L8" s="23">
        <f>L4-L7</f>
        <v>-23.119</v>
      </c>
      <c r="M8" s="23">
        <f>M4-M7</f>
        <v>-21.848999999999997</v>
      </c>
      <c r="N8" s="23">
        <f>N4-N7</f>
        <v>-15.102</v>
      </c>
    </row>
    <row r="9">
      <c r="A9" s="19" t="inlineStr">
        <is>
          <t>Interest &amp; Other</t>
        </is>
      </c>
      <c r="B9" s="23" t="n">
        <v>-0.08699999999999999</v>
      </c>
      <c r="C9" s="23" t="n">
        <v>-2.031</v>
      </c>
      <c r="D9" s="23" t="n">
        <v>-0.972</v>
      </c>
      <c r="E9" s="23" t="n">
        <v>-0.855</v>
      </c>
      <c r="F9" s="23" t="n">
        <v>0.247</v>
      </c>
      <c r="G9" s="23" t="n">
        <v>1.559</v>
      </c>
      <c r="H9" s="23" t="n">
        <v>1.427</v>
      </c>
      <c r="I9" s="23" t="n">
        <v>0.094</v>
      </c>
      <c r="J9" s="23" t="n">
        <v>-6.344</v>
      </c>
      <c r="K9" s="23" t="n">
        <v>-6.877</v>
      </c>
      <c r="L9" s="23" t="n">
        <v>-6.886</v>
      </c>
      <c r="M9" s="23" t="n">
        <v>23.287</v>
      </c>
      <c r="N9" s="23" t="n">
        <v>-278.32</v>
      </c>
    </row>
    <row r="10">
      <c r="A10" s="2" t="inlineStr">
        <is>
          <t>Pretax</t>
        </is>
      </c>
      <c r="B10" s="23">
        <f>B8+B9</f>
        <v>-3.2610000000000006</v>
      </c>
      <c r="C10" s="23">
        <f>C8+C9</f>
        <v>-56.901999999999994</v>
      </c>
      <c r="D10" s="23">
        <f>D8+D9</f>
        <v>-27.081000000000003</v>
      </c>
      <c r="E10" s="23">
        <f>E8+E9</f>
        <v>-31.046000000000003</v>
      </c>
      <c r="F10" s="23">
        <f>F8+F9</f>
        <v>-40.923</v>
      </c>
      <c r="G10" s="23">
        <f>G8+G9</f>
        <v>-50.17100000000001</v>
      </c>
      <c r="H10" s="23">
        <f>H8+H9</f>
        <v>-74.438</v>
      </c>
      <c r="I10" s="23">
        <f>I8+I9</f>
        <v>1.941999999999999</v>
      </c>
      <c r="J10" s="23">
        <f>J8+J9</f>
        <v>-51.71</v>
      </c>
      <c r="K10" s="23">
        <f>K8+K9</f>
        <v>-32.108000000000004</v>
      </c>
      <c r="L10" s="23">
        <f>L8+L9</f>
        <v>-30.005</v>
      </c>
      <c r="M10" s="23">
        <f>M8+M9</f>
        <v>1.4380000000000024</v>
      </c>
      <c r="N10" s="23">
        <f>N8+N9</f>
        <v>-293.42199999999997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-9.4</v>
      </c>
      <c r="G11" s="23" t="n">
        <v>0</v>
      </c>
      <c r="H11" s="23" t="n">
        <v>-2.254</v>
      </c>
      <c r="I11" s="23" t="n">
        <v>0</v>
      </c>
      <c r="J11" s="23" t="n">
        <v>-1.803</v>
      </c>
      <c r="K11" s="23" t="n">
        <v>0</v>
      </c>
      <c r="L11" s="23" t="n">
        <v>0</v>
      </c>
      <c r="M11" s="23" t="n">
        <v>0</v>
      </c>
      <c r="N11" s="23" t="n">
        <v>0</v>
      </c>
    </row>
    <row r="12">
      <c r="A12" s="2" t="inlineStr">
        <is>
          <t>Net Income</t>
        </is>
      </c>
      <c r="B12" s="23" t="n">
        <v>-3.262</v>
      </c>
      <c r="C12" s="23" t="n">
        <v>-56.901</v>
      </c>
      <c r="D12" s="23" t="n">
        <v>-27.082</v>
      </c>
      <c r="E12" s="23" t="n">
        <v>-31.045</v>
      </c>
      <c r="F12" s="23" t="n">
        <v>-31.523</v>
      </c>
      <c r="G12" s="23" t="n">
        <v>-50.171</v>
      </c>
      <c r="H12" s="23" t="n">
        <v>-72.18300000000001</v>
      </c>
      <c r="I12" s="23" t="n">
        <v>1.941</v>
      </c>
      <c r="J12" s="23" t="n">
        <v>-49.906</v>
      </c>
      <c r="K12" s="23" t="n">
        <v>-32.109</v>
      </c>
      <c r="L12" s="23" t="n">
        <v>-30.005</v>
      </c>
      <c r="M12" s="23" t="n">
        <v>1.439</v>
      </c>
      <c r="N12" s="23" t="n">
        <v>-293.423</v>
      </c>
    </row>
    <row r="13">
      <c r="A13" s="2" t="inlineStr">
        <is>
          <t>Earnings per Share</t>
        </is>
      </c>
      <c r="B13" s="11">
        <f>IFERROR(B12/B14,0)</f>
        <v>-0.2597547380156076</v>
      </c>
      <c r="C13" s="11">
        <f>IFERROR(C12/C14,0)</f>
        <v>-4.471942785287646</v>
      </c>
      <c r="D13" s="11">
        <f>IFERROR(D12/D14,0)</f>
        <v>-1.156757218520417</v>
      </c>
      <c r="E13" s="11">
        <f>IFERROR(E12/E14,0)</f>
        <v>-0.9851177254553533</v>
      </c>
      <c r="F13" s="11">
        <f>IFERROR(F12/F14,0)</f>
        <v>-0.8309302264280255</v>
      </c>
      <c r="G13" s="11">
        <f>IFERROR(G12/G14,0)</f>
        <v>-1.2933003376897894</v>
      </c>
      <c r="H13" s="11">
        <f>IFERROR(H12/H14,0)</f>
        <v>-1.8501819859537603</v>
      </c>
      <c r="I13" s="11">
        <f>IFERROR(I12/I14,0)</f>
        <v>0.04743749541755261</v>
      </c>
      <c r="J13" s="11">
        <f>IFERROR(J12/J14,0)</f>
        <v>-9.345692883895131</v>
      </c>
      <c r="K13" s="11">
        <f>IFERROR(K12/K14,0)</f>
        <v>-6.012921348314607</v>
      </c>
      <c r="L13" s="11">
        <f>IFERROR(L12/L14,0)</f>
        <v>-4.611896710728558</v>
      </c>
      <c r="M13" s="11">
        <f>IFERROR(M12/M14,0)</f>
        <v>0.18999207816213362</v>
      </c>
      <c r="N13" s="11">
        <f>IFERROR(N12/N14,0)</f>
        <v>-34.667178638941394</v>
      </c>
    </row>
    <row r="14">
      <c r="A14" s="2" t="inlineStr">
        <is>
          <t>Shares</t>
        </is>
      </c>
      <c r="B14" s="23" t="n">
        <v>12.558</v>
      </c>
      <c r="C14" s="23" t="n">
        <v>12.724</v>
      </c>
      <c r="D14" s="23" t="n">
        <v>23.412</v>
      </c>
      <c r="E14" s="23" t="n">
        <v>31.514</v>
      </c>
      <c r="F14" s="23" t="n">
        <v>37.937</v>
      </c>
      <c r="G14" s="23" t="n">
        <v>38.793</v>
      </c>
      <c r="H14" s="23" t="n">
        <v>39.014</v>
      </c>
      <c r="I14" s="23" t="n">
        <v>40.917</v>
      </c>
      <c r="J14" s="23" t="n">
        <v>5.34</v>
      </c>
      <c r="K14" s="23" t="n">
        <v>5.34</v>
      </c>
      <c r="L14" s="23" t="n">
        <v>6.506</v>
      </c>
      <c r="M14" s="23" t="n">
        <v>7.574</v>
      </c>
      <c r="N14" s="23" t="n">
        <v>8.464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>-1.0</v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>1.0</v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>0.04488051292014763</v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2026-10-21T01:05:53Z</dcterms:modified>
  <cp:lastModifiedBy>Wang, Eric</cp:lastModifiedBy>
</cp:coreProperties>
</file>