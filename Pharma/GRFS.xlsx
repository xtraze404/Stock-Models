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Grifols, S.A.</t>
        </is>
      </c>
      <c r="C2" s="10" t="n"/>
    </row>
    <row r="3">
      <c r="B3" t="inlineStr">
        <is>
          <t>Price</t>
        </is>
      </c>
      <c r="C3" s="11">
        <f>INDEX([1]Pharma!$F$1:$F$1000,MATCH("GRFS",[1]Pharma!$B$1:$B$1000,0))</f>
        <v>7.64</v>
      </c>
      <c r="F3" s="1" t="n"/>
    </row>
    <row r="4">
      <c r="B4" t="inlineStr">
        <is>
          <t>Shares</t>
        </is>
      </c>
      <c r="C4" s="21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21" t="n"/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0.0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1015.212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0.0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4427.573</v>
      </c>
      <c r="C2" s="23" t="n">
        <v>4557.284</v>
      </c>
      <c r="D2" s="23" t="n">
        <v>4859.138</v>
      </c>
      <c r="E2" s="23" t="n">
        <v>5048.921</v>
      </c>
      <c r="F2" s="23" t="n">
        <v>5737.569</v>
      </c>
      <c r="G2" s="23" t="n">
        <v>6009.158</v>
      </c>
      <c r="H2" s="23" t="n">
        <v>5551.25</v>
      </c>
      <c r="I2" s="23" t="n">
        <v>6823.797</v>
      </c>
      <c r="J2" s="23" t="n">
        <v>7417.968</v>
      </c>
      <c r="K2" s="23" t="n">
        <v>8116.111</v>
      </c>
    </row>
    <row r="3" customFormat="1" s="1">
      <c r="A3" s="5" t="inlineStr">
        <is>
          <t>Cost of Sales</t>
        </is>
      </c>
      <c r="B3" s="23" t="n">
        <v>2254.617</v>
      </c>
      <c r="C3" s="23" t="n">
        <v>2405.378</v>
      </c>
      <c r="D3" s="23" t="n">
        <v>2437.475</v>
      </c>
      <c r="E3" s="23" t="n">
        <v>2742.547</v>
      </c>
      <c r="F3" s="23" t="n">
        <v>3102.975</v>
      </c>
      <c r="G3" s="23" t="n">
        <v>3471.415</v>
      </c>
      <c r="H3" s="23" t="n">
        <v>3342.736</v>
      </c>
      <c r="I3" s="23" t="n">
        <v>4332.704</v>
      </c>
      <c r="J3" s="23" t="n">
        <v>4623.299</v>
      </c>
      <c r="K3" s="23" t="n">
        <v>4971.411</v>
      </c>
    </row>
    <row r="4" customFormat="1" s="1">
      <c r="A4" s="5" t="inlineStr">
        <is>
          <t>Gross Margin</t>
        </is>
      </c>
      <c r="B4" s="23">
        <f>B2-B3</f>
        <v>2172.956</v>
      </c>
      <c r="C4" s="23">
        <f>C2-C3</f>
        <v>2151.9059999999995</v>
      </c>
      <c r="D4" s="23">
        <f>D2-D3</f>
        <v>2421.663</v>
      </c>
      <c r="E4" s="23">
        <f>E2-E3</f>
        <v>2306.3740000000003</v>
      </c>
      <c r="F4" s="23">
        <f>F2-F3</f>
        <v>2634.5940000000005</v>
      </c>
      <c r="G4" s="23">
        <f>G2-G3</f>
        <v>2537.7430000000004</v>
      </c>
      <c r="H4" s="23">
        <f>H2-H3</f>
        <v>2208.514</v>
      </c>
      <c r="I4" s="23">
        <f>I2-I3</f>
        <v>2491.093</v>
      </c>
      <c r="J4" s="23">
        <f>J2-J3</f>
        <v>2794.669</v>
      </c>
      <c r="K4" s="23">
        <f>K2-K3</f>
        <v>3144.7</v>
      </c>
    </row>
    <row r="5">
      <c r="A5" s="2" t="inlineStr">
        <is>
          <t>Research &amp; Dev.</t>
        </is>
      </c>
      <c r="B5" s="23" t="n">
        <v>252.285</v>
      </c>
      <c r="C5" s="23" t="n">
        <v>222.379</v>
      </c>
      <c r="D5" s="23" t="n">
        <v>324.447</v>
      </c>
      <c r="E5" s="23" t="n">
        <v>270.816</v>
      </c>
      <c r="F5" s="23" t="n">
        <v>310.604</v>
      </c>
      <c r="G5" s="23" t="n">
        <v>331.082</v>
      </c>
      <c r="H5" s="23" t="n">
        <v>399.348</v>
      </c>
      <c r="I5" s="23" t="n">
        <v>406.392</v>
      </c>
      <c r="J5" s="23" t="n">
        <v>444.812</v>
      </c>
      <c r="K5" s="23" t="n">
        <v>432.157</v>
      </c>
    </row>
    <row r="6">
      <c r="A6" s="19" t="inlineStr">
        <is>
          <t>SG&amp;A &amp; Other</t>
        </is>
      </c>
      <c r="B6" s="23" t="n">
        <v>828.712</v>
      </c>
      <c r="C6" s="23" t="n">
        <v>872.409</v>
      </c>
      <c r="D6" s="23" t="n">
        <v>968.152</v>
      </c>
      <c r="E6" s="23" t="n">
        <v>916.8680000000001</v>
      </c>
      <c r="F6" s="23" t="n">
        <v>1050.863</v>
      </c>
      <c r="G6" s="23" t="n">
        <v>1085.711</v>
      </c>
      <c r="H6" s="23" t="n">
        <v>1139.539</v>
      </c>
      <c r="I6" s="23" t="n">
        <v>1204.224</v>
      </c>
      <c r="J6" s="23" t="n">
        <v>1469.513</v>
      </c>
      <c r="K6" s="23" t="n">
        <v>1371.166</v>
      </c>
    </row>
    <row r="7">
      <c r="A7" s="2" t="inlineStr">
        <is>
          <t>Operating Expense</t>
        </is>
      </c>
      <c r="B7" s="23">
        <f>SUM(B5:B6)</f>
        <v>1080.997</v>
      </c>
      <c r="C7" s="23">
        <f>SUM(C5:C6)</f>
        <v>1094.788</v>
      </c>
      <c r="D7" s="23">
        <f>SUM(D5:D6)</f>
        <v>1292.5990000000002</v>
      </c>
      <c r="E7" s="23">
        <f>SUM(E5:E6)</f>
        <v>1187.684</v>
      </c>
      <c r="F7" s="23">
        <f>SUM(F5:F6)</f>
        <v>1361.467</v>
      </c>
      <c r="G7" s="23">
        <f>SUM(G5:G6)</f>
        <v>1416.7930000000001</v>
      </c>
      <c r="H7" s="23">
        <f>SUM(H5:H6)</f>
        <v>1538.887</v>
      </c>
      <c r="I7" s="23">
        <f>SUM(I5:I6)</f>
        <v>1610.616</v>
      </c>
      <c r="J7" s="23">
        <f>SUM(J5:J6)</f>
        <v>1914.3249999999998</v>
      </c>
      <c r="K7" s="23">
        <f>SUM(K5:K6)</f>
        <v>1803.3229999999999</v>
      </c>
    </row>
    <row r="8">
      <c r="A8" s="2" t="inlineStr">
        <is>
          <t>Operating Income</t>
        </is>
      </c>
      <c r="B8" s="23">
        <f>B4-B7</f>
        <v>1091.959</v>
      </c>
      <c r="C8" s="23">
        <f>C4-C7</f>
        <v>1057.1179999999995</v>
      </c>
      <c r="D8" s="23">
        <f>D4-D7</f>
        <v>1129.0639999999999</v>
      </c>
      <c r="E8" s="23">
        <f>E4-E7</f>
        <v>1118.6900000000003</v>
      </c>
      <c r="F8" s="23">
        <f>F4-F7</f>
        <v>1273.1270000000004</v>
      </c>
      <c r="G8" s="23">
        <f>G4-G7</f>
        <v>1120.9500000000003</v>
      </c>
      <c r="H8" s="23">
        <f>H4-H7</f>
        <v>669.6270000000002</v>
      </c>
      <c r="I8" s="23">
        <f>I4-I7</f>
        <v>880.4769999999999</v>
      </c>
      <c r="J8" s="23">
        <f>J4-J7</f>
        <v>880.344</v>
      </c>
      <c r="K8" s="23">
        <f>K4-K7</f>
        <v>1341.377</v>
      </c>
    </row>
    <row r="9">
      <c r="A9" s="19" t="inlineStr">
        <is>
          <t>Interest &amp; Other</t>
        </is>
      </c>
      <c r="B9" s="23" t="n">
        <v>-314.428</v>
      </c>
      <c r="C9" s="23" t="n">
        <v>-254.029</v>
      </c>
      <c r="D9" s="23" t="n">
        <v>-344.607</v>
      </c>
      <c r="E9" s="23" t="n">
        <v>-299.382</v>
      </c>
      <c r="F9" s="23" t="n">
        <v>-380.082</v>
      </c>
      <c r="G9" s="23" t="n">
        <v>-234.003</v>
      </c>
      <c r="H9" s="23" t="n">
        <v>-361.461</v>
      </c>
      <c r="I9" s="23" t="n">
        <v>-570.855</v>
      </c>
      <c r="J9" s="23" t="n">
        <v>-783.942</v>
      </c>
      <c r="K9" s="23" t="n">
        <v>-904.636</v>
      </c>
    </row>
    <row r="10">
      <c r="A10" s="2" t="inlineStr">
        <is>
          <t>Pretax</t>
        </is>
      </c>
      <c r="B10" s="23">
        <f>B8+B9</f>
        <v>777.5310000000001</v>
      </c>
      <c r="C10" s="23">
        <f>C8+C9</f>
        <v>803.0889999999995</v>
      </c>
      <c r="D10" s="23">
        <f>D8+D9</f>
        <v>784.4569999999999</v>
      </c>
      <c r="E10" s="23">
        <f>E8+E9</f>
        <v>819.3080000000002</v>
      </c>
      <c r="F10" s="23">
        <f>F8+F9</f>
        <v>893.0450000000004</v>
      </c>
      <c r="G10" s="23">
        <f>G8+G9</f>
        <v>886.9470000000003</v>
      </c>
      <c r="H10" s="23">
        <f>H8+H9</f>
        <v>308.16600000000017</v>
      </c>
      <c r="I10" s="23">
        <f>I8+I9</f>
        <v>309.62199999999984</v>
      </c>
      <c r="J10" s="23">
        <f>J8+J9</f>
        <v>96.40200000000004</v>
      </c>
      <c r="K10" s="23">
        <f>K8+K9</f>
        <v>436.741</v>
      </c>
    </row>
    <row r="11">
      <c r="A11" s="2" t="inlineStr">
        <is>
          <t>Taxes</t>
        </is>
      </c>
      <c r="B11" s="23" t="n">
        <v>178.708</v>
      </c>
      <c r="C11" s="23" t="n">
        <v>189.286</v>
      </c>
      <c r="D11" s="23" t="n">
        <v>38.719</v>
      </c>
      <c r="E11" s="23" t="n">
        <v>147.905</v>
      </c>
      <c r="F11" s="23" t="n">
        <v>189.567</v>
      </c>
      <c r="G11" s="23" t="n">
        <v>190.895</v>
      </c>
      <c r="H11" s="23" t="n">
        <v>95.792</v>
      </c>
      <c r="I11" s="23" t="n">
        <v>101.402</v>
      </c>
      <c r="J11" s="23" t="n">
        <v>48.781</v>
      </c>
      <c r="K11" s="23" t="n">
        <v>260.159</v>
      </c>
    </row>
    <row r="12">
      <c r="A12" s="2" t="inlineStr">
        <is>
          <t>Net Income</t>
        </is>
      </c>
      <c r="B12" s="23" t="n">
        <v>598.824</v>
      </c>
      <c r="C12" s="23" t="n">
        <v>613.803</v>
      </c>
      <c r="D12" s="23" t="n">
        <v>745.7380000000001</v>
      </c>
      <c r="E12" s="23" t="n">
        <v>671.403</v>
      </c>
      <c r="F12" s="23" t="n">
        <v>703.478</v>
      </c>
      <c r="G12" s="23" t="n">
        <v>696.051</v>
      </c>
      <c r="H12" s="23" t="n">
        <v>212.374</v>
      </c>
      <c r="I12" s="23" t="n">
        <v>208.22</v>
      </c>
      <c r="J12" s="23" t="n">
        <v>47.621</v>
      </c>
      <c r="K12" s="23" t="n">
        <v>176.582</v>
      </c>
    </row>
    <row r="13">
      <c r="A13" s="2" t="inlineStr">
        <is>
          <t>Earnings per Share</t>
        </is>
      </c>
      <c r="B13" s="11">
        <f>IFERROR(B12/B14,0)</f>
        <v>0.8755709698738456</v>
      </c>
      <c r="C13" s="11">
        <f>IFERROR(C12/C14,0)</f>
        <v>0.8971485198875719</v>
      </c>
      <c r="D13" s="11">
        <f>IFERROR(D12/D14,0)</f>
        <v>1.0898714493660158</v>
      </c>
      <c r="E13" s="11">
        <f>IFERROR(E12/E14,0)</f>
        <v>0.9805998662160464</v>
      </c>
      <c r="F13" s="11">
        <f>IFERROR(F12/F14,0)</f>
        <v>1.0273966400815515</v>
      </c>
      <c r="G13" s="11">
        <f>IFERROR(G12/G14,0)</f>
        <v>1.0159207639864962</v>
      </c>
      <c r="H13" s="11">
        <f>IFERROR(H12/H14,0)</f>
        <v>0.3116707391345822</v>
      </c>
      <c r="I13" s="11">
        <f>IFERROR(I12/I14,0)</f>
        <v>0.3065245777595235</v>
      </c>
      <c r="J13" s="11">
        <f>IFERROR(J12/J14,0)</f>
        <v>0.07033061488520194</v>
      </c>
      <c r="K13" s="11">
        <f>IFERROR(K12/K14,0)</f>
        <v>0.25971111179746936</v>
      </c>
    </row>
    <row r="14">
      <c r="A14" s="2" t="inlineStr">
        <is>
          <t>Shares</t>
        </is>
      </c>
      <c r="B14" s="23" t="n">
        <v>683.924</v>
      </c>
      <c r="C14" s="23" t="n">
        <v>684.171</v>
      </c>
      <c r="D14" s="23" t="n">
        <v>684.244</v>
      </c>
      <c r="E14" s="23" t="n">
        <v>684.686</v>
      </c>
      <c r="F14" s="23" t="n">
        <v>684.7190000000001</v>
      </c>
      <c r="G14" s="23" t="n">
        <v>685.143</v>
      </c>
      <c r="H14" s="23" t="n">
        <v>681.405</v>
      </c>
      <c r="I14" s="23" t="n">
        <v>679.293</v>
      </c>
      <c r="J14" s="23" t="n">
        <v>677.102</v>
      </c>
      <c r="K14" s="23" t="n">
        <v>679.917</v>
      </c>
    </row>
    <row r="15"/>
    <row r="16" customFormat="1" s="4">
      <c r="A16" s="3" t="inlineStr">
        <is>
          <t>Revenue Change</t>
        </is>
      </c>
      <c r="C16" s="15">
        <f>IFERROR(C2/B2-1,"")</f>
        <v>0.029296185517437845</v>
      </c>
      <c r="D16" s="15">
        <f>IFERROR(D2/C2-1,"")</f>
        <v>0.06623550342704121</v>
      </c>
      <c r="E16" s="15">
        <f>IFERROR(E2/D2-1,"")</f>
        <v>0.039056927380947126</v>
      </c>
      <c r="F16" s="15">
        <f>IFERROR(F2/E2-1,"")</f>
        <v>0.13639508322669336</v>
      </c>
      <c r="G16" s="15">
        <f>IFERROR(G2/F2-1,"")</f>
        <v>0.04733520416050774</v>
      </c>
      <c r="H16" s="15">
        <f>IFERROR(H2/G2-1,"")</f>
        <v>-0.07620169081924633</v>
      </c>
      <c r="I16" s="15">
        <f>IFERROR(I2/H2-1,"")</f>
        <v>0.22923611799144328</v>
      </c>
      <c r="J16" s="15">
        <f>IFERROR(J2/I2-1,"")</f>
        <v>0.08707336985552194</v>
      </c>
      <c r="K16" s="15">
        <f>IFERROR(K2/J2-1,"")</f>
        <v>0.09411512694581581</v>
      </c>
    </row>
    <row r="17" customFormat="1" s="4">
      <c r="A17" s="3" t="inlineStr">
        <is>
          <t>Gross Margin</t>
        </is>
      </c>
      <c r="B17" s="15">
        <f>IFERROR(B4/B2,"")</f>
        <v>0.49077813059208736</v>
      </c>
      <c r="C17" s="15">
        <f>IFERROR(C4/C2,"")</f>
        <v>0.4721904537878262</v>
      </c>
      <c r="D17" s="15">
        <f>IFERROR(D4/D2,"")</f>
        <v>0.4983729624472489</v>
      </c>
      <c r="E17" s="15">
        <f>IFERROR(E4/E2,"")</f>
        <v>0.456805325335849</v>
      </c>
      <c r="F17" s="15">
        <f>IFERROR(F4/F2,"")</f>
        <v>0.45918297453154816</v>
      </c>
      <c r="G17" s="15">
        <f>IFERROR(G4/G2,"")</f>
        <v>0.4223125769034531</v>
      </c>
      <c r="H17" s="15">
        <f>IFERROR(H4/H2,"")</f>
        <v>0.39784084665615854</v>
      </c>
      <c r="I17" s="15">
        <f>IFERROR(I4/I2,"")</f>
        <v>0.36505965813461333</v>
      </c>
      <c r="J17" s="15">
        <f>IFERROR(J4/J2,"")</f>
        <v>0.37674319975497333</v>
      </c>
      <c r="K17" s="15">
        <f>IFERROR(K4/K2,"")</f>
        <v>0.3874638974257498</v>
      </c>
    </row>
    <row r="18">
      <c r="A18" s="14" t="inlineStr">
        <is>
          <t>Operating Margin</t>
        </is>
      </c>
      <c r="B18" s="15">
        <f>IFERROR(B8/B2,"")</f>
        <v>0.24662698954935355</v>
      </c>
      <c r="C18" s="15">
        <f>IFERROR(C8/C2,"")</f>
        <v>0.2319622827982631</v>
      </c>
      <c r="D18" s="15">
        <f>IFERROR(D8/D2,"")</f>
        <v>0.23235890810263052</v>
      </c>
      <c r="E18" s="15">
        <f>IFERROR(E8/E2,"")</f>
        <v>0.22157011369359914</v>
      </c>
      <c r="F18" s="15">
        <f>IFERROR(F8/F2,"")</f>
        <v>0.2218931049020936</v>
      </c>
      <c r="G18" s="15">
        <f>IFERROR(G8/G2,"")</f>
        <v>0.18654027735666132</v>
      </c>
      <c r="H18" s="15">
        <f>IFERROR(H8/H2,"")</f>
        <v>0.12062634541769875</v>
      </c>
      <c r="I18" s="15">
        <f>IFERROR(I8/I2,"")</f>
        <v>0.1290303624213909</v>
      </c>
      <c r="J18" s="15">
        <f>IFERROR(J8/J2,"")</f>
        <v>0.11867724422645125</v>
      </c>
      <c r="K18" s="15">
        <f>IFERROR(K8/K2,"")</f>
        <v>0.16527336799607595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2026-10-21T01:06:58Z</dcterms:modified>
  <cp:lastModifiedBy>Wang, Eric</cp:lastModifiedBy>
</cp:coreProperties>
</file>