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Arcturus Therapeutics Holdings Inc</t>
        </is>
      </c>
      <c r="C2" s="10" t="n"/>
    </row>
    <row r="3">
      <c r="B3" t="inlineStr">
        <is>
          <t>Price</t>
        </is>
      </c>
      <c r="C3" s="11">
        <f>INDEX([1]Pharma!$F$1:$F$1000,MATCH("ARCT",[1]Pharma!$B$1:$B$1000,0))</f>
        <v>10.98</v>
      </c>
      <c r="F3" s="1" t="n"/>
    </row>
    <row r="4">
      <c r="B4" t="inlineStr">
        <is>
          <t>Shares</t>
        </is>
      </c>
      <c r="C4" s="21" t="n">
        <v>28.423069</v>
      </c>
      <c r="F4" s="1" t="n"/>
    </row>
    <row r="5">
      <c r="B5" t="inlineStr">
        <is>
          <t>Market Cap.</t>
        </is>
      </c>
      <c r="C5" s="13">
        <f>C3*C4</f>
        <v>312.08529762</v>
      </c>
      <c r="F5" s="1" t="n"/>
    </row>
    <row r="6"/>
    <row r="7">
      <c r="B7" t="inlineStr">
        <is>
          <t>Cash</t>
        </is>
      </c>
      <c r="C7" s="21" t="n">
        <v>191.483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120.60229762</v>
      </c>
    </row>
    <row r="10"/>
    <row r="11">
      <c r="B11" s="14" t="inlineStr">
        <is>
          <t>rNPV / Share</t>
        </is>
      </c>
      <c r="C11" s="11">
        <f>NPV!B27</f>
        <v>36.925632324790264</v>
      </c>
    </row>
    <row r="12">
      <c r="B12" s="14" t="inlineStr">
        <is>
          <t>Upside</t>
        </is>
      </c>
      <c r="C12" s="15">
        <f>IFERROR(C11/C3-1,"")</f>
        <v>2.362990193514596</v>
      </c>
    </row>
    <row r="13">
      <c r="B13" s="14" t="inlineStr">
        <is>
          <t>Cash / Share</t>
        </is>
      </c>
      <c r="C13" s="11">
        <f>IFERROR((C7-C8)/C4,"")</f>
        <v>6.7368868576436975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-72.729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2.6328287203178924</v>
      </c>
    </row>
    <row r="19">
      <c r="B19" s="14" t="inlineStr">
        <is>
          <t>Implied Pipeline Value</t>
        </is>
      </c>
      <c r="C19" s="13">
        <f>C9</f>
        <v>120.60229762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15.753</v>
      </c>
      <c r="C2" s="23" t="n">
        <v>20.789</v>
      </c>
      <c r="D2" s="23" t="n">
        <v>9.539</v>
      </c>
      <c r="E2" s="23" t="n">
        <v>12.359</v>
      </c>
      <c r="F2" s="23" t="n">
        <v>205.999</v>
      </c>
      <c r="G2" s="23" t="n">
        <v>166.799</v>
      </c>
      <c r="H2" s="23" t="n">
        <v>152.31</v>
      </c>
      <c r="I2" s="23" t="n">
        <v>82.03100000000001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15.753</v>
      </c>
      <c r="C4" s="23">
        <f>C2-C3</f>
        <v>20.789</v>
      </c>
      <c r="D4" s="23">
        <f>D2-D3</f>
        <v>9.539</v>
      </c>
      <c r="E4" s="23">
        <f>E2-E3</f>
        <v>12.359</v>
      </c>
      <c r="F4" s="23">
        <f>F2-F3</f>
        <v>205.999</v>
      </c>
      <c r="G4" s="23">
        <f>G2-G3</f>
        <v>166.799</v>
      </c>
      <c r="H4" s="23">
        <f>H2-H3</f>
        <v>152.31</v>
      </c>
      <c r="I4" s="23">
        <f>I2-I3</f>
        <v>82.031</v>
      </c>
      <c r="J4" s="1" t="n"/>
      <c r="K4" s="1" t="n"/>
    </row>
    <row r="5">
      <c r="A5" s="2" t="inlineStr">
        <is>
          <t>Research &amp; Dev.</t>
        </is>
      </c>
      <c r="B5" s="23" t="n">
        <v>16.982</v>
      </c>
      <c r="C5" s="23" t="n">
        <v>33.64</v>
      </c>
      <c r="D5" s="23" t="n">
        <v>57.846</v>
      </c>
      <c r="E5" s="23" t="n">
        <v>173.76</v>
      </c>
      <c r="F5" s="23" t="n">
        <v>147.751</v>
      </c>
      <c r="G5" s="23" t="n">
        <v>192.133</v>
      </c>
      <c r="H5" s="23" t="n">
        <v>195.156</v>
      </c>
      <c r="I5" s="23" t="n">
        <v>112.212</v>
      </c>
      <c r="J5" s="1" t="n"/>
      <c r="K5" s="1" t="n"/>
    </row>
    <row r="6">
      <c r="A6" s="19" t="inlineStr">
        <is>
          <t>SG&amp;A &amp; Other</t>
        </is>
      </c>
      <c r="B6" s="23" t="n">
        <v>20.582</v>
      </c>
      <c r="C6" s="23" t="n">
        <v>12.662</v>
      </c>
      <c r="D6" s="23" t="n">
        <v>23.217</v>
      </c>
      <c r="E6" s="23" t="n">
        <v>41.451</v>
      </c>
      <c r="F6" s="23" t="n">
        <v>46.071</v>
      </c>
      <c r="G6" s="23" t="n">
        <v>52.871</v>
      </c>
      <c r="H6" s="23" t="n">
        <v>52.823</v>
      </c>
      <c r="I6" s="23" t="n">
        <v>46.079</v>
      </c>
      <c r="J6" s="1" t="n"/>
      <c r="K6" s="1" t="n"/>
    </row>
    <row r="7">
      <c r="A7" s="2" t="inlineStr">
        <is>
          <t>Operating Expense</t>
        </is>
      </c>
      <c r="B7" s="23">
        <f>SUM(B5:B6)</f>
        <v>37.564</v>
      </c>
      <c r="C7" s="23">
        <f>SUM(C5:C6)</f>
        <v>46.302</v>
      </c>
      <c r="D7" s="23">
        <f>SUM(D5:D6)</f>
        <v>81.06299999999999</v>
      </c>
      <c r="E7" s="23">
        <f>SUM(E5:E6)</f>
        <v>215.21099999999998</v>
      </c>
      <c r="F7" s="23">
        <f>SUM(F5:F6)</f>
        <v>193.822</v>
      </c>
      <c r="G7" s="23">
        <f>SUM(G5:G6)</f>
        <v>245.00400000000002</v>
      </c>
      <c r="H7" s="23">
        <f>SUM(H5:H6)</f>
        <v>247.979</v>
      </c>
      <c r="I7" s="23">
        <f>SUM(I5:I6)</f>
        <v>158.291</v>
      </c>
      <c r="J7" s="1" t="n"/>
      <c r="K7" s="1" t="n"/>
    </row>
    <row r="8">
      <c r="A8" s="2" t="inlineStr">
        <is>
          <t>Operating Income</t>
        </is>
      </c>
      <c r="B8" s="23">
        <f>B4-B7</f>
        <v>-21.811</v>
      </c>
      <c r="C8" s="23">
        <f>C4-C7</f>
        <v>-25.512999999999998</v>
      </c>
      <c r="D8" s="23">
        <f>D4-D7</f>
        <v>-71.52399999999999</v>
      </c>
      <c r="E8" s="23">
        <f>E4-E7</f>
        <v>-202.85199999999998</v>
      </c>
      <c r="F8" s="23">
        <f>F4-F7</f>
        <v>12.176999999999992</v>
      </c>
      <c r="G8" s="23">
        <f>G4-G7</f>
        <v>-78.20500000000001</v>
      </c>
      <c r="H8" s="23">
        <f>H4-H7</f>
        <v>-95.66900000000001</v>
      </c>
      <c r="I8" s="23">
        <f>I4-I7</f>
        <v>-76.25999999999999</v>
      </c>
      <c r="J8" s="1" t="n"/>
      <c r="K8" s="1" t="n"/>
    </row>
    <row r="9">
      <c r="A9" s="19" t="inlineStr">
        <is>
          <t>Interest &amp; Other</t>
        </is>
      </c>
      <c r="B9" s="23" t="n">
        <v>0.026</v>
      </c>
      <c r="C9" s="23" t="n">
        <v>-0.478</v>
      </c>
      <c r="D9" s="23" t="n">
        <v>-0.624</v>
      </c>
      <c r="E9" s="23" t="n">
        <v>-0.822</v>
      </c>
      <c r="F9" s="23" t="n">
        <v>-1.533</v>
      </c>
      <c r="G9" s="23" t="n">
        <v>50.315</v>
      </c>
      <c r="H9" s="23" t="n">
        <v>14.724</v>
      </c>
      <c r="I9" s="23" t="n">
        <v>10.477</v>
      </c>
    </row>
    <row r="10">
      <c r="A10" s="2" t="inlineStr">
        <is>
          <t>Pretax</t>
        </is>
      </c>
      <c r="B10" s="23">
        <f>B8+B9</f>
        <v>-21.785</v>
      </c>
      <c r="C10" s="23">
        <f>C8+C9</f>
        <v>-25.991</v>
      </c>
      <c r="D10" s="23">
        <f>D8+D9</f>
        <v>-72.14799999999998</v>
      </c>
      <c r="E10" s="23">
        <f>E8+E9</f>
        <v>-203.67399999999998</v>
      </c>
      <c r="F10" s="23">
        <f>F8+F9</f>
        <v>10.643999999999993</v>
      </c>
      <c r="G10" s="23">
        <f>G8+G9</f>
        <v>-27.890000000000015</v>
      </c>
      <c r="H10" s="23">
        <f>H8+H9</f>
        <v>-80.94500000000001</v>
      </c>
      <c r="I10" s="23">
        <f>I8+I9</f>
        <v>-65.78299999999999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1.295</v>
      </c>
      <c r="G11" s="23" t="n">
        <v>1.835</v>
      </c>
      <c r="H11" s="23" t="n">
        <v>-0.004</v>
      </c>
      <c r="I11" s="23" t="n">
        <v>0</v>
      </c>
    </row>
    <row r="12">
      <c r="A12" s="2" t="inlineStr">
        <is>
          <t>Net Income</t>
        </is>
      </c>
      <c r="B12" s="23" t="n">
        <v>-21.785</v>
      </c>
      <c r="C12" s="23" t="n">
        <v>-25.991</v>
      </c>
      <c r="D12" s="23" t="n">
        <v>-72.148</v>
      </c>
      <c r="E12" s="23" t="n">
        <v>-203.674</v>
      </c>
      <c r="F12" s="23" t="n">
        <v>9.349</v>
      </c>
      <c r="G12" s="23" t="n">
        <v>-29.725</v>
      </c>
      <c r="H12" s="23" t="n">
        <v>-80.941</v>
      </c>
      <c r="I12" s="23" t="n">
        <v>-65.783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-2.1635713576323368</v>
      </c>
      <c r="C13" s="11">
        <f>IFERROR(C12/C14,0)</f>
        <v>-2.153533847046151</v>
      </c>
      <c r="D13" s="11">
        <f>IFERROR(D12/D14,0)</f>
        <v>-3.5532134942132476</v>
      </c>
      <c r="E13" s="11">
        <f>IFERROR(E12/E14,0)</f>
        <v>-7.739255994224266</v>
      </c>
      <c r="F13" s="11">
        <f>IFERROR(F12/F14,0)</f>
        <v>0.3450706824641051</v>
      </c>
      <c r="G13" s="11">
        <f>IFERROR(G12/G14,0)</f>
        <v>-1.1163061439086677</v>
      </c>
      <c r="H13" s="11">
        <f>IFERROR(H12/H14,0)</f>
        <v>-2.9978148148148147</v>
      </c>
      <c r="I13" s="11">
        <f>IFERROR(I12/I14,0)</f>
        <v>-2.4020667494340175</v>
      </c>
    </row>
    <row r="14">
      <c r="A14" s="2" t="inlineStr">
        <is>
          <t>Shares</t>
        </is>
      </c>
      <c r="B14" s="23" t="n">
        <v>10.069</v>
      </c>
      <c r="C14" s="23" t="n">
        <v>12.069</v>
      </c>
      <c r="D14" s="23" t="n">
        <v>20.305</v>
      </c>
      <c r="E14" s="23" t="n">
        <v>26.317</v>
      </c>
      <c r="F14" s="23" t="n">
        <v>27.093</v>
      </c>
      <c r="G14" s="23" t="n">
        <v>26.628</v>
      </c>
      <c r="H14" s="23" t="n">
        <v>27</v>
      </c>
      <c r="I14" s="23" t="n">
        <v>27.386</v>
      </c>
    </row>
    <row r="15"/>
    <row r="16" customFormat="1" s="4">
      <c r="A16" s="3" t="inlineStr">
        <is>
          <t>Revenue Change</t>
        </is>
      </c>
      <c r="C16" s="15">
        <f>IFERROR(C2/B2-1,"")</f>
        <v>0.3196851393385387</v>
      </c>
      <c r="D16" s="15">
        <f>IFERROR(D2/C2-1,"")</f>
        <v>-0.5411515705421137</v>
      </c>
      <c r="E16" s="15">
        <f>IFERROR(E2/D2-1,"")</f>
        <v>0.29562847258622504</v>
      </c>
      <c r="F16" s="15">
        <f>IFERROR(F2/E2-1,"")</f>
        <v>15.667934298891495</v>
      </c>
      <c r="G16" s="15">
        <f>IFERROR(G2/F2-1,"")</f>
        <v>-0.19029218588439745</v>
      </c>
      <c r="H16" s="15">
        <f>IFERROR(H2/G2-1,"")</f>
        <v>-0.08686502916684158</v>
      </c>
      <c r="I16" s="15">
        <f>IFERROR(I2/H2-1,"")</f>
        <v>-0.4614207865537391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-1.3845616707928647</v>
      </c>
      <c r="C18" s="15">
        <f>IFERROR(C8/C2,"")</f>
        <v>-1.2272355572658615</v>
      </c>
      <c r="D18" s="15">
        <f>IFERROR(D8/D2,"")</f>
        <v>-7.4980605933536</v>
      </c>
      <c r="E18" s="15">
        <f>IFERROR(E8/E2,"")</f>
        <v>-16.413302047091186</v>
      </c>
      <c r="F18" s="15">
        <f>IFERROR(F8/F2,"")</f>
        <v>0.05911193743658946</v>
      </c>
      <c r="G18" s="15">
        <f>IFERROR(G8/G2,"")</f>
        <v>-0.46885772696479</v>
      </c>
      <c r="H18" s="15">
        <f>IFERROR(H8/H2,"")</f>
        <v>-0.6281202810058434</v>
      </c>
      <c r="I18" s="15">
        <f>IFERROR(I8/I2,"")</f>
        <v>-0.9296485475003351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Arcturus Therapeutics Holdings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0.758866105702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102.294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500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858.0567954361442</v>
      </c>
      <c r="C29" s="42">
        <f>NPV!B25</f>
        <v>1049.5397954361442</v>
      </c>
      <c r="D29" s="43">
        <f>NPV!B27</f>
        <v>36.925632324790264</v>
      </c>
      <c r="E29" s="44">
        <f>NPV!B29</f>
        <v>2.362990193514596</v>
      </c>
    </row>
    <row r="30">
      <c r="A30" s="45" t="n">
        <v>1</v>
      </c>
      <c r="B30" s="46">
        <f t="dataTable" ref="B30:E32" r1="B4"/>
        <v>206.13032908242354</v>
      </c>
      <c r="C30" s="46">
        <v>397.61332908242355</v>
      </c>
      <c r="D30" s="47">
        <v>13.98910614059388</v>
      </c>
      <c r="E30" s="48">
        <v>0.27405338256774847</v>
      </c>
    </row>
    <row r="31">
      <c r="A31" s="45" t="n">
        <v>2</v>
      </c>
      <c r="B31" s="46">
        <v>858.0567954361442</v>
      </c>
      <c r="C31" s="46">
        <v>1049.5397954361442</v>
      </c>
      <c r="D31" s="47">
        <v>36.925632324790264</v>
      </c>
      <c r="E31" s="48">
        <v>2.362990193514596</v>
      </c>
    </row>
    <row r="32">
      <c r="A32" s="45" t="n">
        <v>3</v>
      </c>
      <c r="B32" s="46">
        <v>1876.8512069154206</v>
      </c>
      <c r="C32" s="46">
        <v>2068.3342069154205</v>
      </c>
      <c r="D32" s="47">
        <v>72.76955936445218</v>
      </c>
      <c r="E32" s="48">
        <v>5.627464422992001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36.925632324790264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10.003666918142772</v>
      </c>
      <c r="C37" s="47">
        <v>16.19741418044456</v>
      </c>
      <c r="D37" s="47">
        <v>22.248600203737823</v>
      </c>
      <c r="E37" s="47">
        <v>34.17775799617029</v>
      </c>
      <c r="F37" s="47">
        <v>46.01092449760527</v>
      </c>
    </row>
    <row r="38">
      <c r="A38" s="50" t="n">
        <v>0.8</v>
      </c>
      <c r="B38" s="47">
        <v>13.478312555998823</v>
      </c>
      <c r="C38" s="47">
        <v>21.584622283683252</v>
      </c>
      <c r="D38" s="47">
        <v>29.56067720226726</v>
      </c>
      <c r="E38" s="47">
        <v>45.36242747443422</v>
      </c>
      <c r="F38" s="47">
        <v>61.06315461214552</v>
      </c>
    </row>
    <row r="39">
      <c r="A39" s="50" t="n">
        <v>1</v>
      </c>
      <c r="B39" s="47">
        <v>16.99168780169846</v>
      </c>
      <c r="C39" s="47">
        <v>27.01706356059288</v>
      </c>
      <c r="D39" s="47">
        <v>36.925632324790264</v>
      </c>
      <c r="E39" s="47">
        <v>56.60181136518009</v>
      </c>
      <c r="F39" s="47">
        <v>76.19834248248486</v>
      </c>
    </row>
    <row r="40">
      <c r="A40" s="50" t="n">
        <v>1.2</v>
      </c>
      <c r="B40" s="47">
        <v>20.557711948415697</v>
      </c>
      <c r="C40" s="47">
        <v>32.52435963423785</v>
      </c>
      <c r="D40" s="47">
        <v>44.359459942878566</v>
      </c>
      <c r="E40" s="47">
        <v>67.90974480920863</v>
      </c>
      <c r="F40" s="47">
        <v>91.3943147728338</v>
      </c>
    </row>
    <row r="41">
      <c r="A41" s="50" t="n">
        <v>1.4</v>
      </c>
      <c r="B41" s="47">
        <v>24.193992868449918</v>
      </c>
      <c r="C41" s="47">
        <v>38.07358196644687</v>
      </c>
      <c r="D41" s="47">
        <v>51.86725526507674</v>
      </c>
      <c r="E41" s="47">
        <v>79.30239882930339</v>
      </c>
      <c r="F41" s="47">
        <v>106.64380075473098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Arcturus Therapeutics Holdings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Vaccines / respiratory viruses</t>
        </is>
      </c>
      <c r="C4" s="14" t="inlineStr">
        <is>
          <t>ARCT-021 Dose 1, ARCT-021 Dose 2</t>
        </is>
      </c>
      <c r="D4" s="14" t="inlineStr">
        <is>
          <t>Phase 3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1000</v>
      </c>
      <c r="H4" s="27" t="n">
        <v>0.5946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852.9255173221902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59.46</v>
      </c>
      <c r="Q4" s="23">
        <f>IF(Q$3&lt;$I4,0,$G4*Assumptions!$E$11*INDEX(Assumptions!$B$24:$G$24,MIN(6,Q$3-$I4+1))*IF(Q$3&gt;$J4,(1-Assumptions!$B$26)^(Q$3-$J4),1)*IF($H4&gt;=1,1,MIN(0.97,$H4*Assumptions!$E$12)))</f>
        <v>148.65</v>
      </c>
      <c r="R4" s="23">
        <f>IF(R$3&lt;$I4,0,$G4*Assumptions!$E$11*INDEX(Assumptions!$B$24:$G$24,MIN(6,R$3-$I4+1))*IF(R$3&gt;$J4,(1-Assumptions!$B$26)^(R$3-$J4),1)*IF($H4&gt;=1,1,MIN(0.97,$H4*Assumptions!$E$12)))</f>
        <v>267.57</v>
      </c>
      <c r="S4" s="23">
        <f>IF(S$3&lt;$I4,0,$G4*Assumptions!$E$11*INDEX(Assumptions!$B$24:$G$24,MIN(6,S$3-$I4+1))*IF(S$3&gt;$J4,(1-Assumptions!$B$26)^(S$3-$J4),1)*IF($H4&gt;=1,1,MIN(0.97,$H4*Assumptions!$E$12)))</f>
        <v>386.49</v>
      </c>
      <c r="T4" s="23">
        <f>IF(T$3&lt;$I4,0,$G4*Assumptions!$E$11*INDEX(Assumptions!$B$24:$G$24,MIN(6,T$3-$I4+1))*IF(T$3&gt;$J4,(1-Assumptions!$B$26)^(T$3-$J4),1)*IF($H4&gt;=1,1,MIN(0.97,$H4*Assumptions!$E$12)))</f>
        <v>505.41</v>
      </c>
      <c r="U4" s="23">
        <f>IF(U$3&lt;$I4,0,$G4*Assumptions!$E$11*INDEX(Assumptions!$B$24:$G$24,MIN(6,U$3-$I4+1))*IF(U$3&gt;$J4,(1-Assumptions!$B$26)^(U$3-$J4),1)*IF($H4&gt;=1,1,MIN(0.97,$H4*Assumptions!$E$12)))</f>
        <v>594.6</v>
      </c>
      <c r="V4" s="23">
        <f>IF(V$3&lt;$I4,0,$G4*Assumptions!$E$11*INDEX(Assumptions!$B$24:$G$24,MIN(6,V$3-$I4+1))*IF(V$3&gt;$J4,(1-Assumptions!$B$26)^(V$3-$J4),1)*IF($H4&gt;=1,1,MIN(0.97,$H4*Assumptions!$E$12)))</f>
        <v>594.6</v>
      </c>
      <c r="W4" s="23">
        <f>IF(W$3&lt;$I4,0,$G4*Assumptions!$E$11*INDEX(Assumptions!$B$24:$G$24,MIN(6,W$3-$I4+1))*IF(W$3&gt;$J4,(1-Assumptions!$B$26)^(W$3-$J4),1)*IF($H4&gt;=1,1,MIN(0.97,$H4*Assumptions!$E$12)))</f>
        <v>594.6</v>
      </c>
      <c r="X4" s="23">
        <f>IF(X$3&lt;$I4,0,$G4*Assumptions!$E$11*INDEX(Assumptions!$B$24:$G$24,MIN(6,X$3-$I4+1))*IF(X$3&gt;$J4,(1-Assumptions!$B$26)^(X$3-$J4),1)*IF($H4&gt;=1,1,MIN(0.97,$H4*Assumptions!$E$12)))</f>
        <v>594.6</v>
      </c>
      <c r="Y4" s="23">
        <f>IF(Y$3&lt;$I4,0,$G4*Assumptions!$E$11*INDEX(Assumptions!$B$24:$G$24,MIN(6,Y$3-$I4+1))*IF(Y$3&gt;$J4,(1-Assumptions!$B$26)^(Y$3-$J4),1)*IF($H4&gt;=1,1,MIN(0.97,$H4*Assumptions!$E$12)))</f>
        <v>594.6</v>
      </c>
      <c r="Z4" s="23">
        <f>IF(Z$3&lt;$I4,0,$G4*Assumptions!$E$11*INDEX(Assumptions!$B$24:$G$24,MIN(6,Z$3-$I4+1))*IF(Z$3&gt;$J4,(1-Assumptions!$B$26)^(Z$3-$J4),1)*IF($H4&gt;=1,1,MIN(0.97,$H4*Assumptions!$E$12)))</f>
        <v>594.6</v>
      </c>
      <c r="AA4" s="23">
        <f>IF(AA$3&lt;$I4,0,$G4*Assumptions!$E$11*INDEX(Assumptions!$B$24:$G$24,MIN(6,AA$3-$I4+1))*IF(AA$3&gt;$J4,(1-Assumptions!$B$26)^(AA$3-$J4),1)*IF($H4&gt;=1,1,MIN(0.97,$H4*Assumptions!$E$12)))</f>
        <v>594.6</v>
      </c>
      <c r="AB4" s="23">
        <f>IF(AB$3&lt;$I4,0,$G4*Assumptions!$E$11*INDEX(Assumptions!$B$24:$G$24,MIN(6,AB$3-$I4+1))*IF(AB$3&gt;$J4,(1-Assumptions!$B$26)^(AB$3-$J4),1)*IF($H4&gt;=1,1,MIN(0.97,$H4*Assumptions!$E$12)))</f>
        <v>594.6</v>
      </c>
      <c r="AC4" s="23">
        <f>IF(AC$3&lt;$I4,0,$G4*Assumptions!$E$11*INDEX(Assumptions!$B$24:$G$24,MIN(6,AC$3-$I4+1))*IF(AC$3&gt;$J4,(1-Assumptions!$B$26)^(AC$3-$J4),1)*IF($H4&gt;=1,1,MIN(0.97,$H4*Assumptions!$E$12)))</f>
        <v>297.3</v>
      </c>
      <c r="AD4" s="23">
        <f>IF(AD$3&lt;$I4,0,$G4*Assumptions!$E$11*INDEX(Assumptions!$B$24:$G$24,MIN(6,AD$3-$I4+1))*IF(AD$3&gt;$J4,(1-Assumptions!$B$26)^(AD$3-$J4),1)*IF($H4&gt;=1,1,MIN(0.97,$H4*Assumptions!$E$12)))</f>
        <v>148.65</v>
      </c>
      <c r="AE4" s="23">
        <f>IF(AE$3&lt;$I4,0,$G4*Assumptions!$E$11*INDEX(Assumptions!$B$24:$G$24,MIN(6,AE$3-$I4+1))*IF(AE$3&gt;$J4,(1-Assumptions!$B$26)^(AE$3-$J4),1)*IF($H4&gt;=1,1,MIN(0.97,$H4*Assumptions!$E$12)))</f>
        <v>74.325</v>
      </c>
      <c r="AF4" s="23">
        <f>IF(AF$3&lt;$I4,0,$G4*Assumptions!$E$11*INDEX(Assumptions!$B$24:$G$24,MIN(6,AF$3-$I4+1))*IF(AF$3&gt;$J4,(1-Assumptions!$B$26)^(AF$3-$J4),1)*IF($H4&gt;=1,1,MIN(0.97,$H4*Assumptions!$E$12)))</f>
        <v>37.1625</v>
      </c>
      <c r="AG4" s="35">
        <f>IF(F4="Owned",1-IF(H4&gt;=1,1,MIN(0.97,H4*Assumptions!$E$12)),1)</f>
        <v>0.4054</v>
      </c>
    </row>
    <row r="5">
      <c r="A5" s="39" t="n">
        <v>2</v>
      </c>
      <c r="B5" s="14" t="inlineStr">
        <is>
          <t>Cystic fibrosis / bronchiectasis</t>
        </is>
      </c>
      <c r="C5" s="14" t="inlineStr">
        <is>
          <t>ARCT-032</t>
        </is>
      </c>
      <c r="D5" s="14" t="inlineStr">
        <is>
          <t>Phase 2</t>
        </is>
      </c>
      <c r="E5" s="14" t="inlineStr">
        <is>
          <t>Respiratory / rare</t>
        </is>
      </c>
      <c r="F5" s="14" t="inlineStr">
        <is>
          <t>Owned</t>
        </is>
      </c>
      <c r="G5" s="40" t="n">
        <v>1500</v>
      </c>
      <c r="H5" s="27" t="n">
        <v>0.2521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429.5946553238118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37.815</v>
      </c>
      <c r="S5" s="23">
        <f>IF(S$3&lt;$I5,0,$G5*Assumptions!$E$11*INDEX(Assumptions!$B$24:$G$24,MIN(6,S$3-$I5+1))*IF(S$3&gt;$J5,(1-Assumptions!$B$26)^(S$3-$J5),1)*IF($H5&gt;=1,1,MIN(0.97,$H5*Assumptions!$E$12)))</f>
        <v>94.5375</v>
      </c>
      <c r="T5" s="23">
        <f>IF(T$3&lt;$I5,0,$G5*Assumptions!$E$11*INDEX(Assumptions!$B$24:$G$24,MIN(6,T$3-$I5+1))*IF(T$3&gt;$J5,(1-Assumptions!$B$26)^(T$3-$J5),1)*IF($H5&gt;=1,1,MIN(0.97,$H5*Assumptions!$E$12)))</f>
        <v>170.1675</v>
      </c>
      <c r="U5" s="23">
        <f>IF(U$3&lt;$I5,0,$G5*Assumptions!$E$11*INDEX(Assumptions!$B$24:$G$24,MIN(6,U$3-$I5+1))*IF(U$3&gt;$J5,(1-Assumptions!$B$26)^(U$3-$J5),1)*IF($H5&gt;=1,1,MIN(0.97,$H5*Assumptions!$E$12)))</f>
        <v>245.79749999999999</v>
      </c>
      <c r="V5" s="23">
        <f>IF(V$3&lt;$I5,0,$G5*Assumptions!$E$11*INDEX(Assumptions!$B$24:$G$24,MIN(6,V$3-$I5+1))*IF(V$3&gt;$J5,(1-Assumptions!$B$26)^(V$3-$J5),1)*IF($H5&gt;=1,1,MIN(0.97,$H5*Assumptions!$E$12)))</f>
        <v>321.4275</v>
      </c>
      <c r="W5" s="23">
        <f>IF(W$3&lt;$I5,0,$G5*Assumptions!$E$11*INDEX(Assumptions!$B$24:$G$24,MIN(6,W$3-$I5+1))*IF(W$3&gt;$J5,(1-Assumptions!$B$26)^(W$3-$J5),1)*IF($H5&gt;=1,1,MIN(0.97,$H5*Assumptions!$E$12)))</f>
        <v>378.15</v>
      </c>
      <c r="X5" s="23">
        <f>IF(X$3&lt;$I5,0,$G5*Assumptions!$E$11*INDEX(Assumptions!$B$24:$G$24,MIN(6,X$3-$I5+1))*IF(X$3&gt;$J5,(1-Assumptions!$B$26)^(X$3-$J5),1)*IF($H5&gt;=1,1,MIN(0.97,$H5*Assumptions!$E$12)))</f>
        <v>378.15</v>
      </c>
      <c r="Y5" s="23">
        <f>IF(Y$3&lt;$I5,0,$G5*Assumptions!$E$11*INDEX(Assumptions!$B$24:$G$24,MIN(6,Y$3-$I5+1))*IF(Y$3&gt;$J5,(1-Assumptions!$B$26)^(Y$3-$J5),1)*IF($H5&gt;=1,1,MIN(0.97,$H5*Assumptions!$E$12)))</f>
        <v>378.15</v>
      </c>
      <c r="Z5" s="23">
        <f>IF(Z$3&lt;$I5,0,$G5*Assumptions!$E$11*INDEX(Assumptions!$B$24:$G$24,MIN(6,Z$3-$I5+1))*IF(Z$3&gt;$J5,(1-Assumptions!$B$26)^(Z$3-$J5),1)*IF($H5&gt;=1,1,MIN(0.97,$H5*Assumptions!$E$12)))</f>
        <v>378.15</v>
      </c>
      <c r="AA5" s="23">
        <f>IF(AA$3&lt;$I5,0,$G5*Assumptions!$E$11*INDEX(Assumptions!$B$24:$G$24,MIN(6,AA$3-$I5+1))*IF(AA$3&gt;$J5,(1-Assumptions!$B$26)^(AA$3-$J5),1)*IF($H5&gt;=1,1,MIN(0.97,$H5*Assumptions!$E$12)))</f>
        <v>378.15</v>
      </c>
      <c r="AB5" s="23">
        <f>IF(AB$3&lt;$I5,0,$G5*Assumptions!$E$11*INDEX(Assumptions!$B$24:$G$24,MIN(6,AB$3-$I5+1))*IF(AB$3&gt;$J5,(1-Assumptions!$B$26)^(AB$3-$J5),1)*IF($H5&gt;=1,1,MIN(0.97,$H5*Assumptions!$E$12)))</f>
        <v>378.15</v>
      </c>
      <c r="AC5" s="23">
        <f>IF(AC$3&lt;$I5,0,$G5*Assumptions!$E$11*INDEX(Assumptions!$B$24:$G$24,MIN(6,AC$3-$I5+1))*IF(AC$3&gt;$J5,(1-Assumptions!$B$26)^(AC$3-$J5),1)*IF($H5&gt;=1,1,MIN(0.97,$H5*Assumptions!$E$12)))</f>
        <v>378.15</v>
      </c>
      <c r="AD5" s="23">
        <f>IF(AD$3&lt;$I5,0,$G5*Assumptions!$E$11*INDEX(Assumptions!$B$24:$G$24,MIN(6,AD$3-$I5+1))*IF(AD$3&gt;$J5,(1-Assumptions!$B$26)^(AD$3-$J5),1)*IF($H5&gt;=1,1,MIN(0.97,$H5*Assumptions!$E$12)))</f>
        <v>378.15</v>
      </c>
      <c r="AE5" s="23">
        <f>IF(AE$3&lt;$I5,0,$G5*Assumptions!$E$11*INDEX(Assumptions!$B$24:$G$24,MIN(6,AE$3-$I5+1))*IF(AE$3&gt;$J5,(1-Assumptions!$B$26)^(AE$3-$J5),1)*IF($H5&gt;=1,1,MIN(0.97,$H5*Assumptions!$E$12)))</f>
        <v>189.075</v>
      </c>
      <c r="AF5" s="23">
        <f>IF(AF$3&lt;$I5,0,$G5*Assumptions!$E$11*INDEX(Assumptions!$B$24:$G$24,MIN(6,AF$3-$I5+1))*IF(AF$3&gt;$J5,(1-Assumptions!$B$26)^(AF$3-$J5),1)*IF($H5&gt;=1,1,MIN(0.97,$H5*Assumptions!$E$12)))</f>
        <v>94.5375</v>
      </c>
      <c r="AG5" s="35">
        <f>IF(F5="Owned",1-IF(H5&gt;=1,1,MIN(0.97,H5*Assumptions!$E$12)),1)</f>
        <v>0.7479</v>
      </c>
    </row>
    <row r="6">
      <c r="A6" s="39" t="n">
        <v>3</v>
      </c>
      <c r="B6" s="14" t="inlineStr">
        <is>
          <t>Dermatology (other)</t>
        </is>
      </c>
      <c r="C6" s="14" t="inlineStr">
        <is>
          <t>ARCT-810</t>
        </is>
      </c>
      <c r="D6" s="14" t="inlineStr">
        <is>
          <t>Phase 2</t>
        </is>
      </c>
      <c r="E6" s="14" t="inlineStr">
        <is>
          <t>Other / area</t>
        </is>
      </c>
      <c r="F6" s="14" t="inlineStr">
        <is>
          <t>Owned</t>
        </is>
      </c>
      <c r="G6" s="40" t="n">
        <v>500</v>
      </c>
      <c r="H6" s="27" t="n">
        <v>0.2047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116.27399966254703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10.235</v>
      </c>
      <c r="S6" s="23">
        <f>IF(S$3&lt;$I6,0,$G6*Assumptions!$E$11*INDEX(Assumptions!$B$24:$G$24,MIN(6,S$3-$I6+1))*IF(S$3&gt;$J6,(1-Assumptions!$B$26)^(S$3-$J6),1)*IF($H6&gt;=1,1,MIN(0.97,$H6*Assumptions!$E$12)))</f>
        <v>25.5875</v>
      </c>
      <c r="T6" s="23">
        <f>IF(T$3&lt;$I6,0,$G6*Assumptions!$E$11*INDEX(Assumptions!$B$24:$G$24,MIN(6,T$3-$I6+1))*IF(T$3&gt;$J6,(1-Assumptions!$B$26)^(T$3-$J6),1)*IF($H6&gt;=1,1,MIN(0.97,$H6*Assumptions!$E$12)))</f>
        <v>46.0575</v>
      </c>
      <c r="U6" s="23">
        <f>IF(U$3&lt;$I6,0,$G6*Assumptions!$E$11*INDEX(Assumptions!$B$24:$G$24,MIN(6,U$3-$I6+1))*IF(U$3&gt;$J6,(1-Assumptions!$B$26)^(U$3-$J6),1)*IF($H6&gt;=1,1,MIN(0.97,$H6*Assumptions!$E$12)))</f>
        <v>66.5275</v>
      </c>
      <c r="V6" s="23">
        <f>IF(V$3&lt;$I6,0,$G6*Assumptions!$E$11*INDEX(Assumptions!$B$24:$G$24,MIN(6,V$3-$I6+1))*IF(V$3&gt;$J6,(1-Assumptions!$B$26)^(V$3-$J6),1)*IF($H6&gt;=1,1,MIN(0.97,$H6*Assumptions!$E$12)))</f>
        <v>86.9975</v>
      </c>
      <c r="W6" s="23">
        <f>IF(W$3&lt;$I6,0,$G6*Assumptions!$E$11*INDEX(Assumptions!$B$24:$G$24,MIN(6,W$3-$I6+1))*IF(W$3&gt;$J6,(1-Assumptions!$B$26)^(W$3-$J6),1)*IF($H6&gt;=1,1,MIN(0.97,$H6*Assumptions!$E$12)))</f>
        <v>102.35</v>
      </c>
      <c r="X6" s="23">
        <f>IF(X$3&lt;$I6,0,$G6*Assumptions!$E$11*INDEX(Assumptions!$B$24:$G$24,MIN(6,X$3-$I6+1))*IF(X$3&gt;$J6,(1-Assumptions!$B$26)^(X$3-$J6),1)*IF($H6&gt;=1,1,MIN(0.97,$H6*Assumptions!$E$12)))</f>
        <v>102.35</v>
      </c>
      <c r="Y6" s="23">
        <f>IF(Y$3&lt;$I6,0,$G6*Assumptions!$E$11*INDEX(Assumptions!$B$24:$G$24,MIN(6,Y$3-$I6+1))*IF(Y$3&gt;$J6,(1-Assumptions!$B$26)^(Y$3-$J6),1)*IF($H6&gt;=1,1,MIN(0.97,$H6*Assumptions!$E$12)))</f>
        <v>102.35</v>
      </c>
      <c r="Z6" s="23">
        <f>IF(Z$3&lt;$I6,0,$G6*Assumptions!$E$11*INDEX(Assumptions!$B$24:$G$24,MIN(6,Z$3-$I6+1))*IF(Z$3&gt;$J6,(1-Assumptions!$B$26)^(Z$3-$J6),1)*IF($H6&gt;=1,1,MIN(0.97,$H6*Assumptions!$E$12)))</f>
        <v>102.35</v>
      </c>
      <c r="AA6" s="23">
        <f>IF(AA$3&lt;$I6,0,$G6*Assumptions!$E$11*INDEX(Assumptions!$B$24:$G$24,MIN(6,AA$3-$I6+1))*IF(AA$3&gt;$J6,(1-Assumptions!$B$26)^(AA$3-$J6),1)*IF($H6&gt;=1,1,MIN(0.97,$H6*Assumptions!$E$12)))</f>
        <v>102.35</v>
      </c>
      <c r="AB6" s="23">
        <f>IF(AB$3&lt;$I6,0,$G6*Assumptions!$E$11*INDEX(Assumptions!$B$24:$G$24,MIN(6,AB$3-$I6+1))*IF(AB$3&gt;$J6,(1-Assumptions!$B$26)^(AB$3-$J6),1)*IF($H6&gt;=1,1,MIN(0.97,$H6*Assumptions!$E$12)))</f>
        <v>102.35</v>
      </c>
      <c r="AC6" s="23">
        <f>IF(AC$3&lt;$I6,0,$G6*Assumptions!$E$11*INDEX(Assumptions!$B$24:$G$24,MIN(6,AC$3-$I6+1))*IF(AC$3&gt;$J6,(1-Assumptions!$B$26)^(AC$3-$J6),1)*IF($H6&gt;=1,1,MIN(0.97,$H6*Assumptions!$E$12)))</f>
        <v>102.35</v>
      </c>
      <c r="AD6" s="23">
        <f>IF(AD$3&lt;$I6,0,$G6*Assumptions!$E$11*INDEX(Assumptions!$B$24:$G$24,MIN(6,AD$3-$I6+1))*IF(AD$3&gt;$J6,(1-Assumptions!$B$26)^(AD$3-$J6),1)*IF($H6&gt;=1,1,MIN(0.97,$H6*Assumptions!$E$12)))</f>
        <v>102.35</v>
      </c>
      <c r="AE6" s="23">
        <f>IF(AE$3&lt;$I6,0,$G6*Assumptions!$E$11*INDEX(Assumptions!$B$24:$G$24,MIN(6,AE$3-$I6+1))*IF(AE$3&gt;$J6,(1-Assumptions!$B$26)^(AE$3-$J6),1)*IF($H6&gt;=1,1,MIN(0.97,$H6*Assumptions!$E$12)))</f>
        <v>51.175</v>
      </c>
      <c r="AF6" s="23">
        <f>IF(AF$3&lt;$I6,0,$G6*Assumptions!$E$11*INDEX(Assumptions!$B$24:$G$24,MIN(6,AF$3-$I6+1))*IF(AF$3&gt;$J6,(1-Assumptions!$B$26)^(AF$3-$J6),1)*IF($H6&gt;=1,1,MIN(0.97,$H6*Assumptions!$E$12)))</f>
        <v>25.5875</v>
      </c>
      <c r="AG6" s="35">
        <f>IF(F6="Owned",1-IF(H6&gt;=1,1,MIN(0.97,H6*Assumptions!$E$12)),1)</f>
        <v>0.7953</v>
      </c>
    </row>
    <row r="7">
      <c r="B7" s="24" t="inlineStr">
        <is>
          <t>Risked revenue</t>
        </is>
      </c>
      <c r="L7" s="54">
        <f>SUM(L4:L6)</f>
        <v>1398.7941723085492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59.46</v>
      </c>
      <c r="Q7" s="54">
        <f>SUM(Q4:Q6)</f>
        <v>148.65</v>
      </c>
      <c r="R7" s="54">
        <f>SUM(R4:R6)</f>
        <v>315.62</v>
      </c>
      <c r="S7" s="54">
        <f>SUM(S4:S6)</f>
        <v>506.615</v>
      </c>
      <c r="T7" s="54">
        <f>SUM(T4:T6)</f>
        <v>721.635</v>
      </c>
      <c r="U7" s="54">
        <f>SUM(U4:U6)</f>
        <v>906.9250000000001</v>
      </c>
      <c r="V7" s="54">
        <f>SUM(V4:V6)</f>
        <v>1003.0250000000001</v>
      </c>
      <c r="W7" s="54">
        <f>SUM(W4:W6)</f>
        <v>1075.1</v>
      </c>
      <c r="X7" s="54">
        <f>SUM(X4:X6)</f>
        <v>1075.1</v>
      </c>
      <c r="Y7" s="54">
        <f>SUM(Y4:Y6)</f>
        <v>1075.1</v>
      </c>
      <c r="Z7" s="54">
        <f>SUM(Z4:Z6)</f>
        <v>1075.1</v>
      </c>
      <c r="AA7" s="54">
        <f>SUM(AA4:AA6)</f>
        <v>1075.1</v>
      </c>
      <c r="AB7" s="54">
        <f>SUM(AB4:AB6)</f>
        <v>1075.1</v>
      </c>
      <c r="AC7" s="54">
        <f>SUM(AC4:AC6)</f>
        <v>777.8000000000001</v>
      </c>
      <c r="AD7" s="54">
        <f>SUM(AD4:AD6)</f>
        <v>629.15</v>
      </c>
      <c r="AE7" s="54">
        <f>SUM(AE4:AE6)</f>
        <v>314.575</v>
      </c>
      <c r="AF7" s="54">
        <f>SUM(AF4:AF6)</f>
        <v>157.2875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23.784000000000002</v>
      </c>
      <c r="Q8" s="55">
        <f>SUMPRODUCT(Q4:Q6,$K$4:$K$6)</f>
        <v>59.46000000000001</v>
      </c>
      <c r="R8" s="55">
        <f>SUMPRODUCT(R4:R6,$K$4:$K$6)</f>
        <v>126.248</v>
      </c>
      <c r="S8" s="55">
        <f>SUMPRODUCT(S4:S6,$K$4:$K$6)</f>
        <v>202.64600000000002</v>
      </c>
      <c r="T8" s="55">
        <f>SUMPRODUCT(T4:T6,$K$4:$K$6)</f>
        <v>288.654</v>
      </c>
      <c r="U8" s="55">
        <f>SUMPRODUCT(U4:U6,$K$4:$K$6)</f>
        <v>362.77000000000004</v>
      </c>
      <c r="V8" s="55">
        <f>SUMPRODUCT(V4:V6,$K$4:$K$6)</f>
        <v>401.21000000000004</v>
      </c>
      <c r="W8" s="55">
        <f>SUMPRODUCT(W4:W6,$K$4:$K$6)</f>
        <v>430.04</v>
      </c>
      <c r="X8" s="55">
        <f>SUMPRODUCT(X4:X6,$K$4:$K$6)</f>
        <v>430.04</v>
      </c>
      <c r="Y8" s="55">
        <f>SUMPRODUCT(Y4:Y6,$K$4:$K$6)</f>
        <v>430.04</v>
      </c>
      <c r="Z8" s="55">
        <f>SUMPRODUCT(Z4:Z6,$K$4:$K$6)</f>
        <v>430.04</v>
      </c>
      <c r="AA8" s="55">
        <f>SUMPRODUCT(AA4:AA6,$K$4:$K$6)</f>
        <v>430.04</v>
      </c>
      <c r="AB8" s="55">
        <f>SUMPRODUCT(AB4:AB6,$K$4:$K$6)</f>
        <v>430.04</v>
      </c>
      <c r="AC8" s="55">
        <f>SUMPRODUCT(AC4:AC6,$K$4:$K$6)</f>
        <v>311.12</v>
      </c>
      <c r="AD8" s="55">
        <f>SUMPRODUCT(AD4:AD6,$K$4:$K$6)</f>
        <v>251.66</v>
      </c>
      <c r="AE8" s="55">
        <f>SUMPRODUCT(AE4:AE6,$K$4:$K$6)</f>
        <v>125.83</v>
      </c>
      <c r="AF8" s="55">
        <f>SUMPRODUCT(AF4:AF6,$K$4:$K$6)</f>
        <v>62.915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Arcturus Therapeutics Holdings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59.46</v>
      </c>
      <c r="G4" s="57">
        <f>Pipeline!Q7</f>
        <v>148.65</v>
      </c>
      <c r="H4" s="57">
        <f>Pipeline!R7</f>
        <v>315.62</v>
      </c>
      <c r="I4" s="57">
        <f>Pipeline!S7</f>
        <v>506.615</v>
      </c>
      <c r="J4" s="57">
        <f>Pipeline!T7</f>
        <v>721.635</v>
      </c>
      <c r="K4" s="57">
        <f>Pipeline!U7</f>
        <v>906.9250000000001</v>
      </c>
      <c r="L4" s="57">
        <f>Pipeline!V7</f>
        <v>1003.0250000000001</v>
      </c>
      <c r="M4" s="57">
        <f>Pipeline!W7</f>
        <v>1075.1</v>
      </c>
      <c r="N4" s="57">
        <f>Pipeline!X7</f>
        <v>1075.1</v>
      </c>
      <c r="O4" s="57">
        <f>Pipeline!Y7</f>
        <v>1075.1</v>
      </c>
      <c r="P4" s="57">
        <f>Pipeline!Z7</f>
        <v>1075.1</v>
      </c>
      <c r="Q4" s="57">
        <f>Pipeline!AA7</f>
        <v>1075.1</v>
      </c>
      <c r="R4" s="57">
        <f>Pipeline!AB7</f>
        <v>1075.1</v>
      </c>
      <c r="S4" s="57">
        <f>Pipeline!AC7</f>
        <v>777.8000000000001</v>
      </c>
      <c r="T4" s="57">
        <f>Pipeline!AD7</f>
        <v>629.15</v>
      </c>
      <c r="U4" s="57">
        <f>Pipeline!AE7</f>
        <v>314.575</v>
      </c>
      <c r="V4" s="57">
        <f>Pipeline!AF7</f>
        <v>157.2875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23.784000000000002</v>
      </c>
      <c r="G5" s="57">
        <f>Pipeline!Q8</f>
        <v>59.46000000000001</v>
      </c>
      <c r="H5" s="57">
        <f>Pipeline!R8</f>
        <v>126.248</v>
      </c>
      <c r="I5" s="57">
        <f>Pipeline!S8</f>
        <v>202.64600000000002</v>
      </c>
      <c r="J5" s="57">
        <f>Pipeline!T8</f>
        <v>288.654</v>
      </c>
      <c r="K5" s="57">
        <f>Pipeline!U8</f>
        <v>362.77000000000004</v>
      </c>
      <c r="L5" s="57">
        <f>Pipeline!V8</f>
        <v>401.21000000000004</v>
      </c>
      <c r="M5" s="57">
        <f>Pipeline!W8</f>
        <v>430.04</v>
      </c>
      <c r="N5" s="57">
        <f>Pipeline!X8</f>
        <v>430.04</v>
      </c>
      <c r="O5" s="57">
        <f>Pipeline!Y8</f>
        <v>430.04</v>
      </c>
      <c r="P5" s="57">
        <f>Pipeline!Z8</f>
        <v>430.04</v>
      </c>
      <c r="Q5" s="57">
        <f>Pipeline!AA8</f>
        <v>430.04</v>
      </c>
      <c r="R5" s="57">
        <f>Pipeline!AB8</f>
        <v>430.04</v>
      </c>
      <c r="S5" s="57">
        <f>Pipeline!AC8</f>
        <v>311.12</v>
      </c>
      <c r="T5" s="57">
        <f>Pipeline!AD8</f>
        <v>251.66</v>
      </c>
      <c r="U5" s="57">
        <f>Pipeline!AE8</f>
        <v>125.83</v>
      </c>
      <c r="V5" s="57">
        <f>Pipeline!AF8</f>
        <v>62.915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-102.294</v>
      </c>
      <c r="D6" s="23">
        <f>-IF(D3-2026&lt;Assumptions!$B$19,Assumptions!$B$18,Assumptions!$B$18*Assumptions!$B$20*Assumptions!$B$16)</f>
        <v>-102.294</v>
      </c>
      <c r="E6" s="23">
        <f>-IF(E3-2026&lt;Assumptions!$B$19,Assumptions!$B$18,Assumptions!$B$18*Assumptions!$B$20*Assumptions!$B$16)</f>
        <v>-102.294</v>
      </c>
      <c r="F6" s="23">
        <f>-IF(F3-2026&lt;Assumptions!$B$19,Assumptions!$B$18,Assumptions!$B$18*Assumptions!$B$20*Assumptions!$B$16)</f>
        <v>-23.288234825004114</v>
      </c>
      <c r="G6" s="23">
        <f>-IF(G3-2026&lt;Assumptions!$B$19,Assumptions!$B$18,Assumptions!$B$18*Assumptions!$B$20*Assumptions!$B$16)</f>
        <v>-23.288234825004114</v>
      </c>
      <c r="H6" s="23">
        <f>-IF(H3-2026&lt;Assumptions!$B$19,Assumptions!$B$18,Assumptions!$B$18*Assumptions!$B$20*Assumptions!$B$16)</f>
        <v>-23.288234825004114</v>
      </c>
      <c r="I6" s="23">
        <f>-IF(I3-2026&lt;Assumptions!$B$19,Assumptions!$B$18,Assumptions!$B$18*Assumptions!$B$20*Assumptions!$B$16)</f>
        <v>-23.288234825004114</v>
      </c>
      <c r="J6" s="23">
        <f>-IF(J3-2026&lt;Assumptions!$B$19,Assumptions!$B$18,Assumptions!$B$18*Assumptions!$B$20*Assumptions!$B$16)</f>
        <v>-23.288234825004114</v>
      </c>
      <c r="K6" s="23">
        <f>-IF(K3-2026&lt;Assumptions!$B$19,Assumptions!$B$18,Assumptions!$B$18*Assumptions!$B$20*Assumptions!$B$16)</f>
        <v>-23.288234825004114</v>
      </c>
      <c r="L6" s="23">
        <f>-IF(L3-2026&lt;Assumptions!$B$19,Assumptions!$B$18,Assumptions!$B$18*Assumptions!$B$20*Assumptions!$B$16)</f>
        <v>-23.288234825004114</v>
      </c>
      <c r="M6" s="23">
        <f>-IF(M3-2026&lt;Assumptions!$B$19,Assumptions!$B$18,Assumptions!$B$18*Assumptions!$B$20*Assumptions!$B$16)</f>
        <v>-23.288234825004114</v>
      </c>
      <c r="N6" s="23">
        <f>-IF(N3-2026&lt;Assumptions!$B$19,Assumptions!$B$18,Assumptions!$B$18*Assumptions!$B$20*Assumptions!$B$16)</f>
        <v>-23.288234825004114</v>
      </c>
      <c r="O6" s="23">
        <f>-IF(O3-2026&lt;Assumptions!$B$19,Assumptions!$B$18,Assumptions!$B$18*Assumptions!$B$20*Assumptions!$B$16)</f>
        <v>-23.288234825004114</v>
      </c>
      <c r="P6" s="23">
        <f>-IF(P3-2026&lt;Assumptions!$B$19,Assumptions!$B$18,Assumptions!$B$18*Assumptions!$B$20*Assumptions!$B$16)</f>
        <v>-23.288234825004114</v>
      </c>
      <c r="Q6" s="23">
        <f>-IF(Q3-2026&lt;Assumptions!$B$19,Assumptions!$B$18,Assumptions!$B$18*Assumptions!$B$20*Assumptions!$B$16)</f>
        <v>-23.288234825004114</v>
      </c>
      <c r="R6" s="23">
        <f>-IF(R3-2026&lt;Assumptions!$B$19,Assumptions!$B$18,Assumptions!$B$18*Assumptions!$B$20*Assumptions!$B$16)</f>
        <v>-23.288234825004114</v>
      </c>
      <c r="S6" s="23">
        <f>-IF(S3-2026&lt;Assumptions!$B$19,Assumptions!$B$18,Assumptions!$B$18*Assumptions!$B$20*Assumptions!$B$16)</f>
        <v>-23.288234825004114</v>
      </c>
      <c r="T6" s="23">
        <f>-IF(T3-2026&lt;Assumptions!$B$19,Assumptions!$B$18,Assumptions!$B$18*Assumptions!$B$20*Assumptions!$B$16)</f>
        <v>-23.288234825004114</v>
      </c>
      <c r="U6" s="23">
        <f>-IF(U3-2026&lt;Assumptions!$B$19,Assumptions!$B$18,Assumptions!$B$18*Assumptions!$B$20*Assumptions!$B$16)</f>
        <v>-23.288234825004114</v>
      </c>
      <c r="V6" s="23">
        <f>-IF(V3-2026&lt;Assumptions!$B$19,Assumptions!$B$18,Assumptions!$B$18*Assumptions!$B$20*Assumptions!$B$16)</f>
        <v>-23.288234825004114</v>
      </c>
    </row>
    <row r="7">
      <c r="A7" s="14" t="inlineStr">
        <is>
          <t>Pre-tax cash flow</t>
        </is>
      </c>
      <c r="C7" s="23">
        <f>C5+C6</f>
        <v>-102.294</v>
      </c>
      <c r="D7" s="23">
        <f>D5+D6</f>
        <v>-102.294</v>
      </c>
      <c r="E7" s="23">
        <f>E5+E6</f>
        <v>-102.294</v>
      </c>
      <c r="F7" s="23">
        <f>F5+F6</f>
        <v>0.49576517499588846</v>
      </c>
      <c r="G7" s="23">
        <f>G5+G6</f>
        <v>36.1717651749959</v>
      </c>
      <c r="H7" s="23">
        <f>H5+H6</f>
        <v>102.9597651749959</v>
      </c>
      <c r="I7" s="23">
        <f>I5+I6</f>
        <v>179.3577651749959</v>
      </c>
      <c r="J7" s="23">
        <f>J5+J6</f>
        <v>265.3657651749959</v>
      </c>
      <c r="K7" s="23">
        <f>K5+K6</f>
        <v>339.4817651749959</v>
      </c>
      <c r="L7" s="23">
        <f>L5+L6</f>
        <v>377.9217651749959</v>
      </c>
      <c r="M7" s="23">
        <f>M5+M6</f>
        <v>406.7517651749959</v>
      </c>
      <c r="N7" s="23">
        <f>N5+N6</f>
        <v>406.7517651749959</v>
      </c>
      <c r="O7" s="23">
        <f>O5+O6</f>
        <v>406.7517651749959</v>
      </c>
      <c r="P7" s="23">
        <f>P5+P6</f>
        <v>406.7517651749959</v>
      </c>
      <c r="Q7" s="23">
        <f>Q5+Q6</f>
        <v>406.7517651749959</v>
      </c>
      <c r="R7" s="23">
        <f>R5+R6</f>
        <v>406.7517651749959</v>
      </c>
      <c r="S7" s="23">
        <f>S5+S6</f>
        <v>287.8317651749959</v>
      </c>
      <c r="T7" s="23">
        <f>T5+T6</f>
        <v>228.3717651749959</v>
      </c>
      <c r="U7" s="23">
        <f>U5+U6</f>
        <v>102.54176517499589</v>
      </c>
      <c r="V7" s="23">
        <f>V5+V6</f>
        <v>39.62676517499588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0.49576517499588846</v>
      </c>
      <c r="G8" s="23">
        <f>MIN(F17,MAX(0,G7))</f>
        <v>36.1717651749959</v>
      </c>
      <c r="H8" s="23">
        <f>MIN(G17,MAX(0,H7))</f>
        <v>102.9597651749959</v>
      </c>
      <c r="I8" s="23">
        <f>MIN(H17,MAX(0,I7))</f>
        <v>179.3577651749959</v>
      </c>
      <c r="J8" s="23">
        <f>MIN(I17,MAX(0,J7))</f>
        <v>265.3657651749959</v>
      </c>
      <c r="K8" s="23">
        <f>MIN(J17,MAX(0,K7))</f>
        <v>222.5311741250204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116.95059104997551</v>
      </c>
      <c r="L9" s="23">
        <f>MAX(0,L7)-L8</f>
        <v>377.9217651749959</v>
      </c>
      <c r="M9" s="23">
        <f>MAX(0,M7)-M8</f>
        <v>406.7517651749959</v>
      </c>
      <c r="N9" s="23">
        <f>MAX(0,N7)-N8</f>
        <v>406.7517651749959</v>
      </c>
      <c r="O9" s="23">
        <f>MAX(0,O7)-O8</f>
        <v>406.7517651749959</v>
      </c>
      <c r="P9" s="23">
        <f>MAX(0,P7)-P8</f>
        <v>406.7517651749959</v>
      </c>
      <c r="Q9" s="23">
        <f>MAX(0,Q7)-Q8</f>
        <v>406.7517651749959</v>
      </c>
      <c r="R9" s="23">
        <f>MAX(0,R7)-R8</f>
        <v>406.7517651749959</v>
      </c>
      <c r="S9" s="23">
        <f>MAX(0,S7)-S8</f>
        <v>287.8317651749959</v>
      </c>
      <c r="T9" s="23">
        <f>MAX(0,T7)-T8</f>
        <v>228.3717651749959</v>
      </c>
      <c r="U9" s="23">
        <f>MAX(0,U7)-U8</f>
        <v>102.54176517499589</v>
      </c>
      <c r="V9" s="23">
        <f>MAX(0,V7)-V8</f>
        <v>39.62676517499588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24.559624120494856</v>
      </c>
      <c r="L10" s="23">
        <f>L9*Assumptions!$E$15</f>
        <v>79.36357068674914</v>
      </c>
      <c r="M10" s="23">
        <f>M9*Assumptions!$E$15</f>
        <v>85.41787068674914</v>
      </c>
      <c r="N10" s="23">
        <f>N9*Assumptions!$E$15</f>
        <v>85.41787068674914</v>
      </c>
      <c r="O10" s="23">
        <f>O9*Assumptions!$E$15</f>
        <v>85.41787068674914</v>
      </c>
      <c r="P10" s="23">
        <f>P9*Assumptions!$E$15</f>
        <v>85.41787068674914</v>
      </c>
      <c r="Q10" s="23">
        <f>Q9*Assumptions!$E$15</f>
        <v>85.41787068674914</v>
      </c>
      <c r="R10" s="23">
        <f>R9*Assumptions!$E$15</f>
        <v>85.41787068674914</v>
      </c>
      <c r="S10" s="23">
        <f>S9*Assumptions!$E$15</f>
        <v>60.444670686749134</v>
      </c>
      <c r="T10" s="23">
        <f>T9*Assumptions!$E$15</f>
        <v>47.95807068674913</v>
      </c>
      <c r="U10" s="23">
        <f>U9*Assumptions!$E$15</f>
        <v>21.533770686749136</v>
      </c>
      <c r="V10" s="23">
        <f>V9*Assumptions!$E$15</f>
        <v>8.321620686749135</v>
      </c>
    </row>
    <row r="11">
      <c r="A11" s="24" t="inlineStr">
        <is>
          <t>Free cash flow</t>
        </is>
      </c>
      <c r="C11" s="55">
        <f>C7-C10</f>
        <v>-102.294</v>
      </c>
      <c r="D11" s="55">
        <f>D7-D10</f>
        <v>-102.294</v>
      </c>
      <c r="E11" s="55">
        <f>E7-E10</f>
        <v>-102.294</v>
      </c>
      <c r="F11" s="55">
        <f>F7-F10</f>
        <v>0.49576517499588846</v>
      </c>
      <c r="G11" s="55">
        <f>G7-G10</f>
        <v>36.1717651749959</v>
      </c>
      <c r="H11" s="55">
        <f>H7-H10</f>
        <v>102.9597651749959</v>
      </c>
      <c r="I11" s="55">
        <f>I7-I10</f>
        <v>179.3577651749959</v>
      </c>
      <c r="J11" s="55">
        <f>J7-J10</f>
        <v>265.3657651749959</v>
      </c>
      <c r="K11" s="55">
        <f>K7-K10</f>
        <v>314.9221410545011</v>
      </c>
      <c r="L11" s="55">
        <f>L7-L10</f>
        <v>298.5581944882468</v>
      </c>
      <c r="M11" s="55">
        <f>M7-M10</f>
        <v>321.33389448824676</v>
      </c>
      <c r="N11" s="55">
        <f>N7-N10</f>
        <v>321.33389448824676</v>
      </c>
      <c r="O11" s="55">
        <f>O7-O10</f>
        <v>321.33389448824676</v>
      </c>
      <c r="P11" s="55">
        <f>P7-P10</f>
        <v>321.33389448824676</v>
      </c>
      <c r="Q11" s="55">
        <f>Q7-Q10</f>
        <v>321.33389448824676</v>
      </c>
      <c r="R11" s="55">
        <f>R7-R10</f>
        <v>321.33389448824676</v>
      </c>
      <c r="S11" s="55">
        <f>S7-S10</f>
        <v>227.38709448824676</v>
      </c>
      <c r="T11" s="55">
        <f>T7-T10</f>
        <v>180.41369448824676</v>
      </c>
      <c r="U11" s="55">
        <f>U7-U10</f>
        <v>81.00799448824675</v>
      </c>
      <c r="V11" s="55">
        <f>V7-V10</f>
        <v>31.305144488246746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-50.11427547810575</v>
      </c>
      <c r="D16" s="55">
        <f>D11*D15</f>
        <v>-91.29150033768002</v>
      </c>
      <c r="E16" s="55">
        <f>E11*E15</f>
        <v>-81.51026815864286</v>
      </c>
      <c r="F16" s="55">
        <f>F11*F15</f>
        <v>0.35271193427794406</v>
      </c>
      <c r="G16" s="55">
        <f>G11*G15</f>
        <v>22.977131946350454</v>
      </c>
      <c r="H16" s="55">
        <f>H11*H15</f>
        <v>58.394996418625034</v>
      </c>
      <c r="I16" s="55">
        <f>I11*I15</f>
        <v>90.82601376619748</v>
      </c>
      <c r="J16" s="55">
        <f>J11*J15</f>
        <v>119.98223324236169</v>
      </c>
      <c r="K16" s="55">
        <f>K11*K15</f>
        <v>127.13268526700053</v>
      </c>
      <c r="L16" s="55">
        <f>L11*L15</f>
        <v>107.61306420131208</v>
      </c>
      <c r="M16" s="55">
        <f>M11*M15</f>
        <v>103.41285233500595</v>
      </c>
      <c r="N16" s="55">
        <f>N11*N15</f>
        <v>92.33290387054102</v>
      </c>
      <c r="O16" s="55">
        <f>O11*O15</f>
        <v>82.44009274155447</v>
      </c>
      <c r="P16" s="55">
        <f>P11*P15</f>
        <v>73.6072256621022</v>
      </c>
      <c r="Q16" s="55">
        <f>Q11*Q15</f>
        <v>65.72073719830553</v>
      </c>
      <c r="R16" s="55">
        <f>R11*R15</f>
        <v>58.67922964134422</v>
      </c>
      <c r="S16" s="55">
        <f>S11*S15</f>
        <v>37.07453014000225</v>
      </c>
      <c r="T16" s="55">
        <f>T11*T15</f>
        <v>26.26402727561518</v>
      </c>
      <c r="U16" s="55">
        <f>U11*U15</f>
        <v>10.52935282404123</v>
      </c>
      <c r="V16" s="55">
        <f>V11*V15</f>
        <v>3.633050945935648</v>
      </c>
    </row>
    <row r="17">
      <c r="A17" s="14" t="inlineStr">
        <is>
          <t>Tax-loss carryforward, end of year</t>
        </is>
      </c>
      <c r="C17" s="23">
        <f>Assumptions!$B$21-C8+MAX(0,-C7)</f>
        <v>602.294</v>
      </c>
      <c r="D17" s="23">
        <f>C17-D8+MAX(0,-D7)</f>
        <v>704.588</v>
      </c>
      <c r="E17" s="23">
        <f>D17-E8+MAX(0,-E7)</f>
        <v>806.882</v>
      </c>
      <c r="F17" s="23">
        <f>E17-F8+MAX(0,-F7)</f>
        <v>806.3862348250041</v>
      </c>
      <c r="G17" s="23">
        <f>F17-G8+MAX(0,-G7)</f>
        <v>770.2144696500081</v>
      </c>
      <c r="H17" s="23">
        <f>G17-H8+MAX(0,-H7)</f>
        <v>667.2547044750122</v>
      </c>
      <c r="I17" s="23">
        <f>H17-I8+MAX(0,-I7)</f>
        <v>487.8969393000163</v>
      </c>
      <c r="J17" s="23">
        <f>I17-J8+MAX(0,-J7)</f>
        <v>222.5311741250204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1398.7941723085492</v>
      </c>
    </row>
    <row r="20">
      <c r="A20" s="14" t="inlineStr">
        <is>
          <t>PV of corporate burn</t>
        </is>
      </c>
      <c r="B20" s="23">
        <f>SUMPRODUCT(C6:V6,C15:V15)</f>
        <v>-355.0322783551483</v>
      </c>
    </row>
    <row r="21">
      <c r="A21" s="14" t="inlineStr">
        <is>
          <t>PV of taxes</t>
        </is>
      </c>
      <c r="B21" s="23">
        <f>-SUMPRODUCT(C10:V10,C15:V15)</f>
        <v>-185.70509851725663</v>
      </c>
    </row>
    <row r="22">
      <c r="A22" s="24" t="inlineStr">
        <is>
          <t>Pipeline rNPV (operations)</t>
        </is>
      </c>
      <c r="B22" s="54">
        <f>SUM(C16:V16)</f>
        <v>858.0567954361442</v>
      </c>
    </row>
    <row r="23">
      <c r="A23" s="14" t="inlineStr">
        <is>
          <t>Cash &amp; investments</t>
        </is>
      </c>
      <c r="B23" s="57">
        <f>Main!C7</f>
        <v>191.483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1049.5397954361442</v>
      </c>
    </row>
    <row r="26">
      <c r="A26" s="14" t="inlineStr">
        <is>
          <t>Shares (mm)</t>
        </is>
      </c>
      <c r="B26" s="57">
        <f>Main!C4</f>
        <v>28.423069</v>
      </c>
    </row>
    <row r="27">
      <c r="A27" s="24" t="inlineStr">
        <is>
          <t>rNPV / share</t>
        </is>
      </c>
      <c r="B27" s="60">
        <f>B25/B26</f>
        <v>36.925632324790264</v>
      </c>
    </row>
    <row r="28">
      <c r="A28" s="14" t="inlineStr">
        <is>
          <t>Price</t>
        </is>
      </c>
      <c r="B28" s="61">
        <f>Main!C3</f>
        <v>10.98</v>
      </c>
    </row>
    <row r="29">
      <c r="A29" s="14" t="inlineStr">
        <is>
          <t>Upside</t>
        </is>
      </c>
      <c r="B29" s="62">
        <f>B27/B28-1</f>
        <v>2.362990193514596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2026-10-21T06:26:02Z</dcterms:modified>
  <cp:lastModifiedBy>Wang, Eric</cp:lastModifiedBy>
</cp:coreProperties>
</file>