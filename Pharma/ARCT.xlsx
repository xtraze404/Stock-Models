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Arcturus Therapeutics Holdings Inc</t>
        </is>
      </c>
      <c r="C2" s="10" t="n"/>
    </row>
    <row r="3">
      <c r="B3" t="inlineStr">
        <is>
          <t>Price</t>
        </is>
      </c>
      <c r="C3" s="11">
        <f>INDEX([1]Pharma!$F$1:$F$1000,MATCH("ARCT",[1]Pharma!$B$1:$B$1000,0))</f>
        <v>10.98</v>
      </c>
      <c r="F3" s="1" t="n"/>
    </row>
    <row r="4">
      <c r="B4" t="inlineStr">
        <is>
          <t>Shares</t>
        </is>
      </c>
      <c r="C4" s="21" t="n">
        <v>28.423069</v>
      </c>
      <c r="F4" s="1" t="n"/>
    </row>
    <row r="5">
      <c r="B5" t="inlineStr">
        <is>
          <t>Market Cap.</t>
        </is>
      </c>
      <c r="C5" s="13">
        <f>C3*C4</f>
        <v>312.08529762</v>
      </c>
      <c r="F5" s="1" t="n"/>
    </row>
    <row r="6"/>
    <row r="7">
      <c r="B7" t="inlineStr">
        <is>
          <t>Cash</t>
        </is>
      </c>
      <c r="C7" s="21" t="n">
        <v>191.483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120.60229762</v>
      </c>
    </row>
    <row r="10"/>
    <row r="11">
      <c r="B11" s="14" t="inlineStr">
        <is>
          <t>Net Cash / Share</t>
        </is>
      </c>
      <c r="C11" s="11">
        <f>(C7-C8)/C4</f>
        <v>6.7368868576436975</v>
      </c>
    </row>
    <row r="12">
      <c r="B12" s="14" t="inlineStr">
        <is>
          <t>Upside</t>
        </is>
      </c>
      <c r="C12" s="15">
        <f>IFERROR(C11/C3-1,"")</f>
        <v>-0.38644017689948107</v>
      </c>
    </row>
    <row r="13">
      <c r="B13" s="14" t="inlineStr">
        <is>
          <t>Cash / Share</t>
        </is>
      </c>
      <c r="C13" s="11">
        <f>IFERROR((C7-C8)/C4,"")</f>
        <v>6.7368868576436975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-72.729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2.6328287203178924</v>
      </c>
    </row>
    <row r="19">
      <c r="B19" s="14" t="inlineStr">
        <is>
          <t>Implied Pipeline Value</t>
        </is>
      </c>
      <c r="C19" s="13">
        <f>C9</f>
        <v>120.60229762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15.753</v>
      </c>
      <c r="C2" s="23" t="n">
        <v>20.789</v>
      </c>
      <c r="D2" s="23" t="n">
        <v>9.539</v>
      </c>
      <c r="E2" s="23" t="n">
        <v>12.359</v>
      </c>
      <c r="F2" s="23" t="n">
        <v>205.999</v>
      </c>
      <c r="G2" s="23" t="n">
        <v>166.799</v>
      </c>
      <c r="H2" s="23" t="n">
        <v>152.31</v>
      </c>
      <c r="I2" s="23" t="n">
        <v>82.03100000000001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15.753</v>
      </c>
      <c r="C4" s="23">
        <f>C2-C3</f>
        <v>20.789</v>
      </c>
      <c r="D4" s="23">
        <f>D2-D3</f>
        <v>9.539</v>
      </c>
      <c r="E4" s="23">
        <f>E2-E3</f>
        <v>12.359</v>
      </c>
      <c r="F4" s="23">
        <f>F2-F3</f>
        <v>205.999</v>
      </c>
      <c r="G4" s="23">
        <f>G2-G3</f>
        <v>166.799</v>
      </c>
      <c r="H4" s="23">
        <f>H2-H3</f>
        <v>152.31</v>
      </c>
      <c r="I4" s="23">
        <f>I2-I3</f>
        <v>82.031</v>
      </c>
      <c r="J4" s="1" t="n"/>
      <c r="K4" s="1" t="n"/>
    </row>
    <row r="5">
      <c r="A5" s="2" t="inlineStr">
        <is>
          <t>Research &amp; Dev.</t>
        </is>
      </c>
      <c r="B5" s="23" t="n">
        <v>16.982</v>
      </c>
      <c r="C5" s="23" t="n">
        <v>33.64</v>
      </c>
      <c r="D5" s="23" t="n">
        <v>57.846</v>
      </c>
      <c r="E5" s="23" t="n">
        <v>173.76</v>
      </c>
      <c r="F5" s="23" t="n">
        <v>147.751</v>
      </c>
      <c r="G5" s="23" t="n">
        <v>192.133</v>
      </c>
      <c r="H5" s="23" t="n">
        <v>195.156</v>
      </c>
      <c r="I5" s="23" t="n">
        <v>112.212</v>
      </c>
      <c r="J5" s="1" t="n"/>
      <c r="K5" s="1" t="n"/>
    </row>
    <row r="6">
      <c r="A6" s="19" t="inlineStr">
        <is>
          <t>SG&amp;A &amp; Other</t>
        </is>
      </c>
      <c r="B6" s="23" t="n">
        <v>20.582</v>
      </c>
      <c r="C6" s="23" t="n">
        <v>12.662</v>
      </c>
      <c r="D6" s="23" t="n">
        <v>23.217</v>
      </c>
      <c r="E6" s="23" t="n">
        <v>41.451</v>
      </c>
      <c r="F6" s="23" t="n">
        <v>46.071</v>
      </c>
      <c r="G6" s="23" t="n">
        <v>52.871</v>
      </c>
      <c r="H6" s="23" t="n">
        <v>52.823</v>
      </c>
      <c r="I6" s="23" t="n">
        <v>46.079</v>
      </c>
      <c r="J6" s="1" t="n"/>
      <c r="K6" s="1" t="n"/>
    </row>
    <row r="7">
      <c r="A7" s="2" t="inlineStr">
        <is>
          <t>Operating Expense</t>
        </is>
      </c>
      <c r="B7" s="23">
        <f>SUM(B5:B6)</f>
        <v>37.564</v>
      </c>
      <c r="C7" s="23">
        <f>SUM(C5:C6)</f>
        <v>46.302</v>
      </c>
      <c r="D7" s="23">
        <f>SUM(D5:D6)</f>
        <v>81.06299999999999</v>
      </c>
      <c r="E7" s="23">
        <f>SUM(E5:E6)</f>
        <v>215.21099999999998</v>
      </c>
      <c r="F7" s="23">
        <f>SUM(F5:F6)</f>
        <v>193.822</v>
      </c>
      <c r="G7" s="23">
        <f>SUM(G5:G6)</f>
        <v>245.00400000000002</v>
      </c>
      <c r="H7" s="23">
        <f>SUM(H5:H6)</f>
        <v>247.979</v>
      </c>
      <c r="I7" s="23">
        <f>SUM(I5:I6)</f>
        <v>158.291</v>
      </c>
      <c r="J7" s="1" t="n"/>
      <c r="K7" s="1" t="n"/>
    </row>
    <row r="8">
      <c r="A8" s="2" t="inlineStr">
        <is>
          <t>Operating Income</t>
        </is>
      </c>
      <c r="B8" s="23">
        <f>B4-B7</f>
        <v>-21.811</v>
      </c>
      <c r="C8" s="23">
        <f>C4-C7</f>
        <v>-25.512999999999998</v>
      </c>
      <c r="D8" s="23">
        <f>D4-D7</f>
        <v>-71.52399999999999</v>
      </c>
      <c r="E8" s="23">
        <f>E4-E7</f>
        <v>-202.85199999999998</v>
      </c>
      <c r="F8" s="23">
        <f>F4-F7</f>
        <v>12.176999999999992</v>
      </c>
      <c r="G8" s="23">
        <f>G4-G7</f>
        <v>-78.20500000000001</v>
      </c>
      <c r="H8" s="23">
        <f>H4-H7</f>
        <v>-95.66900000000001</v>
      </c>
      <c r="I8" s="23">
        <f>I4-I7</f>
        <v>-76.25999999999999</v>
      </c>
      <c r="J8" s="1" t="n"/>
      <c r="K8" s="1" t="n"/>
    </row>
    <row r="9">
      <c r="A9" s="19" t="inlineStr">
        <is>
          <t>Interest &amp; Other</t>
        </is>
      </c>
      <c r="B9" s="23" t="n">
        <v>0.026</v>
      </c>
      <c r="C9" s="23" t="n">
        <v>-0.478</v>
      </c>
      <c r="D9" s="23" t="n">
        <v>-0.624</v>
      </c>
      <c r="E9" s="23" t="n">
        <v>-0.822</v>
      </c>
      <c r="F9" s="23" t="n">
        <v>-1.533</v>
      </c>
      <c r="G9" s="23" t="n">
        <v>50.315</v>
      </c>
      <c r="H9" s="23" t="n">
        <v>14.724</v>
      </c>
      <c r="I9" s="23" t="n">
        <v>10.477</v>
      </c>
    </row>
    <row r="10">
      <c r="A10" s="2" t="inlineStr">
        <is>
          <t>Pretax</t>
        </is>
      </c>
      <c r="B10" s="23">
        <f>B8+B9</f>
        <v>-21.785</v>
      </c>
      <c r="C10" s="23">
        <f>C8+C9</f>
        <v>-25.991</v>
      </c>
      <c r="D10" s="23">
        <f>D8+D9</f>
        <v>-72.14799999999998</v>
      </c>
      <c r="E10" s="23">
        <f>E8+E9</f>
        <v>-203.67399999999998</v>
      </c>
      <c r="F10" s="23">
        <f>F8+F9</f>
        <v>10.643999999999993</v>
      </c>
      <c r="G10" s="23">
        <f>G8+G9</f>
        <v>-27.890000000000015</v>
      </c>
      <c r="H10" s="23">
        <f>H8+H9</f>
        <v>-80.94500000000001</v>
      </c>
      <c r="I10" s="23">
        <f>I8+I9</f>
        <v>-65.78299999999999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1.295</v>
      </c>
      <c r="G11" s="23" t="n">
        <v>1.835</v>
      </c>
      <c r="H11" s="23" t="n">
        <v>-0.004</v>
      </c>
      <c r="I11" s="23" t="n">
        <v>0</v>
      </c>
    </row>
    <row r="12">
      <c r="A12" s="2" t="inlineStr">
        <is>
          <t>Net Income</t>
        </is>
      </c>
      <c r="B12" s="23" t="n">
        <v>-21.785</v>
      </c>
      <c r="C12" s="23" t="n">
        <v>-25.991</v>
      </c>
      <c r="D12" s="23" t="n">
        <v>-72.148</v>
      </c>
      <c r="E12" s="23" t="n">
        <v>-203.674</v>
      </c>
      <c r="F12" s="23" t="n">
        <v>9.349</v>
      </c>
      <c r="G12" s="23" t="n">
        <v>-29.725</v>
      </c>
      <c r="H12" s="23" t="n">
        <v>-80.941</v>
      </c>
      <c r="I12" s="23" t="n">
        <v>-65.783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-2.1635713576323368</v>
      </c>
      <c r="C13" s="11">
        <f>IFERROR(C12/C14,0)</f>
        <v>-2.153533847046151</v>
      </c>
      <c r="D13" s="11">
        <f>IFERROR(D12/D14,0)</f>
        <v>-3.5532134942132476</v>
      </c>
      <c r="E13" s="11">
        <f>IFERROR(E12/E14,0)</f>
        <v>-7.739255994224266</v>
      </c>
      <c r="F13" s="11">
        <f>IFERROR(F12/F14,0)</f>
        <v>0.3450706824641051</v>
      </c>
      <c r="G13" s="11">
        <f>IFERROR(G12/G14,0)</f>
        <v>-1.1163061439086677</v>
      </c>
      <c r="H13" s="11">
        <f>IFERROR(H12/H14,0)</f>
        <v>-2.9978148148148147</v>
      </c>
      <c r="I13" s="11">
        <f>IFERROR(I12/I14,0)</f>
        <v>-2.4020667494340175</v>
      </c>
    </row>
    <row r="14">
      <c r="A14" s="2" t="inlineStr">
        <is>
          <t>Shares</t>
        </is>
      </c>
      <c r="B14" s="23" t="n">
        <v>10.069</v>
      </c>
      <c r="C14" s="23" t="n">
        <v>12.069</v>
      </c>
      <c r="D14" s="23" t="n">
        <v>20.305</v>
      </c>
      <c r="E14" s="23" t="n">
        <v>26.317</v>
      </c>
      <c r="F14" s="23" t="n">
        <v>27.093</v>
      </c>
      <c r="G14" s="23" t="n">
        <v>26.628</v>
      </c>
      <c r="H14" s="23" t="n">
        <v>27</v>
      </c>
      <c r="I14" s="23" t="n">
        <v>27.386</v>
      </c>
    </row>
    <row r="15"/>
    <row r="16" customFormat="1" s="4">
      <c r="A16" s="3" t="inlineStr">
        <is>
          <t>Revenue Change</t>
        </is>
      </c>
      <c r="C16" s="15">
        <f>IFERROR(C2/B2-1,"")</f>
        <v>0.3196851393385387</v>
      </c>
      <c r="D16" s="15">
        <f>IFERROR(D2/C2-1,"")</f>
        <v>-0.5411515705421137</v>
      </c>
      <c r="E16" s="15">
        <f>IFERROR(E2/D2-1,"")</f>
        <v>0.29562847258622504</v>
      </c>
      <c r="F16" s="15">
        <f>IFERROR(F2/E2-1,"")</f>
        <v>15.667934298891495</v>
      </c>
      <c r="G16" s="15">
        <f>IFERROR(G2/F2-1,"")</f>
        <v>-0.19029218588439745</v>
      </c>
      <c r="H16" s="15">
        <f>IFERROR(H2/G2-1,"")</f>
        <v>-0.08686502916684158</v>
      </c>
      <c r="I16" s="15">
        <f>IFERROR(I2/H2-1,"")</f>
        <v>-0.4614207865537391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>-1.3845616707928647</v>
      </c>
      <c r="C18" s="15">
        <f>IFERROR(C8/C2,"")</f>
        <v>-1.2272355572658615</v>
      </c>
      <c r="D18" s="15">
        <f>IFERROR(D8/D2,"")</f>
        <v>-7.4980605933536</v>
      </c>
      <c r="E18" s="15">
        <f>IFERROR(E8/E2,"")</f>
        <v>-16.413302047091186</v>
      </c>
      <c r="F18" s="15">
        <f>IFERROR(F8/F2,"")</f>
        <v>0.05911193743658946</v>
      </c>
      <c r="G18" s="15">
        <f>IFERROR(G8/G2,"")</f>
        <v>-0.46885772696479</v>
      </c>
      <c r="H18" s="15">
        <f>IFERROR(H8/H2,"")</f>
        <v>-0.6281202810058434</v>
      </c>
      <c r="I18" s="15">
        <f>IFERROR(I8/I2,"")</f>
        <v>-0.9296485475003351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2026-10-21T01:05:24Z</dcterms:modified>
  <cp:lastModifiedBy>Wang, Eric</cp:lastModifiedBy>
</cp:coreProperties>
</file>