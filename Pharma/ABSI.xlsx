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Absci Corp</t>
        </is>
      </c>
      <c r="C2" s="10" t="n"/>
    </row>
    <row r="3">
      <c r="B3" t="inlineStr">
        <is>
          <t>Price</t>
        </is>
      </c>
      <c r="C3" s="11">
        <f>INDEX([1]Pharma!$F$1:$F$1000,MATCH("ABSI",[1]Pharma!$B$1:$B$1000,0))</f>
        <v>9.07</v>
      </c>
      <c r="F3" s="1" t="n"/>
    </row>
    <row r="4">
      <c r="B4" t="inlineStr">
        <is>
          <t>Shares</t>
        </is>
      </c>
      <c r="C4" s="21" t="n">
        <v>171.61401</v>
      </c>
      <c r="F4" s="1" t="n"/>
    </row>
    <row r="5">
      <c r="B5" t="inlineStr">
        <is>
          <t>Market Cap.</t>
        </is>
      </c>
      <c r="C5" s="13">
        <f>C3*C4</f>
        <v>1556.5390707000001</v>
      </c>
      <c r="F5" s="1" t="n"/>
    </row>
    <row r="6"/>
    <row r="7">
      <c r="B7" t="inlineStr">
        <is>
          <t>Cash</t>
        </is>
      </c>
      <c r="C7" s="21">
        <f>107.865+93.277</f>
        <v>201.142</v>
      </c>
    </row>
    <row r="8">
      <c r="B8" t="inlineStr">
        <is>
          <t>Debt</t>
        </is>
      </c>
      <c r="C8" s="21" t="n">
        <v>0.15</v>
      </c>
    </row>
    <row r="9">
      <c r="B9" t="inlineStr">
        <is>
          <t>Enterprise V.</t>
        </is>
      </c>
      <c r="C9" s="13">
        <f>C5-C7+C8</f>
        <v>1355.5470707000002</v>
      </c>
    </row>
    <row r="10"/>
    <row r="11">
      <c r="B11" s="14" t="inlineStr">
        <is>
          <t>Net Cash / Share</t>
        </is>
      </c>
      <c r="C11" s="11">
        <f>(C7-C8)/C4</f>
        <v>1.1711864316905127</v>
      </c>
    </row>
    <row r="12">
      <c r="B12" s="14" t="inlineStr">
        <is>
          <t>Upside</t>
        </is>
      </c>
      <c r="C12" s="15">
        <f>IFERROR(C11/C3-1,"")</f>
        <v>-0.870872499262347</v>
      </c>
    </row>
    <row r="13">
      <c r="B13" s="14" t="inlineStr">
        <is>
          <t>Cash / Share</t>
        </is>
      </c>
      <c r="C13" s="11">
        <f>IFERROR((C7-C8)/C4,"")</f>
        <v>1.1711864316905127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-108.084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1.8595906887235851</v>
      </c>
    </row>
    <row r="19">
      <c r="B19" s="14" t="inlineStr">
        <is>
          <t>Implied Pipeline Value</t>
        </is>
      </c>
      <c r="C19" s="13">
        <f>C9</f>
        <v>1355.5470707000002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4.78</v>
      </c>
      <c r="C2" s="23" t="n">
        <v>4.782</v>
      </c>
      <c r="D2" s="23" t="n">
        <v>5.747</v>
      </c>
      <c r="E2" s="23" t="n">
        <v>5.718</v>
      </c>
      <c r="F2" s="23" t="n">
        <v>4.534</v>
      </c>
      <c r="G2" s="23" t="n">
        <v>2.8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4.78</v>
      </c>
      <c r="C4" s="23">
        <f>C2-C3</f>
        <v>4.782</v>
      </c>
      <c r="D4" s="23">
        <f>D2-D3</f>
        <v>5.747</v>
      </c>
      <c r="E4" s="23">
        <f>E2-E3</f>
        <v>5.718</v>
      </c>
      <c r="F4" s="23">
        <f>F2-F3</f>
        <v>4.534</v>
      </c>
      <c r="G4" s="23">
        <f>G2-G3</f>
        <v>2.8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11.448</v>
      </c>
      <c r="C5" s="23" t="n">
        <v>44.586</v>
      </c>
      <c r="D5" s="23" t="n">
        <v>58.908</v>
      </c>
      <c r="E5" s="23" t="n">
        <v>48.067</v>
      </c>
      <c r="F5" s="23" t="n">
        <v>63.859</v>
      </c>
      <c r="G5" s="23" t="n">
        <v>81.41800000000001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6.633</v>
      </c>
      <c r="C6" s="23" t="n">
        <v>35.434</v>
      </c>
      <c r="D6" s="23" t="n">
        <v>53.589</v>
      </c>
      <c r="E6" s="23" t="n">
        <v>73.166</v>
      </c>
      <c r="F6" s="23" t="n">
        <v>49.563</v>
      </c>
      <c r="G6" s="23" t="n">
        <v>41.699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18.081</v>
      </c>
      <c r="C7" s="23">
        <f>SUM(C5:C6)</f>
        <v>80.02</v>
      </c>
      <c r="D7" s="23">
        <f>SUM(D5:D6)</f>
        <v>112.497</v>
      </c>
      <c r="E7" s="23">
        <f>SUM(E5:E6)</f>
        <v>121.233</v>
      </c>
      <c r="F7" s="23">
        <f>SUM(F5:F6)</f>
        <v>113.422</v>
      </c>
      <c r="G7" s="23">
        <f>SUM(G5:G6)</f>
        <v>123.117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-13.300999999999998</v>
      </c>
      <c r="C8" s="23">
        <f>C4-C7</f>
        <v>-75.238</v>
      </c>
      <c r="D8" s="23">
        <f>D4-D7</f>
        <v>-106.75</v>
      </c>
      <c r="E8" s="23">
        <f>E4-E7</f>
        <v>-115.515</v>
      </c>
      <c r="F8" s="23">
        <f>F4-F7</f>
        <v>-108.88799999999999</v>
      </c>
      <c r="G8" s="23">
        <f>G4-G7</f>
        <v>-120.31700000000001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-1.052</v>
      </c>
      <c r="C9" s="23" t="n">
        <v>-34.621</v>
      </c>
      <c r="D9" s="23" t="n">
        <v>1.385</v>
      </c>
      <c r="E9" s="23" t="n">
        <v>5.049</v>
      </c>
      <c r="F9" s="23" t="n">
        <v>5.852</v>
      </c>
      <c r="G9" s="23" t="n">
        <v>5.203</v>
      </c>
    </row>
    <row r="10">
      <c r="A10" s="2" t="inlineStr">
        <is>
          <t>Pretax</t>
        </is>
      </c>
      <c r="B10" s="23">
        <f>B8+B9</f>
        <v>-14.352999999999998</v>
      </c>
      <c r="C10" s="23">
        <f>C8+C9</f>
        <v>-109.85900000000001</v>
      </c>
      <c r="D10" s="23">
        <f>D8+D9</f>
        <v>-105.365</v>
      </c>
      <c r="E10" s="23">
        <f>E8+E9</f>
        <v>-110.466</v>
      </c>
      <c r="F10" s="23">
        <f>F8+F9</f>
        <v>-103.03599999999999</v>
      </c>
      <c r="G10" s="23">
        <f>G8+G9</f>
        <v>-115.114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-8.898999999999999</v>
      </c>
      <c r="D11" s="23" t="n">
        <v>-0.461</v>
      </c>
      <c r="E11" s="23" t="n">
        <v>0.1</v>
      </c>
      <c r="F11" s="23" t="n">
        <v>0.07000000000000001</v>
      </c>
      <c r="G11" s="23" t="n">
        <v>0.06900000000000001</v>
      </c>
    </row>
    <row r="12">
      <c r="A12" s="2" t="inlineStr">
        <is>
          <t>Net Income</t>
        </is>
      </c>
      <c r="B12" s="23" t="n">
        <v>-14.353</v>
      </c>
      <c r="C12" s="23" t="n">
        <v>-100.96</v>
      </c>
      <c r="D12" s="23" t="n">
        <v>-104.904</v>
      </c>
      <c r="E12" s="23" t="n">
        <v>-110.566</v>
      </c>
      <c r="F12" s="23" t="n">
        <v>-103.106</v>
      </c>
      <c r="G12" s="23" t="n">
        <v>-115.183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-0.9262988060664731</v>
      </c>
      <c r="C13" s="11">
        <f>IFERROR(C12/C14,0)</f>
        <v>-2.0320016101439062</v>
      </c>
      <c r="D13" s="11">
        <f>IFERROR(D12/D14,0)</f>
        <v>-1.1547453933029521</v>
      </c>
      <c r="E13" s="11">
        <f>IFERROR(E12/E14,0)</f>
        <v>-1.201438692571826</v>
      </c>
      <c r="F13" s="11">
        <f>IFERROR(F12/F14,0)</f>
        <v>-0.9352866473149491</v>
      </c>
      <c r="G13" s="11">
        <f>IFERROR(G12/G14,0)</f>
        <v>-0.8421225790885896</v>
      </c>
    </row>
    <row r="14">
      <c r="A14" s="2" t="inlineStr">
        <is>
          <t>Shares</t>
        </is>
      </c>
      <c r="B14" s="23" t="n">
        <v>15.495</v>
      </c>
      <c r="C14" s="23" t="n">
        <v>49.685</v>
      </c>
      <c r="D14" s="23" t="n">
        <v>90.846</v>
      </c>
      <c r="E14" s="23" t="n">
        <v>92.02800000000001</v>
      </c>
      <c r="F14" s="23" t="n">
        <v>110.24</v>
      </c>
      <c r="G14" s="23" t="n">
        <v>136.777</v>
      </c>
    </row>
    <row r="15"/>
    <row r="16" customFormat="1" s="4">
      <c r="A16" s="3" t="inlineStr">
        <is>
          <t>Revenue Change</t>
        </is>
      </c>
      <c r="C16" s="15">
        <f>IFERROR(C2/B2-1,"")</f>
        <v>0.0004184100418409553</v>
      </c>
      <c r="D16" s="15">
        <f>IFERROR(D2/C2-1,"")</f>
        <v>0.20179841070681714</v>
      </c>
      <c r="E16" s="15">
        <f>IFERROR(E2/D2-1,"")</f>
        <v>-0.0050461110144423005</v>
      </c>
      <c r="F16" s="15">
        <f>IFERROR(F2/E2-1,"")</f>
        <v>-0.2070654074851347</v>
      </c>
      <c r="G16" s="15">
        <f>IFERROR(G2/F2-1,"")</f>
        <v>-0.38244375827084254</v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-2.7826359832635976</v>
      </c>
      <c r="C18" s="15">
        <f>IFERROR(C8/C2,"")</f>
        <v>-15.733584274362192</v>
      </c>
      <c r="D18" s="15">
        <f>IFERROR(D8/D2,"")</f>
        <v>-18.574908647990256</v>
      </c>
      <c r="E18" s="15">
        <f>IFERROR(E8/E2,"")</f>
        <v>-20.20199370409234</v>
      </c>
      <c r="F18" s="15">
        <f>IFERROR(F8/F2,"")</f>
        <v>-24.015880017644463</v>
      </c>
      <c r="G18" s="15">
        <f>IFERROR(G8/G2,"")</f>
        <v>-42.97035714285715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2026-10-21T01:04:44Z</dcterms:modified>
  <cp:lastModifiedBy>Wang, Eric</cp:lastModifiedBy>
</cp:coreProperties>
</file>