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Palatin Technologies Inc</t>
        </is>
      </c>
      <c r="C2" s="10" t="n"/>
    </row>
    <row r="3">
      <c r="B3" t="inlineStr">
        <is>
          <t>Price</t>
        </is>
      </c>
      <c r="C3" s="11">
        <f>INDEX([1]Pharma!$F$1:$F$1000,MATCH("PTN",[1]Pharma!$B$1:$B$1000,0))</f>
        <v>5.52</v>
      </c>
      <c r="F3" s="1" t="n"/>
    </row>
    <row r="4">
      <c r="B4" t="inlineStr">
        <is>
          <t>Shares</t>
        </is>
      </c>
      <c r="C4" s="21" t="n">
        <v>1.780939</v>
      </c>
      <c r="F4" s="1" t="n"/>
    </row>
    <row r="5">
      <c r="B5" t="inlineStr">
        <is>
          <t>Market Cap.</t>
        </is>
      </c>
      <c r="C5" s="13">
        <f>C3*C4</f>
        <v>9.83078328</v>
      </c>
      <c r="F5" s="1" t="n"/>
    </row>
    <row r="6"/>
    <row r="7">
      <c r="B7" t="inlineStr">
        <is>
          <t>Cash</t>
        </is>
      </c>
      <c r="C7" s="21" t="n">
        <v>7.492014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2.33876928</v>
      </c>
    </row>
    <row r="10"/>
    <row r="11">
      <c r="B11" s="14" t="inlineStr">
        <is>
          <t>rNPV / Share</t>
        </is>
      </c>
      <c r="C11" s="11">
        <f>NPV!B27</f>
        <v>681.9161319226492</v>
      </c>
    </row>
    <row r="12">
      <c r="B12" s="14" t="inlineStr">
        <is>
          <t>Upside</t>
        </is>
      </c>
      <c r="C12" s="15">
        <f>IFERROR(C11/C3-1,"")</f>
        <v>122.53553114540748</v>
      </c>
    </row>
    <row r="13">
      <c r="B13" s="14" t="inlineStr">
        <is>
          <t>Cash / Share</t>
        </is>
      </c>
      <c r="C13" s="11">
        <f>IFERROR((C7-C8)/C4,"")</f>
        <v>4.206777435948115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-13.533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0.5536107293283086</v>
      </c>
    </row>
    <row r="19">
      <c r="B19" s="14" t="inlineStr">
        <is>
          <t>Implied Pipeline Value</t>
        </is>
      </c>
      <c r="C19" s="13">
        <f>C9</f>
        <v>2.33876928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17" t="n">
        <v>2026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14.181</v>
      </c>
      <c r="C2" s="23" t="n">
        <v>1.475</v>
      </c>
      <c r="D2" s="23" t="n">
        <v>0.074</v>
      </c>
      <c r="E2" s="23" t="n">
        <v>0.01</v>
      </c>
      <c r="F2" s="23" t="n">
        <v>0</v>
      </c>
      <c r="G2" s="23" t="n">
        <v>0</v>
      </c>
      <c r="H2" s="23" t="n">
        <v>0</v>
      </c>
      <c r="I2" s="23" t="n">
        <v>67.13500000000001</v>
      </c>
      <c r="J2" s="23" t="n">
        <v>67.13500000000001</v>
      </c>
      <c r="K2" s="23" t="n">
        <v>60.3</v>
      </c>
      <c r="L2" s="23" t="n">
        <v>0.118</v>
      </c>
      <c r="M2" s="23" t="n">
        <v>-0.189</v>
      </c>
      <c r="N2" s="23" t="n">
        <v>1.468</v>
      </c>
      <c r="O2" s="23" t="n">
        <v>4.854</v>
      </c>
      <c r="P2" s="23" t="n">
        <v>4.49</v>
      </c>
      <c r="Q2" s="23" t="n">
        <v>0</v>
      </c>
      <c r="R2" s="23" t="n">
        <v>13.185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0.148</v>
      </c>
      <c r="N3" s="23" t="n">
        <v>0.218</v>
      </c>
      <c r="O3" s="23" t="n">
        <v>0.418</v>
      </c>
      <c r="P3" s="23" t="n">
        <v>0.098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14.181</v>
      </c>
      <c r="C4" s="23">
        <f>C2-C3</f>
        <v>1.475</v>
      </c>
      <c r="D4" s="23">
        <f>D2-D3</f>
        <v>0.074</v>
      </c>
      <c r="E4" s="23">
        <f>E2-E3</f>
        <v>0.01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67.135</v>
      </c>
      <c r="J4" s="23">
        <f>J2-J3</f>
        <v>67.135</v>
      </c>
      <c r="K4" s="23">
        <f>K2-K3</f>
        <v>60.3</v>
      </c>
      <c r="L4" s="23">
        <f>L2-L3</f>
        <v>0.118</v>
      </c>
      <c r="M4" s="23">
        <f>M2-M3</f>
        <v>-0.33699999999999997</v>
      </c>
      <c r="N4" s="23">
        <f>N2-N3</f>
        <v>1.25</v>
      </c>
      <c r="O4" s="23">
        <f>O2-O3</f>
        <v>4.436</v>
      </c>
      <c r="P4" s="23">
        <f>P2-P3</f>
        <v>4.392</v>
      </c>
      <c r="Q4" s="23">
        <f>Q2-Q3</f>
        <v>0.0</v>
      </c>
      <c r="R4" s="23">
        <f>R2-R3</f>
        <v>13.185</v>
      </c>
    </row>
    <row r="5">
      <c r="A5" s="2" t="inlineStr">
        <is>
          <t>Research &amp; Dev.</t>
        </is>
      </c>
      <c r="B5" s="23" t="n">
        <v>12.294</v>
      </c>
      <c r="C5" s="23" t="n">
        <v>10.377</v>
      </c>
      <c r="D5" s="23" t="n">
        <v>13.813</v>
      </c>
      <c r="E5" s="23" t="n">
        <v>10.529</v>
      </c>
      <c r="F5" s="23" t="n">
        <v>10.827</v>
      </c>
      <c r="G5" s="23" t="n">
        <v>24.56</v>
      </c>
      <c r="H5" s="23" t="n">
        <v>43.071</v>
      </c>
      <c r="I5" s="23" t="n">
        <v>32.566</v>
      </c>
      <c r="J5" s="23" t="n">
        <v>32.566</v>
      </c>
      <c r="K5" s="23" t="n">
        <v>14.857</v>
      </c>
      <c r="L5" s="23" t="n">
        <v>13.959</v>
      </c>
      <c r="M5" s="23" t="n">
        <v>12.927</v>
      </c>
      <c r="N5" s="23" t="n">
        <v>21.327</v>
      </c>
      <c r="O5" s="23" t="n">
        <v>22.631</v>
      </c>
      <c r="P5" s="23" t="n">
        <v>22.4</v>
      </c>
      <c r="Q5" s="23" t="n">
        <v>14.898</v>
      </c>
      <c r="R5" s="23" t="n">
        <v>12.369</v>
      </c>
    </row>
    <row r="6">
      <c r="A6" s="19" t="inlineStr">
        <is>
          <t>SG&amp;A &amp; Other</t>
        </is>
      </c>
      <c r="B6" s="23" t="n">
        <v>4.901</v>
      </c>
      <c r="C6" s="23" t="n">
        <v>4.752</v>
      </c>
      <c r="D6" s="23" t="n">
        <v>5.046</v>
      </c>
      <c r="E6" s="23" t="n">
        <v>5.067</v>
      </c>
      <c r="F6" s="23" t="n">
        <v>4.961</v>
      </c>
      <c r="G6" s="23" t="n">
        <v>-7.274</v>
      </c>
      <c r="H6" s="23" t="n">
        <v>6.179</v>
      </c>
      <c r="I6" s="23" t="n">
        <v>8.641999999999999</v>
      </c>
      <c r="J6" s="23" t="n">
        <v>8.641999999999999</v>
      </c>
      <c r="K6" s="23" t="n">
        <v>9.699</v>
      </c>
      <c r="L6" s="23" t="n">
        <v>9.765000000000001</v>
      </c>
      <c r="M6" s="23" t="n">
        <v>20.121</v>
      </c>
      <c r="N6" s="23" t="n">
        <v>16.512</v>
      </c>
      <c r="O6" s="23" t="n">
        <v>14.264</v>
      </c>
      <c r="P6" s="23" t="n">
        <v>4.488</v>
      </c>
      <c r="Q6" s="23" t="n">
        <v>2.561</v>
      </c>
      <c r="R6" s="23" t="n">
        <v>9.484</v>
      </c>
    </row>
    <row r="7">
      <c r="A7" s="2" t="inlineStr">
        <is>
          <t>Operating Expense</t>
        </is>
      </c>
      <c r="B7" s="23">
        <f>SUM(B5:B6)</f>
        <v>17.195</v>
      </c>
      <c r="C7" s="23">
        <f>SUM(C5:C6)</f>
        <v>15.129000000000001</v>
      </c>
      <c r="D7" s="23">
        <f>SUM(D5:D6)</f>
        <v>18.859</v>
      </c>
      <c r="E7" s="23">
        <f>SUM(E5:E6)</f>
        <v>15.596</v>
      </c>
      <c r="F7" s="23">
        <f>SUM(F5:F6)</f>
        <v>15.788</v>
      </c>
      <c r="G7" s="23">
        <f>SUM(G5:G6)</f>
        <v>17.285999999999998</v>
      </c>
      <c r="H7" s="23">
        <f>SUM(H5:H6)</f>
        <v>49.25</v>
      </c>
      <c r="I7" s="23">
        <f>SUM(I5:I6)</f>
        <v>41.208</v>
      </c>
      <c r="J7" s="23">
        <f>SUM(J5:J6)</f>
        <v>41.208</v>
      </c>
      <c r="K7" s="23">
        <f>SUM(K5:K6)</f>
        <v>24.555999999999997</v>
      </c>
      <c r="L7" s="23">
        <f>SUM(L5:L6)</f>
        <v>23.724</v>
      </c>
      <c r="M7" s="23">
        <f>SUM(M5:M6)</f>
        <v>33.048</v>
      </c>
      <c r="N7" s="23">
        <f>SUM(N5:N6)</f>
        <v>37.839</v>
      </c>
      <c r="O7" s="23">
        <f>SUM(O5:O6)</f>
        <v>36.894999999999996</v>
      </c>
      <c r="P7" s="23">
        <f>SUM(P5:P6)</f>
        <v>26.887999999999998</v>
      </c>
      <c r="Q7" s="23">
        <f>SUM(Q5:Q6)</f>
        <v>17.459</v>
      </c>
      <c r="R7" s="23">
        <f>SUM(R5:R6)</f>
        <v>21.853</v>
      </c>
    </row>
    <row r="8">
      <c r="A8" s="2" t="inlineStr">
        <is>
          <t>Operating Income</t>
        </is>
      </c>
      <c r="B8" s="23">
        <f>B4-B7</f>
        <v>-3.014000000000001</v>
      </c>
      <c r="C8" s="23">
        <f>C4-C7</f>
        <v>-13.654000000000002</v>
      </c>
      <c r="D8" s="23">
        <f>D4-D7</f>
        <v>-18.785</v>
      </c>
      <c r="E8" s="23">
        <f>E4-E7</f>
        <v>-15.586</v>
      </c>
      <c r="F8" s="23">
        <f>F4-F7</f>
        <v>-15.788</v>
      </c>
      <c r="G8" s="23">
        <f>G4-G7</f>
        <v>-17.285999999999998</v>
      </c>
      <c r="H8" s="23">
        <f>H4-H7</f>
        <v>-49.25</v>
      </c>
      <c r="I8" s="23">
        <f>I4-I7</f>
        <v>25.927000000000007</v>
      </c>
      <c r="J8" s="23">
        <f>J4-J7</f>
        <v>25.927000000000007</v>
      </c>
      <c r="K8" s="23">
        <f>K4-K7</f>
        <v>35.744</v>
      </c>
      <c r="L8" s="23">
        <f>L4-L7</f>
        <v>-23.606</v>
      </c>
      <c r="M8" s="23">
        <f>M4-M7</f>
        <v>-33.385000000000005</v>
      </c>
      <c r="N8" s="23">
        <f>N4-N7</f>
        <v>-36.589</v>
      </c>
      <c r="O8" s="23">
        <f>O4-O7</f>
        <v>-32.458999999999996</v>
      </c>
      <c r="P8" s="23">
        <f>P4-P7</f>
        <v>-22.496</v>
      </c>
      <c r="Q8" s="23">
        <f>Q4-Q7</f>
        <v>-17.459</v>
      </c>
      <c r="R8" s="23">
        <f>R4-R7</f>
        <v>-8.668000000000001</v>
      </c>
    </row>
    <row r="9">
      <c r="A9" s="19" t="inlineStr">
        <is>
          <t>Interest &amp; Other</t>
        </is>
      </c>
      <c r="B9" s="23" t="n">
        <v>0.223</v>
      </c>
      <c r="C9" s="23" t="n">
        <v>0.2</v>
      </c>
      <c r="D9" s="23" t="n">
        <v>0.464</v>
      </c>
      <c r="E9" s="23" t="n">
        <v>-7.03</v>
      </c>
      <c r="F9" s="23" t="n">
        <v>0.013</v>
      </c>
      <c r="G9" s="23" t="n">
        <v>-0.911</v>
      </c>
      <c r="H9" s="23" t="n">
        <v>-2.463</v>
      </c>
      <c r="I9" s="23" t="n">
        <v>-1.141</v>
      </c>
      <c r="J9" s="23" t="n">
        <v>-1.141</v>
      </c>
      <c r="K9" s="23" t="n">
        <v>0.029</v>
      </c>
      <c r="L9" s="23" t="n">
        <v>1.181</v>
      </c>
      <c r="M9" s="23" t="n">
        <v>-0.212</v>
      </c>
      <c r="N9" s="23" t="n">
        <v>0.39</v>
      </c>
      <c r="O9" s="23" t="n">
        <v>63.984</v>
      </c>
      <c r="P9" s="23" t="n">
        <v>22.46</v>
      </c>
      <c r="Q9" s="23" t="n">
        <v>-17.155</v>
      </c>
      <c r="R9" s="23" t="n">
        <v>-8.087999999999999</v>
      </c>
    </row>
    <row r="10">
      <c r="A10" s="2" t="inlineStr">
        <is>
          <t>Pretax</t>
        </is>
      </c>
      <c r="B10" s="23">
        <f>B8+B9</f>
        <v>-2.7910000000000013</v>
      </c>
      <c r="C10" s="23">
        <f>C8+C9</f>
        <v>-13.454000000000002</v>
      </c>
      <c r="D10" s="23">
        <f>D8+D9</f>
        <v>-18.321</v>
      </c>
      <c r="E10" s="23">
        <f>E8+E9</f>
        <v>-22.616</v>
      </c>
      <c r="F10" s="23">
        <f>F8+F9</f>
        <v>-15.775</v>
      </c>
      <c r="G10" s="23">
        <f>G8+G9</f>
        <v>-18.197</v>
      </c>
      <c r="H10" s="23">
        <f>H8+H9</f>
        <v>-51.713</v>
      </c>
      <c r="I10" s="23">
        <f>I8+I9</f>
        <v>24.78600000000001</v>
      </c>
      <c r="J10" s="23">
        <f>J8+J9</f>
        <v>24.78600000000001</v>
      </c>
      <c r="K10" s="23">
        <f>K8+K9</f>
        <v>35.773</v>
      </c>
      <c r="L10" s="23">
        <f>L8+L9</f>
        <v>-22.425</v>
      </c>
      <c r="M10" s="23">
        <f>M8+M9</f>
        <v>-33.59700000000001</v>
      </c>
      <c r="N10" s="23">
        <f>N8+N9</f>
        <v>-36.199</v>
      </c>
      <c r="O10" s="23">
        <f>O8+O9</f>
        <v>31.525000000000006</v>
      </c>
      <c r="P10" s="23">
        <f>P8+P9</f>
        <v>-0.03599999999999781</v>
      </c>
      <c r="Q10" s="23">
        <f>Q8+Q9</f>
        <v>-34.614000000000004</v>
      </c>
      <c r="R10" s="23">
        <f>R8+R9</f>
        <v>-16.756</v>
      </c>
    </row>
    <row r="11">
      <c r="A11" s="2" t="inlineStr">
        <is>
          <t>Taxes</t>
        </is>
      </c>
      <c r="B11" s="23" t="n">
        <v>-0.998</v>
      </c>
      <c r="C11" s="23" t="n">
        <v>-0.637</v>
      </c>
      <c r="D11" s="23" t="n">
        <v>-1.068</v>
      </c>
      <c r="E11" s="23" t="n">
        <v>-1.753</v>
      </c>
      <c r="F11" s="23" t="n">
        <v>-1.847</v>
      </c>
      <c r="G11" s="23" t="n">
        <v>-0.532</v>
      </c>
      <c r="H11" s="23" t="n">
        <v>0</v>
      </c>
      <c r="I11" s="23" t="n">
        <v>0.083</v>
      </c>
      <c r="J11" s="23" t="n">
        <v>0.083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-4.675</v>
      </c>
      <c r="P11" s="23" t="n">
        <v>-29.736</v>
      </c>
      <c r="Q11" s="23" t="n">
        <v>-17.307</v>
      </c>
      <c r="R11" s="23" t="n">
        <v>-8.378</v>
      </c>
    </row>
    <row r="12">
      <c r="A12" s="2" t="inlineStr">
        <is>
          <t>Net Income</t>
        </is>
      </c>
      <c r="B12" s="23" t="n">
        <v>-1.793</v>
      </c>
      <c r="C12" s="23" t="n">
        <v>-12.816</v>
      </c>
      <c r="D12" s="23" t="n">
        <v>-17.253</v>
      </c>
      <c r="E12" s="23" t="n">
        <v>-20.862</v>
      </c>
      <c r="F12" s="23" t="n">
        <v>-13.928</v>
      </c>
      <c r="G12" s="23" t="n">
        <v>-17.666</v>
      </c>
      <c r="H12" s="23" t="n">
        <v>-51.713</v>
      </c>
      <c r="I12" s="23" t="n">
        <v>24.703</v>
      </c>
      <c r="J12" s="23" t="n">
        <v>24.703</v>
      </c>
      <c r="K12" s="23" t="n">
        <v>35.773</v>
      </c>
      <c r="L12" s="23" t="n">
        <v>-22.426</v>
      </c>
      <c r="M12" s="23" t="n">
        <v>-33.596</v>
      </c>
      <c r="N12" s="23" t="n">
        <v>-36.198</v>
      </c>
      <c r="O12" s="23" t="n">
        <v>36.2</v>
      </c>
      <c r="P12" s="23" t="n">
        <v>29.7</v>
      </c>
      <c r="Q12" s="23" t="n">
        <v>-17.307</v>
      </c>
      <c r="R12" s="23" t="n">
        <v>-8.378</v>
      </c>
    </row>
    <row r="13">
      <c r="A13" s="2" t="inlineStr">
        <is>
          <t>Earnings per Share</t>
        </is>
      </c>
      <c r="B13" s="11">
        <f>IFERROR(B12/B14,0)</f>
        <v>-3.363977485928705</v>
      </c>
      <c r="C13" s="11">
        <f>IFERROR(C12/C14,0)</f>
        <v>-23.60220994475138</v>
      </c>
      <c r="D13" s="11">
        <f>IFERROR(D12/D14,0)</f>
        <v>-18.295864262990456</v>
      </c>
      <c r="E13" s="11">
        <f>IFERROR(E12/E14,0)</f>
        <v>-7.908263836239575</v>
      </c>
      <c r="F13" s="11">
        <f>IFERROR(F12/F14,0)</f>
        <v>-4.831078737426292</v>
      </c>
      <c r="G13" s="11">
        <f>IFERROR(G12/G14,0)</f>
        <v>-5.400794863955977</v>
      </c>
      <c r="H13" s="11">
        <f>IFERROR(H12/H14,0)</f>
        <v>-12.22240605057906</v>
      </c>
      <c r="I13" s="11">
        <f>IFERROR(I12/I14,0)</f>
        <v>4.415192135835568</v>
      </c>
      <c r="J13" s="11">
        <f>IFERROR(J12/J14,0)</f>
        <v>4.415192135835568</v>
      </c>
      <c r="K13" s="11">
        <f>IFERROR(K12/K14,0)</f>
        <v>6.09628493524199</v>
      </c>
      <c r="L13" s="11">
        <f>IFERROR(L12/L14,0)</f>
        <v>-3.5355510011035785</v>
      </c>
      <c r="M13" s="11">
        <f>IFERROR(M12/M14,0)</f>
        <v>-5.252657911194496</v>
      </c>
      <c r="N13" s="11">
        <f>IFERROR(N12/N14,0)</f>
        <v>0</v>
      </c>
      <c r="O13" s="11">
        <f>IFERROR(O12/O14,0)</f>
        <v>123.12925170068029</v>
      </c>
      <c r="P13" s="11">
        <f>IFERROR(P12/P14,0)</f>
        <v>101.02040816326532</v>
      </c>
      <c r="Q13" s="11">
        <f>IFERROR(Q12/Q14,0)</f>
        <v>-32.169144981412636</v>
      </c>
      <c r="R13" s="11">
        <f>IFERROR(R12/R14,0)</f>
        <v>-2.963565617262115</v>
      </c>
    </row>
    <row r="14">
      <c r="A14" s="2" t="inlineStr">
        <is>
          <t>Shares</t>
        </is>
      </c>
      <c r="B14" s="23" t="n">
        <v>0.533</v>
      </c>
      <c r="C14" s="23" t="n">
        <v>0.543</v>
      </c>
      <c r="D14" s="23" t="n">
        <v>0.9429999999999999</v>
      </c>
      <c r="E14" s="23" t="n">
        <v>2.638</v>
      </c>
      <c r="F14" s="23" t="n">
        <v>2.883</v>
      </c>
      <c r="G14" s="23" t="n">
        <v>3.271</v>
      </c>
      <c r="H14" s="23" t="n">
        <v>4.231</v>
      </c>
      <c r="I14" s="23" t="n">
        <v>5.595</v>
      </c>
      <c r="J14" s="23" t="n">
        <v>5.595</v>
      </c>
      <c r="K14" s="23" t="n">
        <v>5.868</v>
      </c>
      <c r="L14" s="23" t="n">
        <v>6.343</v>
      </c>
      <c r="M14" s="23" t="n">
        <v>6.396</v>
      </c>
      <c r="N14" s="23" t="n"/>
      <c r="O14" s="23" t="n">
        <v>0.294</v>
      </c>
      <c r="P14" s="23" t="n">
        <v>0.294</v>
      </c>
      <c r="Q14" s="23" t="n">
        <v>0.538</v>
      </c>
      <c r="R14" s="23" t="n">
        <v>2.827</v>
      </c>
    </row>
    <row r="15"/>
    <row r="16" customFormat="1" s="4">
      <c r="A16" s="3" t="inlineStr">
        <is>
          <t>Revenue Change</t>
        </is>
      </c>
      <c r="C16" s="15">
        <f>IFERROR(C2/B2-1,"")</f>
        <v>-0.8959875890275721</v>
      </c>
      <c r="D16" s="15">
        <f>IFERROR(D2/C2-1,"")</f>
        <v>-0.9498305084745763</v>
      </c>
      <c r="E16" s="15">
        <f>IFERROR(E2/D2-1,"")</f>
        <v>-0.8648648648648649</v>
      </c>
      <c r="F16" s="15">
        <f>IFERROR(F2/E2-1,"")</f>
        <v>-1.0</v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0.0</v>
      </c>
      <c r="K16" s="15">
        <f>IFERROR(K2/J2-1,"")</f>
        <v>-0.10180978625158277</v>
      </c>
      <c r="L16" s="15">
        <f>IFERROR(L2/K2-1,"")</f>
        <v>-0.9980431177446103</v>
      </c>
      <c r="M16" s="15">
        <f>IFERROR(M2/L2-1,"")</f>
        <v>-2.6016949152542375</v>
      </c>
      <c r="N16" s="15">
        <f>IFERROR(N2/M2-1,"")</f>
        <v>-8.767195767195767</v>
      </c>
      <c r="O16" s="15">
        <f>IFERROR(O2/N2-1,"")</f>
        <v>2.3065395095367847</v>
      </c>
      <c r="P16" s="15">
        <f>IFERROR(P2/O2-1,"")</f>
        <v>-0.07498969921714049</v>
      </c>
      <c r="Q16" s="15">
        <f>IFERROR(Q2/P2-1,"")</f>
        <v>-1.0</v>
      </c>
      <c r="R16" s="15">
        <f>IFERROR(R2/Q2-1,"")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1.7830687830687828</v>
      </c>
      <c r="N17" s="15">
        <f>IFERROR(N4/N2,"")</f>
        <v>0.8514986376021798</v>
      </c>
      <c r="O17" s="15">
        <f>IFERROR(O4/O2,"")</f>
        <v>0.9138854552946024</v>
      </c>
      <c r="P17" s="15">
        <f>IFERROR(P4/P2,"")</f>
        <v>0.978173719376392</v>
      </c>
      <c r="Q17" s="15">
        <f>IFERROR(Q4/Q2,"")</f>
        <v/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>-0.21253790282772733</v>
      </c>
      <c r="C18" s="15">
        <f>IFERROR(C8/C2,"")</f>
        <v>-9.256949152542374</v>
      </c>
      <c r="D18" s="15">
        <f>IFERROR(D8/D2,"")</f>
        <v>-253.85135135135135</v>
      </c>
      <c r="E18" s="15">
        <f>IFERROR(E8/E2,"")</f>
        <v>-1558.6</v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0.3861920011916289</v>
      </c>
      <c r="J18" s="15">
        <f>IFERROR(J8/J2,"")</f>
        <v>0.3861920011916289</v>
      </c>
      <c r="K18" s="15">
        <f>IFERROR(K8/K2,"")</f>
        <v>0.5927694859038143</v>
      </c>
      <c r="L18" s="15">
        <f>IFERROR(L8/L2,"")</f>
        <v>-200.05084745762716</v>
      </c>
      <c r="M18" s="15">
        <f>IFERROR(M8/M2,"")</f>
        <v>176.64021164021167</v>
      </c>
      <c r="N18" s="15">
        <f>IFERROR(N8/N2,"")</f>
        <v>-24.924386920980925</v>
      </c>
      <c r="O18" s="15">
        <f>IFERROR(O8/O2,"")</f>
        <v>-6.687062216728471</v>
      </c>
      <c r="P18" s="15">
        <f>IFERROR(P8/P2,"")</f>
        <v>-5.010244988864142</v>
      </c>
      <c r="Q18" s="15">
        <f>IFERROR(Q8/Q2,"")</f>
        <v/>
      </c>
      <c r="R18" s="15">
        <f>IFERROR(R8/R2,"")</f>
        <v>-0.657413727720895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Palatin Technologies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0.29564382999999994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8.667999999999999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253.9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1206.9590200701912</v>
      </c>
      <c r="C29" s="42">
        <f>NPV!B25</f>
        <v>1214.451034070191</v>
      </c>
      <c r="D29" s="43">
        <f>NPV!B27</f>
        <v>681.9161319226492</v>
      </c>
      <c r="E29" s="44">
        <f>NPV!B29</f>
        <v>122.53553114540748</v>
      </c>
    </row>
    <row r="30">
      <c r="A30" s="45" t="n">
        <v>1</v>
      </c>
      <c r="B30" s="46">
        <f t="dataTable" ref="B30:E32" r1="B4"/>
        <v>472.3447900451907</v>
      </c>
      <c r="C30" s="46">
        <v>479.83680404519066</v>
      </c>
      <c r="D30" s="47">
        <v>269.4291068055619</v>
      </c>
      <c r="E30" s="48">
        <v>47.809620798109044</v>
      </c>
    </row>
    <row r="31">
      <c r="A31" s="45" t="n">
        <v>2</v>
      </c>
      <c r="B31" s="46">
        <v>1206.9590200701912</v>
      </c>
      <c r="C31" s="46">
        <v>1214.451034070191</v>
      </c>
      <c r="D31" s="47">
        <v>681.9161319226492</v>
      </c>
      <c r="E31" s="48">
        <v>122.53553114540748</v>
      </c>
    </row>
    <row r="32">
      <c r="A32" s="45" t="n">
        <v>3</v>
      </c>
      <c r="B32" s="46">
        <v>2388.900562124138</v>
      </c>
      <c r="C32" s="46">
        <v>2396.392576124138</v>
      </c>
      <c r="D32" s="47">
        <v>1345.5781338519387</v>
      </c>
      <c r="E32" s="48">
        <v>242.76415468332223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681.9161319226492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206.67361483387555</v>
      </c>
      <c r="C37" s="47">
        <v>309.0518537885499</v>
      </c>
      <c r="D37" s="47">
        <v>411.13754505607824</v>
      </c>
      <c r="E37" s="47">
        <v>614.7596306398849</v>
      </c>
      <c r="F37" s="47">
        <v>818.1948212516917</v>
      </c>
    </row>
    <row r="38">
      <c r="A38" s="50" t="n">
        <v>0.8</v>
      </c>
      <c r="B38" s="47">
        <v>274.686551302528</v>
      </c>
      <c r="C38" s="47">
        <v>410.8008063258992</v>
      </c>
      <c r="D38" s="47">
        <v>546.6145581958451</v>
      </c>
      <c r="E38" s="47">
        <v>817.8614790115876</v>
      </c>
      <c r="F38" s="47">
        <v>1089.042681116719</v>
      </c>
    </row>
    <row r="39">
      <c r="A39" s="50" t="n">
        <v>1</v>
      </c>
      <c r="B39" s="47">
        <v>342.41851236603065</v>
      </c>
      <c r="C39" s="47">
        <v>512.3868064128103</v>
      </c>
      <c r="D39" s="47">
        <v>681.9161319226492</v>
      </c>
      <c r="E39" s="47">
        <v>1020.9747829423275</v>
      </c>
      <c r="F39" s="47">
        <v>1359.4894915325826</v>
      </c>
    </row>
    <row r="40">
      <c r="A40" s="50" t="n">
        <v>1.2</v>
      </c>
      <c r="B40" s="47">
        <v>410.162045711529</v>
      </c>
      <c r="C40" s="47">
        <v>613.7939705966837</v>
      </c>
      <c r="D40" s="47">
        <v>817.2291612084906</v>
      </c>
      <c r="E40" s="47">
        <v>1223.7987463213676</v>
      </c>
      <c r="F40" s="47">
        <v>1629.947659460197</v>
      </c>
    </row>
    <row r="41">
      <c r="A41" s="50" t="n">
        <v>1.4</v>
      </c>
      <c r="B41" s="47">
        <v>477.87153462581995</v>
      </c>
      <c r="C41" s="47">
        <v>715.2125903395945</v>
      </c>
      <c r="D41" s="47">
        <v>952.553646053369</v>
      </c>
      <c r="E41" s="47">
        <v>1426.576786237597</v>
      </c>
      <c r="F41" s="47">
        <v>1900.4171848995638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Palatin Technologies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Obesity</t>
        </is>
      </c>
      <c r="C4" s="14" t="inlineStr">
        <is>
          <t>bremelanotide, tirzepatide</t>
        </is>
      </c>
      <c r="D4" s="14" t="inlineStr">
        <is>
          <t>Phase 2</t>
        </is>
      </c>
      <c r="E4" s="14" t="inlineStr">
        <is>
          <t>Metabolic / chronic</t>
        </is>
      </c>
      <c r="F4" s="14" t="inlineStr">
        <is>
          <t>Owned</t>
        </is>
      </c>
      <c r="G4" s="40" t="n">
        <v>6000</v>
      </c>
      <c r="H4" s="27" t="n">
        <v>0.1273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867.709633045954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76.38</v>
      </c>
      <c r="S4" s="23">
        <f>IF(S$3&lt;$I4,0,$G4*Assumptions!$E$11*INDEX(Assumptions!$B$24:$G$24,MIN(6,S$3-$I4+1))*IF(S$3&gt;$J4,(1-Assumptions!$B$26)^(S$3-$J4),1)*IF($H4&gt;=1,1,MIN(0.97,$H4*Assumptions!$E$12)))</f>
        <v>190.95</v>
      </c>
      <c r="T4" s="23">
        <f>IF(T$3&lt;$I4,0,$G4*Assumptions!$E$11*INDEX(Assumptions!$B$24:$G$24,MIN(6,T$3-$I4+1))*IF(T$3&gt;$J4,(1-Assumptions!$B$26)^(T$3-$J4),1)*IF($H4&gt;=1,1,MIN(0.97,$H4*Assumptions!$E$12)))</f>
        <v>343.71</v>
      </c>
      <c r="U4" s="23">
        <f>IF(U$3&lt;$I4,0,$G4*Assumptions!$E$11*INDEX(Assumptions!$B$24:$G$24,MIN(6,U$3-$I4+1))*IF(U$3&gt;$J4,(1-Assumptions!$B$26)^(U$3-$J4),1)*IF($H4&gt;=1,1,MIN(0.97,$H4*Assumptions!$E$12)))</f>
        <v>496.46999999999997</v>
      </c>
      <c r="V4" s="23">
        <f>IF(V$3&lt;$I4,0,$G4*Assumptions!$E$11*INDEX(Assumptions!$B$24:$G$24,MIN(6,V$3-$I4+1))*IF(V$3&gt;$J4,(1-Assumptions!$B$26)^(V$3-$J4),1)*IF($H4&gt;=1,1,MIN(0.97,$H4*Assumptions!$E$12)))</f>
        <v>649.23</v>
      </c>
      <c r="W4" s="23">
        <f>IF(W$3&lt;$I4,0,$G4*Assumptions!$E$11*INDEX(Assumptions!$B$24:$G$24,MIN(6,W$3-$I4+1))*IF(W$3&gt;$J4,(1-Assumptions!$B$26)^(W$3-$J4),1)*IF($H4&gt;=1,1,MIN(0.97,$H4*Assumptions!$E$12)))</f>
        <v>763.8</v>
      </c>
      <c r="X4" s="23">
        <f>IF(X$3&lt;$I4,0,$G4*Assumptions!$E$11*INDEX(Assumptions!$B$24:$G$24,MIN(6,X$3-$I4+1))*IF(X$3&gt;$J4,(1-Assumptions!$B$26)^(X$3-$J4),1)*IF($H4&gt;=1,1,MIN(0.97,$H4*Assumptions!$E$12)))</f>
        <v>763.8</v>
      </c>
      <c r="Y4" s="23">
        <f>IF(Y$3&lt;$I4,0,$G4*Assumptions!$E$11*INDEX(Assumptions!$B$24:$G$24,MIN(6,Y$3-$I4+1))*IF(Y$3&gt;$J4,(1-Assumptions!$B$26)^(Y$3-$J4),1)*IF($H4&gt;=1,1,MIN(0.97,$H4*Assumptions!$E$12)))</f>
        <v>763.8</v>
      </c>
      <c r="Z4" s="23">
        <f>IF(Z$3&lt;$I4,0,$G4*Assumptions!$E$11*INDEX(Assumptions!$B$24:$G$24,MIN(6,Z$3-$I4+1))*IF(Z$3&gt;$J4,(1-Assumptions!$B$26)^(Z$3-$J4),1)*IF($H4&gt;=1,1,MIN(0.97,$H4*Assumptions!$E$12)))</f>
        <v>763.8</v>
      </c>
      <c r="AA4" s="23">
        <f>IF(AA$3&lt;$I4,0,$G4*Assumptions!$E$11*INDEX(Assumptions!$B$24:$G$24,MIN(6,AA$3-$I4+1))*IF(AA$3&gt;$J4,(1-Assumptions!$B$26)^(AA$3-$J4),1)*IF($H4&gt;=1,1,MIN(0.97,$H4*Assumptions!$E$12)))</f>
        <v>763.8</v>
      </c>
      <c r="AB4" s="23">
        <f>IF(AB$3&lt;$I4,0,$G4*Assumptions!$E$11*INDEX(Assumptions!$B$24:$G$24,MIN(6,AB$3-$I4+1))*IF(AB$3&gt;$J4,(1-Assumptions!$B$26)^(AB$3-$J4),1)*IF($H4&gt;=1,1,MIN(0.97,$H4*Assumptions!$E$12)))</f>
        <v>763.8</v>
      </c>
      <c r="AC4" s="23">
        <f>IF(AC$3&lt;$I4,0,$G4*Assumptions!$E$11*INDEX(Assumptions!$B$24:$G$24,MIN(6,AC$3-$I4+1))*IF(AC$3&gt;$J4,(1-Assumptions!$B$26)^(AC$3-$J4),1)*IF($H4&gt;=1,1,MIN(0.97,$H4*Assumptions!$E$12)))</f>
        <v>763.8</v>
      </c>
      <c r="AD4" s="23">
        <f>IF(AD$3&lt;$I4,0,$G4*Assumptions!$E$11*INDEX(Assumptions!$B$24:$G$24,MIN(6,AD$3-$I4+1))*IF(AD$3&gt;$J4,(1-Assumptions!$B$26)^(AD$3-$J4),1)*IF($H4&gt;=1,1,MIN(0.97,$H4*Assumptions!$E$12)))</f>
        <v>763.8</v>
      </c>
      <c r="AE4" s="23">
        <f>IF(AE$3&lt;$I4,0,$G4*Assumptions!$E$11*INDEX(Assumptions!$B$24:$G$24,MIN(6,AE$3-$I4+1))*IF(AE$3&gt;$J4,(1-Assumptions!$B$26)^(AE$3-$J4),1)*IF($H4&gt;=1,1,MIN(0.97,$H4*Assumptions!$E$12)))</f>
        <v>381.9</v>
      </c>
      <c r="AF4" s="23">
        <f>IF(AF$3&lt;$I4,0,$G4*Assumptions!$E$11*INDEX(Assumptions!$B$24:$G$24,MIN(6,AF$3-$I4+1))*IF(AF$3&gt;$J4,(1-Assumptions!$B$26)^(AF$3-$J4),1)*IF($H4&gt;=1,1,MIN(0.97,$H4*Assumptions!$E$12)))</f>
        <v>190.95</v>
      </c>
      <c r="AG4" s="35">
        <f>IF(F4="Owned",1-IF(H4&gt;=1,1,MIN(0.97,H4*Assumptions!$E$12)),1)</f>
        <v>0.8727</v>
      </c>
    </row>
    <row r="5">
      <c r="A5" s="39" t="n">
        <v>2</v>
      </c>
      <c r="B5" s="14" t="inlineStr">
        <is>
          <t>IBD (UC / Crohn's)</t>
        </is>
      </c>
      <c r="C5" s="14" t="inlineStr">
        <is>
          <t>PL8177</t>
        </is>
      </c>
      <c r="D5" s="14" t="inlineStr">
        <is>
          <t>Phase 2</t>
        </is>
      </c>
      <c r="E5" s="14" t="inlineStr">
        <is>
          <t>Autoimmune / area</t>
        </is>
      </c>
      <c r="F5" s="14" t="inlineStr">
        <is>
          <t>Owned</t>
        </is>
      </c>
      <c r="G5" s="40" t="n">
        <v>3000</v>
      </c>
      <c r="H5" s="27" t="n">
        <v>0.1929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657.4280762551631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57.87</v>
      </c>
      <c r="S5" s="23">
        <f>IF(S$3&lt;$I5,0,$G5*Assumptions!$E$11*INDEX(Assumptions!$B$24:$G$24,MIN(6,S$3-$I5+1))*IF(S$3&gt;$J5,(1-Assumptions!$B$26)^(S$3-$J5),1)*IF($H5&gt;=1,1,MIN(0.97,$H5*Assumptions!$E$12)))</f>
        <v>144.67499999999998</v>
      </c>
      <c r="T5" s="23">
        <f>IF(T$3&lt;$I5,0,$G5*Assumptions!$E$11*INDEX(Assumptions!$B$24:$G$24,MIN(6,T$3-$I5+1))*IF(T$3&gt;$J5,(1-Assumptions!$B$26)^(T$3-$J5),1)*IF($H5&gt;=1,1,MIN(0.97,$H5*Assumptions!$E$12)))</f>
        <v>260.41499999999996</v>
      </c>
      <c r="U5" s="23">
        <f>IF(U$3&lt;$I5,0,$G5*Assumptions!$E$11*INDEX(Assumptions!$B$24:$G$24,MIN(6,U$3-$I5+1))*IF(U$3&gt;$J5,(1-Assumptions!$B$26)^(U$3-$J5),1)*IF($H5&gt;=1,1,MIN(0.97,$H5*Assumptions!$E$12)))</f>
        <v>376.155</v>
      </c>
      <c r="V5" s="23">
        <f>IF(V$3&lt;$I5,0,$G5*Assumptions!$E$11*INDEX(Assumptions!$B$24:$G$24,MIN(6,V$3-$I5+1))*IF(V$3&gt;$J5,(1-Assumptions!$B$26)^(V$3-$J5),1)*IF($H5&gt;=1,1,MIN(0.97,$H5*Assumptions!$E$12)))</f>
        <v>491.895</v>
      </c>
      <c r="W5" s="23">
        <f>IF(W$3&lt;$I5,0,$G5*Assumptions!$E$11*INDEX(Assumptions!$B$24:$G$24,MIN(6,W$3-$I5+1))*IF(W$3&gt;$J5,(1-Assumptions!$B$26)^(W$3-$J5),1)*IF($H5&gt;=1,1,MIN(0.97,$H5*Assumptions!$E$12)))</f>
        <v>578.6999999999999</v>
      </c>
      <c r="X5" s="23">
        <f>IF(X$3&lt;$I5,0,$G5*Assumptions!$E$11*INDEX(Assumptions!$B$24:$G$24,MIN(6,X$3-$I5+1))*IF(X$3&gt;$J5,(1-Assumptions!$B$26)^(X$3-$J5),1)*IF($H5&gt;=1,1,MIN(0.97,$H5*Assumptions!$E$12)))</f>
        <v>578.6999999999999</v>
      </c>
      <c r="Y5" s="23">
        <f>IF(Y$3&lt;$I5,0,$G5*Assumptions!$E$11*INDEX(Assumptions!$B$24:$G$24,MIN(6,Y$3-$I5+1))*IF(Y$3&gt;$J5,(1-Assumptions!$B$26)^(Y$3-$J5),1)*IF($H5&gt;=1,1,MIN(0.97,$H5*Assumptions!$E$12)))</f>
        <v>578.6999999999999</v>
      </c>
      <c r="Z5" s="23">
        <f>IF(Z$3&lt;$I5,0,$G5*Assumptions!$E$11*INDEX(Assumptions!$B$24:$G$24,MIN(6,Z$3-$I5+1))*IF(Z$3&gt;$J5,(1-Assumptions!$B$26)^(Z$3-$J5),1)*IF($H5&gt;=1,1,MIN(0.97,$H5*Assumptions!$E$12)))</f>
        <v>578.6999999999999</v>
      </c>
      <c r="AA5" s="23">
        <f>IF(AA$3&lt;$I5,0,$G5*Assumptions!$E$11*INDEX(Assumptions!$B$24:$G$24,MIN(6,AA$3-$I5+1))*IF(AA$3&gt;$J5,(1-Assumptions!$B$26)^(AA$3-$J5),1)*IF($H5&gt;=1,1,MIN(0.97,$H5*Assumptions!$E$12)))</f>
        <v>578.6999999999999</v>
      </c>
      <c r="AB5" s="23">
        <f>IF(AB$3&lt;$I5,0,$G5*Assumptions!$E$11*INDEX(Assumptions!$B$24:$G$24,MIN(6,AB$3-$I5+1))*IF(AB$3&gt;$J5,(1-Assumptions!$B$26)^(AB$3-$J5),1)*IF($H5&gt;=1,1,MIN(0.97,$H5*Assumptions!$E$12)))</f>
        <v>578.6999999999999</v>
      </c>
      <c r="AC5" s="23">
        <f>IF(AC$3&lt;$I5,0,$G5*Assumptions!$E$11*INDEX(Assumptions!$B$24:$G$24,MIN(6,AC$3-$I5+1))*IF(AC$3&gt;$J5,(1-Assumptions!$B$26)^(AC$3-$J5),1)*IF($H5&gt;=1,1,MIN(0.97,$H5*Assumptions!$E$12)))</f>
        <v>578.6999999999999</v>
      </c>
      <c r="AD5" s="23">
        <f>IF(AD$3&lt;$I5,0,$G5*Assumptions!$E$11*INDEX(Assumptions!$B$24:$G$24,MIN(6,AD$3-$I5+1))*IF(AD$3&gt;$J5,(1-Assumptions!$B$26)^(AD$3-$J5),1)*IF($H5&gt;=1,1,MIN(0.97,$H5*Assumptions!$E$12)))</f>
        <v>578.6999999999999</v>
      </c>
      <c r="AE5" s="23">
        <f>IF(AE$3&lt;$I5,0,$G5*Assumptions!$E$11*INDEX(Assumptions!$B$24:$G$24,MIN(6,AE$3-$I5+1))*IF(AE$3&gt;$J5,(1-Assumptions!$B$26)^(AE$3-$J5),1)*IF($H5&gt;=1,1,MIN(0.97,$H5*Assumptions!$E$12)))</f>
        <v>289.34999999999997</v>
      </c>
      <c r="AF5" s="23">
        <f>IF(AF$3&lt;$I5,0,$G5*Assumptions!$E$11*INDEX(Assumptions!$B$24:$G$24,MIN(6,AF$3-$I5+1))*IF(AF$3&gt;$J5,(1-Assumptions!$B$26)^(AF$3-$J5),1)*IF($H5&gt;=1,1,MIN(0.97,$H5*Assumptions!$E$12)))</f>
        <v>144.67499999999998</v>
      </c>
      <c r="AG5" s="35">
        <f>IF(F5="Owned",1-IF(H5&gt;=1,1,MIN(0.97,H5*Assumptions!$E$12)),1)</f>
        <v>0.8071</v>
      </c>
    </row>
    <row r="6">
      <c r="B6" s="24" t="inlineStr">
        <is>
          <t>Risked revenue</t>
        </is>
      </c>
      <c r="L6" s="54">
        <f>SUM(L4:L5)</f>
        <v>1525.137709301117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134.25</v>
      </c>
      <c r="S6" s="54">
        <f>SUM(S4:S5)</f>
        <v>335.625</v>
      </c>
      <c r="T6" s="54">
        <f>SUM(T4:T5)</f>
        <v>604.125</v>
      </c>
      <c r="U6" s="54">
        <f>SUM(U4:U5)</f>
        <v>872.625</v>
      </c>
      <c r="V6" s="54">
        <f>SUM(V4:V5)</f>
        <v>1141.125</v>
      </c>
      <c r="W6" s="54">
        <f>SUM(W4:W5)</f>
        <v>1342.5</v>
      </c>
      <c r="X6" s="54">
        <f>SUM(X4:X5)</f>
        <v>1342.5</v>
      </c>
      <c r="Y6" s="54">
        <f>SUM(Y4:Y5)</f>
        <v>1342.5</v>
      </c>
      <c r="Z6" s="54">
        <f>SUM(Z4:Z5)</f>
        <v>1342.5</v>
      </c>
      <c r="AA6" s="54">
        <f>SUM(AA4:AA5)</f>
        <v>1342.5</v>
      </c>
      <c r="AB6" s="54">
        <f>SUM(AB4:AB5)</f>
        <v>1342.5</v>
      </c>
      <c r="AC6" s="54">
        <f>SUM(AC4:AC5)</f>
        <v>1342.5</v>
      </c>
      <c r="AD6" s="54">
        <f>SUM(AD4:AD5)</f>
        <v>1342.5</v>
      </c>
      <c r="AE6" s="54">
        <f>SUM(AE4:AE5)</f>
        <v>671.25</v>
      </c>
      <c r="AF6" s="54">
        <f>SUM(AF4:AF5)</f>
        <v>335.625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53.7</v>
      </c>
      <c r="S7" s="55">
        <f>SUMPRODUCT(S4:S5,$K$4:$K$5)</f>
        <v>134.25</v>
      </c>
      <c r="T7" s="55">
        <f>SUMPRODUCT(T4:T5,$K$4:$K$5)</f>
        <v>241.65</v>
      </c>
      <c r="U7" s="55">
        <f>SUMPRODUCT(U4:U5,$K$4:$K$5)</f>
        <v>349.04999999999995</v>
      </c>
      <c r="V7" s="55">
        <f>SUMPRODUCT(V4:V5,$K$4:$K$5)</f>
        <v>456.45000000000005</v>
      </c>
      <c r="W7" s="55">
        <f>SUMPRODUCT(W4:W5,$K$4:$K$5)</f>
        <v>537.0</v>
      </c>
      <c r="X7" s="55">
        <f>SUMPRODUCT(X4:X5,$K$4:$K$5)</f>
        <v>537.0</v>
      </c>
      <c r="Y7" s="55">
        <f>SUMPRODUCT(Y4:Y5,$K$4:$K$5)</f>
        <v>537.0</v>
      </c>
      <c r="Z7" s="55">
        <f>SUMPRODUCT(Z4:Z5,$K$4:$K$5)</f>
        <v>537.0</v>
      </c>
      <c r="AA7" s="55">
        <f>SUMPRODUCT(AA4:AA5,$K$4:$K$5)</f>
        <v>537.0</v>
      </c>
      <c r="AB7" s="55">
        <f>SUMPRODUCT(AB4:AB5,$K$4:$K$5)</f>
        <v>537.0</v>
      </c>
      <c r="AC7" s="55">
        <f>SUMPRODUCT(AC4:AC5,$K$4:$K$5)</f>
        <v>537.0</v>
      </c>
      <c r="AD7" s="55">
        <f>SUMPRODUCT(AD4:AD5,$K$4:$K$5)</f>
        <v>537.0</v>
      </c>
      <c r="AE7" s="55">
        <f>SUMPRODUCT(AE4:AE5,$K$4:$K$5)</f>
        <v>268.5</v>
      </c>
      <c r="AF7" s="55">
        <f>SUMPRODUCT(AF4:AF5,$K$4:$K$5)</f>
        <v>134.25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Palatin Technologies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134.25</v>
      </c>
      <c r="I4" s="57">
        <f>Pipeline!S6</f>
        <v>335.625</v>
      </c>
      <c r="J4" s="57">
        <f>Pipeline!T6</f>
        <v>604.125</v>
      </c>
      <c r="K4" s="57">
        <f>Pipeline!U6</f>
        <v>872.625</v>
      </c>
      <c r="L4" s="57">
        <f>Pipeline!V6</f>
        <v>1141.125</v>
      </c>
      <c r="M4" s="57">
        <f>Pipeline!W6</f>
        <v>1342.5</v>
      </c>
      <c r="N4" s="57">
        <f>Pipeline!X6</f>
        <v>1342.5</v>
      </c>
      <c r="O4" s="57">
        <f>Pipeline!Y6</f>
        <v>1342.5</v>
      </c>
      <c r="P4" s="57">
        <f>Pipeline!Z6</f>
        <v>1342.5</v>
      </c>
      <c r="Q4" s="57">
        <f>Pipeline!AA6</f>
        <v>1342.5</v>
      </c>
      <c r="R4" s="57">
        <f>Pipeline!AB6</f>
        <v>1342.5</v>
      </c>
      <c r="S4" s="57">
        <f>Pipeline!AC6</f>
        <v>1342.5</v>
      </c>
      <c r="T4" s="57">
        <f>Pipeline!AD6</f>
        <v>1342.5</v>
      </c>
      <c r="U4" s="57">
        <f>Pipeline!AE6</f>
        <v>671.25</v>
      </c>
      <c r="V4" s="57">
        <f>Pipeline!AF6</f>
        <v>335.625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53.7</v>
      </c>
      <c r="I5" s="57">
        <f>Pipeline!S7</f>
        <v>134.25</v>
      </c>
      <c r="J5" s="57">
        <f>Pipeline!T7</f>
        <v>241.65</v>
      </c>
      <c r="K5" s="57">
        <f>Pipeline!U7</f>
        <v>349.04999999999995</v>
      </c>
      <c r="L5" s="57">
        <f>Pipeline!V7</f>
        <v>456.45000000000005</v>
      </c>
      <c r="M5" s="57">
        <f>Pipeline!W7</f>
        <v>537.0</v>
      </c>
      <c r="N5" s="57">
        <f>Pipeline!X7</f>
        <v>537.0</v>
      </c>
      <c r="O5" s="57">
        <f>Pipeline!Y7</f>
        <v>537.0</v>
      </c>
      <c r="P5" s="57">
        <f>Pipeline!Z7</f>
        <v>537.0</v>
      </c>
      <c r="Q5" s="57">
        <f>Pipeline!AA7</f>
        <v>537.0</v>
      </c>
      <c r="R5" s="57">
        <f>Pipeline!AB7</f>
        <v>537.0</v>
      </c>
      <c r="S5" s="57">
        <f>Pipeline!AC7</f>
        <v>537.0</v>
      </c>
      <c r="T5" s="57">
        <f>Pipeline!AD7</f>
        <v>537.0</v>
      </c>
      <c r="U5" s="57">
        <f>Pipeline!AE7</f>
        <v>268.5</v>
      </c>
      <c r="V5" s="57">
        <f>Pipeline!AF7</f>
        <v>134.25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-8.668</v>
      </c>
      <c r="D6" s="23">
        <f>-IF(D3-2026&lt;Assumptions!$B$19,Assumptions!$B$18,Assumptions!$B$18*Assumptions!$B$20*Assumptions!$B$16)</f>
        <v>-8.668</v>
      </c>
      <c r="E6" s="23">
        <f>-IF(E3-2026&lt;Assumptions!$B$19,Assumptions!$B$18,Assumptions!$B$18*Assumptions!$B$20*Assumptions!$B$16)</f>
        <v>-8.668</v>
      </c>
      <c r="F6" s="23">
        <f>-IF(F3-2026&lt;Assumptions!$B$19,Assumptions!$B$18,Assumptions!$B$18*Assumptions!$B$20*Assumptions!$B$16)</f>
        <v>-8.668</v>
      </c>
      <c r="G6" s="23">
        <f>-IF(G3-2026&lt;Assumptions!$B$19,Assumptions!$B$18,Assumptions!$B$18*Assumptions!$B$20*Assumptions!$B$16)</f>
        <v>-0.7687922155319997</v>
      </c>
      <c r="H6" s="23">
        <f>-IF(H3-2026&lt;Assumptions!$B$19,Assumptions!$B$18,Assumptions!$B$18*Assumptions!$B$20*Assumptions!$B$16)</f>
        <v>-0.7687922155319997</v>
      </c>
      <c r="I6" s="23">
        <f>-IF(I3-2026&lt;Assumptions!$B$19,Assumptions!$B$18,Assumptions!$B$18*Assumptions!$B$20*Assumptions!$B$16)</f>
        <v>-0.7687922155319997</v>
      </c>
      <c r="J6" s="23">
        <f>-IF(J3-2026&lt;Assumptions!$B$19,Assumptions!$B$18,Assumptions!$B$18*Assumptions!$B$20*Assumptions!$B$16)</f>
        <v>-0.7687922155319997</v>
      </c>
      <c r="K6" s="23">
        <f>-IF(K3-2026&lt;Assumptions!$B$19,Assumptions!$B$18,Assumptions!$B$18*Assumptions!$B$20*Assumptions!$B$16)</f>
        <v>-0.7687922155319997</v>
      </c>
      <c r="L6" s="23">
        <f>-IF(L3-2026&lt;Assumptions!$B$19,Assumptions!$B$18,Assumptions!$B$18*Assumptions!$B$20*Assumptions!$B$16)</f>
        <v>-0.7687922155319997</v>
      </c>
      <c r="M6" s="23">
        <f>-IF(M3-2026&lt;Assumptions!$B$19,Assumptions!$B$18,Assumptions!$B$18*Assumptions!$B$20*Assumptions!$B$16)</f>
        <v>-0.7687922155319997</v>
      </c>
      <c r="N6" s="23">
        <f>-IF(N3-2026&lt;Assumptions!$B$19,Assumptions!$B$18,Assumptions!$B$18*Assumptions!$B$20*Assumptions!$B$16)</f>
        <v>-0.7687922155319997</v>
      </c>
      <c r="O6" s="23">
        <f>-IF(O3-2026&lt;Assumptions!$B$19,Assumptions!$B$18,Assumptions!$B$18*Assumptions!$B$20*Assumptions!$B$16)</f>
        <v>-0.7687922155319997</v>
      </c>
      <c r="P6" s="23">
        <f>-IF(P3-2026&lt;Assumptions!$B$19,Assumptions!$B$18,Assumptions!$B$18*Assumptions!$B$20*Assumptions!$B$16)</f>
        <v>-0.7687922155319997</v>
      </c>
      <c r="Q6" s="23">
        <f>-IF(Q3-2026&lt;Assumptions!$B$19,Assumptions!$B$18,Assumptions!$B$18*Assumptions!$B$20*Assumptions!$B$16)</f>
        <v>-0.7687922155319997</v>
      </c>
      <c r="R6" s="23">
        <f>-IF(R3-2026&lt;Assumptions!$B$19,Assumptions!$B$18,Assumptions!$B$18*Assumptions!$B$20*Assumptions!$B$16)</f>
        <v>-0.7687922155319997</v>
      </c>
      <c r="S6" s="23">
        <f>-IF(S3-2026&lt;Assumptions!$B$19,Assumptions!$B$18,Assumptions!$B$18*Assumptions!$B$20*Assumptions!$B$16)</f>
        <v>-0.7687922155319997</v>
      </c>
      <c r="T6" s="23">
        <f>-IF(T3-2026&lt;Assumptions!$B$19,Assumptions!$B$18,Assumptions!$B$18*Assumptions!$B$20*Assumptions!$B$16)</f>
        <v>-0.7687922155319997</v>
      </c>
      <c r="U6" s="23">
        <f>-IF(U3-2026&lt;Assumptions!$B$19,Assumptions!$B$18,Assumptions!$B$18*Assumptions!$B$20*Assumptions!$B$16)</f>
        <v>-0.7687922155319997</v>
      </c>
      <c r="V6" s="23">
        <f>-IF(V3-2026&lt;Assumptions!$B$19,Assumptions!$B$18,Assumptions!$B$18*Assumptions!$B$20*Assumptions!$B$16)</f>
        <v>-0.7687922155319997</v>
      </c>
    </row>
    <row r="7">
      <c r="A7" s="14" t="inlineStr">
        <is>
          <t>Pre-tax cash flow</t>
        </is>
      </c>
      <c r="C7" s="23">
        <f>C5+C6</f>
        <v>-8.668</v>
      </c>
      <c r="D7" s="23">
        <f>D5+D6</f>
        <v>-8.668</v>
      </c>
      <c r="E7" s="23">
        <f>E5+E6</f>
        <v>-8.668</v>
      </c>
      <c r="F7" s="23">
        <f>F5+F6</f>
        <v>-8.668</v>
      </c>
      <c r="G7" s="23">
        <f>G5+G6</f>
        <v>-0.7687922155319997</v>
      </c>
      <c r="H7" s="23">
        <f>H5+H6</f>
        <v>52.931207784468</v>
      </c>
      <c r="I7" s="23">
        <f>I5+I6</f>
        <v>133.481207784468</v>
      </c>
      <c r="J7" s="23">
        <f>J5+J6</f>
        <v>240.88120778446802</v>
      </c>
      <c r="K7" s="23">
        <f>K5+K6</f>
        <v>348.28120778446794</v>
      </c>
      <c r="L7" s="23">
        <f>L5+L6</f>
        <v>455.68120778446803</v>
      </c>
      <c r="M7" s="23">
        <f>M5+M6</f>
        <v>536.231207784468</v>
      </c>
      <c r="N7" s="23">
        <f>N5+N6</f>
        <v>536.231207784468</v>
      </c>
      <c r="O7" s="23">
        <f>O5+O6</f>
        <v>536.231207784468</v>
      </c>
      <c r="P7" s="23">
        <f>P5+P6</f>
        <v>536.231207784468</v>
      </c>
      <c r="Q7" s="23">
        <f>Q5+Q6</f>
        <v>536.231207784468</v>
      </c>
      <c r="R7" s="23">
        <f>R5+R6</f>
        <v>536.231207784468</v>
      </c>
      <c r="S7" s="23">
        <f>S5+S6</f>
        <v>536.231207784468</v>
      </c>
      <c r="T7" s="23">
        <f>T5+T6</f>
        <v>536.231207784468</v>
      </c>
      <c r="U7" s="23">
        <f>U5+U6</f>
        <v>267.731207784468</v>
      </c>
      <c r="V7" s="23">
        <f>V5+V6</f>
        <v>133.481207784468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52.931207784468</v>
      </c>
      <c r="I8" s="23">
        <f>MIN(H17,MAX(0,I7))</f>
        <v>133.481207784468</v>
      </c>
      <c r="J8" s="23">
        <f>MIN(I17,MAX(0,J7))</f>
        <v>102.928376646596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137.952831137872</v>
      </c>
      <c r="K9" s="23">
        <f>MAX(0,K7)-K8</f>
        <v>348.28120778446794</v>
      </c>
      <c r="L9" s="23">
        <f>MAX(0,L7)-L8</f>
        <v>455.68120778446803</v>
      </c>
      <c r="M9" s="23">
        <f>MAX(0,M7)-M8</f>
        <v>536.231207784468</v>
      </c>
      <c r="N9" s="23">
        <f>MAX(0,N7)-N8</f>
        <v>536.231207784468</v>
      </c>
      <c r="O9" s="23">
        <f>MAX(0,O7)-O8</f>
        <v>536.231207784468</v>
      </c>
      <c r="P9" s="23">
        <f>MAX(0,P7)-P8</f>
        <v>536.231207784468</v>
      </c>
      <c r="Q9" s="23">
        <f>MAX(0,Q7)-Q8</f>
        <v>536.231207784468</v>
      </c>
      <c r="R9" s="23">
        <f>MAX(0,R7)-R8</f>
        <v>536.231207784468</v>
      </c>
      <c r="S9" s="23">
        <f>MAX(0,S7)-S8</f>
        <v>536.231207784468</v>
      </c>
      <c r="T9" s="23">
        <f>MAX(0,T7)-T8</f>
        <v>536.231207784468</v>
      </c>
      <c r="U9" s="23">
        <f>MAX(0,U7)-U8</f>
        <v>267.731207784468</v>
      </c>
      <c r="V9" s="23">
        <f>MAX(0,V7)-V8</f>
        <v>133.481207784468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28.97009453895312</v>
      </c>
      <c r="K10" s="23">
        <f>K9*Assumptions!$E$15</f>
        <v>73.13905363473826</v>
      </c>
      <c r="L10" s="23">
        <f>L9*Assumptions!$E$15</f>
        <v>95.69305363473828</v>
      </c>
      <c r="M10" s="23">
        <f>M9*Assumptions!$E$15</f>
        <v>112.60855363473827</v>
      </c>
      <c r="N10" s="23">
        <f>N9*Assumptions!$E$15</f>
        <v>112.60855363473827</v>
      </c>
      <c r="O10" s="23">
        <f>O9*Assumptions!$E$15</f>
        <v>112.60855363473827</v>
      </c>
      <c r="P10" s="23">
        <f>P9*Assumptions!$E$15</f>
        <v>112.60855363473827</v>
      </c>
      <c r="Q10" s="23">
        <f>Q9*Assumptions!$E$15</f>
        <v>112.60855363473827</v>
      </c>
      <c r="R10" s="23">
        <f>R9*Assumptions!$E$15</f>
        <v>112.60855363473827</v>
      </c>
      <c r="S10" s="23">
        <f>S9*Assumptions!$E$15</f>
        <v>112.60855363473827</v>
      </c>
      <c r="T10" s="23">
        <f>T9*Assumptions!$E$15</f>
        <v>112.60855363473827</v>
      </c>
      <c r="U10" s="23">
        <f>U9*Assumptions!$E$15</f>
        <v>56.22355363473827</v>
      </c>
      <c r="V10" s="23">
        <f>V9*Assumptions!$E$15</f>
        <v>28.03105363473828</v>
      </c>
    </row>
    <row r="11">
      <c r="A11" s="24" t="inlineStr">
        <is>
          <t>Free cash flow</t>
        </is>
      </c>
      <c r="C11" s="55">
        <f>C7-C10</f>
        <v>-8.668</v>
      </c>
      <c r="D11" s="55">
        <f>D7-D10</f>
        <v>-8.668</v>
      </c>
      <c r="E11" s="55">
        <f>E7-E10</f>
        <v>-8.668</v>
      </c>
      <c r="F11" s="55">
        <f>F7-F10</f>
        <v>-8.668</v>
      </c>
      <c r="G11" s="55">
        <f>G7-G10</f>
        <v>-0.7687922155319997</v>
      </c>
      <c r="H11" s="55">
        <f>H7-H10</f>
        <v>52.931207784468</v>
      </c>
      <c r="I11" s="55">
        <f>I7-I10</f>
        <v>133.481207784468</v>
      </c>
      <c r="J11" s="55">
        <f>J7-J10</f>
        <v>211.9111132455149</v>
      </c>
      <c r="K11" s="55">
        <f>K7-K10</f>
        <v>275.14215414972966</v>
      </c>
      <c r="L11" s="55">
        <f>L7-L10</f>
        <v>359.9881541497298</v>
      </c>
      <c r="M11" s="55">
        <f>M7-M10</f>
        <v>423.6226541497297</v>
      </c>
      <c r="N11" s="55">
        <f>N7-N10</f>
        <v>423.6226541497297</v>
      </c>
      <c r="O11" s="55">
        <f>O7-O10</f>
        <v>423.6226541497297</v>
      </c>
      <c r="P11" s="55">
        <f>P7-P10</f>
        <v>423.6226541497297</v>
      </c>
      <c r="Q11" s="55">
        <f>Q7-Q10</f>
        <v>423.6226541497297</v>
      </c>
      <c r="R11" s="55">
        <f>R7-R10</f>
        <v>423.6226541497297</v>
      </c>
      <c r="S11" s="55">
        <f>S7-S10</f>
        <v>423.6226541497297</v>
      </c>
      <c r="T11" s="55">
        <f>T7-T10</f>
        <v>423.6226541497297</v>
      </c>
      <c r="U11" s="55">
        <f>U7-U10</f>
        <v>211.50765414972972</v>
      </c>
      <c r="V11" s="55">
        <f>V7-V10</f>
        <v>105.45015414972973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-4.246490897259084</v>
      </c>
      <c r="D16" s="55">
        <f>D11*D15</f>
        <v>-7.735690508993787</v>
      </c>
      <c r="E16" s="55">
        <f>E11*E15</f>
        <v>-6.906866525887308</v>
      </c>
      <c r="F16" s="55">
        <f>F11*F15</f>
        <v>-6.166845112399382</v>
      </c>
      <c r="G16" s="55">
        <f>G11*G15</f>
        <v>-0.48835438608389276</v>
      </c>
      <c r="H16" s="55">
        <f>H11*H15</f>
        <v>30.02063654432407</v>
      </c>
      <c r="I16" s="55">
        <f>I11*I15</f>
        <v>67.5943191192867</v>
      </c>
      <c r="J16" s="55">
        <f>J11*J15</f>
        <v>95.81329603426786</v>
      </c>
      <c r="K16" s="55">
        <f>K11*K15</f>
        <v>111.07367925949826</v>
      </c>
      <c r="L16" s="55">
        <f>L11*L15</f>
        <v>129.75503288606518</v>
      </c>
      <c r="M16" s="55">
        <f>M11*M15</f>
        <v>136.33179608742344</v>
      </c>
      <c r="N16" s="55">
        <f>N11*N15</f>
        <v>121.72481793519948</v>
      </c>
      <c r="O16" s="55">
        <f>O11*O15</f>
        <v>108.6828731564281</v>
      </c>
      <c r="P16" s="55">
        <f>P11*P15</f>
        <v>97.03827960395364</v>
      </c>
      <c r="Q16" s="55">
        <f>Q11*Q15</f>
        <v>86.64132107495861</v>
      </c>
      <c r="R16" s="55">
        <f>R11*R15</f>
        <v>77.3583223883559</v>
      </c>
      <c r="S16" s="55">
        <f>S11*S15</f>
        <v>69.06993070388918</v>
      </c>
      <c r="T16" s="55">
        <f>T11*T15</f>
        <v>61.66958098561534</v>
      </c>
      <c r="U16" s="55">
        <f>U11*U15</f>
        <v>27.491591781733444</v>
      </c>
      <c r="V16" s="55">
        <f>V11*V15</f>
        <v>12.23778993981546</v>
      </c>
    </row>
    <row r="17">
      <c r="A17" s="14" t="inlineStr">
        <is>
          <t>Tax-loss carryforward, end of year</t>
        </is>
      </c>
      <c r="C17" s="23">
        <f>Assumptions!$B$21-C8+MAX(0,-C7)</f>
        <v>262.568</v>
      </c>
      <c r="D17" s="23">
        <f>C17-D8+MAX(0,-D7)</f>
        <v>271.236</v>
      </c>
      <c r="E17" s="23">
        <f>D17-E8+MAX(0,-E7)</f>
        <v>279.904</v>
      </c>
      <c r="F17" s="23">
        <f>E17-F8+MAX(0,-F7)</f>
        <v>288.572</v>
      </c>
      <c r="G17" s="23">
        <f>F17-G8+MAX(0,-G7)</f>
        <v>289.340792215532</v>
      </c>
      <c r="H17" s="23">
        <f>G17-H8+MAX(0,-H7)</f>
        <v>236.40958443106402</v>
      </c>
      <c r="I17" s="23">
        <f>H17-I8+MAX(0,-I7)</f>
        <v>102.928376646596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1525.137709301117</v>
      </c>
    </row>
    <row r="20">
      <c r="A20" s="14" t="inlineStr">
        <is>
          <t>PV of corporate burn</t>
        </is>
      </c>
      <c r="B20" s="23">
        <f>SUMPRODUCT(C6:V6,C15:V15)</f>
        <v>-28.87036297707671</v>
      </c>
    </row>
    <row r="21">
      <c r="A21" s="14" t="inlineStr">
        <is>
          <t>PV of taxes</t>
        </is>
      </c>
      <c r="B21" s="23">
        <f>-SUMPRODUCT(C10:V10,C15:V15)</f>
        <v>-289.3083262538493</v>
      </c>
    </row>
    <row r="22">
      <c r="A22" s="24" t="inlineStr">
        <is>
          <t>Pipeline rNPV (operations)</t>
        </is>
      </c>
      <c r="B22" s="54">
        <f>SUM(C16:V16)</f>
        <v>1206.9590200701912</v>
      </c>
    </row>
    <row r="23">
      <c r="A23" s="14" t="inlineStr">
        <is>
          <t>Cash &amp; investments</t>
        </is>
      </c>
      <c r="B23" s="57">
        <f>Main!C7</f>
        <v>7.492014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1214.451034070191</v>
      </c>
    </row>
    <row r="26">
      <c r="A26" s="14" t="inlineStr">
        <is>
          <t>Shares (mm)</t>
        </is>
      </c>
      <c r="B26" s="57">
        <f>Main!C4</f>
        <v>1.780939</v>
      </c>
    </row>
    <row r="27">
      <c r="A27" s="24" t="inlineStr">
        <is>
          <t>rNPV / share</t>
        </is>
      </c>
      <c r="B27" s="60">
        <f>B25/B26</f>
        <v>681.9161319226492</v>
      </c>
    </row>
    <row r="28">
      <c r="A28" s="14" t="inlineStr">
        <is>
          <t>Price</t>
        </is>
      </c>
      <c r="B28" s="61">
        <f>Main!C3</f>
        <v>5.52</v>
      </c>
    </row>
    <row r="29">
      <c r="A29" s="14" t="inlineStr">
        <is>
          <t>Upside</t>
        </is>
      </c>
      <c r="B29" s="62">
        <f>B27/B28-1</f>
        <v>122.53553114540748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2026-10-21T06:30:36Z</dcterms:modified>
  <cp:lastModifiedBy>Wang, Eric</cp:lastModifiedBy>
</cp:coreProperties>
</file>