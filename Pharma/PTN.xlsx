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Palatin Technologies Inc</t>
        </is>
      </c>
      <c r="C2" s="10" t="n"/>
    </row>
    <row r="3">
      <c r="B3" t="inlineStr">
        <is>
          <t>Price</t>
        </is>
      </c>
      <c r="C3" s="11">
        <f>INDEX([1]Pharma!$F$1:$F$1000,MATCH("PTN",[1]Pharma!$B$1:$B$1000,0))</f>
        <v>5.52</v>
      </c>
      <c r="F3" s="1" t="n"/>
    </row>
    <row r="4">
      <c r="B4" t="inlineStr">
        <is>
          <t>Shares</t>
        </is>
      </c>
      <c r="C4" s="21" t="n">
        <v>1.780939</v>
      </c>
      <c r="F4" s="1" t="n"/>
    </row>
    <row r="5">
      <c r="B5" t="inlineStr">
        <is>
          <t>Market Cap.</t>
        </is>
      </c>
      <c r="C5" s="13">
        <f>C3*C4</f>
        <v>9.83078328</v>
      </c>
      <c r="F5" s="1" t="n"/>
    </row>
    <row r="6"/>
    <row r="7">
      <c r="B7" t="inlineStr">
        <is>
          <t>Cash</t>
        </is>
      </c>
      <c r="C7" s="21" t="n">
        <v>7.492014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2.33876928</v>
      </c>
    </row>
    <row r="10"/>
    <row r="11">
      <c r="B11" s="14" t="inlineStr">
        <is>
          <t>Net Cash / Share</t>
        </is>
      </c>
      <c r="C11" s="11">
        <f>(C7-C8)/C4</f>
        <v>4.206777435948115</v>
      </c>
    </row>
    <row r="12">
      <c r="B12" s="14" t="inlineStr">
        <is>
          <t>Upside</t>
        </is>
      </c>
      <c r="C12" s="15">
        <f>IFERROR(C11/C3-1,"")</f>
        <v>-0.23790263841519654</v>
      </c>
    </row>
    <row r="13">
      <c r="B13" s="14" t="inlineStr">
        <is>
          <t>Cash / Share</t>
        </is>
      </c>
      <c r="C13" s="11">
        <f>IFERROR((C7-C8)/C4,"")</f>
        <v>4.206777435948115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-13.533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0.5536107293283086</v>
      </c>
    </row>
    <row r="19">
      <c r="B19" s="14" t="inlineStr">
        <is>
          <t>Implied Pipeline Value</t>
        </is>
      </c>
      <c r="C19" s="13">
        <f>C9</f>
        <v>2.33876928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17" t="n">
        <v>2026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14.181</v>
      </c>
      <c r="C2" s="23" t="n">
        <v>1.475</v>
      </c>
      <c r="D2" s="23" t="n">
        <v>0.074</v>
      </c>
      <c r="E2" s="23" t="n">
        <v>0.01</v>
      </c>
      <c r="F2" s="23" t="n">
        <v>0</v>
      </c>
      <c r="G2" s="23" t="n">
        <v>0</v>
      </c>
      <c r="H2" s="23" t="n">
        <v>0</v>
      </c>
      <c r="I2" s="23" t="n">
        <v>67.13500000000001</v>
      </c>
      <c r="J2" s="23" t="n">
        <v>67.13500000000001</v>
      </c>
      <c r="K2" s="23" t="n">
        <v>60.3</v>
      </c>
      <c r="L2" s="23" t="n">
        <v>0.118</v>
      </c>
      <c r="M2" s="23" t="n">
        <v>-0.189</v>
      </c>
      <c r="N2" s="23" t="n">
        <v>1.468</v>
      </c>
      <c r="O2" s="23" t="n">
        <v>4.854</v>
      </c>
      <c r="P2" s="23" t="n">
        <v>4.49</v>
      </c>
      <c r="Q2" s="23" t="n">
        <v>0</v>
      </c>
      <c r="R2" s="23" t="n">
        <v>13.185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0.148</v>
      </c>
      <c r="N3" s="23" t="n">
        <v>0.218</v>
      </c>
      <c r="O3" s="23" t="n">
        <v>0.418</v>
      </c>
      <c r="P3" s="23" t="n">
        <v>0.098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14.181</v>
      </c>
      <c r="C4" s="23">
        <f>C2-C3</f>
        <v>1.475</v>
      </c>
      <c r="D4" s="23">
        <f>D2-D3</f>
        <v>0.074</v>
      </c>
      <c r="E4" s="23">
        <f>E2-E3</f>
        <v>0.01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67.135</v>
      </c>
      <c r="J4" s="23">
        <f>J2-J3</f>
        <v>67.135</v>
      </c>
      <c r="K4" s="23">
        <f>K2-K3</f>
        <v>60.3</v>
      </c>
      <c r="L4" s="23">
        <f>L2-L3</f>
        <v>0.118</v>
      </c>
      <c r="M4" s="23">
        <f>M2-M3</f>
        <v>-0.33699999999999997</v>
      </c>
      <c r="N4" s="23">
        <f>N2-N3</f>
        <v>1.25</v>
      </c>
      <c r="O4" s="23">
        <f>O2-O3</f>
        <v>4.436</v>
      </c>
      <c r="P4" s="23">
        <f>P2-P3</f>
        <v>4.392</v>
      </c>
      <c r="Q4" s="23">
        <f>Q2-Q3</f>
        <v>0.0</v>
      </c>
      <c r="R4" s="23">
        <f>R2-R3</f>
        <v>13.185</v>
      </c>
    </row>
    <row r="5">
      <c r="A5" s="2" t="inlineStr">
        <is>
          <t>Research &amp; Dev.</t>
        </is>
      </c>
      <c r="B5" s="23" t="n">
        <v>12.294</v>
      </c>
      <c r="C5" s="23" t="n">
        <v>10.377</v>
      </c>
      <c r="D5" s="23" t="n">
        <v>13.813</v>
      </c>
      <c r="E5" s="23" t="n">
        <v>10.529</v>
      </c>
      <c r="F5" s="23" t="n">
        <v>10.827</v>
      </c>
      <c r="G5" s="23" t="n">
        <v>24.56</v>
      </c>
      <c r="H5" s="23" t="n">
        <v>43.071</v>
      </c>
      <c r="I5" s="23" t="n">
        <v>32.566</v>
      </c>
      <c r="J5" s="23" t="n">
        <v>32.566</v>
      </c>
      <c r="K5" s="23" t="n">
        <v>14.857</v>
      </c>
      <c r="L5" s="23" t="n">
        <v>13.959</v>
      </c>
      <c r="M5" s="23" t="n">
        <v>12.927</v>
      </c>
      <c r="N5" s="23" t="n">
        <v>21.327</v>
      </c>
      <c r="O5" s="23" t="n">
        <v>22.631</v>
      </c>
      <c r="P5" s="23" t="n">
        <v>22.4</v>
      </c>
      <c r="Q5" s="23" t="n">
        <v>14.898</v>
      </c>
      <c r="R5" s="23" t="n">
        <v>12.369</v>
      </c>
    </row>
    <row r="6">
      <c r="A6" s="19" t="inlineStr">
        <is>
          <t>SG&amp;A &amp; Other</t>
        </is>
      </c>
      <c r="B6" s="23" t="n">
        <v>4.901</v>
      </c>
      <c r="C6" s="23" t="n">
        <v>4.752</v>
      </c>
      <c r="D6" s="23" t="n">
        <v>5.046</v>
      </c>
      <c r="E6" s="23" t="n">
        <v>5.067</v>
      </c>
      <c r="F6" s="23" t="n">
        <v>4.961</v>
      </c>
      <c r="G6" s="23" t="n">
        <v>-7.274</v>
      </c>
      <c r="H6" s="23" t="n">
        <v>6.179</v>
      </c>
      <c r="I6" s="23" t="n">
        <v>8.641999999999999</v>
      </c>
      <c r="J6" s="23" t="n">
        <v>8.641999999999999</v>
      </c>
      <c r="K6" s="23" t="n">
        <v>9.699</v>
      </c>
      <c r="L6" s="23" t="n">
        <v>9.765000000000001</v>
      </c>
      <c r="M6" s="23" t="n">
        <v>20.121</v>
      </c>
      <c r="N6" s="23" t="n">
        <v>16.512</v>
      </c>
      <c r="O6" s="23" t="n">
        <v>14.264</v>
      </c>
      <c r="P6" s="23" t="n">
        <v>4.488</v>
      </c>
      <c r="Q6" s="23" t="n">
        <v>2.561</v>
      </c>
      <c r="R6" s="23" t="n">
        <v>9.484</v>
      </c>
    </row>
    <row r="7">
      <c r="A7" s="2" t="inlineStr">
        <is>
          <t>Operating Expense</t>
        </is>
      </c>
      <c r="B7" s="23">
        <f>SUM(B5:B6)</f>
        <v>17.195</v>
      </c>
      <c r="C7" s="23">
        <f>SUM(C5:C6)</f>
        <v>15.129000000000001</v>
      </c>
      <c r="D7" s="23">
        <f>SUM(D5:D6)</f>
        <v>18.859</v>
      </c>
      <c r="E7" s="23">
        <f>SUM(E5:E6)</f>
        <v>15.596</v>
      </c>
      <c r="F7" s="23">
        <f>SUM(F5:F6)</f>
        <v>15.788</v>
      </c>
      <c r="G7" s="23">
        <f>SUM(G5:G6)</f>
        <v>17.285999999999998</v>
      </c>
      <c r="H7" s="23">
        <f>SUM(H5:H6)</f>
        <v>49.25</v>
      </c>
      <c r="I7" s="23">
        <f>SUM(I5:I6)</f>
        <v>41.208</v>
      </c>
      <c r="J7" s="23">
        <f>SUM(J5:J6)</f>
        <v>41.208</v>
      </c>
      <c r="K7" s="23">
        <f>SUM(K5:K6)</f>
        <v>24.555999999999997</v>
      </c>
      <c r="L7" s="23">
        <f>SUM(L5:L6)</f>
        <v>23.724</v>
      </c>
      <c r="M7" s="23">
        <f>SUM(M5:M6)</f>
        <v>33.048</v>
      </c>
      <c r="N7" s="23">
        <f>SUM(N5:N6)</f>
        <v>37.839</v>
      </c>
      <c r="O7" s="23">
        <f>SUM(O5:O6)</f>
        <v>36.894999999999996</v>
      </c>
      <c r="P7" s="23">
        <f>SUM(P5:P6)</f>
        <v>26.887999999999998</v>
      </c>
      <c r="Q7" s="23">
        <f>SUM(Q5:Q6)</f>
        <v>17.459</v>
      </c>
      <c r="R7" s="23">
        <f>SUM(R5:R6)</f>
        <v>21.853</v>
      </c>
    </row>
    <row r="8">
      <c r="A8" s="2" t="inlineStr">
        <is>
          <t>Operating Income</t>
        </is>
      </c>
      <c r="B8" s="23">
        <f>B4-B7</f>
        <v>-3.014000000000001</v>
      </c>
      <c r="C8" s="23">
        <f>C4-C7</f>
        <v>-13.654000000000002</v>
      </c>
      <c r="D8" s="23">
        <f>D4-D7</f>
        <v>-18.785</v>
      </c>
      <c r="E8" s="23">
        <f>E4-E7</f>
        <v>-15.586</v>
      </c>
      <c r="F8" s="23">
        <f>F4-F7</f>
        <v>-15.788</v>
      </c>
      <c r="G8" s="23">
        <f>G4-G7</f>
        <v>-17.285999999999998</v>
      </c>
      <c r="H8" s="23">
        <f>H4-H7</f>
        <v>-49.25</v>
      </c>
      <c r="I8" s="23">
        <f>I4-I7</f>
        <v>25.927000000000007</v>
      </c>
      <c r="J8" s="23">
        <f>J4-J7</f>
        <v>25.927000000000007</v>
      </c>
      <c r="K8" s="23">
        <f>K4-K7</f>
        <v>35.744</v>
      </c>
      <c r="L8" s="23">
        <f>L4-L7</f>
        <v>-23.606</v>
      </c>
      <c r="M8" s="23">
        <f>M4-M7</f>
        <v>-33.385000000000005</v>
      </c>
      <c r="N8" s="23">
        <f>N4-N7</f>
        <v>-36.589</v>
      </c>
      <c r="O8" s="23">
        <f>O4-O7</f>
        <v>-32.458999999999996</v>
      </c>
      <c r="P8" s="23">
        <f>P4-P7</f>
        <v>-22.496</v>
      </c>
      <c r="Q8" s="23">
        <f>Q4-Q7</f>
        <v>-17.459</v>
      </c>
      <c r="R8" s="23">
        <f>R4-R7</f>
        <v>-8.668000000000001</v>
      </c>
    </row>
    <row r="9">
      <c r="A9" s="19" t="inlineStr">
        <is>
          <t>Interest &amp; Other</t>
        </is>
      </c>
      <c r="B9" s="23" t="n">
        <v>0.223</v>
      </c>
      <c r="C9" s="23" t="n">
        <v>0.2</v>
      </c>
      <c r="D9" s="23" t="n">
        <v>0.464</v>
      </c>
      <c r="E9" s="23" t="n">
        <v>-7.03</v>
      </c>
      <c r="F9" s="23" t="n">
        <v>0.013</v>
      </c>
      <c r="G9" s="23" t="n">
        <v>-0.911</v>
      </c>
      <c r="H9" s="23" t="n">
        <v>-2.463</v>
      </c>
      <c r="I9" s="23" t="n">
        <v>-1.141</v>
      </c>
      <c r="J9" s="23" t="n">
        <v>-1.141</v>
      </c>
      <c r="K9" s="23" t="n">
        <v>0.029</v>
      </c>
      <c r="L9" s="23" t="n">
        <v>1.181</v>
      </c>
      <c r="M9" s="23" t="n">
        <v>-0.212</v>
      </c>
      <c r="N9" s="23" t="n">
        <v>0.39</v>
      </c>
      <c r="O9" s="23" t="n">
        <v>63.984</v>
      </c>
      <c r="P9" s="23" t="n">
        <v>22.46</v>
      </c>
      <c r="Q9" s="23" t="n">
        <v>-17.155</v>
      </c>
      <c r="R9" s="23" t="n">
        <v>-8.087999999999999</v>
      </c>
    </row>
    <row r="10">
      <c r="A10" s="2" t="inlineStr">
        <is>
          <t>Pretax</t>
        </is>
      </c>
      <c r="B10" s="23">
        <f>B8+B9</f>
        <v>-2.7910000000000013</v>
      </c>
      <c r="C10" s="23">
        <f>C8+C9</f>
        <v>-13.454000000000002</v>
      </c>
      <c r="D10" s="23">
        <f>D8+D9</f>
        <v>-18.321</v>
      </c>
      <c r="E10" s="23">
        <f>E8+E9</f>
        <v>-22.616</v>
      </c>
      <c r="F10" s="23">
        <f>F8+F9</f>
        <v>-15.775</v>
      </c>
      <c r="G10" s="23">
        <f>G8+G9</f>
        <v>-18.197</v>
      </c>
      <c r="H10" s="23">
        <f>H8+H9</f>
        <v>-51.713</v>
      </c>
      <c r="I10" s="23">
        <f>I8+I9</f>
        <v>24.78600000000001</v>
      </c>
      <c r="J10" s="23">
        <f>J8+J9</f>
        <v>24.78600000000001</v>
      </c>
      <c r="K10" s="23">
        <f>K8+K9</f>
        <v>35.773</v>
      </c>
      <c r="L10" s="23">
        <f>L8+L9</f>
        <v>-22.425</v>
      </c>
      <c r="M10" s="23">
        <f>M8+M9</f>
        <v>-33.59700000000001</v>
      </c>
      <c r="N10" s="23">
        <f>N8+N9</f>
        <v>-36.199</v>
      </c>
      <c r="O10" s="23">
        <f>O8+O9</f>
        <v>31.525000000000006</v>
      </c>
      <c r="P10" s="23">
        <f>P8+P9</f>
        <v>-0.03599999999999781</v>
      </c>
      <c r="Q10" s="23">
        <f>Q8+Q9</f>
        <v>-34.614000000000004</v>
      </c>
      <c r="R10" s="23">
        <f>R8+R9</f>
        <v>-16.756</v>
      </c>
    </row>
    <row r="11">
      <c r="A11" s="2" t="inlineStr">
        <is>
          <t>Taxes</t>
        </is>
      </c>
      <c r="B11" s="23" t="n">
        <v>-0.998</v>
      </c>
      <c r="C11" s="23" t="n">
        <v>-0.637</v>
      </c>
      <c r="D11" s="23" t="n">
        <v>-1.068</v>
      </c>
      <c r="E11" s="23" t="n">
        <v>-1.753</v>
      </c>
      <c r="F11" s="23" t="n">
        <v>-1.847</v>
      </c>
      <c r="G11" s="23" t="n">
        <v>-0.532</v>
      </c>
      <c r="H11" s="23" t="n">
        <v>0</v>
      </c>
      <c r="I11" s="23" t="n">
        <v>0.083</v>
      </c>
      <c r="J11" s="23" t="n">
        <v>0.083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-4.675</v>
      </c>
      <c r="P11" s="23" t="n">
        <v>-29.736</v>
      </c>
      <c r="Q11" s="23" t="n">
        <v>-17.307</v>
      </c>
      <c r="R11" s="23" t="n">
        <v>-8.378</v>
      </c>
    </row>
    <row r="12">
      <c r="A12" s="2" t="inlineStr">
        <is>
          <t>Net Income</t>
        </is>
      </c>
      <c r="B12" s="23" t="n">
        <v>-1.793</v>
      </c>
      <c r="C12" s="23" t="n">
        <v>-12.816</v>
      </c>
      <c r="D12" s="23" t="n">
        <v>-17.253</v>
      </c>
      <c r="E12" s="23" t="n">
        <v>-20.862</v>
      </c>
      <c r="F12" s="23" t="n">
        <v>-13.928</v>
      </c>
      <c r="G12" s="23" t="n">
        <v>-17.666</v>
      </c>
      <c r="H12" s="23" t="n">
        <v>-51.713</v>
      </c>
      <c r="I12" s="23" t="n">
        <v>24.703</v>
      </c>
      <c r="J12" s="23" t="n">
        <v>24.703</v>
      </c>
      <c r="K12" s="23" t="n">
        <v>35.773</v>
      </c>
      <c r="L12" s="23" t="n">
        <v>-22.426</v>
      </c>
      <c r="M12" s="23" t="n">
        <v>-33.596</v>
      </c>
      <c r="N12" s="23" t="n">
        <v>-36.198</v>
      </c>
      <c r="O12" s="23" t="n">
        <v>36.2</v>
      </c>
      <c r="P12" s="23" t="n">
        <v>29.7</v>
      </c>
      <c r="Q12" s="23" t="n">
        <v>-17.307</v>
      </c>
      <c r="R12" s="23" t="n">
        <v>-8.378</v>
      </c>
    </row>
    <row r="13">
      <c r="A13" s="2" t="inlineStr">
        <is>
          <t>Earnings per Share</t>
        </is>
      </c>
      <c r="B13" s="11">
        <f>IFERROR(B12/B14,0)</f>
        <v>-3.363977485928705</v>
      </c>
      <c r="C13" s="11">
        <f>IFERROR(C12/C14,0)</f>
        <v>-23.60220994475138</v>
      </c>
      <c r="D13" s="11">
        <f>IFERROR(D12/D14,0)</f>
        <v>-18.295864262990456</v>
      </c>
      <c r="E13" s="11">
        <f>IFERROR(E12/E14,0)</f>
        <v>-7.908263836239575</v>
      </c>
      <c r="F13" s="11">
        <f>IFERROR(F12/F14,0)</f>
        <v>-4.831078737426292</v>
      </c>
      <c r="G13" s="11">
        <f>IFERROR(G12/G14,0)</f>
        <v>-5.400794863955977</v>
      </c>
      <c r="H13" s="11">
        <f>IFERROR(H12/H14,0)</f>
        <v>-12.22240605057906</v>
      </c>
      <c r="I13" s="11">
        <f>IFERROR(I12/I14,0)</f>
        <v>4.415192135835568</v>
      </c>
      <c r="J13" s="11">
        <f>IFERROR(J12/J14,0)</f>
        <v>4.415192135835568</v>
      </c>
      <c r="K13" s="11">
        <f>IFERROR(K12/K14,0)</f>
        <v>6.09628493524199</v>
      </c>
      <c r="L13" s="11">
        <f>IFERROR(L12/L14,0)</f>
        <v>-3.5355510011035785</v>
      </c>
      <c r="M13" s="11">
        <f>IFERROR(M12/M14,0)</f>
        <v>-5.252657911194496</v>
      </c>
      <c r="N13" s="11">
        <f>IFERROR(N12/N14,0)</f>
        <v>0</v>
      </c>
      <c r="O13" s="11">
        <f>IFERROR(O12/O14,0)</f>
        <v>123.12925170068029</v>
      </c>
      <c r="P13" s="11">
        <f>IFERROR(P12/P14,0)</f>
        <v>101.02040816326532</v>
      </c>
      <c r="Q13" s="11">
        <f>IFERROR(Q12/Q14,0)</f>
        <v>-32.169144981412636</v>
      </c>
      <c r="R13" s="11">
        <f>IFERROR(R12/R14,0)</f>
        <v>-2.963565617262115</v>
      </c>
    </row>
    <row r="14">
      <c r="A14" s="2" t="inlineStr">
        <is>
          <t>Shares</t>
        </is>
      </c>
      <c r="B14" s="23" t="n">
        <v>0.533</v>
      </c>
      <c r="C14" s="23" t="n">
        <v>0.543</v>
      </c>
      <c r="D14" s="23" t="n">
        <v>0.9429999999999999</v>
      </c>
      <c r="E14" s="23" t="n">
        <v>2.638</v>
      </c>
      <c r="F14" s="23" t="n">
        <v>2.883</v>
      </c>
      <c r="G14" s="23" t="n">
        <v>3.271</v>
      </c>
      <c r="H14" s="23" t="n">
        <v>4.231</v>
      </c>
      <c r="I14" s="23" t="n">
        <v>5.595</v>
      </c>
      <c r="J14" s="23" t="n">
        <v>5.595</v>
      </c>
      <c r="K14" s="23" t="n">
        <v>5.868</v>
      </c>
      <c r="L14" s="23" t="n">
        <v>6.343</v>
      </c>
      <c r="M14" s="23" t="n">
        <v>6.396</v>
      </c>
      <c r="N14" s="23" t="n"/>
      <c r="O14" s="23" t="n">
        <v>0.294</v>
      </c>
      <c r="P14" s="23" t="n">
        <v>0.294</v>
      </c>
      <c r="Q14" s="23" t="n">
        <v>0.538</v>
      </c>
      <c r="R14" s="23" t="n">
        <v>2.827</v>
      </c>
    </row>
    <row r="15"/>
    <row r="16" customFormat="1" s="4">
      <c r="A16" s="3" t="inlineStr">
        <is>
          <t>Revenue Change</t>
        </is>
      </c>
      <c r="C16" s="15">
        <f>IFERROR(C2/B2-1,"")</f>
        <v>-0.8959875890275721</v>
      </c>
      <c r="D16" s="15">
        <f>IFERROR(D2/C2-1,"")</f>
        <v>-0.9498305084745763</v>
      </c>
      <c r="E16" s="15">
        <f>IFERROR(E2/D2-1,"")</f>
        <v>-0.8648648648648649</v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0.0</v>
      </c>
      <c r="K16" s="15">
        <f>IFERROR(K2/J2-1,"")</f>
        <v>-0.10180978625158277</v>
      </c>
      <c r="L16" s="15">
        <f>IFERROR(L2/K2-1,"")</f>
        <v>-0.9980431177446103</v>
      </c>
      <c r="M16" s="15">
        <f>IFERROR(M2/L2-1,"")</f>
        <v>-2.6016949152542375</v>
      </c>
      <c r="N16" s="15">
        <f>IFERROR(N2/M2-1,"")</f>
        <v>-8.767195767195767</v>
      </c>
      <c r="O16" s="15">
        <f>IFERROR(O2/N2-1,"")</f>
        <v>2.3065395095367847</v>
      </c>
      <c r="P16" s="15">
        <f>IFERROR(P2/O2-1,"")</f>
        <v>-0.07498969921714049</v>
      </c>
      <c r="Q16" s="15">
        <f>IFERROR(Q2/P2-1,"")</f>
        <v>-1.0</v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1.7830687830687828</v>
      </c>
      <c r="N17" s="15">
        <f>IFERROR(N4/N2,"")</f>
        <v>0.8514986376021798</v>
      </c>
      <c r="O17" s="15">
        <f>IFERROR(O4/O2,"")</f>
        <v>0.9138854552946024</v>
      </c>
      <c r="P17" s="15">
        <f>IFERROR(P4/P2,"")</f>
        <v>0.978173719376392</v>
      </c>
      <c r="Q17" s="15">
        <f>IFERROR(Q4/Q2,"")</f>
        <v/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-0.21253790282772733</v>
      </c>
      <c r="C18" s="15">
        <f>IFERROR(C8/C2,"")</f>
        <v>-9.256949152542374</v>
      </c>
      <c r="D18" s="15">
        <f>IFERROR(D8/D2,"")</f>
        <v>-253.85135135135135</v>
      </c>
      <c r="E18" s="15">
        <f>IFERROR(E8/E2,"")</f>
        <v>-1558.6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0.3861920011916289</v>
      </c>
      <c r="J18" s="15">
        <f>IFERROR(J8/J2,"")</f>
        <v>0.3861920011916289</v>
      </c>
      <c r="K18" s="15">
        <f>IFERROR(K8/K2,"")</f>
        <v>0.5927694859038143</v>
      </c>
      <c r="L18" s="15">
        <f>IFERROR(L8/L2,"")</f>
        <v>-200.05084745762716</v>
      </c>
      <c r="M18" s="15">
        <f>IFERROR(M8/M2,"")</f>
        <v>176.64021164021167</v>
      </c>
      <c r="N18" s="15">
        <f>IFERROR(N8/N2,"")</f>
        <v>-24.924386920980925</v>
      </c>
      <c r="O18" s="15">
        <f>IFERROR(O8/O2,"")</f>
        <v>-6.687062216728471</v>
      </c>
      <c r="P18" s="15">
        <f>IFERROR(P8/P2,"")</f>
        <v>-5.010244988864142</v>
      </c>
      <c r="Q18" s="15">
        <f>IFERROR(Q8/Q2,"")</f>
        <v/>
      </c>
      <c r="R18" s="15">
        <f>IFERROR(R8/R2,"")</f>
        <v>-0.657413727720895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2026-10-21T01:06:35Z</dcterms:modified>
  <cp:lastModifiedBy>Wang, Eric</cp:lastModifiedBy>
</cp:coreProperties>
</file>