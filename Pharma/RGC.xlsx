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Regencell Bioscience Holdings Ltd</t>
        </is>
      </c>
      <c r="C2" s="10" t="n"/>
    </row>
    <row r="3">
      <c r="B3" t="inlineStr">
        <is>
          <t>Price</t>
        </is>
      </c>
      <c r="C3" s="11">
        <f>INDEX([1]Pharma!$F$1:$F$1000,MATCH("RGC",[1]Pharma!$B$1:$B$1000,0))</f>
        <v>10.45</v>
      </c>
      <c r="F3" s="1" t="n"/>
    </row>
    <row r="4">
      <c r="B4" t="inlineStr">
        <is>
          <t>Shares</t>
        </is>
      </c>
      <c r="C4" s="21" t="n">
        <v>495.884376</v>
      </c>
      <c r="F4" s="1" t="n"/>
    </row>
    <row r="5">
      <c r="B5" t="inlineStr">
        <is>
          <t>Market Cap.</t>
        </is>
      </c>
      <c r="C5" s="13">
        <f>C3*C4</f>
        <v>5181.991729199999</v>
      </c>
      <c r="F5" s="1" t="n"/>
    </row>
    <row r="6"/>
    <row r="7">
      <c r="B7" t="inlineStr">
        <is>
          <t>Cash</t>
        </is>
      </c>
      <c r="C7" s="21" t="n">
        <v>14.192455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5167.799274199999</v>
      </c>
    </row>
    <row r="10"/>
    <row r="11">
      <c r="B11" s="14" t="inlineStr">
        <is>
          <t>Net Cash / Share</t>
        </is>
      </c>
      <c r="C11" s="11">
        <f>(C7-C8)/C4</f>
        <v>0.02862049237058439</v>
      </c>
    </row>
    <row r="12">
      <c r="B12" s="14" t="inlineStr">
        <is>
          <t>Upside</t>
        </is>
      </c>
      <c r="C12" s="15">
        <f>IFERROR(C11/C3-1,"")</f>
        <v>-0.9972611969023364</v>
      </c>
    </row>
    <row r="13">
      <c r="B13" s="14" t="inlineStr">
        <is>
          <t>Cash / Share</t>
        </is>
      </c>
      <c r="C13" s="11">
        <f>IFERROR((C7-C8)/C4,"")</f>
        <v>0.02862049237058439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-7.696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1.844133965696466</v>
      </c>
    </row>
    <row r="19">
      <c r="B19" s="14" t="inlineStr">
        <is>
          <t>Implied Pipeline Value</t>
        </is>
      </c>
      <c r="C19" s="13">
        <f>C9</f>
        <v>5167.799274199999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17" t="n">
        <v>2026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1" t="n"/>
      <c r="K4" s="1" t="n"/>
    </row>
    <row r="5">
      <c r="A5" s="2" t="inlineStr">
        <is>
          <t>Research &amp; Dev.</t>
        </is>
      </c>
      <c r="B5" s="23" t="n">
        <v>0.228</v>
      </c>
      <c r="C5" s="23" t="n">
        <v>0.386</v>
      </c>
      <c r="D5" s="23" t="n">
        <v>0.438</v>
      </c>
      <c r="E5" s="23" t="n">
        <v>2.512</v>
      </c>
      <c r="F5" s="23" t="n">
        <v>1.582</v>
      </c>
      <c r="G5" s="23" t="n">
        <v>1.066</v>
      </c>
      <c r="H5" s="23" t="n">
        <v>0.948</v>
      </c>
      <c r="I5" s="23" t="n">
        <v>1.3</v>
      </c>
      <c r="J5" s="1" t="n"/>
      <c r="K5" s="1" t="n"/>
    </row>
    <row r="6">
      <c r="A6" s="19" t="inlineStr">
        <is>
          <t>SG&amp;A &amp; Other</t>
        </is>
      </c>
      <c r="B6" s="23" t="n">
        <v>0.163</v>
      </c>
      <c r="C6" s="23" t="n">
        <v>0.426</v>
      </c>
      <c r="D6" s="23" t="n">
        <v>0.9429999999999999</v>
      </c>
      <c r="E6" s="23" t="n">
        <v>5.106</v>
      </c>
      <c r="F6" s="23" t="n">
        <v>4.692</v>
      </c>
      <c r="G6" s="23" t="n">
        <v>3.67</v>
      </c>
      <c r="H6" s="23" t="n">
        <v>2.822</v>
      </c>
      <c r="I6" s="23" t="n">
        <v>10.425</v>
      </c>
      <c r="J6" s="1" t="n"/>
      <c r="K6" s="1" t="n"/>
    </row>
    <row r="7">
      <c r="A7" s="2" t="inlineStr">
        <is>
          <t>Operating Expense</t>
        </is>
      </c>
      <c r="B7" s="23">
        <f>SUM(B5:B6)</f>
        <v>0.391</v>
      </c>
      <c r="C7" s="23">
        <f>SUM(C5:C6)</f>
        <v>0.812</v>
      </c>
      <c r="D7" s="23">
        <f>SUM(D5:D6)</f>
        <v>1.381</v>
      </c>
      <c r="E7" s="23">
        <f>SUM(E5:E6)</f>
        <v>7.618</v>
      </c>
      <c r="F7" s="23">
        <f>SUM(F5:F6)</f>
        <v>6.274</v>
      </c>
      <c r="G7" s="23">
        <f>SUM(G5:G6)</f>
        <v>4.736</v>
      </c>
      <c r="H7" s="23">
        <f>SUM(H5:H6)</f>
        <v>3.77</v>
      </c>
      <c r="I7" s="23">
        <f>SUM(I5:I6)</f>
        <v>11.725000000000001</v>
      </c>
      <c r="J7" s="1" t="n"/>
      <c r="K7" s="1" t="n"/>
    </row>
    <row r="8">
      <c r="A8" s="2" t="inlineStr">
        <is>
          <t>Operating Income</t>
        </is>
      </c>
      <c r="B8" s="23">
        <f>B4-B7</f>
        <v>-0.391</v>
      </c>
      <c r="C8" s="23">
        <f>C4-C7</f>
        <v>-0.812</v>
      </c>
      <c r="D8" s="23">
        <f>D4-D7</f>
        <v>-1.381</v>
      </c>
      <c r="E8" s="23">
        <f>E4-E7</f>
        <v>-7.618</v>
      </c>
      <c r="F8" s="23">
        <f>F4-F7</f>
        <v>-6.274</v>
      </c>
      <c r="G8" s="23">
        <f>G4-G7</f>
        <v>-4.736</v>
      </c>
      <c r="H8" s="23">
        <f>H4-H7</f>
        <v>-3.77</v>
      </c>
      <c r="I8" s="23">
        <f>I4-I7</f>
        <v>-11.725000000000001</v>
      </c>
      <c r="J8" s="1" t="n"/>
      <c r="K8" s="1" t="n"/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0.035</v>
      </c>
      <c r="E9" s="23" t="n">
        <v>0.172</v>
      </c>
      <c r="F9" s="23" t="n">
        <v>0.403</v>
      </c>
      <c r="G9" s="23" t="n">
        <v>0.435</v>
      </c>
      <c r="H9" s="23" t="n">
        <v>0.186</v>
      </c>
      <c r="I9" s="23" t="n">
        <v>0.023</v>
      </c>
    </row>
    <row r="10">
      <c r="A10" s="2" t="inlineStr">
        <is>
          <t>Pretax</t>
        </is>
      </c>
      <c r="B10" s="23">
        <f>B8+B9</f>
        <v>-0.391</v>
      </c>
      <c r="C10" s="23">
        <f>C8+C9</f>
        <v>-0.812</v>
      </c>
      <c r="D10" s="23">
        <f>D8+D9</f>
        <v>-1.346</v>
      </c>
      <c r="E10" s="23">
        <f>E8+E9</f>
        <v>-7.446000000000001</v>
      </c>
      <c r="F10" s="23">
        <f>F8+F9</f>
        <v>-5.871</v>
      </c>
      <c r="G10" s="23">
        <f>G8+G9</f>
        <v>-4.301</v>
      </c>
      <c r="H10" s="23">
        <f>H8+H9</f>
        <v>-3.584</v>
      </c>
      <c r="I10" s="23">
        <f>I8+I9</f>
        <v>-11.702000000000002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</row>
    <row r="12">
      <c r="A12" s="2" t="inlineStr">
        <is>
          <t>Net Income</t>
        </is>
      </c>
      <c r="B12" s="23" t="n">
        <v>-0.391</v>
      </c>
      <c r="C12" s="23" t="n">
        <v>-0.8120000000000001</v>
      </c>
      <c r="D12" s="23" t="n">
        <v>-1.347</v>
      </c>
      <c r="E12" s="23" t="n">
        <v>-7.446</v>
      </c>
      <c r="F12" s="23" t="n">
        <v>-5.871</v>
      </c>
      <c r="G12" s="23" t="n">
        <v>-4.302</v>
      </c>
      <c r="H12" s="23" t="n">
        <v>-3.584</v>
      </c>
      <c r="I12" s="23" t="n">
        <v>-11.702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-0.0010025641025641027</v>
      </c>
      <c r="C13" s="11">
        <f>IFERROR(C12/C14,0)</f>
        <v>-0.002082051282051282</v>
      </c>
      <c r="D13" s="11">
        <f>IFERROR(D12/D14,0)</f>
        <v>-0.0034538461538461537</v>
      </c>
      <c r="E13" s="11">
        <f>IFERROR(E12/E14,0)</f>
        <v>-0.014909205222827142</v>
      </c>
      <c r="F13" s="11">
        <f>IFERROR(F12/F14,0)</f>
        <v>-0.011872862692597814</v>
      </c>
      <c r="G13" s="11">
        <f>IFERROR(G12/G14,0)</f>
        <v>-0.008699890189670548</v>
      </c>
      <c r="H13" s="11">
        <f>IFERROR(H12/H14,0)</f>
        <v>-0.007247886201715306</v>
      </c>
      <c r="I13" s="11">
        <f>IFERROR(I12/I14,0)</f>
        <v>-0.023659379340602464</v>
      </c>
    </row>
    <row r="14">
      <c r="A14" s="2" t="inlineStr">
        <is>
          <t>Shares</t>
        </is>
      </c>
      <c r="B14" s="23" t="n">
        <v>390</v>
      </c>
      <c r="C14" s="23" t="n">
        <v>390</v>
      </c>
      <c r="D14" s="23" t="n">
        <v>390</v>
      </c>
      <c r="E14" s="23" t="n">
        <v>499.423</v>
      </c>
      <c r="F14" s="23" t="n">
        <v>494.489</v>
      </c>
      <c r="G14" s="23" t="n">
        <v>494.489</v>
      </c>
      <c r="H14" s="23" t="n">
        <v>494.489</v>
      </c>
      <c r="I14" s="23" t="n">
        <v>494.603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2026-10-21T06:21:46Z</dcterms:modified>
  <cp:lastModifiedBy>Wang, Eric</cp:lastModifiedBy>
</cp:coreProperties>
</file>