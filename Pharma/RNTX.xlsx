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Rein Therapeutics Inc</t>
        </is>
      </c>
      <c r="C2" s="10" t="n"/>
    </row>
    <row r="3">
      <c r="B3" t="inlineStr">
        <is>
          <t>Price</t>
        </is>
      </c>
      <c r="C3" s="11">
        <f>INDEX([1]Pharma!$F$1:$F$1000,MATCH("RNTX",[1]Pharma!$B$1:$B$1000,0))</f>
        <v>0.5951</v>
      </c>
      <c r="F3" s="1" t="n"/>
    </row>
    <row r="4">
      <c r="B4" t="inlineStr">
        <is>
          <t>Shares</t>
        </is>
      </c>
      <c r="C4" s="21" t="n">
        <v>86.267032</v>
      </c>
      <c r="F4" s="1" t="n"/>
    </row>
    <row r="5">
      <c r="B5" t="inlineStr">
        <is>
          <t>Market Cap.</t>
        </is>
      </c>
      <c r="C5" s="13">
        <f>C3*C4</f>
        <v>51.3375107432</v>
      </c>
      <c r="F5" s="1" t="n"/>
    </row>
    <row r="6"/>
    <row r="7">
      <c r="B7" t="inlineStr">
        <is>
          <t>Cash</t>
        </is>
      </c>
      <c r="C7" s="21" t="n">
        <v>43.627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7.710510743199997</v>
      </c>
    </row>
    <row r="10"/>
    <row r="11">
      <c r="B11" s="14" t="inlineStr">
        <is>
          <t>Net Cash / Share</t>
        </is>
      </c>
      <c r="C11" s="11">
        <f>(C7-C8)/C4</f>
        <v>0.5057204239969679</v>
      </c>
    </row>
    <row r="12">
      <c r="B12" s="14" t="inlineStr">
        <is>
          <t>Upside</t>
        </is>
      </c>
      <c r="C12" s="15">
        <f>IFERROR(C11/C3-1,"")</f>
        <v>-0.15019253235259966</v>
      </c>
    </row>
    <row r="13">
      <c r="B13" s="14" t="inlineStr">
        <is>
          <t>Cash / Share</t>
        </is>
      </c>
      <c r="C13" s="11">
        <f>IFERROR((C7-C8)/C4,"")</f>
        <v>0.5057204239969679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-18.832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2.316641886151232</v>
      </c>
    </row>
    <row r="19">
      <c r="B19" s="14" t="inlineStr">
        <is>
          <t>Implied Pipeline Value</t>
        </is>
      </c>
      <c r="C19" s="13">
        <f>C9</f>
        <v>7.710510743199997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7.832</v>
      </c>
      <c r="C5" s="23" t="n">
        <v>10.276</v>
      </c>
      <c r="D5" s="23" t="n">
        <v>14.239</v>
      </c>
      <c r="E5" s="23" t="n">
        <v>18.448</v>
      </c>
      <c r="F5" s="23" t="n">
        <v>17.663</v>
      </c>
      <c r="G5" s="23" t="n">
        <v>11.166</v>
      </c>
      <c r="H5" s="23" t="n">
        <v>17.008</v>
      </c>
      <c r="I5" s="23" t="n">
        <v>17.967</v>
      </c>
      <c r="J5" s="23" t="n">
        <v>3.991</v>
      </c>
      <c r="K5" s="23" t="n">
        <v>14.248</v>
      </c>
      <c r="L5" s="23" t="n">
        <v>11.029</v>
      </c>
    </row>
    <row r="6">
      <c r="A6" s="19" t="inlineStr">
        <is>
          <t>SG&amp;A &amp; Other</t>
        </is>
      </c>
      <c r="B6" s="23" t="n">
        <v>5.059</v>
      </c>
      <c r="C6" s="23" t="n">
        <v>7.893</v>
      </c>
      <c r="D6" s="23" t="n">
        <v>8.769</v>
      </c>
      <c r="E6" s="23" t="n">
        <v>13.454</v>
      </c>
      <c r="F6" s="23" t="n">
        <v>12.293</v>
      </c>
      <c r="G6" s="23" t="n">
        <v>9.33</v>
      </c>
      <c r="H6" s="23" t="n">
        <v>9.597</v>
      </c>
      <c r="I6" s="23" t="n">
        <v>9.68</v>
      </c>
      <c r="J6" s="23" t="n">
        <v>12.285</v>
      </c>
      <c r="K6" s="23" t="n">
        <v>50.864</v>
      </c>
      <c r="L6" s="23" t="n">
        <v>39.602</v>
      </c>
    </row>
    <row r="7">
      <c r="A7" s="2" t="inlineStr">
        <is>
          <t>Operating Expense</t>
        </is>
      </c>
      <c r="B7" s="23">
        <f>SUM(B5:B6)</f>
        <v>12.891</v>
      </c>
      <c r="C7" s="23">
        <f>SUM(C5:C6)</f>
        <v>18.169</v>
      </c>
      <c r="D7" s="23">
        <f>SUM(D5:D6)</f>
        <v>23.008000000000003</v>
      </c>
      <c r="E7" s="23">
        <f>SUM(E5:E6)</f>
        <v>31.902</v>
      </c>
      <c r="F7" s="23">
        <f>SUM(F5:F6)</f>
        <v>29.956</v>
      </c>
      <c r="G7" s="23">
        <f>SUM(G5:G6)</f>
        <v>20.496000000000002</v>
      </c>
      <c r="H7" s="23">
        <f>SUM(H5:H6)</f>
        <v>26.604999999999997</v>
      </c>
      <c r="I7" s="23">
        <f>SUM(I5:I6)</f>
        <v>27.647</v>
      </c>
      <c r="J7" s="23">
        <f>SUM(J5:J6)</f>
        <v>16.276</v>
      </c>
      <c r="K7" s="23">
        <f>SUM(K5:K6)</f>
        <v>65.112</v>
      </c>
      <c r="L7" s="23">
        <f>SUM(L5:L6)</f>
        <v>50.631</v>
      </c>
    </row>
    <row r="8">
      <c r="A8" s="2" t="inlineStr">
        <is>
          <t>Operating Income</t>
        </is>
      </c>
      <c r="B8" s="23">
        <f>B4-B7</f>
        <v>-12.891</v>
      </c>
      <c r="C8" s="23">
        <f>C4-C7</f>
        <v>-18.169</v>
      </c>
      <c r="D8" s="23">
        <f>D4-D7</f>
        <v>-23.008000000000003</v>
      </c>
      <c r="E8" s="23">
        <f>E4-E7</f>
        <v>-31.902</v>
      </c>
      <c r="F8" s="23">
        <f>F4-F7</f>
        <v>-29.956</v>
      </c>
      <c r="G8" s="23">
        <f>G4-G7</f>
        <v>-20.496000000000002</v>
      </c>
      <c r="H8" s="23">
        <f>H4-H7</f>
        <v>-26.604999999999997</v>
      </c>
      <c r="I8" s="23">
        <f>I4-I7</f>
        <v>-27.647</v>
      </c>
      <c r="J8" s="23">
        <f>J4-J7</f>
        <v>-16.276</v>
      </c>
      <c r="K8" s="23">
        <f>K4-K7</f>
        <v>-65.112</v>
      </c>
      <c r="L8" s="23">
        <f>L4-L7</f>
        <v>-50.631</v>
      </c>
    </row>
    <row r="9">
      <c r="A9" s="19" t="inlineStr">
        <is>
          <t>Interest &amp; Other</t>
        </is>
      </c>
      <c r="B9" s="23" t="n">
        <v>0.013</v>
      </c>
      <c r="C9" s="23" t="n">
        <v>0.046</v>
      </c>
      <c r="D9" s="23" t="n">
        <v>0.404</v>
      </c>
      <c r="E9" s="23" t="n">
        <v>0.355</v>
      </c>
      <c r="F9" s="23" t="n">
        <v>0.587</v>
      </c>
      <c r="G9" s="23" t="n">
        <v>-6.833</v>
      </c>
      <c r="H9" s="23" t="n">
        <v>0.441</v>
      </c>
      <c r="I9" s="23" t="n">
        <v>0.318</v>
      </c>
      <c r="J9" s="23" t="n">
        <v>0.576</v>
      </c>
      <c r="K9" s="23" t="n">
        <v>0.668</v>
      </c>
      <c r="L9" s="23" t="n">
        <v>0.019</v>
      </c>
    </row>
    <row r="10">
      <c r="A10" s="2" t="inlineStr">
        <is>
          <t>Pretax</t>
        </is>
      </c>
      <c r="B10" s="23">
        <f>B8+B9</f>
        <v>-12.878</v>
      </c>
      <c r="C10" s="23">
        <f>C8+C9</f>
        <v>-18.123</v>
      </c>
      <c r="D10" s="23">
        <f>D8+D9</f>
        <v>-22.604000000000003</v>
      </c>
      <c r="E10" s="23">
        <f>E8+E9</f>
        <v>-31.547</v>
      </c>
      <c r="F10" s="23">
        <f>F8+F9</f>
        <v>-29.369</v>
      </c>
      <c r="G10" s="23">
        <f>G8+G9</f>
        <v>-27.329</v>
      </c>
      <c r="H10" s="23">
        <f>H8+H9</f>
        <v>-26.163999999999998</v>
      </c>
      <c r="I10" s="23">
        <f>I8+I9</f>
        <v>-27.328999999999997</v>
      </c>
      <c r="J10" s="23">
        <f>J8+J9</f>
        <v>-15.7</v>
      </c>
      <c r="K10" s="23">
        <f>K8+K9</f>
        <v>-64.44399999999999</v>
      </c>
      <c r="L10" s="23">
        <f>L8+L9</f>
        <v>-50.612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-1.544</v>
      </c>
      <c r="L11" s="23" t="n">
        <v>-0.712</v>
      </c>
    </row>
    <row r="12">
      <c r="A12" s="2" t="inlineStr">
        <is>
          <t>Net Income</t>
        </is>
      </c>
      <c r="B12" s="23" t="n">
        <v>-12.878</v>
      </c>
      <c r="C12" s="23" t="n">
        <v>-18.123</v>
      </c>
      <c r="D12" s="23" t="n">
        <v>-22.604</v>
      </c>
      <c r="E12" s="23" t="n">
        <v>-31.547</v>
      </c>
      <c r="F12" s="23" t="n">
        <v>-29.369</v>
      </c>
      <c r="G12" s="23" t="n">
        <v>-27.329</v>
      </c>
      <c r="H12" s="23" t="n">
        <v>-26.164</v>
      </c>
      <c r="I12" s="23" t="n">
        <v>-27.329</v>
      </c>
      <c r="J12" s="23" t="n">
        <v>-15.7</v>
      </c>
      <c r="K12" s="23" t="n">
        <v>-62.9</v>
      </c>
      <c r="L12" s="23" t="n">
        <v>-49.9</v>
      </c>
    </row>
    <row r="13">
      <c r="A13" s="2" t="inlineStr">
        <is>
          <t>Earnings per Share</t>
        </is>
      </c>
      <c r="B13" s="11">
        <f>IFERROR(B12/B14,0)</f>
        <v>-7.561949500880798</v>
      </c>
      <c r="C13" s="11">
        <f>IFERROR(C12/C14,0)</f>
        <v>-9.924972617743702</v>
      </c>
      <c r="D13" s="11">
        <f>IFERROR(D12/D14,0)</f>
        <v>-12.14615797958087</v>
      </c>
      <c r="E13" s="11">
        <f>IFERROR(E12/E14,0)</f>
        <v>-17.126492942453854</v>
      </c>
      <c r="F13" s="11">
        <f>IFERROR(F12/F14,0)</f>
        <v>-9.575806977502445</v>
      </c>
      <c r="G13" s="11">
        <f>IFERROR(G12/G14,0)</f>
        <v>-6.270995869664985</v>
      </c>
      <c r="H13" s="11">
        <f>IFERROR(H12/H14,0)</f>
        <v>-5.892792792792792</v>
      </c>
      <c r="I13" s="11">
        <f>IFERROR(I12/I14,0)</f>
        <v>-6.020929720202688</v>
      </c>
      <c r="J13" s="11">
        <f>IFERROR(J12/J14,0)</f>
        <v>-3.413785605566427</v>
      </c>
      <c r="K13" s="11">
        <f>IFERROR(K12/K14,0)</f>
        <v>-3.506326997045543</v>
      </c>
      <c r="L13" s="11">
        <f>IFERROR(L12/L14,0)</f>
        <v>-1.9610925525643543</v>
      </c>
    </row>
    <row r="14">
      <c r="A14" s="2" t="inlineStr">
        <is>
          <t>Shares</t>
        </is>
      </c>
      <c r="B14" s="23" t="n">
        <v>1.703</v>
      </c>
      <c r="C14" s="23" t="n">
        <v>1.826</v>
      </c>
      <c r="D14" s="23" t="n">
        <v>1.861</v>
      </c>
      <c r="E14" s="23" t="n">
        <v>1.842</v>
      </c>
      <c r="F14" s="23" t="n">
        <v>3.067</v>
      </c>
      <c r="G14" s="23" t="n">
        <v>4.358</v>
      </c>
      <c r="H14" s="23" t="n">
        <v>4.44</v>
      </c>
      <c r="I14" s="23" t="n">
        <v>4.539</v>
      </c>
      <c r="J14" s="23" t="n">
        <v>4.599</v>
      </c>
      <c r="K14" s="23" t="n">
        <v>17.939</v>
      </c>
      <c r="L14" s="23" t="n">
        <v>25.445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2026-10-21T01:06:10Z</dcterms:modified>
  <cp:lastModifiedBy>Wang, Eric</cp:lastModifiedBy>
</cp:coreProperties>
</file>