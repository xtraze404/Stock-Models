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Biontech SE</t>
        </is>
      </c>
      <c r="C2" s="10" t="n"/>
    </row>
    <row r="3">
      <c r="B3" t="inlineStr">
        <is>
          <t>Price</t>
        </is>
      </c>
      <c r="C3" s="11">
        <f>INDEX([1]Pharma!$F$1:$F$1000,MATCH("BNTX",[1]Pharma!$B$1:$B$1000,0))</f>
        <v>91.17</v>
      </c>
      <c r="F3" s="1" t="n"/>
    </row>
    <row r="4">
      <c r="B4" t="inlineStr">
        <is>
          <t>Shares</t>
        </is>
      </c>
      <c r="C4" s="51" t="n">
        <v>251.204366</v>
      </c>
      <c r="F4" s="1" t="n"/>
    </row>
    <row r="5">
      <c r="B5" t="inlineStr">
        <is>
          <t>Market Cap.</t>
        </is>
      </c>
      <c r="C5" s="13">
        <f>C3*C4</f>
        <v>22902.30204822</v>
      </c>
      <c r="F5" s="1" t="n"/>
    </row>
    <row r="6"/>
    <row r="7">
      <c r="B7" t="inlineStr">
        <is>
          <t>Cash</t>
        </is>
      </c>
      <c r="C7" s="51">
        <f>(7675.4+7201.8)/0.88865</f>
        <v>16741.349237607606</v>
      </c>
    </row>
    <row r="8">
      <c r="B8" t="inlineStr">
        <is>
          <t>Debt</t>
        </is>
      </c>
      <c r="C8" s="51" t="n"/>
    </row>
    <row r="9">
      <c r="B9" t="inlineStr">
        <is>
          <t>Enterprise V.</t>
        </is>
      </c>
      <c r="C9" s="13">
        <f>C5-C7+C8</f>
        <v>6160.952810612394</v>
      </c>
    </row>
    <row r="10"/>
    <row r="11">
      <c r="B11" s="14" t="inlineStr">
        <is>
          <t>NPV / Share</t>
        </is>
      </c>
      <c r="C11" s="11">
        <f>NPV!B28</f>
        <v>66.36803771565039</v>
      </c>
    </row>
    <row r="12">
      <c r="B12" s="14" t="inlineStr">
        <is>
          <t>Upside</t>
        </is>
      </c>
      <c r="C12" s="15">
        <f>IFERROR(C11/C3-1,"")</f>
        <v>-0.27204082795162454</v>
      </c>
    </row>
    <row r="13">
      <c r="B13" s="14" t="inlineStr">
        <is>
          <t>Cash / Share</t>
        </is>
      </c>
      <c r="C13" s="11">
        <f>IFERROR((C7-C8)/C4,"")</f>
        <v>66.64434024051798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69.316</v>
      </c>
      <c r="C2" s="52" t="n">
        <v>143.56</v>
      </c>
      <c r="D2" s="52" t="n">
        <v>122.208</v>
      </c>
      <c r="E2" s="52" t="n">
        <v>542.7329999999999</v>
      </c>
      <c r="F2" s="52" t="n">
        <v>21354.527</v>
      </c>
      <c r="G2" s="52" t="n">
        <v>19479.66</v>
      </c>
      <c r="H2" s="52" t="n">
        <v>4297.53</v>
      </c>
      <c r="I2" s="52" t="n">
        <v>3095.82</v>
      </c>
      <c r="J2" s="52" t="n">
        <v>3229.505</v>
      </c>
      <c r="K2" s="52">
        <f>J2*(1+NPV!C5)</f>
        <v>2906.5545</v>
      </c>
      <c r="L2" s="52">
        <f>K2*(1+NPV!D5)</f>
        <v>2656.2678625000003</v>
      </c>
      <c r="M2" s="52">
        <f>L2*(1+NPV!E5)</f>
        <v>2464.4262946527783</v>
      </c>
      <c r="N2" s="52">
        <f>M2*(1+NPV!F5)</f>
        <v>2320.668094131366</v>
      </c>
      <c r="O2" s="52">
        <f>N2*(1+NPV!G5)</f>
        <v>2217.5272899477495</v>
      </c>
      <c r="P2" s="52">
        <f>O2*(1+NPV!H5)</f>
        <v>2149.7695116437903</v>
      </c>
      <c r="Q2" s="52">
        <f>P2*(1+NPV!I5)</f>
        <v>2113.9400197830605</v>
      </c>
      <c r="R2" s="52">
        <f>Q2*(1+NPV!J5)</f>
        <v>2108.067964172552</v>
      </c>
      <c r="S2" s="52">
        <f>R2*(1+NPV!K5)</f>
        <v>2131.490941552247</v>
      </c>
      <c r="T2" s="52">
        <f>S2*(1+NPV!L5)</f>
        <v>2184.778215091053</v>
      </c>
    </row>
    <row r="3" customFormat="1" s="1">
      <c r="A3" s="5" t="inlineStr">
        <is>
          <t>Cost of Sales</t>
        </is>
      </c>
      <c r="B3" s="52" t="n">
        <v>10.486</v>
      </c>
      <c r="C3" s="52" t="n">
        <v>15.405</v>
      </c>
      <c r="D3" s="52" t="n">
        <v>19.58</v>
      </c>
      <c r="E3" s="52" t="n">
        <v>66.73</v>
      </c>
      <c r="F3" s="52" t="n">
        <v>3276.318</v>
      </c>
      <c r="G3" s="52" t="n">
        <v>3370.281</v>
      </c>
      <c r="H3" s="52" t="n">
        <v>674.956</v>
      </c>
      <c r="I3" s="52" t="n">
        <v>609.126</v>
      </c>
      <c r="J3" s="52" t="n">
        <v>722.2190000000001</v>
      </c>
      <c r="K3" s="52">
        <f>K2*(1-Assumptions!$B$19)</f>
        <v>649.9055862000001</v>
      </c>
      <c r="L3" s="52">
        <f>L2*(1-Assumptions!$B$19)</f>
        <v>593.9414940550001</v>
      </c>
      <c r="M3" s="52">
        <f>M2*(1-Assumptions!$B$19)</f>
        <v>551.0457194843613</v>
      </c>
      <c r="N3" s="52">
        <f>N2*(1-Assumptions!$B$19)</f>
        <v>518.9013858477736</v>
      </c>
      <c r="O3" s="52">
        <f>O2*(1-Assumptions!$B$19)</f>
        <v>495.8391020323168</v>
      </c>
      <c r="P3" s="52">
        <f>P2*(1-Assumptions!$B$19)</f>
        <v>480.68846280355154</v>
      </c>
      <c r="Q3" s="52">
        <f>Q2*(1-Assumptions!$B$19)</f>
        <v>472.6769884234924</v>
      </c>
      <c r="R3" s="52">
        <f>R2*(1-Assumptions!$B$19)</f>
        <v>471.36399678898266</v>
      </c>
      <c r="S3" s="52">
        <f>S2*(1-Assumptions!$B$19)</f>
        <v>476.60137453108246</v>
      </c>
      <c r="T3" s="52">
        <f>T2*(1-Assumptions!$B$19)</f>
        <v>488.5164088943595</v>
      </c>
    </row>
    <row r="4" customFormat="1" s="1">
      <c r="A4" s="5" t="inlineStr">
        <is>
          <t>Gross Margin</t>
        </is>
      </c>
      <c r="B4" s="52">
        <f>B2-B3</f>
        <v>58.83</v>
      </c>
      <c r="C4" s="52">
        <f>C2-C3</f>
        <v>128.155</v>
      </c>
      <c r="D4" s="52">
        <f>D2-D3</f>
        <v>102.628</v>
      </c>
      <c r="E4" s="52">
        <f>E2-E3</f>
        <v>476.00299999999993</v>
      </c>
      <c r="F4" s="52">
        <f>F2-F3</f>
        <v>18078.209</v>
      </c>
      <c r="G4" s="52">
        <f>G2-G3</f>
        <v>16109.379</v>
      </c>
      <c r="H4" s="52">
        <f>H2-H3</f>
        <v>3622.5739999999996</v>
      </c>
      <c r="I4" s="52">
        <f>I2-I3</f>
        <v>2486.6940000000004</v>
      </c>
      <c r="J4" s="52">
        <f>J2-J3</f>
        <v>2507.286</v>
      </c>
      <c r="K4" s="52">
        <f>K2-K3</f>
        <v>2256.6489138</v>
      </c>
      <c r="L4" s="52">
        <f>L2-L3</f>
        <v>2062.3263684450003</v>
      </c>
      <c r="M4" s="52">
        <f>M2-M3</f>
        <v>1913.3805751684172</v>
      </c>
      <c r="N4" s="52">
        <f>N2-N3</f>
        <v>1801.7667082835926</v>
      </c>
      <c r="O4" s="52">
        <f>O2-O3</f>
        <v>1721.6881879154328</v>
      </c>
      <c r="P4" s="52">
        <f>P2-P3</f>
        <v>1669.0810488402387</v>
      </c>
      <c r="Q4" s="52">
        <f>Q2-Q3</f>
        <v>1641.2630313595682</v>
      </c>
      <c r="R4" s="52">
        <f>R2-R3</f>
        <v>1636.7039673835693</v>
      </c>
      <c r="S4" s="52">
        <f>S2-S3</f>
        <v>1654.8895670211646</v>
      </c>
      <c r="T4" s="52">
        <f>T2-T3</f>
        <v>1696.2618061966934</v>
      </c>
    </row>
    <row r="5">
      <c r="A5" s="2" t="inlineStr">
        <is>
          <t>Research &amp; Dev.</t>
        </is>
      </c>
      <c r="B5" s="52" t="n">
        <v>96.209</v>
      </c>
      <c r="C5" s="52" t="n">
        <v>160.963</v>
      </c>
      <c r="D5" s="52" t="n">
        <v>254.881</v>
      </c>
      <c r="E5" s="52" t="n">
        <v>725.8200000000001</v>
      </c>
      <c r="F5" s="52" t="n">
        <v>1068.137</v>
      </c>
      <c r="G5" s="52" t="n">
        <v>1729.59</v>
      </c>
      <c r="H5" s="52" t="n">
        <v>2006.527</v>
      </c>
      <c r="I5" s="52" t="n">
        <v>2536.657</v>
      </c>
      <c r="J5" s="52" t="n">
        <v>2368.649</v>
      </c>
      <c r="K5" s="52">
        <f>K7*Assumptions!$B$20</f>
        <v>2015.7328368442352</v>
      </c>
      <c r="L5" s="52">
        <f>L7*Assumptions!$B$20</f>
        <v>1736.0389242726603</v>
      </c>
      <c r="M5" s="52">
        <f>M7*Assumptions!$B$20</f>
        <v>1512.2054166637633</v>
      </c>
      <c r="N5" s="52">
        <f>N7*Assumptions!$B$20</f>
        <v>1331.2836023116904</v>
      </c>
      <c r="O5" s="52">
        <f>O7*Assumptions!$B$20</f>
        <v>1183.5260474606332</v>
      </c>
      <c r="P5" s="52">
        <f>P7*Assumptions!$B$20</f>
        <v>1061.4802549905523</v>
      </c>
      <c r="Q5" s="52">
        <f>Q7*Assumptions!$B$20</f>
        <v>959.3377957748506</v>
      </c>
      <c r="R5" s="52">
        <f>R7*Assumptions!$B$20</f>
        <v>872.4564333808182</v>
      </c>
      <c r="S5" s="52">
        <f>S7*Assumptions!$B$20</f>
        <v>796.9981192883523</v>
      </c>
      <c r="T5" s="52">
        <f>T7*Assumptions!$B$20</f>
        <v>729.641990945613</v>
      </c>
    </row>
    <row r="6">
      <c r="A6" s="18" t="inlineStr">
        <is>
          <t>SG&amp;A &amp; Other</t>
        </is>
      </c>
      <c r="B6" s="52" t="n">
        <v>31.577</v>
      </c>
      <c r="C6" s="52" t="n">
        <v>27.794</v>
      </c>
      <c r="D6" s="52" t="n">
        <v>51.989</v>
      </c>
      <c r="E6" s="52" t="n">
        <v>-157.092</v>
      </c>
      <c r="F6" s="52" t="n">
        <v>-188.826</v>
      </c>
      <c r="G6" s="52" t="n">
        <v>152.929</v>
      </c>
      <c r="H6" s="52" t="n">
        <v>839.138</v>
      </c>
      <c r="I6" s="52" t="n">
        <v>1429.022</v>
      </c>
      <c r="J6" s="52" t="n">
        <v>1719.575</v>
      </c>
      <c r="K6" s="52">
        <f>K7-K5</f>
        <v>1463.2675719307651</v>
      </c>
      <c r="L6" s="52">
        <f>L7-L5</f>
        <v>1260.2312246273402</v>
      </c>
      <c r="M6" s="52">
        <f>M7-M5</f>
        <v>1097.7452506882616</v>
      </c>
      <c r="N6" s="52">
        <f>N7-N5</f>
        <v>966.4098776877752</v>
      </c>
      <c r="O6" s="52">
        <f>O7-O5</f>
        <v>859.1492156747363</v>
      </c>
      <c r="P6" s="52">
        <f>P7-P5</f>
        <v>770.5533228322856</v>
      </c>
      <c r="Q6" s="52">
        <f>Q7-Q5</f>
        <v>696.4057247202314</v>
      </c>
      <c r="R6" s="52">
        <f>R7-R5</f>
        <v>633.3365134276357</v>
      </c>
      <c r="S6" s="52">
        <f>S7-S5</f>
        <v>578.5595598423903</v>
      </c>
      <c r="T6" s="52">
        <f>T7-T5</f>
        <v>529.6641722328699</v>
      </c>
    </row>
    <row r="7">
      <c r="A7" s="2" t="inlineStr">
        <is>
          <t>Operating Expense</t>
        </is>
      </c>
      <c r="B7" s="52">
        <f>SUM(B5:B6)</f>
        <v>127.786</v>
      </c>
      <c r="C7" s="52">
        <f>SUM(C5:C6)</f>
        <v>188.757</v>
      </c>
      <c r="D7" s="52">
        <f>SUM(D5:D6)</f>
        <v>306.87</v>
      </c>
      <c r="E7" s="52">
        <f>SUM(E5:E6)</f>
        <v>568.7280000000001</v>
      </c>
      <c r="F7" s="52">
        <f>SUM(F5:F6)</f>
        <v>879.3109999999999</v>
      </c>
      <c r="G7" s="52">
        <f>SUM(G5:G6)</f>
        <v>1882.519</v>
      </c>
      <c r="H7" s="52">
        <f>SUM(H5:H6)</f>
        <v>2845.665</v>
      </c>
      <c r="I7" s="52">
        <f>SUM(I5:I6)</f>
        <v>3965.679</v>
      </c>
      <c r="J7" s="52">
        <f>SUM(J5:J6)</f>
        <v>4088.224</v>
      </c>
      <c r="K7" s="52">
        <f>K4-K2*NPV!C6</f>
        <v>3479.0004087750003</v>
      </c>
      <c r="L7" s="52">
        <f>L4-L2*NPV!D6</f>
        <v>2996.2701489000005</v>
      </c>
      <c r="M7" s="52">
        <f>M4-M2*NPV!E6</f>
        <v>2609.950667352025</v>
      </c>
      <c r="N7" s="52">
        <f>N4-N2*NPV!F6</f>
        <v>2297.6934799994656</v>
      </c>
      <c r="O7" s="52">
        <f>O4-O2*NPV!G6</f>
        <v>2042.6752631353695</v>
      </c>
      <c r="P7" s="52">
        <f>P4-P2*NPV!H6</f>
        <v>1832.033577822838</v>
      </c>
      <c r="Q7" s="52">
        <f>Q4-Q2*NPV!I6</f>
        <v>1655.743520495082</v>
      </c>
      <c r="R7" s="52">
        <f>R4-R2*NPV!J6</f>
        <v>1505.792946808454</v>
      </c>
      <c r="S7" s="52">
        <f>S4-S2*NPV!K6</f>
        <v>1375.5576791307426</v>
      </c>
      <c r="T7" s="52">
        <f>T4-T2*NPV!L6</f>
        <v>1259.3061631784828</v>
      </c>
    </row>
    <row r="8">
      <c r="A8" s="2" t="inlineStr">
        <is>
          <t>Operating Income</t>
        </is>
      </c>
      <c r="B8" s="52">
        <f>B4-B7</f>
        <v>-68.956</v>
      </c>
      <c r="C8" s="52">
        <f>C4-C7</f>
        <v>-60.602000000000004</v>
      </c>
      <c r="D8" s="52">
        <f>D4-D7</f>
        <v>-204.24200000000002</v>
      </c>
      <c r="E8" s="52">
        <f>E4-E7</f>
        <v>-92.72500000000014</v>
      </c>
      <c r="F8" s="52">
        <f>F4-F7</f>
        <v>17198.897999999997</v>
      </c>
      <c r="G8" s="52">
        <f>G4-G7</f>
        <v>14226.86</v>
      </c>
      <c r="H8" s="52">
        <f>H4-H7</f>
        <v>776.9089999999997</v>
      </c>
      <c r="I8" s="52">
        <f>I4-I7</f>
        <v>-1478.9849999999997</v>
      </c>
      <c r="J8" s="52">
        <f>J4-J7</f>
        <v>-1580.938</v>
      </c>
      <c r="K8" s="52">
        <f>K4-K7</f>
        <v>-1222.3514949750002</v>
      </c>
      <c r="L8" s="52">
        <f>L4-L7</f>
        <v>-933.9437804550003</v>
      </c>
      <c r="M8" s="52">
        <f>M4-M7</f>
        <v>-696.5700921836078</v>
      </c>
      <c r="N8" s="52">
        <f>N4-N7</f>
        <v>-495.926771715873</v>
      </c>
      <c r="O8" s="52">
        <f>O4-O7</f>
        <v>-320.98707521993674</v>
      </c>
      <c r="P8" s="52">
        <f>P4-P7</f>
        <v>-162.95252898259923</v>
      </c>
      <c r="Q8" s="52">
        <f>Q4-Q7</f>
        <v>-14.480489135513835</v>
      </c>
      <c r="R8" s="52">
        <f>R4-R7</f>
        <v>130.91102057511534</v>
      </c>
      <c r="S8" s="52">
        <f>S4-S7</f>
        <v>279.33188789042197</v>
      </c>
      <c r="T8" s="52">
        <f>T4-T7</f>
        <v>436.9556430182106</v>
      </c>
    </row>
    <row r="9">
      <c r="A9" s="18" t="inlineStr">
        <is>
          <t>Interest &amp; Other</t>
        </is>
      </c>
      <c r="B9" s="52" t="n">
        <v>-27.38</v>
      </c>
      <c r="C9" s="52" t="n">
        <v>7.241</v>
      </c>
      <c r="D9" s="52" t="n">
        <v>2.476</v>
      </c>
      <c r="E9" s="52" t="n">
        <v>-71.34399999999999</v>
      </c>
      <c r="F9" s="52" t="n">
        <v>-267.147</v>
      </c>
      <c r="G9" s="52" t="n">
        <v>350.419</v>
      </c>
      <c r="H9" s="52" t="n">
        <v>557.812</v>
      </c>
      <c r="I9" s="52" t="n">
        <v>716.3680000000001</v>
      </c>
      <c r="J9" s="52" t="n">
        <v>398.47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-96.336</v>
      </c>
      <c r="C10" s="52">
        <f>C8+C9</f>
        <v>-53.361000000000004</v>
      </c>
      <c r="D10" s="52">
        <f>D8+D9</f>
        <v>-201.76600000000002</v>
      </c>
      <c r="E10" s="52">
        <f>E8+E9</f>
        <v>-164.06900000000013</v>
      </c>
      <c r="F10" s="52">
        <f>F8+F9</f>
        <v>16931.750999999997</v>
      </c>
      <c r="G10" s="52">
        <f>G8+G9</f>
        <v>14577.279</v>
      </c>
      <c r="H10" s="52">
        <f>H8+H9</f>
        <v>1334.7209999999995</v>
      </c>
      <c r="I10" s="52">
        <f>I8+I9</f>
        <v>-762.6169999999996</v>
      </c>
      <c r="J10" s="52">
        <f>J8+J9</f>
        <v>-1182.468</v>
      </c>
      <c r="K10" s="52">
        <f>K8+K9</f>
        <v>-1222.3514949750002</v>
      </c>
      <c r="L10" s="52">
        <f>L8+L9</f>
        <v>-933.9437804550003</v>
      </c>
      <c r="M10" s="52">
        <f>M8+M9</f>
        <v>-696.5700921836078</v>
      </c>
      <c r="N10" s="52">
        <f>N8+N9</f>
        <v>-495.926771715873</v>
      </c>
      <c r="O10" s="52">
        <f>O8+O9</f>
        <v>-320.98707521993674</v>
      </c>
      <c r="P10" s="52">
        <f>P8+P9</f>
        <v>-162.95252898259923</v>
      </c>
      <c r="Q10" s="52">
        <f>Q8+Q9</f>
        <v>-14.480489135513835</v>
      </c>
      <c r="R10" s="52">
        <f>R8+R9</f>
        <v>130.91102057511534</v>
      </c>
      <c r="S10" s="52">
        <f>S8+S9</f>
        <v>279.33188789042197</v>
      </c>
      <c r="T10" s="52">
        <f>T8+T9</f>
        <v>436.9556430182106</v>
      </c>
    </row>
    <row r="11">
      <c r="A11" s="2" t="inlineStr">
        <is>
          <t>Taxes</t>
        </is>
      </c>
      <c r="B11" s="52" t="n">
        <v>0.051</v>
      </c>
      <c r="C11" s="52" t="n">
        <v>0.675</v>
      </c>
      <c r="D11" s="52" t="n">
        <v>-0.225</v>
      </c>
      <c r="E11" s="52" t="n">
        <v>-181.174</v>
      </c>
      <c r="F11" s="52" t="n">
        <v>5349.575</v>
      </c>
      <c r="G11" s="52" t="n">
        <v>3960.727</v>
      </c>
      <c r="H11" s="52" t="n">
        <v>287.852</v>
      </c>
      <c r="I11" s="52" t="n">
        <v>-13.954</v>
      </c>
      <c r="J11" s="52" t="n">
        <v>95.988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22.25487349776961</v>
      </c>
      <c r="S11" s="52">
        <f>MAX(0,S10)*Assumptions!$E$14</f>
        <v>47.48642094137174</v>
      </c>
      <c r="T11" s="52">
        <f>MAX(0,T10)*Assumptions!$E$14</f>
        <v>74.2824593130958</v>
      </c>
    </row>
    <row r="12">
      <c r="A12" s="2" t="inlineStr">
        <is>
          <t>Net Income</t>
        </is>
      </c>
      <c r="B12" s="52" t="n">
        <v>-96.386</v>
      </c>
      <c r="C12" s="52" t="n">
        <v>-54.036</v>
      </c>
      <c r="D12" s="52" t="n">
        <v>-201.542</v>
      </c>
      <c r="E12" s="52" t="n">
        <v>17.105</v>
      </c>
      <c r="F12" s="52" t="n">
        <v>11582.175</v>
      </c>
      <c r="G12" s="52" t="n">
        <v>10616.553</v>
      </c>
      <c r="H12" s="52" t="n">
        <v>1046.869</v>
      </c>
      <c r="I12" s="52" t="n">
        <v>-748.664</v>
      </c>
      <c r="J12" s="52" t="n">
        <v>-1278.456</v>
      </c>
      <c r="K12" s="52">
        <f>K10-K11</f>
        <v>-1222.3514949750002</v>
      </c>
      <c r="L12" s="52">
        <f>L10-L11</f>
        <v>-933.9437804550003</v>
      </c>
      <c r="M12" s="52">
        <f>M10-M11</f>
        <v>-696.5700921836078</v>
      </c>
      <c r="N12" s="52">
        <f>N10-N11</f>
        <v>-495.926771715873</v>
      </c>
      <c r="O12" s="52">
        <f>O10-O11</f>
        <v>-320.98707521993674</v>
      </c>
      <c r="P12" s="52">
        <f>P10-P11</f>
        <v>-162.95252898259923</v>
      </c>
      <c r="Q12" s="52">
        <f>Q10-Q11</f>
        <v>-14.480489135513835</v>
      </c>
      <c r="R12" s="52">
        <f>R10-R11</f>
        <v>108.65614707734574</v>
      </c>
      <c r="S12" s="52">
        <f>S10-S11</f>
        <v>231.84546694905023</v>
      </c>
      <c r="T12" s="52">
        <f>T10-T11</f>
        <v>362.6731837051148</v>
      </c>
    </row>
    <row r="13">
      <c r="A13" s="2" t="inlineStr">
        <is>
          <t>Earnings per Share</t>
        </is>
      </c>
      <c r="B13" s="11">
        <f>IFERROR(B12/B14,0)</f>
        <v>-0.5779784605790218</v>
      </c>
      <c r="C13" s="11">
        <f>IFERROR(C12/C14,0)</f>
        <v>-0.283341198678622</v>
      </c>
      <c r="D13" s="11">
        <f>IFERROR(D12/D14,0)</f>
        <v>-0.9529172576832151</v>
      </c>
      <c r="E13" s="11">
        <f>IFERROR(E12/E14,0)</f>
        <v>0.06883299798792757</v>
      </c>
      <c r="F13" s="11">
        <f>IFERROR(F12/F14,0)</f>
        <v>44.59828648440508</v>
      </c>
      <c r="G13" s="11">
        <f>IFERROR(G12/G14,0)</f>
        <v>42.50021216973579</v>
      </c>
      <c r="H13" s="11">
        <f>IFERROR(H12/H14,0)</f>
        <v>4.31342810053564</v>
      </c>
      <c r="I13" s="11">
        <f>IFERROR(I12/I14,0)</f>
        <v>-3.1142429284525788</v>
      </c>
      <c r="J13" s="11">
        <f>IFERROR(J12/J14,0)</f>
        <v>-5.28943318163012</v>
      </c>
      <c r="K13" s="11">
        <f>IFERROR(K12/K14,0)</f>
        <v>-4.865964371713986</v>
      </c>
      <c r="L13" s="11">
        <f>IFERROR(L12/L14,0)</f>
        <v>-3.7178644437055697</v>
      </c>
      <c r="M13" s="11">
        <f>IFERROR(M12/M14,0)</f>
        <v>-2.7729219172233965</v>
      </c>
      <c r="N13" s="11">
        <f>IFERROR(N12/N14,0)</f>
        <v>-1.974196466457406</v>
      </c>
      <c r="O13" s="11">
        <f>IFERROR(O12/O14,0)</f>
        <v>-1.277792581120731</v>
      </c>
      <c r="P13" s="11">
        <f>IFERROR(P12/P14,0)</f>
        <v>-0.6486850988194975</v>
      </c>
      <c r="Q13" s="11">
        <f>IFERROR(Q12/Q14,0)</f>
        <v>-0.057644257407189474</v>
      </c>
      <c r="R13" s="11">
        <f>IFERROR(R12/R14,0)</f>
        <v>0.43254083839190016</v>
      </c>
      <c r="S13" s="11">
        <f>IFERROR(S12/S14,0)</f>
        <v>0.922935658487123</v>
      </c>
      <c r="T13" s="11">
        <f>IFERROR(T12/T14,0)</f>
        <v>1.4437375809985518</v>
      </c>
    </row>
    <row r="14">
      <c r="A14" s="2" t="inlineStr">
        <is>
          <t>Shares</t>
        </is>
      </c>
      <c r="B14" s="52" t="n">
        <v>166.764</v>
      </c>
      <c r="C14" s="52" t="n">
        <v>190.71</v>
      </c>
      <c r="D14" s="52" t="n">
        <v>211.5</v>
      </c>
      <c r="E14" s="52" t="n">
        <v>248.5</v>
      </c>
      <c r="F14" s="52" t="n">
        <v>259.7</v>
      </c>
      <c r="G14" s="52" t="n">
        <v>249.8</v>
      </c>
      <c r="H14" s="52" t="n">
        <v>242.7</v>
      </c>
      <c r="I14" s="52" t="n">
        <v>240.4</v>
      </c>
      <c r="J14" s="52" t="n">
        <v>241.7</v>
      </c>
      <c r="K14" s="52">
        <f>Main!$C$4</f>
        <v>251.204366</v>
      </c>
      <c r="L14" s="52">
        <f>Main!$C$4</f>
        <v>251.204366</v>
      </c>
      <c r="M14" s="52">
        <f>Main!$C$4</f>
        <v>251.204366</v>
      </c>
      <c r="N14" s="52">
        <f>Main!$C$4</f>
        <v>251.204366</v>
      </c>
      <c r="O14" s="52">
        <f>Main!$C$4</f>
        <v>251.204366</v>
      </c>
      <c r="P14" s="52">
        <f>Main!$C$4</f>
        <v>251.204366</v>
      </c>
      <c r="Q14" s="52">
        <f>Main!$C$4</f>
        <v>251.204366</v>
      </c>
      <c r="R14" s="52">
        <f>Main!$C$4</f>
        <v>251.204366</v>
      </c>
      <c r="S14" s="52">
        <f>Main!$C$4</f>
        <v>251.204366</v>
      </c>
      <c r="T14" s="52">
        <f>Main!$C$4</f>
        <v>251.204366</v>
      </c>
    </row>
    <row r="15"/>
    <row r="16" customFormat="1" s="4">
      <c r="A16" s="3" t="inlineStr">
        <is>
          <t>Revenue Change</t>
        </is>
      </c>
      <c r="C16" s="15">
        <f>IFERROR(C2/B2-1,"")</f>
        <v>1.071094696751111</v>
      </c>
      <c r="D16" s="15">
        <f>IFERROR(D2/C2-1,"")</f>
        <v>-0.14873223739203123</v>
      </c>
      <c r="E16" s="15">
        <f>IFERROR(E2/D2-1,"")</f>
        <v>3.4410595051060486</v>
      </c>
      <c r="F16" s="15">
        <f>IFERROR(F2/E2-1,"")</f>
        <v>38.34628445294464</v>
      </c>
      <c r="G16" s="15">
        <f>IFERROR(G2/F2-1,"")</f>
        <v>-0.08779716825383199</v>
      </c>
      <c r="H16" s="15">
        <f>IFERROR(H2/G2-1,"")</f>
        <v>-0.7793837264100092</v>
      </c>
      <c r="I16" s="15">
        <f>IFERROR(I2/H2-1,"")</f>
        <v>-0.27962806542362695</v>
      </c>
      <c r="J16" s="15">
        <f>IFERROR(J2/I2-1,"")</f>
        <v>0.043182420166547164</v>
      </c>
      <c r="K16" s="15">
        <f>IFERROR(K2/J2-1,"")</f>
        <v>-0.09999999999999998</v>
      </c>
      <c r="L16" s="15">
        <f>IFERROR(L2/K2-1,"")</f>
        <v>-0.08611111111111103</v>
      </c>
      <c r="M16" s="15">
        <f>IFERROR(M2/L2-1,"")</f>
        <v>-0.07222222222222208</v>
      </c>
      <c r="N16" s="15">
        <f>IFERROR(N2/M2-1,"")</f>
        <v>-0.05833333333333335</v>
      </c>
      <c r="O16" s="15">
        <f>IFERROR(O2/N2-1,"")</f>
        <v>-0.04444444444444462</v>
      </c>
      <c r="P16" s="15">
        <f>IFERROR(P2/O2-1,"")</f>
        <v>-0.03055555555555567</v>
      </c>
      <c r="Q16" s="15">
        <f>IFERROR(Q2/P2-1,"")</f>
        <v>-0.01666666666666672</v>
      </c>
      <c r="R16" s="15">
        <f>IFERROR(R2/Q2-1,"")</f>
        <v>-0.002777777777777768</v>
      </c>
      <c r="S16" s="15">
        <f>IFERROR(S2/R2-1,"")</f>
        <v>0.011111111111111072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0.8487217958335738</v>
      </c>
      <c r="C17" s="15">
        <f>IFERROR(C4/C2,"")</f>
        <v>0.8926929506826414</v>
      </c>
      <c r="D17" s="15">
        <f>IFERROR(D4/D2,"")</f>
        <v>0.8397813563760147</v>
      </c>
      <c r="E17" s="15">
        <f>IFERROR(E4/E2,"")</f>
        <v>0.87704819865385</v>
      </c>
      <c r="F17" s="15">
        <f>IFERROR(F4/F2,"")</f>
        <v>0.8465750142815152</v>
      </c>
      <c r="G17" s="15">
        <f>IFERROR(G4/G2,"")</f>
        <v>0.8269846085609297</v>
      </c>
      <c r="H17" s="15">
        <f>IFERROR(H4/H2,"")</f>
        <v>0.8429432720655818</v>
      </c>
      <c r="I17" s="15">
        <f>IFERROR(I4/I2,"")</f>
        <v>0.80324243657577</v>
      </c>
      <c r="J17" s="15">
        <f>IFERROR(J4/J2,"")</f>
        <v>0.7763685146794942</v>
      </c>
      <c r="K17" s="15">
        <f>IFERROR(K4/K2,"")</f>
        <v>0.7764</v>
      </c>
      <c r="L17" s="15">
        <f>IFERROR(L4/L2,"")</f>
        <v>0.7764</v>
      </c>
      <c r="M17" s="15">
        <f>IFERROR(M4/M2,"")</f>
        <v>0.7764000000000001</v>
      </c>
      <c r="N17" s="15">
        <f>IFERROR(N4/N2,"")</f>
        <v>0.7764</v>
      </c>
      <c r="O17" s="15">
        <f>IFERROR(O4/O2,"")</f>
        <v>0.7764</v>
      </c>
      <c r="P17" s="15">
        <f>IFERROR(P4/P2,"")</f>
        <v>0.7764</v>
      </c>
      <c r="Q17" s="15">
        <f>IFERROR(Q4/Q2,"")</f>
        <v>0.7764</v>
      </c>
      <c r="R17" s="15">
        <f>IFERROR(R4/R2,"")</f>
        <v>0.7764</v>
      </c>
      <c r="S17" s="15">
        <f>IFERROR(S4/S2,"")</f>
        <v>0.7764</v>
      </c>
      <c r="T17" s="15">
        <f>IFERROR(T4/T2,"")</f>
        <v>0.7764</v>
      </c>
    </row>
    <row r="18">
      <c r="A18" s="14" t="inlineStr">
        <is>
          <t>Operating Margin</t>
        </is>
      </c>
      <c r="B18" s="15">
        <f>IFERROR(B8/B2,"")</f>
        <v>-0.9948063939061689</v>
      </c>
      <c r="C18" s="15">
        <f>IFERROR(C8/C2,"")</f>
        <v>-0.4221370855391474</v>
      </c>
      <c r="D18" s="15">
        <f>IFERROR(D8/D2,"")</f>
        <v>-1.6712653836082747</v>
      </c>
      <c r="E18" s="15">
        <f>IFERROR(E8/E2,"")</f>
        <v>-0.17084828083053757</v>
      </c>
      <c r="F18" s="15">
        <f>IFERROR(F8/F2,"")</f>
        <v>0.8053982183730878</v>
      </c>
      <c r="G18" s="15">
        <f>IFERROR(G8/G2,"")</f>
        <v>0.7303443694602473</v>
      </c>
      <c r="H18" s="15">
        <f>IFERROR(H8/H2,"")</f>
        <v>0.18078035522730493</v>
      </c>
      <c r="I18" s="15">
        <f>IFERROR(I8/I2,"")</f>
        <v>-0.47773610868848954</v>
      </c>
      <c r="J18" s="15">
        <f>IFERROR(J8/J2,"")</f>
        <v>-0.48952950994037786</v>
      </c>
      <c r="K18" s="15">
        <f>IFERROR(K8/K2,"")</f>
        <v>-0.42055000000000003</v>
      </c>
      <c r="L18" s="15">
        <f>IFERROR(L8/L2,"")</f>
        <v>-0.3516000000000001</v>
      </c>
      <c r="M18" s="15">
        <f>IFERROR(M8/M2,"")</f>
        <v>-0.28265</v>
      </c>
      <c r="N18" s="15">
        <f>IFERROR(N8/N2,"")</f>
        <v>-0.2137</v>
      </c>
      <c r="O18" s="15">
        <f>IFERROR(O8/O2,"")</f>
        <v>-0.14475</v>
      </c>
      <c r="P18" s="15">
        <f>IFERROR(P8/P2,"")</f>
        <v>-0.07579999999999996</v>
      </c>
      <c r="Q18" s="15">
        <f>IFERROR(Q8/Q2,"")</f>
        <v>-0.006849999999999939</v>
      </c>
      <c r="R18" s="15">
        <f>IFERROR(R8/R2,"")</f>
        <v>0.06209999999999994</v>
      </c>
      <c r="S18" s="15">
        <f>IFERROR(S8/S2,"")</f>
        <v>0.13105</v>
      </c>
      <c r="T18" s="15">
        <f>IFERROR(T8/T2,"")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Biontech SE: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-0.4895</v>
      </c>
    </row>
    <row r="19">
      <c r="A19" s="14" t="inlineStr">
        <is>
          <t>Gross margin (forecast)</t>
        </is>
      </c>
      <c r="B19" s="53" t="n">
        <v>0.7764</v>
      </c>
    </row>
    <row r="20">
      <c r="A20" s="14" t="inlineStr">
        <is>
          <t>R&amp;D share of operating expense (forecast)</t>
        </is>
      </c>
      <c r="B20" s="53" t="n">
        <v>0.5794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(EUR)</t>
        </is>
      </c>
      <c r="B24" s="32" t="n">
        <v>0.8886500000000001</v>
      </c>
    </row>
    <row r="25">
      <c r="A25" s="14" t="inlineStr">
        <is>
          <t>Base revenue, FY2025</t>
        </is>
      </c>
      <c r="B25" s="55">
        <f>'Yearly Model'!J2</f>
        <v>3229.505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-69.4084005835598</v>
      </c>
      <c r="C29" s="56">
        <f>NPV!B26</f>
        <v>16671.940837024045</v>
      </c>
      <c r="D29" s="35">
        <f>NPV!B28</f>
        <v>66.36803771565039</v>
      </c>
      <c r="E29" s="57">
        <f>NPV!B30</f>
        <v>-0.27204082795162454</v>
      </c>
    </row>
    <row r="30">
      <c r="A30" s="58" t="n">
        <v>1</v>
      </c>
      <c r="B30" s="59">
        <f t="dataTable" ref="B30:E32" r1="B4"/>
        <v>-1496.1350429511738</v>
      </c>
      <c r="C30" s="59">
        <v>15245.214194656433</v>
      </c>
      <c r="D30" s="39">
        <v>60.68849215246694</v>
      </c>
      <c r="E30" s="60">
        <v>-0.33433703902087375</v>
      </c>
    </row>
    <row r="31">
      <c r="A31" s="58" t="n">
        <v>2</v>
      </c>
      <c r="B31" s="59">
        <v>-69.4084005835598</v>
      </c>
      <c r="C31" s="59">
        <v>16671.940837024045</v>
      </c>
      <c r="D31" s="39">
        <v>66.36803771565039</v>
      </c>
      <c r="E31" s="60">
        <v>-0.27204082795162454</v>
      </c>
    </row>
    <row r="32">
      <c r="A32" s="58" t="n">
        <v>3</v>
      </c>
      <c r="B32" s="59">
        <v>3754.764487468113</v>
      </c>
      <c r="C32" s="59">
        <v>20496.11372507572</v>
      </c>
      <c r="D32" s="39">
        <v>81.59139130995725</v>
      </c>
      <c r="E32" s="60">
        <v>-0.10506316430890372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66.36803771565039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70.21816786975741</v>
      </c>
      <c r="C37" s="39">
        <v>72.1810718653711</v>
      </c>
      <c r="D37" s="39">
        <v>74.64822082629266</v>
      </c>
      <c r="E37" s="39">
        <v>77.83589225859359</v>
      </c>
      <c r="F37" s="39">
        <v>82.10455103628968</v>
      </c>
    </row>
    <row r="38">
      <c r="A38" s="62" t="n">
        <v>0.075</v>
      </c>
      <c r="B38" s="39">
        <v>66.81804577640013</v>
      </c>
      <c r="C38" s="39">
        <v>68.0747793077182</v>
      </c>
      <c r="D38" s="39">
        <v>69.59307845129493</v>
      </c>
      <c r="E38" s="39">
        <v>71.46025694582232</v>
      </c>
      <c r="F38" s="39">
        <v>73.80728704557114</v>
      </c>
    </row>
    <row r="39">
      <c r="A39" s="62" t="n">
        <v>0.08500000000000001</v>
      </c>
      <c r="B39" s="39">
        <v>64.50978486626963</v>
      </c>
      <c r="C39" s="39">
        <v>65.36372218933157</v>
      </c>
      <c r="D39" s="39">
        <v>66.36803771565039</v>
      </c>
      <c r="E39" s="39">
        <v>67.56383935866214</v>
      </c>
      <c r="F39" s="39">
        <v>69.00867942112433</v>
      </c>
    </row>
    <row r="40">
      <c r="A40" s="62" t="n">
        <v>0.095</v>
      </c>
      <c r="B40" s="39">
        <v>62.87607111834796</v>
      </c>
      <c r="C40" s="39">
        <v>63.48126802069897</v>
      </c>
      <c r="D40" s="39">
        <v>64.17946001753369</v>
      </c>
      <c r="E40" s="39">
        <v>64.99218320256217</v>
      </c>
      <c r="F40" s="39">
        <v>65.94815331611144</v>
      </c>
    </row>
    <row r="41">
      <c r="A41" s="62" t="n">
        <v>0.105</v>
      </c>
      <c r="B41" s="39">
        <v>61.685695761505784</v>
      </c>
      <c r="C41" s="39">
        <v>62.12811697460642</v>
      </c>
      <c r="D41" s="39">
        <v>62.63126431887924</v>
      </c>
      <c r="E41" s="39">
        <v>63.20734440526901</v>
      </c>
      <c r="F41" s="39">
        <v>63.87205220486662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Biontech SE: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-0.48952950994037786</v>
      </c>
      <c r="C6" s="63">
        <f>Assumptions!$B$18+(Assumptions!$E$13-Assumptions!$B$18)*C4/Assumptions!$B$21</f>
        <v>-0.42055</v>
      </c>
      <c r="D6" s="63">
        <f>Assumptions!$B$18+(Assumptions!$E$13-Assumptions!$B$18)*D4/Assumptions!$B$21</f>
        <v>-0.3516</v>
      </c>
      <c r="E6" s="63">
        <f>Assumptions!$B$18+(Assumptions!$E$13-Assumptions!$B$18)*E4/Assumptions!$B$21</f>
        <v>-0.28264999999999996</v>
      </c>
      <c r="F6" s="63">
        <f>Assumptions!$B$18+(Assumptions!$E$13-Assumptions!$B$18)*F4/Assumptions!$B$21</f>
        <v>-0.2137</v>
      </c>
      <c r="G6" s="63">
        <f>Assumptions!$B$18+(Assumptions!$E$13-Assumptions!$B$18)*G4/Assumptions!$B$21</f>
        <v>-0.14475</v>
      </c>
      <c r="H6" s="63">
        <f>Assumptions!$B$18+(Assumptions!$E$13-Assumptions!$B$18)*H4/Assumptions!$B$21</f>
        <v>-0.07579999999999992</v>
      </c>
      <c r="I6" s="63">
        <f>Assumptions!$B$18+(Assumptions!$E$13-Assumptions!$B$18)*I4/Assumptions!$B$21</f>
        <v>-0.006849999999999967</v>
      </c>
      <c r="J6" s="63">
        <f>Assumptions!$B$18+(Assumptions!$E$13-Assumptions!$B$18)*J4/Assumptions!$B$21</f>
        <v>0.06209999999999999</v>
      </c>
      <c r="K6" s="63">
        <f>Assumptions!$B$18+(Assumptions!$E$13-Assumptions!$B$18)*K4/Assumptions!$B$21</f>
        <v>0.13104999999999994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Model'!J2</f>
        <v>3229.505</v>
      </c>
      <c r="C7" s="55">
        <f>'Yearly Model'!K2</f>
        <v>2906.5545</v>
      </c>
      <c r="D7" s="55">
        <f>'Yearly Model'!L2</f>
        <v>2656.2678625000003</v>
      </c>
      <c r="E7" s="55">
        <f>'Yearly Model'!M2</f>
        <v>2464.4262946527783</v>
      </c>
      <c r="F7" s="55">
        <f>'Yearly Model'!N2</f>
        <v>2320.668094131366</v>
      </c>
      <c r="G7" s="55">
        <f>'Yearly Model'!O2</f>
        <v>2217.5272899477495</v>
      </c>
      <c r="H7" s="55">
        <f>'Yearly Model'!P2</f>
        <v>2149.7695116437903</v>
      </c>
      <c r="I7" s="55">
        <f>'Yearly Model'!Q2</f>
        <v>2113.9400197830605</v>
      </c>
      <c r="J7" s="55">
        <f>'Yearly Model'!R2</f>
        <v>2108.067964172552</v>
      </c>
      <c r="K7" s="55">
        <f>'Yearly Model'!S2</f>
        <v>2131.490941552247</v>
      </c>
      <c r="L7" s="55">
        <f>'Yearly Model'!T2</f>
        <v>2184.778215091053</v>
      </c>
    </row>
    <row r="8">
      <c r="A8" s="14" t="inlineStr">
        <is>
          <t>Operating income</t>
        </is>
      </c>
      <c r="B8" s="55">
        <f>'Yearly Model'!J8</f>
        <v>-1580.938</v>
      </c>
      <c r="C8" s="55">
        <f>'Yearly Model'!K8</f>
        <v>-1222.3514949750002</v>
      </c>
      <c r="D8" s="55">
        <f>'Yearly Model'!L8</f>
        <v>-933.9437804550003</v>
      </c>
      <c r="E8" s="55">
        <f>'Yearly Model'!M8</f>
        <v>-696.5700921836078</v>
      </c>
      <c r="F8" s="55">
        <f>'Yearly Model'!N8</f>
        <v>-495.926771715873</v>
      </c>
      <c r="G8" s="55">
        <f>'Yearly Model'!O8</f>
        <v>-320.98707521993674</v>
      </c>
      <c r="H8" s="55">
        <f>'Yearly Model'!P8</f>
        <v>-162.95252898259923</v>
      </c>
      <c r="I8" s="55">
        <f>'Yearly Model'!Q8</f>
        <v>-14.480489135513835</v>
      </c>
      <c r="J8" s="55">
        <f>'Yearly Model'!R8</f>
        <v>130.91102057511534</v>
      </c>
      <c r="K8" s="55">
        <f>'Yearly Model'!S8</f>
        <v>279.33188789042197</v>
      </c>
      <c r="L8" s="55">
        <f>'Yearly Model'!T8</f>
        <v>436.9556430182106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22.25487349776961</v>
      </c>
      <c r="K9" s="52">
        <f>MAX(0,K8)*Assumptions!$E$14</f>
        <v>47.48642094137174</v>
      </c>
      <c r="L9" s="52">
        <f>MAX(0,L8)*Assumptions!$E$14</f>
        <v>74.2824593130958</v>
      </c>
    </row>
    <row r="10">
      <c r="A10" s="14" t="inlineStr">
        <is>
          <t>NOPAT</t>
        </is>
      </c>
      <c r="C10" s="52">
        <f>C8-C9</f>
        <v>-1222.3514949750002</v>
      </c>
      <c r="D10" s="52">
        <f>D8-D9</f>
        <v>-933.9437804550003</v>
      </c>
      <c r="E10" s="52">
        <f>E8-E9</f>
        <v>-696.5700921836078</v>
      </c>
      <c r="F10" s="52">
        <f>F8-F9</f>
        <v>-495.926771715873</v>
      </c>
      <c r="G10" s="52">
        <f>G8-G9</f>
        <v>-320.98707521993674</v>
      </c>
      <c r="H10" s="52">
        <f>H8-H9</f>
        <v>-162.95252898259923</v>
      </c>
      <c r="I10" s="52">
        <f>I8-I9</f>
        <v>-14.480489135513835</v>
      </c>
      <c r="J10" s="52">
        <f>J8-J9</f>
        <v>108.65614707734574</v>
      </c>
      <c r="K10" s="52">
        <f>K8-K9</f>
        <v>231.84546694905023</v>
      </c>
      <c r="L10" s="52">
        <f>L8-L9</f>
        <v>362.6731837051148</v>
      </c>
    </row>
    <row r="11">
      <c r="A11" s="14" t="inlineStr">
        <is>
          <t>Reinvestment</t>
        </is>
      </c>
      <c r="C11" s="52">
        <f>(C7-B7)*Assumptions!$E$15</f>
        <v>-80.73762499999998</v>
      </c>
      <c r="D11" s="52">
        <f>(D7-C7)*Assumptions!$E$15</f>
        <v>-62.57165937499997</v>
      </c>
      <c r="E11" s="52">
        <f>(E7-D7)*Assumptions!$E$15</f>
        <v>-47.9603919618055</v>
      </c>
      <c r="F11" s="52">
        <f>(F7-E7)*Assumptions!$E$15</f>
        <v>-35.93955013035304</v>
      </c>
      <c r="G11" s="52">
        <f>(G7-F7)*Assumptions!$E$15</f>
        <v>-25.78520104590416</v>
      </c>
      <c r="H11" s="52">
        <f>(H7-G7)*Assumptions!$E$15</f>
        <v>-16.939444575989796</v>
      </c>
      <c r="I11" s="52">
        <f>(I7-H7)*Assumptions!$E$15</f>
        <v>-8.957372965182458</v>
      </c>
      <c r="J11" s="52">
        <f>(J7-I7)*Assumptions!$E$15</f>
        <v>-1.468013902627149</v>
      </c>
      <c r="K11" s="52">
        <f>(K7-J7)*Assumptions!$E$15</f>
        <v>5.855744344923778</v>
      </c>
      <c r="L11" s="52">
        <f>(L7-K7)*Assumptions!$E$15</f>
        <v>13.321818384701487</v>
      </c>
    </row>
    <row r="12">
      <c r="A12" s="20" t="inlineStr">
        <is>
          <t>Free cash flow</t>
        </is>
      </c>
      <c r="C12" s="64">
        <f>C10-C11</f>
        <v>-1141.6138699750002</v>
      </c>
      <c r="D12" s="64">
        <f>D10-D11</f>
        <v>-871.3721210800003</v>
      </c>
      <c r="E12" s="64">
        <f>E10-E11</f>
        <v>-648.6097002218023</v>
      </c>
      <c r="F12" s="64">
        <f>F10-F11</f>
        <v>-459.98722158551993</v>
      </c>
      <c r="G12" s="64">
        <f>G10-G11</f>
        <v>-295.2018741740326</v>
      </c>
      <c r="H12" s="64">
        <f>H10-H11</f>
        <v>-146.01308440660944</v>
      </c>
      <c r="I12" s="64">
        <f>I10-I11</f>
        <v>-5.523116170331377</v>
      </c>
      <c r="J12" s="64">
        <f>J10-J11</f>
        <v>110.12416097997288</v>
      </c>
      <c r="K12" s="64">
        <f>K10-K11</f>
        <v>225.98972260412646</v>
      </c>
      <c r="L12" s="64">
        <f>L10-L11</f>
        <v>349.3513653204133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0.9600307214746386</v>
      </c>
      <c r="D15" s="65">
        <f>1/(1+Assumptions!$E$10)^D14</f>
        <v>0.88482094145128</v>
      </c>
      <c r="E15" s="65">
        <f>1/(1+Assumptions!$E$10)^E14</f>
        <v>0.8155031718444976</v>
      </c>
      <c r="F15" s="65">
        <f>1/(1+Assumptions!$E$10)^F14</f>
        <v>0.7516158265847905</v>
      </c>
      <c r="G15" s="65">
        <f>1/(1+Assumptions!$E$10)^G14</f>
        <v>0.6927334807233092</v>
      </c>
      <c r="H15" s="65">
        <f>1/(1+Assumptions!$E$10)^H14</f>
        <v>0.638464037533004</v>
      </c>
      <c r="I15" s="65">
        <f>1/(1+Assumptions!$E$10)^I14</f>
        <v>0.5884461175419391</v>
      </c>
      <c r="J15" s="65">
        <f>1/(1+Assumptions!$E$10)^J14</f>
        <v>0.5423466521123863</v>
      </c>
      <c r="K15" s="65">
        <f>1/(1+Assumptions!$E$10)^K14</f>
        <v>0.49985866554136993</v>
      </c>
      <c r="L15" s="65">
        <f>1/(1+Assumptions!$E$10)^L14</f>
        <v>0.460699230913705</v>
      </c>
    </row>
    <row r="16">
      <c r="A16" s="20" t="inlineStr">
        <is>
          <t>PV of free cash flow</t>
        </is>
      </c>
      <c r="C16" s="64">
        <f>C12*C13*C15</f>
        <v>-1095.9843872375536</v>
      </c>
      <c r="D16" s="64">
        <f>D12*D13*D15</f>
        <v>-771.0083005284046</v>
      </c>
      <c r="E16" s="64">
        <f>E12*E13*E15</f>
        <v>-528.9432678199885</v>
      </c>
      <c r="F16" s="64">
        <f>F12*F13*F15</f>
        <v>-345.7336757704418</v>
      </c>
      <c r="G16" s="64">
        <f>G12*G13*G15</f>
        <v>-204.49622181262194</v>
      </c>
      <c r="H16" s="64">
        <f>H12*H13*H15</f>
        <v>-93.22410340289116</v>
      </c>
      <c r="I16" s="64">
        <f>I12*I13*I15</f>
        <v>-3.2500562671646023</v>
      </c>
      <c r="J16" s="64">
        <f>J12*J13*J15</f>
        <v>59.72547002417378</v>
      </c>
      <c r="K16" s="64">
        <f>K12*K13*K15</f>
        <v>112.96292116696301</v>
      </c>
      <c r="L16" s="64">
        <f>L12*L13*L15</f>
        <v>160.9459053217672</v>
      </c>
    </row>
    <row r="19">
      <c r="A19" s="14" t="inlineStr">
        <is>
          <t>PV of forecast free cash flow</t>
        </is>
      </c>
      <c r="B19" s="52">
        <f>SUM(C16:L16)</f>
        <v>-2709.0057163261617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358.0851494534235</v>
      </c>
    </row>
    <row r="21">
      <c r="A21" s="14" t="inlineStr">
        <is>
          <t>Terminal value</t>
        </is>
      </c>
      <c r="B21" s="52">
        <f>B20/(Assumptions!$E$10-Assumptions!$E$11)</f>
        <v>5968.085824223725</v>
      </c>
    </row>
    <row r="22">
      <c r="A22" s="14" t="inlineStr">
        <is>
          <t>PV of terminal value</t>
        </is>
      </c>
      <c r="B22" s="52">
        <f>B21/(1+Assumptions!$E$10)^(L14+0.5)</f>
        <v>2639.597315742602</v>
      </c>
    </row>
    <row r="23">
      <c r="A23" s="20" t="inlineStr">
        <is>
          <t>Enterprise value</t>
        </is>
      </c>
      <c r="B23" s="66">
        <f>B19+B22</f>
        <v>-69.4084005835598</v>
      </c>
    </row>
    <row r="24">
      <c r="A24" s="14" t="inlineStr">
        <is>
          <t>Cash &amp; investments</t>
        </is>
      </c>
      <c r="B24" s="55">
        <f>Main!C7</f>
        <v>16741.349237607606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16671.940837024045</v>
      </c>
    </row>
    <row r="27">
      <c r="A27" s="14" t="inlineStr">
        <is>
          <t>Shares (mm)</t>
        </is>
      </c>
      <c r="B27" s="55">
        <f>Main!C4</f>
        <v>251.204366</v>
      </c>
    </row>
    <row r="28">
      <c r="A28" s="20" t="inlineStr">
        <is>
          <t>NPV / share</t>
        </is>
      </c>
      <c r="B28" s="49">
        <f>B26/B27</f>
        <v>66.36803771565039</v>
      </c>
    </row>
    <row r="29">
      <c r="A29" s="14" t="inlineStr">
        <is>
          <t>Price</t>
        </is>
      </c>
      <c r="B29" s="50">
        <f>Main!C3</f>
        <v>91.17</v>
      </c>
    </row>
    <row r="30">
      <c r="A30" s="14" t="inlineStr">
        <is>
          <t>Upside</t>
        </is>
      </c>
      <c r="B30" s="63">
        <f>B28/B29-1</f>
        <v>-0.27204082795162454</v>
      </c>
    </row>
    <row r="31">
      <c r="A31" s="14" t="inlineStr">
        <is>
          <t>Terminal value, % of EV</t>
        </is>
      </c>
      <c r="B31" s="63">
        <f>IFERROR(B22/B23,0)</f>
        <v>-38.02994008722082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2026-10-21T01:03:46Z</dcterms:modified>
  <cp:lastModifiedBy>Wang, Eric</cp:lastModifiedBy>
</cp:coreProperties>
</file>