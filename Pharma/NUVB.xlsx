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Nuvation Bio Inc.</t>
        </is>
      </c>
      <c r="C2" s="10" t="n"/>
    </row>
    <row r="3">
      <c r="B3" t="inlineStr">
        <is>
          <t>Price</t>
        </is>
      </c>
      <c r="C3" s="11">
        <f>INDEX([1]Pharma!$F$1:$F$1000,MATCH("NUVB",[1]Pharma!$B$1:$B$1000,0))</f>
        <v>4.765</v>
      </c>
      <c r="F3" s="1" t="n"/>
    </row>
    <row r="4">
      <c r="B4" t="inlineStr">
        <is>
          <t>Shares</t>
        </is>
      </c>
      <c r="C4" s="21" t="n">
        <v>351.123233</v>
      </c>
      <c r="F4" s="1" t="n"/>
    </row>
    <row r="5">
      <c r="B5" t="inlineStr">
        <is>
          <t>Market Cap.</t>
        </is>
      </c>
      <c r="C5" s="13">
        <f>C3*C4</f>
        <v>1673.102205245</v>
      </c>
      <c r="F5" s="1" t="n"/>
    </row>
    <row r="6"/>
    <row r="7">
      <c r="B7" t="inlineStr">
        <is>
          <t>Cash</t>
        </is>
      </c>
      <c r="C7" s="21">
        <f>258.604+402.352</f>
        <v>660.9559999999999</v>
      </c>
    </row>
    <row r="8">
      <c r="B8" t="inlineStr">
        <is>
          <t>Debt</t>
        </is>
      </c>
      <c r="C8" s="21" t="n">
        <v>5.893</v>
      </c>
    </row>
    <row r="9">
      <c r="B9" t="inlineStr">
        <is>
          <t>Enterprise V.</t>
        </is>
      </c>
      <c r="C9" s="13">
        <f>C5-C7+C8</f>
        <v>1018.0392052450002</v>
      </c>
    </row>
    <row r="10"/>
    <row r="11">
      <c r="B11" s="14" t="inlineStr">
        <is>
          <t>Net Cash / Share</t>
        </is>
      </c>
      <c r="C11" s="11">
        <f>(C7-C8)/C4</f>
        <v>1.8656213500973313</v>
      </c>
    </row>
    <row r="12">
      <c r="B12" s="14" t="inlineStr">
        <is>
          <t>Upside</t>
        </is>
      </c>
      <c r="C12" s="15">
        <f>IFERROR(C11/C3-1,"")</f>
        <v>-0.6084740083741171</v>
      </c>
    </row>
    <row r="13">
      <c r="B13" s="14" t="inlineStr">
        <is>
          <t>Cash / Share</t>
        </is>
      </c>
      <c r="C13" s="11">
        <f>IFERROR((C7-C8)/C4,"")</f>
        <v>1.8656213500973313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-120.522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5.435215147441959</v>
      </c>
    </row>
    <row r="19">
      <c r="B19" s="14" t="inlineStr">
        <is>
          <t>Implied Pipeline Value</t>
        </is>
      </c>
      <c r="C19" s="13">
        <f>C9</f>
        <v>1018.0392052450002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7.873</v>
      </c>
      <c r="G2" s="23" t="n">
        <v>62.902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7.078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0.7949999999999999</v>
      </c>
      <c r="G4" s="23">
        <f>G2-G3</f>
        <v>62.902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32.603</v>
      </c>
      <c r="C5" s="23" t="n">
        <v>69.03700000000001</v>
      </c>
      <c r="D5" s="23" t="n">
        <v>87.815</v>
      </c>
      <c r="E5" s="23" t="n">
        <v>71.289</v>
      </c>
      <c r="F5" s="23" t="n">
        <v>99.119</v>
      </c>
      <c r="G5" s="23" t="n">
        <v>115.106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10.948</v>
      </c>
      <c r="C6" s="23" t="n">
        <v>24.281</v>
      </c>
      <c r="D6" s="23" t="n">
        <v>31.919</v>
      </c>
      <c r="E6" s="23" t="n">
        <v>28.533</v>
      </c>
      <c r="F6" s="23" t="n">
        <v>494.303</v>
      </c>
      <c r="G6" s="23" t="n">
        <v>160.86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43.551</v>
      </c>
      <c r="C7" s="23">
        <f>SUM(C5:C6)</f>
        <v>93.31800000000001</v>
      </c>
      <c r="D7" s="23">
        <f>SUM(D5:D6)</f>
        <v>119.734</v>
      </c>
      <c r="E7" s="23">
        <f>SUM(E5:E6)</f>
        <v>99.822</v>
      </c>
      <c r="F7" s="23">
        <f>SUM(F5:F6)</f>
        <v>593.422</v>
      </c>
      <c r="G7" s="23">
        <f>SUM(G5:G6)</f>
        <v>275.966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-43.551</v>
      </c>
      <c r="C8" s="23">
        <f>C4-C7</f>
        <v>-93.31800000000001</v>
      </c>
      <c r="D8" s="23">
        <f>D4-D7</f>
        <v>-119.734</v>
      </c>
      <c r="E8" s="23">
        <f>E4-E7</f>
        <v>-99.822</v>
      </c>
      <c r="F8" s="23">
        <f>F4-F7</f>
        <v>-592.6270000000001</v>
      </c>
      <c r="G8" s="23">
        <f>G4-G7</f>
        <v>-213.06400000000002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1.892</v>
      </c>
      <c r="C9" s="23" t="n">
        <v>6.47</v>
      </c>
      <c r="D9" s="23" t="n">
        <v>15.535</v>
      </c>
      <c r="E9" s="23" t="n">
        <v>24.02</v>
      </c>
      <c r="F9" s="23" t="n">
        <v>24.688</v>
      </c>
      <c r="G9" s="23" t="n">
        <v>8.436999999999999</v>
      </c>
    </row>
    <row r="10">
      <c r="A10" s="2" t="inlineStr">
        <is>
          <t>Pretax</t>
        </is>
      </c>
      <c r="B10" s="23">
        <f>B8+B9</f>
        <v>-41.659</v>
      </c>
      <c r="C10" s="23">
        <f>C8+C9</f>
        <v>-86.84800000000001</v>
      </c>
      <c r="D10" s="23">
        <f>D8+D9</f>
        <v>-104.199</v>
      </c>
      <c r="E10" s="23">
        <f>E8+E9</f>
        <v>-75.802</v>
      </c>
      <c r="F10" s="23">
        <f>F8+F9</f>
        <v>-567.9390000000001</v>
      </c>
      <c r="G10" s="23">
        <f>G8+G9</f>
        <v>-204.627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-41.659</v>
      </c>
      <c r="C12" s="23" t="n">
        <v>-86.848</v>
      </c>
      <c r="D12" s="23" t="n">
        <v>-104.199</v>
      </c>
      <c r="E12" s="23" t="n">
        <v>-75.80200000000001</v>
      </c>
      <c r="F12" s="23" t="n">
        <v>-567.939</v>
      </c>
      <c r="G12" s="23" t="n">
        <v>-204.627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-0.2135701835332718</v>
      </c>
      <c r="C13" s="11">
        <f>IFERROR(C12/C14,0)</f>
        <v>-0.4388767326807724</v>
      </c>
      <c r="D13" s="11">
        <f>IFERROR(D12/D14,0)</f>
        <v>-0.4807978922208738</v>
      </c>
      <c r="E13" s="11">
        <f>IFERROR(E12/E14,0)</f>
        <v>-0.3463176169590644</v>
      </c>
      <c r="F13" s="11">
        <f>IFERROR(F12/F14,0)</f>
        <v>-2.113088416948194</v>
      </c>
      <c r="G13" s="11">
        <f>IFERROR(G12/G14,0)</f>
        <v>-0.5991286551248606</v>
      </c>
    </row>
    <row r="14">
      <c r="A14" s="2" t="inlineStr">
        <is>
          <t>Shares</t>
        </is>
      </c>
      <c r="B14" s="23" t="n">
        <v>195.06</v>
      </c>
      <c r="C14" s="23" t="n">
        <v>197.887</v>
      </c>
      <c r="D14" s="23" t="n">
        <v>216.721</v>
      </c>
      <c r="E14" s="23" t="n">
        <v>218.88</v>
      </c>
      <c r="F14" s="23" t="n">
        <v>268.772</v>
      </c>
      <c r="G14" s="23" t="n">
        <v>341.541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6.9895846564206785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0.10097802616537532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-75.27333926076464</v>
      </c>
      <c r="G18" s="15">
        <f>IFERROR(G8/G2,"")</f>
        <v>-3.3872372897523135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2026-10-21T01:04:37Z</dcterms:modified>
  <cp:lastModifiedBy>Wang, Eric</cp:lastModifiedBy>
</cp:coreProperties>
</file>