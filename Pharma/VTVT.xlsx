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vTv Therapeutics Inc</t>
        </is>
      </c>
      <c r="C2" s="10" t="n"/>
    </row>
    <row r="3">
      <c r="B3" t="inlineStr">
        <is>
          <t>Price</t>
        </is>
      </c>
      <c r="C3" s="11">
        <f>INDEX([1]Pharma!$F$1:$F$1000,MATCH("VTVT",[1]Pharma!$B$1:$B$1000,0))</f>
        <v>27.845</v>
      </c>
      <c r="F3" s="1" t="n"/>
    </row>
    <row r="4">
      <c r="B4" t="inlineStr">
        <is>
          <t>Shares</t>
        </is>
      </c>
      <c r="C4" s="21" t="n">
        <v>3.953928</v>
      </c>
      <c r="F4" s="1" t="n"/>
    </row>
    <row r="5">
      <c r="B5" t="inlineStr">
        <is>
          <t>Market Cap.</t>
        </is>
      </c>
      <c r="C5" s="13">
        <f>C3*C4</f>
        <v>110.09712515999999</v>
      </c>
      <c r="F5" s="1" t="n"/>
    </row>
    <row r="6"/>
    <row r="7">
      <c r="B7" t="inlineStr">
        <is>
          <t>Cash</t>
        </is>
      </c>
      <c r="C7" s="21" t="n">
        <v>86.643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23.45412515999999</v>
      </c>
    </row>
    <row r="10"/>
    <row r="11">
      <c r="B11" s="14" t="inlineStr">
        <is>
          <t>Net Cash / Share</t>
        </is>
      </c>
      <c r="C11" s="11">
        <f>(C7-C8)/C4</f>
        <v>21.91314561114922</v>
      </c>
    </row>
    <row r="12">
      <c r="B12" s="14" t="inlineStr">
        <is>
          <t>Upside</t>
        </is>
      </c>
      <c r="C12" s="15">
        <f>IFERROR(C11/C3-1,"")</f>
        <v>-0.21303122244032258</v>
      </c>
    </row>
    <row r="13">
      <c r="B13" s="14" t="inlineStr">
        <is>
          <t>Cash / Share</t>
        </is>
      </c>
      <c r="C13" s="11">
        <f>IFERROR((C7-C8)/C4,"")</f>
        <v>21.91314561114922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-16.762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5.16901324424293</v>
      </c>
    </row>
    <row r="19">
      <c r="B19" s="14" t="inlineStr">
        <is>
          <t>Implied Pipeline Value</t>
        </is>
      </c>
      <c r="C19" s="13">
        <f>C9</f>
        <v>23.45412515999999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0.976</v>
      </c>
      <c r="C2" s="23" t="n">
        <v>1.549</v>
      </c>
      <c r="D2" s="23" t="n">
        <v>0.519</v>
      </c>
      <c r="E2" s="23" t="n">
        <v>0.634</v>
      </c>
      <c r="F2" s="23" t="n">
        <v>0.291</v>
      </c>
      <c r="G2" s="23" t="n">
        <v>12.434</v>
      </c>
      <c r="H2" s="23" t="n">
        <v>2.764</v>
      </c>
      <c r="I2" s="23" t="n">
        <v>6.414</v>
      </c>
      <c r="J2" s="23" t="n">
        <v>4.005</v>
      </c>
      <c r="K2" s="23" t="n">
        <v>2.018</v>
      </c>
      <c r="L2" s="23" t="n">
        <v>0</v>
      </c>
      <c r="M2" s="23" t="n">
        <v>1.017</v>
      </c>
      <c r="N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0.976</v>
      </c>
      <c r="C4" s="23">
        <f>C2-C3</f>
        <v>1.549</v>
      </c>
      <c r="D4" s="23">
        <f>D2-D3</f>
        <v>0.519</v>
      </c>
      <c r="E4" s="23">
        <f>E2-E3</f>
        <v>0.634</v>
      </c>
      <c r="F4" s="23">
        <f>F2-F3</f>
        <v>0.291</v>
      </c>
      <c r="G4" s="23">
        <f>G2-G3</f>
        <v>12.434</v>
      </c>
      <c r="H4" s="23">
        <f>H2-H3</f>
        <v>2.764</v>
      </c>
      <c r="I4" s="23">
        <f>I2-I3</f>
        <v>6.414</v>
      </c>
      <c r="J4" s="23">
        <f>J2-J3</f>
        <v>4.005</v>
      </c>
      <c r="K4" s="23">
        <f>K2-K3</f>
        <v>2.018</v>
      </c>
      <c r="L4" s="23">
        <f>L2-L3</f>
        <v>0.0</v>
      </c>
      <c r="M4" s="23">
        <f>M2-M3</f>
        <v>1.017</v>
      </c>
      <c r="N4" s="23">
        <f>N2-N3</f>
        <v>0.0</v>
      </c>
    </row>
    <row r="5">
      <c r="A5" s="2" t="inlineStr">
        <is>
          <t>Research &amp; Dev.</t>
        </is>
      </c>
      <c r="B5" s="23" t="n">
        <v>22.293</v>
      </c>
      <c r="C5" s="23" t="n">
        <v>17.378</v>
      </c>
      <c r="D5" s="23" t="n">
        <v>27.237</v>
      </c>
      <c r="E5" s="23" t="n">
        <v>44.953</v>
      </c>
      <c r="F5" s="23" t="n">
        <v>39.64</v>
      </c>
      <c r="G5" s="23" t="n">
        <v>23.035</v>
      </c>
      <c r="H5" s="23" t="n">
        <v>15.119</v>
      </c>
      <c r="I5" s="23" t="n">
        <v>11.015</v>
      </c>
      <c r="J5" s="23" t="n">
        <v>13.324</v>
      </c>
      <c r="K5" s="23" t="n">
        <v>12.357</v>
      </c>
      <c r="L5" s="23" t="n">
        <v>13.595</v>
      </c>
      <c r="M5" s="23" t="n">
        <v>11.546</v>
      </c>
      <c r="N5" s="23" t="n">
        <v>17.861</v>
      </c>
    </row>
    <row r="6">
      <c r="A6" s="19" t="inlineStr">
        <is>
          <t>SG&amp;A &amp; Other</t>
        </is>
      </c>
      <c r="B6" s="23" t="n">
        <v>14.516</v>
      </c>
      <c r="C6" s="23" t="n">
        <v>13.068</v>
      </c>
      <c r="D6" s="23" t="n">
        <v>11.424</v>
      </c>
      <c r="E6" s="23" t="n">
        <v>10.701</v>
      </c>
      <c r="F6" s="23" t="n">
        <v>11.333</v>
      </c>
      <c r="G6" s="23" t="n">
        <v>9.223000000000001</v>
      </c>
      <c r="H6" s="23" t="n">
        <v>8.537000000000001</v>
      </c>
      <c r="I6" s="23" t="n">
        <v>7.251</v>
      </c>
      <c r="J6" s="23" t="n">
        <v>12.343</v>
      </c>
      <c r="K6" s="23" t="n">
        <v>12.201</v>
      </c>
      <c r="L6" s="23" t="n">
        <v>11.907</v>
      </c>
      <c r="M6" s="23" t="n">
        <v>13.651</v>
      </c>
      <c r="N6" s="23" t="n">
        <v>14.947</v>
      </c>
    </row>
    <row r="7">
      <c r="A7" s="2" t="inlineStr">
        <is>
          <t>Operating Expense</t>
        </is>
      </c>
      <c r="B7" s="23">
        <f>SUM(B5:B6)</f>
        <v>36.809</v>
      </c>
      <c r="C7" s="23">
        <f>SUM(C5:C6)</f>
        <v>30.445999999999998</v>
      </c>
      <c r="D7" s="23">
        <f>SUM(D5:D6)</f>
        <v>38.661</v>
      </c>
      <c r="E7" s="23">
        <f>SUM(E5:E6)</f>
        <v>55.654</v>
      </c>
      <c r="F7" s="23">
        <f>SUM(F5:F6)</f>
        <v>50.973</v>
      </c>
      <c r="G7" s="23">
        <f>SUM(G5:G6)</f>
        <v>32.258</v>
      </c>
      <c r="H7" s="23">
        <f>SUM(H5:H6)</f>
        <v>23.656</v>
      </c>
      <c r="I7" s="23">
        <f>SUM(I5:I6)</f>
        <v>18.266000000000002</v>
      </c>
      <c r="J7" s="23">
        <f>SUM(J5:J6)</f>
        <v>25.667</v>
      </c>
      <c r="K7" s="23">
        <f>SUM(K5:K6)</f>
        <v>24.558</v>
      </c>
      <c r="L7" s="23">
        <f>SUM(L5:L6)</f>
        <v>25.502000000000002</v>
      </c>
      <c r="M7" s="23">
        <f>SUM(M5:M6)</f>
        <v>25.197</v>
      </c>
      <c r="N7" s="23">
        <f>SUM(N5:N6)</f>
        <v>32.808</v>
      </c>
    </row>
    <row r="8">
      <c r="A8" s="2" t="inlineStr">
        <is>
          <t>Operating Income</t>
        </is>
      </c>
      <c r="B8" s="23">
        <f>B4-B7</f>
        <v>-35.833</v>
      </c>
      <c r="C8" s="23">
        <f>C4-C7</f>
        <v>-28.897</v>
      </c>
      <c r="D8" s="23">
        <f>D4-D7</f>
        <v>-38.142</v>
      </c>
      <c r="E8" s="23">
        <f>E4-E7</f>
        <v>-55.02</v>
      </c>
      <c r="F8" s="23">
        <f>F4-F7</f>
        <v>-50.682</v>
      </c>
      <c r="G8" s="23">
        <f>G4-G7</f>
        <v>-19.824000000000005</v>
      </c>
      <c r="H8" s="23">
        <f>H4-H7</f>
        <v>-20.892</v>
      </c>
      <c r="I8" s="23">
        <f>I4-I7</f>
        <v>-11.852000000000002</v>
      </c>
      <c r="J8" s="23">
        <f>J4-J7</f>
        <v>-21.662000000000003</v>
      </c>
      <c r="K8" s="23">
        <f>K4-K7</f>
        <v>-22.54</v>
      </c>
      <c r="L8" s="23">
        <f>L4-L7</f>
        <v>-25.502000000000002</v>
      </c>
      <c r="M8" s="23">
        <f>M4-M7</f>
        <v>-24.18</v>
      </c>
      <c r="N8" s="23">
        <f>N4-N7</f>
        <v>-32.808</v>
      </c>
    </row>
    <row r="9">
      <c r="A9" s="19" t="inlineStr">
        <is>
          <t>Interest &amp; Other</t>
        </is>
      </c>
      <c r="B9" s="23" t="n">
        <v>-12.37</v>
      </c>
      <c r="C9" s="23" t="n">
        <v>-7.204</v>
      </c>
      <c r="D9" s="23" t="n">
        <v>10.644</v>
      </c>
      <c r="E9" s="23" t="n">
        <v>38.668</v>
      </c>
      <c r="F9" s="23" t="n">
        <v>35.338</v>
      </c>
      <c r="G9" s="23" t="n">
        <v>12.113</v>
      </c>
      <c r="H9" s="23" t="n">
        <v>7.948</v>
      </c>
      <c r="I9" s="23" t="n">
        <v>3.353</v>
      </c>
      <c r="J9" s="23" t="n">
        <v>8.789999999999999</v>
      </c>
      <c r="K9" s="23" t="n">
        <v>3.576</v>
      </c>
      <c r="L9" s="23" t="n">
        <v>5.252</v>
      </c>
      <c r="M9" s="23" t="n">
        <v>5.818</v>
      </c>
      <c r="N9" s="23" t="n">
        <v>5.834</v>
      </c>
    </row>
    <row r="10">
      <c r="A10" s="2" t="inlineStr">
        <is>
          <t>Pretax</t>
        </is>
      </c>
      <c r="B10" s="23">
        <f>B8+B9</f>
        <v>-48.202999999999996</v>
      </c>
      <c r="C10" s="23">
        <f>C8+C9</f>
        <v>-36.101</v>
      </c>
      <c r="D10" s="23">
        <f>D8+D9</f>
        <v>-27.498000000000005</v>
      </c>
      <c r="E10" s="23">
        <f>E8+E9</f>
        <v>-16.352000000000004</v>
      </c>
      <c r="F10" s="23">
        <f>F8+F9</f>
        <v>-15.344000000000001</v>
      </c>
      <c r="G10" s="23">
        <f>G8+G9</f>
        <v>-7.711000000000006</v>
      </c>
      <c r="H10" s="23">
        <f>H8+H9</f>
        <v>-12.943999999999999</v>
      </c>
      <c r="I10" s="23">
        <f>I8+I9</f>
        <v>-8.499000000000002</v>
      </c>
      <c r="J10" s="23">
        <f>J8+J9</f>
        <v>-12.872000000000003</v>
      </c>
      <c r="K10" s="23">
        <f>K8+K9</f>
        <v>-18.964</v>
      </c>
      <c r="L10" s="23">
        <f>L8+L9</f>
        <v>-20.250000000000004</v>
      </c>
      <c r="M10" s="23">
        <f>M8+M9</f>
        <v>-18.362000000000002</v>
      </c>
      <c r="N10" s="23">
        <f>N8+N9</f>
        <v>-26.974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0.8</v>
      </c>
      <c r="G11" s="23" t="n">
        <v>0.2</v>
      </c>
      <c r="H11" s="23" t="n">
        <v>0.1</v>
      </c>
      <c r="I11" s="23" t="n">
        <v>0</v>
      </c>
      <c r="J11" s="23" t="n">
        <v>0.115</v>
      </c>
      <c r="K11" s="23" t="n">
        <v>0.2</v>
      </c>
      <c r="L11" s="23" t="n">
        <v>0</v>
      </c>
      <c r="M11" s="23" t="n">
        <v>0.1</v>
      </c>
      <c r="N11" s="23" t="n">
        <v>0</v>
      </c>
    </row>
    <row r="12">
      <c r="A12" s="2" t="inlineStr">
        <is>
          <t>Net Income</t>
        </is>
      </c>
      <c r="B12" s="23" t="n">
        <v>-48.203</v>
      </c>
      <c r="C12" s="23" t="n">
        <v>-36.101</v>
      </c>
      <c r="D12" s="23" t="n">
        <v>-27.498</v>
      </c>
      <c r="E12" s="23" t="n">
        <v>-16.352</v>
      </c>
      <c r="F12" s="23" t="n">
        <v>-16.144</v>
      </c>
      <c r="G12" s="23" t="n">
        <v>-7.911</v>
      </c>
      <c r="H12" s="23" t="n">
        <v>-13.044</v>
      </c>
      <c r="I12" s="23" t="n">
        <v>-8.499000000000001</v>
      </c>
      <c r="J12" s="23" t="n">
        <v>-12.987</v>
      </c>
      <c r="K12" s="23" t="n">
        <v>-19.164</v>
      </c>
      <c r="L12" s="23" t="n">
        <v>-20.25</v>
      </c>
      <c r="M12" s="23" t="n">
        <v>-18.462</v>
      </c>
      <c r="N12" s="23" t="n">
        <v>-26.974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0</v>
      </c>
      <c r="M13" s="11">
        <f>IFERROR(M12/M14,0)</f>
        <v>0</v>
      </c>
      <c r="N13" s="11">
        <f>IFERROR(N12/N14,0)</f>
        <v>0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</row>
    <row r="15"/>
    <row r="16" customFormat="1" s="4">
      <c r="A16" s="3" t="inlineStr">
        <is>
          <t>Revenue Change</t>
        </is>
      </c>
      <c r="C16" s="15">
        <f>IFERROR(C2/B2-1,"")</f>
        <v>0.5870901639344261</v>
      </c>
      <c r="D16" s="15">
        <f>IFERROR(D2/C2-1,"")</f>
        <v>-0.6649451258876695</v>
      </c>
      <c r="E16" s="15">
        <f>IFERROR(E2/D2-1,"")</f>
        <v>0.22157996146435455</v>
      </c>
      <c r="F16" s="15">
        <f>IFERROR(F2/E2-1,"")</f>
        <v>-0.5410094637223974</v>
      </c>
      <c r="G16" s="15">
        <f>IFERROR(G2/F2-1,"")</f>
        <v>41.72852233676976</v>
      </c>
      <c r="H16" s="15">
        <f>IFERROR(H2/G2-1,"")</f>
        <v>-0.777706289207013</v>
      </c>
      <c r="I16" s="15">
        <f>IFERROR(I2/H2-1,"")</f>
        <v>1.3205499276411001</v>
      </c>
      <c r="J16" s="15">
        <f>IFERROR(J2/I2-1,"")</f>
        <v>-0.37558465855940126</v>
      </c>
      <c r="K16" s="15">
        <f>IFERROR(K2/J2-1,"")</f>
        <v>-0.49612983770287145</v>
      </c>
      <c r="L16" s="15">
        <f>IFERROR(L2/K2-1,"")</f>
        <v>-1.0</v>
      </c>
      <c r="M16" s="15">
        <f>IFERROR(M2/L2-1,"")</f>
        <v/>
      </c>
      <c r="N16" s="15">
        <f>IFERROR(N2/M2-1,"")</f>
        <v>-1.0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/>
      </c>
      <c r="M17" s="15">
        <f>IFERROR(M4/M2,"")</f>
        <v>1.0</v>
      </c>
      <c r="N17" s="15">
        <f>IFERROR(N4/N2,"")</f>
        <v/>
      </c>
    </row>
    <row r="18">
      <c r="A18" s="14" t="inlineStr">
        <is>
          <t>Operating Margin</t>
        </is>
      </c>
      <c r="B18" s="15">
        <f>IFERROR(B8/B2,"")</f>
        <v>-36.71413934426229</v>
      </c>
      <c r="C18" s="15">
        <f>IFERROR(C8/C2,"")</f>
        <v>-18.65526145900581</v>
      </c>
      <c r="D18" s="15">
        <f>IFERROR(D8/D2,"")</f>
        <v>-73.4913294797688</v>
      </c>
      <c r="E18" s="15">
        <f>IFERROR(E8/E2,"")</f>
        <v>-86.78233438485805</v>
      </c>
      <c r="F18" s="15">
        <f>IFERROR(F8/F2,"")</f>
        <v>-174.16494845360828</v>
      </c>
      <c r="G18" s="15">
        <f>IFERROR(G8/G2,"")</f>
        <v>-1.5943381051954324</v>
      </c>
      <c r="H18" s="15">
        <f>IFERROR(H8/H2,"")</f>
        <v>-7.558610709117222</v>
      </c>
      <c r="I18" s="15">
        <f>IFERROR(I8/I2,"")</f>
        <v>-1.8478328656064862</v>
      </c>
      <c r="J18" s="15">
        <f>IFERROR(J8/J2,"")</f>
        <v>-5.4087390761548075</v>
      </c>
      <c r="K18" s="15">
        <f>IFERROR(K8/K2,"")</f>
        <v>-11.169474727452924</v>
      </c>
      <c r="L18" s="15">
        <f>IFERROR(L8/L2,"")</f>
        <v/>
      </c>
      <c r="M18" s="15">
        <f>IFERROR(M8/M2,"")</f>
        <v>-23.77581120943953</v>
      </c>
      <c r="N18" s="15">
        <f>IFERROR(N8/N2,"")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2026-10-21T01:05:54Z</dcterms:modified>
  <cp:lastModifiedBy>Wang, Eric</cp:lastModifiedBy>
</cp:coreProperties>
</file>