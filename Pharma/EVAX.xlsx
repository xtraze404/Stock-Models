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Evaxion A/S</t>
        </is>
      </c>
      <c r="C2" s="10" t="n"/>
    </row>
    <row r="3">
      <c r="B3" t="inlineStr">
        <is>
          <t>Price</t>
        </is>
      </c>
      <c r="C3" s="11">
        <f>INDEX([1]Pharma!$F$1:$F$1000,MATCH("EVAX",[1]Pharma!$B$1:$B$1000,0))</f>
        <v>4.05</v>
      </c>
      <c r="F3" s="1" t="n"/>
    </row>
    <row r="4">
      <c r="B4" t="inlineStr">
        <is>
          <t>Shares</t>
        </is>
      </c>
      <c r="C4" s="21">
        <f>417.010756/50</f>
        <v>8.34021512</v>
      </c>
      <c r="F4" s="1" t="n"/>
    </row>
    <row r="5">
      <c r="B5" t="inlineStr">
        <is>
          <t>Market Cap.</t>
        </is>
      </c>
      <c r="C5" s="13">
        <f>C3*C4</f>
        <v>33.777871235999996</v>
      </c>
      <c r="F5" s="1" t="n"/>
    </row>
    <row r="6"/>
    <row r="7">
      <c r="B7" t="inlineStr">
        <is>
          <t>Cash</t>
        </is>
      </c>
      <c r="C7" s="21" t="n">
        <v>23.234</v>
      </c>
    </row>
    <row r="8">
      <c r="B8" t="inlineStr">
        <is>
          <t>Debt</t>
        </is>
      </c>
      <c r="C8" s="21">
        <f>0.19+5.347</f>
        <v>5.537000000000001</v>
      </c>
    </row>
    <row r="9">
      <c r="B9" t="inlineStr">
        <is>
          <t>Enterprise V.</t>
        </is>
      </c>
      <c r="C9" s="13">
        <f>C5-C7+C8</f>
        <v>16.080871235999993</v>
      </c>
    </row>
    <row r="10"/>
    <row r="11">
      <c r="B11" s="14" t="inlineStr">
        <is>
          <t>Net Cash / Share</t>
        </is>
      </c>
      <c r="C11" s="11">
        <f>(C7-C8)/C4</f>
        <v>2.1218877145701254</v>
      </c>
    </row>
    <row r="12">
      <c r="B12" s="14" t="inlineStr">
        <is>
          <t>Upside</t>
        </is>
      </c>
      <c r="C12" s="15">
        <f>IFERROR(C11/C3-1,"")</f>
        <v>-0.47607710751354926</v>
      </c>
    </row>
    <row r="13">
      <c r="B13" s="14" t="inlineStr">
        <is>
          <t>Cash / Share</t>
        </is>
      </c>
      <c r="C13" s="11">
        <f>IFERROR((C7-C8)/C4,"")</f>
        <v>2.1218877145701254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-6.625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2.671245283018868</v>
      </c>
    </row>
    <row r="19">
      <c r="B19" s="14" t="inlineStr">
        <is>
          <t>Implied Pipeline Value</t>
        </is>
      </c>
      <c r="C19" s="13">
        <f>C9</f>
        <v>16.080871235999993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0.073</v>
      </c>
      <c r="H2" s="23" t="n">
        <v>3.344</v>
      </c>
      <c r="I2" s="23" t="n">
        <v>7.528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0.073</v>
      </c>
      <c r="H4" s="23">
        <f>H2-H3</f>
        <v>3.344</v>
      </c>
      <c r="I4" s="23">
        <f>I2-I3</f>
        <v>7.528</v>
      </c>
      <c r="J4" s="1" t="n"/>
      <c r="K4" s="1" t="n"/>
    </row>
    <row r="5">
      <c r="A5" s="2" t="inlineStr">
        <is>
          <t>Research &amp; Dev.</t>
        </is>
      </c>
      <c r="B5" s="23" t="n">
        <v>3.729</v>
      </c>
      <c r="C5" s="23" t="n">
        <v>8.215999999999999</v>
      </c>
      <c r="D5" s="23" t="n">
        <v>10.902</v>
      </c>
      <c r="E5" s="23" t="n">
        <v>19.583</v>
      </c>
      <c r="F5" s="23" t="n">
        <v>17.056</v>
      </c>
      <c r="G5" s="23" t="n">
        <v>11.916</v>
      </c>
      <c r="H5" s="23" t="n">
        <v>10.457</v>
      </c>
      <c r="I5" s="23" t="n">
        <v>9.975</v>
      </c>
      <c r="J5" s="1" t="n"/>
      <c r="K5" s="1" t="n"/>
    </row>
    <row r="6">
      <c r="A6" s="19" t="inlineStr">
        <is>
          <t>SG&amp;A &amp; Other</t>
        </is>
      </c>
      <c r="B6" s="23" t="n">
        <v>1.898</v>
      </c>
      <c r="C6" s="23" t="n">
        <v>2.647</v>
      </c>
      <c r="D6" s="23" t="n">
        <v>5.666</v>
      </c>
      <c r="E6" s="23" t="n">
        <v>6.251</v>
      </c>
      <c r="F6" s="23" t="n">
        <v>8.208</v>
      </c>
      <c r="G6" s="23" t="n">
        <v>10.354</v>
      </c>
      <c r="H6" s="23" t="n">
        <v>7.619</v>
      </c>
      <c r="I6" s="23" t="n">
        <v>6.787</v>
      </c>
      <c r="J6" s="1" t="n"/>
      <c r="K6" s="1" t="n"/>
    </row>
    <row r="7">
      <c r="A7" s="2" t="inlineStr">
        <is>
          <t>Operating Expense</t>
        </is>
      </c>
      <c r="B7" s="23">
        <f>SUM(B5:B6)</f>
        <v>5.627</v>
      </c>
      <c r="C7" s="23">
        <f>SUM(C5:C6)</f>
        <v>10.863</v>
      </c>
      <c r="D7" s="23">
        <f>SUM(D5:D6)</f>
        <v>16.567999999999998</v>
      </c>
      <c r="E7" s="23">
        <f>SUM(E5:E6)</f>
        <v>25.834</v>
      </c>
      <c r="F7" s="23">
        <f>SUM(F5:F6)</f>
        <v>25.264000000000003</v>
      </c>
      <c r="G7" s="23">
        <f>SUM(G5:G6)</f>
        <v>22.27</v>
      </c>
      <c r="H7" s="23">
        <f>SUM(H5:H6)</f>
        <v>18.076</v>
      </c>
      <c r="I7" s="23">
        <f>SUM(I5:I6)</f>
        <v>16.762</v>
      </c>
      <c r="J7" s="1" t="n"/>
      <c r="K7" s="1" t="n"/>
    </row>
    <row r="8">
      <c r="A8" s="2" t="inlineStr">
        <is>
          <t>Operating Income</t>
        </is>
      </c>
      <c r="B8" s="23">
        <f>B4-B7</f>
        <v>-5.627</v>
      </c>
      <c r="C8" s="23">
        <f>C4-C7</f>
        <v>-10.863</v>
      </c>
      <c r="D8" s="23">
        <f>D4-D7</f>
        <v>-16.567999999999998</v>
      </c>
      <c r="E8" s="23">
        <f>E4-E7</f>
        <v>-25.834</v>
      </c>
      <c r="F8" s="23">
        <f>F4-F7</f>
        <v>-25.264000000000003</v>
      </c>
      <c r="G8" s="23">
        <f>G4-G7</f>
        <v>-22.197</v>
      </c>
      <c r="H8" s="23">
        <f>H4-H7</f>
        <v>-14.732000000000001</v>
      </c>
      <c r="I8" s="23">
        <f>I4-I7</f>
        <v>-9.234000000000002</v>
      </c>
      <c r="J8" s="1" t="n"/>
      <c r="K8" s="1" t="n"/>
    </row>
    <row r="9">
      <c r="A9" s="19" t="inlineStr">
        <is>
          <t>Interest &amp; Other</t>
        </is>
      </c>
      <c r="B9" s="23" t="n">
        <v>-0.643</v>
      </c>
      <c r="C9" s="23" t="n">
        <v>-1.157</v>
      </c>
      <c r="D9" s="23" t="n">
        <v>-0.007</v>
      </c>
      <c r="E9" s="23" t="n">
        <v>1.124</v>
      </c>
      <c r="F9" s="23" t="n">
        <v>1.323</v>
      </c>
      <c r="G9" s="23" t="n">
        <v>-0.718</v>
      </c>
      <c r="H9" s="23" t="n">
        <v>3.377</v>
      </c>
      <c r="I9" s="23" t="n">
        <v>0.619</v>
      </c>
    </row>
    <row r="10">
      <c r="A10" s="2" t="inlineStr">
        <is>
          <t>Pretax</t>
        </is>
      </c>
      <c r="B10" s="23">
        <f>B8+B9</f>
        <v>-6.27</v>
      </c>
      <c r="C10" s="23">
        <f>C8+C9</f>
        <v>-12.02</v>
      </c>
      <c r="D10" s="23">
        <f>D8+D9</f>
        <v>-16.575</v>
      </c>
      <c r="E10" s="23">
        <f>E8+E9</f>
        <v>-24.71</v>
      </c>
      <c r="F10" s="23">
        <f>F8+F9</f>
        <v>-23.941000000000003</v>
      </c>
      <c r="G10" s="23">
        <f>G8+G9</f>
        <v>-22.915</v>
      </c>
      <c r="H10" s="23">
        <f>H8+H9</f>
        <v>-11.355</v>
      </c>
      <c r="I10" s="23">
        <f>I8+I9</f>
        <v>-8.615000000000002</v>
      </c>
      <c r="J10" s="1" t="n"/>
      <c r="K10" s="1" t="n"/>
    </row>
    <row r="11">
      <c r="A11" s="2" t="inlineStr">
        <is>
          <t>Taxes</t>
        </is>
      </c>
      <c r="B11" s="23" t="n">
        <v>-0.735</v>
      </c>
      <c r="C11" s="23" t="n">
        <v>-0.825</v>
      </c>
      <c r="D11" s="23" t="n">
        <v>-1.557</v>
      </c>
      <c r="E11" s="23" t="n">
        <v>-0.178</v>
      </c>
      <c r="F11" s="23" t="n">
        <v>-0.772</v>
      </c>
      <c r="G11" s="23" t="n">
        <v>-0.79</v>
      </c>
      <c r="H11" s="23" t="n">
        <v>-0.788</v>
      </c>
      <c r="I11" s="23" t="n">
        <v>-0.908</v>
      </c>
    </row>
    <row r="12">
      <c r="A12" s="2" t="inlineStr">
        <is>
          <t>Net Income</t>
        </is>
      </c>
      <c r="B12" s="23" t="n">
        <v>-5.535</v>
      </c>
      <c r="C12" s="23" t="n">
        <v>-11.195</v>
      </c>
      <c r="D12" s="23" t="n">
        <v>-15.018</v>
      </c>
      <c r="E12" s="23" t="n">
        <v>-24.532</v>
      </c>
      <c r="F12" s="23" t="n">
        <v>-23.169</v>
      </c>
      <c r="G12" s="23" t="n">
        <v>-22.125</v>
      </c>
      <c r="H12" s="23" t="n">
        <v>-10.567</v>
      </c>
      <c r="I12" s="23" t="n">
        <v>-7.707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-0.03570875590307347</v>
      </c>
      <c r="C13" s="11">
        <f>IFERROR(C12/C14,0)</f>
        <v>-0.0671533459701994</v>
      </c>
      <c r="D13" s="11">
        <f>IFERROR(D12/D14,0)</f>
        <v>-0.08108326989423217</v>
      </c>
      <c r="E13" s="11">
        <f>IFERROR(E12/E14,0)</f>
        <v>-0.10487435768089672</v>
      </c>
      <c r="F13" s="11">
        <f>IFERROR(F12/F14,0)</f>
        <v>-0.08167761859100908</v>
      </c>
      <c r="G13" s="11">
        <f>IFERROR(G12/G14,0)</f>
        <v>-0.0674480992592141</v>
      </c>
      <c r="H13" s="11">
        <f>IFERROR(H12/H14,0)</f>
        <v>-0.0328303305402542</v>
      </c>
      <c r="I13" s="11">
        <f>IFERROR(I12/I14,0)</f>
        <v>-0.02405385666935076</v>
      </c>
    </row>
    <row r="14">
      <c r="A14" s="2" t="inlineStr">
        <is>
          <t>Shares</t>
        </is>
      </c>
      <c r="B14" s="23" t="n">
        <v>155.004</v>
      </c>
      <c r="C14" s="23" t="n">
        <v>166.708</v>
      </c>
      <c r="D14" s="23" t="n">
        <v>185.217</v>
      </c>
      <c r="E14" s="23" t="n">
        <v>233.918</v>
      </c>
      <c r="F14" s="23" t="n">
        <v>283.664</v>
      </c>
      <c r="G14" s="23" t="n">
        <v>328.03</v>
      </c>
      <c r="H14" s="23" t="n">
        <v>321.867</v>
      </c>
      <c r="I14" s="23" t="n">
        <v>320.406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44.80821917808219</v>
      </c>
      <c r="I16" s="15">
        <f>IFERROR(I2/H2-1,"")</f>
        <v>1.2511961722488039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-304.06849315068496</v>
      </c>
      <c r="H18" s="15">
        <f>IFERROR(H8/H2,"")</f>
        <v>-4.4055023923444985</v>
      </c>
      <c r="I18" s="15">
        <f>IFERROR(I8/I2,"")</f>
        <v>-1.2266206163655688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2026-10-21T01:06:26Z</dcterms:modified>
  <cp:lastModifiedBy>Wang, Eric</cp:lastModifiedBy>
</cp:coreProperties>
</file>