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Evaxion A/S</t>
        </is>
      </c>
      <c r="C2" s="10" t="n"/>
    </row>
    <row r="3">
      <c r="B3" t="inlineStr">
        <is>
          <t>Price</t>
        </is>
      </c>
      <c r="C3" s="11">
        <f>INDEX([1]Pharma!$F$1:$F$1000,MATCH("EVAX",[1]Pharma!$B$1:$B$1000,0))</f>
        <v>4.05</v>
      </c>
      <c r="F3" s="1" t="n"/>
    </row>
    <row r="4">
      <c r="B4" t="inlineStr">
        <is>
          <t>Shares</t>
        </is>
      </c>
      <c r="C4" s="21">
        <f>417.010756/50</f>
        <v>8.34021512</v>
      </c>
      <c r="F4" s="1" t="n"/>
    </row>
    <row r="5">
      <c r="B5" t="inlineStr">
        <is>
          <t>Market Cap.</t>
        </is>
      </c>
      <c r="C5" s="13">
        <f>C3*C4</f>
        <v>33.777871235999996</v>
      </c>
      <c r="F5" s="1" t="n"/>
    </row>
    <row r="6"/>
    <row r="7">
      <c r="B7" t="inlineStr">
        <is>
          <t>Cash</t>
        </is>
      </c>
      <c r="C7" s="21" t="n">
        <v>23.234</v>
      </c>
    </row>
    <row r="8">
      <c r="B8" t="inlineStr">
        <is>
          <t>Debt</t>
        </is>
      </c>
      <c r="C8" s="21">
        <f>0.19+5.347</f>
        <v>5.537000000000001</v>
      </c>
    </row>
    <row r="9">
      <c r="B9" t="inlineStr">
        <is>
          <t>Enterprise V.</t>
        </is>
      </c>
      <c r="C9" s="13">
        <f>C5-C7+C8</f>
        <v>16.080871235999993</v>
      </c>
    </row>
    <row r="10"/>
    <row r="11">
      <c r="B11" s="14" t="inlineStr">
        <is>
          <t>rNPV / Share</t>
        </is>
      </c>
      <c r="C11" s="11">
        <f>NPV!B27</f>
        <v>16.435645004183307</v>
      </c>
    </row>
    <row r="12">
      <c r="B12" s="14" t="inlineStr">
        <is>
          <t>Upside</t>
        </is>
      </c>
      <c r="C12" s="15">
        <f>IFERROR(C11/C3-1,"")</f>
        <v>3.058183951650199</v>
      </c>
    </row>
    <row r="13">
      <c r="B13" s="14" t="inlineStr">
        <is>
          <t>Cash / Share</t>
        </is>
      </c>
      <c r="C13" s="11">
        <f>IFERROR((C7-C8)/C4,"")</f>
        <v>2.1218877145701254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-6.625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2.671245283018868</v>
      </c>
    </row>
    <row r="19">
      <c r="B19" s="14" t="inlineStr">
        <is>
          <t>Implied Pipeline Value</t>
        </is>
      </c>
      <c r="C19" s="13">
        <f>C9</f>
        <v>16.080871235999993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0.073</v>
      </c>
      <c r="H2" s="23" t="n">
        <v>3.344</v>
      </c>
      <c r="I2" s="23" t="n">
        <v>7.528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0.073</v>
      </c>
      <c r="H4" s="23">
        <f>H2-H3</f>
        <v>3.344</v>
      </c>
      <c r="I4" s="23">
        <f>I2-I3</f>
        <v>7.528</v>
      </c>
      <c r="J4" s="1" t="n"/>
      <c r="K4" s="1" t="n"/>
    </row>
    <row r="5">
      <c r="A5" s="2" t="inlineStr">
        <is>
          <t>Research &amp; Dev.</t>
        </is>
      </c>
      <c r="B5" s="23" t="n">
        <v>3.729</v>
      </c>
      <c r="C5" s="23" t="n">
        <v>8.215999999999999</v>
      </c>
      <c r="D5" s="23" t="n">
        <v>10.902</v>
      </c>
      <c r="E5" s="23" t="n">
        <v>19.583</v>
      </c>
      <c r="F5" s="23" t="n">
        <v>17.056</v>
      </c>
      <c r="G5" s="23" t="n">
        <v>11.916</v>
      </c>
      <c r="H5" s="23" t="n">
        <v>10.457</v>
      </c>
      <c r="I5" s="23" t="n">
        <v>9.975</v>
      </c>
      <c r="J5" s="1" t="n"/>
      <c r="K5" s="1" t="n"/>
    </row>
    <row r="6">
      <c r="A6" s="19" t="inlineStr">
        <is>
          <t>SG&amp;A &amp; Other</t>
        </is>
      </c>
      <c r="B6" s="23" t="n">
        <v>1.898</v>
      </c>
      <c r="C6" s="23" t="n">
        <v>2.647</v>
      </c>
      <c r="D6" s="23" t="n">
        <v>5.666</v>
      </c>
      <c r="E6" s="23" t="n">
        <v>6.251</v>
      </c>
      <c r="F6" s="23" t="n">
        <v>8.208</v>
      </c>
      <c r="G6" s="23" t="n">
        <v>10.354</v>
      </c>
      <c r="H6" s="23" t="n">
        <v>7.619</v>
      </c>
      <c r="I6" s="23" t="n">
        <v>6.787</v>
      </c>
      <c r="J6" s="1" t="n"/>
      <c r="K6" s="1" t="n"/>
    </row>
    <row r="7">
      <c r="A7" s="2" t="inlineStr">
        <is>
          <t>Operating Expense</t>
        </is>
      </c>
      <c r="B7" s="23">
        <f>SUM(B5:B6)</f>
        <v>5.627</v>
      </c>
      <c r="C7" s="23">
        <f>SUM(C5:C6)</f>
        <v>10.863</v>
      </c>
      <c r="D7" s="23">
        <f>SUM(D5:D6)</f>
        <v>16.567999999999998</v>
      </c>
      <c r="E7" s="23">
        <f>SUM(E5:E6)</f>
        <v>25.834</v>
      </c>
      <c r="F7" s="23">
        <f>SUM(F5:F6)</f>
        <v>25.264000000000003</v>
      </c>
      <c r="G7" s="23">
        <f>SUM(G5:G6)</f>
        <v>22.27</v>
      </c>
      <c r="H7" s="23">
        <f>SUM(H5:H6)</f>
        <v>18.076</v>
      </c>
      <c r="I7" s="23">
        <f>SUM(I5:I6)</f>
        <v>16.762</v>
      </c>
      <c r="J7" s="1" t="n"/>
      <c r="K7" s="1" t="n"/>
    </row>
    <row r="8">
      <c r="A8" s="2" t="inlineStr">
        <is>
          <t>Operating Income</t>
        </is>
      </c>
      <c r="B8" s="23">
        <f>B4-B7</f>
        <v>-5.627</v>
      </c>
      <c r="C8" s="23">
        <f>C4-C7</f>
        <v>-10.863</v>
      </c>
      <c r="D8" s="23">
        <f>D4-D7</f>
        <v>-16.567999999999998</v>
      </c>
      <c r="E8" s="23">
        <f>E4-E7</f>
        <v>-25.834</v>
      </c>
      <c r="F8" s="23">
        <f>F4-F7</f>
        <v>-25.264000000000003</v>
      </c>
      <c r="G8" s="23">
        <f>G4-G7</f>
        <v>-22.197</v>
      </c>
      <c r="H8" s="23">
        <f>H4-H7</f>
        <v>-14.732000000000001</v>
      </c>
      <c r="I8" s="23">
        <f>I4-I7</f>
        <v>-9.234000000000002</v>
      </c>
      <c r="J8" s="1" t="n"/>
      <c r="K8" s="1" t="n"/>
    </row>
    <row r="9">
      <c r="A9" s="19" t="inlineStr">
        <is>
          <t>Interest &amp; Other</t>
        </is>
      </c>
      <c r="B9" s="23" t="n">
        <v>-0.643</v>
      </c>
      <c r="C9" s="23" t="n">
        <v>-1.157</v>
      </c>
      <c r="D9" s="23" t="n">
        <v>-0.007</v>
      </c>
      <c r="E9" s="23" t="n">
        <v>1.124</v>
      </c>
      <c r="F9" s="23" t="n">
        <v>1.323</v>
      </c>
      <c r="G9" s="23" t="n">
        <v>-0.718</v>
      </c>
      <c r="H9" s="23" t="n">
        <v>3.377</v>
      </c>
      <c r="I9" s="23" t="n">
        <v>0.619</v>
      </c>
    </row>
    <row r="10">
      <c r="A10" s="2" t="inlineStr">
        <is>
          <t>Pretax</t>
        </is>
      </c>
      <c r="B10" s="23">
        <f>B8+B9</f>
        <v>-6.27</v>
      </c>
      <c r="C10" s="23">
        <f>C8+C9</f>
        <v>-12.02</v>
      </c>
      <c r="D10" s="23">
        <f>D8+D9</f>
        <v>-16.575</v>
      </c>
      <c r="E10" s="23">
        <f>E8+E9</f>
        <v>-24.71</v>
      </c>
      <c r="F10" s="23">
        <f>F8+F9</f>
        <v>-23.941000000000003</v>
      </c>
      <c r="G10" s="23">
        <f>G8+G9</f>
        <v>-22.915</v>
      </c>
      <c r="H10" s="23">
        <f>H8+H9</f>
        <v>-11.355</v>
      </c>
      <c r="I10" s="23">
        <f>I8+I9</f>
        <v>-8.615000000000002</v>
      </c>
      <c r="J10" s="1" t="n"/>
      <c r="K10" s="1" t="n"/>
    </row>
    <row r="11">
      <c r="A11" s="2" t="inlineStr">
        <is>
          <t>Taxes</t>
        </is>
      </c>
      <c r="B11" s="23" t="n">
        <v>-0.735</v>
      </c>
      <c r="C11" s="23" t="n">
        <v>-0.825</v>
      </c>
      <c r="D11" s="23" t="n">
        <v>-1.557</v>
      </c>
      <c r="E11" s="23" t="n">
        <v>-0.178</v>
      </c>
      <c r="F11" s="23" t="n">
        <v>-0.772</v>
      </c>
      <c r="G11" s="23" t="n">
        <v>-0.79</v>
      </c>
      <c r="H11" s="23" t="n">
        <v>-0.788</v>
      </c>
      <c r="I11" s="23" t="n">
        <v>-0.908</v>
      </c>
    </row>
    <row r="12">
      <c r="A12" s="2" t="inlineStr">
        <is>
          <t>Net Income</t>
        </is>
      </c>
      <c r="B12" s="23" t="n">
        <v>-5.535</v>
      </c>
      <c r="C12" s="23" t="n">
        <v>-11.195</v>
      </c>
      <c r="D12" s="23" t="n">
        <v>-15.018</v>
      </c>
      <c r="E12" s="23" t="n">
        <v>-24.532</v>
      </c>
      <c r="F12" s="23" t="n">
        <v>-23.169</v>
      </c>
      <c r="G12" s="23" t="n">
        <v>-22.125</v>
      </c>
      <c r="H12" s="23" t="n">
        <v>-10.567</v>
      </c>
      <c r="I12" s="23" t="n">
        <v>-7.707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-0.03570875590307347</v>
      </c>
      <c r="C13" s="11">
        <f>IFERROR(C12/C14,0)</f>
        <v>-0.0671533459701994</v>
      </c>
      <c r="D13" s="11">
        <f>IFERROR(D12/D14,0)</f>
        <v>-0.08108326989423217</v>
      </c>
      <c r="E13" s="11">
        <f>IFERROR(E12/E14,0)</f>
        <v>-0.10487435768089672</v>
      </c>
      <c r="F13" s="11">
        <f>IFERROR(F12/F14,0)</f>
        <v>-0.08167761859100908</v>
      </c>
      <c r="G13" s="11">
        <f>IFERROR(G12/G14,0)</f>
        <v>-0.0674480992592141</v>
      </c>
      <c r="H13" s="11">
        <f>IFERROR(H12/H14,0)</f>
        <v>-0.0328303305402542</v>
      </c>
      <c r="I13" s="11">
        <f>IFERROR(I12/I14,0)</f>
        <v>-0.02405385666935076</v>
      </c>
    </row>
    <row r="14">
      <c r="A14" s="2" t="inlineStr">
        <is>
          <t>Shares</t>
        </is>
      </c>
      <c r="B14" s="23" t="n">
        <v>155.004</v>
      </c>
      <c r="C14" s="23" t="n">
        <v>166.708</v>
      </c>
      <c r="D14" s="23" t="n">
        <v>185.217</v>
      </c>
      <c r="E14" s="23" t="n">
        <v>233.918</v>
      </c>
      <c r="F14" s="23" t="n">
        <v>283.664</v>
      </c>
      <c r="G14" s="23" t="n">
        <v>328.03</v>
      </c>
      <c r="H14" s="23" t="n">
        <v>321.867</v>
      </c>
      <c r="I14" s="23" t="n">
        <v>320.406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44.80821917808219</v>
      </c>
      <c r="I16" s="15">
        <f>IFERROR(I2/H2-1,"")</f>
        <v>1.2511961722488039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-304.06849315068496</v>
      </c>
      <c r="H18" s="15">
        <f>IFERROR(H8/H2,"")</f>
        <v>-4.4055023923444985</v>
      </c>
      <c r="I18" s="15">
        <f>IFERROR(I8/I2,"")</f>
        <v>-1.2266206163655688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Evaxion A/S: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0.10799999999999998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9.234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119.8</v>
      </c>
    </row>
    <row r="22">
      <c r="A22" s="14" t="inlineStr">
        <is>
          <t>First year, fraction after the balance sheet date</t>
        </is>
      </c>
      <c r="B22" s="28" t="n">
        <v>1</v>
      </c>
    </row>
    <row r="23">
      <c r="A23" s="14" t="inlineStr">
        <is>
          <t>Balance sheet date</t>
        </is>
      </c>
      <c r="B23" s="41" t="n">
        <v>46022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119.37981497084206</v>
      </c>
      <c r="C29" s="42">
        <f>NPV!B25</f>
        <v>137.07681497084207</v>
      </c>
      <c r="D29" s="43">
        <f>NPV!B27</f>
        <v>16.435645004183307</v>
      </c>
      <c r="E29" s="44">
        <f>NPV!B29</f>
        <v>3.058183951650199</v>
      </c>
    </row>
    <row r="30">
      <c r="A30" s="45" t="n">
        <v>1</v>
      </c>
      <c r="B30" s="46">
        <f t="dataTable" ref="B30:E32" r1="B4"/>
        <v>33.2080296139365</v>
      </c>
      <c r="C30" s="46">
        <v>50.905029613936506</v>
      </c>
      <c r="D30" s="47">
        <v>6.103563143337303</v>
      </c>
      <c r="E30" s="48">
        <v>0.5070526279845193</v>
      </c>
    </row>
    <row r="31">
      <c r="A31" s="45" t="n">
        <v>2</v>
      </c>
      <c r="B31" s="46">
        <v>119.37981497084206</v>
      </c>
      <c r="C31" s="46">
        <v>137.07681497084207</v>
      </c>
      <c r="D31" s="47">
        <v>16.435645004183307</v>
      </c>
      <c r="E31" s="48">
        <v>3.058183951650199</v>
      </c>
    </row>
    <row r="32">
      <c r="A32" s="45" t="n">
        <v>3</v>
      </c>
      <c r="B32" s="46">
        <v>257.9433163693122</v>
      </c>
      <c r="C32" s="46">
        <v>275.6403163693122</v>
      </c>
      <c r="D32" s="47">
        <v>33.04954517399933</v>
      </c>
      <c r="E32" s="48">
        <v>7.160381524444279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16.435645004183307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4.525547169182061</v>
      </c>
      <c r="C37" s="47">
        <v>7.16783821743253</v>
      </c>
      <c r="D37" s="47">
        <v>9.74247866069121</v>
      </c>
      <c r="E37" s="47">
        <v>14.810446222523082</v>
      </c>
      <c r="F37" s="47">
        <v>19.83471021567308</v>
      </c>
    </row>
    <row r="38">
      <c r="A38" s="50" t="n">
        <v>0.8</v>
      </c>
      <c r="B38" s="47">
        <v>6.267969599693664</v>
      </c>
      <c r="C38" s="47">
        <v>9.714134208536912</v>
      </c>
      <c r="D38" s="47">
        <v>13.101245420449205</v>
      </c>
      <c r="E38" s="47">
        <v>19.807039569737622</v>
      </c>
      <c r="F38" s="47">
        <v>26.477038024207364</v>
      </c>
    </row>
    <row r="39">
      <c r="A39" s="50" t="n">
        <v>1</v>
      </c>
      <c r="B39" s="47">
        <v>7.972521715907951</v>
      </c>
      <c r="C39" s="47">
        <v>12.23264468267665</v>
      </c>
      <c r="D39" s="47">
        <v>16.435645004183307</v>
      </c>
      <c r="E39" s="47">
        <v>24.781867764654464</v>
      </c>
      <c r="F39" s="47">
        <v>33.08880013177221</v>
      </c>
    </row>
    <row r="40">
      <c r="A40" s="50" t="n">
        <v>1.2</v>
      </c>
      <c r="B40" s="47">
        <v>9.657445304228313</v>
      </c>
      <c r="C40" s="47">
        <v>14.726444202109422</v>
      </c>
      <c r="D40" s="47">
        <v>19.751698277866698</v>
      </c>
      <c r="E40" s="47">
        <v>29.745785794159314</v>
      </c>
      <c r="F40" s="47">
        <v>39.69274094629172</v>
      </c>
    </row>
    <row r="41">
      <c r="A41" s="50" t="n">
        <v>1.4</v>
      </c>
      <c r="B41" s="47">
        <v>11.327852106240046</v>
      </c>
      <c r="C41" s="47">
        <v>17.2202437215422</v>
      </c>
      <c r="D41" s="47">
        <v>23.059026859166103</v>
      </c>
      <c r="E41" s="47">
        <v>34.6919007499901</v>
      </c>
      <c r="F41" s="47">
        <v>46.296681760811246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Evaxion A/S: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Melanoma</t>
        </is>
      </c>
      <c r="C4" s="14" t="inlineStr">
        <is>
          <t>EVX-01</t>
        </is>
      </c>
      <c r="D4" s="14" t="inlineStr">
        <is>
          <t>Phase 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0.108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173.98129613353998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16.2</v>
      </c>
      <c r="S4" s="23">
        <f>IF(S$3&lt;$I4,0,$G4*Assumptions!$E$11*INDEX(Assumptions!$B$24:$G$24,MIN(6,S$3-$I4+1))*IF(S$3&gt;$J4,(1-Assumptions!$B$26)^(S$3-$J4),1)*IF($H4&gt;=1,1,MIN(0.97,$H4*Assumptions!$E$12)))</f>
        <v>40.5</v>
      </c>
      <c r="T4" s="23">
        <f>IF(T$3&lt;$I4,0,$G4*Assumptions!$E$11*INDEX(Assumptions!$B$24:$G$24,MIN(6,T$3-$I4+1))*IF(T$3&gt;$J4,(1-Assumptions!$B$26)^(T$3-$J4),1)*IF($H4&gt;=1,1,MIN(0.97,$H4*Assumptions!$E$12)))</f>
        <v>72.9</v>
      </c>
      <c r="U4" s="23">
        <f>IF(U$3&lt;$I4,0,$G4*Assumptions!$E$11*INDEX(Assumptions!$B$24:$G$24,MIN(6,U$3-$I4+1))*IF(U$3&gt;$J4,(1-Assumptions!$B$26)^(U$3-$J4),1)*IF($H4&gt;=1,1,MIN(0.97,$H4*Assumptions!$E$12)))</f>
        <v>105.3</v>
      </c>
      <c r="V4" s="23">
        <f>IF(V$3&lt;$I4,0,$G4*Assumptions!$E$11*INDEX(Assumptions!$B$24:$G$24,MIN(6,V$3-$I4+1))*IF(V$3&gt;$J4,(1-Assumptions!$B$26)^(V$3-$J4),1)*IF($H4&gt;=1,1,MIN(0.97,$H4*Assumptions!$E$12)))</f>
        <v>137.7</v>
      </c>
      <c r="W4" s="23">
        <f>IF(W$3&lt;$I4,0,$G4*Assumptions!$E$11*INDEX(Assumptions!$B$24:$G$24,MIN(6,W$3-$I4+1))*IF(W$3&gt;$J4,(1-Assumptions!$B$26)^(W$3-$J4),1)*IF($H4&gt;=1,1,MIN(0.97,$H4*Assumptions!$E$12)))</f>
        <v>162.0</v>
      </c>
      <c r="X4" s="23">
        <f>IF(X$3&lt;$I4,0,$G4*Assumptions!$E$11*INDEX(Assumptions!$B$24:$G$24,MIN(6,X$3-$I4+1))*IF(X$3&gt;$J4,(1-Assumptions!$B$26)^(X$3-$J4),1)*IF($H4&gt;=1,1,MIN(0.97,$H4*Assumptions!$E$12)))</f>
        <v>162.0</v>
      </c>
      <c r="Y4" s="23">
        <f>IF(Y$3&lt;$I4,0,$G4*Assumptions!$E$11*INDEX(Assumptions!$B$24:$G$24,MIN(6,Y$3-$I4+1))*IF(Y$3&gt;$J4,(1-Assumptions!$B$26)^(Y$3-$J4),1)*IF($H4&gt;=1,1,MIN(0.97,$H4*Assumptions!$E$12)))</f>
        <v>162.0</v>
      </c>
      <c r="Z4" s="23">
        <f>IF(Z$3&lt;$I4,0,$G4*Assumptions!$E$11*INDEX(Assumptions!$B$24:$G$24,MIN(6,Z$3-$I4+1))*IF(Z$3&gt;$J4,(1-Assumptions!$B$26)^(Z$3-$J4),1)*IF($H4&gt;=1,1,MIN(0.97,$H4*Assumptions!$E$12)))</f>
        <v>162.0</v>
      </c>
      <c r="AA4" s="23">
        <f>IF(AA$3&lt;$I4,0,$G4*Assumptions!$E$11*INDEX(Assumptions!$B$24:$G$24,MIN(6,AA$3-$I4+1))*IF(AA$3&gt;$J4,(1-Assumptions!$B$26)^(AA$3-$J4),1)*IF($H4&gt;=1,1,MIN(0.97,$H4*Assumptions!$E$12)))</f>
        <v>162.0</v>
      </c>
      <c r="AB4" s="23">
        <f>IF(AB$3&lt;$I4,0,$G4*Assumptions!$E$11*INDEX(Assumptions!$B$24:$G$24,MIN(6,AB$3-$I4+1))*IF(AB$3&gt;$J4,(1-Assumptions!$B$26)^(AB$3-$J4),1)*IF($H4&gt;=1,1,MIN(0.97,$H4*Assumptions!$E$12)))</f>
        <v>162.0</v>
      </c>
      <c r="AC4" s="23">
        <f>IF(AC$3&lt;$I4,0,$G4*Assumptions!$E$11*INDEX(Assumptions!$B$24:$G$24,MIN(6,AC$3-$I4+1))*IF(AC$3&gt;$J4,(1-Assumptions!$B$26)^(AC$3-$J4),1)*IF($H4&gt;=1,1,MIN(0.97,$H4*Assumptions!$E$12)))</f>
        <v>162.0</v>
      </c>
      <c r="AD4" s="23">
        <f>IF(AD$3&lt;$I4,0,$G4*Assumptions!$E$11*INDEX(Assumptions!$B$24:$G$24,MIN(6,AD$3-$I4+1))*IF(AD$3&gt;$J4,(1-Assumptions!$B$26)^(AD$3-$J4),1)*IF($H4&gt;=1,1,MIN(0.97,$H4*Assumptions!$E$12)))</f>
        <v>162.0</v>
      </c>
      <c r="AE4" s="23">
        <f>IF(AE$3&lt;$I4,0,$G4*Assumptions!$E$11*INDEX(Assumptions!$B$24:$G$24,MIN(6,AE$3-$I4+1))*IF(AE$3&gt;$J4,(1-Assumptions!$B$26)^(AE$3-$J4),1)*IF($H4&gt;=1,1,MIN(0.97,$H4*Assumptions!$E$12)))</f>
        <v>81.0</v>
      </c>
      <c r="AF4" s="23">
        <f>IF(AF$3&lt;$I4,0,$G4*Assumptions!$E$11*INDEX(Assumptions!$B$24:$G$24,MIN(6,AF$3-$I4+1))*IF(AF$3&gt;$J4,(1-Assumptions!$B$26)^(AF$3-$J4),1)*IF($H4&gt;=1,1,MIN(0.97,$H4*Assumptions!$E$12)))</f>
        <v>40.5</v>
      </c>
      <c r="AG4" s="35">
        <f>IF(F4="Owned",1-IF(H4&gt;=1,1,MIN(0.97,H4*Assumptions!$E$12)),1)</f>
        <v>0.892</v>
      </c>
    </row>
    <row r="5">
      <c r="B5" s="24" t="inlineStr">
        <is>
          <t>Risked revenue</t>
        </is>
      </c>
      <c r="L5" s="54">
        <f>SUM(L4:L4)</f>
        <v>173.98129613353998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16.2</v>
      </c>
      <c r="S5" s="54">
        <f>SUM(S4:S4)</f>
        <v>40.5</v>
      </c>
      <c r="T5" s="54">
        <f>SUM(T4:T4)</f>
        <v>72.9</v>
      </c>
      <c r="U5" s="54">
        <f>SUM(U4:U4)</f>
        <v>105.3</v>
      </c>
      <c r="V5" s="54">
        <f>SUM(V4:V4)</f>
        <v>137.7</v>
      </c>
      <c r="W5" s="54">
        <f>SUM(W4:W4)</f>
        <v>162.0</v>
      </c>
      <c r="X5" s="54">
        <f>SUM(X4:X4)</f>
        <v>162.0</v>
      </c>
      <c r="Y5" s="54">
        <f>SUM(Y4:Y4)</f>
        <v>162.0</v>
      </c>
      <c r="Z5" s="54">
        <f>SUM(Z4:Z4)</f>
        <v>162.0</v>
      </c>
      <c r="AA5" s="54">
        <f>SUM(AA4:AA4)</f>
        <v>162.0</v>
      </c>
      <c r="AB5" s="54">
        <f>SUM(AB4:AB4)</f>
        <v>162.0</v>
      </c>
      <c r="AC5" s="54">
        <f>SUM(AC4:AC4)</f>
        <v>162.0</v>
      </c>
      <c r="AD5" s="54">
        <f>SUM(AD4:AD4)</f>
        <v>162.0</v>
      </c>
      <c r="AE5" s="54">
        <f>SUM(AE4:AE4)</f>
        <v>81.0</v>
      </c>
      <c r="AF5" s="54">
        <f>SUM(AF4:AF4)</f>
        <v>40.5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6.48</v>
      </c>
      <c r="S6" s="55">
        <f>SUMPRODUCT(S4:S4,$K$4:$K$4)</f>
        <v>16.2</v>
      </c>
      <c r="T6" s="55">
        <f>SUMPRODUCT(T4:T4,$K$4:$K$4)</f>
        <v>29.160000000000004</v>
      </c>
      <c r="U6" s="55">
        <f>SUMPRODUCT(U4:U4,$K$4:$K$4)</f>
        <v>42.120000000000005</v>
      </c>
      <c r="V6" s="55">
        <f>SUMPRODUCT(V4:V4,$K$4:$K$4)</f>
        <v>55.08</v>
      </c>
      <c r="W6" s="55">
        <f>SUMPRODUCT(W4:W4,$K$4:$K$4)</f>
        <v>64.8</v>
      </c>
      <c r="X6" s="55">
        <f>SUMPRODUCT(X4:X4,$K$4:$K$4)</f>
        <v>64.8</v>
      </c>
      <c r="Y6" s="55">
        <f>SUMPRODUCT(Y4:Y4,$K$4:$K$4)</f>
        <v>64.8</v>
      </c>
      <c r="Z6" s="55">
        <f>SUMPRODUCT(Z4:Z4,$K$4:$K$4)</f>
        <v>64.8</v>
      </c>
      <c r="AA6" s="55">
        <f>SUMPRODUCT(AA4:AA4,$K$4:$K$4)</f>
        <v>64.8</v>
      </c>
      <c r="AB6" s="55">
        <f>SUMPRODUCT(AB4:AB4,$K$4:$K$4)</f>
        <v>64.8</v>
      </c>
      <c r="AC6" s="55">
        <f>SUMPRODUCT(AC4:AC4,$K$4:$K$4)</f>
        <v>64.8</v>
      </c>
      <c r="AD6" s="55">
        <f>SUMPRODUCT(AD4:AD4,$K$4:$K$4)</f>
        <v>64.8</v>
      </c>
      <c r="AE6" s="55">
        <f>SUMPRODUCT(AE4:AE4,$K$4:$K$4)</f>
        <v>32.4</v>
      </c>
      <c r="AF6" s="55">
        <f>SUMPRODUCT(AF4:AF4,$K$4:$K$4)</f>
        <v>16.2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Evaxion A/S: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16.2</v>
      </c>
      <c r="I4" s="57">
        <f>Pipeline!S5</f>
        <v>40.5</v>
      </c>
      <c r="J4" s="57">
        <f>Pipeline!T5</f>
        <v>72.9</v>
      </c>
      <c r="K4" s="57">
        <f>Pipeline!U5</f>
        <v>105.3</v>
      </c>
      <c r="L4" s="57">
        <f>Pipeline!V5</f>
        <v>137.7</v>
      </c>
      <c r="M4" s="57">
        <f>Pipeline!W5</f>
        <v>162.0</v>
      </c>
      <c r="N4" s="57">
        <f>Pipeline!X5</f>
        <v>162.0</v>
      </c>
      <c r="O4" s="57">
        <f>Pipeline!Y5</f>
        <v>162.0</v>
      </c>
      <c r="P4" s="57">
        <f>Pipeline!Z5</f>
        <v>162.0</v>
      </c>
      <c r="Q4" s="57">
        <f>Pipeline!AA5</f>
        <v>162.0</v>
      </c>
      <c r="R4" s="57">
        <f>Pipeline!AB5</f>
        <v>162.0</v>
      </c>
      <c r="S4" s="57">
        <f>Pipeline!AC5</f>
        <v>162.0</v>
      </c>
      <c r="T4" s="57">
        <f>Pipeline!AD5</f>
        <v>162.0</v>
      </c>
      <c r="U4" s="57">
        <f>Pipeline!AE5</f>
        <v>81.0</v>
      </c>
      <c r="V4" s="57">
        <f>Pipeline!AF5</f>
        <v>40.5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6.48</v>
      </c>
      <c r="I5" s="57">
        <f>Pipeline!S6</f>
        <v>16.2</v>
      </c>
      <c r="J5" s="57">
        <f>Pipeline!T6</f>
        <v>29.160000000000004</v>
      </c>
      <c r="K5" s="57">
        <f>Pipeline!U6</f>
        <v>42.120000000000005</v>
      </c>
      <c r="L5" s="57">
        <f>Pipeline!V6</f>
        <v>55.08</v>
      </c>
      <c r="M5" s="57">
        <f>Pipeline!W6</f>
        <v>64.8</v>
      </c>
      <c r="N5" s="57">
        <f>Pipeline!X6</f>
        <v>64.8</v>
      </c>
      <c r="O5" s="57">
        <f>Pipeline!Y6</f>
        <v>64.8</v>
      </c>
      <c r="P5" s="57">
        <f>Pipeline!Z6</f>
        <v>64.8</v>
      </c>
      <c r="Q5" s="57">
        <f>Pipeline!AA6</f>
        <v>64.8</v>
      </c>
      <c r="R5" s="57">
        <f>Pipeline!AB6</f>
        <v>64.8</v>
      </c>
      <c r="S5" s="57">
        <f>Pipeline!AC6</f>
        <v>64.8</v>
      </c>
      <c r="T5" s="57">
        <f>Pipeline!AD6</f>
        <v>64.8</v>
      </c>
      <c r="U5" s="57">
        <f>Pipeline!AE6</f>
        <v>32.4</v>
      </c>
      <c r="V5" s="57">
        <f>Pipeline!AF6</f>
        <v>16.2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-9.234</v>
      </c>
      <c r="D6" s="23">
        <f>-IF(D3-2026&lt;Assumptions!$B$19,Assumptions!$B$18,Assumptions!$B$18*Assumptions!$B$20*Assumptions!$B$16)</f>
        <v>-9.234</v>
      </c>
      <c r="E6" s="23">
        <f>-IF(E3-2026&lt;Assumptions!$B$19,Assumptions!$B$18,Assumptions!$B$18*Assumptions!$B$20*Assumptions!$B$16)</f>
        <v>-9.234</v>
      </c>
      <c r="F6" s="23">
        <f>-IF(F3-2026&lt;Assumptions!$B$19,Assumptions!$B$18,Assumptions!$B$18*Assumptions!$B$20*Assumptions!$B$16)</f>
        <v>-9.234</v>
      </c>
      <c r="G6" s="23">
        <f>-IF(G3-2026&lt;Assumptions!$B$19,Assumptions!$B$18,Assumptions!$B$18*Assumptions!$B$20*Assumptions!$B$16)</f>
        <v>-0.29918159999999994</v>
      </c>
      <c r="H6" s="23">
        <f>-IF(H3-2026&lt;Assumptions!$B$19,Assumptions!$B$18,Assumptions!$B$18*Assumptions!$B$20*Assumptions!$B$16)</f>
        <v>-0.29918159999999994</v>
      </c>
      <c r="I6" s="23">
        <f>-IF(I3-2026&lt;Assumptions!$B$19,Assumptions!$B$18,Assumptions!$B$18*Assumptions!$B$20*Assumptions!$B$16)</f>
        <v>-0.29918159999999994</v>
      </c>
      <c r="J6" s="23">
        <f>-IF(J3-2026&lt;Assumptions!$B$19,Assumptions!$B$18,Assumptions!$B$18*Assumptions!$B$20*Assumptions!$B$16)</f>
        <v>-0.29918159999999994</v>
      </c>
      <c r="K6" s="23">
        <f>-IF(K3-2026&lt;Assumptions!$B$19,Assumptions!$B$18,Assumptions!$B$18*Assumptions!$B$20*Assumptions!$B$16)</f>
        <v>-0.29918159999999994</v>
      </c>
      <c r="L6" s="23">
        <f>-IF(L3-2026&lt;Assumptions!$B$19,Assumptions!$B$18,Assumptions!$B$18*Assumptions!$B$20*Assumptions!$B$16)</f>
        <v>-0.29918159999999994</v>
      </c>
      <c r="M6" s="23">
        <f>-IF(M3-2026&lt;Assumptions!$B$19,Assumptions!$B$18,Assumptions!$B$18*Assumptions!$B$20*Assumptions!$B$16)</f>
        <v>-0.29918159999999994</v>
      </c>
      <c r="N6" s="23">
        <f>-IF(N3-2026&lt;Assumptions!$B$19,Assumptions!$B$18,Assumptions!$B$18*Assumptions!$B$20*Assumptions!$B$16)</f>
        <v>-0.29918159999999994</v>
      </c>
      <c r="O6" s="23">
        <f>-IF(O3-2026&lt;Assumptions!$B$19,Assumptions!$B$18,Assumptions!$B$18*Assumptions!$B$20*Assumptions!$B$16)</f>
        <v>-0.29918159999999994</v>
      </c>
      <c r="P6" s="23">
        <f>-IF(P3-2026&lt;Assumptions!$B$19,Assumptions!$B$18,Assumptions!$B$18*Assumptions!$B$20*Assumptions!$B$16)</f>
        <v>-0.29918159999999994</v>
      </c>
      <c r="Q6" s="23">
        <f>-IF(Q3-2026&lt;Assumptions!$B$19,Assumptions!$B$18,Assumptions!$B$18*Assumptions!$B$20*Assumptions!$B$16)</f>
        <v>-0.29918159999999994</v>
      </c>
      <c r="R6" s="23">
        <f>-IF(R3-2026&lt;Assumptions!$B$19,Assumptions!$B$18,Assumptions!$B$18*Assumptions!$B$20*Assumptions!$B$16)</f>
        <v>-0.29918159999999994</v>
      </c>
      <c r="S6" s="23">
        <f>-IF(S3-2026&lt;Assumptions!$B$19,Assumptions!$B$18,Assumptions!$B$18*Assumptions!$B$20*Assumptions!$B$16)</f>
        <v>-0.29918159999999994</v>
      </c>
      <c r="T6" s="23">
        <f>-IF(T3-2026&lt;Assumptions!$B$19,Assumptions!$B$18,Assumptions!$B$18*Assumptions!$B$20*Assumptions!$B$16)</f>
        <v>-0.29918159999999994</v>
      </c>
      <c r="U6" s="23">
        <f>-IF(U3-2026&lt;Assumptions!$B$19,Assumptions!$B$18,Assumptions!$B$18*Assumptions!$B$20*Assumptions!$B$16)</f>
        <v>-0.29918159999999994</v>
      </c>
      <c r="V6" s="23">
        <f>-IF(V3-2026&lt;Assumptions!$B$19,Assumptions!$B$18,Assumptions!$B$18*Assumptions!$B$20*Assumptions!$B$16)</f>
        <v>-0.29918159999999994</v>
      </c>
    </row>
    <row r="7">
      <c r="A7" s="14" t="inlineStr">
        <is>
          <t>Pre-tax cash flow</t>
        </is>
      </c>
      <c r="C7" s="23">
        <f>C5+C6</f>
        <v>-9.234</v>
      </c>
      <c r="D7" s="23">
        <f>D5+D6</f>
        <v>-9.234</v>
      </c>
      <c r="E7" s="23">
        <f>E5+E6</f>
        <v>-9.234</v>
      </c>
      <c r="F7" s="23">
        <f>F5+F6</f>
        <v>-9.234</v>
      </c>
      <c r="G7" s="23">
        <f>G5+G6</f>
        <v>-0.29918159999999994</v>
      </c>
      <c r="H7" s="23">
        <f>H5+H6</f>
        <v>6.180818400000001</v>
      </c>
      <c r="I7" s="23">
        <f>I5+I6</f>
        <v>15.900818399999999</v>
      </c>
      <c r="J7" s="23">
        <f>J5+J6</f>
        <v>28.860818400000003</v>
      </c>
      <c r="K7" s="23">
        <f>K5+K6</f>
        <v>41.82081840000001</v>
      </c>
      <c r="L7" s="23">
        <f>L5+L6</f>
        <v>54.7808184</v>
      </c>
      <c r="M7" s="23">
        <f>M5+M6</f>
        <v>64.5008184</v>
      </c>
      <c r="N7" s="23">
        <f>N5+N6</f>
        <v>64.5008184</v>
      </c>
      <c r="O7" s="23">
        <f>O5+O6</f>
        <v>64.5008184</v>
      </c>
      <c r="P7" s="23">
        <f>P5+P6</f>
        <v>64.5008184</v>
      </c>
      <c r="Q7" s="23">
        <f>Q5+Q6</f>
        <v>64.5008184</v>
      </c>
      <c r="R7" s="23">
        <f>R5+R6</f>
        <v>64.5008184</v>
      </c>
      <c r="S7" s="23">
        <f>S5+S6</f>
        <v>64.5008184</v>
      </c>
      <c r="T7" s="23">
        <f>T5+T6</f>
        <v>64.5008184</v>
      </c>
      <c r="U7" s="23">
        <f>U5+U6</f>
        <v>32.1008184</v>
      </c>
      <c r="V7" s="23">
        <f>V5+V6</f>
        <v>15.900818399999999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6.180818400000001</v>
      </c>
      <c r="I8" s="23">
        <f>MIN(H17,MAX(0,I7))</f>
        <v>15.900818399999999</v>
      </c>
      <c r="J8" s="23">
        <f>MIN(I17,MAX(0,J7))</f>
        <v>28.860818400000003</v>
      </c>
      <c r="K8" s="23">
        <f>MIN(J17,MAX(0,K7))</f>
        <v>41.82081840000001</v>
      </c>
      <c r="L8" s="23">
        <f>MIN(K17,MAX(0,L7))</f>
        <v>54.7808184</v>
      </c>
      <c r="M8" s="23">
        <f>MIN(L17,MAX(0,M7))</f>
        <v>9.491089600000024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55.009728799999976</v>
      </c>
      <c r="N9" s="23">
        <f>MAX(0,N7)-N8</f>
        <v>64.5008184</v>
      </c>
      <c r="O9" s="23">
        <f>MAX(0,O7)-O8</f>
        <v>64.5008184</v>
      </c>
      <c r="P9" s="23">
        <f>MAX(0,P7)-P8</f>
        <v>64.5008184</v>
      </c>
      <c r="Q9" s="23">
        <f>MAX(0,Q7)-Q8</f>
        <v>64.5008184</v>
      </c>
      <c r="R9" s="23">
        <f>MAX(0,R7)-R8</f>
        <v>64.5008184</v>
      </c>
      <c r="S9" s="23">
        <f>MAX(0,S7)-S8</f>
        <v>64.5008184</v>
      </c>
      <c r="T9" s="23">
        <f>MAX(0,T7)-T8</f>
        <v>64.5008184</v>
      </c>
      <c r="U9" s="23">
        <f>MAX(0,U7)-U8</f>
        <v>32.1008184</v>
      </c>
      <c r="V9" s="23">
        <f>MAX(0,V7)-V8</f>
        <v>15.900818399999999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11.552043047999994</v>
      </c>
      <c r="N10" s="23">
        <f>N9*Assumptions!$E$15</f>
        <v>13.545171864</v>
      </c>
      <c r="O10" s="23">
        <f>O9*Assumptions!$E$15</f>
        <v>13.545171864</v>
      </c>
      <c r="P10" s="23">
        <f>P9*Assumptions!$E$15</f>
        <v>13.545171864</v>
      </c>
      <c r="Q10" s="23">
        <f>Q9*Assumptions!$E$15</f>
        <v>13.545171864</v>
      </c>
      <c r="R10" s="23">
        <f>R9*Assumptions!$E$15</f>
        <v>13.545171864</v>
      </c>
      <c r="S10" s="23">
        <f>S9*Assumptions!$E$15</f>
        <v>13.545171864</v>
      </c>
      <c r="T10" s="23">
        <f>T9*Assumptions!$E$15</f>
        <v>13.545171864</v>
      </c>
      <c r="U10" s="23">
        <f>U9*Assumptions!$E$15</f>
        <v>6.741171864</v>
      </c>
      <c r="V10" s="23">
        <f>V9*Assumptions!$E$15</f>
        <v>3.3391718639999994</v>
      </c>
    </row>
    <row r="11">
      <c r="A11" s="24" t="inlineStr">
        <is>
          <t>Free cash flow</t>
        </is>
      </c>
      <c r="C11" s="55">
        <f>C7-C10</f>
        <v>-9.234</v>
      </c>
      <c r="D11" s="55">
        <f>D7-D10</f>
        <v>-9.234</v>
      </c>
      <c r="E11" s="55">
        <f>E7-E10</f>
        <v>-9.234</v>
      </c>
      <c r="F11" s="55">
        <f>F7-F10</f>
        <v>-9.234</v>
      </c>
      <c r="G11" s="55">
        <f>G7-G10</f>
        <v>-0.29918159999999994</v>
      </c>
      <c r="H11" s="55">
        <f>H7-H10</f>
        <v>6.180818400000001</v>
      </c>
      <c r="I11" s="55">
        <f>I7-I10</f>
        <v>15.900818399999999</v>
      </c>
      <c r="J11" s="55">
        <f>J7-J10</f>
        <v>28.860818400000003</v>
      </c>
      <c r="K11" s="55">
        <f>K7-K10</f>
        <v>41.82081840000001</v>
      </c>
      <c r="L11" s="55">
        <f>L7-L10</f>
        <v>54.7808184</v>
      </c>
      <c r="M11" s="55">
        <f>M7-M10</f>
        <v>52.948775352000006</v>
      </c>
      <c r="N11" s="55">
        <f>N7-N10</f>
        <v>50.955646536</v>
      </c>
      <c r="O11" s="55">
        <f>O7-O10</f>
        <v>50.955646536</v>
      </c>
      <c r="P11" s="55">
        <f>P7-P10</f>
        <v>50.955646536</v>
      </c>
      <c r="Q11" s="55">
        <f>Q7-Q10</f>
        <v>50.955646536</v>
      </c>
      <c r="R11" s="55">
        <f>R7-R10</f>
        <v>50.955646536</v>
      </c>
      <c r="S11" s="55">
        <f>S7-S10</f>
        <v>50.955646536</v>
      </c>
      <c r="T11" s="55">
        <f>T7-T10</f>
        <v>50.955646536</v>
      </c>
      <c r="U11" s="55">
        <f>U7-U10</f>
        <v>25.359646536</v>
      </c>
      <c r="V11" s="55">
        <f>V7-V10</f>
        <v>12.561646536</v>
      </c>
    </row>
    <row r="12">
      <c r="A12" s="14" t="inlineStr">
        <is>
          <t>Year fraction</t>
        </is>
      </c>
      <c r="C12" s="58">
        <f>Assumptions!$B$22</f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0.5</v>
      </c>
      <c r="D13" s="11">
        <f>C13+C12/2+D12/2</f>
        <v>1.5</v>
      </c>
      <c r="E13" s="11">
        <f>D13+D12/2+E12/2</f>
        <v>2.5</v>
      </c>
      <c r="F13" s="11">
        <f>E13+E12/2+F12/2</f>
        <v>3.5</v>
      </c>
      <c r="G13" s="11">
        <f>F13+F12/2+G12/2</f>
        <v>4.5</v>
      </c>
      <c r="H13" s="11">
        <f>G13+G12/2+H12/2</f>
        <v>5.5</v>
      </c>
      <c r="I13" s="11">
        <f>H13+H12/2+I12/2</f>
        <v>6.5</v>
      </c>
      <c r="J13" s="11">
        <f>I13+I12/2+J12/2</f>
        <v>7.5</v>
      </c>
      <c r="K13" s="11">
        <f>J13+J12/2+K12/2</f>
        <v>8.5</v>
      </c>
      <c r="L13" s="11">
        <f>K13+K12/2+L12/2</f>
        <v>9.5</v>
      </c>
      <c r="M13" s="11">
        <f>L13+L12/2+M12/2</f>
        <v>10.5</v>
      </c>
      <c r="N13" s="11">
        <f>M13+M12/2+N12/2</f>
        <v>11.5</v>
      </c>
      <c r="O13" s="11">
        <f>N13+N12/2+O12/2</f>
        <v>12.5</v>
      </c>
      <c r="P13" s="11">
        <f>O13+O12/2+P12/2</f>
        <v>13.5</v>
      </c>
      <c r="Q13" s="11">
        <f>P13+P12/2+Q12/2</f>
        <v>14.5</v>
      </c>
      <c r="R13" s="11">
        <f>Q13+Q12/2+R12/2</f>
        <v>15.5</v>
      </c>
      <c r="S13" s="11">
        <f>R13+R12/2+S12/2</f>
        <v>16.5</v>
      </c>
      <c r="T13" s="11">
        <f>S13+S12/2+T12/2</f>
        <v>17.5</v>
      </c>
      <c r="U13" s="11">
        <f>T13+T12/2+U12/2</f>
        <v>18.5</v>
      </c>
      <c r="V13" s="11">
        <f>U13+U12/2+V12/2</f>
        <v>19.5</v>
      </c>
    </row>
    <row r="14">
      <c r="A14" s="14" t="inlineStr">
        <is>
          <t>Discount factor</t>
        </is>
      </c>
      <c r="C14" s="59">
        <f>1/(1+Assumptions!$E$10)^C13</f>
        <v>0.9449111825230679</v>
      </c>
      <c r="D14" s="59">
        <f>1/(1+Assumptions!$E$10)^D13</f>
        <v>0.8436706986813106</v>
      </c>
      <c r="E14" s="59">
        <f>1/(1+Assumptions!$E$10)^E13</f>
        <v>0.7532774095368845</v>
      </c>
      <c r="F14" s="59">
        <f>1/(1+Assumptions!$E$10)^F13</f>
        <v>0.6725691156579324</v>
      </c>
      <c r="G14" s="59">
        <f>1/(1+Assumptions!$E$10)^G13</f>
        <v>0.6005081389802968</v>
      </c>
      <c r="H14" s="59">
        <f>1/(1+Assumptions!$E$10)^H13</f>
        <v>0.5361679812324078</v>
      </c>
      <c r="I14" s="59">
        <f>1/(1+Assumptions!$E$10)^I13</f>
        <v>0.4787214118146497</v>
      </c>
      <c r="J14" s="59">
        <f>1/(1+Assumptions!$E$10)^J13</f>
        <v>0.42742983197736584</v>
      </c>
      <c r="K14" s="59">
        <f>1/(1+Assumptions!$E$10)^K13</f>
        <v>0.38163377855121944</v>
      </c>
      <c r="L14" s="59">
        <f>1/(1+Assumptions!$E$10)^L13</f>
        <v>0.34074444513501734</v>
      </c>
      <c r="M14" s="59">
        <f>1/(1+Assumptions!$E$10)^M13</f>
        <v>0.304236111727694</v>
      </c>
      <c r="N14" s="59">
        <f>1/(1+Assumptions!$E$10)^N13</f>
        <v>0.27163938547115535</v>
      </c>
      <c r="O14" s="59">
        <f>1/(1+Assumptions!$E$10)^O13</f>
        <v>0.24253516559924582</v>
      </c>
      <c r="P14" s="59">
        <f>1/(1+Assumptions!$E$10)^P13</f>
        <v>0.21654925499932662</v>
      </c>
      <c r="Q14" s="59">
        <f>1/(1+Assumptions!$E$10)^Q13</f>
        <v>0.1933475491065416</v>
      </c>
      <c r="R14" s="59">
        <f>1/(1+Assumptions!$E$10)^R13</f>
        <v>0.17263174027369785</v>
      </c>
      <c r="S14" s="59">
        <f>1/(1+Assumptions!$E$10)^S13</f>
        <v>0.15413548238723018</v>
      </c>
      <c r="T14" s="59">
        <f>1/(1+Assumptions!$E$10)^T13</f>
        <v>0.1376209664171698</v>
      </c>
      <c r="U14" s="59">
        <f>1/(1+Assumptions!$E$10)^U13</f>
        <v>0.12287586287247303</v>
      </c>
      <c r="V14" s="59">
        <f>1/(1+Assumptions!$E$10)^V13</f>
        <v>0.10971059185042233</v>
      </c>
    </row>
    <row r="15">
      <c r="A15" s="14" t="inlineStr">
        <is>
          <t>PV factor</t>
        </is>
      </c>
      <c r="C15" s="59">
        <f>C12*C14</f>
        <v>0.9449111825230679</v>
      </c>
      <c r="D15" s="59">
        <f>D12*D14</f>
        <v>0.8436706986813106</v>
      </c>
      <c r="E15" s="59">
        <f>E12*E14</f>
        <v>0.7532774095368845</v>
      </c>
      <c r="F15" s="59">
        <f>F12*F14</f>
        <v>0.6725691156579324</v>
      </c>
      <c r="G15" s="59">
        <f>G12*G14</f>
        <v>0.6005081389802968</v>
      </c>
      <c r="H15" s="59">
        <f>H12*H14</f>
        <v>0.5361679812324078</v>
      </c>
      <c r="I15" s="59">
        <f>I12*I14</f>
        <v>0.4787214118146497</v>
      </c>
      <c r="J15" s="59">
        <f>J12*J14</f>
        <v>0.42742983197736584</v>
      </c>
      <c r="K15" s="59">
        <f>K12*K14</f>
        <v>0.38163377855121944</v>
      </c>
      <c r="L15" s="59">
        <f>L12*L14</f>
        <v>0.34074444513501734</v>
      </c>
      <c r="M15" s="59">
        <f>M12*M14</f>
        <v>0.304236111727694</v>
      </c>
      <c r="N15" s="59">
        <f>N12*N14</f>
        <v>0.27163938547115535</v>
      </c>
      <c r="O15" s="59">
        <f>O12*O14</f>
        <v>0.24253516559924582</v>
      </c>
      <c r="P15" s="59">
        <f>P12*P14</f>
        <v>0.21654925499932662</v>
      </c>
      <c r="Q15" s="59">
        <f>Q12*Q14</f>
        <v>0.1933475491065416</v>
      </c>
      <c r="R15" s="59">
        <f>R12*R14</f>
        <v>0.17263174027369785</v>
      </c>
      <c r="S15" s="59">
        <f>S12*S14</f>
        <v>0.15413548238723018</v>
      </c>
      <c r="T15" s="59">
        <f>T12*T14</f>
        <v>0.1376209664171698</v>
      </c>
      <c r="U15" s="59">
        <f>U12*U14</f>
        <v>0.12287586287247303</v>
      </c>
      <c r="V15" s="59">
        <f>V12*V14</f>
        <v>0.10971059185042233</v>
      </c>
    </row>
    <row r="16">
      <c r="A16" s="24" t="inlineStr">
        <is>
          <t>PV of free cash flow</t>
        </is>
      </c>
      <c r="C16" s="55">
        <f>C11*C15</f>
        <v>-8.72530985941801</v>
      </c>
      <c r="D16" s="55">
        <f>D11*D15</f>
        <v>-7.7904552316232225</v>
      </c>
      <c r="E16" s="55">
        <f>E11*E15</f>
        <v>-6.955763599663592</v>
      </c>
      <c r="F16" s="55">
        <f>F11*F15</f>
        <v>-6.210503213985348</v>
      </c>
      <c r="G16" s="55">
        <f>G11*G15</f>
        <v>-0.17966098583314752</v>
      </c>
      <c r="H16" s="55">
        <f>H11*H15</f>
        <v>3.313956923892121</v>
      </c>
      <c r="I16" s="55">
        <f>I11*I15</f>
        <v>7.612062233456359</v>
      </c>
      <c r="J16" s="55">
        <f>J11*J15</f>
        <v>12.33597475944127</v>
      </c>
      <c r="K16" s="55">
        <f>K11*K15</f>
        <v>15.960236948096366</v>
      </c>
      <c r="L16" s="55">
        <f>L11*L15</f>
        <v>18.66625956975015</v>
      </c>
      <c r="M16" s="55">
        <f>M11*M15</f>
        <v>16.108929533835642</v>
      </c>
      <c r="N16" s="55">
        <f>N11*N15</f>
        <v>13.841560511324447</v>
      </c>
      <c r="O16" s="55">
        <f>O11*O15</f>
        <v>12.358536170825397</v>
      </c>
      <c r="P16" s="55">
        <f>P11*P15</f>
        <v>11.034407295379818</v>
      </c>
      <c r="Q16" s="55">
        <f>Q11*Q15</f>
        <v>9.852149370874836</v>
      </c>
      <c r="R16" s="55">
        <f>R11*R15</f>
        <v>8.796561938281105</v>
      </c>
      <c r="S16" s="55">
        <f>S11*S15</f>
        <v>7.854073159179555</v>
      </c>
      <c r="T16" s="55">
        <f>T11*T15</f>
        <v>7.012565320696032</v>
      </c>
      <c r="U16" s="55">
        <f>U11*U15</f>
        <v>3.1160884502519215</v>
      </c>
      <c r="V16" s="55">
        <f>V11*V15</f>
        <v>1.3781456760803674</v>
      </c>
    </row>
    <row r="17">
      <c r="A17" s="14" t="inlineStr">
        <is>
          <t>Tax-loss carryforward, end of year</t>
        </is>
      </c>
      <c r="C17" s="23">
        <f>Assumptions!$B$21-C8+MAX(0,-C7)</f>
        <v>129.034</v>
      </c>
      <c r="D17" s="23">
        <f>C17-D8+MAX(0,-D7)</f>
        <v>138.268</v>
      </c>
      <c r="E17" s="23">
        <f>D17-E8+MAX(0,-E7)</f>
        <v>147.502</v>
      </c>
      <c r="F17" s="23">
        <f>E17-F8+MAX(0,-F7)</f>
        <v>156.73600000000002</v>
      </c>
      <c r="G17" s="23">
        <f>F17-G8+MAX(0,-G7)</f>
        <v>157.03518160000002</v>
      </c>
      <c r="H17" s="23">
        <f>G17-H8+MAX(0,-H7)</f>
        <v>150.85436320000002</v>
      </c>
      <c r="I17" s="23">
        <f>H17-I8+MAX(0,-I7)</f>
        <v>134.95354480000003</v>
      </c>
      <c r="J17" s="23">
        <f>I17-J8+MAX(0,-J7)</f>
        <v>106.09272640000003</v>
      </c>
      <c r="K17" s="23">
        <f>J17-K8+MAX(0,-K7)</f>
        <v>64.27190800000002</v>
      </c>
      <c r="L17" s="23">
        <f>K17-L8+MAX(0,-L7)</f>
        <v>9.491089600000024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173.98129613353998</v>
      </c>
    </row>
    <row r="20">
      <c r="A20" s="14" t="inlineStr">
        <is>
          <t>PV of corporate burn</t>
        </is>
      </c>
      <c r="B20" s="23">
        <f>SUMPRODUCT(C6:V6,C15:V15)</f>
        <v>-31.085339519076577</v>
      </c>
    </row>
    <row r="21">
      <c r="A21" s="14" t="inlineStr">
        <is>
          <t>PV of taxes</t>
        </is>
      </c>
      <c r="B21" s="23">
        <f>-SUMPRODUCT(C10:V10,C15:V15)</f>
        <v>-23.516141643621328</v>
      </c>
    </row>
    <row r="22">
      <c r="A22" s="24" t="inlineStr">
        <is>
          <t>Pipeline rNPV (operations)</t>
        </is>
      </c>
      <c r="B22" s="54">
        <f>SUM(C16:V16)</f>
        <v>119.37981497084206</v>
      </c>
    </row>
    <row r="23">
      <c r="A23" s="14" t="inlineStr">
        <is>
          <t>Cash &amp; investments</t>
        </is>
      </c>
      <c r="B23" s="57">
        <f>Main!C7</f>
        <v>23.234</v>
      </c>
    </row>
    <row r="24">
      <c r="A24" s="14" t="inlineStr">
        <is>
          <t>Debt</t>
        </is>
      </c>
      <c r="B24" s="57">
        <f>Main!C8</f>
        <v>5.537000000000001</v>
      </c>
    </row>
    <row r="25">
      <c r="A25" s="24" t="inlineStr">
        <is>
          <t>Equity value</t>
        </is>
      </c>
      <c r="B25" s="54">
        <f>B22+B23-B24</f>
        <v>137.07681497084207</v>
      </c>
    </row>
    <row r="26">
      <c r="A26" s="14" t="inlineStr">
        <is>
          <t>Shares (mm)</t>
        </is>
      </c>
      <c r="B26" s="57">
        <f>Main!C4</f>
        <v>8.34021512</v>
      </c>
    </row>
    <row r="27">
      <c r="A27" s="24" t="inlineStr">
        <is>
          <t>rNPV / share</t>
        </is>
      </c>
      <c r="B27" s="60">
        <f>B25/B26</f>
        <v>16.435645004183307</v>
      </c>
    </row>
    <row r="28">
      <c r="A28" s="14" t="inlineStr">
        <is>
          <t>Price</t>
        </is>
      </c>
      <c r="B28" s="61">
        <f>Main!C3</f>
        <v>4.05</v>
      </c>
    </row>
    <row r="29">
      <c r="A29" s="14" t="inlineStr">
        <is>
          <t>Upside</t>
        </is>
      </c>
      <c r="B29" s="62">
        <f>B27/B28-1</f>
        <v>3.058183951650199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2026-10-21T06:30:04Z</dcterms:modified>
  <cp:lastModifiedBy>Wang, Eric</cp:lastModifiedBy>
</cp:coreProperties>
</file>