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Harmony Biosciences Holdings, Inc.</t>
        </is>
      </c>
      <c r="C2" s="10" t="n"/>
    </row>
    <row r="3">
      <c r="B3" t="inlineStr">
        <is>
          <t>Price</t>
        </is>
      </c>
      <c r="C3" s="11">
        <f>INDEX([1]Pharma!$F$1:$F$1000,MATCH("HRMY",[1]Pharma!$B$1:$B$1000,0))</f>
        <v>38.7</v>
      </c>
      <c r="F3" s="1" t="n"/>
    </row>
    <row r="4">
      <c r="B4" t="inlineStr">
        <is>
          <t>Shares</t>
        </is>
      </c>
      <c r="C4" s="51" t="n">
        <v>58.236393</v>
      </c>
      <c r="F4" s="1" t="n"/>
    </row>
    <row r="5">
      <c r="B5" t="inlineStr">
        <is>
          <t>Market Cap.</t>
        </is>
      </c>
      <c r="C5" s="13">
        <f>C3*C4</f>
        <v>2253.7484091</v>
      </c>
      <c r="F5" s="1" t="n"/>
    </row>
    <row r="6"/>
    <row r="7">
      <c r="B7" t="inlineStr">
        <is>
          <t>Cash</t>
        </is>
      </c>
      <c r="C7" s="51">
        <f>549.769+118.022</f>
        <v>667.791</v>
      </c>
    </row>
    <row r="8">
      <c r="B8" t="inlineStr">
        <is>
          <t>Debt</t>
        </is>
      </c>
      <c r="C8" s="51">
        <f>20+133.961</f>
        <v>153.961</v>
      </c>
    </row>
    <row r="9">
      <c r="B9" t="inlineStr">
        <is>
          <t>Enterprise V.</t>
        </is>
      </c>
      <c r="C9" s="13">
        <f>C5-C7+C8</f>
        <v>1739.9184091</v>
      </c>
    </row>
    <row r="10"/>
    <row r="11">
      <c r="B11" s="14" t="inlineStr">
        <is>
          <t>NPV / Share</t>
        </is>
      </c>
      <c r="C11" s="11">
        <f>NPV!B28</f>
        <v>89.02470217703323</v>
      </c>
    </row>
    <row r="12">
      <c r="B12" s="14" t="inlineStr">
        <is>
          <t>Upside</t>
        </is>
      </c>
      <c r="C12" s="15">
        <f>IFERROR(C11/C3-1,"")</f>
        <v>1.300379901215329</v>
      </c>
    </row>
    <row r="13">
      <c r="B13" s="14" t="inlineStr">
        <is>
          <t>Cash / Share</t>
        </is>
      </c>
      <c r="C13" s="11">
        <f>IFERROR((C7-C8)/C4,"")</f>
        <v>8.823176943668198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2019</v>
      </c>
      <c r="C1" s="16" t="n">
        <v>2020</v>
      </c>
      <c r="D1" s="16" t="n">
        <v>2021</v>
      </c>
      <c r="E1" s="16" t="n">
        <v>2022</v>
      </c>
      <c r="F1" s="16" t="n">
        <v>2023</v>
      </c>
      <c r="G1" s="16" t="n">
        <v>2024</v>
      </c>
      <c r="H1" s="16" t="n">
        <v>2025</v>
      </c>
      <c r="I1" s="16" t="n">
        <v>2026</v>
      </c>
      <c r="J1" s="16" t="n">
        <v>2027</v>
      </c>
      <c r="K1" s="16" t="n">
        <v>2028</v>
      </c>
      <c r="L1" s="16" t="n">
        <v>2029</v>
      </c>
      <c r="M1" s="16" t="n">
        <v>2030</v>
      </c>
      <c r="N1" s="16" t="n">
        <v>2031</v>
      </c>
      <c r="O1" s="16" t="n">
        <v>2032</v>
      </c>
      <c r="P1" s="16" t="n">
        <v>2033</v>
      </c>
      <c r="Q1" s="16" t="n">
        <v>2034</v>
      </c>
      <c r="R1" s="16" t="n">
        <v>2035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5.995</v>
      </c>
      <c r="C2" s="52" t="n">
        <v>159.742</v>
      </c>
      <c r="D2" s="52" t="n">
        <v>305.44</v>
      </c>
      <c r="E2" s="52" t="n">
        <v>437.855</v>
      </c>
      <c r="F2" s="52" t="n">
        <v>582.022</v>
      </c>
      <c r="G2" s="52" t="n">
        <v>714.734</v>
      </c>
      <c r="H2" s="52" t="n">
        <v>868.453</v>
      </c>
      <c r="I2" s="52">
        <f>H2*(1+NPV!C5)</f>
        <v>1066.460284</v>
      </c>
      <c r="J2" s="52">
        <f>I2*(1+NPV!D5)</f>
        <v>1285.5586245684447</v>
      </c>
      <c r="K2" s="52">
        <f>J2*(1+NPV!E5)</f>
        <v>1520.6730130172957</v>
      </c>
      <c r="L2" s="52">
        <f>K2*(1+NPV!F5)</f>
        <v>1764.4875861044022</v>
      </c>
      <c r="M2" s="52">
        <f>L2*(1+NPV!G5)</f>
        <v>2007.594764634342</v>
      </c>
      <c r="N2" s="52">
        <f>M2*(1+NPV!H5)</f>
        <v>2238.9142947372097</v>
      </c>
      <c r="O2" s="52">
        <f>N2*(1+NPV!I5)</f>
        <v>2446.387019382858</v>
      </c>
      <c r="P2" s="52">
        <f>O2*(1+NPV!J5)</f>
        <v>2617.9059315195896</v>
      </c>
      <c r="Q2" s="52">
        <f>P2*(1+NPV!K5)</f>
        <v>2742.4019024851877</v>
      </c>
      <c r="R2" s="52">
        <f>Q2*(1+NPV!L5)</f>
        <v>2810.9619500473173</v>
      </c>
    </row>
    <row r="3" customFormat="1" s="1">
      <c r="A3" s="5" t="inlineStr">
        <is>
          <t>Cost of Sales</t>
        </is>
      </c>
      <c r="B3" s="52" t="n">
        <v>1.577</v>
      </c>
      <c r="C3" s="52" t="n">
        <v>27.738</v>
      </c>
      <c r="D3" s="52" t="n">
        <v>55.518</v>
      </c>
      <c r="E3" s="52" t="n">
        <v>83.48099999999999</v>
      </c>
      <c r="F3" s="52" t="n">
        <v>121.236</v>
      </c>
      <c r="G3" s="52" t="n">
        <v>156.815</v>
      </c>
      <c r="H3" s="52" t="n">
        <v>198.342</v>
      </c>
      <c r="I3" s="52">
        <f>I2*(1-Assumptions!$B$19)</f>
        <v>243.57952886560005</v>
      </c>
      <c r="J3" s="52">
        <f>J2*(1-Assumptions!$B$19)</f>
        <v>293.6215898514328</v>
      </c>
      <c r="K3" s="52">
        <f>K2*(1-Assumptions!$B$19)</f>
        <v>347.32171617315043</v>
      </c>
      <c r="L3" s="52">
        <f>L2*(1-Assumptions!$B$19)</f>
        <v>403.00896466624556</v>
      </c>
      <c r="M3" s="52">
        <f>M2*(1-Assumptions!$B$19)</f>
        <v>458.5346442424838</v>
      </c>
      <c r="N3" s="52">
        <f>N2*(1-Assumptions!$B$19)</f>
        <v>511.3680249179788</v>
      </c>
      <c r="O3" s="52">
        <f>O2*(1-Assumptions!$B$19)</f>
        <v>558.7547952270448</v>
      </c>
      <c r="P3" s="52">
        <f>P2*(1-Assumptions!$B$19)</f>
        <v>597.9297147590744</v>
      </c>
      <c r="Q3" s="52">
        <f>Q2*(1-Assumptions!$B$19)</f>
        <v>626.364594527617</v>
      </c>
      <c r="R3" s="52">
        <f>R2*(1-Assumptions!$B$19)</f>
        <v>642.0237093908074</v>
      </c>
    </row>
    <row r="4" customFormat="1" s="1">
      <c r="A4" s="5" t="inlineStr">
        <is>
          <t>Gross Margin</t>
        </is>
      </c>
      <c r="B4" s="52">
        <f>B2-B3</f>
        <v>4.418</v>
      </c>
      <c r="C4" s="52">
        <f>C2-C3</f>
        <v>132.004</v>
      </c>
      <c r="D4" s="52">
        <f>D2-D3</f>
        <v>249.922</v>
      </c>
      <c r="E4" s="52">
        <f>E2-E3</f>
        <v>354.374</v>
      </c>
      <c r="F4" s="52">
        <f>F2-F3</f>
        <v>460.78600000000006</v>
      </c>
      <c r="G4" s="52">
        <f>G2-G3</f>
        <v>557.9190000000001</v>
      </c>
      <c r="H4" s="52">
        <f>H2-H3</f>
        <v>670.111</v>
      </c>
      <c r="I4" s="52">
        <f>I2-I3</f>
        <v>822.8807551343999</v>
      </c>
      <c r="J4" s="52">
        <f>J2-J3</f>
        <v>991.9370347170118</v>
      </c>
      <c r="K4" s="52">
        <f>K2-K3</f>
        <v>1173.3512968441453</v>
      </c>
      <c r="L4" s="52">
        <f>L2-L3</f>
        <v>1361.4786214381566</v>
      </c>
      <c r="M4" s="52">
        <f>M2-M3</f>
        <v>1549.0601203918582</v>
      </c>
      <c r="N4" s="52">
        <f>N2-N3</f>
        <v>1727.546269819231</v>
      </c>
      <c r="O4" s="52">
        <f>O2-O3</f>
        <v>1887.6322241558132</v>
      </c>
      <c r="P4" s="52">
        <f>P2-P3</f>
        <v>2019.9762167605152</v>
      </c>
      <c r="Q4" s="52">
        <f>Q2-Q3</f>
        <v>2116.0373079575706</v>
      </c>
      <c r="R4" s="52">
        <f>R2-R3</f>
        <v>2168.93824065651</v>
      </c>
    </row>
    <row r="5">
      <c r="A5" s="2" t="inlineStr">
        <is>
          <t>Research &amp; Dev.</t>
        </is>
      </c>
      <c r="B5" s="52" t="n">
        <v>69.595</v>
      </c>
      <c r="C5" s="52" t="n">
        <v>19.448</v>
      </c>
      <c r="D5" s="52" t="n">
        <v>30.367</v>
      </c>
      <c r="E5" s="52" t="n">
        <v>70.886</v>
      </c>
      <c r="F5" s="52" t="n">
        <v>76.063</v>
      </c>
      <c r="G5" s="52" t="n">
        <v>145.825</v>
      </c>
      <c r="H5" s="52" t="n">
        <v>189.594</v>
      </c>
      <c r="I5" s="52">
        <f>I7*Assumptions!$B$20</f>
        <v>232.12433662140478</v>
      </c>
      <c r="J5" s="52">
        <f>J7*Assumptions!$B$20</f>
        <v>279.1107800275679</v>
      </c>
      <c r="K5" s="52">
        <f>K7*Assumptions!$B$20</f>
        <v>329.32640172314746</v>
      </c>
      <c r="L5" s="52">
        <f>L7*Assumptions!$B$20</f>
        <v>381.1645836474467</v>
      </c>
      <c r="M5" s="52">
        <f>M7*Assumptions!$B$20</f>
        <v>432.58398245410285</v>
      </c>
      <c r="N5" s="52">
        <f>N7*Assumptions!$B$20</f>
        <v>481.2043058160747</v>
      </c>
      <c r="O5" s="52">
        <f>O7*Assumptions!$B$20</f>
        <v>524.4596123937132</v>
      </c>
      <c r="P5" s="52">
        <f>P7*Assumptions!$B$20</f>
        <v>559.8000771766591</v>
      </c>
      <c r="Q5" s="52">
        <f>Q7*Assumptions!$B$20</f>
        <v>584.9236959132417</v>
      </c>
      <c r="R5" s="52">
        <f>R7*Assumptions!$B$20</f>
        <v>598.0113537541364</v>
      </c>
    </row>
    <row r="6">
      <c r="A6" s="18" t="inlineStr">
        <is>
          <t>SG&amp;A &amp; Other</t>
        </is>
      </c>
      <c r="B6" s="52" t="n">
        <v>80.727</v>
      </c>
      <c r="C6" s="52" t="n">
        <v>95.56999999999999</v>
      </c>
      <c r="D6" s="52" t="n">
        <v>132.027</v>
      </c>
      <c r="E6" s="52" t="n">
        <v>163.302</v>
      </c>
      <c r="F6" s="52" t="n">
        <v>192.693</v>
      </c>
      <c r="G6" s="52" t="n">
        <v>221.268</v>
      </c>
      <c r="H6" s="52" t="n">
        <v>272.048</v>
      </c>
      <c r="I6" s="52">
        <f>I7-I5</f>
        <v>333.0676200900751</v>
      </c>
      <c r="J6" s="52">
        <f>J7-J5</f>
        <v>400.4869312642945</v>
      </c>
      <c r="K6" s="52">
        <f>K7-K5</f>
        <v>472.5396847710026</v>
      </c>
      <c r="L6" s="52">
        <f>L7-L5</f>
        <v>546.9205968917465</v>
      </c>
      <c r="M6" s="52">
        <f>M7-M5</f>
        <v>620.7006108113046</v>
      </c>
      <c r="N6" s="52">
        <f>N7-N5</f>
        <v>690.4643229058019</v>
      </c>
      <c r="O6" s="52">
        <f>O7-O5</f>
        <v>752.5299478539449</v>
      </c>
      <c r="P6" s="52">
        <f>P7-P5</f>
        <v>803.2388251283302</v>
      </c>
      <c r="Q6" s="52">
        <f>Q7-Q5</f>
        <v>839.2878841043909</v>
      </c>
      <c r="R6" s="52">
        <f>R7-R5</f>
        <v>858.066936370374</v>
      </c>
    </row>
    <row r="7">
      <c r="A7" s="2" t="inlineStr">
        <is>
          <t>Operating Expense</t>
        </is>
      </c>
      <c r="B7" s="52">
        <f>SUM(B5:B6)</f>
        <v>150.322</v>
      </c>
      <c r="C7" s="52">
        <f>SUM(C5:C6)</f>
        <v>115.018</v>
      </c>
      <c r="D7" s="52">
        <f>SUM(D5:D6)</f>
        <v>162.39399999999998</v>
      </c>
      <c r="E7" s="52">
        <f>SUM(E5:E6)</f>
        <v>234.188</v>
      </c>
      <c r="F7" s="52">
        <f>SUM(F5:F6)</f>
        <v>268.75600000000003</v>
      </c>
      <c r="G7" s="52">
        <f>SUM(G5:G6)</f>
        <v>367.09299999999996</v>
      </c>
      <c r="H7" s="52">
        <f>SUM(H5:H6)</f>
        <v>461.642</v>
      </c>
      <c r="I7" s="52">
        <f>I4-I2*NPV!C6</f>
        <v>565.1919567114799</v>
      </c>
      <c r="J7" s="52">
        <f>J4-J2*NPV!D6</f>
        <v>679.5977112918624</v>
      </c>
      <c r="K7" s="52">
        <f>K4-K2*NPV!E6</f>
        <v>801.8660864941501</v>
      </c>
      <c r="L7" s="52">
        <f>L4-L2*NPV!F6</f>
        <v>928.0851805391933</v>
      </c>
      <c r="M7" s="52">
        <f>M4-M2*NPV!G6</f>
        <v>1053.2845932654075</v>
      </c>
      <c r="N7" s="52">
        <f>N4-N2*NPV!H6</f>
        <v>1171.6686287218765</v>
      </c>
      <c r="O7" s="52">
        <f>O4-O2*NPV!I6</f>
        <v>1276.9895602476581</v>
      </c>
      <c r="P7" s="52">
        <f>P4-P2*NPV!J6</f>
        <v>1363.0389023049893</v>
      </c>
      <c r="Q7" s="52">
        <f>Q4-Q2*NPV!K6</f>
        <v>1424.2115800176325</v>
      </c>
      <c r="R7" s="52">
        <f>R4-R2*NPV!L6</f>
        <v>1456.0782901245104</v>
      </c>
    </row>
    <row r="8">
      <c r="A8" s="2" t="inlineStr">
        <is>
          <t>Operating Income</t>
        </is>
      </c>
      <c r="B8" s="52">
        <f>B4-B7</f>
        <v>-145.904</v>
      </c>
      <c r="C8" s="52">
        <f>C4-C7</f>
        <v>16.98599999999999</v>
      </c>
      <c r="D8" s="52">
        <f>D4-D7</f>
        <v>87.52800000000002</v>
      </c>
      <c r="E8" s="52">
        <f>E4-E7</f>
        <v>120.18600000000004</v>
      </c>
      <c r="F8" s="52">
        <f>F4-F7</f>
        <v>192.03000000000003</v>
      </c>
      <c r="G8" s="52">
        <f>G4-G7</f>
        <v>190.82600000000014</v>
      </c>
      <c r="H8" s="52">
        <f>H4-H7</f>
        <v>208.469</v>
      </c>
      <c r="I8" s="52">
        <f>I4-I7</f>
        <v>257.68879842292006</v>
      </c>
      <c r="J8" s="52">
        <f>J4-J7</f>
        <v>312.33932342514936</v>
      </c>
      <c r="K8" s="52">
        <f>K4-K7</f>
        <v>371.4852103499952</v>
      </c>
      <c r="L8" s="52">
        <f>L4-L7</f>
        <v>433.39344089896326</v>
      </c>
      <c r="M8" s="52">
        <f>M4-M7</f>
        <v>495.7755271264507</v>
      </c>
      <c r="N8" s="52">
        <f>N4-N7</f>
        <v>555.8776410973544</v>
      </c>
      <c r="O8" s="52">
        <f>O4-O7</f>
        <v>610.6426639081551</v>
      </c>
      <c r="P8" s="52">
        <f>P4-P7</f>
        <v>656.9373144555259</v>
      </c>
      <c r="Q8" s="52">
        <f>Q4-Q7</f>
        <v>691.8257279399381</v>
      </c>
      <c r="R8" s="52">
        <f>R4-R7</f>
        <v>712.8599505319996</v>
      </c>
    </row>
    <row r="9">
      <c r="A9" s="18" t="inlineStr">
        <is>
          <t>Interest &amp; Other</t>
        </is>
      </c>
      <c r="B9" s="52" t="n">
        <v>-6.073</v>
      </c>
      <c r="C9" s="52" t="n">
        <v>-53.93</v>
      </c>
      <c r="D9" s="52" t="n">
        <v>-50.1</v>
      </c>
      <c r="E9" s="52" t="n">
        <v>-15.5</v>
      </c>
      <c r="F9" s="52" t="n">
        <v>-18.634</v>
      </c>
      <c r="G9" s="52" t="n">
        <v>0.978</v>
      </c>
      <c r="H9" s="52" t="n">
        <v>6.595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</row>
    <row r="10">
      <c r="A10" s="2" t="inlineStr">
        <is>
          <t>Pretax</t>
        </is>
      </c>
      <c r="B10" s="52">
        <f>B8+B9</f>
        <v>-151.977</v>
      </c>
      <c r="C10" s="52">
        <f>C8+C9</f>
        <v>-36.94400000000001</v>
      </c>
      <c r="D10" s="52">
        <f>D8+D9</f>
        <v>37.42800000000002</v>
      </c>
      <c r="E10" s="52">
        <f>E8+E9</f>
        <v>104.68600000000004</v>
      </c>
      <c r="F10" s="52">
        <f>F8+F9</f>
        <v>173.39600000000002</v>
      </c>
      <c r="G10" s="52">
        <f>G8+G9</f>
        <v>191.80400000000014</v>
      </c>
      <c r="H10" s="52">
        <f>H8+H9</f>
        <v>215.064</v>
      </c>
      <c r="I10" s="52">
        <f>I8+I9</f>
        <v>257.68879842292006</v>
      </c>
      <c r="J10" s="52">
        <f>J8+J9</f>
        <v>312.33932342514936</v>
      </c>
      <c r="K10" s="52">
        <f>K8+K9</f>
        <v>371.4852103499952</v>
      </c>
      <c r="L10" s="52">
        <f>L8+L9</f>
        <v>433.39344089896326</v>
      </c>
      <c r="M10" s="52">
        <f>M8+M9</f>
        <v>495.7755271264507</v>
      </c>
      <c r="N10" s="52">
        <f>N8+N9</f>
        <v>555.8776410973544</v>
      </c>
      <c r="O10" s="52">
        <f>O8+O9</f>
        <v>610.6426639081551</v>
      </c>
      <c r="P10" s="52">
        <f>P8+P9</f>
        <v>656.9373144555259</v>
      </c>
      <c r="Q10" s="52">
        <f>Q8+Q9</f>
        <v>691.8257279399381</v>
      </c>
      <c r="R10" s="52">
        <f>R8+R9</f>
        <v>712.8599505319996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2.831</v>
      </c>
      <c r="E11" s="52" t="n">
        <v>-76.782</v>
      </c>
      <c r="F11" s="52" t="n">
        <v>44.543</v>
      </c>
      <c r="G11" s="52" t="n">
        <v>46.311</v>
      </c>
      <c r="H11" s="52" t="n">
        <v>56.377</v>
      </c>
      <c r="I11" s="52">
        <f>MAX(0,I10)*Assumptions!$E$14</f>
        <v>43.80709573189641</v>
      </c>
      <c r="J11" s="52">
        <f>MAX(0,J10)*Assumptions!$E$14</f>
        <v>53.097684982275396</v>
      </c>
      <c r="K11" s="52">
        <f>MAX(0,K10)*Assumptions!$E$14</f>
        <v>63.15248575949919</v>
      </c>
      <c r="L11" s="52">
        <f>MAX(0,L10)*Assumptions!$E$14</f>
        <v>73.67688495282376</v>
      </c>
      <c r="M11" s="52">
        <f>MAX(0,M10)*Assumptions!$E$14</f>
        <v>84.28183961149662</v>
      </c>
      <c r="N11" s="52">
        <f>MAX(0,N10)*Assumptions!$E$14</f>
        <v>94.49919898655025</v>
      </c>
      <c r="O11" s="52">
        <f>MAX(0,O10)*Assumptions!$E$14</f>
        <v>103.80925286438638</v>
      </c>
      <c r="P11" s="52">
        <f>MAX(0,P10)*Assumptions!$E$14</f>
        <v>111.67934345743942</v>
      </c>
      <c r="Q11" s="52">
        <f>MAX(0,Q10)*Assumptions!$E$14</f>
        <v>117.61037374978949</v>
      </c>
      <c r="R11" s="52">
        <f>MAX(0,R10)*Assumptions!$E$14</f>
        <v>121.18619159043995</v>
      </c>
    </row>
    <row r="12">
      <c r="A12" s="2" t="inlineStr">
        <is>
          <t>Net Income</t>
        </is>
      </c>
      <c r="B12" s="52" t="n">
        <v>-151.977</v>
      </c>
      <c r="C12" s="52" t="n">
        <v>-36.944</v>
      </c>
      <c r="D12" s="52" t="n">
        <v>34.597</v>
      </c>
      <c r="E12" s="52" t="n">
        <v>181.468</v>
      </c>
      <c r="F12" s="52" t="n">
        <v>128.853</v>
      </c>
      <c r="G12" s="52" t="n">
        <v>145.493</v>
      </c>
      <c r="H12" s="52" t="n">
        <v>158.687</v>
      </c>
      <c r="I12" s="52">
        <f>I10-I11</f>
        <v>213.88170269102363</v>
      </c>
      <c r="J12" s="52">
        <f>J10-J11</f>
        <v>259.241638442874</v>
      </c>
      <c r="K12" s="52">
        <f>K10-K11</f>
        <v>308.332724590496</v>
      </c>
      <c r="L12" s="52">
        <f>L10-L11</f>
        <v>359.7165559461395</v>
      </c>
      <c r="M12" s="52">
        <f>M10-M11</f>
        <v>411.4936875149541</v>
      </c>
      <c r="N12" s="52">
        <f>N10-N11</f>
        <v>461.37844211080414</v>
      </c>
      <c r="O12" s="52">
        <f>O10-O11</f>
        <v>506.8334110437687</v>
      </c>
      <c r="P12" s="52">
        <f>P10-P11</f>
        <v>545.2579709980864</v>
      </c>
      <c r="Q12" s="52">
        <f>Q10-Q11</f>
        <v>574.2153541901487</v>
      </c>
      <c r="R12" s="52">
        <f>R10-R11</f>
        <v>591.6737589415596</v>
      </c>
    </row>
    <row r="13">
      <c r="A13" s="2" t="inlineStr">
        <is>
          <t>Earnings per Share</t>
        </is>
      </c>
      <c r="B13" s="11">
        <f>IFERROR(B12/B14,0)</f>
        <v>-19.541854185418543</v>
      </c>
      <c r="C13" s="11">
        <f>IFERROR(C12/C14,0)</f>
        <v>-1.4334937141083348</v>
      </c>
      <c r="D13" s="11">
        <f>IFERROR(D12/D14,0)</f>
        <v>0.5843594291022718</v>
      </c>
      <c r="E13" s="11">
        <f>IFERROR(E12/E14,0)</f>
        <v>2.9701622010900697</v>
      </c>
      <c r="F13" s="11">
        <f>IFERROR(F12/F14,0)</f>
        <v>2.1343172331544427</v>
      </c>
      <c r="G13" s="11">
        <f>IFERROR(G12/G14,0)</f>
        <v>2.514135130464835</v>
      </c>
      <c r="H13" s="11">
        <f>IFERROR(H12/H14,0)</f>
        <v>2.710513280382612</v>
      </c>
      <c r="I13" s="11">
        <f>IFERROR(I12/I14,0)</f>
        <v>3.672646805083269</v>
      </c>
      <c r="J13" s="11">
        <f>IFERROR(J12/J14,0)</f>
        <v>4.451540095260947</v>
      </c>
      <c r="K13" s="11">
        <f>IFERROR(K12/K14,0)</f>
        <v>5.294502435796393</v>
      </c>
      <c r="L13" s="11">
        <f>IFERROR(L12/L14,0)</f>
        <v>6.176834405697817</v>
      </c>
      <c r="M13" s="11">
        <f>IFERROR(M12/M14,0)</f>
        <v>7.065919888186655</v>
      </c>
      <c r="N13" s="11">
        <f>IFERROR(N12/N14,0)</f>
        <v>7.9225106216795425</v>
      </c>
      <c r="O13" s="11">
        <f>IFERROR(O12/O14,0)</f>
        <v>8.703035763972688</v>
      </c>
      <c r="P13" s="11">
        <f>IFERROR(P12/P14,0)</f>
        <v>9.362838989668994</v>
      </c>
      <c r="Q13" s="11">
        <f>IFERROR(Q12/Q14,0)</f>
        <v>9.860077601134202</v>
      </c>
      <c r="R13" s="11">
        <f>IFERROR(R12/R14,0)</f>
        <v>10.159862732940201</v>
      </c>
    </row>
    <row r="14">
      <c r="A14" s="2" t="inlineStr">
        <is>
          <t>Shares</t>
        </is>
      </c>
      <c r="B14" s="52" t="n">
        <v>7.777</v>
      </c>
      <c r="C14" s="52" t="n">
        <v>25.772</v>
      </c>
      <c r="D14" s="52" t="n">
        <v>59.205</v>
      </c>
      <c r="E14" s="52" t="n">
        <v>61.097</v>
      </c>
      <c r="F14" s="52" t="n">
        <v>60.372</v>
      </c>
      <c r="G14" s="52" t="n">
        <v>57.87</v>
      </c>
      <c r="H14" s="52" t="n">
        <v>58.545</v>
      </c>
      <c r="I14" s="52">
        <f>Main!$C$4</f>
        <v>58.236393</v>
      </c>
      <c r="J14" s="52">
        <f>Main!$C$4</f>
        <v>58.236393</v>
      </c>
      <c r="K14" s="52">
        <f>Main!$C$4</f>
        <v>58.236393</v>
      </c>
      <c r="L14" s="52">
        <f>Main!$C$4</f>
        <v>58.236393</v>
      </c>
      <c r="M14" s="52">
        <f>Main!$C$4</f>
        <v>58.236393</v>
      </c>
      <c r="N14" s="52">
        <f>Main!$C$4</f>
        <v>58.236393</v>
      </c>
      <c r="O14" s="52">
        <f>Main!$C$4</f>
        <v>58.236393</v>
      </c>
      <c r="P14" s="52">
        <f>Main!$C$4</f>
        <v>58.236393</v>
      </c>
      <c r="Q14" s="52">
        <f>Main!$C$4</f>
        <v>58.236393</v>
      </c>
      <c r="R14" s="52">
        <f>Main!$C$4</f>
        <v>58.236393</v>
      </c>
    </row>
    <row r="15"/>
    <row r="16" customFormat="1" s="4">
      <c r="A16" s="3" t="inlineStr">
        <is>
          <t>Revenue Change</t>
        </is>
      </c>
      <c r="C16" s="15">
        <f>IFERROR(C2/B2-1,"")</f>
        <v>25.645871559633026</v>
      </c>
      <c r="D16" s="15">
        <f>IFERROR(D2/C2-1,"")</f>
        <v>0.9120832342151721</v>
      </c>
      <c r="E16" s="15">
        <f>IFERROR(E2/D2-1,"")</f>
        <v>0.4335221320062861</v>
      </c>
      <c r="F16" s="15">
        <f>IFERROR(F2/E2-1,"")</f>
        <v>0.3292574025647761</v>
      </c>
      <c r="G16" s="15">
        <f>IFERROR(G2/F2-1,"")</f>
        <v>0.22801887213885386</v>
      </c>
      <c r="H16" s="15">
        <f>IFERROR(H2/G2-1,"")</f>
        <v>0.2150716210506285</v>
      </c>
      <c r="I16" s="15">
        <f>IFERROR(I2/H2-1,"")</f>
        <v>0.22799999999999998</v>
      </c>
      <c r="J16" s="15">
        <f>IFERROR(J2/I2-1,"")</f>
        <v>0.20544444444444454</v>
      </c>
      <c r="K16" s="15">
        <f>IFERROR(K2/J2-1,"")</f>
        <v>0.18288888888888888</v>
      </c>
      <c r="L16" s="15">
        <f>IFERROR(L2/K2-1,"")</f>
        <v>0.16033333333333344</v>
      </c>
      <c r="M16" s="15">
        <f>IFERROR(M2/L2-1,"")</f>
        <v>0.13777777777777778</v>
      </c>
      <c r="N16" s="15">
        <f>IFERROR(N2/M2-1,"")</f>
        <v>0.11522222222222211</v>
      </c>
      <c r="O16" s="15">
        <f>IFERROR(O2/N2-1,"")</f>
        <v>0.09266666666666667</v>
      </c>
      <c r="P16" s="15">
        <f>IFERROR(P2/O2-1,"")</f>
        <v>0.07011111111111124</v>
      </c>
      <c r="Q16" s="15">
        <f>IFERROR(Q2/P2-1,"")</f>
        <v>0.04755555555555557</v>
      </c>
      <c r="R16" s="15">
        <f>IFERROR(R2/Q2-1,"")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0.7369474562135113</v>
      </c>
      <c r="C17" s="15">
        <f>IFERROR(C4/C2,"")</f>
        <v>0.8263575014711222</v>
      </c>
      <c r="D17" s="15">
        <f>IFERROR(D4/D2,"")</f>
        <v>0.8182359874279728</v>
      </c>
      <c r="E17" s="15">
        <f>IFERROR(E4/E2,"")</f>
        <v>0.8093409918808738</v>
      </c>
      <c r="F17" s="15">
        <f>IFERROR(F4/F2,"")</f>
        <v>0.7916985955857339</v>
      </c>
      <c r="G17" s="15">
        <f>IFERROR(G4/G2,"")</f>
        <v>0.7805966975126412</v>
      </c>
      <c r="H17" s="15">
        <f>IFERROR(H4/H2,"")</f>
        <v>0.771614583633196</v>
      </c>
      <c r="I17" s="15">
        <f>IFERROR(I4/I2,"")</f>
        <v>0.7716</v>
      </c>
      <c r="J17" s="15">
        <f>IFERROR(J4/J2,"")</f>
        <v>0.7716</v>
      </c>
      <c r="K17" s="15">
        <f>IFERROR(K4/K2,"")</f>
        <v>0.7716</v>
      </c>
      <c r="L17" s="15">
        <f>IFERROR(L4/L2,"")</f>
        <v>0.7715999999999998</v>
      </c>
      <c r="M17" s="15">
        <f>IFERROR(M4/M2,"")</f>
        <v>0.7716</v>
      </c>
      <c r="N17" s="15">
        <f>IFERROR(N4/N2,"")</f>
        <v>0.7716</v>
      </c>
      <c r="O17" s="15">
        <f>IFERROR(O4/O2,"")</f>
        <v>0.7716000000000001</v>
      </c>
      <c r="P17" s="15">
        <f>IFERROR(P4/P2,"")</f>
        <v>0.7716</v>
      </c>
      <c r="Q17" s="15">
        <f>IFERROR(Q4/Q2,"")</f>
        <v>0.7716</v>
      </c>
      <c r="R17" s="15">
        <f>IFERROR(R4/R2,"")</f>
        <v>0.7716000000000001</v>
      </c>
    </row>
    <row r="18">
      <c r="A18" s="14" t="inlineStr">
        <is>
          <t>Operating Margin</t>
        </is>
      </c>
      <c r="B18" s="15">
        <f>IFERROR(B8/B2,"")</f>
        <v>-24.337614678899083</v>
      </c>
      <c r="C18" s="15">
        <f>IFERROR(C8/C2,"")</f>
        <v>0.10633396351616976</v>
      </c>
      <c r="D18" s="15">
        <f>IFERROR(D8/D2,"")</f>
        <v>0.2865636458878995</v>
      </c>
      <c r="E18" s="15">
        <f>IFERROR(E8/E2,"")</f>
        <v>0.27448812963195585</v>
      </c>
      <c r="F18" s="15">
        <f>IFERROR(F8/F2,"")</f>
        <v>0.32993598180137523</v>
      </c>
      <c r="G18" s="15">
        <f>IFERROR(G8/G2,"")</f>
        <v>0.2669888378053935</v>
      </c>
      <c r="H18" s="15">
        <f>IFERROR(H8/H2,"")</f>
        <v>0.2400463813240325</v>
      </c>
      <c r="I18" s="15">
        <f>IFERROR(I8/I2,"")</f>
        <v>0.24163000000000007</v>
      </c>
      <c r="J18" s="15">
        <f>IFERROR(J8/J2,"")</f>
        <v>0.24296000000000004</v>
      </c>
      <c r="K18" s="15">
        <f>IFERROR(K8/K2,"")</f>
        <v>0.24429000000000003</v>
      </c>
      <c r="L18" s="15">
        <f>IFERROR(L8/L2,"")</f>
        <v>0.24562</v>
      </c>
      <c r="M18" s="15">
        <f>IFERROR(M8/M2,"")</f>
        <v>0.24694999999999998</v>
      </c>
      <c r="N18" s="15">
        <f>IFERROR(N8/N2,"")</f>
        <v>0.24827999999999997</v>
      </c>
      <c r="O18" s="15">
        <f>IFERROR(O8/O2,"")</f>
        <v>0.24960999999999997</v>
      </c>
      <c r="P18" s="15">
        <f>IFERROR(P8/P2,"")</f>
        <v>0.25094000000000005</v>
      </c>
      <c r="Q18" s="15">
        <f>IFERROR(Q8/Q2,"")</f>
        <v>0.25226999999999994</v>
      </c>
      <c r="R18" s="15">
        <f>IFERROR(R8/R2,"")</f>
        <v>0.2536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Harmony Biosciences Holdings,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0.178</v>
      </c>
      <c r="C12" s="53" t="n">
        <v>0.228</v>
      </c>
      <c r="D12" s="53" t="n">
        <v>0.278</v>
      </c>
      <c r="E12" s="54">
        <f>CHOOSE($B$4,B12,C12,D12)</f>
        <v>0.228</v>
      </c>
    </row>
    <row r="13">
      <c r="A13" s="14" t="inlineStr">
        <is>
          <t>Operating margin, year 10</t>
        </is>
      </c>
      <c r="B13" s="53" t="n">
        <v>0.2036</v>
      </c>
      <c r="C13" s="53" t="n">
        <v>0.2536</v>
      </c>
      <c r="D13" s="53" t="n">
        <v>0.3036</v>
      </c>
      <c r="E13" s="54">
        <f>CHOOSE($B$4,B13,C13,D13)</f>
        <v>0.2536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0.2403</v>
      </c>
    </row>
    <row r="19">
      <c r="A19" s="14" t="inlineStr">
        <is>
          <t>Gross margin (forecast)</t>
        </is>
      </c>
      <c r="B19" s="53" t="n">
        <v>0.7716</v>
      </c>
    </row>
    <row r="20">
      <c r="A20" s="14" t="inlineStr">
        <is>
          <t>R&amp;D share of operating expense (forecast)</t>
        </is>
      </c>
      <c r="B20" s="53" t="n">
        <v>0.4107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Model'!H2</f>
        <v>868.453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4670.647542689663</v>
      </c>
      <c r="C29" s="56">
        <f>NPV!B26</f>
        <v>5184.477542689663</v>
      </c>
      <c r="D29" s="35">
        <f>NPV!B28</f>
        <v>89.02470217703323</v>
      </c>
      <c r="E29" s="57">
        <f>NPV!B30</f>
        <v>1.300379901215329</v>
      </c>
    </row>
    <row r="30">
      <c r="A30" s="58" t="n">
        <v>1</v>
      </c>
      <c r="B30" s="59">
        <f t="dataTable" ref="B30:E32" r1="B4"/>
        <v>2779.0253748093664</v>
      </c>
      <c r="C30" s="59">
        <v>3292.8553748093664</v>
      </c>
      <c r="D30" s="39">
        <v>56.542914235937765</v>
      </c>
      <c r="E30" s="60">
        <v>0.46105721539890854</v>
      </c>
    </row>
    <row r="31">
      <c r="A31" s="58" t="n">
        <v>2</v>
      </c>
      <c r="B31" s="59">
        <v>4670.647542689663</v>
      </c>
      <c r="C31" s="59">
        <v>5184.477542689663</v>
      </c>
      <c r="D31" s="39">
        <v>89.02470217703323</v>
      </c>
      <c r="E31" s="60">
        <v>1.300379901215329</v>
      </c>
    </row>
    <row r="32">
      <c r="A32" s="58" t="n">
        <v>3</v>
      </c>
      <c r="B32" s="59">
        <v>8080.8380033818175</v>
      </c>
      <c r="C32" s="59">
        <v>8594.668003381817</v>
      </c>
      <c r="D32" s="39">
        <v>147.5824233032739</v>
      </c>
      <c r="E32" s="60">
        <v>2.813499310162116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89.02470217703323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104.72514256885327</v>
      </c>
      <c r="C37" s="39">
        <v>110.40255112586117</v>
      </c>
      <c r="D37" s="39">
        <v>116.94577749592375</v>
      </c>
      <c r="E37" s="39">
        <v>124.57119832960419</v>
      </c>
      <c r="F37" s="39">
        <v>133.5738719630252</v>
      </c>
    </row>
    <row r="38">
      <c r="A38" s="62" t="n">
        <v>0.1</v>
      </c>
      <c r="B38" s="39">
        <v>92.10927663202328</v>
      </c>
      <c r="C38" s="39">
        <v>96.313143394652</v>
      </c>
      <c r="D38" s="39">
        <v>101.07117969931545</v>
      </c>
      <c r="E38" s="39">
        <v>106.50207216640887</v>
      </c>
      <c r="F38" s="39">
        <v>112.76102577885428</v>
      </c>
    </row>
    <row r="39">
      <c r="A39" s="62" t="n">
        <v>0.11</v>
      </c>
      <c r="B39" s="39">
        <v>82.23366854096228</v>
      </c>
      <c r="C39" s="39">
        <v>85.44308204494078</v>
      </c>
      <c r="D39" s="39">
        <v>89.02470217703323</v>
      </c>
      <c r="E39" s="39">
        <v>93.04826399786737</v>
      </c>
      <c r="F39" s="39">
        <v>97.60209808590707</v>
      </c>
    </row>
    <row r="40">
      <c r="A40" s="62" t="n">
        <v>0.12</v>
      </c>
      <c r="B40" s="39">
        <v>74.30865765329251</v>
      </c>
      <c r="C40" s="39">
        <v>76.81948547015621</v>
      </c>
      <c r="D40" s="39">
        <v>79.59000236923242</v>
      </c>
      <c r="E40" s="39">
        <v>82.66344415824784</v>
      </c>
      <c r="F40" s="39">
        <v>86.09321935367252</v>
      </c>
    </row>
    <row r="41">
      <c r="A41" s="62" t="n">
        <v>0.13</v>
      </c>
      <c r="B41" s="39">
        <v>67.81989783115054</v>
      </c>
      <c r="C41" s="39">
        <v>69.82393194941518</v>
      </c>
      <c r="D41" s="39">
        <v>72.0148293039702</v>
      </c>
      <c r="E41" s="39">
        <v>74.42058000833796</v>
      </c>
      <c r="F41" s="39">
        <v>77.07506646874978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Harmony Biosciences Holdings, Inc.: free-cash-flow DCF ($mm)</t>
        </is>
      </c>
    </row>
    <row r="3">
      <c r="A3" s="20" t="inlineStr">
        <is>
          <t>Fiscal year</t>
        </is>
      </c>
      <c r="B3" s="43">
        <f>'Yearly Model'!H1</f>
        <v>2025</v>
      </c>
      <c r="C3" s="43">
        <f>'Yearly Model'!I1</f>
        <v>2026</v>
      </c>
      <c r="D3" s="43">
        <f>'Yearly Model'!J1</f>
        <v>2027</v>
      </c>
      <c r="E3" s="43">
        <f>'Yearly Model'!K1</f>
        <v>2028</v>
      </c>
      <c r="F3" s="43">
        <f>'Yearly Model'!L1</f>
        <v>2029</v>
      </c>
      <c r="G3" s="43">
        <f>'Yearly Model'!M1</f>
        <v>2030</v>
      </c>
      <c r="H3" s="43">
        <f>'Yearly Model'!N1</f>
        <v>2031</v>
      </c>
      <c r="I3" s="43">
        <f>'Yearly Model'!O1</f>
        <v>2032</v>
      </c>
      <c r="J3" s="43">
        <f>'Yearly Model'!P1</f>
        <v>2033</v>
      </c>
      <c r="K3" s="43">
        <f>'Yearly Model'!Q1</f>
        <v>2034</v>
      </c>
      <c r="L3" s="43">
        <f>'Yearly Model'!R1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0.228</v>
      </c>
      <c r="D5" s="63">
        <f>Assumptions!$E$12+(Assumptions!$E$11-Assumptions!$E$12)*(D4-1)/(Assumptions!$B$21-1)</f>
        <v>0.20544444444444446</v>
      </c>
      <c r="E5" s="63">
        <f>Assumptions!$E$12+(Assumptions!$E$11-Assumptions!$E$12)*(E4-1)/(Assumptions!$B$21-1)</f>
        <v>0.18288888888888888</v>
      </c>
      <c r="F5" s="63">
        <f>Assumptions!$E$12+(Assumptions!$E$11-Assumptions!$E$12)*(F4-1)/(Assumptions!$B$21-1)</f>
        <v>0.16033333333333333</v>
      </c>
      <c r="G5" s="63">
        <f>Assumptions!$E$12+(Assumptions!$E$11-Assumptions!$E$12)*(G4-1)/(Assumptions!$B$21-1)</f>
        <v>0.13777777777777778</v>
      </c>
      <c r="H5" s="63">
        <f>Assumptions!$E$12+(Assumptions!$E$11-Assumptions!$E$12)*(H4-1)/(Assumptions!$B$21-1)</f>
        <v>0.11522222222222221</v>
      </c>
      <c r="I5" s="63">
        <f>Assumptions!$E$12+(Assumptions!$E$11-Assumptions!$E$12)*(I4-1)/(Assumptions!$B$21-1)</f>
        <v>0.09266666666666667</v>
      </c>
      <c r="J5" s="63">
        <f>Assumptions!$E$12+(Assumptions!$E$11-Assumptions!$E$12)*(J4-1)/(Assumptions!$B$21-1)</f>
        <v>0.07011111111111112</v>
      </c>
      <c r="K5" s="63">
        <f>Assumptions!$E$12+(Assumptions!$E$11-Assumptions!$E$12)*(K4-1)/(Assumptions!$B$21-1)</f>
        <v>0.047555555555555545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0.2400463813240325</v>
      </c>
      <c r="C6" s="63">
        <f>Assumptions!$B$18+(Assumptions!$E$13-Assumptions!$B$18)*C4/Assumptions!$B$21</f>
        <v>0.24163</v>
      </c>
      <c r="D6" s="63">
        <f>Assumptions!$B$18+(Assumptions!$E$13-Assumptions!$B$18)*D4/Assumptions!$B$21</f>
        <v>0.24296</v>
      </c>
      <c r="E6" s="63">
        <f>Assumptions!$B$18+(Assumptions!$E$13-Assumptions!$B$18)*E4/Assumptions!$B$21</f>
        <v>0.24429</v>
      </c>
      <c r="F6" s="63">
        <f>Assumptions!$B$18+(Assumptions!$E$13-Assumptions!$B$18)*F4/Assumptions!$B$21</f>
        <v>0.24562</v>
      </c>
      <c r="G6" s="63">
        <f>Assumptions!$B$18+(Assumptions!$E$13-Assumptions!$B$18)*G4/Assumptions!$B$21</f>
        <v>0.24695</v>
      </c>
      <c r="H6" s="63">
        <f>Assumptions!$B$18+(Assumptions!$E$13-Assumptions!$B$18)*H4/Assumptions!$B$21</f>
        <v>0.24828</v>
      </c>
      <c r="I6" s="63">
        <f>Assumptions!$B$18+(Assumptions!$E$13-Assumptions!$B$18)*I4/Assumptions!$B$21</f>
        <v>0.24961</v>
      </c>
      <c r="J6" s="63">
        <f>Assumptions!$B$18+(Assumptions!$E$13-Assumptions!$B$18)*J4/Assumptions!$B$21</f>
        <v>0.25094</v>
      </c>
      <c r="K6" s="63">
        <f>Assumptions!$B$18+(Assumptions!$E$13-Assumptions!$B$18)*K4/Assumptions!$B$21</f>
        <v>0.25227</v>
      </c>
      <c r="L6" s="63">
        <f>Assumptions!$B$18+(Assumptions!$E$13-Assumptions!$B$18)*L4/Assumptions!$B$21</f>
        <v>0.2536</v>
      </c>
    </row>
    <row r="7">
      <c r="A7" s="14" t="inlineStr">
        <is>
          <t>Revenue</t>
        </is>
      </c>
      <c r="B7" s="55">
        <f>'Yearly Model'!H2</f>
        <v>868.453</v>
      </c>
      <c r="C7" s="55">
        <f>'Yearly Model'!I2</f>
        <v>1066.460284</v>
      </c>
      <c r="D7" s="55">
        <f>'Yearly Model'!J2</f>
        <v>1285.5586245684447</v>
      </c>
      <c r="E7" s="55">
        <f>'Yearly Model'!K2</f>
        <v>1520.6730130172957</v>
      </c>
      <c r="F7" s="55">
        <f>'Yearly Model'!L2</f>
        <v>1764.4875861044022</v>
      </c>
      <c r="G7" s="55">
        <f>'Yearly Model'!M2</f>
        <v>2007.594764634342</v>
      </c>
      <c r="H7" s="55">
        <f>'Yearly Model'!N2</f>
        <v>2238.9142947372097</v>
      </c>
      <c r="I7" s="55">
        <f>'Yearly Model'!O2</f>
        <v>2446.387019382858</v>
      </c>
      <c r="J7" s="55">
        <f>'Yearly Model'!P2</f>
        <v>2617.9059315195896</v>
      </c>
      <c r="K7" s="55">
        <f>'Yearly Model'!Q2</f>
        <v>2742.4019024851877</v>
      </c>
      <c r="L7" s="55">
        <f>'Yearly Model'!R2</f>
        <v>2810.9619500473173</v>
      </c>
    </row>
    <row r="8">
      <c r="A8" s="14" t="inlineStr">
        <is>
          <t>Operating income</t>
        </is>
      </c>
      <c r="B8" s="55">
        <f>'Yearly Model'!H8</f>
        <v>208.469</v>
      </c>
      <c r="C8" s="55">
        <f>'Yearly Model'!I8</f>
        <v>257.68879842292006</v>
      </c>
      <c r="D8" s="55">
        <f>'Yearly Model'!J8</f>
        <v>312.33932342514936</v>
      </c>
      <c r="E8" s="55">
        <f>'Yearly Model'!K8</f>
        <v>371.4852103499952</v>
      </c>
      <c r="F8" s="55">
        <f>'Yearly Model'!L8</f>
        <v>433.39344089896326</v>
      </c>
      <c r="G8" s="55">
        <f>'Yearly Model'!M8</f>
        <v>495.7755271264507</v>
      </c>
      <c r="H8" s="55">
        <f>'Yearly Model'!N8</f>
        <v>555.8776410973544</v>
      </c>
      <c r="I8" s="55">
        <f>'Yearly Model'!O8</f>
        <v>610.6426639081551</v>
      </c>
      <c r="J8" s="55">
        <f>'Yearly Model'!P8</f>
        <v>656.9373144555259</v>
      </c>
      <c r="K8" s="55">
        <f>'Yearly Model'!Q8</f>
        <v>691.8257279399381</v>
      </c>
      <c r="L8" s="55">
        <f>'Yearly Model'!R8</f>
        <v>712.8599505319996</v>
      </c>
    </row>
    <row r="9">
      <c r="A9" s="14" t="inlineStr">
        <is>
          <t>Tax on operating income</t>
        </is>
      </c>
      <c r="C9" s="52">
        <f>MAX(0,C8)*Assumptions!$E$14</f>
        <v>43.80709573189641</v>
      </c>
      <c r="D9" s="52">
        <f>MAX(0,D8)*Assumptions!$E$14</f>
        <v>53.097684982275396</v>
      </c>
      <c r="E9" s="52">
        <f>MAX(0,E8)*Assumptions!$E$14</f>
        <v>63.15248575949919</v>
      </c>
      <c r="F9" s="52">
        <f>MAX(0,F8)*Assumptions!$E$14</f>
        <v>73.67688495282376</v>
      </c>
      <c r="G9" s="52">
        <f>MAX(0,G8)*Assumptions!$E$14</f>
        <v>84.28183961149662</v>
      </c>
      <c r="H9" s="52">
        <f>MAX(0,H8)*Assumptions!$E$14</f>
        <v>94.49919898655025</v>
      </c>
      <c r="I9" s="52">
        <f>MAX(0,I8)*Assumptions!$E$14</f>
        <v>103.80925286438638</v>
      </c>
      <c r="J9" s="52">
        <f>MAX(0,J8)*Assumptions!$E$14</f>
        <v>111.67934345743942</v>
      </c>
      <c r="K9" s="52">
        <f>MAX(0,K8)*Assumptions!$E$14</f>
        <v>117.61037374978949</v>
      </c>
      <c r="L9" s="52">
        <f>MAX(0,L8)*Assumptions!$E$14</f>
        <v>121.18619159043995</v>
      </c>
    </row>
    <row r="10">
      <c r="A10" s="14" t="inlineStr">
        <is>
          <t>NOPAT</t>
        </is>
      </c>
      <c r="C10" s="52">
        <f>C8-C9</f>
        <v>213.88170269102363</v>
      </c>
      <c r="D10" s="52">
        <f>D8-D9</f>
        <v>259.241638442874</v>
      </c>
      <c r="E10" s="52">
        <f>E8-E9</f>
        <v>308.332724590496</v>
      </c>
      <c r="F10" s="52">
        <f>F8-F9</f>
        <v>359.7165559461395</v>
      </c>
      <c r="G10" s="52">
        <f>G8-G9</f>
        <v>411.4936875149541</v>
      </c>
      <c r="H10" s="52">
        <f>H8-H9</f>
        <v>461.37844211080414</v>
      </c>
      <c r="I10" s="52">
        <f>I8-I9</f>
        <v>506.8334110437687</v>
      </c>
      <c r="J10" s="52">
        <f>J8-J9</f>
        <v>545.2579709980864</v>
      </c>
      <c r="K10" s="52">
        <f>K8-K9</f>
        <v>574.2153541901487</v>
      </c>
      <c r="L10" s="52">
        <f>L8-L9</f>
        <v>591.6737589415596</v>
      </c>
    </row>
    <row r="11">
      <c r="A11" s="14" t="inlineStr">
        <is>
          <t>Reinvestment</t>
        </is>
      </c>
      <c r="C11" s="52">
        <f>(C7-B7)*Assumptions!$E$15</f>
        <v>49.50182100000001</v>
      </c>
      <c r="D11" s="52">
        <f>(D7-C7)*Assumptions!$E$15</f>
        <v>54.774585142111164</v>
      </c>
      <c r="E11" s="52">
        <f>(E7-D7)*Assumptions!$E$15</f>
        <v>58.778597112212765</v>
      </c>
      <c r="F11" s="52">
        <f>(F7-E7)*Assumptions!$E$15</f>
        <v>60.95364327177663</v>
      </c>
      <c r="G11" s="52">
        <f>(G7-F7)*Assumptions!$E$15</f>
        <v>60.77679463248495</v>
      </c>
      <c r="H11" s="52">
        <f>(H7-G7)*Assumptions!$E$15</f>
        <v>57.829882525716926</v>
      </c>
      <c r="I11" s="52">
        <f>(I7-H7)*Assumptions!$E$15</f>
        <v>51.86818116141205</v>
      </c>
      <c r="J11" s="52">
        <f>(J7-I7)*Assumptions!$E$15</f>
        <v>42.879728034182904</v>
      </c>
      <c r="K11" s="52">
        <f>(K7-J7)*Assumptions!$E$15</f>
        <v>31.123992741399547</v>
      </c>
      <c r="L11" s="52">
        <f>(L7-K7)*Assumptions!$E$15</f>
        <v>17.140011890532378</v>
      </c>
    </row>
    <row r="12">
      <c r="A12" s="20" t="inlineStr">
        <is>
          <t>Free cash flow</t>
        </is>
      </c>
      <c r="C12" s="64">
        <f>C10-C11</f>
        <v>164.37988169102363</v>
      </c>
      <c r="D12" s="64">
        <f>D10-D11</f>
        <v>204.4670533007628</v>
      </c>
      <c r="E12" s="64">
        <f>E10-E11</f>
        <v>249.55412747828325</v>
      </c>
      <c r="F12" s="64">
        <f>F10-F11</f>
        <v>298.7629126743629</v>
      </c>
      <c r="G12" s="64">
        <f>G10-G11</f>
        <v>350.71689288246915</v>
      </c>
      <c r="H12" s="64">
        <f>H10-H11</f>
        <v>403.5485595850872</v>
      </c>
      <c r="I12" s="64">
        <f>I10-I11</f>
        <v>454.96522988235665</v>
      </c>
      <c r="J12" s="64">
        <f>J10-J11</f>
        <v>502.3782429639035</v>
      </c>
      <c r="K12" s="64">
        <f>K10-K11</f>
        <v>543.0913614487491</v>
      </c>
      <c r="L12" s="64">
        <f>L10-L11</f>
        <v>574.5337470510273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80.71266814715013</v>
      </c>
      <c r="D16" s="64">
        <f>D12*D13*D15</f>
        <v>184.1257526640098</v>
      </c>
      <c r="E16" s="64">
        <f>E12*E13*E15</f>
        <v>202.45708309505977</v>
      </c>
      <c r="F16" s="64">
        <f>F12*F13*F15</f>
        <v>218.35941604139947</v>
      </c>
      <c r="G16" s="64">
        <f>G12*G13*G15</f>
        <v>230.9292502571451</v>
      </c>
      <c r="H16" s="64">
        <f>H12*H13*H15</f>
        <v>239.38398003092146</v>
      </c>
      <c r="I16" s="64">
        <f>I12*I13*I15</f>
        <v>243.13893530541273</v>
      </c>
      <c r="J16" s="64">
        <f>J12*J13*J15</f>
        <v>241.87119313448102</v>
      </c>
      <c r="K16" s="64">
        <f>K12*K13*K15</f>
        <v>235.56091919843664</v>
      </c>
      <c r="L16" s="64">
        <f>L12*L13*L15</f>
        <v>224.50339356842224</v>
      </c>
    </row>
    <row r="19">
      <c r="A19" s="14" t="inlineStr">
        <is>
          <t>PV of forecast free cash flow</t>
        </is>
      </c>
      <c r="B19" s="52">
        <f>SUM(C16:L16)</f>
        <v>2101.0425914424386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588.8970907273028</v>
      </c>
    </row>
    <row r="21">
      <c r="A21" s="14" t="inlineStr">
        <is>
          <t>Terminal value</t>
        </is>
      </c>
      <c r="B21" s="52">
        <f>B20/(Assumptions!$E$10-Assumptions!$E$11)</f>
        <v>6928.201067380034</v>
      </c>
    </row>
    <row r="22">
      <c r="A22" s="14" t="inlineStr">
        <is>
          <t>PV of terminal value</t>
        </is>
      </c>
      <c r="B22" s="52">
        <f>B21/(1+Assumptions!$E$10)^(L14+0.5)</f>
        <v>2569.6049512472246</v>
      </c>
    </row>
    <row r="23">
      <c r="A23" s="20" t="inlineStr">
        <is>
          <t>Enterprise value</t>
        </is>
      </c>
      <c r="B23" s="66">
        <f>B19+B22</f>
        <v>4670.647542689663</v>
      </c>
    </row>
    <row r="24">
      <c r="A24" s="14" t="inlineStr">
        <is>
          <t>Cash &amp; investments</t>
        </is>
      </c>
      <c r="B24" s="55">
        <f>Main!C7</f>
        <v>667.791</v>
      </c>
    </row>
    <row r="25">
      <c r="A25" s="14" t="inlineStr">
        <is>
          <t>Debt</t>
        </is>
      </c>
      <c r="B25" s="55">
        <f>Main!C8</f>
        <v>153.961</v>
      </c>
    </row>
    <row r="26">
      <c r="A26" s="20" t="inlineStr">
        <is>
          <t>Equity value</t>
        </is>
      </c>
      <c r="B26" s="66">
        <f>B23+B24-B25</f>
        <v>5184.477542689663</v>
      </c>
    </row>
    <row r="27">
      <c r="A27" s="14" t="inlineStr">
        <is>
          <t>Shares (mm)</t>
        </is>
      </c>
      <c r="B27" s="55">
        <f>Main!C4</f>
        <v>58.236393</v>
      </c>
    </row>
    <row r="28">
      <c r="A28" s="20" t="inlineStr">
        <is>
          <t>NPV / share</t>
        </is>
      </c>
      <c r="B28" s="49">
        <f>B26/B27</f>
        <v>89.02470217703323</v>
      </c>
    </row>
    <row r="29">
      <c r="A29" s="14" t="inlineStr">
        <is>
          <t>Price</t>
        </is>
      </c>
      <c r="B29" s="50">
        <f>Main!C3</f>
        <v>38.7</v>
      </c>
    </row>
    <row r="30">
      <c r="A30" s="14" t="inlineStr">
        <is>
          <t>Upside</t>
        </is>
      </c>
      <c r="B30" s="63">
        <f>B28/B29-1</f>
        <v>1.300379901215329</v>
      </c>
    </row>
    <row r="31">
      <c r="A31" s="14" t="inlineStr">
        <is>
          <t>Terminal value, % of EV</t>
        </is>
      </c>
      <c r="B31" s="63">
        <f>IFERROR(B22/B23,0)</f>
        <v>0.5501603209749967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2026-10-21T06:22:29Z</dcterms:modified>
  <cp:lastModifiedBy>Wang, Eric</cp:lastModifiedBy>
</cp:coreProperties>
</file>